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313"/>
  <workbookPr/>
  <mc:AlternateContent xmlns:mc="http://schemas.openxmlformats.org/markup-compatibility/2006">
    <mc:Choice Requires="x15">
      <x15ac:absPath xmlns:x15ac="http://schemas.microsoft.com/office/spreadsheetml/2010/11/ac" url="/Users/Daphnia/Desktop/paleo-CO2 data base/product/product March 2022/"/>
    </mc:Choice>
  </mc:AlternateContent>
  <xr:revisionPtr revIDLastSave="0" documentId="13_ncr:1_{E3A94B8B-CC6E-7946-8A1A-CF8814A64A2D}" xr6:coauthVersionLast="47" xr6:coauthVersionMax="47" xr10:uidLastSave="{00000000-0000-0000-0000-000000000000}"/>
  <bookViews>
    <workbookView xWindow="600" yWindow="680" windowWidth="25960" windowHeight="1534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H23" i="1" l="1"/>
  <c r="H5" i="1"/>
  <c r="I5" i="1"/>
  <c r="H6" i="1"/>
  <c r="I6" i="1"/>
  <c r="H7" i="1"/>
  <c r="I7" i="1"/>
  <c r="H8" i="1"/>
  <c r="I8" i="1"/>
  <c r="H9" i="1"/>
  <c r="I9" i="1"/>
  <c r="H10" i="1"/>
  <c r="I10" i="1"/>
  <c r="H11" i="1"/>
  <c r="I11" i="1"/>
  <c r="H12" i="1"/>
  <c r="I12" i="1"/>
  <c r="H13" i="1"/>
  <c r="I13" i="1"/>
  <c r="H14" i="1"/>
  <c r="I14" i="1"/>
  <c r="H15" i="1"/>
  <c r="I15" i="1"/>
  <c r="H16" i="1"/>
  <c r="I16" i="1"/>
  <c r="H17" i="1"/>
  <c r="I17" i="1"/>
  <c r="H18" i="1"/>
  <c r="I18" i="1"/>
  <c r="H19" i="1"/>
  <c r="I19" i="1"/>
  <c r="H20" i="1"/>
  <c r="I20" i="1"/>
  <c r="H21" i="1"/>
  <c r="I21" i="1"/>
  <c r="H22" i="1"/>
  <c r="I22" i="1"/>
  <c r="I23" i="1"/>
  <c r="H24" i="1"/>
  <c r="I24" i="1"/>
  <c r="H25" i="1"/>
  <c r="I25" i="1"/>
  <c r="H26" i="1"/>
  <c r="I26" i="1"/>
  <c r="H27" i="1"/>
  <c r="I27" i="1"/>
  <c r="H28" i="1"/>
  <c r="I28" i="1"/>
  <c r="H29" i="1"/>
  <c r="I29" i="1"/>
  <c r="H30" i="1"/>
  <c r="I30" i="1"/>
  <c r="H31" i="1"/>
  <c r="I31" i="1"/>
  <c r="H32" i="1"/>
  <c r="I32" i="1"/>
  <c r="H33" i="1"/>
  <c r="I33" i="1"/>
  <c r="H34" i="1"/>
  <c r="I34" i="1"/>
  <c r="H35" i="1"/>
  <c r="I35" i="1"/>
  <c r="H36" i="1"/>
  <c r="I36" i="1"/>
  <c r="H37" i="1"/>
  <c r="I37" i="1"/>
  <c r="H38" i="1"/>
  <c r="I38" i="1"/>
  <c r="H39" i="1"/>
  <c r="I39" i="1"/>
  <c r="H40" i="1"/>
  <c r="I40" i="1"/>
  <c r="H41" i="1"/>
  <c r="I41" i="1"/>
  <c r="H42" i="1"/>
  <c r="I42" i="1"/>
  <c r="H43" i="1"/>
  <c r="I43" i="1"/>
  <c r="H44" i="1"/>
  <c r="I44" i="1"/>
  <c r="H45" i="1"/>
  <c r="I45" i="1"/>
  <c r="H46" i="1"/>
  <c r="I46" i="1"/>
  <c r="H47" i="1"/>
  <c r="I47" i="1"/>
  <c r="H48" i="1"/>
  <c r="I48" i="1"/>
  <c r="H49" i="1"/>
  <c r="I49" i="1"/>
  <c r="H50" i="1"/>
  <c r="I50" i="1"/>
  <c r="H51" i="1"/>
  <c r="I51" i="1"/>
  <c r="H52" i="1"/>
  <c r="I52" i="1"/>
  <c r="H53" i="1"/>
  <c r="I53" i="1"/>
  <c r="H54" i="1"/>
  <c r="I54" i="1"/>
  <c r="H55" i="1"/>
  <c r="I55" i="1"/>
  <c r="H56" i="1"/>
  <c r="I56" i="1"/>
  <c r="H57" i="1"/>
  <c r="I57" i="1"/>
  <c r="H58" i="1"/>
  <c r="I58" i="1"/>
  <c r="H59" i="1"/>
  <c r="I59" i="1"/>
  <c r="H60" i="1"/>
  <c r="I60" i="1"/>
  <c r="H61" i="1"/>
  <c r="I61" i="1"/>
  <c r="H62" i="1"/>
  <c r="I62" i="1"/>
  <c r="H63" i="1"/>
  <c r="I63" i="1"/>
  <c r="H64" i="1"/>
  <c r="I64" i="1"/>
  <c r="H65" i="1"/>
  <c r="I65" i="1"/>
  <c r="H66" i="1"/>
  <c r="I66" i="1"/>
  <c r="H67" i="1"/>
  <c r="I67" i="1"/>
  <c r="H68" i="1"/>
  <c r="I68" i="1"/>
  <c r="H69" i="1"/>
  <c r="I69" i="1"/>
  <c r="H70" i="1"/>
  <c r="I70" i="1"/>
  <c r="H71" i="1"/>
  <c r="I71" i="1"/>
  <c r="H72" i="1"/>
  <c r="I72" i="1"/>
  <c r="H73" i="1"/>
  <c r="I73" i="1"/>
  <c r="H74" i="1"/>
  <c r="I74" i="1"/>
  <c r="H75" i="1"/>
  <c r="I75" i="1"/>
  <c r="H76" i="1"/>
  <c r="I76" i="1"/>
  <c r="H77" i="1"/>
  <c r="I77" i="1"/>
  <c r="H78" i="1"/>
  <c r="I78" i="1"/>
  <c r="H79" i="1"/>
  <c r="I79" i="1"/>
  <c r="H80" i="1"/>
  <c r="I80" i="1"/>
  <c r="H81" i="1"/>
  <c r="I81" i="1"/>
  <c r="H82" i="1"/>
  <c r="I82" i="1"/>
  <c r="H83" i="1"/>
  <c r="I83" i="1"/>
  <c r="H84" i="1"/>
  <c r="I84" i="1"/>
  <c r="H85" i="1"/>
  <c r="I85" i="1"/>
  <c r="H86" i="1"/>
  <c r="I86" i="1"/>
  <c r="H87" i="1"/>
  <c r="I87" i="1"/>
  <c r="H88" i="1"/>
  <c r="I88" i="1"/>
  <c r="H89" i="1"/>
  <c r="I89" i="1"/>
  <c r="H90" i="1"/>
  <c r="I90" i="1"/>
  <c r="H91" i="1"/>
  <c r="I91" i="1"/>
  <c r="H92" i="1"/>
  <c r="I92" i="1"/>
  <c r="H93" i="1"/>
  <c r="I93" i="1"/>
  <c r="H94" i="1"/>
  <c r="I94" i="1"/>
  <c r="H95" i="1"/>
  <c r="I95" i="1"/>
  <c r="H96" i="1"/>
  <c r="I96" i="1"/>
  <c r="H97" i="1"/>
  <c r="I97" i="1"/>
  <c r="H98" i="1"/>
  <c r="I98" i="1"/>
  <c r="H99" i="1"/>
  <c r="I99" i="1"/>
  <c r="H100" i="1"/>
  <c r="I100" i="1"/>
  <c r="H101" i="1"/>
  <c r="I101" i="1"/>
  <c r="H102" i="1"/>
  <c r="I102" i="1"/>
  <c r="H103" i="1"/>
  <c r="I103" i="1"/>
  <c r="H104" i="1"/>
  <c r="I104" i="1"/>
  <c r="H105" i="1"/>
  <c r="I105" i="1"/>
  <c r="H106" i="1"/>
  <c r="I106" i="1"/>
  <c r="H107" i="1"/>
  <c r="I107" i="1"/>
  <c r="H108" i="1"/>
  <c r="I108" i="1"/>
  <c r="H109" i="1"/>
  <c r="I109" i="1"/>
  <c r="H110" i="1"/>
  <c r="I110" i="1"/>
  <c r="H111" i="1"/>
  <c r="I111" i="1"/>
  <c r="H112" i="1"/>
  <c r="I112" i="1"/>
  <c r="H113" i="1"/>
  <c r="I113" i="1"/>
  <c r="I4" i="1"/>
  <c r="H4" i="1"/>
  <c r="F6" i="1"/>
  <c r="G6" i="1"/>
  <c r="J6" i="1"/>
  <c r="K6" i="1"/>
  <c r="L6" i="1"/>
  <c r="F7" i="1"/>
  <c r="G7" i="1"/>
  <c r="J7" i="1"/>
  <c r="K7" i="1"/>
  <c r="L7" i="1"/>
  <c r="F8" i="1"/>
  <c r="G8" i="1"/>
  <c r="J8" i="1"/>
  <c r="K8" i="1"/>
  <c r="L8" i="1"/>
  <c r="F9" i="1"/>
  <c r="G9" i="1"/>
  <c r="J9" i="1"/>
  <c r="K9" i="1"/>
  <c r="L9" i="1"/>
  <c r="F10" i="1"/>
  <c r="G10" i="1"/>
  <c r="J10" i="1"/>
  <c r="K10" i="1"/>
  <c r="L10" i="1"/>
  <c r="F11" i="1"/>
  <c r="G11" i="1"/>
  <c r="J11" i="1"/>
  <c r="K11" i="1"/>
  <c r="L11" i="1"/>
  <c r="F12" i="1"/>
  <c r="G12" i="1"/>
  <c r="J12" i="1"/>
  <c r="K12" i="1"/>
  <c r="L12" i="1"/>
  <c r="F13" i="1"/>
  <c r="G13" i="1"/>
  <c r="J13" i="1"/>
  <c r="K13" i="1"/>
  <c r="L13" i="1"/>
  <c r="F14" i="1"/>
  <c r="G14" i="1"/>
  <c r="J14" i="1"/>
  <c r="K14" i="1"/>
  <c r="L14" i="1"/>
  <c r="F15" i="1"/>
  <c r="G15" i="1"/>
  <c r="J15" i="1"/>
  <c r="K15" i="1"/>
  <c r="L15" i="1"/>
  <c r="F16" i="1"/>
  <c r="G16" i="1"/>
  <c r="J16" i="1"/>
  <c r="K16" i="1"/>
  <c r="L16" i="1"/>
  <c r="F17" i="1"/>
  <c r="G17" i="1"/>
  <c r="J17" i="1"/>
  <c r="K17" i="1"/>
  <c r="L17" i="1"/>
  <c r="F18" i="1"/>
  <c r="G18" i="1"/>
  <c r="J18" i="1"/>
  <c r="K18" i="1"/>
  <c r="L18" i="1"/>
  <c r="F19" i="1"/>
  <c r="G19" i="1"/>
  <c r="J19" i="1"/>
  <c r="K19" i="1"/>
  <c r="L19" i="1"/>
  <c r="F20" i="1"/>
  <c r="G20" i="1"/>
  <c r="J20" i="1"/>
  <c r="K20" i="1"/>
  <c r="L20" i="1"/>
  <c r="F21" i="1"/>
  <c r="G21" i="1"/>
  <c r="J21" i="1"/>
  <c r="K21" i="1"/>
  <c r="L21" i="1"/>
  <c r="F22" i="1"/>
  <c r="G22" i="1"/>
  <c r="J22" i="1"/>
  <c r="K22" i="1"/>
  <c r="L22" i="1"/>
  <c r="F23" i="1"/>
  <c r="G23" i="1"/>
  <c r="J23" i="1"/>
  <c r="K23" i="1"/>
  <c r="L23" i="1"/>
  <c r="F24" i="1"/>
  <c r="G24" i="1"/>
  <c r="J24" i="1"/>
  <c r="K24" i="1"/>
  <c r="L24" i="1"/>
  <c r="F25" i="1"/>
  <c r="G25" i="1"/>
  <c r="J25" i="1"/>
  <c r="K25" i="1"/>
  <c r="L25" i="1"/>
  <c r="F26" i="1"/>
  <c r="G26" i="1"/>
  <c r="J26" i="1"/>
  <c r="K26" i="1"/>
  <c r="L26" i="1"/>
  <c r="F27" i="1"/>
  <c r="G27" i="1"/>
  <c r="J27" i="1"/>
  <c r="K27" i="1"/>
  <c r="L27" i="1"/>
  <c r="F28" i="1"/>
  <c r="G28" i="1"/>
  <c r="J28" i="1"/>
  <c r="K28" i="1"/>
  <c r="L28" i="1"/>
  <c r="F29" i="1"/>
  <c r="G29" i="1"/>
  <c r="J29" i="1"/>
  <c r="K29" i="1"/>
  <c r="L29" i="1"/>
  <c r="F30" i="1"/>
  <c r="G30" i="1"/>
  <c r="J30" i="1"/>
  <c r="K30" i="1"/>
  <c r="L30" i="1"/>
  <c r="F31" i="1"/>
  <c r="G31" i="1"/>
  <c r="J31" i="1"/>
  <c r="K31" i="1"/>
  <c r="L31" i="1"/>
  <c r="F32" i="1"/>
  <c r="G32" i="1"/>
  <c r="J32" i="1"/>
  <c r="K32" i="1"/>
  <c r="L32" i="1"/>
  <c r="F33" i="1"/>
  <c r="G33" i="1"/>
  <c r="J33" i="1"/>
  <c r="K33" i="1"/>
  <c r="L33" i="1"/>
  <c r="F34" i="1"/>
  <c r="G34" i="1"/>
  <c r="J34" i="1"/>
  <c r="K34" i="1"/>
  <c r="L34" i="1"/>
  <c r="F35" i="1"/>
  <c r="G35" i="1"/>
  <c r="J35" i="1"/>
  <c r="K35" i="1"/>
  <c r="L35" i="1"/>
  <c r="F36" i="1"/>
  <c r="G36" i="1"/>
  <c r="J36" i="1"/>
  <c r="K36" i="1"/>
  <c r="L36" i="1"/>
  <c r="F37" i="1"/>
  <c r="G37" i="1"/>
  <c r="J37" i="1"/>
  <c r="K37" i="1"/>
  <c r="L37" i="1"/>
  <c r="F38" i="1"/>
  <c r="G38" i="1"/>
  <c r="J38" i="1"/>
  <c r="K38" i="1"/>
  <c r="L38" i="1"/>
  <c r="F39" i="1"/>
  <c r="G39" i="1"/>
  <c r="J39" i="1"/>
  <c r="K39" i="1"/>
  <c r="L39" i="1"/>
  <c r="F40" i="1"/>
  <c r="G40" i="1"/>
  <c r="J40" i="1"/>
  <c r="K40" i="1"/>
  <c r="L40" i="1"/>
  <c r="F41" i="1"/>
  <c r="G41" i="1"/>
  <c r="J41" i="1"/>
  <c r="K41" i="1"/>
  <c r="L41" i="1"/>
  <c r="F42" i="1"/>
  <c r="G42" i="1"/>
  <c r="J42" i="1"/>
  <c r="K42" i="1"/>
  <c r="L42" i="1"/>
  <c r="F43" i="1"/>
  <c r="G43" i="1"/>
  <c r="J43" i="1"/>
  <c r="K43" i="1"/>
  <c r="L43" i="1"/>
  <c r="F44" i="1"/>
  <c r="G44" i="1"/>
  <c r="J44" i="1"/>
  <c r="K44" i="1"/>
  <c r="L44" i="1"/>
  <c r="F45" i="1"/>
  <c r="G45" i="1"/>
  <c r="J45" i="1"/>
  <c r="K45" i="1"/>
  <c r="L45" i="1"/>
  <c r="F46" i="1"/>
  <c r="G46" i="1"/>
  <c r="J46" i="1"/>
  <c r="K46" i="1"/>
  <c r="L46" i="1"/>
  <c r="F47" i="1"/>
  <c r="G47" i="1"/>
  <c r="J47" i="1"/>
  <c r="K47" i="1"/>
  <c r="L47" i="1"/>
  <c r="F48" i="1"/>
  <c r="G48" i="1"/>
  <c r="J48" i="1"/>
  <c r="K48" i="1"/>
  <c r="L48" i="1"/>
  <c r="F49" i="1"/>
  <c r="G49" i="1"/>
  <c r="J49" i="1"/>
  <c r="K49" i="1"/>
  <c r="L49" i="1"/>
  <c r="F50" i="1"/>
  <c r="G50" i="1"/>
  <c r="J50" i="1"/>
  <c r="K50" i="1"/>
  <c r="L50" i="1"/>
  <c r="F51" i="1"/>
  <c r="G51" i="1"/>
  <c r="J51" i="1"/>
  <c r="K51" i="1"/>
  <c r="L51" i="1"/>
  <c r="F52" i="1"/>
  <c r="G52" i="1"/>
  <c r="J52" i="1"/>
  <c r="K52" i="1"/>
  <c r="L52" i="1"/>
  <c r="F53" i="1"/>
  <c r="G53" i="1"/>
  <c r="J53" i="1"/>
  <c r="K53" i="1"/>
  <c r="L53" i="1"/>
  <c r="F54" i="1"/>
  <c r="G54" i="1"/>
  <c r="J54" i="1"/>
  <c r="K54" i="1"/>
  <c r="L54" i="1"/>
  <c r="F55" i="1"/>
  <c r="G55" i="1"/>
  <c r="J55" i="1"/>
  <c r="K55" i="1"/>
  <c r="L55" i="1"/>
  <c r="F56" i="1"/>
  <c r="G56" i="1"/>
  <c r="J56" i="1"/>
  <c r="K56" i="1"/>
  <c r="L56" i="1"/>
  <c r="F57" i="1"/>
  <c r="G57" i="1"/>
  <c r="J57" i="1"/>
  <c r="K57" i="1"/>
  <c r="L57" i="1"/>
  <c r="F58" i="1"/>
  <c r="G58" i="1"/>
  <c r="J58" i="1"/>
  <c r="K58" i="1"/>
  <c r="L58" i="1"/>
  <c r="F59" i="1"/>
  <c r="G59" i="1"/>
  <c r="J59" i="1"/>
  <c r="K59" i="1"/>
  <c r="L59" i="1"/>
  <c r="F60" i="1"/>
  <c r="G60" i="1"/>
  <c r="J60" i="1"/>
  <c r="K60" i="1"/>
  <c r="L60" i="1"/>
  <c r="F61" i="1"/>
  <c r="G61" i="1"/>
  <c r="J61" i="1"/>
  <c r="K61" i="1"/>
  <c r="L61" i="1"/>
  <c r="F62" i="1"/>
  <c r="G62" i="1"/>
  <c r="J62" i="1"/>
  <c r="K62" i="1"/>
  <c r="L62" i="1"/>
  <c r="F63" i="1"/>
  <c r="G63" i="1"/>
  <c r="J63" i="1"/>
  <c r="K63" i="1"/>
  <c r="L63" i="1"/>
  <c r="F64" i="1"/>
  <c r="G64" i="1"/>
  <c r="J64" i="1"/>
  <c r="K64" i="1"/>
  <c r="L64" i="1"/>
  <c r="F65" i="1"/>
  <c r="G65" i="1"/>
  <c r="J65" i="1"/>
  <c r="K65" i="1"/>
  <c r="L65" i="1"/>
  <c r="F66" i="1"/>
  <c r="G66" i="1"/>
  <c r="J66" i="1"/>
  <c r="K66" i="1"/>
  <c r="L66" i="1"/>
  <c r="F67" i="1"/>
  <c r="G67" i="1"/>
  <c r="J67" i="1"/>
  <c r="K67" i="1"/>
  <c r="L67" i="1"/>
  <c r="F68" i="1"/>
  <c r="G68" i="1"/>
  <c r="J68" i="1"/>
  <c r="K68" i="1"/>
  <c r="L68" i="1"/>
  <c r="F69" i="1"/>
  <c r="G69" i="1"/>
  <c r="J69" i="1"/>
  <c r="K69" i="1"/>
  <c r="L69" i="1"/>
  <c r="F70" i="1"/>
  <c r="G70" i="1"/>
  <c r="J70" i="1"/>
  <c r="K70" i="1"/>
  <c r="L70" i="1"/>
  <c r="F71" i="1"/>
  <c r="G71" i="1"/>
  <c r="J71" i="1"/>
  <c r="K71" i="1"/>
  <c r="L71" i="1"/>
  <c r="F72" i="1"/>
  <c r="G72" i="1"/>
  <c r="J72" i="1"/>
  <c r="K72" i="1"/>
  <c r="L72" i="1"/>
  <c r="F73" i="1"/>
  <c r="G73" i="1"/>
  <c r="J73" i="1"/>
  <c r="K73" i="1"/>
  <c r="L73" i="1"/>
  <c r="F74" i="1"/>
  <c r="G74" i="1"/>
  <c r="J74" i="1"/>
  <c r="K74" i="1"/>
  <c r="L74" i="1"/>
  <c r="F75" i="1"/>
  <c r="G75" i="1"/>
  <c r="J75" i="1"/>
  <c r="K75" i="1"/>
  <c r="L75" i="1"/>
  <c r="F76" i="1"/>
  <c r="G76" i="1"/>
  <c r="J76" i="1"/>
  <c r="K76" i="1"/>
  <c r="L76" i="1"/>
  <c r="F77" i="1"/>
  <c r="G77" i="1"/>
  <c r="J77" i="1"/>
  <c r="K77" i="1"/>
  <c r="L77" i="1"/>
  <c r="F78" i="1"/>
  <c r="G78" i="1"/>
  <c r="J78" i="1"/>
  <c r="K78" i="1"/>
  <c r="L78" i="1"/>
  <c r="F79" i="1"/>
  <c r="G79" i="1"/>
  <c r="J79" i="1"/>
  <c r="K79" i="1"/>
  <c r="L79" i="1"/>
  <c r="F80" i="1"/>
  <c r="G80" i="1"/>
  <c r="J80" i="1"/>
  <c r="K80" i="1"/>
  <c r="L80" i="1"/>
  <c r="F81" i="1"/>
  <c r="G81" i="1"/>
  <c r="J81" i="1"/>
  <c r="K81" i="1"/>
  <c r="L81" i="1"/>
  <c r="F82" i="1"/>
  <c r="G82" i="1"/>
  <c r="J82" i="1"/>
  <c r="K82" i="1"/>
  <c r="L82" i="1"/>
  <c r="F83" i="1"/>
  <c r="G83" i="1"/>
  <c r="J83" i="1"/>
  <c r="K83" i="1"/>
  <c r="L83" i="1"/>
  <c r="F84" i="1"/>
  <c r="G84" i="1"/>
  <c r="J84" i="1"/>
  <c r="K84" i="1"/>
  <c r="L84" i="1"/>
  <c r="F85" i="1"/>
  <c r="G85" i="1"/>
  <c r="J85" i="1"/>
  <c r="K85" i="1"/>
  <c r="L85" i="1"/>
  <c r="F86" i="1"/>
  <c r="G86" i="1"/>
  <c r="J86" i="1"/>
  <c r="K86" i="1"/>
  <c r="L86" i="1"/>
  <c r="F87" i="1"/>
  <c r="G87" i="1"/>
  <c r="J87" i="1"/>
  <c r="K87" i="1"/>
  <c r="L87" i="1"/>
  <c r="F88" i="1"/>
  <c r="G88" i="1"/>
  <c r="J88" i="1"/>
  <c r="K88" i="1"/>
  <c r="L88" i="1"/>
  <c r="F89" i="1"/>
  <c r="G89" i="1"/>
  <c r="J89" i="1"/>
  <c r="K89" i="1"/>
  <c r="L89" i="1"/>
  <c r="F90" i="1"/>
  <c r="G90" i="1"/>
  <c r="J90" i="1"/>
  <c r="K90" i="1"/>
  <c r="L90" i="1"/>
  <c r="F91" i="1"/>
  <c r="G91" i="1"/>
  <c r="J91" i="1"/>
  <c r="K91" i="1"/>
  <c r="L91" i="1"/>
  <c r="F92" i="1"/>
  <c r="G92" i="1"/>
  <c r="J92" i="1"/>
  <c r="K92" i="1"/>
  <c r="L92" i="1"/>
  <c r="F93" i="1"/>
  <c r="G93" i="1"/>
  <c r="J93" i="1"/>
  <c r="K93" i="1"/>
  <c r="L93" i="1"/>
  <c r="F94" i="1"/>
  <c r="G94" i="1"/>
  <c r="J94" i="1"/>
  <c r="K94" i="1"/>
  <c r="L94" i="1"/>
  <c r="F95" i="1"/>
  <c r="G95" i="1"/>
  <c r="J95" i="1"/>
  <c r="K95" i="1"/>
  <c r="L95" i="1"/>
  <c r="F96" i="1"/>
  <c r="G96" i="1"/>
  <c r="J96" i="1"/>
  <c r="K96" i="1"/>
  <c r="L96" i="1"/>
  <c r="F97" i="1"/>
  <c r="G97" i="1"/>
  <c r="J97" i="1"/>
  <c r="K97" i="1"/>
  <c r="L97" i="1"/>
  <c r="F98" i="1"/>
  <c r="G98" i="1"/>
  <c r="J98" i="1"/>
  <c r="K98" i="1"/>
  <c r="L98" i="1"/>
  <c r="F99" i="1"/>
  <c r="G99" i="1"/>
  <c r="J99" i="1"/>
  <c r="K99" i="1"/>
  <c r="L99" i="1"/>
  <c r="F100" i="1"/>
  <c r="G100" i="1"/>
  <c r="J100" i="1"/>
  <c r="K100" i="1"/>
  <c r="L100" i="1"/>
  <c r="F101" i="1"/>
  <c r="G101" i="1"/>
  <c r="J101" i="1"/>
  <c r="K101" i="1"/>
  <c r="L101" i="1"/>
  <c r="F102" i="1"/>
  <c r="G102" i="1"/>
  <c r="J102" i="1"/>
  <c r="K102" i="1"/>
  <c r="L102" i="1"/>
  <c r="F103" i="1"/>
  <c r="G103" i="1"/>
  <c r="J103" i="1"/>
  <c r="K103" i="1"/>
  <c r="L103" i="1"/>
  <c r="F104" i="1"/>
  <c r="G104" i="1"/>
  <c r="J104" i="1"/>
  <c r="K104" i="1"/>
  <c r="L104" i="1"/>
  <c r="F105" i="1"/>
  <c r="G105" i="1"/>
  <c r="J105" i="1"/>
  <c r="K105" i="1"/>
  <c r="L105" i="1"/>
  <c r="F106" i="1"/>
  <c r="G106" i="1"/>
  <c r="J106" i="1"/>
  <c r="K106" i="1"/>
  <c r="L106" i="1"/>
  <c r="F107" i="1"/>
  <c r="G107" i="1"/>
  <c r="J107" i="1"/>
  <c r="K107" i="1"/>
  <c r="L107" i="1"/>
  <c r="F108" i="1"/>
  <c r="G108" i="1"/>
  <c r="J108" i="1"/>
  <c r="K108" i="1"/>
  <c r="L108" i="1"/>
  <c r="F109" i="1"/>
  <c r="G109" i="1"/>
  <c r="J109" i="1"/>
  <c r="K109" i="1"/>
  <c r="L109" i="1"/>
  <c r="F110" i="1"/>
  <c r="G110" i="1"/>
  <c r="J110" i="1"/>
  <c r="K110" i="1"/>
  <c r="L110" i="1"/>
  <c r="F111" i="1"/>
  <c r="G111" i="1"/>
  <c r="J111" i="1"/>
  <c r="K111" i="1"/>
  <c r="L111" i="1"/>
  <c r="F112" i="1"/>
  <c r="G112" i="1"/>
  <c r="J112" i="1"/>
  <c r="K112" i="1"/>
  <c r="L112" i="1"/>
  <c r="F113" i="1"/>
  <c r="G113" i="1"/>
  <c r="J113" i="1"/>
  <c r="K113" i="1"/>
  <c r="L113" i="1"/>
  <c r="L5" i="1"/>
  <c r="K5" i="1"/>
  <c r="J5" i="1"/>
  <c r="G5" i="1"/>
  <c r="F5" i="1"/>
  <c r="G4" i="1"/>
  <c r="K4" i="1"/>
  <c r="L4" i="1"/>
  <c r="J4" i="1"/>
  <c r="F4" i="1"/>
  <c r="EC113" i="1"/>
  <c r="CQ113" i="1"/>
  <c r="CB113" i="1"/>
  <c r="AF113" i="1"/>
  <c r="EC112" i="1"/>
  <c r="CQ112" i="1"/>
  <c r="CB112" i="1"/>
  <c r="AF112" i="1"/>
  <c r="EC111" i="1"/>
  <c r="CQ111" i="1"/>
  <c r="CB111" i="1"/>
  <c r="AF111" i="1"/>
  <c r="EC110" i="1"/>
  <c r="CQ110" i="1"/>
  <c r="CB110" i="1"/>
  <c r="AF110" i="1"/>
  <c r="EC109" i="1"/>
  <c r="CQ109" i="1"/>
  <c r="CB109" i="1"/>
  <c r="AF109" i="1"/>
  <c r="EC108" i="1"/>
  <c r="CQ108" i="1"/>
  <c r="CB108" i="1"/>
  <c r="AF108" i="1"/>
  <c r="EC107" i="1"/>
  <c r="CQ107" i="1"/>
  <c r="CB107" i="1"/>
  <c r="AF107" i="1"/>
  <c r="EC106" i="1"/>
  <c r="CQ106" i="1"/>
  <c r="CB106" i="1"/>
  <c r="AF106" i="1"/>
  <c r="EC105" i="1"/>
  <c r="CQ105" i="1"/>
  <c r="CB105" i="1"/>
  <c r="AF105" i="1"/>
  <c r="EC104" i="1"/>
  <c r="CQ104" i="1"/>
  <c r="CB104" i="1"/>
  <c r="AF104" i="1"/>
  <c r="EC103" i="1"/>
  <c r="CQ103" i="1"/>
  <c r="CB103" i="1"/>
  <c r="AF103" i="1"/>
  <c r="EC102" i="1"/>
  <c r="CQ102" i="1"/>
  <c r="CB102" i="1"/>
  <c r="AF102" i="1"/>
  <c r="EC101" i="1"/>
  <c r="CQ101" i="1"/>
  <c r="CB101" i="1"/>
  <c r="AF101" i="1"/>
  <c r="EC100" i="1"/>
  <c r="CQ100" i="1"/>
  <c r="CB100" i="1"/>
  <c r="AF100" i="1"/>
  <c r="EC99" i="1"/>
  <c r="CQ99" i="1"/>
  <c r="CB99" i="1"/>
  <c r="AF99" i="1"/>
  <c r="EC98" i="1"/>
  <c r="CQ98" i="1"/>
  <c r="CB98" i="1"/>
  <c r="AF98" i="1"/>
  <c r="EC97" i="1"/>
  <c r="CQ97" i="1"/>
  <c r="CB97" i="1"/>
  <c r="AF97" i="1"/>
  <c r="EC96" i="1"/>
  <c r="CQ96" i="1"/>
  <c r="CB96" i="1"/>
  <c r="AF96" i="1"/>
  <c r="EC95" i="1"/>
  <c r="CQ95" i="1"/>
  <c r="CB95" i="1"/>
  <c r="AF95" i="1"/>
  <c r="EC94" i="1"/>
  <c r="CQ94" i="1"/>
  <c r="CB94" i="1"/>
  <c r="AF94" i="1"/>
  <c r="EC93" i="1"/>
  <c r="CQ93" i="1"/>
  <c r="CB93" i="1"/>
  <c r="AF93" i="1"/>
  <c r="EC92" i="1"/>
  <c r="CQ92" i="1"/>
  <c r="CB92" i="1"/>
  <c r="AF92" i="1"/>
  <c r="EC91" i="1"/>
  <c r="CQ91" i="1"/>
  <c r="CB91" i="1"/>
  <c r="AF91" i="1"/>
  <c r="EC90" i="1"/>
  <c r="CQ90" i="1"/>
  <c r="CB90" i="1"/>
  <c r="AF90" i="1"/>
  <c r="EC89" i="1"/>
  <c r="CQ89" i="1"/>
  <c r="CB89" i="1"/>
  <c r="AF89" i="1"/>
  <c r="EC88" i="1"/>
  <c r="CQ88" i="1"/>
  <c r="CB88" i="1"/>
  <c r="AF88" i="1"/>
  <c r="EC87" i="1"/>
  <c r="CQ87" i="1"/>
  <c r="CB87" i="1"/>
  <c r="AF87" i="1"/>
  <c r="EC86" i="1"/>
  <c r="CQ86" i="1"/>
  <c r="CB86" i="1"/>
  <c r="AF86" i="1"/>
  <c r="EC85" i="1"/>
  <c r="CQ85" i="1"/>
  <c r="CB85" i="1"/>
  <c r="AF85" i="1"/>
  <c r="EC84" i="1"/>
  <c r="CQ84" i="1"/>
  <c r="CB84" i="1"/>
  <c r="AF84" i="1"/>
  <c r="EC83" i="1"/>
  <c r="CQ83" i="1"/>
  <c r="CB83" i="1"/>
  <c r="AF83" i="1"/>
  <c r="EC82" i="1"/>
  <c r="CQ82" i="1"/>
  <c r="CB82" i="1"/>
  <c r="AF82" i="1"/>
  <c r="EC81" i="1"/>
  <c r="CQ81" i="1"/>
  <c r="CB81" i="1"/>
  <c r="AF81" i="1"/>
  <c r="EC80" i="1"/>
  <c r="CQ80" i="1"/>
  <c r="CB80" i="1"/>
  <c r="AF80" i="1"/>
  <c r="EC79" i="1"/>
  <c r="CQ79" i="1"/>
  <c r="CB79" i="1"/>
  <c r="AF79" i="1"/>
  <c r="EC78" i="1"/>
  <c r="CQ78" i="1"/>
  <c r="CB78" i="1"/>
  <c r="AF78" i="1"/>
  <c r="EC77" i="1"/>
  <c r="CQ77" i="1"/>
  <c r="CB77" i="1"/>
  <c r="AF77" i="1"/>
  <c r="EC76" i="1"/>
  <c r="CQ76" i="1"/>
  <c r="CB76" i="1"/>
  <c r="AF76" i="1"/>
  <c r="EC75" i="1"/>
  <c r="CQ75" i="1"/>
  <c r="CB75" i="1"/>
  <c r="AF75" i="1"/>
  <c r="EC74" i="1"/>
  <c r="CQ74" i="1"/>
  <c r="CB74" i="1"/>
  <c r="AF74" i="1"/>
  <c r="EC73" i="1"/>
  <c r="CQ73" i="1"/>
  <c r="CB73" i="1"/>
  <c r="AF73" i="1"/>
  <c r="EC72" i="1"/>
  <c r="CQ72" i="1"/>
  <c r="CB72" i="1"/>
  <c r="AF72" i="1"/>
  <c r="EC71" i="1"/>
  <c r="CQ71" i="1"/>
  <c r="CB71" i="1"/>
  <c r="AF71" i="1"/>
  <c r="EC70" i="1"/>
  <c r="CQ70" i="1"/>
  <c r="CB70" i="1"/>
  <c r="AF70" i="1"/>
  <c r="EC69" i="1"/>
  <c r="CQ69" i="1"/>
  <c r="CB69" i="1"/>
  <c r="AF69" i="1"/>
  <c r="EC68" i="1"/>
  <c r="CQ68" i="1"/>
  <c r="CB68" i="1"/>
  <c r="AF68" i="1"/>
  <c r="EC67" i="1"/>
  <c r="CQ67" i="1"/>
  <c r="CB67" i="1"/>
  <c r="AF67" i="1"/>
  <c r="EC66" i="1"/>
  <c r="CQ66" i="1"/>
  <c r="CB66" i="1"/>
  <c r="AF66" i="1"/>
  <c r="EC65" i="1"/>
  <c r="CQ65" i="1"/>
  <c r="CB65" i="1"/>
  <c r="AF65" i="1"/>
  <c r="EC64" i="1"/>
  <c r="CQ64" i="1"/>
  <c r="CB64" i="1"/>
  <c r="AF64" i="1"/>
  <c r="EC63" i="1"/>
  <c r="CQ63" i="1"/>
  <c r="CB63" i="1"/>
  <c r="AF63" i="1"/>
  <c r="EC62" i="1"/>
  <c r="CB62" i="1"/>
  <c r="AF62" i="1"/>
  <c r="EC61" i="1"/>
  <c r="CB61" i="1"/>
  <c r="EC60" i="1"/>
  <c r="CB60" i="1"/>
  <c r="AF60" i="1"/>
  <c r="EC59" i="1"/>
  <c r="CB59" i="1"/>
  <c r="AF59" i="1"/>
  <c r="EC58" i="1"/>
  <c r="CB58" i="1"/>
  <c r="AF58" i="1"/>
  <c r="EC57" i="1"/>
  <c r="CB57" i="1"/>
  <c r="AF57" i="1"/>
  <c r="EC56" i="1"/>
  <c r="CB56" i="1"/>
  <c r="AF56" i="1"/>
  <c r="EC55" i="1"/>
  <c r="CB55" i="1"/>
  <c r="AF55" i="1"/>
  <c r="EC54" i="1"/>
  <c r="CB54" i="1"/>
  <c r="AF54" i="1"/>
  <c r="EC53" i="1"/>
  <c r="CB53" i="1"/>
  <c r="EC52" i="1"/>
  <c r="CB52" i="1"/>
  <c r="AF52" i="1"/>
  <c r="EC51" i="1"/>
  <c r="CB51" i="1"/>
  <c r="AF51" i="1"/>
  <c r="EC50" i="1"/>
  <c r="CB50" i="1"/>
  <c r="AF50" i="1"/>
  <c r="EC49" i="1"/>
  <c r="CB49" i="1"/>
  <c r="AF49" i="1"/>
  <c r="EC48" i="1"/>
  <c r="CB48" i="1"/>
  <c r="AF48" i="1"/>
  <c r="EC47" i="1"/>
  <c r="CB47" i="1"/>
  <c r="AF47" i="1"/>
  <c r="EC46" i="1"/>
  <c r="CB46" i="1"/>
  <c r="AF46" i="1"/>
  <c r="EC45" i="1"/>
  <c r="CB45" i="1"/>
  <c r="AF45" i="1"/>
  <c r="EC44" i="1"/>
  <c r="CB44" i="1"/>
  <c r="AF44" i="1"/>
  <c r="EC43" i="1"/>
  <c r="CB43" i="1"/>
  <c r="AF43" i="1"/>
  <c r="EC42" i="1"/>
  <c r="CB42" i="1"/>
  <c r="AF42" i="1"/>
  <c r="EC41" i="1"/>
  <c r="CB41" i="1"/>
  <c r="AF41" i="1"/>
  <c r="EC40" i="1"/>
  <c r="CB40" i="1"/>
  <c r="AF40" i="1"/>
  <c r="EC39" i="1"/>
  <c r="CB39" i="1"/>
  <c r="EC38" i="1"/>
  <c r="CB38" i="1"/>
  <c r="AF38" i="1"/>
  <c r="EC37" i="1"/>
  <c r="CB37" i="1"/>
  <c r="EC36" i="1"/>
  <c r="CB36" i="1"/>
  <c r="AF36" i="1"/>
  <c r="EC35" i="1"/>
  <c r="CB35" i="1"/>
  <c r="EC34" i="1"/>
  <c r="CB34" i="1"/>
  <c r="AF34" i="1"/>
  <c r="EC33" i="1"/>
  <c r="CB33" i="1"/>
  <c r="AE33" i="1"/>
  <c r="EC32" i="1"/>
  <c r="CB32" i="1"/>
  <c r="AE32" i="1"/>
  <c r="EC31" i="1"/>
  <c r="CB31" i="1"/>
  <c r="AF31" i="1"/>
  <c r="EC30" i="1"/>
  <c r="CB30" i="1"/>
  <c r="AE30" i="1"/>
  <c r="EC29" i="1"/>
  <c r="CB29" i="1"/>
  <c r="AE29" i="1"/>
  <c r="EC28" i="1"/>
  <c r="CB28" i="1"/>
  <c r="AE28" i="1"/>
  <c r="EC27" i="1"/>
  <c r="CB27" i="1"/>
  <c r="AE27" i="1"/>
  <c r="EC26" i="1"/>
  <c r="CB26" i="1"/>
  <c r="AE26" i="1"/>
  <c r="EC25" i="1"/>
  <c r="CB25" i="1"/>
  <c r="AE25" i="1"/>
  <c r="EC24" i="1"/>
  <c r="CB24" i="1"/>
  <c r="AE24" i="1"/>
  <c r="EC23" i="1"/>
  <c r="CB23" i="1"/>
  <c r="AE23" i="1"/>
  <c r="EC22" i="1"/>
  <c r="CB22" i="1"/>
  <c r="AE22" i="1"/>
  <c r="EC21" i="1"/>
  <c r="CB21" i="1"/>
  <c r="EC20" i="1"/>
  <c r="CB20" i="1"/>
  <c r="EC19" i="1"/>
  <c r="CB19" i="1"/>
  <c r="EC18" i="1"/>
  <c r="CB18" i="1"/>
  <c r="EC17" i="1"/>
  <c r="CB17" i="1"/>
  <c r="EC16" i="1"/>
  <c r="CB16" i="1"/>
  <c r="EC15" i="1"/>
  <c r="CB15" i="1"/>
  <c r="EC14" i="1"/>
  <c r="CB14" i="1"/>
  <c r="EC13" i="1"/>
  <c r="CB13" i="1"/>
  <c r="EC12" i="1"/>
  <c r="CB12" i="1"/>
  <c r="EC11" i="1"/>
  <c r="CB11" i="1"/>
  <c r="EC10" i="1"/>
  <c r="CB10" i="1"/>
  <c r="EC9" i="1"/>
  <c r="CB9" i="1"/>
  <c r="EC8" i="1"/>
  <c r="CB8" i="1"/>
  <c r="EC7" i="1"/>
  <c r="CB7" i="1"/>
  <c r="EC6" i="1"/>
  <c r="CB6" i="1"/>
  <c r="EC5" i="1"/>
  <c r="CB5" i="1"/>
  <c r="EC4" i="1"/>
  <c r="CB4" i="1"/>
</calcChain>
</file>

<file path=xl/sharedStrings.xml><?xml version="1.0" encoding="utf-8"?>
<sst xmlns="http://schemas.openxmlformats.org/spreadsheetml/2006/main" count="14077" uniqueCount="233">
  <si>
    <t>name of person entering product data</t>
  </si>
  <si>
    <t>email of person entering product data</t>
  </si>
  <si>
    <t>proxy</t>
  </si>
  <si>
    <t>first_author_last_name</t>
  </si>
  <si>
    <t>publication_year</t>
  </si>
  <si>
    <t>doi</t>
  </si>
  <si>
    <t>age_ka</t>
  </si>
  <si>
    <t>Age_uncertainty_pos_ka</t>
  </si>
  <si>
    <t>Age_uncertainty_neg_ka</t>
  </si>
  <si>
    <t>specify reason for quarantine</t>
  </si>
  <si>
    <t>specify reason for age revision</t>
  </si>
  <si>
    <t>SAMPLE IDENTIFICATION</t>
  </si>
  <si>
    <t>AGE CONSTRAINTS</t>
  </si>
  <si>
    <t>ANALYTICAL SPECIFICATIONS</t>
  </si>
  <si>
    <t>VITAL EFFECT</t>
    <phoneticPr fontId="0" type="noConversion"/>
  </si>
  <si>
    <r>
      <rPr>
        <b/>
        <sz val="12"/>
        <rFont val="Calibri (Body)"/>
      </rPr>
      <t>CALCULATED</t>
    </r>
    <r>
      <rPr>
        <b/>
        <sz val="12"/>
        <rFont val="Symbol"/>
        <charset val="2"/>
      </rPr>
      <t xml:space="preserve"> d</t>
    </r>
    <r>
      <rPr>
        <b/>
        <vertAlign val="superscript"/>
        <sz val="12"/>
        <rFont val="Verdana"/>
        <family val="2"/>
      </rPr>
      <t>11</t>
    </r>
    <r>
      <rPr>
        <b/>
        <sz val="12"/>
        <rFont val="Verdana"/>
        <family val="2"/>
      </rPr>
      <t>B</t>
    </r>
    <r>
      <rPr>
        <b/>
        <vertAlign val="subscript"/>
        <sz val="12"/>
        <rFont val="Verdana"/>
        <family val="2"/>
      </rPr>
      <t>borate</t>
    </r>
  </si>
  <si>
    <t>ACCESSORY INPUTS</t>
  </si>
  <si>
    <t>METHOD OF TEMPERATURE DETERMINATION</t>
  </si>
  <si>
    <t>ALTERNATIVE METHOD OF TEMPERATURE RECONSTRUCTION</t>
  </si>
  <si>
    <t>SEAWATER COMPOSITION</t>
  </si>
  <si>
    <t>AQUEOUS BORON ISOTOPE FRACTIONATION</t>
  </si>
  <si>
    <r>
      <t>PARAMETERIZATION OF CO</t>
    </r>
    <r>
      <rPr>
        <b/>
        <vertAlign val="subscript"/>
        <sz val="12"/>
        <color indexed="8"/>
        <rFont val="Calibri"/>
        <family val="2"/>
      </rPr>
      <t>2</t>
    </r>
    <r>
      <rPr>
        <b/>
        <sz val="12"/>
        <color indexed="8"/>
        <rFont val="Calibri"/>
        <family val="2"/>
      </rPr>
      <t xml:space="preserve"> CALCULATION</t>
    </r>
  </si>
  <si>
    <t>SECOND PARAMETER OF THE CARBONATE SYSTEM</t>
  </si>
  <si>
    <t>CALCULATED PARAMETERS OF THE CARBONATE SYSTEM</t>
  </si>
  <si>
    <t>alternative Age (in case different models are available)</t>
  </si>
  <si>
    <r>
      <rPr>
        <sz val="12"/>
        <rFont val="Symbol"/>
        <charset val="2"/>
      </rPr>
      <t>d</t>
    </r>
    <r>
      <rPr>
        <vertAlign val="superscript"/>
        <sz val="12"/>
        <rFont val="Verdana"/>
        <family val="2"/>
      </rPr>
      <t>11</t>
    </r>
    <r>
      <rPr>
        <sz val="12"/>
        <rFont val="Verdana"/>
        <family val="2"/>
      </rPr>
      <t>B (relative to SRM 951)</t>
    </r>
  </si>
  <si>
    <r>
      <rPr>
        <b/>
        <sz val="12"/>
        <color indexed="8"/>
        <rFont val="Symbol"/>
        <charset val="2"/>
      </rPr>
      <t>d</t>
    </r>
    <r>
      <rPr>
        <b/>
        <vertAlign val="superscript"/>
        <sz val="12"/>
        <color indexed="8"/>
        <rFont val="Verdana"/>
        <family val="2"/>
      </rPr>
      <t>11</t>
    </r>
    <r>
      <rPr>
        <b/>
        <sz val="12"/>
        <color indexed="8"/>
        <rFont val="Verdana"/>
        <family val="2"/>
      </rPr>
      <t>B</t>
    </r>
    <r>
      <rPr>
        <b/>
        <vertAlign val="subscript"/>
        <sz val="12"/>
        <color indexed="8"/>
        <rFont val="Verdana"/>
        <family val="2"/>
      </rPr>
      <t>c</t>
    </r>
    <r>
      <rPr>
        <b/>
        <sz val="12"/>
        <color indexed="8"/>
        <rFont val="Verdana"/>
        <family val="2"/>
      </rPr>
      <t>/</t>
    </r>
    <r>
      <rPr>
        <b/>
        <sz val="12"/>
        <color indexed="8"/>
        <rFont val="Symbol"/>
        <charset val="2"/>
      </rPr>
      <t>d</t>
    </r>
    <r>
      <rPr>
        <b/>
        <vertAlign val="superscript"/>
        <sz val="12"/>
        <color indexed="8"/>
        <rFont val="Verdana"/>
        <family val="2"/>
      </rPr>
      <t>11</t>
    </r>
    <r>
      <rPr>
        <b/>
        <sz val="12"/>
        <color indexed="8"/>
        <rFont val="Verdana"/>
        <family val="2"/>
      </rPr>
      <t>B</t>
    </r>
    <r>
      <rPr>
        <b/>
        <vertAlign val="subscript"/>
        <sz val="12"/>
        <color indexed="8"/>
        <rFont val="Verdana"/>
        <family val="2"/>
      </rPr>
      <t>borate</t>
    </r>
    <r>
      <rPr>
        <b/>
        <sz val="12"/>
        <color indexed="8"/>
        <rFont val="Verdana"/>
        <family val="2"/>
      </rPr>
      <t xml:space="preserve"> calibration slope</t>
    </r>
  </si>
  <si>
    <r>
      <rPr>
        <b/>
        <sz val="12"/>
        <rFont val="Symbol"/>
        <charset val="2"/>
      </rPr>
      <t>d</t>
    </r>
    <r>
      <rPr>
        <b/>
        <vertAlign val="superscript"/>
        <sz val="12"/>
        <rFont val="Verdana"/>
        <family val="2"/>
      </rPr>
      <t>11</t>
    </r>
    <r>
      <rPr>
        <b/>
        <sz val="12"/>
        <rFont val="Verdana"/>
        <family val="2"/>
      </rPr>
      <t>B</t>
    </r>
    <r>
      <rPr>
        <b/>
        <vertAlign val="subscript"/>
        <sz val="12"/>
        <rFont val="Verdana"/>
        <family val="2"/>
      </rPr>
      <t>c</t>
    </r>
    <r>
      <rPr>
        <b/>
        <sz val="12"/>
        <rFont val="Verdana"/>
        <family val="2"/>
      </rPr>
      <t>/</t>
    </r>
    <r>
      <rPr>
        <b/>
        <sz val="12"/>
        <rFont val="Symbol"/>
        <charset val="2"/>
      </rPr>
      <t>d</t>
    </r>
    <r>
      <rPr>
        <b/>
        <vertAlign val="superscript"/>
        <sz val="12"/>
        <rFont val="Verdana"/>
        <family val="2"/>
      </rPr>
      <t>11</t>
    </r>
    <r>
      <rPr>
        <b/>
        <sz val="12"/>
        <rFont val="Verdana"/>
        <family val="2"/>
      </rPr>
      <t>B</t>
    </r>
    <r>
      <rPr>
        <b/>
        <vertAlign val="subscript"/>
        <sz val="12"/>
        <rFont val="Verdana"/>
        <family val="2"/>
      </rPr>
      <t>borate</t>
    </r>
    <r>
      <rPr>
        <b/>
        <sz val="12"/>
        <rFont val="Verdana"/>
        <family val="2"/>
      </rPr>
      <t xml:space="preserve"> calibration intercept</t>
    </r>
  </si>
  <si>
    <t>pressure (i.e. depth of foraminifer habitat)</t>
  </si>
  <si>
    <t xml:space="preserve">Temperature </t>
  </si>
  <si>
    <t xml:space="preserve"> Mg/Ca</t>
  </si>
  <si>
    <t>e.g., Alkenone UK'37, TEX 86</t>
  </si>
  <si>
    <t>Salinity</t>
  </si>
  <si>
    <t>[Ca] of seawater at S=35</t>
  </si>
  <si>
    <t>[Mg] of seawater at S=35</t>
  </si>
  <si>
    <t>[SO4] of seawater at S=35</t>
  </si>
  <si>
    <r>
      <t>[B]</t>
    </r>
    <r>
      <rPr>
        <b/>
        <vertAlign val="subscript"/>
        <sz val="12"/>
        <rFont val="Verdana"/>
        <family val="2"/>
      </rPr>
      <t>T</t>
    </r>
    <r>
      <rPr>
        <b/>
        <sz val="12"/>
        <rFont val="Verdana"/>
        <family val="2"/>
      </rPr>
      <t xml:space="preserve"> of seawater at S=35</t>
    </r>
  </si>
  <si>
    <r>
      <rPr>
        <b/>
        <sz val="12"/>
        <color indexed="8"/>
        <rFont val="Symbol"/>
        <charset val="2"/>
      </rPr>
      <t>d</t>
    </r>
    <r>
      <rPr>
        <b/>
        <vertAlign val="superscript"/>
        <sz val="12"/>
        <color indexed="8"/>
        <rFont val="Calibri"/>
        <family val="2"/>
      </rPr>
      <t>11</t>
    </r>
    <r>
      <rPr>
        <b/>
        <sz val="12"/>
        <color indexed="8"/>
        <rFont val="Calibri"/>
        <family val="2"/>
      </rPr>
      <t>B</t>
    </r>
    <r>
      <rPr>
        <b/>
        <vertAlign val="subscript"/>
        <sz val="12"/>
        <color indexed="8"/>
        <rFont val="Calibri"/>
        <family val="2"/>
      </rPr>
      <t>sw</t>
    </r>
  </si>
  <si>
    <t>pKB</t>
  </si>
  <si>
    <r>
      <rPr>
        <b/>
        <sz val="12"/>
        <rFont val="Symbol"/>
        <charset val="2"/>
      </rPr>
      <t>a</t>
    </r>
    <r>
      <rPr>
        <b/>
        <vertAlign val="subscript"/>
        <sz val="12"/>
        <rFont val="Verdana"/>
        <family val="2"/>
      </rPr>
      <t>B3-B4</t>
    </r>
    <r>
      <rPr>
        <b/>
        <sz val="12"/>
        <rFont val="Verdana"/>
        <family val="2"/>
      </rPr>
      <t xml:space="preserve"> </t>
    </r>
  </si>
  <si>
    <t>if applicable</t>
  </si>
  <si>
    <t>Reference of the data product</t>
  </si>
  <si>
    <t>DOI link to reference</t>
  </si>
  <si>
    <t>Site (DSDP/ODP/IODP or other site number)</t>
  </si>
  <si>
    <t>Hole</t>
  </si>
  <si>
    <t>Core</t>
  </si>
  <si>
    <t>Section</t>
  </si>
  <si>
    <t>top cm</t>
  </si>
  <si>
    <t>bottom cm</t>
  </si>
  <si>
    <r>
      <t>core depth below seafloor (meters, specify CSF-A or CSF-B where applicable, original IODP record)</t>
    </r>
    <r>
      <rPr>
        <vertAlign val="superscript"/>
        <sz val="12"/>
        <rFont val="Verdana"/>
        <family val="2"/>
      </rPr>
      <t>a</t>
    </r>
  </si>
  <si>
    <r>
      <t>core composite depth below seafloor (meters, CCSF)</t>
    </r>
    <r>
      <rPr>
        <vertAlign val="superscript"/>
        <sz val="12"/>
        <rFont val="Verdana"/>
        <family val="2"/>
      </rPr>
      <t>a</t>
    </r>
  </si>
  <si>
    <t>reference for composite depth</t>
  </si>
  <si>
    <t>Location (e.g., Atlantic, Carribbean, South China Sea etc.)</t>
  </si>
  <si>
    <t>Modern Latitude (decimal degree, south negative)</t>
  </si>
  <si>
    <t>Modern Longitude (decimal degree, west negative)</t>
  </si>
  <si>
    <t>Paleo Latitude (decimal degree, south negative)</t>
  </si>
  <si>
    <t>Paleo Longitude (decimal degree, west negative)</t>
  </si>
  <si>
    <t>Modern elevation (m), below sea level negative</t>
  </si>
  <si>
    <t>Paleo elevation (m), below sea level negative</t>
  </si>
  <si>
    <t>reference and Method to determine Paleo position</t>
  </si>
  <si>
    <t>notes about any flags in the studied core section</t>
  </si>
  <si>
    <t>Age (ka)</t>
  </si>
  <si>
    <t>type of uncertainty (e.g., set value, normal distribution, +/- range)</t>
  </si>
  <si>
    <r>
      <t>2</t>
    </r>
    <r>
      <rPr>
        <sz val="12"/>
        <color theme="1"/>
        <rFont val="Symbol"/>
        <charset val="2"/>
      </rPr>
      <t>s</t>
    </r>
    <r>
      <rPr>
        <sz val="11"/>
        <color theme="1"/>
        <rFont val="Calibri"/>
        <family val="2"/>
        <scheme val="minor"/>
      </rPr>
      <t xml:space="preserve"> Age uncertainty pos (ka)</t>
    </r>
  </si>
  <si>
    <r>
      <t>2</t>
    </r>
    <r>
      <rPr>
        <sz val="12"/>
        <color theme="1"/>
        <rFont val="Symbol"/>
        <charset val="2"/>
      </rPr>
      <t>s</t>
    </r>
    <r>
      <rPr>
        <sz val="11"/>
        <color theme="1"/>
        <rFont val="Calibri"/>
        <family val="2"/>
        <scheme val="minor"/>
      </rPr>
      <t xml:space="preserve"> Age uncertainty neg (ka)</t>
    </r>
  </si>
  <si>
    <t>Age Scale (GTS 20XX)</t>
  </si>
  <si>
    <t>age method (nannofossil biostratigraphy, radiolaria, magnetic polarity, radiometric etc.)</t>
  </si>
  <si>
    <t>reference to age model, if different from primary reference of data set</t>
  </si>
  <si>
    <t>foraminifer species analyzed</t>
  </si>
  <si>
    <t>foraminifer size class (µm)</t>
  </si>
  <si>
    <t xml:space="preserve">number of foraminifera shells per sample </t>
  </si>
  <si>
    <t>total sample weight (mg)</t>
  </si>
  <si>
    <t>Reference for sample  cleaning procedure</t>
  </si>
  <si>
    <t>Boron separation method (e.g., column chemistry, microsublimation)</t>
  </si>
  <si>
    <t>analytical Method (e.g., MC-ICP-MS, P-TIMS, N-TIMS etc)</t>
  </si>
  <si>
    <r>
      <rPr>
        <sz val="12"/>
        <rFont val="Symbol"/>
        <charset val="2"/>
      </rPr>
      <t>d</t>
    </r>
    <r>
      <rPr>
        <vertAlign val="superscript"/>
        <sz val="12"/>
        <rFont val="Verdana"/>
        <family val="2"/>
      </rPr>
      <t>11</t>
    </r>
    <r>
      <rPr>
        <sz val="12"/>
        <rFont val="Verdana"/>
        <family val="2"/>
      </rPr>
      <t>B of individual replicate measurements of the same solution; separate by commas</t>
    </r>
  </si>
  <si>
    <t>n of replicate measurements</t>
  </si>
  <si>
    <t>2se of replicates ( [ 2* (sd/sqrt(n))] )</t>
  </si>
  <si>
    <r>
      <rPr>
        <sz val="12"/>
        <color theme="1"/>
        <rFont val="Symbol"/>
        <charset val="2"/>
      </rPr>
      <t>d</t>
    </r>
    <r>
      <rPr>
        <vertAlign val="superscript"/>
        <sz val="12"/>
        <color theme="1"/>
        <rFont val="Verdana"/>
        <family val="2"/>
      </rPr>
      <t>11</t>
    </r>
    <r>
      <rPr>
        <sz val="12"/>
        <color theme="1"/>
        <rFont val="Verdana"/>
        <family val="2"/>
      </rPr>
      <t>B (‰, average of replicates)</t>
    </r>
  </si>
  <si>
    <t>type of uncertainty (e.g., set value, normal distribution, specify whether uncertainty is presented as standard deviation or standard error)</t>
  </si>
  <si>
    <r>
      <t>2</t>
    </r>
    <r>
      <rPr>
        <sz val="12"/>
        <color rgb="FF000000"/>
        <rFont val="Symbol"/>
        <charset val="2"/>
      </rPr>
      <t>s</t>
    </r>
    <r>
      <rPr>
        <sz val="12"/>
        <color rgb="FF000000"/>
        <rFont val="Verdana"/>
        <family val="2"/>
      </rPr>
      <t xml:space="preserve"> uncertainty (report internal or external reproducibility, whichever is larger)</t>
    </r>
  </si>
  <si>
    <t>slope value</t>
  </si>
  <si>
    <t>type of uncertainty (e.g., set value, normal distribution)</t>
  </si>
  <si>
    <r>
      <t>2</t>
    </r>
    <r>
      <rPr>
        <sz val="12"/>
        <color theme="1"/>
        <rFont val="Symbol"/>
        <charset val="2"/>
      </rPr>
      <t xml:space="preserve">s </t>
    </r>
    <r>
      <rPr>
        <sz val="12"/>
        <color theme="1"/>
        <rFont val="Verdana"/>
        <family val="2"/>
      </rPr>
      <t>uncertainty</t>
    </r>
  </si>
  <si>
    <t>intercept value</t>
  </si>
  <si>
    <t>Reference for calibration slope</t>
  </si>
  <si>
    <t>Notes (e.g., shell size corrected?)</t>
  </si>
  <si>
    <r>
      <rPr>
        <sz val="12"/>
        <color theme="1"/>
        <rFont val="Symbol"/>
        <charset val="2"/>
      </rPr>
      <t>d</t>
    </r>
    <r>
      <rPr>
        <vertAlign val="superscript"/>
        <sz val="12"/>
        <color theme="1"/>
        <rFont val="Verdana"/>
        <family val="2"/>
      </rPr>
      <t>11</t>
    </r>
    <r>
      <rPr>
        <sz val="12"/>
        <color theme="1"/>
        <rFont val="Verdana"/>
        <family val="2"/>
      </rPr>
      <t>B</t>
    </r>
    <r>
      <rPr>
        <vertAlign val="subscript"/>
        <sz val="12"/>
        <color theme="1"/>
        <rFont val="Verdana"/>
        <family val="2"/>
      </rPr>
      <t xml:space="preserve">borate </t>
    </r>
    <r>
      <rPr>
        <sz val="12"/>
        <color theme="1"/>
        <rFont val="Verdana"/>
        <family val="2"/>
      </rPr>
      <t>(‰)</t>
    </r>
  </si>
  <si>
    <t>Error propagation method</t>
  </si>
  <si>
    <t>depth habitat (m)</t>
  </si>
  <si>
    <r>
      <t>2</t>
    </r>
    <r>
      <rPr>
        <sz val="12"/>
        <color rgb="FF000000"/>
        <rFont val="Symbol"/>
        <charset val="2"/>
      </rPr>
      <t>s</t>
    </r>
    <r>
      <rPr>
        <sz val="12"/>
        <color rgb="FF000000"/>
        <rFont val="Verdana"/>
        <family val="2"/>
      </rPr>
      <t xml:space="preserve"> uncertainty</t>
    </r>
  </si>
  <si>
    <t>temperature (°C)</t>
  </si>
  <si>
    <r>
      <t>2</t>
    </r>
    <r>
      <rPr>
        <sz val="12"/>
        <color theme="1"/>
        <rFont val="Symbol"/>
        <charset val="2"/>
      </rPr>
      <t>s</t>
    </r>
    <r>
      <rPr>
        <sz val="11"/>
        <color theme="1"/>
        <rFont val="Calibri"/>
        <family val="2"/>
        <scheme val="minor"/>
      </rPr>
      <t xml:space="preserve"> temperature pos (°C)</t>
    </r>
  </si>
  <si>
    <r>
      <t>2</t>
    </r>
    <r>
      <rPr>
        <sz val="12"/>
        <color theme="1"/>
        <rFont val="Symbol"/>
        <charset val="2"/>
      </rPr>
      <t>s</t>
    </r>
    <r>
      <rPr>
        <sz val="11"/>
        <color theme="1"/>
        <rFont val="Calibri"/>
        <family val="2"/>
        <scheme val="minor"/>
      </rPr>
      <t xml:space="preserve"> temperature neg (°C)</t>
    </r>
  </si>
  <si>
    <t>Mg/Ca of individual replicate measurements; separate replicates by commas</t>
  </si>
  <si>
    <t>Mg/Ca  (mmol/mol, average of replicates)</t>
  </si>
  <si>
    <r>
      <t>2</t>
    </r>
    <r>
      <rPr>
        <sz val="12"/>
        <color theme="1"/>
        <rFont val="Symbol"/>
        <charset val="2"/>
      </rPr>
      <t>s</t>
    </r>
    <r>
      <rPr>
        <sz val="11"/>
        <color theme="1"/>
        <rFont val="Calibri"/>
        <family val="2"/>
        <scheme val="minor"/>
      </rPr>
      <t xml:space="preserve"> Mg uncertainty pos (mmol/mol)</t>
    </r>
  </si>
  <si>
    <r>
      <t>2</t>
    </r>
    <r>
      <rPr>
        <sz val="12"/>
        <color theme="1"/>
        <rFont val="Symbol"/>
        <charset val="2"/>
      </rPr>
      <t>s</t>
    </r>
    <r>
      <rPr>
        <sz val="11"/>
        <color theme="1"/>
        <rFont val="Calibri"/>
        <family val="2"/>
        <scheme val="minor"/>
      </rPr>
      <t xml:space="preserve"> Mg/Ca uncertainty neg (mmol/mol)</t>
    </r>
  </si>
  <si>
    <t>temperature calibration equation</t>
  </si>
  <si>
    <t>reference for temperature calibration equation</t>
  </si>
  <si>
    <t>salinity correction (list reference if applied)</t>
  </si>
  <si>
    <t>dissolution correction (list reference if applied)</t>
  </si>
  <si>
    <t>pH correction (list reference if applied)</t>
  </si>
  <si>
    <t>proxy value of individual replicate measurements; separate replicates by commas</t>
  </si>
  <si>
    <t>average proxy value (please specify units)</t>
  </si>
  <si>
    <r>
      <t>2</t>
    </r>
    <r>
      <rPr>
        <sz val="12"/>
        <color rgb="FF000000"/>
        <rFont val="Symbol"/>
        <charset val="2"/>
      </rPr>
      <t>s</t>
    </r>
    <r>
      <rPr>
        <sz val="12"/>
        <color rgb="FF000000"/>
        <rFont val="Verdana"/>
        <family val="2"/>
      </rPr>
      <t xml:space="preserve"> uncertainty </t>
    </r>
  </si>
  <si>
    <t xml:space="preserve">temperature calibration equation </t>
  </si>
  <si>
    <r>
      <t xml:space="preserve">used same sample material as for </t>
    </r>
    <r>
      <rPr>
        <sz val="12"/>
        <rFont val="Symbol"/>
        <charset val="2"/>
      </rPr>
      <t>d</t>
    </r>
    <r>
      <rPr>
        <vertAlign val="superscript"/>
        <sz val="12"/>
        <rFont val="Verdana"/>
        <family val="2"/>
      </rPr>
      <t>11</t>
    </r>
    <r>
      <rPr>
        <sz val="12"/>
        <rFont val="Verdana"/>
        <family val="2"/>
      </rPr>
      <t>B analyses? If not, provide details</t>
    </r>
  </si>
  <si>
    <t>Salinity (unit-less)</t>
  </si>
  <si>
    <t>method of salinity estimation (list reference if applicable)</t>
  </si>
  <si>
    <t>[Ca] (mol/kg)</t>
  </si>
  <si>
    <t xml:space="preserve">reference for [Ca] of seawater value </t>
  </si>
  <si>
    <t>[Mg] (mol/kg)</t>
  </si>
  <si>
    <t>reference for [Mg] of seawater value</t>
  </si>
  <si>
    <t>[SO4] (mol/kg)</t>
  </si>
  <si>
    <t>reference for [SO4] of seawater value</t>
  </si>
  <si>
    <r>
      <t>[B]</t>
    </r>
    <r>
      <rPr>
        <vertAlign val="subscript"/>
        <sz val="12"/>
        <color theme="1"/>
        <rFont val="Verdana"/>
        <family val="2"/>
      </rPr>
      <t xml:space="preserve">T </t>
    </r>
    <r>
      <rPr>
        <sz val="12"/>
        <color theme="1"/>
        <rFont val="Verdana"/>
        <family val="2"/>
      </rPr>
      <t>(µmol/kg)</t>
    </r>
  </si>
  <si>
    <r>
      <t>reference for [B]</t>
    </r>
    <r>
      <rPr>
        <vertAlign val="subscript"/>
        <sz val="12"/>
        <rFont val="Verdana"/>
        <family val="2"/>
      </rPr>
      <t>T</t>
    </r>
    <r>
      <rPr>
        <sz val="12"/>
        <rFont val="Verdana"/>
        <family val="2"/>
      </rPr>
      <t xml:space="preserve"> value</t>
    </r>
  </si>
  <si>
    <r>
      <rPr>
        <sz val="12"/>
        <color theme="1"/>
        <rFont val="Symbol"/>
        <charset val="2"/>
      </rPr>
      <t>d</t>
    </r>
    <r>
      <rPr>
        <vertAlign val="superscript"/>
        <sz val="12"/>
        <color theme="1"/>
        <rFont val="Verdana"/>
        <family val="2"/>
      </rPr>
      <t>11</t>
    </r>
    <r>
      <rPr>
        <sz val="12"/>
        <color theme="1"/>
        <rFont val="Verdana"/>
        <family val="2"/>
      </rPr>
      <t>B</t>
    </r>
    <r>
      <rPr>
        <vertAlign val="subscript"/>
        <sz val="12"/>
        <color theme="1"/>
        <rFont val="Verdana"/>
        <family val="2"/>
      </rPr>
      <t>sw</t>
    </r>
    <r>
      <rPr>
        <sz val="12"/>
        <color theme="1"/>
        <rFont val="Verdana"/>
        <family val="2"/>
      </rPr>
      <t xml:space="preserve"> (‰)</t>
    </r>
  </si>
  <si>
    <r>
      <t xml:space="preserve">reference  for </t>
    </r>
    <r>
      <rPr>
        <sz val="12"/>
        <rFont val="Symbol"/>
        <charset val="2"/>
      </rPr>
      <t>d</t>
    </r>
    <r>
      <rPr>
        <vertAlign val="superscript"/>
        <sz val="12"/>
        <rFont val="Verdana"/>
        <family val="2"/>
      </rPr>
      <t>11</t>
    </r>
    <r>
      <rPr>
        <sz val="12"/>
        <rFont val="Verdana"/>
        <family val="2"/>
      </rPr>
      <t>B</t>
    </r>
    <r>
      <rPr>
        <vertAlign val="subscript"/>
        <sz val="12"/>
        <rFont val="Verdana"/>
        <family val="2"/>
      </rPr>
      <t>sw</t>
    </r>
  </si>
  <si>
    <t>reference for pKB and for correction of major ion composition, if applied</t>
  </si>
  <si>
    <t>reference for pressure effect on pKB</t>
  </si>
  <si>
    <r>
      <t xml:space="preserve">value for </t>
    </r>
    <r>
      <rPr>
        <sz val="12"/>
        <color theme="1"/>
        <rFont val="Symbol"/>
        <charset val="2"/>
      </rPr>
      <t>a</t>
    </r>
    <r>
      <rPr>
        <vertAlign val="subscript"/>
        <sz val="12"/>
        <color theme="1"/>
        <rFont val="Verdana"/>
        <family val="2"/>
      </rPr>
      <t>B3-B4</t>
    </r>
    <r>
      <rPr>
        <sz val="12"/>
        <color theme="1"/>
        <rFont val="Verdana"/>
        <family val="2"/>
      </rPr>
      <t xml:space="preserve"> </t>
    </r>
  </si>
  <si>
    <r>
      <t xml:space="preserve">reference for </t>
    </r>
    <r>
      <rPr>
        <sz val="12"/>
        <color rgb="FF000000"/>
        <rFont val="Symbol"/>
        <charset val="2"/>
      </rPr>
      <t>a</t>
    </r>
    <r>
      <rPr>
        <vertAlign val="subscript"/>
        <sz val="12"/>
        <color rgb="FF000000"/>
        <rFont val="Verdana"/>
        <family val="2"/>
      </rPr>
      <t>B3-B4</t>
    </r>
  </si>
  <si>
    <r>
      <t xml:space="preserve">equation for temperature correction of </t>
    </r>
    <r>
      <rPr>
        <sz val="12"/>
        <rFont val="Symbol"/>
        <charset val="2"/>
      </rPr>
      <t>a</t>
    </r>
    <r>
      <rPr>
        <vertAlign val="subscript"/>
        <sz val="12"/>
        <rFont val="Verdana"/>
        <family val="2"/>
      </rPr>
      <t>B3-B4</t>
    </r>
    <r>
      <rPr>
        <sz val="12"/>
        <rFont val="Verdana"/>
        <family val="2"/>
      </rPr>
      <t xml:space="preserve"> (if applied)</t>
    </r>
  </si>
  <si>
    <r>
      <t xml:space="preserve">reference for temperature correction of </t>
    </r>
    <r>
      <rPr>
        <sz val="12"/>
        <rFont val="Symbol"/>
        <charset val="2"/>
      </rPr>
      <t>a</t>
    </r>
    <r>
      <rPr>
        <vertAlign val="subscript"/>
        <sz val="12"/>
        <rFont val="Verdana"/>
        <family val="2"/>
      </rPr>
      <t>B3-B4</t>
    </r>
    <r>
      <rPr>
        <sz val="12"/>
        <rFont val="Verdana"/>
        <family val="2"/>
      </rPr>
      <t xml:space="preserve"> (if applied)</t>
    </r>
  </si>
  <si>
    <r>
      <t>CO</t>
    </r>
    <r>
      <rPr>
        <vertAlign val="subscript"/>
        <sz val="12"/>
        <rFont val="Verdana"/>
        <family val="2"/>
      </rPr>
      <t>2</t>
    </r>
    <r>
      <rPr>
        <sz val="12"/>
        <rFont val="Verdana"/>
        <family val="2"/>
      </rPr>
      <t xml:space="preserve"> calculation program and version, e.g. CO2SYS, seacarb, other (please specify)</t>
    </r>
  </si>
  <si>
    <t>reference for pK0 and for correction of major ion composition, if applied</t>
  </si>
  <si>
    <t>reference for pK1 and for correction of major ion composition, if applied</t>
  </si>
  <si>
    <t>reference for pK2 and for correction of major ion composition, if applied</t>
  </si>
  <si>
    <r>
      <t>reference for pKHSO</t>
    </r>
    <r>
      <rPr>
        <vertAlign val="subscript"/>
        <sz val="12"/>
        <color theme="1"/>
        <rFont val="Verdana"/>
        <family val="2"/>
      </rPr>
      <t>4</t>
    </r>
  </si>
  <si>
    <r>
      <t>reference for pKsp</t>
    </r>
    <r>
      <rPr>
        <vertAlign val="subscript"/>
        <sz val="12"/>
        <rFont val="Verdana"/>
        <family val="2"/>
      </rPr>
      <t xml:space="preserve">calcite </t>
    </r>
    <r>
      <rPr>
        <sz val="12"/>
        <rFont val="Verdana"/>
        <family val="2"/>
      </rPr>
      <t>and pKsp</t>
    </r>
    <r>
      <rPr>
        <vertAlign val="subscript"/>
        <sz val="12"/>
        <rFont val="Verdana"/>
        <family val="2"/>
      </rPr>
      <t xml:space="preserve">aragonite </t>
    </r>
    <r>
      <rPr>
        <sz val="12"/>
        <rFont val="Verdana"/>
        <family val="2"/>
      </rPr>
      <t>and for correction of major ion composition, if applied</t>
    </r>
  </si>
  <si>
    <r>
      <t>reference for pressure effect on pKsp</t>
    </r>
    <r>
      <rPr>
        <vertAlign val="subscript"/>
        <sz val="12"/>
        <rFont val="Verdana"/>
        <family val="2"/>
      </rPr>
      <t xml:space="preserve">calcite </t>
    </r>
    <r>
      <rPr>
        <sz val="12"/>
        <rFont val="Verdana"/>
        <family val="2"/>
      </rPr>
      <t>and pKsp</t>
    </r>
    <r>
      <rPr>
        <vertAlign val="subscript"/>
        <sz val="12"/>
        <rFont val="Verdana"/>
        <family val="2"/>
      </rPr>
      <t>aragonite</t>
    </r>
  </si>
  <si>
    <r>
      <t>Parameter used (e.g., alkalinity</t>
    </r>
    <r>
      <rPr>
        <sz val="12"/>
        <rFont val="Verdana"/>
        <family val="2"/>
      </rPr>
      <t>, DIC, [CO</t>
    </r>
    <r>
      <rPr>
        <vertAlign val="subscript"/>
        <sz val="12"/>
        <rFont val="Verdana"/>
        <family val="2"/>
      </rPr>
      <t>3</t>
    </r>
    <r>
      <rPr>
        <vertAlign val="superscript"/>
        <sz val="12"/>
        <rFont val="Verdana"/>
        <family val="2"/>
      </rPr>
      <t>2-</t>
    </r>
    <r>
      <rPr>
        <sz val="12"/>
        <rFont val="Verdana"/>
        <family val="2"/>
      </rPr>
      <t>]</t>
    </r>
  </si>
  <si>
    <r>
      <t xml:space="preserve">Method for deriving 2nd parameter (e.g., CCD, </t>
    </r>
    <r>
      <rPr>
        <sz val="12"/>
        <rFont val="Symbol"/>
        <charset val="2"/>
      </rPr>
      <t>W</t>
    </r>
    <r>
      <rPr>
        <sz val="12"/>
        <rFont val="Verdana"/>
        <family val="2"/>
      </rPr>
      <t>, LOSCAR, GENIE, code can be submitted as supplement)</t>
    </r>
  </si>
  <si>
    <t>Reference for second parameter (if not primary reference of data set)</t>
  </si>
  <si>
    <t>central value (µmol/kg)</t>
  </si>
  <si>
    <r>
      <rPr>
        <sz val="12"/>
        <color theme="1"/>
        <rFont val="Symbol"/>
        <charset val="2"/>
      </rPr>
      <t>W</t>
    </r>
    <r>
      <rPr>
        <vertAlign val="subscript"/>
        <sz val="12"/>
        <color theme="1"/>
        <rFont val="Verdana"/>
        <family val="2"/>
      </rPr>
      <t xml:space="preserve">calcite </t>
    </r>
    <r>
      <rPr>
        <sz val="12"/>
        <color theme="1"/>
        <rFont val="Verdana"/>
        <family val="2"/>
      </rPr>
      <t>(if used as a constraint)</t>
    </r>
  </si>
  <si>
    <t>pH</t>
  </si>
  <si>
    <t>pH scale reported (e.g., total scale, seawater scale)</t>
  </si>
  <si>
    <r>
      <t>2</t>
    </r>
    <r>
      <rPr>
        <sz val="12"/>
        <color theme="1"/>
        <rFont val="Symbol"/>
        <charset val="2"/>
      </rPr>
      <t>s</t>
    </r>
    <r>
      <rPr>
        <sz val="11"/>
        <color theme="1"/>
        <rFont val="Calibri"/>
        <family val="2"/>
        <scheme val="minor"/>
      </rPr>
      <t xml:space="preserve"> uncertainty pos</t>
    </r>
  </si>
  <si>
    <r>
      <t>2</t>
    </r>
    <r>
      <rPr>
        <sz val="12"/>
        <color theme="1"/>
        <rFont val="Symbol"/>
        <charset val="2"/>
      </rPr>
      <t>s</t>
    </r>
    <r>
      <rPr>
        <sz val="11"/>
        <color theme="1"/>
        <rFont val="Calibri"/>
        <family val="2"/>
        <scheme val="minor"/>
      </rPr>
      <t xml:space="preserve"> uncertainty neg</t>
    </r>
  </si>
  <si>
    <r>
      <t>Aqueous pCO</t>
    </r>
    <r>
      <rPr>
        <vertAlign val="subscript"/>
        <sz val="12"/>
        <rFont val="Verdana"/>
        <family val="2"/>
      </rPr>
      <t>2</t>
    </r>
    <r>
      <rPr>
        <sz val="12"/>
        <rFont val="Verdana"/>
        <family val="2"/>
      </rPr>
      <t xml:space="preserve"> (µatm)</t>
    </r>
  </si>
  <si>
    <r>
      <t>Air-sea pCO</t>
    </r>
    <r>
      <rPr>
        <vertAlign val="subscript"/>
        <sz val="12"/>
        <rFont val="Verdana"/>
        <family val="2"/>
      </rPr>
      <t>2</t>
    </r>
    <r>
      <rPr>
        <sz val="12"/>
        <rFont val="Verdana"/>
        <family val="2"/>
      </rPr>
      <t xml:space="preserve"> disequilibrium (µatm)</t>
    </r>
  </si>
  <si>
    <t xml:space="preserve">Notes about air-sea disequilibrium: what is the estimate based on; are there assumptions on seasonality? </t>
  </si>
  <si>
    <r>
      <rPr>
        <vertAlign val="superscript"/>
        <sz val="12"/>
        <rFont val="Verdana"/>
        <family val="2"/>
      </rPr>
      <t>b</t>
    </r>
    <r>
      <rPr>
        <sz val="12"/>
        <rFont val="Verdana"/>
        <family val="2"/>
      </rPr>
      <t>Atmospheric pCO</t>
    </r>
    <r>
      <rPr>
        <vertAlign val="subscript"/>
        <sz val="12"/>
        <rFont val="Verdana"/>
        <family val="2"/>
      </rPr>
      <t>2</t>
    </r>
    <r>
      <rPr>
        <sz val="12"/>
        <rFont val="Verdana"/>
        <family val="2"/>
      </rPr>
      <t xml:space="preserve"> (i.e. after correction for any modern air-sea disequilibrium, µatm)</t>
    </r>
  </si>
  <si>
    <r>
      <t>2</t>
    </r>
    <r>
      <rPr>
        <sz val="12"/>
        <color theme="1"/>
        <rFont val="Symbol"/>
        <charset val="2"/>
      </rPr>
      <t>s</t>
    </r>
    <r>
      <rPr>
        <sz val="11"/>
        <color theme="1"/>
        <rFont val="Calibri"/>
        <family val="2"/>
        <scheme val="minor"/>
      </rPr>
      <t xml:space="preserve"> pCO2 uncertainty pos</t>
    </r>
  </si>
  <si>
    <r>
      <t>2</t>
    </r>
    <r>
      <rPr>
        <sz val="12"/>
        <color theme="1"/>
        <rFont val="Symbol"/>
        <charset val="2"/>
      </rPr>
      <t>s</t>
    </r>
    <r>
      <rPr>
        <sz val="11"/>
        <color theme="1"/>
        <rFont val="Calibri"/>
        <family val="2"/>
        <scheme val="minor"/>
      </rPr>
      <t xml:space="preserve"> pCO2 uncertainty neg</t>
    </r>
  </si>
  <si>
    <t>Error propagation method (code can be provided in supplement)</t>
  </si>
  <si>
    <r>
      <t>parameters included in the error propagation (e.g., calibration uncertainty,</t>
    </r>
    <r>
      <rPr>
        <sz val="12"/>
        <rFont val="Symbol"/>
        <charset val="2"/>
      </rPr>
      <t xml:space="preserve"> d</t>
    </r>
    <r>
      <rPr>
        <vertAlign val="superscript"/>
        <sz val="12"/>
        <rFont val="Verdana"/>
        <family val="2"/>
      </rPr>
      <t>11</t>
    </r>
    <r>
      <rPr>
        <sz val="12"/>
        <rFont val="Verdana"/>
        <family val="2"/>
      </rPr>
      <t>B</t>
    </r>
    <r>
      <rPr>
        <vertAlign val="subscript"/>
        <sz val="12"/>
        <rFont val="Verdana"/>
        <family val="2"/>
      </rPr>
      <t>sw</t>
    </r>
    <r>
      <rPr>
        <sz val="12"/>
        <rFont val="Verdana"/>
        <family val="2"/>
      </rPr>
      <t>, T, S, second parameter of the carbonate system)</t>
    </r>
  </si>
  <si>
    <r>
      <rPr>
        <vertAlign val="superscript"/>
        <sz val="12"/>
        <rFont val="Verdana"/>
        <family val="2"/>
      </rPr>
      <t>c</t>
    </r>
    <r>
      <rPr>
        <sz val="12"/>
        <rFont val="Verdana"/>
        <family val="2"/>
      </rPr>
      <t>Alkalinity (µmol/kg, if not used as an input parameter)</t>
    </r>
  </si>
  <si>
    <r>
      <t>2</t>
    </r>
    <r>
      <rPr>
        <sz val="12"/>
        <rFont val="Symbol"/>
        <charset val="2"/>
      </rPr>
      <t>s</t>
    </r>
    <r>
      <rPr>
        <sz val="12"/>
        <rFont val="Verdana"/>
        <family val="2"/>
      </rPr>
      <t xml:space="preserve"> alkalinity uncertainty pos</t>
    </r>
  </si>
  <si>
    <r>
      <t>2</t>
    </r>
    <r>
      <rPr>
        <sz val="12"/>
        <rFont val="Symbol"/>
        <charset val="2"/>
      </rPr>
      <t>s</t>
    </r>
    <r>
      <rPr>
        <sz val="12"/>
        <rFont val="Verdana"/>
        <family val="2"/>
      </rPr>
      <t xml:space="preserve"> alkalinity uncertainty neg</t>
    </r>
  </si>
  <si>
    <t>DIC (µmol/kg, if not used as an input parameter</t>
  </si>
  <si>
    <r>
      <t>2</t>
    </r>
    <r>
      <rPr>
        <sz val="12"/>
        <rFont val="Symbol"/>
        <charset val="2"/>
      </rPr>
      <t xml:space="preserve">s </t>
    </r>
    <r>
      <rPr>
        <sz val="12"/>
        <rFont val="Verdana"/>
        <family val="2"/>
      </rPr>
      <t>DIC uncertainty pos</t>
    </r>
  </si>
  <si>
    <r>
      <t>2</t>
    </r>
    <r>
      <rPr>
        <sz val="12"/>
        <rFont val="Symbol"/>
        <charset val="2"/>
      </rPr>
      <t>s</t>
    </r>
    <r>
      <rPr>
        <sz val="12"/>
        <rFont val="Verdana"/>
        <family val="2"/>
      </rPr>
      <t xml:space="preserve"> DIC uncertainty neg</t>
    </r>
  </si>
  <si>
    <r>
      <rPr>
        <sz val="12"/>
        <rFont val="Symbol"/>
        <charset val="2"/>
      </rPr>
      <t>W</t>
    </r>
    <r>
      <rPr>
        <vertAlign val="subscript"/>
        <sz val="12"/>
        <rFont val="Verdana"/>
        <family val="2"/>
      </rPr>
      <t>calcite</t>
    </r>
    <r>
      <rPr>
        <sz val="12"/>
        <rFont val="Verdana"/>
        <family val="2"/>
      </rPr>
      <t>, if not used as an input parameter</t>
    </r>
  </si>
  <si>
    <r>
      <t>2</t>
    </r>
    <r>
      <rPr>
        <sz val="12"/>
        <rFont val="Symbol"/>
        <charset val="2"/>
      </rPr>
      <t>s</t>
    </r>
    <r>
      <rPr>
        <sz val="12"/>
        <rFont val="Verdana"/>
        <family val="2"/>
      </rPr>
      <t xml:space="preserve"> uncertainty </t>
    </r>
    <r>
      <rPr>
        <sz val="12"/>
        <rFont val="Symbol"/>
        <charset val="2"/>
      </rPr>
      <t>W</t>
    </r>
    <r>
      <rPr>
        <vertAlign val="subscript"/>
        <sz val="12"/>
        <rFont val="Verdana"/>
        <family val="2"/>
      </rPr>
      <t xml:space="preserve">calcite </t>
    </r>
    <r>
      <rPr>
        <sz val="12"/>
        <rFont val="Verdana"/>
        <family val="2"/>
      </rPr>
      <t>pos</t>
    </r>
  </si>
  <si>
    <r>
      <t>2</t>
    </r>
    <r>
      <rPr>
        <sz val="12"/>
        <rFont val="Symbol"/>
        <charset val="2"/>
      </rPr>
      <t>s</t>
    </r>
    <r>
      <rPr>
        <sz val="12"/>
        <rFont val="Verdana"/>
        <family val="2"/>
      </rPr>
      <t xml:space="preserve"> uncertainty </t>
    </r>
    <r>
      <rPr>
        <sz val="12"/>
        <rFont val="Symbol"/>
        <charset val="2"/>
      </rPr>
      <t>W</t>
    </r>
    <r>
      <rPr>
        <vertAlign val="subscript"/>
        <sz val="12"/>
        <rFont val="Verdana"/>
        <family val="2"/>
      </rPr>
      <t>calcite neg</t>
    </r>
  </si>
  <si>
    <r>
      <rPr>
        <sz val="12"/>
        <rFont val="Symbol"/>
        <charset val="2"/>
      </rPr>
      <t>W</t>
    </r>
    <r>
      <rPr>
        <vertAlign val="subscript"/>
        <sz val="12"/>
        <rFont val="Verdana"/>
        <family val="2"/>
      </rPr>
      <t>aragonite</t>
    </r>
    <r>
      <rPr>
        <sz val="12"/>
        <rFont val="Verdana"/>
        <family val="2"/>
      </rPr>
      <t>, if not used as an input parameter</t>
    </r>
  </si>
  <si>
    <r>
      <t>2</t>
    </r>
    <r>
      <rPr>
        <sz val="12"/>
        <rFont val="Symbol"/>
        <charset val="2"/>
      </rPr>
      <t>s</t>
    </r>
    <r>
      <rPr>
        <sz val="12"/>
        <rFont val="Verdana"/>
        <family val="2"/>
      </rPr>
      <t xml:space="preserve"> uncertainty </t>
    </r>
    <r>
      <rPr>
        <sz val="12"/>
        <rFont val="Symbol"/>
        <charset val="2"/>
      </rPr>
      <t>W</t>
    </r>
    <r>
      <rPr>
        <vertAlign val="subscript"/>
        <sz val="12"/>
        <rFont val="Verdana"/>
        <family val="2"/>
      </rPr>
      <t xml:space="preserve">aragonite </t>
    </r>
    <r>
      <rPr>
        <sz val="12"/>
        <rFont val="Verdana"/>
        <family val="2"/>
      </rPr>
      <t>pos</t>
    </r>
  </si>
  <si>
    <t>Additional Notes</t>
  </si>
  <si>
    <r>
      <t>2</t>
    </r>
    <r>
      <rPr>
        <sz val="12"/>
        <color theme="1"/>
        <rFont val="Symbol"/>
        <charset val="2"/>
      </rPr>
      <t>s</t>
    </r>
    <r>
      <rPr>
        <sz val="11"/>
        <color theme="1"/>
        <rFont val="Calibri"/>
        <family val="2"/>
        <scheme val="minor"/>
      </rPr>
      <t xml:space="preserve"> uncertainty pos (µmol/kg)</t>
    </r>
  </si>
  <si>
    <r>
      <t>2</t>
    </r>
    <r>
      <rPr>
        <sz val="12"/>
        <color theme="1"/>
        <rFont val="Symbol"/>
        <charset val="2"/>
      </rPr>
      <t>s</t>
    </r>
    <r>
      <rPr>
        <sz val="11"/>
        <color theme="1"/>
        <rFont val="Calibri"/>
        <family val="2"/>
        <scheme val="minor"/>
      </rPr>
      <t xml:space="preserve"> uncertainty neg (µmol/kg)</t>
    </r>
  </si>
  <si>
    <r>
      <t>Mg/Ca</t>
    </r>
    <r>
      <rPr>
        <vertAlign val="subscript"/>
        <sz val="12"/>
        <rFont val="Verdana"/>
        <family val="2"/>
      </rPr>
      <t xml:space="preserve">sw </t>
    </r>
    <r>
      <rPr>
        <sz val="12"/>
        <rFont val="Verdana"/>
        <family val="2"/>
      </rPr>
      <t xml:space="preserve">correction  reference </t>
    </r>
  </si>
  <si>
    <r>
      <t>Mg/Ca</t>
    </r>
    <r>
      <rPr>
        <vertAlign val="subscript"/>
        <sz val="12"/>
        <rFont val="Verdana"/>
        <family val="2"/>
      </rPr>
      <t xml:space="preserve">sw </t>
    </r>
    <r>
      <rPr>
        <sz val="12"/>
        <rFont val="Verdana"/>
        <family val="2"/>
      </rPr>
      <t>correction</t>
    </r>
  </si>
  <si>
    <r>
      <t>2</t>
    </r>
    <r>
      <rPr>
        <sz val="12"/>
        <rFont val="Symbol"/>
        <charset val="2"/>
      </rPr>
      <t>s</t>
    </r>
    <r>
      <rPr>
        <sz val="12"/>
        <rFont val="Verdana"/>
        <family val="2"/>
      </rPr>
      <t xml:space="preserve"> uncertainty </t>
    </r>
    <r>
      <rPr>
        <sz val="12"/>
        <rFont val="Symbol"/>
        <charset val="2"/>
      </rPr>
      <t>W</t>
    </r>
    <r>
      <rPr>
        <vertAlign val="subscript"/>
        <sz val="12"/>
        <rFont val="Verdana"/>
        <family val="2"/>
      </rPr>
      <t>aragonite neg</t>
    </r>
  </si>
  <si>
    <t>Chalk, T.B., Hain, M.P., Foster, G.L., Rohling, E.J., Sexton, P.F., Badger, M.P.S., Cherry, S.G., Hasenfratz, A.P., Haug, G.H., Jaccard, S.L., Martínez-García, A., Pälike, H., Pancost, R.D. and Wilson, P.A. (2017) Causes of ice age intensification across the Mid-Pleistocene Transition. Proceedings of the National Academy of Sciences</t>
  </si>
  <si>
    <t>10.1073/pnas.1702143114</t>
  </si>
  <si>
    <t>ODP 999</t>
  </si>
  <si>
    <t>A</t>
  </si>
  <si>
    <t>NA</t>
  </si>
  <si>
    <t>Caribbean Sea</t>
  </si>
  <si>
    <t>normal distribution</t>
  </si>
  <si>
    <t>magnetic polarity/d18O stratigraphy</t>
  </si>
  <si>
    <t>Globigerinoides ruber white (sensu stricto)</t>
  </si>
  <si>
    <t>300-355</t>
  </si>
  <si>
    <t>~200</t>
  </si>
  <si>
    <t>Barker et al. (2003)</t>
  </si>
  <si>
    <t>column chemistry</t>
  </si>
  <si>
    <t>MC-ICPMS (Neptune)</t>
  </si>
  <si>
    <t>external, standard deviation</t>
  </si>
  <si>
    <t xml:space="preserve">normal distribution </t>
  </si>
  <si>
    <t>Henehan et al. 2013</t>
  </si>
  <si>
    <t>Size corrected</t>
  </si>
  <si>
    <t>normal</t>
  </si>
  <si>
    <t>Monte Carlo (n=10,000)</t>
  </si>
  <si>
    <t>Not accounted</t>
  </si>
  <si>
    <t>normal distributions</t>
  </si>
  <si>
    <t>Delaney et al (1985), Evans and Muller (2012)</t>
  </si>
  <si>
    <t>Fantle and DePaolo (2006)</t>
  </si>
  <si>
    <t>none</t>
  </si>
  <si>
    <t>modern value</t>
  </si>
  <si>
    <t>set salinity value- uncertainty on B/Salinity relationship not included</t>
  </si>
  <si>
    <t>Lee et al 2010</t>
  </si>
  <si>
    <t>Foster 2010</t>
  </si>
  <si>
    <t>Dickson 1990</t>
  </si>
  <si>
    <t xml:space="preserve">None applied, surface pressure </t>
  </si>
  <si>
    <t>Klochko et al. (2006)</t>
  </si>
  <si>
    <t xml:space="preserve"> R including seacarb</t>
  </si>
  <si>
    <t>Henry's law, as of Weiss 1974, Zeebe Wolf-Gladrow 2001</t>
  </si>
  <si>
    <t>Lueker et al. (2000)</t>
  </si>
  <si>
    <t>alkalinity</t>
  </si>
  <si>
    <t>set value</t>
  </si>
  <si>
    <t>set value (uniform/flat probability)</t>
  </si>
  <si>
    <t>total scale</t>
  </si>
  <si>
    <t xml:space="preserve">NA </t>
  </si>
  <si>
    <t>annual average</t>
  </si>
  <si>
    <t xml:space="preserve">calibration, d11Bsw, T, S, Alkalinity, age (in manuscript), K0, K1, K2, pKb, disequilibrium, boron content </t>
  </si>
  <si>
    <t>CC</t>
  </si>
  <si>
    <t>A</t>
    <phoneticPr fontId="2" type="noConversion"/>
  </si>
  <si>
    <t>Chalk</t>
  </si>
  <si>
    <t>boron isotopes</t>
  </si>
  <si>
    <t>notes about uncertainty estimate: e.g., included calibration slope and intercept</t>
  </si>
  <si>
    <t>age uncertainty increased to match uncertainty stimates in LR04</t>
  </si>
  <si>
    <t>age uncertainty based on radiocarbon as per Henehan et al. 2013</t>
  </si>
  <si>
    <t>t.chalk@noc.soton.ac.uk, elwyn.de-la-vega@soton.ac.uk, henehan@gfz-potsdam.de, Gavin.Foster@noc.soton.ac.uk, hoenisch@ldeo.columbia.edu</t>
  </si>
  <si>
    <t>Thomas B. Chalk, Elwyn de la Vega, Michael Henehan, Gavin Foster, Bärbel Hönisch</t>
  </si>
  <si>
    <t>CO2_ppm</t>
  </si>
  <si>
    <t>CO2_uncertainty_pos_ppm</t>
  </si>
  <si>
    <t>CO2 data as originally published (TRUE or FALSE)</t>
  </si>
  <si>
    <t>CO2 data superseded by (please list doi if TRUE, otherwise FALSE)</t>
  </si>
  <si>
    <t>CO2 recalculated by paleo-CO2.org (TRUE or FALSE)</t>
  </si>
  <si>
    <t>specify reason for CO2 revision</t>
  </si>
  <si>
    <t>age data as originally published (TRUE or FALSE)</t>
  </si>
  <si>
    <t>age data quarantined (TRUE of FALSE)</t>
  </si>
  <si>
    <t>age data superseded by (please list doi if TRUE, otherwise FALSE)</t>
  </si>
  <si>
    <t>age recalculated by paleo-CO2.org (TRUE or FALSE)</t>
  </si>
  <si>
    <t>newer calculations published</t>
  </si>
  <si>
    <t>10.1016/j.epsl.2018.06.017</t>
  </si>
  <si>
    <t>CO2_uncertainty_neg_ppm</t>
  </si>
  <si>
    <t>proxy category: enter (1) if  data are of high quality and uncertainty estimation is fully developed, (2) if data are of high quality but uncertainty estimation is not yet fully constrained, or (3) if data collection method is outdated and/or uncertainty estimation is not fully quantifiable</t>
  </si>
  <si>
    <t>specify reason for choice of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</si>
</sst>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30" x14ac:knownFonts="1">
    <font>
      <sz val="11"/>
      <color theme="1"/>
      <name val="Calibri"/>
      <family val="2"/>
      <scheme val="minor"/>
    </font>
    <font>
      <sz val="12"/>
      <color rgb="FF000000"/>
      <name val="Calibri"/>
      <family val="2"/>
      <scheme val="minor"/>
    </font>
    <font>
      <b/>
      <sz val="12"/>
      <color indexed="8"/>
      <name val="Calibri"/>
      <family val="2"/>
    </font>
    <font>
      <sz val="12"/>
      <name val="Verdana"/>
      <family val="2"/>
    </font>
    <font>
      <b/>
      <sz val="12"/>
      <name val="Verdana"/>
      <family val="2"/>
    </font>
    <font>
      <b/>
      <sz val="12"/>
      <name val="Calibri (Body)"/>
    </font>
    <font>
      <b/>
      <sz val="12"/>
      <name val="Symbol"/>
      <charset val="2"/>
    </font>
    <font>
      <b/>
      <vertAlign val="superscript"/>
      <sz val="12"/>
      <name val="Verdana"/>
      <family val="2"/>
    </font>
    <font>
      <b/>
      <vertAlign val="subscript"/>
      <sz val="12"/>
      <name val="Verdana"/>
      <family val="2"/>
    </font>
    <font>
      <b/>
      <vertAlign val="subscript"/>
      <sz val="12"/>
      <color indexed="8"/>
      <name val="Calibri"/>
      <family val="2"/>
    </font>
    <font>
      <sz val="12"/>
      <name val="Symbol"/>
      <charset val="2"/>
    </font>
    <font>
      <vertAlign val="superscript"/>
      <sz val="12"/>
      <name val="Verdana"/>
      <family val="2"/>
    </font>
    <font>
      <b/>
      <sz val="12"/>
      <color indexed="8"/>
      <name val="Verdana"/>
      <family val="2"/>
    </font>
    <font>
      <b/>
      <sz val="12"/>
      <color indexed="8"/>
      <name val="Symbol"/>
      <charset val="2"/>
    </font>
    <font>
      <b/>
      <vertAlign val="superscript"/>
      <sz val="12"/>
      <color indexed="8"/>
      <name val="Verdana"/>
      <family val="2"/>
    </font>
    <font>
      <b/>
      <vertAlign val="subscript"/>
      <sz val="12"/>
      <color indexed="8"/>
      <name val="Verdana"/>
      <family val="2"/>
    </font>
    <font>
      <b/>
      <vertAlign val="superscript"/>
      <sz val="12"/>
      <color indexed="8"/>
      <name val="Calibri"/>
      <family val="2"/>
    </font>
    <font>
      <sz val="12"/>
      <color theme="1"/>
      <name val="Verdana"/>
      <family val="2"/>
    </font>
    <font>
      <sz val="12"/>
      <color rgb="FF000000"/>
      <name val="Verdana"/>
      <family val="2"/>
    </font>
    <font>
      <sz val="12"/>
      <color theme="1"/>
      <name val="Symbol"/>
      <charset val="2"/>
    </font>
    <font>
      <sz val="12"/>
      <name val="Verdana"/>
      <family val="2"/>
      <charset val="2"/>
    </font>
    <font>
      <vertAlign val="superscript"/>
      <sz val="12"/>
      <color theme="1"/>
      <name val="Verdana"/>
      <family val="2"/>
    </font>
    <font>
      <sz val="12"/>
      <color rgb="FF000000"/>
      <name val="Symbol"/>
      <charset val="2"/>
    </font>
    <font>
      <vertAlign val="subscript"/>
      <sz val="12"/>
      <color theme="1"/>
      <name val="Verdana"/>
      <family val="2"/>
    </font>
    <font>
      <vertAlign val="subscript"/>
      <sz val="12"/>
      <name val="Verdana"/>
      <family val="2"/>
    </font>
    <font>
      <vertAlign val="subscript"/>
      <sz val="12"/>
      <color rgb="FF000000"/>
      <name val="Verdana"/>
      <family val="2"/>
    </font>
    <font>
      <u/>
      <sz val="11"/>
      <color theme="10"/>
      <name val="Calibri"/>
      <family val="2"/>
      <scheme val="minor"/>
    </font>
    <font>
      <sz val="12"/>
      <name val="Calibri"/>
      <family val="2"/>
      <scheme val="minor"/>
    </font>
    <font>
      <sz val="10"/>
      <name val="Verdana"/>
      <family val="2"/>
    </font>
    <font>
      <sz val="11"/>
      <color rgb="FF000000"/>
      <name val="Arial"/>
      <family val="2"/>
    </font>
  </fonts>
  <fills count="17">
    <fill>
      <patternFill patternType="none"/>
    </fill>
    <fill>
      <patternFill patternType="gray125"/>
    </fill>
    <fill>
      <patternFill patternType="solid">
        <fgColor indexed="43"/>
        <bgColor indexed="64"/>
      </patternFill>
    </fill>
    <fill>
      <patternFill patternType="solid">
        <fgColor theme="9" tint="0.39997558519241921"/>
        <bgColor indexed="64"/>
      </patternFill>
    </fill>
    <fill>
      <patternFill patternType="solid">
        <fgColor theme="8" tint="0.39997558519241921"/>
        <bgColor indexed="64"/>
      </patternFill>
    </fill>
    <fill>
      <patternFill patternType="solid">
        <fgColor rgb="FFD38EFF"/>
        <bgColor indexed="64"/>
      </patternFill>
    </fill>
    <fill>
      <patternFill patternType="solid">
        <fgColor rgb="FFCDFDCC"/>
        <bgColor indexed="64"/>
      </patternFill>
    </fill>
    <fill>
      <patternFill patternType="solid">
        <fgColor indexed="42"/>
        <bgColor indexed="64"/>
      </patternFill>
    </fill>
    <fill>
      <patternFill patternType="solid">
        <fgColor theme="9" tint="0.59999389629810485"/>
        <bgColor indexed="64"/>
      </patternFill>
    </fill>
    <fill>
      <patternFill patternType="solid">
        <fgColor rgb="FFFFFD99"/>
        <bgColor indexed="64"/>
      </patternFill>
    </fill>
    <fill>
      <patternFill patternType="solid">
        <fgColor theme="0"/>
        <bgColor indexed="64"/>
      </patternFill>
    </fill>
    <fill>
      <patternFill patternType="solid">
        <fgColor rgb="FFA9D08D"/>
        <bgColor indexed="64"/>
      </patternFill>
    </fill>
    <fill>
      <patternFill patternType="solid">
        <fgColor rgb="FFCEFDCC"/>
        <bgColor indexed="64"/>
      </patternFill>
    </fill>
    <fill>
      <patternFill patternType="solid">
        <fgColor rgb="FFCDFDCC"/>
        <bgColor rgb="FF000000"/>
      </patternFill>
    </fill>
    <fill>
      <patternFill patternType="solid">
        <fgColor rgb="FFC6E0B4"/>
        <bgColor indexed="64"/>
      </patternFill>
    </fill>
    <fill>
      <patternFill patternType="solid">
        <fgColor rgb="FFFFFF9A"/>
        <bgColor indexed="64"/>
      </patternFill>
    </fill>
    <fill>
      <patternFill patternType="solid">
        <fgColor rgb="FFFFFF98"/>
        <bgColor indexed="64"/>
      </patternFill>
    </fill>
  </fills>
  <borders count="16">
    <border>
      <left/>
      <right/>
      <top/>
      <bottom/>
      <diagonal/>
    </border>
    <border>
      <left style="thin">
        <color indexed="64"/>
      </left>
      <right/>
      <top style="thin">
        <color indexed="64"/>
      </top>
      <bottom style="thin">
        <color indexed="64"/>
      </bottom>
      <diagonal/>
    </border>
    <border>
      <left/>
      <right/>
      <top style="thin">
        <color auto="1"/>
      </top>
      <bottom style="thin">
        <color auto="1"/>
      </bottom>
      <diagonal/>
    </border>
    <border>
      <left/>
      <right style="thin">
        <color auto="1"/>
      </right>
      <top style="thin">
        <color auto="1"/>
      </top>
      <bottom style="thin">
        <color auto="1"/>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auto="1"/>
      </left>
      <right/>
      <top style="thin">
        <color auto="1"/>
      </top>
      <bottom/>
      <diagonal/>
    </border>
    <border>
      <left/>
      <right/>
      <top style="thin">
        <color auto="1"/>
      </top>
      <bottom/>
      <diagonal/>
    </border>
    <border>
      <left/>
      <right style="thin">
        <color auto="1"/>
      </right>
      <top/>
      <bottom style="thin">
        <color auto="1"/>
      </bottom>
      <diagonal/>
    </border>
    <border>
      <left style="thin">
        <color auto="1"/>
      </left>
      <right/>
      <top/>
      <bottom style="thin">
        <color auto="1"/>
      </bottom>
      <diagonal/>
    </border>
    <border>
      <left/>
      <right style="thin">
        <color auto="1"/>
      </right>
      <top/>
      <bottom/>
      <diagonal/>
    </border>
    <border>
      <left style="thin">
        <color auto="1"/>
      </left>
      <right/>
      <top/>
      <bottom/>
      <diagonal/>
    </border>
    <border>
      <left/>
      <right style="thin">
        <color auto="1"/>
      </right>
      <top style="thin">
        <color auto="1"/>
      </top>
      <bottom/>
      <diagonal/>
    </border>
    <border>
      <left style="thin">
        <color auto="1"/>
      </left>
      <right style="thin">
        <color auto="1"/>
      </right>
      <top/>
      <bottom style="thin">
        <color auto="1"/>
      </bottom>
      <diagonal/>
    </border>
    <border>
      <left style="hair">
        <color auto="1"/>
      </left>
      <right style="hair">
        <color auto="1"/>
      </right>
      <top/>
      <bottom style="thin">
        <color auto="1"/>
      </bottom>
      <diagonal/>
    </border>
    <border>
      <left style="hair">
        <color auto="1"/>
      </left>
      <right style="thin">
        <color auto="1"/>
      </right>
      <top/>
      <bottom style="thin">
        <color auto="1"/>
      </bottom>
      <diagonal/>
    </border>
  </borders>
  <cellStyleXfs count="3">
    <xf numFmtId="0" fontId="0" fillId="0" borderId="0"/>
    <xf numFmtId="0" fontId="26" fillId="0" borderId="0" applyNumberFormat="0" applyFill="0" applyBorder="0" applyAlignment="0" applyProtection="0"/>
    <xf numFmtId="0" fontId="28" fillId="0" borderId="0"/>
  </cellStyleXfs>
  <cellXfs count="167">
    <xf numFmtId="0" fontId="0" fillId="0" borderId="0" xfId="0"/>
    <xf numFmtId="0" fontId="0" fillId="0" borderId="1" xfId="0" applyBorder="1"/>
    <xf numFmtId="0" fontId="0" fillId="0" borderId="2" xfId="0" applyBorder="1"/>
    <xf numFmtId="0" fontId="0" fillId="0" borderId="3" xfId="0" applyBorder="1"/>
    <xf numFmtId="0" fontId="0" fillId="0" borderId="4" xfId="0" applyBorder="1" applyAlignment="1"/>
    <xf numFmtId="0" fontId="0" fillId="0" borderId="5" xfId="0" applyBorder="1"/>
    <xf numFmtId="0" fontId="1" fillId="0" borderId="1" xfId="0" applyFont="1" applyBorder="1" applyAlignment="1">
      <alignment wrapText="1"/>
    </xf>
    <xf numFmtId="0" fontId="1" fillId="0" borderId="2" xfId="0" applyFont="1" applyBorder="1" applyAlignment="1">
      <alignment wrapText="1"/>
    </xf>
    <xf numFmtId="0" fontId="1" fillId="0" borderId="2" xfId="0" applyFont="1" applyBorder="1"/>
    <xf numFmtId="0" fontId="0" fillId="0" borderId="2" xfId="0" applyFont="1" applyBorder="1" applyAlignment="1">
      <alignment wrapText="1"/>
    </xf>
    <xf numFmtId="0" fontId="0" fillId="0" borderId="2" xfId="0" applyFont="1" applyBorder="1"/>
    <xf numFmtId="0" fontId="0" fillId="0" borderId="2" xfId="0" quotePrefix="1" applyFont="1" applyBorder="1" applyAlignment="1">
      <alignment wrapText="1"/>
    </xf>
    <xf numFmtId="0" fontId="0" fillId="0" borderId="3" xfId="0" quotePrefix="1" applyFont="1" applyBorder="1" applyAlignment="1">
      <alignment wrapText="1"/>
    </xf>
    <xf numFmtId="0" fontId="0" fillId="0" borderId="2" xfId="0" applyFont="1" applyFill="1" applyBorder="1" applyAlignment="1">
      <alignment wrapText="1"/>
    </xf>
    <xf numFmtId="0" fontId="0" fillId="0" borderId="3" xfId="0" applyFont="1" applyFill="1" applyBorder="1" applyAlignment="1">
      <alignment wrapText="1"/>
    </xf>
    <xf numFmtId="0" fontId="0" fillId="0" borderId="5" xfId="0" applyFont="1" applyFill="1" applyBorder="1" applyAlignment="1">
      <alignment wrapText="1"/>
    </xf>
    <xf numFmtId="0" fontId="0" fillId="0" borderId="1" xfId="0" applyFont="1" applyFill="1" applyBorder="1" applyAlignment="1">
      <alignment wrapText="1"/>
    </xf>
    <xf numFmtId="0" fontId="1" fillId="0" borderId="3" xfId="0" applyFont="1" applyBorder="1" applyAlignment="1">
      <alignment wrapText="1"/>
    </xf>
    <xf numFmtId="0" fontId="1" fillId="0" borderId="5" xfId="0" applyFont="1" applyBorder="1" applyAlignment="1">
      <alignment wrapText="1"/>
    </xf>
    <xf numFmtId="0" fontId="0" fillId="0" borderId="2" xfId="0" applyBorder="1" applyAlignment="1">
      <alignment vertical="top"/>
    </xf>
    <xf numFmtId="0" fontId="2" fillId="2" borderId="1" xfId="0" applyFont="1" applyFill="1" applyBorder="1"/>
    <xf numFmtId="0" fontId="2" fillId="2" borderId="2" xfId="0" applyFont="1" applyFill="1" applyBorder="1"/>
    <xf numFmtId="0" fontId="0" fillId="2" borderId="2" xfId="0" applyFill="1" applyBorder="1"/>
    <xf numFmtId="0" fontId="0" fillId="2" borderId="3" xfId="0" applyFill="1" applyBorder="1"/>
    <xf numFmtId="0" fontId="2" fillId="3" borderId="6" xfId="0" applyFont="1" applyFill="1" applyBorder="1" applyAlignment="1">
      <alignment horizontal="left" vertical="center"/>
    </xf>
    <xf numFmtId="0" fontId="2" fillId="3" borderId="7" xfId="0" applyFont="1" applyFill="1" applyBorder="1" applyAlignment="1">
      <alignment wrapText="1"/>
    </xf>
    <xf numFmtId="0" fontId="2" fillId="3" borderId="7" xfId="0" applyFont="1" applyFill="1" applyBorder="1"/>
    <xf numFmtId="0" fontId="0" fillId="3" borderId="7" xfId="0" applyFill="1" applyBorder="1"/>
    <xf numFmtId="0" fontId="3" fillId="3" borderId="6" xfId="0" applyFont="1" applyFill="1" applyBorder="1"/>
    <xf numFmtId="0" fontId="2" fillId="4" borderId="6" xfId="0" applyFont="1" applyFill="1" applyBorder="1"/>
    <xf numFmtId="0" fontId="0" fillId="4" borderId="7" xfId="0" applyFill="1" applyBorder="1"/>
    <xf numFmtId="0" fontId="0" fillId="4" borderId="1" xfId="0" applyFill="1" applyBorder="1"/>
    <xf numFmtId="0" fontId="0" fillId="4" borderId="2" xfId="0" applyFill="1" applyBorder="1"/>
    <xf numFmtId="0" fontId="2" fillId="4" borderId="2" xfId="0" applyFont="1" applyFill="1" applyBorder="1"/>
    <xf numFmtId="0" fontId="2" fillId="4" borderId="3" xfId="0" applyFont="1" applyFill="1" applyBorder="1"/>
    <xf numFmtId="0" fontId="2" fillId="5" borderId="1" xfId="0" applyFont="1" applyFill="1" applyBorder="1"/>
    <xf numFmtId="0" fontId="3" fillId="5" borderId="2" xfId="0" applyFont="1" applyFill="1" applyBorder="1" applyAlignment="1">
      <alignment horizontal="center" vertical="center" wrapText="1"/>
    </xf>
    <xf numFmtId="0" fontId="3" fillId="5" borderId="3" xfId="0" applyFont="1" applyFill="1" applyBorder="1" applyAlignment="1">
      <alignment horizontal="center" vertical="center" wrapText="1"/>
    </xf>
    <xf numFmtId="0" fontId="4" fillId="5" borderId="7" xfId="0" applyFont="1" applyFill="1" applyBorder="1" applyAlignment="1">
      <alignment horizontal="left" vertical="center"/>
    </xf>
    <xf numFmtId="0" fontId="3" fillId="5" borderId="7" xfId="0" applyFont="1" applyFill="1" applyBorder="1" applyAlignment="1">
      <alignment horizontal="center" vertical="center" wrapText="1"/>
    </xf>
    <xf numFmtId="0" fontId="2" fillId="6" borderId="1" xfId="0" applyFont="1" applyFill="1" applyBorder="1"/>
    <xf numFmtId="0" fontId="2" fillId="7" borderId="2" xfId="0" applyFont="1" applyFill="1" applyBorder="1"/>
    <xf numFmtId="0" fontId="2" fillId="7" borderId="3" xfId="0" applyFont="1" applyFill="1" applyBorder="1"/>
    <xf numFmtId="0" fontId="2" fillId="6" borderId="2" xfId="0" applyFont="1" applyFill="1" applyBorder="1"/>
    <xf numFmtId="0" fontId="2" fillId="6" borderId="3" xfId="0" applyFont="1" applyFill="1" applyBorder="1"/>
    <xf numFmtId="0" fontId="0" fillId="6" borderId="2" xfId="0" applyFill="1" applyBorder="1"/>
    <xf numFmtId="0" fontId="0" fillId="6" borderId="6" xfId="0" applyFill="1" applyBorder="1"/>
    <xf numFmtId="0" fontId="2" fillId="7" borderId="1" xfId="0" applyFont="1" applyFill="1" applyBorder="1"/>
    <xf numFmtId="0" fontId="2" fillId="7" borderId="7" xfId="0" applyFont="1" applyFill="1" applyBorder="1"/>
    <xf numFmtId="0" fontId="2" fillId="8" borderId="6" xfId="0" applyFont="1" applyFill="1" applyBorder="1"/>
    <xf numFmtId="0" fontId="2" fillId="8" borderId="7" xfId="0" applyFont="1" applyFill="1" applyBorder="1"/>
    <xf numFmtId="0" fontId="2" fillId="8" borderId="2" xfId="0" applyFont="1" applyFill="1" applyBorder="1"/>
    <xf numFmtId="0" fontId="2" fillId="9" borderId="1" xfId="0" applyFont="1" applyFill="1" applyBorder="1"/>
    <xf numFmtId="0" fontId="2" fillId="9" borderId="2" xfId="0" applyFont="1" applyFill="1" applyBorder="1"/>
    <xf numFmtId="0" fontId="0" fillId="9" borderId="2" xfId="0" applyFill="1" applyBorder="1"/>
    <xf numFmtId="0" fontId="0" fillId="0" borderId="4" xfId="0" applyBorder="1" applyAlignment="1">
      <alignment vertical="top"/>
    </xf>
    <xf numFmtId="0" fontId="0" fillId="0" borderId="8" xfId="0" applyBorder="1"/>
    <xf numFmtId="0" fontId="2" fillId="2" borderId="4" xfId="0" applyFont="1" applyFill="1" applyBorder="1"/>
    <xf numFmtId="0" fontId="0" fillId="2" borderId="4" xfId="0" applyFill="1" applyBorder="1"/>
    <xf numFmtId="0" fontId="0" fillId="2" borderId="8" xfId="0" applyFill="1" applyBorder="1"/>
    <xf numFmtId="0" fontId="2" fillId="3" borderId="6" xfId="0" applyFont="1" applyFill="1" applyBorder="1" applyAlignment="1">
      <alignment horizontal="center" vertical="center"/>
    </xf>
    <xf numFmtId="0" fontId="3" fillId="4" borderId="1" xfId="0" applyFont="1" applyFill="1" applyBorder="1" applyAlignment="1">
      <alignment horizontal="left" vertical="center"/>
    </xf>
    <xf numFmtId="0" fontId="3" fillId="4" borderId="2" xfId="0" applyFont="1" applyFill="1" applyBorder="1" applyAlignment="1">
      <alignment horizontal="left" vertical="center"/>
    </xf>
    <xf numFmtId="0" fontId="12" fillId="5" borderId="0" xfId="0" applyFont="1" applyFill="1" applyBorder="1"/>
    <xf numFmtId="0" fontId="3" fillId="5" borderId="0" xfId="0" applyFont="1" applyFill="1" applyBorder="1" applyAlignment="1">
      <alignment horizontal="center" vertical="center" wrapText="1"/>
    </xf>
    <xf numFmtId="0" fontId="4" fillId="5" borderId="9" xfId="0" applyFont="1" applyFill="1" applyBorder="1" applyAlignment="1">
      <alignment horizontal="left" vertical="center"/>
    </xf>
    <xf numFmtId="0" fontId="4" fillId="5" borderId="4" xfId="0" applyFont="1" applyFill="1" applyBorder="1" applyAlignment="1">
      <alignment horizontal="left" vertical="center"/>
    </xf>
    <xf numFmtId="0" fontId="3" fillId="5" borderId="4" xfId="0" applyFont="1" applyFill="1" applyBorder="1" applyAlignment="1">
      <alignment horizontal="center" vertical="center" wrapText="1"/>
    </xf>
    <xf numFmtId="0" fontId="3" fillId="5" borderId="8" xfId="0" applyFont="1" applyFill="1" applyBorder="1" applyAlignment="1">
      <alignment horizontal="center" vertical="center" wrapText="1"/>
    </xf>
    <xf numFmtId="0" fontId="4" fillId="5" borderId="2" xfId="0" applyFont="1" applyFill="1" applyBorder="1" applyAlignment="1">
      <alignment horizontal="left" vertical="center"/>
    </xf>
    <xf numFmtId="0" fontId="2" fillId="7" borderId="6" xfId="0" applyFont="1" applyFill="1" applyBorder="1"/>
    <xf numFmtId="0" fontId="2" fillId="7" borderId="0" xfId="0" applyFont="1" applyFill="1" applyBorder="1"/>
    <xf numFmtId="0" fontId="2" fillId="7" borderId="10" xfId="0" applyFont="1" applyFill="1" applyBorder="1"/>
    <xf numFmtId="0" fontId="2" fillId="6" borderId="11" xfId="0" applyFont="1" applyFill="1" applyBorder="1"/>
    <xf numFmtId="0" fontId="2" fillId="6" borderId="0" xfId="0" applyFont="1" applyFill="1" applyBorder="1"/>
    <xf numFmtId="0" fontId="4" fillId="6" borderId="11" xfId="0" applyFont="1" applyFill="1" applyBorder="1" applyAlignment="1">
      <alignment horizontal="left" vertical="center"/>
    </xf>
    <xf numFmtId="0" fontId="0" fillId="6" borderId="0" xfId="0" applyFill="1"/>
    <xf numFmtId="0" fontId="4" fillId="7" borderId="6" xfId="0" applyFont="1" applyFill="1" applyBorder="1" applyAlignment="1">
      <alignment horizontal="left" vertical="center"/>
    </xf>
    <xf numFmtId="0" fontId="3" fillId="7" borderId="7" xfId="0" applyFont="1" applyFill="1" applyBorder="1" applyAlignment="1">
      <alignment horizontal="left" vertical="center"/>
    </xf>
    <xf numFmtId="0" fontId="3" fillId="7" borderId="12" xfId="0" applyFont="1" applyFill="1" applyBorder="1" applyAlignment="1">
      <alignment horizontal="left" vertical="center"/>
    </xf>
    <xf numFmtId="0" fontId="2" fillId="7" borderId="12" xfId="0" applyFont="1" applyFill="1" applyBorder="1"/>
    <xf numFmtId="0" fontId="12" fillId="7" borderId="6" xfId="0" applyFont="1" applyFill="1" applyBorder="1"/>
    <xf numFmtId="0" fontId="4" fillId="7" borderId="0" xfId="0" applyFont="1" applyFill="1" applyBorder="1" applyAlignment="1">
      <alignment horizontal="left" vertical="center"/>
    </xf>
    <xf numFmtId="0" fontId="3" fillId="7" borderId="0" xfId="0" applyFont="1" applyFill="1" applyBorder="1" applyAlignment="1">
      <alignment horizontal="left" vertical="center"/>
    </xf>
    <xf numFmtId="0" fontId="2" fillId="6" borderId="6" xfId="0" applyFont="1" applyFill="1" applyBorder="1"/>
    <xf numFmtId="0" fontId="2" fillId="6" borderId="10" xfId="0" applyFont="1" applyFill="1" applyBorder="1"/>
    <xf numFmtId="0" fontId="4" fillId="7" borderId="11" xfId="0" applyFont="1" applyFill="1" applyBorder="1" applyAlignment="1">
      <alignment horizontal="center" vertical="center" wrapText="1"/>
    </xf>
    <xf numFmtId="0" fontId="3" fillId="7" borderId="0" xfId="0" applyFont="1" applyFill="1" applyBorder="1" applyAlignment="1">
      <alignment horizontal="center" vertical="center" wrapText="1"/>
    </xf>
    <xf numFmtId="0" fontId="2" fillId="7" borderId="11" xfId="0" applyFont="1" applyFill="1" applyBorder="1"/>
    <xf numFmtId="0" fontId="2" fillId="8" borderId="1" xfId="0" applyFont="1" applyFill="1" applyBorder="1"/>
    <xf numFmtId="0" fontId="2" fillId="8" borderId="0" xfId="0" applyFont="1" applyFill="1" applyBorder="1"/>
    <xf numFmtId="0" fontId="2" fillId="8" borderId="4" xfId="0" applyFont="1" applyFill="1" applyBorder="1"/>
    <xf numFmtId="0" fontId="2" fillId="2" borderId="9" xfId="0" applyFont="1" applyFill="1" applyBorder="1"/>
    <xf numFmtId="0" fontId="0" fillId="0" borderId="13" xfId="0" applyBorder="1"/>
    <xf numFmtId="0" fontId="17" fillId="10" borderId="14" xfId="0" applyFont="1" applyFill="1" applyBorder="1" applyAlignment="1">
      <alignment horizontal="center" vertical="center" wrapText="1"/>
    </xf>
    <xf numFmtId="0" fontId="17" fillId="10" borderId="15"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8" xfId="0" applyFont="1" applyFill="1" applyBorder="1" applyAlignment="1">
      <alignment horizontal="center" vertical="center" wrapText="1"/>
    </xf>
    <xf numFmtId="0" fontId="18" fillId="3" borderId="1" xfId="0" applyFont="1" applyFill="1" applyBorder="1" applyAlignment="1">
      <alignment horizontal="center" vertical="center" wrapText="1"/>
    </xf>
    <xf numFmtId="0" fontId="18" fillId="3" borderId="2" xfId="0" applyFont="1" applyFill="1" applyBorder="1" applyAlignment="1">
      <alignment horizontal="center" vertical="center" wrapText="1"/>
    </xf>
    <xf numFmtId="0" fontId="0" fillId="11" borderId="2" xfId="0" quotePrefix="1" applyFill="1" applyBorder="1" applyAlignment="1">
      <alignment horizontal="center" vertical="center" wrapText="1"/>
    </xf>
    <xf numFmtId="0" fontId="3" fillId="3" borderId="2"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3" fillId="4" borderId="2" xfId="0" applyFont="1" applyFill="1" applyBorder="1" applyAlignment="1">
      <alignment horizontal="center" vertical="center" wrapText="1"/>
    </xf>
    <xf numFmtId="0" fontId="20" fillId="4" borderId="1" xfId="0" applyFont="1" applyFill="1" applyBorder="1" applyAlignment="1">
      <alignment horizontal="center" vertical="center" wrapText="1"/>
    </xf>
    <xf numFmtId="0" fontId="20" fillId="4" borderId="2" xfId="0" applyFont="1" applyFill="1" applyBorder="1" applyAlignment="1">
      <alignment horizontal="center" vertical="center" wrapText="1"/>
    </xf>
    <xf numFmtId="0" fontId="17" fillId="4" borderId="2" xfId="0" applyFont="1" applyFill="1" applyBorder="1" applyAlignment="1">
      <alignment horizontal="center" vertical="center" wrapText="1"/>
    </xf>
    <xf numFmtId="0" fontId="18" fillId="4" borderId="2" xfId="0" applyFont="1" applyFill="1" applyBorder="1" applyAlignment="1">
      <alignment horizontal="center" vertical="center" wrapText="1"/>
    </xf>
    <xf numFmtId="0" fontId="17" fillId="5" borderId="1" xfId="0" applyFont="1" applyFill="1" applyBorder="1" applyAlignment="1">
      <alignment horizontal="center" vertical="center" wrapText="1"/>
    </xf>
    <xf numFmtId="0" fontId="18" fillId="5" borderId="2" xfId="0" applyFont="1" applyFill="1" applyBorder="1" applyAlignment="1">
      <alignment horizontal="center" vertical="center" wrapText="1"/>
    </xf>
    <xf numFmtId="0" fontId="17" fillId="5" borderId="2" xfId="0" applyFont="1" applyFill="1" applyBorder="1" applyAlignment="1">
      <alignment horizontal="center" vertical="center" wrapText="1"/>
    </xf>
    <xf numFmtId="0" fontId="17" fillId="5" borderId="9" xfId="0" applyFont="1" applyFill="1" applyBorder="1" applyAlignment="1">
      <alignment horizontal="center" vertical="center" wrapText="1"/>
    </xf>
    <xf numFmtId="0" fontId="18" fillId="5" borderId="4" xfId="0" applyFont="1" applyFill="1" applyBorder="1" applyAlignment="1">
      <alignment horizontal="center" vertical="center" wrapText="1"/>
    </xf>
    <xf numFmtId="0" fontId="17" fillId="5" borderId="4" xfId="0" applyFont="1" applyFill="1" applyBorder="1" applyAlignment="1">
      <alignment horizontal="center" vertical="center" wrapText="1"/>
    </xf>
    <xf numFmtId="0" fontId="17" fillId="6" borderId="1" xfId="0" applyFont="1" applyFill="1" applyBorder="1" applyAlignment="1">
      <alignment horizontal="center" vertical="center" wrapText="1"/>
    </xf>
    <xf numFmtId="0" fontId="18" fillId="6" borderId="2" xfId="0" applyFont="1" applyFill="1" applyBorder="1" applyAlignment="1">
      <alignment horizontal="center" vertical="center" wrapText="1"/>
    </xf>
    <xf numFmtId="0" fontId="18" fillId="6" borderId="3" xfId="0" applyFont="1" applyFill="1" applyBorder="1" applyAlignment="1">
      <alignment horizontal="center" vertical="center" wrapText="1"/>
    </xf>
    <xf numFmtId="0" fontId="17" fillId="6" borderId="2" xfId="0" applyFont="1" applyFill="1" applyBorder="1" applyAlignment="1">
      <alignment horizontal="center" vertical="center" wrapText="1"/>
    </xf>
    <xf numFmtId="0" fontId="0" fillId="12" borderId="2" xfId="0" quotePrefix="1" applyFill="1" applyBorder="1" applyAlignment="1">
      <alignment horizontal="center" vertical="center" wrapText="1"/>
    </xf>
    <xf numFmtId="0" fontId="0" fillId="12" borderId="3" xfId="0" quotePrefix="1" applyFill="1" applyBorder="1" applyAlignment="1">
      <alignment horizontal="center" vertical="center" wrapText="1"/>
    </xf>
    <xf numFmtId="0" fontId="3" fillId="6" borderId="2" xfId="0" applyFont="1" applyFill="1" applyBorder="1" applyAlignment="1">
      <alignment horizontal="center" vertical="center" wrapText="1"/>
    </xf>
    <xf numFmtId="0" fontId="3" fillId="13" borderId="1" xfId="0" applyFont="1" applyFill="1" applyBorder="1" applyAlignment="1">
      <alignment horizontal="center" vertical="center" wrapText="1"/>
    </xf>
    <xf numFmtId="0" fontId="3" fillId="7" borderId="3" xfId="0" applyFont="1" applyFill="1" applyBorder="1" applyAlignment="1">
      <alignment horizontal="center" vertical="center" wrapText="1"/>
    </xf>
    <xf numFmtId="0" fontId="3" fillId="7" borderId="2" xfId="0" applyFont="1" applyFill="1" applyBorder="1" applyAlignment="1">
      <alignment horizontal="center" vertical="center" wrapText="1"/>
    </xf>
    <xf numFmtId="0" fontId="3" fillId="6" borderId="3" xfId="0" applyFont="1" applyFill="1" applyBorder="1" applyAlignment="1">
      <alignment horizontal="center" vertical="center" wrapText="1"/>
    </xf>
    <xf numFmtId="0" fontId="17" fillId="7" borderId="2" xfId="0" applyFont="1" applyFill="1" applyBorder="1" applyAlignment="1">
      <alignment horizontal="center" vertical="center" wrapText="1"/>
    </xf>
    <xf numFmtId="0" fontId="3" fillId="7" borderId="1" xfId="0" applyFont="1" applyFill="1" applyBorder="1" applyAlignment="1">
      <alignment horizontal="center" vertical="center" wrapText="1"/>
    </xf>
    <xf numFmtId="0" fontId="17" fillId="8" borderId="2" xfId="0" applyFont="1" applyFill="1" applyBorder="1" applyAlignment="1">
      <alignment horizontal="center" vertical="center" wrapText="1"/>
    </xf>
    <xf numFmtId="0" fontId="18" fillId="8" borderId="2" xfId="0" applyFont="1" applyFill="1" applyBorder="1" applyAlignment="1">
      <alignment horizontal="center" vertical="center" wrapText="1"/>
    </xf>
    <xf numFmtId="0" fontId="0" fillId="14" borderId="2" xfId="0" quotePrefix="1" applyFill="1" applyBorder="1" applyAlignment="1">
      <alignment horizontal="center" vertical="center" wrapText="1"/>
    </xf>
    <xf numFmtId="0" fontId="0" fillId="14" borderId="3" xfId="0" quotePrefix="1" applyFill="1" applyBorder="1" applyAlignment="1">
      <alignment horizontal="center" vertical="center" wrapText="1"/>
    </xf>
    <xf numFmtId="0" fontId="3" fillId="2" borderId="9" xfId="0" applyFont="1" applyFill="1" applyBorder="1" applyAlignment="1">
      <alignment horizontal="center" vertical="center" wrapText="1"/>
    </xf>
    <xf numFmtId="0" fontId="0" fillId="15" borderId="2" xfId="0" quotePrefix="1" applyFill="1" applyBorder="1" applyAlignment="1">
      <alignment horizontal="center" vertical="center" wrapText="1"/>
    </xf>
    <xf numFmtId="0" fontId="3" fillId="16" borderId="4" xfId="0" quotePrefix="1"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16" borderId="2" xfId="0" applyFont="1" applyFill="1" applyBorder="1" applyAlignment="1">
      <alignment horizontal="center" vertical="center" wrapText="1"/>
    </xf>
    <xf numFmtId="0" fontId="3" fillId="0" borderId="13" xfId="0" applyFont="1" applyBorder="1" applyAlignment="1">
      <alignment horizontal="center" vertical="center" wrapText="1"/>
    </xf>
    <xf numFmtId="0" fontId="0" fillId="0" borderId="0" xfId="0" applyFill="1" applyBorder="1"/>
    <xf numFmtId="0" fontId="0" fillId="0" borderId="0" xfId="0" applyAlignment="1">
      <alignment vertical="top"/>
    </xf>
    <xf numFmtId="0" fontId="3" fillId="8" borderId="1" xfId="0" applyFont="1" applyFill="1" applyBorder="1" applyAlignment="1">
      <alignment horizontal="center" vertical="center" wrapText="1"/>
    </xf>
    <xf numFmtId="0" fontId="3" fillId="8" borderId="2" xfId="0" applyFont="1" applyFill="1" applyBorder="1" applyAlignment="1">
      <alignment horizontal="center" vertical="center" wrapText="1"/>
    </xf>
    <xf numFmtId="0" fontId="0" fillId="0" borderId="0" xfId="0" applyAlignment="1">
      <alignment horizontal="center"/>
    </xf>
    <xf numFmtId="0" fontId="26" fillId="0" borderId="0" xfId="1"/>
    <xf numFmtId="0" fontId="0" fillId="0" borderId="0" xfId="0" applyFill="1"/>
    <xf numFmtId="0" fontId="28" fillId="0" borderId="0" xfId="2"/>
    <xf numFmtId="0" fontId="29" fillId="0" borderId="0" xfId="0" applyFont="1"/>
    <xf numFmtId="165" fontId="0" fillId="0" borderId="0" xfId="0" applyNumberFormat="1"/>
    <xf numFmtId="2" fontId="0" fillId="0" borderId="0" xfId="0" applyNumberFormat="1" applyFill="1"/>
    <xf numFmtId="2" fontId="0" fillId="0" borderId="0" xfId="0" applyNumberFormat="1"/>
    <xf numFmtId="0" fontId="0" fillId="0" borderId="0" xfId="0" applyFill="1" applyAlignment="1">
      <alignment horizontal="center"/>
    </xf>
    <xf numFmtId="0" fontId="1" fillId="0" borderId="0" xfId="0" applyFont="1"/>
    <xf numFmtId="164" fontId="0" fillId="0" borderId="0" xfId="0" applyNumberFormat="1"/>
    <xf numFmtId="1" fontId="0" fillId="0" borderId="0" xfId="0" applyNumberFormat="1"/>
    <xf numFmtId="0" fontId="27" fillId="0" borderId="0" xfId="0" applyFont="1" applyFill="1"/>
    <xf numFmtId="0" fontId="28" fillId="0" borderId="0" xfId="0" applyFont="1" applyFill="1"/>
    <xf numFmtId="0" fontId="28" fillId="0" borderId="0" xfId="0" applyFont="1" applyFill="1" applyAlignment="1">
      <alignment horizontal="right"/>
    </xf>
    <xf numFmtId="0" fontId="27" fillId="0" borderId="0" xfId="0" applyFont="1" applyFill="1" applyAlignment="1">
      <alignment horizontal="center"/>
    </xf>
    <xf numFmtId="1" fontId="27" fillId="0" borderId="0" xfId="0" applyNumberFormat="1" applyFont="1" applyFill="1" applyAlignment="1">
      <alignment horizontal="center"/>
    </xf>
    <xf numFmtId="2" fontId="27" fillId="0" borderId="0" xfId="0" applyNumberFormat="1" applyFont="1" applyFill="1"/>
    <xf numFmtId="1" fontId="1" fillId="0" borderId="0" xfId="0" applyNumberFormat="1" applyFont="1" applyAlignment="1">
      <alignment horizontal="right"/>
    </xf>
    <xf numFmtId="1" fontId="0" fillId="0" borderId="0" xfId="0" applyNumberFormat="1" applyAlignment="1">
      <alignment horizontal="right"/>
    </xf>
    <xf numFmtId="0" fontId="28" fillId="0" borderId="0" xfId="0" applyFont="1" applyFill="1" applyAlignment="1">
      <alignment horizontal="center"/>
    </xf>
    <xf numFmtId="1" fontId="28" fillId="0" borderId="0" xfId="0" applyNumberFormat="1" applyFont="1" applyFill="1" applyAlignment="1">
      <alignment horizontal="center"/>
    </xf>
    <xf numFmtId="2" fontId="28" fillId="0" borderId="0" xfId="0" applyNumberFormat="1" applyFont="1" applyFill="1"/>
    <xf numFmtId="0" fontId="0" fillId="0" borderId="0" xfId="0" applyAlignment="1">
      <alignment horizontal="center"/>
    </xf>
    <xf numFmtId="0" fontId="0" fillId="0" borderId="2" xfId="0" applyBorder="1" applyAlignment="1">
      <alignment wrapText="1"/>
    </xf>
  </cellXfs>
  <cellStyles count="3">
    <cellStyle name="Hyperlink" xfId="1" builtinId="8"/>
    <cellStyle name="Normal" xfId="0" builtinId="0"/>
    <cellStyle name="Normal 2" xfId="2" xr:uid="{0EEDB2E9-9399-6C4A-8C8F-C8CB919A074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mailto:t.chalk@noc.soton.ac.uk,%20elwyn" TargetMode="External"/><Relationship Id="rId21" Type="http://schemas.openxmlformats.org/officeDocument/2006/relationships/hyperlink" Target="https://doi.org/10.1073/pnas.1702143114" TargetMode="External"/><Relationship Id="rId42" Type="http://schemas.openxmlformats.org/officeDocument/2006/relationships/hyperlink" Target="https://doi.org/10.1073/pnas.1702143114" TargetMode="External"/><Relationship Id="rId63" Type="http://schemas.openxmlformats.org/officeDocument/2006/relationships/hyperlink" Target="https://doi.org/10.1073/pnas.1702143114" TargetMode="External"/><Relationship Id="rId84" Type="http://schemas.openxmlformats.org/officeDocument/2006/relationships/hyperlink" Target="https://doi.org/10.1073/pnas.1702143114" TargetMode="External"/><Relationship Id="rId138" Type="http://schemas.openxmlformats.org/officeDocument/2006/relationships/hyperlink" Target="mailto:t.chalk@noc.soton.ac.uk,%20elwyn" TargetMode="External"/><Relationship Id="rId159" Type="http://schemas.openxmlformats.org/officeDocument/2006/relationships/hyperlink" Target="mailto:t.chalk@noc.soton.ac.uk,%20elwyn" TargetMode="External"/><Relationship Id="rId170" Type="http://schemas.openxmlformats.org/officeDocument/2006/relationships/hyperlink" Target="mailto:t.chalk@noc.soton.ac.uk,%20elwyn" TargetMode="External"/><Relationship Id="rId191" Type="http://schemas.openxmlformats.org/officeDocument/2006/relationships/hyperlink" Target="mailto:t.chalk@noc.soton.ac.uk,%20elwyn" TargetMode="External"/><Relationship Id="rId205" Type="http://schemas.openxmlformats.org/officeDocument/2006/relationships/hyperlink" Target="mailto:t.chalk@noc.soton.ac.uk,%20elwyn" TargetMode="External"/><Relationship Id="rId107" Type="http://schemas.openxmlformats.org/officeDocument/2006/relationships/hyperlink" Target="https://doi.org/10.1073/pnas.1702143114" TargetMode="External"/><Relationship Id="rId11" Type="http://schemas.openxmlformats.org/officeDocument/2006/relationships/hyperlink" Target="https://doi.org/10.1073/pnas.1702143114" TargetMode="External"/><Relationship Id="rId32" Type="http://schemas.openxmlformats.org/officeDocument/2006/relationships/hyperlink" Target="https://doi.org/10.1073/pnas.1702143114" TargetMode="External"/><Relationship Id="rId53" Type="http://schemas.openxmlformats.org/officeDocument/2006/relationships/hyperlink" Target="https://doi.org/10.1073/pnas.1702143114" TargetMode="External"/><Relationship Id="rId74" Type="http://schemas.openxmlformats.org/officeDocument/2006/relationships/hyperlink" Target="https://doi.org/10.1073/pnas.1702143114" TargetMode="External"/><Relationship Id="rId128" Type="http://schemas.openxmlformats.org/officeDocument/2006/relationships/hyperlink" Target="mailto:t.chalk@noc.soton.ac.uk,%20elwyn" TargetMode="External"/><Relationship Id="rId149" Type="http://schemas.openxmlformats.org/officeDocument/2006/relationships/hyperlink" Target="mailto:t.chalk@noc.soton.ac.uk,%20elwyn" TargetMode="External"/><Relationship Id="rId5" Type="http://schemas.openxmlformats.org/officeDocument/2006/relationships/hyperlink" Target="https://doi.org/10.1073/pnas.1702143114" TargetMode="External"/><Relationship Id="rId95" Type="http://schemas.openxmlformats.org/officeDocument/2006/relationships/hyperlink" Target="https://doi.org/10.1073/pnas.1702143114" TargetMode="External"/><Relationship Id="rId160" Type="http://schemas.openxmlformats.org/officeDocument/2006/relationships/hyperlink" Target="mailto:t.chalk@noc.soton.ac.uk,%20elwyn" TargetMode="External"/><Relationship Id="rId181" Type="http://schemas.openxmlformats.org/officeDocument/2006/relationships/hyperlink" Target="mailto:t.chalk@noc.soton.ac.uk,%20elwyn" TargetMode="External"/><Relationship Id="rId216" Type="http://schemas.openxmlformats.org/officeDocument/2006/relationships/hyperlink" Target="mailto:t.chalk@noc.soton.ac.uk,%20elwyn" TargetMode="External"/><Relationship Id="rId22" Type="http://schemas.openxmlformats.org/officeDocument/2006/relationships/hyperlink" Target="https://doi.org/10.1073/pnas.1702143114" TargetMode="External"/><Relationship Id="rId43" Type="http://schemas.openxmlformats.org/officeDocument/2006/relationships/hyperlink" Target="https://doi.org/10.1073/pnas.1702143114" TargetMode="External"/><Relationship Id="rId64" Type="http://schemas.openxmlformats.org/officeDocument/2006/relationships/hyperlink" Target="https://doi.org/10.1073/pnas.1702143114" TargetMode="External"/><Relationship Id="rId118" Type="http://schemas.openxmlformats.org/officeDocument/2006/relationships/hyperlink" Target="mailto:t.chalk@noc.soton.ac.uk,%20elwyn" TargetMode="External"/><Relationship Id="rId139" Type="http://schemas.openxmlformats.org/officeDocument/2006/relationships/hyperlink" Target="mailto:t.chalk@noc.soton.ac.uk,%20elwyn" TargetMode="External"/><Relationship Id="rId85" Type="http://schemas.openxmlformats.org/officeDocument/2006/relationships/hyperlink" Target="https://doi.org/10.1073/pnas.1702143114" TargetMode="External"/><Relationship Id="rId150" Type="http://schemas.openxmlformats.org/officeDocument/2006/relationships/hyperlink" Target="mailto:t.chalk@noc.soton.ac.uk,%20elwyn" TargetMode="External"/><Relationship Id="rId171" Type="http://schemas.openxmlformats.org/officeDocument/2006/relationships/hyperlink" Target="mailto:t.chalk@noc.soton.ac.uk,%20elwyn" TargetMode="External"/><Relationship Id="rId192" Type="http://schemas.openxmlformats.org/officeDocument/2006/relationships/hyperlink" Target="mailto:t.chalk@noc.soton.ac.uk,%20elwyn" TargetMode="External"/><Relationship Id="rId206" Type="http://schemas.openxmlformats.org/officeDocument/2006/relationships/hyperlink" Target="mailto:t.chalk@noc.soton.ac.uk,%20elwyn" TargetMode="External"/><Relationship Id="rId12" Type="http://schemas.openxmlformats.org/officeDocument/2006/relationships/hyperlink" Target="https://doi.org/10.1073/pnas.1702143114" TargetMode="External"/><Relationship Id="rId33" Type="http://schemas.openxmlformats.org/officeDocument/2006/relationships/hyperlink" Target="https://doi.org/10.1073/pnas.1702143114" TargetMode="External"/><Relationship Id="rId108" Type="http://schemas.openxmlformats.org/officeDocument/2006/relationships/hyperlink" Target="https://doi.org/10.1073/pnas.1702143114" TargetMode="External"/><Relationship Id="rId129" Type="http://schemas.openxmlformats.org/officeDocument/2006/relationships/hyperlink" Target="mailto:t.chalk@noc.soton.ac.uk,%20elwyn" TargetMode="External"/><Relationship Id="rId54" Type="http://schemas.openxmlformats.org/officeDocument/2006/relationships/hyperlink" Target="https://doi.org/10.1073/pnas.1702143114" TargetMode="External"/><Relationship Id="rId75" Type="http://schemas.openxmlformats.org/officeDocument/2006/relationships/hyperlink" Target="https://doi.org/10.1073/pnas.1702143114" TargetMode="External"/><Relationship Id="rId96" Type="http://schemas.openxmlformats.org/officeDocument/2006/relationships/hyperlink" Target="https://doi.org/10.1073/pnas.1702143114" TargetMode="External"/><Relationship Id="rId140" Type="http://schemas.openxmlformats.org/officeDocument/2006/relationships/hyperlink" Target="mailto:t.chalk@noc.soton.ac.uk,%20elwyn" TargetMode="External"/><Relationship Id="rId161" Type="http://schemas.openxmlformats.org/officeDocument/2006/relationships/hyperlink" Target="mailto:t.chalk@noc.soton.ac.uk,%20elwyn" TargetMode="External"/><Relationship Id="rId182" Type="http://schemas.openxmlformats.org/officeDocument/2006/relationships/hyperlink" Target="mailto:t.chalk@noc.soton.ac.uk,%20elwyn" TargetMode="External"/><Relationship Id="rId217" Type="http://schemas.openxmlformats.org/officeDocument/2006/relationships/hyperlink" Target="mailto:t.chalk@noc.soton.ac.uk,%20elwyn" TargetMode="External"/><Relationship Id="rId6" Type="http://schemas.openxmlformats.org/officeDocument/2006/relationships/hyperlink" Target="https://doi.org/10.1073/pnas.1702143114" TargetMode="External"/><Relationship Id="rId23" Type="http://schemas.openxmlformats.org/officeDocument/2006/relationships/hyperlink" Target="https://doi.org/10.1073/pnas.1702143114" TargetMode="External"/><Relationship Id="rId119" Type="http://schemas.openxmlformats.org/officeDocument/2006/relationships/hyperlink" Target="mailto:t.chalk@noc.soton.ac.uk,%20elwyn" TargetMode="External"/><Relationship Id="rId44" Type="http://schemas.openxmlformats.org/officeDocument/2006/relationships/hyperlink" Target="https://doi.org/10.1073/pnas.1702143114" TargetMode="External"/><Relationship Id="rId65" Type="http://schemas.openxmlformats.org/officeDocument/2006/relationships/hyperlink" Target="https://doi.org/10.1073/pnas.1702143114" TargetMode="External"/><Relationship Id="rId86" Type="http://schemas.openxmlformats.org/officeDocument/2006/relationships/hyperlink" Target="https://doi.org/10.1073/pnas.1702143114" TargetMode="External"/><Relationship Id="rId130" Type="http://schemas.openxmlformats.org/officeDocument/2006/relationships/hyperlink" Target="mailto:t.chalk@noc.soton.ac.uk,%20elwyn" TargetMode="External"/><Relationship Id="rId151" Type="http://schemas.openxmlformats.org/officeDocument/2006/relationships/hyperlink" Target="mailto:t.chalk@noc.soton.ac.uk,%20elwyn" TargetMode="External"/><Relationship Id="rId172" Type="http://schemas.openxmlformats.org/officeDocument/2006/relationships/hyperlink" Target="mailto:t.chalk@noc.soton.ac.uk,%20elwyn" TargetMode="External"/><Relationship Id="rId193" Type="http://schemas.openxmlformats.org/officeDocument/2006/relationships/hyperlink" Target="mailto:t.chalk@noc.soton.ac.uk,%20elwyn" TargetMode="External"/><Relationship Id="rId207" Type="http://schemas.openxmlformats.org/officeDocument/2006/relationships/hyperlink" Target="mailto:t.chalk@noc.soton.ac.uk,%20elwyn" TargetMode="External"/><Relationship Id="rId13" Type="http://schemas.openxmlformats.org/officeDocument/2006/relationships/hyperlink" Target="https://doi.org/10.1073/pnas.1702143114" TargetMode="External"/><Relationship Id="rId109" Type="http://schemas.openxmlformats.org/officeDocument/2006/relationships/hyperlink" Target="https://doi.org/10.1073/pnas.1702143114" TargetMode="External"/><Relationship Id="rId34" Type="http://schemas.openxmlformats.org/officeDocument/2006/relationships/hyperlink" Target="https://doi.org/10.1073/pnas.1702143114" TargetMode="External"/><Relationship Id="rId55" Type="http://schemas.openxmlformats.org/officeDocument/2006/relationships/hyperlink" Target="https://doi.org/10.1073/pnas.1702143114" TargetMode="External"/><Relationship Id="rId76" Type="http://schemas.openxmlformats.org/officeDocument/2006/relationships/hyperlink" Target="https://doi.org/10.1073/pnas.1702143114" TargetMode="External"/><Relationship Id="rId97" Type="http://schemas.openxmlformats.org/officeDocument/2006/relationships/hyperlink" Target="https://doi.org/10.1073/pnas.1702143114" TargetMode="External"/><Relationship Id="rId120" Type="http://schemas.openxmlformats.org/officeDocument/2006/relationships/hyperlink" Target="mailto:t.chalk@noc.soton.ac.uk,%20elwyn" TargetMode="External"/><Relationship Id="rId141" Type="http://schemas.openxmlformats.org/officeDocument/2006/relationships/hyperlink" Target="mailto:t.chalk@noc.soton.ac.uk,%20elwyn" TargetMode="External"/><Relationship Id="rId7" Type="http://schemas.openxmlformats.org/officeDocument/2006/relationships/hyperlink" Target="https://doi.org/10.1073/pnas.1702143114" TargetMode="External"/><Relationship Id="rId162" Type="http://schemas.openxmlformats.org/officeDocument/2006/relationships/hyperlink" Target="mailto:t.chalk@noc.soton.ac.uk,%20elwyn" TargetMode="External"/><Relationship Id="rId183" Type="http://schemas.openxmlformats.org/officeDocument/2006/relationships/hyperlink" Target="mailto:t.chalk@noc.soton.ac.uk,%20elwyn" TargetMode="External"/><Relationship Id="rId218" Type="http://schemas.openxmlformats.org/officeDocument/2006/relationships/hyperlink" Target="mailto:t.chalk@noc.soton.ac.uk,%20elwyn" TargetMode="External"/><Relationship Id="rId24" Type="http://schemas.openxmlformats.org/officeDocument/2006/relationships/hyperlink" Target="https://doi.org/10.1073/pnas.1702143114" TargetMode="External"/><Relationship Id="rId45" Type="http://schemas.openxmlformats.org/officeDocument/2006/relationships/hyperlink" Target="https://doi.org/10.1073/pnas.1702143114" TargetMode="External"/><Relationship Id="rId66" Type="http://schemas.openxmlformats.org/officeDocument/2006/relationships/hyperlink" Target="https://doi.org/10.1073/pnas.1702143114" TargetMode="External"/><Relationship Id="rId87" Type="http://schemas.openxmlformats.org/officeDocument/2006/relationships/hyperlink" Target="https://doi.org/10.1073/pnas.1702143114" TargetMode="External"/><Relationship Id="rId110" Type="http://schemas.openxmlformats.org/officeDocument/2006/relationships/hyperlink" Target="https://doi.org/10.1073/pnas.1702143114" TargetMode="External"/><Relationship Id="rId131" Type="http://schemas.openxmlformats.org/officeDocument/2006/relationships/hyperlink" Target="mailto:t.chalk@noc.soton.ac.uk,%20elwyn" TargetMode="External"/><Relationship Id="rId152" Type="http://schemas.openxmlformats.org/officeDocument/2006/relationships/hyperlink" Target="mailto:t.chalk@noc.soton.ac.uk,%20elwyn" TargetMode="External"/><Relationship Id="rId173" Type="http://schemas.openxmlformats.org/officeDocument/2006/relationships/hyperlink" Target="mailto:t.chalk@noc.soton.ac.uk,%20elwyn" TargetMode="External"/><Relationship Id="rId194" Type="http://schemas.openxmlformats.org/officeDocument/2006/relationships/hyperlink" Target="mailto:t.chalk@noc.soton.ac.uk,%20elwyn" TargetMode="External"/><Relationship Id="rId208" Type="http://schemas.openxmlformats.org/officeDocument/2006/relationships/hyperlink" Target="mailto:t.chalk@noc.soton.ac.uk,%20elwyn" TargetMode="External"/><Relationship Id="rId14" Type="http://schemas.openxmlformats.org/officeDocument/2006/relationships/hyperlink" Target="https://doi.org/10.1073/pnas.1702143114" TargetMode="External"/><Relationship Id="rId30" Type="http://schemas.openxmlformats.org/officeDocument/2006/relationships/hyperlink" Target="https://doi.org/10.1073/pnas.1702143114" TargetMode="External"/><Relationship Id="rId35" Type="http://schemas.openxmlformats.org/officeDocument/2006/relationships/hyperlink" Target="https://doi.org/10.1073/pnas.1702143114" TargetMode="External"/><Relationship Id="rId56" Type="http://schemas.openxmlformats.org/officeDocument/2006/relationships/hyperlink" Target="https://doi.org/10.1073/pnas.1702143114" TargetMode="External"/><Relationship Id="rId77" Type="http://schemas.openxmlformats.org/officeDocument/2006/relationships/hyperlink" Target="https://doi.org/10.1073/pnas.1702143114" TargetMode="External"/><Relationship Id="rId100" Type="http://schemas.openxmlformats.org/officeDocument/2006/relationships/hyperlink" Target="https://doi.org/10.1073/pnas.1702143114" TargetMode="External"/><Relationship Id="rId105" Type="http://schemas.openxmlformats.org/officeDocument/2006/relationships/hyperlink" Target="https://doi.org/10.1073/pnas.1702143114" TargetMode="External"/><Relationship Id="rId126" Type="http://schemas.openxmlformats.org/officeDocument/2006/relationships/hyperlink" Target="mailto:t.chalk@noc.soton.ac.uk,%20elwyn" TargetMode="External"/><Relationship Id="rId147" Type="http://schemas.openxmlformats.org/officeDocument/2006/relationships/hyperlink" Target="mailto:t.chalk@noc.soton.ac.uk,%20elwyn" TargetMode="External"/><Relationship Id="rId168" Type="http://schemas.openxmlformats.org/officeDocument/2006/relationships/hyperlink" Target="mailto:t.chalk@noc.soton.ac.uk,%20elwyn" TargetMode="External"/><Relationship Id="rId8" Type="http://schemas.openxmlformats.org/officeDocument/2006/relationships/hyperlink" Target="https://doi.org/10.1073/pnas.1702143114" TargetMode="External"/><Relationship Id="rId51" Type="http://schemas.openxmlformats.org/officeDocument/2006/relationships/hyperlink" Target="https://doi.org/10.1073/pnas.1702143114" TargetMode="External"/><Relationship Id="rId72" Type="http://schemas.openxmlformats.org/officeDocument/2006/relationships/hyperlink" Target="https://doi.org/10.1073/pnas.1702143114" TargetMode="External"/><Relationship Id="rId93" Type="http://schemas.openxmlformats.org/officeDocument/2006/relationships/hyperlink" Target="https://doi.org/10.1073/pnas.1702143114" TargetMode="External"/><Relationship Id="rId98" Type="http://schemas.openxmlformats.org/officeDocument/2006/relationships/hyperlink" Target="https://doi.org/10.1073/pnas.1702143114" TargetMode="External"/><Relationship Id="rId121" Type="http://schemas.openxmlformats.org/officeDocument/2006/relationships/hyperlink" Target="mailto:t.chalk@noc.soton.ac.uk,%20elwyn" TargetMode="External"/><Relationship Id="rId142" Type="http://schemas.openxmlformats.org/officeDocument/2006/relationships/hyperlink" Target="mailto:t.chalk@noc.soton.ac.uk,%20elwyn" TargetMode="External"/><Relationship Id="rId163" Type="http://schemas.openxmlformats.org/officeDocument/2006/relationships/hyperlink" Target="mailto:t.chalk@noc.soton.ac.uk,%20elwyn" TargetMode="External"/><Relationship Id="rId184" Type="http://schemas.openxmlformats.org/officeDocument/2006/relationships/hyperlink" Target="mailto:t.chalk@noc.soton.ac.uk,%20elwyn" TargetMode="External"/><Relationship Id="rId189" Type="http://schemas.openxmlformats.org/officeDocument/2006/relationships/hyperlink" Target="mailto:t.chalk@noc.soton.ac.uk,%20elwyn" TargetMode="External"/><Relationship Id="rId219" Type="http://schemas.openxmlformats.org/officeDocument/2006/relationships/hyperlink" Target="mailto:t.chalk@noc.soton.ac.uk,%20elwyn" TargetMode="External"/><Relationship Id="rId3" Type="http://schemas.openxmlformats.org/officeDocument/2006/relationships/hyperlink" Target="https://doi.org/10.1073/pnas.1702143114" TargetMode="External"/><Relationship Id="rId214" Type="http://schemas.openxmlformats.org/officeDocument/2006/relationships/hyperlink" Target="mailto:t.chalk@noc.soton.ac.uk,%20elwyn" TargetMode="External"/><Relationship Id="rId25" Type="http://schemas.openxmlformats.org/officeDocument/2006/relationships/hyperlink" Target="https://doi.org/10.1073/pnas.1702143114" TargetMode="External"/><Relationship Id="rId46" Type="http://schemas.openxmlformats.org/officeDocument/2006/relationships/hyperlink" Target="https://doi.org/10.1073/pnas.1702143114" TargetMode="External"/><Relationship Id="rId67" Type="http://schemas.openxmlformats.org/officeDocument/2006/relationships/hyperlink" Target="https://doi.org/10.1073/pnas.1702143114" TargetMode="External"/><Relationship Id="rId116" Type="http://schemas.openxmlformats.org/officeDocument/2006/relationships/hyperlink" Target="mailto:t.chalk@noc.soton.ac.uk,%20elwyn" TargetMode="External"/><Relationship Id="rId137" Type="http://schemas.openxmlformats.org/officeDocument/2006/relationships/hyperlink" Target="mailto:t.chalk@noc.soton.ac.uk,%20elwyn" TargetMode="External"/><Relationship Id="rId158" Type="http://schemas.openxmlformats.org/officeDocument/2006/relationships/hyperlink" Target="mailto:t.chalk@noc.soton.ac.uk,%20elwyn" TargetMode="External"/><Relationship Id="rId20" Type="http://schemas.openxmlformats.org/officeDocument/2006/relationships/hyperlink" Target="https://doi.org/10.1073/pnas.1702143114" TargetMode="External"/><Relationship Id="rId41" Type="http://schemas.openxmlformats.org/officeDocument/2006/relationships/hyperlink" Target="https://doi.org/10.1073/pnas.1702143114" TargetMode="External"/><Relationship Id="rId62" Type="http://schemas.openxmlformats.org/officeDocument/2006/relationships/hyperlink" Target="https://doi.org/10.1073/pnas.1702143114" TargetMode="External"/><Relationship Id="rId83" Type="http://schemas.openxmlformats.org/officeDocument/2006/relationships/hyperlink" Target="https://doi.org/10.1073/pnas.1702143114" TargetMode="External"/><Relationship Id="rId88" Type="http://schemas.openxmlformats.org/officeDocument/2006/relationships/hyperlink" Target="https://doi.org/10.1073/pnas.1702143114" TargetMode="External"/><Relationship Id="rId111" Type="http://schemas.openxmlformats.org/officeDocument/2006/relationships/hyperlink" Target="https://doi.org/10.1073/pnas.1702143114" TargetMode="External"/><Relationship Id="rId132" Type="http://schemas.openxmlformats.org/officeDocument/2006/relationships/hyperlink" Target="mailto:t.chalk@noc.soton.ac.uk,%20elwyn" TargetMode="External"/><Relationship Id="rId153" Type="http://schemas.openxmlformats.org/officeDocument/2006/relationships/hyperlink" Target="mailto:t.chalk@noc.soton.ac.uk,%20elwyn" TargetMode="External"/><Relationship Id="rId174" Type="http://schemas.openxmlformats.org/officeDocument/2006/relationships/hyperlink" Target="mailto:t.chalk@noc.soton.ac.uk,%20elwyn" TargetMode="External"/><Relationship Id="rId179" Type="http://schemas.openxmlformats.org/officeDocument/2006/relationships/hyperlink" Target="mailto:t.chalk@noc.soton.ac.uk,%20elwyn" TargetMode="External"/><Relationship Id="rId195" Type="http://schemas.openxmlformats.org/officeDocument/2006/relationships/hyperlink" Target="mailto:t.chalk@noc.soton.ac.uk,%20elwyn" TargetMode="External"/><Relationship Id="rId209" Type="http://schemas.openxmlformats.org/officeDocument/2006/relationships/hyperlink" Target="mailto:t.chalk@noc.soton.ac.uk,%20elwyn" TargetMode="External"/><Relationship Id="rId190" Type="http://schemas.openxmlformats.org/officeDocument/2006/relationships/hyperlink" Target="mailto:t.chalk@noc.soton.ac.uk,%20elwyn" TargetMode="External"/><Relationship Id="rId204" Type="http://schemas.openxmlformats.org/officeDocument/2006/relationships/hyperlink" Target="mailto:t.chalk@noc.soton.ac.uk,%20elwyn" TargetMode="External"/><Relationship Id="rId220" Type="http://schemas.openxmlformats.org/officeDocument/2006/relationships/hyperlink" Target="mailto:t.chalk@noc.soton.ac.uk,%20elwyn" TargetMode="External"/><Relationship Id="rId15" Type="http://schemas.openxmlformats.org/officeDocument/2006/relationships/hyperlink" Target="https://doi.org/10.1073/pnas.1702143114" TargetMode="External"/><Relationship Id="rId36" Type="http://schemas.openxmlformats.org/officeDocument/2006/relationships/hyperlink" Target="https://doi.org/10.1073/pnas.1702143114" TargetMode="External"/><Relationship Id="rId57" Type="http://schemas.openxmlformats.org/officeDocument/2006/relationships/hyperlink" Target="https://doi.org/10.1073/pnas.1702143114" TargetMode="External"/><Relationship Id="rId106" Type="http://schemas.openxmlformats.org/officeDocument/2006/relationships/hyperlink" Target="https://doi.org/10.1073/pnas.1702143114" TargetMode="External"/><Relationship Id="rId127" Type="http://schemas.openxmlformats.org/officeDocument/2006/relationships/hyperlink" Target="mailto:t.chalk@noc.soton.ac.uk,%20elwyn" TargetMode="External"/><Relationship Id="rId10" Type="http://schemas.openxmlformats.org/officeDocument/2006/relationships/hyperlink" Target="https://doi.org/10.1073/pnas.1702143114" TargetMode="External"/><Relationship Id="rId31" Type="http://schemas.openxmlformats.org/officeDocument/2006/relationships/hyperlink" Target="https://doi.org/10.1073/pnas.1702143114" TargetMode="External"/><Relationship Id="rId52" Type="http://schemas.openxmlformats.org/officeDocument/2006/relationships/hyperlink" Target="https://doi.org/10.1073/pnas.1702143114" TargetMode="External"/><Relationship Id="rId73" Type="http://schemas.openxmlformats.org/officeDocument/2006/relationships/hyperlink" Target="https://doi.org/10.1073/pnas.1702143114" TargetMode="External"/><Relationship Id="rId78" Type="http://schemas.openxmlformats.org/officeDocument/2006/relationships/hyperlink" Target="https://doi.org/10.1073/pnas.1702143114" TargetMode="External"/><Relationship Id="rId94" Type="http://schemas.openxmlformats.org/officeDocument/2006/relationships/hyperlink" Target="https://doi.org/10.1073/pnas.1702143114" TargetMode="External"/><Relationship Id="rId99" Type="http://schemas.openxmlformats.org/officeDocument/2006/relationships/hyperlink" Target="https://doi.org/10.1073/pnas.1702143114" TargetMode="External"/><Relationship Id="rId101" Type="http://schemas.openxmlformats.org/officeDocument/2006/relationships/hyperlink" Target="https://doi.org/10.1073/pnas.1702143114" TargetMode="External"/><Relationship Id="rId122" Type="http://schemas.openxmlformats.org/officeDocument/2006/relationships/hyperlink" Target="mailto:t.chalk@noc.soton.ac.uk,%20elwyn" TargetMode="External"/><Relationship Id="rId143" Type="http://schemas.openxmlformats.org/officeDocument/2006/relationships/hyperlink" Target="mailto:t.chalk@noc.soton.ac.uk,%20elwyn" TargetMode="External"/><Relationship Id="rId148" Type="http://schemas.openxmlformats.org/officeDocument/2006/relationships/hyperlink" Target="mailto:t.chalk@noc.soton.ac.uk,%20elwyn" TargetMode="External"/><Relationship Id="rId164" Type="http://schemas.openxmlformats.org/officeDocument/2006/relationships/hyperlink" Target="mailto:t.chalk@noc.soton.ac.uk,%20elwyn" TargetMode="External"/><Relationship Id="rId169" Type="http://schemas.openxmlformats.org/officeDocument/2006/relationships/hyperlink" Target="mailto:t.chalk@noc.soton.ac.uk,%20elwyn" TargetMode="External"/><Relationship Id="rId185" Type="http://schemas.openxmlformats.org/officeDocument/2006/relationships/hyperlink" Target="mailto:t.chalk@noc.soton.ac.uk,%20elwyn" TargetMode="External"/><Relationship Id="rId4" Type="http://schemas.openxmlformats.org/officeDocument/2006/relationships/hyperlink" Target="https://doi.org/10.1073/pnas.1702143114" TargetMode="External"/><Relationship Id="rId9" Type="http://schemas.openxmlformats.org/officeDocument/2006/relationships/hyperlink" Target="https://doi.org/10.1073/pnas.1702143114" TargetMode="External"/><Relationship Id="rId180" Type="http://schemas.openxmlformats.org/officeDocument/2006/relationships/hyperlink" Target="mailto:t.chalk@noc.soton.ac.uk,%20elwyn" TargetMode="External"/><Relationship Id="rId210" Type="http://schemas.openxmlformats.org/officeDocument/2006/relationships/hyperlink" Target="mailto:t.chalk@noc.soton.ac.uk,%20elwyn" TargetMode="External"/><Relationship Id="rId215" Type="http://schemas.openxmlformats.org/officeDocument/2006/relationships/hyperlink" Target="mailto:t.chalk@noc.soton.ac.uk,%20elwyn" TargetMode="External"/><Relationship Id="rId26" Type="http://schemas.openxmlformats.org/officeDocument/2006/relationships/hyperlink" Target="https://doi.org/10.1073/pnas.1702143114" TargetMode="External"/><Relationship Id="rId47" Type="http://schemas.openxmlformats.org/officeDocument/2006/relationships/hyperlink" Target="https://doi.org/10.1073/pnas.1702143114" TargetMode="External"/><Relationship Id="rId68" Type="http://schemas.openxmlformats.org/officeDocument/2006/relationships/hyperlink" Target="https://doi.org/10.1073/pnas.1702143114" TargetMode="External"/><Relationship Id="rId89" Type="http://schemas.openxmlformats.org/officeDocument/2006/relationships/hyperlink" Target="https://doi.org/10.1073/pnas.1702143114" TargetMode="External"/><Relationship Id="rId112" Type="http://schemas.openxmlformats.org/officeDocument/2006/relationships/hyperlink" Target="mailto:t.chalk@noc.soton.ac.uk,%20elwyn" TargetMode="External"/><Relationship Id="rId133" Type="http://schemas.openxmlformats.org/officeDocument/2006/relationships/hyperlink" Target="mailto:t.chalk@noc.soton.ac.uk,%20elwyn" TargetMode="External"/><Relationship Id="rId154" Type="http://schemas.openxmlformats.org/officeDocument/2006/relationships/hyperlink" Target="mailto:t.chalk@noc.soton.ac.uk,%20elwyn" TargetMode="External"/><Relationship Id="rId175" Type="http://schemas.openxmlformats.org/officeDocument/2006/relationships/hyperlink" Target="mailto:t.chalk@noc.soton.ac.uk,%20elwyn" TargetMode="External"/><Relationship Id="rId196" Type="http://schemas.openxmlformats.org/officeDocument/2006/relationships/hyperlink" Target="mailto:t.chalk@noc.soton.ac.uk,%20elwyn" TargetMode="External"/><Relationship Id="rId200" Type="http://schemas.openxmlformats.org/officeDocument/2006/relationships/hyperlink" Target="mailto:t.chalk@noc.soton.ac.uk,%20elwyn" TargetMode="External"/><Relationship Id="rId16" Type="http://schemas.openxmlformats.org/officeDocument/2006/relationships/hyperlink" Target="https://doi.org/10.1073/pnas.1702143114" TargetMode="External"/><Relationship Id="rId37" Type="http://schemas.openxmlformats.org/officeDocument/2006/relationships/hyperlink" Target="https://doi.org/10.1073/pnas.1702143114" TargetMode="External"/><Relationship Id="rId58" Type="http://schemas.openxmlformats.org/officeDocument/2006/relationships/hyperlink" Target="https://doi.org/10.1073/pnas.1702143114" TargetMode="External"/><Relationship Id="rId79" Type="http://schemas.openxmlformats.org/officeDocument/2006/relationships/hyperlink" Target="https://doi.org/10.1073/pnas.1702143114" TargetMode="External"/><Relationship Id="rId102" Type="http://schemas.openxmlformats.org/officeDocument/2006/relationships/hyperlink" Target="https://doi.org/10.1073/pnas.1702143114" TargetMode="External"/><Relationship Id="rId123" Type="http://schemas.openxmlformats.org/officeDocument/2006/relationships/hyperlink" Target="mailto:t.chalk@noc.soton.ac.uk,%20elwyn" TargetMode="External"/><Relationship Id="rId144" Type="http://schemas.openxmlformats.org/officeDocument/2006/relationships/hyperlink" Target="mailto:t.chalk@noc.soton.ac.uk,%20elwyn" TargetMode="External"/><Relationship Id="rId90" Type="http://schemas.openxmlformats.org/officeDocument/2006/relationships/hyperlink" Target="https://doi.org/10.1073/pnas.1702143114" TargetMode="External"/><Relationship Id="rId165" Type="http://schemas.openxmlformats.org/officeDocument/2006/relationships/hyperlink" Target="mailto:t.chalk@noc.soton.ac.uk,%20elwyn" TargetMode="External"/><Relationship Id="rId186" Type="http://schemas.openxmlformats.org/officeDocument/2006/relationships/hyperlink" Target="mailto:t.chalk@noc.soton.ac.uk,%20elwyn" TargetMode="External"/><Relationship Id="rId211" Type="http://schemas.openxmlformats.org/officeDocument/2006/relationships/hyperlink" Target="mailto:t.chalk@noc.soton.ac.uk,%20elwyn" TargetMode="External"/><Relationship Id="rId27" Type="http://schemas.openxmlformats.org/officeDocument/2006/relationships/hyperlink" Target="https://doi.org/10.1073/pnas.1702143114" TargetMode="External"/><Relationship Id="rId48" Type="http://schemas.openxmlformats.org/officeDocument/2006/relationships/hyperlink" Target="https://doi.org/10.1073/pnas.1702143114" TargetMode="External"/><Relationship Id="rId69" Type="http://schemas.openxmlformats.org/officeDocument/2006/relationships/hyperlink" Target="https://doi.org/10.1073/pnas.1702143114" TargetMode="External"/><Relationship Id="rId113" Type="http://schemas.openxmlformats.org/officeDocument/2006/relationships/hyperlink" Target="mailto:t.chalk@noc.soton.ac.uk,%20elwyn" TargetMode="External"/><Relationship Id="rId134" Type="http://schemas.openxmlformats.org/officeDocument/2006/relationships/hyperlink" Target="mailto:t.chalk@noc.soton.ac.uk,%20elwyn" TargetMode="External"/><Relationship Id="rId80" Type="http://schemas.openxmlformats.org/officeDocument/2006/relationships/hyperlink" Target="https://doi.org/10.1073/pnas.1702143114" TargetMode="External"/><Relationship Id="rId155" Type="http://schemas.openxmlformats.org/officeDocument/2006/relationships/hyperlink" Target="mailto:t.chalk@noc.soton.ac.uk,%20elwyn" TargetMode="External"/><Relationship Id="rId176" Type="http://schemas.openxmlformats.org/officeDocument/2006/relationships/hyperlink" Target="mailto:t.chalk@noc.soton.ac.uk,%20elwyn" TargetMode="External"/><Relationship Id="rId197" Type="http://schemas.openxmlformats.org/officeDocument/2006/relationships/hyperlink" Target="mailto:t.chalk@noc.soton.ac.uk,%20elwyn" TargetMode="External"/><Relationship Id="rId201" Type="http://schemas.openxmlformats.org/officeDocument/2006/relationships/hyperlink" Target="mailto:t.chalk@noc.soton.ac.uk,%20elwyn" TargetMode="External"/><Relationship Id="rId17" Type="http://schemas.openxmlformats.org/officeDocument/2006/relationships/hyperlink" Target="https://doi.org/10.1073/pnas.1702143114" TargetMode="External"/><Relationship Id="rId38" Type="http://schemas.openxmlformats.org/officeDocument/2006/relationships/hyperlink" Target="https://doi.org/10.1073/pnas.1702143114" TargetMode="External"/><Relationship Id="rId59" Type="http://schemas.openxmlformats.org/officeDocument/2006/relationships/hyperlink" Target="https://doi.org/10.1073/pnas.1702143114" TargetMode="External"/><Relationship Id="rId103" Type="http://schemas.openxmlformats.org/officeDocument/2006/relationships/hyperlink" Target="https://doi.org/10.1073/pnas.1702143114" TargetMode="External"/><Relationship Id="rId124" Type="http://schemas.openxmlformats.org/officeDocument/2006/relationships/hyperlink" Target="mailto:t.chalk@noc.soton.ac.uk,%20elwyn" TargetMode="External"/><Relationship Id="rId70" Type="http://schemas.openxmlformats.org/officeDocument/2006/relationships/hyperlink" Target="https://doi.org/10.1073/pnas.1702143114" TargetMode="External"/><Relationship Id="rId91" Type="http://schemas.openxmlformats.org/officeDocument/2006/relationships/hyperlink" Target="https://doi.org/10.1073/pnas.1702143114" TargetMode="External"/><Relationship Id="rId145" Type="http://schemas.openxmlformats.org/officeDocument/2006/relationships/hyperlink" Target="mailto:t.chalk@noc.soton.ac.uk,%20elwyn" TargetMode="External"/><Relationship Id="rId166" Type="http://schemas.openxmlformats.org/officeDocument/2006/relationships/hyperlink" Target="mailto:t.chalk@noc.soton.ac.uk,%20elwyn" TargetMode="External"/><Relationship Id="rId187" Type="http://schemas.openxmlformats.org/officeDocument/2006/relationships/hyperlink" Target="mailto:t.chalk@noc.soton.ac.uk,%20elwyn" TargetMode="External"/><Relationship Id="rId1" Type="http://schemas.openxmlformats.org/officeDocument/2006/relationships/hyperlink" Target="https://doi.org/10.1073/pnas.1702143114" TargetMode="External"/><Relationship Id="rId212" Type="http://schemas.openxmlformats.org/officeDocument/2006/relationships/hyperlink" Target="mailto:t.chalk@noc.soton.ac.uk,%20elwyn" TargetMode="External"/><Relationship Id="rId28" Type="http://schemas.openxmlformats.org/officeDocument/2006/relationships/hyperlink" Target="https://doi.org/10.1073/pnas.1702143114" TargetMode="External"/><Relationship Id="rId49" Type="http://schemas.openxmlformats.org/officeDocument/2006/relationships/hyperlink" Target="https://doi.org/10.1073/pnas.1702143114" TargetMode="External"/><Relationship Id="rId114" Type="http://schemas.openxmlformats.org/officeDocument/2006/relationships/hyperlink" Target="mailto:t.chalk@noc.soton.ac.uk,%20elwyn" TargetMode="External"/><Relationship Id="rId60" Type="http://schemas.openxmlformats.org/officeDocument/2006/relationships/hyperlink" Target="https://doi.org/10.1073/pnas.1702143114" TargetMode="External"/><Relationship Id="rId81" Type="http://schemas.openxmlformats.org/officeDocument/2006/relationships/hyperlink" Target="https://doi.org/10.1073/pnas.1702143114" TargetMode="External"/><Relationship Id="rId135" Type="http://schemas.openxmlformats.org/officeDocument/2006/relationships/hyperlink" Target="mailto:t.chalk@noc.soton.ac.uk,%20elwyn" TargetMode="External"/><Relationship Id="rId156" Type="http://schemas.openxmlformats.org/officeDocument/2006/relationships/hyperlink" Target="mailto:t.chalk@noc.soton.ac.uk,%20elwyn" TargetMode="External"/><Relationship Id="rId177" Type="http://schemas.openxmlformats.org/officeDocument/2006/relationships/hyperlink" Target="mailto:t.chalk@noc.soton.ac.uk,%20elwyn" TargetMode="External"/><Relationship Id="rId198" Type="http://schemas.openxmlformats.org/officeDocument/2006/relationships/hyperlink" Target="mailto:t.chalk@noc.soton.ac.uk,%20elwyn" TargetMode="External"/><Relationship Id="rId202" Type="http://schemas.openxmlformats.org/officeDocument/2006/relationships/hyperlink" Target="mailto:t.chalk@noc.soton.ac.uk,%20elwyn" TargetMode="External"/><Relationship Id="rId18" Type="http://schemas.openxmlformats.org/officeDocument/2006/relationships/hyperlink" Target="https://doi.org/10.1073/pnas.1702143114" TargetMode="External"/><Relationship Id="rId39" Type="http://schemas.openxmlformats.org/officeDocument/2006/relationships/hyperlink" Target="https://doi.org/10.1073/pnas.1702143114" TargetMode="External"/><Relationship Id="rId50" Type="http://schemas.openxmlformats.org/officeDocument/2006/relationships/hyperlink" Target="https://doi.org/10.1073/pnas.1702143114" TargetMode="External"/><Relationship Id="rId104" Type="http://schemas.openxmlformats.org/officeDocument/2006/relationships/hyperlink" Target="https://doi.org/10.1073/pnas.1702143114" TargetMode="External"/><Relationship Id="rId125" Type="http://schemas.openxmlformats.org/officeDocument/2006/relationships/hyperlink" Target="mailto:t.chalk@noc.soton.ac.uk,%20elwyn" TargetMode="External"/><Relationship Id="rId146" Type="http://schemas.openxmlformats.org/officeDocument/2006/relationships/hyperlink" Target="mailto:t.chalk@noc.soton.ac.uk,%20elwyn" TargetMode="External"/><Relationship Id="rId167" Type="http://schemas.openxmlformats.org/officeDocument/2006/relationships/hyperlink" Target="mailto:t.chalk@noc.soton.ac.uk,%20elwyn" TargetMode="External"/><Relationship Id="rId188" Type="http://schemas.openxmlformats.org/officeDocument/2006/relationships/hyperlink" Target="mailto:t.chalk@noc.soton.ac.uk,%20elwyn" TargetMode="External"/><Relationship Id="rId71" Type="http://schemas.openxmlformats.org/officeDocument/2006/relationships/hyperlink" Target="https://doi.org/10.1073/pnas.1702143114" TargetMode="External"/><Relationship Id="rId92" Type="http://schemas.openxmlformats.org/officeDocument/2006/relationships/hyperlink" Target="https://doi.org/10.1073/pnas.1702143114" TargetMode="External"/><Relationship Id="rId213" Type="http://schemas.openxmlformats.org/officeDocument/2006/relationships/hyperlink" Target="mailto:t.chalk@noc.soton.ac.uk,%20elwyn" TargetMode="External"/><Relationship Id="rId2" Type="http://schemas.openxmlformats.org/officeDocument/2006/relationships/hyperlink" Target="mailto:t.chalk@noc.soton.ac.uk,%20elwyn" TargetMode="External"/><Relationship Id="rId29" Type="http://schemas.openxmlformats.org/officeDocument/2006/relationships/hyperlink" Target="https://doi.org/10.1073/pnas.1702143114" TargetMode="External"/><Relationship Id="rId40" Type="http://schemas.openxmlformats.org/officeDocument/2006/relationships/hyperlink" Target="https://doi.org/10.1073/pnas.1702143114" TargetMode="External"/><Relationship Id="rId115" Type="http://schemas.openxmlformats.org/officeDocument/2006/relationships/hyperlink" Target="mailto:t.chalk@noc.soton.ac.uk,%20elwyn" TargetMode="External"/><Relationship Id="rId136" Type="http://schemas.openxmlformats.org/officeDocument/2006/relationships/hyperlink" Target="mailto:t.chalk@noc.soton.ac.uk,%20elwyn" TargetMode="External"/><Relationship Id="rId157" Type="http://schemas.openxmlformats.org/officeDocument/2006/relationships/hyperlink" Target="mailto:t.chalk@noc.soton.ac.uk,%20elwyn" TargetMode="External"/><Relationship Id="rId178" Type="http://schemas.openxmlformats.org/officeDocument/2006/relationships/hyperlink" Target="mailto:t.chalk@noc.soton.ac.uk,%20elwyn" TargetMode="External"/><Relationship Id="rId61" Type="http://schemas.openxmlformats.org/officeDocument/2006/relationships/hyperlink" Target="https://doi.org/10.1073/pnas.1702143114" TargetMode="External"/><Relationship Id="rId82" Type="http://schemas.openxmlformats.org/officeDocument/2006/relationships/hyperlink" Target="https://doi.org/10.1073/pnas.1702143114" TargetMode="External"/><Relationship Id="rId199" Type="http://schemas.openxmlformats.org/officeDocument/2006/relationships/hyperlink" Target="mailto:t.chalk@noc.soton.ac.uk,%20elwyn" TargetMode="External"/><Relationship Id="rId203" Type="http://schemas.openxmlformats.org/officeDocument/2006/relationships/hyperlink" Target="mailto:t.chalk@noc.soton.ac.uk,%20elwyn" TargetMode="External"/><Relationship Id="rId19" Type="http://schemas.openxmlformats.org/officeDocument/2006/relationships/hyperlink" Target="https://doi.org/10.1073/pnas.170214311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C113"/>
  <sheetViews>
    <sheetView tabSelected="1" topLeftCell="F1" workbookViewId="0">
      <selection activeCell="N3" sqref="N3:O3"/>
    </sheetView>
  </sheetViews>
  <sheetFormatPr baseColWidth="10" defaultColWidth="8.83203125" defaultRowHeight="15" x14ac:dyDescent="0.2"/>
  <cols>
    <col min="4" max="5" width="10.33203125" customWidth="1"/>
    <col min="8" max="8" width="12.33203125" customWidth="1"/>
    <col min="9" max="9" width="11.5" customWidth="1"/>
    <col min="10" max="10" width="12.5" customWidth="1"/>
    <col min="11" max="11" width="17.5" customWidth="1"/>
    <col min="12" max="12" width="11.83203125" customWidth="1"/>
    <col min="13" max="13" width="13.33203125" customWidth="1"/>
    <col min="14" max="14" width="11.33203125" customWidth="1"/>
    <col min="15" max="15" width="11" customWidth="1"/>
    <col min="16" max="16" width="11.83203125" customWidth="1"/>
    <col min="17" max="17" width="13.83203125" customWidth="1"/>
    <col min="18" max="18" width="12.6640625" customWidth="1"/>
    <col min="19" max="19" width="12.1640625" customWidth="1"/>
    <col min="20" max="20" width="13.1640625" customWidth="1"/>
    <col min="21" max="21" width="11.1640625" customWidth="1"/>
    <col min="22" max="22" width="15" customWidth="1"/>
    <col min="27" max="27" width="13.83203125" customWidth="1"/>
    <col min="33" max="33" width="18" customWidth="1"/>
    <col min="34" max="34" width="13.5" customWidth="1"/>
    <col min="35" max="35" width="12.33203125" customWidth="1"/>
    <col min="36" max="36" width="13.6640625" customWidth="1"/>
    <col min="37" max="37" width="14" customWidth="1"/>
    <col min="38" max="38" width="13" customWidth="1"/>
    <col min="39" max="39" width="13.83203125" customWidth="1"/>
    <col min="40" max="40" width="14.33203125" customWidth="1"/>
    <col min="41" max="42" width="14.1640625" customWidth="1"/>
    <col min="43" max="43" width="14.83203125" customWidth="1"/>
    <col min="44" max="44" width="15.33203125" customWidth="1"/>
    <col min="46" max="46" width="14.6640625" customWidth="1"/>
    <col min="47" max="47" width="11.5" customWidth="1"/>
    <col min="48" max="48" width="12.33203125" customWidth="1"/>
    <col min="49" max="49" width="12.83203125" customWidth="1"/>
    <col min="50" max="50" width="15.6640625" customWidth="1"/>
    <col min="51" max="51" width="15.1640625" customWidth="1"/>
    <col min="53" max="53" width="15" customWidth="1"/>
    <col min="54" max="54" width="13.6640625" customWidth="1"/>
    <col min="55" max="55" width="12.5" customWidth="1"/>
    <col min="56" max="56" width="11.83203125" customWidth="1"/>
    <col min="57" max="57" width="17.5" customWidth="1"/>
    <col min="58" max="59" width="15" customWidth="1"/>
    <col min="60" max="61" width="17.33203125" customWidth="1"/>
    <col min="62" max="62" width="14.1640625" customWidth="1"/>
    <col min="63" max="63" width="14.83203125" customWidth="1"/>
    <col min="64" max="64" width="19.6640625" customWidth="1"/>
    <col min="65" max="65" width="16.6640625" customWidth="1"/>
    <col min="66" max="66" width="17.33203125" customWidth="1"/>
    <col min="67" max="67" width="13.33203125" customWidth="1"/>
    <col min="68" max="69" width="14.1640625" customWidth="1"/>
    <col min="70" max="70" width="22.6640625" customWidth="1"/>
    <col min="71" max="71" width="15.33203125" customWidth="1"/>
    <col min="72" max="72" width="11.33203125" customWidth="1"/>
    <col min="73" max="73" width="15.1640625" customWidth="1"/>
    <col min="74" max="74" width="13.83203125" customWidth="1"/>
    <col min="75" max="75" width="14" customWidth="1"/>
    <col min="76" max="76" width="15.33203125" customWidth="1"/>
    <col min="77" max="77" width="12.83203125" customWidth="1"/>
    <col min="78" max="78" width="16" customWidth="1"/>
    <col min="79" max="79" width="15.83203125" customWidth="1"/>
    <col min="80" max="80" width="16.1640625" customWidth="1"/>
    <col min="81" max="81" width="15.83203125" customWidth="1"/>
    <col min="82" max="82" width="15.6640625" customWidth="1"/>
    <col min="83" max="83" width="16.5" customWidth="1"/>
    <col min="84" max="84" width="14" customWidth="1"/>
    <col min="85" max="85" width="15.1640625" customWidth="1"/>
    <col min="86" max="86" width="15.83203125" customWidth="1"/>
    <col min="87" max="87" width="16" customWidth="1"/>
    <col min="88" max="88" width="17.6640625" customWidth="1"/>
    <col min="89" max="89" width="17.5" customWidth="1"/>
    <col min="90" max="90" width="14.6640625" customWidth="1"/>
    <col min="91" max="91" width="17.83203125" customWidth="1"/>
    <col min="92" max="92" width="19.83203125" customWidth="1"/>
    <col min="93" max="93" width="14.5" customWidth="1"/>
    <col min="94" max="94" width="16" customWidth="1"/>
    <col min="95" max="96" width="16.6640625" customWidth="1"/>
    <col min="97" max="97" width="15.83203125" customWidth="1"/>
    <col min="98" max="98" width="16.33203125" customWidth="1"/>
    <col min="99" max="100" width="16.1640625" customWidth="1"/>
    <col min="101" max="101" width="18.33203125" customWidth="1"/>
    <col min="102" max="102" width="17" customWidth="1"/>
    <col min="103" max="103" width="16.1640625" customWidth="1"/>
    <col min="104" max="104" width="17.33203125" customWidth="1"/>
    <col min="105" max="105" width="13.83203125" customWidth="1"/>
    <col min="106" max="106" width="15.1640625" customWidth="1"/>
    <col min="107" max="107" width="14.33203125" customWidth="1"/>
    <col min="108" max="108" width="14" customWidth="1"/>
    <col min="109" max="109" width="15.6640625" customWidth="1"/>
    <col min="110" max="110" width="17.6640625" customWidth="1"/>
    <col min="111" max="111" width="13" customWidth="1"/>
    <col min="112" max="112" width="16" customWidth="1"/>
    <col min="113" max="113" width="13.1640625" customWidth="1"/>
    <col min="114" max="114" width="18.1640625" customWidth="1"/>
    <col min="115" max="115" width="16.1640625" customWidth="1"/>
    <col min="116" max="116" width="16.5" customWidth="1"/>
    <col min="117" max="117" width="16.6640625" customWidth="1"/>
    <col min="118" max="118" width="17.1640625" customWidth="1"/>
    <col min="119" max="119" width="13.5" customWidth="1"/>
    <col min="120" max="120" width="14" customWidth="1"/>
    <col min="121" max="121" width="13.1640625" customWidth="1"/>
    <col min="122" max="122" width="14.6640625" customWidth="1"/>
    <col min="123" max="123" width="12.33203125" customWidth="1"/>
    <col min="124" max="124" width="16.33203125" customWidth="1"/>
    <col min="125" max="125" width="13.1640625" customWidth="1"/>
    <col min="126" max="126" width="13.6640625" customWidth="1"/>
    <col min="127" max="127" width="12" customWidth="1"/>
    <col min="128" max="128" width="14.5" customWidth="1"/>
    <col min="129" max="129" width="13.33203125" customWidth="1"/>
    <col min="130" max="130" width="13.5" customWidth="1"/>
    <col min="131" max="131" width="10.5" customWidth="1"/>
    <col min="132" max="132" width="16.33203125" customWidth="1"/>
    <col min="133" max="133" width="16.83203125" customWidth="1"/>
    <col min="134" max="134" width="15.6640625" customWidth="1"/>
    <col min="135" max="135" width="19.5" customWidth="1"/>
    <col min="136" max="136" width="15.83203125" customWidth="1"/>
    <col min="137" max="137" width="12.6640625" customWidth="1"/>
    <col min="138" max="138" width="15.5" customWidth="1"/>
    <col min="139" max="139" width="13" customWidth="1"/>
    <col min="140" max="140" width="13.6640625" customWidth="1"/>
    <col min="141" max="141" width="15.1640625" customWidth="1"/>
    <col min="142" max="142" width="16.6640625" customWidth="1"/>
    <col min="143" max="143" width="15.5" customWidth="1"/>
    <col min="144" max="144" width="16.1640625" customWidth="1"/>
    <col min="145" max="145" width="15.6640625" customWidth="1"/>
    <col min="146" max="146" width="16.6640625" customWidth="1"/>
    <col min="147" max="147" width="12.6640625" customWidth="1"/>
    <col min="148" max="148" width="17.83203125" customWidth="1"/>
    <col min="149" max="149" width="16.83203125" customWidth="1"/>
    <col min="150" max="150" width="16.1640625" customWidth="1"/>
    <col min="151" max="151" width="17.6640625" customWidth="1"/>
    <col min="152" max="152" width="19.33203125" customWidth="1"/>
    <col min="153" max="153" width="13.6640625" customWidth="1"/>
    <col min="154" max="154" width="20.1640625" customWidth="1"/>
    <col min="155" max="155" width="13.33203125" customWidth="1"/>
    <col min="156" max="156" width="14.33203125" customWidth="1"/>
    <col min="157" max="157" width="14" customWidth="1"/>
    <col min="158" max="158" width="17.6640625" customWidth="1"/>
    <col min="159" max="159" width="15.6640625" customWidth="1"/>
    <col min="160" max="160" width="17" customWidth="1"/>
    <col min="162" max="162" width="14.33203125" customWidth="1"/>
    <col min="163" max="163" width="12.83203125" customWidth="1"/>
    <col min="164" max="164" width="15.5" customWidth="1"/>
    <col min="165" max="165" width="17.6640625" customWidth="1"/>
    <col min="166" max="166" width="15.83203125" customWidth="1"/>
    <col min="167" max="167" width="16.1640625" customWidth="1"/>
    <col min="168" max="168" width="19" customWidth="1"/>
    <col min="169" max="169" width="14" customWidth="1"/>
    <col min="170" max="170" width="17.83203125" customWidth="1"/>
    <col min="171" max="171" width="21.1640625" customWidth="1"/>
    <col min="172" max="172" width="21.5" customWidth="1"/>
    <col min="173" max="173" width="14.83203125" customWidth="1"/>
    <col min="174" max="174" width="13.33203125" customWidth="1"/>
    <col min="175" max="175" width="14.1640625" customWidth="1"/>
    <col min="176" max="176" width="14.6640625" customWidth="1"/>
    <col min="177" max="177" width="14.5" customWidth="1"/>
    <col min="178" max="178" width="14" customWidth="1"/>
    <col min="179" max="179" width="15" customWidth="1"/>
    <col min="180" max="180" width="15.33203125" customWidth="1"/>
    <col min="181" max="181" width="16.5" customWidth="1"/>
    <col min="182" max="182" width="19.33203125" customWidth="1"/>
    <col min="183" max="185" width="15" customWidth="1"/>
  </cols>
  <sheetData>
    <row r="1" spans="1:185" ht="18" x14ac:dyDescent="0.25">
      <c r="Y1" s="19"/>
      <c r="Z1" s="3"/>
      <c r="AA1" s="20" t="s">
        <v>11</v>
      </c>
      <c r="AB1" s="21"/>
      <c r="AC1" s="21"/>
      <c r="AD1" s="21"/>
      <c r="AE1" s="21"/>
      <c r="AF1" s="21"/>
      <c r="AG1" s="22"/>
      <c r="AH1" s="23"/>
      <c r="AI1" s="22"/>
      <c r="AJ1" s="21"/>
      <c r="AK1" s="21"/>
      <c r="AL1" s="21"/>
      <c r="AM1" s="21"/>
      <c r="AN1" s="21"/>
      <c r="AO1" s="21"/>
      <c r="AP1" s="21"/>
      <c r="AQ1" s="21"/>
      <c r="AR1" s="21"/>
      <c r="AS1" s="24" t="s">
        <v>12</v>
      </c>
      <c r="AT1" s="25"/>
      <c r="AU1" s="26"/>
      <c r="AV1" s="26"/>
      <c r="AW1" s="27"/>
      <c r="AX1" s="27"/>
      <c r="AY1" s="27"/>
      <c r="AZ1" s="28"/>
      <c r="BA1" s="27"/>
      <c r="BB1" s="27"/>
      <c r="BC1" s="27"/>
      <c r="BD1" s="27"/>
      <c r="BE1" s="27"/>
      <c r="BF1" s="27"/>
      <c r="BG1" s="29" t="s">
        <v>13</v>
      </c>
      <c r="BH1" s="30"/>
      <c r="BI1" s="30"/>
      <c r="BJ1" s="30"/>
      <c r="BK1" s="30"/>
      <c r="BL1" s="30"/>
      <c r="BM1" s="30"/>
      <c r="BN1" s="31"/>
      <c r="BO1" s="32"/>
      <c r="BP1" s="32"/>
      <c r="BQ1" s="32"/>
      <c r="BR1" s="33"/>
      <c r="BS1" s="34"/>
      <c r="BT1" s="35" t="s">
        <v>14</v>
      </c>
      <c r="BU1" s="36"/>
      <c r="BV1" s="36"/>
      <c r="BW1" s="36"/>
      <c r="BX1" s="36"/>
      <c r="BY1" s="36"/>
      <c r="BZ1" s="36"/>
      <c r="CA1" s="37"/>
      <c r="CB1" s="38" t="s">
        <v>15</v>
      </c>
      <c r="CC1" s="38"/>
      <c r="CD1" s="39"/>
      <c r="CE1" s="39"/>
      <c r="CF1" s="39"/>
      <c r="CG1" s="40" t="s">
        <v>16</v>
      </c>
      <c r="CH1" s="41"/>
      <c r="CI1" s="42"/>
      <c r="CJ1" s="40"/>
      <c r="CK1" s="43"/>
      <c r="CL1" s="43"/>
      <c r="CM1" s="44"/>
      <c r="CN1" s="40" t="s">
        <v>17</v>
      </c>
      <c r="CO1" s="45"/>
      <c r="CP1" s="43"/>
      <c r="CQ1" s="43"/>
      <c r="CR1" s="43"/>
      <c r="CS1" s="43"/>
      <c r="CT1" s="43"/>
      <c r="CU1" s="43"/>
      <c r="CV1" s="43"/>
      <c r="CW1" s="43"/>
      <c r="CX1" s="43"/>
      <c r="CY1" s="43"/>
      <c r="CZ1" s="40" t="s">
        <v>18</v>
      </c>
      <c r="DA1" s="43"/>
      <c r="DB1" s="43"/>
      <c r="DC1" s="43"/>
      <c r="DD1" s="43"/>
      <c r="DE1" s="43"/>
      <c r="DF1" s="44"/>
      <c r="DG1" s="41" t="s">
        <v>19</v>
      </c>
      <c r="DH1" s="41"/>
      <c r="DI1" s="41"/>
      <c r="DJ1" s="41"/>
      <c r="DK1" s="41"/>
      <c r="DL1" s="41"/>
      <c r="DM1" s="41"/>
      <c r="DN1" s="41"/>
      <c r="DO1" s="41"/>
      <c r="DP1" s="41"/>
      <c r="DQ1" s="41"/>
      <c r="DR1" s="41"/>
      <c r="DS1" s="41"/>
      <c r="DT1" s="41"/>
      <c r="DU1" s="41"/>
      <c r="DV1" s="41"/>
      <c r="DW1" s="41"/>
      <c r="DX1" s="41"/>
      <c r="DY1" s="41"/>
      <c r="DZ1" s="41"/>
      <c r="EA1" s="46"/>
      <c r="EB1" s="43"/>
      <c r="EC1" s="43"/>
      <c r="ED1" s="44"/>
      <c r="EE1" s="41"/>
      <c r="EF1" s="41"/>
      <c r="EG1" s="47" t="s">
        <v>20</v>
      </c>
      <c r="EH1" s="41"/>
      <c r="EI1" s="41"/>
      <c r="EJ1" s="41"/>
      <c r="EK1" s="41"/>
      <c r="EL1" s="42"/>
      <c r="EM1" s="47" t="s">
        <v>21</v>
      </c>
      <c r="EN1" s="41"/>
      <c r="EO1" s="41"/>
      <c r="EP1" s="41"/>
      <c r="EQ1" s="41"/>
      <c r="ER1" s="48"/>
      <c r="ES1" s="48"/>
      <c r="ET1" s="49" t="s">
        <v>22</v>
      </c>
      <c r="EU1" s="50"/>
      <c r="EV1" s="50"/>
      <c r="EW1" s="51"/>
      <c r="EX1" s="51"/>
      <c r="EY1" s="51"/>
      <c r="EZ1" s="51"/>
      <c r="FA1" s="51"/>
      <c r="FB1" s="51"/>
      <c r="FC1" s="51"/>
      <c r="FD1" s="51"/>
      <c r="FE1" s="52" t="s">
        <v>23</v>
      </c>
      <c r="FF1" s="53"/>
      <c r="FG1" s="53"/>
      <c r="FH1" s="53"/>
      <c r="FI1" s="54"/>
      <c r="FJ1" s="54"/>
      <c r="FK1" s="54"/>
      <c r="FL1" s="54"/>
      <c r="FM1" s="53"/>
      <c r="FN1" s="53"/>
      <c r="FO1" s="53"/>
      <c r="FP1" s="53"/>
      <c r="FQ1" s="52"/>
      <c r="FR1" s="53"/>
      <c r="FS1" s="53"/>
      <c r="FT1" s="53"/>
      <c r="FU1" s="53"/>
      <c r="FV1" s="53"/>
      <c r="FW1" s="21"/>
      <c r="FX1" s="21"/>
      <c r="FY1" s="21"/>
      <c r="FZ1" s="21"/>
      <c r="GA1" s="21"/>
      <c r="GB1" s="21"/>
      <c r="GC1" s="5"/>
    </row>
    <row r="2" spans="1:185" ht="20" x14ac:dyDescent="0.25">
      <c r="A2" s="1"/>
      <c r="B2" s="2"/>
      <c r="C2" s="2"/>
      <c r="D2" s="2"/>
      <c r="E2" s="2"/>
      <c r="F2" s="2"/>
      <c r="G2" s="2"/>
      <c r="H2" s="2"/>
      <c r="I2" s="2"/>
      <c r="J2" s="2"/>
      <c r="K2" s="2"/>
      <c r="L2" s="3"/>
      <c r="M2" s="4"/>
      <c r="N2" s="4"/>
      <c r="O2" s="4"/>
      <c r="P2" s="4"/>
      <c r="R2" s="5"/>
      <c r="S2" s="165"/>
      <c r="T2" s="165"/>
      <c r="U2" s="165"/>
      <c r="V2" s="165"/>
      <c r="W2" s="165"/>
      <c r="X2" s="5"/>
      <c r="Y2" s="55"/>
      <c r="Z2" s="56"/>
      <c r="AA2" s="57"/>
      <c r="AB2" s="57"/>
      <c r="AC2" s="57"/>
      <c r="AD2" s="57"/>
      <c r="AE2" s="57"/>
      <c r="AF2" s="57"/>
      <c r="AG2" s="58"/>
      <c r="AH2" s="59"/>
      <c r="AI2" s="58"/>
      <c r="AJ2" s="57"/>
      <c r="AK2" s="57"/>
      <c r="AL2" s="57"/>
      <c r="AM2" s="57"/>
      <c r="AN2" s="57"/>
      <c r="AO2" s="57"/>
      <c r="AP2" s="57"/>
      <c r="AQ2" s="57"/>
      <c r="AR2" s="57"/>
      <c r="AS2" s="60"/>
      <c r="AT2" s="25"/>
      <c r="AU2" s="26"/>
      <c r="AV2" s="26"/>
      <c r="AW2" s="27"/>
      <c r="AX2" s="27"/>
      <c r="AY2" s="27"/>
      <c r="AZ2" s="28" t="s">
        <v>24</v>
      </c>
      <c r="BA2" s="27"/>
      <c r="BB2" s="27"/>
      <c r="BC2" s="27"/>
      <c r="BD2" s="27"/>
      <c r="BE2" s="27"/>
      <c r="BF2" s="27"/>
      <c r="BG2" s="31"/>
      <c r="BH2" s="32"/>
      <c r="BI2" s="30"/>
      <c r="BJ2" s="30"/>
      <c r="BK2" s="30"/>
      <c r="BL2" s="30"/>
      <c r="BM2" s="32"/>
      <c r="BN2" s="61" t="s">
        <v>25</v>
      </c>
      <c r="BO2" s="62"/>
      <c r="BP2" s="62"/>
      <c r="BQ2" s="32"/>
      <c r="BR2" s="33"/>
      <c r="BS2" s="34"/>
      <c r="BT2" s="63" t="s">
        <v>26</v>
      </c>
      <c r="BU2" s="64"/>
      <c r="BV2" s="64"/>
      <c r="BW2" s="65" t="s">
        <v>27</v>
      </c>
      <c r="BX2" s="66"/>
      <c r="BY2" s="67"/>
      <c r="BZ2" s="67"/>
      <c r="CA2" s="68"/>
      <c r="CB2" s="69"/>
      <c r="CC2" s="69"/>
      <c r="CD2" s="36"/>
      <c r="CE2" s="36"/>
      <c r="CF2" s="36"/>
      <c r="CG2" s="70" t="s">
        <v>28</v>
      </c>
      <c r="CH2" s="71"/>
      <c r="CI2" s="72"/>
      <c r="CJ2" s="73" t="s">
        <v>29</v>
      </c>
      <c r="CK2" s="74"/>
      <c r="CL2" s="74"/>
      <c r="CM2" s="74"/>
      <c r="CN2" s="75" t="s">
        <v>30</v>
      </c>
      <c r="CO2" s="76"/>
      <c r="CP2" s="74"/>
      <c r="CQ2" s="74"/>
      <c r="CR2" s="74"/>
      <c r="CS2" s="74"/>
      <c r="CT2" s="74"/>
      <c r="CU2" s="74"/>
      <c r="CV2" s="74"/>
      <c r="CW2" s="74"/>
      <c r="CX2" s="74"/>
      <c r="CY2" s="74"/>
      <c r="CZ2" s="40" t="s">
        <v>31</v>
      </c>
      <c r="DA2" s="45"/>
      <c r="DB2" s="43"/>
      <c r="DC2" s="43"/>
      <c r="DD2" s="43"/>
      <c r="DE2" s="43"/>
      <c r="DF2" s="44"/>
      <c r="DG2" s="71" t="s">
        <v>32</v>
      </c>
      <c r="DH2" s="71"/>
      <c r="DI2" s="71"/>
      <c r="DJ2" s="71"/>
      <c r="DK2" s="77" t="s">
        <v>33</v>
      </c>
      <c r="DL2" s="78"/>
      <c r="DM2" s="78"/>
      <c r="DN2" s="79"/>
      <c r="DO2" s="77" t="s">
        <v>34</v>
      </c>
      <c r="DP2" s="48"/>
      <c r="DQ2" s="48"/>
      <c r="DR2" s="80"/>
      <c r="DS2" s="81" t="s">
        <v>35</v>
      </c>
      <c r="DT2" s="48"/>
      <c r="DU2" s="48"/>
      <c r="DV2" s="80"/>
      <c r="DW2" s="82" t="s">
        <v>36</v>
      </c>
      <c r="DX2" s="83"/>
      <c r="DY2" s="71"/>
      <c r="DZ2" s="71"/>
      <c r="EA2" s="84" t="s">
        <v>37</v>
      </c>
      <c r="EB2" s="74"/>
      <c r="EC2" s="74"/>
      <c r="ED2" s="85"/>
      <c r="EE2" s="71" t="s">
        <v>38</v>
      </c>
      <c r="EF2" s="71"/>
      <c r="EG2" s="86" t="s">
        <v>39</v>
      </c>
      <c r="EH2" s="87"/>
      <c r="EI2" s="87"/>
      <c r="EJ2" s="87"/>
      <c r="EK2" s="71"/>
      <c r="EL2" s="71"/>
      <c r="EM2" s="88"/>
      <c r="EN2" s="71"/>
      <c r="EO2" s="71"/>
      <c r="EP2" s="71"/>
      <c r="EQ2" s="48"/>
      <c r="ER2" s="70" t="s">
        <v>40</v>
      </c>
      <c r="ES2" s="48"/>
      <c r="ET2" s="89"/>
      <c r="EU2" s="51"/>
      <c r="EV2" s="51"/>
      <c r="EW2" s="90"/>
      <c r="EX2" s="90"/>
      <c r="EY2" s="90"/>
      <c r="EZ2" s="90"/>
      <c r="FA2" s="91"/>
      <c r="FB2" s="91"/>
      <c r="FC2" s="91"/>
      <c r="FD2" s="91"/>
      <c r="FE2" s="92"/>
      <c r="FF2" s="57"/>
      <c r="FG2" s="57"/>
      <c r="FH2" s="57"/>
      <c r="FI2" s="57"/>
      <c r="FJ2" s="57"/>
      <c r="FK2" s="57"/>
      <c r="FL2" s="57"/>
      <c r="FM2" s="57"/>
      <c r="FN2" s="57"/>
      <c r="FO2" s="57"/>
      <c r="FP2" s="57"/>
      <c r="FQ2" s="20"/>
      <c r="FR2" s="21"/>
      <c r="FS2" s="21"/>
      <c r="FT2" s="21"/>
      <c r="FU2" s="21"/>
      <c r="FV2" s="21"/>
      <c r="FW2" s="21"/>
      <c r="FX2" s="21"/>
      <c r="FY2" s="21"/>
      <c r="FZ2" s="21"/>
      <c r="GA2" s="21"/>
      <c r="GB2" s="57"/>
      <c r="GC2" s="93"/>
    </row>
    <row r="3" spans="1:185" ht="409.6" x14ac:dyDescent="0.2">
      <c r="A3" s="6" t="s">
        <v>0</v>
      </c>
      <c r="B3" s="7" t="s">
        <v>1</v>
      </c>
      <c r="C3" s="8" t="s">
        <v>2</v>
      </c>
      <c r="D3" s="9" t="s">
        <v>3</v>
      </c>
      <c r="E3" s="9" t="s">
        <v>4</v>
      </c>
      <c r="F3" s="10" t="s">
        <v>5</v>
      </c>
      <c r="G3" s="10" t="s">
        <v>6</v>
      </c>
      <c r="H3" s="11" t="s">
        <v>7</v>
      </c>
      <c r="I3" s="11" t="s">
        <v>8</v>
      </c>
      <c r="J3" s="9" t="s">
        <v>218</v>
      </c>
      <c r="K3" s="11" t="s">
        <v>219</v>
      </c>
      <c r="L3" s="12" t="s">
        <v>230</v>
      </c>
      <c r="M3" s="13" t="s">
        <v>220</v>
      </c>
      <c r="N3" s="166" t="s">
        <v>231</v>
      </c>
      <c r="O3" s="166" t="s">
        <v>232</v>
      </c>
      <c r="P3" s="13" t="s">
        <v>221</v>
      </c>
      <c r="Q3" s="14" t="s">
        <v>222</v>
      </c>
      <c r="R3" s="15" t="s">
        <v>223</v>
      </c>
      <c r="S3" s="16" t="s">
        <v>224</v>
      </c>
      <c r="T3" s="13" t="s">
        <v>225</v>
      </c>
      <c r="U3" s="13" t="s">
        <v>9</v>
      </c>
      <c r="V3" s="13" t="s">
        <v>226</v>
      </c>
      <c r="W3" s="17" t="s">
        <v>227</v>
      </c>
      <c r="X3" s="18" t="s">
        <v>10</v>
      </c>
      <c r="Y3" s="94" t="s">
        <v>41</v>
      </c>
      <c r="Z3" s="95" t="s">
        <v>42</v>
      </c>
      <c r="AA3" s="96" t="s">
        <v>43</v>
      </c>
      <c r="AB3" s="96" t="s">
        <v>44</v>
      </c>
      <c r="AC3" s="96" t="s">
        <v>45</v>
      </c>
      <c r="AD3" s="96" t="s">
        <v>46</v>
      </c>
      <c r="AE3" s="96" t="s">
        <v>47</v>
      </c>
      <c r="AF3" s="96" t="s">
        <v>48</v>
      </c>
      <c r="AG3" s="96" t="s">
        <v>49</v>
      </c>
      <c r="AH3" s="97" t="s">
        <v>50</v>
      </c>
      <c r="AI3" s="96" t="s">
        <v>51</v>
      </c>
      <c r="AJ3" s="96" t="s">
        <v>52</v>
      </c>
      <c r="AK3" s="96" t="s">
        <v>53</v>
      </c>
      <c r="AL3" s="96" t="s">
        <v>54</v>
      </c>
      <c r="AM3" s="96" t="s">
        <v>55</v>
      </c>
      <c r="AN3" s="96" t="s">
        <v>56</v>
      </c>
      <c r="AO3" s="96" t="s">
        <v>57</v>
      </c>
      <c r="AP3" s="96" t="s">
        <v>58</v>
      </c>
      <c r="AQ3" s="96" t="s">
        <v>59</v>
      </c>
      <c r="AR3" s="96" t="s">
        <v>60</v>
      </c>
      <c r="AS3" s="98" t="s">
        <v>61</v>
      </c>
      <c r="AT3" s="99" t="s">
        <v>62</v>
      </c>
      <c r="AU3" s="100" t="s">
        <v>63</v>
      </c>
      <c r="AV3" s="100" t="s">
        <v>64</v>
      </c>
      <c r="AW3" s="101" t="s">
        <v>65</v>
      </c>
      <c r="AX3" s="101" t="s">
        <v>66</v>
      </c>
      <c r="AY3" s="102" t="s">
        <v>67</v>
      </c>
      <c r="AZ3" s="98" t="s">
        <v>61</v>
      </c>
      <c r="BA3" s="99" t="s">
        <v>62</v>
      </c>
      <c r="BB3" s="100" t="s">
        <v>63</v>
      </c>
      <c r="BC3" s="100" t="s">
        <v>64</v>
      </c>
      <c r="BD3" s="101" t="s">
        <v>65</v>
      </c>
      <c r="BE3" s="101" t="s">
        <v>66</v>
      </c>
      <c r="BF3" s="101" t="s">
        <v>67</v>
      </c>
      <c r="BG3" s="103" t="s">
        <v>68</v>
      </c>
      <c r="BH3" s="104" t="s">
        <v>69</v>
      </c>
      <c r="BI3" s="104" t="s">
        <v>70</v>
      </c>
      <c r="BJ3" s="104" t="s">
        <v>71</v>
      </c>
      <c r="BK3" s="104" t="s">
        <v>72</v>
      </c>
      <c r="BL3" s="104" t="s">
        <v>73</v>
      </c>
      <c r="BM3" s="104" t="s">
        <v>74</v>
      </c>
      <c r="BN3" s="105" t="s">
        <v>75</v>
      </c>
      <c r="BO3" s="106" t="s">
        <v>76</v>
      </c>
      <c r="BP3" s="106" t="s">
        <v>77</v>
      </c>
      <c r="BQ3" s="107" t="s">
        <v>78</v>
      </c>
      <c r="BR3" s="108" t="s">
        <v>79</v>
      </c>
      <c r="BS3" s="108" t="s">
        <v>80</v>
      </c>
      <c r="BT3" s="109" t="s">
        <v>81</v>
      </c>
      <c r="BU3" s="110" t="s">
        <v>82</v>
      </c>
      <c r="BV3" s="111" t="s">
        <v>83</v>
      </c>
      <c r="BW3" s="112" t="s">
        <v>84</v>
      </c>
      <c r="BX3" s="113" t="s">
        <v>82</v>
      </c>
      <c r="BY3" s="114" t="s">
        <v>83</v>
      </c>
      <c r="BZ3" s="67" t="s">
        <v>85</v>
      </c>
      <c r="CA3" s="68" t="s">
        <v>86</v>
      </c>
      <c r="CB3" s="114" t="s">
        <v>87</v>
      </c>
      <c r="CC3" s="110" t="s">
        <v>82</v>
      </c>
      <c r="CD3" s="111" t="s">
        <v>83</v>
      </c>
      <c r="CE3" s="67" t="s">
        <v>213</v>
      </c>
      <c r="CF3" s="67" t="s">
        <v>88</v>
      </c>
      <c r="CG3" s="115" t="s">
        <v>89</v>
      </c>
      <c r="CH3" s="116" t="s">
        <v>62</v>
      </c>
      <c r="CI3" s="117" t="s">
        <v>90</v>
      </c>
      <c r="CJ3" s="118" t="s">
        <v>91</v>
      </c>
      <c r="CK3" s="116" t="s">
        <v>62</v>
      </c>
      <c r="CL3" s="119" t="s">
        <v>92</v>
      </c>
      <c r="CM3" s="120" t="s">
        <v>93</v>
      </c>
      <c r="CN3" s="121" t="s">
        <v>94</v>
      </c>
      <c r="CO3" s="118" t="s">
        <v>95</v>
      </c>
      <c r="CP3" s="116" t="s">
        <v>62</v>
      </c>
      <c r="CQ3" s="119" t="s">
        <v>96</v>
      </c>
      <c r="CR3" s="120" t="s">
        <v>97</v>
      </c>
      <c r="CS3" s="121" t="s">
        <v>98</v>
      </c>
      <c r="CT3" s="121" t="s">
        <v>99</v>
      </c>
      <c r="CU3" s="121" t="s">
        <v>165</v>
      </c>
      <c r="CV3" s="121" t="s">
        <v>164</v>
      </c>
      <c r="CW3" s="121" t="s">
        <v>100</v>
      </c>
      <c r="CX3" s="121" t="s">
        <v>101</v>
      </c>
      <c r="CY3" s="121" t="s">
        <v>102</v>
      </c>
      <c r="CZ3" s="122" t="s">
        <v>103</v>
      </c>
      <c r="DA3" s="118" t="s">
        <v>104</v>
      </c>
      <c r="DB3" s="116" t="s">
        <v>62</v>
      </c>
      <c r="DC3" s="116" t="s">
        <v>105</v>
      </c>
      <c r="DD3" s="121" t="s">
        <v>106</v>
      </c>
      <c r="DE3" s="121" t="s">
        <v>99</v>
      </c>
      <c r="DF3" s="121" t="s">
        <v>107</v>
      </c>
      <c r="DG3" s="115" t="s">
        <v>108</v>
      </c>
      <c r="DH3" s="116" t="s">
        <v>62</v>
      </c>
      <c r="DI3" s="116" t="s">
        <v>105</v>
      </c>
      <c r="DJ3" s="123" t="s">
        <v>109</v>
      </c>
      <c r="DK3" s="118" t="s">
        <v>110</v>
      </c>
      <c r="DL3" s="116" t="s">
        <v>62</v>
      </c>
      <c r="DM3" s="116" t="s">
        <v>105</v>
      </c>
      <c r="DN3" s="123" t="s">
        <v>111</v>
      </c>
      <c r="DO3" s="118" t="s">
        <v>112</v>
      </c>
      <c r="DP3" s="116" t="s">
        <v>62</v>
      </c>
      <c r="DQ3" s="116" t="s">
        <v>105</v>
      </c>
      <c r="DR3" s="123" t="s">
        <v>113</v>
      </c>
      <c r="DS3" s="118" t="s">
        <v>114</v>
      </c>
      <c r="DT3" s="116" t="s">
        <v>62</v>
      </c>
      <c r="DU3" s="116" t="s">
        <v>105</v>
      </c>
      <c r="DV3" s="123" t="s">
        <v>115</v>
      </c>
      <c r="DW3" s="118" t="s">
        <v>116</v>
      </c>
      <c r="DX3" s="116" t="s">
        <v>62</v>
      </c>
      <c r="DY3" s="116" t="s">
        <v>105</v>
      </c>
      <c r="DZ3" s="124" t="s">
        <v>117</v>
      </c>
      <c r="EA3" s="115" t="s">
        <v>118</v>
      </c>
      <c r="EB3" s="116" t="s">
        <v>62</v>
      </c>
      <c r="EC3" s="116" t="s">
        <v>105</v>
      </c>
      <c r="ED3" s="125" t="s">
        <v>119</v>
      </c>
      <c r="EE3" s="124" t="s">
        <v>120</v>
      </c>
      <c r="EF3" s="124" t="s">
        <v>121</v>
      </c>
      <c r="EG3" s="115" t="s">
        <v>122</v>
      </c>
      <c r="EH3" s="116" t="s">
        <v>62</v>
      </c>
      <c r="EI3" s="116" t="s">
        <v>105</v>
      </c>
      <c r="EJ3" s="116" t="s">
        <v>123</v>
      </c>
      <c r="EK3" s="124" t="s">
        <v>124</v>
      </c>
      <c r="EL3" s="123" t="s">
        <v>125</v>
      </c>
      <c r="EM3" s="121" t="s">
        <v>126</v>
      </c>
      <c r="EN3" s="124" t="s">
        <v>127</v>
      </c>
      <c r="EO3" s="124" t="s">
        <v>128</v>
      </c>
      <c r="EP3" s="124" t="s">
        <v>129</v>
      </c>
      <c r="EQ3" s="126" t="s">
        <v>130</v>
      </c>
      <c r="ER3" s="127" t="s">
        <v>131</v>
      </c>
      <c r="ES3" s="124" t="s">
        <v>132</v>
      </c>
      <c r="ET3" s="140" t="s">
        <v>133</v>
      </c>
      <c r="EU3" s="141" t="s">
        <v>134</v>
      </c>
      <c r="EV3" s="141" t="s">
        <v>135</v>
      </c>
      <c r="EW3" s="128" t="s">
        <v>136</v>
      </c>
      <c r="EX3" s="129" t="s">
        <v>62</v>
      </c>
      <c r="EY3" s="130" t="s">
        <v>162</v>
      </c>
      <c r="EZ3" s="131" t="s">
        <v>163</v>
      </c>
      <c r="FA3" s="128" t="s">
        <v>137</v>
      </c>
      <c r="FB3" s="129" t="s">
        <v>62</v>
      </c>
      <c r="FC3" s="130" t="s">
        <v>140</v>
      </c>
      <c r="FD3" s="131" t="s">
        <v>141</v>
      </c>
      <c r="FE3" s="132" t="s">
        <v>138</v>
      </c>
      <c r="FF3" s="96" t="s">
        <v>139</v>
      </c>
      <c r="FG3" s="133" t="s">
        <v>140</v>
      </c>
      <c r="FH3" s="133" t="s">
        <v>141</v>
      </c>
      <c r="FI3" s="96" t="s">
        <v>142</v>
      </c>
      <c r="FJ3" s="96" t="s">
        <v>143</v>
      </c>
      <c r="FK3" s="96" t="s">
        <v>144</v>
      </c>
      <c r="FL3" s="96" t="s">
        <v>145</v>
      </c>
      <c r="FM3" s="133" t="s">
        <v>146</v>
      </c>
      <c r="FN3" s="133" t="s">
        <v>147</v>
      </c>
      <c r="FO3" s="96" t="s">
        <v>148</v>
      </c>
      <c r="FP3" s="96" t="s">
        <v>149</v>
      </c>
      <c r="FQ3" s="132" t="s">
        <v>150</v>
      </c>
      <c r="FR3" s="134" t="s">
        <v>151</v>
      </c>
      <c r="FS3" s="134" t="s">
        <v>152</v>
      </c>
      <c r="FT3" s="96" t="s">
        <v>153</v>
      </c>
      <c r="FU3" s="134" t="s">
        <v>154</v>
      </c>
      <c r="FV3" s="134" t="s">
        <v>155</v>
      </c>
      <c r="FW3" s="135" t="s">
        <v>156</v>
      </c>
      <c r="FX3" s="135" t="s">
        <v>157</v>
      </c>
      <c r="FY3" s="135" t="s">
        <v>158</v>
      </c>
      <c r="FZ3" s="135" t="s">
        <v>159</v>
      </c>
      <c r="GA3" s="136" t="s">
        <v>160</v>
      </c>
      <c r="GB3" s="136" t="s">
        <v>166</v>
      </c>
      <c r="GC3" s="137" t="s">
        <v>161</v>
      </c>
    </row>
    <row r="4" spans="1:185" ht="16" x14ac:dyDescent="0.2">
      <c r="A4" t="s">
        <v>217</v>
      </c>
      <c r="B4" s="143" t="s">
        <v>216</v>
      </c>
      <c r="C4" s="138" t="s">
        <v>212</v>
      </c>
      <c r="D4" t="s">
        <v>211</v>
      </c>
      <c r="E4">
        <v>2017</v>
      </c>
      <c r="F4" t="str">
        <f>Z4</f>
        <v>10.1073/pnas.1702143114</v>
      </c>
      <c r="G4" s="147">
        <f>AS4</f>
        <v>3.9110250469999999</v>
      </c>
      <c r="H4">
        <f>AU4</f>
        <v>3.5000000000000003E-2</v>
      </c>
      <c r="I4">
        <f>AV4</f>
        <v>3.5000000000000003E-2</v>
      </c>
      <c r="J4" s="153">
        <f>FL4</f>
        <v>276.02944340642199</v>
      </c>
      <c r="K4" s="153">
        <f t="shared" ref="K4:L4" si="0">FM4</f>
        <v>46.371211319374027</v>
      </c>
      <c r="L4" s="153">
        <f t="shared" si="0"/>
        <v>41.820848630771991</v>
      </c>
      <c r="M4" t="b">
        <v>1</v>
      </c>
      <c r="N4">
        <v>3</v>
      </c>
      <c r="O4" s="144" t="s">
        <v>228</v>
      </c>
      <c r="P4" s="144" t="s">
        <v>229</v>
      </c>
      <c r="Q4" t="b">
        <v>0</v>
      </c>
      <c r="R4" t="s">
        <v>215</v>
      </c>
      <c r="S4" t="b">
        <v>1</v>
      </c>
      <c r="T4" t="b">
        <v>0</v>
      </c>
      <c r="U4" t="s">
        <v>171</v>
      </c>
      <c r="V4" t="s">
        <v>171</v>
      </c>
      <c r="W4" t="b">
        <v>0</v>
      </c>
      <c r="X4" t="s">
        <v>171</v>
      </c>
      <c r="Y4" s="139" t="s">
        <v>167</v>
      </c>
      <c r="Z4" s="143" t="s">
        <v>168</v>
      </c>
      <c r="AA4" t="s">
        <v>169</v>
      </c>
      <c r="AB4" t="s">
        <v>170</v>
      </c>
      <c r="AC4" s="144">
        <v>1</v>
      </c>
      <c r="AD4" s="144">
        <v>1</v>
      </c>
      <c r="AE4" s="144">
        <v>4</v>
      </c>
      <c r="AF4" s="144">
        <v>5</v>
      </c>
      <c r="AG4" s="145">
        <v>4.4999999999999998E-2</v>
      </c>
      <c r="AH4" s="145">
        <v>4.4999999999999998E-2</v>
      </c>
      <c r="AI4" t="s">
        <v>171</v>
      </c>
      <c r="AJ4" t="s">
        <v>172</v>
      </c>
      <c r="AK4" s="146">
        <v>12.74</v>
      </c>
      <c r="AL4" s="146">
        <v>-78.739999999999995</v>
      </c>
      <c r="AM4" t="s">
        <v>171</v>
      </c>
      <c r="AN4" t="s">
        <v>171</v>
      </c>
      <c r="AO4">
        <v>-2839</v>
      </c>
      <c r="AP4" t="s">
        <v>171</v>
      </c>
      <c r="AQ4" t="s">
        <v>171</v>
      </c>
      <c r="AR4" t="s">
        <v>171</v>
      </c>
      <c r="AS4" s="147">
        <v>3.9110250469999999</v>
      </c>
      <c r="AT4" t="s">
        <v>173</v>
      </c>
      <c r="AU4">
        <v>3.5000000000000003E-2</v>
      </c>
      <c r="AV4">
        <v>3.5000000000000003E-2</v>
      </c>
      <c r="AW4" t="s">
        <v>171</v>
      </c>
      <c r="AX4" t="s">
        <v>174</v>
      </c>
      <c r="AY4" t="s">
        <v>171</v>
      </c>
      <c r="AZ4" t="s">
        <v>171</v>
      </c>
      <c r="BA4" t="s">
        <v>171</v>
      </c>
      <c r="BB4" t="s">
        <v>171</v>
      </c>
      <c r="BC4" t="s">
        <v>171</v>
      </c>
      <c r="BD4" t="s">
        <v>171</v>
      </c>
      <c r="BE4" t="s">
        <v>171</v>
      </c>
      <c r="BF4" t="s">
        <v>171</v>
      </c>
      <c r="BG4" t="s">
        <v>175</v>
      </c>
      <c r="BH4" t="s">
        <v>176</v>
      </c>
      <c r="BI4" t="s">
        <v>177</v>
      </c>
      <c r="BJ4" s="142">
        <v>2</v>
      </c>
      <c r="BK4" t="s">
        <v>178</v>
      </c>
      <c r="BL4" t="s">
        <v>179</v>
      </c>
      <c r="BM4" t="s">
        <v>180</v>
      </c>
      <c r="BN4" t="s">
        <v>171</v>
      </c>
      <c r="BO4" s="142">
        <v>2</v>
      </c>
      <c r="BP4" s="144" t="s">
        <v>171</v>
      </c>
      <c r="BQ4" s="145">
        <v>20.67</v>
      </c>
      <c r="BR4" t="s">
        <v>181</v>
      </c>
      <c r="BS4">
        <v>0.18</v>
      </c>
      <c r="BT4">
        <v>0.64</v>
      </c>
      <c r="BU4" t="s">
        <v>182</v>
      </c>
      <c r="BV4">
        <v>3.4000000000000002E-2</v>
      </c>
      <c r="BW4">
        <v>9.1</v>
      </c>
      <c r="BX4" t="s">
        <v>173</v>
      </c>
      <c r="BY4">
        <v>0.56000000000000005</v>
      </c>
      <c r="BZ4" t="s">
        <v>183</v>
      </c>
      <c r="CA4" t="s">
        <v>184</v>
      </c>
      <c r="CB4" s="148">
        <f>(BQ4-8.87)/0.6</f>
        <v>19.666666666666671</v>
      </c>
      <c r="CC4" s="144" t="s">
        <v>185</v>
      </c>
      <c r="CD4" s="144" t="s">
        <v>171</v>
      </c>
      <c r="CE4" s="144" t="s">
        <v>171</v>
      </c>
      <c r="CF4" t="s">
        <v>186</v>
      </c>
      <c r="CG4" s="144">
        <v>10</v>
      </c>
      <c r="CH4" s="144" t="s">
        <v>187</v>
      </c>
      <c r="CI4" s="144" t="s">
        <v>171</v>
      </c>
      <c r="CJ4" s="147">
        <v>28.3</v>
      </c>
      <c r="CK4" t="s">
        <v>173</v>
      </c>
      <c r="CL4">
        <v>3</v>
      </c>
      <c r="CM4">
        <v>3</v>
      </c>
      <c r="CN4" t="s">
        <v>171</v>
      </c>
      <c r="CO4">
        <v>4.1399999999999997</v>
      </c>
      <c r="CP4" t="s">
        <v>188</v>
      </c>
      <c r="CQ4" s="149">
        <v>0.1656</v>
      </c>
      <c r="CR4" s="149">
        <v>0.1656</v>
      </c>
      <c r="CS4" s="150" t="s">
        <v>171</v>
      </c>
      <c r="CT4" t="s">
        <v>189</v>
      </c>
      <c r="CU4" t="s">
        <v>171</v>
      </c>
      <c r="CV4" t="s">
        <v>190</v>
      </c>
      <c r="CW4" t="s">
        <v>191</v>
      </c>
      <c r="CX4" t="s">
        <v>191</v>
      </c>
      <c r="CY4" t="s">
        <v>191</v>
      </c>
      <c r="CZ4" t="s">
        <v>171</v>
      </c>
      <c r="DA4" t="s">
        <v>171</v>
      </c>
      <c r="DB4" t="s">
        <v>171</v>
      </c>
      <c r="DC4" t="s">
        <v>171</v>
      </c>
      <c r="DD4" t="s">
        <v>171</v>
      </c>
      <c r="DE4" t="s">
        <v>171</v>
      </c>
      <c r="DF4" t="s">
        <v>171</v>
      </c>
      <c r="DG4">
        <v>35</v>
      </c>
      <c r="DH4" t="s">
        <v>185</v>
      </c>
      <c r="DI4" s="142">
        <v>3</v>
      </c>
      <c r="DJ4" s="144" t="s">
        <v>192</v>
      </c>
      <c r="DK4" s="144" t="s">
        <v>171</v>
      </c>
      <c r="DL4" s="144" t="s">
        <v>171</v>
      </c>
      <c r="DM4" s="144" t="s">
        <v>171</v>
      </c>
      <c r="DN4" s="144" t="s">
        <v>171</v>
      </c>
      <c r="DO4" s="144" t="s">
        <v>171</v>
      </c>
      <c r="DP4" s="144" t="s">
        <v>171</v>
      </c>
      <c r="DQ4" s="144" t="s">
        <v>171</v>
      </c>
      <c r="DR4" s="144" t="s">
        <v>171</v>
      </c>
      <c r="DS4" s="144" t="s">
        <v>171</v>
      </c>
      <c r="DT4" s="144" t="s">
        <v>171</v>
      </c>
      <c r="DU4" s="144" t="s">
        <v>171</v>
      </c>
      <c r="DV4" s="144" t="s">
        <v>171</v>
      </c>
      <c r="DW4" s="147">
        <v>432.56244218316402</v>
      </c>
      <c r="DX4" t="s">
        <v>193</v>
      </c>
      <c r="DY4">
        <v>37.1</v>
      </c>
      <c r="DZ4" t="s">
        <v>194</v>
      </c>
      <c r="EA4">
        <v>39.61</v>
      </c>
      <c r="EB4" t="s">
        <v>185</v>
      </c>
      <c r="EC4" s="149">
        <f t="shared" ref="EC4:EC67" si="1">0.1+0.1*AS4/1000</f>
        <v>0.1003911025047</v>
      </c>
      <c r="ED4" t="s">
        <v>195</v>
      </c>
      <c r="EE4" t="s">
        <v>196</v>
      </c>
      <c r="EF4" t="s">
        <v>197</v>
      </c>
      <c r="EG4">
        <v>1.0271999999999999</v>
      </c>
      <c r="EH4" t="s">
        <v>171</v>
      </c>
      <c r="EI4" t="s">
        <v>171</v>
      </c>
      <c r="EJ4" t="s">
        <v>198</v>
      </c>
      <c r="EK4" t="s">
        <v>191</v>
      </c>
      <c r="EL4" t="s">
        <v>191</v>
      </c>
      <c r="EM4" t="s">
        <v>199</v>
      </c>
      <c r="EN4" t="s">
        <v>200</v>
      </c>
      <c r="EO4" s="151" t="s">
        <v>201</v>
      </c>
      <c r="EP4" s="151" t="s">
        <v>201</v>
      </c>
      <c r="EQ4" s="144" t="s">
        <v>171</v>
      </c>
      <c r="ER4" s="144" t="s">
        <v>171</v>
      </c>
      <c r="ES4" s="144" t="s">
        <v>171</v>
      </c>
      <c r="ET4" t="s">
        <v>202</v>
      </c>
      <c r="EU4" t="s">
        <v>203</v>
      </c>
      <c r="EV4" t="s">
        <v>171</v>
      </c>
      <c r="EW4">
        <v>2330</v>
      </c>
      <c r="EX4" s="151" t="s">
        <v>204</v>
      </c>
      <c r="EY4" s="151">
        <v>175</v>
      </c>
      <c r="EZ4">
        <v>175</v>
      </c>
      <c r="FA4" t="s">
        <v>171</v>
      </c>
      <c r="FB4" t="s">
        <v>171</v>
      </c>
      <c r="FC4" t="s">
        <v>171</v>
      </c>
      <c r="FD4" t="s">
        <v>171</v>
      </c>
      <c r="FE4" s="152">
        <v>8.1409498368333502</v>
      </c>
      <c r="FF4" t="s">
        <v>205</v>
      </c>
      <c r="FG4" s="144" t="s">
        <v>206</v>
      </c>
      <c r="FH4" s="144" t="s">
        <v>171</v>
      </c>
      <c r="FI4" s="153">
        <v>297.02944340642199</v>
      </c>
      <c r="FJ4">
        <v>21</v>
      </c>
      <c r="FK4" t="s">
        <v>207</v>
      </c>
      <c r="FL4" s="153">
        <v>276.02944340642199</v>
      </c>
      <c r="FM4" s="153">
        <v>46.371211319374027</v>
      </c>
      <c r="FN4" s="153">
        <v>41.820848630771991</v>
      </c>
      <c r="FO4" t="s">
        <v>186</v>
      </c>
      <c r="FP4" t="s">
        <v>208</v>
      </c>
      <c r="FQ4" t="s">
        <v>171</v>
      </c>
      <c r="FR4" t="s">
        <v>171</v>
      </c>
      <c r="FS4" t="s">
        <v>171</v>
      </c>
      <c r="FT4" t="s">
        <v>171</v>
      </c>
      <c r="FU4" t="s">
        <v>171</v>
      </c>
      <c r="FV4" t="s">
        <v>171</v>
      </c>
      <c r="FW4" t="s">
        <v>171</v>
      </c>
      <c r="FX4" t="s">
        <v>171</v>
      </c>
      <c r="FY4" t="s">
        <v>171</v>
      </c>
      <c r="FZ4" t="s">
        <v>171</v>
      </c>
      <c r="GA4" t="s">
        <v>171</v>
      </c>
      <c r="GB4" t="s">
        <v>171</v>
      </c>
    </row>
    <row r="5" spans="1:185" ht="16" x14ac:dyDescent="0.2">
      <c r="A5" t="s">
        <v>217</v>
      </c>
      <c r="B5" s="143" t="s">
        <v>216</v>
      </c>
      <c r="C5" s="138" t="s">
        <v>212</v>
      </c>
      <c r="D5" t="s">
        <v>211</v>
      </c>
      <c r="E5">
        <v>2017</v>
      </c>
      <c r="F5" t="str">
        <f>Z5</f>
        <v>10.1073/pnas.1702143114</v>
      </c>
      <c r="G5" s="147">
        <f>AS5</f>
        <v>4.63</v>
      </c>
      <c r="H5">
        <f t="shared" ref="H5:H68" si="2">AU5</f>
        <v>3.5000000000000003E-2</v>
      </c>
      <c r="I5">
        <f t="shared" ref="I5:I68" si="3">AV5</f>
        <v>3.5000000000000003E-2</v>
      </c>
      <c r="J5" s="153">
        <f>FL5</f>
        <v>263.95457066781103</v>
      </c>
      <c r="K5" s="153">
        <f t="shared" ref="K5:K6" si="4">FM5</f>
        <v>40.93324227623998</v>
      </c>
      <c r="L5" s="153">
        <f t="shared" ref="L5:L6" si="5">FN5</f>
        <v>36.969895208388039</v>
      </c>
      <c r="M5" t="b">
        <v>1</v>
      </c>
      <c r="N5">
        <v>3</v>
      </c>
      <c r="O5" s="144" t="s">
        <v>228</v>
      </c>
      <c r="P5" s="144" t="s">
        <v>229</v>
      </c>
      <c r="Q5" t="b">
        <v>0</v>
      </c>
      <c r="R5" t="s">
        <v>215</v>
      </c>
      <c r="S5" t="b">
        <v>1</v>
      </c>
      <c r="T5" t="b">
        <v>0</v>
      </c>
      <c r="U5" t="s">
        <v>171</v>
      </c>
      <c r="V5" t="s">
        <v>171</v>
      </c>
      <c r="W5" t="b">
        <v>0</v>
      </c>
      <c r="X5" t="s">
        <v>171</v>
      </c>
      <c r="Y5" s="139" t="s">
        <v>167</v>
      </c>
      <c r="Z5" s="143" t="s">
        <v>168</v>
      </c>
      <c r="AA5" t="s">
        <v>169</v>
      </c>
      <c r="AB5" t="s">
        <v>170</v>
      </c>
      <c r="AC5" s="144">
        <v>1</v>
      </c>
      <c r="AD5" s="144">
        <v>1</v>
      </c>
      <c r="AE5" s="144">
        <v>11</v>
      </c>
      <c r="AF5" s="144">
        <v>13</v>
      </c>
      <c r="AG5" s="145">
        <v>0.11</v>
      </c>
      <c r="AH5" s="145">
        <v>0.11</v>
      </c>
      <c r="AI5" t="s">
        <v>171</v>
      </c>
      <c r="AJ5" t="s">
        <v>172</v>
      </c>
      <c r="AK5" s="146">
        <v>12.74</v>
      </c>
      <c r="AL5" s="146">
        <v>-78.739999999999995</v>
      </c>
      <c r="AM5" t="s">
        <v>171</v>
      </c>
      <c r="AN5" t="s">
        <v>171</v>
      </c>
      <c r="AO5">
        <v>-2839</v>
      </c>
      <c r="AP5" t="s">
        <v>171</v>
      </c>
      <c r="AQ5" t="s">
        <v>171</v>
      </c>
      <c r="AR5" t="s">
        <v>171</v>
      </c>
      <c r="AS5" s="147">
        <v>4.63</v>
      </c>
      <c r="AT5" t="s">
        <v>173</v>
      </c>
      <c r="AU5">
        <v>3.5000000000000003E-2</v>
      </c>
      <c r="AV5">
        <v>3.5000000000000003E-2</v>
      </c>
      <c r="AW5" t="s">
        <v>171</v>
      </c>
      <c r="AX5" t="s">
        <v>174</v>
      </c>
      <c r="AY5" t="s">
        <v>171</v>
      </c>
      <c r="AZ5" t="s">
        <v>171</v>
      </c>
      <c r="BA5" t="s">
        <v>171</v>
      </c>
      <c r="BB5" t="s">
        <v>171</v>
      </c>
      <c r="BC5" t="s">
        <v>171</v>
      </c>
      <c r="BD5" t="s">
        <v>171</v>
      </c>
      <c r="BE5" t="s">
        <v>171</v>
      </c>
      <c r="BF5" t="s">
        <v>171</v>
      </c>
      <c r="BG5" t="s">
        <v>175</v>
      </c>
      <c r="BH5" t="s">
        <v>176</v>
      </c>
      <c r="BI5" t="s">
        <v>177</v>
      </c>
      <c r="BJ5" s="142">
        <v>2</v>
      </c>
      <c r="BK5" t="s">
        <v>178</v>
      </c>
      <c r="BL5" t="s">
        <v>179</v>
      </c>
      <c r="BM5" t="s">
        <v>180</v>
      </c>
      <c r="BN5" t="s">
        <v>171</v>
      </c>
      <c r="BO5" s="142">
        <v>2</v>
      </c>
      <c r="BP5" s="144" t="s">
        <v>171</v>
      </c>
      <c r="BQ5" s="145">
        <v>20.79</v>
      </c>
      <c r="BR5" t="s">
        <v>181</v>
      </c>
      <c r="BS5" s="149">
        <v>0.12</v>
      </c>
      <c r="BT5">
        <v>0.64</v>
      </c>
      <c r="BU5" t="s">
        <v>182</v>
      </c>
      <c r="BV5">
        <v>3.4000000000000002E-2</v>
      </c>
      <c r="BW5">
        <v>9.1</v>
      </c>
      <c r="BX5" t="s">
        <v>173</v>
      </c>
      <c r="BY5">
        <v>0.56000000000000005</v>
      </c>
      <c r="BZ5" t="s">
        <v>183</v>
      </c>
      <c r="CA5" t="s">
        <v>184</v>
      </c>
      <c r="CB5" s="148">
        <f t="shared" ref="CB5:CB68" si="6">(BQ5-8.87)/0.6</f>
        <v>19.866666666666667</v>
      </c>
      <c r="CC5" s="144" t="s">
        <v>185</v>
      </c>
      <c r="CD5" s="144" t="s">
        <v>171</v>
      </c>
      <c r="CE5" s="144" t="s">
        <v>171</v>
      </c>
      <c r="CF5" t="s">
        <v>186</v>
      </c>
      <c r="CG5" s="144">
        <v>10</v>
      </c>
      <c r="CH5" s="144" t="s">
        <v>187</v>
      </c>
      <c r="CI5" s="144" t="s">
        <v>171</v>
      </c>
      <c r="CJ5" s="147">
        <v>28.54</v>
      </c>
      <c r="CK5" t="s">
        <v>173</v>
      </c>
      <c r="CL5">
        <v>3</v>
      </c>
      <c r="CM5">
        <v>3</v>
      </c>
      <c r="CN5" t="s">
        <v>171</v>
      </c>
      <c r="CO5" s="149">
        <v>4.1609999999999996</v>
      </c>
      <c r="CP5" t="s">
        <v>188</v>
      </c>
      <c r="CQ5" s="149">
        <v>0.16643999999999998</v>
      </c>
      <c r="CR5" s="149">
        <v>0.16643999999999998</v>
      </c>
      <c r="CS5" s="150" t="s">
        <v>171</v>
      </c>
      <c r="CT5" t="s">
        <v>189</v>
      </c>
      <c r="CU5" t="s">
        <v>171</v>
      </c>
      <c r="CV5" t="s">
        <v>190</v>
      </c>
      <c r="CW5" t="s">
        <v>191</v>
      </c>
      <c r="CX5" t="s">
        <v>191</v>
      </c>
      <c r="CY5" t="s">
        <v>191</v>
      </c>
      <c r="CZ5" t="s">
        <v>171</v>
      </c>
      <c r="DA5" t="s">
        <v>171</v>
      </c>
      <c r="DB5" t="s">
        <v>171</v>
      </c>
      <c r="DC5" t="s">
        <v>171</v>
      </c>
      <c r="DD5" t="s">
        <v>171</v>
      </c>
      <c r="DE5" t="s">
        <v>171</v>
      </c>
      <c r="DF5" t="s">
        <v>171</v>
      </c>
      <c r="DG5">
        <v>35</v>
      </c>
      <c r="DH5" t="s">
        <v>185</v>
      </c>
      <c r="DI5" s="142">
        <v>3</v>
      </c>
      <c r="DJ5" s="144" t="s">
        <v>192</v>
      </c>
      <c r="DK5" s="144" t="s">
        <v>171</v>
      </c>
      <c r="DL5" s="144" t="s">
        <v>171</v>
      </c>
      <c r="DM5" s="144" t="s">
        <v>171</v>
      </c>
      <c r="DN5" s="144" t="s">
        <v>171</v>
      </c>
      <c r="DO5" s="144" t="s">
        <v>171</v>
      </c>
      <c r="DP5" s="144" t="s">
        <v>171</v>
      </c>
      <c r="DQ5" s="144" t="s">
        <v>171</v>
      </c>
      <c r="DR5" s="144" t="s">
        <v>171</v>
      </c>
      <c r="DS5" s="144" t="s">
        <v>171</v>
      </c>
      <c r="DT5" s="144" t="s">
        <v>171</v>
      </c>
      <c r="DU5" s="144" t="s">
        <v>171</v>
      </c>
      <c r="DV5" s="144" t="s">
        <v>171</v>
      </c>
      <c r="DW5" s="147">
        <v>432.56244218316402</v>
      </c>
      <c r="DX5" t="s">
        <v>193</v>
      </c>
      <c r="DY5">
        <v>37.1</v>
      </c>
      <c r="DZ5" t="s">
        <v>194</v>
      </c>
      <c r="EA5">
        <v>39.61</v>
      </c>
      <c r="EB5" t="s">
        <v>185</v>
      </c>
      <c r="EC5" s="149">
        <f t="shared" si="1"/>
        <v>0.10046300000000001</v>
      </c>
      <c r="ED5" t="s">
        <v>195</v>
      </c>
      <c r="EE5" t="s">
        <v>196</v>
      </c>
      <c r="EF5" t="s">
        <v>197</v>
      </c>
      <c r="EG5">
        <v>1.0271999999999999</v>
      </c>
      <c r="EH5" t="s">
        <v>171</v>
      </c>
      <c r="EI5" t="s">
        <v>171</v>
      </c>
      <c r="EJ5" t="s">
        <v>198</v>
      </c>
      <c r="EK5" t="s">
        <v>191</v>
      </c>
      <c r="EL5" t="s">
        <v>191</v>
      </c>
      <c r="EM5" t="s">
        <v>199</v>
      </c>
      <c r="EN5" t="s">
        <v>200</v>
      </c>
      <c r="EO5" s="151" t="s">
        <v>201</v>
      </c>
      <c r="EP5" s="151" t="s">
        <v>201</v>
      </c>
      <c r="EQ5" s="144" t="s">
        <v>171</v>
      </c>
      <c r="ER5" s="144" t="s">
        <v>171</v>
      </c>
      <c r="ES5" s="144" t="s">
        <v>171</v>
      </c>
      <c r="ET5" t="s">
        <v>202</v>
      </c>
      <c r="EU5" t="s">
        <v>203</v>
      </c>
      <c r="EV5" t="s">
        <v>171</v>
      </c>
      <c r="EW5">
        <v>2331</v>
      </c>
      <c r="EX5" s="151" t="s">
        <v>204</v>
      </c>
      <c r="EY5" s="151">
        <v>175</v>
      </c>
      <c r="EZ5">
        <v>175</v>
      </c>
      <c r="FA5" t="s">
        <v>171</v>
      </c>
      <c r="FB5" t="s">
        <v>171</v>
      </c>
      <c r="FC5" t="s">
        <v>171</v>
      </c>
      <c r="FD5" t="s">
        <v>171</v>
      </c>
      <c r="FE5" s="152">
        <v>8.1543212809300698</v>
      </c>
      <c r="FF5" t="s">
        <v>205</v>
      </c>
      <c r="FG5" s="144" t="s">
        <v>171</v>
      </c>
      <c r="FH5" s="144" t="s">
        <v>171</v>
      </c>
      <c r="FI5" s="153">
        <v>284.95457066781103</v>
      </c>
      <c r="FJ5">
        <v>21</v>
      </c>
      <c r="FK5" t="s">
        <v>207</v>
      </c>
      <c r="FL5" s="153">
        <v>263.95457066781103</v>
      </c>
      <c r="FM5" s="153">
        <v>40.93324227623998</v>
      </c>
      <c r="FN5" s="153">
        <v>36.969895208388039</v>
      </c>
      <c r="FO5" t="s">
        <v>186</v>
      </c>
      <c r="FP5" t="s">
        <v>208</v>
      </c>
      <c r="FQ5" t="s">
        <v>171</v>
      </c>
      <c r="FR5" t="s">
        <v>171</v>
      </c>
      <c r="FS5" t="s">
        <v>171</v>
      </c>
      <c r="FT5" t="s">
        <v>171</v>
      </c>
      <c r="FU5" t="s">
        <v>171</v>
      </c>
      <c r="FV5" t="s">
        <v>171</v>
      </c>
      <c r="FW5" t="s">
        <v>171</v>
      </c>
      <c r="FX5" t="s">
        <v>171</v>
      </c>
      <c r="FY5" t="s">
        <v>171</v>
      </c>
      <c r="FZ5" t="s">
        <v>171</v>
      </c>
      <c r="GA5" t="s">
        <v>171</v>
      </c>
      <c r="GB5" t="s">
        <v>171</v>
      </c>
    </row>
    <row r="6" spans="1:185" ht="16" x14ac:dyDescent="0.2">
      <c r="A6" t="s">
        <v>217</v>
      </c>
      <c r="B6" s="143" t="s">
        <v>216</v>
      </c>
      <c r="C6" s="138" t="s">
        <v>212</v>
      </c>
      <c r="D6" t="s">
        <v>211</v>
      </c>
      <c r="E6">
        <v>2017</v>
      </c>
      <c r="F6" t="str">
        <f t="shared" ref="F6:F69" si="7">Z6</f>
        <v>10.1073/pnas.1702143114</v>
      </c>
      <c r="G6" s="147">
        <f t="shared" ref="G6:G69" si="8">AS6</f>
        <v>5.0199999999999996</v>
      </c>
      <c r="H6">
        <f t="shared" si="2"/>
        <v>3.5000000000000003E-2</v>
      </c>
      <c r="I6">
        <f t="shared" si="3"/>
        <v>3.5000000000000003E-2</v>
      </c>
      <c r="J6" s="153">
        <f t="shared" ref="J6:J69" si="9">FL6</f>
        <v>284.33799067224601</v>
      </c>
      <c r="K6" s="153">
        <f t="shared" si="4"/>
        <v>47.454974458698018</v>
      </c>
      <c r="L6" s="153">
        <f t="shared" si="5"/>
        <v>42.05395543481302</v>
      </c>
      <c r="M6" t="b">
        <v>1</v>
      </c>
      <c r="N6">
        <v>3</v>
      </c>
      <c r="O6" s="144" t="s">
        <v>228</v>
      </c>
      <c r="P6" s="144" t="s">
        <v>229</v>
      </c>
      <c r="Q6" t="b">
        <v>0</v>
      </c>
      <c r="R6" t="s">
        <v>215</v>
      </c>
      <c r="S6" t="b">
        <v>1</v>
      </c>
      <c r="T6" t="b">
        <v>0</v>
      </c>
      <c r="U6" t="s">
        <v>171</v>
      </c>
      <c r="V6" t="s">
        <v>171</v>
      </c>
      <c r="W6" t="b">
        <v>0</v>
      </c>
      <c r="X6" t="s">
        <v>171</v>
      </c>
      <c r="Y6" s="139" t="s">
        <v>167</v>
      </c>
      <c r="Z6" s="143" t="s">
        <v>168</v>
      </c>
      <c r="AA6" t="s">
        <v>169</v>
      </c>
      <c r="AB6" t="s">
        <v>170</v>
      </c>
      <c r="AC6" s="144">
        <v>1</v>
      </c>
      <c r="AD6" s="144">
        <v>1</v>
      </c>
      <c r="AE6" s="144">
        <v>14.5</v>
      </c>
      <c r="AF6" s="144">
        <v>16.5</v>
      </c>
      <c r="AG6" s="145">
        <v>0.14499999999999999</v>
      </c>
      <c r="AH6" s="145">
        <v>0.14499999999999999</v>
      </c>
      <c r="AI6" t="s">
        <v>171</v>
      </c>
      <c r="AJ6" t="s">
        <v>172</v>
      </c>
      <c r="AK6" s="146">
        <v>12.74</v>
      </c>
      <c r="AL6" s="146">
        <v>-78.739999999999995</v>
      </c>
      <c r="AM6" t="s">
        <v>171</v>
      </c>
      <c r="AN6" t="s">
        <v>171</v>
      </c>
      <c r="AO6">
        <v>-2839</v>
      </c>
      <c r="AP6" t="s">
        <v>171</v>
      </c>
      <c r="AQ6" t="s">
        <v>171</v>
      </c>
      <c r="AR6" t="s">
        <v>171</v>
      </c>
      <c r="AS6" s="147">
        <v>5.0199999999999996</v>
      </c>
      <c r="AT6" t="s">
        <v>173</v>
      </c>
      <c r="AU6">
        <v>3.5000000000000003E-2</v>
      </c>
      <c r="AV6">
        <v>3.5000000000000003E-2</v>
      </c>
      <c r="AW6" t="s">
        <v>171</v>
      </c>
      <c r="AX6" t="s">
        <v>174</v>
      </c>
      <c r="AY6" t="s">
        <v>171</v>
      </c>
      <c r="AZ6" t="s">
        <v>171</v>
      </c>
      <c r="BA6" t="s">
        <v>171</v>
      </c>
      <c r="BB6" t="s">
        <v>171</v>
      </c>
      <c r="BC6" t="s">
        <v>171</v>
      </c>
      <c r="BD6" t="s">
        <v>171</v>
      </c>
      <c r="BE6" t="s">
        <v>171</v>
      </c>
      <c r="BF6" t="s">
        <v>171</v>
      </c>
      <c r="BG6" t="s">
        <v>175</v>
      </c>
      <c r="BH6" t="s">
        <v>176</v>
      </c>
      <c r="BI6" t="s">
        <v>177</v>
      </c>
      <c r="BJ6" s="142">
        <v>2</v>
      </c>
      <c r="BK6" t="s">
        <v>178</v>
      </c>
      <c r="BL6" t="s">
        <v>179</v>
      </c>
      <c r="BM6" t="s">
        <v>180</v>
      </c>
      <c r="BN6" t="s">
        <v>171</v>
      </c>
      <c r="BO6" s="142">
        <v>2</v>
      </c>
      <c r="BP6" s="144" t="s">
        <v>171</v>
      </c>
      <c r="BQ6" s="145">
        <v>20.59</v>
      </c>
      <c r="BR6" t="s">
        <v>181</v>
      </c>
      <c r="BS6" s="149">
        <v>0.16</v>
      </c>
      <c r="BT6">
        <v>0.64</v>
      </c>
      <c r="BU6" t="s">
        <v>182</v>
      </c>
      <c r="BV6">
        <v>3.4000000000000002E-2</v>
      </c>
      <c r="BW6">
        <v>9.1</v>
      </c>
      <c r="BX6" t="s">
        <v>173</v>
      </c>
      <c r="BY6">
        <v>0.56000000000000005</v>
      </c>
      <c r="BZ6" t="s">
        <v>183</v>
      </c>
      <c r="CA6" t="s">
        <v>184</v>
      </c>
      <c r="CB6" s="148">
        <f t="shared" si="6"/>
        <v>19.533333333333335</v>
      </c>
      <c r="CC6" s="144" t="s">
        <v>185</v>
      </c>
      <c r="CD6" s="144" t="s">
        <v>171</v>
      </c>
      <c r="CE6" s="144" t="s">
        <v>171</v>
      </c>
      <c r="CF6" t="s">
        <v>186</v>
      </c>
      <c r="CG6" s="144">
        <v>10</v>
      </c>
      <c r="CH6" s="144" t="s">
        <v>187</v>
      </c>
      <c r="CI6" s="144" t="s">
        <v>171</v>
      </c>
      <c r="CJ6" s="147">
        <v>28.13</v>
      </c>
      <c r="CK6" t="s">
        <v>173</v>
      </c>
      <c r="CL6">
        <v>3</v>
      </c>
      <c r="CM6">
        <v>3</v>
      </c>
      <c r="CN6" t="s">
        <v>171</v>
      </c>
      <c r="CO6" s="149">
        <v>4.0620000000000003</v>
      </c>
      <c r="CP6" t="s">
        <v>188</v>
      </c>
      <c r="CQ6" s="149">
        <v>0.16248000000000001</v>
      </c>
      <c r="CR6" s="149">
        <v>0.16248000000000001</v>
      </c>
      <c r="CS6" s="150" t="s">
        <v>171</v>
      </c>
      <c r="CT6" t="s">
        <v>189</v>
      </c>
      <c r="CU6" t="s">
        <v>171</v>
      </c>
      <c r="CV6" t="s">
        <v>190</v>
      </c>
      <c r="CW6" t="s">
        <v>191</v>
      </c>
      <c r="CX6" t="s">
        <v>191</v>
      </c>
      <c r="CY6" t="s">
        <v>191</v>
      </c>
      <c r="CZ6" t="s">
        <v>171</v>
      </c>
      <c r="DA6" t="s">
        <v>171</v>
      </c>
      <c r="DB6" t="s">
        <v>171</v>
      </c>
      <c r="DC6" t="s">
        <v>171</v>
      </c>
      <c r="DD6" t="s">
        <v>171</v>
      </c>
      <c r="DE6" t="s">
        <v>171</v>
      </c>
      <c r="DF6" t="s">
        <v>171</v>
      </c>
      <c r="DG6">
        <v>35</v>
      </c>
      <c r="DH6" t="s">
        <v>185</v>
      </c>
      <c r="DI6" s="142">
        <v>3</v>
      </c>
      <c r="DJ6" s="144" t="s">
        <v>192</v>
      </c>
      <c r="DK6" s="144" t="s">
        <v>171</v>
      </c>
      <c r="DL6" s="144" t="s">
        <v>171</v>
      </c>
      <c r="DM6" s="144" t="s">
        <v>171</v>
      </c>
      <c r="DN6" s="144" t="s">
        <v>171</v>
      </c>
      <c r="DO6" s="144" t="s">
        <v>171</v>
      </c>
      <c r="DP6" s="144" t="s">
        <v>171</v>
      </c>
      <c r="DQ6" s="144" t="s">
        <v>171</v>
      </c>
      <c r="DR6" s="144" t="s">
        <v>171</v>
      </c>
      <c r="DS6" s="144" t="s">
        <v>171</v>
      </c>
      <c r="DT6" s="144" t="s">
        <v>171</v>
      </c>
      <c r="DU6" s="144" t="s">
        <v>171</v>
      </c>
      <c r="DV6" s="144" t="s">
        <v>171</v>
      </c>
      <c r="DW6" s="147">
        <v>432.56244218316402</v>
      </c>
      <c r="DX6" t="s">
        <v>193</v>
      </c>
      <c r="DY6">
        <v>37.1</v>
      </c>
      <c r="DZ6" t="s">
        <v>194</v>
      </c>
      <c r="EA6">
        <v>39.61</v>
      </c>
      <c r="EB6" t="s">
        <v>185</v>
      </c>
      <c r="EC6" s="149">
        <f t="shared" si="1"/>
        <v>0.10050200000000001</v>
      </c>
      <c r="ED6" t="s">
        <v>195</v>
      </c>
      <c r="EE6" t="s">
        <v>196</v>
      </c>
      <c r="EF6" t="s">
        <v>197</v>
      </c>
      <c r="EG6">
        <v>1.0271999999999999</v>
      </c>
      <c r="EH6" t="s">
        <v>171</v>
      </c>
      <c r="EI6" t="s">
        <v>171</v>
      </c>
      <c r="EJ6" t="s">
        <v>198</v>
      </c>
      <c r="EK6" t="s">
        <v>191</v>
      </c>
      <c r="EL6" t="s">
        <v>191</v>
      </c>
      <c r="EM6" t="s">
        <v>199</v>
      </c>
      <c r="EN6" t="s">
        <v>200</v>
      </c>
      <c r="EO6" s="151" t="s">
        <v>201</v>
      </c>
      <c r="EP6" s="151" t="s">
        <v>201</v>
      </c>
      <c r="EQ6" s="144" t="s">
        <v>171</v>
      </c>
      <c r="ER6" s="144" t="s">
        <v>171</v>
      </c>
      <c r="ES6" s="144" t="s">
        <v>171</v>
      </c>
      <c r="ET6" t="s">
        <v>202</v>
      </c>
      <c r="EU6" t="s">
        <v>203</v>
      </c>
      <c r="EV6" t="s">
        <v>171</v>
      </c>
      <c r="EW6">
        <v>2332</v>
      </c>
      <c r="EX6" s="151" t="s">
        <v>204</v>
      </c>
      <c r="EY6" s="151">
        <v>175</v>
      </c>
      <c r="EZ6">
        <v>175</v>
      </c>
      <c r="FA6" t="s">
        <v>171</v>
      </c>
      <c r="FB6" t="s">
        <v>171</v>
      </c>
      <c r="FC6" t="s">
        <v>171</v>
      </c>
      <c r="FD6" t="s">
        <v>171</v>
      </c>
      <c r="FE6" s="152">
        <v>8.1317646319929597</v>
      </c>
      <c r="FF6" t="s">
        <v>205</v>
      </c>
      <c r="FG6" s="144" t="s">
        <v>171</v>
      </c>
      <c r="FH6" s="144" t="s">
        <v>171</v>
      </c>
      <c r="FI6" s="153">
        <v>305.33799067224601</v>
      </c>
      <c r="FJ6">
        <v>21</v>
      </c>
      <c r="FK6" t="s">
        <v>207</v>
      </c>
      <c r="FL6" s="153">
        <v>284.33799067224601</v>
      </c>
      <c r="FM6" s="153">
        <v>47.454974458698018</v>
      </c>
      <c r="FN6" s="153">
        <v>42.05395543481302</v>
      </c>
      <c r="FO6" t="s">
        <v>186</v>
      </c>
      <c r="FP6" t="s">
        <v>208</v>
      </c>
      <c r="FQ6" t="s">
        <v>171</v>
      </c>
      <c r="FR6" t="s">
        <v>171</v>
      </c>
      <c r="FS6" t="s">
        <v>171</v>
      </c>
      <c r="FT6" t="s">
        <v>171</v>
      </c>
      <c r="FU6" t="s">
        <v>171</v>
      </c>
      <c r="FV6" t="s">
        <v>171</v>
      </c>
      <c r="FW6" t="s">
        <v>171</v>
      </c>
      <c r="FX6" t="s">
        <v>171</v>
      </c>
      <c r="FY6" t="s">
        <v>171</v>
      </c>
      <c r="FZ6" t="s">
        <v>171</v>
      </c>
      <c r="GA6" t="s">
        <v>171</v>
      </c>
      <c r="GB6" t="s">
        <v>171</v>
      </c>
    </row>
    <row r="7" spans="1:185" ht="16" x14ac:dyDescent="0.2">
      <c r="A7" t="s">
        <v>217</v>
      </c>
      <c r="B7" s="143" t="s">
        <v>216</v>
      </c>
      <c r="C7" s="138" t="s">
        <v>212</v>
      </c>
      <c r="D7" t="s">
        <v>211</v>
      </c>
      <c r="E7">
        <v>2017</v>
      </c>
      <c r="F7" t="str">
        <f t="shared" si="7"/>
        <v>10.1073/pnas.1702143114</v>
      </c>
      <c r="G7" s="147">
        <f t="shared" si="8"/>
        <v>7.82</v>
      </c>
      <c r="H7">
        <f t="shared" si="2"/>
        <v>3.5000000000000003E-2</v>
      </c>
      <c r="I7">
        <f t="shared" si="3"/>
        <v>3.5000000000000003E-2</v>
      </c>
      <c r="J7" s="153">
        <f t="shared" si="9"/>
        <v>258.23868740788299</v>
      </c>
      <c r="K7" s="153">
        <f t="shared" ref="K7:K70" si="10">FM7</f>
        <v>45.112509158915032</v>
      </c>
      <c r="L7" s="153">
        <f t="shared" ref="L7:L70" si="11">FN7</f>
        <v>38.858673762695986</v>
      </c>
      <c r="M7" t="b">
        <v>1</v>
      </c>
      <c r="N7">
        <v>3</v>
      </c>
      <c r="O7" s="144" t="s">
        <v>228</v>
      </c>
      <c r="P7" s="144" t="s">
        <v>229</v>
      </c>
      <c r="Q7" t="b">
        <v>0</v>
      </c>
      <c r="R7" t="s">
        <v>215</v>
      </c>
      <c r="S7" t="b">
        <v>1</v>
      </c>
      <c r="T7" t="b">
        <v>0</v>
      </c>
      <c r="U7" t="s">
        <v>171</v>
      </c>
      <c r="V7" t="s">
        <v>171</v>
      </c>
      <c r="W7" t="b">
        <v>0</v>
      </c>
      <c r="X7" t="s">
        <v>171</v>
      </c>
      <c r="Y7" s="139" t="s">
        <v>167</v>
      </c>
      <c r="Z7" s="143" t="s">
        <v>168</v>
      </c>
      <c r="AA7" t="s">
        <v>169</v>
      </c>
      <c r="AB7" t="s">
        <v>170</v>
      </c>
      <c r="AC7" s="144">
        <v>1</v>
      </c>
      <c r="AD7" s="144">
        <v>1</v>
      </c>
      <c r="AE7" s="144">
        <v>31</v>
      </c>
      <c r="AF7" s="144">
        <v>33</v>
      </c>
      <c r="AG7" s="145">
        <v>0.31</v>
      </c>
      <c r="AH7" s="145">
        <v>0.31</v>
      </c>
      <c r="AI7" t="s">
        <v>171</v>
      </c>
      <c r="AJ7" t="s">
        <v>172</v>
      </c>
      <c r="AK7" s="146">
        <v>12.74</v>
      </c>
      <c r="AL7" s="146">
        <v>-78.739999999999995</v>
      </c>
      <c r="AM7" t="s">
        <v>171</v>
      </c>
      <c r="AN7" t="s">
        <v>171</v>
      </c>
      <c r="AO7">
        <v>-2839</v>
      </c>
      <c r="AP7" t="s">
        <v>171</v>
      </c>
      <c r="AQ7" t="s">
        <v>171</v>
      </c>
      <c r="AR7" t="s">
        <v>171</v>
      </c>
      <c r="AS7" s="147">
        <v>7.82</v>
      </c>
      <c r="AT7" t="s">
        <v>173</v>
      </c>
      <c r="AU7">
        <v>3.5000000000000003E-2</v>
      </c>
      <c r="AV7">
        <v>3.5000000000000003E-2</v>
      </c>
      <c r="AW7" t="s">
        <v>171</v>
      </c>
      <c r="AX7" t="s">
        <v>174</v>
      </c>
      <c r="AY7" t="s">
        <v>171</v>
      </c>
      <c r="AZ7" t="s">
        <v>171</v>
      </c>
      <c r="BA7" t="s">
        <v>171</v>
      </c>
      <c r="BB7" t="s">
        <v>171</v>
      </c>
      <c r="BC7" t="s">
        <v>171</v>
      </c>
      <c r="BD7" t="s">
        <v>171</v>
      </c>
      <c r="BE7" t="s">
        <v>171</v>
      </c>
      <c r="BF7" t="s">
        <v>171</v>
      </c>
      <c r="BG7" t="s">
        <v>175</v>
      </c>
      <c r="BH7" t="s">
        <v>176</v>
      </c>
      <c r="BI7" t="s">
        <v>177</v>
      </c>
      <c r="BJ7" s="142">
        <v>2</v>
      </c>
      <c r="BK7" t="s">
        <v>178</v>
      </c>
      <c r="BL7" t="s">
        <v>179</v>
      </c>
      <c r="BM7" t="s">
        <v>180</v>
      </c>
      <c r="BN7" t="s">
        <v>171</v>
      </c>
      <c r="BO7" s="142">
        <v>2</v>
      </c>
      <c r="BP7" s="144" t="s">
        <v>171</v>
      </c>
      <c r="BQ7" s="145">
        <v>20.82</v>
      </c>
      <c r="BR7" t="s">
        <v>181</v>
      </c>
      <c r="BS7" s="149">
        <v>0.18</v>
      </c>
      <c r="BT7">
        <v>0.64</v>
      </c>
      <c r="BU7" t="s">
        <v>182</v>
      </c>
      <c r="BV7">
        <v>3.4000000000000002E-2</v>
      </c>
      <c r="BW7">
        <v>9.1</v>
      </c>
      <c r="BX7" t="s">
        <v>173</v>
      </c>
      <c r="BY7">
        <v>0.56000000000000005</v>
      </c>
      <c r="BZ7" t="s">
        <v>183</v>
      </c>
      <c r="CA7" t="s">
        <v>184</v>
      </c>
      <c r="CB7" s="148">
        <f t="shared" si="6"/>
        <v>19.916666666666668</v>
      </c>
      <c r="CC7" s="144" t="s">
        <v>185</v>
      </c>
      <c r="CD7" s="144" t="s">
        <v>171</v>
      </c>
      <c r="CE7" s="144" t="s">
        <v>171</v>
      </c>
      <c r="CF7" t="s">
        <v>186</v>
      </c>
      <c r="CG7" s="144">
        <v>10</v>
      </c>
      <c r="CH7" s="144" t="s">
        <v>187</v>
      </c>
      <c r="CI7" s="144" t="s">
        <v>171</v>
      </c>
      <c r="CJ7" s="147">
        <v>28.26</v>
      </c>
      <c r="CK7" t="s">
        <v>173</v>
      </c>
      <c r="CL7">
        <v>3</v>
      </c>
      <c r="CM7">
        <v>3</v>
      </c>
      <c r="CN7" t="s">
        <v>171</v>
      </c>
      <c r="CO7" s="149">
        <v>4.0570000000000004</v>
      </c>
      <c r="CP7" t="s">
        <v>188</v>
      </c>
      <c r="CQ7" s="149">
        <v>0.16228000000000001</v>
      </c>
      <c r="CR7" s="149">
        <v>0.16228000000000001</v>
      </c>
      <c r="CS7" s="150" t="s">
        <v>171</v>
      </c>
      <c r="CT7" t="s">
        <v>189</v>
      </c>
      <c r="CU7" t="s">
        <v>171</v>
      </c>
      <c r="CV7" t="s">
        <v>190</v>
      </c>
      <c r="CW7" t="s">
        <v>191</v>
      </c>
      <c r="CX7" t="s">
        <v>191</v>
      </c>
      <c r="CY7" t="s">
        <v>191</v>
      </c>
      <c r="CZ7" t="s">
        <v>171</v>
      </c>
      <c r="DA7" t="s">
        <v>171</v>
      </c>
      <c r="DB7" t="s">
        <v>171</v>
      </c>
      <c r="DC7" t="s">
        <v>171</v>
      </c>
      <c r="DD7" t="s">
        <v>171</v>
      </c>
      <c r="DE7" t="s">
        <v>171</v>
      </c>
      <c r="DF7" t="s">
        <v>171</v>
      </c>
      <c r="DG7">
        <v>35</v>
      </c>
      <c r="DH7" t="s">
        <v>185</v>
      </c>
      <c r="DI7" s="142">
        <v>3</v>
      </c>
      <c r="DJ7" s="144" t="s">
        <v>192</v>
      </c>
      <c r="DK7" s="144" t="s">
        <v>171</v>
      </c>
      <c r="DL7" s="144" t="s">
        <v>171</v>
      </c>
      <c r="DM7" s="144" t="s">
        <v>171</v>
      </c>
      <c r="DN7" s="144" t="s">
        <v>171</v>
      </c>
      <c r="DO7" s="144" t="s">
        <v>171</v>
      </c>
      <c r="DP7" s="144" t="s">
        <v>171</v>
      </c>
      <c r="DQ7" s="144" t="s">
        <v>171</v>
      </c>
      <c r="DR7" s="144" t="s">
        <v>171</v>
      </c>
      <c r="DS7" s="144" t="s">
        <v>171</v>
      </c>
      <c r="DT7" s="144" t="s">
        <v>171</v>
      </c>
      <c r="DU7" s="144" t="s">
        <v>171</v>
      </c>
      <c r="DV7" s="144" t="s">
        <v>171</v>
      </c>
      <c r="DW7" s="147">
        <v>432.56244218316402</v>
      </c>
      <c r="DX7" t="s">
        <v>193</v>
      </c>
      <c r="DY7">
        <v>37.1</v>
      </c>
      <c r="DZ7" t="s">
        <v>194</v>
      </c>
      <c r="EA7">
        <v>39.61</v>
      </c>
      <c r="EB7" t="s">
        <v>185</v>
      </c>
      <c r="EC7" s="149">
        <f t="shared" si="1"/>
        <v>0.10078200000000001</v>
      </c>
      <c r="ED7" t="s">
        <v>195</v>
      </c>
      <c r="EE7" t="s">
        <v>196</v>
      </c>
      <c r="EF7" t="s">
        <v>197</v>
      </c>
      <c r="EG7">
        <v>1.0271999999999999</v>
      </c>
      <c r="EH7" t="s">
        <v>171</v>
      </c>
      <c r="EI7" t="s">
        <v>171</v>
      </c>
      <c r="EJ7" t="s">
        <v>198</v>
      </c>
      <c r="EK7" t="s">
        <v>191</v>
      </c>
      <c r="EL7" t="s">
        <v>191</v>
      </c>
      <c r="EM7" t="s">
        <v>199</v>
      </c>
      <c r="EN7" t="s">
        <v>200</v>
      </c>
      <c r="EO7" s="151" t="s">
        <v>201</v>
      </c>
      <c r="EP7" s="151" t="s">
        <v>201</v>
      </c>
      <c r="EQ7" s="144" t="s">
        <v>171</v>
      </c>
      <c r="ER7" s="144" t="s">
        <v>171</v>
      </c>
      <c r="ES7" s="144" t="s">
        <v>171</v>
      </c>
      <c r="ET7" t="s">
        <v>202</v>
      </c>
      <c r="EU7" t="s">
        <v>203</v>
      </c>
      <c r="EV7" t="s">
        <v>171</v>
      </c>
      <c r="EW7">
        <v>2333</v>
      </c>
      <c r="EX7" s="151" t="s">
        <v>204</v>
      </c>
      <c r="EY7" s="151">
        <v>175</v>
      </c>
      <c r="EZ7">
        <v>175</v>
      </c>
      <c r="FA7" t="s">
        <v>171</v>
      </c>
      <c r="FB7" t="s">
        <v>171</v>
      </c>
      <c r="FC7" t="s">
        <v>171</v>
      </c>
      <c r="FD7" t="s">
        <v>171</v>
      </c>
      <c r="FE7" s="152">
        <v>8.1613054467181403</v>
      </c>
      <c r="FF7" t="s">
        <v>205</v>
      </c>
      <c r="FG7" s="144" t="s">
        <v>171</v>
      </c>
      <c r="FH7" s="144" t="s">
        <v>171</v>
      </c>
      <c r="FI7" s="153">
        <v>279.23868740788299</v>
      </c>
      <c r="FJ7">
        <v>21</v>
      </c>
      <c r="FK7" t="s">
        <v>207</v>
      </c>
      <c r="FL7" s="153">
        <v>258.23868740788299</v>
      </c>
      <c r="FM7" s="153">
        <v>45.112509158915032</v>
      </c>
      <c r="FN7" s="153">
        <v>38.858673762695986</v>
      </c>
      <c r="FO7" t="s">
        <v>186</v>
      </c>
      <c r="FP7" t="s">
        <v>208</v>
      </c>
      <c r="FQ7" t="s">
        <v>171</v>
      </c>
      <c r="FR7" t="s">
        <v>171</v>
      </c>
      <c r="FS7" t="s">
        <v>171</v>
      </c>
      <c r="FT7" t="s">
        <v>171</v>
      </c>
      <c r="FU7" t="s">
        <v>171</v>
      </c>
      <c r="FV7" t="s">
        <v>171</v>
      </c>
      <c r="FW7" t="s">
        <v>171</v>
      </c>
      <c r="FX7" t="s">
        <v>171</v>
      </c>
      <c r="FY7" t="s">
        <v>171</v>
      </c>
      <c r="FZ7" t="s">
        <v>171</v>
      </c>
      <c r="GA7" t="s">
        <v>171</v>
      </c>
      <c r="GB7" t="s">
        <v>171</v>
      </c>
    </row>
    <row r="8" spans="1:185" ht="16" x14ac:dyDescent="0.2">
      <c r="A8" t="s">
        <v>217</v>
      </c>
      <c r="B8" s="143" t="s">
        <v>216</v>
      </c>
      <c r="C8" s="138" t="s">
        <v>212</v>
      </c>
      <c r="D8" t="s">
        <v>211</v>
      </c>
      <c r="E8">
        <v>2017</v>
      </c>
      <c r="F8" t="str">
        <f t="shared" si="7"/>
        <v>10.1073/pnas.1702143114</v>
      </c>
      <c r="G8" s="147">
        <f t="shared" si="8"/>
        <v>7.82</v>
      </c>
      <c r="H8">
        <f t="shared" si="2"/>
        <v>3.5000000000000003E-2</v>
      </c>
      <c r="I8">
        <f t="shared" si="3"/>
        <v>3.5000000000000003E-2</v>
      </c>
      <c r="J8" s="153">
        <f t="shared" si="9"/>
        <v>269.698564876918</v>
      </c>
      <c r="K8" s="153">
        <f t="shared" si="10"/>
        <v>50.495086765432006</v>
      </c>
      <c r="L8" s="153">
        <f t="shared" si="11"/>
        <v>43.821782160427006</v>
      </c>
      <c r="M8" t="b">
        <v>1</v>
      </c>
      <c r="N8">
        <v>3</v>
      </c>
      <c r="O8" s="144" t="s">
        <v>228</v>
      </c>
      <c r="P8" s="144" t="s">
        <v>229</v>
      </c>
      <c r="Q8" t="b">
        <v>0</v>
      </c>
      <c r="R8" t="s">
        <v>215</v>
      </c>
      <c r="S8" t="b">
        <v>1</v>
      </c>
      <c r="T8" t="b">
        <v>0</v>
      </c>
      <c r="U8" t="s">
        <v>171</v>
      </c>
      <c r="V8" t="s">
        <v>171</v>
      </c>
      <c r="W8" t="b">
        <v>0</v>
      </c>
      <c r="X8" t="s">
        <v>171</v>
      </c>
      <c r="Y8" s="139" t="s">
        <v>167</v>
      </c>
      <c r="Z8" s="143" t="s">
        <v>168</v>
      </c>
      <c r="AA8" t="s">
        <v>169</v>
      </c>
      <c r="AB8" t="s">
        <v>170</v>
      </c>
      <c r="AC8" s="144">
        <v>1</v>
      </c>
      <c r="AD8" s="144">
        <v>1</v>
      </c>
      <c r="AE8" s="144">
        <v>31</v>
      </c>
      <c r="AF8" s="144">
        <v>33</v>
      </c>
      <c r="AG8" s="145">
        <v>0.31</v>
      </c>
      <c r="AH8" s="145">
        <v>0.31</v>
      </c>
      <c r="AI8" t="s">
        <v>171</v>
      </c>
      <c r="AJ8" t="s">
        <v>172</v>
      </c>
      <c r="AK8" s="146">
        <v>12.74</v>
      </c>
      <c r="AL8" s="146">
        <v>-78.739999999999995</v>
      </c>
      <c r="AM8" t="s">
        <v>171</v>
      </c>
      <c r="AN8" t="s">
        <v>171</v>
      </c>
      <c r="AO8">
        <v>-2839</v>
      </c>
      <c r="AP8" t="s">
        <v>171</v>
      </c>
      <c r="AQ8" t="s">
        <v>171</v>
      </c>
      <c r="AR8" t="s">
        <v>171</v>
      </c>
      <c r="AS8" s="147">
        <v>7.82</v>
      </c>
      <c r="AT8" t="s">
        <v>173</v>
      </c>
      <c r="AU8">
        <v>3.5000000000000003E-2</v>
      </c>
      <c r="AV8">
        <v>3.5000000000000003E-2</v>
      </c>
      <c r="AW8" t="s">
        <v>171</v>
      </c>
      <c r="AX8" t="s">
        <v>174</v>
      </c>
      <c r="AY8" t="s">
        <v>171</v>
      </c>
      <c r="AZ8" t="s">
        <v>171</v>
      </c>
      <c r="BA8" t="s">
        <v>171</v>
      </c>
      <c r="BB8" t="s">
        <v>171</v>
      </c>
      <c r="BC8" t="s">
        <v>171</v>
      </c>
      <c r="BD8" t="s">
        <v>171</v>
      </c>
      <c r="BE8" t="s">
        <v>171</v>
      </c>
      <c r="BF8" t="s">
        <v>171</v>
      </c>
      <c r="BG8" t="s">
        <v>175</v>
      </c>
      <c r="BH8" t="s">
        <v>176</v>
      </c>
      <c r="BI8" t="s">
        <v>177</v>
      </c>
      <c r="BJ8" s="142">
        <v>2</v>
      </c>
      <c r="BK8" t="s">
        <v>178</v>
      </c>
      <c r="BL8" t="s">
        <v>179</v>
      </c>
      <c r="BM8" t="s">
        <v>180</v>
      </c>
      <c r="BN8" t="s">
        <v>171</v>
      </c>
      <c r="BO8" s="142">
        <v>2</v>
      </c>
      <c r="BP8" s="144" t="s">
        <v>171</v>
      </c>
      <c r="BQ8" s="145">
        <v>20.72</v>
      </c>
      <c r="BR8" t="s">
        <v>181</v>
      </c>
      <c r="BS8" s="149">
        <v>0.22</v>
      </c>
      <c r="BT8">
        <v>0.64</v>
      </c>
      <c r="BU8" t="s">
        <v>182</v>
      </c>
      <c r="BV8">
        <v>3.4000000000000002E-2</v>
      </c>
      <c r="BW8">
        <v>9.1</v>
      </c>
      <c r="BX8" t="s">
        <v>173</v>
      </c>
      <c r="BY8">
        <v>0.56000000000000005</v>
      </c>
      <c r="BZ8" t="s">
        <v>183</v>
      </c>
      <c r="CA8" t="s">
        <v>184</v>
      </c>
      <c r="CB8" s="148">
        <f t="shared" si="6"/>
        <v>19.75</v>
      </c>
      <c r="CC8" s="144" t="s">
        <v>185</v>
      </c>
      <c r="CD8" s="144" t="s">
        <v>171</v>
      </c>
      <c r="CE8" s="144" t="s">
        <v>171</v>
      </c>
      <c r="CF8" t="s">
        <v>186</v>
      </c>
      <c r="CG8" s="144">
        <v>10</v>
      </c>
      <c r="CH8" s="144" t="s">
        <v>187</v>
      </c>
      <c r="CI8" s="144" t="s">
        <v>171</v>
      </c>
      <c r="CJ8" s="147">
        <v>28.26</v>
      </c>
      <c r="CK8" t="s">
        <v>173</v>
      </c>
      <c r="CL8">
        <v>3</v>
      </c>
      <c r="CM8">
        <v>3</v>
      </c>
      <c r="CN8" t="s">
        <v>171</v>
      </c>
      <c r="CO8" s="149">
        <v>4.2530000000000001</v>
      </c>
      <c r="CP8" t="s">
        <v>188</v>
      </c>
      <c r="CQ8" s="149">
        <v>0.17012000000000002</v>
      </c>
      <c r="CR8" s="149">
        <v>0.17012000000000002</v>
      </c>
      <c r="CS8" s="150" t="s">
        <v>171</v>
      </c>
      <c r="CT8" t="s">
        <v>189</v>
      </c>
      <c r="CU8" t="s">
        <v>171</v>
      </c>
      <c r="CV8" t="s">
        <v>190</v>
      </c>
      <c r="CW8" t="s">
        <v>191</v>
      </c>
      <c r="CX8" t="s">
        <v>191</v>
      </c>
      <c r="CY8" t="s">
        <v>191</v>
      </c>
      <c r="CZ8" t="s">
        <v>171</v>
      </c>
      <c r="DA8" t="s">
        <v>171</v>
      </c>
      <c r="DB8" t="s">
        <v>171</v>
      </c>
      <c r="DC8" t="s">
        <v>171</v>
      </c>
      <c r="DD8" t="s">
        <v>171</v>
      </c>
      <c r="DE8" t="s">
        <v>171</v>
      </c>
      <c r="DF8" t="s">
        <v>171</v>
      </c>
      <c r="DG8">
        <v>35</v>
      </c>
      <c r="DH8" t="s">
        <v>185</v>
      </c>
      <c r="DI8" s="142">
        <v>3</v>
      </c>
      <c r="DJ8" s="144" t="s">
        <v>192</v>
      </c>
      <c r="DK8" s="144" t="s">
        <v>171</v>
      </c>
      <c r="DL8" s="144" t="s">
        <v>171</v>
      </c>
      <c r="DM8" s="144" t="s">
        <v>171</v>
      </c>
      <c r="DN8" s="144" t="s">
        <v>171</v>
      </c>
      <c r="DO8" s="144" t="s">
        <v>171</v>
      </c>
      <c r="DP8" s="144" t="s">
        <v>171</v>
      </c>
      <c r="DQ8" s="144" t="s">
        <v>171</v>
      </c>
      <c r="DR8" s="144" t="s">
        <v>171</v>
      </c>
      <c r="DS8" s="144" t="s">
        <v>171</v>
      </c>
      <c r="DT8" s="144" t="s">
        <v>171</v>
      </c>
      <c r="DU8" s="144" t="s">
        <v>171</v>
      </c>
      <c r="DV8" s="144" t="s">
        <v>171</v>
      </c>
      <c r="DW8" s="147">
        <v>432.56244218316402</v>
      </c>
      <c r="DX8" t="s">
        <v>193</v>
      </c>
      <c r="DY8">
        <v>37.1</v>
      </c>
      <c r="DZ8" t="s">
        <v>194</v>
      </c>
      <c r="EA8">
        <v>39.61</v>
      </c>
      <c r="EB8" t="s">
        <v>185</v>
      </c>
      <c r="EC8" s="149">
        <f t="shared" si="1"/>
        <v>0.10078200000000001</v>
      </c>
      <c r="ED8" t="s">
        <v>195</v>
      </c>
      <c r="EE8" t="s">
        <v>196</v>
      </c>
      <c r="EF8" t="s">
        <v>197</v>
      </c>
      <c r="EG8">
        <v>1.0271999999999999</v>
      </c>
      <c r="EH8" t="s">
        <v>171</v>
      </c>
      <c r="EI8" t="s">
        <v>171</v>
      </c>
      <c r="EJ8" t="s">
        <v>198</v>
      </c>
      <c r="EK8" t="s">
        <v>191</v>
      </c>
      <c r="EL8" t="s">
        <v>191</v>
      </c>
      <c r="EM8" t="s">
        <v>199</v>
      </c>
      <c r="EN8" t="s">
        <v>200</v>
      </c>
      <c r="EO8" s="151" t="s">
        <v>201</v>
      </c>
      <c r="EP8" s="151" t="s">
        <v>201</v>
      </c>
      <c r="EQ8" s="144" t="s">
        <v>171</v>
      </c>
      <c r="ER8" s="144" t="s">
        <v>171</v>
      </c>
      <c r="ES8" s="144" t="s">
        <v>171</v>
      </c>
      <c r="ET8" t="s">
        <v>202</v>
      </c>
      <c r="EU8" t="s">
        <v>203</v>
      </c>
      <c r="EV8" t="s">
        <v>171</v>
      </c>
      <c r="EW8">
        <v>2334</v>
      </c>
      <c r="EX8" s="151" t="s">
        <v>204</v>
      </c>
      <c r="EY8" s="151">
        <v>175</v>
      </c>
      <c r="EZ8">
        <v>175</v>
      </c>
      <c r="FA8" t="s">
        <v>171</v>
      </c>
      <c r="FB8" t="s">
        <v>171</v>
      </c>
      <c r="FC8" t="s">
        <v>171</v>
      </c>
      <c r="FD8" t="s">
        <v>171</v>
      </c>
      <c r="FE8" s="152">
        <v>8.1476465160694094</v>
      </c>
      <c r="FF8" t="s">
        <v>205</v>
      </c>
      <c r="FG8" s="144" t="s">
        <v>171</v>
      </c>
      <c r="FH8" s="144" t="s">
        <v>171</v>
      </c>
      <c r="FI8" s="153">
        <v>290.698564876918</v>
      </c>
      <c r="FJ8">
        <v>21</v>
      </c>
      <c r="FK8" t="s">
        <v>207</v>
      </c>
      <c r="FL8" s="153">
        <v>269.698564876918</v>
      </c>
      <c r="FM8" s="153">
        <v>50.495086765432006</v>
      </c>
      <c r="FN8" s="153">
        <v>43.821782160427006</v>
      </c>
      <c r="FO8" t="s">
        <v>186</v>
      </c>
      <c r="FP8" t="s">
        <v>208</v>
      </c>
      <c r="FQ8" t="s">
        <v>171</v>
      </c>
      <c r="FR8" t="s">
        <v>171</v>
      </c>
      <c r="FS8" t="s">
        <v>171</v>
      </c>
      <c r="FT8" t="s">
        <v>171</v>
      </c>
      <c r="FU8" t="s">
        <v>171</v>
      </c>
      <c r="FV8" t="s">
        <v>171</v>
      </c>
      <c r="FW8" t="s">
        <v>171</v>
      </c>
      <c r="FX8" t="s">
        <v>171</v>
      </c>
      <c r="FY8" t="s">
        <v>171</v>
      </c>
      <c r="FZ8" t="s">
        <v>171</v>
      </c>
      <c r="GA8" t="s">
        <v>171</v>
      </c>
      <c r="GB8" t="s">
        <v>171</v>
      </c>
    </row>
    <row r="9" spans="1:185" ht="16" x14ac:dyDescent="0.2">
      <c r="A9" t="s">
        <v>217</v>
      </c>
      <c r="B9" s="143" t="s">
        <v>216</v>
      </c>
      <c r="C9" s="138" t="s">
        <v>212</v>
      </c>
      <c r="D9" t="s">
        <v>211</v>
      </c>
      <c r="E9">
        <v>2017</v>
      </c>
      <c r="F9" t="str">
        <f t="shared" si="7"/>
        <v>10.1073/pnas.1702143114</v>
      </c>
      <c r="G9" s="147">
        <f t="shared" si="8"/>
        <v>9.49</v>
      </c>
      <c r="H9">
        <f t="shared" si="2"/>
        <v>3.5000000000000003E-2</v>
      </c>
      <c r="I9">
        <f t="shared" si="3"/>
        <v>3.5000000000000003E-2</v>
      </c>
      <c r="J9" s="153">
        <f t="shared" si="9"/>
        <v>267.94412740060301</v>
      </c>
      <c r="K9" s="153">
        <f t="shared" si="10"/>
        <v>46.002275590934971</v>
      </c>
      <c r="L9" s="153">
        <f t="shared" si="11"/>
        <v>41.056319917010001</v>
      </c>
      <c r="M9" t="b">
        <v>1</v>
      </c>
      <c r="N9">
        <v>3</v>
      </c>
      <c r="O9" s="144" t="s">
        <v>228</v>
      </c>
      <c r="P9" s="144" t="s">
        <v>229</v>
      </c>
      <c r="Q9" t="b">
        <v>0</v>
      </c>
      <c r="R9" t="s">
        <v>215</v>
      </c>
      <c r="S9" t="b">
        <v>1</v>
      </c>
      <c r="T9" t="b">
        <v>0</v>
      </c>
      <c r="U9" t="s">
        <v>171</v>
      </c>
      <c r="V9" t="s">
        <v>171</v>
      </c>
      <c r="W9" t="b">
        <v>0</v>
      </c>
      <c r="X9" t="s">
        <v>171</v>
      </c>
      <c r="Y9" s="139" t="s">
        <v>167</v>
      </c>
      <c r="Z9" s="143" t="s">
        <v>168</v>
      </c>
      <c r="AA9" t="s">
        <v>169</v>
      </c>
      <c r="AB9" t="s">
        <v>170</v>
      </c>
      <c r="AC9" s="144">
        <v>1</v>
      </c>
      <c r="AD9" s="144">
        <v>1</v>
      </c>
      <c r="AE9" s="144">
        <v>39</v>
      </c>
      <c r="AF9" s="144">
        <v>41</v>
      </c>
      <c r="AG9" s="145">
        <v>0.39</v>
      </c>
      <c r="AH9" s="145">
        <v>0.39</v>
      </c>
      <c r="AI9" t="s">
        <v>171</v>
      </c>
      <c r="AJ9" t="s">
        <v>172</v>
      </c>
      <c r="AK9" s="146">
        <v>12.74</v>
      </c>
      <c r="AL9" s="146">
        <v>-78.739999999999995</v>
      </c>
      <c r="AM9" t="s">
        <v>171</v>
      </c>
      <c r="AN9" t="s">
        <v>171</v>
      </c>
      <c r="AO9">
        <v>-2839</v>
      </c>
      <c r="AP9" t="s">
        <v>171</v>
      </c>
      <c r="AQ9" t="s">
        <v>171</v>
      </c>
      <c r="AR9" t="s">
        <v>171</v>
      </c>
      <c r="AS9" s="147">
        <v>9.49</v>
      </c>
      <c r="AT9" t="s">
        <v>173</v>
      </c>
      <c r="AU9">
        <v>3.5000000000000003E-2</v>
      </c>
      <c r="AV9">
        <v>3.5000000000000003E-2</v>
      </c>
      <c r="AW9" t="s">
        <v>171</v>
      </c>
      <c r="AX9" t="s">
        <v>174</v>
      </c>
      <c r="AY9" t="s">
        <v>171</v>
      </c>
      <c r="AZ9" t="s">
        <v>171</v>
      </c>
      <c r="BA9" t="s">
        <v>171</v>
      </c>
      <c r="BB9" t="s">
        <v>171</v>
      </c>
      <c r="BC9" t="s">
        <v>171</v>
      </c>
      <c r="BD9" t="s">
        <v>171</v>
      </c>
      <c r="BE9" t="s">
        <v>171</v>
      </c>
      <c r="BF9" t="s">
        <v>171</v>
      </c>
      <c r="BG9" t="s">
        <v>175</v>
      </c>
      <c r="BH9" t="s">
        <v>176</v>
      </c>
      <c r="BI9" t="s">
        <v>177</v>
      </c>
      <c r="BJ9" s="142">
        <v>2</v>
      </c>
      <c r="BK9" t="s">
        <v>178</v>
      </c>
      <c r="BL9" t="s">
        <v>179</v>
      </c>
      <c r="BM9" t="s">
        <v>180</v>
      </c>
      <c r="BN9" t="s">
        <v>171</v>
      </c>
      <c r="BO9" s="142">
        <v>2</v>
      </c>
      <c r="BP9" s="144" t="s">
        <v>171</v>
      </c>
      <c r="BQ9" s="145">
        <v>20.68</v>
      </c>
      <c r="BR9" t="s">
        <v>181</v>
      </c>
      <c r="BS9" s="149">
        <v>0.18</v>
      </c>
      <c r="BT9">
        <v>0.64</v>
      </c>
      <c r="BU9" t="s">
        <v>182</v>
      </c>
      <c r="BV9">
        <v>3.4000000000000002E-2</v>
      </c>
      <c r="BW9">
        <v>9.1</v>
      </c>
      <c r="BX9" t="s">
        <v>173</v>
      </c>
      <c r="BY9">
        <v>0.56000000000000005</v>
      </c>
      <c r="BZ9" t="s">
        <v>183</v>
      </c>
      <c r="CA9" t="s">
        <v>184</v>
      </c>
      <c r="CB9" s="148">
        <f t="shared" si="6"/>
        <v>19.683333333333334</v>
      </c>
      <c r="CC9" s="144" t="s">
        <v>185</v>
      </c>
      <c r="CD9" s="144" t="s">
        <v>171</v>
      </c>
      <c r="CE9" s="144" t="s">
        <v>171</v>
      </c>
      <c r="CF9" t="s">
        <v>186</v>
      </c>
      <c r="CG9" s="144">
        <v>10</v>
      </c>
      <c r="CH9" s="144" t="s">
        <v>187</v>
      </c>
      <c r="CI9" s="144" t="s">
        <v>171</v>
      </c>
      <c r="CJ9" s="147">
        <v>27.5</v>
      </c>
      <c r="CK9" t="s">
        <v>173</v>
      </c>
      <c r="CL9">
        <v>3</v>
      </c>
      <c r="CM9">
        <v>3</v>
      </c>
      <c r="CN9" t="s">
        <v>171</v>
      </c>
      <c r="CO9" s="149">
        <v>4.2290000000000001</v>
      </c>
      <c r="CP9" t="s">
        <v>188</v>
      </c>
      <c r="CQ9" s="149">
        <v>0.16916</v>
      </c>
      <c r="CR9" s="149">
        <v>0.16916</v>
      </c>
      <c r="CS9" s="150" t="s">
        <v>171</v>
      </c>
      <c r="CT9" t="s">
        <v>189</v>
      </c>
      <c r="CU9" t="s">
        <v>171</v>
      </c>
      <c r="CV9" t="s">
        <v>190</v>
      </c>
      <c r="CW9" t="s">
        <v>191</v>
      </c>
      <c r="CX9" t="s">
        <v>191</v>
      </c>
      <c r="CY9" t="s">
        <v>191</v>
      </c>
      <c r="CZ9" t="s">
        <v>171</v>
      </c>
      <c r="DA9" t="s">
        <v>171</v>
      </c>
      <c r="DB9" t="s">
        <v>171</v>
      </c>
      <c r="DC9" t="s">
        <v>171</v>
      </c>
      <c r="DD9" t="s">
        <v>171</v>
      </c>
      <c r="DE9" t="s">
        <v>171</v>
      </c>
      <c r="DF9" t="s">
        <v>171</v>
      </c>
      <c r="DG9">
        <v>35</v>
      </c>
      <c r="DH9" t="s">
        <v>185</v>
      </c>
      <c r="DI9" s="142">
        <v>3</v>
      </c>
      <c r="DJ9" s="144" t="s">
        <v>192</v>
      </c>
      <c r="DK9" s="144" t="s">
        <v>171</v>
      </c>
      <c r="DL9" s="144" t="s">
        <v>171</v>
      </c>
      <c r="DM9" s="144" t="s">
        <v>171</v>
      </c>
      <c r="DN9" s="144" t="s">
        <v>171</v>
      </c>
      <c r="DO9" s="144" t="s">
        <v>171</v>
      </c>
      <c r="DP9" s="144" t="s">
        <v>171</v>
      </c>
      <c r="DQ9" s="144" t="s">
        <v>171</v>
      </c>
      <c r="DR9" s="144" t="s">
        <v>171</v>
      </c>
      <c r="DS9" s="144" t="s">
        <v>171</v>
      </c>
      <c r="DT9" s="144" t="s">
        <v>171</v>
      </c>
      <c r="DU9" s="144" t="s">
        <v>171</v>
      </c>
      <c r="DV9" s="144" t="s">
        <v>171</v>
      </c>
      <c r="DW9" s="147">
        <v>432.56244218316402</v>
      </c>
      <c r="DX9" t="s">
        <v>193</v>
      </c>
      <c r="DY9">
        <v>37.1</v>
      </c>
      <c r="DZ9" t="s">
        <v>194</v>
      </c>
      <c r="EA9">
        <v>39.61</v>
      </c>
      <c r="EB9" t="s">
        <v>185</v>
      </c>
      <c r="EC9" s="149">
        <f t="shared" si="1"/>
        <v>0.10094900000000001</v>
      </c>
      <c r="ED9" t="s">
        <v>195</v>
      </c>
      <c r="EE9" t="s">
        <v>196</v>
      </c>
      <c r="EF9" t="s">
        <v>197</v>
      </c>
      <c r="EG9">
        <v>1.0271999999999999</v>
      </c>
      <c r="EH9" t="s">
        <v>171</v>
      </c>
      <c r="EI9" t="s">
        <v>171</v>
      </c>
      <c r="EJ9" t="s">
        <v>198</v>
      </c>
      <c r="EK9" t="s">
        <v>191</v>
      </c>
      <c r="EL9" t="s">
        <v>191</v>
      </c>
      <c r="EM9" t="s">
        <v>199</v>
      </c>
      <c r="EN9" t="s">
        <v>200</v>
      </c>
      <c r="EO9" s="151" t="s">
        <v>201</v>
      </c>
      <c r="EP9" s="151" t="s">
        <v>201</v>
      </c>
      <c r="EQ9" s="144" t="s">
        <v>171</v>
      </c>
      <c r="ER9" s="144" t="s">
        <v>171</v>
      </c>
      <c r="ES9" s="144" t="s">
        <v>171</v>
      </c>
      <c r="ET9" t="s">
        <v>202</v>
      </c>
      <c r="EU9" t="s">
        <v>203</v>
      </c>
      <c r="EV9" t="s">
        <v>171</v>
      </c>
      <c r="EW9">
        <v>2335</v>
      </c>
      <c r="EX9" s="151" t="s">
        <v>204</v>
      </c>
      <c r="EY9" s="151">
        <v>175</v>
      </c>
      <c r="EZ9">
        <v>175</v>
      </c>
      <c r="FA9" t="s">
        <v>171</v>
      </c>
      <c r="FB9" t="s">
        <v>171</v>
      </c>
      <c r="FC9" t="s">
        <v>171</v>
      </c>
      <c r="FD9" t="s">
        <v>171</v>
      </c>
      <c r="FE9" s="152">
        <v>8.1516318413450506</v>
      </c>
      <c r="FF9" t="s">
        <v>205</v>
      </c>
      <c r="FG9" s="144" t="s">
        <v>171</v>
      </c>
      <c r="FH9" s="144" t="s">
        <v>171</v>
      </c>
      <c r="FI9" s="153">
        <v>288.94412740060301</v>
      </c>
      <c r="FJ9">
        <v>21</v>
      </c>
      <c r="FK9" t="s">
        <v>207</v>
      </c>
      <c r="FL9" s="153">
        <v>267.94412740060301</v>
      </c>
      <c r="FM9" s="153">
        <v>46.002275590934971</v>
      </c>
      <c r="FN9" s="153">
        <v>41.056319917010001</v>
      </c>
      <c r="FO9" t="s">
        <v>186</v>
      </c>
      <c r="FP9" t="s">
        <v>208</v>
      </c>
      <c r="FQ9" t="s">
        <v>171</v>
      </c>
      <c r="FR9" t="s">
        <v>171</v>
      </c>
      <c r="FS9" t="s">
        <v>171</v>
      </c>
      <c r="FT9" t="s">
        <v>171</v>
      </c>
      <c r="FU9" t="s">
        <v>171</v>
      </c>
      <c r="FV9" t="s">
        <v>171</v>
      </c>
      <c r="FW9" t="s">
        <v>171</v>
      </c>
      <c r="FX9" t="s">
        <v>171</v>
      </c>
      <c r="FY9" t="s">
        <v>171</v>
      </c>
      <c r="FZ9" t="s">
        <v>171</v>
      </c>
      <c r="GA9" t="s">
        <v>171</v>
      </c>
      <c r="GB9" t="s">
        <v>171</v>
      </c>
    </row>
    <row r="10" spans="1:185" ht="16" x14ac:dyDescent="0.2">
      <c r="A10" t="s">
        <v>217</v>
      </c>
      <c r="B10" s="143" t="s">
        <v>216</v>
      </c>
      <c r="C10" s="138" t="s">
        <v>212</v>
      </c>
      <c r="D10" t="s">
        <v>211</v>
      </c>
      <c r="E10">
        <v>2017</v>
      </c>
      <c r="F10" t="str">
        <f t="shared" si="7"/>
        <v>10.1073/pnas.1702143114</v>
      </c>
      <c r="G10" s="147">
        <f t="shared" si="8"/>
        <v>10.32</v>
      </c>
      <c r="H10">
        <f t="shared" si="2"/>
        <v>3.5000000000000003E-2</v>
      </c>
      <c r="I10">
        <f t="shared" si="3"/>
        <v>3.5000000000000003E-2</v>
      </c>
      <c r="J10" s="153">
        <f t="shared" si="9"/>
        <v>240.025390319282</v>
      </c>
      <c r="K10" s="153">
        <f t="shared" si="10"/>
        <v>47.982483779893016</v>
      </c>
      <c r="L10" s="153">
        <f t="shared" si="11"/>
        <v>42.093956596685985</v>
      </c>
      <c r="M10" t="b">
        <v>1</v>
      </c>
      <c r="N10">
        <v>3</v>
      </c>
      <c r="O10" s="144" t="s">
        <v>228</v>
      </c>
      <c r="P10" s="144" t="s">
        <v>229</v>
      </c>
      <c r="Q10" t="b">
        <v>0</v>
      </c>
      <c r="R10" t="s">
        <v>215</v>
      </c>
      <c r="S10" t="b">
        <v>1</v>
      </c>
      <c r="T10" t="b">
        <v>0</v>
      </c>
      <c r="U10" t="s">
        <v>171</v>
      </c>
      <c r="V10" t="s">
        <v>171</v>
      </c>
      <c r="W10" t="b">
        <v>0</v>
      </c>
      <c r="X10" t="s">
        <v>171</v>
      </c>
      <c r="Y10" s="139" t="s">
        <v>167</v>
      </c>
      <c r="Z10" s="143" t="s">
        <v>168</v>
      </c>
      <c r="AA10" t="s">
        <v>169</v>
      </c>
      <c r="AB10" t="s">
        <v>170</v>
      </c>
      <c r="AC10" s="144">
        <v>1</v>
      </c>
      <c r="AD10" s="144">
        <v>1</v>
      </c>
      <c r="AE10" s="144">
        <v>43</v>
      </c>
      <c r="AF10" s="144">
        <v>45</v>
      </c>
      <c r="AG10" s="145">
        <v>0.43</v>
      </c>
      <c r="AH10" s="145">
        <v>0.43</v>
      </c>
      <c r="AI10" t="s">
        <v>171</v>
      </c>
      <c r="AJ10" t="s">
        <v>172</v>
      </c>
      <c r="AK10" s="146">
        <v>12.74</v>
      </c>
      <c r="AL10" s="146">
        <v>-78.739999999999995</v>
      </c>
      <c r="AM10" t="s">
        <v>171</v>
      </c>
      <c r="AN10" t="s">
        <v>171</v>
      </c>
      <c r="AO10">
        <v>-2839</v>
      </c>
      <c r="AP10" t="s">
        <v>171</v>
      </c>
      <c r="AQ10" t="s">
        <v>171</v>
      </c>
      <c r="AR10" t="s">
        <v>171</v>
      </c>
      <c r="AS10" s="147">
        <v>10.32</v>
      </c>
      <c r="AT10" t="s">
        <v>173</v>
      </c>
      <c r="AU10">
        <v>3.5000000000000003E-2</v>
      </c>
      <c r="AV10">
        <v>3.5000000000000003E-2</v>
      </c>
      <c r="AW10" t="s">
        <v>171</v>
      </c>
      <c r="AX10" t="s">
        <v>174</v>
      </c>
      <c r="AY10" t="s">
        <v>171</v>
      </c>
      <c r="AZ10" t="s">
        <v>171</v>
      </c>
      <c r="BA10" t="s">
        <v>171</v>
      </c>
      <c r="BB10" t="s">
        <v>171</v>
      </c>
      <c r="BC10" t="s">
        <v>171</v>
      </c>
      <c r="BD10" t="s">
        <v>171</v>
      </c>
      <c r="BE10" t="s">
        <v>171</v>
      </c>
      <c r="BF10" t="s">
        <v>171</v>
      </c>
      <c r="BG10" t="s">
        <v>175</v>
      </c>
      <c r="BH10" t="s">
        <v>176</v>
      </c>
      <c r="BI10" t="s">
        <v>177</v>
      </c>
      <c r="BJ10" s="142">
        <v>2</v>
      </c>
      <c r="BK10" t="s">
        <v>178</v>
      </c>
      <c r="BL10" t="s">
        <v>179</v>
      </c>
      <c r="BM10" t="s">
        <v>180</v>
      </c>
      <c r="BN10" t="s">
        <v>171</v>
      </c>
      <c r="BO10" s="142">
        <v>2</v>
      </c>
      <c r="BP10" s="144" t="s">
        <v>171</v>
      </c>
      <c r="BQ10" s="145">
        <v>20.93</v>
      </c>
      <c r="BR10" t="s">
        <v>181</v>
      </c>
      <c r="BS10" s="149">
        <v>0.24</v>
      </c>
      <c r="BT10">
        <v>0.64</v>
      </c>
      <c r="BU10" t="s">
        <v>182</v>
      </c>
      <c r="BV10">
        <v>3.4000000000000002E-2</v>
      </c>
      <c r="BW10">
        <v>9.1</v>
      </c>
      <c r="BX10" t="s">
        <v>173</v>
      </c>
      <c r="BY10">
        <v>0.56000000000000005</v>
      </c>
      <c r="BZ10" t="s">
        <v>183</v>
      </c>
      <c r="CA10" t="s">
        <v>184</v>
      </c>
      <c r="CB10" s="148">
        <f t="shared" si="6"/>
        <v>20.100000000000001</v>
      </c>
      <c r="CC10" s="144" t="s">
        <v>185</v>
      </c>
      <c r="CD10" s="144" t="s">
        <v>171</v>
      </c>
      <c r="CE10" s="144" t="s">
        <v>171</v>
      </c>
      <c r="CF10" t="s">
        <v>186</v>
      </c>
      <c r="CG10" s="144">
        <v>10</v>
      </c>
      <c r="CH10" s="144" t="s">
        <v>187</v>
      </c>
      <c r="CI10" s="144" t="s">
        <v>171</v>
      </c>
      <c r="CJ10" s="147">
        <v>27.45</v>
      </c>
      <c r="CK10" t="s">
        <v>173</v>
      </c>
      <c r="CL10">
        <v>3</v>
      </c>
      <c r="CM10">
        <v>3</v>
      </c>
      <c r="CN10" t="s">
        <v>171</v>
      </c>
      <c r="CO10" s="149">
        <v>3.9670000000000001</v>
      </c>
      <c r="CP10" t="s">
        <v>188</v>
      </c>
      <c r="CQ10" s="149">
        <v>0.15868000000000002</v>
      </c>
      <c r="CR10" s="149">
        <v>0.15868000000000002</v>
      </c>
      <c r="CS10" s="150" t="s">
        <v>171</v>
      </c>
      <c r="CT10" t="s">
        <v>189</v>
      </c>
      <c r="CU10" t="s">
        <v>171</v>
      </c>
      <c r="CV10" t="s">
        <v>190</v>
      </c>
      <c r="CW10" t="s">
        <v>191</v>
      </c>
      <c r="CX10" t="s">
        <v>191</v>
      </c>
      <c r="CY10" t="s">
        <v>191</v>
      </c>
      <c r="CZ10" t="s">
        <v>171</v>
      </c>
      <c r="DA10" t="s">
        <v>171</v>
      </c>
      <c r="DB10" t="s">
        <v>171</v>
      </c>
      <c r="DC10" t="s">
        <v>171</v>
      </c>
      <c r="DD10" t="s">
        <v>171</v>
      </c>
      <c r="DE10" t="s">
        <v>171</v>
      </c>
      <c r="DF10" t="s">
        <v>171</v>
      </c>
      <c r="DG10">
        <v>35</v>
      </c>
      <c r="DH10" t="s">
        <v>185</v>
      </c>
      <c r="DI10" s="142">
        <v>3</v>
      </c>
      <c r="DJ10" s="144" t="s">
        <v>192</v>
      </c>
      <c r="DK10" s="144" t="s">
        <v>171</v>
      </c>
      <c r="DL10" s="144" t="s">
        <v>171</v>
      </c>
      <c r="DM10" s="144" t="s">
        <v>171</v>
      </c>
      <c r="DN10" s="144" t="s">
        <v>171</v>
      </c>
      <c r="DO10" s="144" t="s">
        <v>171</v>
      </c>
      <c r="DP10" s="144" t="s">
        <v>171</v>
      </c>
      <c r="DQ10" s="144" t="s">
        <v>171</v>
      </c>
      <c r="DR10" s="144" t="s">
        <v>171</v>
      </c>
      <c r="DS10" s="144" t="s">
        <v>171</v>
      </c>
      <c r="DT10" s="144" t="s">
        <v>171</v>
      </c>
      <c r="DU10" s="144" t="s">
        <v>171</v>
      </c>
      <c r="DV10" s="144" t="s">
        <v>171</v>
      </c>
      <c r="DW10" s="147">
        <v>432.56244218316402</v>
      </c>
      <c r="DX10" t="s">
        <v>193</v>
      </c>
      <c r="DY10">
        <v>37.1</v>
      </c>
      <c r="DZ10" t="s">
        <v>194</v>
      </c>
      <c r="EA10">
        <v>39.61</v>
      </c>
      <c r="EB10" t="s">
        <v>185</v>
      </c>
      <c r="EC10" s="149">
        <f t="shared" si="1"/>
        <v>0.10103200000000001</v>
      </c>
      <c r="ED10" t="s">
        <v>195</v>
      </c>
      <c r="EE10" t="s">
        <v>196</v>
      </c>
      <c r="EF10" t="s">
        <v>197</v>
      </c>
      <c r="EG10">
        <v>1.0271999999999999</v>
      </c>
      <c r="EH10" t="s">
        <v>171</v>
      </c>
      <c r="EI10" t="s">
        <v>171</v>
      </c>
      <c r="EJ10" t="s">
        <v>198</v>
      </c>
      <c r="EK10" t="s">
        <v>191</v>
      </c>
      <c r="EL10" t="s">
        <v>191</v>
      </c>
      <c r="EM10" t="s">
        <v>199</v>
      </c>
      <c r="EN10" t="s">
        <v>200</v>
      </c>
      <c r="EO10" s="151" t="s">
        <v>201</v>
      </c>
      <c r="EP10" s="151" t="s">
        <v>201</v>
      </c>
      <c r="EQ10" s="144" t="s">
        <v>171</v>
      </c>
      <c r="ER10" s="144" t="s">
        <v>171</v>
      </c>
      <c r="ES10" s="144" t="s">
        <v>171</v>
      </c>
      <c r="ET10" t="s">
        <v>202</v>
      </c>
      <c r="EU10" t="s">
        <v>203</v>
      </c>
      <c r="EV10" t="s">
        <v>171</v>
      </c>
      <c r="EW10">
        <v>2336</v>
      </c>
      <c r="EX10" s="151" t="s">
        <v>204</v>
      </c>
      <c r="EY10" s="151">
        <v>175</v>
      </c>
      <c r="EZ10">
        <v>175</v>
      </c>
      <c r="FA10" t="s">
        <v>171</v>
      </c>
      <c r="FB10" t="s">
        <v>171</v>
      </c>
      <c r="FC10" t="s">
        <v>171</v>
      </c>
      <c r="FD10" t="s">
        <v>171</v>
      </c>
      <c r="FE10" s="152">
        <v>8.1850872184094996</v>
      </c>
      <c r="FF10" t="s">
        <v>205</v>
      </c>
      <c r="FG10" s="144" t="s">
        <v>171</v>
      </c>
      <c r="FH10" s="144" t="s">
        <v>171</v>
      </c>
      <c r="FI10" s="153">
        <v>261.025390319282</v>
      </c>
      <c r="FJ10">
        <v>21</v>
      </c>
      <c r="FK10" t="s">
        <v>207</v>
      </c>
      <c r="FL10" s="153">
        <v>240.025390319282</v>
      </c>
      <c r="FM10" s="153">
        <v>47.982483779893016</v>
      </c>
      <c r="FN10" s="153">
        <v>42.093956596685985</v>
      </c>
      <c r="FO10" t="s">
        <v>186</v>
      </c>
      <c r="FP10" t="s">
        <v>208</v>
      </c>
      <c r="FQ10" t="s">
        <v>171</v>
      </c>
      <c r="FR10" t="s">
        <v>171</v>
      </c>
      <c r="FS10" t="s">
        <v>171</v>
      </c>
      <c r="FT10" t="s">
        <v>171</v>
      </c>
      <c r="FU10" t="s">
        <v>171</v>
      </c>
      <c r="FV10" t="s">
        <v>171</v>
      </c>
      <c r="FW10" t="s">
        <v>171</v>
      </c>
      <c r="FX10" t="s">
        <v>171</v>
      </c>
      <c r="FY10" t="s">
        <v>171</v>
      </c>
      <c r="FZ10" t="s">
        <v>171</v>
      </c>
      <c r="GA10" t="s">
        <v>171</v>
      </c>
      <c r="GB10" t="s">
        <v>171</v>
      </c>
    </row>
    <row r="11" spans="1:185" ht="16" x14ac:dyDescent="0.2">
      <c r="A11" t="s">
        <v>217</v>
      </c>
      <c r="B11" s="143" t="s">
        <v>216</v>
      </c>
      <c r="C11" s="138" t="s">
        <v>212</v>
      </c>
      <c r="D11" t="s">
        <v>211</v>
      </c>
      <c r="E11">
        <v>2017</v>
      </c>
      <c r="F11" t="str">
        <f t="shared" si="7"/>
        <v>10.1073/pnas.1702143114</v>
      </c>
      <c r="G11" s="147">
        <f t="shared" si="8"/>
        <v>11.65</v>
      </c>
      <c r="H11">
        <f t="shared" si="2"/>
        <v>3.5000000000000003E-2</v>
      </c>
      <c r="I11">
        <f t="shared" si="3"/>
        <v>3.5000000000000003E-2</v>
      </c>
      <c r="J11" s="153">
        <f t="shared" si="9"/>
        <v>258.41736660734603</v>
      </c>
      <c r="K11" s="153">
        <f t="shared" si="10"/>
        <v>46.628151380719999</v>
      </c>
      <c r="L11" s="153">
        <f t="shared" si="11"/>
        <v>41.234099034193036</v>
      </c>
      <c r="M11" t="b">
        <v>1</v>
      </c>
      <c r="N11">
        <v>3</v>
      </c>
      <c r="O11" s="144" t="s">
        <v>228</v>
      </c>
      <c r="P11" s="144" t="s">
        <v>229</v>
      </c>
      <c r="Q11" t="b">
        <v>0</v>
      </c>
      <c r="R11" t="s">
        <v>215</v>
      </c>
      <c r="S11" t="b">
        <v>1</v>
      </c>
      <c r="T11" t="b">
        <v>0</v>
      </c>
      <c r="U11" t="s">
        <v>171</v>
      </c>
      <c r="V11" t="s">
        <v>171</v>
      </c>
      <c r="W11" t="b">
        <v>0</v>
      </c>
      <c r="X11" t="s">
        <v>171</v>
      </c>
      <c r="Y11" s="139" t="s">
        <v>167</v>
      </c>
      <c r="Z11" s="143" t="s">
        <v>168</v>
      </c>
      <c r="AA11" t="s">
        <v>169</v>
      </c>
      <c r="AB11" t="s">
        <v>170</v>
      </c>
      <c r="AC11" s="144">
        <v>1</v>
      </c>
      <c r="AD11" s="144">
        <v>1</v>
      </c>
      <c r="AE11" s="144">
        <v>48</v>
      </c>
      <c r="AF11" s="144">
        <v>50</v>
      </c>
      <c r="AG11" s="145">
        <v>0.48</v>
      </c>
      <c r="AH11" s="145">
        <v>0.48</v>
      </c>
      <c r="AI11" t="s">
        <v>171</v>
      </c>
      <c r="AJ11" t="s">
        <v>172</v>
      </c>
      <c r="AK11" s="146">
        <v>12.74</v>
      </c>
      <c r="AL11" s="146">
        <v>-78.739999999999995</v>
      </c>
      <c r="AM11" t="s">
        <v>171</v>
      </c>
      <c r="AN11" t="s">
        <v>171</v>
      </c>
      <c r="AO11">
        <v>-2839</v>
      </c>
      <c r="AP11" t="s">
        <v>171</v>
      </c>
      <c r="AQ11" t="s">
        <v>171</v>
      </c>
      <c r="AR11" t="s">
        <v>171</v>
      </c>
      <c r="AS11" s="147">
        <v>11.65</v>
      </c>
      <c r="AT11" t="s">
        <v>173</v>
      </c>
      <c r="AU11">
        <v>3.5000000000000003E-2</v>
      </c>
      <c r="AV11">
        <v>3.5000000000000003E-2</v>
      </c>
      <c r="AW11" t="s">
        <v>171</v>
      </c>
      <c r="AX11" t="s">
        <v>174</v>
      </c>
      <c r="AY11" t="s">
        <v>171</v>
      </c>
      <c r="AZ11" t="s">
        <v>171</v>
      </c>
      <c r="BA11" t="s">
        <v>171</v>
      </c>
      <c r="BB11" t="s">
        <v>171</v>
      </c>
      <c r="BC11" t="s">
        <v>171</v>
      </c>
      <c r="BD11" t="s">
        <v>171</v>
      </c>
      <c r="BE11" t="s">
        <v>171</v>
      </c>
      <c r="BF11" t="s">
        <v>171</v>
      </c>
      <c r="BG11" t="s">
        <v>175</v>
      </c>
      <c r="BH11" t="s">
        <v>176</v>
      </c>
      <c r="BI11" t="s">
        <v>177</v>
      </c>
      <c r="BJ11" s="142">
        <v>2</v>
      </c>
      <c r="BK11" t="s">
        <v>178</v>
      </c>
      <c r="BL11" t="s">
        <v>179</v>
      </c>
      <c r="BM11" t="s">
        <v>180</v>
      </c>
      <c r="BN11" t="s">
        <v>171</v>
      </c>
      <c r="BO11" s="142">
        <v>2</v>
      </c>
      <c r="BP11" s="144" t="s">
        <v>171</v>
      </c>
      <c r="BQ11" s="145">
        <v>20.72</v>
      </c>
      <c r="BR11" t="s">
        <v>181</v>
      </c>
      <c r="BS11" s="149">
        <v>0.2</v>
      </c>
      <c r="BT11">
        <v>0.64</v>
      </c>
      <c r="BU11" t="s">
        <v>182</v>
      </c>
      <c r="BV11">
        <v>3.4000000000000002E-2</v>
      </c>
      <c r="BW11">
        <v>9.1</v>
      </c>
      <c r="BX11" t="s">
        <v>173</v>
      </c>
      <c r="BY11">
        <v>0.56000000000000005</v>
      </c>
      <c r="BZ11" t="s">
        <v>183</v>
      </c>
      <c r="CA11" t="s">
        <v>184</v>
      </c>
      <c r="CB11" s="148">
        <f t="shared" si="6"/>
        <v>19.75</v>
      </c>
      <c r="CC11" s="144" t="s">
        <v>185</v>
      </c>
      <c r="CD11" s="144" t="s">
        <v>171</v>
      </c>
      <c r="CE11" s="144" t="s">
        <v>171</v>
      </c>
      <c r="CF11" t="s">
        <v>186</v>
      </c>
      <c r="CG11" s="144">
        <v>10</v>
      </c>
      <c r="CH11" s="144" t="s">
        <v>187</v>
      </c>
      <c r="CI11" s="144" t="s">
        <v>171</v>
      </c>
      <c r="CJ11" s="147">
        <v>26.91</v>
      </c>
      <c r="CK11" t="s">
        <v>173</v>
      </c>
      <c r="CL11">
        <v>3</v>
      </c>
      <c r="CM11">
        <v>3</v>
      </c>
      <c r="CN11" t="s">
        <v>171</v>
      </c>
      <c r="CO11" s="149">
        <v>4.1470000000000002</v>
      </c>
      <c r="CP11" t="s">
        <v>188</v>
      </c>
      <c r="CQ11" s="149">
        <v>0.16588</v>
      </c>
      <c r="CR11" s="149">
        <v>0.16588</v>
      </c>
      <c r="CS11" s="150" t="s">
        <v>171</v>
      </c>
      <c r="CT11" t="s">
        <v>189</v>
      </c>
      <c r="CU11" t="s">
        <v>171</v>
      </c>
      <c r="CV11" t="s">
        <v>190</v>
      </c>
      <c r="CW11" t="s">
        <v>191</v>
      </c>
      <c r="CX11" t="s">
        <v>191</v>
      </c>
      <c r="CY11" t="s">
        <v>191</v>
      </c>
      <c r="CZ11" t="s">
        <v>171</v>
      </c>
      <c r="DA11" t="s">
        <v>171</v>
      </c>
      <c r="DB11" t="s">
        <v>171</v>
      </c>
      <c r="DC11" t="s">
        <v>171</v>
      </c>
      <c r="DD11" t="s">
        <v>171</v>
      </c>
      <c r="DE11" t="s">
        <v>171</v>
      </c>
      <c r="DF11" t="s">
        <v>171</v>
      </c>
      <c r="DG11">
        <v>35</v>
      </c>
      <c r="DH11" t="s">
        <v>185</v>
      </c>
      <c r="DI11" s="142">
        <v>3</v>
      </c>
      <c r="DJ11" s="144" t="s">
        <v>192</v>
      </c>
      <c r="DK11" s="144" t="s">
        <v>171</v>
      </c>
      <c r="DL11" s="144" t="s">
        <v>171</v>
      </c>
      <c r="DM11" s="144" t="s">
        <v>171</v>
      </c>
      <c r="DN11" s="144" t="s">
        <v>171</v>
      </c>
      <c r="DO11" s="144" t="s">
        <v>171</v>
      </c>
      <c r="DP11" s="144" t="s">
        <v>171</v>
      </c>
      <c r="DQ11" s="144" t="s">
        <v>171</v>
      </c>
      <c r="DR11" s="144" t="s">
        <v>171</v>
      </c>
      <c r="DS11" s="144" t="s">
        <v>171</v>
      </c>
      <c r="DT11" s="144" t="s">
        <v>171</v>
      </c>
      <c r="DU11" s="144" t="s">
        <v>171</v>
      </c>
      <c r="DV11" s="144" t="s">
        <v>171</v>
      </c>
      <c r="DW11" s="147">
        <v>432.56244218316402</v>
      </c>
      <c r="DX11" t="s">
        <v>193</v>
      </c>
      <c r="DY11">
        <v>37.1</v>
      </c>
      <c r="DZ11" t="s">
        <v>194</v>
      </c>
      <c r="EA11">
        <v>39.61</v>
      </c>
      <c r="EB11" t="s">
        <v>185</v>
      </c>
      <c r="EC11" s="149">
        <f t="shared" si="1"/>
        <v>0.101165</v>
      </c>
      <c r="ED11" t="s">
        <v>195</v>
      </c>
      <c r="EE11" t="s">
        <v>196</v>
      </c>
      <c r="EF11" t="s">
        <v>197</v>
      </c>
      <c r="EG11">
        <v>1.0271999999999999</v>
      </c>
      <c r="EH11" t="s">
        <v>171</v>
      </c>
      <c r="EI11" t="s">
        <v>171</v>
      </c>
      <c r="EJ11" t="s">
        <v>198</v>
      </c>
      <c r="EK11" t="s">
        <v>191</v>
      </c>
      <c r="EL11" t="s">
        <v>191</v>
      </c>
      <c r="EM11" t="s">
        <v>199</v>
      </c>
      <c r="EN11" t="s">
        <v>200</v>
      </c>
      <c r="EO11" s="151" t="s">
        <v>201</v>
      </c>
      <c r="EP11" s="151" t="s">
        <v>201</v>
      </c>
      <c r="EQ11" s="144" t="s">
        <v>171</v>
      </c>
      <c r="ER11" s="144" t="s">
        <v>171</v>
      </c>
      <c r="ES11" s="144" t="s">
        <v>171</v>
      </c>
      <c r="ET11" t="s">
        <v>202</v>
      </c>
      <c r="EU11" t="s">
        <v>203</v>
      </c>
      <c r="EV11" t="s">
        <v>171</v>
      </c>
      <c r="EW11">
        <v>2337</v>
      </c>
      <c r="EX11" s="151" t="s">
        <v>204</v>
      </c>
      <c r="EY11" s="151">
        <v>175</v>
      </c>
      <c r="EZ11">
        <v>175</v>
      </c>
      <c r="FA11" t="s">
        <v>171</v>
      </c>
      <c r="FB11" t="s">
        <v>171</v>
      </c>
      <c r="FC11" t="s">
        <v>171</v>
      </c>
      <c r="FD11" t="s">
        <v>171</v>
      </c>
      <c r="FE11" s="152">
        <v>8.1635943944188192</v>
      </c>
      <c r="FF11" t="s">
        <v>205</v>
      </c>
      <c r="FG11" s="144" t="s">
        <v>171</v>
      </c>
      <c r="FH11" s="144" t="s">
        <v>171</v>
      </c>
      <c r="FI11" s="153">
        <v>279.41736660734603</v>
      </c>
      <c r="FJ11">
        <v>21</v>
      </c>
      <c r="FK11" t="s">
        <v>207</v>
      </c>
      <c r="FL11" s="153">
        <v>258.41736660734603</v>
      </c>
      <c r="FM11" s="153">
        <v>46.628151380719999</v>
      </c>
      <c r="FN11" s="153">
        <v>41.234099034193036</v>
      </c>
      <c r="FO11" t="s">
        <v>186</v>
      </c>
      <c r="FP11" t="s">
        <v>208</v>
      </c>
      <c r="FQ11" t="s">
        <v>171</v>
      </c>
      <c r="FR11" t="s">
        <v>171</v>
      </c>
      <c r="FS11" t="s">
        <v>171</v>
      </c>
      <c r="FT11" t="s">
        <v>171</v>
      </c>
      <c r="FU11" t="s">
        <v>171</v>
      </c>
      <c r="FV11" t="s">
        <v>171</v>
      </c>
      <c r="FW11" t="s">
        <v>171</v>
      </c>
      <c r="FX11" t="s">
        <v>171</v>
      </c>
      <c r="FY11" t="s">
        <v>171</v>
      </c>
      <c r="FZ11" t="s">
        <v>171</v>
      </c>
      <c r="GA11" t="s">
        <v>171</v>
      </c>
      <c r="GB11" t="s">
        <v>171</v>
      </c>
    </row>
    <row r="12" spans="1:185" ht="16" x14ac:dyDescent="0.2">
      <c r="A12" t="s">
        <v>217</v>
      </c>
      <c r="B12" s="143" t="s">
        <v>216</v>
      </c>
      <c r="C12" s="138" t="s">
        <v>212</v>
      </c>
      <c r="D12" t="s">
        <v>211</v>
      </c>
      <c r="E12">
        <v>2017</v>
      </c>
      <c r="F12" t="str">
        <f t="shared" si="7"/>
        <v>10.1073/pnas.1702143114</v>
      </c>
      <c r="G12" s="147">
        <f t="shared" si="8"/>
        <v>14.01</v>
      </c>
      <c r="H12">
        <f t="shared" si="2"/>
        <v>3.5000000000000003E-2</v>
      </c>
      <c r="I12">
        <f t="shared" si="3"/>
        <v>3.5000000000000003E-2</v>
      </c>
      <c r="J12" s="153">
        <f t="shared" si="9"/>
        <v>233.98939885620399</v>
      </c>
      <c r="K12" s="153">
        <f t="shared" si="10"/>
        <v>42.307596886395004</v>
      </c>
      <c r="L12" s="153">
        <f t="shared" si="11"/>
        <v>37.246060191017989</v>
      </c>
      <c r="M12" t="b">
        <v>1</v>
      </c>
      <c r="N12">
        <v>3</v>
      </c>
      <c r="O12" s="144" t="s">
        <v>228</v>
      </c>
      <c r="P12" s="144" t="s">
        <v>229</v>
      </c>
      <c r="Q12" t="b">
        <v>0</v>
      </c>
      <c r="R12" t="s">
        <v>215</v>
      </c>
      <c r="S12" t="b">
        <v>1</v>
      </c>
      <c r="T12" t="b">
        <v>0</v>
      </c>
      <c r="U12" t="s">
        <v>171</v>
      </c>
      <c r="V12" t="s">
        <v>171</v>
      </c>
      <c r="W12" t="b">
        <v>0</v>
      </c>
      <c r="X12" t="s">
        <v>171</v>
      </c>
      <c r="Y12" s="139" t="s">
        <v>167</v>
      </c>
      <c r="Z12" s="143" t="s">
        <v>168</v>
      </c>
      <c r="AA12" t="s">
        <v>169</v>
      </c>
      <c r="AB12" t="s">
        <v>170</v>
      </c>
      <c r="AC12" s="144">
        <v>1</v>
      </c>
      <c r="AD12" s="144">
        <v>1</v>
      </c>
      <c r="AE12" s="144">
        <v>57</v>
      </c>
      <c r="AF12" s="144">
        <v>59</v>
      </c>
      <c r="AG12" s="145">
        <v>0.56999999999999995</v>
      </c>
      <c r="AH12" s="145">
        <v>0.56999999999999995</v>
      </c>
      <c r="AI12" t="s">
        <v>171</v>
      </c>
      <c r="AJ12" t="s">
        <v>172</v>
      </c>
      <c r="AK12" s="146">
        <v>12.74</v>
      </c>
      <c r="AL12" s="146">
        <v>-78.739999999999995</v>
      </c>
      <c r="AM12" t="s">
        <v>171</v>
      </c>
      <c r="AN12" t="s">
        <v>171</v>
      </c>
      <c r="AO12">
        <v>-2839</v>
      </c>
      <c r="AP12" t="s">
        <v>171</v>
      </c>
      <c r="AQ12" t="s">
        <v>171</v>
      </c>
      <c r="AR12" t="s">
        <v>171</v>
      </c>
      <c r="AS12" s="147">
        <v>14.01</v>
      </c>
      <c r="AT12" t="s">
        <v>173</v>
      </c>
      <c r="AU12">
        <v>3.5000000000000003E-2</v>
      </c>
      <c r="AV12">
        <v>3.5000000000000003E-2</v>
      </c>
      <c r="AW12" t="s">
        <v>171</v>
      </c>
      <c r="AX12" t="s">
        <v>174</v>
      </c>
      <c r="AY12" t="s">
        <v>171</v>
      </c>
      <c r="AZ12" t="s">
        <v>171</v>
      </c>
      <c r="BA12" t="s">
        <v>171</v>
      </c>
      <c r="BB12" t="s">
        <v>171</v>
      </c>
      <c r="BC12" t="s">
        <v>171</v>
      </c>
      <c r="BD12" t="s">
        <v>171</v>
      </c>
      <c r="BE12" t="s">
        <v>171</v>
      </c>
      <c r="BF12" t="s">
        <v>171</v>
      </c>
      <c r="BG12" t="s">
        <v>175</v>
      </c>
      <c r="BH12" t="s">
        <v>176</v>
      </c>
      <c r="BI12" t="s">
        <v>177</v>
      </c>
      <c r="BJ12" s="142">
        <v>2</v>
      </c>
      <c r="BK12" t="s">
        <v>178</v>
      </c>
      <c r="BL12" t="s">
        <v>179</v>
      </c>
      <c r="BM12" t="s">
        <v>180</v>
      </c>
      <c r="BN12" t="s">
        <v>171</v>
      </c>
      <c r="BO12" s="142">
        <v>2</v>
      </c>
      <c r="BP12" s="144" t="s">
        <v>171</v>
      </c>
      <c r="BQ12" s="145">
        <v>20.98</v>
      </c>
      <c r="BR12" t="s">
        <v>181</v>
      </c>
      <c r="BS12" s="149">
        <v>0.18</v>
      </c>
      <c r="BT12">
        <v>0.64</v>
      </c>
      <c r="BU12" t="s">
        <v>182</v>
      </c>
      <c r="BV12">
        <v>3.4000000000000002E-2</v>
      </c>
      <c r="BW12">
        <v>9.1</v>
      </c>
      <c r="BX12" t="s">
        <v>173</v>
      </c>
      <c r="BY12">
        <v>0.56000000000000005</v>
      </c>
      <c r="BZ12" t="s">
        <v>183</v>
      </c>
      <c r="CA12" t="s">
        <v>184</v>
      </c>
      <c r="CB12" s="148">
        <f t="shared" si="6"/>
        <v>20.183333333333337</v>
      </c>
      <c r="CC12" s="144" t="s">
        <v>185</v>
      </c>
      <c r="CD12" s="144" t="s">
        <v>171</v>
      </c>
      <c r="CE12" s="144" t="s">
        <v>171</v>
      </c>
      <c r="CF12" t="s">
        <v>186</v>
      </c>
      <c r="CG12" s="144">
        <v>10</v>
      </c>
      <c r="CH12" s="144" t="s">
        <v>187</v>
      </c>
      <c r="CI12" s="144" t="s">
        <v>171</v>
      </c>
      <c r="CJ12" s="147">
        <v>27.33</v>
      </c>
      <c r="CK12" t="s">
        <v>173</v>
      </c>
      <c r="CL12">
        <v>3</v>
      </c>
      <c r="CM12">
        <v>3</v>
      </c>
      <c r="CN12" t="s">
        <v>171</v>
      </c>
      <c r="CO12" s="149">
        <v>4.1550000000000002</v>
      </c>
      <c r="CP12" t="s">
        <v>188</v>
      </c>
      <c r="CQ12" s="149">
        <v>0.16620000000000001</v>
      </c>
      <c r="CR12" s="149">
        <v>0.16620000000000001</v>
      </c>
      <c r="CS12" s="150" t="s">
        <v>171</v>
      </c>
      <c r="CT12" t="s">
        <v>189</v>
      </c>
      <c r="CU12" t="s">
        <v>171</v>
      </c>
      <c r="CV12" t="s">
        <v>190</v>
      </c>
      <c r="CW12" t="s">
        <v>191</v>
      </c>
      <c r="CX12" t="s">
        <v>191</v>
      </c>
      <c r="CY12" t="s">
        <v>191</v>
      </c>
      <c r="CZ12" t="s">
        <v>171</v>
      </c>
      <c r="DA12" t="s">
        <v>171</v>
      </c>
      <c r="DB12" t="s">
        <v>171</v>
      </c>
      <c r="DC12" t="s">
        <v>171</v>
      </c>
      <c r="DD12" t="s">
        <v>171</v>
      </c>
      <c r="DE12" t="s">
        <v>171</v>
      </c>
      <c r="DF12" t="s">
        <v>171</v>
      </c>
      <c r="DG12">
        <v>35</v>
      </c>
      <c r="DH12" t="s">
        <v>185</v>
      </c>
      <c r="DI12" s="142">
        <v>3</v>
      </c>
      <c r="DJ12" s="144" t="s">
        <v>192</v>
      </c>
      <c r="DK12" s="144" t="s">
        <v>171</v>
      </c>
      <c r="DL12" s="144" t="s">
        <v>171</v>
      </c>
      <c r="DM12" s="144" t="s">
        <v>171</v>
      </c>
      <c r="DN12" s="144" t="s">
        <v>171</v>
      </c>
      <c r="DO12" s="144" t="s">
        <v>171</v>
      </c>
      <c r="DP12" s="144" t="s">
        <v>171</v>
      </c>
      <c r="DQ12" s="144" t="s">
        <v>171</v>
      </c>
      <c r="DR12" s="144" t="s">
        <v>171</v>
      </c>
      <c r="DS12" s="144" t="s">
        <v>171</v>
      </c>
      <c r="DT12" s="144" t="s">
        <v>171</v>
      </c>
      <c r="DU12" s="144" t="s">
        <v>171</v>
      </c>
      <c r="DV12" s="144" t="s">
        <v>171</v>
      </c>
      <c r="DW12" s="147">
        <v>432.56244218316402</v>
      </c>
      <c r="DX12" t="s">
        <v>193</v>
      </c>
      <c r="DY12">
        <v>37.1</v>
      </c>
      <c r="DZ12" t="s">
        <v>194</v>
      </c>
      <c r="EA12">
        <v>39.61</v>
      </c>
      <c r="EB12" t="s">
        <v>185</v>
      </c>
      <c r="EC12" s="149">
        <f t="shared" si="1"/>
        <v>0.10140100000000001</v>
      </c>
      <c r="ED12" t="s">
        <v>195</v>
      </c>
      <c r="EE12" t="s">
        <v>196</v>
      </c>
      <c r="EF12" t="s">
        <v>197</v>
      </c>
      <c r="EG12">
        <v>1.0271999999999999</v>
      </c>
      <c r="EH12" t="s">
        <v>171</v>
      </c>
      <c r="EI12" t="s">
        <v>171</v>
      </c>
      <c r="EJ12" t="s">
        <v>198</v>
      </c>
      <c r="EK12" t="s">
        <v>191</v>
      </c>
      <c r="EL12" t="s">
        <v>191</v>
      </c>
      <c r="EM12" t="s">
        <v>199</v>
      </c>
      <c r="EN12" t="s">
        <v>200</v>
      </c>
      <c r="EO12" s="151" t="s">
        <v>201</v>
      </c>
      <c r="EP12" s="151" t="s">
        <v>201</v>
      </c>
      <c r="EQ12" s="144" t="s">
        <v>171</v>
      </c>
      <c r="ER12" s="144" t="s">
        <v>171</v>
      </c>
      <c r="ES12" s="144" t="s">
        <v>171</v>
      </c>
      <c r="ET12" t="s">
        <v>202</v>
      </c>
      <c r="EU12" t="s">
        <v>203</v>
      </c>
      <c r="EV12" t="s">
        <v>171</v>
      </c>
      <c r="EW12">
        <v>2338</v>
      </c>
      <c r="EX12" s="151" t="s">
        <v>204</v>
      </c>
      <c r="EY12" s="151">
        <v>175</v>
      </c>
      <c r="EZ12">
        <v>175</v>
      </c>
      <c r="FA12" t="s">
        <v>171</v>
      </c>
      <c r="FB12" t="s">
        <v>171</v>
      </c>
      <c r="FC12" t="s">
        <v>171</v>
      </c>
      <c r="FD12" t="s">
        <v>171</v>
      </c>
      <c r="FE12" s="152">
        <v>8.1932068843554298</v>
      </c>
      <c r="FF12" t="s">
        <v>205</v>
      </c>
      <c r="FG12" s="144" t="s">
        <v>171</v>
      </c>
      <c r="FH12" s="144" t="s">
        <v>171</v>
      </c>
      <c r="FI12" s="153">
        <v>254.98939885620399</v>
      </c>
      <c r="FJ12">
        <v>21</v>
      </c>
      <c r="FK12" t="s">
        <v>207</v>
      </c>
      <c r="FL12" s="153">
        <v>233.98939885620399</v>
      </c>
      <c r="FM12" s="153">
        <v>42.307596886395004</v>
      </c>
      <c r="FN12" s="153">
        <v>37.246060191017989</v>
      </c>
      <c r="FO12" t="s">
        <v>186</v>
      </c>
      <c r="FP12" t="s">
        <v>208</v>
      </c>
      <c r="FQ12" t="s">
        <v>171</v>
      </c>
      <c r="FR12" t="s">
        <v>171</v>
      </c>
      <c r="FS12" t="s">
        <v>171</v>
      </c>
      <c r="FT12" t="s">
        <v>171</v>
      </c>
      <c r="FU12" t="s">
        <v>171</v>
      </c>
      <c r="FV12" t="s">
        <v>171</v>
      </c>
      <c r="FW12" t="s">
        <v>171</v>
      </c>
      <c r="FX12" t="s">
        <v>171</v>
      </c>
      <c r="FY12" t="s">
        <v>171</v>
      </c>
      <c r="FZ12" t="s">
        <v>171</v>
      </c>
      <c r="GA12" t="s">
        <v>171</v>
      </c>
      <c r="GB12" t="s">
        <v>171</v>
      </c>
    </row>
    <row r="13" spans="1:185" ht="16" x14ac:dyDescent="0.2">
      <c r="A13" t="s">
        <v>217</v>
      </c>
      <c r="B13" s="143" t="s">
        <v>216</v>
      </c>
      <c r="C13" s="138" t="s">
        <v>212</v>
      </c>
      <c r="D13" t="s">
        <v>211</v>
      </c>
      <c r="E13">
        <v>2017</v>
      </c>
      <c r="F13" t="str">
        <f t="shared" si="7"/>
        <v>10.1073/pnas.1702143114</v>
      </c>
      <c r="G13" s="147">
        <f t="shared" si="8"/>
        <v>15.07</v>
      </c>
      <c r="H13">
        <f t="shared" si="2"/>
        <v>3.5000000000000003E-2</v>
      </c>
      <c r="I13">
        <f t="shared" si="3"/>
        <v>3.5000000000000003E-2</v>
      </c>
      <c r="J13" s="153">
        <f t="shared" si="9"/>
        <v>230.137470057755</v>
      </c>
      <c r="K13" s="153">
        <f t="shared" si="10"/>
        <v>41.108814141103977</v>
      </c>
      <c r="L13" s="153">
        <f t="shared" si="11"/>
        <v>35.703682467921993</v>
      </c>
      <c r="M13" t="b">
        <v>1</v>
      </c>
      <c r="N13">
        <v>3</v>
      </c>
      <c r="O13" s="144" t="s">
        <v>228</v>
      </c>
      <c r="P13" s="144" t="s">
        <v>229</v>
      </c>
      <c r="Q13" t="b">
        <v>0</v>
      </c>
      <c r="R13" t="s">
        <v>215</v>
      </c>
      <c r="S13" t="b">
        <v>1</v>
      </c>
      <c r="T13" t="b">
        <v>0</v>
      </c>
      <c r="U13" t="s">
        <v>171</v>
      </c>
      <c r="V13" t="s">
        <v>171</v>
      </c>
      <c r="W13" t="b">
        <v>0</v>
      </c>
      <c r="X13" t="s">
        <v>171</v>
      </c>
      <c r="Y13" s="139" t="s">
        <v>167</v>
      </c>
      <c r="Z13" s="143" t="s">
        <v>168</v>
      </c>
      <c r="AA13" t="s">
        <v>169</v>
      </c>
      <c r="AB13" t="s">
        <v>170</v>
      </c>
      <c r="AC13" s="144">
        <v>1</v>
      </c>
      <c r="AD13" s="144">
        <v>1</v>
      </c>
      <c r="AE13" s="144">
        <v>61</v>
      </c>
      <c r="AF13" s="144">
        <v>63</v>
      </c>
      <c r="AG13" s="145">
        <v>0.61</v>
      </c>
      <c r="AH13" s="145">
        <v>0.61</v>
      </c>
      <c r="AI13" t="s">
        <v>171</v>
      </c>
      <c r="AJ13" t="s">
        <v>172</v>
      </c>
      <c r="AK13" s="146">
        <v>12.74</v>
      </c>
      <c r="AL13" s="146">
        <v>-78.739999999999995</v>
      </c>
      <c r="AM13" t="s">
        <v>171</v>
      </c>
      <c r="AN13" t="s">
        <v>171</v>
      </c>
      <c r="AO13">
        <v>-2839</v>
      </c>
      <c r="AP13" t="s">
        <v>171</v>
      </c>
      <c r="AQ13" t="s">
        <v>171</v>
      </c>
      <c r="AR13" t="s">
        <v>171</v>
      </c>
      <c r="AS13" s="147">
        <v>15.07</v>
      </c>
      <c r="AT13" t="s">
        <v>173</v>
      </c>
      <c r="AU13">
        <v>3.5000000000000003E-2</v>
      </c>
      <c r="AV13">
        <v>3.5000000000000003E-2</v>
      </c>
      <c r="AW13" t="s">
        <v>171</v>
      </c>
      <c r="AX13" t="s">
        <v>174</v>
      </c>
      <c r="AY13" t="s">
        <v>171</v>
      </c>
      <c r="AZ13" t="s">
        <v>171</v>
      </c>
      <c r="BA13" t="s">
        <v>171</v>
      </c>
      <c r="BB13" t="s">
        <v>171</v>
      </c>
      <c r="BC13" t="s">
        <v>171</v>
      </c>
      <c r="BD13" t="s">
        <v>171</v>
      </c>
      <c r="BE13" t="s">
        <v>171</v>
      </c>
      <c r="BF13" t="s">
        <v>171</v>
      </c>
      <c r="BG13" t="s">
        <v>175</v>
      </c>
      <c r="BH13" t="s">
        <v>176</v>
      </c>
      <c r="BI13" t="s">
        <v>177</v>
      </c>
      <c r="BJ13" s="142">
        <v>2</v>
      </c>
      <c r="BK13" t="s">
        <v>178</v>
      </c>
      <c r="BL13" t="s">
        <v>179</v>
      </c>
      <c r="BM13" t="s">
        <v>180</v>
      </c>
      <c r="BN13" t="s">
        <v>171</v>
      </c>
      <c r="BO13" s="142">
        <v>2</v>
      </c>
      <c r="BP13" s="144" t="s">
        <v>171</v>
      </c>
      <c r="BQ13" s="145">
        <v>21.02</v>
      </c>
      <c r="BR13" t="s">
        <v>181</v>
      </c>
      <c r="BS13" s="149">
        <v>0.18</v>
      </c>
      <c r="BT13">
        <v>0.64</v>
      </c>
      <c r="BU13" t="s">
        <v>182</v>
      </c>
      <c r="BV13">
        <v>3.4000000000000002E-2</v>
      </c>
      <c r="BW13">
        <v>9.1</v>
      </c>
      <c r="BX13" t="s">
        <v>173</v>
      </c>
      <c r="BY13">
        <v>0.56000000000000005</v>
      </c>
      <c r="BZ13" t="s">
        <v>183</v>
      </c>
      <c r="CA13" t="s">
        <v>184</v>
      </c>
      <c r="CB13" s="148">
        <f t="shared" si="6"/>
        <v>20.25</v>
      </c>
      <c r="CC13" s="144" t="s">
        <v>185</v>
      </c>
      <c r="CD13" s="144" t="s">
        <v>171</v>
      </c>
      <c r="CE13" s="144" t="s">
        <v>171</v>
      </c>
      <c r="CF13" t="s">
        <v>186</v>
      </c>
      <c r="CG13" s="144">
        <v>10</v>
      </c>
      <c r="CH13" s="144" t="s">
        <v>187</v>
      </c>
      <c r="CI13" s="144" t="s">
        <v>171</v>
      </c>
      <c r="CJ13" s="147">
        <v>27.35</v>
      </c>
      <c r="CK13" t="s">
        <v>173</v>
      </c>
      <c r="CL13">
        <v>3</v>
      </c>
      <c r="CM13">
        <v>3</v>
      </c>
      <c r="CN13" t="s">
        <v>171</v>
      </c>
      <c r="CO13" s="149">
        <v>4.1449999999999996</v>
      </c>
      <c r="CP13" t="s">
        <v>188</v>
      </c>
      <c r="CQ13" s="149">
        <v>0.16579999999999998</v>
      </c>
      <c r="CR13" s="149">
        <v>0.16579999999999998</v>
      </c>
      <c r="CS13" s="150" t="s">
        <v>171</v>
      </c>
      <c r="CT13" t="s">
        <v>189</v>
      </c>
      <c r="CU13" t="s">
        <v>171</v>
      </c>
      <c r="CV13" t="s">
        <v>190</v>
      </c>
      <c r="CW13" t="s">
        <v>191</v>
      </c>
      <c r="CX13" t="s">
        <v>191</v>
      </c>
      <c r="CY13" t="s">
        <v>191</v>
      </c>
      <c r="CZ13" t="s">
        <v>171</v>
      </c>
      <c r="DA13" t="s">
        <v>171</v>
      </c>
      <c r="DB13" t="s">
        <v>171</v>
      </c>
      <c r="DC13" t="s">
        <v>171</v>
      </c>
      <c r="DD13" t="s">
        <v>171</v>
      </c>
      <c r="DE13" t="s">
        <v>171</v>
      </c>
      <c r="DF13" t="s">
        <v>171</v>
      </c>
      <c r="DG13">
        <v>35</v>
      </c>
      <c r="DH13" t="s">
        <v>185</v>
      </c>
      <c r="DI13" s="142">
        <v>3</v>
      </c>
      <c r="DJ13" s="144" t="s">
        <v>192</v>
      </c>
      <c r="DK13" s="144" t="s">
        <v>171</v>
      </c>
      <c r="DL13" s="144" t="s">
        <v>171</v>
      </c>
      <c r="DM13" s="144" t="s">
        <v>171</v>
      </c>
      <c r="DN13" s="144" t="s">
        <v>171</v>
      </c>
      <c r="DO13" s="144" t="s">
        <v>171</v>
      </c>
      <c r="DP13" s="144" t="s">
        <v>171</v>
      </c>
      <c r="DQ13" s="144" t="s">
        <v>171</v>
      </c>
      <c r="DR13" s="144" t="s">
        <v>171</v>
      </c>
      <c r="DS13" s="144" t="s">
        <v>171</v>
      </c>
      <c r="DT13" s="144" t="s">
        <v>171</v>
      </c>
      <c r="DU13" s="144" t="s">
        <v>171</v>
      </c>
      <c r="DV13" s="144" t="s">
        <v>171</v>
      </c>
      <c r="DW13" s="147">
        <v>432.56244218316402</v>
      </c>
      <c r="DX13" t="s">
        <v>193</v>
      </c>
      <c r="DY13">
        <v>37.1</v>
      </c>
      <c r="DZ13" t="s">
        <v>194</v>
      </c>
      <c r="EA13">
        <v>39.61</v>
      </c>
      <c r="EB13" t="s">
        <v>185</v>
      </c>
      <c r="EC13" s="149">
        <f t="shared" si="1"/>
        <v>0.101507</v>
      </c>
      <c r="ED13" t="s">
        <v>195</v>
      </c>
      <c r="EE13" t="s">
        <v>196</v>
      </c>
      <c r="EF13" t="s">
        <v>197</v>
      </c>
      <c r="EG13">
        <v>1.0271999999999999</v>
      </c>
      <c r="EH13" t="s">
        <v>171</v>
      </c>
      <c r="EI13" t="s">
        <v>171</v>
      </c>
      <c r="EJ13" t="s">
        <v>198</v>
      </c>
      <c r="EK13" t="s">
        <v>191</v>
      </c>
      <c r="EL13" t="s">
        <v>191</v>
      </c>
      <c r="EM13" t="s">
        <v>199</v>
      </c>
      <c r="EN13" t="s">
        <v>200</v>
      </c>
      <c r="EO13" s="151" t="s">
        <v>201</v>
      </c>
      <c r="EP13" s="151" t="s">
        <v>201</v>
      </c>
      <c r="EQ13" s="144" t="s">
        <v>171</v>
      </c>
      <c r="ER13" s="144" t="s">
        <v>171</v>
      </c>
      <c r="ES13" s="144" t="s">
        <v>171</v>
      </c>
      <c r="ET13" t="s">
        <v>202</v>
      </c>
      <c r="EU13" t="s">
        <v>203</v>
      </c>
      <c r="EV13" t="s">
        <v>171</v>
      </c>
      <c r="EW13">
        <v>2339</v>
      </c>
      <c r="EX13" s="151" t="s">
        <v>204</v>
      </c>
      <c r="EY13" s="151">
        <v>175</v>
      </c>
      <c r="EZ13">
        <v>175</v>
      </c>
      <c r="FA13" t="s">
        <v>171</v>
      </c>
      <c r="FB13" t="s">
        <v>171</v>
      </c>
      <c r="FC13" t="s">
        <v>171</v>
      </c>
      <c r="FD13" t="s">
        <v>171</v>
      </c>
      <c r="FE13" s="152">
        <v>8.1986998818500396</v>
      </c>
      <c r="FF13" t="s">
        <v>205</v>
      </c>
      <c r="FG13" s="144" t="s">
        <v>171</v>
      </c>
      <c r="FH13" s="144" t="s">
        <v>171</v>
      </c>
      <c r="FI13" s="153">
        <v>251.137470057755</v>
      </c>
      <c r="FJ13">
        <v>21</v>
      </c>
      <c r="FK13" t="s">
        <v>207</v>
      </c>
      <c r="FL13" s="153">
        <v>230.137470057755</v>
      </c>
      <c r="FM13" s="153">
        <v>41.108814141103977</v>
      </c>
      <c r="FN13" s="153">
        <v>35.703682467921993</v>
      </c>
      <c r="FO13" t="s">
        <v>186</v>
      </c>
      <c r="FP13" t="s">
        <v>208</v>
      </c>
      <c r="FQ13" t="s">
        <v>171</v>
      </c>
      <c r="FR13" t="s">
        <v>171</v>
      </c>
      <c r="FS13" t="s">
        <v>171</v>
      </c>
      <c r="FT13" t="s">
        <v>171</v>
      </c>
      <c r="FU13" t="s">
        <v>171</v>
      </c>
      <c r="FV13" t="s">
        <v>171</v>
      </c>
      <c r="FW13" t="s">
        <v>171</v>
      </c>
      <c r="FX13" t="s">
        <v>171</v>
      </c>
      <c r="FY13" t="s">
        <v>171</v>
      </c>
      <c r="FZ13" t="s">
        <v>171</v>
      </c>
      <c r="GA13" t="s">
        <v>171</v>
      </c>
      <c r="GB13" t="s">
        <v>171</v>
      </c>
    </row>
    <row r="14" spans="1:185" ht="16" x14ac:dyDescent="0.2">
      <c r="A14" t="s">
        <v>217</v>
      </c>
      <c r="B14" s="143" t="s">
        <v>216</v>
      </c>
      <c r="C14" s="138" t="s">
        <v>212</v>
      </c>
      <c r="D14" t="s">
        <v>211</v>
      </c>
      <c r="E14">
        <v>2017</v>
      </c>
      <c r="F14" t="str">
        <f t="shared" si="7"/>
        <v>10.1073/pnas.1702143114</v>
      </c>
      <c r="G14" s="147">
        <f t="shared" si="8"/>
        <v>15.07</v>
      </c>
      <c r="H14">
        <f t="shared" si="2"/>
        <v>3.5000000000000003E-2</v>
      </c>
      <c r="I14">
        <f t="shared" si="3"/>
        <v>3.5000000000000003E-2</v>
      </c>
      <c r="J14" s="153">
        <f t="shared" si="9"/>
        <v>217.66711799163801</v>
      </c>
      <c r="K14" s="153">
        <f t="shared" si="10"/>
        <v>40.653818797148972</v>
      </c>
      <c r="L14" s="153">
        <f t="shared" si="11"/>
        <v>36.542998591773994</v>
      </c>
      <c r="M14" t="b">
        <v>1</v>
      </c>
      <c r="N14">
        <v>3</v>
      </c>
      <c r="O14" s="144" t="s">
        <v>228</v>
      </c>
      <c r="P14" s="144" t="s">
        <v>229</v>
      </c>
      <c r="Q14" t="b">
        <v>0</v>
      </c>
      <c r="R14" t="s">
        <v>215</v>
      </c>
      <c r="S14" t="b">
        <v>1</v>
      </c>
      <c r="T14" t="b">
        <v>0</v>
      </c>
      <c r="U14" t="s">
        <v>171</v>
      </c>
      <c r="V14" t="s">
        <v>171</v>
      </c>
      <c r="W14" t="b">
        <v>0</v>
      </c>
      <c r="X14" t="s">
        <v>171</v>
      </c>
      <c r="Y14" s="139" t="s">
        <v>167</v>
      </c>
      <c r="Z14" s="143" t="s">
        <v>168</v>
      </c>
      <c r="AA14" t="s">
        <v>169</v>
      </c>
      <c r="AB14" t="s">
        <v>170</v>
      </c>
      <c r="AC14" s="144">
        <v>1</v>
      </c>
      <c r="AD14" s="144">
        <v>1</v>
      </c>
      <c r="AE14" s="144">
        <v>61</v>
      </c>
      <c r="AF14" s="144">
        <v>63</v>
      </c>
      <c r="AG14" s="145">
        <v>0.61</v>
      </c>
      <c r="AH14" s="145">
        <v>0.61</v>
      </c>
      <c r="AI14" t="s">
        <v>171</v>
      </c>
      <c r="AJ14" t="s">
        <v>172</v>
      </c>
      <c r="AK14" s="146">
        <v>12.74</v>
      </c>
      <c r="AL14" s="146">
        <v>-78.739999999999995</v>
      </c>
      <c r="AM14" t="s">
        <v>171</v>
      </c>
      <c r="AN14" t="s">
        <v>171</v>
      </c>
      <c r="AO14">
        <v>-2839</v>
      </c>
      <c r="AP14" t="s">
        <v>171</v>
      </c>
      <c r="AQ14" t="s">
        <v>171</v>
      </c>
      <c r="AR14" t="s">
        <v>171</v>
      </c>
      <c r="AS14" s="147">
        <v>15.07</v>
      </c>
      <c r="AT14" t="s">
        <v>173</v>
      </c>
      <c r="AU14">
        <v>3.5000000000000003E-2</v>
      </c>
      <c r="AV14">
        <v>3.5000000000000003E-2</v>
      </c>
      <c r="AW14" t="s">
        <v>171</v>
      </c>
      <c r="AX14" t="s">
        <v>174</v>
      </c>
      <c r="AY14" t="s">
        <v>171</v>
      </c>
      <c r="AZ14" t="s">
        <v>171</v>
      </c>
      <c r="BA14" t="s">
        <v>171</v>
      </c>
      <c r="BB14" t="s">
        <v>171</v>
      </c>
      <c r="BC14" t="s">
        <v>171</v>
      </c>
      <c r="BD14" t="s">
        <v>171</v>
      </c>
      <c r="BE14" t="s">
        <v>171</v>
      </c>
      <c r="BF14" t="s">
        <v>171</v>
      </c>
      <c r="BG14" t="s">
        <v>175</v>
      </c>
      <c r="BH14" t="s">
        <v>176</v>
      </c>
      <c r="BI14" t="s">
        <v>177</v>
      </c>
      <c r="BJ14" s="142">
        <v>2</v>
      </c>
      <c r="BK14" t="s">
        <v>178</v>
      </c>
      <c r="BL14" t="s">
        <v>179</v>
      </c>
      <c r="BM14" t="s">
        <v>180</v>
      </c>
      <c r="BN14" t="s">
        <v>171</v>
      </c>
      <c r="BO14" s="142">
        <v>2</v>
      </c>
      <c r="BP14" s="144" t="s">
        <v>171</v>
      </c>
      <c r="BQ14" s="145">
        <v>21.15</v>
      </c>
      <c r="BR14" t="s">
        <v>181</v>
      </c>
      <c r="BS14" s="149">
        <v>0.2</v>
      </c>
      <c r="BT14">
        <v>0.64</v>
      </c>
      <c r="BU14" t="s">
        <v>182</v>
      </c>
      <c r="BV14">
        <v>3.4000000000000002E-2</v>
      </c>
      <c r="BW14">
        <v>9.1</v>
      </c>
      <c r="BX14" t="s">
        <v>173</v>
      </c>
      <c r="BY14">
        <v>0.56000000000000005</v>
      </c>
      <c r="BZ14" t="s">
        <v>183</v>
      </c>
      <c r="CA14" t="s">
        <v>184</v>
      </c>
      <c r="CB14" s="148">
        <f t="shared" si="6"/>
        <v>20.466666666666665</v>
      </c>
      <c r="CC14" s="144" t="s">
        <v>185</v>
      </c>
      <c r="CD14" s="144" t="s">
        <v>171</v>
      </c>
      <c r="CE14" s="144" t="s">
        <v>171</v>
      </c>
      <c r="CF14" t="s">
        <v>186</v>
      </c>
      <c r="CG14" s="144">
        <v>10</v>
      </c>
      <c r="CH14" s="144" t="s">
        <v>187</v>
      </c>
      <c r="CI14" s="144" t="s">
        <v>171</v>
      </c>
      <c r="CJ14" s="147">
        <v>27.35</v>
      </c>
      <c r="CK14" t="s">
        <v>173</v>
      </c>
      <c r="CL14">
        <v>3</v>
      </c>
      <c r="CM14">
        <v>3</v>
      </c>
      <c r="CN14" t="s">
        <v>171</v>
      </c>
      <c r="CO14" s="149">
        <v>3.891</v>
      </c>
      <c r="CP14" t="s">
        <v>188</v>
      </c>
      <c r="CQ14" s="149">
        <v>0.15564</v>
      </c>
      <c r="CR14" s="149">
        <v>0.15564</v>
      </c>
      <c r="CS14" s="150" t="s">
        <v>171</v>
      </c>
      <c r="CT14" t="s">
        <v>189</v>
      </c>
      <c r="CU14" t="s">
        <v>171</v>
      </c>
      <c r="CV14" t="s">
        <v>190</v>
      </c>
      <c r="CW14" t="s">
        <v>191</v>
      </c>
      <c r="CX14" t="s">
        <v>191</v>
      </c>
      <c r="CY14" t="s">
        <v>191</v>
      </c>
      <c r="CZ14" t="s">
        <v>171</v>
      </c>
      <c r="DA14" t="s">
        <v>171</v>
      </c>
      <c r="DB14" t="s">
        <v>171</v>
      </c>
      <c r="DC14" t="s">
        <v>171</v>
      </c>
      <c r="DD14" t="s">
        <v>171</v>
      </c>
      <c r="DE14" t="s">
        <v>171</v>
      </c>
      <c r="DF14" t="s">
        <v>171</v>
      </c>
      <c r="DG14">
        <v>35</v>
      </c>
      <c r="DH14" t="s">
        <v>185</v>
      </c>
      <c r="DI14" s="142">
        <v>3</v>
      </c>
      <c r="DJ14" s="144" t="s">
        <v>192</v>
      </c>
      <c r="DK14" s="144" t="s">
        <v>171</v>
      </c>
      <c r="DL14" s="144" t="s">
        <v>171</v>
      </c>
      <c r="DM14" s="144" t="s">
        <v>171</v>
      </c>
      <c r="DN14" s="144" t="s">
        <v>171</v>
      </c>
      <c r="DO14" s="144" t="s">
        <v>171</v>
      </c>
      <c r="DP14" s="144" t="s">
        <v>171</v>
      </c>
      <c r="DQ14" s="144" t="s">
        <v>171</v>
      </c>
      <c r="DR14" s="144" t="s">
        <v>171</v>
      </c>
      <c r="DS14" s="144" t="s">
        <v>171</v>
      </c>
      <c r="DT14" s="144" t="s">
        <v>171</v>
      </c>
      <c r="DU14" s="144" t="s">
        <v>171</v>
      </c>
      <c r="DV14" s="144" t="s">
        <v>171</v>
      </c>
      <c r="DW14" s="147">
        <v>432.56244218316402</v>
      </c>
      <c r="DX14" t="s">
        <v>193</v>
      </c>
      <c r="DY14">
        <v>37.1</v>
      </c>
      <c r="DZ14" t="s">
        <v>194</v>
      </c>
      <c r="EA14">
        <v>39.61</v>
      </c>
      <c r="EB14" t="s">
        <v>185</v>
      </c>
      <c r="EC14" s="149">
        <f t="shared" si="1"/>
        <v>0.101507</v>
      </c>
      <c r="ED14" t="s">
        <v>195</v>
      </c>
      <c r="EE14" t="s">
        <v>196</v>
      </c>
      <c r="EF14" t="s">
        <v>197</v>
      </c>
      <c r="EG14">
        <v>1.0271999999999999</v>
      </c>
      <c r="EH14" t="s">
        <v>171</v>
      </c>
      <c r="EI14" t="s">
        <v>171</v>
      </c>
      <c r="EJ14" t="s">
        <v>198</v>
      </c>
      <c r="EK14" t="s">
        <v>191</v>
      </c>
      <c r="EL14" t="s">
        <v>191</v>
      </c>
      <c r="EM14" t="s">
        <v>199</v>
      </c>
      <c r="EN14" t="s">
        <v>200</v>
      </c>
      <c r="EO14" s="151" t="s">
        <v>201</v>
      </c>
      <c r="EP14" s="151" t="s">
        <v>201</v>
      </c>
      <c r="EQ14" s="144" t="s">
        <v>171</v>
      </c>
      <c r="ER14" s="144" t="s">
        <v>171</v>
      </c>
      <c r="ES14" s="144" t="s">
        <v>171</v>
      </c>
      <c r="ET14" t="s">
        <v>202</v>
      </c>
      <c r="EU14" t="s">
        <v>203</v>
      </c>
      <c r="EV14" t="s">
        <v>171</v>
      </c>
      <c r="EW14">
        <v>2340</v>
      </c>
      <c r="EX14" s="151" t="s">
        <v>204</v>
      </c>
      <c r="EY14" s="151">
        <v>175</v>
      </c>
      <c r="EZ14">
        <v>175</v>
      </c>
      <c r="FA14" t="s">
        <v>171</v>
      </c>
      <c r="FB14" t="s">
        <v>171</v>
      </c>
      <c r="FC14" t="s">
        <v>171</v>
      </c>
      <c r="FD14" t="s">
        <v>171</v>
      </c>
      <c r="FE14" s="152">
        <v>8.2150519757173708</v>
      </c>
      <c r="FF14" t="s">
        <v>205</v>
      </c>
      <c r="FG14" s="144" t="s">
        <v>171</v>
      </c>
      <c r="FH14" s="144" t="s">
        <v>171</v>
      </c>
      <c r="FI14" s="153">
        <v>238.66711799163801</v>
      </c>
      <c r="FJ14">
        <v>21</v>
      </c>
      <c r="FK14" t="s">
        <v>207</v>
      </c>
      <c r="FL14" s="153">
        <v>217.66711799163801</v>
      </c>
      <c r="FM14" s="153">
        <v>40.653818797148972</v>
      </c>
      <c r="FN14" s="153">
        <v>36.542998591773994</v>
      </c>
      <c r="FO14" t="s">
        <v>186</v>
      </c>
      <c r="FP14" t="s">
        <v>208</v>
      </c>
      <c r="FQ14" t="s">
        <v>171</v>
      </c>
      <c r="FR14" t="s">
        <v>171</v>
      </c>
      <c r="FS14" t="s">
        <v>171</v>
      </c>
      <c r="FT14" t="s">
        <v>171</v>
      </c>
      <c r="FU14" t="s">
        <v>171</v>
      </c>
      <c r="FV14" t="s">
        <v>171</v>
      </c>
      <c r="FW14" t="s">
        <v>171</v>
      </c>
      <c r="FX14" t="s">
        <v>171</v>
      </c>
      <c r="FY14" t="s">
        <v>171</v>
      </c>
      <c r="FZ14" t="s">
        <v>171</v>
      </c>
      <c r="GA14" t="s">
        <v>171</v>
      </c>
      <c r="GB14" t="s">
        <v>171</v>
      </c>
    </row>
    <row r="15" spans="1:185" ht="16" x14ac:dyDescent="0.2">
      <c r="A15" t="s">
        <v>217</v>
      </c>
      <c r="B15" s="143" t="s">
        <v>216</v>
      </c>
      <c r="C15" s="138" t="s">
        <v>212</v>
      </c>
      <c r="D15" t="s">
        <v>211</v>
      </c>
      <c r="E15">
        <v>2017</v>
      </c>
      <c r="F15" t="str">
        <f t="shared" si="7"/>
        <v>10.1073/pnas.1702143114</v>
      </c>
      <c r="G15" s="147">
        <f t="shared" si="8"/>
        <v>17.260000000000002</v>
      </c>
      <c r="H15">
        <f t="shared" si="2"/>
        <v>3.5000000000000003E-2</v>
      </c>
      <c r="I15">
        <f t="shared" si="3"/>
        <v>3.5000000000000003E-2</v>
      </c>
      <c r="J15" s="153">
        <f t="shared" si="9"/>
        <v>222.056328700607</v>
      </c>
      <c r="K15" s="153">
        <f t="shared" si="10"/>
        <v>38.032514618314991</v>
      </c>
      <c r="L15" s="153">
        <f t="shared" si="11"/>
        <v>34.456001148024001</v>
      </c>
      <c r="M15" t="b">
        <v>1</v>
      </c>
      <c r="N15">
        <v>3</v>
      </c>
      <c r="O15" s="144" t="s">
        <v>228</v>
      </c>
      <c r="P15" s="144" t="s">
        <v>229</v>
      </c>
      <c r="Q15" t="b">
        <v>0</v>
      </c>
      <c r="R15" t="s">
        <v>215</v>
      </c>
      <c r="S15" t="b">
        <v>1</v>
      </c>
      <c r="T15" t="b">
        <v>0</v>
      </c>
      <c r="U15" t="s">
        <v>171</v>
      </c>
      <c r="V15" t="s">
        <v>171</v>
      </c>
      <c r="W15" t="b">
        <v>0</v>
      </c>
      <c r="X15" t="s">
        <v>171</v>
      </c>
      <c r="Y15" s="139" t="s">
        <v>167</v>
      </c>
      <c r="Z15" s="143" t="s">
        <v>168</v>
      </c>
      <c r="AA15" t="s">
        <v>169</v>
      </c>
      <c r="AB15" t="s">
        <v>170</v>
      </c>
      <c r="AC15" s="144">
        <v>1</v>
      </c>
      <c r="AD15" s="144">
        <v>1</v>
      </c>
      <c r="AE15" s="144">
        <v>71</v>
      </c>
      <c r="AF15" s="144">
        <v>73</v>
      </c>
      <c r="AG15" s="145">
        <v>0.71</v>
      </c>
      <c r="AH15" s="145">
        <v>0.71</v>
      </c>
      <c r="AI15" t="s">
        <v>171</v>
      </c>
      <c r="AJ15" t="s">
        <v>172</v>
      </c>
      <c r="AK15" s="146">
        <v>12.74</v>
      </c>
      <c r="AL15" s="146">
        <v>-78.739999999999995</v>
      </c>
      <c r="AM15" t="s">
        <v>171</v>
      </c>
      <c r="AN15" t="s">
        <v>171</v>
      </c>
      <c r="AO15">
        <v>-2839</v>
      </c>
      <c r="AP15" t="s">
        <v>171</v>
      </c>
      <c r="AQ15" t="s">
        <v>171</v>
      </c>
      <c r="AR15" t="s">
        <v>171</v>
      </c>
      <c r="AS15" s="147">
        <v>17.260000000000002</v>
      </c>
      <c r="AT15" t="s">
        <v>173</v>
      </c>
      <c r="AU15">
        <v>3.5000000000000003E-2</v>
      </c>
      <c r="AV15">
        <v>3.5000000000000003E-2</v>
      </c>
      <c r="AW15" t="s">
        <v>171</v>
      </c>
      <c r="AX15" t="s">
        <v>174</v>
      </c>
      <c r="AY15" t="s">
        <v>171</v>
      </c>
      <c r="AZ15" t="s">
        <v>171</v>
      </c>
      <c r="BA15" t="s">
        <v>171</v>
      </c>
      <c r="BB15" t="s">
        <v>171</v>
      </c>
      <c r="BC15" t="s">
        <v>171</v>
      </c>
      <c r="BD15" t="s">
        <v>171</v>
      </c>
      <c r="BE15" t="s">
        <v>171</v>
      </c>
      <c r="BF15" t="s">
        <v>171</v>
      </c>
      <c r="BG15" t="s">
        <v>175</v>
      </c>
      <c r="BH15" t="s">
        <v>176</v>
      </c>
      <c r="BI15" t="s">
        <v>177</v>
      </c>
      <c r="BJ15" s="142">
        <v>2</v>
      </c>
      <c r="BK15" t="s">
        <v>178</v>
      </c>
      <c r="BL15" t="s">
        <v>179</v>
      </c>
      <c r="BM15" t="s">
        <v>180</v>
      </c>
      <c r="BN15" t="s">
        <v>171</v>
      </c>
      <c r="BO15" s="142">
        <v>2</v>
      </c>
      <c r="BP15" s="144" t="s">
        <v>171</v>
      </c>
      <c r="BQ15" s="145">
        <v>21.04</v>
      </c>
      <c r="BR15" t="s">
        <v>181</v>
      </c>
      <c r="BS15" s="149">
        <v>0.16</v>
      </c>
      <c r="BT15">
        <v>0.64</v>
      </c>
      <c r="BU15" t="s">
        <v>182</v>
      </c>
      <c r="BV15">
        <v>3.4000000000000002E-2</v>
      </c>
      <c r="BW15">
        <v>9.1</v>
      </c>
      <c r="BX15" t="s">
        <v>173</v>
      </c>
      <c r="BY15">
        <v>0.56000000000000005</v>
      </c>
      <c r="BZ15" t="s">
        <v>183</v>
      </c>
      <c r="CA15" t="s">
        <v>184</v>
      </c>
      <c r="CB15" s="148">
        <f t="shared" si="6"/>
        <v>20.283333333333335</v>
      </c>
      <c r="CC15" s="144" t="s">
        <v>185</v>
      </c>
      <c r="CD15" s="144" t="s">
        <v>171</v>
      </c>
      <c r="CE15" s="144" t="s">
        <v>171</v>
      </c>
      <c r="CF15" t="s">
        <v>186</v>
      </c>
      <c r="CG15" s="144">
        <v>10</v>
      </c>
      <c r="CH15" s="144" t="s">
        <v>187</v>
      </c>
      <c r="CI15" s="144" t="s">
        <v>171</v>
      </c>
      <c r="CJ15" s="147">
        <v>26.5</v>
      </c>
      <c r="CK15" t="s">
        <v>173</v>
      </c>
      <c r="CL15">
        <v>3</v>
      </c>
      <c r="CM15">
        <v>3</v>
      </c>
      <c r="CN15" t="s">
        <v>171</v>
      </c>
      <c r="CO15" s="149">
        <v>3.8540000000000001</v>
      </c>
      <c r="CP15" t="s">
        <v>188</v>
      </c>
      <c r="CQ15" s="149">
        <v>0.15416000000000002</v>
      </c>
      <c r="CR15" s="149">
        <v>0.15416000000000002</v>
      </c>
      <c r="CS15" s="150" t="s">
        <v>171</v>
      </c>
      <c r="CT15" t="s">
        <v>189</v>
      </c>
      <c r="CU15" t="s">
        <v>171</v>
      </c>
      <c r="CV15" t="s">
        <v>190</v>
      </c>
      <c r="CW15" t="s">
        <v>191</v>
      </c>
      <c r="CX15" t="s">
        <v>191</v>
      </c>
      <c r="CY15" t="s">
        <v>191</v>
      </c>
      <c r="CZ15" t="s">
        <v>171</v>
      </c>
      <c r="DA15" t="s">
        <v>171</v>
      </c>
      <c r="DB15" t="s">
        <v>171</v>
      </c>
      <c r="DC15" t="s">
        <v>171</v>
      </c>
      <c r="DD15" t="s">
        <v>171</v>
      </c>
      <c r="DE15" t="s">
        <v>171</v>
      </c>
      <c r="DF15" t="s">
        <v>171</v>
      </c>
      <c r="DG15">
        <v>35</v>
      </c>
      <c r="DH15" t="s">
        <v>185</v>
      </c>
      <c r="DI15" s="142">
        <v>3</v>
      </c>
      <c r="DJ15" s="144" t="s">
        <v>192</v>
      </c>
      <c r="DK15" s="144" t="s">
        <v>171</v>
      </c>
      <c r="DL15" s="144" t="s">
        <v>171</v>
      </c>
      <c r="DM15" s="144" t="s">
        <v>171</v>
      </c>
      <c r="DN15" s="144" t="s">
        <v>171</v>
      </c>
      <c r="DO15" s="144" t="s">
        <v>171</v>
      </c>
      <c r="DP15" s="144" t="s">
        <v>171</v>
      </c>
      <c r="DQ15" s="144" t="s">
        <v>171</v>
      </c>
      <c r="DR15" s="144" t="s">
        <v>171</v>
      </c>
      <c r="DS15" s="144" t="s">
        <v>171</v>
      </c>
      <c r="DT15" s="144" t="s">
        <v>171</v>
      </c>
      <c r="DU15" s="144" t="s">
        <v>171</v>
      </c>
      <c r="DV15" s="144" t="s">
        <v>171</v>
      </c>
      <c r="DW15" s="147">
        <v>432.56244218316402</v>
      </c>
      <c r="DX15" t="s">
        <v>193</v>
      </c>
      <c r="DY15">
        <v>37.1</v>
      </c>
      <c r="DZ15" t="s">
        <v>194</v>
      </c>
      <c r="EA15">
        <v>39.61</v>
      </c>
      <c r="EB15" t="s">
        <v>185</v>
      </c>
      <c r="EC15" s="149">
        <f t="shared" si="1"/>
        <v>0.10172600000000001</v>
      </c>
      <c r="ED15" t="s">
        <v>195</v>
      </c>
      <c r="EE15" t="s">
        <v>196</v>
      </c>
      <c r="EF15" t="s">
        <v>197</v>
      </c>
      <c r="EG15">
        <v>1.0271999999999999</v>
      </c>
      <c r="EH15" t="s">
        <v>171</v>
      </c>
      <c r="EI15" t="s">
        <v>171</v>
      </c>
      <c r="EJ15" t="s">
        <v>198</v>
      </c>
      <c r="EK15" t="s">
        <v>191</v>
      </c>
      <c r="EL15" t="s">
        <v>191</v>
      </c>
      <c r="EM15" t="s">
        <v>199</v>
      </c>
      <c r="EN15" t="s">
        <v>200</v>
      </c>
      <c r="EO15" s="151" t="s">
        <v>201</v>
      </c>
      <c r="EP15" s="151" t="s">
        <v>201</v>
      </c>
      <c r="EQ15" s="144" t="s">
        <v>171</v>
      </c>
      <c r="ER15" s="144" t="s">
        <v>171</v>
      </c>
      <c r="ES15" s="144" t="s">
        <v>171</v>
      </c>
      <c r="ET15" t="s">
        <v>202</v>
      </c>
      <c r="EU15" t="s">
        <v>203</v>
      </c>
      <c r="EV15" t="s">
        <v>171</v>
      </c>
      <c r="EW15">
        <v>2341</v>
      </c>
      <c r="EX15" s="151" t="s">
        <v>204</v>
      </c>
      <c r="EY15" s="151">
        <v>175</v>
      </c>
      <c r="EZ15">
        <v>175</v>
      </c>
      <c r="FA15" t="s">
        <v>171</v>
      </c>
      <c r="FB15" t="s">
        <v>171</v>
      </c>
      <c r="FC15" t="s">
        <v>171</v>
      </c>
      <c r="FD15" t="s">
        <v>171</v>
      </c>
      <c r="FE15" s="152">
        <v>8.2105627741040799</v>
      </c>
      <c r="FF15" t="s">
        <v>205</v>
      </c>
      <c r="FG15" s="144" t="s">
        <v>171</v>
      </c>
      <c r="FH15" s="144" t="s">
        <v>171</v>
      </c>
      <c r="FI15" s="153">
        <v>243.056328700607</v>
      </c>
      <c r="FJ15">
        <v>21</v>
      </c>
      <c r="FK15" t="s">
        <v>207</v>
      </c>
      <c r="FL15" s="153">
        <v>222.056328700607</v>
      </c>
      <c r="FM15" s="153">
        <v>38.032514618314991</v>
      </c>
      <c r="FN15" s="153">
        <v>34.456001148024001</v>
      </c>
      <c r="FO15" t="s">
        <v>186</v>
      </c>
      <c r="FP15" t="s">
        <v>208</v>
      </c>
      <c r="FQ15" t="s">
        <v>171</v>
      </c>
      <c r="FR15" t="s">
        <v>171</v>
      </c>
      <c r="FS15" t="s">
        <v>171</v>
      </c>
      <c r="FT15" t="s">
        <v>171</v>
      </c>
      <c r="FU15" t="s">
        <v>171</v>
      </c>
      <c r="FV15" t="s">
        <v>171</v>
      </c>
      <c r="FW15" t="s">
        <v>171</v>
      </c>
      <c r="FX15" t="s">
        <v>171</v>
      </c>
      <c r="FY15" t="s">
        <v>171</v>
      </c>
      <c r="FZ15" t="s">
        <v>171</v>
      </c>
      <c r="GA15" t="s">
        <v>171</v>
      </c>
      <c r="GB15" t="s">
        <v>171</v>
      </c>
    </row>
    <row r="16" spans="1:185" ht="16" x14ac:dyDescent="0.2">
      <c r="A16" t="s">
        <v>217</v>
      </c>
      <c r="B16" s="143" t="s">
        <v>216</v>
      </c>
      <c r="C16" s="138" t="s">
        <v>212</v>
      </c>
      <c r="D16" t="s">
        <v>211</v>
      </c>
      <c r="E16">
        <v>2017</v>
      </c>
      <c r="F16" t="str">
        <f t="shared" si="7"/>
        <v>10.1073/pnas.1702143114</v>
      </c>
      <c r="G16" s="147">
        <f t="shared" si="8"/>
        <v>19.190000000000001</v>
      </c>
      <c r="H16">
        <f t="shared" si="2"/>
        <v>3.5000000000000003E-2</v>
      </c>
      <c r="I16">
        <f t="shared" si="3"/>
        <v>3.5000000000000003E-2</v>
      </c>
      <c r="J16" s="153">
        <f t="shared" si="9"/>
        <v>161.353140333239</v>
      </c>
      <c r="K16" s="153">
        <f t="shared" si="10"/>
        <v>33.205252156906994</v>
      </c>
      <c r="L16" s="153">
        <f t="shared" si="11"/>
        <v>30.88832554470099</v>
      </c>
      <c r="M16" t="b">
        <v>1</v>
      </c>
      <c r="N16">
        <v>3</v>
      </c>
      <c r="O16" s="144" t="s">
        <v>228</v>
      </c>
      <c r="P16" s="144" t="s">
        <v>229</v>
      </c>
      <c r="Q16" t="b">
        <v>0</v>
      </c>
      <c r="R16" t="s">
        <v>215</v>
      </c>
      <c r="S16" t="b">
        <v>1</v>
      </c>
      <c r="T16" t="b">
        <v>0</v>
      </c>
      <c r="U16" t="s">
        <v>171</v>
      </c>
      <c r="V16" t="s">
        <v>171</v>
      </c>
      <c r="W16" t="b">
        <v>0</v>
      </c>
      <c r="X16" t="s">
        <v>171</v>
      </c>
      <c r="Y16" s="139" t="s">
        <v>167</v>
      </c>
      <c r="Z16" s="143" t="s">
        <v>168</v>
      </c>
      <c r="AA16" t="s">
        <v>169</v>
      </c>
      <c r="AB16" t="s">
        <v>170</v>
      </c>
      <c r="AC16" s="144">
        <v>1</v>
      </c>
      <c r="AD16" s="144">
        <v>1</v>
      </c>
      <c r="AE16" s="144">
        <v>82</v>
      </c>
      <c r="AF16" s="144">
        <v>84</v>
      </c>
      <c r="AG16" s="145">
        <v>0.82</v>
      </c>
      <c r="AH16" s="145">
        <v>0.82</v>
      </c>
      <c r="AI16" t="s">
        <v>171</v>
      </c>
      <c r="AJ16" t="s">
        <v>172</v>
      </c>
      <c r="AK16" s="146">
        <v>12.74</v>
      </c>
      <c r="AL16" s="146">
        <v>-78.739999999999995</v>
      </c>
      <c r="AM16" t="s">
        <v>171</v>
      </c>
      <c r="AN16" t="s">
        <v>171</v>
      </c>
      <c r="AO16">
        <v>-2839</v>
      </c>
      <c r="AP16" t="s">
        <v>171</v>
      </c>
      <c r="AQ16" t="s">
        <v>171</v>
      </c>
      <c r="AR16" t="s">
        <v>171</v>
      </c>
      <c r="AS16" s="147">
        <v>19.190000000000001</v>
      </c>
      <c r="AT16" t="s">
        <v>173</v>
      </c>
      <c r="AU16">
        <v>3.5000000000000003E-2</v>
      </c>
      <c r="AV16">
        <v>3.5000000000000003E-2</v>
      </c>
      <c r="AW16" t="s">
        <v>171</v>
      </c>
      <c r="AX16" t="s">
        <v>174</v>
      </c>
      <c r="AY16" t="s">
        <v>171</v>
      </c>
      <c r="AZ16" t="s">
        <v>171</v>
      </c>
      <c r="BA16" t="s">
        <v>171</v>
      </c>
      <c r="BB16" t="s">
        <v>171</v>
      </c>
      <c r="BC16" t="s">
        <v>171</v>
      </c>
      <c r="BD16" t="s">
        <v>171</v>
      </c>
      <c r="BE16" t="s">
        <v>171</v>
      </c>
      <c r="BF16" t="s">
        <v>171</v>
      </c>
      <c r="BG16" t="s">
        <v>175</v>
      </c>
      <c r="BH16" t="s">
        <v>176</v>
      </c>
      <c r="BI16" t="s">
        <v>177</v>
      </c>
      <c r="BJ16" s="142">
        <v>2</v>
      </c>
      <c r="BK16" t="s">
        <v>178</v>
      </c>
      <c r="BL16" t="s">
        <v>179</v>
      </c>
      <c r="BM16" t="s">
        <v>180</v>
      </c>
      <c r="BN16" t="s">
        <v>171</v>
      </c>
      <c r="BO16" s="142">
        <v>2</v>
      </c>
      <c r="BP16" s="144" t="s">
        <v>171</v>
      </c>
      <c r="BQ16" s="145">
        <v>21.75</v>
      </c>
      <c r="BR16" t="s">
        <v>181</v>
      </c>
      <c r="BS16" s="149">
        <v>0.2</v>
      </c>
      <c r="BT16">
        <v>0.64</v>
      </c>
      <c r="BU16" t="s">
        <v>182</v>
      </c>
      <c r="BV16">
        <v>3.4000000000000002E-2</v>
      </c>
      <c r="BW16">
        <v>9.1</v>
      </c>
      <c r="BX16" t="s">
        <v>173</v>
      </c>
      <c r="BY16">
        <v>0.56000000000000005</v>
      </c>
      <c r="BZ16" t="s">
        <v>183</v>
      </c>
      <c r="CA16" t="s">
        <v>184</v>
      </c>
      <c r="CB16" s="148">
        <f t="shared" si="6"/>
        <v>21.466666666666669</v>
      </c>
      <c r="CC16" s="144" t="s">
        <v>185</v>
      </c>
      <c r="CD16" s="144" t="s">
        <v>171</v>
      </c>
      <c r="CE16" s="144" t="s">
        <v>171</v>
      </c>
      <c r="CF16" t="s">
        <v>186</v>
      </c>
      <c r="CG16" s="144">
        <v>10</v>
      </c>
      <c r="CH16" s="144" t="s">
        <v>187</v>
      </c>
      <c r="CI16" s="144" t="s">
        <v>171</v>
      </c>
      <c r="CJ16" s="147">
        <v>25.99</v>
      </c>
      <c r="CK16" t="s">
        <v>173</v>
      </c>
      <c r="CL16">
        <v>3</v>
      </c>
      <c r="CM16">
        <v>3</v>
      </c>
      <c r="CN16" t="s">
        <v>171</v>
      </c>
      <c r="CO16" s="149">
        <v>3.6720000000000002</v>
      </c>
      <c r="CP16" t="s">
        <v>188</v>
      </c>
      <c r="CQ16" s="149">
        <v>0.14688000000000001</v>
      </c>
      <c r="CR16" s="149">
        <v>0.14688000000000001</v>
      </c>
      <c r="CS16" s="150" t="s">
        <v>171</v>
      </c>
      <c r="CT16" t="s">
        <v>189</v>
      </c>
      <c r="CU16" t="s">
        <v>171</v>
      </c>
      <c r="CV16" t="s">
        <v>190</v>
      </c>
      <c r="CW16" t="s">
        <v>191</v>
      </c>
      <c r="CX16" t="s">
        <v>191</v>
      </c>
      <c r="CY16" t="s">
        <v>191</v>
      </c>
      <c r="CZ16" t="s">
        <v>171</v>
      </c>
      <c r="DA16" t="s">
        <v>171</v>
      </c>
      <c r="DB16" t="s">
        <v>171</v>
      </c>
      <c r="DC16" t="s">
        <v>171</v>
      </c>
      <c r="DD16" t="s">
        <v>171</v>
      </c>
      <c r="DE16" t="s">
        <v>171</v>
      </c>
      <c r="DF16" t="s">
        <v>171</v>
      </c>
      <c r="DG16">
        <v>35</v>
      </c>
      <c r="DH16" t="s">
        <v>185</v>
      </c>
      <c r="DI16" s="142">
        <v>3</v>
      </c>
      <c r="DJ16" s="144" t="s">
        <v>192</v>
      </c>
      <c r="DK16" s="144" t="s">
        <v>171</v>
      </c>
      <c r="DL16" s="144" t="s">
        <v>171</v>
      </c>
      <c r="DM16" s="144" t="s">
        <v>171</v>
      </c>
      <c r="DN16" s="144" t="s">
        <v>171</v>
      </c>
      <c r="DO16" s="144" t="s">
        <v>171</v>
      </c>
      <c r="DP16" s="144" t="s">
        <v>171</v>
      </c>
      <c r="DQ16" s="144" t="s">
        <v>171</v>
      </c>
      <c r="DR16" s="144" t="s">
        <v>171</v>
      </c>
      <c r="DS16" s="144" t="s">
        <v>171</v>
      </c>
      <c r="DT16" s="144" t="s">
        <v>171</v>
      </c>
      <c r="DU16" s="144" t="s">
        <v>171</v>
      </c>
      <c r="DV16" s="144" t="s">
        <v>171</v>
      </c>
      <c r="DW16" s="147">
        <v>432.56244218316402</v>
      </c>
      <c r="DX16" t="s">
        <v>193</v>
      </c>
      <c r="DY16">
        <v>37.1</v>
      </c>
      <c r="DZ16" t="s">
        <v>194</v>
      </c>
      <c r="EA16">
        <v>39.61</v>
      </c>
      <c r="EB16" t="s">
        <v>185</v>
      </c>
      <c r="EC16" s="149">
        <f t="shared" si="1"/>
        <v>0.10191900000000001</v>
      </c>
      <c r="ED16" t="s">
        <v>195</v>
      </c>
      <c r="EE16" t="s">
        <v>196</v>
      </c>
      <c r="EF16" t="s">
        <v>197</v>
      </c>
      <c r="EG16">
        <v>1.0271999999999999</v>
      </c>
      <c r="EH16" t="s">
        <v>171</v>
      </c>
      <c r="EI16" t="s">
        <v>171</v>
      </c>
      <c r="EJ16" t="s">
        <v>198</v>
      </c>
      <c r="EK16" t="s">
        <v>191</v>
      </c>
      <c r="EL16" t="s">
        <v>191</v>
      </c>
      <c r="EM16" t="s">
        <v>199</v>
      </c>
      <c r="EN16" t="s">
        <v>200</v>
      </c>
      <c r="EO16" s="151" t="s">
        <v>201</v>
      </c>
      <c r="EP16" s="151" t="s">
        <v>201</v>
      </c>
      <c r="EQ16" s="144" t="s">
        <v>171</v>
      </c>
      <c r="ER16" s="144" t="s">
        <v>171</v>
      </c>
      <c r="ES16" s="144" t="s">
        <v>171</v>
      </c>
      <c r="ET16" t="s">
        <v>202</v>
      </c>
      <c r="EU16" t="s">
        <v>203</v>
      </c>
      <c r="EV16" t="s">
        <v>171</v>
      </c>
      <c r="EW16">
        <v>2342</v>
      </c>
      <c r="EX16" s="151" t="s">
        <v>204</v>
      </c>
      <c r="EY16" s="151">
        <v>175</v>
      </c>
      <c r="EZ16">
        <v>175</v>
      </c>
      <c r="FA16" t="s">
        <v>171</v>
      </c>
      <c r="FB16" t="s">
        <v>171</v>
      </c>
      <c r="FC16" t="s">
        <v>171</v>
      </c>
      <c r="FD16" t="s">
        <v>171</v>
      </c>
      <c r="FE16" s="152">
        <v>8.3047520702030102</v>
      </c>
      <c r="FF16" t="s">
        <v>205</v>
      </c>
      <c r="FG16" s="144" t="s">
        <v>171</v>
      </c>
      <c r="FH16" s="144" t="s">
        <v>171</v>
      </c>
      <c r="FI16" s="153">
        <v>182.353140333239</v>
      </c>
      <c r="FJ16">
        <v>21</v>
      </c>
      <c r="FK16" t="s">
        <v>207</v>
      </c>
      <c r="FL16" s="153">
        <v>161.353140333239</v>
      </c>
      <c r="FM16" s="153">
        <v>33.205252156906994</v>
      </c>
      <c r="FN16" s="153">
        <v>30.88832554470099</v>
      </c>
      <c r="FO16" t="s">
        <v>186</v>
      </c>
      <c r="FP16" t="s">
        <v>208</v>
      </c>
      <c r="FQ16" t="s">
        <v>171</v>
      </c>
      <c r="FR16" t="s">
        <v>171</v>
      </c>
      <c r="FS16" t="s">
        <v>171</v>
      </c>
      <c r="FT16" t="s">
        <v>171</v>
      </c>
      <c r="FU16" t="s">
        <v>171</v>
      </c>
      <c r="FV16" t="s">
        <v>171</v>
      </c>
      <c r="FW16" t="s">
        <v>171</v>
      </c>
      <c r="FX16" t="s">
        <v>171</v>
      </c>
      <c r="FY16" t="s">
        <v>171</v>
      </c>
      <c r="FZ16" t="s">
        <v>171</v>
      </c>
      <c r="GA16" t="s">
        <v>171</v>
      </c>
      <c r="GB16" t="s">
        <v>171</v>
      </c>
    </row>
    <row r="17" spans="1:184" ht="16" x14ac:dyDescent="0.2">
      <c r="A17" t="s">
        <v>217</v>
      </c>
      <c r="B17" s="143" t="s">
        <v>216</v>
      </c>
      <c r="C17" s="138" t="s">
        <v>212</v>
      </c>
      <c r="D17" t="s">
        <v>211</v>
      </c>
      <c r="E17">
        <v>2017</v>
      </c>
      <c r="F17" t="str">
        <f t="shared" si="7"/>
        <v>10.1073/pnas.1702143114</v>
      </c>
      <c r="G17" s="147">
        <f t="shared" si="8"/>
        <v>21.12</v>
      </c>
      <c r="H17">
        <f t="shared" si="2"/>
        <v>3.5000000000000003E-2</v>
      </c>
      <c r="I17">
        <f t="shared" si="3"/>
        <v>3.5000000000000003E-2</v>
      </c>
      <c r="J17" s="153">
        <f t="shared" si="9"/>
        <v>199.33752562613199</v>
      </c>
      <c r="K17" s="153">
        <f t="shared" si="10"/>
        <v>34.14879129917901</v>
      </c>
      <c r="L17" s="153">
        <f t="shared" si="11"/>
        <v>32.159575510522984</v>
      </c>
      <c r="M17" t="b">
        <v>1</v>
      </c>
      <c r="N17">
        <v>3</v>
      </c>
      <c r="O17" s="144" t="s">
        <v>228</v>
      </c>
      <c r="P17" s="144" t="s">
        <v>229</v>
      </c>
      <c r="Q17" t="b">
        <v>0</v>
      </c>
      <c r="R17" t="s">
        <v>215</v>
      </c>
      <c r="S17" t="b">
        <v>1</v>
      </c>
      <c r="T17" t="b">
        <v>0</v>
      </c>
      <c r="U17" t="s">
        <v>171</v>
      </c>
      <c r="V17" t="s">
        <v>171</v>
      </c>
      <c r="W17" t="b">
        <v>0</v>
      </c>
      <c r="X17" t="s">
        <v>171</v>
      </c>
      <c r="Y17" s="139" t="s">
        <v>167</v>
      </c>
      <c r="Z17" s="143" t="s">
        <v>168</v>
      </c>
      <c r="AA17" t="s">
        <v>169</v>
      </c>
      <c r="AB17" t="s">
        <v>170</v>
      </c>
      <c r="AC17" s="144">
        <v>1</v>
      </c>
      <c r="AD17" s="144">
        <v>1</v>
      </c>
      <c r="AE17" s="144">
        <v>93</v>
      </c>
      <c r="AF17" s="144">
        <v>95</v>
      </c>
      <c r="AG17" s="145">
        <v>0.93</v>
      </c>
      <c r="AH17" s="145">
        <v>0.93</v>
      </c>
      <c r="AI17" t="s">
        <v>171</v>
      </c>
      <c r="AJ17" t="s">
        <v>172</v>
      </c>
      <c r="AK17" s="146">
        <v>12.74</v>
      </c>
      <c r="AL17" s="146">
        <v>-78.739999999999995</v>
      </c>
      <c r="AM17" t="s">
        <v>171</v>
      </c>
      <c r="AN17" t="s">
        <v>171</v>
      </c>
      <c r="AO17">
        <v>-2839</v>
      </c>
      <c r="AP17" t="s">
        <v>171</v>
      </c>
      <c r="AQ17" t="s">
        <v>171</v>
      </c>
      <c r="AR17" t="s">
        <v>171</v>
      </c>
      <c r="AS17" s="147">
        <v>21.12</v>
      </c>
      <c r="AT17" t="s">
        <v>173</v>
      </c>
      <c r="AU17">
        <v>3.5000000000000003E-2</v>
      </c>
      <c r="AV17">
        <v>3.5000000000000003E-2</v>
      </c>
      <c r="AW17" t="s">
        <v>171</v>
      </c>
      <c r="AX17" t="s">
        <v>174</v>
      </c>
      <c r="AY17" t="s">
        <v>171</v>
      </c>
      <c r="AZ17" t="s">
        <v>171</v>
      </c>
      <c r="BA17" t="s">
        <v>171</v>
      </c>
      <c r="BB17" t="s">
        <v>171</v>
      </c>
      <c r="BC17" t="s">
        <v>171</v>
      </c>
      <c r="BD17" t="s">
        <v>171</v>
      </c>
      <c r="BE17" t="s">
        <v>171</v>
      </c>
      <c r="BF17" t="s">
        <v>171</v>
      </c>
      <c r="BG17" t="s">
        <v>175</v>
      </c>
      <c r="BH17" t="s">
        <v>176</v>
      </c>
      <c r="BI17" t="s">
        <v>177</v>
      </c>
      <c r="BJ17" s="142">
        <v>2</v>
      </c>
      <c r="BK17" t="s">
        <v>178</v>
      </c>
      <c r="BL17" t="s">
        <v>179</v>
      </c>
      <c r="BM17" t="s">
        <v>180</v>
      </c>
      <c r="BN17" t="s">
        <v>171</v>
      </c>
      <c r="BO17" s="142">
        <v>2</v>
      </c>
      <c r="BP17" s="144" t="s">
        <v>171</v>
      </c>
      <c r="BQ17" s="145">
        <v>21.23</v>
      </c>
      <c r="BR17" t="s">
        <v>181</v>
      </c>
      <c r="BS17" s="149">
        <v>0.14000000000000001</v>
      </c>
      <c r="BT17">
        <v>0.64</v>
      </c>
      <c r="BU17" t="s">
        <v>182</v>
      </c>
      <c r="BV17">
        <v>3.4000000000000002E-2</v>
      </c>
      <c r="BW17">
        <v>9.1</v>
      </c>
      <c r="BX17" t="s">
        <v>173</v>
      </c>
      <c r="BY17">
        <v>0.56000000000000005</v>
      </c>
      <c r="BZ17" t="s">
        <v>183</v>
      </c>
      <c r="CA17" t="s">
        <v>184</v>
      </c>
      <c r="CB17" s="148">
        <f t="shared" si="6"/>
        <v>20.6</v>
      </c>
      <c r="CC17" s="144" t="s">
        <v>185</v>
      </c>
      <c r="CD17" s="144" t="s">
        <v>171</v>
      </c>
      <c r="CE17" s="144" t="s">
        <v>171</v>
      </c>
      <c r="CF17" t="s">
        <v>186</v>
      </c>
      <c r="CG17" s="144">
        <v>10</v>
      </c>
      <c r="CH17" s="144" t="s">
        <v>187</v>
      </c>
      <c r="CI17" s="144" t="s">
        <v>171</v>
      </c>
      <c r="CJ17" s="147">
        <v>25.68</v>
      </c>
      <c r="CK17" t="s">
        <v>173</v>
      </c>
      <c r="CL17">
        <v>3</v>
      </c>
      <c r="CM17">
        <v>3</v>
      </c>
      <c r="CN17" t="s">
        <v>171</v>
      </c>
      <c r="CO17" s="149">
        <v>3.718</v>
      </c>
      <c r="CP17" t="s">
        <v>188</v>
      </c>
      <c r="CQ17" s="149">
        <v>0.14871999999999999</v>
      </c>
      <c r="CR17" s="149">
        <v>0.14871999999999999</v>
      </c>
      <c r="CS17" s="150" t="s">
        <v>171</v>
      </c>
      <c r="CT17" t="s">
        <v>189</v>
      </c>
      <c r="CU17" t="s">
        <v>171</v>
      </c>
      <c r="CV17" t="s">
        <v>190</v>
      </c>
      <c r="CW17" t="s">
        <v>191</v>
      </c>
      <c r="CX17" t="s">
        <v>191</v>
      </c>
      <c r="CY17" t="s">
        <v>191</v>
      </c>
      <c r="CZ17" t="s">
        <v>171</v>
      </c>
      <c r="DA17" t="s">
        <v>171</v>
      </c>
      <c r="DB17" t="s">
        <v>171</v>
      </c>
      <c r="DC17" t="s">
        <v>171</v>
      </c>
      <c r="DD17" t="s">
        <v>171</v>
      </c>
      <c r="DE17" t="s">
        <v>171</v>
      </c>
      <c r="DF17" t="s">
        <v>171</v>
      </c>
      <c r="DG17">
        <v>35</v>
      </c>
      <c r="DH17" t="s">
        <v>185</v>
      </c>
      <c r="DI17" s="142">
        <v>3</v>
      </c>
      <c r="DJ17" s="144" t="s">
        <v>192</v>
      </c>
      <c r="DK17" s="144" t="s">
        <v>171</v>
      </c>
      <c r="DL17" s="144" t="s">
        <v>171</v>
      </c>
      <c r="DM17" s="144" t="s">
        <v>171</v>
      </c>
      <c r="DN17" s="144" t="s">
        <v>171</v>
      </c>
      <c r="DO17" s="144" t="s">
        <v>171</v>
      </c>
      <c r="DP17" s="144" t="s">
        <v>171</v>
      </c>
      <c r="DQ17" s="144" t="s">
        <v>171</v>
      </c>
      <c r="DR17" s="144" t="s">
        <v>171</v>
      </c>
      <c r="DS17" s="144" t="s">
        <v>171</v>
      </c>
      <c r="DT17" s="144" t="s">
        <v>171</v>
      </c>
      <c r="DU17" s="144" t="s">
        <v>171</v>
      </c>
      <c r="DV17" s="144" t="s">
        <v>171</v>
      </c>
      <c r="DW17" s="147">
        <v>432.56244218316402</v>
      </c>
      <c r="DX17" t="s">
        <v>193</v>
      </c>
      <c r="DY17">
        <v>37.1</v>
      </c>
      <c r="DZ17" t="s">
        <v>194</v>
      </c>
      <c r="EA17">
        <v>39.61</v>
      </c>
      <c r="EB17" t="s">
        <v>185</v>
      </c>
      <c r="EC17" s="149">
        <f t="shared" si="1"/>
        <v>0.10211200000000001</v>
      </c>
      <c r="ED17" t="s">
        <v>195</v>
      </c>
      <c r="EE17" t="s">
        <v>196</v>
      </c>
      <c r="EF17" t="s">
        <v>197</v>
      </c>
      <c r="EG17">
        <v>1.0271999999999999</v>
      </c>
      <c r="EH17" t="s">
        <v>171</v>
      </c>
      <c r="EI17" t="s">
        <v>171</v>
      </c>
      <c r="EJ17" t="s">
        <v>198</v>
      </c>
      <c r="EK17" t="s">
        <v>191</v>
      </c>
      <c r="EL17" t="s">
        <v>191</v>
      </c>
      <c r="EM17" t="s">
        <v>199</v>
      </c>
      <c r="EN17" t="s">
        <v>200</v>
      </c>
      <c r="EO17" s="151" t="s">
        <v>201</v>
      </c>
      <c r="EP17" s="151" t="s">
        <v>201</v>
      </c>
      <c r="EQ17" s="144" t="s">
        <v>171</v>
      </c>
      <c r="ER17" s="144" t="s">
        <v>171</v>
      </c>
      <c r="ES17" s="144" t="s">
        <v>171</v>
      </c>
      <c r="ET17" t="s">
        <v>202</v>
      </c>
      <c r="EU17" t="s">
        <v>203</v>
      </c>
      <c r="EV17" t="s">
        <v>171</v>
      </c>
      <c r="EW17">
        <v>2343</v>
      </c>
      <c r="EX17" s="151" t="s">
        <v>204</v>
      </c>
      <c r="EY17" s="151">
        <v>175</v>
      </c>
      <c r="EZ17">
        <v>175</v>
      </c>
      <c r="FA17" t="s">
        <v>171</v>
      </c>
      <c r="FB17" t="s">
        <v>171</v>
      </c>
      <c r="FC17" t="s">
        <v>171</v>
      </c>
      <c r="FD17" t="s">
        <v>171</v>
      </c>
      <c r="FE17" s="152">
        <v>8.2446286836479601</v>
      </c>
      <c r="FF17" t="s">
        <v>205</v>
      </c>
      <c r="FG17" s="144" t="s">
        <v>171</v>
      </c>
      <c r="FH17" s="144" t="s">
        <v>171</v>
      </c>
      <c r="FI17" s="153">
        <v>220.33752562613199</v>
      </c>
      <c r="FJ17">
        <v>21</v>
      </c>
      <c r="FK17" t="s">
        <v>207</v>
      </c>
      <c r="FL17" s="153">
        <v>199.33752562613199</v>
      </c>
      <c r="FM17" s="153">
        <v>34.14879129917901</v>
      </c>
      <c r="FN17" s="153">
        <v>32.159575510522984</v>
      </c>
      <c r="FO17" t="s">
        <v>186</v>
      </c>
      <c r="FP17" t="s">
        <v>208</v>
      </c>
      <c r="FQ17" t="s">
        <v>171</v>
      </c>
      <c r="FR17" t="s">
        <v>171</v>
      </c>
      <c r="FS17" t="s">
        <v>171</v>
      </c>
      <c r="FT17" t="s">
        <v>171</v>
      </c>
      <c r="FU17" t="s">
        <v>171</v>
      </c>
      <c r="FV17" t="s">
        <v>171</v>
      </c>
      <c r="FW17" t="s">
        <v>171</v>
      </c>
      <c r="FX17" t="s">
        <v>171</v>
      </c>
      <c r="FY17" t="s">
        <v>171</v>
      </c>
      <c r="FZ17" t="s">
        <v>171</v>
      </c>
      <c r="GA17" t="s">
        <v>171</v>
      </c>
      <c r="GB17" t="s">
        <v>171</v>
      </c>
    </row>
    <row r="18" spans="1:184" ht="16" x14ac:dyDescent="0.2">
      <c r="A18" t="s">
        <v>217</v>
      </c>
      <c r="B18" s="143" t="s">
        <v>216</v>
      </c>
      <c r="C18" s="138" t="s">
        <v>212</v>
      </c>
      <c r="D18" t="s">
        <v>211</v>
      </c>
      <c r="E18">
        <v>2017</v>
      </c>
      <c r="F18" t="str">
        <f t="shared" si="7"/>
        <v>10.1073/pnas.1702143114</v>
      </c>
      <c r="G18" s="147">
        <f t="shared" si="8"/>
        <v>22.61</v>
      </c>
      <c r="H18">
        <f t="shared" si="2"/>
        <v>3.5000000000000003E-2</v>
      </c>
      <c r="I18">
        <f t="shared" si="3"/>
        <v>3.5000000000000003E-2</v>
      </c>
      <c r="J18" s="153">
        <f t="shared" si="9"/>
        <v>201.60470924740699</v>
      </c>
      <c r="K18" s="153">
        <f t="shared" si="10"/>
        <v>36.202657416073009</v>
      </c>
      <c r="L18" s="153">
        <f t="shared" si="11"/>
        <v>32.92038946192298</v>
      </c>
      <c r="M18" t="b">
        <v>1</v>
      </c>
      <c r="N18">
        <v>3</v>
      </c>
      <c r="O18" s="144" t="s">
        <v>228</v>
      </c>
      <c r="P18" s="144" t="s">
        <v>229</v>
      </c>
      <c r="Q18" t="b">
        <v>0</v>
      </c>
      <c r="R18" t="s">
        <v>215</v>
      </c>
      <c r="S18" t="b">
        <v>1</v>
      </c>
      <c r="T18" t="b">
        <v>0</v>
      </c>
      <c r="U18" t="s">
        <v>171</v>
      </c>
      <c r="V18" t="s">
        <v>171</v>
      </c>
      <c r="W18" t="b">
        <v>0</v>
      </c>
      <c r="X18" t="s">
        <v>171</v>
      </c>
      <c r="Y18" s="139" t="s">
        <v>167</v>
      </c>
      <c r="Z18" s="143" t="s">
        <v>168</v>
      </c>
      <c r="AA18" t="s">
        <v>169</v>
      </c>
      <c r="AB18" t="s">
        <v>170</v>
      </c>
      <c r="AC18" s="144">
        <v>1</v>
      </c>
      <c r="AD18" s="144">
        <v>1</v>
      </c>
      <c r="AE18" s="144">
        <v>102</v>
      </c>
      <c r="AF18" s="144">
        <v>104</v>
      </c>
      <c r="AG18" s="145">
        <v>1.02</v>
      </c>
      <c r="AH18" s="145">
        <v>1.02</v>
      </c>
      <c r="AI18" t="s">
        <v>171</v>
      </c>
      <c r="AJ18" t="s">
        <v>172</v>
      </c>
      <c r="AK18" s="146">
        <v>12.74</v>
      </c>
      <c r="AL18" s="146">
        <v>-78.739999999999995</v>
      </c>
      <c r="AM18" t="s">
        <v>171</v>
      </c>
      <c r="AN18" t="s">
        <v>171</v>
      </c>
      <c r="AO18">
        <v>-2839</v>
      </c>
      <c r="AP18" t="s">
        <v>171</v>
      </c>
      <c r="AQ18" t="s">
        <v>171</v>
      </c>
      <c r="AR18" t="s">
        <v>171</v>
      </c>
      <c r="AS18" s="147">
        <v>22.61</v>
      </c>
      <c r="AT18" t="s">
        <v>173</v>
      </c>
      <c r="AU18">
        <v>3.5000000000000003E-2</v>
      </c>
      <c r="AV18">
        <v>3.5000000000000003E-2</v>
      </c>
      <c r="AW18" t="s">
        <v>171</v>
      </c>
      <c r="AX18" t="s">
        <v>174</v>
      </c>
      <c r="AY18" t="s">
        <v>171</v>
      </c>
      <c r="AZ18" t="s">
        <v>171</v>
      </c>
      <c r="BA18" t="s">
        <v>171</v>
      </c>
      <c r="BB18" t="s">
        <v>171</v>
      </c>
      <c r="BC18" t="s">
        <v>171</v>
      </c>
      <c r="BD18" t="s">
        <v>171</v>
      </c>
      <c r="BE18" t="s">
        <v>171</v>
      </c>
      <c r="BF18" t="s">
        <v>171</v>
      </c>
      <c r="BG18" t="s">
        <v>175</v>
      </c>
      <c r="BH18" t="s">
        <v>176</v>
      </c>
      <c r="BI18" t="s">
        <v>177</v>
      </c>
      <c r="BJ18" s="142">
        <v>2</v>
      </c>
      <c r="BK18" t="s">
        <v>178</v>
      </c>
      <c r="BL18" t="s">
        <v>179</v>
      </c>
      <c r="BM18" t="s">
        <v>180</v>
      </c>
      <c r="BN18" t="s">
        <v>171</v>
      </c>
      <c r="BO18" s="142">
        <v>2</v>
      </c>
      <c r="BP18" s="144" t="s">
        <v>171</v>
      </c>
      <c r="BQ18" s="145">
        <v>21.26</v>
      </c>
      <c r="BR18" t="s">
        <v>181</v>
      </c>
      <c r="BS18" s="149">
        <v>0.16</v>
      </c>
      <c r="BT18">
        <v>0.64</v>
      </c>
      <c r="BU18" t="s">
        <v>182</v>
      </c>
      <c r="BV18">
        <v>3.4000000000000002E-2</v>
      </c>
      <c r="BW18">
        <v>9.1</v>
      </c>
      <c r="BX18" t="s">
        <v>173</v>
      </c>
      <c r="BY18">
        <v>0.56000000000000005</v>
      </c>
      <c r="BZ18" t="s">
        <v>183</v>
      </c>
      <c r="CA18" t="s">
        <v>184</v>
      </c>
      <c r="CB18" s="148">
        <f t="shared" si="6"/>
        <v>20.650000000000006</v>
      </c>
      <c r="CC18" s="144" t="s">
        <v>185</v>
      </c>
      <c r="CD18" s="144" t="s">
        <v>171</v>
      </c>
      <c r="CE18" s="144" t="s">
        <v>171</v>
      </c>
      <c r="CF18" t="s">
        <v>186</v>
      </c>
      <c r="CG18" s="144">
        <v>10</v>
      </c>
      <c r="CH18" s="144" t="s">
        <v>187</v>
      </c>
      <c r="CI18" s="144" t="s">
        <v>171</v>
      </c>
      <c r="CJ18" s="147">
        <v>26.43</v>
      </c>
      <c r="CK18" t="s">
        <v>173</v>
      </c>
      <c r="CL18">
        <v>3</v>
      </c>
      <c r="CM18">
        <v>3</v>
      </c>
      <c r="CN18" t="s">
        <v>171</v>
      </c>
      <c r="CO18" s="149">
        <v>3.8079999999999998</v>
      </c>
      <c r="CP18" t="s">
        <v>188</v>
      </c>
      <c r="CQ18" s="149">
        <v>0.15231999999999998</v>
      </c>
      <c r="CR18" s="149">
        <v>0.15231999999999998</v>
      </c>
      <c r="CS18" s="150" t="s">
        <v>171</v>
      </c>
      <c r="CT18" t="s">
        <v>189</v>
      </c>
      <c r="CU18" t="s">
        <v>171</v>
      </c>
      <c r="CV18" t="s">
        <v>190</v>
      </c>
      <c r="CW18" t="s">
        <v>191</v>
      </c>
      <c r="CX18" t="s">
        <v>191</v>
      </c>
      <c r="CY18" t="s">
        <v>191</v>
      </c>
      <c r="CZ18" t="s">
        <v>171</v>
      </c>
      <c r="DA18" t="s">
        <v>171</v>
      </c>
      <c r="DB18" t="s">
        <v>171</v>
      </c>
      <c r="DC18" t="s">
        <v>171</v>
      </c>
      <c r="DD18" t="s">
        <v>171</v>
      </c>
      <c r="DE18" t="s">
        <v>171</v>
      </c>
      <c r="DF18" t="s">
        <v>171</v>
      </c>
      <c r="DG18">
        <v>35</v>
      </c>
      <c r="DH18" t="s">
        <v>185</v>
      </c>
      <c r="DI18" s="142">
        <v>3</v>
      </c>
      <c r="DJ18" s="144" t="s">
        <v>192</v>
      </c>
      <c r="DK18" s="144" t="s">
        <v>171</v>
      </c>
      <c r="DL18" s="144" t="s">
        <v>171</v>
      </c>
      <c r="DM18" s="144" t="s">
        <v>171</v>
      </c>
      <c r="DN18" s="144" t="s">
        <v>171</v>
      </c>
      <c r="DO18" s="144" t="s">
        <v>171</v>
      </c>
      <c r="DP18" s="144" t="s">
        <v>171</v>
      </c>
      <c r="DQ18" s="144" t="s">
        <v>171</v>
      </c>
      <c r="DR18" s="144" t="s">
        <v>171</v>
      </c>
      <c r="DS18" s="144" t="s">
        <v>171</v>
      </c>
      <c r="DT18" s="144" t="s">
        <v>171</v>
      </c>
      <c r="DU18" s="144" t="s">
        <v>171</v>
      </c>
      <c r="DV18" s="144" t="s">
        <v>171</v>
      </c>
      <c r="DW18" s="147">
        <v>432.56244218316402</v>
      </c>
      <c r="DX18" t="s">
        <v>193</v>
      </c>
      <c r="DY18">
        <v>37.1</v>
      </c>
      <c r="DZ18" t="s">
        <v>194</v>
      </c>
      <c r="EA18">
        <v>39.61</v>
      </c>
      <c r="EB18" t="s">
        <v>185</v>
      </c>
      <c r="EC18" s="149">
        <f t="shared" si="1"/>
        <v>0.102261</v>
      </c>
      <c r="ED18" t="s">
        <v>195</v>
      </c>
      <c r="EE18" t="s">
        <v>196</v>
      </c>
      <c r="EF18" t="s">
        <v>197</v>
      </c>
      <c r="EG18">
        <v>1.0271999999999999</v>
      </c>
      <c r="EH18" t="s">
        <v>171</v>
      </c>
      <c r="EI18" t="s">
        <v>171</v>
      </c>
      <c r="EJ18" t="s">
        <v>198</v>
      </c>
      <c r="EK18" t="s">
        <v>191</v>
      </c>
      <c r="EL18" t="s">
        <v>191</v>
      </c>
      <c r="EM18" t="s">
        <v>199</v>
      </c>
      <c r="EN18" t="s">
        <v>200</v>
      </c>
      <c r="EO18" s="151" t="s">
        <v>201</v>
      </c>
      <c r="EP18" s="151" t="s">
        <v>201</v>
      </c>
      <c r="EQ18" s="144" t="s">
        <v>171</v>
      </c>
      <c r="ER18" s="144" t="s">
        <v>171</v>
      </c>
      <c r="ES18" s="144" t="s">
        <v>171</v>
      </c>
      <c r="ET18" t="s">
        <v>202</v>
      </c>
      <c r="EU18" t="s">
        <v>203</v>
      </c>
      <c r="EV18" t="s">
        <v>171</v>
      </c>
      <c r="EW18">
        <v>2344</v>
      </c>
      <c r="EX18" s="151" t="s">
        <v>204</v>
      </c>
      <c r="EY18" s="151">
        <v>175</v>
      </c>
      <c r="EZ18">
        <v>175</v>
      </c>
      <c r="FA18" t="s">
        <v>171</v>
      </c>
      <c r="FB18" t="s">
        <v>171</v>
      </c>
      <c r="FC18" t="s">
        <v>171</v>
      </c>
      <c r="FD18" t="s">
        <v>171</v>
      </c>
      <c r="FE18" s="152">
        <v>8.23951466013086</v>
      </c>
      <c r="FF18" t="s">
        <v>205</v>
      </c>
      <c r="FG18" s="144" t="s">
        <v>171</v>
      </c>
      <c r="FH18" s="144" t="s">
        <v>171</v>
      </c>
      <c r="FI18" s="153">
        <v>222.60470924740699</v>
      </c>
      <c r="FJ18">
        <v>21</v>
      </c>
      <c r="FK18" t="s">
        <v>207</v>
      </c>
      <c r="FL18" s="153">
        <v>201.60470924740699</v>
      </c>
      <c r="FM18" s="153">
        <v>36.202657416073009</v>
      </c>
      <c r="FN18" s="153">
        <v>32.92038946192298</v>
      </c>
      <c r="FO18" t="s">
        <v>186</v>
      </c>
      <c r="FP18" t="s">
        <v>208</v>
      </c>
      <c r="FQ18" t="s">
        <v>171</v>
      </c>
      <c r="FR18" t="s">
        <v>171</v>
      </c>
      <c r="FS18" t="s">
        <v>171</v>
      </c>
      <c r="FT18" t="s">
        <v>171</v>
      </c>
      <c r="FU18" t="s">
        <v>171</v>
      </c>
      <c r="FV18" t="s">
        <v>171</v>
      </c>
      <c r="FW18" t="s">
        <v>171</v>
      </c>
      <c r="FX18" t="s">
        <v>171</v>
      </c>
      <c r="FY18" t="s">
        <v>171</v>
      </c>
      <c r="FZ18" t="s">
        <v>171</v>
      </c>
      <c r="GA18" t="s">
        <v>171</v>
      </c>
      <c r="GB18" t="s">
        <v>171</v>
      </c>
    </row>
    <row r="19" spans="1:184" ht="16" x14ac:dyDescent="0.2">
      <c r="A19" t="s">
        <v>217</v>
      </c>
      <c r="B19" s="143" t="s">
        <v>216</v>
      </c>
      <c r="C19" s="138" t="s">
        <v>212</v>
      </c>
      <c r="D19" t="s">
        <v>211</v>
      </c>
      <c r="E19">
        <v>2017</v>
      </c>
      <c r="F19" t="str">
        <f t="shared" si="7"/>
        <v>10.1073/pnas.1702143114</v>
      </c>
      <c r="G19" s="147">
        <f t="shared" si="8"/>
        <v>24.38</v>
      </c>
      <c r="H19">
        <f t="shared" si="2"/>
        <v>3.5000000000000003E-2</v>
      </c>
      <c r="I19">
        <f t="shared" si="3"/>
        <v>3.5000000000000003E-2</v>
      </c>
      <c r="J19" s="153">
        <f t="shared" si="9"/>
        <v>179.59555905589201</v>
      </c>
      <c r="K19" s="153">
        <f t="shared" si="10"/>
        <v>32.575978597909</v>
      </c>
      <c r="L19" s="153">
        <f t="shared" si="11"/>
        <v>30.356137318982007</v>
      </c>
      <c r="M19" t="b">
        <v>1</v>
      </c>
      <c r="N19">
        <v>3</v>
      </c>
      <c r="O19" s="144" t="s">
        <v>228</v>
      </c>
      <c r="P19" s="144" t="s">
        <v>229</v>
      </c>
      <c r="Q19" t="b">
        <v>0</v>
      </c>
      <c r="R19" t="s">
        <v>215</v>
      </c>
      <c r="S19" t="b">
        <v>1</v>
      </c>
      <c r="T19" t="b">
        <v>0</v>
      </c>
      <c r="U19" t="s">
        <v>171</v>
      </c>
      <c r="V19" t="s">
        <v>171</v>
      </c>
      <c r="W19" t="b">
        <v>0</v>
      </c>
      <c r="X19" t="s">
        <v>171</v>
      </c>
      <c r="Y19" s="139" t="s">
        <v>167</v>
      </c>
      <c r="Z19" s="143" t="s">
        <v>168</v>
      </c>
      <c r="AA19" t="s">
        <v>169</v>
      </c>
      <c r="AB19" t="s">
        <v>170</v>
      </c>
      <c r="AC19" s="144">
        <v>1</v>
      </c>
      <c r="AD19" s="144">
        <v>1</v>
      </c>
      <c r="AE19" s="144">
        <v>113</v>
      </c>
      <c r="AF19" s="144">
        <v>115</v>
      </c>
      <c r="AG19" s="145">
        <v>1.1299999999999999</v>
      </c>
      <c r="AH19" s="145">
        <v>1.1299999999999999</v>
      </c>
      <c r="AI19" t="s">
        <v>171</v>
      </c>
      <c r="AJ19" t="s">
        <v>172</v>
      </c>
      <c r="AK19" s="146">
        <v>12.74</v>
      </c>
      <c r="AL19" s="146">
        <v>-78.739999999999995</v>
      </c>
      <c r="AM19" t="s">
        <v>171</v>
      </c>
      <c r="AN19" t="s">
        <v>171</v>
      </c>
      <c r="AO19">
        <v>-2839</v>
      </c>
      <c r="AP19" t="s">
        <v>171</v>
      </c>
      <c r="AQ19" t="s">
        <v>171</v>
      </c>
      <c r="AR19" t="s">
        <v>171</v>
      </c>
      <c r="AS19" s="147">
        <v>24.38</v>
      </c>
      <c r="AT19" t="s">
        <v>173</v>
      </c>
      <c r="AU19">
        <v>3.5000000000000003E-2</v>
      </c>
      <c r="AV19">
        <v>3.5000000000000003E-2</v>
      </c>
      <c r="AW19" t="s">
        <v>171</v>
      </c>
      <c r="AX19" t="s">
        <v>174</v>
      </c>
      <c r="AY19" t="s">
        <v>171</v>
      </c>
      <c r="AZ19" t="s">
        <v>171</v>
      </c>
      <c r="BA19" t="s">
        <v>171</v>
      </c>
      <c r="BB19" t="s">
        <v>171</v>
      </c>
      <c r="BC19" t="s">
        <v>171</v>
      </c>
      <c r="BD19" t="s">
        <v>171</v>
      </c>
      <c r="BE19" t="s">
        <v>171</v>
      </c>
      <c r="BF19" t="s">
        <v>171</v>
      </c>
      <c r="BG19" t="s">
        <v>175</v>
      </c>
      <c r="BH19" t="s">
        <v>176</v>
      </c>
      <c r="BI19" t="s">
        <v>177</v>
      </c>
      <c r="BJ19" s="142">
        <v>2</v>
      </c>
      <c r="BK19" t="s">
        <v>178</v>
      </c>
      <c r="BL19" t="s">
        <v>179</v>
      </c>
      <c r="BM19" t="s">
        <v>180</v>
      </c>
      <c r="BN19" t="s">
        <v>171</v>
      </c>
      <c r="BO19" s="142">
        <v>2</v>
      </c>
      <c r="BP19" s="144" t="s">
        <v>171</v>
      </c>
      <c r="BQ19" s="145">
        <v>21.51</v>
      </c>
      <c r="BR19" t="s">
        <v>181</v>
      </c>
      <c r="BS19" s="149">
        <v>0.14000000000000001</v>
      </c>
      <c r="BT19">
        <v>0.64</v>
      </c>
      <c r="BU19" t="s">
        <v>182</v>
      </c>
      <c r="BV19">
        <v>3.4000000000000002E-2</v>
      </c>
      <c r="BW19">
        <v>9.1</v>
      </c>
      <c r="BX19" t="s">
        <v>173</v>
      </c>
      <c r="BY19">
        <v>0.56000000000000005</v>
      </c>
      <c r="BZ19" t="s">
        <v>183</v>
      </c>
      <c r="CA19" t="s">
        <v>184</v>
      </c>
      <c r="CB19" s="148">
        <f t="shared" si="6"/>
        <v>21.06666666666667</v>
      </c>
      <c r="CC19" s="144" t="s">
        <v>185</v>
      </c>
      <c r="CD19" s="144" t="s">
        <v>171</v>
      </c>
      <c r="CE19" s="144" t="s">
        <v>171</v>
      </c>
      <c r="CF19" t="s">
        <v>186</v>
      </c>
      <c r="CG19" s="144">
        <v>10</v>
      </c>
      <c r="CH19" s="144" t="s">
        <v>187</v>
      </c>
      <c r="CI19" s="144" t="s">
        <v>171</v>
      </c>
      <c r="CJ19" s="147">
        <v>26.15</v>
      </c>
      <c r="CK19" t="s">
        <v>173</v>
      </c>
      <c r="CL19">
        <v>3</v>
      </c>
      <c r="CM19">
        <v>3</v>
      </c>
      <c r="CN19" t="s">
        <v>171</v>
      </c>
      <c r="CO19" s="149">
        <v>3.819</v>
      </c>
      <c r="CP19" t="s">
        <v>188</v>
      </c>
      <c r="CQ19" s="149">
        <v>0.15276000000000001</v>
      </c>
      <c r="CR19" s="149">
        <v>0.15276000000000001</v>
      </c>
      <c r="CS19" s="150" t="s">
        <v>171</v>
      </c>
      <c r="CT19" t="s">
        <v>189</v>
      </c>
      <c r="CU19" t="s">
        <v>171</v>
      </c>
      <c r="CV19" t="s">
        <v>190</v>
      </c>
      <c r="CW19" t="s">
        <v>191</v>
      </c>
      <c r="CX19" t="s">
        <v>191</v>
      </c>
      <c r="CY19" t="s">
        <v>191</v>
      </c>
      <c r="CZ19" t="s">
        <v>171</v>
      </c>
      <c r="DA19" t="s">
        <v>171</v>
      </c>
      <c r="DB19" t="s">
        <v>171</v>
      </c>
      <c r="DC19" t="s">
        <v>171</v>
      </c>
      <c r="DD19" t="s">
        <v>171</v>
      </c>
      <c r="DE19" t="s">
        <v>171</v>
      </c>
      <c r="DF19" t="s">
        <v>171</v>
      </c>
      <c r="DG19">
        <v>35</v>
      </c>
      <c r="DH19" t="s">
        <v>185</v>
      </c>
      <c r="DI19" s="142">
        <v>3</v>
      </c>
      <c r="DJ19" s="144" t="s">
        <v>192</v>
      </c>
      <c r="DK19" s="144" t="s">
        <v>171</v>
      </c>
      <c r="DL19" s="144" t="s">
        <v>171</v>
      </c>
      <c r="DM19" s="144" t="s">
        <v>171</v>
      </c>
      <c r="DN19" s="144" t="s">
        <v>171</v>
      </c>
      <c r="DO19" s="144" t="s">
        <v>171</v>
      </c>
      <c r="DP19" s="144" t="s">
        <v>171</v>
      </c>
      <c r="DQ19" s="144" t="s">
        <v>171</v>
      </c>
      <c r="DR19" s="144" t="s">
        <v>171</v>
      </c>
      <c r="DS19" s="144" t="s">
        <v>171</v>
      </c>
      <c r="DT19" s="144" t="s">
        <v>171</v>
      </c>
      <c r="DU19" s="144" t="s">
        <v>171</v>
      </c>
      <c r="DV19" s="144" t="s">
        <v>171</v>
      </c>
      <c r="DW19" s="147">
        <v>432.56244218316402</v>
      </c>
      <c r="DX19" t="s">
        <v>193</v>
      </c>
      <c r="DY19">
        <v>37.1</v>
      </c>
      <c r="DZ19" t="s">
        <v>194</v>
      </c>
      <c r="EA19">
        <v>39.61</v>
      </c>
      <c r="EB19" t="s">
        <v>185</v>
      </c>
      <c r="EC19" s="149">
        <f t="shared" si="1"/>
        <v>0.102438</v>
      </c>
      <c r="ED19" t="s">
        <v>195</v>
      </c>
      <c r="EE19" t="s">
        <v>196</v>
      </c>
      <c r="EF19" t="s">
        <v>197</v>
      </c>
      <c r="EG19">
        <v>1.0271999999999999</v>
      </c>
      <c r="EH19" t="s">
        <v>171</v>
      </c>
      <c r="EI19" t="s">
        <v>171</v>
      </c>
      <c r="EJ19" t="s">
        <v>198</v>
      </c>
      <c r="EK19" t="s">
        <v>191</v>
      </c>
      <c r="EL19" t="s">
        <v>191</v>
      </c>
      <c r="EM19" t="s">
        <v>199</v>
      </c>
      <c r="EN19" t="s">
        <v>200</v>
      </c>
      <c r="EO19" s="151" t="s">
        <v>201</v>
      </c>
      <c r="EP19" s="151" t="s">
        <v>201</v>
      </c>
      <c r="EQ19" s="144" t="s">
        <v>171</v>
      </c>
      <c r="ER19" s="144" t="s">
        <v>171</v>
      </c>
      <c r="ES19" s="144" t="s">
        <v>171</v>
      </c>
      <c r="ET19" t="s">
        <v>202</v>
      </c>
      <c r="EU19" t="s">
        <v>203</v>
      </c>
      <c r="EV19" t="s">
        <v>171</v>
      </c>
      <c r="EW19">
        <v>2345</v>
      </c>
      <c r="EX19" s="151" t="s">
        <v>204</v>
      </c>
      <c r="EY19" s="151">
        <v>175</v>
      </c>
      <c r="EZ19">
        <v>175</v>
      </c>
      <c r="FA19" t="s">
        <v>171</v>
      </c>
      <c r="FB19" t="s">
        <v>171</v>
      </c>
      <c r="FC19" t="s">
        <v>171</v>
      </c>
      <c r="FD19" t="s">
        <v>171</v>
      </c>
      <c r="FE19" s="152">
        <v>8.2738869101913508</v>
      </c>
      <c r="FF19" t="s">
        <v>205</v>
      </c>
      <c r="FG19" s="144" t="s">
        <v>171</v>
      </c>
      <c r="FH19" s="144" t="s">
        <v>171</v>
      </c>
      <c r="FI19" s="153">
        <v>200.59555905589201</v>
      </c>
      <c r="FJ19">
        <v>21</v>
      </c>
      <c r="FK19" t="s">
        <v>207</v>
      </c>
      <c r="FL19" s="153">
        <v>179.59555905589201</v>
      </c>
      <c r="FM19" s="153">
        <v>32.575978597909</v>
      </c>
      <c r="FN19" s="153">
        <v>30.356137318982007</v>
      </c>
      <c r="FO19" t="s">
        <v>186</v>
      </c>
      <c r="FP19" t="s">
        <v>208</v>
      </c>
      <c r="FQ19" t="s">
        <v>171</v>
      </c>
      <c r="FR19" t="s">
        <v>171</v>
      </c>
      <c r="FS19" t="s">
        <v>171</v>
      </c>
      <c r="FT19" t="s">
        <v>171</v>
      </c>
      <c r="FU19" t="s">
        <v>171</v>
      </c>
      <c r="FV19" t="s">
        <v>171</v>
      </c>
      <c r="FW19" t="s">
        <v>171</v>
      </c>
      <c r="FX19" t="s">
        <v>171</v>
      </c>
      <c r="FY19" t="s">
        <v>171</v>
      </c>
      <c r="FZ19" t="s">
        <v>171</v>
      </c>
      <c r="GA19" t="s">
        <v>171</v>
      </c>
      <c r="GB19" t="s">
        <v>171</v>
      </c>
    </row>
    <row r="20" spans="1:184" ht="16" x14ac:dyDescent="0.2">
      <c r="A20" t="s">
        <v>217</v>
      </c>
      <c r="B20" s="143" t="s">
        <v>216</v>
      </c>
      <c r="C20" s="138" t="s">
        <v>212</v>
      </c>
      <c r="D20" t="s">
        <v>211</v>
      </c>
      <c r="E20">
        <v>2017</v>
      </c>
      <c r="F20" t="str">
        <f t="shared" si="7"/>
        <v>10.1073/pnas.1702143114</v>
      </c>
      <c r="G20" s="147">
        <f t="shared" si="8"/>
        <v>25.51</v>
      </c>
      <c r="H20">
        <f t="shared" si="2"/>
        <v>3.5000000000000003E-2</v>
      </c>
      <c r="I20">
        <f t="shared" si="3"/>
        <v>3.5000000000000003E-2</v>
      </c>
      <c r="J20" s="153">
        <f t="shared" si="9"/>
        <v>170.823056012498</v>
      </c>
      <c r="K20" s="153">
        <f t="shared" si="10"/>
        <v>36.935389382691</v>
      </c>
      <c r="L20" s="153">
        <f t="shared" si="11"/>
        <v>32.388116416343991</v>
      </c>
      <c r="M20" t="b">
        <v>1</v>
      </c>
      <c r="N20">
        <v>3</v>
      </c>
      <c r="O20" s="144" t="s">
        <v>228</v>
      </c>
      <c r="P20" s="144" t="s">
        <v>229</v>
      </c>
      <c r="Q20" t="b">
        <v>0</v>
      </c>
      <c r="R20" t="s">
        <v>215</v>
      </c>
      <c r="S20" t="b">
        <v>1</v>
      </c>
      <c r="T20" t="b">
        <v>0</v>
      </c>
      <c r="U20" t="s">
        <v>171</v>
      </c>
      <c r="V20" t="s">
        <v>171</v>
      </c>
      <c r="W20" t="b">
        <v>0</v>
      </c>
      <c r="X20" t="s">
        <v>171</v>
      </c>
      <c r="Y20" s="139" t="s">
        <v>167</v>
      </c>
      <c r="Z20" s="143" t="s">
        <v>168</v>
      </c>
      <c r="AA20" t="s">
        <v>169</v>
      </c>
      <c r="AB20" t="s">
        <v>170</v>
      </c>
      <c r="AC20" s="144">
        <v>1</v>
      </c>
      <c r="AD20" s="144">
        <v>1</v>
      </c>
      <c r="AE20" s="144">
        <v>120</v>
      </c>
      <c r="AF20" s="144">
        <v>122</v>
      </c>
      <c r="AG20" s="145">
        <v>1.2</v>
      </c>
      <c r="AH20" s="145">
        <v>1.2</v>
      </c>
      <c r="AI20" t="s">
        <v>171</v>
      </c>
      <c r="AJ20" t="s">
        <v>172</v>
      </c>
      <c r="AK20" s="146">
        <v>12.74</v>
      </c>
      <c r="AL20" s="146">
        <v>-78.739999999999995</v>
      </c>
      <c r="AM20" t="s">
        <v>171</v>
      </c>
      <c r="AN20" t="s">
        <v>171</v>
      </c>
      <c r="AO20">
        <v>-2839</v>
      </c>
      <c r="AP20" t="s">
        <v>171</v>
      </c>
      <c r="AQ20" t="s">
        <v>171</v>
      </c>
      <c r="AR20" t="s">
        <v>171</v>
      </c>
      <c r="AS20" s="147">
        <v>25.51</v>
      </c>
      <c r="AT20" t="s">
        <v>173</v>
      </c>
      <c r="AU20">
        <v>3.5000000000000003E-2</v>
      </c>
      <c r="AV20">
        <v>3.5000000000000003E-2</v>
      </c>
      <c r="AW20" t="s">
        <v>171</v>
      </c>
      <c r="AX20" t="s">
        <v>174</v>
      </c>
      <c r="AY20" t="s">
        <v>171</v>
      </c>
      <c r="AZ20" t="s">
        <v>171</v>
      </c>
      <c r="BA20" t="s">
        <v>171</v>
      </c>
      <c r="BB20" t="s">
        <v>171</v>
      </c>
      <c r="BC20" t="s">
        <v>171</v>
      </c>
      <c r="BD20" t="s">
        <v>171</v>
      </c>
      <c r="BE20" t="s">
        <v>171</v>
      </c>
      <c r="BF20" t="s">
        <v>171</v>
      </c>
      <c r="BG20" t="s">
        <v>175</v>
      </c>
      <c r="BH20" t="s">
        <v>176</v>
      </c>
      <c r="BI20" t="s">
        <v>177</v>
      </c>
      <c r="BJ20" s="142">
        <v>2</v>
      </c>
      <c r="BK20" t="s">
        <v>178</v>
      </c>
      <c r="BL20" t="s">
        <v>179</v>
      </c>
      <c r="BM20" t="s">
        <v>180</v>
      </c>
      <c r="BN20" t="s">
        <v>171</v>
      </c>
      <c r="BO20" s="142">
        <v>2</v>
      </c>
      <c r="BP20" s="144" t="s">
        <v>171</v>
      </c>
      <c r="BQ20" s="145">
        <v>21.62</v>
      </c>
      <c r="BR20" t="s">
        <v>181</v>
      </c>
      <c r="BS20" s="149">
        <v>0.24</v>
      </c>
      <c r="BT20">
        <v>0.64</v>
      </c>
      <c r="BU20" t="s">
        <v>182</v>
      </c>
      <c r="BV20">
        <v>3.4000000000000002E-2</v>
      </c>
      <c r="BW20">
        <v>9.1</v>
      </c>
      <c r="BX20" t="s">
        <v>173</v>
      </c>
      <c r="BY20">
        <v>0.56000000000000005</v>
      </c>
      <c r="BZ20" t="s">
        <v>183</v>
      </c>
      <c r="CA20" t="s">
        <v>184</v>
      </c>
      <c r="CB20" s="148">
        <f t="shared" si="6"/>
        <v>21.250000000000004</v>
      </c>
      <c r="CC20" s="144" t="s">
        <v>185</v>
      </c>
      <c r="CD20" s="144" t="s">
        <v>171</v>
      </c>
      <c r="CE20" s="144" t="s">
        <v>171</v>
      </c>
      <c r="CF20" t="s">
        <v>186</v>
      </c>
      <c r="CG20" s="144">
        <v>10</v>
      </c>
      <c r="CH20" s="144" t="s">
        <v>187</v>
      </c>
      <c r="CI20" s="144" t="s">
        <v>171</v>
      </c>
      <c r="CJ20" s="147">
        <v>26.05</v>
      </c>
      <c r="CK20" t="s">
        <v>173</v>
      </c>
      <c r="CL20">
        <v>3</v>
      </c>
      <c r="CM20">
        <v>3</v>
      </c>
      <c r="CN20" t="s">
        <v>171</v>
      </c>
      <c r="CO20" s="149">
        <v>3.7120000000000002</v>
      </c>
      <c r="CP20" t="s">
        <v>188</v>
      </c>
      <c r="CQ20" s="149">
        <v>0.14848</v>
      </c>
      <c r="CR20" s="149">
        <v>0.14848</v>
      </c>
      <c r="CS20" s="150" t="s">
        <v>171</v>
      </c>
      <c r="CT20" t="s">
        <v>189</v>
      </c>
      <c r="CU20" t="s">
        <v>171</v>
      </c>
      <c r="CV20" t="s">
        <v>190</v>
      </c>
      <c r="CW20" t="s">
        <v>191</v>
      </c>
      <c r="CX20" t="s">
        <v>191</v>
      </c>
      <c r="CY20" t="s">
        <v>191</v>
      </c>
      <c r="CZ20" t="s">
        <v>171</v>
      </c>
      <c r="DA20" t="s">
        <v>171</v>
      </c>
      <c r="DB20" t="s">
        <v>171</v>
      </c>
      <c r="DC20" t="s">
        <v>171</v>
      </c>
      <c r="DD20" t="s">
        <v>171</v>
      </c>
      <c r="DE20" t="s">
        <v>171</v>
      </c>
      <c r="DF20" t="s">
        <v>171</v>
      </c>
      <c r="DG20">
        <v>35</v>
      </c>
      <c r="DH20" t="s">
        <v>185</v>
      </c>
      <c r="DI20" s="142">
        <v>3</v>
      </c>
      <c r="DJ20" s="144" t="s">
        <v>192</v>
      </c>
      <c r="DK20" s="144" t="s">
        <v>171</v>
      </c>
      <c r="DL20" s="144" t="s">
        <v>171</v>
      </c>
      <c r="DM20" s="144" t="s">
        <v>171</v>
      </c>
      <c r="DN20" s="144" t="s">
        <v>171</v>
      </c>
      <c r="DO20" s="144" t="s">
        <v>171</v>
      </c>
      <c r="DP20" s="144" t="s">
        <v>171</v>
      </c>
      <c r="DQ20" s="144" t="s">
        <v>171</v>
      </c>
      <c r="DR20" s="144" t="s">
        <v>171</v>
      </c>
      <c r="DS20" s="144" t="s">
        <v>171</v>
      </c>
      <c r="DT20" s="144" t="s">
        <v>171</v>
      </c>
      <c r="DU20" s="144" t="s">
        <v>171</v>
      </c>
      <c r="DV20" s="144" t="s">
        <v>171</v>
      </c>
      <c r="DW20" s="147">
        <v>432.56244218316402</v>
      </c>
      <c r="DX20" t="s">
        <v>193</v>
      </c>
      <c r="DY20">
        <v>37.1</v>
      </c>
      <c r="DZ20" t="s">
        <v>194</v>
      </c>
      <c r="EA20">
        <v>39.61</v>
      </c>
      <c r="EB20" t="s">
        <v>185</v>
      </c>
      <c r="EC20" s="149">
        <f t="shared" si="1"/>
        <v>0.102551</v>
      </c>
      <c r="ED20" t="s">
        <v>195</v>
      </c>
      <c r="EE20" t="s">
        <v>196</v>
      </c>
      <c r="EF20" t="s">
        <v>197</v>
      </c>
      <c r="EG20">
        <v>1.0271999999999999</v>
      </c>
      <c r="EH20" t="s">
        <v>171</v>
      </c>
      <c r="EI20" t="s">
        <v>171</v>
      </c>
      <c r="EJ20" t="s">
        <v>198</v>
      </c>
      <c r="EK20" t="s">
        <v>191</v>
      </c>
      <c r="EL20" t="s">
        <v>191</v>
      </c>
      <c r="EM20" t="s">
        <v>199</v>
      </c>
      <c r="EN20" t="s">
        <v>200</v>
      </c>
      <c r="EO20" s="151" t="s">
        <v>201</v>
      </c>
      <c r="EP20" s="151" t="s">
        <v>201</v>
      </c>
      <c r="EQ20" s="144" t="s">
        <v>171</v>
      </c>
      <c r="ER20" s="144" t="s">
        <v>171</v>
      </c>
      <c r="ES20" s="144" t="s">
        <v>171</v>
      </c>
      <c r="ET20" t="s">
        <v>202</v>
      </c>
      <c r="EU20" t="s">
        <v>203</v>
      </c>
      <c r="EV20" t="s">
        <v>171</v>
      </c>
      <c r="EW20">
        <v>2346</v>
      </c>
      <c r="EX20" s="151" t="s">
        <v>204</v>
      </c>
      <c r="EY20" s="151">
        <v>175</v>
      </c>
      <c r="EZ20">
        <v>175</v>
      </c>
      <c r="FA20" t="s">
        <v>171</v>
      </c>
      <c r="FB20" t="s">
        <v>171</v>
      </c>
      <c r="FC20" t="s">
        <v>171</v>
      </c>
      <c r="FD20" t="s">
        <v>171</v>
      </c>
      <c r="FE20" s="152">
        <v>8.2888475795376895</v>
      </c>
      <c r="FF20" t="s">
        <v>205</v>
      </c>
      <c r="FG20" s="144" t="s">
        <v>171</v>
      </c>
      <c r="FH20" s="144" t="s">
        <v>171</v>
      </c>
      <c r="FI20" s="153">
        <v>191.823056012498</v>
      </c>
      <c r="FJ20">
        <v>21</v>
      </c>
      <c r="FK20" t="s">
        <v>207</v>
      </c>
      <c r="FL20" s="153">
        <v>170.823056012498</v>
      </c>
      <c r="FM20" s="153">
        <v>36.935389382691</v>
      </c>
      <c r="FN20" s="153">
        <v>32.388116416343991</v>
      </c>
      <c r="FO20" t="s">
        <v>186</v>
      </c>
      <c r="FP20" t="s">
        <v>208</v>
      </c>
      <c r="FQ20" t="s">
        <v>171</v>
      </c>
      <c r="FR20" t="s">
        <v>171</v>
      </c>
      <c r="FS20" t="s">
        <v>171</v>
      </c>
      <c r="FT20" t="s">
        <v>171</v>
      </c>
      <c r="FU20" t="s">
        <v>171</v>
      </c>
      <c r="FV20" t="s">
        <v>171</v>
      </c>
      <c r="FW20" t="s">
        <v>171</v>
      </c>
      <c r="FX20" t="s">
        <v>171</v>
      </c>
      <c r="FY20" t="s">
        <v>171</v>
      </c>
      <c r="FZ20" t="s">
        <v>171</v>
      </c>
      <c r="GA20" t="s">
        <v>171</v>
      </c>
      <c r="GB20" t="s">
        <v>171</v>
      </c>
    </row>
    <row r="21" spans="1:184" ht="16" x14ac:dyDescent="0.2">
      <c r="A21" t="s">
        <v>217</v>
      </c>
      <c r="B21" s="143" t="s">
        <v>216</v>
      </c>
      <c r="C21" s="138" t="s">
        <v>212</v>
      </c>
      <c r="D21" t="s">
        <v>211</v>
      </c>
      <c r="E21">
        <v>2017</v>
      </c>
      <c r="F21" t="str">
        <f t="shared" si="7"/>
        <v>10.1073/pnas.1702143114</v>
      </c>
      <c r="G21" s="147">
        <f t="shared" si="8"/>
        <v>25.51</v>
      </c>
      <c r="H21">
        <f t="shared" si="2"/>
        <v>3.5000000000000003E-2</v>
      </c>
      <c r="I21">
        <f t="shared" si="3"/>
        <v>3.5000000000000003E-2</v>
      </c>
      <c r="J21" s="153">
        <f t="shared" si="9"/>
        <v>165.81119956925201</v>
      </c>
      <c r="K21" s="153">
        <f t="shared" si="10"/>
        <v>32.282159129169003</v>
      </c>
      <c r="L21" s="153">
        <f t="shared" si="11"/>
        <v>28.98503209772602</v>
      </c>
      <c r="M21" t="b">
        <v>1</v>
      </c>
      <c r="N21">
        <v>3</v>
      </c>
      <c r="O21" s="144" t="s">
        <v>228</v>
      </c>
      <c r="P21" s="144" t="s">
        <v>229</v>
      </c>
      <c r="Q21" t="b">
        <v>0</v>
      </c>
      <c r="R21" t="s">
        <v>215</v>
      </c>
      <c r="S21" t="b">
        <v>1</v>
      </c>
      <c r="T21" t="b">
        <v>0</v>
      </c>
      <c r="U21" t="s">
        <v>171</v>
      </c>
      <c r="V21" t="s">
        <v>171</v>
      </c>
      <c r="W21" t="b">
        <v>0</v>
      </c>
      <c r="X21" t="s">
        <v>171</v>
      </c>
      <c r="Y21" s="139" t="s">
        <v>167</v>
      </c>
      <c r="Z21" s="143" t="s">
        <v>168</v>
      </c>
      <c r="AA21" t="s">
        <v>169</v>
      </c>
      <c r="AB21" t="s">
        <v>170</v>
      </c>
      <c r="AC21" s="144">
        <v>1</v>
      </c>
      <c r="AD21" s="144">
        <v>1</v>
      </c>
      <c r="AE21" s="144">
        <v>120</v>
      </c>
      <c r="AF21" s="144">
        <v>122</v>
      </c>
      <c r="AG21" s="145">
        <v>1.2</v>
      </c>
      <c r="AH21" s="145">
        <v>1.2</v>
      </c>
      <c r="AI21" t="s">
        <v>171</v>
      </c>
      <c r="AJ21" t="s">
        <v>172</v>
      </c>
      <c r="AK21" s="146">
        <v>12.74</v>
      </c>
      <c r="AL21" s="146">
        <v>-78.739999999999995</v>
      </c>
      <c r="AM21" t="s">
        <v>171</v>
      </c>
      <c r="AN21" t="s">
        <v>171</v>
      </c>
      <c r="AO21">
        <v>-2839</v>
      </c>
      <c r="AP21" t="s">
        <v>171</v>
      </c>
      <c r="AQ21" t="s">
        <v>171</v>
      </c>
      <c r="AR21" t="s">
        <v>171</v>
      </c>
      <c r="AS21" s="147">
        <v>25.51</v>
      </c>
      <c r="AT21" t="s">
        <v>173</v>
      </c>
      <c r="AU21">
        <v>3.5000000000000003E-2</v>
      </c>
      <c r="AV21">
        <v>3.5000000000000003E-2</v>
      </c>
      <c r="AW21" t="s">
        <v>171</v>
      </c>
      <c r="AX21" t="s">
        <v>174</v>
      </c>
      <c r="AY21" t="s">
        <v>171</v>
      </c>
      <c r="AZ21" t="s">
        <v>171</v>
      </c>
      <c r="BA21" t="s">
        <v>171</v>
      </c>
      <c r="BB21" t="s">
        <v>171</v>
      </c>
      <c r="BC21" t="s">
        <v>171</v>
      </c>
      <c r="BD21" t="s">
        <v>171</v>
      </c>
      <c r="BE21" t="s">
        <v>171</v>
      </c>
      <c r="BF21" t="s">
        <v>171</v>
      </c>
      <c r="BG21" t="s">
        <v>175</v>
      </c>
      <c r="BH21" t="s">
        <v>176</v>
      </c>
      <c r="BI21" t="s">
        <v>177</v>
      </c>
      <c r="BJ21" s="142">
        <v>2</v>
      </c>
      <c r="BK21" t="s">
        <v>178</v>
      </c>
      <c r="BL21" t="s">
        <v>179</v>
      </c>
      <c r="BM21" t="s">
        <v>180</v>
      </c>
      <c r="BN21" t="s">
        <v>171</v>
      </c>
      <c r="BO21" s="142">
        <v>2</v>
      </c>
      <c r="BP21" s="144" t="s">
        <v>171</v>
      </c>
      <c r="BQ21" s="145">
        <v>21.69</v>
      </c>
      <c r="BR21" t="s">
        <v>181</v>
      </c>
      <c r="BS21" s="149">
        <v>0.16</v>
      </c>
      <c r="BT21">
        <v>0.64</v>
      </c>
      <c r="BU21" t="s">
        <v>182</v>
      </c>
      <c r="BV21">
        <v>3.4000000000000002E-2</v>
      </c>
      <c r="BW21">
        <v>9.1</v>
      </c>
      <c r="BX21" t="s">
        <v>173</v>
      </c>
      <c r="BY21">
        <v>0.56000000000000005</v>
      </c>
      <c r="BZ21" t="s">
        <v>183</v>
      </c>
      <c r="CA21" t="s">
        <v>184</v>
      </c>
      <c r="CB21" s="148">
        <f t="shared" si="6"/>
        <v>21.366666666666671</v>
      </c>
      <c r="CC21" s="144" t="s">
        <v>185</v>
      </c>
      <c r="CD21" s="144" t="s">
        <v>171</v>
      </c>
      <c r="CE21" s="144" t="s">
        <v>171</v>
      </c>
      <c r="CF21" t="s">
        <v>186</v>
      </c>
      <c r="CG21" s="144">
        <v>10</v>
      </c>
      <c r="CH21" s="144" t="s">
        <v>187</v>
      </c>
      <c r="CI21" s="144" t="s">
        <v>171</v>
      </c>
      <c r="CJ21" s="147">
        <v>26.05</v>
      </c>
      <c r="CK21" t="s">
        <v>173</v>
      </c>
      <c r="CL21">
        <v>3</v>
      </c>
      <c r="CM21">
        <v>3</v>
      </c>
      <c r="CN21" t="s">
        <v>171</v>
      </c>
      <c r="CO21" s="149">
        <v>3.5369999999999999</v>
      </c>
      <c r="CP21" t="s">
        <v>188</v>
      </c>
      <c r="CQ21" s="149">
        <v>0.14147999999999999</v>
      </c>
      <c r="CR21" s="149">
        <v>0.14147999999999999</v>
      </c>
      <c r="CS21" s="150" t="s">
        <v>171</v>
      </c>
      <c r="CT21" t="s">
        <v>189</v>
      </c>
      <c r="CU21" t="s">
        <v>171</v>
      </c>
      <c r="CV21" t="s">
        <v>190</v>
      </c>
      <c r="CW21" t="s">
        <v>191</v>
      </c>
      <c r="CX21" t="s">
        <v>191</v>
      </c>
      <c r="CY21" t="s">
        <v>191</v>
      </c>
      <c r="CZ21" t="s">
        <v>171</v>
      </c>
      <c r="DA21" t="s">
        <v>171</v>
      </c>
      <c r="DB21" t="s">
        <v>171</v>
      </c>
      <c r="DC21" t="s">
        <v>171</v>
      </c>
      <c r="DD21" t="s">
        <v>171</v>
      </c>
      <c r="DE21" t="s">
        <v>171</v>
      </c>
      <c r="DF21" t="s">
        <v>171</v>
      </c>
      <c r="DG21">
        <v>35</v>
      </c>
      <c r="DH21" t="s">
        <v>185</v>
      </c>
      <c r="DI21" s="142">
        <v>3</v>
      </c>
      <c r="DJ21" s="144" t="s">
        <v>192</v>
      </c>
      <c r="DK21" s="144" t="s">
        <v>171</v>
      </c>
      <c r="DL21" s="144" t="s">
        <v>171</v>
      </c>
      <c r="DM21" s="144" t="s">
        <v>171</v>
      </c>
      <c r="DN21" s="144" t="s">
        <v>171</v>
      </c>
      <c r="DO21" s="144" t="s">
        <v>171</v>
      </c>
      <c r="DP21" s="144" t="s">
        <v>171</v>
      </c>
      <c r="DQ21" s="144" t="s">
        <v>171</v>
      </c>
      <c r="DR21" s="144" t="s">
        <v>171</v>
      </c>
      <c r="DS21" s="144" t="s">
        <v>171</v>
      </c>
      <c r="DT21" s="144" t="s">
        <v>171</v>
      </c>
      <c r="DU21" s="144" t="s">
        <v>171</v>
      </c>
      <c r="DV21" s="144" t="s">
        <v>171</v>
      </c>
      <c r="DW21" s="147">
        <v>432.56244218316402</v>
      </c>
      <c r="DX21" t="s">
        <v>193</v>
      </c>
      <c r="DY21">
        <v>37.1</v>
      </c>
      <c r="DZ21" t="s">
        <v>194</v>
      </c>
      <c r="EA21">
        <v>39.61</v>
      </c>
      <c r="EB21" t="s">
        <v>185</v>
      </c>
      <c r="EC21" s="149">
        <f t="shared" si="1"/>
        <v>0.102551</v>
      </c>
      <c r="ED21" t="s">
        <v>195</v>
      </c>
      <c r="EE21" t="s">
        <v>196</v>
      </c>
      <c r="EF21" t="s">
        <v>197</v>
      </c>
      <c r="EG21">
        <v>1.0271999999999999</v>
      </c>
      <c r="EH21" t="s">
        <v>171</v>
      </c>
      <c r="EI21" t="s">
        <v>171</v>
      </c>
      <c r="EJ21" t="s">
        <v>198</v>
      </c>
      <c r="EK21" t="s">
        <v>191</v>
      </c>
      <c r="EL21" t="s">
        <v>191</v>
      </c>
      <c r="EM21" t="s">
        <v>199</v>
      </c>
      <c r="EN21" t="s">
        <v>200</v>
      </c>
      <c r="EO21" s="151" t="s">
        <v>201</v>
      </c>
      <c r="EP21" s="151" t="s">
        <v>201</v>
      </c>
      <c r="EQ21" s="144" t="s">
        <v>171</v>
      </c>
      <c r="ER21" s="144" t="s">
        <v>171</v>
      </c>
      <c r="ES21" s="144" t="s">
        <v>171</v>
      </c>
      <c r="ET21" t="s">
        <v>202</v>
      </c>
      <c r="EU21" t="s">
        <v>203</v>
      </c>
      <c r="EV21" t="s">
        <v>171</v>
      </c>
      <c r="EW21">
        <v>2347</v>
      </c>
      <c r="EX21" s="151" t="s">
        <v>204</v>
      </c>
      <c r="EY21" s="151">
        <v>175</v>
      </c>
      <c r="EZ21">
        <v>175</v>
      </c>
      <c r="FA21" t="s">
        <v>171</v>
      </c>
      <c r="FB21" t="s">
        <v>171</v>
      </c>
      <c r="FC21" t="s">
        <v>171</v>
      </c>
      <c r="FD21" t="s">
        <v>171</v>
      </c>
      <c r="FE21" s="152">
        <v>8.2969633351569705</v>
      </c>
      <c r="FF21" t="s">
        <v>205</v>
      </c>
      <c r="FG21" s="144" t="s">
        <v>171</v>
      </c>
      <c r="FH21" s="144" t="s">
        <v>171</v>
      </c>
      <c r="FI21" s="153">
        <v>186.81119956925201</v>
      </c>
      <c r="FJ21">
        <v>21</v>
      </c>
      <c r="FK21" t="s">
        <v>207</v>
      </c>
      <c r="FL21" s="153">
        <v>165.81119956925201</v>
      </c>
      <c r="FM21" s="153">
        <v>32.282159129169003</v>
      </c>
      <c r="FN21" s="153">
        <v>28.98503209772602</v>
      </c>
      <c r="FO21" t="s">
        <v>186</v>
      </c>
      <c r="FP21" t="s">
        <v>208</v>
      </c>
      <c r="FQ21" t="s">
        <v>171</v>
      </c>
      <c r="FR21" t="s">
        <v>171</v>
      </c>
      <c r="FS21" t="s">
        <v>171</v>
      </c>
      <c r="FT21" t="s">
        <v>171</v>
      </c>
      <c r="FU21" t="s">
        <v>171</v>
      </c>
      <c r="FV21" t="s">
        <v>171</v>
      </c>
      <c r="FW21" t="s">
        <v>171</v>
      </c>
      <c r="FX21" t="s">
        <v>171</v>
      </c>
      <c r="FY21" t="s">
        <v>171</v>
      </c>
      <c r="FZ21" t="s">
        <v>171</v>
      </c>
      <c r="GA21" t="s">
        <v>171</v>
      </c>
      <c r="GB21" t="s">
        <v>171</v>
      </c>
    </row>
    <row r="22" spans="1:184" ht="16" x14ac:dyDescent="0.2">
      <c r="A22" t="s">
        <v>217</v>
      </c>
      <c r="B22" s="143" t="s">
        <v>216</v>
      </c>
      <c r="C22" s="138" t="s">
        <v>212</v>
      </c>
      <c r="D22" t="s">
        <v>211</v>
      </c>
      <c r="E22">
        <v>2017</v>
      </c>
      <c r="F22" t="str">
        <f t="shared" si="7"/>
        <v>10.1073/pnas.1702143114</v>
      </c>
      <c r="G22" s="147">
        <f t="shared" si="8"/>
        <v>35.82</v>
      </c>
      <c r="H22">
        <f t="shared" si="2"/>
        <v>3.5000000000000003E-2</v>
      </c>
      <c r="I22">
        <f t="shared" si="3"/>
        <v>3.5000000000000003E-2</v>
      </c>
      <c r="J22" s="153">
        <f t="shared" si="9"/>
        <v>213.11642408947</v>
      </c>
      <c r="K22" s="153">
        <f t="shared" si="10"/>
        <v>38.187843752931002</v>
      </c>
      <c r="L22" s="153">
        <f t="shared" si="11"/>
        <v>35.116162042914993</v>
      </c>
      <c r="M22" t="b">
        <v>1</v>
      </c>
      <c r="N22">
        <v>3</v>
      </c>
      <c r="O22" s="144" t="s">
        <v>228</v>
      </c>
      <c r="P22" s="144" t="s">
        <v>229</v>
      </c>
      <c r="Q22" t="b">
        <v>0</v>
      </c>
      <c r="R22" t="s">
        <v>215</v>
      </c>
      <c r="S22" t="b">
        <v>1</v>
      </c>
      <c r="T22" t="b">
        <v>0</v>
      </c>
      <c r="U22" t="s">
        <v>171</v>
      </c>
      <c r="V22" t="s">
        <v>171</v>
      </c>
      <c r="W22" t="b">
        <v>0</v>
      </c>
      <c r="X22" t="s">
        <v>171</v>
      </c>
      <c r="Y22" s="139" t="s">
        <v>167</v>
      </c>
      <c r="Z22" s="143" t="s">
        <v>168</v>
      </c>
      <c r="AA22" t="s">
        <v>169</v>
      </c>
      <c r="AB22" t="s">
        <v>170</v>
      </c>
      <c r="AC22" s="144">
        <v>1</v>
      </c>
      <c r="AD22" s="144">
        <v>2</v>
      </c>
      <c r="AE22" s="144">
        <f>AF22-2</f>
        <v>20</v>
      </c>
      <c r="AF22" s="144">
        <v>22</v>
      </c>
      <c r="AG22" s="145">
        <v>1.72</v>
      </c>
      <c r="AH22" s="145">
        <v>1.72</v>
      </c>
      <c r="AI22" t="s">
        <v>171</v>
      </c>
      <c r="AJ22" t="s">
        <v>172</v>
      </c>
      <c r="AK22" s="146">
        <v>12.74</v>
      </c>
      <c r="AL22" s="146">
        <v>-78.739999999999995</v>
      </c>
      <c r="AM22" t="s">
        <v>171</v>
      </c>
      <c r="AN22" t="s">
        <v>171</v>
      </c>
      <c r="AO22">
        <v>-2839</v>
      </c>
      <c r="AP22" t="s">
        <v>171</v>
      </c>
      <c r="AQ22" t="s">
        <v>171</v>
      </c>
      <c r="AR22" t="s">
        <v>171</v>
      </c>
      <c r="AS22" s="147">
        <v>35.82</v>
      </c>
      <c r="AT22" t="s">
        <v>173</v>
      </c>
      <c r="AU22">
        <v>3.5000000000000003E-2</v>
      </c>
      <c r="AV22">
        <v>3.5000000000000003E-2</v>
      </c>
      <c r="AW22" t="s">
        <v>171</v>
      </c>
      <c r="AX22" t="s">
        <v>174</v>
      </c>
      <c r="AY22" t="s">
        <v>171</v>
      </c>
      <c r="AZ22" t="s">
        <v>171</v>
      </c>
      <c r="BA22" t="s">
        <v>171</v>
      </c>
      <c r="BB22" t="s">
        <v>171</v>
      </c>
      <c r="BC22" t="s">
        <v>171</v>
      </c>
      <c r="BD22" t="s">
        <v>171</v>
      </c>
      <c r="BE22" t="s">
        <v>171</v>
      </c>
      <c r="BF22" t="s">
        <v>171</v>
      </c>
      <c r="BG22" t="s">
        <v>175</v>
      </c>
      <c r="BH22" t="s">
        <v>176</v>
      </c>
      <c r="BI22" t="s">
        <v>177</v>
      </c>
      <c r="BJ22" s="142">
        <v>2</v>
      </c>
      <c r="BK22" t="s">
        <v>178</v>
      </c>
      <c r="BL22" t="s">
        <v>179</v>
      </c>
      <c r="BM22" t="s">
        <v>180</v>
      </c>
      <c r="BN22" t="s">
        <v>171</v>
      </c>
      <c r="BO22" s="142">
        <v>2</v>
      </c>
      <c r="BP22" s="144" t="s">
        <v>171</v>
      </c>
      <c r="BQ22" s="145">
        <v>21.12</v>
      </c>
      <c r="BR22" t="s">
        <v>181</v>
      </c>
      <c r="BS22" s="149">
        <v>0.18</v>
      </c>
      <c r="BT22">
        <v>0.64</v>
      </c>
      <c r="BU22" t="s">
        <v>182</v>
      </c>
      <c r="BV22">
        <v>3.4000000000000002E-2</v>
      </c>
      <c r="BW22">
        <v>9.1</v>
      </c>
      <c r="BX22" t="s">
        <v>173</v>
      </c>
      <c r="BY22">
        <v>0.56000000000000005</v>
      </c>
      <c r="BZ22" t="s">
        <v>183</v>
      </c>
      <c r="CA22" t="s">
        <v>184</v>
      </c>
      <c r="CB22" s="148">
        <f t="shared" si="6"/>
        <v>20.416666666666671</v>
      </c>
      <c r="CC22" s="144" t="s">
        <v>185</v>
      </c>
      <c r="CD22" s="144" t="s">
        <v>171</v>
      </c>
      <c r="CE22" s="144" t="s">
        <v>171</v>
      </c>
      <c r="CF22" t="s">
        <v>186</v>
      </c>
      <c r="CG22" s="144">
        <v>10</v>
      </c>
      <c r="CH22" s="144" t="s">
        <v>187</v>
      </c>
      <c r="CI22" s="144" t="s">
        <v>171</v>
      </c>
      <c r="CJ22" s="147">
        <v>26.31</v>
      </c>
      <c r="CK22" t="s">
        <v>173</v>
      </c>
      <c r="CL22">
        <v>3</v>
      </c>
      <c r="CM22">
        <v>3</v>
      </c>
      <c r="CN22" t="s">
        <v>171</v>
      </c>
      <c r="CO22" s="149">
        <v>3.3730000000000002</v>
      </c>
      <c r="CP22" t="s">
        <v>188</v>
      </c>
      <c r="CQ22" s="149">
        <v>0.13492000000000001</v>
      </c>
      <c r="CR22" s="149">
        <v>0.13492000000000001</v>
      </c>
      <c r="CS22" s="150" t="s">
        <v>171</v>
      </c>
      <c r="CT22" t="s">
        <v>189</v>
      </c>
      <c r="CU22" t="s">
        <v>171</v>
      </c>
      <c r="CV22" t="s">
        <v>190</v>
      </c>
      <c r="CW22" t="s">
        <v>191</v>
      </c>
      <c r="CX22" t="s">
        <v>191</v>
      </c>
      <c r="CY22" t="s">
        <v>191</v>
      </c>
      <c r="CZ22" t="s">
        <v>171</v>
      </c>
      <c r="DA22" t="s">
        <v>171</v>
      </c>
      <c r="DB22" t="s">
        <v>171</v>
      </c>
      <c r="DC22" t="s">
        <v>171</v>
      </c>
      <c r="DD22" t="s">
        <v>171</v>
      </c>
      <c r="DE22" t="s">
        <v>171</v>
      </c>
      <c r="DF22" t="s">
        <v>171</v>
      </c>
      <c r="DG22">
        <v>35</v>
      </c>
      <c r="DH22" t="s">
        <v>185</v>
      </c>
      <c r="DI22" s="142">
        <v>3</v>
      </c>
      <c r="DJ22" s="144" t="s">
        <v>192</v>
      </c>
      <c r="DK22" s="144" t="s">
        <v>171</v>
      </c>
      <c r="DL22" s="144" t="s">
        <v>171</v>
      </c>
      <c r="DM22" s="144" t="s">
        <v>171</v>
      </c>
      <c r="DN22" s="144" t="s">
        <v>171</v>
      </c>
      <c r="DO22" s="144" t="s">
        <v>171</v>
      </c>
      <c r="DP22" s="144" t="s">
        <v>171</v>
      </c>
      <c r="DQ22" s="144" t="s">
        <v>171</v>
      </c>
      <c r="DR22" s="144" t="s">
        <v>171</v>
      </c>
      <c r="DS22" s="144" t="s">
        <v>171</v>
      </c>
      <c r="DT22" s="144" t="s">
        <v>171</v>
      </c>
      <c r="DU22" s="144" t="s">
        <v>171</v>
      </c>
      <c r="DV22" s="144" t="s">
        <v>171</v>
      </c>
      <c r="DW22" s="147">
        <v>432.56244218316402</v>
      </c>
      <c r="DX22" t="s">
        <v>193</v>
      </c>
      <c r="DY22">
        <v>37.1</v>
      </c>
      <c r="DZ22" t="s">
        <v>194</v>
      </c>
      <c r="EA22">
        <v>39.61</v>
      </c>
      <c r="EB22" t="s">
        <v>185</v>
      </c>
      <c r="EC22" s="149">
        <f t="shared" si="1"/>
        <v>0.10358200000000001</v>
      </c>
      <c r="ED22" t="s">
        <v>195</v>
      </c>
      <c r="EE22" t="s">
        <v>196</v>
      </c>
      <c r="EF22" t="s">
        <v>197</v>
      </c>
      <c r="EG22">
        <v>1.0271999999999999</v>
      </c>
      <c r="EH22" t="s">
        <v>171</v>
      </c>
      <c r="EI22" t="s">
        <v>171</v>
      </c>
      <c r="EJ22" t="s">
        <v>198</v>
      </c>
      <c r="EK22" t="s">
        <v>191</v>
      </c>
      <c r="EL22" t="s">
        <v>191</v>
      </c>
      <c r="EM22" t="s">
        <v>199</v>
      </c>
      <c r="EN22" t="s">
        <v>200</v>
      </c>
      <c r="EO22" s="151" t="s">
        <v>201</v>
      </c>
      <c r="EP22" s="151" t="s">
        <v>201</v>
      </c>
      <c r="EQ22" s="144" t="s">
        <v>171</v>
      </c>
      <c r="ER22" s="144" t="s">
        <v>171</v>
      </c>
      <c r="ES22" s="144" t="s">
        <v>171</v>
      </c>
      <c r="ET22" t="s">
        <v>202</v>
      </c>
      <c r="EU22" t="s">
        <v>203</v>
      </c>
      <c r="EV22" t="s">
        <v>171</v>
      </c>
      <c r="EW22">
        <v>2348</v>
      </c>
      <c r="EX22" s="151" t="s">
        <v>204</v>
      </c>
      <c r="EY22" s="151">
        <v>175</v>
      </c>
      <c r="EZ22">
        <v>175</v>
      </c>
      <c r="FA22" t="s">
        <v>171</v>
      </c>
      <c r="FB22" t="s">
        <v>171</v>
      </c>
      <c r="FC22" t="s">
        <v>171</v>
      </c>
      <c r="FD22" t="s">
        <v>171</v>
      </c>
      <c r="FE22" s="152">
        <v>8.2235078985473606</v>
      </c>
      <c r="FF22" t="s">
        <v>205</v>
      </c>
      <c r="FG22" s="144" t="s">
        <v>171</v>
      </c>
      <c r="FH22" s="144" t="s">
        <v>171</v>
      </c>
      <c r="FI22" s="153">
        <v>234.11642408947</v>
      </c>
      <c r="FJ22">
        <v>21</v>
      </c>
      <c r="FK22" t="s">
        <v>207</v>
      </c>
      <c r="FL22" s="153">
        <v>213.11642408947</v>
      </c>
      <c r="FM22" s="153">
        <v>38.187843752931002</v>
      </c>
      <c r="FN22" s="153">
        <v>35.116162042914993</v>
      </c>
      <c r="FO22" t="s">
        <v>186</v>
      </c>
      <c r="FP22" t="s">
        <v>208</v>
      </c>
      <c r="FQ22" t="s">
        <v>171</v>
      </c>
      <c r="FR22" t="s">
        <v>171</v>
      </c>
      <c r="FS22" t="s">
        <v>171</v>
      </c>
      <c r="FT22" t="s">
        <v>171</v>
      </c>
      <c r="FU22" t="s">
        <v>171</v>
      </c>
      <c r="FV22" t="s">
        <v>171</v>
      </c>
      <c r="FW22" t="s">
        <v>171</v>
      </c>
      <c r="FX22" t="s">
        <v>171</v>
      </c>
      <c r="FY22" t="s">
        <v>171</v>
      </c>
      <c r="FZ22" t="s">
        <v>171</v>
      </c>
      <c r="GA22" t="s">
        <v>171</v>
      </c>
      <c r="GB22" t="s">
        <v>171</v>
      </c>
    </row>
    <row r="23" spans="1:184" ht="16" x14ac:dyDescent="0.2">
      <c r="A23" t="s">
        <v>217</v>
      </c>
      <c r="B23" s="143" t="s">
        <v>216</v>
      </c>
      <c r="C23" s="138" t="s">
        <v>212</v>
      </c>
      <c r="D23" t="s">
        <v>211</v>
      </c>
      <c r="E23">
        <v>2017</v>
      </c>
      <c r="F23" t="str">
        <f t="shared" si="7"/>
        <v>10.1073/pnas.1702143114</v>
      </c>
      <c r="G23" s="147">
        <f t="shared" si="8"/>
        <v>46.61</v>
      </c>
      <c r="H23">
        <f>AU23</f>
        <v>3.5000000000000003E-2</v>
      </c>
      <c r="I23">
        <f t="shared" si="3"/>
        <v>3.5000000000000003E-2</v>
      </c>
      <c r="J23" s="153">
        <f t="shared" si="9"/>
        <v>208.339773648083</v>
      </c>
      <c r="K23" s="153">
        <f t="shared" si="10"/>
        <v>37.132409192965014</v>
      </c>
      <c r="L23" s="153">
        <f t="shared" si="11"/>
        <v>33.888892883574982</v>
      </c>
      <c r="M23" t="b">
        <v>1</v>
      </c>
      <c r="N23">
        <v>3</v>
      </c>
      <c r="O23" s="144" t="s">
        <v>228</v>
      </c>
      <c r="P23" s="144" t="s">
        <v>229</v>
      </c>
      <c r="Q23" t="b">
        <v>0</v>
      </c>
      <c r="R23" t="s">
        <v>215</v>
      </c>
      <c r="S23" t="b">
        <v>1</v>
      </c>
      <c r="T23" t="b">
        <v>0</v>
      </c>
      <c r="U23" t="s">
        <v>171</v>
      </c>
      <c r="V23" t="s">
        <v>171</v>
      </c>
      <c r="W23" t="b">
        <v>0</v>
      </c>
      <c r="X23" t="s">
        <v>171</v>
      </c>
      <c r="Y23" s="139" t="s">
        <v>167</v>
      </c>
      <c r="Z23" s="143" t="s">
        <v>168</v>
      </c>
      <c r="AA23" t="s">
        <v>169</v>
      </c>
      <c r="AB23" t="s">
        <v>170</v>
      </c>
      <c r="AC23" s="144">
        <v>1</v>
      </c>
      <c r="AD23" s="144">
        <v>2</v>
      </c>
      <c r="AE23" s="144">
        <f t="shared" ref="AE23:AE30" si="12">AF23-2</f>
        <v>61</v>
      </c>
      <c r="AF23" s="144">
        <v>63</v>
      </c>
      <c r="AG23" s="145">
        <v>2.13</v>
      </c>
      <c r="AH23" s="145">
        <v>2.13</v>
      </c>
      <c r="AI23" t="s">
        <v>171</v>
      </c>
      <c r="AJ23" t="s">
        <v>172</v>
      </c>
      <c r="AK23" s="146">
        <v>12.74</v>
      </c>
      <c r="AL23" s="146">
        <v>-78.739999999999995</v>
      </c>
      <c r="AM23" t="s">
        <v>171</v>
      </c>
      <c r="AN23" t="s">
        <v>171</v>
      </c>
      <c r="AO23">
        <v>-2839</v>
      </c>
      <c r="AP23" t="s">
        <v>171</v>
      </c>
      <c r="AQ23" t="s">
        <v>171</v>
      </c>
      <c r="AR23" t="s">
        <v>171</v>
      </c>
      <c r="AS23" s="147">
        <v>46.61</v>
      </c>
      <c r="AT23" t="s">
        <v>173</v>
      </c>
      <c r="AU23">
        <v>3.5000000000000003E-2</v>
      </c>
      <c r="AV23">
        <v>3.5000000000000003E-2</v>
      </c>
      <c r="AW23" t="s">
        <v>171</v>
      </c>
      <c r="AX23" t="s">
        <v>174</v>
      </c>
      <c r="AY23" t="s">
        <v>171</v>
      </c>
      <c r="AZ23" t="s">
        <v>171</v>
      </c>
      <c r="BA23" t="s">
        <v>171</v>
      </c>
      <c r="BB23" t="s">
        <v>171</v>
      </c>
      <c r="BC23" t="s">
        <v>171</v>
      </c>
      <c r="BD23" t="s">
        <v>171</v>
      </c>
      <c r="BE23" t="s">
        <v>171</v>
      </c>
      <c r="BF23" t="s">
        <v>171</v>
      </c>
      <c r="BG23" t="s">
        <v>175</v>
      </c>
      <c r="BH23" t="s">
        <v>176</v>
      </c>
      <c r="BI23" t="s">
        <v>177</v>
      </c>
      <c r="BJ23" s="142">
        <v>2</v>
      </c>
      <c r="BK23" t="s">
        <v>178</v>
      </c>
      <c r="BL23" t="s">
        <v>179</v>
      </c>
      <c r="BM23" t="s">
        <v>180</v>
      </c>
      <c r="BN23" t="s">
        <v>171</v>
      </c>
      <c r="BO23" s="142">
        <v>2</v>
      </c>
      <c r="BP23" s="144" t="s">
        <v>171</v>
      </c>
      <c r="BQ23" s="145">
        <v>21.16</v>
      </c>
      <c r="BR23" t="s">
        <v>181</v>
      </c>
      <c r="BS23" s="149">
        <v>0.16</v>
      </c>
      <c r="BT23">
        <v>0.64</v>
      </c>
      <c r="BU23" t="s">
        <v>182</v>
      </c>
      <c r="BV23">
        <v>3.4000000000000002E-2</v>
      </c>
      <c r="BW23">
        <v>9.1</v>
      </c>
      <c r="BX23" t="s">
        <v>173</v>
      </c>
      <c r="BY23">
        <v>0.56000000000000005</v>
      </c>
      <c r="BZ23" t="s">
        <v>183</v>
      </c>
      <c r="CA23" t="s">
        <v>184</v>
      </c>
      <c r="CB23" s="148">
        <f t="shared" si="6"/>
        <v>20.483333333333334</v>
      </c>
      <c r="CC23" s="144" t="s">
        <v>185</v>
      </c>
      <c r="CD23" s="144" t="s">
        <v>171</v>
      </c>
      <c r="CE23" s="144" t="s">
        <v>171</v>
      </c>
      <c r="CF23" t="s">
        <v>186</v>
      </c>
      <c r="CG23" s="144">
        <v>10</v>
      </c>
      <c r="CH23" s="144" t="s">
        <v>187</v>
      </c>
      <c r="CI23" s="144" t="s">
        <v>171</v>
      </c>
      <c r="CJ23" s="147">
        <v>26.15</v>
      </c>
      <c r="CK23" t="s">
        <v>173</v>
      </c>
      <c r="CL23">
        <v>3</v>
      </c>
      <c r="CM23">
        <v>3</v>
      </c>
      <c r="CN23" t="s">
        <v>171</v>
      </c>
      <c r="CO23" s="149">
        <v>3.347</v>
      </c>
      <c r="CP23" t="s">
        <v>188</v>
      </c>
      <c r="CQ23" s="149">
        <v>0.13388</v>
      </c>
      <c r="CR23" s="149">
        <v>0.13388</v>
      </c>
      <c r="CS23" s="150" t="s">
        <v>171</v>
      </c>
      <c r="CT23" t="s">
        <v>189</v>
      </c>
      <c r="CU23" t="s">
        <v>171</v>
      </c>
      <c r="CV23" t="s">
        <v>190</v>
      </c>
      <c r="CW23" t="s">
        <v>191</v>
      </c>
      <c r="CX23" t="s">
        <v>191</v>
      </c>
      <c r="CY23" t="s">
        <v>191</v>
      </c>
      <c r="CZ23" t="s">
        <v>171</v>
      </c>
      <c r="DA23" t="s">
        <v>171</v>
      </c>
      <c r="DB23" t="s">
        <v>171</v>
      </c>
      <c r="DC23" t="s">
        <v>171</v>
      </c>
      <c r="DD23" t="s">
        <v>171</v>
      </c>
      <c r="DE23" t="s">
        <v>171</v>
      </c>
      <c r="DF23" t="s">
        <v>171</v>
      </c>
      <c r="DG23">
        <v>35</v>
      </c>
      <c r="DH23" t="s">
        <v>185</v>
      </c>
      <c r="DI23" s="142">
        <v>3</v>
      </c>
      <c r="DJ23" s="144" t="s">
        <v>192</v>
      </c>
      <c r="DK23" s="144" t="s">
        <v>171</v>
      </c>
      <c r="DL23" s="144" t="s">
        <v>171</v>
      </c>
      <c r="DM23" s="144" t="s">
        <v>171</v>
      </c>
      <c r="DN23" s="144" t="s">
        <v>171</v>
      </c>
      <c r="DO23" s="144" t="s">
        <v>171</v>
      </c>
      <c r="DP23" s="144" t="s">
        <v>171</v>
      </c>
      <c r="DQ23" s="144" t="s">
        <v>171</v>
      </c>
      <c r="DR23" s="144" t="s">
        <v>171</v>
      </c>
      <c r="DS23" s="144" t="s">
        <v>171</v>
      </c>
      <c r="DT23" s="144" t="s">
        <v>171</v>
      </c>
      <c r="DU23" s="144" t="s">
        <v>171</v>
      </c>
      <c r="DV23" s="144" t="s">
        <v>171</v>
      </c>
      <c r="DW23" s="147">
        <v>432.56244218316402</v>
      </c>
      <c r="DX23" t="s">
        <v>193</v>
      </c>
      <c r="DY23">
        <v>37.1</v>
      </c>
      <c r="DZ23" t="s">
        <v>194</v>
      </c>
      <c r="EA23">
        <v>39.61</v>
      </c>
      <c r="EB23" t="s">
        <v>185</v>
      </c>
      <c r="EC23" s="149">
        <f t="shared" si="1"/>
        <v>0.104661</v>
      </c>
      <c r="ED23" t="s">
        <v>195</v>
      </c>
      <c r="EE23" t="s">
        <v>196</v>
      </c>
      <c r="EF23" t="s">
        <v>197</v>
      </c>
      <c r="EG23">
        <v>1.0271999999999999</v>
      </c>
      <c r="EH23" t="s">
        <v>171</v>
      </c>
      <c r="EI23" t="s">
        <v>171</v>
      </c>
      <c r="EJ23" t="s">
        <v>198</v>
      </c>
      <c r="EK23" t="s">
        <v>191</v>
      </c>
      <c r="EL23" t="s">
        <v>191</v>
      </c>
      <c r="EM23" t="s">
        <v>199</v>
      </c>
      <c r="EN23" t="s">
        <v>200</v>
      </c>
      <c r="EO23" s="151" t="s">
        <v>201</v>
      </c>
      <c r="EP23" s="151" t="s">
        <v>201</v>
      </c>
      <c r="EQ23" s="144" t="s">
        <v>171</v>
      </c>
      <c r="ER23" s="144" t="s">
        <v>171</v>
      </c>
      <c r="ES23" s="144" t="s">
        <v>171</v>
      </c>
      <c r="ET23" t="s">
        <v>202</v>
      </c>
      <c r="EU23" t="s">
        <v>203</v>
      </c>
      <c r="EV23" t="s">
        <v>171</v>
      </c>
      <c r="EW23">
        <v>2349</v>
      </c>
      <c r="EX23" s="151" t="s">
        <v>204</v>
      </c>
      <c r="EY23" s="151">
        <v>175</v>
      </c>
      <c r="EZ23">
        <v>175</v>
      </c>
      <c r="FA23" t="s">
        <v>171</v>
      </c>
      <c r="FB23" t="s">
        <v>171</v>
      </c>
      <c r="FC23" t="s">
        <v>171</v>
      </c>
      <c r="FD23" t="s">
        <v>171</v>
      </c>
      <c r="FE23" s="152">
        <v>8.2308010042889101</v>
      </c>
      <c r="FF23" t="s">
        <v>205</v>
      </c>
      <c r="FG23" s="144" t="s">
        <v>171</v>
      </c>
      <c r="FH23" s="144" t="s">
        <v>171</v>
      </c>
      <c r="FI23" s="153">
        <v>229.339773648083</v>
      </c>
      <c r="FJ23">
        <v>21</v>
      </c>
      <c r="FK23" t="s">
        <v>207</v>
      </c>
      <c r="FL23" s="153">
        <v>208.339773648083</v>
      </c>
      <c r="FM23" s="153">
        <v>37.132409192965014</v>
      </c>
      <c r="FN23" s="153">
        <v>33.888892883574982</v>
      </c>
      <c r="FO23" t="s">
        <v>186</v>
      </c>
      <c r="FP23" t="s">
        <v>208</v>
      </c>
      <c r="FQ23" t="s">
        <v>171</v>
      </c>
      <c r="FR23" t="s">
        <v>171</v>
      </c>
      <c r="FS23" t="s">
        <v>171</v>
      </c>
      <c r="FT23" t="s">
        <v>171</v>
      </c>
      <c r="FU23" t="s">
        <v>171</v>
      </c>
      <c r="FV23" t="s">
        <v>171</v>
      </c>
      <c r="FW23" t="s">
        <v>171</v>
      </c>
      <c r="FX23" t="s">
        <v>171</v>
      </c>
      <c r="FY23" t="s">
        <v>171</v>
      </c>
      <c r="FZ23" t="s">
        <v>171</v>
      </c>
      <c r="GA23" t="s">
        <v>171</v>
      </c>
      <c r="GB23" t="s">
        <v>171</v>
      </c>
    </row>
    <row r="24" spans="1:184" ht="16" x14ac:dyDescent="0.2">
      <c r="A24" t="s">
        <v>217</v>
      </c>
      <c r="B24" s="143" t="s">
        <v>216</v>
      </c>
      <c r="C24" s="138" t="s">
        <v>212</v>
      </c>
      <c r="D24" t="s">
        <v>211</v>
      </c>
      <c r="E24">
        <v>2017</v>
      </c>
      <c r="F24" t="str">
        <f t="shared" si="7"/>
        <v>10.1073/pnas.1702143114</v>
      </c>
      <c r="G24" s="147">
        <f t="shared" si="8"/>
        <v>52.14</v>
      </c>
      <c r="H24">
        <f t="shared" si="2"/>
        <v>4</v>
      </c>
      <c r="I24">
        <f t="shared" si="3"/>
        <v>4</v>
      </c>
      <c r="J24" s="153">
        <f t="shared" si="9"/>
        <v>198.12263545636699</v>
      </c>
      <c r="K24" s="153">
        <f t="shared" si="10"/>
        <v>37.85560820045302</v>
      </c>
      <c r="L24" s="153">
        <f t="shared" si="11"/>
        <v>34.20960969234099</v>
      </c>
      <c r="M24" t="b">
        <v>1</v>
      </c>
      <c r="N24">
        <v>3</v>
      </c>
      <c r="O24" s="144" t="s">
        <v>228</v>
      </c>
      <c r="P24" s="144" t="s">
        <v>229</v>
      </c>
      <c r="Q24" t="b">
        <v>0</v>
      </c>
      <c r="R24" t="s">
        <v>214</v>
      </c>
      <c r="S24" t="b">
        <v>1</v>
      </c>
      <c r="T24" t="b">
        <v>0</v>
      </c>
      <c r="U24" t="s">
        <v>171</v>
      </c>
      <c r="V24" t="s">
        <v>171</v>
      </c>
      <c r="W24" t="b">
        <v>0</v>
      </c>
      <c r="X24" t="s">
        <v>171</v>
      </c>
      <c r="Y24" s="139" t="s">
        <v>167</v>
      </c>
      <c r="Z24" s="143" t="s">
        <v>168</v>
      </c>
      <c r="AA24" t="s">
        <v>169</v>
      </c>
      <c r="AB24" t="s">
        <v>170</v>
      </c>
      <c r="AC24" s="144">
        <v>1</v>
      </c>
      <c r="AD24" s="144">
        <v>2</v>
      </c>
      <c r="AE24" s="144">
        <f t="shared" si="12"/>
        <v>82</v>
      </c>
      <c r="AF24" s="144">
        <v>84</v>
      </c>
      <c r="AG24" s="145">
        <v>2.34</v>
      </c>
      <c r="AH24" s="145">
        <v>2.34</v>
      </c>
      <c r="AI24" t="s">
        <v>171</v>
      </c>
      <c r="AJ24" t="s">
        <v>172</v>
      </c>
      <c r="AK24" s="146">
        <v>12.74</v>
      </c>
      <c r="AL24" s="146">
        <v>-78.739999999999995</v>
      </c>
      <c r="AM24" t="s">
        <v>171</v>
      </c>
      <c r="AN24" t="s">
        <v>171</v>
      </c>
      <c r="AO24">
        <v>-2839</v>
      </c>
      <c r="AP24" t="s">
        <v>171</v>
      </c>
      <c r="AQ24" t="s">
        <v>171</v>
      </c>
      <c r="AR24" t="s">
        <v>171</v>
      </c>
      <c r="AS24" s="147">
        <v>52.14</v>
      </c>
      <c r="AT24" t="s">
        <v>173</v>
      </c>
      <c r="AU24">
        <v>4</v>
      </c>
      <c r="AV24">
        <v>4</v>
      </c>
      <c r="AW24" t="s">
        <v>171</v>
      </c>
      <c r="AX24" t="s">
        <v>174</v>
      </c>
      <c r="AY24" t="s">
        <v>171</v>
      </c>
      <c r="AZ24" t="s">
        <v>171</v>
      </c>
      <c r="BA24" t="s">
        <v>171</v>
      </c>
      <c r="BB24" t="s">
        <v>171</v>
      </c>
      <c r="BC24" t="s">
        <v>171</v>
      </c>
      <c r="BD24" t="s">
        <v>171</v>
      </c>
      <c r="BE24" t="s">
        <v>171</v>
      </c>
      <c r="BF24" t="s">
        <v>171</v>
      </c>
      <c r="BG24" t="s">
        <v>175</v>
      </c>
      <c r="BH24" t="s">
        <v>176</v>
      </c>
      <c r="BI24" t="s">
        <v>177</v>
      </c>
      <c r="BJ24" s="142">
        <v>2</v>
      </c>
      <c r="BK24" t="s">
        <v>178</v>
      </c>
      <c r="BL24" t="s">
        <v>179</v>
      </c>
      <c r="BM24" t="s">
        <v>180</v>
      </c>
      <c r="BN24" t="s">
        <v>171</v>
      </c>
      <c r="BO24" s="142">
        <v>2</v>
      </c>
      <c r="BP24" s="144" t="s">
        <v>171</v>
      </c>
      <c r="BQ24" s="145">
        <v>21.29</v>
      </c>
      <c r="BR24" t="s">
        <v>181</v>
      </c>
      <c r="BS24" s="149">
        <v>0.2</v>
      </c>
      <c r="BT24">
        <v>0.64</v>
      </c>
      <c r="BU24" t="s">
        <v>182</v>
      </c>
      <c r="BV24">
        <v>3.4000000000000002E-2</v>
      </c>
      <c r="BW24">
        <v>9.1</v>
      </c>
      <c r="BX24" t="s">
        <v>173</v>
      </c>
      <c r="BY24">
        <v>0.56000000000000005</v>
      </c>
      <c r="BZ24" t="s">
        <v>183</v>
      </c>
      <c r="CA24" t="s">
        <v>184</v>
      </c>
      <c r="CB24" s="148">
        <f t="shared" si="6"/>
        <v>20.7</v>
      </c>
      <c r="CC24" s="144" t="s">
        <v>185</v>
      </c>
      <c r="CD24" s="144" t="s">
        <v>171</v>
      </c>
      <c r="CE24" s="144" t="s">
        <v>171</v>
      </c>
      <c r="CF24" t="s">
        <v>186</v>
      </c>
      <c r="CG24" s="144">
        <v>10</v>
      </c>
      <c r="CH24" s="144" t="s">
        <v>187</v>
      </c>
      <c r="CI24" s="144" t="s">
        <v>171</v>
      </c>
      <c r="CJ24" s="147">
        <v>26.32</v>
      </c>
      <c r="CK24" t="s">
        <v>173</v>
      </c>
      <c r="CL24">
        <v>3</v>
      </c>
      <c r="CM24">
        <v>3</v>
      </c>
      <c r="CN24" t="s">
        <v>171</v>
      </c>
      <c r="CO24" s="149">
        <v>3.5089999999999999</v>
      </c>
      <c r="CP24" t="s">
        <v>188</v>
      </c>
      <c r="CQ24" s="149">
        <v>0.14036000000000001</v>
      </c>
      <c r="CR24" s="149">
        <v>0.14036000000000001</v>
      </c>
      <c r="CS24" s="150" t="s">
        <v>171</v>
      </c>
      <c r="CT24" t="s">
        <v>189</v>
      </c>
      <c r="CU24" t="s">
        <v>171</v>
      </c>
      <c r="CV24" t="s">
        <v>190</v>
      </c>
      <c r="CW24" t="s">
        <v>191</v>
      </c>
      <c r="CX24" t="s">
        <v>191</v>
      </c>
      <c r="CY24" t="s">
        <v>191</v>
      </c>
      <c r="CZ24" t="s">
        <v>171</v>
      </c>
      <c r="DA24" t="s">
        <v>171</v>
      </c>
      <c r="DB24" t="s">
        <v>171</v>
      </c>
      <c r="DC24" t="s">
        <v>171</v>
      </c>
      <c r="DD24" t="s">
        <v>171</v>
      </c>
      <c r="DE24" t="s">
        <v>171</v>
      </c>
      <c r="DF24" t="s">
        <v>171</v>
      </c>
      <c r="DG24">
        <v>35</v>
      </c>
      <c r="DH24" t="s">
        <v>185</v>
      </c>
      <c r="DI24" s="142">
        <v>3</v>
      </c>
      <c r="DJ24" s="144" t="s">
        <v>192</v>
      </c>
      <c r="DK24" s="144" t="s">
        <v>171</v>
      </c>
      <c r="DL24" s="144" t="s">
        <v>171</v>
      </c>
      <c r="DM24" s="144" t="s">
        <v>171</v>
      </c>
      <c r="DN24" s="144" t="s">
        <v>171</v>
      </c>
      <c r="DO24" s="144" t="s">
        <v>171</v>
      </c>
      <c r="DP24" s="144" t="s">
        <v>171</v>
      </c>
      <c r="DQ24" s="144" t="s">
        <v>171</v>
      </c>
      <c r="DR24" s="144" t="s">
        <v>171</v>
      </c>
      <c r="DS24" s="144" t="s">
        <v>171</v>
      </c>
      <c r="DT24" s="144" t="s">
        <v>171</v>
      </c>
      <c r="DU24" s="144" t="s">
        <v>171</v>
      </c>
      <c r="DV24" s="144" t="s">
        <v>171</v>
      </c>
      <c r="DW24" s="147">
        <v>432.56244218316402</v>
      </c>
      <c r="DX24" t="s">
        <v>193</v>
      </c>
      <c r="DY24">
        <v>37.1</v>
      </c>
      <c r="DZ24" t="s">
        <v>194</v>
      </c>
      <c r="EA24">
        <v>39.61</v>
      </c>
      <c r="EB24" t="s">
        <v>185</v>
      </c>
      <c r="EC24" s="149">
        <f t="shared" si="1"/>
        <v>0.105214</v>
      </c>
      <c r="ED24" t="s">
        <v>195</v>
      </c>
      <c r="EE24" t="s">
        <v>196</v>
      </c>
      <c r="EF24" t="s">
        <v>197</v>
      </c>
      <c r="EG24">
        <v>1.0271999999999999</v>
      </c>
      <c r="EH24" t="s">
        <v>171</v>
      </c>
      <c r="EI24" t="s">
        <v>171</v>
      </c>
      <c r="EJ24" t="s">
        <v>198</v>
      </c>
      <c r="EK24" t="s">
        <v>191</v>
      </c>
      <c r="EL24" t="s">
        <v>191</v>
      </c>
      <c r="EM24" t="s">
        <v>199</v>
      </c>
      <c r="EN24" t="s">
        <v>200</v>
      </c>
      <c r="EO24" s="151" t="s">
        <v>201</v>
      </c>
      <c r="EP24" s="151" t="s">
        <v>201</v>
      </c>
      <c r="EQ24" s="144" t="s">
        <v>171</v>
      </c>
      <c r="ER24" s="144" t="s">
        <v>171</v>
      </c>
      <c r="ES24" s="144" t="s">
        <v>171</v>
      </c>
      <c r="ET24" t="s">
        <v>202</v>
      </c>
      <c r="EU24" t="s">
        <v>203</v>
      </c>
      <c r="EV24" t="s">
        <v>171</v>
      </c>
      <c r="EW24">
        <v>2350</v>
      </c>
      <c r="EX24" s="151" t="s">
        <v>204</v>
      </c>
      <c r="EY24" s="151">
        <v>175</v>
      </c>
      <c r="EZ24">
        <v>175</v>
      </c>
      <c r="FA24" t="s">
        <v>171</v>
      </c>
      <c r="FB24" t="s">
        <v>171</v>
      </c>
      <c r="FC24" t="s">
        <v>171</v>
      </c>
      <c r="FD24" t="s">
        <v>171</v>
      </c>
      <c r="FE24" s="152">
        <v>8.2447685080837392</v>
      </c>
      <c r="FF24" t="s">
        <v>205</v>
      </c>
      <c r="FG24" s="144" t="s">
        <v>171</v>
      </c>
      <c r="FH24" s="144" t="s">
        <v>171</v>
      </c>
      <c r="FI24" s="153">
        <v>219.12263545636699</v>
      </c>
      <c r="FJ24">
        <v>21</v>
      </c>
      <c r="FK24" t="s">
        <v>207</v>
      </c>
      <c r="FL24" s="153">
        <v>198.12263545636699</v>
      </c>
      <c r="FM24" s="153">
        <v>37.85560820045302</v>
      </c>
      <c r="FN24" s="153">
        <v>34.20960969234099</v>
      </c>
      <c r="FO24" t="s">
        <v>186</v>
      </c>
      <c r="FP24" t="s">
        <v>208</v>
      </c>
      <c r="FQ24" t="s">
        <v>171</v>
      </c>
      <c r="FR24" t="s">
        <v>171</v>
      </c>
      <c r="FS24" t="s">
        <v>171</v>
      </c>
      <c r="FT24" t="s">
        <v>171</v>
      </c>
      <c r="FU24" t="s">
        <v>171</v>
      </c>
      <c r="FV24" t="s">
        <v>171</v>
      </c>
      <c r="FW24" t="s">
        <v>171</v>
      </c>
      <c r="FX24" t="s">
        <v>171</v>
      </c>
      <c r="FY24" t="s">
        <v>171</v>
      </c>
      <c r="FZ24" t="s">
        <v>171</v>
      </c>
      <c r="GA24" t="s">
        <v>171</v>
      </c>
      <c r="GB24" t="s">
        <v>171</v>
      </c>
    </row>
    <row r="25" spans="1:184" ht="16" x14ac:dyDescent="0.2">
      <c r="A25" t="s">
        <v>217</v>
      </c>
      <c r="B25" s="143" t="s">
        <v>216</v>
      </c>
      <c r="C25" s="138" t="s">
        <v>212</v>
      </c>
      <c r="D25" t="s">
        <v>211</v>
      </c>
      <c r="E25">
        <v>2017</v>
      </c>
      <c r="F25" t="str">
        <f t="shared" si="7"/>
        <v>10.1073/pnas.1702143114</v>
      </c>
      <c r="G25" s="147">
        <f t="shared" si="8"/>
        <v>61.28</v>
      </c>
      <c r="H25">
        <f t="shared" si="2"/>
        <v>4</v>
      </c>
      <c r="I25">
        <f t="shared" si="3"/>
        <v>4</v>
      </c>
      <c r="J25" s="153">
        <f t="shared" si="9"/>
        <v>198.085445243739</v>
      </c>
      <c r="K25" s="153">
        <f t="shared" si="10"/>
        <v>44.445630387348984</v>
      </c>
      <c r="L25" s="153">
        <f t="shared" si="11"/>
        <v>37.299665303450013</v>
      </c>
      <c r="M25" t="b">
        <v>1</v>
      </c>
      <c r="N25">
        <v>3</v>
      </c>
      <c r="O25" s="144" t="s">
        <v>228</v>
      </c>
      <c r="P25" s="144" t="s">
        <v>229</v>
      </c>
      <c r="Q25" t="b">
        <v>0</v>
      </c>
      <c r="R25" t="s">
        <v>214</v>
      </c>
      <c r="S25" t="b">
        <v>1</v>
      </c>
      <c r="T25" t="b">
        <v>0</v>
      </c>
      <c r="U25" t="s">
        <v>171</v>
      </c>
      <c r="V25" t="s">
        <v>171</v>
      </c>
      <c r="W25" t="b">
        <v>0</v>
      </c>
      <c r="X25" t="s">
        <v>171</v>
      </c>
      <c r="Y25" s="139" t="s">
        <v>167</v>
      </c>
      <c r="Z25" s="143" t="s">
        <v>168</v>
      </c>
      <c r="AA25" t="s">
        <v>169</v>
      </c>
      <c r="AB25" t="s">
        <v>170</v>
      </c>
      <c r="AC25" s="144">
        <v>1</v>
      </c>
      <c r="AD25" s="144">
        <v>2</v>
      </c>
      <c r="AE25" s="144">
        <f t="shared" si="12"/>
        <v>119</v>
      </c>
      <c r="AF25" s="144">
        <v>121</v>
      </c>
      <c r="AG25" s="145">
        <v>2.71</v>
      </c>
      <c r="AH25" s="145">
        <v>2.71</v>
      </c>
      <c r="AI25" t="s">
        <v>171</v>
      </c>
      <c r="AJ25" t="s">
        <v>172</v>
      </c>
      <c r="AK25" s="146">
        <v>12.74</v>
      </c>
      <c r="AL25" s="146">
        <v>-78.739999999999995</v>
      </c>
      <c r="AM25" t="s">
        <v>171</v>
      </c>
      <c r="AN25" t="s">
        <v>171</v>
      </c>
      <c r="AO25">
        <v>-2839</v>
      </c>
      <c r="AP25" t="s">
        <v>171</v>
      </c>
      <c r="AQ25" t="s">
        <v>171</v>
      </c>
      <c r="AR25" t="s">
        <v>171</v>
      </c>
      <c r="AS25" s="147">
        <v>61.28</v>
      </c>
      <c r="AT25" t="s">
        <v>173</v>
      </c>
      <c r="AU25">
        <v>4</v>
      </c>
      <c r="AV25">
        <v>4</v>
      </c>
      <c r="AW25" t="s">
        <v>171</v>
      </c>
      <c r="AX25" t="s">
        <v>174</v>
      </c>
      <c r="AY25" t="s">
        <v>171</v>
      </c>
      <c r="AZ25" t="s">
        <v>171</v>
      </c>
      <c r="BA25" t="s">
        <v>171</v>
      </c>
      <c r="BB25" t="s">
        <v>171</v>
      </c>
      <c r="BC25" t="s">
        <v>171</v>
      </c>
      <c r="BD25" t="s">
        <v>171</v>
      </c>
      <c r="BE25" t="s">
        <v>171</v>
      </c>
      <c r="BF25" t="s">
        <v>171</v>
      </c>
      <c r="BG25" t="s">
        <v>175</v>
      </c>
      <c r="BH25" t="s">
        <v>176</v>
      </c>
      <c r="BI25" t="s">
        <v>177</v>
      </c>
      <c r="BJ25" s="142">
        <v>2</v>
      </c>
      <c r="BK25" t="s">
        <v>178</v>
      </c>
      <c r="BL25" t="s">
        <v>179</v>
      </c>
      <c r="BM25" t="s">
        <v>180</v>
      </c>
      <c r="BN25" t="s">
        <v>171</v>
      </c>
      <c r="BO25" s="142">
        <v>2</v>
      </c>
      <c r="BP25" s="144" t="s">
        <v>171</v>
      </c>
      <c r="BQ25" s="145">
        <v>21.31</v>
      </c>
      <c r="BR25" t="s">
        <v>181</v>
      </c>
      <c r="BS25" s="149">
        <v>0.28000000000000003</v>
      </c>
      <c r="BT25">
        <v>0.64</v>
      </c>
      <c r="BU25" t="s">
        <v>182</v>
      </c>
      <c r="BV25">
        <v>3.4000000000000002E-2</v>
      </c>
      <c r="BW25">
        <v>9.1</v>
      </c>
      <c r="BX25" t="s">
        <v>173</v>
      </c>
      <c r="BY25">
        <v>0.56000000000000005</v>
      </c>
      <c r="BZ25" t="s">
        <v>183</v>
      </c>
      <c r="CA25" t="s">
        <v>184</v>
      </c>
      <c r="CB25" s="148">
        <f t="shared" si="6"/>
        <v>20.733333333333334</v>
      </c>
      <c r="CC25" s="144" t="s">
        <v>185</v>
      </c>
      <c r="CD25" s="144" t="s">
        <v>171</v>
      </c>
      <c r="CE25" s="144" t="s">
        <v>171</v>
      </c>
      <c r="CF25" t="s">
        <v>186</v>
      </c>
      <c r="CG25" s="144">
        <v>10</v>
      </c>
      <c r="CH25" s="144" t="s">
        <v>187</v>
      </c>
      <c r="CI25" s="144" t="s">
        <v>171</v>
      </c>
      <c r="CJ25" s="147">
        <v>26.59</v>
      </c>
      <c r="CK25" t="s">
        <v>173</v>
      </c>
      <c r="CL25">
        <v>3</v>
      </c>
      <c r="CM25">
        <v>3</v>
      </c>
      <c r="CN25" t="s">
        <v>171</v>
      </c>
      <c r="CO25" s="149">
        <v>3.2250000000000001</v>
      </c>
      <c r="CP25" t="s">
        <v>188</v>
      </c>
      <c r="CQ25" s="149">
        <v>0.129</v>
      </c>
      <c r="CR25" s="149">
        <v>0.129</v>
      </c>
      <c r="CS25" s="150" t="s">
        <v>171</v>
      </c>
      <c r="CT25" t="s">
        <v>189</v>
      </c>
      <c r="CU25" t="s">
        <v>171</v>
      </c>
      <c r="CV25" t="s">
        <v>190</v>
      </c>
      <c r="CW25" t="s">
        <v>191</v>
      </c>
      <c r="CX25" t="s">
        <v>191</v>
      </c>
      <c r="CY25" t="s">
        <v>191</v>
      </c>
      <c r="CZ25" t="s">
        <v>171</v>
      </c>
      <c r="DA25" t="s">
        <v>171</v>
      </c>
      <c r="DB25" t="s">
        <v>171</v>
      </c>
      <c r="DC25" t="s">
        <v>171</v>
      </c>
      <c r="DD25" t="s">
        <v>171</v>
      </c>
      <c r="DE25" t="s">
        <v>171</v>
      </c>
      <c r="DF25" t="s">
        <v>171</v>
      </c>
      <c r="DG25">
        <v>35</v>
      </c>
      <c r="DH25" t="s">
        <v>185</v>
      </c>
      <c r="DI25" s="142">
        <v>3</v>
      </c>
      <c r="DJ25" s="144" t="s">
        <v>192</v>
      </c>
      <c r="DK25" s="144" t="s">
        <v>171</v>
      </c>
      <c r="DL25" s="144" t="s">
        <v>171</v>
      </c>
      <c r="DM25" s="144" t="s">
        <v>171</v>
      </c>
      <c r="DN25" s="144" t="s">
        <v>171</v>
      </c>
      <c r="DO25" s="144" t="s">
        <v>171</v>
      </c>
      <c r="DP25" s="144" t="s">
        <v>171</v>
      </c>
      <c r="DQ25" s="144" t="s">
        <v>171</v>
      </c>
      <c r="DR25" s="144" t="s">
        <v>171</v>
      </c>
      <c r="DS25" s="144" t="s">
        <v>171</v>
      </c>
      <c r="DT25" s="144" t="s">
        <v>171</v>
      </c>
      <c r="DU25" s="144" t="s">
        <v>171</v>
      </c>
      <c r="DV25" s="144" t="s">
        <v>171</v>
      </c>
      <c r="DW25" s="147">
        <v>432.56244218316402</v>
      </c>
      <c r="DX25" t="s">
        <v>193</v>
      </c>
      <c r="DY25">
        <v>37.1</v>
      </c>
      <c r="DZ25" t="s">
        <v>194</v>
      </c>
      <c r="EA25">
        <v>39.61</v>
      </c>
      <c r="EB25" t="s">
        <v>185</v>
      </c>
      <c r="EC25" s="149">
        <f t="shared" si="1"/>
        <v>0.106128</v>
      </c>
      <c r="ED25" t="s">
        <v>195</v>
      </c>
      <c r="EE25" t="s">
        <v>196</v>
      </c>
      <c r="EF25" t="s">
        <v>197</v>
      </c>
      <c r="EG25">
        <v>1.0271999999999999</v>
      </c>
      <c r="EH25" t="s">
        <v>171</v>
      </c>
      <c r="EI25" t="s">
        <v>171</v>
      </c>
      <c r="EJ25" t="s">
        <v>198</v>
      </c>
      <c r="EK25" t="s">
        <v>191</v>
      </c>
      <c r="EL25" t="s">
        <v>191</v>
      </c>
      <c r="EM25" t="s">
        <v>199</v>
      </c>
      <c r="EN25" t="s">
        <v>200</v>
      </c>
      <c r="EO25" s="151" t="s">
        <v>201</v>
      </c>
      <c r="EP25" s="151" t="s">
        <v>201</v>
      </c>
      <c r="EQ25" s="144" t="s">
        <v>171</v>
      </c>
      <c r="ER25" s="144" t="s">
        <v>171</v>
      </c>
      <c r="ES25" s="144" t="s">
        <v>171</v>
      </c>
      <c r="ET25" t="s">
        <v>202</v>
      </c>
      <c r="EU25" t="s">
        <v>203</v>
      </c>
      <c r="EV25" t="s">
        <v>171</v>
      </c>
      <c r="EW25">
        <v>2351</v>
      </c>
      <c r="EX25" s="151" t="s">
        <v>204</v>
      </c>
      <c r="EY25" s="151">
        <v>175</v>
      </c>
      <c r="EZ25">
        <v>175</v>
      </c>
      <c r="FA25" t="s">
        <v>171</v>
      </c>
      <c r="FB25" t="s">
        <v>171</v>
      </c>
      <c r="FC25" t="s">
        <v>171</v>
      </c>
      <c r="FD25" t="s">
        <v>171</v>
      </c>
      <c r="FE25" s="152">
        <v>8.2442278042803405</v>
      </c>
      <c r="FF25" t="s">
        <v>205</v>
      </c>
      <c r="FG25" s="144" t="s">
        <v>171</v>
      </c>
      <c r="FH25" s="144" t="s">
        <v>171</v>
      </c>
      <c r="FI25" s="153">
        <v>219.085445243739</v>
      </c>
      <c r="FJ25">
        <v>21</v>
      </c>
      <c r="FK25" t="s">
        <v>207</v>
      </c>
      <c r="FL25" s="153">
        <v>198.085445243739</v>
      </c>
      <c r="FM25" s="153">
        <v>44.445630387348984</v>
      </c>
      <c r="FN25" s="153">
        <v>37.299665303450013</v>
      </c>
      <c r="FO25" t="s">
        <v>186</v>
      </c>
      <c r="FP25" t="s">
        <v>208</v>
      </c>
      <c r="FQ25" t="s">
        <v>171</v>
      </c>
      <c r="FR25" t="s">
        <v>171</v>
      </c>
      <c r="FS25" t="s">
        <v>171</v>
      </c>
      <c r="FT25" t="s">
        <v>171</v>
      </c>
      <c r="FU25" t="s">
        <v>171</v>
      </c>
      <c r="FV25" t="s">
        <v>171</v>
      </c>
      <c r="FW25" t="s">
        <v>171</v>
      </c>
      <c r="FX25" t="s">
        <v>171</v>
      </c>
      <c r="FY25" t="s">
        <v>171</v>
      </c>
      <c r="FZ25" t="s">
        <v>171</v>
      </c>
      <c r="GA25" t="s">
        <v>171</v>
      </c>
      <c r="GB25" t="s">
        <v>171</v>
      </c>
    </row>
    <row r="26" spans="1:184" ht="16" x14ac:dyDescent="0.2">
      <c r="A26" t="s">
        <v>217</v>
      </c>
      <c r="B26" s="143" t="s">
        <v>216</v>
      </c>
      <c r="C26" s="138" t="s">
        <v>212</v>
      </c>
      <c r="D26" t="s">
        <v>211</v>
      </c>
      <c r="E26">
        <v>2017</v>
      </c>
      <c r="F26" t="str">
        <f t="shared" si="7"/>
        <v>10.1073/pnas.1702143114</v>
      </c>
      <c r="G26" s="147">
        <f t="shared" si="8"/>
        <v>77.3</v>
      </c>
      <c r="H26">
        <f t="shared" si="2"/>
        <v>4</v>
      </c>
      <c r="I26">
        <f t="shared" si="3"/>
        <v>4</v>
      </c>
      <c r="J26" s="153">
        <f t="shared" si="9"/>
        <v>237.10736765559099</v>
      </c>
      <c r="K26" s="153">
        <f t="shared" si="10"/>
        <v>44.623192189424032</v>
      </c>
      <c r="L26" s="153">
        <f t="shared" si="11"/>
        <v>38.44322310875998</v>
      </c>
      <c r="M26" t="b">
        <v>1</v>
      </c>
      <c r="N26">
        <v>3</v>
      </c>
      <c r="O26" s="144" t="s">
        <v>228</v>
      </c>
      <c r="P26" s="144" t="s">
        <v>229</v>
      </c>
      <c r="Q26" t="b">
        <v>0</v>
      </c>
      <c r="R26" t="s">
        <v>214</v>
      </c>
      <c r="S26" t="b">
        <v>1</v>
      </c>
      <c r="T26" t="b">
        <v>0</v>
      </c>
      <c r="U26" t="s">
        <v>171</v>
      </c>
      <c r="V26" t="s">
        <v>171</v>
      </c>
      <c r="W26" t="b">
        <v>0</v>
      </c>
      <c r="X26" t="s">
        <v>171</v>
      </c>
      <c r="Y26" s="139" t="s">
        <v>167</v>
      </c>
      <c r="Z26" s="143" t="s">
        <v>168</v>
      </c>
      <c r="AA26" t="s">
        <v>169</v>
      </c>
      <c r="AB26" t="s">
        <v>170</v>
      </c>
      <c r="AC26" s="144">
        <v>1</v>
      </c>
      <c r="AD26" s="144">
        <v>3</v>
      </c>
      <c r="AE26" s="144">
        <f t="shared" si="12"/>
        <v>29</v>
      </c>
      <c r="AF26" s="144">
        <v>31</v>
      </c>
      <c r="AG26" s="145">
        <v>3.31</v>
      </c>
      <c r="AH26" s="145">
        <v>3.31</v>
      </c>
      <c r="AI26" t="s">
        <v>171</v>
      </c>
      <c r="AJ26" t="s">
        <v>172</v>
      </c>
      <c r="AK26" s="146">
        <v>12.74</v>
      </c>
      <c r="AL26" s="146">
        <v>-78.739999999999995</v>
      </c>
      <c r="AM26" t="s">
        <v>171</v>
      </c>
      <c r="AN26" t="s">
        <v>171</v>
      </c>
      <c r="AO26">
        <v>-2839</v>
      </c>
      <c r="AP26" t="s">
        <v>171</v>
      </c>
      <c r="AQ26" t="s">
        <v>171</v>
      </c>
      <c r="AR26" t="s">
        <v>171</v>
      </c>
      <c r="AS26" s="147">
        <v>77.3</v>
      </c>
      <c r="AT26" t="s">
        <v>173</v>
      </c>
      <c r="AU26">
        <v>4</v>
      </c>
      <c r="AV26">
        <v>4</v>
      </c>
      <c r="AW26" t="s">
        <v>171</v>
      </c>
      <c r="AX26" t="s">
        <v>174</v>
      </c>
      <c r="AY26" t="s">
        <v>171</v>
      </c>
      <c r="AZ26" t="s">
        <v>171</v>
      </c>
      <c r="BA26" t="s">
        <v>171</v>
      </c>
      <c r="BB26" t="s">
        <v>171</v>
      </c>
      <c r="BC26" t="s">
        <v>171</v>
      </c>
      <c r="BD26" t="s">
        <v>171</v>
      </c>
      <c r="BE26" t="s">
        <v>171</v>
      </c>
      <c r="BF26" t="s">
        <v>171</v>
      </c>
      <c r="BG26" t="s">
        <v>175</v>
      </c>
      <c r="BH26" t="s">
        <v>176</v>
      </c>
      <c r="BI26" t="s">
        <v>177</v>
      </c>
      <c r="BJ26" s="142">
        <v>2</v>
      </c>
      <c r="BK26" t="s">
        <v>178</v>
      </c>
      <c r="BL26" t="s">
        <v>179</v>
      </c>
      <c r="BM26" t="s">
        <v>180</v>
      </c>
      <c r="BN26" t="s">
        <v>171</v>
      </c>
      <c r="BO26" s="142">
        <v>2</v>
      </c>
      <c r="BP26" s="144" t="s">
        <v>171</v>
      </c>
      <c r="BQ26" s="145">
        <v>20.89</v>
      </c>
      <c r="BR26" t="s">
        <v>181</v>
      </c>
      <c r="BS26" s="149">
        <v>0.2</v>
      </c>
      <c r="BT26">
        <v>0.64</v>
      </c>
      <c r="BU26" t="s">
        <v>182</v>
      </c>
      <c r="BV26">
        <v>3.4000000000000002E-2</v>
      </c>
      <c r="BW26">
        <v>9.1</v>
      </c>
      <c r="BX26" t="s">
        <v>173</v>
      </c>
      <c r="BY26">
        <v>0.56000000000000005</v>
      </c>
      <c r="BZ26" t="s">
        <v>183</v>
      </c>
      <c r="CA26" t="s">
        <v>184</v>
      </c>
      <c r="CB26" s="148">
        <f t="shared" si="6"/>
        <v>20.033333333333335</v>
      </c>
      <c r="CC26" s="144" t="s">
        <v>185</v>
      </c>
      <c r="CD26" s="144" t="s">
        <v>171</v>
      </c>
      <c r="CE26" s="144" t="s">
        <v>171</v>
      </c>
      <c r="CF26" t="s">
        <v>186</v>
      </c>
      <c r="CG26" s="144">
        <v>10</v>
      </c>
      <c r="CH26" s="144" t="s">
        <v>187</v>
      </c>
      <c r="CI26" s="144" t="s">
        <v>171</v>
      </c>
      <c r="CJ26" s="147">
        <v>26.6</v>
      </c>
      <c r="CK26" t="s">
        <v>173</v>
      </c>
      <c r="CL26">
        <v>3</v>
      </c>
      <c r="CM26">
        <v>3</v>
      </c>
      <c r="CN26" t="s">
        <v>171</v>
      </c>
      <c r="CO26" s="149">
        <v>3.351</v>
      </c>
      <c r="CP26" t="s">
        <v>188</v>
      </c>
      <c r="CQ26" s="149">
        <v>0.13403999999999999</v>
      </c>
      <c r="CR26" s="149">
        <v>0.13403999999999999</v>
      </c>
      <c r="CS26" s="150" t="s">
        <v>171</v>
      </c>
      <c r="CT26" t="s">
        <v>189</v>
      </c>
      <c r="CU26" t="s">
        <v>171</v>
      </c>
      <c r="CV26" t="s">
        <v>190</v>
      </c>
      <c r="CW26" t="s">
        <v>191</v>
      </c>
      <c r="CX26" t="s">
        <v>191</v>
      </c>
      <c r="CY26" t="s">
        <v>191</v>
      </c>
      <c r="CZ26" t="s">
        <v>171</v>
      </c>
      <c r="DA26" t="s">
        <v>171</v>
      </c>
      <c r="DB26" t="s">
        <v>171</v>
      </c>
      <c r="DC26" t="s">
        <v>171</v>
      </c>
      <c r="DD26" t="s">
        <v>171</v>
      </c>
      <c r="DE26" t="s">
        <v>171</v>
      </c>
      <c r="DF26" t="s">
        <v>171</v>
      </c>
      <c r="DG26">
        <v>35</v>
      </c>
      <c r="DH26" t="s">
        <v>185</v>
      </c>
      <c r="DI26" s="142">
        <v>3</v>
      </c>
      <c r="DJ26" s="144" t="s">
        <v>192</v>
      </c>
      <c r="DK26" s="144" t="s">
        <v>171</v>
      </c>
      <c r="DL26" s="144" t="s">
        <v>171</v>
      </c>
      <c r="DM26" s="144" t="s">
        <v>171</v>
      </c>
      <c r="DN26" s="144" t="s">
        <v>171</v>
      </c>
      <c r="DO26" s="144" t="s">
        <v>171</v>
      </c>
      <c r="DP26" s="144" t="s">
        <v>171</v>
      </c>
      <c r="DQ26" s="144" t="s">
        <v>171</v>
      </c>
      <c r="DR26" s="144" t="s">
        <v>171</v>
      </c>
      <c r="DS26" s="144" t="s">
        <v>171</v>
      </c>
      <c r="DT26" s="144" t="s">
        <v>171</v>
      </c>
      <c r="DU26" s="144" t="s">
        <v>171</v>
      </c>
      <c r="DV26" s="144" t="s">
        <v>171</v>
      </c>
      <c r="DW26" s="147">
        <v>432.56244218316402</v>
      </c>
      <c r="DX26" t="s">
        <v>193</v>
      </c>
      <c r="DY26">
        <v>37.1</v>
      </c>
      <c r="DZ26" t="s">
        <v>194</v>
      </c>
      <c r="EA26">
        <v>39.61</v>
      </c>
      <c r="EB26" t="s">
        <v>185</v>
      </c>
      <c r="EC26" s="149">
        <f t="shared" si="1"/>
        <v>0.10773000000000001</v>
      </c>
      <c r="ED26" t="s">
        <v>195</v>
      </c>
      <c r="EE26" t="s">
        <v>196</v>
      </c>
      <c r="EF26" t="s">
        <v>197</v>
      </c>
      <c r="EG26">
        <v>1.0271999999999999</v>
      </c>
      <c r="EH26" t="s">
        <v>171</v>
      </c>
      <c r="EI26" t="s">
        <v>171</v>
      </c>
      <c r="EJ26" t="s">
        <v>198</v>
      </c>
      <c r="EK26" t="s">
        <v>191</v>
      </c>
      <c r="EL26" t="s">
        <v>191</v>
      </c>
      <c r="EM26" t="s">
        <v>199</v>
      </c>
      <c r="EN26" t="s">
        <v>200</v>
      </c>
      <c r="EO26" s="151" t="s">
        <v>201</v>
      </c>
      <c r="EP26" s="151" t="s">
        <v>201</v>
      </c>
      <c r="EQ26" s="144" t="s">
        <v>171</v>
      </c>
      <c r="ER26" s="144" t="s">
        <v>171</v>
      </c>
      <c r="ES26" s="144" t="s">
        <v>171</v>
      </c>
      <c r="ET26" t="s">
        <v>202</v>
      </c>
      <c r="EU26" t="s">
        <v>203</v>
      </c>
      <c r="EV26" t="s">
        <v>171</v>
      </c>
      <c r="EW26">
        <v>2352</v>
      </c>
      <c r="EX26" s="151" t="s">
        <v>204</v>
      </c>
      <c r="EY26" s="151">
        <v>175</v>
      </c>
      <c r="EZ26">
        <v>175</v>
      </c>
      <c r="FA26" t="s">
        <v>171</v>
      </c>
      <c r="FB26" t="s">
        <v>171</v>
      </c>
      <c r="FC26" t="s">
        <v>171</v>
      </c>
      <c r="FD26" t="s">
        <v>171</v>
      </c>
      <c r="FE26" s="152">
        <v>8.1903488692585107</v>
      </c>
      <c r="FF26" t="s">
        <v>205</v>
      </c>
      <c r="FG26" s="144" t="s">
        <v>171</v>
      </c>
      <c r="FH26" s="144" t="s">
        <v>171</v>
      </c>
      <c r="FI26" s="153">
        <v>258.10736765559102</v>
      </c>
      <c r="FJ26">
        <v>21</v>
      </c>
      <c r="FK26" t="s">
        <v>207</v>
      </c>
      <c r="FL26" s="153">
        <v>237.10736765559099</v>
      </c>
      <c r="FM26" s="153">
        <v>44.623192189424032</v>
      </c>
      <c r="FN26" s="153">
        <v>38.44322310875998</v>
      </c>
      <c r="FO26" t="s">
        <v>186</v>
      </c>
      <c r="FP26" t="s">
        <v>208</v>
      </c>
      <c r="FQ26" t="s">
        <v>171</v>
      </c>
      <c r="FR26" t="s">
        <v>171</v>
      </c>
      <c r="FS26" t="s">
        <v>171</v>
      </c>
      <c r="FT26" t="s">
        <v>171</v>
      </c>
      <c r="FU26" t="s">
        <v>171</v>
      </c>
      <c r="FV26" t="s">
        <v>171</v>
      </c>
      <c r="FW26" t="s">
        <v>171</v>
      </c>
      <c r="FX26" t="s">
        <v>171</v>
      </c>
      <c r="FY26" t="s">
        <v>171</v>
      </c>
      <c r="FZ26" t="s">
        <v>171</v>
      </c>
      <c r="GA26" t="s">
        <v>171</v>
      </c>
      <c r="GB26" t="s">
        <v>171</v>
      </c>
    </row>
    <row r="27" spans="1:184" ht="16" x14ac:dyDescent="0.2">
      <c r="A27" t="s">
        <v>217</v>
      </c>
      <c r="B27" s="143" t="s">
        <v>216</v>
      </c>
      <c r="C27" s="138" t="s">
        <v>212</v>
      </c>
      <c r="D27" t="s">
        <v>211</v>
      </c>
      <c r="E27">
        <v>2017</v>
      </c>
      <c r="F27" t="str">
        <f t="shared" si="7"/>
        <v>10.1073/pnas.1702143114</v>
      </c>
      <c r="G27" s="147">
        <f t="shared" si="8"/>
        <v>84.33</v>
      </c>
      <c r="H27">
        <f t="shared" si="2"/>
        <v>4</v>
      </c>
      <c r="I27">
        <f t="shared" si="3"/>
        <v>4</v>
      </c>
      <c r="J27" s="153">
        <f t="shared" si="9"/>
        <v>238.29987680476401</v>
      </c>
      <c r="K27" s="153">
        <f t="shared" si="10"/>
        <v>49.457071347235996</v>
      </c>
      <c r="L27" s="153">
        <f t="shared" si="11"/>
        <v>43.334620670909004</v>
      </c>
      <c r="M27" t="b">
        <v>1</v>
      </c>
      <c r="N27">
        <v>3</v>
      </c>
      <c r="O27" s="144" t="s">
        <v>228</v>
      </c>
      <c r="P27" s="144" t="s">
        <v>229</v>
      </c>
      <c r="Q27" t="b">
        <v>0</v>
      </c>
      <c r="R27" t="s">
        <v>214</v>
      </c>
      <c r="S27" t="b">
        <v>1</v>
      </c>
      <c r="T27" t="b">
        <v>0</v>
      </c>
      <c r="U27" t="s">
        <v>171</v>
      </c>
      <c r="V27" t="s">
        <v>171</v>
      </c>
      <c r="W27" t="b">
        <v>0</v>
      </c>
      <c r="X27" t="s">
        <v>171</v>
      </c>
      <c r="Y27" s="139" t="s">
        <v>167</v>
      </c>
      <c r="Z27" s="143" t="s">
        <v>168</v>
      </c>
      <c r="AA27" t="s">
        <v>169</v>
      </c>
      <c r="AB27" t="s">
        <v>170</v>
      </c>
      <c r="AC27" s="144">
        <v>1</v>
      </c>
      <c r="AD27" s="144">
        <v>3</v>
      </c>
      <c r="AE27" s="144">
        <f t="shared" si="12"/>
        <v>54</v>
      </c>
      <c r="AF27" s="144">
        <v>56</v>
      </c>
      <c r="AG27" s="145">
        <v>3.56</v>
      </c>
      <c r="AH27" s="145">
        <v>3.56</v>
      </c>
      <c r="AI27" t="s">
        <v>171</v>
      </c>
      <c r="AJ27" t="s">
        <v>172</v>
      </c>
      <c r="AK27" s="146">
        <v>12.74</v>
      </c>
      <c r="AL27" s="146">
        <v>-78.739999999999995</v>
      </c>
      <c r="AM27" t="s">
        <v>171</v>
      </c>
      <c r="AN27" t="s">
        <v>171</v>
      </c>
      <c r="AO27">
        <v>-2839</v>
      </c>
      <c r="AP27" t="s">
        <v>171</v>
      </c>
      <c r="AQ27" t="s">
        <v>171</v>
      </c>
      <c r="AR27" t="s">
        <v>171</v>
      </c>
      <c r="AS27" s="147">
        <v>84.33</v>
      </c>
      <c r="AT27" t="s">
        <v>173</v>
      </c>
      <c r="AU27">
        <v>4</v>
      </c>
      <c r="AV27">
        <v>4</v>
      </c>
      <c r="AW27" t="s">
        <v>171</v>
      </c>
      <c r="AX27" t="s">
        <v>174</v>
      </c>
      <c r="AY27" t="s">
        <v>171</v>
      </c>
      <c r="AZ27" t="s">
        <v>171</v>
      </c>
      <c r="BA27" t="s">
        <v>171</v>
      </c>
      <c r="BB27" t="s">
        <v>171</v>
      </c>
      <c r="BC27" t="s">
        <v>171</v>
      </c>
      <c r="BD27" t="s">
        <v>171</v>
      </c>
      <c r="BE27" t="s">
        <v>171</v>
      </c>
      <c r="BF27" t="s">
        <v>171</v>
      </c>
      <c r="BG27" t="s">
        <v>175</v>
      </c>
      <c r="BH27" t="s">
        <v>176</v>
      </c>
      <c r="BI27" t="s">
        <v>177</v>
      </c>
      <c r="BJ27" s="142">
        <v>2</v>
      </c>
      <c r="BK27" t="s">
        <v>178</v>
      </c>
      <c r="BL27" t="s">
        <v>179</v>
      </c>
      <c r="BM27" t="s">
        <v>180</v>
      </c>
      <c r="BN27" t="s">
        <v>171</v>
      </c>
      <c r="BO27" s="142">
        <v>2</v>
      </c>
      <c r="BP27" s="144" t="s">
        <v>171</v>
      </c>
      <c r="BQ27" s="145">
        <v>20.88</v>
      </c>
      <c r="BR27" t="s">
        <v>181</v>
      </c>
      <c r="BS27" s="149">
        <v>0.26</v>
      </c>
      <c r="BT27">
        <v>0.64</v>
      </c>
      <c r="BU27" t="s">
        <v>182</v>
      </c>
      <c r="BV27">
        <v>3.4000000000000002E-2</v>
      </c>
      <c r="BW27">
        <v>9.1</v>
      </c>
      <c r="BX27" t="s">
        <v>173</v>
      </c>
      <c r="BY27">
        <v>0.56000000000000005</v>
      </c>
      <c r="BZ27" t="s">
        <v>183</v>
      </c>
      <c r="CA27" t="s">
        <v>184</v>
      </c>
      <c r="CB27" s="148">
        <f t="shared" si="6"/>
        <v>20.016666666666666</v>
      </c>
      <c r="CC27" s="144" t="s">
        <v>185</v>
      </c>
      <c r="CD27" s="144" t="s">
        <v>171</v>
      </c>
      <c r="CE27" s="144" t="s">
        <v>171</v>
      </c>
      <c r="CF27" t="s">
        <v>186</v>
      </c>
      <c r="CG27" s="144">
        <v>10</v>
      </c>
      <c r="CH27" s="144" t="s">
        <v>187</v>
      </c>
      <c r="CI27" s="144" t="s">
        <v>171</v>
      </c>
      <c r="CJ27" s="147">
        <v>26.63</v>
      </c>
      <c r="CK27" t="s">
        <v>173</v>
      </c>
      <c r="CL27">
        <v>3</v>
      </c>
      <c r="CM27">
        <v>3</v>
      </c>
      <c r="CN27" t="s">
        <v>171</v>
      </c>
      <c r="CO27" s="149">
        <v>3.5369999999999999</v>
      </c>
      <c r="CP27" t="s">
        <v>188</v>
      </c>
      <c r="CQ27" s="149">
        <v>0.14147999999999999</v>
      </c>
      <c r="CR27" s="149">
        <v>0.14147999999999999</v>
      </c>
      <c r="CS27" s="150" t="s">
        <v>171</v>
      </c>
      <c r="CT27" t="s">
        <v>189</v>
      </c>
      <c r="CU27" t="s">
        <v>171</v>
      </c>
      <c r="CV27" t="s">
        <v>190</v>
      </c>
      <c r="CW27" t="s">
        <v>191</v>
      </c>
      <c r="CX27" t="s">
        <v>191</v>
      </c>
      <c r="CY27" t="s">
        <v>191</v>
      </c>
      <c r="CZ27" t="s">
        <v>171</v>
      </c>
      <c r="DA27" t="s">
        <v>171</v>
      </c>
      <c r="DB27" t="s">
        <v>171</v>
      </c>
      <c r="DC27" t="s">
        <v>171</v>
      </c>
      <c r="DD27" t="s">
        <v>171</v>
      </c>
      <c r="DE27" t="s">
        <v>171</v>
      </c>
      <c r="DF27" t="s">
        <v>171</v>
      </c>
      <c r="DG27">
        <v>35</v>
      </c>
      <c r="DH27" t="s">
        <v>185</v>
      </c>
      <c r="DI27" s="142">
        <v>3</v>
      </c>
      <c r="DJ27" s="144" t="s">
        <v>192</v>
      </c>
      <c r="DK27" s="144" t="s">
        <v>171</v>
      </c>
      <c r="DL27" s="144" t="s">
        <v>171</v>
      </c>
      <c r="DM27" s="144" t="s">
        <v>171</v>
      </c>
      <c r="DN27" s="144" t="s">
        <v>171</v>
      </c>
      <c r="DO27" s="144" t="s">
        <v>171</v>
      </c>
      <c r="DP27" s="144" t="s">
        <v>171</v>
      </c>
      <c r="DQ27" s="144" t="s">
        <v>171</v>
      </c>
      <c r="DR27" s="144" t="s">
        <v>171</v>
      </c>
      <c r="DS27" s="144" t="s">
        <v>171</v>
      </c>
      <c r="DT27" s="144" t="s">
        <v>171</v>
      </c>
      <c r="DU27" s="144" t="s">
        <v>171</v>
      </c>
      <c r="DV27" s="144" t="s">
        <v>171</v>
      </c>
      <c r="DW27" s="147">
        <v>432.56244218316402</v>
      </c>
      <c r="DX27" t="s">
        <v>193</v>
      </c>
      <c r="DY27">
        <v>37.1</v>
      </c>
      <c r="DZ27" t="s">
        <v>194</v>
      </c>
      <c r="EA27">
        <v>39.61</v>
      </c>
      <c r="EB27" t="s">
        <v>185</v>
      </c>
      <c r="EC27" s="149">
        <f t="shared" si="1"/>
        <v>0.108433</v>
      </c>
      <c r="ED27" t="s">
        <v>195</v>
      </c>
      <c r="EE27" t="s">
        <v>196</v>
      </c>
      <c r="EF27" t="s">
        <v>197</v>
      </c>
      <c r="EG27">
        <v>1.0271999999999999</v>
      </c>
      <c r="EH27" t="s">
        <v>171</v>
      </c>
      <c r="EI27" t="s">
        <v>171</v>
      </c>
      <c r="EJ27" t="s">
        <v>198</v>
      </c>
      <c r="EK27" t="s">
        <v>191</v>
      </c>
      <c r="EL27" t="s">
        <v>191</v>
      </c>
      <c r="EM27" t="s">
        <v>199</v>
      </c>
      <c r="EN27" t="s">
        <v>200</v>
      </c>
      <c r="EO27" s="151" t="s">
        <v>201</v>
      </c>
      <c r="EP27" s="151" t="s">
        <v>201</v>
      </c>
      <c r="EQ27" s="144" t="s">
        <v>171</v>
      </c>
      <c r="ER27" s="144" t="s">
        <v>171</v>
      </c>
      <c r="ES27" s="144" t="s">
        <v>171</v>
      </c>
      <c r="ET27" t="s">
        <v>202</v>
      </c>
      <c r="EU27" t="s">
        <v>203</v>
      </c>
      <c r="EV27" t="s">
        <v>171</v>
      </c>
      <c r="EW27">
        <v>2353</v>
      </c>
      <c r="EX27" s="151" t="s">
        <v>204</v>
      </c>
      <c r="EY27" s="151">
        <v>175</v>
      </c>
      <c r="EZ27">
        <v>175</v>
      </c>
      <c r="FA27" t="s">
        <v>171</v>
      </c>
      <c r="FB27" t="s">
        <v>171</v>
      </c>
      <c r="FC27" t="s">
        <v>171</v>
      </c>
      <c r="FD27" t="s">
        <v>171</v>
      </c>
      <c r="FE27" s="152">
        <v>8.1889245957919403</v>
      </c>
      <c r="FF27" t="s">
        <v>205</v>
      </c>
      <c r="FG27" s="144" t="s">
        <v>171</v>
      </c>
      <c r="FH27" s="144" t="s">
        <v>171</v>
      </c>
      <c r="FI27" s="153">
        <v>259.29987680476404</v>
      </c>
      <c r="FJ27">
        <v>21</v>
      </c>
      <c r="FK27" t="s">
        <v>207</v>
      </c>
      <c r="FL27" s="153">
        <v>238.29987680476401</v>
      </c>
      <c r="FM27" s="153">
        <v>49.457071347235996</v>
      </c>
      <c r="FN27" s="153">
        <v>43.334620670909004</v>
      </c>
      <c r="FO27" t="s">
        <v>186</v>
      </c>
      <c r="FP27" t="s">
        <v>208</v>
      </c>
      <c r="FQ27" t="s">
        <v>171</v>
      </c>
      <c r="FR27" t="s">
        <v>171</v>
      </c>
      <c r="FS27" t="s">
        <v>171</v>
      </c>
      <c r="FT27" t="s">
        <v>171</v>
      </c>
      <c r="FU27" t="s">
        <v>171</v>
      </c>
      <c r="FV27" t="s">
        <v>171</v>
      </c>
      <c r="FW27" t="s">
        <v>171</v>
      </c>
      <c r="FX27" t="s">
        <v>171</v>
      </c>
      <c r="FY27" t="s">
        <v>171</v>
      </c>
      <c r="FZ27" t="s">
        <v>171</v>
      </c>
      <c r="GA27" t="s">
        <v>171</v>
      </c>
      <c r="GB27" t="s">
        <v>171</v>
      </c>
    </row>
    <row r="28" spans="1:184" ht="16" x14ac:dyDescent="0.2">
      <c r="A28" t="s">
        <v>217</v>
      </c>
      <c r="B28" s="143" t="s">
        <v>216</v>
      </c>
      <c r="C28" s="138" t="s">
        <v>212</v>
      </c>
      <c r="D28" t="s">
        <v>211</v>
      </c>
      <c r="E28">
        <v>2017</v>
      </c>
      <c r="F28" t="str">
        <f t="shared" si="7"/>
        <v>10.1073/pnas.1702143114</v>
      </c>
      <c r="G28" s="147">
        <f t="shared" si="8"/>
        <v>89.11</v>
      </c>
      <c r="H28">
        <f t="shared" si="2"/>
        <v>4</v>
      </c>
      <c r="I28">
        <f t="shared" si="3"/>
        <v>4</v>
      </c>
      <c r="J28" s="153">
        <f t="shared" si="9"/>
        <v>264.45673598417102</v>
      </c>
      <c r="K28" s="153">
        <f t="shared" si="10"/>
        <v>48.372525197276957</v>
      </c>
      <c r="L28" s="153">
        <f t="shared" si="11"/>
        <v>41.765357350798013</v>
      </c>
      <c r="M28" t="b">
        <v>1</v>
      </c>
      <c r="N28">
        <v>3</v>
      </c>
      <c r="O28" s="144" t="s">
        <v>228</v>
      </c>
      <c r="P28" s="144" t="s">
        <v>229</v>
      </c>
      <c r="Q28" t="b">
        <v>0</v>
      </c>
      <c r="R28" t="s">
        <v>214</v>
      </c>
      <c r="S28" t="b">
        <v>1</v>
      </c>
      <c r="T28" t="b">
        <v>0</v>
      </c>
      <c r="U28" t="s">
        <v>171</v>
      </c>
      <c r="V28" t="s">
        <v>171</v>
      </c>
      <c r="W28" t="b">
        <v>0</v>
      </c>
      <c r="X28" t="s">
        <v>171</v>
      </c>
      <c r="Y28" s="139" t="s">
        <v>167</v>
      </c>
      <c r="Z28" s="143" t="s">
        <v>168</v>
      </c>
      <c r="AA28" t="s">
        <v>169</v>
      </c>
      <c r="AB28" t="s">
        <v>170</v>
      </c>
      <c r="AC28" s="144">
        <v>1</v>
      </c>
      <c r="AD28" s="144">
        <v>3</v>
      </c>
      <c r="AE28" s="144">
        <f t="shared" si="12"/>
        <v>71</v>
      </c>
      <c r="AF28" s="144">
        <v>73</v>
      </c>
      <c r="AG28" s="145">
        <v>3.73</v>
      </c>
      <c r="AH28" s="145">
        <v>3.73</v>
      </c>
      <c r="AI28" t="s">
        <v>171</v>
      </c>
      <c r="AJ28" t="s">
        <v>172</v>
      </c>
      <c r="AK28" s="146">
        <v>12.74</v>
      </c>
      <c r="AL28" s="146">
        <v>-78.739999999999995</v>
      </c>
      <c r="AM28" t="s">
        <v>171</v>
      </c>
      <c r="AN28" t="s">
        <v>171</v>
      </c>
      <c r="AO28">
        <v>-2839</v>
      </c>
      <c r="AP28" t="s">
        <v>171</v>
      </c>
      <c r="AQ28" t="s">
        <v>171</v>
      </c>
      <c r="AR28" t="s">
        <v>171</v>
      </c>
      <c r="AS28" s="147">
        <v>89.11</v>
      </c>
      <c r="AT28" t="s">
        <v>173</v>
      </c>
      <c r="AU28">
        <v>4</v>
      </c>
      <c r="AV28">
        <v>4</v>
      </c>
      <c r="AW28" t="s">
        <v>171</v>
      </c>
      <c r="AX28" t="s">
        <v>174</v>
      </c>
      <c r="AY28" t="s">
        <v>171</v>
      </c>
      <c r="AZ28" t="s">
        <v>171</v>
      </c>
      <c r="BA28" t="s">
        <v>171</v>
      </c>
      <c r="BB28" t="s">
        <v>171</v>
      </c>
      <c r="BC28" t="s">
        <v>171</v>
      </c>
      <c r="BD28" t="s">
        <v>171</v>
      </c>
      <c r="BE28" t="s">
        <v>171</v>
      </c>
      <c r="BF28" t="s">
        <v>171</v>
      </c>
      <c r="BG28" t="s">
        <v>175</v>
      </c>
      <c r="BH28" t="s">
        <v>176</v>
      </c>
      <c r="BI28" t="s">
        <v>177</v>
      </c>
      <c r="BJ28" s="142">
        <v>2</v>
      </c>
      <c r="BK28" t="s">
        <v>178</v>
      </c>
      <c r="BL28" t="s">
        <v>179</v>
      </c>
      <c r="BM28" t="s">
        <v>180</v>
      </c>
      <c r="BN28" t="s">
        <v>171</v>
      </c>
      <c r="BO28" s="142">
        <v>2</v>
      </c>
      <c r="BP28" s="144" t="s">
        <v>171</v>
      </c>
      <c r="BQ28" s="145">
        <v>20.68</v>
      </c>
      <c r="BR28" t="s">
        <v>181</v>
      </c>
      <c r="BS28" s="149">
        <v>0.2</v>
      </c>
      <c r="BT28">
        <v>0.64</v>
      </c>
      <c r="BU28" t="s">
        <v>182</v>
      </c>
      <c r="BV28">
        <v>3.4000000000000002E-2</v>
      </c>
      <c r="BW28">
        <v>9.1</v>
      </c>
      <c r="BX28" t="s">
        <v>173</v>
      </c>
      <c r="BY28">
        <v>0.56000000000000005</v>
      </c>
      <c r="BZ28" t="s">
        <v>183</v>
      </c>
      <c r="CA28" t="s">
        <v>184</v>
      </c>
      <c r="CB28" s="148">
        <f t="shared" si="6"/>
        <v>19.683333333333334</v>
      </c>
      <c r="CC28" s="144" t="s">
        <v>185</v>
      </c>
      <c r="CD28" s="144" t="s">
        <v>171</v>
      </c>
      <c r="CE28" s="144" t="s">
        <v>171</v>
      </c>
      <c r="CF28" t="s">
        <v>186</v>
      </c>
      <c r="CG28" s="144">
        <v>10</v>
      </c>
      <c r="CH28" s="144" t="s">
        <v>187</v>
      </c>
      <c r="CI28" s="144" t="s">
        <v>171</v>
      </c>
      <c r="CJ28" s="147">
        <v>27.18</v>
      </c>
      <c r="CK28" t="s">
        <v>173</v>
      </c>
      <c r="CL28">
        <v>3</v>
      </c>
      <c r="CM28">
        <v>3</v>
      </c>
      <c r="CN28" t="s">
        <v>171</v>
      </c>
      <c r="CO28" s="149">
        <v>3.4580000000000002</v>
      </c>
      <c r="CP28" t="s">
        <v>188</v>
      </c>
      <c r="CQ28" s="149">
        <v>0.13832</v>
      </c>
      <c r="CR28" s="149">
        <v>0.13832</v>
      </c>
      <c r="CS28" s="150" t="s">
        <v>171</v>
      </c>
      <c r="CT28" t="s">
        <v>189</v>
      </c>
      <c r="CU28" t="s">
        <v>171</v>
      </c>
      <c r="CV28" t="s">
        <v>190</v>
      </c>
      <c r="CW28" t="s">
        <v>191</v>
      </c>
      <c r="CX28" t="s">
        <v>191</v>
      </c>
      <c r="CY28" t="s">
        <v>191</v>
      </c>
      <c r="CZ28" t="s">
        <v>171</v>
      </c>
      <c r="DA28" t="s">
        <v>171</v>
      </c>
      <c r="DB28" t="s">
        <v>171</v>
      </c>
      <c r="DC28" t="s">
        <v>171</v>
      </c>
      <c r="DD28" t="s">
        <v>171</v>
      </c>
      <c r="DE28" t="s">
        <v>171</v>
      </c>
      <c r="DF28" t="s">
        <v>171</v>
      </c>
      <c r="DG28">
        <v>35</v>
      </c>
      <c r="DH28" t="s">
        <v>185</v>
      </c>
      <c r="DI28" s="142">
        <v>3</v>
      </c>
      <c r="DJ28" s="144" t="s">
        <v>192</v>
      </c>
      <c r="DK28" s="144" t="s">
        <v>171</v>
      </c>
      <c r="DL28" s="144" t="s">
        <v>171</v>
      </c>
      <c r="DM28" s="144" t="s">
        <v>171</v>
      </c>
      <c r="DN28" s="144" t="s">
        <v>171</v>
      </c>
      <c r="DO28" s="144" t="s">
        <v>171</v>
      </c>
      <c r="DP28" s="144" t="s">
        <v>171</v>
      </c>
      <c r="DQ28" s="144" t="s">
        <v>171</v>
      </c>
      <c r="DR28" s="144" t="s">
        <v>171</v>
      </c>
      <c r="DS28" s="144" t="s">
        <v>171</v>
      </c>
      <c r="DT28" s="144" t="s">
        <v>171</v>
      </c>
      <c r="DU28" s="144" t="s">
        <v>171</v>
      </c>
      <c r="DV28" s="144" t="s">
        <v>171</v>
      </c>
      <c r="DW28" s="147">
        <v>432.56244218316402</v>
      </c>
      <c r="DX28" t="s">
        <v>193</v>
      </c>
      <c r="DY28">
        <v>37.1</v>
      </c>
      <c r="DZ28" t="s">
        <v>194</v>
      </c>
      <c r="EA28">
        <v>39.61</v>
      </c>
      <c r="EB28" t="s">
        <v>185</v>
      </c>
      <c r="EC28" s="149">
        <f t="shared" si="1"/>
        <v>0.10891100000000001</v>
      </c>
      <c r="ED28" t="s">
        <v>195</v>
      </c>
      <c r="EE28" t="s">
        <v>196</v>
      </c>
      <c r="EF28" t="s">
        <v>197</v>
      </c>
      <c r="EG28">
        <v>1.0271999999999999</v>
      </c>
      <c r="EH28" t="s">
        <v>171</v>
      </c>
      <c r="EI28" t="s">
        <v>171</v>
      </c>
      <c r="EJ28" t="s">
        <v>198</v>
      </c>
      <c r="EK28" t="s">
        <v>191</v>
      </c>
      <c r="EL28" t="s">
        <v>191</v>
      </c>
      <c r="EM28" t="s">
        <v>199</v>
      </c>
      <c r="EN28" t="s">
        <v>200</v>
      </c>
      <c r="EO28" s="151" t="s">
        <v>201</v>
      </c>
      <c r="EP28" s="151" t="s">
        <v>201</v>
      </c>
      <c r="EQ28" s="144" t="s">
        <v>171</v>
      </c>
      <c r="ER28" s="144" t="s">
        <v>171</v>
      </c>
      <c r="ES28" s="144" t="s">
        <v>171</v>
      </c>
      <c r="ET28" t="s">
        <v>202</v>
      </c>
      <c r="EU28" t="s">
        <v>203</v>
      </c>
      <c r="EV28" t="s">
        <v>171</v>
      </c>
      <c r="EW28">
        <v>2354</v>
      </c>
      <c r="EX28" s="151" t="s">
        <v>204</v>
      </c>
      <c r="EY28" s="151">
        <v>175</v>
      </c>
      <c r="EZ28">
        <v>175</v>
      </c>
      <c r="FA28" t="s">
        <v>171</v>
      </c>
      <c r="FB28" t="s">
        <v>171</v>
      </c>
      <c r="FC28" t="s">
        <v>171</v>
      </c>
      <c r="FD28" t="s">
        <v>171</v>
      </c>
      <c r="FE28" s="152">
        <v>8.1556654197336602</v>
      </c>
      <c r="FF28" t="s">
        <v>205</v>
      </c>
      <c r="FG28" s="144" t="s">
        <v>171</v>
      </c>
      <c r="FH28" s="144" t="s">
        <v>171</v>
      </c>
      <c r="FI28" s="153">
        <v>285.45673598417102</v>
      </c>
      <c r="FJ28">
        <v>21</v>
      </c>
      <c r="FK28" t="s">
        <v>207</v>
      </c>
      <c r="FL28" s="153">
        <v>264.45673598417102</v>
      </c>
      <c r="FM28" s="153">
        <v>48.372525197276957</v>
      </c>
      <c r="FN28" s="153">
        <v>41.765357350798013</v>
      </c>
      <c r="FO28" t="s">
        <v>186</v>
      </c>
      <c r="FP28" t="s">
        <v>208</v>
      </c>
      <c r="FQ28" t="s">
        <v>171</v>
      </c>
      <c r="FR28" t="s">
        <v>171</v>
      </c>
      <c r="FS28" t="s">
        <v>171</v>
      </c>
      <c r="FT28" t="s">
        <v>171</v>
      </c>
      <c r="FU28" t="s">
        <v>171</v>
      </c>
      <c r="FV28" t="s">
        <v>171</v>
      </c>
      <c r="FW28" t="s">
        <v>171</v>
      </c>
      <c r="FX28" t="s">
        <v>171</v>
      </c>
      <c r="FY28" t="s">
        <v>171</v>
      </c>
      <c r="FZ28" t="s">
        <v>171</v>
      </c>
      <c r="GA28" t="s">
        <v>171</v>
      </c>
      <c r="GB28" t="s">
        <v>171</v>
      </c>
    </row>
    <row r="29" spans="1:184" ht="16" x14ac:dyDescent="0.2">
      <c r="A29" t="s">
        <v>217</v>
      </c>
      <c r="B29" s="143" t="s">
        <v>216</v>
      </c>
      <c r="C29" s="138" t="s">
        <v>212</v>
      </c>
      <c r="D29" t="s">
        <v>211</v>
      </c>
      <c r="E29">
        <v>2017</v>
      </c>
      <c r="F29" t="str">
        <f t="shared" si="7"/>
        <v>10.1073/pnas.1702143114</v>
      </c>
      <c r="G29" s="147">
        <f t="shared" si="8"/>
        <v>100.36</v>
      </c>
      <c r="H29">
        <f t="shared" si="2"/>
        <v>4</v>
      </c>
      <c r="I29">
        <f t="shared" si="3"/>
        <v>4</v>
      </c>
      <c r="J29" s="153">
        <f t="shared" si="9"/>
        <v>274.78210208297202</v>
      </c>
      <c r="K29" s="153">
        <f t="shared" si="10"/>
        <v>52.950972172772993</v>
      </c>
      <c r="L29" s="153">
        <f t="shared" si="11"/>
        <v>47.098749966526015</v>
      </c>
      <c r="M29" t="b">
        <v>1</v>
      </c>
      <c r="N29">
        <v>3</v>
      </c>
      <c r="O29" s="144" t="s">
        <v>228</v>
      </c>
      <c r="P29" s="144" t="s">
        <v>229</v>
      </c>
      <c r="Q29" t="b">
        <v>0</v>
      </c>
      <c r="R29" t="s">
        <v>214</v>
      </c>
      <c r="S29" t="b">
        <v>1</v>
      </c>
      <c r="T29" t="b">
        <v>0</v>
      </c>
      <c r="U29" t="s">
        <v>171</v>
      </c>
      <c r="V29" t="s">
        <v>171</v>
      </c>
      <c r="W29" t="b">
        <v>0</v>
      </c>
      <c r="X29" t="s">
        <v>171</v>
      </c>
      <c r="Y29" s="139" t="s">
        <v>167</v>
      </c>
      <c r="Z29" s="143" t="s">
        <v>168</v>
      </c>
      <c r="AA29" t="s">
        <v>169</v>
      </c>
      <c r="AB29" t="s">
        <v>170</v>
      </c>
      <c r="AC29" s="144">
        <v>1</v>
      </c>
      <c r="AD29" s="144">
        <v>3</v>
      </c>
      <c r="AE29" s="144">
        <f t="shared" si="12"/>
        <v>111</v>
      </c>
      <c r="AF29" s="144">
        <v>113</v>
      </c>
      <c r="AG29" s="145">
        <v>4.13</v>
      </c>
      <c r="AH29" s="145">
        <v>4.13</v>
      </c>
      <c r="AI29" t="s">
        <v>171</v>
      </c>
      <c r="AJ29" t="s">
        <v>172</v>
      </c>
      <c r="AK29" s="146">
        <v>12.74</v>
      </c>
      <c r="AL29" s="146">
        <v>-78.739999999999995</v>
      </c>
      <c r="AM29" t="s">
        <v>171</v>
      </c>
      <c r="AN29" t="s">
        <v>171</v>
      </c>
      <c r="AO29">
        <v>-2839</v>
      </c>
      <c r="AP29" t="s">
        <v>171</v>
      </c>
      <c r="AQ29" t="s">
        <v>171</v>
      </c>
      <c r="AR29" t="s">
        <v>171</v>
      </c>
      <c r="AS29" s="147">
        <v>100.36</v>
      </c>
      <c r="AT29" t="s">
        <v>173</v>
      </c>
      <c r="AU29">
        <v>4</v>
      </c>
      <c r="AV29">
        <v>4</v>
      </c>
      <c r="AW29" t="s">
        <v>171</v>
      </c>
      <c r="AX29" t="s">
        <v>174</v>
      </c>
      <c r="AY29" t="s">
        <v>171</v>
      </c>
      <c r="AZ29" t="s">
        <v>171</v>
      </c>
      <c r="BA29" t="s">
        <v>171</v>
      </c>
      <c r="BB29" t="s">
        <v>171</v>
      </c>
      <c r="BC29" t="s">
        <v>171</v>
      </c>
      <c r="BD29" t="s">
        <v>171</v>
      </c>
      <c r="BE29" t="s">
        <v>171</v>
      </c>
      <c r="BF29" t="s">
        <v>171</v>
      </c>
      <c r="BG29" t="s">
        <v>175</v>
      </c>
      <c r="BH29" t="s">
        <v>176</v>
      </c>
      <c r="BI29" t="s">
        <v>177</v>
      </c>
      <c r="BJ29" s="142">
        <v>2</v>
      </c>
      <c r="BK29" t="s">
        <v>178</v>
      </c>
      <c r="BL29" t="s">
        <v>179</v>
      </c>
      <c r="BM29" t="s">
        <v>180</v>
      </c>
      <c r="BN29" t="s">
        <v>171</v>
      </c>
      <c r="BO29" s="142">
        <v>2</v>
      </c>
      <c r="BP29" s="144" t="s">
        <v>171</v>
      </c>
      <c r="BQ29" s="145">
        <v>20.58</v>
      </c>
      <c r="BR29" t="s">
        <v>181</v>
      </c>
      <c r="BS29" s="149">
        <v>0.24</v>
      </c>
      <c r="BT29">
        <v>0.64</v>
      </c>
      <c r="BU29" t="s">
        <v>182</v>
      </c>
      <c r="BV29">
        <v>3.4000000000000002E-2</v>
      </c>
      <c r="BW29">
        <v>9.1</v>
      </c>
      <c r="BX29" t="s">
        <v>173</v>
      </c>
      <c r="BY29">
        <v>0.56000000000000005</v>
      </c>
      <c r="BZ29" t="s">
        <v>183</v>
      </c>
      <c r="CA29" t="s">
        <v>184</v>
      </c>
      <c r="CB29" s="148">
        <f t="shared" si="6"/>
        <v>19.516666666666666</v>
      </c>
      <c r="CC29" s="144" t="s">
        <v>185</v>
      </c>
      <c r="CD29" s="144" t="s">
        <v>171</v>
      </c>
      <c r="CE29" s="144" t="s">
        <v>171</v>
      </c>
      <c r="CF29" t="s">
        <v>186</v>
      </c>
      <c r="CG29" s="144">
        <v>10</v>
      </c>
      <c r="CH29" s="144" t="s">
        <v>187</v>
      </c>
      <c r="CI29" s="144" t="s">
        <v>171</v>
      </c>
      <c r="CJ29" s="147">
        <v>27.02</v>
      </c>
      <c r="CK29" t="s">
        <v>173</v>
      </c>
      <c r="CL29">
        <v>3</v>
      </c>
      <c r="CM29">
        <v>3</v>
      </c>
      <c r="CN29" t="s">
        <v>171</v>
      </c>
      <c r="CO29" s="149">
        <v>3.4950000000000001</v>
      </c>
      <c r="CP29" t="s">
        <v>188</v>
      </c>
      <c r="CQ29" s="149">
        <v>0.13980000000000001</v>
      </c>
      <c r="CR29" s="149">
        <v>0.13980000000000001</v>
      </c>
      <c r="CS29" s="150" t="s">
        <v>171</v>
      </c>
      <c r="CT29" t="s">
        <v>189</v>
      </c>
      <c r="CU29" t="s">
        <v>171</v>
      </c>
      <c r="CV29" t="s">
        <v>190</v>
      </c>
      <c r="CW29" t="s">
        <v>191</v>
      </c>
      <c r="CX29" t="s">
        <v>191</v>
      </c>
      <c r="CY29" t="s">
        <v>191</v>
      </c>
      <c r="CZ29" t="s">
        <v>171</v>
      </c>
      <c r="DA29" t="s">
        <v>171</v>
      </c>
      <c r="DB29" t="s">
        <v>171</v>
      </c>
      <c r="DC29" t="s">
        <v>171</v>
      </c>
      <c r="DD29" t="s">
        <v>171</v>
      </c>
      <c r="DE29" t="s">
        <v>171</v>
      </c>
      <c r="DF29" t="s">
        <v>171</v>
      </c>
      <c r="DG29">
        <v>35</v>
      </c>
      <c r="DH29" t="s">
        <v>185</v>
      </c>
      <c r="DI29" s="142">
        <v>3</v>
      </c>
      <c r="DJ29" s="144" t="s">
        <v>192</v>
      </c>
      <c r="DK29" s="144" t="s">
        <v>171</v>
      </c>
      <c r="DL29" s="144" t="s">
        <v>171</v>
      </c>
      <c r="DM29" s="144" t="s">
        <v>171</v>
      </c>
      <c r="DN29" s="144" t="s">
        <v>171</v>
      </c>
      <c r="DO29" s="144" t="s">
        <v>171</v>
      </c>
      <c r="DP29" s="144" t="s">
        <v>171</v>
      </c>
      <c r="DQ29" s="144" t="s">
        <v>171</v>
      </c>
      <c r="DR29" s="144" t="s">
        <v>171</v>
      </c>
      <c r="DS29" s="144" t="s">
        <v>171</v>
      </c>
      <c r="DT29" s="144" t="s">
        <v>171</v>
      </c>
      <c r="DU29" s="144" t="s">
        <v>171</v>
      </c>
      <c r="DV29" s="144" t="s">
        <v>171</v>
      </c>
      <c r="DW29" s="147">
        <v>432.56244218316402</v>
      </c>
      <c r="DX29" t="s">
        <v>193</v>
      </c>
      <c r="DY29">
        <v>37.1</v>
      </c>
      <c r="DZ29" t="s">
        <v>194</v>
      </c>
      <c r="EA29">
        <v>39.61</v>
      </c>
      <c r="EB29" t="s">
        <v>185</v>
      </c>
      <c r="EC29" s="149">
        <f t="shared" si="1"/>
        <v>0.11003600000000001</v>
      </c>
      <c r="ED29" t="s">
        <v>195</v>
      </c>
      <c r="EE29" t="s">
        <v>196</v>
      </c>
      <c r="EF29" t="s">
        <v>197</v>
      </c>
      <c r="EG29">
        <v>1.0271999999999999</v>
      </c>
      <c r="EH29" t="s">
        <v>171</v>
      </c>
      <c r="EI29" t="s">
        <v>171</v>
      </c>
      <c r="EJ29" t="s">
        <v>198</v>
      </c>
      <c r="EK29" t="s">
        <v>191</v>
      </c>
      <c r="EL29" t="s">
        <v>191</v>
      </c>
      <c r="EM29" t="s">
        <v>199</v>
      </c>
      <c r="EN29" t="s">
        <v>200</v>
      </c>
      <c r="EO29" s="151" t="s">
        <v>201</v>
      </c>
      <c r="EP29" s="151" t="s">
        <v>201</v>
      </c>
      <c r="EQ29" s="144" t="s">
        <v>171</v>
      </c>
      <c r="ER29" s="144" t="s">
        <v>171</v>
      </c>
      <c r="ES29" s="144" t="s">
        <v>171</v>
      </c>
      <c r="ET29" t="s">
        <v>202</v>
      </c>
      <c r="EU29" t="s">
        <v>203</v>
      </c>
      <c r="EV29" t="s">
        <v>171</v>
      </c>
      <c r="EW29">
        <v>2355</v>
      </c>
      <c r="EX29" s="151" t="s">
        <v>204</v>
      </c>
      <c r="EY29" s="151">
        <v>175</v>
      </c>
      <c r="EZ29">
        <v>175</v>
      </c>
      <c r="FA29" t="s">
        <v>171</v>
      </c>
      <c r="FB29" t="s">
        <v>171</v>
      </c>
      <c r="FC29" t="s">
        <v>171</v>
      </c>
      <c r="FD29" t="s">
        <v>171</v>
      </c>
      <c r="FE29" s="152">
        <v>8.1445879546953996</v>
      </c>
      <c r="FF29" t="s">
        <v>205</v>
      </c>
      <c r="FG29" s="144" t="s">
        <v>171</v>
      </c>
      <c r="FH29" s="144" t="s">
        <v>171</v>
      </c>
      <c r="FI29" s="153">
        <v>295.78210208297202</v>
      </c>
      <c r="FJ29">
        <v>21</v>
      </c>
      <c r="FK29" t="s">
        <v>207</v>
      </c>
      <c r="FL29" s="153">
        <v>274.78210208297202</v>
      </c>
      <c r="FM29" s="153">
        <v>52.950972172772993</v>
      </c>
      <c r="FN29" s="153">
        <v>47.098749966526015</v>
      </c>
      <c r="FO29" t="s">
        <v>186</v>
      </c>
      <c r="FP29" t="s">
        <v>208</v>
      </c>
      <c r="FQ29" t="s">
        <v>171</v>
      </c>
      <c r="FR29" t="s">
        <v>171</v>
      </c>
      <c r="FS29" t="s">
        <v>171</v>
      </c>
      <c r="FT29" t="s">
        <v>171</v>
      </c>
      <c r="FU29" t="s">
        <v>171</v>
      </c>
      <c r="FV29" t="s">
        <v>171</v>
      </c>
      <c r="FW29" t="s">
        <v>171</v>
      </c>
      <c r="FX29" t="s">
        <v>171</v>
      </c>
      <c r="FY29" t="s">
        <v>171</v>
      </c>
      <c r="FZ29" t="s">
        <v>171</v>
      </c>
      <c r="GA29" t="s">
        <v>171</v>
      </c>
      <c r="GB29" t="s">
        <v>171</v>
      </c>
    </row>
    <row r="30" spans="1:184" ht="16" x14ac:dyDescent="0.2">
      <c r="A30" t="s">
        <v>217</v>
      </c>
      <c r="B30" s="143" t="s">
        <v>216</v>
      </c>
      <c r="C30" s="138" t="s">
        <v>212</v>
      </c>
      <c r="D30" t="s">
        <v>211</v>
      </c>
      <c r="E30">
        <v>2017</v>
      </c>
      <c r="F30" t="str">
        <f t="shared" si="7"/>
        <v>10.1073/pnas.1702143114</v>
      </c>
      <c r="G30" s="147">
        <f t="shared" si="8"/>
        <v>106.12</v>
      </c>
      <c r="H30">
        <f t="shared" si="2"/>
        <v>4</v>
      </c>
      <c r="I30">
        <f t="shared" si="3"/>
        <v>4</v>
      </c>
      <c r="J30" s="153">
        <f t="shared" si="9"/>
        <v>251.53814129772499</v>
      </c>
      <c r="K30" s="153">
        <f t="shared" si="10"/>
        <v>47.996310876179024</v>
      </c>
      <c r="L30" s="153">
        <f t="shared" si="11"/>
        <v>42.025795685777979</v>
      </c>
      <c r="M30" t="b">
        <v>1</v>
      </c>
      <c r="N30">
        <v>3</v>
      </c>
      <c r="O30" s="144" t="s">
        <v>228</v>
      </c>
      <c r="P30" s="144" t="s">
        <v>229</v>
      </c>
      <c r="Q30" t="b">
        <v>0</v>
      </c>
      <c r="R30" t="s">
        <v>214</v>
      </c>
      <c r="S30" t="b">
        <v>1</v>
      </c>
      <c r="T30" t="b">
        <v>0</v>
      </c>
      <c r="U30" t="s">
        <v>171</v>
      </c>
      <c r="V30" t="s">
        <v>171</v>
      </c>
      <c r="W30" t="b">
        <v>0</v>
      </c>
      <c r="X30" t="s">
        <v>171</v>
      </c>
      <c r="Y30" s="139" t="s">
        <v>167</v>
      </c>
      <c r="Z30" s="143" t="s">
        <v>168</v>
      </c>
      <c r="AA30" t="s">
        <v>169</v>
      </c>
      <c r="AB30" t="s">
        <v>170</v>
      </c>
      <c r="AC30" s="144">
        <v>1</v>
      </c>
      <c r="AD30" s="144">
        <v>3</v>
      </c>
      <c r="AE30" s="144">
        <f t="shared" si="12"/>
        <v>132</v>
      </c>
      <c r="AF30" s="144">
        <v>134</v>
      </c>
      <c r="AG30" s="145">
        <v>4.335</v>
      </c>
      <c r="AH30" s="145">
        <v>4.335</v>
      </c>
      <c r="AI30" t="s">
        <v>171</v>
      </c>
      <c r="AJ30" t="s">
        <v>172</v>
      </c>
      <c r="AK30" s="146">
        <v>12.74</v>
      </c>
      <c r="AL30" s="146">
        <v>-78.739999999999995</v>
      </c>
      <c r="AM30" t="s">
        <v>171</v>
      </c>
      <c r="AN30" t="s">
        <v>171</v>
      </c>
      <c r="AO30">
        <v>-2839</v>
      </c>
      <c r="AP30" t="s">
        <v>171</v>
      </c>
      <c r="AQ30" t="s">
        <v>171</v>
      </c>
      <c r="AR30" t="s">
        <v>171</v>
      </c>
      <c r="AS30" s="147">
        <v>106.12</v>
      </c>
      <c r="AT30" t="s">
        <v>173</v>
      </c>
      <c r="AU30">
        <v>4</v>
      </c>
      <c r="AV30">
        <v>4</v>
      </c>
      <c r="AW30" t="s">
        <v>171</v>
      </c>
      <c r="AX30" t="s">
        <v>174</v>
      </c>
      <c r="AY30" t="s">
        <v>171</v>
      </c>
      <c r="AZ30" t="s">
        <v>171</v>
      </c>
      <c r="BA30" t="s">
        <v>171</v>
      </c>
      <c r="BB30" t="s">
        <v>171</v>
      </c>
      <c r="BC30" t="s">
        <v>171</v>
      </c>
      <c r="BD30" t="s">
        <v>171</v>
      </c>
      <c r="BE30" t="s">
        <v>171</v>
      </c>
      <c r="BF30" t="s">
        <v>171</v>
      </c>
      <c r="BG30" t="s">
        <v>175</v>
      </c>
      <c r="BH30" t="s">
        <v>176</v>
      </c>
      <c r="BI30" t="s">
        <v>177</v>
      </c>
      <c r="BJ30" s="142">
        <v>2</v>
      </c>
      <c r="BK30" t="s">
        <v>178</v>
      </c>
      <c r="BL30" t="s">
        <v>179</v>
      </c>
      <c r="BM30" t="s">
        <v>180</v>
      </c>
      <c r="BN30" t="s">
        <v>171</v>
      </c>
      <c r="BO30" s="142">
        <v>2</v>
      </c>
      <c r="BP30" s="144" t="s">
        <v>171</v>
      </c>
      <c r="BQ30" s="145">
        <v>20.76</v>
      </c>
      <c r="BR30" t="s">
        <v>181</v>
      </c>
      <c r="BS30" s="149">
        <v>0.22</v>
      </c>
      <c r="BT30">
        <v>0.64</v>
      </c>
      <c r="BU30" t="s">
        <v>182</v>
      </c>
      <c r="BV30">
        <v>3.4000000000000002E-2</v>
      </c>
      <c r="BW30">
        <v>9.1</v>
      </c>
      <c r="BX30" t="s">
        <v>173</v>
      </c>
      <c r="BY30">
        <v>0.56000000000000005</v>
      </c>
      <c r="BZ30" t="s">
        <v>183</v>
      </c>
      <c r="CA30" t="s">
        <v>184</v>
      </c>
      <c r="CB30" s="148">
        <f t="shared" si="6"/>
        <v>19.81666666666667</v>
      </c>
      <c r="CC30" s="144" t="s">
        <v>185</v>
      </c>
      <c r="CD30" s="144" t="s">
        <v>171</v>
      </c>
      <c r="CE30" s="144" t="s">
        <v>171</v>
      </c>
      <c r="CF30" t="s">
        <v>186</v>
      </c>
      <c r="CG30" s="144">
        <v>10</v>
      </c>
      <c r="CH30" s="144" t="s">
        <v>187</v>
      </c>
      <c r="CI30" s="144" t="s">
        <v>171</v>
      </c>
      <c r="CJ30" s="147">
        <v>26.72</v>
      </c>
      <c r="CK30" t="s">
        <v>173</v>
      </c>
      <c r="CL30">
        <v>3</v>
      </c>
      <c r="CM30">
        <v>3</v>
      </c>
      <c r="CN30" t="s">
        <v>171</v>
      </c>
      <c r="CO30" s="149">
        <v>3.3340000000000001</v>
      </c>
      <c r="CP30" t="s">
        <v>188</v>
      </c>
      <c r="CQ30" s="149">
        <v>0.13336000000000001</v>
      </c>
      <c r="CR30" s="149">
        <v>0.13336000000000001</v>
      </c>
      <c r="CS30" s="150" t="s">
        <v>171</v>
      </c>
      <c r="CT30" t="s">
        <v>189</v>
      </c>
      <c r="CU30" t="s">
        <v>171</v>
      </c>
      <c r="CV30" t="s">
        <v>190</v>
      </c>
      <c r="CW30" t="s">
        <v>191</v>
      </c>
      <c r="CX30" t="s">
        <v>191</v>
      </c>
      <c r="CY30" t="s">
        <v>191</v>
      </c>
      <c r="CZ30" t="s">
        <v>171</v>
      </c>
      <c r="DA30" t="s">
        <v>171</v>
      </c>
      <c r="DB30" t="s">
        <v>171</v>
      </c>
      <c r="DC30" t="s">
        <v>171</v>
      </c>
      <c r="DD30" t="s">
        <v>171</v>
      </c>
      <c r="DE30" t="s">
        <v>171</v>
      </c>
      <c r="DF30" t="s">
        <v>171</v>
      </c>
      <c r="DG30">
        <v>35</v>
      </c>
      <c r="DH30" t="s">
        <v>185</v>
      </c>
      <c r="DI30" s="142">
        <v>3</v>
      </c>
      <c r="DJ30" s="144" t="s">
        <v>192</v>
      </c>
      <c r="DK30" s="144" t="s">
        <v>171</v>
      </c>
      <c r="DL30" s="144" t="s">
        <v>171</v>
      </c>
      <c r="DM30" s="144" t="s">
        <v>171</v>
      </c>
      <c r="DN30" s="144" t="s">
        <v>171</v>
      </c>
      <c r="DO30" s="144" t="s">
        <v>171</v>
      </c>
      <c r="DP30" s="144" t="s">
        <v>171</v>
      </c>
      <c r="DQ30" s="144" t="s">
        <v>171</v>
      </c>
      <c r="DR30" s="144" t="s">
        <v>171</v>
      </c>
      <c r="DS30" s="144" t="s">
        <v>171</v>
      </c>
      <c r="DT30" s="144" t="s">
        <v>171</v>
      </c>
      <c r="DU30" s="144" t="s">
        <v>171</v>
      </c>
      <c r="DV30" s="144" t="s">
        <v>171</v>
      </c>
      <c r="DW30" s="147">
        <v>432.56244218316402</v>
      </c>
      <c r="DX30" t="s">
        <v>193</v>
      </c>
      <c r="DY30">
        <v>37.1</v>
      </c>
      <c r="DZ30" t="s">
        <v>194</v>
      </c>
      <c r="EA30">
        <v>39.61</v>
      </c>
      <c r="EB30" t="s">
        <v>185</v>
      </c>
      <c r="EC30" s="149">
        <f t="shared" si="1"/>
        <v>0.110612</v>
      </c>
      <c r="ED30" t="s">
        <v>195</v>
      </c>
      <c r="EE30" t="s">
        <v>196</v>
      </c>
      <c r="EF30" t="s">
        <v>197</v>
      </c>
      <c r="EG30">
        <v>1.0271999999999999</v>
      </c>
      <c r="EH30" t="s">
        <v>171</v>
      </c>
      <c r="EI30" t="s">
        <v>171</v>
      </c>
      <c r="EJ30" t="s">
        <v>198</v>
      </c>
      <c r="EK30" t="s">
        <v>191</v>
      </c>
      <c r="EL30" t="s">
        <v>191</v>
      </c>
      <c r="EM30" t="s">
        <v>199</v>
      </c>
      <c r="EN30" t="s">
        <v>200</v>
      </c>
      <c r="EO30" s="151" t="s">
        <v>201</v>
      </c>
      <c r="EP30" s="151" t="s">
        <v>201</v>
      </c>
      <c r="EQ30" s="144" t="s">
        <v>171</v>
      </c>
      <c r="ER30" s="144" t="s">
        <v>171</v>
      </c>
      <c r="ES30" s="144" t="s">
        <v>171</v>
      </c>
      <c r="ET30" t="s">
        <v>202</v>
      </c>
      <c r="EU30" t="s">
        <v>203</v>
      </c>
      <c r="EV30" t="s">
        <v>171</v>
      </c>
      <c r="EW30">
        <v>2356</v>
      </c>
      <c r="EX30" s="151" t="s">
        <v>204</v>
      </c>
      <c r="EY30" s="151">
        <v>175</v>
      </c>
      <c r="EZ30">
        <v>175</v>
      </c>
      <c r="FA30" t="s">
        <v>171</v>
      </c>
      <c r="FB30" t="s">
        <v>171</v>
      </c>
      <c r="FC30" t="s">
        <v>171</v>
      </c>
      <c r="FD30" t="s">
        <v>171</v>
      </c>
      <c r="FE30" s="152">
        <v>8.1723201068419407</v>
      </c>
      <c r="FF30" t="s">
        <v>205</v>
      </c>
      <c r="FG30" s="144" t="s">
        <v>171</v>
      </c>
      <c r="FH30" s="144" t="s">
        <v>171</v>
      </c>
      <c r="FI30" s="153">
        <v>272.53814129772502</v>
      </c>
      <c r="FJ30">
        <v>21</v>
      </c>
      <c r="FK30" t="s">
        <v>207</v>
      </c>
      <c r="FL30" s="153">
        <v>251.53814129772499</v>
      </c>
      <c r="FM30" s="153">
        <v>47.996310876179024</v>
      </c>
      <c r="FN30" s="153">
        <v>42.025795685777979</v>
      </c>
      <c r="FO30" t="s">
        <v>186</v>
      </c>
      <c r="FP30" t="s">
        <v>208</v>
      </c>
      <c r="FQ30" t="s">
        <v>171</v>
      </c>
      <c r="FR30" t="s">
        <v>171</v>
      </c>
      <c r="FS30" t="s">
        <v>171</v>
      </c>
      <c r="FT30" t="s">
        <v>171</v>
      </c>
      <c r="FU30" t="s">
        <v>171</v>
      </c>
      <c r="FV30" t="s">
        <v>171</v>
      </c>
      <c r="FW30" t="s">
        <v>171</v>
      </c>
      <c r="FX30" t="s">
        <v>171</v>
      </c>
      <c r="FY30" t="s">
        <v>171</v>
      </c>
      <c r="FZ30" t="s">
        <v>171</v>
      </c>
      <c r="GA30" t="s">
        <v>171</v>
      </c>
      <c r="GB30" t="s">
        <v>171</v>
      </c>
    </row>
    <row r="31" spans="1:184" ht="16" x14ac:dyDescent="0.2">
      <c r="A31" t="s">
        <v>217</v>
      </c>
      <c r="B31" s="143" t="s">
        <v>216</v>
      </c>
      <c r="C31" s="138" t="s">
        <v>212</v>
      </c>
      <c r="D31" t="s">
        <v>211</v>
      </c>
      <c r="E31">
        <v>2017</v>
      </c>
      <c r="F31" t="str">
        <f t="shared" si="7"/>
        <v>10.1073/pnas.1702143114</v>
      </c>
      <c r="G31" s="147">
        <f t="shared" si="8"/>
        <v>111.32</v>
      </c>
      <c r="H31">
        <f t="shared" si="2"/>
        <v>4</v>
      </c>
      <c r="I31">
        <f t="shared" si="3"/>
        <v>4</v>
      </c>
      <c r="J31" s="153">
        <f t="shared" si="9"/>
        <v>283.114986033202</v>
      </c>
      <c r="K31" s="153">
        <f t="shared" si="10"/>
        <v>42.667015417664004</v>
      </c>
      <c r="L31" s="153">
        <f t="shared" si="11"/>
        <v>38.659798203800989</v>
      </c>
      <c r="M31" t="b">
        <v>1</v>
      </c>
      <c r="N31">
        <v>3</v>
      </c>
      <c r="O31" s="144" t="s">
        <v>228</v>
      </c>
      <c r="P31" s="144" t="s">
        <v>229</v>
      </c>
      <c r="Q31" t="b">
        <v>0</v>
      </c>
      <c r="R31" t="s">
        <v>214</v>
      </c>
      <c r="S31" t="b">
        <v>1</v>
      </c>
      <c r="T31" t="b">
        <v>0</v>
      </c>
      <c r="U31" t="s">
        <v>171</v>
      </c>
      <c r="V31" t="s">
        <v>171</v>
      </c>
      <c r="W31" t="b">
        <v>0</v>
      </c>
      <c r="X31" t="s">
        <v>171</v>
      </c>
      <c r="Y31" s="139" t="s">
        <v>167</v>
      </c>
      <c r="Z31" s="143" t="s">
        <v>168</v>
      </c>
      <c r="AA31" t="s">
        <v>169</v>
      </c>
      <c r="AB31" s="154" t="s">
        <v>170</v>
      </c>
      <c r="AC31" s="154">
        <v>1</v>
      </c>
      <c r="AD31" s="154">
        <v>4</v>
      </c>
      <c r="AE31" s="154">
        <v>1</v>
      </c>
      <c r="AF31" s="154">
        <f>AE31+2</f>
        <v>3</v>
      </c>
      <c r="AG31" s="154">
        <v>4.51</v>
      </c>
      <c r="AH31" s="154">
        <v>4.51</v>
      </c>
      <c r="AI31" t="s">
        <v>171</v>
      </c>
      <c r="AJ31" t="s">
        <v>172</v>
      </c>
      <c r="AK31" s="146">
        <v>12.74</v>
      </c>
      <c r="AL31" s="146">
        <v>-78.739999999999995</v>
      </c>
      <c r="AM31" t="s">
        <v>171</v>
      </c>
      <c r="AN31" t="s">
        <v>171</v>
      </c>
      <c r="AO31">
        <v>-2839</v>
      </c>
      <c r="AP31" t="s">
        <v>171</v>
      </c>
      <c r="AQ31" t="s">
        <v>171</v>
      </c>
      <c r="AR31" t="s">
        <v>171</v>
      </c>
      <c r="AS31" s="147">
        <v>111.32</v>
      </c>
      <c r="AT31" t="s">
        <v>173</v>
      </c>
      <c r="AU31">
        <v>4</v>
      </c>
      <c r="AV31">
        <v>4</v>
      </c>
      <c r="AW31" t="s">
        <v>171</v>
      </c>
      <c r="AX31" t="s">
        <v>174</v>
      </c>
      <c r="AY31" t="s">
        <v>171</v>
      </c>
      <c r="AZ31" t="s">
        <v>171</v>
      </c>
      <c r="BA31" t="s">
        <v>171</v>
      </c>
      <c r="BB31" t="s">
        <v>171</v>
      </c>
      <c r="BC31" t="s">
        <v>171</v>
      </c>
      <c r="BD31" t="s">
        <v>171</v>
      </c>
      <c r="BE31" t="s">
        <v>171</v>
      </c>
      <c r="BF31" t="s">
        <v>171</v>
      </c>
      <c r="BG31" t="s">
        <v>175</v>
      </c>
      <c r="BH31" t="s">
        <v>176</v>
      </c>
      <c r="BI31" t="s">
        <v>177</v>
      </c>
      <c r="BJ31" s="142">
        <v>2</v>
      </c>
      <c r="BK31" t="s">
        <v>178</v>
      </c>
      <c r="BL31" t="s">
        <v>179</v>
      </c>
      <c r="BM31" t="s">
        <v>180</v>
      </c>
      <c r="BN31" t="s">
        <v>171</v>
      </c>
      <c r="BO31" s="142">
        <v>2</v>
      </c>
      <c r="BP31" s="144" t="s">
        <v>171</v>
      </c>
      <c r="BQ31" s="149">
        <v>20.375989690000001</v>
      </c>
      <c r="BR31" t="s">
        <v>181</v>
      </c>
      <c r="BS31" s="149">
        <v>0.220508226</v>
      </c>
      <c r="BT31">
        <v>0.64</v>
      </c>
      <c r="BU31" t="s">
        <v>182</v>
      </c>
      <c r="BV31">
        <v>3.4000000000000002E-2</v>
      </c>
      <c r="BW31">
        <v>9.1</v>
      </c>
      <c r="BX31" t="s">
        <v>173</v>
      </c>
      <c r="BY31">
        <v>0.56000000000000005</v>
      </c>
      <c r="BZ31" t="s">
        <v>183</v>
      </c>
      <c r="CA31" t="s">
        <v>184</v>
      </c>
      <c r="CB31" s="148">
        <f t="shared" si="6"/>
        <v>19.176649483333335</v>
      </c>
      <c r="CC31" s="144" t="s">
        <v>185</v>
      </c>
      <c r="CD31" s="144" t="s">
        <v>171</v>
      </c>
      <c r="CE31" s="144" t="s">
        <v>171</v>
      </c>
      <c r="CF31" t="s">
        <v>186</v>
      </c>
      <c r="CG31" s="144">
        <v>10</v>
      </c>
      <c r="CH31" s="144" t="s">
        <v>187</v>
      </c>
      <c r="CI31" s="144" t="s">
        <v>171</v>
      </c>
      <c r="CJ31" s="147">
        <v>25.14</v>
      </c>
      <c r="CK31" t="s">
        <v>173</v>
      </c>
      <c r="CL31">
        <v>3</v>
      </c>
      <c r="CM31">
        <v>3</v>
      </c>
      <c r="CN31" t="s">
        <v>171</v>
      </c>
      <c r="CO31" s="149">
        <v>3.6510940605986253</v>
      </c>
      <c r="CP31" t="s">
        <v>188</v>
      </c>
      <c r="CQ31" s="149">
        <v>0.14604376242394501</v>
      </c>
      <c r="CR31" s="149">
        <v>0.14604376242394501</v>
      </c>
      <c r="CS31" s="150" t="s">
        <v>171</v>
      </c>
      <c r="CT31" t="s">
        <v>189</v>
      </c>
      <c r="CU31" t="s">
        <v>171</v>
      </c>
      <c r="CV31" t="s">
        <v>190</v>
      </c>
      <c r="CW31" t="s">
        <v>191</v>
      </c>
      <c r="CX31" t="s">
        <v>191</v>
      </c>
      <c r="CY31" t="s">
        <v>191</v>
      </c>
      <c r="CZ31" t="s">
        <v>171</v>
      </c>
      <c r="DA31" t="s">
        <v>171</v>
      </c>
      <c r="DB31" t="s">
        <v>171</v>
      </c>
      <c r="DC31" t="s">
        <v>171</v>
      </c>
      <c r="DD31" t="s">
        <v>171</v>
      </c>
      <c r="DE31" t="s">
        <v>171</v>
      </c>
      <c r="DF31" t="s">
        <v>171</v>
      </c>
      <c r="DG31">
        <v>35</v>
      </c>
      <c r="DH31" t="s">
        <v>185</v>
      </c>
      <c r="DI31" s="142">
        <v>3</v>
      </c>
      <c r="DJ31" s="144" t="s">
        <v>192</v>
      </c>
      <c r="DK31" s="144" t="s">
        <v>171</v>
      </c>
      <c r="DL31" s="144" t="s">
        <v>171</v>
      </c>
      <c r="DM31" s="144" t="s">
        <v>171</v>
      </c>
      <c r="DN31" s="144" t="s">
        <v>171</v>
      </c>
      <c r="DO31" s="144" t="s">
        <v>171</v>
      </c>
      <c r="DP31" s="144" t="s">
        <v>171</v>
      </c>
      <c r="DQ31" s="144" t="s">
        <v>171</v>
      </c>
      <c r="DR31" s="144" t="s">
        <v>171</v>
      </c>
      <c r="DS31" s="144" t="s">
        <v>171</v>
      </c>
      <c r="DT31" s="144" t="s">
        <v>171</v>
      </c>
      <c r="DU31" s="144" t="s">
        <v>171</v>
      </c>
      <c r="DV31" s="144" t="s">
        <v>171</v>
      </c>
      <c r="DW31" s="147">
        <v>432.56244218316402</v>
      </c>
      <c r="DX31" t="s">
        <v>193</v>
      </c>
      <c r="DY31">
        <v>37.1</v>
      </c>
      <c r="DZ31" t="s">
        <v>194</v>
      </c>
      <c r="EA31">
        <v>39.61</v>
      </c>
      <c r="EB31" t="s">
        <v>185</v>
      </c>
      <c r="EC31" s="149">
        <f t="shared" si="1"/>
        <v>0.11113200000000001</v>
      </c>
      <c r="ED31" t="s">
        <v>195</v>
      </c>
      <c r="EE31" t="s">
        <v>196</v>
      </c>
      <c r="EF31" t="s">
        <v>197</v>
      </c>
      <c r="EG31">
        <v>1.0271999999999999</v>
      </c>
      <c r="EH31" t="s">
        <v>171</v>
      </c>
      <c r="EI31" t="s">
        <v>171</v>
      </c>
      <c r="EJ31" t="s">
        <v>198</v>
      </c>
      <c r="EK31" t="s">
        <v>191</v>
      </c>
      <c r="EL31" t="s">
        <v>191</v>
      </c>
      <c r="EM31" t="s">
        <v>199</v>
      </c>
      <c r="EN31" t="s">
        <v>200</v>
      </c>
      <c r="EO31" s="151" t="s">
        <v>201</v>
      </c>
      <c r="EP31" s="151" t="s">
        <v>201</v>
      </c>
      <c r="EQ31" s="144" t="s">
        <v>171</v>
      </c>
      <c r="ER31" s="144" t="s">
        <v>171</v>
      </c>
      <c r="ES31" s="144" t="s">
        <v>171</v>
      </c>
      <c r="ET31" t="s">
        <v>202</v>
      </c>
      <c r="EU31" t="s">
        <v>203</v>
      </c>
      <c r="EV31" t="s">
        <v>171</v>
      </c>
      <c r="EW31">
        <v>2357</v>
      </c>
      <c r="EX31" s="151" t="s">
        <v>204</v>
      </c>
      <c r="EY31" s="151">
        <v>175</v>
      </c>
      <c r="EZ31">
        <v>175</v>
      </c>
      <c r="FA31" t="s">
        <v>171</v>
      </c>
      <c r="FB31" t="s">
        <v>171</v>
      </c>
      <c r="FC31" t="s">
        <v>171</v>
      </c>
      <c r="FD31" t="s">
        <v>171</v>
      </c>
      <c r="FE31" s="152">
        <v>8.1378258065481504</v>
      </c>
      <c r="FF31" t="s">
        <v>205</v>
      </c>
      <c r="FG31" s="144" t="s">
        <v>171</v>
      </c>
      <c r="FH31" s="144" t="s">
        <v>171</v>
      </c>
      <c r="FI31" s="153">
        <v>304.114986033202</v>
      </c>
      <c r="FJ31">
        <v>21</v>
      </c>
      <c r="FK31" t="s">
        <v>207</v>
      </c>
      <c r="FL31" s="153">
        <v>283.114986033202</v>
      </c>
      <c r="FM31" s="153">
        <v>42.667015417664004</v>
      </c>
      <c r="FN31" s="153">
        <v>38.659798203800989</v>
      </c>
      <c r="FO31" t="s">
        <v>186</v>
      </c>
      <c r="FP31" t="s">
        <v>208</v>
      </c>
      <c r="FQ31" t="s">
        <v>171</v>
      </c>
      <c r="FR31" t="s">
        <v>171</v>
      </c>
      <c r="FS31" t="s">
        <v>171</v>
      </c>
      <c r="FT31" t="s">
        <v>171</v>
      </c>
      <c r="FU31" t="s">
        <v>171</v>
      </c>
      <c r="FV31" t="s">
        <v>171</v>
      </c>
      <c r="FW31" t="s">
        <v>171</v>
      </c>
      <c r="FX31" t="s">
        <v>171</v>
      </c>
      <c r="FY31" t="s">
        <v>171</v>
      </c>
      <c r="FZ31" t="s">
        <v>171</v>
      </c>
      <c r="GA31" t="s">
        <v>171</v>
      </c>
      <c r="GB31" t="s">
        <v>171</v>
      </c>
    </row>
    <row r="32" spans="1:184" ht="16" x14ac:dyDescent="0.2">
      <c r="A32" t="s">
        <v>217</v>
      </c>
      <c r="B32" s="143" t="s">
        <v>216</v>
      </c>
      <c r="C32" s="138" t="s">
        <v>212</v>
      </c>
      <c r="D32" t="s">
        <v>211</v>
      </c>
      <c r="E32">
        <v>2017</v>
      </c>
      <c r="F32" t="str">
        <f t="shared" si="7"/>
        <v>10.1073/pnas.1702143114</v>
      </c>
      <c r="G32" s="147">
        <f t="shared" si="8"/>
        <v>116.82</v>
      </c>
      <c r="H32">
        <f t="shared" si="2"/>
        <v>4</v>
      </c>
      <c r="I32">
        <f t="shared" si="3"/>
        <v>4</v>
      </c>
      <c r="J32" s="153">
        <f t="shared" si="9"/>
        <v>312.00267213309002</v>
      </c>
      <c r="K32" s="153">
        <f t="shared" si="10"/>
        <v>69.486005033435958</v>
      </c>
      <c r="L32" s="153">
        <f t="shared" si="11"/>
        <v>57.839478280893019</v>
      </c>
      <c r="M32" t="b">
        <v>1</v>
      </c>
      <c r="N32">
        <v>3</v>
      </c>
      <c r="O32" s="144" t="s">
        <v>228</v>
      </c>
      <c r="P32" s="144" t="s">
        <v>229</v>
      </c>
      <c r="Q32" t="b">
        <v>0</v>
      </c>
      <c r="R32" t="s">
        <v>214</v>
      </c>
      <c r="S32" t="b">
        <v>1</v>
      </c>
      <c r="T32" t="b">
        <v>0</v>
      </c>
      <c r="U32" t="s">
        <v>171</v>
      </c>
      <c r="V32" t="s">
        <v>171</v>
      </c>
      <c r="W32" t="b">
        <v>0</v>
      </c>
      <c r="X32" t="s">
        <v>171</v>
      </c>
      <c r="Y32" s="139" t="s">
        <v>167</v>
      </c>
      <c r="Z32" s="143" t="s">
        <v>168</v>
      </c>
      <c r="AA32" t="s">
        <v>169</v>
      </c>
      <c r="AB32" t="s">
        <v>170</v>
      </c>
      <c r="AC32" s="144">
        <v>1</v>
      </c>
      <c r="AD32" s="144">
        <v>4</v>
      </c>
      <c r="AE32" s="144">
        <f>AF32-2</f>
        <v>22</v>
      </c>
      <c r="AF32" s="144">
        <v>24</v>
      </c>
      <c r="AG32" s="145">
        <v>4.74</v>
      </c>
      <c r="AH32" s="145">
        <v>4.74</v>
      </c>
      <c r="AI32" t="s">
        <v>171</v>
      </c>
      <c r="AJ32" t="s">
        <v>172</v>
      </c>
      <c r="AK32" s="146">
        <v>12.74</v>
      </c>
      <c r="AL32" s="146">
        <v>-78.739999999999995</v>
      </c>
      <c r="AM32" t="s">
        <v>171</v>
      </c>
      <c r="AN32" t="s">
        <v>171</v>
      </c>
      <c r="AO32">
        <v>-2839</v>
      </c>
      <c r="AP32" t="s">
        <v>171</v>
      </c>
      <c r="AQ32" t="s">
        <v>171</v>
      </c>
      <c r="AR32" t="s">
        <v>171</v>
      </c>
      <c r="AS32" s="147">
        <v>116.82</v>
      </c>
      <c r="AT32" t="s">
        <v>173</v>
      </c>
      <c r="AU32">
        <v>4</v>
      </c>
      <c r="AV32">
        <v>4</v>
      </c>
      <c r="AW32" t="s">
        <v>171</v>
      </c>
      <c r="AX32" t="s">
        <v>174</v>
      </c>
      <c r="AY32" t="s">
        <v>171</v>
      </c>
      <c r="AZ32" t="s">
        <v>171</v>
      </c>
      <c r="BA32" t="s">
        <v>171</v>
      </c>
      <c r="BB32" t="s">
        <v>171</v>
      </c>
      <c r="BC32" t="s">
        <v>171</v>
      </c>
      <c r="BD32" t="s">
        <v>171</v>
      </c>
      <c r="BE32" t="s">
        <v>171</v>
      </c>
      <c r="BF32" t="s">
        <v>171</v>
      </c>
      <c r="BG32" t="s">
        <v>175</v>
      </c>
      <c r="BH32" t="s">
        <v>176</v>
      </c>
      <c r="BI32" t="s">
        <v>177</v>
      </c>
      <c r="BJ32" s="142">
        <v>2</v>
      </c>
      <c r="BK32" t="s">
        <v>178</v>
      </c>
      <c r="BL32" t="s">
        <v>179</v>
      </c>
      <c r="BM32" t="s">
        <v>180</v>
      </c>
      <c r="BN32" t="s">
        <v>171</v>
      </c>
      <c r="BO32" s="142">
        <v>2</v>
      </c>
      <c r="BP32" s="144" t="s">
        <v>171</v>
      </c>
      <c r="BQ32" s="145">
        <v>20.260000000000002</v>
      </c>
      <c r="BR32" t="s">
        <v>181</v>
      </c>
      <c r="BS32" s="149">
        <v>0.3</v>
      </c>
      <c r="BT32">
        <v>0.64</v>
      </c>
      <c r="BU32" t="s">
        <v>182</v>
      </c>
      <c r="BV32">
        <v>3.4000000000000002E-2</v>
      </c>
      <c r="BW32">
        <v>9.1</v>
      </c>
      <c r="BX32" t="s">
        <v>173</v>
      </c>
      <c r="BY32">
        <v>0.56000000000000005</v>
      </c>
      <c r="BZ32" t="s">
        <v>183</v>
      </c>
      <c r="CA32" t="s">
        <v>184</v>
      </c>
      <c r="CB32" s="148">
        <f t="shared" si="6"/>
        <v>18.983333333333338</v>
      </c>
      <c r="CC32" s="144" t="s">
        <v>185</v>
      </c>
      <c r="CD32" s="144" t="s">
        <v>171</v>
      </c>
      <c r="CE32" s="144" t="s">
        <v>171</v>
      </c>
      <c r="CF32" t="s">
        <v>186</v>
      </c>
      <c r="CG32" s="144">
        <v>10</v>
      </c>
      <c r="CH32" s="144" t="s">
        <v>187</v>
      </c>
      <c r="CI32" s="144" t="s">
        <v>171</v>
      </c>
      <c r="CJ32" s="147">
        <v>26.56</v>
      </c>
      <c r="CK32" t="s">
        <v>173</v>
      </c>
      <c r="CL32">
        <v>3</v>
      </c>
      <c r="CM32">
        <v>3</v>
      </c>
      <c r="CN32" t="s">
        <v>171</v>
      </c>
      <c r="CO32" s="149">
        <v>3.4089999999999998</v>
      </c>
      <c r="CP32" t="s">
        <v>188</v>
      </c>
      <c r="CQ32" s="149">
        <v>0.13636000000000001</v>
      </c>
      <c r="CR32" s="149">
        <v>0.13636000000000001</v>
      </c>
      <c r="CS32" s="150" t="s">
        <v>171</v>
      </c>
      <c r="CT32" t="s">
        <v>189</v>
      </c>
      <c r="CU32" t="s">
        <v>171</v>
      </c>
      <c r="CV32" t="s">
        <v>190</v>
      </c>
      <c r="CW32" t="s">
        <v>191</v>
      </c>
      <c r="CX32" t="s">
        <v>191</v>
      </c>
      <c r="CY32" t="s">
        <v>191</v>
      </c>
      <c r="CZ32" t="s">
        <v>171</v>
      </c>
      <c r="DA32" t="s">
        <v>171</v>
      </c>
      <c r="DB32" t="s">
        <v>171</v>
      </c>
      <c r="DC32" t="s">
        <v>171</v>
      </c>
      <c r="DD32" t="s">
        <v>171</v>
      </c>
      <c r="DE32" t="s">
        <v>171</v>
      </c>
      <c r="DF32" t="s">
        <v>171</v>
      </c>
      <c r="DG32">
        <v>35</v>
      </c>
      <c r="DH32" t="s">
        <v>185</v>
      </c>
      <c r="DI32" s="142">
        <v>3</v>
      </c>
      <c r="DJ32" s="144" t="s">
        <v>192</v>
      </c>
      <c r="DK32" s="144" t="s">
        <v>171</v>
      </c>
      <c r="DL32" s="144" t="s">
        <v>171</v>
      </c>
      <c r="DM32" s="144" t="s">
        <v>171</v>
      </c>
      <c r="DN32" s="144" t="s">
        <v>171</v>
      </c>
      <c r="DO32" s="144" t="s">
        <v>171</v>
      </c>
      <c r="DP32" s="144" t="s">
        <v>171</v>
      </c>
      <c r="DQ32" s="144" t="s">
        <v>171</v>
      </c>
      <c r="DR32" s="144" t="s">
        <v>171</v>
      </c>
      <c r="DS32" s="144" t="s">
        <v>171</v>
      </c>
      <c r="DT32" s="144" t="s">
        <v>171</v>
      </c>
      <c r="DU32" s="144" t="s">
        <v>171</v>
      </c>
      <c r="DV32" s="144" t="s">
        <v>171</v>
      </c>
      <c r="DW32" s="147">
        <v>432.56244218316402</v>
      </c>
      <c r="DX32" t="s">
        <v>193</v>
      </c>
      <c r="DY32">
        <v>37.1</v>
      </c>
      <c r="DZ32" t="s">
        <v>194</v>
      </c>
      <c r="EA32">
        <v>39.61</v>
      </c>
      <c r="EB32" t="s">
        <v>185</v>
      </c>
      <c r="EC32" s="149">
        <f t="shared" si="1"/>
        <v>0.111682</v>
      </c>
      <c r="ED32" t="s">
        <v>195</v>
      </c>
      <c r="EE32" t="s">
        <v>196</v>
      </c>
      <c r="EF32" t="s">
        <v>197</v>
      </c>
      <c r="EG32">
        <v>1.0271999999999999</v>
      </c>
      <c r="EH32" t="s">
        <v>171</v>
      </c>
      <c r="EI32" t="s">
        <v>171</v>
      </c>
      <c r="EJ32" t="s">
        <v>198</v>
      </c>
      <c r="EK32" t="s">
        <v>191</v>
      </c>
      <c r="EL32" t="s">
        <v>191</v>
      </c>
      <c r="EM32" t="s">
        <v>199</v>
      </c>
      <c r="EN32" t="s">
        <v>200</v>
      </c>
      <c r="EO32" s="151" t="s">
        <v>201</v>
      </c>
      <c r="EP32" s="151" t="s">
        <v>201</v>
      </c>
      <c r="EQ32" s="144" t="s">
        <v>171</v>
      </c>
      <c r="ER32" s="144" t="s">
        <v>171</v>
      </c>
      <c r="ES32" s="144" t="s">
        <v>171</v>
      </c>
      <c r="ET32" t="s">
        <v>202</v>
      </c>
      <c r="EU32" t="s">
        <v>203</v>
      </c>
      <c r="EV32" t="s">
        <v>171</v>
      </c>
      <c r="EW32">
        <v>2358</v>
      </c>
      <c r="EX32" s="151" t="s">
        <v>204</v>
      </c>
      <c r="EY32" s="151">
        <v>175</v>
      </c>
      <c r="EZ32">
        <v>175</v>
      </c>
      <c r="FA32" t="s">
        <v>171</v>
      </c>
      <c r="FB32" t="s">
        <v>171</v>
      </c>
      <c r="FC32" t="s">
        <v>171</v>
      </c>
      <c r="FD32" t="s">
        <v>171</v>
      </c>
      <c r="FE32" s="152">
        <v>8.1042198847303304</v>
      </c>
      <c r="FF32" t="s">
        <v>205</v>
      </c>
      <c r="FG32" s="144" t="s">
        <v>171</v>
      </c>
      <c r="FH32" s="144" t="s">
        <v>171</v>
      </c>
      <c r="FI32" s="153">
        <v>333.00267213309002</v>
      </c>
      <c r="FJ32">
        <v>21</v>
      </c>
      <c r="FK32" t="s">
        <v>207</v>
      </c>
      <c r="FL32" s="153">
        <v>312.00267213309002</v>
      </c>
      <c r="FM32" s="153">
        <v>69.486005033435958</v>
      </c>
      <c r="FN32" s="153">
        <v>57.839478280893019</v>
      </c>
      <c r="FO32" t="s">
        <v>186</v>
      </c>
      <c r="FP32" t="s">
        <v>208</v>
      </c>
      <c r="FQ32" t="s">
        <v>171</v>
      </c>
      <c r="FR32" t="s">
        <v>171</v>
      </c>
      <c r="FS32" t="s">
        <v>171</v>
      </c>
      <c r="FT32" t="s">
        <v>171</v>
      </c>
      <c r="FU32" t="s">
        <v>171</v>
      </c>
      <c r="FV32" t="s">
        <v>171</v>
      </c>
      <c r="FW32" t="s">
        <v>171</v>
      </c>
      <c r="FX32" t="s">
        <v>171</v>
      </c>
      <c r="FY32" t="s">
        <v>171</v>
      </c>
      <c r="FZ32" t="s">
        <v>171</v>
      </c>
      <c r="GA32" t="s">
        <v>171</v>
      </c>
      <c r="GB32" t="s">
        <v>171</v>
      </c>
    </row>
    <row r="33" spans="1:184" ht="16" x14ac:dyDescent="0.2">
      <c r="A33" t="s">
        <v>217</v>
      </c>
      <c r="B33" s="143" t="s">
        <v>216</v>
      </c>
      <c r="C33" s="138" t="s">
        <v>212</v>
      </c>
      <c r="D33" t="s">
        <v>211</v>
      </c>
      <c r="E33">
        <v>2017</v>
      </c>
      <c r="F33" t="str">
        <f t="shared" si="7"/>
        <v>10.1073/pnas.1702143114</v>
      </c>
      <c r="G33" s="147">
        <f t="shared" si="8"/>
        <v>118.81</v>
      </c>
      <c r="H33">
        <f t="shared" si="2"/>
        <v>4</v>
      </c>
      <c r="I33">
        <f t="shared" si="3"/>
        <v>4</v>
      </c>
      <c r="J33" s="153">
        <f t="shared" si="9"/>
        <v>329.454604285588</v>
      </c>
      <c r="K33" s="153">
        <f t="shared" si="10"/>
        <v>73.736950427071974</v>
      </c>
      <c r="L33" s="153">
        <f t="shared" si="11"/>
        <v>60.458063006983991</v>
      </c>
      <c r="M33" t="b">
        <v>1</v>
      </c>
      <c r="N33">
        <v>3</v>
      </c>
      <c r="O33" s="144" t="s">
        <v>228</v>
      </c>
      <c r="P33" s="144" t="s">
        <v>229</v>
      </c>
      <c r="Q33" t="b">
        <v>0</v>
      </c>
      <c r="R33" t="s">
        <v>214</v>
      </c>
      <c r="S33" t="b">
        <v>1</v>
      </c>
      <c r="T33" t="b">
        <v>0</v>
      </c>
      <c r="U33" t="s">
        <v>171</v>
      </c>
      <c r="V33" t="s">
        <v>171</v>
      </c>
      <c r="W33" t="b">
        <v>0</v>
      </c>
      <c r="X33" t="s">
        <v>171</v>
      </c>
      <c r="Y33" s="139" t="s">
        <v>167</v>
      </c>
      <c r="Z33" s="143" t="s">
        <v>168</v>
      </c>
      <c r="AA33" t="s">
        <v>169</v>
      </c>
      <c r="AB33" t="s">
        <v>170</v>
      </c>
      <c r="AC33" s="144">
        <v>1</v>
      </c>
      <c r="AD33" s="144">
        <v>4</v>
      </c>
      <c r="AE33" s="144">
        <f>AF33-2</f>
        <v>30</v>
      </c>
      <c r="AF33" s="144">
        <v>32</v>
      </c>
      <c r="AG33" s="145">
        <v>4.82</v>
      </c>
      <c r="AH33" s="145">
        <v>4.82</v>
      </c>
      <c r="AI33" t="s">
        <v>171</v>
      </c>
      <c r="AJ33" t="s">
        <v>172</v>
      </c>
      <c r="AK33" s="146">
        <v>12.74</v>
      </c>
      <c r="AL33" s="146">
        <v>-78.739999999999995</v>
      </c>
      <c r="AM33" t="s">
        <v>171</v>
      </c>
      <c r="AN33" t="s">
        <v>171</v>
      </c>
      <c r="AO33">
        <v>-2839</v>
      </c>
      <c r="AP33" t="s">
        <v>171</v>
      </c>
      <c r="AQ33" t="s">
        <v>171</v>
      </c>
      <c r="AR33" t="s">
        <v>171</v>
      </c>
      <c r="AS33" s="147">
        <v>118.81</v>
      </c>
      <c r="AT33" t="s">
        <v>173</v>
      </c>
      <c r="AU33">
        <v>4</v>
      </c>
      <c r="AV33">
        <v>4</v>
      </c>
      <c r="AW33" t="s">
        <v>171</v>
      </c>
      <c r="AX33" t="s">
        <v>174</v>
      </c>
      <c r="AY33" t="s">
        <v>171</v>
      </c>
      <c r="AZ33" t="s">
        <v>171</v>
      </c>
      <c r="BA33" t="s">
        <v>171</v>
      </c>
      <c r="BB33" t="s">
        <v>171</v>
      </c>
      <c r="BC33" t="s">
        <v>171</v>
      </c>
      <c r="BD33" t="s">
        <v>171</v>
      </c>
      <c r="BE33" t="s">
        <v>171</v>
      </c>
      <c r="BF33" t="s">
        <v>171</v>
      </c>
      <c r="BG33" t="s">
        <v>175</v>
      </c>
      <c r="BH33" t="s">
        <v>176</v>
      </c>
      <c r="BI33" t="s">
        <v>177</v>
      </c>
      <c r="BJ33" s="142">
        <v>2</v>
      </c>
      <c r="BK33" t="s">
        <v>178</v>
      </c>
      <c r="BL33" t="s">
        <v>179</v>
      </c>
      <c r="BM33" t="s">
        <v>180</v>
      </c>
      <c r="BN33" t="s">
        <v>171</v>
      </c>
      <c r="BO33" s="142">
        <v>2</v>
      </c>
      <c r="BP33" s="144" t="s">
        <v>171</v>
      </c>
      <c r="BQ33" s="145">
        <v>20.18</v>
      </c>
      <c r="BR33" t="s">
        <v>181</v>
      </c>
      <c r="BS33" s="149">
        <v>0.3</v>
      </c>
      <c r="BT33">
        <v>0.64</v>
      </c>
      <c r="BU33" t="s">
        <v>182</v>
      </c>
      <c r="BV33">
        <v>3.4000000000000002E-2</v>
      </c>
      <c r="BW33">
        <v>9.1</v>
      </c>
      <c r="BX33" t="s">
        <v>173</v>
      </c>
      <c r="BY33">
        <v>0.56000000000000005</v>
      </c>
      <c r="BZ33" t="s">
        <v>183</v>
      </c>
      <c r="CA33" t="s">
        <v>184</v>
      </c>
      <c r="CB33" s="148">
        <f t="shared" si="6"/>
        <v>18.850000000000001</v>
      </c>
      <c r="CC33" s="144" t="s">
        <v>185</v>
      </c>
      <c r="CD33" s="144" t="s">
        <v>171</v>
      </c>
      <c r="CE33" s="144" t="s">
        <v>171</v>
      </c>
      <c r="CF33" t="s">
        <v>186</v>
      </c>
      <c r="CG33" s="144">
        <v>10</v>
      </c>
      <c r="CH33" s="144" t="s">
        <v>187</v>
      </c>
      <c r="CI33" s="144" t="s">
        <v>171</v>
      </c>
      <c r="CJ33" s="147">
        <v>27.14</v>
      </c>
      <c r="CK33" t="s">
        <v>173</v>
      </c>
      <c r="CL33">
        <v>3</v>
      </c>
      <c r="CM33">
        <v>3</v>
      </c>
      <c r="CN33" t="s">
        <v>171</v>
      </c>
      <c r="CO33" s="149">
        <v>3.7</v>
      </c>
      <c r="CP33" t="s">
        <v>188</v>
      </c>
      <c r="CQ33" s="149">
        <v>0.14800000000000002</v>
      </c>
      <c r="CR33" s="149">
        <v>0.14800000000000002</v>
      </c>
      <c r="CS33" s="150" t="s">
        <v>171</v>
      </c>
      <c r="CT33" t="s">
        <v>189</v>
      </c>
      <c r="CU33" t="s">
        <v>171</v>
      </c>
      <c r="CV33" t="s">
        <v>190</v>
      </c>
      <c r="CW33" t="s">
        <v>191</v>
      </c>
      <c r="CX33" t="s">
        <v>191</v>
      </c>
      <c r="CY33" t="s">
        <v>191</v>
      </c>
      <c r="CZ33" t="s">
        <v>171</v>
      </c>
      <c r="DA33" t="s">
        <v>171</v>
      </c>
      <c r="DB33" t="s">
        <v>171</v>
      </c>
      <c r="DC33" t="s">
        <v>171</v>
      </c>
      <c r="DD33" t="s">
        <v>171</v>
      </c>
      <c r="DE33" t="s">
        <v>171</v>
      </c>
      <c r="DF33" t="s">
        <v>171</v>
      </c>
      <c r="DG33">
        <v>35</v>
      </c>
      <c r="DH33" t="s">
        <v>185</v>
      </c>
      <c r="DI33" s="142">
        <v>3</v>
      </c>
      <c r="DJ33" s="144" t="s">
        <v>192</v>
      </c>
      <c r="DK33" s="144" t="s">
        <v>171</v>
      </c>
      <c r="DL33" s="144" t="s">
        <v>171</v>
      </c>
      <c r="DM33" s="144" t="s">
        <v>171</v>
      </c>
      <c r="DN33" s="144" t="s">
        <v>171</v>
      </c>
      <c r="DO33" s="144" t="s">
        <v>171</v>
      </c>
      <c r="DP33" s="144" t="s">
        <v>171</v>
      </c>
      <c r="DQ33" s="144" t="s">
        <v>171</v>
      </c>
      <c r="DR33" s="144" t="s">
        <v>171</v>
      </c>
      <c r="DS33" s="144" t="s">
        <v>171</v>
      </c>
      <c r="DT33" s="144" t="s">
        <v>171</v>
      </c>
      <c r="DU33" s="144" t="s">
        <v>171</v>
      </c>
      <c r="DV33" s="144" t="s">
        <v>171</v>
      </c>
      <c r="DW33" s="147">
        <v>432.56244218316402</v>
      </c>
      <c r="DX33" t="s">
        <v>193</v>
      </c>
      <c r="DY33">
        <v>37.1</v>
      </c>
      <c r="DZ33" t="s">
        <v>194</v>
      </c>
      <c r="EA33">
        <v>39.61</v>
      </c>
      <c r="EB33" t="s">
        <v>185</v>
      </c>
      <c r="EC33" s="149">
        <f t="shared" si="1"/>
        <v>0.11188100000000001</v>
      </c>
      <c r="ED33" t="s">
        <v>195</v>
      </c>
      <c r="EE33" t="s">
        <v>196</v>
      </c>
      <c r="EF33" t="s">
        <v>197</v>
      </c>
      <c r="EG33">
        <v>1.0271999999999999</v>
      </c>
      <c r="EH33" t="s">
        <v>171</v>
      </c>
      <c r="EI33" t="s">
        <v>171</v>
      </c>
      <c r="EJ33" t="s">
        <v>198</v>
      </c>
      <c r="EK33" t="s">
        <v>191</v>
      </c>
      <c r="EL33" t="s">
        <v>191</v>
      </c>
      <c r="EM33" t="s">
        <v>199</v>
      </c>
      <c r="EN33" t="s">
        <v>200</v>
      </c>
      <c r="EO33" s="151" t="s">
        <v>201</v>
      </c>
      <c r="EP33" s="151" t="s">
        <v>201</v>
      </c>
      <c r="EQ33" s="144" t="s">
        <v>171</v>
      </c>
      <c r="ER33" s="144" t="s">
        <v>171</v>
      </c>
      <c r="ES33" s="144" t="s">
        <v>171</v>
      </c>
      <c r="ET33" t="s">
        <v>202</v>
      </c>
      <c r="EU33" t="s">
        <v>203</v>
      </c>
      <c r="EV33" t="s">
        <v>171</v>
      </c>
      <c r="EW33">
        <v>2359</v>
      </c>
      <c r="EX33" s="151" t="s">
        <v>204</v>
      </c>
      <c r="EY33" s="151">
        <v>175</v>
      </c>
      <c r="EZ33">
        <v>175</v>
      </c>
      <c r="FA33" t="s">
        <v>171</v>
      </c>
      <c r="FB33" t="s">
        <v>171</v>
      </c>
      <c r="FC33" t="s">
        <v>171</v>
      </c>
      <c r="FD33" t="s">
        <v>171</v>
      </c>
      <c r="FE33" s="152">
        <v>8.0864688506046303</v>
      </c>
      <c r="FF33" t="s">
        <v>205</v>
      </c>
      <c r="FG33" s="144" t="s">
        <v>171</v>
      </c>
      <c r="FH33" s="144" t="s">
        <v>171</v>
      </c>
      <c r="FI33" s="153">
        <v>350.454604285588</v>
      </c>
      <c r="FJ33">
        <v>21</v>
      </c>
      <c r="FK33" t="s">
        <v>207</v>
      </c>
      <c r="FL33" s="153">
        <v>329.454604285588</v>
      </c>
      <c r="FM33" s="153">
        <v>73.736950427071974</v>
      </c>
      <c r="FN33" s="153">
        <v>60.458063006983991</v>
      </c>
      <c r="FO33" t="s">
        <v>186</v>
      </c>
      <c r="FP33" t="s">
        <v>208</v>
      </c>
      <c r="FQ33" t="s">
        <v>171</v>
      </c>
      <c r="FR33" t="s">
        <v>171</v>
      </c>
      <c r="FS33" t="s">
        <v>171</v>
      </c>
      <c r="FT33" t="s">
        <v>171</v>
      </c>
      <c r="FU33" t="s">
        <v>171</v>
      </c>
      <c r="FV33" t="s">
        <v>171</v>
      </c>
      <c r="FW33" t="s">
        <v>171</v>
      </c>
      <c r="FX33" t="s">
        <v>171</v>
      </c>
      <c r="FY33" t="s">
        <v>171</v>
      </c>
      <c r="FZ33" t="s">
        <v>171</v>
      </c>
      <c r="GA33" t="s">
        <v>171</v>
      </c>
      <c r="GB33" t="s">
        <v>171</v>
      </c>
    </row>
    <row r="34" spans="1:184" ht="16" x14ac:dyDescent="0.2">
      <c r="A34" t="s">
        <v>217</v>
      </c>
      <c r="B34" s="143" t="s">
        <v>216</v>
      </c>
      <c r="C34" s="138" t="s">
        <v>212</v>
      </c>
      <c r="D34" t="s">
        <v>211</v>
      </c>
      <c r="E34">
        <v>2017</v>
      </c>
      <c r="F34" t="str">
        <f t="shared" si="7"/>
        <v>10.1073/pnas.1702143114</v>
      </c>
      <c r="G34" s="147">
        <f t="shared" si="8"/>
        <v>119.06</v>
      </c>
      <c r="H34">
        <f t="shared" si="2"/>
        <v>4</v>
      </c>
      <c r="I34">
        <f t="shared" si="3"/>
        <v>4</v>
      </c>
      <c r="J34" s="153">
        <f t="shared" si="9"/>
        <v>303.95984155233299</v>
      </c>
      <c r="K34" s="153">
        <f t="shared" si="10"/>
        <v>46.906784201737025</v>
      </c>
      <c r="L34" s="153">
        <f t="shared" si="11"/>
        <v>41.953322925758016</v>
      </c>
      <c r="M34" t="b">
        <v>1</v>
      </c>
      <c r="N34">
        <v>3</v>
      </c>
      <c r="O34" s="144" t="s">
        <v>228</v>
      </c>
      <c r="P34" s="144" t="s">
        <v>229</v>
      </c>
      <c r="Q34" t="b">
        <v>0</v>
      </c>
      <c r="R34" t="s">
        <v>214</v>
      </c>
      <c r="S34" t="b">
        <v>1</v>
      </c>
      <c r="T34" t="b">
        <v>0</v>
      </c>
      <c r="U34" t="s">
        <v>171</v>
      </c>
      <c r="V34" t="s">
        <v>171</v>
      </c>
      <c r="W34" t="b">
        <v>0</v>
      </c>
      <c r="X34" t="s">
        <v>171</v>
      </c>
      <c r="Y34" s="139" t="s">
        <v>167</v>
      </c>
      <c r="Z34" s="143" t="s">
        <v>168</v>
      </c>
      <c r="AA34" t="s">
        <v>169</v>
      </c>
      <c r="AB34" s="154" t="s">
        <v>170</v>
      </c>
      <c r="AC34" s="154">
        <v>1</v>
      </c>
      <c r="AD34" s="154">
        <v>4</v>
      </c>
      <c r="AE34" s="154">
        <v>32</v>
      </c>
      <c r="AF34" s="154">
        <f>AE34+2</f>
        <v>34</v>
      </c>
      <c r="AG34" s="154">
        <v>4.82</v>
      </c>
      <c r="AH34" s="154">
        <v>4.82</v>
      </c>
      <c r="AI34" t="s">
        <v>171</v>
      </c>
      <c r="AJ34" t="s">
        <v>172</v>
      </c>
      <c r="AK34" s="146">
        <v>12.74</v>
      </c>
      <c r="AL34" s="146">
        <v>-78.739999999999995</v>
      </c>
      <c r="AM34" t="s">
        <v>171</v>
      </c>
      <c r="AN34" t="s">
        <v>171</v>
      </c>
      <c r="AO34">
        <v>-2839</v>
      </c>
      <c r="AP34" t="s">
        <v>171</v>
      </c>
      <c r="AQ34" t="s">
        <v>171</v>
      </c>
      <c r="AR34" t="s">
        <v>171</v>
      </c>
      <c r="AS34" s="147">
        <v>119.06</v>
      </c>
      <c r="AT34" t="s">
        <v>173</v>
      </c>
      <c r="AU34">
        <v>4</v>
      </c>
      <c r="AV34">
        <v>4</v>
      </c>
      <c r="AW34" t="s">
        <v>171</v>
      </c>
      <c r="AX34" t="s">
        <v>174</v>
      </c>
      <c r="AY34" t="s">
        <v>171</v>
      </c>
      <c r="AZ34" t="s">
        <v>171</v>
      </c>
      <c r="BA34" t="s">
        <v>171</v>
      </c>
      <c r="BB34" t="s">
        <v>171</v>
      </c>
      <c r="BC34" t="s">
        <v>171</v>
      </c>
      <c r="BD34" t="s">
        <v>171</v>
      </c>
      <c r="BE34" t="s">
        <v>171</v>
      </c>
      <c r="BF34" t="s">
        <v>171</v>
      </c>
      <c r="BG34" t="s">
        <v>175</v>
      </c>
      <c r="BH34" t="s">
        <v>176</v>
      </c>
      <c r="BI34" t="s">
        <v>177</v>
      </c>
      <c r="BJ34" s="142">
        <v>2</v>
      </c>
      <c r="BK34" t="s">
        <v>178</v>
      </c>
      <c r="BL34" t="s">
        <v>179</v>
      </c>
      <c r="BM34" t="s">
        <v>180</v>
      </c>
      <c r="BN34" t="s">
        <v>171</v>
      </c>
      <c r="BO34" s="142">
        <v>2</v>
      </c>
      <c r="BP34" s="144" t="s">
        <v>171</v>
      </c>
      <c r="BQ34" s="149">
        <v>20.308739240000001</v>
      </c>
      <c r="BR34" t="s">
        <v>181</v>
      </c>
      <c r="BS34" s="149">
        <v>0.27101699600000001</v>
      </c>
      <c r="BT34">
        <v>0.64</v>
      </c>
      <c r="BU34" t="s">
        <v>182</v>
      </c>
      <c r="BV34">
        <v>3.4000000000000002E-2</v>
      </c>
      <c r="BW34">
        <v>9.1</v>
      </c>
      <c r="BX34" t="s">
        <v>173</v>
      </c>
      <c r="BY34">
        <v>0.56000000000000005</v>
      </c>
      <c r="BZ34" t="s">
        <v>183</v>
      </c>
      <c r="CA34" t="s">
        <v>184</v>
      </c>
      <c r="CB34" s="148">
        <f t="shared" si="6"/>
        <v>19.064565400000003</v>
      </c>
      <c r="CC34" s="144" t="s">
        <v>185</v>
      </c>
      <c r="CD34" s="144" t="s">
        <v>171</v>
      </c>
      <c r="CE34" s="144" t="s">
        <v>171</v>
      </c>
      <c r="CF34" t="s">
        <v>186</v>
      </c>
      <c r="CG34" s="144">
        <v>10</v>
      </c>
      <c r="CH34" s="144" t="s">
        <v>187</v>
      </c>
      <c r="CI34" s="144" t="s">
        <v>171</v>
      </c>
      <c r="CJ34" s="147">
        <v>26.43</v>
      </c>
      <c r="CK34" t="s">
        <v>173</v>
      </c>
      <c r="CL34">
        <v>3</v>
      </c>
      <c r="CM34">
        <v>3</v>
      </c>
      <c r="CN34" t="s">
        <v>171</v>
      </c>
      <c r="CO34" s="149">
        <v>4.1007913793754991</v>
      </c>
      <c r="CP34" t="s">
        <v>188</v>
      </c>
      <c r="CQ34" s="149">
        <v>0.16403165517501997</v>
      </c>
      <c r="CR34" s="149">
        <v>0.16403165517501997</v>
      </c>
      <c r="CS34" s="150" t="s">
        <v>171</v>
      </c>
      <c r="CT34" t="s">
        <v>189</v>
      </c>
      <c r="CU34" t="s">
        <v>171</v>
      </c>
      <c r="CV34" t="s">
        <v>190</v>
      </c>
      <c r="CW34" t="s">
        <v>191</v>
      </c>
      <c r="CX34" t="s">
        <v>191</v>
      </c>
      <c r="CY34" t="s">
        <v>191</v>
      </c>
      <c r="CZ34" t="s">
        <v>171</v>
      </c>
      <c r="DA34" t="s">
        <v>171</v>
      </c>
      <c r="DB34" t="s">
        <v>171</v>
      </c>
      <c r="DC34" t="s">
        <v>171</v>
      </c>
      <c r="DD34" t="s">
        <v>171</v>
      </c>
      <c r="DE34" t="s">
        <v>171</v>
      </c>
      <c r="DF34" t="s">
        <v>171</v>
      </c>
      <c r="DG34">
        <v>35</v>
      </c>
      <c r="DH34" t="s">
        <v>185</v>
      </c>
      <c r="DI34" s="142">
        <v>3</v>
      </c>
      <c r="DJ34" s="144" t="s">
        <v>192</v>
      </c>
      <c r="DK34" s="144" t="s">
        <v>171</v>
      </c>
      <c r="DL34" s="144" t="s">
        <v>171</v>
      </c>
      <c r="DM34" s="144" t="s">
        <v>171</v>
      </c>
      <c r="DN34" s="144" t="s">
        <v>171</v>
      </c>
      <c r="DO34" s="144" t="s">
        <v>171</v>
      </c>
      <c r="DP34" s="144" t="s">
        <v>171</v>
      </c>
      <c r="DQ34" s="144" t="s">
        <v>171</v>
      </c>
      <c r="DR34" s="144" t="s">
        <v>171</v>
      </c>
      <c r="DS34" s="144" t="s">
        <v>171</v>
      </c>
      <c r="DT34" s="144" t="s">
        <v>171</v>
      </c>
      <c r="DU34" s="144" t="s">
        <v>171</v>
      </c>
      <c r="DV34" s="144" t="s">
        <v>171</v>
      </c>
      <c r="DW34" s="147">
        <v>432.56244218316402</v>
      </c>
      <c r="DX34" t="s">
        <v>193</v>
      </c>
      <c r="DY34">
        <v>37.1</v>
      </c>
      <c r="DZ34" t="s">
        <v>194</v>
      </c>
      <c r="EA34">
        <v>39.61</v>
      </c>
      <c r="EB34" t="s">
        <v>185</v>
      </c>
      <c r="EC34" s="149">
        <f t="shared" si="1"/>
        <v>0.11190600000000001</v>
      </c>
      <c r="ED34" t="s">
        <v>195</v>
      </c>
      <c r="EE34" t="s">
        <v>196</v>
      </c>
      <c r="EF34" t="s">
        <v>197</v>
      </c>
      <c r="EG34">
        <v>1.0271999999999999</v>
      </c>
      <c r="EH34" t="s">
        <v>171</v>
      </c>
      <c r="EI34" t="s">
        <v>171</v>
      </c>
      <c r="EJ34" t="s">
        <v>198</v>
      </c>
      <c r="EK34" t="s">
        <v>191</v>
      </c>
      <c r="EL34" t="s">
        <v>191</v>
      </c>
      <c r="EM34" t="s">
        <v>199</v>
      </c>
      <c r="EN34" t="s">
        <v>200</v>
      </c>
      <c r="EO34" s="151" t="s">
        <v>201</v>
      </c>
      <c r="EP34" s="151" t="s">
        <v>201</v>
      </c>
      <c r="EQ34" s="144" t="s">
        <v>171</v>
      </c>
      <c r="ER34" s="144" t="s">
        <v>171</v>
      </c>
      <c r="ES34" s="144" t="s">
        <v>171</v>
      </c>
      <c r="ET34" t="s">
        <v>202</v>
      </c>
      <c r="EU34" t="s">
        <v>203</v>
      </c>
      <c r="EV34" t="s">
        <v>171</v>
      </c>
      <c r="EW34">
        <v>2360</v>
      </c>
      <c r="EX34" s="151" t="s">
        <v>204</v>
      </c>
      <c r="EY34" s="151">
        <v>175</v>
      </c>
      <c r="EZ34">
        <v>175</v>
      </c>
      <c r="FA34" t="s">
        <v>171</v>
      </c>
      <c r="FB34" t="s">
        <v>171</v>
      </c>
      <c r="FC34" t="s">
        <v>171</v>
      </c>
      <c r="FD34" t="s">
        <v>171</v>
      </c>
      <c r="FE34" s="152">
        <v>8.1133725675820703</v>
      </c>
      <c r="FF34" t="s">
        <v>205</v>
      </c>
      <c r="FG34" s="144" t="s">
        <v>171</v>
      </c>
      <c r="FH34" s="144" t="s">
        <v>171</v>
      </c>
      <c r="FI34" s="153">
        <v>324.95984155233299</v>
      </c>
      <c r="FJ34">
        <v>21</v>
      </c>
      <c r="FK34" t="s">
        <v>207</v>
      </c>
      <c r="FL34" s="153">
        <v>303.95984155233299</v>
      </c>
      <c r="FM34" s="153">
        <v>46.906784201737025</v>
      </c>
      <c r="FN34" s="153">
        <v>41.953322925758016</v>
      </c>
      <c r="FO34" t="s">
        <v>186</v>
      </c>
      <c r="FP34" t="s">
        <v>208</v>
      </c>
      <c r="FQ34" t="s">
        <v>171</v>
      </c>
      <c r="FR34" t="s">
        <v>171</v>
      </c>
      <c r="FS34" t="s">
        <v>171</v>
      </c>
      <c r="FT34" t="s">
        <v>171</v>
      </c>
      <c r="FU34" t="s">
        <v>171</v>
      </c>
      <c r="FV34" t="s">
        <v>171</v>
      </c>
      <c r="FW34" t="s">
        <v>171</v>
      </c>
      <c r="FX34" t="s">
        <v>171</v>
      </c>
      <c r="FY34" t="s">
        <v>171</v>
      </c>
      <c r="FZ34" t="s">
        <v>171</v>
      </c>
      <c r="GA34" t="s">
        <v>171</v>
      </c>
      <c r="GB34" t="s">
        <v>171</v>
      </c>
    </row>
    <row r="35" spans="1:184" ht="16" x14ac:dyDescent="0.2">
      <c r="A35" t="s">
        <v>217</v>
      </c>
      <c r="B35" s="143" t="s">
        <v>216</v>
      </c>
      <c r="C35" s="138" t="s">
        <v>212</v>
      </c>
      <c r="D35" t="s">
        <v>211</v>
      </c>
      <c r="E35">
        <v>2017</v>
      </c>
      <c r="F35" t="str">
        <f t="shared" si="7"/>
        <v>10.1073/pnas.1702143114</v>
      </c>
      <c r="G35" s="147">
        <f t="shared" si="8"/>
        <v>121.79</v>
      </c>
      <c r="H35">
        <f t="shared" si="2"/>
        <v>4</v>
      </c>
      <c r="I35">
        <f t="shared" si="3"/>
        <v>4</v>
      </c>
      <c r="J35" s="153">
        <f t="shared" si="9"/>
        <v>340.563104601156</v>
      </c>
      <c r="K35" s="153">
        <f t="shared" si="10"/>
        <v>59.04482622454799</v>
      </c>
      <c r="L35" s="153">
        <f t="shared" si="11"/>
        <v>53.220029385519979</v>
      </c>
      <c r="M35" t="b">
        <v>1</v>
      </c>
      <c r="N35">
        <v>3</v>
      </c>
      <c r="O35" s="144" t="s">
        <v>228</v>
      </c>
      <c r="P35" s="144" t="s">
        <v>229</v>
      </c>
      <c r="Q35" t="b">
        <v>0</v>
      </c>
      <c r="R35" t="s">
        <v>214</v>
      </c>
      <c r="S35" t="b">
        <v>1</v>
      </c>
      <c r="T35" t="b">
        <v>0</v>
      </c>
      <c r="U35" t="s">
        <v>171</v>
      </c>
      <c r="V35" t="s">
        <v>171</v>
      </c>
      <c r="W35" t="b">
        <v>0</v>
      </c>
      <c r="X35" t="s">
        <v>171</v>
      </c>
      <c r="Y35" s="139" t="s">
        <v>167</v>
      </c>
      <c r="Z35" s="143" t="s">
        <v>168</v>
      </c>
      <c r="AA35" t="s">
        <v>169</v>
      </c>
      <c r="AB35" t="s">
        <v>170</v>
      </c>
      <c r="AC35" s="144">
        <v>1</v>
      </c>
      <c r="AD35" s="144">
        <v>4</v>
      </c>
      <c r="AE35" s="144">
        <v>42</v>
      </c>
      <c r="AF35" s="144">
        <v>44</v>
      </c>
      <c r="AG35" s="145">
        <v>4.9400000000000004</v>
      </c>
      <c r="AH35" s="145">
        <v>4.9400000000000004</v>
      </c>
      <c r="AI35" t="s">
        <v>171</v>
      </c>
      <c r="AJ35" t="s">
        <v>172</v>
      </c>
      <c r="AK35" s="146">
        <v>12.74</v>
      </c>
      <c r="AL35" s="146">
        <v>-78.739999999999995</v>
      </c>
      <c r="AM35" t="s">
        <v>171</v>
      </c>
      <c r="AN35" t="s">
        <v>171</v>
      </c>
      <c r="AO35">
        <v>-2839</v>
      </c>
      <c r="AP35" t="s">
        <v>171</v>
      </c>
      <c r="AQ35" t="s">
        <v>171</v>
      </c>
      <c r="AR35" t="s">
        <v>171</v>
      </c>
      <c r="AS35" s="147">
        <v>121.79</v>
      </c>
      <c r="AT35" t="s">
        <v>173</v>
      </c>
      <c r="AU35">
        <v>4</v>
      </c>
      <c r="AV35">
        <v>4</v>
      </c>
      <c r="AW35" t="s">
        <v>171</v>
      </c>
      <c r="AX35" t="s">
        <v>174</v>
      </c>
      <c r="AY35" t="s">
        <v>171</v>
      </c>
      <c r="AZ35" t="s">
        <v>171</v>
      </c>
      <c r="BA35" t="s">
        <v>171</v>
      </c>
      <c r="BB35" t="s">
        <v>171</v>
      </c>
      <c r="BC35" t="s">
        <v>171</v>
      </c>
      <c r="BD35" t="s">
        <v>171</v>
      </c>
      <c r="BE35" t="s">
        <v>171</v>
      </c>
      <c r="BF35" t="s">
        <v>171</v>
      </c>
      <c r="BG35" t="s">
        <v>175</v>
      </c>
      <c r="BH35" t="s">
        <v>176</v>
      </c>
      <c r="BI35" t="s">
        <v>177</v>
      </c>
      <c r="BJ35" s="142">
        <v>2</v>
      </c>
      <c r="BK35" t="s">
        <v>178</v>
      </c>
      <c r="BL35" t="s">
        <v>179</v>
      </c>
      <c r="BM35" t="s">
        <v>180</v>
      </c>
      <c r="BN35" t="s">
        <v>171</v>
      </c>
      <c r="BO35" s="142">
        <v>2</v>
      </c>
      <c r="BP35" s="144" t="s">
        <v>171</v>
      </c>
      <c r="BQ35" s="145">
        <v>20.12</v>
      </c>
      <c r="BR35" t="s">
        <v>181</v>
      </c>
      <c r="BS35" s="149">
        <v>0.2</v>
      </c>
      <c r="BT35">
        <v>0.64</v>
      </c>
      <c r="BU35" t="s">
        <v>182</v>
      </c>
      <c r="BV35">
        <v>3.4000000000000002E-2</v>
      </c>
      <c r="BW35">
        <v>9.1</v>
      </c>
      <c r="BX35" t="s">
        <v>173</v>
      </c>
      <c r="BY35">
        <v>0.56000000000000005</v>
      </c>
      <c r="BZ35" t="s">
        <v>183</v>
      </c>
      <c r="CA35" t="s">
        <v>184</v>
      </c>
      <c r="CB35" s="148">
        <f t="shared" si="6"/>
        <v>18.750000000000004</v>
      </c>
      <c r="CC35" s="144" t="s">
        <v>185</v>
      </c>
      <c r="CD35" s="144" t="s">
        <v>171</v>
      </c>
      <c r="CE35" s="144" t="s">
        <v>171</v>
      </c>
      <c r="CF35" t="s">
        <v>186</v>
      </c>
      <c r="CG35" s="144">
        <v>10</v>
      </c>
      <c r="CH35" s="144" t="s">
        <v>187</v>
      </c>
      <c r="CI35" s="144" t="s">
        <v>171</v>
      </c>
      <c r="CJ35" s="147">
        <v>27.33</v>
      </c>
      <c r="CK35" t="s">
        <v>173</v>
      </c>
      <c r="CL35">
        <v>3</v>
      </c>
      <c r="CM35">
        <v>3</v>
      </c>
      <c r="CN35" t="s">
        <v>171</v>
      </c>
      <c r="CO35" s="149">
        <v>3.5939999999999999</v>
      </c>
      <c r="CP35" t="s">
        <v>188</v>
      </c>
      <c r="CQ35" s="149">
        <v>0.14376</v>
      </c>
      <c r="CR35" s="149">
        <v>0.14376</v>
      </c>
      <c r="CS35" s="150" t="s">
        <v>171</v>
      </c>
      <c r="CT35" t="s">
        <v>189</v>
      </c>
      <c r="CU35" t="s">
        <v>171</v>
      </c>
      <c r="CV35" t="s">
        <v>190</v>
      </c>
      <c r="CW35" t="s">
        <v>191</v>
      </c>
      <c r="CX35" t="s">
        <v>191</v>
      </c>
      <c r="CY35" t="s">
        <v>191</v>
      </c>
      <c r="CZ35" t="s">
        <v>171</v>
      </c>
      <c r="DA35" t="s">
        <v>171</v>
      </c>
      <c r="DB35" t="s">
        <v>171</v>
      </c>
      <c r="DC35" t="s">
        <v>171</v>
      </c>
      <c r="DD35" t="s">
        <v>171</v>
      </c>
      <c r="DE35" t="s">
        <v>171</v>
      </c>
      <c r="DF35" t="s">
        <v>171</v>
      </c>
      <c r="DG35">
        <v>35</v>
      </c>
      <c r="DH35" t="s">
        <v>185</v>
      </c>
      <c r="DI35" s="142">
        <v>3</v>
      </c>
      <c r="DJ35" s="144" t="s">
        <v>192</v>
      </c>
      <c r="DK35" s="144" t="s">
        <v>171</v>
      </c>
      <c r="DL35" s="144" t="s">
        <v>171</v>
      </c>
      <c r="DM35" s="144" t="s">
        <v>171</v>
      </c>
      <c r="DN35" s="144" t="s">
        <v>171</v>
      </c>
      <c r="DO35" s="144" t="s">
        <v>171</v>
      </c>
      <c r="DP35" s="144" t="s">
        <v>171</v>
      </c>
      <c r="DQ35" s="144" t="s">
        <v>171</v>
      </c>
      <c r="DR35" s="144" t="s">
        <v>171</v>
      </c>
      <c r="DS35" s="144" t="s">
        <v>171</v>
      </c>
      <c r="DT35" s="144" t="s">
        <v>171</v>
      </c>
      <c r="DU35" s="144" t="s">
        <v>171</v>
      </c>
      <c r="DV35" s="144" t="s">
        <v>171</v>
      </c>
      <c r="DW35" s="147">
        <v>432.56244218316402</v>
      </c>
      <c r="DX35" t="s">
        <v>193</v>
      </c>
      <c r="DY35">
        <v>37.1</v>
      </c>
      <c r="DZ35" t="s">
        <v>194</v>
      </c>
      <c r="EA35">
        <v>39.61</v>
      </c>
      <c r="EB35" t="s">
        <v>185</v>
      </c>
      <c r="EC35" s="149">
        <f t="shared" si="1"/>
        <v>0.112179</v>
      </c>
      <c r="ED35" t="s">
        <v>195</v>
      </c>
      <c r="EE35" t="s">
        <v>196</v>
      </c>
      <c r="EF35" t="s">
        <v>197</v>
      </c>
      <c r="EG35">
        <v>1.0271999999999999</v>
      </c>
      <c r="EH35" t="s">
        <v>171</v>
      </c>
      <c r="EI35" t="s">
        <v>171</v>
      </c>
      <c r="EJ35" t="s">
        <v>198</v>
      </c>
      <c r="EK35" t="s">
        <v>191</v>
      </c>
      <c r="EL35" t="s">
        <v>191</v>
      </c>
      <c r="EM35" t="s">
        <v>199</v>
      </c>
      <c r="EN35" t="s">
        <v>200</v>
      </c>
      <c r="EO35" s="151" t="s">
        <v>201</v>
      </c>
      <c r="EP35" s="151" t="s">
        <v>201</v>
      </c>
      <c r="EQ35" s="144" t="s">
        <v>171</v>
      </c>
      <c r="ER35" s="144" t="s">
        <v>171</v>
      </c>
      <c r="ES35" s="144" t="s">
        <v>171</v>
      </c>
      <c r="ET35" t="s">
        <v>202</v>
      </c>
      <c r="EU35" t="s">
        <v>203</v>
      </c>
      <c r="EV35" t="s">
        <v>171</v>
      </c>
      <c r="EW35">
        <v>2361</v>
      </c>
      <c r="EX35" s="151" t="s">
        <v>204</v>
      </c>
      <c r="EY35" s="151">
        <v>175</v>
      </c>
      <c r="EZ35">
        <v>175</v>
      </c>
      <c r="FA35" t="s">
        <v>171</v>
      </c>
      <c r="FB35" t="s">
        <v>171</v>
      </c>
      <c r="FC35" t="s">
        <v>171</v>
      </c>
      <c r="FD35" t="s">
        <v>171</v>
      </c>
      <c r="FE35" s="152">
        <v>8.0753034511928092</v>
      </c>
      <c r="FF35" t="s">
        <v>205</v>
      </c>
      <c r="FG35" s="144" t="s">
        <v>171</v>
      </c>
      <c r="FH35" s="144" t="s">
        <v>171</v>
      </c>
      <c r="FI35" s="153">
        <v>361.563104601156</v>
      </c>
      <c r="FJ35">
        <v>21</v>
      </c>
      <c r="FK35" t="s">
        <v>207</v>
      </c>
      <c r="FL35" s="153">
        <v>340.563104601156</v>
      </c>
      <c r="FM35" s="153">
        <v>59.04482622454799</v>
      </c>
      <c r="FN35" s="153">
        <v>53.220029385519979</v>
      </c>
      <c r="FO35" t="s">
        <v>186</v>
      </c>
      <c r="FP35" t="s">
        <v>208</v>
      </c>
      <c r="FQ35" t="s">
        <v>171</v>
      </c>
      <c r="FR35" t="s">
        <v>171</v>
      </c>
      <c r="FS35" t="s">
        <v>171</v>
      </c>
      <c r="FT35" t="s">
        <v>171</v>
      </c>
      <c r="FU35" t="s">
        <v>171</v>
      </c>
      <c r="FV35" t="s">
        <v>171</v>
      </c>
      <c r="FW35" t="s">
        <v>171</v>
      </c>
      <c r="FX35" t="s">
        <v>171</v>
      </c>
      <c r="FY35" t="s">
        <v>171</v>
      </c>
      <c r="FZ35" t="s">
        <v>171</v>
      </c>
      <c r="GA35" t="s">
        <v>171</v>
      </c>
      <c r="GB35" t="s">
        <v>171</v>
      </c>
    </row>
    <row r="36" spans="1:184" ht="16" x14ac:dyDescent="0.2">
      <c r="A36" t="s">
        <v>217</v>
      </c>
      <c r="B36" s="143" t="s">
        <v>216</v>
      </c>
      <c r="C36" s="138" t="s">
        <v>212</v>
      </c>
      <c r="D36" t="s">
        <v>211</v>
      </c>
      <c r="E36">
        <v>2017</v>
      </c>
      <c r="F36" t="str">
        <f t="shared" si="7"/>
        <v>10.1073/pnas.1702143114</v>
      </c>
      <c r="G36" s="147">
        <f t="shared" si="8"/>
        <v>123.77</v>
      </c>
      <c r="H36">
        <f t="shared" si="2"/>
        <v>4</v>
      </c>
      <c r="I36">
        <f t="shared" si="3"/>
        <v>4</v>
      </c>
      <c r="J36" s="153">
        <f t="shared" si="9"/>
        <v>283.84397899509401</v>
      </c>
      <c r="K36" s="153">
        <f t="shared" si="10"/>
        <v>41.64830202452697</v>
      </c>
      <c r="L36" s="153">
        <f t="shared" si="11"/>
        <v>38.830543756947009</v>
      </c>
      <c r="M36" t="b">
        <v>1</v>
      </c>
      <c r="N36">
        <v>3</v>
      </c>
      <c r="O36" s="144" t="s">
        <v>228</v>
      </c>
      <c r="P36" s="144" t="s">
        <v>229</v>
      </c>
      <c r="Q36" t="b">
        <v>0</v>
      </c>
      <c r="R36" t="s">
        <v>214</v>
      </c>
      <c r="S36" t="b">
        <v>1</v>
      </c>
      <c r="T36" t="b">
        <v>0</v>
      </c>
      <c r="U36" t="s">
        <v>171</v>
      </c>
      <c r="V36" t="s">
        <v>171</v>
      </c>
      <c r="W36" t="b">
        <v>0</v>
      </c>
      <c r="X36" t="s">
        <v>171</v>
      </c>
      <c r="Y36" s="139" t="s">
        <v>167</v>
      </c>
      <c r="Z36" s="143" t="s">
        <v>168</v>
      </c>
      <c r="AA36" t="s">
        <v>169</v>
      </c>
      <c r="AB36" s="154" t="s">
        <v>170</v>
      </c>
      <c r="AC36" s="154">
        <v>1</v>
      </c>
      <c r="AD36" s="154">
        <v>4</v>
      </c>
      <c r="AE36" s="154">
        <v>51</v>
      </c>
      <c r="AF36" s="154">
        <f>AE36+2</f>
        <v>53</v>
      </c>
      <c r="AG36" s="154">
        <v>5.01</v>
      </c>
      <c r="AH36" s="154">
        <v>5.01</v>
      </c>
      <c r="AI36" t="s">
        <v>171</v>
      </c>
      <c r="AJ36" t="s">
        <v>172</v>
      </c>
      <c r="AK36" s="146">
        <v>12.74</v>
      </c>
      <c r="AL36" s="146">
        <v>-78.739999999999995</v>
      </c>
      <c r="AM36" t="s">
        <v>171</v>
      </c>
      <c r="AN36" t="s">
        <v>171</v>
      </c>
      <c r="AO36">
        <v>-2839</v>
      </c>
      <c r="AP36" t="s">
        <v>171</v>
      </c>
      <c r="AQ36" t="s">
        <v>171</v>
      </c>
      <c r="AR36" t="s">
        <v>171</v>
      </c>
      <c r="AS36" s="147">
        <v>123.77</v>
      </c>
      <c r="AT36" t="s">
        <v>173</v>
      </c>
      <c r="AU36">
        <v>4</v>
      </c>
      <c r="AV36">
        <v>4</v>
      </c>
      <c r="AW36" t="s">
        <v>171</v>
      </c>
      <c r="AX36" t="s">
        <v>174</v>
      </c>
      <c r="AY36" t="s">
        <v>171</v>
      </c>
      <c r="AZ36" t="s">
        <v>171</v>
      </c>
      <c r="BA36" t="s">
        <v>171</v>
      </c>
      <c r="BB36" t="s">
        <v>171</v>
      </c>
      <c r="BC36" t="s">
        <v>171</v>
      </c>
      <c r="BD36" t="s">
        <v>171</v>
      </c>
      <c r="BE36" t="s">
        <v>171</v>
      </c>
      <c r="BF36" t="s">
        <v>171</v>
      </c>
      <c r="BG36" t="s">
        <v>175</v>
      </c>
      <c r="BH36" t="s">
        <v>176</v>
      </c>
      <c r="BI36" t="s">
        <v>177</v>
      </c>
      <c r="BJ36" s="142">
        <v>2</v>
      </c>
      <c r="BK36" t="s">
        <v>178</v>
      </c>
      <c r="BL36" t="s">
        <v>179</v>
      </c>
      <c r="BM36" t="s">
        <v>180</v>
      </c>
      <c r="BN36" t="s">
        <v>171</v>
      </c>
      <c r="BO36" s="142">
        <v>2</v>
      </c>
      <c r="BP36" s="144" t="s">
        <v>171</v>
      </c>
      <c r="BQ36" s="149">
        <v>20.552247770000001</v>
      </c>
      <c r="BR36" t="s">
        <v>181</v>
      </c>
      <c r="BS36" s="149">
        <v>0.18916951800000001</v>
      </c>
      <c r="BT36">
        <v>0.64</v>
      </c>
      <c r="BU36" t="s">
        <v>182</v>
      </c>
      <c r="BV36">
        <v>3.4000000000000002E-2</v>
      </c>
      <c r="BW36">
        <v>9.1</v>
      </c>
      <c r="BX36" t="s">
        <v>173</v>
      </c>
      <c r="BY36">
        <v>0.56000000000000005</v>
      </c>
      <c r="BZ36" t="s">
        <v>183</v>
      </c>
      <c r="CA36" t="s">
        <v>184</v>
      </c>
      <c r="CB36" s="148">
        <f t="shared" si="6"/>
        <v>19.470412950000004</v>
      </c>
      <c r="CC36" s="144" t="s">
        <v>185</v>
      </c>
      <c r="CD36" s="144" t="s">
        <v>171</v>
      </c>
      <c r="CE36" s="144" t="s">
        <v>171</v>
      </c>
      <c r="CF36" t="s">
        <v>186</v>
      </c>
      <c r="CG36" s="144">
        <v>10</v>
      </c>
      <c r="CH36" s="144" t="s">
        <v>187</v>
      </c>
      <c r="CI36" s="144" t="s">
        <v>171</v>
      </c>
      <c r="CJ36" s="147">
        <v>27.69</v>
      </c>
      <c r="CK36" t="s">
        <v>173</v>
      </c>
      <c r="CL36">
        <v>3</v>
      </c>
      <c r="CM36">
        <v>3</v>
      </c>
      <c r="CN36" t="s">
        <v>171</v>
      </c>
      <c r="CO36" s="149">
        <v>4.5916679796012279</v>
      </c>
      <c r="CP36" t="s">
        <v>188</v>
      </c>
      <c r="CQ36" s="149">
        <v>0.18366671918404912</v>
      </c>
      <c r="CR36" s="149">
        <v>0.18366671918404912</v>
      </c>
      <c r="CS36" s="150" t="s">
        <v>171</v>
      </c>
      <c r="CT36" t="s">
        <v>189</v>
      </c>
      <c r="CU36" t="s">
        <v>171</v>
      </c>
      <c r="CV36" t="s">
        <v>190</v>
      </c>
      <c r="CW36" t="s">
        <v>191</v>
      </c>
      <c r="CX36" t="s">
        <v>191</v>
      </c>
      <c r="CY36" t="s">
        <v>191</v>
      </c>
      <c r="CZ36" t="s">
        <v>171</v>
      </c>
      <c r="DA36" t="s">
        <v>171</v>
      </c>
      <c r="DB36" t="s">
        <v>171</v>
      </c>
      <c r="DC36" t="s">
        <v>171</v>
      </c>
      <c r="DD36" t="s">
        <v>171</v>
      </c>
      <c r="DE36" t="s">
        <v>171</v>
      </c>
      <c r="DF36" t="s">
        <v>171</v>
      </c>
      <c r="DG36">
        <v>35</v>
      </c>
      <c r="DH36" t="s">
        <v>185</v>
      </c>
      <c r="DI36" s="142">
        <v>3</v>
      </c>
      <c r="DJ36" s="144" t="s">
        <v>192</v>
      </c>
      <c r="DK36" s="144" t="s">
        <v>171</v>
      </c>
      <c r="DL36" s="144" t="s">
        <v>171</v>
      </c>
      <c r="DM36" s="144" t="s">
        <v>171</v>
      </c>
      <c r="DN36" s="144" t="s">
        <v>171</v>
      </c>
      <c r="DO36" s="144" t="s">
        <v>171</v>
      </c>
      <c r="DP36" s="144" t="s">
        <v>171</v>
      </c>
      <c r="DQ36" s="144" t="s">
        <v>171</v>
      </c>
      <c r="DR36" s="144" t="s">
        <v>171</v>
      </c>
      <c r="DS36" s="144" t="s">
        <v>171</v>
      </c>
      <c r="DT36" s="144" t="s">
        <v>171</v>
      </c>
      <c r="DU36" s="144" t="s">
        <v>171</v>
      </c>
      <c r="DV36" s="144" t="s">
        <v>171</v>
      </c>
      <c r="DW36" s="147">
        <v>432.56244218316402</v>
      </c>
      <c r="DX36" t="s">
        <v>193</v>
      </c>
      <c r="DY36">
        <v>37.1</v>
      </c>
      <c r="DZ36" t="s">
        <v>194</v>
      </c>
      <c r="EA36">
        <v>39.61</v>
      </c>
      <c r="EB36" t="s">
        <v>185</v>
      </c>
      <c r="EC36" s="149">
        <f t="shared" si="1"/>
        <v>0.112377</v>
      </c>
      <c r="ED36" t="s">
        <v>195</v>
      </c>
      <c r="EE36" t="s">
        <v>196</v>
      </c>
      <c r="EF36" t="s">
        <v>197</v>
      </c>
      <c r="EG36">
        <v>1.0271999999999999</v>
      </c>
      <c r="EH36" t="s">
        <v>171</v>
      </c>
      <c r="EI36" t="s">
        <v>171</v>
      </c>
      <c r="EJ36" t="s">
        <v>198</v>
      </c>
      <c r="EK36" t="s">
        <v>191</v>
      </c>
      <c r="EL36" t="s">
        <v>191</v>
      </c>
      <c r="EM36" t="s">
        <v>199</v>
      </c>
      <c r="EN36" t="s">
        <v>200</v>
      </c>
      <c r="EO36" s="151" t="s">
        <v>201</v>
      </c>
      <c r="EP36" s="151" t="s">
        <v>201</v>
      </c>
      <c r="EQ36" s="144" t="s">
        <v>171</v>
      </c>
      <c r="ER36" s="144" t="s">
        <v>171</v>
      </c>
      <c r="ES36" s="144" t="s">
        <v>171</v>
      </c>
      <c r="ET36" t="s">
        <v>202</v>
      </c>
      <c r="EU36" t="s">
        <v>203</v>
      </c>
      <c r="EV36" t="s">
        <v>171</v>
      </c>
      <c r="EW36">
        <v>2362</v>
      </c>
      <c r="EX36" s="151" t="s">
        <v>204</v>
      </c>
      <c r="EY36" s="151">
        <v>175</v>
      </c>
      <c r="EZ36">
        <v>175</v>
      </c>
      <c r="FA36" t="s">
        <v>171</v>
      </c>
      <c r="FB36" t="s">
        <v>171</v>
      </c>
      <c r="FC36" t="s">
        <v>171</v>
      </c>
      <c r="FD36" t="s">
        <v>171</v>
      </c>
      <c r="FE36" s="152">
        <v>8.1333204315921304</v>
      </c>
      <c r="FF36" t="s">
        <v>205</v>
      </c>
      <c r="FG36" s="144" t="s">
        <v>171</v>
      </c>
      <c r="FH36" s="144" t="s">
        <v>171</v>
      </c>
      <c r="FI36" s="153">
        <v>304.84397899509401</v>
      </c>
      <c r="FJ36">
        <v>21</v>
      </c>
      <c r="FK36" t="s">
        <v>207</v>
      </c>
      <c r="FL36" s="153">
        <v>283.84397899509401</v>
      </c>
      <c r="FM36" s="153">
        <v>41.64830202452697</v>
      </c>
      <c r="FN36" s="153">
        <v>38.830543756947009</v>
      </c>
      <c r="FO36" t="s">
        <v>186</v>
      </c>
      <c r="FP36" t="s">
        <v>208</v>
      </c>
      <c r="FQ36" t="s">
        <v>171</v>
      </c>
      <c r="FR36" t="s">
        <v>171</v>
      </c>
      <c r="FS36" t="s">
        <v>171</v>
      </c>
      <c r="FT36" t="s">
        <v>171</v>
      </c>
      <c r="FU36" t="s">
        <v>171</v>
      </c>
      <c r="FV36" t="s">
        <v>171</v>
      </c>
      <c r="FW36" t="s">
        <v>171</v>
      </c>
      <c r="FX36" t="s">
        <v>171</v>
      </c>
      <c r="FY36" t="s">
        <v>171</v>
      </c>
      <c r="FZ36" t="s">
        <v>171</v>
      </c>
      <c r="GA36" t="s">
        <v>171</v>
      </c>
      <c r="GB36" t="s">
        <v>171</v>
      </c>
    </row>
    <row r="37" spans="1:184" ht="16" x14ac:dyDescent="0.2">
      <c r="A37" t="s">
        <v>217</v>
      </c>
      <c r="B37" s="143" t="s">
        <v>216</v>
      </c>
      <c r="C37" s="138" t="s">
        <v>212</v>
      </c>
      <c r="D37" t="s">
        <v>211</v>
      </c>
      <c r="E37">
        <v>2017</v>
      </c>
      <c r="F37" t="str">
        <f t="shared" si="7"/>
        <v>10.1073/pnas.1702143114</v>
      </c>
      <c r="G37" s="147">
        <f t="shared" si="8"/>
        <v>124.37</v>
      </c>
      <c r="H37">
        <f t="shared" si="2"/>
        <v>4</v>
      </c>
      <c r="I37">
        <f t="shared" si="3"/>
        <v>4</v>
      </c>
      <c r="J37" s="153">
        <f t="shared" si="9"/>
        <v>266.800940310633</v>
      </c>
      <c r="K37" s="153">
        <f t="shared" si="10"/>
        <v>48.212605230766997</v>
      </c>
      <c r="L37" s="153">
        <f t="shared" si="11"/>
        <v>42.854818528560997</v>
      </c>
      <c r="M37" t="b">
        <v>1</v>
      </c>
      <c r="N37">
        <v>3</v>
      </c>
      <c r="O37" s="144" t="s">
        <v>228</v>
      </c>
      <c r="P37" s="144" t="s">
        <v>229</v>
      </c>
      <c r="Q37" t="b">
        <v>0</v>
      </c>
      <c r="R37" t="s">
        <v>214</v>
      </c>
      <c r="S37" t="b">
        <v>1</v>
      </c>
      <c r="T37" t="b">
        <v>0</v>
      </c>
      <c r="U37" t="s">
        <v>171</v>
      </c>
      <c r="V37" t="s">
        <v>171</v>
      </c>
      <c r="W37" t="b">
        <v>0</v>
      </c>
      <c r="X37" t="s">
        <v>171</v>
      </c>
      <c r="Y37" s="139" t="s">
        <v>167</v>
      </c>
      <c r="Z37" s="143" t="s">
        <v>168</v>
      </c>
      <c r="AA37" t="s">
        <v>169</v>
      </c>
      <c r="AB37" t="s">
        <v>170</v>
      </c>
      <c r="AC37" s="144">
        <v>1</v>
      </c>
      <c r="AD37" s="144">
        <v>4</v>
      </c>
      <c r="AE37" s="144">
        <v>52</v>
      </c>
      <c r="AF37" s="144">
        <v>54</v>
      </c>
      <c r="AG37" s="145">
        <v>5.04</v>
      </c>
      <c r="AH37" s="145">
        <v>5.04</v>
      </c>
      <c r="AI37" t="s">
        <v>171</v>
      </c>
      <c r="AJ37" t="s">
        <v>172</v>
      </c>
      <c r="AK37" s="146">
        <v>12.74</v>
      </c>
      <c r="AL37" s="146">
        <v>-78.739999999999995</v>
      </c>
      <c r="AM37" t="s">
        <v>171</v>
      </c>
      <c r="AN37" t="s">
        <v>171</v>
      </c>
      <c r="AO37">
        <v>-2839</v>
      </c>
      <c r="AP37" t="s">
        <v>171</v>
      </c>
      <c r="AQ37" t="s">
        <v>171</v>
      </c>
      <c r="AR37" t="s">
        <v>171</v>
      </c>
      <c r="AS37" s="147">
        <v>124.37</v>
      </c>
      <c r="AT37" t="s">
        <v>173</v>
      </c>
      <c r="AU37">
        <v>4</v>
      </c>
      <c r="AV37">
        <v>4</v>
      </c>
      <c r="AW37" t="s">
        <v>171</v>
      </c>
      <c r="AX37" t="s">
        <v>174</v>
      </c>
      <c r="AY37" t="s">
        <v>171</v>
      </c>
      <c r="AZ37" t="s">
        <v>171</v>
      </c>
      <c r="BA37" t="s">
        <v>171</v>
      </c>
      <c r="BB37" t="s">
        <v>171</v>
      </c>
      <c r="BC37" t="s">
        <v>171</v>
      </c>
      <c r="BD37" t="s">
        <v>171</v>
      </c>
      <c r="BE37" t="s">
        <v>171</v>
      </c>
      <c r="BF37" t="s">
        <v>171</v>
      </c>
      <c r="BG37" t="s">
        <v>175</v>
      </c>
      <c r="BH37" t="s">
        <v>176</v>
      </c>
      <c r="BI37" t="s">
        <v>177</v>
      </c>
      <c r="BJ37" s="142">
        <v>2</v>
      </c>
      <c r="BK37" t="s">
        <v>178</v>
      </c>
      <c r="BL37" t="s">
        <v>179</v>
      </c>
      <c r="BM37" t="s">
        <v>180</v>
      </c>
      <c r="BN37" t="s">
        <v>171</v>
      </c>
      <c r="BO37" s="142">
        <v>2</v>
      </c>
      <c r="BP37" s="144" t="s">
        <v>171</v>
      </c>
      <c r="BQ37" s="145">
        <v>20.75</v>
      </c>
      <c r="BR37" t="s">
        <v>181</v>
      </c>
      <c r="BS37" s="149">
        <v>0.2</v>
      </c>
      <c r="BT37">
        <v>0.64</v>
      </c>
      <c r="BU37" t="s">
        <v>182</v>
      </c>
      <c r="BV37">
        <v>3.4000000000000002E-2</v>
      </c>
      <c r="BW37">
        <v>9.1</v>
      </c>
      <c r="BX37" t="s">
        <v>173</v>
      </c>
      <c r="BY37">
        <v>0.56000000000000005</v>
      </c>
      <c r="BZ37" t="s">
        <v>183</v>
      </c>
      <c r="CA37" t="s">
        <v>184</v>
      </c>
      <c r="CB37" s="148">
        <f t="shared" si="6"/>
        <v>19.8</v>
      </c>
      <c r="CC37" s="144" t="s">
        <v>185</v>
      </c>
      <c r="CD37" s="144" t="s">
        <v>171</v>
      </c>
      <c r="CE37" s="144" t="s">
        <v>171</v>
      </c>
      <c r="CF37" t="s">
        <v>186</v>
      </c>
      <c r="CG37" s="144">
        <v>10</v>
      </c>
      <c r="CH37" s="144" t="s">
        <v>187</v>
      </c>
      <c r="CI37" s="144" t="s">
        <v>171</v>
      </c>
      <c r="CJ37" s="147">
        <v>28.47</v>
      </c>
      <c r="CK37" t="s">
        <v>173</v>
      </c>
      <c r="CL37">
        <v>3</v>
      </c>
      <c r="CM37">
        <v>3</v>
      </c>
      <c r="CN37" t="s">
        <v>171</v>
      </c>
      <c r="CO37" s="149">
        <v>3.4710000000000001</v>
      </c>
      <c r="CP37" t="s">
        <v>188</v>
      </c>
      <c r="CQ37" s="149">
        <v>0.13884000000000002</v>
      </c>
      <c r="CR37" s="149">
        <v>0.13884000000000002</v>
      </c>
      <c r="CS37" s="150" t="s">
        <v>171</v>
      </c>
      <c r="CT37" t="s">
        <v>189</v>
      </c>
      <c r="CU37" t="s">
        <v>171</v>
      </c>
      <c r="CV37" t="s">
        <v>190</v>
      </c>
      <c r="CW37" t="s">
        <v>191</v>
      </c>
      <c r="CX37" t="s">
        <v>191</v>
      </c>
      <c r="CY37" t="s">
        <v>191</v>
      </c>
      <c r="CZ37" t="s">
        <v>171</v>
      </c>
      <c r="DA37" t="s">
        <v>171</v>
      </c>
      <c r="DB37" t="s">
        <v>171</v>
      </c>
      <c r="DC37" t="s">
        <v>171</v>
      </c>
      <c r="DD37" t="s">
        <v>171</v>
      </c>
      <c r="DE37" t="s">
        <v>171</v>
      </c>
      <c r="DF37" t="s">
        <v>171</v>
      </c>
      <c r="DG37">
        <v>35</v>
      </c>
      <c r="DH37" t="s">
        <v>185</v>
      </c>
      <c r="DI37" s="142">
        <v>3</v>
      </c>
      <c r="DJ37" s="144" t="s">
        <v>192</v>
      </c>
      <c r="DK37" s="144" t="s">
        <v>171</v>
      </c>
      <c r="DL37" s="144" t="s">
        <v>171</v>
      </c>
      <c r="DM37" s="144" t="s">
        <v>171</v>
      </c>
      <c r="DN37" s="144" t="s">
        <v>171</v>
      </c>
      <c r="DO37" s="144" t="s">
        <v>171</v>
      </c>
      <c r="DP37" s="144" t="s">
        <v>171</v>
      </c>
      <c r="DQ37" s="144" t="s">
        <v>171</v>
      </c>
      <c r="DR37" s="144" t="s">
        <v>171</v>
      </c>
      <c r="DS37" s="144" t="s">
        <v>171</v>
      </c>
      <c r="DT37" s="144" t="s">
        <v>171</v>
      </c>
      <c r="DU37" s="144" t="s">
        <v>171</v>
      </c>
      <c r="DV37" s="144" t="s">
        <v>171</v>
      </c>
      <c r="DW37" s="147">
        <v>432.56244218316402</v>
      </c>
      <c r="DX37" t="s">
        <v>193</v>
      </c>
      <c r="DY37">
        <v>37.1</v>
      </c>
      <c r="DZ37" t="s">
        <v>194</v>
      </c>
      <c r="EA37">
        <v>39.61</v>
      </c>
      <c r="EB37" t="s">
        <v>185</v>
      </c>
      <c r="EC37" s="149">
        <f t="shared" si="1"/>
        <v>0.11243700000000001</v>
      </c>
      <c r="ED37" t="s">
        <v>195</v>
      </c>
      <c r="EE37" t="s">
        <v>196</v>
      </c>
      <c r="EF37" t="s">
        <v>197</v>
      </c>
      <c r="EG37">
        <v>1.0271999999999999</v>
      </c>
      <c r="EH37" t="s">
        <v>171</v>
      </c>
      <c r="EI37" t="s">
        <v>171</v>
      </c>
      <c r="EJ37" t="s">
        <v>198</v>
      </c>
      <c r="EK37" t="s">
        <v>191</v>
      </c>
      <c r="EL37" t="s">
        <v>191</v>
      </c>
      <c r="EM37" t="s">
        <v>199</v>
      </c>
      <c r="EN37" t="s">
        <v>200</v>
      </c>
      <c r="EO37" s="151" t="s">
        <v>201</v>
      </c>
      <c r="EP37" s="151" t="s">
        <v>201</v>
      </c>
      <c r="EQ37" s="144" t="s">
        <v>171</v>
      </c>
      <c r="ER37" s="144" t="s">
        <v>171</v>
      </c>
      <c r="ES37" s="144" t="s">
        <v>171</v>
      </c>
      <c r="ET37" t="s">
        <v>202</v>
      </c>
      <c r="EU37" t="s">
        <v>203</v>
      </c>
      <c r="EV37" t="s">
        <v>171</v>
      </c>
      <c r="EW37">
        <v>2363</v>
      </c>
      <c r="EX37" s="151" t="s">
        <v>204</v>
      </c>
      <c r="EY37" s="151">
        <v>175</v>
      </c>
      <c r="EZ37">
        <v>175</v>
      </c>
      <c r="FA37" t="s">
        <v>171</v>
      </c>
      <c r="FB37" t="s">
        <v>171</v>
      </c>
      <c r="FC37" t="s">
        <v>171</v>
      </c>
      <c r="FD37" t="s">
        <v>171</v>
      </c>
      <c r="FE37" s="152">
        <v>8.1510704636486793</v>
      </c>
      <c r="FF37" t="s">
        <v>205</v>
      </c>
      <c r="FG37" s="144" t="s">
        <v>171</v>
      </c>
      <c r="FH37" s="144" t="s">
        <v>171</v>
      </c>
      <c r="FI37" s="153">
        <v>287.800940310633</v>
      </c>
      <c r="FJ37">
        <v>21</v>
      </c>
      <c r="FK37" t="s">
        <v>207</v>
      </c>
      <c r="FL37" s="153">
        <v>266.800940310633</v>
      </c>
      <c r="FM37" s="153">
        <v>48.212605230766997</v>
      </c>
      <c r="FN37" s="153">
        <v>42.854818528560997</v>
      </c>
      <c r="FO37" t="s">
        <v>186</v>
      </c>
      <c r="FP37" t="s">
        <v>208</v>
      </c>
      <c r="FQ37" t="s">
        <v>171</v>
      </c>
      <c r="FR37" t="s">
        <v>171</v>
      </c>
      <c r="FS37" t="s">
        <v>171</v>
      </c>
      <c r="FT37" t="s">
        <v>171</v>
      </c>
      <c r="FU37" t="s">
        <v>171</v>
      </c>
      <c r="FV37" t="s">
        <v>171</v>
      </c>
      <c r="FW37" t="s">
        <v>171</v>
      </c>
      <c r="FX37" t="s">
        <v>171</v>
      </c>
      <c r="FY37" t="s">
        <v>171</v>
      </c>
      <c r="FZ37" t="s">
        <v>171</v>
      </c>
      <c r="GA37" t="s">
        <v>171</v>
      </c>
      <c r="GB37" t="s">
        <v>171</v>
      </c>
    </row>
    <row r="38" spans="1:184" ht="16" x14ac:dyDescent="0.2">
      <c r="A38" t="s">
        <v>217</v>
      </c>
      <c r="B38" s="143" t="s">
        <v>216</v>
      </c>
      <c r="C38" s="138" t="s">
        <v>212</v>
      </c>
      <c r="D38" t="s">
        <v>211</v>
      </c>
      <c r="E38">
        <v>2017</v>
      </c>
      <c r="F38" t="str">
        <f t="shared" si="7"/>
        <v>10.1073/pnas.1702143114</v>
      </c>
      <c r="G38" s="147">
        <f t="shared" si="8"/>
        <v>127.48</v>
      </c>
      <c r="H38">
        <f t="shared" si="2"/>
        <v>4</v>
      </c>
      <c r="I38">
        <f t="shared" si="3"/>
        <v>4</v>
      </c>
      <c r="J38" s="153">
        <f t="shared" si="9"/>
        <v>273.43009405802098</v>
      </c>
      <c r="K38" s="153">
        <f t="shared" si="10"/>
        <v>40.561846456753017</v>
      </c>
      <c r="L38" s="153">
        <f t="shared" si="11"/>
        <v>37.453850370236978</v>
      </c>
      <c r="M38" t="b">
        <v>1</v>
      </c>
      <c r="N38">
        <v>3</v>
      </c>
      <c r="O38" s="144" t="s">
        <v>228</v>
      </c>
      <c r="P38" s="144" t="s">
        <v>229</v>
      </c>
      <c r="Q38" t="b">
        <v>0</v>
      </c>
      <c r="R38" t="s">
        <v>214</v>
      </c>
      <c r="S38" t="b">
        <v>1</v>
      </c>
      <c r="T38" t="b">
        <v>0</v>
      </c>
      <c r="U38" t="s">
        <v>171</v>
      </c>
      <c r="V38" t="s">
        <v>171</v>
      </c>
      <c r="W38" t="b">
        <v>0</v>
      </c>
      <c r="X38" t="s">
        <v>171</v>
      </c>
      <c r="Y38" s="139" t="s">
        <v>167</v>
      </c>
      <c r="Z38" s="143" t="s">
        <v>168</v>
      </c>
      <c r="AA38" t="s">
        <v>169</v>
      </c>
      <c r="AB38" s="154" t="s">
        <v>170</v>
      </c>
      <c r="AC38" s="154">
        <v>1</v>
      </c>
      <c r="AD38" s="154">
        <v>4</v>
      </c>
      <c r="AE38" s="154">
        <v>62</v>
      </c>
      <c r="AF38" s="154">
        <f>AE38+2</f>
        <v>64</v>
      </c>
      <c r="AG38" s="154">
        <v>5.12</v>
      </c>
      <c r="AH38" s="154">
        <v>5.12</v>
      </c>
      <c r="AI38" t="s">
        <v>171</v>
      </c>
      <c r="AJ38" t="s">
        <v>172</v>
      </c>
      <c r="AK38" s="146">
        <v>12.74</v>
      </c>
      <c r="AL38" s="146">
        <v>-78.739999999999995</v>
      </c>
      <c r="AM38" t="s">
        <v>171</v>
      </c>
      <c r="AN38" t="s">
        <v>171</v>
      </c>
      <c r="AO38">
        <v>-2839</v>
      </c>
      <c r="AP38" t="s">
        <v>171</v>
      </c>
      <c r="AQ38" t="s">
        <v>171</v>
      </c>
      <c r="AR38" t="s">
        <v>171</v>
      </c>
      <c r="AS38" s="147">
        <v>127.48</v>
      </c>
      <c r="AT38" t="s">
        <v>173</v>
      </c>
      <c r="AU38">
        <v>4</v>
      </c>
      <c r="AV38">
        <v>4</v>
      </c>
      <c r="AW38" t="s">
        <v>171</v>
      </c>
      <c r="AX38" t="s">
        <v>174</v>
      </c>
      <c r="AY38" t="s">
        <v>171</v>
      </c>
      <c r="AZ38" t="s">
        <v>171</v>
      </c>
      <c r="BA38" t="s">
        <v>171</v>
      </c>
      <c r="BB38" t="s">
        <v>171</v>
      </c>
      <c r="BC38" t="s">
        <v>171</v>
      </c>
      <c r="BD38" t="s">
        <v>171</v>
      </c>
      <c r="BE38" t="s">
        <v>171</v>
      </c>
      <c r="BF38" t="s">
        <v>171</v>
      </c>
      <c r="BG38" t="s">
        <v>175</v>
      </c>
      <c r="BH38" t="s">
        <v>176</v>
      </c>
      <c r="BI38" t="s">
        <v>177</v>
      </c>
      <c r="BJ38" s="142">
        <v>2</v>
      </c>
      <c r="BK38" t="s">
        <v>178</v>
      </c>
      <c r="BL38" t="s">
        <v>179</v>
      </c>
      <c r="BM38" t="s">
        <v>180</v>
      </c>
      <c r="BN38" t="s">
        <v>171</v>
      </c>
      <c r="BO38" s="142">
        <v>2</v>
      </c>
      <c r="BP38" s="144" t="s">
        <v>171</v>
      </c>
      <c r="BQ38" s="149">
        <v>20.669563589999999</v>
      </c>
      <c r="BR38" t="s">
        <v>181</v>
      </c>
      <c r="BS38" s="149">
        <v>0.22489237200000001</v>
      </c>
      <c r="BT38">
        <v>0.64</v>
      </c>
      <c r="BU38" t="s">
        <v>182</v>
      </c>
      <c r="BV38">
        <v>3.4000000000000002E-2</v>
      </c>
      <c r="BW38">
        <v>9.1</v>
      </c>
      <c r="BX38" t="s">
        <v>173</v>
      </c>
      <c r="BY38">
        <v>0.56000000000000005</v>
      </c>
      <c r="BZ38" t="s">
        <v>183</v>
      </c>
      <c r="CA38" t="s">
        <v>184</v>
      </c>
      <c r="CB38" s="148">
        <f t="shared" si="6"/>
        <v>19.665939316666666</v>
      </c>
      <c r="CC38" s="144" t="s">
        <v>185</v>
      </c>
      <c r="CD38" s="144" t="s">
        <v>171</v>
      </c>
      <c r="CE38" s="144" t="s">
        <v>171</v>
      </c>
      <c r="CF38" t="s">
        <v>186</v>
      </c>
      <c r="CG38" s="144">
        <v>10</v>
      </c>
      <c r="CH38" s="144" t="s">
        <v>187</v>
      </c>
      <c r="CI38" s="144" t="s">
        <v>171</v>
      </c>
      <c r="CJ38" s="147">
        <v>28.14</v>
      </c>
      <c r="CK38" t="s">
        <v>173</v>
      </c>
      <c r="CL38">
        <v>3</v>
      </c>
      <c r="CM38">
        <v>3</v>
      </c>
      <c r="CN38" t="s">
        <v>171</v>
      </c>
      <c r="CO38" s="149">
        <v>4.7818327517917174</v>
      </c>
      <c r="CP38" t="s">
        <v>188</v>
      </c>
      <c r="CQ38" s="149">
        <v>0.1912733100716687</v>
      </c>
      <c r="CR38" s="149">
        <v>0.1912733100716687</v>
      </c>
      <c r="CS38" s="150" t="s">
        <v>171</v>
      </c>
      <c r="CT38" t="s">
        <v>189</v>
      </c>
      <c r="CU38" t="s">
        <v>171</v>
      </c>
      <c r="CV38" t="s">
        <v>190</v>
      </c>
      <c r="CW38" t="s">
        <v>191</v>
      </c>
      <c r="CX38" t="s">
        <v>191</v>
      </c>
      <c r="CY38" t="s">
        <v>191</v>
      </c>
      <c r="CZ38" t="s">
        <v>171</v>
      </c>
      <c r="DA38" t="s">
        <v>171</v>
      </c>
      <c r="DB38" t="s">
        <v>171</v>
      </c>
      <c r="DC38" t="s">
        <v>171</v>
      </c>
      <c r="DD38" t="s">
        <v>171</v>
      </c>
      <c r="DE38" t="s">
        <v>171</v>
      </c>
      <c r="DF38" t="s">
        <v>171</v>
      </c>
      <c r="DG38">
        <v>35</v>
      </c>
      <c r="DH38" t="s">
        <v>185</v>
      </c>
      <c r="DI38" s="142">
        <v>3</v>
      </c>
      <c r="DJ38" s="144" t="s">
        <v>192</v>
      </c>
      <c r="DK38" s="144" t="s">
        <v>171</v>
      </c>
      <c r="DL38" s="144" t="s">
        <v>171</v>
      </c>
      <c r="DM38" s="144" t="s">
        <v>171</v>
      </c>
      <c r="DN38" s="144" t="s">
        <v>171</v>
      </c>
      <c r="DO38" s="144" t="s">
        <v>171</v>
      </c>
      <c r="DP38" s="144" t="s">
        <v>171</v>
      </c>
      <c r="DQ38" s="144" t="s">
        <v>171</v>
      </c>
      <c r="DR38" s="144" t="s">
        <v>171</v>
      </c>
      <c r="DS38" s="144" t="s">
        <v>171</v>
      </c>
      <c r="DT38" s="144" t="s">
        <v>171</v>
      </c>
      <c r="DU38" s="144" t="s">
        <v>171</v>
      </c>
      <c r="DV38" s="144" t="s">
        <v>171</v>
      </c>
      <c r="DW38" s="147">
        <v>432.56244218316402</v>
      </c>
      <c r="DX38" t="s">
        <v>193</v>
      </c>
      <c r="DY38">
        <v>37.1</v>
      </c>
      <c r="DZ38" t="s">
        <v>194</v>
      </c>
      <c r="EA38">
        <v>39.61</v>
      </c>
      <c r="EB38" t="s">
        <v>185</v>
      </c>
      <c r="EC38" s="149">
        <f t="shared" si="1"/>
        <v>0.112748</v>
      </c>
      <c r="ED38" t="s">
        <v>195</v>
      </c>
      <c r="EE38" t="s">
        <v>196</v>
      </c>
      <c r="EF38" t="s">
        <v>197</v>
      </c>
      <c r="EG38">
        <v>1.0271999999999999</v>
      </c>
      <c r="EH38" t="s">
        <v>171</v>
      </c>
      <c r="EI38" t="s">
        <v>171</v>
      </c>
      <c r="EJ38" t="s">
        <v>198</v>
      </c>
      <c r="EK38" t="s">
        <v>191</v>
      </c>
      <c r="EL38" t="s">
        <v>191</v>
      </c>
      <c r="EM38" t="s">
        <v>199</v>
      </c>
      <c r="EN38" t="s">
        <v>200</v>
      </c>
      <c r="EO38" s="151" t="s">
        <v>201</v>
      </c>
      <c r="EP38" s="151" t="s">
        <v>201</v>
      </c>
      <c r="EQ38" s="144" t="s">
        <v>171</v>
      </c>
      <c r="ER38" s="144" t="s">
        <v>171</v>
      </c>
      <c r="ES38" s="144" t="s">
        <v>171</v>
      </c>
      <c r="ET38" t="s">
        <v>202</v>
      </c>
      <c r="EU38" t="s">
        <v>203</v>
      </c>
      <c r="EV38" t="s">
        <v>171</v>
      </c>
      <c r="EW38">
        <v>2364</v>
      </c>
      <c r="EX38" s="151" t="s">
        <v>204</v>
      </c>
      <c r="EY38" s="151">
        <v>175</v>
      </c>
      <c r="EZ38">
        <v>175</v>
      </c>
      <c r="FA38" t="s">
        <v>171</v>
      </c>
      <c r="FB38" t="s">
        <v>171</v>
      </c>
      <c r="FC38" t="s">
        <v>171</v>
      </c>
      <c r="FD38" t="s">
        <v>171</v>
      </c>
      <c r="FE38" s="152">
        <v>8.1442118705083395</v>
      </c>
      <c r="FF38" t="s">
        <v>205</v>
      </c>
      <c r="FG38" s="144" t="s">
        <v>171</v>
      </c>
      <c r="FH38" s="144" t="s">
        <v>171</v>
      </c>
      <c r="FI38" s="153">
        <v>294.43009405802098</v>
      </c>
      <c r="FJ38">
        <v>21</v>
      </c>
      <c r="FK38" t="s">
        <v>207</v>
      </c>
      <c r="FL38" s="153">
        <v>273.43009405802098</v>
      </c>
      <c r="FM38" s="153">
        <v>40.561846456753017</v>
      </c>
      <c r="FN38" s="153">
        <v>37.453850370236978</v>
      </c>
      <c r="FO38" t="s">
        <v>186</v>
      </c>
      <c r="FP38" t="s">
        <v>208</v>
      </c>
      <c r="FQ38" t="s">
        <v>171</v>
      </c>
      <c r="FR38" t="s">
        <v>171</v>
      </c>
      <c r="FS38" t="s">
        <v>171</v>
      </c>
      <c r="FT38" t="s">
        <v>171</v>
      </c>
      <c r="FU38" t="s">
        <v>171</v>
      </c>
      <c r="FV38" t="s">
        <v>171</v>
      </c>
      <c r="FW38" t="s">
        <v>171</v>
      </c>
      <c r="FX38" t="s">
        <v>171</v>
      </c>
      <c r="FY38" t="s">
        <v>171</v>
      </c>
      <c r="FZ38" t="s">
        <v>171</v>
      </c>
      <c r="GA38" t="s">
        <v>171</v>
      </c>
      <c r="GB38" t="s">
        <v>171</v>
      </c>
    </row>
    <row r="39" spans="1:184" ht="16" x14ac:dyDescent="0.2">
      <c r="A39" t="s">
        <v>217</v>
      </c>
      <c r="B39" s="143" t="s">
        <v>216</v>
      </c>
      <c r="C39" s="138" t="s">
        <v>212</v>
      </c>
      <c r="D39" t="s">
        <v>211</v>
      </c>
      <c r="E39">
        <v>2017</v>
      </c>
      <c r="F39" t="str">
        <f t="shared" si="7"/>
        <v>10.1073/pnas.1702143114</v>
      </c>
      <c r="G39" s="147">
        <f t="shared" si="8"/>
        <v>130.86000000000001</v>
      </c>
      <c r="H39">
        <f t="shared" si="2"/>
        <v>4</v>
      </c>
      <c r="I39">
        <f t="shared" si="3"/>
        <v>4</v>
      </c>
      <c r="J39" s="153">
        <f t="shared" si="9"/>
        <v>282.016225540395</v>
      </c>
      <c r="K39" s="153">
        <f t="shared" si="10"/>
        <v>62.710811811398003</v>
      </c>
      <c r="L39" s="153">
        <f t="shared" si="11"/>
        <v>51.305830949827993</v>
      </c>
      <c r="M39" t="b">
        <v>1</v>
      </c>
      <c r="N39">
        <v>3</v>
      </c>
      <c r="O39" s="144" t="s">
        <v>228</v>
      </c>
      <c r="P39" s="144" t="s">
        <v>229</v>
      </c>
      <c r="Q39" t="b">
        <v>0</v>
      </c>
      <c r="R39" t="s">
        <v>214</v>
      </c>
      <c r="S39" t="b">
        <v>1</v>
      </c>
      <c r="T39" t="b">
        <v>0</v>
      </c>
      <c r="U39" t="s">
        <v>171</v>
      </c>
      <c r="V39" t="s">
        <v>171</v>
      </c>
      <c r="W39" t="b">
        <v>0</v>
      </c>
      <c r="X39" t="s">
        <v>171</v>
      </c>
      <c r="Y39" s="139" t="s">
        <v>167</v>
      </c>
      <c r="Z39" s="143" t="s">
        <v>168</v>
      </c>
      <c r="AA39" t="s">
        <v>169</v>
      </c>
      <c r="AB39" t="s">
        <v>170</v>
      </c>
      <c r="AC39" s="144">
        <v>1</v>
      </c>
      <c r="AD39" s="144">
        <v>4</v>
      </c>
      <c r="AE39" s="144">
        <v>71</v>
      </c>
      <c r="AF39" s="144">
        <v>73</v>
      </c>
      <c r="AG39" s="145">
        <v>5.23</v>
      </c>
      <c r="AH39" s="145">
        <v>5.23</v>
      </c>
      <c r="AI39" t="s">
        <v>171</v>
      </c>
      <c r="AJ39" t="s">
        <v>172</v>
      </c>
      <c r="AK39" s="146">
        <v>12.74</v>
      </c>
      <c r="AL39" s="146">
        <v>-78.739999999999995</v>
      </c>
      <c r="AM39" t="s">
        <v>171</v>
      </c>
      <c r="AN39" t="s">
        <v>171</v>
      </c>
      <c r="AO39">
        <v>-2839</v>
      </c>
      <c r="AP39" t="s">
        <v>171</v>
      </c>
      <c r="AQ39" t="s">
        <v>171</v>
      </c>
      <c r="AR39" t="s">
        <v>171</v>
      </c>
      <c r="AS39" s="147">
        <v>130.86000000000001</v>
      </c>
      <c r="AT39" t="s">
        <v>173</v>
      </c>
      <c r="AU39">
        <v>4</v>
      </c>
      <c r="AV39">
        <v>4</v>
      </c>
      <c r="AW39" t="s">
        <v>171</v>
      </c>
      <c r="AX39" t="s">
        <v>174</v>
      </c>
      <c r="AY39" t="s">
        <v>171</v>
      </c>
      <c r="AZ39" t="s">
        <v>171</v>
      </c>
      <c r="BA39" t="s">
        <v>171</v>
      </c>
      <c r="BB39" t="s">
        <v>171</v>
      </c>
      <c r="BC39" t="s">
        <v>171</v>
      </c>
      <c r="BD39" t="s">
        <v>171</v>
      </c>
      <c r="BE39" t="s">
        <v>171</v>
      </c>
      <c r="BF39" t="s">
        <v>171</v>
      </c>
      <c r="BG39" t="s">
        <v>175</v>
      </c>
      <c r="BH39" t="s">
        <v>176</v>
      </c>
      <c r="BI39" t="s">
        <v>177</v>
      </c>
      <c r="BJ39" s="142">
        <v>2</v>
      </c>
      <c r="BK39" t="s">
        <v>178</v>
      </c>
      <c r="BL39" t="s">
        <v>179</v>
      </c>
      <c r="BM39" t="s">
        <v>180</v>
      </c>
      <c r="BN39" t="s">
        <v>171</v>
      </c>
      <c r="BO39" s="142">
        <v>2</v>
      </c>
      <c r="BP39" s="144" t="s">
        <v>171</v>
      </c>
      <c r="BQ39" s="145">
        <v>20.67</v>
      </c>
      <c r="BR39" t="s">
        <v>181</v>
      </c>
      <c r="BS39" s="149">
        <v>0.3</v>
      </c>
      <c r="BT39">
        <v>0.64</v>
      </c>
      <c r="BU39" t="s">
        <v>182</v>
      </c>
      <c r="BV39">
        <v>3.4000000000000002E-2</v>
      </c>
      <c r="BW39">
        <v>9.1</v>
      </c>
      <c r="BX39" t="s">
        <v>173</v>
      </c>
      <c r="BY39">
        <v>0.56000000000000005</v>
      </c>
      <c r="BZ39" t="s">
        <v>183</v>
      </c>
      <c r="CA39" t="s">
        <v>184</v>
      </c>
      <c r="CB39" s="148">
        <f t="shared" si="6"/>
        <v>19.666666666666671</v>
      </c>
      <c r="CC39" s="144" t="s">
        <v>185</v>
      </c>
      <c r="CD39" s="144" t="s">
        <v>171</v>
      </c>
      <c r="CE39" s="144" t="s">
        <v>171</v>
      </c>
      <c r="CF39" t="s">
        <v>186</v>
      </c>
      <c r="CG39" s="144">
        <v>10</v>
      </c>
      <c r="CH39" s="144" t="s">
        <v>187</v>
      </c>
      <c r="CI39" s="144" t="s">
        <v>171</v>
      </c>
      <c r="CJ39" s="147">
        <v>29.14</v>
      </c>
      <c r="CK39" t="s">
        <v>173</v>
      </c>
      <c r="CL39">
        <v>3</v>
      </c>
      <c r="CM39">
        <v>3</v>
      </c>
      <c r="CN39" t="s">
        <v>171</v>
      </c>
      <c r="CO39" s="149">
        <v>3.415</v>
      </c>
      <c r="CP39" t="s">
        <v>188</v>
      </c>
      <c r="CQ39" s="149">
        <v>0.1366</v>
      </c>
      <c r="CR39" s="149">
        <v>0.1366</v>
      </c>
      <c r="CS39" s="150" t="s">
        <v>171</v>
      </c>
      <c r="CT39" t="s">
        <v>189</v>
      </c>
      <c r="CU39" t="s">
        <v>171</v>
      </c>
      <c r="CV39" t="s">
        <v>190</v>
      </c>
      <c r="CW39" t="s">
        <v>191</v>
      </c>
      <c r="CX39" t="s">
        <v>191</v>
      </c>
      <c r="CY39" t="s">
        <v>191</v>
      </c>
      <c r="CZ39" t="s">
        <v>171</v>
      </c>
      <c r="DA39" t="s">
        <v>171</v>
      </c>
      <c r="DB39" t="s">
        <v>171</v>
      </c>
      <c r="DC39" t="s">
        <v>171</v>
      </c>
      <c r="DD39" t="s">
        <v>171</v>
      </c>
      <c r="DE39" t="s">
        <v>171</v>
      </c>
      <c r="DF39" t="s">
        <v>171</v>
      </c>
      <c r="DG39">
        <v>35</v>
      </c>
      <c r="DH39" t="s">
        <v>185</v>
      </c>
      <c r="DI39" s="142">
        <v>3</v>
      </c>
      <c r="DJ39" s="144" t="s">
        <v>192</v>
      </c>
      <c r="DK39" s="144" t="s">
        <v>171</v>
      </c>
      <c r="DL39" s="144" t="s">
        <v>171</v>
      </c>
      <c r="DM39" s="144" t="s">
        <v>171</v>
      </c>
      <c r="DN39" s="144" t="s">
        <v>171</v>
      </c>
      <c r="DO39" s="144" t="s">
        <v>171</v>
      </c>
      <c r="DP39" s="144" t="s">
        <v>171</v>
      </c>
      <c r="DQ39" s="144" t="s">
        <v>171</v>
      </c>
      <c r="DR39" s="144" t="s">
        <v>171</v>
      </c>
      <c r="DS39" s="144" t="s">
        <v>171</v>
      </c>
      <c r="DT39" s="144" t="s">
        <v>171</v>
      </c>
      <c r="DU39" s="144" t="s">
        <v>171</v>
      </c>
      <c r="DV39" s="144" t="s">
        <v>171</v>
      </c>
      <c r="DW39" s="147">
        <v>432.56244218316402</v>
      </c>
      <c r="DX39" t="s">
        <v>193</v>
      </c>
      <c r="DY39">
        <v>37.1</v>
      </c>
      <c r="DZ39" t="s">
        <v>194</v>
      </c>
      <c r="EA39">
        <v>39.61</v>
      </c>
      <c r="EB39" t="s">
        <v>185</v>
      </c>
      <c r="EC39" s="149">
        <f t="shared" si="1"/>
        <v>0.11308600000000001</v>
      </c>
      <c r="ED39" t="s">
        <v>195</v>
      </c>
      <c r="EE39" t="s">
        <v>196</v>
      </c>
      <c r="EF39" t="s">
        <v>197</v>
      </c>
      <c r="EG39">
        <v>1.0271999999999999</v>
      </c>
      <c r="EH39" t="s">
        <v>171</v>
      </c>
      <c r="EI39" t="s">
        <v>171</v>
      </c>
      <c r="EJ39" t="s">
        <v>198</v>
      </c>
      <c r="EK39" t="s">
        <v>191</v>
      </c>
      <c r="EL39" t="s">
        <v>191</v>
      </c>
      <c r="EM39" t="s">
        <v>199</v>
      </c>
      <c r="EN39" t="s">
        <v>200</v>
      </c>
      <c r="EO39" s="151" t="s">
        <v>201</v>
      </c>
      <c r="EP39" s="151" t="s">
        <v>201</v>
      </c>
      <c r="EQ39" s="144" t="s">
        <v>171</v>
      </c>
      <c r="ER39" s="144" t="s">
        <v>171</v>
      </c>
      <c r="ES39" s="144" t="s">
        <v>171</v>
      </c>
      <c r="ET39" t="s">
        <v>202</v>
      </c>
      <c r="EU39" t="s">
        <v>203</v>
      </c>
      <c r="EV39" t="s">
        <v>171</v>
      </c>
      <c r="EW39">
        <v>2365</v>
      </c>
      <c r="EX39" s="151" t="s">
        <v>204</v>
      </c>
      <c r="EY39" s="151">
        <v>175</v>
      </c>
      <c r="EZ39">
        <v>175</v>
      </c>
      <c r="FA39" t="s">
        <v>171</v>
      </c>
      <c r="FB39" t="s">
        <v>171</v>
      </c>
      <c r="FC39" t="s">
        <v>171</v>
      </c>
      <c r="FD39" t="s">
        <v>171</v>
      </c>
      <c r="FE39" s="152">
        <v>8.1322865529890507</v>
      </c>
      <c r="FF39" t="s">
        <v>205</v>
      </c>
      <c r="FG39" s="144" t="s">
        <v>171</v>
      </c>
      <c r="FH39" s="144" t="s">
        <v>171</v>
      </c>
      <c r="FI39" s="153">
        <v>303.016225540395</v>
      </c>
      <c r="FJ39">
        <v>21</v>
      </c>
      <c r="FK39" t="s">
        <v>207</v>
      </c>
      <c r="FL39" s="153">
        <v>282.016225540395</v>
      </c>
      <c r="FM39" s="153">
        <v>62.710811811398003</v>
      </c>
      <c r="FN39" s="153">
        <v>51.305830949827993</v>
      </c>
      <c r="FO39" t="s">
        <v>186</v>
      </c>
      <c r="FP39" t="s">
        <v>208</v>
      </c>
      <c r="FQ39" t="s">
        <v>171</v>
      </c>
      <c r="FR39" t="s">
        <v>171</v>
      </c>
      <c r="FS39" t="s">
        <v>171</v>
      </c>
      <c r="FT39" t="s">
        <v>171</v>
      </c>
      <c r="FU39" t="s">
        <v>171</v>
      </c>
      <c r="FV39" t="s">
        <v>171</v>
      </c>
      <c r="FW39" t="s">
        <v>171</v>
      </c>
      <c r="FX39" t="s">
        <v>171</v>
      </c>
      <c r="FY39" t="s">
        <v>171</v>
      </c>
      <c r="FZ39" t="s">
        <v>171</v>
      </c>
      <c r="GA39" t="s">
        <v>171</v>
      </c>
      <c r="GB39" t="s">
        <v>171</v>
      </c>
    </row>
    <row r="40" spans="1:184" ht="16" x14ac:dyDescent="0.2">
      <c r="A40" t="s">
        <v>217</v>
      </c>
      <c r="B40" s="143" t="s">
        <v>216</v>
      </c>
      <c r="C40" s="138" t="s">
        <v>212</v>
      </c>
      <c r="D40" t="s">
        <v>211</v>
      </c>
      <c r="E40">
        <v>2017</v>
      </c>
      <c r="F40" t="str">
        <f t="shared" si="7"/>
        <v>10.1073/pnas.1702143114</v>
      </c>
      <c r="G40" s="147">
        <f t="shared" si="8"/>
        <v>131.91</v>
      </c>
      <c r="H40">
        <f t="shared" si="2"/>
        <v>4</v>
      </c>
      <c r="I40">
        <f t="shared" si="3"/>
        <v>4</v>
      </c>
      <c r="J40" s="153">
        <f t="shared" si="9"/>
        <v>246.89253003702501</v>
      </c>
      <c r="K40" s="153">
        <f t="shared" si="10"/>
        <v>37.732327418452002</v>
      </c>
      <c r="L40" s="153">
        <f t="shared" si="11"/>
        <v>36.396448833452013</v>
      </c>
      <c r="M40" t="b">
        <v>1</v>
      </c>
      <c r="N40">
        <v>3</v>
      </c>
      <c r="O40" s="144" t="s">
        <v>228</v>
      </c>
      <c r="P40" s="144" t="s">
        <v>229</v>
      </c>
      <c r="Q40" t="b">
        <v>0</v>
      </c>
      <c r="R40" t="s">
        <v>214</v>
      </c>
      <c r="S40" t="b">
        <v>1</v>
      </c>
      <c r="T40" t="b">
        <v>0</v>
      </c>
      <c r="U40" t="s">
        <v>171</v>
      </c>
      <c r="V40" t="s">
        <v>171</v>
      </c>
      <c r="W40" t="b">
        <v>0</v>
      </c>
      <c r="X40" t="s">
        <v>171</v>
      </c>
      <c r="Y40" s="139" t="s">
        <v>167</v>
      </c>
      <c r="Z40" s="143" t="s">
        <v>168</v>
      </c>
      <c r="AA40" t="s">
        <v>169</v>
      </c>
      <c r="AB40" s="154" t="s">
        <v>170</v>
      </c>
      <c r="AC40" s="154">
        <v>1</v>
      </c>
      <c r="AD40" s="154">
        <v>4</v>
      </c>
      <c r="AE40" s="154">
        <v>76</v>
      </c>
      <c r="AF40" s="154">
        <f t="shared" ref="AF40:AF52" si="13">AE40+2</f>
        <v>78</v>
      </c>
      <c r="AG40" s="154">
        <v>5.26</v>
      </c>
      <c r="AH40" s="154">
        <v>5.26</v>
      </c>
      <c r="AI40" t="s">
        <v>171</v>
      </c>
      <c r="AJ40" t="s">
        <v>172</v>
      </c>
      <c r="AK40" s="146">
        <v>12.74</v>
      </c>
      <c r="AL40" s="146">
        <v>-78.739999999999995</v>
      </c>
      <c r="AM40" t="s">
        <v>171</v>
      </c>
      <c r="AN40" t="s">
        <v>171</v>
      </c>
      <c r="AO40">
        <v>-2839</v>
      </c>
      <c r="AP40" t="s">
        <v>171</v>
      </c>
      <c r="AQ40" t="s">
        <v>171</v>
      </c>
      <c r="AR40" t="s">
        <v>171</v>
      </c>
      <c r="AS40" s="147">
        <v>131.91</v>
      </c>
      <c r="AT40" t="s">
        <v>173</v>
      </c>
      <c r="AU40">
        <v>4</v>
      </c>
      <c r="AV40">
        <v>4</v>
      </c>
      <c r="AW40" t="s">
        <v>171</v>
      </c>
      <c r="AX40" t="s">
        <v>174</v>
      </c>
      <c r="AY40" t="s">
        <v>171</v>
      </c>
      <c r="AZ40" t="s">
        <v>171</v>
      </c>
      <c r="BA40" t="s">
        <v>171</v>
      </c>
      <c r="BB40" t="s">
        <v>171</v>
      </c>
      <c r="BC40" t="s">
        <v>171</v>
      </c>
      <c r="BD40" t="s">
        <v>171</v>
      </c>
      <c r="BE40" t="s">
        <v>171</v>
      </c>
      <c r="BF40" t="s">
        <v>171</v>
      </c>
      <c r="BG40" t="s">
        <v>175</v>
      </c>
      <c r="BH40" t="s">
        <v>176</v>
      </c>
      <c r="BI40" t="s">
        <v>177</v>
      </c>
      <c r="BJ40" s="142">
        <v>2</v>
      </c>
      <c r="BK40" t="s">
        <v>178</v>
      </c>
      <c r="BL40" t="s">
        <v>179</v>
      </c>
      <c r="BM40" t="s">
        <v>180</v>
      </c>
      <c r="BN40" t="s">
        <v>171</v>
      </c>
      <c r="BO40" s="142">
        <v>2</v>
      </c>
      <c r="BP40" s="144" t="s">
        <v>171</v>
      </c>
      <c r="BQ40" s="149">
        <v>20.88489985</v>
      </c>
      <c r="BR40" t="s">
        <v>181</v>
      </c>
      <c r="BS40" s="149">
        <v>0.21843262399999999</v>
      </c>
      <c r="BT40">
        <v>0.64</v>
      </c>
      <c r="BU40" t="s">
        <v>182</v>
      </c>
      <c r="BV40">
        <v>3.4000000000000002E-2</v>
      </c>
      <c r="BW40">
        <v>9.1</v>
      </c>
      <c r="BX40" t="s">
        <v>173</v>
      </c>
      <c r="BY40">
        <v>0.56000000000000005</v>
      </c>
      <c r="BZ40" t="s">
        <v>183</v>
      </c>
      <c r="CA40" t="s">
        <v>184</v>
      </c>
      <c r="CB40" s="148">
        <f t="shared" si="6"/>
        <v>20.024833083333334</v>
      </c>
      <c r="CC40" s="144" t="s">
        <v>185</v>
      </c>
      <c r="CD40" s="144" t="s">
        <v>171</v>
      </c>
      <c r="CE40" s="144" t="s">
        <v>171</v>
      </c>
      <c r="CF40" t="s">
        <v>186</v>
      </c>
      <c r="CG40" s="144">
        <v>10</v>
      </c>
      <c r="CH40" s="144" t="s">
        <v>187</v>
      </c>
      <c r="CI40" s="144" t="s">
        <v>171</v>
      </c>
      <c r="CJ40" s="147">
        <v>27.87</v>
      </c>
      <c r="CK40" t="s">
        <v>173</v>
      </c>
      <c r="CL40">
        <v>3</v>
      </c>
      <c r="CM40">
        <v>3</v>
      </c>
      <c r="CN40" t="s">
        <v>171</v>
      </c>
      <c r="CO40" s="149">
        <v>4.6681489613817631</v>
      </c>
      <c r="CP40" t="s">
        <v>188</v>
      </c>
      <c r="CQ40" s="149">
        <v>0.18672595845527051</v>
      </c>
      <c r="CR40" s="149">
        <v>0.18672595845527051</v>
      </c>
      <c r="CS40" s="150" t="s">
        <v>171</v>
      </c>
      <c r="CT40" t="s">
        <v>189</v>
      </c>
      <c r="CU40" t="s">
        <v>171</v>
      </c>
      <c r="CV40" t="s">
        <v>190</v>
      </c>
      <c r="CW40" t="s">
        <v>191</v>
      </c>
      <c r="CX40" t="s">
        <v>191</v>
      </c>
      <c r="CY40" t="s">
        <v>191</v>
      </c>
      <c r="CZ40" t="s">
        <v>171</v>
      </c>
      <c r="DA40" t="s">
        <v>171</v>
      </c>
      <c r="DB40" t="s">
        <v>171</v>
      </c>
      <c r="DC40" t="s">
        <v>171</v>
      </c>
      <c r="DD40" t="s">
        <v>171</v>
      </c>
      <c r="DE40" t="s">
        <v>171</v>
      </c>
      <c r="DF40" t="s">
        <v>171</v>
      </c>
      <c r="DG40">
        <v>35</v>
      </c>
      <c r="DH40" t="s">
        <v>185</v>
      </c>
      <c r="DI40" s="142">
        <v>3</v>
      </c>
      <c r="DJ40" s="144" t="s">
        <v>192</v>
      </c>
      <c r="DK40" s="144" t="s">
        <v>171</v>
      </c>
      <c r="DL40" s="144" t="s">
        <v>171</v>
      </c>
      <c r="DM40" s="144" t="s">
        <v>171</v>
      </c>
      <c r="DN40" s="144" t="s">
        <v>171</v>
      </c>
      <c r="DO40" s="144" t="s">
        <v>171</v>
      </c>
      <c r="DP40" s="144" t="s">
        <v>171</v>
      </c>
      <c r="DQ40" s="144" t="s">
        <v>171</v>
      </c>
      <c r="DR40" s="144" t="s">
        <v>171</v>
      </c>
      <c r="DS40" s="144" t="s">
        <v>171</v>
      </c>
      <c r="DT40" s="144" t="s">
        <v>171</v>
      </c>
      <c r="DU40" s="144" t="s">
        <v>171</v>
      </c>
      <c r="DV40" s="144" t="s">
        <v>171</v>
      </c>
      <c r="DW40" s="147">
        <v>432.56244218316402</v>
      </c>
      <c r="DX40" t="s">
        <v>193</v>
      </c>
      <c r="DY40">
        <v>37.1</v>
      </c>
      <c r="DZ40" t="s">
        <v>194</v>
      </c>
      <c r="EA40">
        <v>39.61</v>
      </c>
      <c r="EB40" t="s">
        <v>185</v>
      </c>
      <c r="EC40" s="149">
        <f t="shared" si="1"/>
        <v>0.11319100000000001</v>
      </c>
      <c r="ED40" t="s">
        <v>195</v>
      </c>
      <c r="EE40" t="s">
        <v>196</v>
      </c>
      <c r="EF40" t="s">
        <v>197</v>
      </c>
      <c r="EG40">
        <v>1.0271999999999999</v>
      </c>
      <c r="EH40" t="s">
        <v>171</v>
      </c>
      <c r="EI40" t="s">
        <v>171</v>
      </c>
      <c r="EJ40" t="s">
        <v>198</v>
      </c>
      <c r="EK40" t="s">
        <v>191</v>
      </c>
      <c r="EL40" t="s">
        <v>191</v>
      </c>
      <c r="EM40" t="s">
        <v>199</v>
      </c>
      <c r="EN40" t="s">
        <v>200</v>
      </c>
      <c r="EO40" s="151" t="s">
        <v>201</v>
      </c>
      <c r="EP40" s="151" t="s">
        <v>201</v>
      </c>
      <c r="EQ40" s="144" t="s">
        <v>171</v>
      </c>
      <c r="ER40" s="144" t="s">
        <v>171</v>
      </c>
      <c r="ES40" s="144" t="s">
        <v>171</v>
      </c>
      <c r="ET40" t="s">
        <v>202</v>
      </c>
      <c r="EU40" t="s">
        <v>203</v>
      </c>
      <c r="EV40" t="s">
        <v>171</v>
      </c>
      <c r="EW40">
        <v>2366</v>
      </c>
      <c r="EX40" s="151" t="s">
        <v>204</v>
      </c>
      <c r="EY40" s="151">
        <v>175</v>
      </c>
      <c r="EZ40">
        <v>175</v>
      </c>
      <c r="FA40" t="s">
        <v>171</v>
      </c>
      <c r="FB40" t="s">
        <v>171</v>
      </c>
      <c r="FC40" t="s">
        <v>171</v>
      </c>
      <c r="FD40" t="s">
        <v>171</v>
      </c>
      <c r="FE40" s="152">
        <v>8.1763299832238996</v>
      </c>
      <c r="FF40" t="s">
        <v>205</v>
      </c>
      <c r="FG40" s="144" t="s">
        <v>171</v>
      </c>
      <c r="FH40" s="144" t="s">
        <v>171</v>
      </c>
      <c r="FI40" s="153">
        <v>267.89253003702504</v>
      </c>
      <c r="FJ40">
        <v>21</v>
      </c>
      <c r="FK40" t="s">
        <v>207</v>
      </c>
      <c r="FL40" s="153">
        <v>246.89253003702501</v>
      </c>
      <c r="FM40" s="153">
        <v>37.732327418452002</v>
      </c>
      <c r="FN40" s="153">
        <v>36.396448833452013</v>
      </c>
      <c r="FO40" t="s">
        <v>186</v>
      </c>
      <c r="FP40" t="s">
        <v>208</v>
      </c>
      <c r="FQ40" t="s">
        <v>171</v>
      </c>
      <c r="FR40" t="s">
        <v>171</v>
      </c>
      <c r="FS40" t="s">
        <v>171</v>
      </c>
      <c r="FT40" t="s">
        <v>171</v>
      </c>
      <c r="FU40" t="s">
        <v>171</v>
      </c>
      <c r="FV40" t="s">
        <v>171</v>
      </c>
      <c r="FW40" t="s">
        <v>171</v>
      </c>
      <c r="FX40" t="s">
        <v>171</v>
      </c>
      <c r="FY40" t="s">
        <v>171</v>
      </c>
      <c r="FZ40" t="s">
        <v>171</v>
      </c>
      <c r="GA40" t="s">
        <v>171</v>
      </c>
      <c r="GB40" t="s">
        <v>171</v>
      </c>
    </row>
    <row r="41" spans="1:184" ht="16" x14ac:dyDescent="0.2">
      <c r="A41" t="s">
        <v>217</v>
      </c>
      <c r="B41" s="143" t="s">
        <v>216</v>
      </c>
      <c r="C41" s="138" t="s">
        <v>212</v>
      </c>
      <c r="D41" t="s">
        <v>211</v>
      </c>
      <c r="E41">
        <v>2017</v>
      </c>
      <c r="F41" t="str">
        <f t="shared" si="7"/>
        <v>10.1073/pnas.1702143114</v>
      </c>
      <c r="G41" s="147">
        <f t="shared" si="8"/>
        <v>133.22</v>
      </c>
      <c r="H41">
        <f t="shared" si="2"/>
        <v>4</v>
      </c>
      <c r="I41">
        <f t="shared" si="3"/>
        <v>4</v>
      </c>
      <c r="J41" s="153">
        <f t="shared" si="9"/>
        <v>235.32496544076801</v>
      </c>
      <c r="K41" s="153">
        <f t="shared" si="10"/>
        <v>36.794796956398983</v>
      </c>
      <c r="L41" s="153">
        <f t="shared" si="11"/>
        <v>33.640068675472008</v>
      </c>
      <c r="M41" t="b">
        <v>1</v>
      </c>
      <c r="N41">
        <v>3</v>
      </c>
      <c r="O41" s="144" t="s">
        <v>228</v>
      </c>
      <c r="P41" s="144" t="s">
        <v>229</v>
      </c>
      <c r="Q41" t="b">
        <v>0</v>
      </c>
      <c r="R41" t="s">
        <v>214</v>
      </c>
      <c r="S41" t="b">
        <v>1</v>
      </c>
      <c r="T41" t="b">
        <v>0</v>
      </c>
      <c r="U41" t="s">
        <v>171</v>
      </c>
      <c r="V41" t="s">
        <v>171</v>
      </c>
      <c r="W41" t="b">
        <v>0</v>
      </c>
      <c r="X41" t="s">
        <v>171</v>
      </c>
      <c r="Y41" s="139" t="s">
        <v>167</v>
      </c>
      <c r="Z41" s="143" t="s">
        <v>168</v>
      </c>
      <c r="AA41" t="s">
        <v>169</v>
      </c>
      <c r="AB41" s="154" t="s">
        <v>170</v>
      </c>
      <c r="AC41" s="154">
        <v>1</v>
      </c>
      <c r="AD41" s="154">
        <v>4</v>
      </c>
      <c r="AE41" s="154">
        <v>81</v>
      </c>
      <c r="AF41" s="154">
        <f t="shared" si="13"/>
        <v>83</v>
      </c>
      <c r="AG41" s="154">
        <v>5.31</v>
      </c>
      <c r="AH41" s="154">
        <v>5.31</v>
      </c>
      <c r="AI41" t="s">
        <v>171</v>
      </c>
      <c r="AJ41" t="s">
        <v>172</v>
      </c>
      <c r="AK41" s="146">
        <v>12.74</v>
      </c>
      <c r="AL41" s="146">
        <v>-78.739999999999995</v>
      </c>
      <c r="AM41" t="s">
        <v>171</v>
      </c>
      <c r="AN41" t="s">
        <v>171</v>
      </c>
      <c r="AO41">
        <v>-2839</v>
      </c>
      <c r="AP41" t="s">
        <v>171</v>
      </c>
      <c r="AQ41" t="s">
        <v>171</v>
      </c>
      <c r="AR41" t="s">
        <v>171</v>
      </c>
      <c r="AS41" s="147">
        <v>133.22</v>
      </c>
      <c r="AT41" t="s">
        <v>173</v>
      </c>
      <c r="AU41">
        <v>4</v>
      </c>
      <c r="AV41">
        <v>4</v>
      </c>
      <c r="AW41" t="s">
        <v>171</v>
      </c>
      <c r="AX41" t="s">
        <v>174</v>
      </c>
      <c r="AY41" t="s">
        <v>171</v>
      </c>
      <c r="AZ41" t="s">
        <v>171</v>
      </c>
      <c r="BA41" t="s">
        <v>171</v>
      </c>
      <c r="BB41" t="s">
        <v>171</v>
      </c>
      <c r="BC41" t="s">
        <v>171</v>
      </c>
      <c r="BD41" t="s">
        <v>171</v>
      </c>
      <c r="BE41" t="s">
        <v>171</v>
      </c>
      <c r="BF41" t="s">
        <v>171</v>
      </c>
      <c r="BG41" t="s">
        <v>175</v>
      </c>
      <c r="BH41" t="s">
        <v>176</v>
      </c>
      <c r="BI41" t="s">
        <v>177</v>
      </c>
      <c r="BJ41" s="142">
        <v>2</v>
      </c>
      <c r="BK41" t="s">
        <v>178</v>
      </c>
      <c r="BL41" t="s">
        <v>179</v>
      </c>
      <c r="BM41" t="s">
        <v>180</v>
      </c>
      <c r="BN41" t="s">
        <v>171</v>
      </c>
      <c r="BO41" s="142">
        <v>2</v>
      </c>
      <c r="BP41" s="144" t="s">
        <v>171</v>
      </c>
      <c r="BQ41" s="149">
        <v>20.92334602</v>
      </c>
      <c r="BR41" t="s">
        <v>181</v>
      </c>
      <c r="BS41" s="149">
        <v>0.21858277400000001</v>
      </c>
      <c r="BT41">
        <v>0.64</v>
      </c>
      <c r="BU41" t="s">
        <v>182</v>
      </c>
      <c r="BV41">
        <v>3.4000000000000002E-2</v>
      </c>
      <c r="BW41">
        <v>9.1</v>
      </c>
      <c r="BX41" t="s">
        <v>173</v>
      </c>
      <c r="BY41">
        <v>0.56000000000000005</v>
      </c>
      <c r="BZ41" t="s">
        <v>183</v>
      </c>
      <c r="CA41" t="s">
        <v>184</v>
      </c>
      <c r="CB41" s="148">
        <f t="shared" si="6"/>
        <v>20.088910033333335</v>
      </c>
      <c r="CC41" s="144" t="s">
        <v>185</v>
      </c>
      <c r="CD41" s="144" t="s">
        <v>171</v>
      </c>
      <c r="CE41" s="144" t="s">
        <v>171</v>
      </c>
      <c r="CF41" t="s">
        <v>186</v>
      </c>
      <c r="CG41" s="144">
        <v>10</v>
      </c>
      <c r="CH41" s="144" t="s">
        <v>187</v>
      </c>
      <c r="CI41" s="144" t="s">
        <v>171</v>
      </c>
      <c r="CJ41" s="147">
        <v>26.88</v>
      </c>
      <c r="CK41" t="s">
        <v>173</v>
      </c>
      <c r="CL41">
        <v>3</v>
      </c>
      <c r="CM41">
        <v>3</v>
      </c>
      <c r="CN41" t="s">
        <v>171</v>
      </c>
      <c r="CO41" s="149">
        <v>4.2684156122318786</v>
      </c>
      <c r="CP41" t="s">
        <v>188</v>
      </c>
      <c r="CQ41" s="149">
        <v>0.17073662448927515</v>
      </c>
      <c r="CR41" s="149">
        <v>0.17073662448927515</v>
      </c>
      <c r="CS41" s="150" t="s">
        <v>171</v>
      </c>
      <c r="CT41" t="s">
        <v>189</v>
      </c>
      <c r="CU41" t="s">
        <v>171</v>
      </c>
      <c r="CV41" t="s">
        <v>190</v>
      </c>
      <c r="CW41" t="s">
        <v>191</v>
      </c>
      <c r="CX41" t="s">
        <v>191</v>
      </c>
      <c r="CY41" t="s">
        <v>191</v>
      </c>
      <c r="CZ41" t="s">
        <v>171</v>
      </c>
      <c r="DA41" t="s">
        <v>171</v>
      </c>
      <c r="DB41" t="s">
        <v>171</v>
      </c>
      <c r="DC41" t="s">
        <v>171</v>
      </c>
      <c r="DD41" t="s">
        <v>171</v>
      </c>
      <c r="DE41" t="s">
        <v>171</v>
      </c>
      <c r="DF41" t="s">
        <v>171</v>
      </c>
      <c r="DG41">
        <v>35</v>
      </c>
      <c r="DH41" t="s">
        <v>185</v>
      </c>
      <c r="DI41" s="142">
        <v>3</v>
      </c>
      <c r="DJ41" s="144" t="s">
        <v>192</v>
      </c>
      <c r="DK41" s="144" t="s">
        <v>171</v>
      </c>
      <c r="DL41" s="144" t="s">
        <v>171</v>
      </c>
      <c r="DM41" s="144" t="s">
        <v>171</v>
      </c>
      <c r="DN41" s="144" t="s">
        <v>171</v>
      </c>
      <c r="DO41" s="144" t="s">
        <v>171</v>
      </c>
      <c r="DP41" s="144" t="s">
        <v>171</v>
      </c>
      <c r="DQ41" s="144" t="s">
        <v>171</v>
      </c>
      <c r="DR41" s="144" t="s">
        <v>171</v>
      </c>
      <c r="DS41" s="144" t="s">
        <v>171</v>
      </c>
      <c r="DT41" s="144" t="s">
        <v>171</v>
      </c>
      <c r="DU41" s="144" t="s">
        <v>171</v>
      </c>
      <c r="DV41" s="144" t="s">
        <v>171</v>
      </c>
      <c r="DW41" s="147">
        <v>432.56244218316402</v>
      </c>
      <c r="DX41" t="s">
        <v>193</v>
      </c>
      <c r="DY41">
        <v>37.1</v>
      </c>
      <c r="DZ41" t="s">
        <v>194</v>
      </c>
      <c r="EA41">
        <v>39.61</v>
      </c>
      <c r="EB41" t="s">
        <v>185</v>
      </c>
      <c r="EC41" s="149">
        <f t="shared" si="1"/>
        <v>0.11332200000000001</v>
      </c>
      <c r="ED41" t="s">
        <v>195</v>
      </c>
      <c r="EE41" t="s">
        <v>196</v>
      </c>
      <c r="EF41" t="s">
        <v>197</v>
      </c>
      <c r="EG41">
        <v>1.0271999999999999</v>
      </c>
      <c r="EH41" t="s">
        <v>171</v>
      </c>
      <c r="EI41" t="s">
        <v>171</v>
      </c>
      <c r="EJ41" t="s">
        <v>198</v>
      </c>
      <c r="EK41" t="s">
        <v>191</v>
      </c>
      <c r="EL41" t="s">
        <v>191</v>
      </c>
      <c r="EM41" t="s">
        <v>199</v>
      </c>
      <c r="EN41" t="s">
        <v>200</v>
      </c>
      <c r="EO41" s="151" t="s">
        <v>201</v>
      </c>
      <c r="EP41" s="151" t="s">
        <v>201</v>
      </c>
      <c r="EQ41" s="144" t="s">
        <v>171</v>
      </c>
      <c r="ER41" s="144" t="s">
        <v>171</v>
      </c>
      <c r="ES41" s="144" t="s">
        <v>171</v>
      </c>
      <c r="ET41" t="s">
        <v>202</v>
      </c>
      <c r="EU41" t="s">
        <v>203</v>
      </c>
      <c r="EV41" t="s">
        <v>171</v>
      </c>
      <c r="EW41">
        <v>2367</v>
      </c>
      <c r="EX41" s="151" t="s">
        <v>204</v>
      </c>
      <c r="EY41" s="151">
        <v>175</v>
      </c>
      <c r="EZ41">
        <v>175</v>
      </c>
      <c r="FA41" t="s">
        <v>171</v>
      </c>
      <c r="FB41" t="s">
        <v>171</v>
      </c>
      <c r="FC41" t="s">
        <v>171</v>
      </c>
      <c r="FD41" t="s">
        <v>171</v>
      </c>
      <c r="FE41" s="152">
        <v>8.1922936440485294</v>
      </c>
      <c r="FF41" t="s">
        <v>205</v>
      </c>
      <c r="FG41" s="144" t="s">
        <v>171</v>
      </c>
      <c r="FH41" s="144" t="s">
        <v>171</v>
      </c>
      <c r="FI41" s="153">
        <v>256.32496544076798</v>
      </c>
      <c r="FJ41">
        <v>21</v>
      </c>
      <c r="FK41" t="s">
        <v>207</v>
      </c>
      <c r="FL41" s="153">
        <v>235.32496544076801</v>
      </c>
      <c r="FM41" s="153">
        <v>36.794796956398983</v>
      </c>
      <c r="FN41" s="153">
        <v>33.640068675472008</v>
      </c>
      <c r="FO41" t="s">
        <v>186</v>
      </c>
      <c r="FP41" t="s">
        <v>208</v>
      </c>
      <c r="FQ41" t="s">
        <v>171</v>
      </c>
      <c r="FR41" t="s">
        <v>171</v>
      </c>
      <c r="FS41" t="s">
        <v>171</v>
      </c>
      <c r="FT41" t="s">
        <v>171</v>
      </c>
      <c r="FU41" t="s">
        <v>171</v>
      </c>
      <c r="FV41" t="s">
        <v>171</v>
      </c>
      <c r="FW41" t="s">
        <v>171</v>
      </c>
      <c r="FX41" t="s">
        <v>171</v>
      </c>
      <c r="FY41" t="s">
        <v>171</v>
      </c>
      <c r="FZ41" t="s">
        <v>171</v>
      </c>
      <c r="GA41" t="s">
        <v>171</v>
      </c>
      <c r="GB41" t="s">
        <v>171</v>
      </c>
    </row>
    <row r="42" spans="1:184" ht="16" x14ac:dyDescent="0.2">
      <c r="A42" t="s">
        <v>217</v>
      </c>
      <c r="B42" s="143" t="s">
        <v>216</v>
      </c>
      <c r="C42" s="138" t="s">
        <v>212</v>
      </c>
      <c r="D42" t="s">
        <v>211</v>
      </c>
      <c r="E42">
        <v>2017</v>
      </c>
      <c r="F42" t="str">
        <f t="shared" si="7"/>
        <v>10.1073/pnas.1702143114</v>
      </c>
      <c r="G42" s="147">
        <f t="shared" si="8"/>
        <v>134</v>
      </c>
      <c r="H42">
        <f t="shared" si="2"/>
        <v>4</v>
      </c>
      <c r="I42">
        <f t="shared" si="3"/>
        <v>4</v>
      </c>
      <c r="J42" s="153">
        <f t="shared" si="9"/>
        <v>206.839217064347</v>
      </c>
      <c r="K42" s="153">
        <f t="shared" si="10"/>
        <v>34.601738082311016</v>
      </c>
      <c r="L42" s="153">
        <f t="shared" si="11"/>
        <v>32.724644562376</v>
      </c>
      <c r="M42" t="b">
        <v>1</v>
      </c>
      <c r="N42">
        <v>3</v>
      </c>
      <c r="O42" s="144" t="s">
        <v>228</v>
      </c>
      <c r="P42" s="144" t="s">
        <v>229</v>
      </c>
      <c r="Q42" t="b">
        <v>0</v>
      </c>
      <c r="R42" t="s">
        <v>214</v>
      </c>
      <c r="S42" t="b">
        <v>1</v>
      </c>
      <c r="T42" t="b">
        <v>0</v>
      </c>
      <c r="U42" t="s">
        <v>171</v>
      </c>
      <c r="V42" t="s">
        <v>171</v>
      </c>
      <c r="W42" t="b">
        <v>0</v>
      </c>
      <c r="X42" t="s">
        <v>171</v>
      </c>
      <c r="Y42" s="139" t="s">
        <v>167</v>
      </c>
      <c r="Z42" s="143" t="s">
        <v>168</v>
      </c>
      <c r="AA42" t="s">
        <v>169</v>
      </c>
      <c r="AB42" s="154" t="s">
        <v>170</v>
      </c>
      <c r="AC42" s="154">
        <v>1</v>
      </c>
      <c r="AD42" s="154">
        <v>4</v>
      </c>
      <c r="AE42" s="154">
        <v>84</v>
      </c>
      <c r="AF42" s="154">
        <f t="shared" si="13"/>
        <v>86</v>
      </c>
      <c r="AG42" s="154">
        <v>5.34</v>
      </c>
      <c r="AH42" s="154">
        <v>5.34</v>
      </c>
      <c r="AI42" t="s">
        <v>171</v>
      </c>
      <c r="AJ42" t="s">
        <v>172</v>
      </c>
      <c r="AK42" s="146">
        <v>12.74</v>
      </c>
      <c r="AL42" s="146">
        <v>-78.739999999999995</v>
      </c>
      <c r="AM42" t="s">
        <v>171</v>
      </c>
      <c r="AN42" t="s">
        <v>171</v>
      </c>
      <c r="AO42">
        <v>-2839</v>
      </c>
      <c r="AP42" t="s">
        <v>171</v>
      </c>
      <c r="AQ42" t="s">
        <v>171</v>
      </c>
      <c r="AR42" t="s">
        <v>171</v>
      </c>
      <c r="AS42" s="147">
        <v>134</v>
      </c>
      <c r="AT42" t="s">
        <v>173</v>
      </c>
      <c r="AU42">
        <v>4</v>
      </c>
      <c r="AV42">
        <v>4</v>
      </c>
      <c r="AW42" t="s">
        <v>171</v>
      </c>
      <c r="AX42" t="s">
        <v>174</v>
      </c>
      <c r="AY42" t="s">
        <v>171</v>
      </c>
      <c r="AZ42" t="s">
        <v>171</v>
      </c>
      <c r="BA42" t="s">
        <v>171</v>
      </c>
      <c r="BB42" t="s">
        <v>171</v>
      </c>
      <c r="BC42" t="s">
        <v>171</v>
      </c>
      <c r="BD42" t="s">
        <v>171</v>
      </c>
      <c r="BE42" t="s">
        <v>171</v>
      </c>
      <c r="BF42" t="s">
        <v>171</v>
      </c>
      <c r="BG42" t="s">
        <v>175</v>
      </c>
      <c r="BH42" t="s">
        <v>176</v>
      </c>
      <c r="BI42" t="s">
        <v>177</v>
      </c>
      <c r="BJ42" s="142">
        <v>2</v>
      </c>
      <c r="BK42" t="s">
        <v>178</v>
      </c>
      <c r="BL42" t="s">
        <v>179</v>
      </c>
      <c r="BM42" t="s">
        <v>180</v>
      </c>
      <c r="BN42" t="s">
        <v>171</v>
      </c>
      <c r="BO42" s="142">
        <v>2</v>
      </c>
      <c r="BP42" s="144" t="s">
        <v>171</v>
      </c>
      <c r="BQ42" s="149">
        <v>21.237615470000001</v>
      </c>
      <c r="BR42" t="s">
        <v>181</v>
      </c>
      <c r="BS42" s="149">
        <v>0.244205006</v>
      </c>
      <c r="BT42">
        <v>0.64</v>
      </c>
      <c r="BU42" t="s">
        <v>182</v>
      </c>
      <c r="BV42">
        <v>3.4000000000000002E-2</v>
      </c>
      <c r="BW42">
        <v>9.1</v>
      </c>
      <c r="BX42" t="s">
        <v>173</v>
      </c>
      <c r="BY42">
        <v>0.56000000000000005</v>
      </c>
      <c r="BZ42" t="s">
        <v>183</v>
      </c>
      <c r="CA42" t="s">
        <v>184</v>
      </c>
      <c r="CB42" s="148">
        <f t="shared" si="6"/>
        <v>20.612692450000004</v>
      </c>
      <c r="CC42" s="144" t="s">
        <v>185</v>
      </c>
      <c r="CD42" s="144" t="s">
        <v>171</v>
      </c>
      <c r="CE42" s="144" t="s">
        <v>171</v>
      </c>
      <c r="CF42" t="s">
        <v>186</v>
      </c>
      <c r="CG42" s="144">
        <v>10</v>
      </c>
      <c r="CH42" s="144" t="s">
        <v>187</v>
      </c>
      <c r="CI42" s="144" t="s">
        <v>171</v>
      </c>
      <c r="CJ42" s="147">
        <v>27.06</v>
      </c>
      <c r="CK42" t="s">
        <v>173</v>
      </c>
      <c r="CL42">
        <v>3</v>
      </c>
      <c r="CM42">
        <v>3</v>
      </c>
      <c r="CN42" t="s">
        <v>171</v>
      </c>
      <c r="CO42" s="149">
        <v>4.3379812921258623</v>
      </c>
      <c r="CP42" t="s">
        <v>188</v>
      </c>
      <c r="CQ42" s="149">
        <v>0.17351925168503449</v>
      </c>
      <c r="CR42" s="149">
        <v>0.17351925168503449</v>
      </c>
      <c r="CS42" s="150" t="s">
        <v>171</v>
      </c>
      <c r="CT42" t="s">
        <v>189</v>
      </c>
      <c r="CU42" t="s">
        <v>171</v>
      </c>
      <c r="CV42" t="s">
        <v>190</v>
      </c>
      <c r="CW42" t="s">
        <v>191</v>
      </c>
      <c r="CX42" t="s">
        <v>191</v>
      </c>
      <c r="CY42" t="s">
        <v>191</v>
      </c>
      <c r="CZ42" t="s">
        <v>171</v>
      </c>
      <c r="DA42" t="s">
        <v>171</v>
      </c>
      <c r="DB42" t="s">
        <v>171</v>
      </c>
      <c r="DC42" t="s">
        <v>171</v>
      </c>
      <c r="DD42" t="s">
        <v>171</v>
      </c>
      <c r="DE42" t="s">
        <v>171</v>
      </c>
      <c r="DF42" t="s">
        <v>171</v>
      </c>
      <c r="DG42">
        <v>35</v>
      </c>
      <c r="DH42" t="s">
        <v>185</v>
      </c>
      <c r="DI42" s="142">
        <v>3</v>
      </c>
      <c r="DJ42" s="144" t="s">
        <v>192</v>
      </c>
      <c r="DK42" s="144" t="s">
        <v>171</v>
      </c>
      <c r="DL42" s="144" t="s">
        <v>171</v>
      </c>
      <c r="DM42" s="144" t="s">
        <v>171</v>
      </c>
      <c r="DN42" s="144" t="s">
        <v>171</v>
      </c>
      <c r="DO42" s="144" t="s">
        <v>171</v>
      </c>
      <c r="DP42" s="144" t="s">
        <v>171</v>
      </c>
      <c r="DQ42" s="144" t="s">
        <v>171</v>
      </c>
      <c r="DR42" s="144" t="s">
        <v>171</v>
      </c>
      <c r="DS42" s="144" t="s">
        <v>171</v>
      </c>
      <c r="DT42" s="144" t="s">
        <v>171</v>
      </c>
      <c r="DU42" s="144" t="s">
        <v>171</v>
      </c>
      <c r="DV42" s="144" t="s">
        <v>171</v>
      </c>
      <c r="DW42" s="147">
        <v>432.56244218316402</v>
      </c>
      <c r="DX42" t="s">
        <v>193</v>
      </c>
      <c r="DY42">
        <v>37.1</v>
      </c>
      <c r="DZ42" t="s">
        <v>194</v>
      </c>
      <c r="EA42">
        <v>39.61</v>
      </c>
      <c r="EB42" t="s">
        <v>185</v>
      </c>
      <c r="EC42" s="149">
        <f t="shared" si="1"/>
        <v>0.1134</v>
      </c>
      <c r="ED42" t="s">
        <v>195</v>
      </c>
      <c r="EE42" t="s">
        <v>196</v>
      </c>
      <c r="EF42" t="s">
        <v>197</v>
      </c>
      <c r="EG42">
        <v>1.0271999999999999</v>
      </c>
      <c r="EH42" t="s">
        <v>171</v>
      </c>
      <c r="EI42" t="s">
        <v>171</v>
      </c>
      <c r="EJ42" t="s">
        <v>198</v>
      </c>
      <c r="EK42" t="s">
        <v>191</v>
      </c>
      <c r="EL42" t="s">
        <v>191</v>
      </c>
      <c r="EM42" t="s">
        <v>199</v>
      </c>
      <c r="EN42" t="s">
        <v>200</v>
      </c>
      <c r="EO42" s="151" t="s">
        <v>201</v>
      </c>
      <c r="EP42" s="151" t="s">
        <v>201</v>
      </c>
      <c r="EQ42" s="144" t="s">
        <v>171</v>
      </c>
      <c r="ER42" s="144" t="s">
        <v>171</v>
      </c>
      <c r="ES42" s="144" t="s">
        <v>171</v>
      </c>
      <c r="ET42" t="s">
        <v>202</v>
      </c>
      <c r="EU42" t="s">
        <v>203</v>
      </c>
      <c r="EV42" t="s">
        <v>171</v>
      </c>
      <c r="EW42">
        <v>2368</v>
      </c>
      <c r="EX42" s="151" t="s">
        <v>204</v>
      </c>
      <c r="EY42" s="151">
        <v>175</v>
      </c>
      <c r="EZ42">
        <v>175</v>
      </c>
      <c r="FA42" t="s">
        <v>171</v>
      </c>
      <c r="FB42" t="s">
        <v>171</v>
      </c>
      <c r="FC42" t="s">
        <v>171</v>
      </c>
      <c r="FD42" t="s">
        <v>171</v>
      </c>
      <c r="FE42" s="152">
        <v>8.2310792502319501</v>
      </c>
      <c r="FF42" t="s">
        <v>205</v>
      </c>
      <c r="FG42" s="144" t="s">
        <v>171</v>
      </c>
      <c r="FH42" s="144" t="s">
        <v>171</v>
      </c>
      <c r="FI42" s="153">
        <v>227.839217064347</v>
      </c>
      <c r="FJ42">
        <v>21</v>
      </c>
      <c r="FK42" t="s">
        <v>207</v>
      </c>
      <c r="FL42" s="153">
        <v>206.839217064347</v>
      </c>
      <c r="FM42" s="153">
        <v>34.601738082311016</v>
      </c>
      <c r="FN42" s="153">
        <v>32.724644562376</v>
      </c>
      <c r="FO42" t="s">
        <v>186</v>
      </c>
      <c r="FP42" t="s">
        <v>208</v>
      </c>
      <c r="FQ42" t="s">
        <v>171</v>
      </c>
      <c r="FR42" t="s">
        <v>171</v>
      </c>
      <c r="FS42" t="s">
        <v>171</v>
      </c>
      <c r="FT42" t="s">
        <v>171</v>
      </c>
      <c r="FU42" t="s">
        <v>171</v>
      </c>
      <c r="FV42" t="s">
        <v>171</v>
      </c>
      <c r="FW42" t="s">
        <v>171</v>
      </c>
      <c r="FX42" t="s">
        <v>171</v>
      </c>
      <c r="FY42" t="s">
        <v>171</v>
      </c>
      <c r="FZ42" t="s">
        <v>171</v>
      </c>
      <c r="GA42" t="s">
        <v>171</v>
      </c>
      <c r="GB42" t="s">
        <v>171</v>
      </c>
    </row>
    <row r="43" spans="1:184" ht="16" x14ac:dyDescent="0.2">
      <c r="A43" t="s">
        <v>217</v>
      </c>
      <c r="B43" s="143" t="s">
        <v>216</v>
      </c>
      <c r="C43" s="138" t="s">
        <v>212</v>
      </c>
      <c r="D43" t="s">
        <v>211</v>
      </c>
      <c r="E43">
        <v>2017</v>
      </c>
      <c r="F43" t="str">
        <f t="shared" si="7"/>
        <v>10.1073/pnas.1702143114</v>
      </c>
      <c r="G43" s="147">
        <f t="shared" si="8"/>
        <v>135.57</v>
      </c>
      <c r="H43">
        <f t="shared" si="2"/>
        <v>4</v>
      </c>
      <c r="I43">
        <f t="shared" si="3"/>
        <v>4</v>
      </c>
      <c r="J43" s="153">
        <f t="shared" si="9"/>
        <v>206.63800559050301</v>
      </c>
      <c r="K43" s="153">
        <f t="shared" si="10"/>
        <v>34.306849818362991</v>
      </c>
      <c r="L43" s="153">
        <f t="shared" si="11"/>
        <v>31.72591567440702</v>
      </c>
      <c r="M43" t="b">
        <v>1</v>
      </c>
      <c r="N43">
        <v>3</v>
      </c>
      <c r="O43" s="144" t="s">
        <v>228</v>
      </c>
      <c r="P43" s="144" t="s">
        <v>229</v>
      </c>
      <c r="Q43" t="b">
        <v>0</v>
      </c>
      <c r="R43" t="s">
        <v>214</v>
      </c>
      <c r="S43" t="b">
        <v>1</v>
      </c>
      <c r="T43" t="b">
        <v>0</v>
      </c>
      <c r="U43" t="s">
        <v>171</v>
      </c>
      <c r="V43" t="s">
        <v>171</v>
      </c>
      <c r="W43" t="b">
        <v>0</v>
      </c>
      <c r="X43" t="s">
        <v>171</v>
      </c>
      <c r="Y43" s="139" t="s">
        <v>167</v>
      </c>
      <c r="Z43" s="143" t="s">
        <v>168</v>
      </c>
      <c r="AA43" t="s">
        <v>169</v>
      </c>
      <c r="AB43" s="154" t="s">
        <v>170</v>
      </c>
      <c r="AC43" s="154">
        <v>1</v>
      </c>
      <c r="AD43" s="154">
        <v>4</v>
      </c>
      <c r="AE43" s="154">
        <v>90</v>
      </c>
      <c r="AF43" s="154">
        <f t="shared" si="13"/>
        <v>92</v>
      </c>
      <c r="AG43" s="154">
        <v>5.4</v>
      </c>
      <c r="AH43" s="154">
        <v>5.4</v>
      </c>
      <c r="AI43" t="s">
        <v>171</v>
      </c>
      <c r="AJ43" t="s">
        <v>172</v>
      </c>
      <c r="AK43" s="146">
        <v>12.74</v>
      </c>
      <c r="AL43" s="146">
        <v>-78.739999999999995</v>
      </c>
      <c r="AM43" t="s">
        <v>171</v>
      </c>
      <c r="AN43" t="s">
        <v>171</v>
      </c>
      <c r="AO43">
        <v>-2839</v>
      </c>
      <c r="AP43" t="s">
        <v>171</v>
      </c>
      <c r="AQ43" t="s">
        <v>171</v>
      </c>
      <c r="AR43" t="s">
        <v>171</v>
      </c>
      <c r="AS43" s="147">
        <v>135.57</v>
      </c>
      <c r="AT43" t="s">
        <v>173</v>
      </c>
      <c r="AU43">
        <v>4</v>
      </c>
      <c r="AV43">
        <v>4</v>
      </c>
      <c r="AW43" t="s">
        <v>171</v>
      </c>
      <c r="AX43" t="s">
        <v>174</v>
      </c>
      <c r="AY43" t="s">
        <v>171</v>
      </c>
      <c r="AZ43" t="s">
        <v>171</v>
      </c>
      <c r="BA43" t="s">
        <v>171</v>
      </c>
      <c r="BB43" t="s">
        <v>171</v>
      </c>
      <c r="BC43" t="s">
        <v>171</v>
      </c>
      <c r="BD43" t="s">
        <v>171</v>
      </c>
      <c r="BE43" t="s">
        <v>171</v>
      </c>
      <c r="BF43" t="s">
        <v>171</v>
      </c>
      <c r="BG43" t="s">
        <v>175</v>
      </c>
      <c r="BH43" t="s">
        <v>176</v>
      </c>
      <c r="BI43" t="s">
        <v>177</v>
      </c>
      <c r="BJ43" s="142">
        <v>2</v>
      </c>
      <c r="BK43" t="s">
        <v>178</v>
      </c>
      <c r="BL43" t="s">
        <v>179</v>
      </c>
      <c r="BM43" t="s">
        <v>180</v>
      </c>
      <c r="BN43" t="s">
        <v>171</v>
      </c>
      <c r="BO43" s="142">
        <v>2</v>
      </c>
      <c r="BP43" s="144" t="s">
        <v>171</v>
      </c>
      <c r="BQ43" s="149">
        <v>21.178281080000001</v>
      </c>
      <c r="BR43" t="s">
        <v>181</v>
      </c>
      <c r="BS43" s="149">
        <v>0.240849178</v>
      </c>
      <c r="BT43">
        <v>0.64</v>
      </c>
      <c r="BU43" t="s">
        <v>182</v>
      </c>
      <c r="BV43">
        <v>3.4000000000000002E-2</v>
      </c>
      <c r="BW43">
        <v>9.1</v>
      </c>
      <c r="BX43" t="s">
        <v>173</v>
      </c>
      <c r="BY43">
        <v>0.56000000000000005</v>
      </c>
      <c r="BZ43" t="s">
        <v>183</v>
      </c>
      <c r="CA43" t="s">
        <v>184</v>
      </c>
      <c r="CB43" s="148">
        <f t="shared" si="6"/>
        <v>20.513801800000003</v>
      </c>
      <c r="CC43" s="144" t="s">
        <v>185</v>
      </c>
      <c r="CD43" s="144" t="s">
        <v>171</v>
      </c>
      <c r="CE43" s="144" t="s">
        <v>171</v>
      </c>
      <c r="CF43" t="s">
        <v>186</v>
      </c>
      <c r="CG43" s="144">
        <v>10</v>
      </c>
      <c r="CH43" s="144" t="s">
        <v>187</v>
      </c>
      <c r="CI43" s="144" t="s">
        <v>171</v>
      </c>
      <c r="CJ43" s="147">
        <v>26.24</v>
      </c>
      <c r="CK43" t="s">
        <v>173</v>
      </c>
      <c r="CL43">
        <v>3</v>
      </c>
      <c r="CM43">
        <v>3</v>
      </c>
      <c r="CN43" t="s">
        <v>171</v>
      </c>
      <c r="CO43" s="149">
        <v>4.0294234512177605</v>
      </c>
      <c r="CP43" t="s">
        <v>188</v>
      </c>
      <c r="CQ43" s="149">
        <v>0.16117693804871042</v>
      </c>
      <c r="CR43" s="149">
        <v>0.16117693804871042</v>
      </c>
      <c r="CS43" s="150" t="s">
        <v>171</v>
      </c>
      <c r="CT43" t="s">
        <v>189</v>
      </c>
      <c r="CU43" t="s">
        <v>171</v>
      </c>
      <c r="CV43" t="s">
        <v>190</v>
      </c>
      <c r="CW43" t="s">
        <v>191</v>
      </c>
      <c r="CX43" t="s">
        <v>191</v>
      </c>
      <c r="CY43" t="s">
        <v>191</v>
      </c>
      <c r="CZ43" t="s">
        <v>171</v>
      </c>
      <c r="DA43" t="s">
        <v>171</v>
      </c>
      <c r="DB43" t="s">
        <v>171</v>
      </c>
      <c r="DC43" t="s">
        <v>171</v>
      </c>
      <c r="DD43" t="s">
        <v>171</v>
      </c>
      <c r="DE43" t="s">
        <v>171</v>
      </c>
      <c r="DF43" t="s">
        <v>171</v>
      </c>
      <c r="DG43">
        <v>35</v>
      </c>
      <c r="DH43" t="s">
        <v>185</v>
      </c>
      <c r="DI43" s="142">
        <v>3</v>
      </c>
      <c r="DJ43" s="144" t="s">
        <v>192</v>
      </c>
      <c r="DK43" s="144" t="s">
        <v>171</v>
      </c>
      <c r="DL43" s="144" t="s">
        <v>171</v>
      </c>
      <c r="DM43" s="144" t="s">
        <v>171</v>
      </c>
      <c r="DN43" s="144" t="s">
        <v>171</v>
      </c>
      <c r="DO43" s="144" t="s">
        <v>171</v>
      </c>
      <c r="DP43" s="144" t="s">
        <v>171</v>
      </c>
      <c r="DQ43" s="144" t="s">
        <v>171</v>
      </c>
      <c r="DR43" s="144" t="s">
        <v>171</v>
      </c>
      <c r="DS43" s="144" t="s">
        <v>171</v>
      </c>
      <c r="DT43" s="144" t="s">
        <v>171</v>
      </c>
      <c r="DU43" s="144" t="s">
        <v>171</v>
      </c>
      <c r="DV43" s="144" t="s">
        <v>171</v>
      </c>
      <c r="DW43" s="147">
        <v>432.56244218316402</v>
      </c>
      <c r="DX43" t="s">
        <v>193</v>
      </c>
      <c r="DY43">
        <v>37.1</v>
      </c>
      <c r="DZ43" t="s">
        <v>194</v>
      </c>
      <c r="EA43">
        <v>39.61</v>
      </c>
      <c r="EB43" t="s">
        <v>185</v>
      </c>
      <c r="EC43" s="149">
        <f t="shared" si="1"/>
        <v>0.11355700000000001</v>
      </c>
      <c r="ED43" t="s">
        <v>195</v>
      </c>
      <c r="EE43" t="s">
        <v>196</v>
      </c>
      <c r="EF43" t="s">
        <v>197</v>
      </c>
      <c r="EG43">
        <v>1.0271999999999999</v>
      </c>
      <c r="EH43" t="s">
        <v>171</v>
      </c>
      <c r="EI43" t="s">
        <v>171</v>
      </c>
      <c r="EJ43" t="s">
        <v>198</v>
      </c>
      <c r="EK43" t="s">
        <v>191</v>
      </c>
      <c r="EL43" t="s">
        <v>191</v>
      </c>
      <c r="EM43" t="s">
        <v>199</v>
      </c>
      <c r="EN43" t="s">
        <v>200</v>
      </c>
      <c r="EO43" s="151" t="s">
        <v>201</v>
      </c>
      <c r="EP43" s="151" t="s">
        <v>201</v>
      </c>
      <c r="EQ43" s="144" t="s">
        <v>171</v>
      </c>
      <c r="ER43" s="144" t="s">
        <v>171</v>
      </c>
      <c r="ES43" s="144" t="s">
        <v>171</v>
      </c>
      <c r="ET43" t="s">
        <v>202</v>
      </c>
      <c r="EU43" t="s">
        <v>203</v>
      </c>
      <c r="EV43" t="s">
        <v>171</v>
      </c>
      <c r="EW43">
        <v>2369</v>
      </c>
      <c r="EX43" s="151" t="s">
        <v>204</v>
      </c>
      <c r="EY43" s="151">
        <v>175</v>
      </c>
      <c r="EZ43">
        <v>175</v>
      </c>
      <c r="FA43" t="s">
        <v>171</v>
      </c>
      <c r="FB43" t="s">
        <v>171</v>
      </c>
      <c r="FC43" t="s">
        <v>171</v>
      </c>
      <c r="FD43" t="s">
        <v>171</v>
      </c>
      <c r="FE43" s="152">
        <v>8.2330359972502496</v>
      </c>
      <c r="FF43" t="s">
        <v>205</v>
      </c>
      <c r="FG43" s="144" t="s">
        <v>171</v>
      </c>
      <c r="FH43" s="144" t="s">
        <v>171</v>
      </c>
      <c r="FI43" s="153">
        <v>227.63800559050301</v>
      </c>
      <c r="FJ43">
        <v>21</v>
      </c>
      <c r="FK43" t="s">
        <v>207</v>
      </c>
      <c r="FL43" s="153">
        <v>206.63800559050301</v>
      </c>
      <c r="FM43" s="153">
        <v>34.306849818362991</v>
      </c>
      <c r="FN43" s="153">
        <v>31.72591567440702</v>
      </c>
      <c r="FO43" t="s">
        <v>186</v>
      </c>
      <c r="FP43" t="s">
        <v>208</v>
      </c>
      <c r="FQ43" t="s">
        <v>171</v>
      </c>
      <c r="FR43" t="s">
        <v>171</v>
      </c>
      <c r="FS43" t="s">
        <v>171</v>
      </c>
      <c r="FT43" t="s">
        <v>171</v>
      </c>
      <c r="FU43" t="s">
        <v>171</v>
      </c>
      <c r="FV43" t="s">
        <v>171</v>
      </c>
      <c r="FW43" t="s">
        <v>171</v>
      </c>
      <c r="FX43" t="s">
        <v>171</v>
      </c>
      <c r="FY43" t="s">
        <v>171</v>
      </c>
      <c r="FZ43" t="s">
        <v>171</v>
      </c>
      <c r="GA43" t="s">
        <v>171</v>
      </c>
      <c r="GB43" t="s">
        <v>171</v>
      </c>
    </row>
    <row r="44" spans="1:184" ht="16" x14ac:dyDescent="0.2">
      <c r="A44" t="s">
        <v>217</v>
      </c>
      <c r="B44" s="143" t="s">
        <v>216</v>
      </c>
      <c r="C44" s="138" t="s">
        <v>212</v>
      </c>
      <c r="D44" t="s">
        <v>211</v>
      </c>
      <c r="E44">
        <v>2017</v>
      </c>
      <c r="F44" t="str">
        <f t="shared" si="7"/>
        <v>10.1073/pnas.1702143114</v>
      </c>
      <c r="G44" s="147">
        <f t="shared" si="8"/>
        <v>138.97</v>
      </c>
      <c r="H44">
        <f t="shared" si="2"/>
        <v>4</v>
      </c>
      <c r="I44">
        <f t="shared" si="3"/>
        <v>4</v>
      </c>
      <c r="J44" s="153">
        <f t="shared" si="9"/>
        <v>205.836923105067</v>
      </c>
      <c r="K44" s="153">
        <f t="shared" si="10"/>
        <v>34.046631742100004</v>
      </c>
      <c r="L44" s="153">
        <f t="shared" si="11"/>
        <v>31.606797839190989</v>
      </c>
      <c r="M44" t="b">
        <v>1</v>
      </c>
      <c r="N44">
        <v>3</v>
      </c>
      <c r="O44" s="144" t="s">
        <v>228</v>
      </c>
      <c r="P44" s="144" t="s">
        <v>229</v>
      </c>
      <c r="Q44" t="b">
        <v>0</v>
      </c>
      <c r="R44" t="s">
        <v>214</v>
      </c>
      <c r="S44" t="b">
        <v>1</v>
      </c>
      <c r="T44" t="b">
        <v>0</v>
      </c>
      <c r="U44" t="s">
        <v>171</v>
      </c>
      <c r="V44" t="s">
        <v>171</v>
      </c>
      <c r="W44" t="b">
        <v>0</v>
      </c>
      <c r="X44" t="s">
        <v>171</v>
      </c>
      <c r="Y44" s="139" t="s">
        <v>167</v>
      </c>
      <c r="Z44" s="143" t="s">
        <v>168</v>
      </c>
      <c r="AA44" t="s">
        <v>169</v>
      </c>
      <c r="AB44" s="154" t="s">
        <v>170</v>
      </c>
      <c r="AC44" s="154">
        <v>1</v>
      </c>
      <c r="AD44" s="154">
        <v>4</v>
      </c>
      <c r="AE44" s="154">
        <v>103</v>
      </c>
      <c r="AF44" s="154">
        <f t="shared" si="13"/>
        <v>105</v>
      </c>
      <c r="AG44" s="154">
        <v>5.53</v>
      </c>
      <c r="AH44" s="154">
        <v>5.53</v>
      </c>
      <c r="AI44" t="s">
        <v>171</v>
      </c>
      <c r="AJ44" t="s">
        <v>172</v>
      </c>
      <c r="AK44" s="146">
        <v>12.74</v>
      </c>
      <c r="AL44" s="146">
        <v>-78.739999999999995</v>
      </c>
      <c r="AM44" t="s">
        <v>171</v>
      </c>
      <c r="AN44" t="s">
        <v>171</v>
      </c>
      <c r="AO44">
        <v>-2839</v>
      </c>
      <c r="AP44" t="s">
        <v>171</v>
      </c>
      <c r="AQ44" t="s">
        <v>171</v>
      </c>
      <c r="AR44" t="s">
        <v>171</v>
      </c>
      <c r="AS44" s="147">
        <v>138.97</v>
      </c>
      <c r="AT44" t="s">
        <v>173</v>
      </c>
      <c r="AU44">
        <v>4</v>
      </c>
      <c r="AV44">
        <v>4</v>
      </c>
      <c r="AW44" t="s">
        <v>171</v>
      </c>
      <c r="AX44" t="s">
        <v>174</v>
      </c>
      <c r="AY44" t="s">
        <v>171</v>
      </c>
      <c r="AZ44" t="s">
        <v>171</v>
      </c>
      <c r="BA44" t="s">
        <v>171</v>
      </c>
      <c r="BB44" t="s">
        <v>171</v>
      </c>
      <c r="BC44" t="s">
        <v>171</v>
      </c>
      <c r="BD44" t="s">
        <v>171</v>
      </c>
      <c r="BE44" t="s">
        <v>171</v>
      </c>
      <c r="BF44" t="s">
        <v>171</v>
      </c>
      <c r="BG44" t="s">
        <v>175</v>
      </c>
      <c r="BH44" t="s">
        <v>176</v>
      </c>
      <c r="BI44" t="s">
        <v>177</v>
      </c>
      <c r="BJ44" s="142">
        <v>2</v>
      </c>
      <c r="BK44" t="s">
        <v>178</v>
      </c>
      <c r="BL44" t="s">
        <v>179</v>
      </c>
      <c r="BM44" t="s">
        <v>180</v>
      </c>
      <c r="BN44" t="s">
        <v>171</v>
      </c>
      <c r="BO44" s="142">
        <v>2</v>
      </c>
      <c r="BP44" s="144" t="s">
        <v>171</v>
      </c>
      <c r="BQ44" s="149">
        <v>21.189326770000001</v>
      </c>
      <c r="BR44" t="s">
        <v>181</v>
      </c>
      <c r="BS44" s="149">
        <v>0.22262501400000001</v>
      </c>
      <c r="BT44">
        <v>0.64</v>
      </c>
      <c r="BU44" t="s">
        <v>182</v>
      </c>
      <c r="BV44">
        <v>3.4000000000000002E-2</v>
      </c>
      <c r="BW44">
        <v>9.1</v>
      </c>
      <c r="BX44" t="s">
        <v>173</v>
      </c>
      <c r="BY44">
        <v>0.56000000000000005</v>
      </c>
      <c r="BZ44" t="s">
        <v>183</v>
      </c>
      <c r="CA44" t="s">
        <v>184</v>
      </c>
      <c r="CB44" s="148">
        <f t="shared" si="6"/>
        <v>20.532211283333336</v>
      </c>
      <c r="CC44" s="144" t="s">
        <v>185</v>
      </c>
      <c r="CD44" s="144" t="s">
        <v>171</v>
      </c>
      <c r="CE44" s="144" t="s">
        <v>171</v>
      </c>
      <c r="CF44" t="s">
        <v>186</v>
      </c>
      <c r="CG44" s="144">
        <v>10</v>
      </c>
      <c r="CH44" s="144" t="s">
        <v>187</v>
      </c>
      <c r="CI44" s="144" t="s">
        <v>171</v>
      </c>
      <c r="CJ44" s="147">
        <v>26.27</v>
      </c>
      <c r="CK44" t="s">
        <v>173</v>
      </c>
      <c r="CL44">
        <v>3</v>
      </c>
      <c r="CM44">
        <v>3</v>
      </c>
      <c r="CN44" t="s">
        <v>171</v>
      </c>
      <c r="CO44" s="149">
        <v>4.0403349274829319</v>
      </c>
      <c r="CP44" t="s">
        <v>188</v>
      </c>
      <c r="CQ44" s="149">
        <v>0.16161339709931727</v>
      </c>
      <c r="CR44" s="149">
        <v>0.16161339709931727</v>
      </c>
      <c r="CS44" s="150" t="s">
        <v>171</v>
      </c>
      <c r="CT44" t="s">
        <v>189</v>
      </c>
      <c r="CU44" t="s">
        <v>171</v>
      </c>
      <c r="CV44" t="s">
        <v>190</v>
      </c>
      <c r="CW44" t="s">
        <v>191</v>
      </c>
      <c r="CX44" t="s">
        <v>191</v>
      </c>
      <c r="CY44" t="s">
        <v>191</v>
      </c>
      <c r="CZ44" t="s">
        <v>171</v>
      </c>
      <c r="DA44" t="s">
        <v>171</v>
      </c>
      <c r="DB44" t="s">
        <v>171</v>
      </c>
      <c r="DC44" t="s">
        <v>171</v>
      </c>
      <c r="DD44" t="s">
        <v>171</v>
      </c>
      <c r="DE44" t="s">
        <v>171</v>
      </c>
      <c r="DF44" t="s">
        <v>171</v>
      </c>
      <c r="DG44">
        <v>35</v>
      </c>
      <c r="DH44" t="s">
        <v>185</v>
      </c>
      <c r="DI44" s="142">
        <v>3</v>
      </c>
      <c r="DJ44" s="144" t="s">
        <v>192</v>
      </c>
      <c r="DK44" s="144" t="s">
        <v>171</v>
      </c>
      <c r="DL44" s="144" t="s">
        <v>171</v>
      </c>
      <c r="DM44" s="144" t="s">
        <v>171</v>
      </c>
      <c r="DN44" s="144" t="s">
        <v>171</v>
      </c>
      <c r="DO44" s="144" t="s">
        <v>171</v>
      </c>
      <c r="DP44" s="144" t="s">
        <v>171</v>
      </c>
      <c r="DQ44" s="144" t="s">
        <v>171</v>
      </c>
      <c r="DR44" s="144" t="s">
        <v>171</v>
      </c>
      <c r="DS44" s="144" t="s">
        <v>171</v>
      </c>
      <c r="DT44" s="144" t="s">
        <v>171</v>
      </c>
      <c r="DU44" s="144" t="s">
        <v>171</v>
      </c>
      <c r="DV44" s="144" t="s">
        <v>171</v>
      </c>
      <c r="DW44" s="147">
        <v>432.56244218316402</v>
      </c>
      <c r="DX44" t="s">
        <v>193</v>
      </c>
      <c r="DY44">
        <v>37.1</v>
      </c>
      <c r="DZ44" t="s">
        <v>194</v>
      </c>
      <c r="EA44">
        <v>39.61</v>
      </c>
      <c r="EB44" t="s">
        <v>185</v>
      </c>
      <c r="EC44" s="149">
        <f t="shared" si="1"/>
        <v>0.113897</v>
      </c>
      <c r="ED44" t="s">
        <v>195</v>
      </c>
      <c r="EE44" t="s">
        <v>196</v>
      </c>
      <c r="EF44" t="s">
        <v>197</v>
      </c>
      <c r="EG44">
        <v>1.0271999999999999</v>
      </c>
      <c r="EH44" t="s">
        <v>171</v>
      </c>
      <c r="EI44" t="s">
        <v>171</v>
      </c>
      <c r="EJ44" t="s">
        <v>198</v>
      </c>
      <c r="EK44" t="s">
        <v>191</v>
      </c>
      <c r="EL44" t="s">
        <v>191</v>
      </c>
      <c r="EM44" t="s">
        <v>199</v>
      </c>
      <c r="EN44" t="s">
        <v>200</v>
      </c>
      <c r="EO44" s="151" t="s">
        <v>201</v>
      </c>
      <c r="EP44" s="151" t="s">
        <v>201</v>
      </c>
      <c r="EQ44" s="144" t="s">
        <v>171</v>
      </c>
      <c r="ER44" s="144" t="s">
        <v>171</v>
      </c>
      <c r="ES44" s="144" t="s">
        <v>171</v>
      </c>
      <c r="ET44" t="s">
        <v>202</v>
      </c>
      <c r="EU44" t="s">
        <v>203</v>
      </c>
      <c r="EV44" t="s">
        <v>171</v>
      </c>
      <c r="EW44">
        <v>2370</v>
      </c>
      <c r="EX44" s="151" t="s">
        <v>204</v>
      </c>
      <c r="EY44" s="151">
        <v>175</v>
      </c>
      <c r="EZ44">
        <v>175</v>
      </c>
      <c r="FA44" t="s">
        <v>171</v>
      </c>
      <c r="FB44" t="s">
        <v>171</v>
      </c>
      <c r="FC44" t="s">
        <v>171</v>
      </c>
      <c r="FD44" t="s">
        <v>171</v>
      </c>
      <c r="FE44" s="152">
        <v>8.2338235504214392</v>
      </c>
      <c r="FF44" t="s">
        <v>205</v>
      </c>
      <c r="FG44" s="144" t="s">
        <v>171</v>
      </c>
      <c r="FH44" s="144" t="s">
        <v>171</v>
      </c>
      <c r="FI44" s="153">
        <v>226.836923105067</v>
      </c>
      <c r="FJ44">
        <v>21</v>
      </c>
      <c r="FK44" t="s">
        <v>207</v>
      </c>
      <c r="FL44" s="153">
        <v>205.836923105067</v>
      </c>
      <c r="FM44" s="153">
        <v>34.046631742100004</v>
      </c>
      <c r="FN44" s="153">
        <v>31.606797839190989</v>
      </c>
      <c r="FO44" t="s">
        <v>186</v>
      </c>
      <c r="FP44" t="s">
        <v>208</v>
      </c>
      <c r="FQ44" t="s">
        <v>171</v>
      </c>
      <c r="FR44" t="s">
        <v>171</v>
      </c>
      <c r="FS44" t="s">
        <v>171</v>
      </c>
      <c r="FT44" t="s">
        <v>171</v>
      </c>
      <c r="FU44" t="s">
        <v>171</v>
      </c>
      <c r="FV44" t="s">
        <v>171</v>
      </c>
      <c r="FW44" t="s">
        <v>171</v>
      </c>
      <c r="FX44" t="s">
        <v>171</v>
      </c>
      <c r="FY44" t="s">
        <v>171</v>
      </c>
      <c r="FZ44" t="s">
        <v>171</v>
      </c>
      <c r="GA44" t="s">
        <v>171</v>
      </c>
      <c r="GB44" t="s">
        <v>171</v>
      </c>
    </row>
    <row r="45" spans="1:184" ht="16" x14ac:dyDescent="0.2">
      <c r="A45" t="s">
        <v>217</v>
      </c>
      <c r="B45" s="143" t="s">
        <v>216</v>
      </c>
      <c r="C45" s="138" t="s">
        <v>212</v>
      </c>
      <c r="D45" t="s">
        <v>211</v>
      </c>
      <c r="E45">
        <v>2017</v>
      </c>
      <c r="F45" t="str">
        <f t="shared" si="7"/>
        <v>10.1073/pnas.1702143114</v>
      </c>
      <c r="G45" s="147">
        <f t="shared" si="8"/>
        <v>146.69</v>
      </c>
      <c r="H45">
        <f t="shared" si="2"/>
        <v>4</v>
      </c>
      <c r="I45">
        <f t="shared" si="3"/>
        <v>4</v>
      </c>
      <c r="J45" s="153">
        <f t="shared" si="9"/>
        <v>213.74235292111899</v>
      </c>
      <c r="K45" s="153">
        <f t="shared" si="10"/>
        <v>35.216484362647009</v>
      </c>
      <c r="L45" s="153">
        <f t="shared" si="11"/>
        <v>32.377734708323004</v>
      </c>
      <c r="M45" t="b">
        <v>1</v>
      </c>
      <c r="N45">
        <v>3</v>
      </c>
      <c r="O45" s="144" t="s">
        <v>228</v>
      </c>
      <c r="P45" s="144" t="s">
        <v>229</v>
      </c>
      <c r="Q45" t="b">
        <v>0</v>
      </c>
      <c r="R45" t="s">
        <v>214</v>
      </c>
      <c r="S45" t="b">
        <v>1</v>
      </c>
      <c r="T45" t="b">
        <v>0</v>
      </c>
      <c r="U45" t="s">
        <v>171</v>
      </c>
      <c r="V45" t="s">
        <v>171</v>
      </c>
      <c r="W45" t="b">
        <v>0</v>
      </c>
      <c r="X45" t="s">
        <v>171</v>
      </c>
      <c r="Y45" s="139" t="s">
        <v>167</v>
      </c>
      <c r="Z45" s="143" t="s">
        <v>168</v>
      </c>
      <c r="AA45" t="s">
        <v>169</v>
      </c>
      <c r="AB45" s="154" t="s">
        <v>170</v>
      </c>
      <c r="AC45" s="154">
        <v>1</v>
      </c>
      <c r="AD45" s="154">
        <v>4</v>
      </c>
      <c r="AE45" s="154">
        <v>132</v>
      </c>
      <c r="AF45" s="154">
        <f t="shared" si="13"/>
        <v>134</v>
      </c>
      <c r="AG45" s="154">
        <v>5.82</v>
      </c>
      <c r="AH45" s="154">
        <v>5.82</v>
      </c>
      <c r="AI45" t="s">
        <v>171</v>
      </c>
      <c r="AJ45" t="s">
        <v>172</v>
      </c>
      <c r="AK45" s="146">
        <v>12.74</v>
      </c>
      <c r="AL45" s="146">
        <v>-78.739999999999995</v>
      </c>
      <c r="AM45" t="s">
        <v>171</v>
      </c>
      <c r="AN45" t="s">
        <v>171</v>
      </c>
      <c r="AO45">
        <v>-2839</v>
      </c>
      <c r="AP45" t="s">
        <v>171</v>
      </c>
      <c r="AQ45" t="s">
        <v>171</v>
      </c>
      <c r="AR45" t="s">
        <v>171</v>
      </c>
      <c r="AS45" s="147">
        <v>146.69</v>
      </c>
      <c r="AT45" t="s">
        <v>173</v>
      </c>
      <c r="AU45">
        <v>4</v>
      </c>
      <c r="AV45">
        <v>4</v>
      </c>
      <c r="AW45" t="s">
        <v>171</v>
      </c>
      <c r="AX45" t="s">
        <v>174</v>
      </c>
      <c r="AY45" t="s">
        <v>171</v>
      </c>
      <c r="AZ45" t="s">
        <v>171</v>
      </c>
      <c r="BA45" t="s">
        <v>171</v>
      </c>
      <c r="BB45" t="s">
        <v>171</v>
      </c>
      <c r="BC45" t="s">
        <v>171</v>
      </c>
      <c r="BD45" t="s">
        <v>171</v>
      </c>
      <c r="BE45" t="s">
        <v>171</v>
      </c>
      <c r="BF45" t="s">
        <v>171</v>
      </c>
      <c r="BG45" t="s">
        <v>175</v>
      </c>
      <c r="BH45" t="s">
        <v>176</v>
      </c>
      <c r="BI45" t="s">
        <v>177</v>
      </c>
      <c r="BJ45" s="142">
        <v>2</v>
      </c>
      <c r="BK45" t="s">
        <v>178</v>
      </c>
      <c r="BL45" t="s">
        <v>179</v>
      </c>
      <c r="BM45" t="s">
        <v>180</v>
      </c>
      <c r="BN45" t="s">
        <v>171</v>
      </c>
      <c r="BO45" s="142">
        <v>2</v>
      </c>
      <c r="BP45" s="144" t="s">
        <v>171</v>
      </c>
      <c r="BQ45" s="149">
        <v>21.114847619999999</v>
      </c>
      <c r="BR45" t="s">
        <v>181</v>
      </c>
      <c r="BS45" s="149">
        <v>0.230114186</v>
      </c>
      <c r="BT45">
        <v>0.64</v>
      </c>
      <c r="BU45" t="s">
        <v>182</v>
      </c>
      <c r="BV45">
        <v>3.4000000000000002E-2</v>
      </c>
      <c r="BW45">
        <v>9.1</v>
      </c>
      <c r="BX45" t="s">
        <v>173</v>
      </c>
      <c r="BY45">
        <v>0.56000000000000005</v>
      </c>
      <c r="BZ45" t="s">
        <v>183</v>
      </c>
      <c r="CA45" t="s">
        <v>184</v>
      </c>
      <c r="CB45" s="148">
        <f t="shared" si="6"/>
        <v>20.408079366666666</v>
      </c>
      <c r="CC45" s="144" t="s">
        <v>185</v>
      </c>
      <c r="CD45" s="144" t="s">
        <v>171</v>
      </c>
      <c r="CE45" s="144" t="s">
        <v>171</v>
      </c>
      <c r="CF45" t="s">
        <v>186</v>
      </c>
      <c r="CG45" s="144">
        <v>10</v>
      </c>
      <c r="CH45" s="144" t="s">
        <v>187</v>
      </c>
      <c r="CI45" s="144" t="s">
        <v>171</v>
      </c>
      <c r="CJ45" s="147">
        <v>26.46</v>
      </c>
      <c r="CK45" t="s">
        <v>173</v>
      </c>
      <c r="CL45">
        <v>3</v>
      </c>
      <c r="CM45">
        <v>3</v>
      </c>
      <c r="CN45" t="s">
        <v>171</v>
      </c>
      <c r="CO45" s="149">
        <v>4.1110209496363677</v>
      </c>
      <c r="CP45" t="s">
        <v>188</v>
      </c>
      <c r="CQ45" s="149">
        <v>0.1644408379854547</v>
      </c>
      <c r="CR45" s="149">
        <v>0.1644408379854547</v>
      </c>
      <c r="CS45" s="150" t="s">
        <v>171</v>
      </c>
      <c r="CT45" t="s">
        <v>189</v>
      </c>
      <c r="CU45" t="s">
        <v>171</v>
      </c>
      <c r="CV45" t="s">
        <v>190</v>
      </c>
      <c r="CW45" t="s">
        <v>191</v>
      </c>
      <c r="CX45" t="s">
        <v>191</v>
      </c>
      <c r="CY45" t="s">
        <v>191</v>
      </c>
      <c r="CZ45" t="s">
        <v>171</v>
      </c>
      <c r="DA45" t="s">
        <v>171</v>
      </c>
      <c r="DB45" t="s">
        <v>171</v>
      </c>
      <c r="DC45" t="s">
        <v>171</v>
      </c>
      <c r="DD45" t="s">
        <v>171</v>
      </c>
      <c r="DE45" t="s">
        <v>171</v>
      </c>
      <c r="DF45" t="s">
        <v>171</v>
      </c>
      <c r="DG45">
        <v>35</v>
      </c>
      <c r="DH45" t="s">
        <v>185</v>
      </c>
      <c r="DI45" s="142">
        <v>3</v>
      </c>
      <c r="DJ45" s="144" t="s">
        <v>192</v>
      </c>
      <c r="DK45" s="144" t="s">
        <v>171</v>
      </c>
      <c r="DL45" s="144" t="s">
        <v>171</v>
      </c>
      <c r="DM45" s="144" t="s">
        <v>171</v>
      </c>
      <c r="DN45" s="144" t="s">
        <v>171</v>
      </c>
      <c r="DO45" s="144" t="s">
        <v>171</v>
      </c>
      <c r="DP45" s="144" t="s">
        <v>171</v>
      </c>
      <c r="DQ45" s="144" t="s">
        <v>171</v>
      </c>
      <c r="DR45" s="144" t="s">
        <v>171</v>
      </c>
      <c r="DS45" s="144" t="s">
        <v>171</v>
      </c>
      <c r="DT45" s="144" t="s">
        <v>171</v>
      </c>
      <c r="DU45" s="144" t="s">
        <v>171</v>
      </c>
      <c r="DV45" s="144" t="s">
        <v>171</v>
      </c>
      <c r="DW45" s="147">
        <v>432.56244218316402</v>
      </c>
      <c r="DX45" t="s">
        <v>193</v>
      </c>
      <c r="DY45">
        <v>37.1</v>
      </c>
      <c r="DZ45" t="s">
        <v>194</v>
      </c>
      <c r="EA45">
        <v>39.61</v>
      </c>
      <c r="EB45" t="s">
        <v>185</v>
      </c>
      <c r="EC45" s="149">
        <f t="shared" si="1"/>
        <v>0.11466900000000001</v>
      </c>
      <c r="ED45" t="s">
        <v>195</v>
      </c>
      <c r="EE45" t="s">
        <v>196</v>
      </c>
      <c r="EF45" t="s">
        <v>197</v>
      </c>
      <c r="EG45">
        <v>1.0271999999999999</v>
      </c>
      <c r="EH45" t="s">
        <v>171</v>
      </c>
      <c r="EI45" t="s">
        <v>171</v>
      </c>
      <c r="EJ45" t="s">
        <v>198</v>
      </c>
      <c r="EK45" t="s">
        <v>191</v>
      </c>
      <c r="EL45" t="s">
        <v>191</v>
      </c>
      <c r="EM45" t="s">
        <v>199</v>
      </c>
      <c r="EN45" t="s">
        <v>200</v>
      </c>
      <c r="EO45" s="151" t="s">
        <v>201</v>
      </c>
      <c r="EP45" s="151" t="s">
        <v>201</v>
      </c>
      <c r="EQ45" s="144" t="s">
        <v>171</v>
      </c>
      <c r="ER45" s="144" t="s">
        <v>171</v>
      </c>
      <c r="ES45" s="144" t="s">
        <v>171</v>
      </c>
      <c r="ET45" t="s">
        <v>202</v>
      </c>
      <c r="EU45" t="s">
        <v>203</v>
      </c>
      <c r="EV45" t="s">
        <v>171</v>
      </c>
      <c r="EW45">
        <v>2371</v>
      </c>
      <c r="EX45" s="151" t="s">
        <v>204</v>
      </c>
      <c r="EY45" s="151">
        <v>175</v>
      </c>
      <c r="EZ45">
        <v>175</v>
      </c>
      <c r="FA45" t="s">
        <v>171</v>
      </c>
      <c r="FB45" t="s">
        <v>171</v>
      </c>
      <c r="FC45" t="s">
        <v>171</v>
      </c>
      <c r="FD45" t="s">
        <v>171</v>
      </c>
      <c r="FE45" s="152">
        <v>8.2221968599714703</v>
      </c>
      <c r="FF45" t="s">
        <v>205</v>
      </c>
      <c r="FG45" s="144" t="s">
        <v>171</v>
      </c>
      <c r="FH45" s="144" t="s">
        <v>171</v>
      </c>
      <c r="FI45" s="153">
        <v>234.74235292111899</v>
      </c>
      <c r="FJ45">
        <v>21</v>
      </c>
      <c r="FK45" t="s">
        <v>207</v>
      </c>
      <c r="FL45" s="153">
        <v>213.74235292111899</v>
      </c>
      <c r="FM45" s="153">
        <v>35.216484362647009</v>
      </c>
      <c r="FN45" s="153">
        <v>32.377734708323004</v>
      </c>
      <c r="FO45" t="s">
        <v>186</v>
      </c>
      <c r="FP45" t="s">
        <v>208</v>
      </c>
      <c r="FQ45" t="s">
        <v>171</v>
      </c>
      <c r="FR45" t="s">
        <v>171</v>
      </c>
      <c r="FS45" t="s">
        <v>171</v>
      </c>
      <c r="FT45" t="s">
        <v>171</v>
      </c>
      <c r="FU45" t="s">
        <v>171</v>
      </c>
      <c r="FV45" t="s">
        <v>171</v>
      </c>
      <c r="FW45" t="s">
        <v>171</v>
      </c>
      <c r="FX45" t="s">
        <v>171</v>
      </c>
      <c r="FY45" t="s">
        <v>171</v>
      </c>
      <c r="FZ45" t="s">
        <v>171</v>
      </c>
      <c r="GA45" t="s">
        <v>171</v>
      </c>
      <c r="GB45" t="s">
        <v>171</v>
      </c>
    </row>
    <row r="46" spans="1:184" ht="16" x14ac:dyDescent="0.2">
      <c r="A46" t="s">
        <v>217</v>
      </c>
      <c r="B46" s="143" t="s">
        <v>216</v>
      </c>
      <c r="C46" s="138" t="s">
        <v>212</v>
      </c>
      <c r="D46" t="s">
        <v>211</v>
      </c>
      <c r="E46">
        <v>2017</v>
      </c>
      <c r="F46" t="str">
        <f t="shared" si="7"/>
        <v>10.1073/pnas.1702143114</v>
      </c>
      <c r="G46" s="147">
        <f t="shared" si="8"/>
        <v>150.04</v>
      </c>
      <c r="H46">
        <f t="shared" si="2"/>
        <v>4</v>
      </c>
      <c r="I46">
        <f t="shared" si="3"/>
        <v>4</v>
      </c>
      <c r="J46" s="153">
        <f t="shared" si="9"/>
        <v>206.17637376000999</v>
      </c>
      <c r="K46" s="153">
        <f t="shared" si="10"/>
        <v>33.867825210814004</v>
      </c>
      <c r="L46" s="153">
        <f t="shared" si="11"/>
        <v>31.976558999248994</v>
      </c>
      <c r="M46" t="b">
        <v>1</v>
      </c>
      <c r="N46">
        <v>3</v>
      </c>
      <c r="O46" s="144" t="s">
        <v>228</v>
      </c>
      <c r="P46" s="144" t="s">
        <v>229</v>
      </c>
      <c r="Q46" t="b">
        <v>0</v>
      </c>
      <c r="R46" t="s">
        <v>214</v>
      </c>
      <c r="S46" t="b">
        <v>1</v>
      </c>
      <c r="T46" t="b">
        <v>0</v>
      </c>
      <c r="U46" t="s">
        <v>171</v>
      </c>
      <c r="V46" t="s">
        <v>171</v>
      </c>
      <c r="W46" t="b">
        <v>0</v>
      </c>
      <c r="X46" t="s">
        <v>171</v>
      </c>
      <c r="Y46" s="139" t="s">
        <v>167</v>
      </c>
      <c r="Z46" s="143" t="s">
        <v>168</v>
      </c>
      <c r="AA46" t="s">
        <v>169</v>
      </c>
      <c r="AB46" s="154" t="s">
        <v>170</v>
      </c>
      <c r="AC46" s="154">
        <v>1</v>
      </c>
      <c r="AD46" s="154">
        <v>4</v>
      </c>
      <c r="AE46" s="154">
        <v>142</v>
      </c>
      <c r="AF46" s="154">
        <f t="shared" si="13"/>
        <v>144</v>
      </c>
      <c r="AG46" s="154">
        <v>5.92</v>
      </c>
      <c r="AH46" s="154">
        <v>5.92</v>
      </c>
      <c r="AI46" t="s">
        <v>171</v>
      </c>
      <c r="AJ46" t="s">
        <v>172</v>
      </c>
      <c r="AK46" s="146">
        <v>12.74</v>
      </c>
      <c r="AL46" s="146">
        <v>-78.739999999999995</v>
      </c>
      <c r="AM46" t="s">
        <v>171</v>
      </c>
      <c r="AN46" t="s">
        <v>171</v>
      </c>
      <c r="AO46">
        <v>-2839</v>
      </c>
      <c r="AP46" t="s">
        <v>171</v>
      </c>
      <c r="AQ46" t="s">
        <v>171</v>
      </c>
      <c r="AR46" t="s">
        <v>171</v>
      </c>
      <c r="AS46" s="147">
        <v>150.04</v>
      </c>
      <c r="AT46" t="s">
        <v>173</v>
      </c>
      <c r="AU46">
        <v>4</v>
      </c>
      <c r="AV46">
        <v>4</v>
      </c>
      <c r="AW46" t="s">
        <v>171</v>
      </c>
      <c r="AX46" t="s">
        <v>174</v>
      </c>
      <c r="AY46" t="s">
        <v>171</v>
      </c>
      <c r="AZ46" t="s">
        <v>171</v>
      </c>
      <c r="BA46" t="s">
        <v>171</v>
      </c>
      <c r="BB46" t="s">
        <v>171</v>
      </c>
      <c r="BC46" t="s">
        <v>171</v>
      </c>
      <c r="BD46" t="s">
        <v>171</v>
      </c>
      <c r="BE46" t="s">
        <v>171</v>
      </c>
      <c r="BF46" t="s">
        <v>171</v>
      </c>
      <c r="BG46" t="s">
        <v>175</v>
      </c>
      <c r="BH46" t="s">
        <v>176</v>
      </c>
      <c r="BI46" t="s">
        <v>177</v>
      </c>
      <c r="BJ46" s="142">
        <v>2</v>
      </c>
      <c r="BK46" t="s">
        <v>178</v>
      </c>
      <c r="BL46" t="s">
        <v>179</v>
      </c>
      <c r="BM46" t="s">
        <v>180</v>
      </c>
      <c r="BN46" t="s">
        <v>171</v>
      </c>
      <c r="BO46" s="142">
        <v>2</v>
      </c>
      <c r="BP46" s="144" t="s">
        <v>171</v>
      </c>
      <c r="BQ46" s="149">
        <v>21.215300419999998</v>
      </c>
      <c r="BR46" t="s">
        <v>181</v>
      </c>
      <c r="BS46" s="149">
        <v>0.22095936399999999</v>
      </c>
      <c r="BT46">
        <v>0.64</v>
      </c>
      <c r="BU46" t="s">
        <v>182</v>
      </c>
      <c r="BV46">
        <v>3.4000000000000002E-2</v>
      </c>
      <c r="BW46">
        <v>9.1</v>
      </c>
      <c r="BX46" t="s">
        <v>173</v>
      </c>
      <c r="BY46">
        <v>0.56000000000000005</v>
      </c>
      <c r="BZ46" t="s">
        <v>183</v>
      </c>
      <c r="CA46" t="s">
        <v>184</v>
      </c>
      <c r="CB46" s="148">
        <f t="shared" si="6"/>
        <v>20.575500699999999</v>
      </c>
      <c r="CC46" s="144" t="s">
        <v>185</v>
      </c>
      <c r="CD46" s="144" t="s">
        <v>171</v>
      </c>
      <c r="CE46" s="144" t="s">
        <v>171</v>
      </c>
      <c r="CF46" t="s">
        <v>186</v>
      </c>
      <c r="CG46" s="144">
        <v>10</v>
      </c>
      <c r="CH46" s="144" t="s">
        <v>187</v>
      </c>
      <c r="CI46" s="144" t="s">
        <v>171</v>
      </c>
      <c r="CJ46" s="147">
        <v>26.68</v>
      </c>
      <c r="CK46" t="s">
        <v>173</v>
      </c>
      <c r="CL46">
        <v>3</v>
      </c>
      <c r="CM46">
        <v>3</v>
      </c>
      <c r="CN46" t="s">
        <v>171</v>
      </c>
      <c r="CO46" s="149">
        <v>4.1921817060858855</v>
      </c>
      <c r="CP46" t="s">
        <v>188</v>
      </c>
      <c r="CQ46" s="149">
        <v>0.16768726824343541</v>
      </c>
      <c r="CR46" s="149">
        <v>0.16768726824343541</v>
      </c>
      <c r="CS46" s="150" t="s">
        <v>171</v>
      </c>
      <c r="CT46" t="s">
        <v>189</v>
      </c>
      <c r="CU46" t="s">
        <v>171</v>
      </c>
      <c r="CV46" t="s">
        <v>190</v>
      </c>
      <c r="CW46" t="s">
        <v>191</v>
      </c>
      <c r="CX46" t="s">
        <v>191</v>
      </c>
      <c r="CY46" t="s">
        <v>191</v>
      </c>
      <c r="CZ46" t="s">
        <v>171</v>
      </c>
      <c r="DA46" t="s">
        <v>171</v>
      </c>
      <c r="DB46" t="s">
        <v>171</v>
      </c>
      <c r="DC46" t="s">
        <v>171</v>
      </c>
      <c r="DD46" t="s">
        <v>171</v>
      </c>
      <c r="DE46" t="s">
        <v>171</v>
      </c>
      <c r="DF46" t="s">
        <v>171</v>
      </c>
      <c r="DG46">
        <v>35</v>
      </c>
      <c r="DH46" t="s">
        <v>185</v>
      </c>
      <c r="DI46" s="142">
        <v>3</v>
      </c>
      <c r="DJ46" s="144" t="s">
        <v>192</v>
      </c>
      <c r="DK46" s="144" t="s">
        <v>171</v>
      </c>
      <c r="DL46" s="144" t="s">
        <v>171</v>
      </c>
      <c r="DM46" s="144" t="s">
        <v>171</v>
      </c>
      <c r="DN46" s="144" t="s">
        <v>171</v>
      </c>
      <c r="DO46" s="144" t="s">
        <v>171</v>
      </c>
      <c r="DP46" s="144" t="s">
        <v>171</v>
      </c>
      <c r="DQ46" s="144" t="s">
        <v>171</v>
      </c>
      <c r="DR46" s="144" t="s">
        <v>171</v>
      </c>
      <c r="DS46" s="144" t="s">
        <v>171</v>
      </c>
      <c r="DT46" s="144" t="s">
        <v>171</v>
      </c>
      <c r="DU46" s="144" t="s">
        <v>171</v>
      </c>
      <c r="DV46" s="144" t="s">
        <v>171</v>
      </c>
      <c r="DW46" s="147">
        <v>432.56244218316402</v>
      </c>
      <c r="DX46" t="s">
        <v>193</v>
      </c>
      <c r="DY46">
        <v>37.1</v>
      </c>
      <c r="DZ46" t="s">
        <v>194</v>
      </c>
      <c r="EA46">
        <v>39.61</v>
      </c>
      <c r="EB46" t="s">
        <v>185</v>
      </c>
      <c r="EC46" s="149">
        <f t="shared" si="1"/>
        <v>0.11500400000000001</v>
      </c>
      <c r="ED46" t="s">
        <v>195</v>
      </c>
      <c r="EE46" t="s">
        <v>196</v>
      </c>
      <c r="EF46" t="s">
        <v>197</v>
      </c>
      <c r="EG46">
        <v>1.0271999999999999</v>
      </c>
      <c r="EH46" t="s">
        <v>171</v>
      </c>
      <c r="EI46" t="s">
        <v>171</v>
      </c>
      <c r="EJ46" t="s">
        <v>198</v>
      </c>
      <c r="EK46" t="s">
        <v>191</v>
      </c>
      <c r="EL46" t="s">
        <v>191</v>
      </c>
      <c r="EM46" t="s">
        <v>199</v>
      </c>
      <c r="EN46" t="s">
        <v>200</v>
      </c>
      <c r="EO46" s="151" t="s">
        <v>201</v>
      </c>
      <c r="EP46" s="151" t="s">
        <v>201</v>
      </c>
      <c r="EQ46" s="144" t="s">
        <v>171</v>
      </c>
      <c r="ER46" s="144" t="s">
        <v>171</v>
      </c>
      <c r="ES46" s="144" t="s">
        <v>171</v>
      </c>
      <c r="ET46" t="s">
        <v>202</v>
      </c>
      <c r="EU46" t="s">
        <v>203</v>
      </c>
      <c r="EV46" t="s">
        <v>171</v>
      </c>
      <c r="EW46">
        <v>2372</v>
      </c>
      <c r="EX46" s="151" t="s">
        <v>204</v>
      </c>
      <c r="EY46" s="151">
        <v>175</v>
      </c>
      <c r="EZ46">
        <v>175</v>
      </c>
      <c r="FA46" t="s">
        <v>171</v>
      </c>
      <c r="FB46" t="s">
        <v>171</v>
      </c>
      <c r="FC46" t="s">
        <v>171</v>
      </c>
      <c r="FD46" t="s">
        <v>171</v>
      </c>
      <c r="FE46" s="152">
        <v>8.2325153442157308</v>
      </c>
      <c r="FF46" t="s">
        <v>205</v>
      </c>
      <c r="FG46" s="144" t="s">
        <v>171</v>
      </c>
      <c r="FH46" s="144" t="s">
        <v>171</v>
      </c>
      <c r="FI46" s="153">
        <v>227.17637376000999</v>
      </c>
      <c r="FJ46">
        <v>21</v>
      </c>
      <c r="FK46" t="s">
        <v>207</v>
      </c>
      <c r="FL46" s="153">
        <v>206.17637376000999</v>
      </c>
      <c r="FM46" s="153">
        <v>33.867825210814004</v>
      </c>
      <c r="FN46" s="153">
        <v>31.976558999248994</v>
      </c>
      <c r="FO46" t="s">
        <v>186</v>
      </c>
      <c r="FP46" t="s">
        <v>208</v>
      </c>
      <c r="FQ46" t="s">
        <v>171</v>
      </c>
      <c r="FR46" t="s">
        <v>171</v>
      </c>
      <c r="FS46" t="s">
        <v>171</v>
      </c>
      <c r="FT46" t="s">
        <v>171</v>
      </c>
      <c r="FU46" t="s">
        <v>171</v>
      </c>
      <c r="FV46" t="s">
        <v>171</v>
      </c>
      <c r="FW46" t="s">
        <v>171</v>
      </c>
      <c r="FX46" t="s">
        <v>171</v>
      </c>
      <c r="FY46" t="s">
        <v>171</v>
      </c>
      <c r="FZ46" t="s">
        <v>171</v>
      </c>
      <c r="GA46" t="s">
        <v>171</v>
      </c>
      <c r="GB46" t="s">
        <v>171</v>
      </c>
    </row>
    <row r="47" spans="1:184" ht="16" x14ac:dyDescent="0.2">
      <c r="A47" t="s">
        <v>217</v>
      </c>
      <c r="B47" s="143" t="s">
        <v>216</v>
      </c>
      <c r="C47" s="138" t="s">
        <v>212</v>
      </c>
      <c r="D47" t="s">
        <v>211</v>
      </c>
      <c r="E47">
        <v>2017</v>
      </c>
      <c r="F47" t="str">
        <f t="shared" si="7"/>
        <v>10.1073/pnas.1702143114</v>
      </c>
      <c r="G47" s="147">
        <f t="shared" si="8"/>
        <v>169.76</v>
      </c>
      <c r="H47">
        <f t="shared" si="2"/>
        <v>4</v>
      </c>
      <c r="I47">
        <f t="shared" si="3"/>
        <v>4</v>
      </c>
      <c r="J47" s="153">
        <f t="shared" si="9"/>
        <v>205.87752679034699</v>
      </c>
      <c r="K47" s="153">
        <f t="shared" si="10"/>
        <v>34.274116737496996</v>
      </c>
      <c r="L47" s="153">
        <f t="shared" si="11"/>
        <v>32.53693741301899</v>
      </c>
      <c r="M47" t="b">
        <v>1</v>
      </c>
      <c r="N47">
        <v>3</v>
      </c>
      <c r="O47" s="144" t="s">
        <v>228</v>
      </c>
      <c r="P47" s="144" t="s">
        <v>229</v>
      </c>
      <c r="Q47" t="b">
        <v>0</v>
      </c>
      <c r="R47" t="s">
        <v>214</v>
      </c>
      <c r="S47" t="b">
        <v>1</v>
      </c>
      <c r="T47" t="b">
        <v>0</v>
      </c>
      <c r="U47" t="s">
        <v>171</v>
      </c>
      <c r="V47" t="s">
        <v>171</v>
      </c>
      <c r="W47" t="b">
        <v>0</v>
      </c>
      <c r="X47" t="s">
        <v>171</v>
      </c>
      <c r="Y47" s="139" t="s">
        <v>167</v>
      </c>
      <c r="Z47" s="143" t="s">
        <v>168</v>
      </c>
      <c r="AA47" t="s">
        <v>169</v>
      </c>
      <c r="AB47" s="155" t="s">
        <v>170</v>
      </c>
      <c r="AC47" s="155">
        <v>1</v>
      </c>
      <c r="AD47" s="155">
        <v>5</v>
      </c>
      <c r="AE47" s="155">
        <v>51</v>
      </c>
      <c r="AF47" s="155">
        <f t="shared" si="13"/>
        <v>53</v>
      </c>
      <c r="AG47" s="155">
        <v>6.51</v>
      </c>
      <c r="AH47" s="155">
        <v>6.51</v>
      </c>
      <c r="AI47" t="s">
        <v>171</v>
      </c>
      <c r="AJ47" t="s">
        <v>172</v>
      </c>
      <c r="AK47" s="146">
        <v>12.74</v>
      </c>
      <c r="AL47" s="146">
        <v>-78.739999999999995</v>
      </c>
      <c r="AM47" t="s">
        <v>171</v>
      </c>
      <c r="AN47" t="s">
        <v>171</v>
      </c>
      <c r="AO47">
        <v>-2839</v>
      </c>
      <c r="AP47" t="s">
        <v>171</v>
      </c>
      <c r="AQ47" t="s">
        <v>171</v>
      </c>
      <c r="AR47" t="s">
        <v>171</v>
      </c>
      <c r="AS47" s="147">
        <v>169.76</v>
      </c>
      <c r="AT47" t="s">
        <v>173</v>
      </c>
      <c r="AU47">
        <v>4</v>
      </c>
      <c r="AV47">
        <v>4</v>
      </c>
      <c r="AW47" t="s">
        <v>171</v>
      </c>
      <c r="AX47" t="s">
        <v>174</v>
      </c>
      <c r="AY47" t="s">
        <v>171</v>
      </c>
      <c r="AZ47" t="s">
        <v>171</v>
      </c>
      <c r="BA47" t="s">
        <v>171</v>
      </c>
      <c r="BB47" t="s">
        <v>171</v>
      </c>
      <c r="BC47" t="s">
        <v>171</v>
      </c>
      <c r="BD47" t="s">
        <v>171</v>
      </c>
      <c r="BE47" t="s">
        <v>171</v>
      </c>
      <c r="BF47" t="s">
        <v>171</v>
      </c>
      <c r="BG47" t="s">
        <v>175</v>
      </c>
      <c r="BH47" t="s">
        <v>176</v>
      </c>
      <c r="BI47" t="s">
        <v>177</v>
      </c>
      <c r="BJ47" s="142">
        <v>2</v>
      </c>
      <c r="BK47" t="s">
        <v>178</v>
      </c>
      <c r="BL47" t="s">
        <v>179</v>
      </c>
      <c r="BM47" t="s">
        <v>180</v>
      </c>
      <c r="BN47" t="s">
        <v>171</v>
      </c>
      <c r="BO47" s="142">
        <v>2</v>
      </c>
      <c r="BP47" s="144" t="s">
        <v>171</v>
      </c>
      <c r="BQ47" s="149">
        <v>21.22</v>
      </c>
      <c r="BR47" t="s">
        <v>181</v>
      </c>
      <c r="BS47" s="149">
        <v>0.22295688599999999</v>
      </c>
      <c r="BT47">
        <v>0.64</v>
      </c>
      <c r="BU47" t="s">
        <v>182</v>
      </c>
      <c r="BV47">
        <v>3.4000000000000002E-2</v>
      </c>
      <c r="BW47">
        <v>9.1</v>
      </c>
      <c r="BX47" t="s">
        <v>173</v>
      </c>
      <c r="BY47">
        <v>0.56000000000000005</v>
      </c>
      <c r="BZ47" t="s">
        <v>183</v>
      </c>
      <c r="CA47" t="s">
        <v>184</v>
      </c>
      <c r="CB47" s="148">
        <f t="shared" si="6"/>
        <v>20.583333333333332</v>
      </c>
      <c r="CC47" s="144" t="s">
        <v>185</v>
      </c>
      <c r="CD47" s="144" t="s">
        <v>171</v>
      </c>
      <c r="CE47" s="144" t="s">
        <v>171</v>
      </c>
      <c r="CF47" t="s">
        <v>186</v>
      </c>
      <c r="CG47" s="144">
        <v>10</v>
      </c>
      <c r="CH47" s="144" t="s">
        <v>187</v>
      </c>
      <c r="CI47" s="144" t="s">
        <v>171</v>
      </c>
      <c r="CJ47" s="147">
        <v>26.72</v>
      </c>
      <c r="CK47" t="s">
        <v>173</v>
      </c>
      <c r="CL47">
        <v>3</v>
      </c>
      <c r="CM47">
        <v>3</v>
      </c>
      <c r="CN47" t="s">
        <v>171</v>
      </c>
      <c r="CO47" s="149">
        <v>4.2106314230804109</v>
      </c>
      <c r="CP47" t="s">
        <v>188</v>
      </c>
      <c r="CQ47" s="149">
        <v>0.16842525692321644</v>
      </c>
      <c r="CR47" s="149">
        <v>0.16842525692321644</v>
      </c>
      <c r="CS47" s="150" t="s">
        <v>171</v>
      </c>
      <c r="CT47" t="s">
        <v>189</v>
      </c>
      <c r="CU47" t="s">
        <v>171</v>
      </c>
      <c r="CV47" t="s">
        <v>190</v>
      </c>
      <c r="CW47" t="s">
        <v>191</v>
      </c>
      <c r="CX47" t="s">
        <v>191</v>
      </c>
      <c r="CY47" t="s">
        <v>191</v>
      </c>
      <c r="CZ47" t="s">
        <v>171</v>
      </c>
      <c r="DA47" t="s">
        <v>171</v>
      </c>
      <c r="DB47" t="s">
        <v>171</v>
      </c>
      <c r="DC47" t="s">
        <v>171</v>
      </c>
      <c r="DD47" t="s">
        <v>171</v>
      </c>
      <c r="DE47" t="s">
        <v>171</v>
      </c>
      <c r="DF47" t="s">
        <v>171</v>
      </c>
      <c r="DG47">
        <v>35</v>
      </c>
      <c r="DH47" t="s">
        <v>185</v>
      </c>
      <c r="DI47" s="142">
        <v>3</v>
      </c>
      <c r="DJ47" s="144" t="s">
        <v>192</v>
      </c>
      <c r="DK47" s="144" t="s">
        <v>171</v>
      </c>
      <c r="DL47" s="144" t="s">
        <v>171</v>
      </c>
      <c r="DM47" s="144" t="s">
        <v>171</v>
      </c>
      <c r="DN47" s="144" t="s">
        <v>171</v>
      </c>
      <c r="DO47" s="144" t="s">
        <v>171</v>
      </c>
      <c r="DP47" s="144" t="s">
        <v>171</v>
      </c>
      <c r="DQ47" s="144" t="s">
        <v>171</v>
      </c>
      <c r="DR47" s="144" t="s">
        <v>171</v>
      </c>
      <c r="DS47" s="144" t="s">
        <v>171</v>
      </c>
      <c r="DT47" s="144" t="s">
        <v>171</v>
      </c>
      <c r="DU47" s="144" t="s">
        <v>171</v>
      </c>
      <c r="DV47" s="144" t="s">
        <v>171</v>
      </c>
      <c r="DW47" s="147">
        <v>432.56244218316402</v>
      </c>
      <c r="DX47" t="s">
        <v>193</v>
      </c>
      <c r="DY47">
        <v>37.1</v>
      </c>
      <c r="DZ47" t="s">
        <v>194</v>
      </c>
      <c r="EA47">
        <v>39.61</v>
      </c>
      <c r="EB47" t="s">
        <v>185</v>
      </c>
      <c r="EC47" s="149">
        <f t="shared" si="1"/>
        <v>0.116976</v>
      </c>
      <c r="ED47" t="s">
        <v>195</v>
      </c>
      <c r="EE47" t="s">
        <v>196</v>
      </c>
      <c r="EF47" t="s">
        <v>197</v>
      </c>
      <c r="EG47">
        <v>1.0271999999999999</v>
      </c>
      <c r="EH47" t="s">
        <v>171</v>
      </c>
      <c r="EI47" t="s">
        <v>171</v>
      </c>
      <c r="EJ47" t="s">
        <v>198</v>
      </c>
      <c r="EK47" t="s">
        <v>191</v>
      </c>
      <c r="EL47" t="s">
        <v>191</v>
      </c>
      <c r="EM47" t="s">
        <v>199</v>
      </c>
      <c r="EN47" t="s">
        <v>200</v>
      </c>
      <c r="EO47" s="151" t="s">
        <v>201</v>
      </c>
      <c r="EP47" s="151" t="s">
        <v>201</v>
      </c>
      <c r="EQ47" s="144" t="s">
        <v>171</v>
      </c>
      <c r="ER47" s="144" t="s">
        <v>171</v>
      </c>
      <c r="ES47" s="144" t="s">
        <v>171</v>
      </c>
      <c r="ET47" t="s">
        <v>202</v>
      </c>
      <c r="EU47" t="s">
        <v>203</v>
      </c>
      <c r="EV47" t="s">
        <v>171</v>
      </c>
      <c r="EW47">
        <v>2373</v>
      </c>
      <c r="EX47" s="151" t="s">
        <v>204</v>
      </c>
      <c r="EY47" s="151">
        <v>175</v>
      </c>
      <c r="EZ47">
        <v>175</v>
      </c>
      <c r="FA47" t="s">
        <v>171</v>
      </c>
      <c r="FB47" t="s">
        <v>171</v>
      </c>
      <c r="FC47" t="s">
        <v>171</v>
      </c>
      <c r="FD47" t="s">
        <v>171</v>
      </c>
      <c r="FE47" s="152">
        <v>8.2329194079526395</v>
      </c>
      <c r="FF47" t="s">
        <v>205</v>
      </c>
      <c r="FG47" s="144" t="s">
        <v>171</v>
      </c>
      <c r="FH47" s="144" t="s">
        <v>171</v>
      </c>
      <c r="FI47" s="153">
        <v>226.87752679034699</v>
      </c>
      <c r="FJ47">
        <v>21</v>
      </c>
      <c r="FK47" t="s">
        <v>207</v>
      </c>
      <c r="FL47" s="153">
        <v>205.87752679034699</v>
      </c>
      <c r="FM47" s="153">
        <v>34.274116737496996</v>
      </c>
      <c r="FN47" s="153">
        <v>32.53693741301899</v>
      </c>
      <c r="FO47" t="s">
        <v>186</v>
      </c>
      <c r="FP47" t="s">
        <v>208</v>
      </c>
      <c r="FQ47" t="s">
        <v>171</v>
      </c>
      <c r="FR47" t="s">
        <v>171</v>
      </c>
      <c r="FS47" t="s">
        <v>171</v>
      </c>
      <c r="FT47" t="s">
        <v>171</v>
      </c>
      <c r="FU47" t="s">
        <v>171</v>
      </c>
      <c r="FV47" t="s">
        <v>171</v>
      </c>
      <c r="FW47" t="s">
        <v>171</v>
      </c>
      <c r="FX47" t="s">
        <v>171</v>
      </c>
      <c r="FY47" t="s">
        <v>171</v>
      </c>
      <c r="FZ47" t="s">
        <v>171</v>
      </c>
      <c r="GA47" t="s">
        <v>171</v>
      </c>
      <c r="GB47" t="s">
        <v>171</v>
      </c>
    </row>
    <row r="48" spans="1:184" ht="16" x14ac:dyDescent="0.2">
      <c r="A48" t="s">
        <v>217</v>
      </c>
      <c r="B48" s="143" t="s">
        <v>216</v>
      </c>
      <c r="C48" s="138" t="s">
        <v>212</v>
      </c>
      <c r="D48" t="s">
        <v>211</v>
      </c>
      <c r="E48">
        <v>2017</v>
      </c>
      <c r="F48" t="str">
        <f t="shared" si="7"/>
        <v>10.1073/pnas.1702143114</v>
      </c>
      <c r="G48" s="147">
        <f t="shared" si="8"/>
        <v>179.94</v>
      </c>
      <c r="H48">
        <f t="shared" si="2"/>
        <v>4</v>
      </c>
      <c r="I48">
        <f t="shared" si="3"/>
        <v>4</v>
      </c>
      <c r="J48" s="153">
        <f t="shared" si="9"/>
        <v>203.83036013866999</v>
      </c>
      <c r="K48" s="153">
        <f t="shared" si="10"/>
        <v>34.014367333348019</v>
      </c>
      <c r="L48" s="153">
        <f t="shared" si="11"/>
        <v>31.016265889143</v>
      </c>
      <c r="M48" t="b">
        <v>1</v>
      </c>
      <c r="N48">
        <v>3</v>
      </c>
      <c r="O48" s="144" t="s">
        <v>228</v>
      </c>
      <c r="P48" s="144" t="s">
        <v>229</v>
      </c>
      <c r="Q48" t="b">
        <v>0</v>
      </c>
      <c r="R48" t="s">
        <v>214</v>
      </c>
      <c r="S48" t="b">
        <v>1</v>
      </c>
      <c r="T48" t="b">
        <v>0</v>
      </c>
      <c r="U48" t="s">
        <v>171</v>
      </c>
      <c r="V48" t="s">
        <v>171</v>
      </c>
      <c r="W48" t="b">
        <v>0</v>
      </c>
      <c r="X48" t="s">
        <v>171</v>
      </c>
      <c r="Y48" s="139" t="s">
        <v>167</v>
      </c>
      <c r="Z48" s="143" t="s">
        <v>168</v>
      </c>
      <c r="AA48" t="s">
        <v>169</v>
      </c>
      <c r="AB48" s="154" t="s">
        <v>170</v>
      </c>
      <c r="AC48" s="154">
        <v>1</v>
      </c>
      <c r="AD48" s="154">
        <v>5</v>
      </c>
      <c r="AE48" s="154">
        <v>91</v>
      </c>
      <c r="AF48" s="154">
        <f t="shared" si="13"/>
        <v>93</v>
      </c>
      <c r="AG48" s="154">
        <v>6.91</v>
      </c>
      <c r="AH48" s="154">
        <v>6.91</v>
      </c>
      <c r="AI48" t="s">
        <v>171</v>
      </c>
      <c r="AJ48" t="s">
        <v>172</v>
      </c>
      <c r="AK48" s="146">
        <v>12.74</v>
      </c>
      <c r="AL48" s="146">
        <v>-78.739999999999995</v>
      </c>
      <c r="AM48" t="s">
        <v>171</v>
      </c>
      <c r="AN48" t="s">
        <v>171</v>
      </c>
      <c r="AO48">
        <v>-2839</v>
      </c>
      <c r="AP48" t="s">
        <v>171</v>
      </c>
      <c r="AQ48" t="s">
        <v>171</v>
      </c>
      <c r="AR48" t="s">
        <v>171</v>
      </c>
      <c r="AS48" s="147">
        <v>179.94</v>
      </c>
      <c r="AT48" t="s">
        <v>173</v>
      </c>
      <c r="AU48">
        <v>4</v>
      </c>
      <c r="AV48">
        <v>4</v>
      </c>
      <c r="AW48" t="s">
        <v>171</v>
      </c>
      <c r="AX48" t="s">
        <v>174</v>
      </c>
      <c r="AY48" t="s">
        <v>171</v>
      </c>
      <c r="AZ48" t="s">
        <v>171</v>
      </c>
      <c r="BA48" t="s">
        <v>171</v>
      </c>
      <c r="BB48" t="s">
        <v>171</v>
      </c>
      <c r="BC48" t="s">
        <v>171</v>
      </c>
      <c r="BD48" t="s">
        <v>171</v>
      </c>
      <c r="BE48" t="s">
        <v>171</v>
      </c>
      <c r="BF48" t="s">
        <v>171</v>
      </c>
      <c r="BG48" t="s">
        <v>175</v>
      </c>
      <c r="BH48" t="s">
        <v>176</v>
      </c>
      <c r="BI48" t="s">
        <v>177</v>
      </c>
      <c r="BJ48" s="142">
        <v>2</v>
      </c>
      <c r="BK48" t="s">
        <v>178</v>
      </c>
      <c r="BL48" t="s">
        <v>179</v>
      </c>
      <c r="BM48" t="s">
        <v>180</v>
      </c>
      <c r="BN48" t="s">
        <v>171</v>
      </c>
      <c r="BO48" s="142">
        <v>2</v>
      </c>
      <c r="BP48" s="144" t="s">
        <v>171</v>
      </c>
      <c r="BQ48" s="149">
        <v>21.171794030000001</v>
      </c>
      <c r="BR48" t="s">
        <v>181</v>
      </c>
      <c r="BS48" s="149">
        <v>0.21674748399999999</v>
      </c>
      <c r="BT48">
        <v>0.64</v>
      </c>
      <c r="BU48" t="s">
        <v>182</v>
      </c>
      <c r="BV48">
        <v>3.4000000000000002E-2</v>
      </c>
      <c r="BW48">
        <v>9.1</v>
      </c>
      <c r="BX48" t="s">
        <v>173</v>
      </c>
      <c r="BY48">
        <v>0.56000000000000005</v>
      </c>
      <c r="BZ48" t="s">
        <v>183</v>
      </c>
      <c r="CA48" t="s">
        <v>184</v>
      </c>
      <c r="CB48" s="148">
        <f t="shared" si="6"/>
        <v>20.502990050000005</v>
      </c>
      <c r="CC48" s="144" t="s">
        <v>185</v>
      </c>
      <c r="CD48" s="144" t="s">
        <v>171</v>
      </c>
      <c r="CE48" s="144" t="s">
        <v>171</v>
      </c>
      <c r="CF48" t="s">
        <v>186</v>
      </c>
      <c r="CG48" s="144">
        <v>10</v>
      </c>
      <c r="CH48" s="144" t="s">
        <v>187</v>
      </c>
      <c r="CI48" s="144" t="s">
        <v>171</v>
      </c>
      <c r="CJ48" s="147">
        <v>25.78</v>
      </c>
      <c r="CK48" t="s">
        <v>173</v>
      </c>
      <c r="CL48">
        <v>3</v>
      </c>
      <c r="CM48">
        <v>3</v>
      </c>
      <c r="CN48" t="s">
        <v>171</v>
      </c>
      <c r="CO48" s="149">
        <v>3.8672554900378255</v>
      </c>
      <c r="CP48" t="s">
        <v>188</v>
      </c>
      <c r="CQ48" s="149">
        <v>0.15469021960151302</v>
      </c>
      <c r="CR48" s="149">
        <v>0.15469021960151302</v>
      </c>
      <c r="CS48" s="150" t="s">
        <v>171</v>
      </c>
      <c r="CT48" t="s">
        <v>189</v>
      </c>
      <c r="CU48" t="s">
        <v>171</v>
      </c>
      <c r="CV48" t="s">
        <v>190</v>
      </c>
      <c r="CW48" t="s">
        <v>191</v>
      </c>
      <c r="CX48" t="s">
        <v>191</v>
      </c>
      <c r="CY48" t="s">
        <v>191</v>
      </c>
      <c r="CZ48" t="s">
        <v>171</v>
      </c>
      <c r="DA48" t="s">
        <v>171</v>
      </c>
      <c r="DB48" t="s">
        <v>171</v>
      </c>
      <c r="DC48" t="s">
        <v>171</v>
      </c>
      <c r="DD48" t="s">
        <v>171</v>
      </c>
      <c r="DE48" t="s">
        <v>171</v>
      </c>
      <c r="DF48" t="s">
        <v>171</v>
      </c>
      <c r="DG48">
        <v>35</v>
      </c>
      <c r="DH48" t="s">
        <v>185</v>
      </c>
      <c r="DI48" s="142">
        <v>3</v>
      </c>
      <c r="DJ48" s="144" t="s">
        <v>192</v>
      </c>
      <c r="DK48" s="144" t="s">
        <v>171</v>
      </c>
      <c r="DL48" s="144" t="s">
        <v>171</v>
      </c>
      <c r="DM48" s="144" t="s">
        <v>171</v>
      </c>
      <c r="DN48" s="144" t="s">
        <v>171</v>
      </c>
      <c r="DO48" s="144" t="s">
        <v>171</v>
      </c>
      <c r="DP48" s="144" t="s">
        <v>171</v>
      </c>
      <c r="DQ48" s="144" t="s">
        <v>171</v>
      </c>
      <c r="DR48" s="144" t="s">
        <v>171</v>
      </c>
      <c r="DS48" s="144" t="s">
        <v>171</v>
      </c>
      <c r="DT48" s="144" t="s">
        <v>171</v>
      </c>
      <c r="DU48" s="144" t="s">
        <v>171</v>
      </c>
      <c r="DV48" s="144" t="s">
        <v>171</v>
      </c>
      <c r="DW48" s="147">
        <v>432.56244218316402</v>
      </c>
      <c r="DX48" t="s">
        <v>193</v>
      </c>
      <c r="DY48">
        <v>37.1</v>
      </c>
      <c r="DZ48" t="s">
        <v>194</v>
      </c>
      <c r="EA48">
        <v>39.61</v>
      </c>
      <c r="EB48" t="s">
        <v>185</v>
      </c>
      <c r="EC48" s="149">
        <f t="shared" si="1"/>
        <v>0.117994</v>
      </c>
      <c r="ED48" t="s">
        <v>195</v>
      </c>
      <c r="EE48" t="s">
        <v>196</v>
      </c>
      <c r="EF48" t="s">
        <v>197</v>
      </c>
      <c r="EG48">
        <v>1.0271999999999999</v>
      </c>
      <c r="EH48" t="s">
        <v>171</v>
      </c>
      <c r="EI48" t="s">
        <v>171</v>
      </c>
      <c r="EJ48" t="s">
        <v>198</v>
      </c>
      <c r="EK48" t="s">
        <v>191</v>
      </c>
      <c r="EL48" t="s">
        <v>191</v>
      </c>
      <c r="EM48" t="s">
        <v>199</v>
      </c>
      <c r="EN48" t="s">
        <v>200</v>
      </c>
      <c r="EO48" s="151" t="s">
        <v>201</v>
      </c>
      <c r="EP48" s="151" t="s">
        <v>201</v>
      </c>
      <c r="EQ48" s="144" t="s">
        <v>171</v>
      </c>
      <c r="ER48" s="144" t="s">
        <v>171</v>
      </c>
      <c r="ES48" s="144" t="s">
        <v>171</v>
      </c>
      <c r="ET48" t="s">
        <v>202</v>
      </c>
      <c r="EU48" t="s">
        <v>203</v>
      </c>
      <c r="EV48" t="s">
        <v>171</v>
      </c>
      <c r="EW48">
        <v>2374</v>
      </c>
      <c r="EX48" s="151" t="s">
        <v>204</v>
      </c>
      <c r="EY48" s="151">
        <v>175</v>
      </c>
      <c r="EZ48">
        <v>175</v>
      </c>
      <c r="FA48" t="s">
        <v>171</v>
      </c>
      <c r="FB48" t="s">
        <v>171</v>
      </c>
      <c r="FC48" t="s">
        <v>171</v>
      </c>
      <c r="FD48" t="s">
        <v>171</v>
      </c>
      <c r="FE48" s="152">
        <v>8.2378528069299009</v>
      </c>
      <c r="FF48" t="s">
        <v>205</v>
      </c>
      <c r="FG48" s="144" t="s">
        <v>171</v>
      </c>
      <c r="FH48" s="144" t="s">
        <v>171</v>
      </c>
      <c r="FI48" s="153">
        <v>224.83036013866999</v>
      </c>
      <c r="FJ48">
        <v>21</v>
      </c>
      <c r="FK48" t="s">
        <v>207</v>
      </c>
      <c r="FL48" s="153">
        <v>203.83036013866999</v>
      </c>
      <c r="FM48" s="153">
        <v>34.014367333348019</v>
      </c>
      <c r="FN48" s="153">
        <v>31.016265889143</v>
      </c>
      <c r="FO48" t="s">
        <v>186</v>
      </c>
      <c r="FP48" t="s">
        <v>208</v>
      </c>
      <c r="FQ48" t="s">
        <v>171</v>
      </c>
      <c r="FR48" t="s">
        <v>171</v>
      </c>
      <c r="FS48" t="s">
        <v>171</v>
      </c>
      <c r="FT48" t="s">
        <v>171</v>
      </c>
      <c r="FU48" t="s">
        <v>171</v>
      </c>
      <c r="FV48" t="s">
        <v>171</v>
      </c>
      <c r="FW48" t="s">
        <v>171</v>
      </c>
      <c r="FX48" t="s">
        <v>171</v>
      </c>
      <c r="FY48" t="s">
        <v>171</v>
      </c>
      <c r="FZ48" t="s">
        <v>171</v>
      </c>
      <c r="GA48" t="s">
        <v>171</v>
      </c>
      <c r="GB48" t="s">
        <v>171</v>
      </c>
    </row>
    <row r="49" spans="1:184" ht="16" x14ac:dyDescent="0.2">
      <c r="A49" t="s">
        <v>217</v>
      </c>
      <c r="B49" s="143" t="s">
        <v>216</v>
      </c>
      <c r="C49" s="138" t="s">
        <v>212</v>
      </c>
      <c r="D49" t="s">
        <v>211</v>
      </c>
      <c r="E49">
        <v>2017</v>
      </c>
      <c r="F49" t="str">
        <f t="shared" si="7"/>
        <v>10.1073/pnas.1702143114</v>
      </c>
      <c r="G49" s="147">
        <f t="shared" si="8"/>
        <v>184.37</v>
      </c>
      <c r="H49">
        <f t="shared" si="2"/>
        <v>4</v>
      </c>
      <c r="I49">
        <f t="shared" si="3"/>
        <v>4</v>
      </c>
      <c r="J49" s="153">
        <f t="shared" si="9"/>
        <v>212.90795089067799</v>
      </c>
      <c r="K49" s="153">
        <f t="shared" si="10"/>
        <v>35.24030215536601</v>
      </c>
      <c r="L49" s="153">
        <f t="shared" si="11"/>
        <v>32.831823654106984</v>
      </c>
      <c r="M49" t="b">
        <v>1</v>
      </c>
      <c r="N49">
        <v>3</v>
      </c>
      <c r="O49" s="144" t="s">
        <v>228</v>
      </c>
      <c r="P49" s="144" t="s">
        <v>229</v>
      </c>
      <c r="Q49" t="b">
        <v>0</v>
      </c>
      <c r="R49" t="s">
        <v>214</v>
      </c>
      <c r="S49" t="b">
        <v>1</v>
      </c>
      <c r="T49" t="b">
        <v>0</v>
      </c>
      <c r="U49" t="s">
        <v>171</v>
      </c>
      <c r="V49" t="s">
        <v>171</v>
      </c>
      <c r="W49" t="b">
        <v>0</v>
      </c>
      <c r="X49" t="s">
        <v>171</v>
      </c>
      <c r="Y49" s="139" t="s">
        <v>167</v>
      </c>
      <c r="Z49" s="143" t="s">
        <v>168</v>
      </c>
      <c r="AA49" t="s">
        <v>169</v>
      </c>
      <c r="AB49" s="154" t="s">
        <v>170</v>
      </c>
      <c r="AC49" s="154">
        <v>1</v>
      </c>
      <c r="AD49" s="154">
        <v>6</v>
      </c>
      <c r="AE49" s="154">
        <v>12</v>
      </c>
      <c r="AF49" s="154">
        <f t="shared" si="13"/>
        <v>14</v>
      </c>
      <c r="AG49" s="154">
        <v>7.12</v>
      </c>
      <c r="AH49" s="154">
        <v>7.12</v>
      </c>
      <c r="AI49" t="s">
        <v>171</v>
      </c>
      <c r="AJ49" t="s">
        <v>172</v>
      </c>
      <c r="AK49" s="146">
        <v>12.74</v>
      </c>
      <c r="AL49" s="146">
        <v>-78.739999999999995</v>
      </c>
      <c r="AM49" t="s">
        <v>171</v>
      </c>
      <c r="AN49" t="s">
        <v>171</v>
      </c>
      <c r="AO49">
        <v>-2839</v>
      </c>
      <c r="AP49" t="s">
        <v>171</v>
      </c>
      <c r="AQ49" t="s">
        <v>171</v>
      </c>
      <c r="AR49" t="s">
        <v>171</v>
      </c>
      <c r="AS49" s="147">
        <v>184.37</v>
      </c>
      <c r="AT49" t="s">
        <v>173</v>
      </c>
      <c r="AU49">
        <v>4</v>
      </c>
      <c r="AV49">
        <v>4</v>
      </c>
      <c r="AW49" t="s">
        <v>171</v>
      </c>
      <c r="AX49" t="s">
        <v>174</v>
      </c>
      <c r="AY49" t="s">
        <v>171</v>
      </c>
      <c r="AZ49" t="s">
        <v>171</v>
      </c>
      <c r="BA49" t="s">
        <v>171</v>
      </c>
      <c r="BB49" t="s">
        <v>171</v>
      </c>
      <c r="BC49" t="s">
        <v>171</v>
      </c>
      <c r="BD49" t="s">
        <v>171</v>
      </c>
      <c r="BE49" t="s">
        <v>171</v>
      </c>
      <c r="BF49" t="s">
        <v>171</v>
      </c>
      <c r="BG49" t="s">
        <v>175</v>
      </c>
      <c r="BH49" t="s">
        <v>176</v>
      </c>
      <c r="BI49" t="s">
        <v>177</v>
      </c>
      <c r="BJ49" s="142">
        <v>2</v>
      </c>
      <c r="BK49" t="s">
        <v>178</v>
      </c>
      <c r="BL49" t="s">
        <v>179</v>
      </c>
      <c r="BM49" t="s">
        <v>180</v>
      </c>
      <c r="BN49" t="s">
        <v>171</v>
      </c>
      <c r="BO49" s="142">
        <v>2</v>
      </c>
      <c r="BP49" s="144" t="s">
        <v>171</v>
      </c>
      <c r="BQ49" s="149">
        <v>21.06374018</v>
      </c>
      <c r="BR49" t="s">
        <v>181</v>
      </c>
      <c r="BS49" s="149">
        <v>0.234692072</v>
      </c>
      <c r="BT49">
        <v>0.64</v>
      </c>
      <c r="BU49" t="s">
        <v>182</v>
      </c>
      <c r="BV49">
        <v>3.4000000000000002E-2</v>
      </c>
      <c r="BW49">
        <v>9.1</v>
      </c>
      <c r="BX49" t="s">
        <v>173</v>
      </c>
      <c r="BY49">
        <v>0.56000000000000005</v>
      </c>
      <c r="BZ49" t="s">
        <v>183</v>
      </c>
      <c r="CA49" t="s">
        <v>184</v>
      </c>
      <c r="CB49" s="148">
        <f t="shared" si="6"/>
        <v>20.322900300000001</v>
      </c>
      <c r="CC49" s="144" t="s">
        <v>185</v>
      </c>
      <c r="CD49" s="144" t="s">
        <v>171</v>
      </c>
      <c r="CE49" s="144" t="s">
        <v>171</v>
      </c>
      <c r="CF49" t="s">
        <v>186</v>
      </c>
      <c r="CG49" s="144">
        <v>10</v>
      </c>
      <c r="CH49" s="144" t="s">
        <v>187</v>
      </c>
      <c r="CI49" s="144" t="s">
        <v>171</v>
      </c>
      <c r="CJ49" s="147">
        <v>25.7</v>
      </c>
      <c r="CK49" t="s">
        <v>173</v>
      </c>
      <c r="CL49">
        <v>3</v>
      </c>
      <c r="CM49">
        <v>3</v>
      </c>
      <c r="CN49" t="s">
        <v>171</v>
      </c>
      <c r="CO49" s="149">
        <v>3.8409433527776882</v>
      </c>
      <c r="CP49" t="s">
        <v>188</v>
      </c>
      <c r="CQ49" s="149">
        <v>0.15363773411110754</v>
      </c>
      <c r="CR49" s="149">
        <v>0.15363773411110754</v>
      </c>
      <c r="CS49" s="150" t="s">
        <v>171</v>
      </c>
      <c r="CT49" t="s">
        <v>189</v>
      </c>
      <c r="CU49" t="s">
        <v>171</v>
      </c>
      <c r="CV49" t="s">
        <v>190</v>
      </c>
      <c r="CW49" t="s">
        <v>191</v>
      </c>
      <c r="CX49" t="s">
        <v>191</v>
      </c>
      <c r="CY49" t="s">
        <v>191</v>
      </c>
      <c r="CZ49" t="s">
        <v>171</v>
      </c>
      <c r="DA49" t="s">
        <v>171</v>
      </c>
      <c r="DB49" t="s">
        <v>171</v>
      </c>
      <c r="DC49" t="s">
        <v>171</v>
      </c>
      <c r="DD49" t="s">
        <v>171</v>
      </c>
      <c r="DE49" t="s">
        <v>171</v>
      </c>
      <c r="DF49" t="s">
        <v>171</v>
      </c>
      <c r="DG49">
        <v>35</v>
      </c>
      <c r="DH49" t="s">
        <v>185</v>
      </c>
      <c r="DI49" s="142">
        <v>3</v>
      </c>
      <c r="DJ49" s="144" t="s">
        <v>192</v>
      </c>
      <c r="DK49" s="144" t="s">
        <v>171</v>
      </c>
      <c r="DL49" s="144" t="s">
        <v>171</v>
      </c>
      <c r="DM49" s="144" t="s">
        <v>171</v>
      </c>
      <c r="DN49" s="144" t="s">
        <v>171</v>
      </c>
      <c r="DO49" s="144" t="s">
        <v>171</v>
      </c>
      <c r="DP49" s="144" t="s">
        <v>171</v>
      </c>
      <c r="DQ49" s="144" t="s">
        <v>171</v>
      </c>
      <c r="DR49" s="144" t="s">
        <v>171</v>
      </c>
      <c r="DS49" s="144" t="s">
        <v>171</v>
      </c>
      <c r="DT49" s="144" t="s">
        <v>171</v>
      </c>
      <c r="DU49" s="144" t="s">
        <v>171</v>
      </c>
      <c r="DV49" s="144" t="s">
        <v>171</v>
      </c>
      <c r="DW49" s="147">
        <v>432.56244218316402</v>
      </c>
      <c r="DX49" t="s">
        <v>193</v>
      </c>
      <c r="DY49">
        <v>37.1</v>
      </c>
      <c r="DZ49" t="s">
        <v>194</v>
      </c>
      <c r="EA49">
        <v>39.61</v>
      </c>
      <c r="EB49" t="s">
        <v>185</v>
      </c>
      <c r="EC49" s="149">
        <f t="shared" si="1"/>
        <v>0.11843700000000001</v>
      </c>
      <c r="ED49" t="s">
        <v>195</v>
      </c>
      <c r="EE49" t="s">
        <v>196</v>
      </c>
      <c r="EF49" t="s">
        <v>197</v>
      </c>
      <c r="EG49">
        <v>1.0271999999999999</v>
      </c>
      <c r="EH49" t="s">
        <v>171</v>
      </c>
      <c r="EI49" t="s">
        <v>171</v>
      </c>
      <c r="EJ49" t="s">
        <v>198</v>
      </c>
      <c r="EK49" t="s">
        <v>191</v>
      </c>
      <c r="EL49" t="s">
        <v>191</v>
      </c>
      <c r="EM49" t="s">
        <v>199</v>
      </c>
      <c r="EN49" t="s">
        <v>200</v>
      </c>
      <c r="EO49" s="151" t="s">
        <v>201</v>
      </c>
      <c r="EP49" s="151" t="s">
        <v>201</v>
      </c>
      <c r="EQ49" s="144" t="s">
        <v>171</v>
      </c>
      <c r="ER49" s="144" t="s">
        <v>171</v>
      </c>
      <c r="ES49" s="144" t="s">
        <v>171</v>
      </c>
      <c r="ET49" t="s">
        <v>202</v>
      </c>
      <c r="EU49" t="s">
        <v>203</v>
      </c>
      <c r="EV49" t="s">
        <v>171</v>
      </c>
      <c r="EW49">
        <v>2375</v>
      </c>
      <c r="EX49" s="151" t="s">
        <v>204</v>
      </c>
      <c r="EY49" s="151">
        <v>175</v>
      </c>
      <c r="EZ49">
        <v>175</v>
      </c>
      <c r="FA49" t="s">
        <v>171</v>
      </c>
      <c r="FB49" t="s">
        <v>171</v>
      </c>
      <c r="FC49" t="s">
        <v>171</v>
      </c>
      <c r="FD49" t="s">
        <v>171</v>
      </c>
      <c r="FE49" s="152">
        <v>8.2248007749789505</v>
      </c>
      <c r="FF49" t="s">
        <v>205</v>
      </c>
      <c r="FG49" s="144" t="s">
        <v>171</v>
      </c>
      <c r="FH49" s="144" t="s">
        <v>171</v>
      </c>
      <c r="FI49" s="153">
        <v>233.90795089067799</v>
      </c>
      <c r="FJ49">
        <v>21</v>
      </c>
      <c r="FK49" t="s">
        <v>207</v>
      </c>
      <c r="FL49" s="153">
        <v>212.90795089067799</v>
      </c>
      <c r="FM49" s="153">
        <v>35.24030215536601</v>
      </c>
      <c r="FN49" s="153">
        <v>32.831823654106984</v>
      </c>
      <c r="FO49" t="s">
        <v>186</v>
      </c>
      <c r="FP49" t="s">
        <v>208</v>
      </c>
      <c r="FQ49" t="s">
        <v>171</v>
      </c>
      <c r="FR49" t="s">
        <v>171</v>
      </c>
      <c r="FS49" t="s">
        <v>171</v>
      </c>
      <c r="FT49" t="s">
        <v>171</v>
      </c>
      <c r="FU49" t="s">
        <v>171</v>
      </c>
      <c r="FV49" t="s">
        <v>171</v>
      </c>
      <c r="FW49" t="s">
        <v>171</v>
      </c>
      <c r="FX49" t="s">
        <v>171</v>
      </c>
      <c r="FY49" t="s">
        <v>171</v>
      </c>
      <c r="FZ49" t="s">
        <v>171</v>
      </c>
      <c r="GA49" t="s">
        <v>171</v>
      </c>
      <c r="GB49" t="s">
        <v>171</v>
      </c>
    </row>
    <row r="50" spans="1:184" ht="16" x14ac:dyDescent="0.2">
      <c r="A50" t="s">
        <v>217</v>
      </c>
      <c r="B50" s="143" t="s">
        <v>216</v>
      </c>
      <c r="C50" s="138" t="s">
        <v>212</v>
      </c>
      <c r="D50" t="s">
        <v>211</v>
      </c>
      <c r="E50">
        <v>2017</v>
      </c>
      <c r="F50" t="str">
        <f t="shared" si="7"/>
        <v>10.1073/pnas.1702143114</v>
      </c>
      <c r="G50" s="147">
        <f t="shared" si="8"/>
        <v>190.01</v>
      </c>
      <c r="H50">
        <f t="shared" si="2"/>
        <v>4</v>
      </c>
      <c r="I50">
        <f t="shared" si="3"/>
        <v>4</v>
      </c>
      <c r="J50" s="153">
        <f t="shared" si="9"/>
        <v>223.070142365755</v>
      </c>
      <c r="K50" s="153">
        <f t="shared" si="10"/>
        <v>35.364963969761988</v>
      </c>
      <c r="L50" s="153">
        <f t="shared" si="11"/>
        <v>33.440976522539017</v>
      </c>
      <c r="M50" t="b">
        <v>1</v>
      </c>
      <c r="N50">
        <v>3</v>
      </c>
      <c r="O50" s="144" t="s">
        <v>228</v>
      </c>
      <c r="P50" s="144" t="s">
        <v>229</v>
      </c>
      <c r="Q50" t="b">
        <v>0</v>
      </c>
      <c r="R50" t="s">
        <v>214</v>
      </c>
      <c r="S50" t="b">
        <v>1</v>
      </c>
      <c r="T50" t="b">
        <v>0</v>
      </c>
      <c r="U50" t="s">
        <v>171</v>
      </c>
      <c r="V50" t="s">
        <v>171</v>
      </c>
      <c r="W50" t="b">
        <v>0</v>
      </c>
      <c r="X50" t="s">
        <v>171</v>
      </c>
      <c r="Y50" s="139" t="s">
        <v>167</v>
      </c>
      <c r="Z50" s="143" t="s">
        <v>168</v>
      </c>
      <c r="AA50" t="s">
        <v>169</v>
      </c>
      <c r="AB50" s="154" t="s">
        <v>170</v>
      </c>
      <c r="AC50" s="154">
        <v>1</v>
      </c>
      <c r="AD50" s="154">
        <v>6</v>
      </c>
      <c r="AE50" s="154">
        <v>33</v>
      </c>
      <c r="AF50" s="154">
        <f t="shared" si="13"/>
        <v>35</v>
      </c>
      <c r="AG50" s="154">
        <v>7.33</v>
      </c>
      <c r="AH50" s="154">
        <v>7.33</v>
      </c>
      <c r="AI50" t="s">
        <v>171</v>
      </c>
      <c r="AJ50" t="s">
        <v>172</v>
      </c>
      <c r="AK50" s="146">
        <v>12.74</v>
      </c>
      <c r="AL50" s="146">
        <v>-78.739999999999995</v>
      </c>
      <c r="AM50" t="s">
        <v>171</v>
      </c>
      <c r="AN50" t="s">
        <v>171</v>
      </c>
      <c r="AO50">
        <v>-2839</v>
      </c>
      <c r="AP50" t="s">
        <v>171</v>
      </c>
      <c r="AQ50" t="s">
        <v>171</v>
      </c>
      <c r="AR50" t="s">
        <v>171</v>
      </c>
      <c r="AS50" s="147">
        <v>190.01</v>
      </c>
      <c r="AT50" t="s">
        <v>173</v>
      </c>
      <c r="AU50">
        <v>4</v>
      </c>
      <c r="AV50">
        <v>4</v>
      </c>
      <c r="AW50" t="s">
        <v>171</v>
      </c>
      <c r="AX50" t="s">
        <v>174</v>
      </c>
      <c r="AY50" t="s">
        <v>171</v>
      </c>
      <c r="AZ50" t="s">
        <v>171</v>
      </c>
      <c r="BA50" t="s">
        <v>171</v>
      </c>
      <c r="BB50" t="s">
        <v>171</v>
      </c>
      <c r="BC50" t="s">
        <v>171</v>
      </c>
      <c r="BD50" t="s">
        <v>171</v>
      </c>
      <c r="BE50" t="s">
        <v>171</v>
      </c>
      <c r="BF50" t="s">
        <v>171</v>
      </c>
      <c r="BG50" t="s">
        <v>175</v>
      </c>
      <c r="BH50" t="s">
        <v>176</v>
      </c>
      <c r="BI50" t="s">
        <v>177</v>
      </c>
      <c r="BJ50" s="142">
        <v>2</v>
      </c>
      <c r="BK50" t="s">
        <v>178</v>
      </c>
      <c r="BL50" t="s">
        <v>179</v>
      </c>
      <c r="BM50" t="s">
        <v>180</v>
      </c>
      <c r="BN50" t="s">
        <v>171</v>
      </c>
      <c r="BO50" s="142">
        <v>2</v>
      </c>
      <c r="BP50" s="144" t="s">
        <v>171</v>
      </c>
      <c r="BQ50" s="149">
        <v>20.95412232</v>
      </c>
      <c r="BR50" t="s">
        <v>181</v>
      </c>
      <c r="BS50" s="149">
        <v>0.20921177799999999</v>
      </c>
      <c r="BT50">
        <v>0.64</v>
      </c>
      <c r="BU50" t="s">
        <v>182</v>
      </c>
      <c r="BV50">
        <v>3.4000000000000002E-2</v>
      </c>
      <c r="BW50">
        <v>9.1</v>
      </c>
      <c r="BX50" t="s">
        <v>173</v>
      </c>
      <c r="BY50">
        <v>0.56000000000000005</v>
      </c>
      <c r="BZ50" t="s">
        <v>183</v>
      </c>
      <c r="CA50" t="s">
        <v>184</v>
      </c>
      <c r="CB50" s="148">
        <f t="shared" si="6"/>
        <v>20.140203866666667</v>
      </c>
      <c r="CC50" s="144" t="s">
        <v>185</v>
      </c>
      <c r="CD50" s="144" t="s">
        <v>171</v>
      </c>
      <c r="CE50" s="144" t="s">
        <v>171</v>
      </c>
      <c r="CF50" t="s">
        <v>186</v>
      </c>
      <c r="CG50" s="144">
        <v>10</v>
      </c>
      <c r="CH50" s="144" t="s">
        <v>187</v>
      </c>
      <c r="CI50" s="144" t="s">
        <v>171</v>
      </c>
      <c r="CJ50" s="147">
        <v>25.69</v>
      </c>
      <c r="CK50" t="s">
        <v>173</v>
      </c>
      <c r="CL50">
        <v>3</v>
      </c>
      <c r="CM50">
        <v>3</v>
      </c>
      <c r="CN50" t="s">
        <v>171</v>
      </c>
      <c r="CO50" s="149">
        <v>3.8361325927454173</v>
      </c>
      <c r="CP50" t="s">
        <v>188</v>
      </c>
      <c r="CQ50" s="149">
        <v>0.15344530370981668</v>
      </c>
      <c r="CR50" s="149">
        <v>0.15344530370981668</v>
      </c>
      <c r="CS50" s="150" t="s">
        <v>171</v>
      </c>
      <c r="CT50" t="s">
        <v>189</v>
      </c>
      <c r="CU50" t="s">
        <v>171</v>
      </c>
      <c r="CV50" t="s">
        <v>190</v>
      </c>
      <c r="CW50" t="s">
        <v>191</v>
      </c>
      <c r="CX50" t="s">
        <v>191</v>
      </c>
      <c r="CY50" t="s">
        <v>191</v>
      </c>
      <c r="CZ50" t="s">
        <v>171</v>
      </c>
      <c r="DA50" t="s">
        <v>171</v>
      </c>
      <c r="DB50" t="s">
        <v>171</v>
      </c>
      <c r="DC50" t="s">
        <v>171</v>
      </c>
      <c r="DD50" t="s">
        <v>171</v>
      </c>
      <c r="DE50" t="s">
        <v>171</v>
      </c>
      <c r="DF50" t="s">
        <v>171</v>
      </c>
      <c r="DG50">
        <v>35</v>
      </c>
      <c r="DH50" t="s">
        <v>185</v>
      </c>
      <c r="DI50" s="142">
        <v>3</v>
      </c>
      <c r="DJ50" s="144" t="s">
        <v>192</v>
      </c>
      <c r="DK50" s="144" t="s">
        <v>171</v>
      </c>
      <c r="DL50" s="144" t="s">
        <v>171</v>
      </c>
      <c r="DM50" s="144" t="s">
        <v>171</v>
      </c>
      <c r="DN50" s="144" t="s">
        <v>171</v>
      </c>
      <c r="DO50" s="144" t="s">
        <v>171</v>
      </c>
      <c r="DP50" s="144" t="s">
        <v>171</v>
      </c>
      <c r="DQ50" s="144" t="s">
        <v>171</v>
      </c>
      <c r="DR50" s="144" t="s">
        <v>171</v>
      </c>
      <c r="DS50" s="144" t="s">
        <v>171</v>
      </c>
      <c r="DT50" s="144" t="s">
        <v>171</v>
      </c>
      <c r="DU50" s="144" t="s">
        <v>171</v>
      </c>
      <c r="DV50" s="144" t="s">
        <v>171</v>
      </c>
      <c r="DW50" s="147">
        <v>432.56244218316402</v>
      </c>
      <c r="DX50" t="s">
        <v>193</v>
      </c>
      <c r="DY50">
        <v>37.1</v>
      </c>
      <c r="DZ50" t="s">
        <v>194</v>
      </c>
      <c r="EA50">
        <v>39.61</v>
      </c>
      <c r="EB50" t="s">
        <v>185</v>
      </c>
      <c r="EC50" s="149">
        <f t="shared" si="1"/>
        <v>0.11900100000000001</v>
      </c>
      <c r="ED50" t="s">
        <v>195</v>
      </c>
      <c r="EE50" t="s">
        <v>196</v>
      </c>
      <c r="EF50" t="s">
        <v>197</v>
      </c>
      <c r="EG50">
        <v>1.0271999999999999</v>
      </c>
      <c r="EH50" t="s">
        <v>171</v>
      </c>
      <c r="EI50" t="s">
        <v>171</v>
      </c>
      <c r="EJ50" t="s">
        <v>198</v>
      </c>
      <c r="EK50" t="s">
        <v>191</v>
      </c>
      <c r="EL50" t="s">
        <v>191</v>
      </c>
      <c r="EM50" t="s">
        <v>199</v>
      </c>
      <c r="EN50" t="s">
        <v>200</v>
      </c>
      <c r="EO50" s="151" t="s">
        <v>201</v>
      </c>
      <c r="EP50" s="151" t="s">
        <v>201</v>
      </c>
      <c r="EQ50" s="144" t="s">
        <v>171</v>
      </c>
      <c r="ER50" s="144" t="s">
        <v>171</v>
      </c>
      <c r="ES50" s="144" t="s">
        <v>171</v>
      </c>
      <c r="ET50" t="s">
        <v>202</v>
      </c>
      <c r="EU50" t="s">
        <v>203</v>
      </c>
      <c r="EV50" t="s">
        <v>171</v>
      </c>
      <c r="EW50">
        <v>2376</v>
      </c>
      <c r="EX50" s="151" t="s">
        <v>204</v>
      </c>
      <c r="EY50" s="151">
        <v>175</v>
      </c>
      <c r="EZ50">
        <v>175</v>
      </c>
      <c r="FA50" t="s">
        <v>171</v>
      </c>
      <c r="FB50" t="s">
        <v>171</v>
      </c>
      <c r="FC50" t="s">
        <v>171</v>
      </c>
      <c r="FD50" t="s">
        <v>171</v>
      </c>
      <c r="FE50" s="152">
        <v>8.2109049196352704</v>
      </c>
      <c r="FF50" t="s">
        <v>205</v>
      </c>
      <c r="FG50" s="144" t="s">
        <v>171</v>
      </c>
      <c r="FH50" s="144" t="s">
        <v>171</v>
      </c>
      <c r="FI50" s="153">
        <v>244.070142365755</v>
      </c>
      <c r="FJ50">
        <v>21</v>
      </c>
      <c r="FK50" t="s">
        <v>207</v>
      </c>
      <c r="FL50" s="153">
        <v>223.070142365755</v>
      </c>
      <c r="FM50" s="153">
        <v>35.364963969761988</v>
      </c>
      <c r="FN50" s="153">
        <v>33.440976522539017</v>
      </c>
      <c r="FO50" t="s">
        <v>186</v>
      </c>
      <c r="FP50" t="s">
        <v>208</v>
      </c>
      <c r="FQ50" t="s">
        <v>171</v>
      </c>
      <c r="FR50" t="s">
        <v>171</v>
      </c>
      <c r="FS50" t="s">
        <v>171</v>
      </c>
      <c r="FT50" t="s">
        <v>171</v>
      </c>
      <c r="FU50" t="s">
        <v>171</v>
      </c>
      <c r="FV50" t="s">
        <v>171</v>
      </c>
      <c r="FW50" t="s">
        <v>171</v>
      </c>
      <c r="FX50" t="s">
        <v>171</v>
      </c>
      <c r="FY50" t="s">
        <v>171</v>
      </c>
      <c r="FZ50" t="s">
        <v>171</v>
      </c>
      <c r="GA50" t="s">
        <v>171</v>
      </c>
      <c r="GB50" t="s">
        <v>171</v>
      </c>
    </row>
    <row r="51" spans="1:184" ht="16" x14ac:dyDescent="0.2">
      <c r="A51" t="s">
        <v>217</v>
      </c>
      <c r="B51" s="143" t="s">
        <v>216</v>
      </c>
      <c r="C51" s="138" t="s">
        <v>212</v>
      </c>
      <c r="D51" t="s">
        <v>211</v>
      </c>
      <c r="E51">
        <v>2017</v>
      </c>
      <c r="F51" t="str">
        <f t="shared" si="7"/>
        <v>10.1073/pnas.1702143114</v>
      </c>
      <c r="G51" s="147">
        <f t="shared" si="8"/>
        <v>191.68</v>
      </c>
      <c r="H51">
        <f t="shared" si="2"/>
        <v>4</v>
      </c>
      <c r="I51">
        <f t="shared" si="3"/>
        <v>4</v>
      </c>
      <c r="J51" s="153">
        <f t="shared" si="9"/>
        <v>223.95051602147001</v>
      </c>
      <c r="K51" s="153">
        <f t="shared" si="10"/>
        <v>35.580529812340984</v>
      </c>
      <c r="L51" s="153">
        <f t="shared" si="11"/>
        <v>33.51182507914001</v>
      </c>
      <c r="M51" t="b">
        <v>1</v>
      </c>
      <c r="N51">
        <v>3</v>
      </c>
      <c r="O51" s="144" t="s">
        <v>228</v>
      </c>
      <c r="P51" s="144" t="s">
        <v>229</v>
      </c>
      <c r="Q51" t="b">
        <v>0</v>
      </c>
      <c r="R51" t="s">
        <v>214</v>
      </c>
      <c r="S51" t="b">
        <v>1</v>
      </c>
      <c r="T51" t="b">
        <v>0</v>
      </c>
      <c r="U51" t="s">
        <v>171</v>
      </c>
      <c r="V51" t="s">
        <v>171</v>
      </c>
      <c r="W51" t="b">
        <v>0</v>
      </c>
      <c r="X51" t="s">
        <v>171</v>
      </c>
      <c r="Y51" s="139" t="s">
        <v>167</v>
      </c>
      <c r="Z51" s="143" t="s">
        <v>168</v>
      </c>
      <c r="AA51" t="s">
        <v>169</v>
      </c>
      <c r="AB51" s="154" t="s">
        <v>170</v>
      </c>
      <c r="AC51" s="154">
        <v>1</v>
      </c>
      <c r="AD51" s="154">
        <v>6</v>
      </c>
      <c r="AE51" s="154">
        <v>39</v>
      </c>
      <c r="AF51" s="154">
        <f t="shared" si="13"/>
        <v>41</v>
      </c>
      <c r="AG51" s="154">
        <v>7.39</v>
      </c>
      <c r="AH51" s="154">
        <v>7.39</v>
      </c>
      <c r="AI51" t="s">
        <v>171</v>
      </c>
      <c r="AJ51" t="s">
        <v>172</v>
      </c>
      <c r="AK51" s="146">
        <v>12.74</v>
      </c>
      <c r="AL51" s="146">
        <v>-78.739999999999995</v>
      </c>
      <c r="AM51" t="s">
        <v>171</v>
      </c>
      <c r="AN51" t="s">
        <v>171</v>
      </c>
      <c r="AO51">
        <v>-2839</v>
      </c>
      <c r="AP51" t="s">
        <v>171</v>
      </c>
      <c r="AQ51" t="s">
        <v>171</v>
      </c>
      <c r="AR51" t="s">
        <v>171</v>
      </c>
      <c r="AS51" s="147">
        <v>191.68</v>
      </c>
      <c r="AT51" t="s">
        <v>173</v>
      </c>
      <c r="AU51">
        <v>4</v>
      </c>
      <c r="AV51">
        <v>4</v>
      </c>
      <c r="AW51" t="s">
        <v>171</v>
      </c>
      <c r="AX51" t="s">
        <v>174</v>
      </c>
      <c r="AY51" t="s">
        <v>171</v>
      </c>
      <c r="AZ51" t="s">
        <v>171</v>
      </c>
      <c r="BA51" t="s">
        <v>171</v>
      </c>
      <c r="BB51" t="s">
        <v>171</v>
      </c>
      <c r="BC51" t="s">
        <v>171</v>
      </c>
      <c r="BD51" t="s">
        <v>171</v>
      </c>
      <c r="BE51" t="s">
        <v>171</v>
      </c>
      <c r="BF51" t="s">
        <v>171</v>
      </c>
      <c r="BG51" t="s">
        <v>175</v>
      </c>
      <c r="BH51" t="s">
        <v>176</v>
      </c>
      <c r="BI51" t="s">
        <v>177</v>
      </c>
      <c r="BJ51" s="142">
        <v>2</v>
      </c>
      <c r="BK51" t="s">
        <v>178</v>
      </c>
      <c r="BL51" t="s">
        <v>179</v>
      </c>
      <c r="BM51" t="s">
        <v>180</v>
      </c>
      <c r="BN51" t="s">
        <v>171</v>
      </c>
      <c r="BO51" s="142">
        <v>2</v>
      </c>
      <c r="BP51" s="144" t="s">
        <v>171</v>
      </c>
      <c r="BQ51" s="149">
        <v>20.860167669999999</v>
      </c>
      <c r="BR51" t="s">
        <v>181</v>
      </c>
      <c r="BS51" s="149">
        <v>0.22631095200000001</v>
      </c>
      <c r="BT51">
        <v>0.64</v>
      </c>
      <c r="BU51" t="s">
        <v>182</v>
      </c>
      <c r="BV51">
        <v>3.4000000000000002E-2</v>
      </c>
      <c r="BW51">
        <v>9.1</v>
      </c>
      <c r="BX51" t="s">
        <v>173</v>
      </c>
      <c r="BY51">
        <v>0.56000000000000005</v>
      </c>
      <c r="BZ51" t="s">
        <v>183</v>
      </c>
      <c r="CA51" t="s">
        <v>184</v>
      </c>
      <c r="CB51" s="148">
        <f t="shared" si="6"/>
        <v>19.983612783333335</v>
      </c>
      <c r="CC51" s="144" t="s">
        <v>185</v>
      </c>
      <c r="CD51" s="144" t="s">
        <v>171</v>
      </c>
      <c r="CE51" s="144" t="s">
        <v>171</v>
      </c>
      <c r="CF51" t="s">
        <v>186</v>
      </c>
      <c r="CG51" s="144">
        <v>10</v>
      </c>
      <c r="CH51" s="144" t="s">
        <v>187</v>
      </c>
      <c r="CI51" s="144" t="s">
        <v>171</v>
      </c>
      <c r="CJ51" s="147">
        <v>24.56</v>
      </c>
      <c r="CK51" t="s">
        <v>173</v>
      </c>
      <c r="CL51">
        <v>3</v>
      </c>
      <c r="CM51">
        <v>3</v>
      </c>
      <c r="CN51" t="s">
        <v>171</v>
      </c>
      <c r="CO51" s="149">
        <v>3.465334334167177</v>
      </c>
      <c r="CP51" t="s">
        <v>188</v>
      </c>
      <c r="CQ51" s="149">
        <v>0.13861337336668708</v>
      </c>
      <c r="CR51" s="149">
        <v>0.13861337336668708</v>
      </c>
      <c r="CS51" s="150" t="s">
        <v>171</v>
      </c>
      <c r="CT51" t="s">
        <v>189</v>
      </c>
      <c r="CU51" t="s">
        <v>171</v>
      </c>
      <c r="CV51" t="s">
        <v>190</v>
      </c>
      <c r="CW51" t="s">
        <v>191</v>
      </c>
      <c r="CX51" t="s">
        <v>191</v>
      </c>
      <c r="CY51" t="s">
        <v>191</v>
      </c>
      <c r="CZ51" t="s">
        <v>171</v>
      </c>
      <c r="DA51" t="s">
        <v>171</v>
      </c>
      <c r="DB51" t="s">
        <v>171</v>
      </c>
      <c r="DC51" t="s">
        <v>171</v>
      </c>
      <c r="DD51" t="s">
        <v>171</v>
      </c>
      <c r="DE51" t="s">
        <v>171</v>
      </c>
      <c r="DF51" t="s">
        <v>171</v>
      </c>
      <c r="DG51">
        <v>35</v>
      </c>
      <c r="DH51" t="s">
        <v>185</v>
      </c>
      <c r="DI51" s="142">
        <v>3</v>
      </c>
      <c r="DJ51" s="144" t="s">
        <v>192</v>
      </c>
      <c r="DK51" s="144" t="s">
        <v>171</v>
      </c>
      <c r="DL51" s="144" t="s">
        <v>171</v>
      </c>
      <c r="DM51" s="144" t="s">
        <v>171</v>
      </c>
      <c r="DN51" s="144" t="s">
        <v>171</v>
      </c>
      <c r="DO51" s="144" t="s">
        <v>171</v>
      </c>
      <c r="DP51" s="144" t="s">
        <v>171</v>
      </c>
      <c r="DQ51" s="144" t="s">
        <v>171</v>
      </c>
      <c r="DR51" s="144" t="s">
        <v>171</v>
      </c>
      <c r="DS51" s="144" t="s">
        <v>171</v>
      </c>
      <c r="DT51" s="144" t="s">
        <v>171</v>
      </c>
      <c r="DU51" s="144" t="s">
        <v>171</v>
      </c>
      <c r="DV51" s="144" t="s">
        <v>171</v>
      </c>
      <c r="DW51" s="147">
        <v>432.56244218316402</v>
      </c>
      <c r="DX51" t="s">
        <v>193</v>
      </c>
      <c r="DY51">
        <v>37.1</v>
      </c>
      <c r="DZ51" t="s">
        <v>194</v>
      </c>
      <c r="EA51">
        <v>39.61</v>
      </c>
      <c r="EB51" t="s">
        <v>185</v>
      </c>
      <c r="EC51" s="149">
        <f t="shared" si="1"/>
        <v>0.11916800000000001</v>
      </c>
      <c r="ED51" t="s">
        <v>195</v>
      </c>
      <c r="EE51" t="s">
        <v>196</v>
      </c>
      <c r="EF51" t="s">
        <v>197</v>
      </c>
      <c r="EG51">
        <v>1.0271999999999999</v>
      </c>
      <c r="EH51" t="s">
        <v>171</v>
      </c>
      <c r="EI51" t="s">
        <v>171</v>
      </c>
      <c r="EJ51" t="s">
        <v>198</v>
      </c>
      <c r="EK51" t="s">
        <v>191</v>
      </c>
      <c r="EL51" t="s">
        <v>191</v>
      </c>
      <c r="EM51" t="s">
        <v>199</v>
      </c>
      <c r="EN51" t="s">
        <v>200</v>
      </c>
      <c r="EO51" s="151" t="s">
        <v>201</v>
      </c>
      <c r="EP51" s="151" t="s">
        <v>201</v>
      </c>
      <c r="EQ51" s="144" t="s">
        <v>171</v>
      </c>
      <c r="ER51" s="144" t="s">
        <v>171</v>
      </c>
      <c r="ES51" s="144" t="s">
        <v>171</v>
      </c>
      <c r="ET51" t="s">
        <v>202</v>
      </c>
      <c r="EU51" t="s">
        <v>203</v>
      </c>
      <c r="EV51" t="s">
        <v>171</v>
      </c>
      <c r="EW51">
        <v>2377</v>
      </c>
      <c r="EX51" s="151" t="s">
        <v>204</v>
      </c>
      <c r="EY51" s="151">
        <v>175</v>
      </c>
      <c r="EZ51">
        <v>175</v>
      </c>
      <c r="FA51" t="s">
        <v>171</v>
      </c>
      <c r="FB51" t="s">
        <v>171</v>
      </c>
      <c r="FC51" t="s">
        <v>171</v>
      </c>
      <c r="FD51" t="s">
        <v>171</v>
      </c>
      <c r="FE51" s="152">
        <v>8.2115416562976993</v>
      </c>
      <c r="FF51" t="s">
        <v>205</v>
      </c>
      <c r="FG51" s="144" t="s">
        <v>171</v>
      </c>
      <c r="FH51" s="144" t="s">
        <v>171</v>
      </c>
      <c r="FI51" s="153">
        <v>244.95051602147001</v>
      </c>
      <c r="FJ51">
        <v>21</v>
      </c>
      <c r="FK51" t="s">
        <v>207</v>
      </c>
      <c r="FL51" s="153">
        <v>223.95051602147001</v>
      </c>
      <c r="FM51" s="153">
        <v>35.580529812340984</v>
      </c>
      <c r="FN51" s="153">
        <v>33.51182507914001</v>
      </c>
      <c r="FO51" t="s">
        <v>186</v>
      </c>
      <c r="FP51" t="s">
        <v>208</v>
      </c>
      <c r="FQ51" t="s">
        <v>171</v>
      </c>
      <c r="FR51" t="s">
        <v>171</v>
      </c>
      <c r="FS51" t="s">
        <v>171</v>
      </c>
      <c r="FT51" t="s">
        <v>171</v>
      </c>
      <c r="FU51" t="s">
        <v>171</v>
      </c>
      <c r="FV51" t="s">
        <v>171</v>
      </c>
      <c r="FW51" t="s">
        <v>171</v>
      </c>
      <c r="FX51" t="s">
        <v>171</v>
      </c>
      <c r="FY51" t="s">
        <v>171</v>
      </c>
      <c r="FZ51" t="s">
        <v>171</v>
      </c>
      <c r="GA51" t="s">
        <v>171</v>
      </c>
      <c r="GB51" t="s">
        <v>171</v>
      </c>
    </row>
    <row r="52" spans="1:184" ht="16" x14ac:dyDescent="0.2">
      <c r="A52" t="s">
        <v>217</v>
      </c>
      <c r="B52" s="143" t="s">
        <v>216</v>
      </c>
      <c r="C52" s="138" t="s">
        <v>212</v>
      </c>
      <c r="D52" t="s">
        <v>211</v>
      </c>
      <c r="E52">
        <v>2017</v>
      </c>
      <c r="F52" t="str">
        <f t="shared" si="7"/>
        <v>10.1073/pnas.1702143114</v>
      </c>
      <c r="G52" s="147">
        <f t="shared" si="8"/>
        <v>198.07</v>
      </c>
      <c r="H52">
        <f t="shared" si="2"/>
        <v>4</v>
      </c>
      <c r="I52">
        <f t="shared" si="3"/>
        <v>4</v>
      </c>
      <c r="J52" s="153">
        <f t="shared" si="9"/>
        <v>249.58203052195199</v>
      </c>
      <c r="K52" s="153">
        <f t="shared" si="10"/>
        <v>37.634765353267028</v>
      </c>
      <c r="L52" s="153">
        <f t="shared" si="11"/>
        <v>35.604106198496993</v>
      </c>
      <c r="M52" t="b">
        <v>1</v>
      </c>
      <c r="N52">
        <v>3</v>
      </c>
      <c r="O52" s="144" t="s">
        <v>228</v>
      </c>
      <c r="P52" s="144" t="s">
        <v>229</v>
      </c>
      <c r="Q52" t="b">
        <v>0</v>
      </c>
      <c r="R52" t="s">
        <v>214</v>
      </c>
      <c r="S52" t="b">
        <v>1</v>
      </c>
      <c r="T52" t="b">
        <v>0</v>
      </c>
      <c r="U52" t="s">
        <v>171</v>
      </c>
      <c r="V52" t="s">
        <v>171</v>
      </c>
      <c r="W52" t="b">
        <v>0</v>
      </c>
      <c r="X52" t="s">
        <v>171</v>
      </c>
      <c r="Y52" s="139" t="s">
        <v>167</v>
      </c>
      <c r="Z52" s="143" t="s">
        <v>168</v>
      </c>
      <c r="AA52" t="s">
        <v>169</v>
      </c>
      <c r="AB52" s="155" t="s">
        <v>170</v>
      </c>
      <c r="AC52" s="155">
        <v>1</v>
      </c>
      <c r="AD52" s="156" t="s">
        <v>209</v>
      </c>
      <c r="AE52" s="155">
        <v>7</v>
      </c>
      <c r="AF52" s="155">
        <f t="shared" si="13"/>
        <v>9</v>
      </c>
      <c r="AG52" s="155">
        <v>7.62</v>
      </c>
      <c r="AH52" s="155">
        <v>7.62</v>
      </c>
      <c r="AI52" t="s">
        <v>171</v>
      </c>
      <c r="AJ52" t="s">
        <v>172</v>
      </c>
      <c r="AK52" s="146">
        <v>12.74</v>
      </c>
      <c r="AL52" s="146">
        <v>-78.739999999999995</v>
      </c>
      <c r="AM52" t="s">
        <v>171</v>
      </c>
      <c r="AN52" t="s">
        <v>171</v>
      </c>
      <c r="AO52">
        <v>-2839</v>
      </c>
      <c r="AP52" t="s">
        <v>171</v>
      </c>
      <c r="AQ52" t="s">
        <v>171</v>
      </c>
      <c r="AR52" t="s">
        <v>171</v>
      </c>
      <c r="AS52" s="147">
        <v>198.07</v>
      </c>
      <c r="AT52" t="s">
        <v>173</v>
      </c>
      <c r="AU52">
        <v>4</v>
      </c>
      <c r="AV52">
        <v>4</v>
      </c>
      <c r="AW52" t="s">
        <v>171</v>
      </c>
      <c r="AX52" t="s">
        <v>174</v>
      </c>
      <c r="AY52" t="s">
        <v>171</v>
      </c>
      <c r="AZ52" t="s">
        <v>171</v>
      </c>
      <c r="BA52" t="s">
        <v>171</v>
      </c>
      <c r="BB52" t="s">
        <v>171</v>
      </c>
      <c r="BC52" t="s">
        <v>171</v>
      </c>
      <c r="BD52" t="s">
        <v>171</v>
      </c>
      <c r="BE52" t="s">
        <v>171</v>
      </c>
      <c r="BF52" t="s">
        <v>171</v>
      </c>
      <c r="BG52" t="s">
        <v>175</v>
      </c>
      <c r="BH52" t="s">
        <v>176</v>
      </c>
      <c r="BI52" t="s">
        <v>177</v>
      </c>
      <c r="BJ52" s="142">
        <v>2</v>
      </c>
      <c r="BK52" t="s">
        <v>178</v>
      </c>
      <c r="BL52" t="s">
        <v>179</v>
      </c>
      <c r="BM52" t="s">
        <v>180</v>
      </c>
      <c r="BN52" t="s">
        <v>171</v>
      </c>
      <c r="BO52" s="142">
        <v>2</v>
      </c>
      <c r="BP52" s="144" t="s">
        <v>171</v>
      </c>
      <c r="BQ52" s="149">
        <v>20.56</v>
      </c>
      <c r="BR52" t="s">
        <v>181</v>
      </c>
      <c r="BS52" s="149">
        <v>0.198417126</v>
      </c>
      <c r="BT52">
        <v>0.64</v>
      </c>
      <c r="BU52" t="s">
        <v>182</v>
      </c>
      <c r="BV52">
        <v>3.4000000000000002E-2</v>
      </c>
      <c r="BW52">
        <v>9.1</v>
      </c>
      <c r="BX52" t="s">
        <v>173</v>
      </c>
      <c r="BY52">
        <v>0.56000000000000005</v>
      </c>
      <c r="BZ52" t="s">
        <v>183</v>
      </c>
      <c r="CA52" t="s">
        <v>184</v>
      </c>
      <c r="CB52" s="148">
        <f t="shared" si="6"/>
        <v>19.483333333333334</v>
      </c>
      <c r="CC52" s="144" t="s">
        <v>185</v>
      </c>
      <c r="CD52" s="144" t="s">
        <v>171</v>
      </c>
      <c r="CE52" s="144" t="s">
        <v>171</v>
      </c>
      <c r="CF52" t="s">
        <v>186</v>
      </c>
      <c r="CG52" s="144">
        <v>10</v>
      </c>
      <c r="CH52" s="144" t="s">
        <v>187</v>
      </c>
      <c r="CI52" s="144" t="s">
        <v>171</v>
      </c>
      <c r="CJ52" s="147">
        <v>23.87</v>
      </c>
      <c r="CK52" t="s">
        <v>173</v>
      </c>
      <c r="CL52">
        <v>3</v>
      </c>
      <c r="CM52">
        <v>3</v>
      </c>
      <c r="CN52" t="s">
        <v>171</v>
      </c>
      <c r="CO52" s="149">
        <v>3.2579561031465376</v>
      </c>
      <c r="CP52" t="s">
        <v>188</v>
      </c>
      <c r="CQ52" s="149">
        <v>0.13031824412586152</v>
      </c>
      <c r="CR52" s="149">
        <v>0.13031824412586152</v>
      </c>
      <c r="CS52" s="150" t="s">
        <v>171</v>
      </c>
      <c r="CT52" t="s">
        <v>189</v>
      </c>
      <c r="CU52" t="s">
        <v>171</v>
      </c>
      <c r="CV52" t="s">
        <v>190</v>
      </c>
      <c r="CW52" t="s">
        <v>191</v>
      </c>
      <c r="CX52" t="s">
        <v>191</v>
      </c>
      <c r="CY52" t="s">
        <v>191</v>
      </c>
      <c r="CZ52" t="s">
        <v>171</v>
      </c>
      <c r="DA52" t="s">
        <v>171</v>
      </c>
      <c r="DB52" t="s">
        <v>171</v>
      </c>
      <c r="DC52" t="s">
        <v>171</v>
      </c>
      <c r="DD52" t="s">
        <v>171</v>
      </c>
      <c r="DE52" t="s">
        <v>171</v>
      </c>
      <c r="DF52" t="s">
        <v>171</v>
      </c>
      <c r="DG52">
        <v>35</v>
      </c>
      <c r="DH52" t="s">
        <v>185</v>
      </c>
      <c r="DI52" s="142">
        <v>3</v>
      </c>
      <c r="DJ52" s="144" t="s">
        <v>192</v>
      </c>
      <c r="DK52" s="144" t="s">
        <v>171</v>
      </c>
      <c r="DL52" s="144" t="s">
        <v>171</v>
      </c>
      <c r="DM52" s="144" t="s">
        <v>171</v>
      </c>
      <c r="DN52" s="144" t="s">
        <v>171</v>
      </c>
      <c r="DO52" s="144" t="s">
        <v>171</v>
      </c>
      <c r="DP52" s="144" t="s">
        <v>171</v>
      </c>
      <c r="DQ52" s="144" t="s">
        <v>171</v>
      </c>
      <c r="DR52" s="144" t="s">
        <v>171</v>
      </c>
      <c r="DS52" s="144" t="s">
        <v>171</v>
      </c>
      <c r="DT52" s="144" t="s">
        <v>171</v>
      </c>
      <c r="DU52" s="144" t="s">
        <v>171</v>
      </c>
      <c r="DV52" s="144" t="s">
        <v>171</v>
      </c>
      <c r="DW52" s="147">
        <v>432.56244218316402</v>
      </c>
      <c r="DX52" t="s">
        <v>193</v>
      </c>
      <c r="DY52">
        <v>37.1</v>
      </c>
      <c r="DZ52" t="s">
        <v>194</v>
      </c>
      <c r="EA52">
        <v>39.61</v>
      </c>
      <c r="EB52" t="s">
        <v>185</v>
      </c>
      <c r="EC52" s="149">
        <f t="shared" si="1"/>
        <v>0.11980700000000001</v>
      </c>
      <c r="ED52" t="s">
        <v>195</v>
      </c>
      <c r="EE52" t="s">
        <v>196</v>
      </c>
      <c r="EF52" t="s">
        <v>197</v>
      </c>
      <c r="EG52">
        <v>1.0271999999999999</v>
      </c>
      <c r="EH52" t="s">
        <v>171</v>
      </c>
      <c r="EI52" t="s">
        <v>171</v>
      </c>
      <c r="EJ52" t="s">
        <v>198</v>
      </c>
      <c r="EK52" t="s">
        <v>191</v>
      </c>
      <c r="EL52" t="s">
        <v>191</v>
      </c>
      <c r="EM52" t="s">
        <v>199</v>
      </c>
      <c r="EN52" t="s">
        <v>200</v>
      </c>
      <c r="EO52" s="151" t="s">
        <v>201</v>
      </c>
      <c r="EP52" s="151" t="s">
        <v>201</v>
      </c>
      <c r="EQ52" s="144" t="s">
        <v>171</v>
      </c>
      <c r="ER52" s="144" t="s">
        <v>171</v>
      </c>
      <c r="ES52" s="144" t="s">
        <v>171</v>
      </c>
      <c r="ET52" t="s">
        <v>202</v>
      </c>
      <c r="EU52" t="s">
        <v>203</v>
      </c>
      <c r="EV52" t="s">
        <v>171</v>
      </c>
      <c r="EW52">
        <v>2378</v>
      </c>
      <c r="EX52" s="151" t="s">
        <v>204</v>
      </c>
      <c r="EY52" s="151">
        <v>175</v>
      </c>
      <c r="EZ52">
        <v>175</v>
      </c>
      <c r="FA52" t="s">
        <v>171</v>
      </c>
      <c r="FB52" t="s">
        <v>171</v>
      </c>
      <c r="FC52" t="s">
        <v>171</v>
      </c>
      <c r="FD52" t="s">
        <v>171</v>
      </c>
      <c r="FE52" s="152">
        <v>8.1793679768375398</v>
      </c>
      <c r="FF52" t="s">
        <v>205</v>
      </c>
      <c r="FG52" s="144" t="s">
        <v>171</v>
      </c>
      <c r="FH52" s="144" t="s">
        <v>171</v>
      </c>
      <c r="FI52" s="153">
        <v>270.58203052195199</v>
      </c>
      <c r="FJ52">
        <v>21</v>
      </c>
      <c r="FK52" t="s">
        <v>207</v>
      </c>
      <c r="FL52" s="153">
        <v>249.58203052195199</v>
      </c>
      <c r="FM52" s="153">
        <v>37.634765353267028</v>
      </c>
      <c r="FN52" s="153">
        <v>35.604106198496993</v>
      </c>
      <c r="FO52" t="s">
        <v>186</v>
      </c>
      <c r="FP52" t="s">
        <v>208</v>
      </c>
      <c r="FQ52" t="s">
        <v>171</v>
      </c>
      <c r="FR52" t="s">
        <v>171</v>
      </c>
      <c r="FS52" t="s">
        <v>171</v>
      </c>
      <c r="FT52" t="s">
        <v>171</v>
      </c>
      <c r="FU52" t="s">
        <v>171</v>
      </c>
      <c r="FV52" t="s">
        <v>171</v>
      </c>
      <c r="FW52" t="s">
        <v>171</v>
      </c>
      <c r="FX52" t="s">
        <v>171</v>
      </c>
      <c r="FY52" t="s">
        <v>171</v>
      </c>
      <c r="FZ52" t="s">
        <v>171</v>
      </c>
      <c r="GA52" t="s">
        <v>171</v>
      </c>
      <c r="GB52" t="s">
        <v>171</v>
      </c>
    </row>
    <row r="53" spans="1:184" ht="16" x14ac:dyDescent="0.2">
      <c r="A53" t="s">
        <v>217</v>
      </c>
      <c r="B53" s="143" t="s">
        <v>216</v>
      </c>
      <c r="C53" s="138" t="s">
        <v>212</v>
      </c>
      <c r="D53" t="s">
        <v>211</v>
      </c>
      <c r="E53">
        <v>2017</v>
      </c>
      <c r="F53" t="str">
        <f t="shared" si="7"/>
        <v>10.1073/pnas.1702143114</v>
      </c>
      <c r="G53" s="147">
        <f t="shared" si="8"/>
        <v>211.57</v>
      </c>
      <c r="H53">
        <f t="shared" si="2"/>
        <v>4</v>
      </c>
      <c r="I53">
        <f t="shared" si="3"/>
        <v>4</v>
      </c>
      <c r="J53" s="153">
        <f t="shared" si="9"/>
        <v>280.04656068358702</v>
      </c>
      <c r="K53" s="153">
        <f t="shared" si="10"/>
        <v>42.077964824166997</v>
      </c>
      <c r="L53" s="153">
        <f t="shared" si="11"/>
        <v>39.991830857792024</v>
      </c>
      <c r="M53" t="b">
        <v>1</v>
      </c>
      <c r="N53">
        <v>3</v>
      </c>
      <c r="O53" s="144" t="s">
        <v>228</v>
      </c>
      <c r="P53" s="144" t="s">
        <v>229</v>
      </c>
      <c r="Q53" t="b">
        <v>0</v>
      </c>
      <c r="R53" t="s">
        <v>214</v>
      </c>
      <c r="S53" t="b">
        <v>1</v>
      </c>
      <c r="T53" t="b">
        <v>0</v>
      </c>
      <c r="U53" t="s">
        <v>171</v>
      </c>
      <c r="V53" t="s">
        <v>171</v>
      </c>
      <c r="W53" t="b">
        <v>0</v>
      </c>
      <c r="X53" t="s">
        <v>171</v>
      </c>
      <c r="Y53" s="139" t="s">
        <v>167</v>
      </c>
      <c r="Z53" s="143" t="s">
        <v>168</v>
      </c>
      <c r="AA53" t="s">
        <v>169</v>
      </c>
      <c r="AB53" s="155" t="s">
        <v>170</v>
      </c>
      <c r="AC53" s="155">
        <v>2</v>
      </c>
      <c r="AD53" s="155">
        <v>1</v>
      </c>
      <c r="AE53" s="155">
        <v>39</v>
      </c>
      <c r="AF53" s="155">
        <v>40</v>
      </c>
      <c r="AG53" s="155">
        <v>7.99</v>
      </c>
      <c r="AH53" s="155">
        <v>7.99</v>
      </c>
      <c r="AI53" t="s">
        <v>171</v>
      </c>
      <c r="AJ53" t="s">
        <v>172</v>
      </c>
      <c r="AK53" s="146">
        <v>12.74</v>
      </c>
      <c r="AL53" s="146">
        <v>-78.739999999999995</v>
      </c>
      <c r="AM53" t="s">
        <v>171</v>
      </c>
      <c r="AN53" t="s">
        <v>171</v>
      </c>
      <c r="AO53">
        <v>-2839</v>
      </c>
      <c r="AP53" t="s">
        <v>171</v>
      </c>
      <c r="AQ53" t="s">
        <v>171</v>
      </c>
      <c r="AR53" t="s">
        <v>171</v>
      </c>
      <c r="AS53" s="147">
        <v>211.57</v>
      </c>
      <c r="AT53" t="s">
        <v>173</v>
      </c>
      <c r="AU53">
        <v>4</v>
      </c>
      <c r="AV53">
        <v>4</v>
      </c>
      <c r="AW53" t="s">
        <v>171</v>
      </c>
      <c r="AX53" t="s">
        <v>174</v>
      </c>
      <c r="AY53" t="s">
        <v>171</v>
      </c>
      <c r="AZ53" t="s">
        <v>171</v>
      </c>
      <c r="BA53" t="s">
        <v>171</v>
      </c>
      <c r="BB53" t="s">
        <v>171</v>
      </c>
      <c r="BC53" t="s">
        <v>171</v>
      </c>
      <c r="BD53" t="s">
        <v>171</v>
      </c>
      <c r="BE53" t="s">
        <v>171</v>
      </c>
      <c r="BF53" t="s">
        <v>171</v>
      </c>
      <c r="BG53" t="s">
        <v>175</v>
      </c>
      <c r="BH53" t="s">
        <v>176</v>
      </c>
      <c r="BI53" t="s">
        <v>177</v>
      </c>
      <c r="BJ53" s="142">
        <v>2</v>
      </c>
      <c r="BK53" t="s">
        <v>178</v>
      </c>
      <c r="BL53" t="s">
        <v>179</v>
      </c>
      <c r="BM53" t="s">
        <v>180</v>
      </c>
      <c r="BN53" t="s">
        <v>171</v>
      </c>
      <c r="BO53" s="142">
        <v>2</v>
      </c>
      <c r="BP53" s="144" t="s">
        <v>171</v>
      </c>
      <c r="BQ53" s="149">
        <v>20.36</v>
      </c>
      <c r="BR53" t="s">
        <v>181</v>
      </c>
      <c r="BS53" s="149">
        <v>0.230040258</v>
      </c>
      <c r="BT53">
        <v>0.64</v>
      </c>
      <c r="BU53" t="s">
        <v>182</v>
      </c>
      <c r="BV53">
        <v>3.4000000000000002E-2</v>
      </c>
      <c r="BW53">
        <v>9.1</v>
      </c>
      <c r="BX53" t="s">
        <v>173</v>
      </c>
      <c r="BY53">
        <v>0.56000000000000005</v>
      </c>
      <c r="BZ53" t="s">
        <v>183</v>
      </c>
      <c r="CA53" t="s">
        <v>184</v>
      </c>
      <c r="CB53" s="148">
        <f t="shared" si="6"/>
        <v>19.150000000000002</v>
      </c>
      <c r="CC53" s="144" t="s">
        <v>185</v>
      </c>
      <c r="CD53" s="144" t="s">
        <v>171</v>
      </c>
      <c r="CE53" s="144" t="s">
        <v>171</v>
      </c>
      <c r="CF53" t="s">
        <v>186</v>
      </c>
      <c r="CG53" s="144">
        <v>10</v>
      </c>
      <c r="CH53" s="144" t="s">
        <v>187</v>
      </c>
      <c r="CI53" s="144" t="s">
        <v>171</v>
      </c>
      <c r="CJ53" s="147">
        <v>24.7</v>
      </c>
      <c r="CK53" t="s">
        <v>173</v>
      </c>
      <c r="CL53">
        <v>3</v>
      </c>
      <c r="CM53">
        <v>3</v>
      </c>
      <c r="CN53" t="s">
        <v>171</v>
      </c>
      <c r="CO53" s="149">
        <v>3.5087407198133413</v>
      </c>
      <c r="CP53" t="s">
        <v>188</v>
      </c>
      <c r="CQ53" s="149">
        <v>0.14034962879253365</v>
      </c>
      <c r="CR53" s="149">
        <v>0.14034962879253365</v>
      </c>
      <c r="CS53" s="150" t="s">
        <v>171</v>
      </c>
      <c r="CT53" t="s">
        <v>189</v>
      </c>
      <c r="CU53" t="s">
        <v>171</v>
      </c>
      <c r="CV53" t="s">
        <v>190</v>
      </c>
      <c r="CW53" t="s">
        <v>191</v>
      </c>
      <c r="CX53" t="s">
        <v>191</v>
      </c>
      <c r="CY53" t="s">
        <v>191</v>
      </c>
      <c r="CZ53" t="s">
        <v>171</v>
      </c>
      <c r="DA53" t="s">
        <v>171</v>
      </c>
      <c r="DB53" t="s">
        <v>171</v>
      </c>
      <c r="DC53" t="s">
        <v>171</v>
      </c>
      <c r="DD53" t="s">
        <v>171</v>
      </c>
      <c r="DE53" t="s">
        <v>171</v>
      </c>
      <c r="DF53" t="s">
        <v>171</v>
      </c>
      <c r="DG53">
        <v>35</v>
      </c>
      <c r="DH53" t="s">
        <v>185</v>
      </c>
      <c r="DI53" s="142">
        <v>3</v>
      </c>
      <c r="DJ53" s="144" t="s">
        <v>192</v>
      </c>
      <c r="DK53" s="144" t="s">
        <v>171</v>
      </c>
      <c r="DL53" s="144" t="s">
        <v>171</v>
      </c>
      <c r="DM53" s="144" t="s">
        <v>171</v>
      </c>
      <c r="DN53" s="144" t="s">
        <v>171</v>
      </c>
      <c r="DO53" s="144" t="s">
        <v>171</v>
      </c>
      <c r="DP53" s="144" t="s">
        <v>171</v>
      </c>
      <c r="DQ53" s="144" t="s">
        <v>171</v>
      </c>
      <c r="DR53" s="144" t="s">
        <v>171</v>
      </c>
      <c r="DS53" s="144" t="s">
        <v>171</v>
      </c>
      <c r="DT53" s="144" t="s">
        <v>171</v>
      </c>
      <c r="DU53" s="144" t="s">
        <v>171</v>
      </c>
      <c r="DV53" s="144" t="s">
        <v>171</v>
      </c>
      <c r="DW53" s="147">
        <v>432.56244218316402</v>
      </c>
      <c r="DX53" t="s">
        <v>193</v>
      </c>
      <c r="DY53">
        <v>37.1</v>
      </c>
      <c r="DZ53" t="s">
        <v>194</v>
      </c>
      <c r="EA53">
        <v>39.61</v>
      </c>
      <c r="EB53" t="s">
        <v>185</v>
      </c>
      <c r="EC53" s="149">
        <f t="shared" si="1"/>
        <v>0.121157</v>
      </c>
      <c r="ED53" t="s">
        <v>195</v>
      </c>
      <c r="EE53" t="s">
        <v>196</v>
      </c>
      <c r="EF53" t="s">
        <v>197</v>
      </c>
      <c r="EG53">
        <v>1.0271999999999999</v>
      </c>
      <c r="EH53" t="s">
        <v>171</v>
      </c>
      <c r="EI53" t="s">
        <v>171</v>
      </c>
      <c r="EJ53" t="s">
        <v>198</v>
      </c>
      <c r="EK53" t="s">
        <v>191</v>
      </c>
      <c r="EL53" t="s">
        <v>191</v>
      </c>
      <c r="EM53" t="s">
        <v>199</v>
      </c>
      <c r="EN53" t="s">
        <v>200</v>
      </c>
      <c r="EO53" s="151" t="s">
        <v>201</v>
      </c>
      <c r="EP53" s="151" t="s">
        <v>201</v>
      </c>
      <c r="EQ53" s="144" t="s">
        <v>171</v>
      </c>
      <c r="ER53" s="144" t="s">
        <v>171</v>
      </c>
      <c r="ES53" s="144" t="s">
        <v>171</v>
      </c>
      <c r="ET53" t="s">
        <v>202</v>
      </c>
      <c r="EU53" t="s">
        <v>203</v>
      </c>
      <c r="EV53" t="s">
        <v>171</v>
      </c>
      <c r="EW53">
        <v>2379</v>
      </c>
      <c r="EX53" s="151" t="s">
        <v>204</v>
      </c>
      <c r="EY53" s="151">
        <v>175</v>
      </c>
      <c r="EZ53">
        <v>175</v>
      </c>
      <c r="FA53" t="s">
        <v>171</v>
      </c>
      <c r="FB53" t="s">
        <v>171</v>
      </c>
      <c r="FC53" t="s">
        <v>171</v>
      </c>
      <c r="FD53" t="s">
        <v>171</v>
      </c>
      <c r="FE53" s="152">
        <v>8.1420225309711594</v>
      </c>
      <c r="FF53" t="s">
        <v>205</v>
      </c>
      <c r="FG53" s="144" t="s">
        <v>171</v>
      </c>
      <c r="FH53" s="144" t="s">
        <v>171</v>
      </c>
      <c r="FI53" s="153">
        <v>301.04656068358702</v>
      </c>
      <c r="FJ53">
        <v>21</v>
      </c>
      <c r="FK53" t="s">
        <v>207</v>
      </c>
      <c r="FL53" s="153">
        <v>280.04656068358702</v>
      </c>
      <c r="FM53" s="153">
        <v>42.077964824166997</v>
      </c>
      <c r="FN53" s="153">
        <v>39.991830857792024</v>
      </c>
      <c r="FO53" t="s">
        <v>186</v>
      </c>
      <c r="FP53" t="s">
        <v>208</v>
      </c>
      <c r="FQ53" t="s">
        <v>171</v>
      </c>
      <c r="FR53" t="s">
        <v>171</v>
      </c>
      <c r="FS53" t="s">
        <v>171</v>
      </c>
      <c r="FT53" t="s">
        <v>171</v>
      </c>
      <c r="FU53" t="s">
        <v>171</v>
      </c>
      <c r="FV53" t="s">
        <v>171</v>
      </c>
      <c r="FW53" t="s">
        <v>171</v>
      </c>
      <c r="FX53" t="s">
        <v>171</v>
      </c>
      <c r="FY53" t="s">
        <v>171</v>
      </c>
      <c r="FZ53" t="s">
        <v>171</v>
      </c>
      <c r="GA53" t="s">
        <v>171</v>
      </c>
      <c r="GB53" t="s">
        <v>171</v>
      </c>
    </row>
    <row r="54" spans="1:184" ht="16" x14ac:dyDescent="0.2">
      <c r="A54" t="s">
        <v>217</v>
      </c>
      <c r="B54" s="143" t="s">
        <v>216</v>
      </c>
      <c r="C54" s="138" t="s">
        <v>212</v>
      </c>
      <c r="D54" t="s">
        <v>211</v>
      </c>
      <c r="E54">
        <v>2017</v>
      </c>
      <c r="F54" t="str">
        <f t="shared" si="7"/>
        <v>10.1073/pnas.1702143114</v>
      </c>
      <c r="G54" s="147">
        <f t="shared" si="8"/>
        <v>220.44</v>
      </c>
      <c r="H54">
        <f t="shared" si="2"/>
        <v>4</v>
      </c>
      <c r="I54">
        <f t="shared" si="3"/>
        <v>4</v>
      </c>
      <c r="J54" s="153">
        <f t="shared" si="9"/>
        <v>261.43654812240698</v>
      </c>
      <c r="K54" s="153">
        <f t="shared" si="10"/>
        <v>39.599740987834025</v>
      </c>
      <c r="L54" s="153">
        <f t="shared" si="11"/>
        <v>35.698357648331978</v>
      </c>
      <c r="M54" t="b">
        <v>1</v>
      </c>
      <c r="N54">
        <v>3</v>
      </c>
      <c r="O54" s="144" t="s">
        <v>228</v>
      </c>
      <c r="P54" s="144" t="s">
        <v>229</v>
      </c>
      <c r="Q54" t="b">
        <v>0</v>
      </c>
      <c r="R54" t="s">
        <v>214</v>
      </c>
      <c r="S54" t="b">
        <v>1</v>
      </c>
      <c r="T54" t="b">
        <v>0</v>
      </c>
      <c r="U54" t="s">
        <v>171</v>
      </c>
      <c r="V54" t="s">
        <v>171</v>
      </c>
      <c r="W54" t="b">
        <v>0</v>
      </c>
      <c r="X54" t="s">
        <v>171</v>
      </c>
      <c r="Y54" s="139" t="s">
        <v>167</v>
      </c>
      <c r="Z54" s="143" t="s">
        <v>168</v>
      </c>
      <c r="AA54" t="s">
        <v>169</v>
      </c>
      <c r="AB54" s="154" t="s">
        <v>170</v>
      </c>
      <c r="AC54" s="154">
        <v>2</v>
      </c>
      <c r="AD54" s="154">
        <v>1</v>
      </c>
      <c r="AE54" s="154">
        <v>59</v>
      </c>
      <c r="AF54" s="154">
        <f t="shared" ref="AF54:AF60" si="14">AE54+2</f>
        <v>61</v>
      </c>
      <c r="AG54" s="154">
        <v>8.19</v>
      </c>
      <c r="AH54" s="154">
        <v>8.19</v>
      </c>
      <c r="AI54" t="s">
        <v>171</v>
      </c>
      <c r="AJ54" t="s">
        <v>172</v>
      </c>
      <c r="AK54" s="146">
        <v>12.74</v>
      </c>
      <c r="AL54" s="146">
        <v>-78.739999999999995</v>
      </c>
      <c r="AM54" t="s">
        <v>171</v>
      </c>
      <c r="AN54" t="s">
        <v>171</v>
      </c>
      <c r="AO54">
        <v>-2839</v>
      </c>
      <c r="AP54" t="s">
        <v>171</v>
      </c>
      <c r="AQ54" t="s">
        <v>171</v>
      </c>
      <c r="AR54" t="s">
        <v>171</v>
      </c>
      <c r="AS54" s="147">
        <v>220.44</v>
      </c>
      <c r="AT54" t="s">
        <v>173</v>
      </c>
      <c r="AU54">
        <v>4</v>
      </c>
      <c r="AV54">
        <v>4</v>
      </c>
      <c r="AW54" t="s">
        <v>171</v>
      </c>
      <c r="AX54" t="s">
        <v>174</v>
      </c>
      <c r="AY54" t="s">
        <v>171</v>
      </c>
      <c r="AZ54" t="s">
        <v>171</v>
      </c>
      <c r="BA54" t="s">
        <v>171</v>
      </c>
      <c r="BB54" t="s">
        <v>171</v>
      </c>
      <c r="BC54" t="s">
        <v>171</v>
      </c>
      <c r="BD54" t="s">
        <v>171</v>
      </c>
      <c r="BE54" t="s">
        <v>171</v>
      </c>
      <c r="BF54" t="s">
        <v>171</v>
      </c>
      <c r="BG54" t="s">
        <v>175</v>
      </c>
      <c r="BH54" t="s">
        <v>176</v>
      </c>
      <c r="BI54" t="s">
        <v>177</v>
      </c>
      <c r="BJ54" s="142">
        <v>2</v>
      </c>
      <c r="BK54" t="s">
        <v>178</v>
      </c>
      <c r="BL54" t="s">
        <v>179</v>
      </c>
      <c r="BM54" t="s">
        <v>180</v>
      </c>
      <c r="BN54" t="s">
        <v>171</v>
      </c>
      <c r="BO54" s="142">
        <v>2</v>
      </c>
      <c r="BP54" s="144" t="s">
        <v>171</v>
      </c>
      <c r="BQ54" s="149">
        <v>20.668151049999999</v>
      </c>
      <c r="BR54" t="s">
        <v>181</v>
      </c>
      <c r="BS54" s="149">
        <v>0.19394533799999999</v>
      </c>
      <c r="BT54">
        <v>0.64</v>
      </c>
      <c r="BU54" t="s">
        <v>182</v>
      </c>
      <c r="BV54">
        <v>3.4000000000000002E-2</v>
      </c>
      <c r="BW54">
        <v>9.1</v>
      </c>
      <c r="BX54" t="s">
        <v>173</v>
      </c>
      <c r="BY54">
        <v>0.56000000000000005</v>
      </c>
      <c r="BZ54" t="s">
        <v>183</v>
      </c>
      <c r="CA54" t="s">
        <v>184</v>
      </c>
      <c r="CB54" s="148">
        <f t="shared" si="6"/>
        <v>19.663585083333334</v>
      </c>
      <c r="CC54" s="144" t="s">
        <v>185</v>
      </c>
      <c r="CD54" s="144" t="s">
        <v>171</v>
      </c>
      <c r="CE54" s="144" t="s">
        <v>171</v>
      </c>
      <c r="CF54" t="s">
        <v>186</v>
      </c>
      <c r="CG54" s="144">
        <v>10</v>
      </c>
      <c r="CH54" s="144" t="s">
        <v>187</v>
      </c>
      <c r="CI54" s="144" t="s">
        <v>171</v>
      </c>
      <c r="CJ54" s="147">
        <v>26.81</v>
      </c>
      <c r="CK54" t="s">
        <v>173</v>
      </c>
      <c r="CL54">
        <v>3</v>
      </c>
      <c r="CM54">
        <v>3</v>
      </c>
      <c r="CN54" t="s">
        <v>171</v>
      </c>
      <c r="CO54" s="149">
        <v>4.2431889571484911</v>
      </c>
      <c r="CP54" t="s">
        <v>188</v>
      </c>
      <c r="CQ54" s="149">
        <v>0.16972755828593963</v>
      </c>
      <c r="CR54" s="149">
        <v>0.16972755828593963</v>
      </c>
      <c r="CS54" s="150" t="s">
        <v>171</v>
      </c>
      <c r="CT54" t="s">
        <v>189</v>
      </c>
      <c r="CU54" t="s">
        <v>171</v>
      </c>
      <c r="CV54" t="s">
        <v>190</v>
      </c>
      <c r="CW54" t="s">
        <v>191</v>
      </c>
      <c r="CX54" t="s">
        <v>191</v>
      </c>
      <c r="CY54" t="s">
        <v>191</v>
      </c>
      <c r="CZ54" t="s">
        <v>171</v>
      </c>
      <c r="DA54" t="s">
        <v>171</v>
      </c>
      <c r="DB54" t="s">
        <v>171</v>
      </c>
      <c r="DC54" t="s">
        <v>171</v>
      </c>
      <c r="DD54" t="s">
        <v>171</v>
      </c>
      <c r="DE54" t="s">
        <v>171</v>
      </c>
      <c r="DF54" t="s">
        <v>171</v>
      </c>
      <c r="DG54">
        <v>35</v>
      </c>
      <c r="DH54" t="s">
        <v>185</v>
      </c>
      <c r="DI54" s="142">
        <v>3</v>
      </c>
      <c r="DJ54" s="144" t="s">
        <v>192</v>
      </c>
      <c r="DK54" s="144" t="s">
        <v>171</v>
      </c>
      <c r="DL54" s="144" t="s">
        <v>171</v>
      </c>
      <c r="DM54" s="144" t="s">
        <v>171</v>
      </c>
      <c r="DN54" s="144" t="s">
        <v>171</v>
      </c>
      <c r="DO54" s="144" t="s">
        <v>171</v>
      </c>
      <c r="DP54" s="144" t="s">
        <v>171</v>
      </c>
      <c r="DQ54" s="144" t="s">
        <v>171</v>
      </c>
      <c r="DR54" s="144" t="s">
        <v>171</v>
      </c>
      <c r="DS54" s="144" t="s">
        <v>171</v>
      </c>
      <c r="DT54" s="144" t="s">
        <v>171</v>
      </c>
      <c r="DU54" s="144" t="s">
        <v>171</v>
      </c>
      <c r="DV54" s="144" t="s">
        <v>171</v>
      </c>
      <c r="DW54" s="147">
        <v>432.56244218316402</v>
      </c>
      <c r="DX54" t="s">
        <v>193</v>
      </c>
      <c r="DY54">
        <v>37.1</v>
      </c>
      <c r="DZ54" t="s">
        <v>194</v>
      </c>
      <c r="EA54">
        <v>39.61</v>
      </c>
      <c r="EB54" t="s">
        <v>185</v>
      </c>
      <c r="EC54" s="149">
        <f t="shared" si="1"/>
        <v>0.12204400000000001</v>
      </c>
      <c r="ED54" t="s">
        <v>195</v>
      </c>
      <c r="EE54" t="s">
        <v>196</v>
      </c>
      <c r="EF54" t="s">
        <v>197</v>
      </c>
      <c r="EG54">
        <v>1.0271999999999999</v>
      </c>
      <c r="EH54" t="s">
        <v>171</v>
      </c>
      <c r="EI54" t="s">
        <v>171</v>
      </c>
      <c r="EJ54" t="s">
        <v>198</v>
      </c>
      <c r="EK54" t="s">
        <v>191</v>
      </c>
      <c r="EL54" t="s">
        <v>191</v>
      </c>
      <c r="EM54" t="s">
        <v>199</v>
      </c>
      <c r="EN54" t="s">
        <v>200</v>
      </c>
      <c r="EO54" s="151" t="s">
        <v>201</v>
      </c>
      <c r="EP54" s="151" t="s">
        <v>201</v>
      </c>
      <c r="EQ54" s="144" t="s">
        <v>171</v>
      </c>
      <c r="ER54" s="144" t="s">
        <v>171</v>
      </c>
      <c r="ES54" s="144" t="s">
        <v>171</v>
      </c>
      <c r="ET54" t="s">
        <v>202</v>
      </c>
      <c r="EU54" t="s">
        <v>203</v>
      </c>
      <c r="EV54" t="s">
        <v>171</v>
      </c>
      <c r="EW54">
        <v>2380</v>
      </c>
      <c r="EX54" s="151" t="s">
        <v>204</v>
      </c>
      <c r="EY54" s="151">
        <v>175</v>
      </c>
      <c r="EZ54">
        <v>175</v>
      </c>
      <c r="FA54" t="s">
        <v>171</v>
      </c>
      <c r="FB54" t="s">
        <v>171</v>
      </c>
      <c r="FC54" t="s">
        <v>171</v>
      </c>
      <c r="FD54" t="s">
        <v>171</v>
      </c>
      <c r="FE54" s="152">
        <v>8.1602270773994192</v>
      </c>
      <c r="FF54" t="s">
        <v>205</v>
      </c>
      <c r="FG54" s="144" t="s">
        <v>171</v>
      </c>
      <c r="FH54" s="144" t="s">
        <v>171</v>
      </c>
      <c r="FI54" s="153">
        <v>282.43654812240698</v>
      </c>
      <c r="FJ54">
        <v>21</v>
      </c>
      <c r="FK54" t="s">
        <v>207</v>
      </c>
      <c r="FL54" s="153">
        <v>261.43654812240698</v>
      </c>
      <c r="FM54" s="153">
        <v>39.599740987834025</v>
      </c>
      <c r="FN54" s="153">
        <v>35.698357648331978</v>
      </c>
      <c r="FO54" t="s">
        <v>186</v>
      </c>
      <c r="FP54" t="s">
        <v>208</v>
      </c>
      <c r="FQ54" t="s">
        <v>171</v>
      </c>
      <c r="FR54" t="s">
        <v>171</v>
      </c>
      <c r="FS54" t="s">
        <v>171</v>
      </c>
      <c r="FT54" t="s">
        <v>171</v>
      </c>
      <c r="FU54" t="s">
        <v>171</v>
      </c>
      <c r="FV54" t="s">
        <v>171</v>
      </c>
      <c r="FW54" t="s">
        <v>171</v>
      </c>
      <c r="FX54" t="s">
        <v>171</v>
      </c>
      <c r="FY54" t="s">
        <v>171</v>
      </c>
      <c r="FZ54" t="s">
        <v>171</v>
      </c>
      <c r="GA54" t="s">
        <v>171</v>
      </c>
      <c r="GB54" t="s">
        <v>171</v>
      </c>
    </row>
    <row r="55" spans="1:184" ht="16" x14ac:dyDescent="0.2">
      <c r="A55" t="s">
        <v>217</v>
      </c>
      <c r="B55" s="143" t="s">
        <v>216</v>
      </c>
      <c r="C55" s="138" t="s">
        <v>212</v>
      </c>
      <c r="D55" t="s">
        <v>211</v>
      </c>
      <c r="E55">
        <v>2017</v>
      </c>
      <c r="F55" t="str">
        <f t="shared" si="7"/>
        <v>10.1073/pnas.1702143114</v>
      </c>
      <c r="G55" s="147">
        <f t="shared" si="8"/>
        <v>223.66</v>
      </c>
      <c r="H55">
        <f t="shared" si="2"/>
        <v>4</v>
      </c>
      <c r="I55">
        <f t="shared" si="3"/>
        <v>4</v>
      </c>
      <c r="J55" s="153">
        <f t="shared" si="9"/>
        <v>259.57532769126101</v>
      </c>
      <c r="K55" s="153">
        <f t="shared" si="10"/>
        <v>41.290359008354983</v>
      </c>
      <c r="L55" s="153">
        <f t="shared" si="11"/>
        <v>37.832972891128009</v>
      </c>
      <c r="M55" t="b">
        <v>1</v>
      </c>
      <c r="N55">
        <v>3</v>
      </c>
      <c r="O55" s="144" t="s">
        <v>228</v>
      </c>
      <c r="P55" s="144" t="s">
        <v>229</v>
      </c>
      <c r="Q55" t="b">
        <v>0</v>
      </c>
      <c r="R55" t="s">
        <v>214</v>
      </c>
      <c r="S55" t="b">
        <v>1</v>
      </c>
      <c r="T55" t="b">
        <v>0</v>
      </c>
      <c r="U55" t="s">
        <v>171</v>
      </c>
      <c r="V55" t="s">
        <v>171</v>
      </c>
      <c r="W55" t="b">
        <v>0</v>
      </c>
      <c r="X55" t="s">
        <v>171</v>
      </c>
      <c r="Y55" s="139" t="s">
        <v>167</v>
      </c>
      <c r="Z55" s="143" t="s">
        <v>168</v>
      </c>
      <c r="AA55" t="s">
        <v>169</v>
      </c>
      <c r="AB55" s="154" t="s">
        <v>170</v>
      </c>
      <c r="AC55" s="154">
        <v>2</v>
      </c>
      <c r="AD55" s="154">
        <v>1</v>
      </c>
      <c r="AE55" s="154">
        <v>69</v>
      </c>
      <c r="AF55" s="154">
        <f t="shared" si="14"/>
        <v>71</v>
      </c>
      <c r="AG55" s="154">
        <v>8.2899999999999991</v>
      </c>
      <c r="AH55" s="154">
        <v>8.2899999999999991</v>
      </c>
      <c r="AI55" t="s">
        <v>171</v>
      </c>
      <c r="AJ55" t="s">
        <v>172</v>
      </c>
      <c r="AK55" s="146">
        <v>12.74</v>
      </c>
      <c r="AL55" s="146">
        <v>-78.739999999999995</v>
      </c>
      <c r="AM55" t="s">
        <v>171</v>
      </c>
      <c r="AN55" t="s">
        <v>171</v>
      </c>
      <c r="AO55">
        <v>-2839</v>
      </c>
      <c r="AP55" t="s">
        <v>171</v>
      </c>
      <c r="AQ55" t="s">
        <v>171</v>
      </c>
      <c r="AR55" t="s">
        <v>171</v>
      </c>
      <c r="AS55" s="147">
        <v>223.66</v>
      </c>
      <c r="AT55" t="s">
        <v>173</v>
      </c>
      <c r="AU55">
        <v>4</v>
      </c>
      <c r="AV55">
        <v>4</v>
      </c>
      <c r="AW55" t="s">
        <v>171</v>
      </c>
      <c r="AX55" t="s">
        <v>174</v>
      </c>
      <c r="AY55" t="s">
        <v>171</v>
      </c>
      <c r="AZ55" t="s">
        <v>171</v>
      </c>
      <c r="BA55" t="s">
        <v>171</v>
      </c>
      <c r="BB55" t="s">
        <v>171</v>
      </c>
      <c r="BC55" t="s">
        <v>171</v>
      </c>
      <c r="BD55" t="s">
        <v>171</v>
      </c>
      <c r="BE55" t="s">
        <v>171</v>
      </c>
      <c r="BF55" t="s">
        <v>171</v>
      </c>
      <c r="BG55" t="s">
        <v>175</v>
      </c>
      <c r="BH55" t="s">
        <v>176</v>
      </c>
      <c r="BI55" t="s">
        <v>177</v>
      </c>
      <c r="BJ55" s="142">
        <v>2</v>
      </c>
      <c r="BK55" t="s">
        <v>178</v>
      </c>
      <c r="BL55" t="s">
        <v>179</v>
      </c>
      <c r="BM55" t="s">
        <v>180</v>
      </c>
      <c r="BN55" t="s">
        <v>171</v>
      </c>
      <c r="BO55" s="142">
        <v>2</v>
      </c>
      <c r="BP55" s="144" t="s">
        <v>171</v>
      </c>
      <c r="BQ55" s="149">
        <v>20.67404603</v>
      </c>
      <c r="BR55" t="s">
        <v>181</v>
      </c>
      <c r="BS55" s="149">
        <v>0.26760005199999998</v>
      </c>
      <c r="BT55">
        <v>0.64</v>
      </c>
      <c r="BU55" t="s">
        <v>182</v>
      </c>
      <c r="BV55">
        <v>3.4000000000000002E-2</v>
      </c>
      <c r="BW55">
        <v>9.1</v>
      </c>
      <c r="BX55" t="s">
        <v>173</v>
      </c>
      <c r="BY55">
        <v>0.56000000000000005</v>
      </c>
      <c r="BZ55" t="s">
        <v>183</v>
      </c>
      <c r="CA55" t="s">
        <v>184</v>
      </c>
      <c r="CB55" s="148">
        <f t="shared" si="6"/>
        <v>19.673410050000001</v>
      </c>
      <c r="CC55" s="144" t="s">
        <v>185</v>
      </c>
      <c r="CD55" s="144" t="s">
        <v>171</v>
      </c>
      <c r="CE55" s="144" t="s">
        <v>171</v>
      </c>
      <c r="CF55" t="s">
        <v>186</v>
      </c>
      <c r="CG55" s="144">
        <v>10</v>
      </c>
      <c r="CH55" s="144" t="s">
        <v>187</v>
      </c>
      <c r="CI55" s="144" t="s">
        <v>171</v>
      </c>
      <c r="CJ55" s="147">
        <v>26.67</v>
      </c>
      <c r="CK55" t="s">
        <v>173</v>
      </c>
      <c r="CL55">
        <v>3</v>
      </c>
      <c r="CM55">
        <v>3</v>
      </c>
      <c r="CN55" t="s">
        <v>171</v>
      </c>
      <c r="CO55" s="149">
        <v>4.1891310946354992</v>
      </c>
      <c r="CP55" t="s">
        <v>188</v>
      </c>
      <c r="CQ55" s="149">
        <v>0.16756524378541998</v>
      </c>
      <c r="CR55" s="149">
        <v>0.16756524378541998</v>
      </c>
      <c r="CS55" s="150" t="s">
        <v>171</v>
      </c>
      <c r="CT55" t="s">
        <v>189</v>
      </c>
      <c r="CU55" t="s">
        <v>171</v>
      </c>
      <c r="CV55" t="s">
        <v>190</v>
      </c>
      <c r="CW55" t="s">
        <v>191</v>
      </c>
      <c r="CX55" t="s">
        <v>191</v>
      </c>
      <c r="CY55" t="s">
        <v>191</v>
      </c>
      <c r="CZ55" t="s">
        <v>171</v>
      </c>
      <c r="DA55" t="s">
        <v>171</v>
      </c>
      <c r="DB55" t="s">
        <v>171</v>
      </c>
      <c r="DC55" t="s">
        <v>171</v>
      </c>
      <c r="DD55" t="s">
        <v>171</v>
      </c>
      <c r="DE55" t="s">
        <v>171</v>
      </c>
      <c r="DF55" t="s">
        <v>171</v>
      </c>
      <c r="DG55">
        <v>35</v>
      </c>
      <c r="DH55" t="s">
        <v>185</v>
      </c>
      <c r="DI55" s="142">
        <v>3</v>
      </c>
      <c r="DJ55" s="144" t="s">
        <v>192</v>
      </c>
      <c r="DK55" s="144" t="s">
        <v>171</v>
      </c>
      <c r="DL55" s="144" t="s">
        <v>171</v>
      </c>
      <c r="DM55" s="144" t="s">
        <v>171</v>
      </c>
      <c r="DN55" s="144" t="s">
        <v>171</v>
      </c>
      <c r="DO55" s="144" t="s">
        <v>171</v>
      </c>
      <c r="DP55" s="144" t="s">
        <v>171</v>
      </c>
      <c r="DQ55" s="144" t="s">
        <v>171</v>
      </c>
      <c r="DR55" s="144" t="s">
        <v>171</v>
      </c>
      <c r="DS55" s="144" t="s">
        <v>171</v>
      </c>
      <c r="DT55" s="144" t="s">
        <v>171</v>
      </c>
      <c r="DU55" s="144" t="s">
        <v>171</v>
      </c>
      <c r="DV55" s="144" t="s">
        <v>171</v>
      </c>
      <c r="DW55" s="147">
        <v>432.56244218316402</v>
      </c>
      <c r="DX55" t="s">
        <v>193</v>
      </c>
      <c r="DY55">
        <v>37.1</v>
      </c>
      <c r="DZ55" t="s">
        <v>194</v>
      </c>
      <c r="EA55">
        <v>39.61</v>
      </c>
      <c r="EB55" t="s">
        <v>185</v>
      </c>
      <c r="EC55" s="149">
        <f t="shared" si="1"/>
        <v>0.122366</v>
      </c>
      <c r="ED55" t="s">
        <v>195</v>
      </c>
      <c r="EE55" t="s">
        <v>196</v>
      </c>
      <c r="EF55" t="s">
        <v>197</v>
      </c>
      <c r="EG55">
        <v>1.0271999999999999</v>
      </c>
      <c r="EH55" t="s">
        <v>171</v>
      </c>
      <c r="EI55" t="s">
        <v>171</v>
      </c>
      <c r="EJ55" t="s">
        <v>198</v>
      </c>
      <c r="EK55" t="s">
        <v>191</v>
      </c>
      <c r="EL55" t="s">
        <v>191</v>
      </c>
      <c r="EM55" t="s">
        <v>199</v>
      </c>
      <c r="EN55" t="s">
        <v>200</v>
      </c>
      <c r="EO55" s="151" t="s">
        <v>201</v>
      </c>
      <c r="EP55" s="151" t="s">
        <v>201</v>
      </c>
      <c r="EQ55" s="144" t="s">
        <v>171</v>
      </c>
      <c r="ER55" s="144" t="s">
        <v>171</v>
      </c>
      <c r="ES55" s="144" t="s">
        <v>171</v>
      </c>
      <c r="ET55" t="s">
        <v>202</v>
      </c>
      <c r="EU55" t="s">
        <v>203</v>
      </c>
      <c r="EV55" t="s">
        <v>171</v>
      </c>
      <c r="EW55">
        <v>2381</v>
      </c>
      <c r="EX55" s="151" t="s">
        <v>204</v>
      </c>
      <c r="EY55" s="151">
        <v>175</v>
      </c>
      <c r="EZ55">
        <v>175</v>
      </c>
      <c r="FA55" t="s">
        <v>171</v>
      </c>
      <c r="FB55" t="s">
        <v>171</v>
      </c>
      <c r="FC55" t="s">
        <v>171</v>
      </c>
      <c r="FD55" t="s">
        <v>171</v>
      </c>
      <c r="FE55" s="152">
        <v>8.1627395075807101</v>
      </c>
      <c r="FF55" t="s">
        <v>205</v>
      </c>
      <c r="FG55" s="144" t="s">
        <v>171</v>
      </c>
      <c r="FH55" s="144" t="s">
        <v>171</v>
      </c>
      <c r="FI55" s="153">
        <v>280.57532769126101</v>
      </c>
      <c r="FJ55">
        <v>21</v>
      </c>
      <c r="FK55" t="s">
        <v>207</v>
      </c>
      <c r="FL55" s="153">
        <v>259.57532769126101</v>
      </c>
      <c r="FM55" s="153">
        <v>41.290359008354983</v>
      </c>
      <c r="FN55" s="153">
        <v>37.832972891128009</v>
      </c>
      <c r="FO55" t="s">
        <v>186</v>
      </c>
      <c r="FP55" t="s">
        <v>208</v>
      </c>
      <c r="FQ55" t="s">
        <v>171</v>
      </c>
      <c r="FR55" t="s">
        <v>171</v>
      </c>
      <c r="FS55" t="s">
        <v>171</v>
      </c>
      <c r="FT55" t="s">
        <v>171</v>
      </c>
      <c r="FU55" t="s">
        <v>171</v>
      </c>
      <c r="FV55" t="s">
        <v>171</v>
      </c>
      <c r="FW55" t="s">
        <v>171</v>
      </c>
      <c r="FX55" t="s">
        <v>171</v>
      </c>
      <c r="FY55" t="s">
        <v>171</v>
      </c>
      <c r="FZ55" t="s">
        <v>171</v>
      </c>
      <c r="GA55" t="s">
        <v>171</v>
      </c>
      <c r="GB55" t="s">
        <v>171</v>
      </c>
    </row>
    <row r="56" spans="1:184" ht="16" x14ac:dyDescent="0.2">
      <c r="A56" t="s">
        <v>217</v>
      </c>
      <c r="B56" s="143" t="s">
        <v>216</v>
      </c>
      <c r="C56" s="138" t="s">
        <v>212</v>
      </c>
      <c r="D56" t="s">
        <v>211</v>
      </c>
      <c r="E56">
        <v>2017</v>
      </c>
      <c r="F56" t="str">
        <f t="shared" si="7"/>
        <v>10.1073/pnas.1702143114</v>
      </c>
      <c r="G56" s="147">
        <f t="shared" si="8"/>
        <v>227.1</v>
      </c>
      <c r="H56">
        <f t="shared" si="2"/>
        <v>4</v>
      </c>
      <c r="I56">
        <f t="shared" si="3"/>
        <v>4</v>
      </c>
      <c r="J56" s="153">
        <f t="shared" si="9"/>
        <v>232.906235275353</v>
      </c>
      <c r="K56" s="153">
        <f t="shared" si="10"/>
        <v>36.975042480617986</v>
      </c>
      <c r="L56" s="153">
        <f t="shared" si="11"/>
        <v>34.283580552880011</v>
      </c>
      <c r="M56" t="b">
        <v>1</v>
      </c>
      <c r="N56">
        <v>3</v>
      </c>
      <c r="O56" s="144" t="s">
        <v>228</v>
      </c>
      <c r="P56" s="144" t="s">
        <v>229</v>
      </c>
      <c r="Q56" t="b">
        <v>0</v>
      </c>
      <c r="R56" t="s">
        <v>214</v>
      </c>
      <c r="S56" t="b">
        <v>1</v>
      </c>
      <c r="T56" t="b">
        <v>0</v>
      </c>
      <c r="U56" t="s">
        <v>171</v>
      </c>
      <c r="V56" t="s">
        <v>171</v>
      </c>
      <c r="W56" t="b">
        <v>0</v>
      </c>
      <c r="X56" t="s">
        <v>171</v>
      </c>
      <c r="Y56" s="139" t="s">
        <v>167</v>
      </c>
      <c r="Z56" s="143" t="s">
        <v>168</v>
      </c>
      <c r="AA56" t="s">
        <v>169</v>
      </c>
      <c r="AB56" s="154" t="s">
        <v>170</v>
      </c>
      <c r="AC56" s="154">
        <v>2</v>
      </c>
      <c r="AD56" s="154">
        <v>1</v>
      </c>
      <c r="AE56" s="154">
        <v>91</v>
      </c>
      <c r="AF56" s="154">
        <f t="shared" si="14"/>
        <v>93</v>
      </c>
      <c r="AG56" s="154">
        <v>8.51</v>
      </c>
      <c r="AH56" s="154">
        <v>8.51</v>
      </c>
      <c r="AI56" t="s">
        <v>171</v>
      </c>
      <c r="AJ56" t="s">
        <v>172</v>
      </c>
      <c r="AK56" s="146">
        <v>12.74</v>
      </c>
      <c r="AL56" s="146">
        <v>-78.739999999999995</v>
      </c>
      <c r="AM56" t="s">
        <v>171</v>
      </c>
      <c r="AN56" t="s">
        <v>171</v>
      </c>
      <c r="AO56">
        <v>-2839</v>
      </c>
      <c r="AP56" t="s">
        <v>171</v>
      </c>
      <c r="AQ56" t="s">
        <v>171</v>
      </c>
      <c r="AR56" t="s">
        <v>171</v>
      </c>
      <c r="AS56" s="147">
        <v>227.1</v>
      </c>
      <c r="AT56" t="s">
        <v>173</v>
      </c>
      <c r="AU56">
        <v>4</v>
      </c>
      <c r="AV56">
        <v>4</v>
      </c>
      <c r="AW56" t="s">
        <v>171</v>
      </c>
      <c r="AX56" t="s">
        <v>174</v>
      </c>
      <c r="AY56" t="s">
        <v>171</v>
      </c>
      <c r="AZ56" t="s">
        <v>171</v>
      </c>
      <c r="BA56" t="s">
        <v>171</v>
      </c>
      <c r="BB56" t="s">
        <v>171</v>
      </c>
      <c r="BC56" t="s">
        <v>171</v>
      </c>
      <c r="BD56" t="s">
        <v>171</v>
      </c>
      <c r="BE56" t="s">
        <v>171</v>
      </c>
      <c r="BF56" t="s">
        <v>171</v>
      </c>
      <c r="BG56" t="s">
        <v>175</v>
      </c>
      <c r="BH56" t="s">
        <v>176</v>
      </c>
      <c r="BI56" t="s">
        <v>177</v>
      </c>
      <c r="BJ56" s="142">
        <v>2</v>
      </c>
      <c r="BK56" t="s">
        <v>178</v>
      </c>
      <c r="BL56" t="s">
        <v>179</v>
      </c>
      <c r="BM56" t="s">
        <v>180</v>
      </c>
      <c r="BN56" t="s">
        <v>171</v>
      </c>
      <c r="BO56" s="142">
        <v>2</v>
      </c>
      <c r="BP56" s="144" t="s">
        <v>171</v>
      </c>
      <c r="BQ56" s="149">
        <v>20.822770420000001</v>
      </c>
      <c r="BR56" t="s">
        <v>181</v>
      </c>
      <c r="BS56" s="149">
        <v>0.235569734</v>
      </c>
      <c r="BT56">
        <v>0.64</v>
      </c>
      <c r="BU56" t="s">
        <v>182</v>
      </c>
      <c r="BV56">
        <v>3.4000000000000002E-2</v>
      </c>
      <c r="BW56">
        <v>9.1</v>
      </c>
      <c r="BX56" t="s">
        <v>173</v>
      </c>
      <c r="BY56">
        <v>0.56000000000000005</v>
      </c>
      <c r="BZ56" t="s">
        <v>183</v>
      </c>
      <c r="CA56" t="s">
        <v>184</v>
      </c>
      <c r="CB56" s="148">
        <f t="shared" si="6"/>
        <v>19.921284033333336</v>
      </c>
      <c r="CC56" s="144" t="s">
        <v>185</v>
      </c>
      <c r="CD56" s="144" t="s">
        <v>171</v>
      </c>
      <c r="CE56" s="144" t="s">
        <v>171</v>
      </c>
      <c r="CF56" t="s">
        <v>186</v>
      </c>
      <c r="CG56" s="144">
        <v>10</v>
      </c>
      <c r="CH56" s="144" t="s">
        <v>187</v>
      </c>
      <c r="CI56" s="144" t="s">
        <v>171</v>
      </c>
      <c r="CJ56" s="147">
        <v>25.31</v>
      </c>
      <c r="CK56" t="s">
        <v>173</v>
      </c>
      <c r="CL56">
        <v>3</v>
      </c>
      <c r="CM56">
        <v>3</v>
      </c>
      <c r="CN56" t="s">
        <v>171</v>
      </c>
      <c r="CO56" s="149">
        <v>3.7072720722499999</v>
      </c>
      <c r="CP56" t="s">
        <v>188</v>
      </c>
      <c r="CQ56" s="149">
        <v>0.14829088289</v>
      </c>
      <c r="CR56" s="149">
        <v>0.14829088289</v>
      </c>
      <c r="CS56" s="150" t="s">
        <v>171</v>
      </c>
      <c r="CT56" t="s">
        <v>189</v>
      </c>
      <c r="CU56" t="s">
        <v>171</v>
      </c>
      <c r="CV56" t="s">
        <v>190</v>
      </c>
      <c r="CW56" t="s">
        <v>191</v>
      </c>
      <c r="CX56" t="s">
        <v>191</v>
      </c>
      <c r="CY56" t="s">
        <v>191</v>
      </c>
      <c r="CZ56" t="s">
        <v>171</v>
      </c>
      <c r="DA56" t="s">
        <v>171</v>
      </c>
      <c r="DB56" t="s">
        <v>171</v>
      </c>
      <c r="DC56" t="s">
        <v>171</v>
      </c>
      <c r="DD56" t="s">
        <v>171</v>
      </c>
      <c r="DE56" t="s">
        <v>171</v>
      </c>
      <c r="DF56" t="s">
        <v>171</v>
      </c>
      <c r="DG56">
        <v>35</v>
      </c>
      <c r="DH56" t="s">
        <v>185</v>
      </c>
      <c r="DI56" s="142">
        <v>3</v>
      </c>
      <c r="DJ56" s="144" t="s">
        <v>192</v>
      </c>
      <c r="DK56" s="144" t="s">
        <v>171</v>
      </c>
      <c r="DL56" s="144" t="s">
        <v>171</v>
      </c>
      <c r="DM56" s="144" t="s">
        <v>171</v>
      </c>
      <c r="DN56" s="144" t="s">
        <v>171</v>
      </c>
      <c r="DO56" s="144" t="s">
        <v>171</v>
      </c>
      <c r="DP56" s="144" t="s">
        <v>171</v>
      </c>
      <c r="DQ56" s="144" t="s">
        <v>171</v>
      </c>
      <c r="DR56" s="144" t="s">
        <v>171</v>
      </c>
      <c r="DS56" s="144" t="s">
        <v>171</v>
      </c>
      <c r="DT56" s="144" t="s">
        <v>171</v>
      </c>
      <c r="DU56" s="144" t="s">
        <v>171</v>
      </c>
      <c r="DV56" s="144" t="s">
        <v>171</v>
      </c>
      <c r="DW56" s="147">
        <v>432.56244218316402</v>
      </c>
      <c r="DX56" t="s">
        <v>193</v>
      </c>
      <c r="DY56">
        <v>37.1</v>
      </c>
      <c r="DZ56" t="s">
        <v>194</v>
      </c>
      <c r="EA56">
        <v>39.61</v>
      </c>
      <c r="EB56" t="s">
        <v>185</v>
      </c>
      <c r="EC56" s="149">
        <f t="shared" si="1"/>
        <v>0.12271000000000001</v>
      </c>
      <c r="ED56" t="s">
        <v>195</v>
      </c>
      <c r="EE56" t="s">
        <v>196</v>
      </c>
      <c r="EF56" t="s">
        <v>197</v>
      </c>
      <c r="EG56">
        <v>1.0271999999999999</v>
      </c>
      <c r="EH56" t="s">
        <v>171</v>
      </c>
      <c r="EI56" t="s">
        <v>171</v>
      </c>
      <c r="EJ56" t="s">
        <v>198</v>
      </c>
      <c r="EK56" t="s">
        <v>191</v>
      </c>
      <c r="EL56" t="s">
        <v>191</v>
      </c>
      <c r="EM56" t="s">
        <v>199</v>
      </c>
      <c r="EN56" t="s">
        <v>200</v>
      </c>
      <c r="EO56" s="151" t="s">
        <v>201</v>
      </c>
      <c r="EP56" s="151" t="s">
        <v>201</v>
      </c>
      <c r="EQ56" s="144" t="s">
        <v>171</v>
      </c>
      <c r="ER56" s="144" t="s">
        <v>171</v>
      </c>
      <c r="ES56" s="144" t="s">
        <v>171</v>
      </c>
      <c r="ET56" t="s">
        <v>202</v>
      </c>
      <c r="EU56" t="s">
        <v>203</v>
      </c>
      <c r="EV56" t="s">
        <v>171</v>
      </c>
      <c r="EW56">
        <v>2382</v>
      </c>
      <c r="EX56" s="151" t="s">
        <v>204</v>
      </c>
      <c r="EY56" s="151">
        <v>175</v>
      </c>
      <c r="EZ56">
        <v>175</v>
      </c>
      <c r="FA56" t="s">
        <v>171</v>
      </c>
      <c r="FB56" t="s">
        <v>171</v>
      </c>
      <c r="FC56" t="s">
        <v>171</v>
      </c>
      <c r="FD56" t="s">
        <v>171</v>
      </c>
      <c r="FE56" s="152">
        <v>8.1986719178069407</v>
      </c>
      <c r="FF56" t="s">
        <v>205</v>
      </c>
      <c r="FG56" s="144" t="s">
        <v>171</v>
      </c>
      <c r="FH56" s="144" t="s">
        <v>171</v>
      </c>
      <c r="FI56" s="153">
        <v>253.906235275353</v>
      </c>
      <c r="FJ56">
        <v>21</v>
      </c>
      <c r="FK56" t="s">
        <v>207</v>
      </c>
      <c r="FL56" s="153">
        <v>232.906235275353</v>
      </c>
      <c r="FM56" s="153">
        <v>36.975042480617986</v>
      </c>
      <c r="FN56" s="153">
        <v>34.283580552880011</v>
      </c>
      <c r="FO56" t="s">
        <v>186</v>
      </c>
      <c r="FP56" t="s">
        <v>208</v>
      </c>
      <c r="FQ56" t="s">
        <v>171</v>
      </c>
      <c r="FR56" t="s">
        <v>171</v>
      </c>
      <c r="FS56" t="s">
        <v>171</v>
      </c>
      <c r="FT56" t="s">
        <v>171</v>
      </c>
      <c r="FU56" t="s">
        <v>171</v>
      </c>
      <c r="FV56" t="s">
        <v>171</v>
      </c>
      <c r="FW56" t="s">
        <v>171</v>
      </c>
      <c r="FX56" t="s">
        <v>171</v>
      </c>
      <c r="FY56" t="s">
        <v>171</v>
      </c>
      <c r="FZ56" t="s">
        <v>171</v>
      </c>
      <c r="GA56" t="s">
        <v>171</v>
      </c>
      <c r="GB56" t="s">
        <v>171</v>
      </c>
    </row>
    <row r="57" spans="1:184" ht="16" x14ac:dyDescent="0.2">
      <c r="A57" t="s">
        <v>217</v>
      </c>
      <c r="B57" s="143" t="s">
        <v>216</v>
      </c>
      <c r="C57" s="138" t="s">
        <v>212</v>
      </c>
      <c r="D57" t="s">
        <v>211</v>
      </c>
      <c r="E57">
        <v>2017</v>
      </c>
      <c r="F57" t="str">
        <f t="shared" si="7"/>
        <v>10.1073/pnas.1702143114</v>
      </c>
      <c r="G57" s="147">
        <f t="shared" si="8"/>
        <v>235.76</v>
      </c>
      <c r="H57">
        <f t="shared" si="2"/>
        <v>4</v>
      </c>
      <c r="I57">
        <f t="shared" si="3"/>
        <v>4</v>
      </c>
      <c r="J57" s="153">
        <f t="shared" si="9"/>
        <v>263.58303242066398</v>
      </c>
      <c r="K57" s="153">
        <f t="shared" si="10"/>
        <v>40.940306256029999</v>
      </c>
      <c r="L57" s="153">
        <f t="shared" si="11"/>
        <v>39.076300075719985</v>
      </c>
      <c r="M57" t="b">
        <v>1</v>
      </c>
      <c r="N57">
        <v>3</v>
      </c>
      <c r="O57" s="144" t="s">
        <v>228</v>
      </c>
      <c r="P57" s="144" t="s">
        <v>229</v>
      </c>
      <c r="Q57" t="b">
        <v>0</v>
      </c>
      <c r="R57" t="s">
        <v>214</v>
      </c>
      <c r="S57" t="b">
        <v>1</v>
      </c>
      <c r="T57" t="b">
        <v>0</v>
      </c>
      <c r="U57" t="s">
        <v>171</v>
      </c>
      <c r="V57" t="s">
        <v>171</v>
      </c>
      <c r="W57" t="b">
        <v>0</v>
      </c>
      <c r="X57" t="s">
        <v>171</v>
      </c>
      <c r="Y57" s="139" t="s">
        <v>167</v>
      </c>
      <c r="Z57" s="143" t="s">
        <v>168</v>
      </c>
      <c r="AA57" t="s">
        <v>169</v>
      </c>
      <c r="AB57" s="154" t="s">
        <v>170</v>
      </c>
      <c r="AC57" s="154">
        <v>2</v>
      </c>
      <c r="AD57" s="154">
        <v>1</v>
      </c>
      <c r="AE57" s="154">
        <v>111</v>
      </c>
      <c r="AF57" s="154">
        <f t="shared" si="14"/>
        <v>113</v>
      </c>
      <c r="AG57" s="154">
        <v>8.7100000000000009</v>
      </c>
      <c r="AH57" s="154">
        <v>8.7100000000000009</v>
      </c>
      <c r="AI57" t="s">
        <v>171</v>
      </c>
      <c r="AJ57" t="s">
        <v>172</v>
      </c>
      <c r="AK57" s="146">
        <v>12.74</v>
      </c>
      <c r="AL57" s="146">
        <v>-78.739999999999995</v>
      </c>
      <c r="AM57" t="s">
        <v>171</v>
      </c>
      <c r="AN57" t="s">
        <v>171</v>
      </c>
      <c r="AO57">
        <v>-2839</v>
      </c>
      <c r="AP57" t="s">
        <v>171</v>
      </c>
      <c r="AQ57" t="s">
        <v>171</v>
      </c>
      <c r="AR57" t="s">
        <v>171</v>
      </c>
      <c r="AS57" s="147">
        <v>235.76</v>
      </c>
      <c r="AT57" t="s">
        <v>173</v>
      </c>
      <c r="AU57">
        <v>4</v>
      </c>
      <c r="AV57">
        <v>4</v>
      </c>
      <c r="AW57" t="s">
        <v>171</v>
      </c>
      <c r="AX57" t="s">
        <v>174</v>
      </c>
      <c r="AY57" t="s">
        <v>171</v>
      </c>
      <c r="AZ57" t="s">
        <v>171</v>
      </c>
      <c r="BA57" t="s">
        <v>171</v>
      </c>
      <c r="BB57" t="s">
        <v>171</v>
      </c>
      <c r="BC57" t="s">
        <v>171</v>
      </c>
      <c r="BD57" t="s">
        <v>171</v>
      </c>
      <c r="BE57" t="s">
        <v>171</v>
      </c>
      <c r="BF57" t="s">
        <v>171</v>
      </c>
      <c r="BG57" t="s">
        <v>175</v>
      </c>
      <c r="BH57" t="s">
        <v>176</v>
      </c>
      <c r="BI57" t="s">
        <v>177</v>
      </c>
      <c r="BJ57" s="142">
        <v>2</v>
      </c>
      <c r="BK57" t="s">
        <v>178</v>
      </c>
      <c r="BL57" t="s">
        <v>179</v>
      </c>
      <c r="BM57" t="s">
        <v>180</v>
      </c>
      <c r="BN57" t="s">
        <v>171</v>
      </c>
      <c r="BO57" s="142">
        <v>2</v>
      </c>
      <c r="BP57" s="144" t="s">
        <v>171</v>
      </c>
      <c r="BQ57" s="149">
        <v>20.470820450000002</v>
      </c>
      <c r="BR57" t="s">
        <v>181</v>
      </c>
      <c r="BS57" s="149">
        <v>0.244505476</v>
      </c>
      <c r="BT57">
        <v>0.64</v>
      </c>
      <c r="BU57" t="s">
        <v>182</v>
      </c>
      <c r="BV57">
        <v>3.4000000000000002E-2</v>
      </c>
      <c r="BW57">
        <v>9.1</v>
      </c>
      <c r="BX57" t="s">
        <v>173</v>
      </c>
      <c r="BY57">
        <v>0.56000000000000005</v>
      </c>
      <c r="BZ57" t="s">
        <v>183</v>
      </c>
      <c r="CA57" t="s">
        <v>184</v>
      </c>
      <c r="CB57" s="148">
        <f t="shared" si="6"/>
        <v>19.334700750000003</v>
      </c>
      <c r="CC57" s="144" t="s">
        <v>185</v>
      </c>
      <c r="CD57" s="144" t="s">
        <v>171</v>
      </c>
      <c r="CE57" s="144" t="s">
        <v>171</v>
      </c>
      <c r="CF57" t="s">
        <v>186</v>
      </c>
      <c r="CG57" s="144">
        <v>10</v>
      </c>
      <c r="CH57" s="144" t="s">
        <v>187</v>
      </c>
      <c r="CI57" s="144" t="s">
        <v>171</v>
      </c>
      <c r="CJ57" s="147">
        <v>24.38</v>
      </c>
      <c r="CK57" t="s">
        <v>173</v>
      </c>
      <c r="CL57">
        <v>3</v>
      </c>
      <c r="CM57">
        <v>3</v>
      </c>
      <c r="CN57" t="s">
        <v>171</v>
      </c>
      <c r="CO57" s="149">
        <v>3.4087062644453012</v>
      </c>
      <c r="CP57" t="s">
        <v>188</v>
      </c>
      <c r="CQ57" s="149">
        <v>0.13634825057781205</v>
      </c>
      <c r="CR57" s="149">
        <v>0.13634825057781205</v>
      </c>
      <c r="CS57" s="150" t="s">
        <v>171</v>
      </c>
      <c r="CT57" t="s">
        <v>189</v>
      </c>
      <c r="CU57" t="s">
        <v>171</v>
      </c>
      <c r="CV57" t="s">
        <v>190</v>
      </c>
      <c r="CW57" t="s">
        <v>191</v>
      </c>
      <c r="CX57" t="s">
        <v>191</v>
      </c>
      <c r="CY57" t="s">
        <v>191</v>
      </c>
      <c r="CZ57" t="s">
        <v>171</v>
      </c>
      <c r="DA57" t="s">
        <v>171</v>
      </c>
      <c r="DB57" t="s">
        <v>171</v>
      </c>
      <c r="DC57" t="s">
        <v>171</v>
      </c>
      <c r="DD57" t="s">
        <v>171</v>
      </c>
      <c r="DE57" t="s">
        <v>171</v>
      </c>
      <c r="DF57" t="s">
        <v>171</v>
      </c>
      <c r="DG57">
        <v>35</v>
      </c>
      <c r="DH57" t="s">
        <v>185</v>
      </c>
      <c r="DI57" s="142">
        <v>3</v>
      </c>
      <c r="DJ57" s="144" t="s">
        <v>192</v>
      </c>
      <c r="DK57" s="144" t="s">
        <v>171</v>
      </c>
      <c r="DL57" s="144" t="s">
        <v>171</v>
      </c>
      <c r="DM57" s="144" t="s">
        <v>171</v>
      </c>
      <c r="DN57" s="144" t="s">
        <v>171</v>
      </c>
      <c r="DO57" s="144" t="s">
        <v>171</v>
      </c>
      <c r="DP57" s="144" t="s">
        <v>171</v>
      </c>
      <c r="DQ57" s="144" t="s">
        <v>171</v>
      </c>
      <c r="DR57" s="144" t="s">
        <v>171</v>
      </c>
      <c r="DS57" s="144" t="s">
        <v>171</v>
      </c>
      <c r="DT57" s="144" t="s">
        <v>171</v>
      </c>
      <c r="DU57" s="144" t="s">
        <v>171</v>
      </c>
      <c r="DV57" s="144" t="s">
        <v>171</v>
      </c>
      <c r="DW57" s="147">
        <v>432.56244218316402</v>
      </c>
      <c r="DX57" t="s">
        <v>193</v>
      </c>
      <c r="DY57">
        <v>37.1</v>
      </c>
      <c r="DZ57" t="s">
        <v>194</v>
      </c>
      <c r="EA57">
        <v>39.61</v>
      </c>
      <c r="EB57" t="s">
        <v>185</v>
      </c>
      <c r="EC57" s="149">
        <f t="shared" si="1"/>
        <v>0.12357600000000001</v>
      </c>
      <c r="ED57" t="s">
        <v>195</v>
      </c>
      <c r="EE57" t="s">
        <v>196</v>
      </c>
      <c r="EF57" t="s">
        <v>197</v>
      </c>
      <c r="EG57">
        <v>1.0271999999999999</v>
      </c>
      <c r="EH57" t="s">
        <v>171</v>
      </c>
      <c r="EI57" t="s">
        <v>171</v>
      </c>
      <c r="EJ57" t="s">
        <v>198</v>
      </c>
      <c r="EK57" t="s">
        <v>191</v>
      </c>
      <c r="EL57" t="s">
        <v>191</v>
      </c>
      <c r="EM57" t="s">
        <v>199</v>
      </c>
      <c r="EN57" t="s">
        <v>200</v>
      </c>
      <c r="EO57" s="151" t="s">
        <v>201</v>
      </c>
      <c r="EP57" s="151" t="s">
        <v>201</v>
      </c>
      <c r="EQ57" s="144" t="s">
        <v>171</v>
      </c>
      <c r="ER57" s="144" t="s">
        <v>171</v>
      </c>
      <c r="ES57" s="144" t="s">
        <v>171</v>
      </c>
      <c r="ET57" t="s">
        <v>202</v>
      </c>
      <c r="EU57" t="s">
        <v>203</v>
      </c>
      <c r="EV57" t="s">
        <v>171</v>
      </c>
      <c r="EW57">
        <v>2383</v>
      </c>
      <c r="EX57" s="151" t="s">
        <v>204</v>
      </c>
      <c r="EY57" s="151">
        <v>175</v>
      </c>
      <c r="EZ57">
        <v>175</v>
      </c>
      <c r="FA57" t="s">
        <v>171</v>
      </c>
      <c r="FB57" t="s">
        <v>171</v>
      </c>
      <c r="FC57" t="s">
        <v>171</v>
      </c>
      <c r="FD57" t="s">
        <v>171</v>
      </c>
      <c r="FE57" s="152">
        <v>8.1613392840423096</v>
      </c>
      <c r="FF57" t="s">
        <v>205</v>
      </c>
      <c r="FG57" s="144" t="s">
        <v>171</v>
      </c>
      <c r="FH57" s="144" t="s">
        <v>171</v>
      </c>
      <c r="FI57" s="153">
        <v>284.58303242066398</v>
      </c>
      <c r="FJ57">
        <v>21</v>
      </c>
      <c r="FK57" t="s">
        <v>207</v>
      </c>
      <c r="FL57" s="153">
        <v>263.58303242066398</v>
      </c>
      <c r="FM57" s="153">
        <v>40.940306256029999</v>
      </c>
      <c r="FN57" s="153">
        <v>39.076300075719985</v>
      </c>
      <c r="FO57" t="s">
        <v>186</v>
      </c>
      <c r="FP57" t="s">
        <v>208</v>
      </c>
      <c r="FQ57" t="s">
        <v>171</v>
      </c>
      <c r="FR57" t="s">
        <v>171</v>
      </c>
      <c r="FS57" t="s">
        <v>171</v>
      </c>
      <c r="FT57" t="s">
        <v>171</v>
      </c>
      <c r="FU57" t="s">
        <v>171</v>
      </c>
      <c r="FV57" t="s">
        <v>171</v>
      </c>
      <c r="FW57" t="s">
        <v>171</v>
      </c>
      <c r="FX57" t="s">
        <v>171</v>
      </c>
      <c r="FY57" t="s">
        <v>171</v>
      </c>
      <c r="FZ57" t="s">
        <v>171</v>
      </c>
      <c r="GA57" t="s">
        <v>171</v>
      </c>
      <c r="GB57" t="s">
        <v>171</v>
      </c>
    </row>
    <row r="58" spans="1:184" ht="16" x14ac:dyDescent="0.2">
      <c r="A58" t="s">
        <v>217</v>
      </c>
      <c r="B58" s="143" t="s">
        <v>216</v>
      </c>
      <c r="C58" s="138" t="s">
        <v>212</v>
      </c>
      <c r="D58" t="s">
        <v>211</v>
      </c>
      <c r="E58">
        <v>2017</v>
      </c>
      <c r="F58" t="str">
        <f t="shared" si="7"/>
        <v>10.1073/pnas.1702143114</v>
      </c>
      <c r="G58" s="147">
        <f t="shared" si="8"/>
        <v>239.48</v>
      </c>
      <c r="H58">
        <f t="shared" si="2"/>
        <v>4</v>
      </c>
      <c r="I58">
        <f t="shared" si="3"/>
        <v>4</v>
      </c>
      <c r="J58" s="153">
        <f t="shared" si="9"/>
        <v>243.18314030520099</v>
      </c>
      <c r="K58" s="153">
        <f t="shared" si="10"/>
        <v>37.875271563802016</v>
      </c>
      <c r="L58" s="153">
        <f t="shared" si="11"/>
        <v>35.230226363274994</v>
      </c>
      <c r="M58" t="b">
        <v>1</v>
      </c>
      <c r="N58">
        <v>3</v>
      </c>
      <c r="O58" s="144" t="s">
        <v>228</v>
      </c>
      <c r="P58" s="144" t="s">
        <v>229</v>
      </c>
      <c r="Q58" t="b">
        <v>0</v>
      </c>
      <c r="R58" t="s">
        <v>214</v>
      </c>
      <c r="S58" t="b">
        <v>1</v>
      </c>
      <c r="T58" t="b">
        <v>0</v>
      </c>
      <c r="U58" t="s">
        <v>171</v>
      </c>
      <c r="V58" t="s">
        <v>171</v>
      </c>
      <c r="W58" t="b">
        <v>0</v>
      </c>
      <c r="X58" t="s">
        <v>171</v>
      </c>
      <c r="Y58" s="139" t="s">
        <v>167</v>
      </c>
      <c r="Z58" s="143" t="s">
        <v>168</v>
      </c>
      <c r="AA58" t="s">
        <v>169</v>
      </c>
      <c r="AB58" s="154" t="s">
        <v>170</v>
      </c>
      <c r="AC58" s="154">
        <v>2</v>
      </c>
      <c r="AD58" s="154">
        <v>1</v>
      </c>
      <c r="AE58" s="154">
        <v>123</v>
      </c>
      <c r="AF58" s="154">
        <f t="shared" si="14"/>
        <v>125</v>
      </c>
      <c r="AG58" s="154">
        <v>8.83</v>
      </c>
      <c r="AH58" s="154">
        <v>8.83</v>
      </c>
      <c r="AI58" t="s">
        <v>171</v>
      </c>
      <c r="AJ58" t="s">
        <v>172</v>
      </c>
      <c r="AK58" s="146">
        <v>12.74</v>
      </c>
      <c r="AL58" s="146">
        <v>-78.739999999999995</v>
      </c>
      <c r="AM58" t="s">
        <v>171</v>
      </c>
      <c r="AN58" t="s">
        <v>171</v>
      </c>
      <c r="AO58">
        <v>-2839</v>
      </c>
      <c r="AP58" t="s">
        <v>171</v>
      </c>
      <c r="AQ58" t="s">
        <v>171</v>
      </c>
      <c r="AR58" t="s">
        <v>171</v>
      </c>
      <c r="AS58" s="147">
        <v>239.48</v>
      </c>
      <c r="AT58" t="s">
        <v>173</v>
      </c>
      <c r="AU58">
        <v>4</v>
      </c>
      <c r="AV58">
        <v>4</v>
      </c>
      <c r="AW58" t="s">
        <v>171</v>
      </c>
      <c r="AX58" t="s">
        <v>174</v>
      </c>
      <c r="AY58" t="s">
        <v>171</v>
      </c>
      <c r="AZ58" t="s">
        <v>171</v>
      </c>
      <c r="BA58" t="s">
        <v>171</v>
      </c>
      <c r="BB58" t="s">
        <v>171</v>
      </c>
      <c r="BC58" t="s">
        <v>171</v>
      </c>
      <c r="BD58" t="s">
        <v>171</v>
      </c>
      <c r="BE58" t="s">
        <v>171</v>
      </c>
      <c r="BF58" t="s">
        <v>171</v>
      </c>
      <c r="BG58" t="s">
        <v>175</v>
      </c>
      <c r="BH58" t="s">
        <v>176</v>
      </c>
      <c r="BI58" t="s">
        <v>177</v>
      </c>
      <c r="BJ58" s="142">
        <v>2</v>
      </c>
      <c r="BK58" t="s">
        <v>178</v>
      </c>
      <c r="BL58" t="s">
        <v>179</v>
      </c>
      <c r="BM58" t="s">
        <v>180</v>
      </c>
      <c r="BN58" t="s">
        <v>171</v>
      </c>
      <c r="BO58" s="142">
        <v>2</v>
      </c>
      <c r="BP58" s="144" t="s">
        <v>171</v>
      </c>
      <c r="BQ58" s="149">
        <v>20.698681969999999</v>
      </c>
      <c r="BR58" t="s">
        <v>181</v>
      </c>
      <c r="BS58" s="149">
        <v>0.22005977400000001</v>
      </c>
      <c r="BT58">
        <v>0.64</v>
      </c>
      <c r="BU58" t="s">
        <v>182</v>
      </c>
      <c r="BV58">
        <v>3.4000000000000002E-2</v>
      </c>
      <c r="BW58">
        <v>9.1</v>
      </c>
      <c r="BX58" t="s">
        <v>173</v>
      </c>
      <c r="BY58">
        <v>0.56000000000000005</v>
      </c>
      <c r="BZ58" t="s">
        <v>183</v>
      </c>
      <c r="CA58" t="s">
        <v>184</v>
      </c>
      <c r="CB58" s="148">
        <f t="shared" si="6"/>
        <v>19.714469950000002</v>
      </c>
      <c r="CC58" s="144" t="s">
        <v>185</v>
      </c>
      <c r="CD58" s="144" t="s">
        <v>171</v>
      </c>
      <c r="CE58" s="144" t="s">
        <v>171</v>
      </c>
      <c r="CF58" t="s">
        <v>186</v>
      </c>
      <c r="CG58" s="144">
        <v>10</v>
      </c>
      <c r="CH58" s="144" t="s">
        <v>187</v>
      </c>
      <c r="CI58" s="144" t="s">
        <v>171</v>
      </c>
      <c r="CJ58" s="147">
        <v>24.99</v>
      </c>
      <c r="CK58" t="s">
        <v>173</v>
      </c>
      <c r="CL58">
        <v>3</v>
      </c>
      <c r="CM58">
        <v>3</v>
      </c>
      <c r="CN58" t="s">
        <v>171</v>
      </c>
      <c r="CO58" s="149">
        <v>3.6023171111269114</v>
      </c>
      <c r="CP58" t="s">
        <v>188</v>
      </c>
      <c r="CQ58" s="149">
        <v>0.14409268444507647</v>
      </c>
      <c r="CR58" s="149">
        <v>0.14409268444507647</v>
      </c>
      <c r="CS58" s="150" t="s">
        <v>171</v>
      </c>
      <c r="CT58" t="s">
        <v>189</v>
      </c>
      <c r="CU58" t="s">
        <v>171</v>
      </c>
      <c r="CV58" t="s">
        <v>190</v>
      </c>
      <c r="CW58" t="s">
        <v>191</v>
      </c>
      <c r="CX58" t="s">
        <v>191</v>
      </c>
      <c r="CY58" t="s">
        <v>191</v>
      </c>
      <c r="CZ58" t="s">
        <v>171</v>
      </c>
      <c r="DA58" t="s">
        <v>171</v>
      </c>
      <c r="DB58" t="s">
        <v>171</v>
      </c>
      <c r="DC58" t="s">
        <v>171</v>
      </c>
      <c r="DD58" t="s">
        <v>171</v>
      </c>
      <c r="DE58" t="s">
        <v>171</v>
      </c>
      <c r="DF58" t="s">
        <v>171</v>
      </c>
      <c r="DG58">
        <v>35</v>
      </c>
      <c r="DH58" t="s">
        <v>185</v>
      </c>
      <c r="DI58" s="142">
        <v>3</v>
      </c>
      <c r="DJ58" s="144" t="s">
        <v>192</v>
      </c>
      <c r="DK58" s="144" t="s">
        <v>171</v>
      </c>
      <c r="DL58" s="144" t="s">
        <v>171</v>
      </c>
      <c r="DM58" s="144" t="s">
        <v>171</v>
      </c>
      <c r="DN58" s="144" t="s">
        <v>171</v>
      </c>
      <c r="DO58" s="144" t="s">
        <v>171</v>
      </c>
      <c r="DP58" s="144" t="s">
        <v>171</v>
      </c>
      <c r="DQ58" s="144" t="s">
        <v>171</v>
      </c>
      <c r="DR58" s="144" t="s">
        <v>171</v>
      </c>
      <c r="DS58" s="144" t="s">
        <v>171</v>
      </c>
      <c r="DT58" s="144" t="s">
        <v>171</v>
      </c>
      <c r="DU58" s="144" t="s">
        <v>171</v>
      </c>
      <c r="DV58" s="144" t="s">
        <v>171</v>
      </c>
      <c r="DW58" s="147">
        <v>432.56244218316402</v>
      </c>
      <c r="DX58" t="s">
        <v>193</v>
      </c>
      <c r="DY58">
        <v>37.1</v>
      </c>
      <c r="DZ58" t="s">
        <v>194</v>
      </c>
      <c r="EA58">
        <v>39.61</v>
      </c>
      <c r="EB58" t="s">
        <v>185</v>
      </c>
      <c r="EC58" s="149">
        <f t="shared" si="1"/>
        <v>0.123948</v>
      </c>
      <c r="ED58" t="s">
        <v>195</v>
      </c>
      <c r="EE58" t="s">
        <v>196</v>
      </c>
      <c r="EF58" t="s">
        <v>197</v>
      </c>
      <c r="EG58">
        <v>1.0271999999999999</v>
      </c>
      <c r="EH58" t="s">
        <v>171</v>
      </c>
      <c r="EI58" t="s">
        <v>171</v>
      </c>
      <c r="EJ58" t="s">
        <v>198</v>
      </c>
      <c r="EK58" t="s">
        <v>191</v>
      </c>
      <c r="EL58" t="s">
        <v>191</v>
      </c>
      <c r="EM58" t="s">
        <v>199</v>
      </c>
      <c r="EN58" t="s">
        <v>200</v>
      </c>
      <c r="EO58" s="151" t="s">
        <v>201</v>
      </c>
      <c r="EP58" s="151" t="s">
        <v>201</v>
      </c>
      <c r="EQ58" s="144" t="s">
        <v>171</v>
      </c>
      <c r="ER58" s="144" t="s">
        <v>171</v>
      </c>
      <c r="ES58" s="144" t="s">
        <v>171</v>
      </c>
      <c r="ET58" t="s">
        <v>202</v>
      </c>
      <c r="EU58" t="s">
        <v>203</v>
      </c>
      <c r="EV58" t="s">
        <v>171</v>
      </c>
      <c r="EW58">
        <v>2384</v>
      </c>
      <c r="EX58" s="151" t="s">
        <v>204</v>
      </c>
      <c r="EY58" s="151">
        <v>175</v>
      </c>
      <c r="EZ58">
        <v>175</v>
      </c>
      <c r="FA58" t="s">
        <v>171</v>
      </c>
      <c r="FB58" t="s">
        <v>171</v>
      </c>
      <c r="FC58" t="s">
        <v>171</v>
      </c>
      <c r="FD58" t="s">
        <v>171</v>
      </c>
      <c r="FE58" s="152">
        <v>8.1858147321452197</v>
      </c>
      <c r="FF58" t="s">
        <v>205</v>
      </c>
      <c r="FG58" s="144" t="s">
        <v>171</v>
      </c>
      <c r="FH58" s="144" t="s">
        <v>171</v>
      </c>
      <c r="FI58" s="153">
        <v>264.18314030520099</v>
      </c>
      <c r="FJ58">
        <v>21</v>
      </c>
      <c r="FK58" t="s">
        <v>207</v>
      </c>
      <c r="FL58" s="153">
        <v>243.18314030520099</v>
      </c>
      <c r="FM58" s="153">
        <v>37.875271563802016</v>
      </c>
      <c r="FN58" s="153">
        <v>35.230226363274994</v>
      </c>
      <c r="FO58" t="s">
        <v>186</v>
      </c>
      <c r="FP58" t="s">
        <v>208</v>
      </c>
      <c r="FQ58" t="s">
        <v>171</v>
      </c>
      <c r="FR58" t="s">
        <v>171</v>
      </c>
      <c r="FS58" t="s">
        <v>171</v>
      </c>
      <c r="FT58" t="s">
        <v>171</v>
      </c>
      <c r="FU58" t="s">
        <v>171</v>
      </c>
      <c r="FV58" t="s">
        <v>171</v>
      </c>
      <c r="FW58" t="s">
        <v>171</v>
      </c>
      <c r="FX58" t="s">
        <v>171</v>
      </c>
      <c r="FY58" t="s">
        <v>171</v>
      </c>
      <c r="FZ58" t="s">
        <v>171</v>
      </c>
      <c r="GA58" t="s">
        <v>171</v>
      </c>
      <c r="GB58" t="s">
        <v>171</v>
      </c>
    </row>
    <row r="59" spans="1:184" ht="16" x14ac:dyDescent="0.2">
      <c r="A59" t="s">
        <v>217</v>
      </c>
      <c r="B59" s="143" t="s">
        <v>216</v>
      </c>
      <c r="C59" s="138" t="s">
        <v>212</v>
      </c>
      <c r="D59" t="s">
        <v>211</v>
      </c>
      <c r="E59">
        <v>2017</v>
      </c>
      <c r="F59" t="str">
        <f t="shared" si="7"/>
        <v>10.1073/pnas.1702143114</v>
      </c>
      <c r="G59" s="147">
        <f t="shared" si="8"/>
        <v>242.9</v>
      </c>
      <c r="H59">
        <f t="shared" si="2"/>
        <v>4</v>
      </c>
      <c r="I59">
        <f t="shared" si="3"/>
        <v>4</v>
      </c>
      <c r="J59" s="153">
        <f t="shared" si="9"/>
        <v>278.57187669566298</v>
      </c>
      <c r="K59" s="153">
        <f t="shared" si="10"/>
        <v>42.795249985177009</v>
      </c>
      <c r="L59" s="153">
        <f t="shared" si="11"/>
        <v>38.624588667118985</v>
      </c>
      <c r="M59" t="b">
        <v>1</v>
      </c>
      <c r="N59">
        <v>3</v>
      </c>
      <c r="O59" s="144" t="s">
        <v>228</v>
      </c>
      <c r="P59" s="144" t="s">
        <v>229</v>
      </c>
      <c r="Q59" t="b">
        <v>0</v>
      </c>
      <c r="R59" t="s">
        <v>214</v>
      </c>
      <c r="S59" t="b">
        <v>1</v>
      </c>
      <c r="T59" t="b">
        <v>0</v>
      </c>
      <c r="U59" t="s">
        <v>171</v>
      </c>
      <c r="V59" t="s">
        <v>171</v>
      </c>
      <c r="W59" t="b">
        <v>0</v>
      </c>
      <c r="X59" t="s">
        <v>171</v>
      </c>
      <c r="Y59" s="139" t="s">
        <v>167</v>
      </c>
      <c r="Z59" s="143" t="s">
        <v>168</v>
      </c>
      <c r="AA59" t="s">
        <v>169</v>
      </c>
      <c r="AB59" s="155" t="s">
        <v>170</v>
      </c>
      <c r="AC59" s="155">
        <v>2</v>
      </c>
      <c r="AD59" s="155">
        <v>1</v>
      </c>
      <c r="AE59" s="155">
        <v>139</v>
      </c>
      <c r="AF59" s="155">
        <f t="shared" si="14"/>
        <v>141</v>
      </c>
      <c r="AG59" s="155">
        <v>8.99</v>
      </c>
      <c r="AH59" s="155">
        <v>8.99</v>
      </c>
      <c r="AI59" t="s">
        <v>171</v>
      </c>
      <c r="AJ59" t="s">
        <v>172</v>
      </c>
      <c r="AK59" s="146">
        <v>12.74</v>
      </c>
      <c r="AL59" s="146">
        <v>-78.739999999999995</v>
      </c>
      <c r="AM59" t="s">
        <v>171</v>
      </c>
      <c r="AN59" t="s">
        <v>171</v>
      </c>
      <c r="AO59">
        <v>-2839</v>
      </c>
      <c r="AP59" t="s">
        <v>171</v>
      </c>
      <c r="AQ59" t="s">
        <v>171</v>
      </c>
      <c r="AR59" t="s">
        <v>171</v>
      </c>
      <c r="AS59" s="147">
        <v>242.9</v>
      </c>
      <c r="AT59" t="s">
        <v>173</v>
      </c>
      <c r="AU59">
        <v>4</v>
      </c>
      <c r="AV59">
        <v>4</v>
      </c>
      <c r="AW59" t="s">
        <v>171</v>
      </c>
      <c r="AX59" t="s">
        <v>174</v>
      </c>
      <c r="AY59" t="s">
        <v>171</v>
      </c>
      <c r="AZ59" t="s">
        <v>171</v>
      </c>
      <c r="BA59" t="s">
        <v>171</v>
      </c>
      <c r="BB59" t="s">
        <v>171</v>
      </c>
      <c r="BC59" t="s">
        <v>171</v>
      </c>
      <c r="BD59" t="s">
        <v>171</v>
      </c>
      <c r="BE59" t="s">
        <v>171</v>
      </c>
      <c r="BF59" t="s">
        <v>171</v>
      </c>
      <c r="BG59" t="s">
        <v>175</v>
      </c>
      <c r="BH59" t="s">
        <v>176</v>
      </c>
      <c r="BI59" t="s">
        <v>177</v>
      </c>
      <c r="BJ59" s="142">
        <v>2</v>
      </c>
      <c r="BK59" t="s">
        <v>178</v>
      </c>
      <c r="BL59" t="s">
        <v>179</v>
      </c>
      <c r="BM59" t="s">
        <v>180</v>
      </c>
      <c r="BN59" t="s">
        <v>171</v>
      </c>
      <c r="BO59" s="142">
        <v>2</v>
      </c>
      <c r="BP59" s="144" t="s">
        <v>171</v>
      </c>
      <c r="BQ59" s="149">
        <v>20.4421857</v>
      </c>
      <c r="BR59" t="s">
        <v>181</v>
      </c>
      <c r="BS59" s="149">
        <v>0.25098974200000002</v>
      </c>
      <c r="BT59">
        <v>0.64</v>
      </c>
      <c r="BU59" t="s">
        <v>182</v>
      </c>
      <c r="BV59">
        <v>3.4000000000000002E-2</v>
      </c>
      <c r="BW59">
        <v>9.1</v>
      </c>
      <c r="BX59" t="s">
        <v>173</v>
      </c>
      <c r="BY59">
        <v>0.56000000000000005</v>
      </c>
      <c r="BZ59" t="s">
        <v>183</v>
      </c>
      <c r="CA59" t="s">
        <v>184</v>
      </c>
      <c r="CB59" s="148">
        <f t="shared" si="6"/>
        <v>19.286976166666669</v>
      </c>
      <c r="CC59" s="144" t="s">
        <v>185</v>
      </c>
      <c r="CD59" s="144" t="s">
        <v>171</v>
      </c>
      <c r="CE59" s="144" t="s">
        <v>171</v>
      </c>
      <c r="CF59" t="s">
        <v>186</v>
      </c>
      <c r="CG59" s="144">
        <v>10</v>
      </c>
      <c r="CH59" s="144" t="s">
        <v>187</v>
      </c>
      <c r="CI59" s="144" t="s">
        <v>171</v>
      </c>
      <c r="CJ59" s="147">
        <v>25.71</v>
      </c>
      <c r="CK59" t="s">
        <v>173</v>
      </c>
      <c r="CL59">
        <v>3</v>
      </c>
      <c r="CM59">
        <v>3</v>
      </c>
      <c r="CN59" t="s">
        <v>171</v>
      </c>
      <c r="CO59" s="149">
        <v>3.8437638013574587</v>
      </c>
      <c r="CP59" t="s">
        <v>188</v>
      </c>
      <c r="CQ59" s="149">
        <v>0.15375055205429836</v>
      </c>
      <c r="CR59" s="149">
        <v>0.15375055205429836</v>
      </c>
      <c r="CS59" s="150" t="s">
        <v>171</v>
      </c>
      <c r="CT59" t="s">
        <v>189</v>
      </c>
      <c r="CU59" t="s">
        <v>171</v>
      </c>
      <c r="CV59" t="s">
        <v>190</v>
      </c>
      <c r="CW59" t="s">
        <v>191</v>
      </c>
      <c r="CX59" t="s">
        <v>191</v>
      </c>
      <c r="CY59" t="s">
        <v>191</v>
      </c>
      <c r="CZ59" t="s">
        <v>171</v>
      </c>
      <c r="DA59" t="s">
        <v>171</v>
      </c>
      <c r="DB59" t="s">
        <v>171</v>
      </c>
      <c r="DC59" t="s">
        <v>171</v>
      </c>
      <c r="DD59" t="s">
        <v>171</v>
      </c>
      <c r="DE59" t="s">
        <v>171</v>
      </c>
      <c r="DF59" t="s">
        <v>171</v>
      </c>
      <c r="DG59">
        <v>35</v>
      </c>
      <c r="DH59" t="s">
        <v>185</v>
      </c>
      <c r="DI59" s="142">
        <v>3</v>
      </c>
      <c r="DJ59" s="144" t="s">
        <v>192</v>
      </c>
      <c r="DK59" s="144" t="s">
        <v>171</v>
      </c>
      <c r="DL59" s="144" t="s">
        <v>171</v>
      </c>
      <c r="DM59" s="144" t="s">
        <v>171</v>
      </c>
      <c r="DN59" s="144" t="s">
        <v>171</v>
      </c>
      <c r="DO59" s="144" t="s">
        <v>171</v>
      </c>
      <c r="DP59" s="144" t="s">
        <v>171</v>
      </c>
      <c r="DQ59" s="144" t="s">
        <v>171</v>
      </c>
      <c r="DR59" s="144" t="s">
        <v>171</v>
      </c>
      <c r="DS59" s="144" t="s">
        <v>171</v>
      </c>
      <c r="DT59" s="144" t="s">
        <v>171</v>
      </c>
      <c r="DU59" s="144" t="s">
        <v>171</v>
      </c>
      <c r="DV59" s="144" t="s">
        <v>171</v>
      </c>
      <c r="DW59" s="147">
        <v>432.56244218316402</v>
      </c>
      <c r="DX59" t="s">
        <v>193</v>
      </c>
      <c r="DY59">
        <v>37.1</v>
      </c>
      <c r="DZ59" t="s">
        <v>194</v>
      </c>
      <c r="EA59">
        <v>39.61</v>
      </c>
      <c r="EB59" t="s">
        <v>185</v>
      </c>
      <c r="EC59" s="149">
        <f t="shared" si="1"/>
        <v>0.12429000000000001</v>
      </c>
      <c r="ED59" t="s">
        <v>195</v>
      </c>
      <c r="EE59" t="s">
        <v>196</v>
      </c>
      <c r="EF59" t="s">
        <v>197</v>
      </c>
      <c r="EG59">
        <v>1.0271999999999999</v>
      </c>
      <c r="EH59" t="s">
        <v>171</v>
      </c>
      <c r="EI59" t="s">
        <v>171</v>
      </c>
      <c r="EJ59" t="s">
        <v>198</v>
      </c>
      <c r="EK59" t="s">
        <v>191</v>
      </c>
      <c r="EL59" t="s">
        <v>191</v>
      </c>
      <c r="EM59" t="s">
        <v>199</v>
      </c>
      <c r="EN59" t="s">
        <v>200</v>
      </c>
      <c r="EO59" s="151" t="s">
        <v>201</v>
      </c>
      <c r="EP59" s="151" t="s">
        <v>201</v>
      </c>
      <c r="EQ59" s="144" t="s">
        <v>171</v>
      </c>
      <c r="ER59" s="144" t="s">
        <v>171</v>
      </c>
      <c r="ES59" s="144" t="s">
        <v>171</v>
      </c>
      <c r="ET59" t="s">
        <v>202</v>
      </c>
      <c r="EU59" t="s">
        <v>203</v>
      </c>
      <c r="EV59" t="s">
        <v>171</v>
      </c>
      <c r="EW59">
        <v>2385</v>
      </c>
      <c r="EX59" s="151" t="s">
        <v>204</v>
      </c>
      <c r="EY59" s="151">
        <v>175</v>
      </c>
      <c r="EZ59">
        <v>175</v>
      </c>
      <c r="FA59" t="s">
        <v>171</v>
      </c>
      <c r="FB59" t="s">
        <v>171</v>
      </c>
      <c r="FC59" t="s">
        <v>171</v>
      </c>
      <c r="FD59" t="s">
        <v>171</v>
      </c>
      <c r="FE59" s="152">
        <v>8.1421428716719699</v>
      </c>
      <c r="FF59" t="s">
        <v>205</v>
      </c>
      <c r="FG59" s="144" t="s">
        <v>171</v>
      </c>
      <c r="FH59" s="144" t="s">
        <v>171</v>
      </c>
      <c r="FI59" s="153">
        <v>299.57187669566298</v>
      </c>
      <c r="FJ59">
        <v>21</v>
      </c>
      <c r="FK59" t="s">
        <v>207</v>
      </c>
      <c r="FL59" s="153">
        <v>278.57187669566298</v>
      </c>
      <c r="FM59" s="153">
        <v>42.795249985177009</v>
      </c>
      <c r="FN59" s="153">
        <v>38.624588667118985</v>
      </c>
      <c r="FO59" t="s">
        <v>186</v>
      </c>
      <c r="FP59" t="s">
        <v>208</v>
      </c>
      <c r="FQ59" t="s">
        <v>171</v>
      </c>
      <c r="FR59" t="s">
        <v>171</v>
      </c>
      <c r="FS59" t="s">
        <v>171</v>
      </c>
      <c r="FT59" t="s">
        <v>171</v>
      </c>
      <c r="FU59" t="s">
        <v>171</v>
      </c>
      <c r="FV59" t="s">
        <v>171</v>
      </c>
      <c r="FW59" t="s">
        <v>171</v>
      </c>
      <c r="FX59" t="s">
        <v>171</v>
      </c>
      <c r="FY59" t="s">
        <v>171</v>
      </c>
      <c r="FZ59" t="s">
        <v>171</v>
      </c>
      <c r="GA59" t="s">
        <v>171</v>
      </c>
      <c r="GB59" t="s">
        <v>171</v>
      </c>
    </row>
    <row r="60" spans="1:184" ht="16" x14ac:dyDescent="0.2">
      <c r="A60" t="s">
        <v>217</v>
      </c>
      <c r="B60" s="143" t="s">
        <v>216</v>
      </c>
      <c r="C60" s="138" t="s">
        <v>212</v>
      </c>
      <c r="D60" t="s">
        <v>211</v>
      </c>
      <c r="E60">
        <v>2017</v>
      </c>
      <c r="F60" t="str">
        <f t="shared" si="7"/>
        <v>10.1073/pnas.1702143114</v>
      </c>
      <c r="G60" s="147">
        <f t="shared" si="8"/>
        <v>247.18</v>
      </c>
      <c r="H60">
        <f t="shared" si="2"/>
        <v>4</v>
      </c>
      <c r="I60">
        <f t="shared" si="3"/>
        <v>4</v>
      </c>
      <c r="J60" s="153">
        <f t="shared" si="9"/>
        <v>262.251188330194</v>
      </c>
      <c r="K60" s="153">
        <f t="shared" si="10"/>
        <v>39.463201015588027</v>
      </c>
      <c r="L60" s="153">
        <f t="shared" si="11"/>
        <v>35.708306927115984</v>
      </c>
      <c r="M60" t="b">
        <v>1</v>
      </c>
      <c r="N60">
        <v>3</v>
      </c>
      <c r="O60" s="144" t="s">
        <v>228</v>
      </c>
      <c r="P60" s="144" t="s">
        <v>229</v>
      </c>
      <c r="Q60" t="b">
        <v>0</v>
      </c>
      <c r="R60" t="s">
        <v>214</v>
      </c>
      <c r="S60" t="b">
        <v>1</v>
      </c>
      <c r="T60" t="b">
        <v>0</v>
      </c>
      <c r="U60" t="s">
        <v>171</v>
      </c>
      <c r="V60" t="s">
        <v>171</v>
      </c>
      <c r="W60" t="b">
        <v>0</v>
      </c>
      <c r="X60" t="s">
        <v>171</v>
      </c>
      <c r="Y60" s="139" t="s">
        <v>167</v>
      </c>
      <c r="Z60" s="143" t="s">
        <v>168</v>
      </c>
      <c r="AA60" t="s">
        <v>169</v>
      </c>
      <c r="AB60" s="154" t="s">
        <v>170</v>
      </c>
      <c r="AC60" s="154">
        <v>2</v>
      </c>
      <c r="AD60" s="154">
        <v>2</v>
      </c>
      <c r="AE60" s="154">
        <v>9</v>
      </c>
      <c r="AF60" s="154">
        <f t="shared" si="14"/>
        <v>11</v>
      </c>
      <c r="AG60" s="154">
        <v>9.19</v>
      </c>
      <c r="AH60" s="154">
        <v>9.19</v>
      </c>
      <c r="AI60" t="s">
        <v>171</v>
      </c>
      <c r="AJ60" t="s">
        <v>172</v>
      </c>
      <c r="AK60" s="146">
        <v>12.74</v>
      </c>
      <c r="AL60" s="146">
        <v>-78.739999999999995</v>
      </c>
      <c r="AM60" t="s">
        <v>171</v>
      </c>
      <c r="AN60" t="s">
        <v>171</v>
      </c>
      <c r="AO60">
        <v>-2839</v>
      </c>
      <c r="AP60" t="s">
        <v>171</v>
      </c>
      <c r="AQ60" t="s">
        <v>171</v>
      </c>
      <c r="AR60" t="s">
        <v>171</v>
      </c>
      <c r="AS60" s="147">
        <v>247.18</v>
      </c>
      <c r="AT60" t="s">
        <v>173</v>
      </c>
      <c r="AU60">
        <v>4</v>
      </c>
      <c r="AV60">
        <v>4</v>
      </c>
      <c r="AW60" t="s">
        <v>171</v>
      </c>
      <c r="AX60" t="s">
        <v>174</v>
      </c>
      <c r="AY60" t="s">
        <v>171</v>
      </c>
      <c r="AZ60" t="s">
        <v>171</v>
      </c>
      <c r="BA60" t="s">
        <v>171</v>
      </c>
      <c r="BB60" t="s">
        <v>171</v>
      </c>
      <c r="BC60" t="s">
        <v>171</v>
      </c>
      <c r="BD60" t="s">
        <v>171</v>
      </c>
      <c r="BE60" t="s">
        <v>171</v>
      </c>
      <c r="BF60" t="s">
        <v>171</v>
      </c>
      <c r="BG60" t="s">
        <v>175</v>
      </c>
      <c r="BH60" t="s">
        <v>176</v>
      </c>
      <c r="BI60" t="s">
        <v>177</v>
      </c>
      <c r="BJ60" s="142">
        <v>2</v>
      </c>
      <c r="BK60" t="s">
        <v>178</v>
      </c>
      <c r="BL60" t="s">
        <v>179</v>
      </c>
      <c r="BM60" t="s">
        <v>180</v>
      </c>
      <c r="BN60" t="s">
        <v>171</v>
      </c>
      <c r="BO60" s="142">
        <v>2</v>
      </c>
      <c r="BP60" s="144" t="s">
        <v>171</v>
      </c>
      <c r="BQ60" s="149">
        <v>20.587352240000001</v>
      </c>
      <c r="BR60" t="s">
        <v>181</v>
      </c>
      <c r="BS60" s="149">
        <v>0.21625272200000001</v>
      </c>
      <c r="BT60">
        <v>0.64</v>
      </c>
      <c r="BU60" t="s">
        <v>182</v>
      </c>
      <c r="BV60">
        <v>3.4000000000000002E-2</v>
      </c>
      <c r="BW60">
        <v>9.1</v>
      </c>
      <c r="BX60" t="s">
        <v>173</v>
      </c>
      <c r="BY60">
        <v>0.56000000000000005</v>
      </c>
      <c r="BZ60" t="s">
        <v>183</v>
      </c>
      <c r="CA60" t="s">
        <v>184</v>
      </c>
      <c r="CB60" s="148">
        <f t="shared" si="6"/>
        <v>19.528920400000004</v>
      </c>
      <c r="CC60" s="144" t="s">
        <v>185</v>
      </c>
      <c r="CD60" s="144" t="s">
        <v>171</v>
      </c>
      <c r="CE60" s="144" t="s">
        <v>171</v>
      </c>
      <c r="CF60" t="s">
        <v>186</v>
      </c>
      <c r="CG60" s="144">
        <v>10</v>
      </c>
      <c r="CH60" s="144" t="s">
        <v>187</v>
      </c>
      <c r="CI60" s="144" t="s">
        <v>171</v>
      </c>
      <c r="CJ60" s="147">
        <v>25.83</v>
      </c>
      <c r="CK60" t="s">
        <v>173</v>
      </c>
      <c r="CL60">
        <v>3</v>
      </c>
      <c r="CM60">
        <v>3</v>
      </c>
      <c r="CN60" t="s">
        <v>171</v>
      </c>
      <c r="CO60" s="149">
        <v>3.8858090860767556</v>
      </c>
      <c r="CP60" t="s">
        <v>188</v>
      </c>
      <c r="CQ60" s="149">
        <v>0.15543236344307024</v>
      </c>
      <c r="CR60" s="149">
        <v>0.15543236344307024</v>
      </c>
      <c r="CS60" s="150" t="s">
        <v>171</v>
      </c>
      <c r="CT60" t="s">
        <v>189</v>
      </c>
      <c r="CU60" t="s">
        <v>171</v>
      </c>
      <c r="CV60" t="s">
        <v>190</v>
      </c>
      <c r="CW60" t="s">
        <v>191</v>
      </c>
      <c r="CX60" t="s">
        <v>191</v>
      </c>
      <c r="CY60" t="s">
        <v>191</v>
      </c>
      <c r="CZ60" t="s">
        <v>171</v>
      </c>
      <c r="DA60" t="s">
        <v>171</v>
      </c>
      <c r="DB60" t="s">
        <v>171</v>
      </c>
      <c r="DC60" t="s">
        <v>171</v>
      </c>
      <c r="DD60" t="s">
        <v>171</v>
      </c>
      <c r="DE60" t="s">
        <v>171</v>
      </c>
      <c r="DF60" t="s">
        <v>171</v>
      </c>
      <c r="DG60">
        <v>35</v>
      </c>
      <c r="DH60" t="s">
        <v>185</v>
      </c>
      <c r="DI60" s="142">
        <v>3</v>
      </c>
      <c r="DJ60" s="144" t="s">
        <v>192</v>
      </c>
      <c r="DK60" s="144" t="s">
        <v>171</v>
      </c>
      <c r="DL60" s="144" t="s">
        <v>171</v>
      </c>
      <c r="DM60" s="144" t="s">
        <v>171</v>
      </c>
      <c r="DN60" s="144" t="s">
        <v>171</v>
      </c>
      <c r="DO60" s="144" t="s">
        <v>171</v>
      </c>
      <c r="DP60" s="144" t="s">
        <v>171</v>
      </c>
      <c r="DQ60" s="144" t="s">
        <v>171</v>
      </c>
      <c r="DR60" s="144" t="s">
        <v>171</v>
      </c>
      <c r="DS60" s="144" t="s">
        <v>171</v>
      </c>
      <c r="DT60" s="144" t="s">
        <v>171</v>
      </c>
      <c r="DU60" s="144" t="s">
        <v>171</v>
      </c>
      <c r="DV60" s="144" t="s">
        <v>171</v>
      </c>
      <c r="DW60" s="147">
        <v>432.56244218316402</v>
      </c>
      <c r="DX60" t="s">
        <v>193</v>
      </c>
      <c r="DY60">
        <v>37.1</v>
      </c>
      <c r="DZ60" t="s">
        <v>194</v>
      </c>
      <c r="EA60">
        <v>39.61</v>
      </c>
      <c r="EB60" t="s">
        <v>185</v>
      </c>
      <c r="EC60" s="149">
        <f t="shared" si="1"/>
        <v>0.12471800000000001</v>
      </c>
      <c r="ED60" t="s">
        <v>195</v>
      </c>
      <c r="EE60" t="s">
        <v>196</v>
      </c>
      <c r="EF60" t="s">
        <v>197</v>
      </c>
      <c r="EG60">
        <v>1.0271999999999999</v>
      </c>
      <c r="EH60" t="s">
        <v>171</v>
      </c>
      <c r="EI60" t="s">
        <v>171</v>
      </c>
      <c r="EJ60" t="s">
        <v>198</v>
      </c>
      <c r="EK60" t="s">
        <v>191</v>
      </c>
      <c r="EL60" t="s">
        <v>191</v>
      </c>
      <c r="EM60" t="s">
        <v>199</v>
      </c>
      <c r="EN60" t="s">
        <v>200</v>
      </c>
      <c r="EO60" s="151" t="s">
        <v>201</v>
      </c>
      <c r="EP60" s="151" t="s">
        <v>201</v>
      </c>
      <c r="EQ60" s="144" t="s">
        <v>171</v>
      </c>
      <c r="ER60" s="144" t="s">
        <v>171</v>
      </c>
      <c r="ES60" s="144" t="s">
        <v>171</v>
      </c>
      <c r="ET60" t="s">
        <v>202</v>
      </c>
      <c r="EU60" t="s">
        <v>203</v>
      </c>
      <c r="EV60" t="s">
        <v>171</v>
      </c>
      <c r="EW60">
        <v>2386</v>
      </c>
      <c r="EX60" s="151" t="s">
        <v>204</v>
      </c>
      <c r="EY60" s="151">
        <v>175</v>
      </c>
      <c r="EZ60">
        <v>175</v>
      </c>
      <c r="FA60" t="s">
        <v>171</v>
      </c>
      <c r="FB60" t="s">
        <v>171</v>
      </c>
      <c r="FC60" t="s">
        <v>171</v>
      </c>
      <c r="FD60" t="s">
        <v>171</v>
      </c>
      <c r="FE60" s="152">
        <v>8.1605533440888003</v>
      </c>
      <c r="FF60" t="s">
        <v>205</v>
      </c>
      <c r="FG60" s="144" t="s">
        <v>171</v>
      </c>
      <c r="FH60" s="144" t="s">
        <v>171</v>
      </c>
      <c r="FI60" s="153">
        <v>283.251188330194</v>
      </c>
      <c r="FJ60">
        <v>21</v>
      </c>
      <c r="FK60" t="s">
        <v>207</v>
      </c>
      <c r="FL60" s="153">
        <v>262.251188330194</v>
      </c>
      <c r="FM60" s="153">
        <v>39.463201015588027</v>
      </c>
      <c r="FN60" s="153">
        <v>35.708306927115984</v>
      </c>
      <c r="FO60" t="s">
        <v>186</v>
      </c>
      <c r="FP60" t="s">
        <v>208</v>
      </c>
      <c r="FQ60" t="s">
        <v>171</v>
      </c>
      <c r="FR60" t="s">
        <v>171</v>
      </c>
      <c r="FS60" t="s">
        <v>171</v>
      </c>
      <c r="FT60" t="s">
        <v>171</v>
      </c>
      <c r="FU60" t="s">
        <v>171</v>
      </c>
      <c r="FV60" t="s">
        <v>171</v>
      </c>
      <c r="FW60" t="s">
        <v>171</v>
      </c>
      <c r="FX60" t="s">
        <v>171</v>
      </c>
      <c r="FY60" t="s">
        <v>171</v>
      </c>
      <c r="FZ60" t="s">
        <v>171</v>
      </c>
      <c r="GA60" t="s">
        <v>171</v>
      </c>
      <c r="GB60" t="s">
        <v>171</v>
      </c>
    </row>
    <row r="61" spans="1:184" ht="16" x14ac:dyDescent="0.2">
      <c r="A61" t="s">
        <v>217</v>
      </c>
      <c r="B61" s="143" t="s">
        <v>216</v>
      </c>
      <c r="C61" s="138" t="s">
        <v>212</v>
      </c>
      <c r="D61" t="s">
        <v>211</v>
      </c>
      <c r="E61">
        <v>2017</v>
      </c>
      <c r="F61" t="str">
        <f t="shared" si="7"/>
        <v>10.1073/pnas.1702143114</v>
      </c>
      <c r="G61" s="147">
        <f t="shared" si="8"/>
        <v>250.07</v>
      </c>
      <c r="H61">
        <f t="shared" si="2"/>
        <v>4</v>
      </c>
      <c r="I61">
        <f t="shared" si="3"/>
        <v>4</v>
      </c>
      <c r="J61" s="153">
        <f t="shared" si="9"/>
        <v>222.839039102828</v>
      </c>
      <c r="K61" s="153">
        <f t="shared" si="10"/>
        <v>35.57059120549502</v>
      </c>
      <c r="L61" s="153">
        <f t="shared" si="11"/>
        <v>33.120287849253998</v>
      </c>
      <c r="M61" t="b">
        <v>1</v>
      </c>
      <c r="N61">
        <v>3</v>
      </c>
      <c r="O61" s="144" t="s">
        <v>228</v>
      </c>
      <c r="P61" s="144" t="s">
        <v>229</v>
      </c>
      <c r="Q61" t="b">
        <v>0</v>
      </c>
      <c r="R61" t="s">
        <v>214</v>
      </c>
      <c r="S61" t="b">
        <v>1</v>
      </c>
      <c r="T61" t="b">
        <v>0</v>
      </c>
      <c r="U61" t="s">
        <v>171</v>
      </c>
      <c r="V61" t="s">
        <v>171</v>
      </c>
      <c r="W61" t="b">
        <v>0</v>
      </c>
      <c r="X61" t="s">
        <v>171</v>
      </c>
      <c r="Y61" s="139" t="s">
        <v>167</v>
      </c>
      <c r="Z61" s="143" t="s">
        <v>168</v>
      </c>
      <c r="AA61" t="s">
        <v>169</v>
      </c>
      <c r="AB61" s="154" t="s">
        <v>170</v>
      </c>
      <c r="AC61" s="154">
        <v>2</v>
      </c>
      <c r="AD61" s="154">
        <v>2</v>
      </c>
      <c r="AE61" s="154">
        <v>23</v>
      </c>
      <c r="AF61" s="154">
        <v>24</v>
      </c>
      <c r="AG61" s="154">
        <v>9.33</v>
      </c>
      <c r="AH61" s="154">
        <v>9.33</v>
      </c>
      <c r="AI61" t="s">
        <v>171</v>
      </c>
      <c r="AJ61" t="s">
        <v>172</v>
      </c>
      <c r="AK61" s="146">
        <v>12.74</v>
      </c>
      <c r="AL61" s="146">
        <v>-78.739999999999995</v>
      </c>
      <c r="AM61" t="s">
        <v>171</v>
      </c>
      <c r="AN61" t="s">
        <v>171</v>
      </c>
      <c r="AO61">
        <v>-2839</v>
      </c>
      <c r="AP61" t="s">
        <v>171</v>
      </c>
      <c r="AQ61" t="s">
        <v>171</v>
      </c>
      <c r="AR61" t="s">
        <v>171</v>
      </c>
      <c r="AS61" s="147">
        <v>250.07</v>
      </c>
      <c r="AT61" t="s">
        <v>173</v>
      </c>
      <c r="AU61">
        <v>4</v>
      </c>
      <c r="AV61">
        <v>4</v>
      </c>
      <c r="AW61" t="s">
        <v>171</v>
      </c>
      <c r="AX61" t="s">
        <v>174</v>
      </c>
      <c r="AY61" t="s">
        <v>171</v>
      </c>
      <c r="AZ61" t="s">
        <v>171</v>
      </c>
      <c r="BA61" t="s">
        <v>171</v>
      </c>
      <c r="BB61" t="s">
        <v>171</v>
      </c>
      <c r="BC61" t="s">
        <v>171</v>
      </c>
      <c r="BD61" t="s">
        <v>171</v>
      </c>
      <c r="BE61" t="s">
        <v>171</v>
      </c>
      <c r="BF61" t="s">
        <v>171</v>
      </c>
      <c r="BG61" t="s">
        <v>175</v>
      </c>
      <c r="BH61" t="s">
        <v>176</v>
      </c>
      <c r="BI61" t="s">
        <v>177</v>
      </c>
      <c r="BJ61" s="142">
        <v>2</v>
      </c>
      <c r="BK61" t="s">
        <v>178</v>
      </c>
      <c r="BL61" t="s">
        <v>179</v>
      </c>
      <c r="BM61" t="s">
        <v>180</v>
      </c>
      <c r="BN61" t="s">
        <v>171</v>
      </c>
      <c r="BO61" s="142">
        <v>2</v>
      </c>
      <c r="BP61" s="144" t="s">
        <v>171</v>
      </c>
      <c r="BQ61" s="149">
        <v>21.001365960000001</v>
      </c>
      <c r="BR61" t="s">
        <v>181</v>
      </c>
      <c r="BS61" s="149">
        <v>0.21711803800000001</v>
      </c>
      <c r="BT61">
        <v>0.64</v>
      </c>
      <c r="BU61" t="s">
        <v>182</v>
      </c>
      <c r="BV61">
        <v>3.4000000000000002E-2</v>
      </c>
      <c r="BW61">
        <v>9.1</v>
      </c>
      <c r="BX61" t="s">
        <v>173</v>
      </c>
      <c r="BY61">
        <v>0.56000000000000005</v>
      </c>
      <c r="BZ61" t="s">
        <v>183</v>
      </c>
      <c r="CA61" t="s">
        <v>184</v>
      </c>
      <c r="CB61" s="148">
        <f t="shared" si="6"/>
        <v>20.21894326666667</v>
      </c>
      <c r="CC61" s="144" t="s">
        <v>185</v>
      </c>
      <c r="CD61" s="144" t="s">
        <v>171</v>
      </c>
      <c r="CE61" s="144" t="s">
        <v>171</v>
      </c>
      <c r="CF61" t="s">
        <v>186</v>
      </c>
      <c r="CG61" s="144">
        <v>10</v>
      </c>
      <c r="CH61" s="144" t="s">
        <v>187</v>
      </c>
      <c r="CI61" s="144" t="s">
        <v>171</v>
      </c>
      <c r="CJ61" s="147">
        <v>26.36</v>
      </c>
      <c r="CK61" t="s">
        <v>173</v>
      </c>
      <c r="CL61">
        <v>3</v>
      </c>
      <c r="CM61">
        <v>3</v>
      </c>
      <c r="CN61" t="s">
        <v>171</v>
      </c>
      <c r="CO61" s="149">
        <v>4.0729728930561304</v>
      </c>
      <c r="CP61" t="s">
        <v>188</v>
      </c>
      <c r="CQ61" s="149">
        <v>0.16291891572224523</v>
      </c>
      <c r="CR61" s="149">
        <v>0.16291891572224523</v>
      </c>
      <c r="CS61" s="150" t="s">
        <v>171</v>
      </c>
      <c r="CT61" t="s">
        <v>189</v>
      </c>
      <c r="CU61" t="s">
        <v>171</v>
      </c>
      <c r="CV61" t="s">
        <v>190</v>
      </c>
      <c r="CW61" t="s">
        <v>191</v>
      </c>
      <c r="CX61" t="s">
        <v>191</v>
      </c>
      <c r="CY61" t="s">
        <v>191</v>
      </c>
      <c r="CZ61" t="s">
        <v>171</v>
      </c>
      <c r="DA61" t="s">
        <v>171</v>
      </c>
      <c r="DB61" t="s">
        <v>171</v>
      </c>
      <c r="DC61" t="s">
        <v>171</v>
      </c>
      <c r="DD61" t="s">
        <v>171</v>
      </c>
      <c r="DE61" t="s">
        <v>171</v>
      </c>
      <c r="DF61" t="s">
        <v>171</v>
      </c>
      <c r="DG61">
        <v>35</v>
      </c>
      <c r="DH61" t="s">
        <v>185</v>
      </c>
      <c r="DI61" s="142">
        <v>3</v>
      </c>
      <c r="DJ61" s="144" t="s">
        <v>192</v>
      </c>
      <c r="DK61" s="144" t="s">
        <v>171</v>
      </c>
      <c r="DL61" s="144" t="s">
        <v>171</v>
      </c>
      <c r="DM61" s="144" t="s">
        <v>171</v>
      </c>
      <c r="DN61" s="144" t="s">
        <v>171</v>
      </c>
      <c r="DO61" s="144" t="s">
        <v>171</v>
      </c>
      <c r="DP61" s="144" t="s">
        <v>171</v>
      </c>
      <c r="DQ61" s="144" t="s">
        <v>171</v>
      </c>
      <c r="DR61" s="144" t="s">
        <v>171</v>
      </c>
      <c r="DS61" s="144" t="s">
        <v>171</v>
      </c>
      <c r="DT61" s="144" t="s">
        <v>171</v>
      </c>
      <c r="DU61" s="144" t="s">
        <v>171</v>
      </c>
      <c r="DV61" s="144" t="s">
        <v>171</v>
      </c>
      <c r="DW61" s="147">
        <v>432.56244218316402</v>
      </c>
      <c r="DX61" t="s">
        <v>193</v>
      </c>
      <c r="DY61">
        <v>37.1</v>
      </c>
      <c r="DZ61" t="s">
        <v>194</v>
      </c>
      <c r="EA61">
        <v>39.61</v>
      </c>
      <c r="EB61" t="s">
        <v>185</v>
      </c>
      <c r="EC61" s="149">
        <f t="shared" si="1"/>
        <v>0.12500700000000001</v>
      </c>
      <c r="ED61" t="s">
        <v>195</v>
      </c>
      <c r="EE61" t="s">
        <v>196</v>
      </c>
      <c r="EF61" t="s">
        <v>197</v>
      </c>
      <c r="EG61">
        <v>1.0271999999999999</v>
      </c>
      <c r="EH61" t="s">
        <v>171</v>
      </c>
      <c r="EI61" t="s">
        <v>171</v>
      </c>
      <c r="EJ61" t="s">
        <v>198</v>
      </c>
      <c r="EK61" t="s">
        <v>191</v>
      </c>
      <c r="EL61" t="s">
        <v>191</v>
      </c>
      <c r="EM61" t="s">
        <v>199</v>
      </c>
      <c r="EN61" t="s">
        <v>200</v>
      </c>
      <c r="EO61" s="151" t="s">
        <v>201</v>
      </c>
      <c r="EP61" s="151" t="s">
        <v>201</v>
      </c>
      <c r="EQ61" s="144" t="s">
        <v>171</v>
      </c>
      <c r="ER61" s="144" t="s">
        <v>171</v>
      </c>
      <c r="ES61" s="144" t="s">
        <v>171</v>
      </c>
      <c r="ET61" t="s">
        <v>202</v>
      </c>
      <c r="EU61" t="s">
        <v>203</v>
      </c>
      <c r="EV61" t="s">
        <v>171</v>
      </c>
      <c r="EW61">
        <v>2387</v>
      </c>
      <c r="EX61" s="151" t="s">
        <v>204</v>
      </c>
      <c r="EY61" s="151">
        <v>175</v>
      </c>
      <c r="EZ61">
        <v>175</v>
      </c>
      <c r="FA61" t="s">
        <v>171</v>
      </c>
      <c r="FB61" t="s">
        <v>171</v>
      </c>
      <c r="FC61" t="s">
        <v>171</v>
      </c>
      <c r="FD61" t="s">
        <v>171</v>
      </c>
      <c r="FE61" s="152">
        <v>8.2100127707091204</v>
      </c>
      <c r="FF61" t="s">
        <v>205</v>
      </c>
      <c r="FG61" s="144" t="s">
        <v>171</v>
      </c>
      <c r="FH61" s="144" t="s">
        <v>171</v>
      </c>
      <c r="FI61" s="153">
        <v>243.839039102828</v>
      </c>
      <c r="FJ61">
        <v>21</v>
      </c>
      <c r="FK61" t="s">
        <v>207</v>
      </c>
      <c r="FL61" s="153">
        <v>222.839039102828</v>
      </c>
      <c r="FM61" s="153">
        <v>35.57059120549502</v>
      </c>
      <c r="FN61" s="153">
        <v>33.120287849253998</v>
      </c>
      <c r="FO61" t="s">
        <v>186</v>
      </c>
      <c r="FP61" t="s">
        <v>208</v>
      </c>
      <c r="FQ61" t="s">
        <v>171</v>
      </c>
      <c r="FR61" t="s">
        <v>171</v>
      </c>
      <c r="FS61" t="s">
        <v>171</v>
      </c>
      <c r="FT61" t="s">
        <v>171</v>
      </c>
      <c r="FU61" t="s">
        <v>171</v>
      </c>
      <c r="FV61" t="s">
        <v>171</v>
      </c>
      <c r="FW61" t="s">
        <v>171</v>
      </c>
      <c r="FX61" t="s">
        <v>171</v>
      </c>
      <c r="FY61" t="s">
        <v>171</v>
      </c>
      <c r="FZ61" t="s">
        <v>171</v>
      </c>
      <c r="GA61" t="s">
        <v>171</v>
      </c>
      <c r="GB61" t="s">
        <v>171</v>
      </c>
    </row>
    <row r="62" spans="1:184" ht="16" x14ac:dyDescent="0.2">
      <c r="A62" t="s">
        <v>217</v>
      </c>
      <c r="B62" s="143" t="s">
        <v>216</v>
      </c>
      <c r="C62" s="138" t="s">
        <v>212</v>
      </c>
      <c r="D62" t="s">
        <v>211</v>
      </c>
      <c r="E62">
        <v>2017</v>
      </c>
      <c r="F62" t="str">
        <f t="shared" si="7"/>
        <v>10.1073/pnas.1702143114</v>
      </c>
      <c r="G62" s="147">
        <f t="shared" si="8"/>
        <v>257.83999999999997</v>
      </c>
      <c r="H62">
        <f t="shared" si="2"/>
        <v>4</v>
      </c>
      <c r="I62">
        <f t="shared" si="3"/>
        <v>4</v>
      </c>
      <c r="J62" s="153">
        <f t="shared" si="9"/>
        <v>232.39739818482099</v>
      </c>
      <c r="K62" s="153">
        <f t="shared" si="10"/>
        <v>36.903785025357024</v>
      </c>
      <c r="L62" s="153">
        <f t="shared" si="11"/>
        <v>33.432257991064972</v>
      </c>
      <c r="M62" t="b">
        <v>1</v>
      </c>
      <c r="N62">
        <v>3</v>
      </c>
      <c r="O62" s="144" t="s">
        <v>228</v>
      </c>
      <c r="P62" s="144" t="s">
        <v>229</v>
      </c>
      <c r="Q62" t="b">
        <v>0</v>
      </c>
      <c r="R62" t="s">
        <v>214</v>
      </c>
      <c r="S62" t="b">
        <v>1</v>
      </c>
      <c r="T62" t="b">
        <v>0</v>
      </c>
      <c r="U62" t="s">
        <v>171</v>
      </c>
      <c r="V62" t="s">
        <v>171</v>
      </c>
      <c r="W62" t="b">
        <v>0</v>
      </c>
      <c r="X62" t="s">
        <v>171</v>
      </c>
      <c r="Y62" s="139" t="s">
        <v>167</v>
      </c>
      <c r="Z62" s="143" t="s">
        <v>168</v>
      </c>
      <c r="AA62" t="s">
        <v>169</v>
      </c>
      <c r="AB62" s="154" t="s">
        <v>170</v>
      </c>
      <c r="AC62" s="154">
        <v>2</v>
      </c>
      <c r="AD62" s="154">
        <v>2</v>
      </c>
      <c r="AE62" s="154">
        <v>63</v>
      </c>
      <c r="AF62" s="154">
        <f>AE62+2</f>
        <v>65</v>
      </c>
      <c r="AG62" s="154">
        <v>9.73</v>
      </c>
      <c r="AH62" s="154">
        <v>9.73</v>
      </c>
      <c r="AI62" t="s">
        <v>171</v>
      </c>
      <c r="AJ62" t="s">
        <v>172</v>
      </c>
      <c r="AK62" s="146">
        <v>12.74</v>
      </c>
      <c r="AL62" s="146">
        <v>-78.739999999999995</v>
      </c>
      <c r="AM62" t="s">
        <v>171</v>
      </c>
      <c r="AN62" t="s">
        <v>171</v>
      </c>
      <c r="AO62">
        <v>-2839</v>
      </c>
      <c r="AP62" t="s">
        <v>171</v>
      </c>
      <c r="AQ62" t="s">
        <v>171</v>
      </c>
      <c r="AR62" t="s">
        <v>171</v>
      </c>
      <c r="AS62" s="147">
        <v>257.83999999999997</v>
      </c>
      <c r="AT62" t="s">
        <v>173</v>
      </c>
      <c r="AU62">
        <v>4</v>
      </c>
      <c r="AV62">
        <v>4</v>
      </c>
      <c r="AW62" t="s">
        <v>171</v>
      </c>
      <c r="AX62" t="s">
        <v>174</v>
      </c>
      <c r="AY62" t="s">
        <v>171</v>
      </c>
      <c r="AZ62" t="s">
        <v>171</v>
      </c>
      <c r="BA62" t="s">
        <v>171</v>
      </c>
      <c r="BB62" t="s">
        <v>171</v>
      </c>
      <c r="BC62" t="s">
        <v>171</v>
      </c>
      <c r="BD62" t="s">
        <v>171</v>
      </c>
      <c r="BE62" t="s">
        <v>171</v>
      </c>
      <c r="BF62" t="s">
        <v>171</v>
      </c>
      <c r="BG62" t="s">
        <v>175</v>
      </c>
      <c r="BH62" t="s">
        <v>176</v>
      </c>
      <c r="BI62" t="s">
        <v>177</v>
      </c>
      <c r="BJ62" s="142">
        <v>2</v>
      </c>
      <c r="BK62" t="s">
        <v>178</v>
      </c>
      <c r="BL62" t="s">
        <v>179</v>
      </c>
      <c r="BM62" t="s">
        <v>180</v>
      </c>
      <c r="BN62" t="s">
        <v>171</v>
      </c>
      <c r="BO62" s="142">
        <v>2</v>
      </c>
      <c r="BP62" s="144" t="s">
        <v>171</v>
      </c>
      <c r="BQ62" s="149">
        <v>20.843040089999999</v>
      </c>
      <c r="BR62" t="s">
        <v>181</v>
      </c>
      <c r="BS62" s="149">
        <v>0.19765560400000001</v>
      </c>
      <c r="BT62">
        <v>0.64</v>
      </c>
      <c r="BU62" t="s">
        <v>182</v>
      </c>
      <c r="BV62">
        <v>3.4000000000000002E-2</v>
      </c>
      <c r="BW62">
        <v>9.1</v>
      </c>
      <c r="BX62" t="s">
        <v>173</v>
      </c>
      <c r="BY62">
        <v>0.56000000000000005</v>
      </c>
      <c r="BZ62" t="s">
        <v>183</v>
      </c>
      <c r="CA62" t="s">
        <v>184</v>
      </c>
      <c r="CB62" s="148">
        <f t="shared" si="6"/>
        <v>19.955066816666665</v>
      </c>
      <c r="CC62" s="144" t="s">
        <v>185</v>
      </c>
      <c r="CD62" s="144" t="s">
        <v>171</v>
      </c>
      <c r="CE62" s="144" t="s">
        <v>171</v>
      </c>
      <c r="CF62" t="s">
        <v>186</v>
      </c>
      <c r="CG62" s="144">
        <v>10</v>
      </c>
      <c r="CH62" s="144" t="s">
        <v>187</v>
      </c>
      <c r="CI62" s="144" t="s">
        <v>171</v>
      </c>
      <c r="CJ62" s="147">
        <v>25.55</v>
      </c>
      <c r="CK62" t="s">
        <v>173</v>
      </c>
      <c r="CL62">
        <v>3</v>
      </c>
      <c r="CM62">
        <v>3</v>
      </c>
      <c r="CN62" t="s">
        <v>171</v>
      </c>
      <c r="CO62" s="149">
        <v>3.7879258128868036</v>
      </c>
      <c r="CP62" t="s">
        <v>188</v>
      </c>
      <c r="CQ62" s="149">
        <v>0.15151703251547216</v>
      </c>
      <c r="CR62" s="149">
        <v>0.15151703251547216</v>
      </c>
      <c r="CS62" s="150" t="s">
        <v>171</v>
      </c>
      <c r="CT62" t="s">
        <v>189</v>
      </c>
      <c r="CU62" t="s">
        <v>171</v>
      </c>
      <c r="CV62" t="s">
        <v>190</v>
      </c>
      <c r="CW62" t="s">
        <v>191</v>
      </c>
      <c r="CX62" t="s">
        <v>191</v>
      </c>
      <c r="CY62" t="s">
        <v>191</v>
      </c>
      <c r="CZ62" t="s">
        <v>171</v>
      </c>
      <c r="DA62" t="s">
        <v>171</v>
      </c>
      <c r="DB62" t="s">
        <v>171</v>
      </c>
      <c r="DC62" t="s">
        <v>171</v>
      </c>
      <c r="DD62" t="s">
        <v>171</v>
      </c>
      <c r="DE62" t="s">
        <v>171</v>
      </c>
      <c r="DF62" t="s">
        <v>171</v>
      </c>
      <c r="DG62">
        <v>35</v>
      </c>
      <c r="DH62" t="s">
        <v>185</v>
      </c>
      <c r="DI62" s="142">
        <v>3</v>
      </c>
      <c r="DJ62" s="144" t="s">
        <v>192</v>
      </c>
      <c r="DK62" s="144" t="s">
        <v>171</v>
      </c>
      <c r="DL62" s="144" t="s">
        <v>171</v>
      </c>
      <c r="DM62" s="144" t="s">
        <v>171</v>
      </c>
      <c r="DN62" s="144" t="s">
        <v>171</v>
      </c>
      <c r="DO62" s="144" t="s">
        <v>171</v>
      </c>
      <c r="DP62" s="144" t="s">
        <v>171</v>
      </c>
      <c r="DQ62" s="144" t="s">
        <v>171</v>
      </c>
      <c r="DR62" s="144" t="s">
        <v>171</v>
      </c>
      <c r="DS62" s="144" t="s">
        <v>171</v>
      </c>
      <c r="DT62" s="144" t="s">
        <v>171</v>
      </c>
      <c r="DU62" s="144" t="s">
        <v>171</v>
      </c>
      <c r="DV62" s="144" t="s">
        <v>171</v>
      </c>
      <c r="DW62" s="147">
        <v>432.56244218316402</v>
      </c>
      <c r="DX62" t="s">
        <v>193</v>
      </c>
      <c r="DY62">
        <v>37.1</v>
      </c>
      <c r="DZ62" t="s">
        <v>194</v>
      </c>
      <c r="EA62">
        <v>39.61</v>
      </c>
      <c r="EB62" t="s">
        <v>185</v>
      </c>
      <c r="EC62" s="149">
        <f t="shared" si="1"/>
        <v>0.12578400000000001</v>
      </c>
      <c r="ED62" t="s">
        <v>195</v>
      </c>
      <c r="EE62" t="s">
        <v>196</v>
      </c>
      <c r="EF62" t="s">
        <v>197</v>
      </c>
      <c r="EG62">
        <v>1.0271999999999999</v>
      </c>
      <c r="EH62" t="s">
        <v>171</v>
      </c>
      <c r="EI62" t="s">
        <v>171</v>
      </c>
      <c r="EJ62" t="s">
        <v>198</v>
      </c>
      <c r="EK62" t="s">
        <v>191</v>
      </c>
      <c r="EL62" t="s">
        <v>191</v>
      </c>
      <c r="EM62" t="s">
        <v>199</v>
      </c>
      <c r="EN62" t="s">
        <v>200</v>
      </c>
      <c r="EO62" s="151" t="s">
        <v>201</v>
      </c>
      <c r="EP62" s="151" t="s">
        <v>201</v>
      </c>
      <c r="EQ62" s="144" t="s">
        <v>171</v>
      </c>
      <c r="ER62" s="144" t="s">
        <v>171</v>
      </c>
      <c r="ES62" s="144" t="s">
        <v>171</v>
      </c>
      <c r="ET62" t="s">
        <v>202</v>
      </c>
      <c r="EU62" t="s">
        <v>203</v>
      </c>
      <c r="EV62" t="s">
        <v>171</v>
      </c>
      <c r="EW62">
        <v>2388</v>
      </c>
      <c r="EX62" s="151" t="s">
        <v>204</v>
      </c>
      <c r="EY62" s="151">
        <v>175</v>
      </c>
      <c r="EZ62">
        <v>175</v>
      </c>
      <c r="FA62" t="s">
        <v>171</v>
      </c>
      <c r="FB62" t="s">
        <v>171</v>
      </c>
      <c r="FC62" t="s">
        <v>171</v>
      </c>
      <c r="FD62" t="s">
        <v>171</v>
      </c>
      <c r="FE62" s="152">
        <v>8.1986125494401794</v>
      </c>
      <c r="FF62" t="s">
        <v>205</v>
      </c>
      <c r="FG62" s="144" t="s">
        <v>171</v>
      </c>
      <c r="FH62" s="144" t="s">
        <v>171</v>
      </c>
      <c r="FI62" s="153">
        <v>253.39739818482099</v>
      </c>
      <c r="FJ62">
        <v>21</v>
      </c>
      <c r="FK62" t="s">
        <v>207</v>
      </c>
      <c r="FL62" s="153">
        <v>232.39739818482099</v>
      </c>
      <c r="FM62" s="153">
        <v>36.903785025357024</v>
      </c>
      <c r="FN62" s="153">
        <v>33.432257991064972</v>
      </c>
      <c r="FO62" t="s">
        <v>186</v>
      </c>
      <c r="FP62" t="s">
        <v>208</v>
      </c>
      <c r="FQ62" t="s">
        <v>171</v>
      </c>
      <c r="FR62" t="s">
        <v>171</v>
      </c>
      <c r="FS62" t="s">
        <v>171</v>
      </c>
      <c r="FT62" t="s">
        <v>171</v>
      </c>
      <c r="FU62" t="s">
        <v>171</v>
      </c>
      <c r="FV62" t="s">
        <v>171</v>
      </c>
      <c r="FW62" t="s">
        <v>171</v>
      </c>
      <c r="FX62" t="s">
        <v>171</v>
      </c>
      <c r="FY62" t="s">
        <v>171</v>
      </c>
      <c r="FZ62" t="s">
        <v>171</v>
      </c>
      <c r="GA62" t="s">
        <v>171</v>
      </c>
      <c r="GB62" t="s">
        <v>171</v>
      </c>
    </row>
    <row r="63" spans="1:184" ht="16" x14ac:dyDescent="0.2">
      <c r="A63" t="s">
        <v>217</v>
      </c>
      <c r="B63" s="143" t="s">
        <v>216</v>
      </c>
      <c r="C63" s="138" t="s">
        <v>212</v>
      </c>
      <c r="D63" t="s">
        <v>211</v>
      </c>
      <c r="E63">
        <v>2017</v>
      </c>
      <c r="F63" t="str">
        <f t="shared" si="7"/>
        <v>10.1073/pnas.1702143114</v>
      </c>
      <c r="G63" s="147">
        <f t="shared" si="8"/>
        <v>1087.26</v>
      </c>
      <c r="H63">
        <f t="shared" si="2"/>
        <v>6</v>
      </c>
      <c r="I63">
        <f t="shared" si="3"/>
        <v>6</v>
      </c>
      <c r="J63" s="153">
        <f t="shared" si="9"/>
        <v>228.15143019999999</v>
      </c>
      <c r="K63" s="153">
        <f t="shared" si="10"/>
        <v>35.212054852921995</v>
      </c>
      <c r="L63" s="153">
        <f t="shared" si="11"/>
        <v>33.890128449640002</v>
      </c>
      <c r="M63" t="b">
        <v>1</v>
      </c>
      <c r="N63">
        <v>3</v>
      </c>
      <c r="O63" s="144" t="s">
        <v>228</v>
      </c>
      <c r="P63" s="144" t="s">
        <v>229</v>
      </c>
      <c r="Q63" t="b">
        <v>0</v>
      </c>
      <c r="R63" t="s">
        <v>214</v>
      </c>
      <c r="S63" t="b">
        <v>1</v>
      </c>
      <c r="T63" t="b">
        <v>0</v>
      </c>
      <c r="U63" t="s">
        <v>171</v>
      </c>
      <c r="V63" t="s">
        <v>171</v>
      </c>
      <c r="W63" t="b">
        <v>0</v>
      </c>
      <c r="X63" t="s">
        <v>171</v>
      </c>
      <c r="Y63" s="139" t="s">
        <v>167</v>
      </c>
      <c r="Z63" s="143" t="s">
        <v>168</v>
      </c>
      <c r="AA63" t="s">
        <v>169</v>
      </c>
      <c r="AB63" s="157" t="s">
        <v>210</v>
      </c>
      <c r="AC63" s="157">
        <v>4</v>
      </c>
      <c r="AD63" s="157">
        <v>7</v>
      </c>
      <c r="AE63" s="158">
        <v>22</v>
      </c>
      <c r="AF63" s="158">
        <f t="shared" ref="AF63:AF113" si="15">AE63+2</f>
        <v>24</v>
      </c>
      <c r="AG63" s="159">
        <v>35.82</v>
      </c>
      <c r="AH63" s="159">
        <v>35.82</v>
      </c>
      <c r="AI63" t="s">
        <v>171</v>
      </c>
      <c r="AJ63" t="s">
        <v>172</v>
      </c>
      <c r="AK63" s="146">
        <v>12.74</v>
      </c>
      <c r="AL63" s="146">
        <v>-78.739999999999995</v>
      </c>
      <c r="AM63" t="s">
        <v>171</v>
      </c>
      <c r="AN63" t="s">
        <v>171</v>
      </c>
      <c r="AO63">
        <v>-2839</v>
      </c>
      <c r="AP63" t="s">
        <v>171</v>
      </c>
      <c r="AQ63" t="s">
        <v>171</v>
      </c>
      <c r="AR63" t="s">
        <v>171</v>
      </c>
      <c r="AS63">
        <v>1087.26</v>
      </c>
      <c r="AT63" t="s">
        <v>173</v>
      </c>
      <c r="AU63">
        <v>6</v>
      </c>
      <c r="AV63">
        <v>6</v>
      </c>
      <c r="AW63" t="s">
        <v>171</v>
      </c>
      <c r="AX63" t="s">
        <v>174</v>
      </c>
      <c r="AY63" t="s">
        <v>171</v>
      </c>
      <c r="AZ63" t="s">
        <v>171</v>
      </c>
      <c r="BA63" t="s">
        <v>171</v>
      </c>
      <c r="BB63" t="s">
        <v>171</v>
      </c>
      <c r="BC63" t="s">
        <v>171</v>
      </c>
      <c r="BD63" t="s">
        <v>171</v>
      </c>
      <c r="BE63" t="s">
        <v>171</v>
      </c>
      <c r="BF63" t="s">
        <v>171</v>
      </c>
      <c r="BG63" t="s">
        <v>175</v>
      </c>
      <c r="BH63" t="s">
        <v>176</v>
      </c>
      <c r="BI63" t="s">
        <v>177</v>
      </c>
      <c r="BJ63" s="142">
        <v>2</v>
      </c>
      <c r="BK63" t="s">
        <v>178</v>
      </c>
      <c r="BL63" t="s">
        <v>179</v>
      </c>
      <c r="BM63" t="s">
        <v>180</v>
      </c>
      <c r="BN63" t="s">
        <v>171</v>
      </c>
      <c r="BO63" s="142">
        <v>2</v>
      </c>
      <c r="BP63" s="144" t="s">
        <v>171</v>
      </c>
      <c r="BQ63" s="149">
        <v>20.82</v>
      </c>
      <c r="BR63" t="s">
        <v>181</v>
      </c>
      <c r="BS63" s="149">
        <v>0.18918473</v>
      </c>
      <c r="BT63">
        <v>0.64</v>
      </c>
      <c r="BU63" t="s">
        <v>182</v>
      </c>
      <c r="BV63">
        <v>3.4000000000000002E-2</v>
      </c>
      <c r="BW63">
        <v>9.1</v>
      </c>
      <c r="BX63" t="s">
        <v>173</v>
      </c>
      <c r="BY63">
        <v>0.56000000000000005</v>
      </c>
      <c r="BZ63" t="s">
        <v>183</v>
      </c>
      <c r="CA63" t="s">
        <v>184</v>
      </c>
      <c r="CB63" s="148">
        <f t="shared" si="6"/>
        <v>19.916666666666668</v>
      </c>
      <c r="CC63" s="144" t="s">
        <v>185</v>
      </c>
      <c r="CD63" s="144" t="s">
        <v>171</v>
      </c>
      <c r="CE63" s="144" t="s">
        <v>171</v>
      </c>
      <c r="CF63" t="s">
        <v>186</v>
      </c>
      <c r="CG63" s="144">
        <v>10</v>
      </c>
      <c r="CH63" s="144" t="s">
        <v>187</v>
      </c>
      <c r="CI63" s="144" t="s">
        <v>171</v>
      </c>
      <c r="CJ63" s="147">
        <v>25.57223978</v>
      </c>
      <c r="CK63" t="s">
        <v>173</v>
      </c>
      <c r="CL63">
        <v>3</v>
      </c>
      <c r="CM63">
        <v>3</v>
      </c>
      <c r="CN63" t="s">
        <v>171</v>
      </c>
      <c r="CO63" s="149">
        <v>3.5943873383134841</v>
      </c>
      <c r="CP63" t="s">
        <v>188</v>
      </c>
      <c r="CQ63" s="149">
        <f>CO63*0.04</f>
        <v>0.14377549353253938</v>
      </c>
      <c r="CR63" s="149">
        <v>0.14377549353253938</v>
      </c>
      <c r="CS63" s="150" t="s">
        <v>171</v>
      </c>
      <c r="CT63" t="s">
        <v>189</v>
      </c>
      <c r="CU63" t="s">
        <v>171</v>
      </c>
      <c r="CV63" t="s">
        <v>190</v>
      </c>
      <c r="CW63" t="s">
        <v>191</v>
      </c>
      <c r="CX63" t="s">
        <v>191</v>
      </c>
      <c r="CY63" t="s">
        <v>191</v>
      </c>
      <c r="CZ63" t="s">
        <v>171</v>
      </c>
      <c r="DA63" t="s">
        <v>171</v>
      </c>
      <c r="DB63" t="s">
        <v>171</v>
      </c>
      <c r="DC63" t="s">
        <v>171</v>
      </c>
      <c r="DD63" t="s">
        <v>171</v>
      </c>
      <c r="DE63" t="s">
        <v>171</v>
      </c>
      <c r="DF63" t="s">
        <v>171</v>
      </c>
      <c r="DG63">
        <v>35</v>
      </c>
      <c r="DH63" t="s">
        <v>185</v>
      </c>
      <c r="DI63" s="142">
        <v>3</v>
      </c>
      <c r="DJ63" s="144" t="s">
        <v>192</v>
      </c>
      <c r="DK63" s="144" t="s">
        <v>171</v>
      </c>
      <c r="DL63" s="144" t="s">
        <v>171</v>
      </c>
      <c r="DM63" s="144" t="s">
        <v>171</v>
      </c>
      <c r="DN63" s="144" t="s">
        <v>171</v>
      </c>
      <c r="DO63" s="144" t="s">
        <v>171</v>
      </c>
      <c r="DP63" s="144" t="s">
        <v>171</v>
      </c>
      <c r="DQ63" s="144" t="s">
        <v>171</v>
      </c>
      <c r="DR63" s="144" t="s">
        <v>171</v>
      </c>
      <c r="DS63" s="144" t="s">
        <v>171</v>
      </c>
      <c r="DT63" s="144" t="s">
        <v>171</v>
      </c>
      <c r="DU63" s="144" t="s">
        <v>171</v>
      </c>
      <c r="DV63" s="144" t="s">
        <v>171</v>
      </c>
      <c r="DW63" s="147">
        <v>432.56244218316402</v>
      </c>
      <c r="DX63" t="s">
        <v>193</v>
      </c>
      <c r="DY63">
        <v>37.1</v>
      </c>
      <c r="DZ63" t="s">
        <v>194</v>
      </c>
      <c r="EA63">
        <v>39.61</v>
      </c>
      <c r="EB63" t="s">
        <v>185</v>
      </c>
      <c r="EC63" s="149">
        <f t="shared" si="1"/>
        <v>0.20872600000000002</v>
      </c>
      <c r="ED63" t="s">
        <v>195</v>
      </c>
      <c r="EE63" t="s">
        <v>196</v>
      </c>
      <c r="EF63" t="s">
        <v>197</v>
      </c>
      <c r="EG63">
        <v>1.0271999999999999</v>
      </c>
      <c r="EH63" t="s">
        <v>171</v>
      </c>
      <c r="EI63" t="s">
        <v>171</v>
      </c>
      <c r="EJ63" t="s">
        <v>198</v>
      </c>
      <c r="EK63" t="s">
        <v>191</v>
      </c>
      <c r="EL63" t="s">
        <v>191</v>
      </c>
      <c r="EM63" t="s">
        <v>199</v>
      </c>
      <c r="EN63" t="s">
        <v>200</v>
      </c>
      <c r="EO63" s="151" t="s">
        <v>201</v>
      </c>
      <c r="EP63" s="151" t="s">
        <v>201</v>
      </c>
      <c r="EQ63" s="144" t="s">
        <v>171</v>
      </c>
      <c r="ER63" s="144" t="s">
        <v>171</v>
      </c>
      <c r="ES63" s="144" t="s">
        <v>171</v>
      </c>
      <c r="ET63" t="s">
        <v>202</v>
      </c>
      <c r="EU63" t="s">
        <v>203</v>
      </c>
      <c r="EV63" t="s">
        <v>171</v>
      </c>
      <c r="EW63">
        <v>2390</v>
      </c>
      <c r="EX63" s="151" t="s">
        <v>204</v>
      </c>
      <c r="EY63" s="151">
        <v>175</v>
      </c>
      <c r="EZ63">
        <v>175</v>
      </c>
      <c r="FA63" t="s">
        <v>171</v>
      </c>
      <c r="FB63" t="s">
        <v>171</v>
      </c>
      <c r="FC63" t="s">
        <v>171</v>
      </c>
      <c r="FD63" t="s">
        <v>171</v>
      </c>
      <c r="FE63" s="152">
        <v>8.2050288598265499</v>
      </c>
      <c r="FF63" t="s">
        <v>205</v>
      </c>
      <c r="FG63" s="144" t="s">
        <v>171</v>
      </c>
      <c r="FH63" s="144" t="s">
        <v>171</v>
      </c>
      <c r="FI63" s="153">
        <v>249.15143019999999</v>
      </c>
      <c r="FJ63">
        <v>21</v>
      </c>
      <c r="FK63" t="s">
        <v>207</v>
      </c>
      <c r="FL63" s="160">
        <v>228.15143019999999</v>
      </c>
      <c r="FM63" s="161">
        <v>35.212054852921995</v>
      </c>
      <c r="FN63" s="161">
        <v>33.890128449640002</v>
      </c>
      <c r="FO63" t="s">
        <v>186</v>
      </c>
      <c r="FP63" t="s">
        <v>208</v>
      </c>
      <c r="FQ63" t="s">
        <v>171</v>
      </c>
      <c r="FR63" t="s">
        <v>171</v>
      </c>
      <c r="FS63" t="s">
        <v>171</v>
      </c>
      <c r="FT63" t="s">
        <v>171</v>
      </c>
      <c r="FU63" t="s">
        <v>171</v>
      </c>
      <c r="FV63" t="s">
        <v>171</v>
      </c>
      <c r="FW63" t="s">
        <v>171</v>
      </c>
      <c r="FX63" t="s">
        <v>171</v>
      </c>
      <c r="FY63" t="s">
        <v>171</v>
      </c>
      <c r="FZ63" t="s">
        <v>171</v>
      </c>
      <c r="GA63" t="s">
        <v>171</v>
      </c>
      <c r="GB63" t="s">
        <v>171</v>
      </c>
    </row>
    <row r="64" spans="1:184" ht="16" x14ac:dyDescent="0.2">
      <c r="A64" t="s">
        <v>217</v>
      </c>
      <c r="B64" s="143" t="s">
        <v>216</v>
      </c>
      <c r="C64" s="138" t="s">
        <v>212</v>
      </c>
      <c r="D64" t="s">
        <v>211</v>
      </c>
      <c r="E64">
        <v>2017</v>
      </c>
      <c r="F64" t="str">
        <f t="shared" si="7"/>
        <v>10.1073/pnas.1702143114</v>
      </c>
      <c r="G64" s="147">
        <f t="shared" si="8"/>
        <v>1088.69</v>
      </c>
      <c r="H64">
        <f t="shared" si="2"/>
        <v>6</v>
      </c>
      <c r="I64">
        <f t="shared" si="3"/>
        <v>6</v>
      </c>
      <c r="J64" s="153">
        <f t="shared" si="9"/>
        <v>255.07799850000001</v>
      </c>
      <c r="K64" s="153">
        <f t="shared" si="10"/>
        <v>37.676053166275977</v>
      </c>
      <c r="L64" s="153">
        <f t="shared" si="11"/>
        <v>36.511324171299009</v>
      </c>
      <c r="M64" t="b">
        <v>1</v>
      </c>
      <c r="N64">
        <v>3</v>
      </c>
      <c r="O64" s="144" t="s">
        <v>228</v>
      </c>
      <c r="P64" s="144" t="s">
        <v>229</v>
      </c>
      <c r="Q64" t="b">
        <v>0</v>
      </c>
      <c r="R64" t="s">
        <v>214</v>
      </c>
      <c r="S64" t="b">
        <v>1</v>
      </c>
      <c r="T64" t="b">
        <v>0</v>
      </c>
      <c r="U64" t="s">
        <v>171</v>
      </c>
      <c r="V64" t="s">
        <v>171</v>
      </c>
      <c r="W64" t="b">
        <v>0</v>
      </c>
      <c r="X64" t="s">
        <v>171</v>
      </c>
      <c r="Y64" s="139" t="s">
        <v>167</v>
      </c>
      <c r="Z64" s="143" t="s">
        <v>168</v>
      </c>
      <c r="AA64" t="s">
        <v>169</v>
      </c>
      <c r="AB64" s="157" t="s">
        <v>210</v>
      </c>
      <c r="AC64" s="157">
        <v>4</v>
      </c>
      <c r="AD64" s="157">
        <v>7</v>
      </c>
      <c r="AE64" s="158">
        <v>32.888376999999849</v>
      </c>
      <c r="AF64" s="158">
        <f t="shared" si="15"/>
        <v>34.888376999999849</v>
      </c>
      <c r="AG64" s="159">
        <v>35.929602459999998</v>
      </c>
      <c r="AH64" s="159">
        <v>35.929602459999998</v>
      </c>
      <c r="AI64" t="s">
        <v>171</v>
      </c>
      <c r="AJ64" t="s">
        <v>172</v>
      </c>
      <c r="AK64" s="146">
        <v>12.74</v>
      </c>
      <c r="AL64" s="146">
        <v>-78.739999999999995</v>
      </c>
      <c r="AM64" t="s">
        <v>171</v>
      </c>
      <c r="AN64" t="s">
        <v>171</v>
      </c>
      <c r="AO64">
        <v>-2839</v>
      </c>
      <c r="AP64" t="s">
        <v>171</v>
      </c>
      <c r="AQ64" t="s">
        <v>171</v>
      </c>
      <c r="AR64" t="s">
        <v>171</v>
      </c>
      <c r="AS64">
        <v>1088.69</v>
      </c>
      <c r="AT64" t="s">
        <v>173</v>
      </c>
      <c r="AU64">
        <v>6</v>
      </c>
      <c r="AV64">
        <v>6</v>
      </c>
      <c r="AW64" t="s">
        <v>171</v>
      </c>
      <c r="AX64" t="s">
        <v>174</v>
      </c>
      <c r="AY64" t="s">
        <v>171</v>
      </c>
      <c r="AZ64" t="s">
        <v>171</v>
      </c>
      <c r="BA64" t="s">
        <v>171</v>
      </c>
      <c r="BB64" t="s">
        <v>171</v>
      </c>
      <c r="BC64" t="s">
        <v>171</v>
      </c>
      <c r="BD64" t="s">
        <v>171</v>
      </c>
      <c r="BE64" t="s">
        <v>171</v>
      </c>
      <c r="BF64" t="s">
        <v>171</v>
      </c>
      <c r="BG64" t="s">
        <v>175</v>
      </c>
      <c r="BH64" t="s">
        <v>176</v>
      </c>
      <c r="BI64" t="s">
        <v>177</v>
      </c>
      <c r="BJ64" s="142">
        <v>2</v>
      </c>
      <c r="BK64" t="s">
        <v>178</v>
      </c>
      <c r="BL64" t="s">
        <v>179</v>
      </c>
      <c r="BM64" t="s">
        <v>180</v>
      </c>
      <c r="BN64" t="s">
        <v>171</v>
      </c>
      <c r="BO64" s="142">
        <v>2</v>
      </c>
      <c r="BP64" s="144" t="s">
        <v>171</v>
      </c>
      <c r="BQ64" s="149">
        <v>20.565830420000001</v>
      </c>
      <c r="BR64" t="s">
        <v>181</v>
      </c>
      <c r="BS64" s="149">
        <v>0.195735082</v>
      </c>
      <c r="BT64">
        <v>0.64</v>
      </c>
      <c r="BU64" t="s">
        <v>182</v>
      </c>
      <c r="BV64">
        <v>3.4000000000000002E-2</v>
      </c>
      <c r="BW64">
        <v>9.1</v>
      </c>
      <c r="BX64" t="s">
        <v>173</v>
      </c>
      <c r="BY64">
        <v>0.56000000000000005</v>
      </c>
      <c r="BZ64" t="s">
        <v>183</v>
      </c>
      <c r="CA64" t="s">
        <v>184</v>
      </c>
      <c r="CB64" s="148">
        <f t="shared" si="6"/>
        <v>19.493050700000005</v>
      </c>
      <c r="CC64" s="144" t="s">
        <v>185</v>
      </c>
      <c r="CD64" s="144" t="s">
        <v>171</v>
      </c>
      <c r="CE64" s="144" t="s">
        <v>171</v>
      </c>
      <c r="CF64" t="s">
        <v>186</v>
      </c>
      <c r="CG64" s="144">
        <v>10</v>
      </c>
      <c r="CH64" s="144" t="s">
        <v>187</v>
      </c>
      <c r="CI64" s="144" t="s">
        <v>171</v>
      </c>
      <c r="CJ64" s="147">
        <v>25.579986550000001</v>
      </c>
      <c r="CK64" t="s">
        <v>173</v>
      </c>
      <c r="CL64">
        <v>3</v>
      </c>
      <c r="CM64">
        <v>3</v>
      </c>
      <c r="CN64" t="s">
        <v>171</v>
      </c>
      <c r="CO64" s="149">
        <v>3.5967313293933518</v>
      </c>
      <c r="CP64" t="s">
        <v>188</v>
      </c>
      <c r="CQ64" s="149">
        <f t="shared" ref="CQ64:CQ113" si="16">CO64*0.04</f>
        <v>0.14386925317573407</v>
      </c>
      <c r="CR64" s="149">
        <v>0.14386925317573407</v>
      </c>
      <c r="CS64" s="150" t="s">
        <v>171</v>
      </c>
      <c r="CT64" t="s">
        <v>189</v>
      </c>
      <c r="CU64" t="s">
        <v>171</v>
      </c>
      <c r="CV64" t="s">
        <v>190</v>
      </c>
      <c r="CW64" t="s">
        <v>191</v>
      </c>
      <c r="CX64" t="s">
        <v>191</v>
      </c>
      <c r="CY64" t="s">
        <v>191</v>
      </c>
      <c r="CZ64" t="s">
        <v>171</v>
      </c>
      <c r="DA64" t="s">
        <v>171</v>
      </c>
      <c r="DB64" t="s">
        <v>171</v>
      </c>
      <c r="DC64" t="s">
        <v>171</v>
      </c>
      <c r="DD64" t="s">
        <v>171</v>
      </c>
      <c r="DE64" t="s">
        <v>171</v>
      </c>
      <c r="DF64" t="s">
        <v>171</v>
      </c>
      <c r="DG64">
        <v>35</v>
      </c>
      <c r="DH64" t="s">
        <v>185</v>
      </c>
      <c r="DI64" s="142">
        <v>3</v>
      </c>
      <c r="DJ64" s="144" t="s">
        <v>192</v>
      </c>
      <c r="DK64" s="144" t="s">
        <v>171</v>
      </c>
      <c r="DL64" s="144" t="s">
        <v>171</v>
      </c>
      <c r="DM64" s="144" t="s">
        <v>171</v>
      </c>
      <c r="DN64" s="144" t="s">
        <v>171</v>
      </c>
      <c r="DO64" s="144" t="s">
        <v>171</v>
      </c>
      <c r="DP64" s="144" t="s">
        <v>171</v>
      </c>
      <c r="DQ64" s="144" t="s">
        <v>171</v>
      </c>
      <c r="DR64" s="144" t="s">
        <v>171</v>
      </c>
      <c r="DS64" s="144" t="s">
        <v>171</v>
      </c>
      <c r="DT64" s="144" t="s">
        <v>171</v>
      </c>
      <c r="DU64" s="144" t="s">
        <v>171</v>
      </c>
      <c r="DV64" s="144" t="s">
        <v>171</v>
      </c>
      <c r="DW64" s="147">
        <v>432.56244218316402</v>
      </c>
      <c r="DX64" t="s">
        <v>193</v>
      </c>
      <c r="DY64">
        <v>37.1</v>
      </c>
      <c r="DZ64" t="s">
        <v>194</v>
      </c>
      <c r="EA64">
        <v>39.61</v>
      </c>
      <c r="EB64" t="s">
        <v>185</v>
      </c>
      <c r="EC64" s="149">
        <f t="shared" si="1"/>
        <v>0.20886900000000003</v>
      </c>
      <c r="ED64" t="s">
        <v>195</v>
      </c>
      <c r="EE64" t="s">
        <v>196</v>
      </c>
      <c r="EF64" t="s">
        <v>197</v>
      </c>
      <c r="EG64">
        <v>1.0271999999999999</v>
      </c>
      <c r="EH64" t="s">
        <v>171</v>
      </c>
      <c r="EI64" t="s">
        <v>171</v>
      </c>
      <c r="EJ64" t="s">
        <v>198</v>
      </c>
      <c r="EK64" t="s">
        <v>191</v>
      </c>
      <c r="EL64" t="s">
        <v>191</v>
      </c>
      <c r="EM64" t="s">
        <v>199</v>
      </c>
      <c r="EN64" t="s">
        <v>200</v>
      </c>
      <c r="EO64" s="151" t="s">
        <v>201</v>
      </c>
      <c r="EP64" s="151" t="s">
        <v>201</v>
      </c>
      <c r="EQ64" s="144" t="s">
        <v>171</v>
      </c>
      <c r="ER64" s="144" t="s">
        <v>171</v>
      </c>
      <c r="ES64" s="144" t="s">
        <v>171</v>
      </c>
      <c r="ET64" t="s">
        <v>202</v>
      </c>
      <c r="EU64" t="s">
        <v>203</v>
      </c>
      <c r="EV64" t="s">
        <v>171</v>
      </c>
      <c r="EW64">
        <v>2391</v>
      </c>
      <c r="EX64" s="151" t="s">
        <v>204</v>
      </c>
      <c r="EY64" s="151">
        <v>175</v>
      </c>
      <c r="EZ64">
        <v>175</v>
      </c>
      <c r="FA64" t="s">
        <v>171</v>
      </c>
      <c r="FB64" t="s">
        <v>171</v>
      </c>
      <c r="FC64" t="s">
        <v>171</v>
      </c>
      <c r="FD64" t="s">
        <v>171</v>
      </c>
      <c r="FE64" s="152">
        <v>8.1706101679254104</v>
      </c>
      <c r="FF64" t="s">
        <v>205</v>
      </c>
      <c r="FG64" s="144" t="s">
        <v>171</v>
      </c>
      <c r="FH64" s="144" t="s">
        <v>171</v>
      </c>
      <c r="FI64" s="153">
        <v>276.07799850000004</v>
      </c>
      <c r="FJ64">
        <v>21</v>
      </c>
      <c r="FK64" t="s">
        <v>207</v>
      </c>
      <c r="FL64" s="160">
        <v>255.07799850000001</v>
      </c>
      <c r="FM64" s="161">
        <v>37.676053166275977</v>
      </c>
      <c r="FN64" s="161">
        <v>36.511324171299009</v>
      </c>
      <c r="FO64" t="s">
        <v>186</v>
      </c>
      <c r="FP64" t="s">
        <v>208</v>
      </c>
      <c r="FQ64" t="s">
        <v>171</v>
      </c>
      <c r="FR64" t="s">
        <v>171</v>
      </c>
      <c r="FS64" t="s">
        <v>171</v>
      </c>
      <c r="FT64" t="s">
        <v>171</v>
      </c>
      <c r="FU64" t="s">
        <v>171</v>
      </c>
      <c r="FV64" t="s">
        <v>171</v>
      </c>
      <c r="FW64" t="s">
        <v>171</v>
      </c>
      <c r="FX64" t="s">
        <v>171</v>
      </c>
      <c r="FY64" t="s">
        <v>171</v>
      </c>
      <c r="FZ64" t="s">
        <v>171</v>
      </c>
      <c r="GA64" t="s">
        <v>171</v>
      </c>
      <c r="GB64" t="s">
        <v>171</v>
      </c>
    </row>
    <row r="65" spans="1:184" ht="16" x14ac:dyDescent="0.2">
      <c r="A65" t="s">
        <v>217</v>
      </c>
      <c r="B65" s="143" t="s">
        <v>216</v>
      </c>
      <c r="C65" s="138" t="s">
        <v>212</v>
      </c>
      <c r="D65" t="s">
        <v>211</v>
      </c>
      <c r="E65">
        <v>2017</v>
      </c>
      <c r="F65" t="str">
        <f t="shared" si="7"/>
        <v>10.1073/pnas.1702143114</v>
      </c>
      <c r="G65" s="147">
        <f t="shared" si="8"/>
        <v>1090.03</v>
      </c>
      <c r="H65">
        <f t="shared" si="2"/>
        <v>6</v>
      </c>
      <c r="I65">
        <f t="shared" si="3"/>
        <v>6</v>
      </c>
      <c r="J65" s="153">
        <f t="shared" si="9"/>
        <v>218.11372800000001</v>
      </c>
      <c r="K65" s="153">
        <f t="shared" si="10"/>
        <v>33.253512140168993</v>
      </c>
      <c r="L65" s="153">
        <f t="shared" si="11"/>
        <v>32.613626994468007</v>
      </c>
      <c r="M65" t="b">
        <v>1</v>
      </c>
      <c r="N65">
        <v>3</v>
      </c>
      <c r="O65" s="144" t="s">
        <v>228</v>
      </c>
      <c r="P65" s="144" t="s">
        <v>229</v>
      </c>
      <c r="Q65" t="b">
        <v>0</v>
      </c>
      <c r="R65" t="s">
        <v>214</v>
      </c>
      <c r="S65" t="b">
        <v>1</v>
      </c>
      <c r="T65" t="b">
        <v>0</v>
      </c>
      <c r="U65" t="s">
        <v>171</v>
      </c>
      <c r="V65" t="s">
        <v>171</v>
      </c>
      <c r="W65" t="b">
        <v>0</v>
      </c>
      <c r="X65" t="s">
        <v>171</v>
      </c>
      <c r="Y65" s="139" t="s">
        <v>167</v>
      </c>
      <c r="Z65" s="143" t="s">
        <v>168</v>
      </c>
      <c r="AA65" t="s">
        <v>169</v>
      </c>
      <c r="AB65" s="157" t="s">
        <v>210</v>
      </c>
      <c r="AC65" s="157">
        <v>4</v>
      </c>
      <c r="AD65" s="157">
        <v>7</v>
      </c>
      <c r="AE65" s="158">
        <v>41.694102999999785</v>
      </c>
      <c r="AF65" s="158">
        <f t="shared" si="15"/>
        <v>43.694102999999785</v>
      </c>
      <c r="AG65" s="159">
        <v>36.017659719999997</v>
      </c>
      <c r="AH65" s="159">
        <v>36.017659719999997</v>
      </c>
      <c r="AI65" t="s">
        <v>171</v>
      </c>
      <c r="AJ65" t="s">
        <v>172</v>
      </c>
      <c r="AK65" s="146">
        <v>12.74</v>
      </c>
      <c r="AL65" s="146">
        <v>-78.739999999999995</v>
      </c>
      <c r="AM65" t="s">
        <v>171</v>
      </c>
      <c r="AN65" t="s">
        <v>171</v>
      </c>
      <c r="AO65">
        <v>-2839</v>
      </c>
      <c r="AP65" t="s">
        <v>171</v>
      </c>
      <c r="AQ65" t="s">
        <v>171</v>
      </c>
      <c r="AR65" t="s">
        <v>171</v>
      </c>
      <c r="AS65">
        <v>1090.03</v>
      </c>
      <c r="AT65" t="s">
        <v>173</v>
      </c>
      <c r="AU65">
        <v>6</v>
      </c>
      <c r="AV65">
        <v>6</v>
      </c>
      <c r="AW65" t="s">
        <v>171</v>
      </c>
      <c r="AX65" t="s">
        <v>174</v>
      </c>
      <c r="AY65" t="s">
        <v>171</v>
      </c>
      <c r="AZ65" t="s">
        <v>171</v>
      </c>
      <c r="BA65" t="s">
        <v>171</v>
      </c>
      <c r="BB65" t="s">
        <v>171</v>
      </c>
      <c r="BC65" t="s">
        <v>171</v>
      </c>
      <c r="BD65" t="s">
        <v>171</v>
      </c>
      <c r="BE65" t="s">
        <v>171</v>
      </c>
      <c r="BF65" t="s">
        <v>171</v>
      </c>
      <c r="BG65" t="s">
        <v>175</v>
      </c>
      <c r="BH65" t="s">
        <v>176</v>
      </c>
      <c r="BI65" t="s">
        <v>177</v>
      </c>
      <c r="BJ65" s="142">
        <v>2</v>
      </c>
      <c r="BK65" t="s">
        <v>178</v>
      </c>
      <c r="BL65" t="s">
        <v>179</v>
      </c>
      <c r="BM65" t="s">
        <v>180</v>
      </c>
      <c r="BN65" t="s">
        <v>171</v>
      </c>
      <c r="BO65" s="142">
        <v>2</v>
      </c>
      <c r="BP65" s="144" t="s">
        <v>171</v>
      </c>
      <c r="BQ65" s="149">
        <v>20.925000000000001</v>
      </c>
      <c r="BR65" t="s">
        <v>181</v>
      </c>
      <c r="BS65" s="149">
        <v>0.17149326400000001</v>
      </c>
      <c r="BT65">
        <v>0.64</v>
      </c>
      <c r="BU65" t="s">
        <v>182</v>
      </c>
      <c r="BV65">
        <v>3.4000000000000002E-2</v>
      </c>
      <c r="BW65">
        <v>9.1</v>
      </c>
      <c r="BX65" t="s">
        <v>173</v>
      </c>
      <c r="BY65">
        <v>0.56000000000000005</v>
      </c>
      <c r="BZ65" t="s">
        <v>183</v>
      </c>
      <c r="CA65" t="s">
        <v>184</v>
      </c>
      <c r="CB65" s="148">
        <f t="shared" si="6"/>
        <v>20.091666666666669</v>
      </c>
      <c r="CC65" s="144" t="s">
        <v>185</v>
      </c>
      <c r="CD65" s="144" t="s">
        <v>171</v>
      </c>
      <c r="CE65" s="144" t="s">
        <v>171</v>
      </c>
      <c r="CF65" t="s">
        <v>186</v>
      </c>
      <c r="CG65" s="144">
        <v>10</v>
      </c>
      <c r="CH65" s="144" t="s">
        <v>187</v>
      </c>
      <c r="CI65" s="144" t="s">
        <v>171</v>
      </c>
      <c r="CJ65" s="147">
        <v>25.58146369</v>
      </c>
      <c r="CK65" t="s">
        <v>173</v>
      </c>
      <c r="CL65">
        <v>3</v>
      </c>
      <c r="CM65">
        <v>3</v>
      </c>
      <c r="CN65" t="s">
        <v>171</v>
      </c>
      <c r="CO65" s="149">
        <v>3.5970465654206052</v>
      </c>
      <c r="CP65" t="s">
        <v>188</v>
      </c>
      <c r="CQ65" s="149">
        <f t="shared" si="16"/>
        <v>0.1438818626168242</v>
      </c>
      <c r="CR65" s="149">
        <v>0.1438818626168242</v>
      </c>
      <c r="CS65" s="150" t="s">
        <v>171</v>
      </c>
      <c r="CT65" t="s">
        <v>189</v>
      </c>
      <c r="CU65" t="s">
        <v>171</v>
      </c>
      <c r="CV65" t="s">
        <v>190</v>
      </c>
      <c r="CW65" t="s">
        <v>191</v>
      </c>
      <c r="CX65" t="s">
        <v>191</v>
      </c>
      <c r="CY65" t="s">
        <v>191</v>
      </c>
      <c r="CZ65" t="s">
        <v>171</v>
      </c>
      <c r="DA65" t="s">
        <v>171</v>
      </c>
      <c r="DB65" t="s">
        <v>171</v>
      </c>
      <c r="DC65" t="s">
        <v>171</v>
      </c>
      <c r="DD65" t="s">
        <v>171</v>
      </c>
      <c r="DE65" t="s">
        <v>171</v>
      </c>
      <c r="DF65" t="s">
        <v>171</v>
      </c>
      <c r="DG65">
        <v>35</v>
      </c>
      <c r="DH65" t="s">
        <v>185</v>
      </c>
      <c r="DI65" s="142">
        <v>3</v>
      </c>
      <c r="DJ65" s="144" t="s">
        <v>192</v>
      </c>
      <c r="DK65" s="144" t="s">
        <v>171</v>
      </c>
      <c r="DL65" s="144" t="s">
        <v>171</v>
      </c>
      <c r="DM65" s="144" t="s">
        <v>171</v>
      </c>
      <c r="DN65" s="144" t="s">
        <v>171</v>
      </c>
      <c r="DO65" s="144" t="s">
        <v>171</v>
      </c>
      <c r="DP65" s="144" t="s">
        <v>171</v>
      </c>
      <c r="DQ65" s="144" t="s">
        <v>171</v>
      </c>
      <c r="DR65" s="144" t="s">
        <v>171</v>
      </c>
      <c r="DS65" s="144" t="s">
        <v>171</v>
      </c>
      <c r="DT65" s="144" t="s">
        <v>171</v>
      </c>
      <c r="DU65" s="144" t="s">
        <v>171</v>
      </c>
      <c r="DV65" s="144" t="s">
        <v>171</v>
      </c>
      <c r="DW65" s="147">
        <v>432.56244218316402</v>
      </c>
      <c r="DX65" t="s">
        <v>193</v>
      </c>
      <c r="DY65">
        <v>37.1</v>
      </c>
      <c r="DZ65" t="s">
        <v>194</v>
      </c>
      <c r="EA65">
        <v>39.61</v>
      </c>
      <c r="EB65" t="s">
        <v>185</v>
      </c>
      <c r="EC65" s="149">
        <f t="shared" si="1"/>
        <v>0.20900299999999999</v>
      </c>
      <c r="ED65" t="s">
        <v>195</v>
      </c>
      <c r="EE65" t="s">
        <v>196</v>
      </c>
      <c r="EF65" t="s">
        <v>197</v>
      </c>
      <c r="EG65">
        <v>1.0271999999999999</v>
      </c>
      <c r="EH65" t="s">
        <v>171</v>
      </c>
      <c r="EI65" t="s">
        <v>171</v>
      </c>
      <c r="EJ65" t="s">
        <v>198</v>
      </c>
      <c r="EK65" t="s">
        <v>191</v>
      </c>
      <c r="EL65" t="s">
        <v>191</v>
      </c>
      <c r="EM65" t="s">
        <v>199</v>
      </c>
      <c r="EN65" t="s">
        <v>200</v>
      </c>
      <c r="EO65" s="151" t="s">
        <v>201</v>
      </c>
      <c r="EP65" s="151" t="s">
        <v>201</v>
      </c>
      <c r="EQ65" s="144" t="s">
        <v>171</v>
      </c>
      <c r="ER65" s="144" t="s">
        <v>171</v>
      </c>
      <c r="ES65" s="144" t="s">
        <v>171</v>
      </c>
      <c r="ET65" t="s">
        <v>202</v>
      </c>
      <c r="EU65" t="s">
        <v>203</v>
      </c>
      <c r="EV65" t="s">
        <v>171</v>
      </c>
      <c r="EW65">
        <v>2392</v>
      </c>
      <c r="EX65" s="151" t="s">
        <v>204</v>
      </c>
      <c r="EY65" s="151">
        <v>175</v>
      </c>
      <c r="EZ65">
        <v>175</v>
      </c>
      <c r="FA65" t="s">
        <v>171</v>
      </c>
      <c r="FB65" t="s">
        <v>171</v>
      </c>
      <c r="FC65" t="s">
        <v>171</v>
      </c>
      <c r="FD65" t="s">
        <v>171</v>
      </c>
      <c r="FE65" s="152">
        <v>8.2186061966794295</v>
      </c>
      <c r="FF65" t="s">
        <v>205</v>
      </c>
      <c r="FG65" s="144" t="s">
        <v>171</v>
      </c>
      <c r="FH65" s="144" t="s">
        <v>171</v>
      </c>
      <c r="FI65" s="153">
        <v>239.11372800000001</v>
      </c>
      <c r="FJ65">
        <v>21</v>
      </c>
      <c r="FK65" t="s">
        <v>207</v>
      </c>
      <c r="FL65" s="160">
        <v>218.11372800000001</v>
      </c>
      <c r="FM65" s="161">
        <v>33.253512140168993</v>
      </c>
      <c r="FN65" s="161">
        <v>32.613626994468007</v>
      </c>
      <c r="FO65" t="s">
        <v>186</v>
      </c>
      <c r="FP65" t="s">
        <v>208</v>
      </c>
      <c r="FQ65" t="s">
        <v>171</v>
      </c>
      <c r="FR65" t="s">
        <v>171</v>
      </c>
      <c r="FS65" t="s">
        <v>171</v>
      </c>
      <c r="FT65" t="s">
        <v>171</v>
      </c>
      <c r="FU65" t="s">
        <v>171</v>
      </c>
      <c r="FV65" t="s">
        <v>171</v>
      </c>
      <c r="FW65" t="s">
        <v>171</v>
      </c>
      <c r="FX65" t="s">
        <v>171</v>
      </c>
      <c r="FY65" t="s">
        <v>171</v>
      </c>
      <c r="FZ65" t="s">
        <v>171</v>
      </c>
      <c r="GA65" t="s">
        <v>171</v>
      </c>
      <c r="GB65" t="s">
        <v>171</v>
      </c>
    </row>
    <row r="66" spans="1:184" ht="16" x14ac:dyDescent="0.2">
      <c r="A66" t="s">
        <v>217</v>
      </c>
      <c r="B66" s="143" t="s">
        <v>216</v>
      </c>
      <c r="C66" s="138" t="s">
        <v>212</v>
      </c>
      <c r="D66" t="s">
        <v>211</v>
      </c>
      <c r="E66">
        <v>2017</v>
      </c>
      <c r="F66" t="str">
        <f t="shared" si="7"/>
        <v>10.1073/pnas.1702143114</v>
      </c>
      <c r="G66" s="147">
        <f t="shared" si="8"/>
        <v>1092.67</v>
      </c>
      <c r="H66">
        <f t="shared" si="2"/>
        <v>6</v>
      </c>
      <c r="I66">
        <f t="shared" si="3"/>
        <v>6</v>
      </c>
      <c r="J66" s="153">
        <f t="shared" si="9"/>
        <v>236.6639629</v>
      </c>
      <c r="K66" s="153">
        <f t="shared" si="10"/>
        <v>36.651954912770975</v>
      </c>
      <c r="L66" s="153">
        <f t="shared" si="11"/>
        <v>34.582228779029009</v>
      </c>
      <c r="M66" t="b">
        <v>1</v>
      </c>
      <c r="N66">
        <v>3</v>
      </c>
      <c r="O66" s="144" t="s">
        <v>228</v>
      </c>
      <c r="P66" s="144" t="s">
        <v>229</v>
      </c>
      <c r="Q66" t="b">
        <v>0</v>
      </c>
      <c r="R66" t="s">
        <v>214</v>
      </c>
      <c r="S66" t="b">
        <v>1</v>
      </c>
      <c r="T66" t="b">
        <v>0</v>
      </c>
      <c r="U66" t="s">
        <v>171</v>
      </c>
      <c r="V66" t="s">
        <v>171</v>
      </c>
      <c r="W66" t="b">
        <v>0</v>
      </c>
      <c r="X66" t="s">
        <v>171</v>
      </c>
      <c r="Y66" s="139" t="s">
        <v>167</v>
      </c>
      <c r="Z66" s="143" t="s">
        <v>168</v>
      </c>
      <c r="AA66" t="s">
        <v>169</v>
      </c>
      <c r="AB66" s="157" t="s">
        <v>210</v>
      </c>
      <c r="AC66" s="157">
        <v>4</v>
      </c>
      <c r="AD66" s="157">
        <v>7</v>
      </c>
      <c r="AE66" s="158">
        <v>51.695479000000091</v>
      </c>
      <c r="AF66" s="158">
        <f t="shared" si="15"/>
        <v>53.695479000000091</v>
      </c>
      <c r="AG66" s="159">
        <v>36.117673480000001</v>
      </c>
      <c r="AH66" s="159">
        <v>36.117673480000001</v>
      </c>
      <c r="AI66" t="s">
        <v>171</v>
      </c>
      <c r="AJ66" t="s">
        <v>172</v>
      </c>
      <c r="AK66" s="146">
        <v>12.74</v>
      </c>
      <c r="AL66" s="146">
        <v>-78.739999999999995</v>
      </c>
      <c r="AM66" t="s">
        <v>171</v>
      </c>
      <c r="AN66" t="s">
        <v>171</v>
      </c>
      <c r="AO66">
        <v>-2839</v>
      </c>
      <c r="AP66" t="s">
        <v>171</v>
      </c>
      <c r="AQ66" t="s">
        <v>171</v>
      </c>
      <c r="AR66" t="s">
        <v>171</v>
      </c>
      <c r="AS66">
        <v>1092.67</v>
      </c>
      <c r="AT66" t="s">
        <v>173</v>
      </c>
      <c r="AU66">
        <v>6</v>
      </c>
      <c r="AV66">
        <v>6</v>
      </c>
      <c r="AW66" t="s">
        <v>171</v>
      </c>
      <c r="AX66" t="s">
        <v>174</v>
      </c>
      <c r="AY66" t="s">
        <v>171</v>
      </c>
      <c r="AZ66" t="s">
        <v>171</v>
      </c>
      <c r="BA66" t="s">
        <v>171</v>
      </c>
      <c r="BB66" t="s">
        <v>171</v>
      </c>
      <c r="BC66" t="s">
        <v>171</v>
      </c>
      <c r="BD66" t="s">
        <v>171</v>
      </c>
      <c r="BE66" t="s">
        <v>171</v>
      </c>
      <c r="BF66" t="s">
        <v>171</v>
      </c>
      <c r="BG66" t="s">
        <v>175</v>
      </c>
      <c r="BH66" t="s">
        <v>176</v>
      </c>
      <c r="BI66" t="s">
        <v>177</v>
      </c>
      <c r="BJ66" s="142">
        <v>2</v>
      </c>
      <c r="BK66" t="s">
        <v>178</v>
      </c>
      <c r="BL66" t="s">
        <v>179</v>
      </c>
      <c r="BM66" t="s">
        <v>180</v>
      </c>
      <c r="BN66" t="s">
        <v>171</v>
      </c>
      <c r="BO66" s="142">
        <v>2</v>
      </c>
      <c r="BP66" s="144" t="s">
        <v>171</v>
      </c>
      <c r="BQ66" s="149">
        <v>20.8</v>
      </c>
      <c r="BR66" t="s">
        <v>181</v>
      </c>
      <c r="BS66" s="149">
        <v>0.19560462000000001</v>
      </c>
      <c r="BT66">
        <v>0.64</v>
      </c>
      <c r="BU66" t="s">
        <v>182</v>
      </c>
      <c r="BV66">
        <v>3.4000000000000002E-2</v>
      </c>
      <c r="BW66">
        <v>9.1</v>
      </c>
      <c r="BX66" t="s">
        <v>173</v>
      </c>
      <c r="BY66">
        <v>0.56000000000000005</v>
      </c>
      <c r="BZ66" t="s">
        <v>183</v>
      </c>
      <c r="CA66" t="s">
        <v>184</v>
      </c>
      <c r="CB66" s="148">
        <f t="shared" si="6"/>
        <v>19.883333333333336</v>
      </c>
      <c r="CC66" s="144" t="s">
        <v>185</v>
      </c>
      <c r="CD66" s="144" t="s">
        <v>171</v>
      </c>
      <c r="CE66" s="144" t="s">
        <v>171</v>
      </c>
      <c r="CF66" t="s">
        <v>186</v>
      </c>
      <c r="CG66" s="144">
        <v>10</v>
      </c>
      <c r="CH66" s="144" t="s">
        <v>187</v>
      </c>
      <c r="CI66" s="144" t="s">
        <v>171</v>
      </c>
      <c r="CJ66" s="147">
        <v>26.461590210000001</v>
      </c>
      <c r="CK66" t="s">
        <v>173</v>
      </c>
      <c r="CL66">
        <v>3</v>
      </c>
      <c r="CM66">
        <v>3</v>
      </c>
      <c r="CN66" t="s">
        <v>171</v>
      </c>
      <c r="CO66" s="149">
        <v>3.8933859020864032</v>
      </c>
      <c r="CP66" t="s">
        <v>188</v>
      </c>
      <c r="CQ66" s="149">
        <f t="shared" si="16"/>
        <v>0.15573543608345614</v>
      </c>
      <c r="CR66" s="149">
        <v>0.15573543608345614</v>
      </c>
      <c r="CS66" s="150" t="s">
        <v>171</v>
      </c>
      <c r="CT66" t="s">
        <v>189</v>
      </c>
      <c r="CU66" t="s">
        <v>171</v>
      </c>
      <c r="CV66" t="s">
        <v>190</v>
      </c>
      <c r="CW66" t="s">
        <v>191</v>
      </c>
      <c r="CX66" t="s">
        <v>191</v>
      </c>
      <c r="CY66" t="s">
        <v>191</v>
      </c>
      <c r="CZ66" t="s">
        <v>171</v>
      </c>
      <c r="DA66" t="s">
        <v>171</v>
      </c>
      <c r="DB66" t="s">
        <v>171</v>
      </c>
      <c r="DC66" t="s">
        <v>171</v>
      </c>
      <c r="DD66" t="s">
        <v>171</v>
      </c>
      <c r="DE66" t="s">
        <v>171</v>
      </c>
      <c r="DF66" t="s">
        <v>171</v>
      </c>
      <c r="DG66">
        <v>35</v>
      </c>
      <c r="DH66" t="s">
        <v>185</v>
      </c>
      <c r="DI66" s="142">
        <v>3</v>
      </c>
      <c r="DJ66" s="144" t="s">
        <v>192</v>
      </c>
      <c r="DK66" s="144" t="s">
        <v>171</v>
      </c>
      <c r="DL66" s="144" t="s">
        <v>171</v>
      </c>
      <c r="DM66" s="144" t="s">
        <v>171</v>
      </c>
      <c r="DN66" s="144" t="s">
        <v>171</v>
      </c>
      <c r="DO66" s="144" t="s">
        <v>171</v>
      </c>
      <c r="DP66" s="144" t="s">
        <v>171</v>
      </c>
      <c r="DQ66" s="144" t="s">
        <v>171</v>
      </c>
      <c r="DR66" s="144" t="s">
        <v>171</v>
      </c>
      <c r="DS66" s="144" t="s">
        <v>171</v>
      </c>
      <c r="DT66" s="144" t="s">
        <v>171</v>
      </c>
      <c r="DU66" s="144" t="s">
        <v>171</v>
      </c>
      <c r="DV66" s="144" t="s">
        <v>171</v>
      </c>
      <c r="DW66" s="147">
        <v>432.56244218316402</v>
      </c>
      <c r="DX66" t="s">
        <v>193</v>
      </c>
      <c r="DY66">
        <v>37.1</v>
      </c>
      <c r="DZ66" t="s">
        <v>194</v>
      </c>
      <c r="EA66">
        <v>39.61</v>
      </c>
      <c r="EB66" t="s">
        <v>185</v>
      </c>
      <c r="EC66" s="149">
        <f t="shared" si="1"/>
        <v>0.20926700000000004</v>
      </c>
      <c r="ED66" t="s">
        <v>195</v>
      </c>
      <c r="EE66" t="s">
        <v>196</v>
      </c>
      <c r="EF66" t="s">
        <v>197</v>
      </c>
      <c r="EG66">
        <v>1.0271999999999999</v>
      </c>
      <c r="EH66" t="s">
        <v>171</v>
      </c>
      <c r="EI66" t="s">
        <v>171</v>
      </c>
      <c r="EJ66" t="s">
        <v>198</v>
      </c>
      <c r="EK66" t="s">
        <v>191</v>
      </c>
      <c r="EL66" t="s">
        <v>191</v>
      </c>
      <c r="EM66" t="s">
        <v>199</v>
      </c>
      <c r="EN66" t="s">
        <v>200</v>
      </c>
      <c r="EO66" s="151" t="s">
        <v>201</v>
      </c>
      <c r="EP66" s="151" t="s">
        <v>201</v>
      </c>
      <c r="EQ66" s="144" t="s">
        <v>171</v>
      </c>
      <c r="ER66" s="144" t="s">
        <v>171</v>
      </c>
      <c r="ES66" s="144" t="s">
        <v>171</v>
      </c>
      <c r="ET66" t="s">
        <v>202</v>
      </c>
      <c r="EU66" t="s">
        <v>203</v>
      </c>
      <c r="EV66" t="s">
        <v>171</v>
      </c>
      <c r="EW66">
        <v>2393</v>
      </c>
      <c r="EX66" s="151" t="s">
        <v>204</v>
      </c>
      <c r="EY66" s="151">
        <v>175</v>
      </c>
      <c r="EZ66">
        <v>175</v>
      </c>
      <c r="FA66" t="s">
        <v>171</v>
      </c>
      <c r="FB66" t="s">
        <v>171</v>
      </c>
      <c r="FC66" t="s">
        <v>171</v>
      </c>
      <c r="FD66" t="s">
        <v>171</v>
      </c>
      <c r="FE66" s="152">
        <v>8.1921976879573108</v>
      </c>
      <c r="FF66" t="s">
        <v>205</v>
      </c>
      <c r="FG66" s="144" t="s">
        <v>171</v>
      </c>
      <c r="FH66" s="144" t="s">
        <v>171</v>
      </c>
      <c r="FI66" s="153">
        <v>257.6639629</v>
      </c>
      <c r="FJ66">
        <v>21</v>
      </c>
      <c r="FK66" t="s">
        <v>207</v>
      </c>
      <c r="FL66" s="160">
        <v>236.6639629</v>
      </c>
      <c r="FM66" s="161">
        <v>36.651954912770975</v>
      </c>
      <c r="FN66" s="161">
        <v>34.582228779029009</v>
      </c>
      <c r="FO66" t="s">
        <v>186</v>
      </c>
      <c r="FP66" t="s">
        <v>208</v>
      </c>
      <c r="FQ66" t="s">
        <v>171</v>
      </c>
      <c r="FR66" t="s">
        <v>171</v>
      </c>
      <c r="FS66" t="s">
        <v>171</v>
      </c>
      <c r="FT66" t="s">
        <v>171</v>
      </c>
      <c r="FU66" t="s">
        <v>171</v>
      </c>
      <c r="FV66" t="s">
        <v>171</v>
      </c>
      <c r="FW66" t="s">
        <v>171</v>
      </c>
      <c r="FX66" t="s">
        <v>171</v>
      </c>
      <c r="FY66" t="s">
        <v>171</v>
      </c>
      <c r="FZ66" t="s">
        <v>171</v>
      </c>
      <c r="GA66" t="s">
        <v>171</v>
      </c>
      <c r="GB66" t="s">
        <v>171</v>
      </c>
    </row>
    <row r="67" spans="1:184" ht="16" x14ac:dyDescent="0.2">
      <c r="A67" t="s">
        <v>217</v>
      </c>
      <c r="B67" s="143" t="s">
        <v>216</v>
      </c>
      <c r="C67" s="138" t="s">
        <v>212</v>
      </c>
      <c r="D67" t="s">
        <v>211</v>
      </c>
      <c r="E67">
        <v>2017</v>
      </c>
      <c r="F67" t="str">
        <f t="shared" si="7"/>
        <v>10.1073/pnas.1702143114</v>
      </c>
      <c r="G67" s="147">
        <f t="shared" si="8"/>
        <v>1094.71</v>
      </c>
      <c r="H67">
        <f t="shared" si="2"/>
        <v>6</v>
      </c>
      <c r="I67">
        <f t="shared" si="3"/>
        <v>6</v>
      </c>
      <c r="J67" s="153">
        <f t="shared" si="9"/>
        <v>246.54270700000001</v>
      </c>
      <c r="K67" s="153">
        <f t="shared" si="10"/>
        <v>37.364884608356988</v>
      </c>
      <c r="L67" s="153">
        <f t="shared" si="11"/>
        <v>36.542750164169007</v>
      </c>
      <c r="M67" t="b">
        <v>1</v>
      </c>
      <c r="N67">
        <v>3</v>
      </c>
      <c r="O67" s="144" t="s">
        <v>228</v>
      </c>
      <c r="P67" s="144" t="s">
        <v>229</v>
      </c>
      <c r="Q67" t="b">
        <v>0</v>
      </c>
      <c r="R67" t="s">
        <v>214</v>
      </c>
      <c r="S67" t="b">
        <v>1</v>
      </c>
      <c r="T67" t="b">
        <v>0</v>
      </c>
      <c r="U67" t="s">
        <v>171</v>
      </c>
      <c r="V67" t="s">
        <v>171</v>
      </c>
      <c r="W67" t="b">
        <v>0</v>
      </c>
      <c r="X67" t="s">
        <v>171</v>
      </c>
      <c r="Y67" s="139" t="s">
        <v>167</v>
      </c>
      <c r="Z67" s="143" t="s">
        <v>168</v>
      </c>
      <c r="AA67" t="s">
        <v>169</v>
      </c>
      <c r="AB67" s="157" t="s">
        <v>210</v>
      </c>
      <c r="AC67" s="157">
        <v>4</v>
      </c>
      <c r="AD67" s="157">
        <v>7</v>
      </c>
      <c r="AE67" s="158">
        <v>60</v>
      </c>
      <c r="AF67" s="158">
        <f t="shared" si="15"/>
        <v>62</v>
      </c>
      <c r="AG67" s="159">
        <v>36.200000000000003</v>
      </c>
      <c r="AH67" s="159">
        <v>36.200000000000003</v>
      </c>
      <c r="AI67" t="s">
        <v>171</v>
      </c>
      <c r="AJ67" t="s">
        <v>172</v>
      </c>
      <c r="AK67" s="146">
        <v>12.74</v>
      </c>
      <c r="AL67" s="146">
        <v>-78.739999999999995</v>
      </c>
      <c r="AM67" t="s">
        <v>171</v>
      </c>
      <c r="AN67" t="s">
        <v>171</v>
      </c>
      <c r="AO67">
        <v>-2839</v>
      </c>
      <c r="AP67" t="s">
        <v>171</v>
      </c>
      <c r="AQ67" t="s">
        <v>171</v>
      </c>
      <c r="AR67" t="s">
        <v>171</v>
      </c>
      <c r="AS67">
        <v>1094.71</v>
      </c>
      <c r="AT67" t="s">
        <v>173</v>
      </c>
      <c r="AU67">
        <v>6</v>
      </c>
      <c r="AV67">
        <v>6</v>
      </c>
      <c r="AW67" t="s">
        <v>171</v>
      </c>
      <c r="AX67" t="s">
        <v>174</v>
      </c>
      <c r="AY67" t="s">
        <v>171</v>
      </c>
      <c r="AZ67" t="s">
        <v>171</v>
      </c>
      <c r="BA67" t="s">
        <v>171</v>
      </c>
      <c r="BB67" t="s">
        <v>171</v>
      </c>
      <c r="BC67" t="s">
        <v>171</v>
      </c>
      <c r="BD67" t="s">
        <v>171</v>
      </c>
      <c r="BE67" t="s">
        <v>171</v>
      </c>
      <c r="BF67" t="s">
        <v>171</v>
      </c>
      <c r="BG67" t="s">
        <v>175</v>
      </c>
      <c r="BH67" t="s">
        <v>176</v>
      </c>
      <c r="BI67" t="s">
        <v>177</v>
      </c>
      <c r="BJ67" s="142">
        <v>2</v>
      </c>
      <c r="BK67" t="s">
        <v>178</v>
      </c>
      <c r="BL67" t="s">
        <v>179</v>
      </c>
      <c r="BM67" t="s">
        <v>180</v>
      </c>
      <c r="BN67" t="s">
        <v>171</v>
      </c>
      <c r="BO67" s="142">
        <v>2</v>
      </c>
      <c r="BP67" s="144" t="s">
        <v>171</v>
      </c>
      <c r="BQ67" s="149">
        <v>20.73435804</v>
      </c>
      <c r="BR67" t="s">
        <v>181</v>
      </c>
      <c r="BS67" s="149">
        <v>0.218499886</v>
      </c>
      <c r="BT67">
        <v>0.64</v>
      </c>
      <c r="BU67" t="s">
        <v>182</v>
      </c>
      <c r="BV67">
        <v>3.4000000000000002E-2</v>
      </c>
      <c r="BW67">
        <v>9.1</v>
      </c>
      <c r="BX67" t="s">
        <v>173</v>
      </c>
      <c r="BY67">
        <v>0.56000000000000005</v>
      </c>
      <c r="BZ67" t="s">
        <v>183</v>
      </c>
      <c r="CA67" t="s">
        <v>184</v>
      </c>
      <c r="CB67" s="148">
        <f t="shared" si="6"/>
        <v>19.773930066666669</v>
      </c>
      <c r="CC67" s="144" t="s">
        <v>185</v>
      </c>
      <c r="CD67" s="144" t="s">
        <v>171</v>
      </c>
      <c r="CE67" s="144" t="s">
        <v>171</v>
      </c>
      <c r="CF67" t="s">
        <v>186</v>
      </c>
      <c r="CG67" s="144">
        <v>10</v>
      </c>
      <c r="CH67" s="144" t="s">
        <v>187</v>
      </c>
      <c r="CI67" s="144" t="s">
        <v>171</v>
      </c>
      <c r="CJ67" s="147">
        <v>26.79039075</v>
      </c>
      <c r="CK67" t="s">
        <v>173</v>
      </c>
      <c r="CL67">
        <v>3</v>
      </c>
      <c r="CM67">
        <v>3</v>
      </c>
      <c r="CN67" t="s">
        <v>171</v>
      </c>
      <c r="CO67" s="149">
        <v>4.0101390950390092</v>
      </c>
      <c r="CP67" t="s">
        <v>188</v>
      </c>
      <c r="CQ67" s="149">
        <f t="shared" si="16"/>
        <v>0.16040556380156037</v>
      </c>
      <c r="CR67" s="149">
        <v>0.16040556380156037</v>
      </c>
      <c r="CS67" s="150" t="s">
        <v>171</v>
      </c>
      <c r="CT67" t="s">
        <v>189</v>
      </c>
      <c r="CU67" t="s">
        <v>171</v>
      </c>
      <c r="CV67" t="s">
        <v>190</v>
      </c>
      <c r="CW67" t="s">
        <v>191</v>
      </c>
      <c r="CX67" t="s">
        <v>191</v>
      </c>
      <c r="CY67" t="s">
        <v>191</v>
      </c>
      <c r="CZ67" t="s">
        <v>171</v>
      </c>
      <c r="DA67" t="s">
        <v>171</v>
      </c>
      <c r="DB67" t="s">
        <v>171</v>
      </c>
      <c r="DC67" t="s">
        <v>171</v>
      </c>
      <c r="DD67" t="s">
        <v>171</v>
      </c>
      <c r="DE67" t="s">
        <v>171</v>
      </c>
      <c r="DF67" t="s">
        <v>171</v>
      </c>
      <c r="DG67">
        <v>35</v>
      </c>
      <c r="DH67" t="s">
        <v>185</v>
      </c>
      <c r="DI67" s="142">
        <v>3</v>
      </c>
      <c r="DJ67" s="144" t="s">
        <v>192</v>
      </c>
      <c r="DK67" s="144" t="s">
        <v>171</v>
      </c>
      <c r="DL67" s="144" t="s">
        <v>171</v>
      </c>
      <c r="DM67" s="144" t="s">
        <v>171</v>
      </c>
      <c r="DN67" s="144" t="s">
        <v>171</v>
      </c>
      <c r="DO67" s="144" t="s">
        <v>171</v>
      </c>
      <c r="DP67" s="144" t="s">
        <v>171</v>
      </c>
      <c r="DQ67" s="144" t="s">
        <v>171</v>
      </c>
      <c r="DR67" s="144" t="s">
        <v>171</v>
      </c>
      <c r="DS67" s="144" t="s">
        <v>171</v>
      </c>
      <c r="DT67" s="144" t="s">
        <v>171</v>
      </c>
      <c r="DU67" s="144" t="s">
        <v>171</v>
      </c>
      <c r="DV67" s="144" t="s">
        <v>171</v>
      </c>
      <c r="DW67" s="147">
        <v>432.56244218316402</v>
      </c>
      <c r="DX67" t="s">
        <v>193</v>
      </c>
      <c r="DY67">
        <v>37.1</v>
      </c>
      <c r="DZ67" t="s">
        <v>194</v>
      </c>
      <c r="EA67">
        <v>39.61</v>
      </c>
      <c r="EB67" t="s">
        <v>185</v>
      </c>
      <c r="EC67" s="149">
        <f t="shared" si="1"/>
        <v>0.20947100000000002</v>
      </c>
      <c r="ED67" t="s">
        <v>195</v>
      </c>
      <c r="EE67" t="s">
        <v>196</v>
      </c>
      <c r="EF67" t="s">
        <v>197</v>
      </c>
      <c r="EG67">
        <v>1.0271999999999999</v>
      </c>
      <c r="EH67" t="s">
        <v>171</v>
      </c>
      <c r="EI67" t="s">
        <v>171</v>
      </c>
      <c r="EJ67" t="s">
        <v>198</v>
      </c>
      <c r="EK67" t="s">
        <v>191</v>
      </c>
      <c r="EL67" t="s">
        <v>191</v>
      </c>
      <c r="EM67" t="s">
        <v>199</v>
      </c>
      <c r="EN67" t="s">
        <v>200</v>
      </c>
      <c r="EO67" s="151" t="s">
        <v>201</v>
      </c>
      <c r="EP67" s="151" t="s">
        <v>201</v>
      </c>
      <c r="EQ67" s="144" t="s">
        <v>171</v>
      </c>
      <c r="ER67" s="144" t="s">
        <v>171</v>
      </c>
      <c r="ES67" s="144" t="s">
        <v>171</v>
      </c>
      <c r="ET67" t="s">
        <v>202</v>
      </c>
      <c r="EU67" t="s">
        <v>203</v>
      </c>
      <c r="EV67" t="s">
        <v>171</v>
      </c>
      <c r="EW67">
        <v>2394</v>
      </c>
      <c r="EX67" s="151" t="s">
        <v>204</v>
      </c>
      <c r="EY67" s="151">
        <v>175</v>
      </c>
      <c r="EZ67">
        <v>175</v>
      </c>
      <c r="FA67" t="s">
        <v>171</v>
      </c>
      <c r="FB67" t="s">
        <v>171</v>
      </c>
      <c r="FC67" t="s">
        <v>171</v>
      </c>
      <c r="FD67" t="s">
        <v>171</v>
      </c>
      <c r="FE67" s="152">
        <v>8.1793166022166304</v>
      </c>
      <c r="FF67" t="s">
        <v>205</v>
      </c>
      <c r="FG67" s="144" t="s">
        <v>171</v>
      </c>
      <c r="FH67" s="144" t="s">
        <v>171</v>
      </c>
      <c r="FI67" s="153">
        <v>267.54270700000001</v>
      </c>
      <c r="FJ67">
        <v>21</v>
      </c>
      <c r="FK67" t="s">
        <v>207</v>
      </c>
      <c r="FL67" s="160">
        <v>246.54270700000001</v>
      </c>
      <c r="FM67" s="161">
        <v>37.364884608356988</v>
      </c>
      <c r="FN67" s="161">
        <v>36.542750164169007</v>
      </c>
      <c r="FO67" t="s">
        <v>186</v>
      </c>
      <c r="FP67" t="s">
        <v>208</v>
      </c>
      <c r="FQ67" t="s">
        <v>171</v>
      </c>
      <c r="FR67" t="s">
        <v>171</v>
      </c>
      <c r="FS67" t="s">
        <v>171</v>
      </c>
      <c r="FT67" t="s">
        <v>171</v>
      </c>
      <c r="FU67" t="s">
        <v>171</v>
      </c>
      <c r="FV67" t="s">
        <v>171</v>
      </c>
      <c r="FW67" t="s">
        <v>171</v>
      </c>
      <c r="FX67" t="s">
        <v>171</v>
      </c>
      <c r="FY67" t="s">
        <v>171</v>
      </c>
      <c r="FZ67" t="s">
        <v>171</v>
      </c>
      <c r="GA67" t="s">
        <v>171</v>
      </c>
      <c r="GB67" t="s">
        <v>171</v>
      </c>
    </row>
    <row r="68" spans="1:184" ht="16" x14ac:dyDescent="0.2">
      <c r="A68" t="s">
        <v>217</v>
      </c>
      <c r="B68" s="143" t="s">
        <v>216</v>
      </c>
      <c r="C68" s="138" t="s">
        <v>212</v>
      </c>
      <c r="D68" t="s">
        <v>211</v>
      </c>
      <c r="E68">
        <v>2017</v>
      </c>
      <c r="F68" t="str">
        <f t="shared" si="7"/>
        <v>10.1073/pnas.1702143114</v>
      </c>
      <c r="G68" s="147">
        <f t="shared" si="8"/>
        <v>1099.46</v>
      </c>
      <c r="H68">
        <f t="shared" si="2"/>
        <v>6</v>
      </c>
      <c r="I68">
        <f t="shared" si="3"/>
        <v>6</v>
      </c>
      <c r="J68" s="153">
        <f t="shared" si="9"/>
        <v>322.54932739999998</v>
      </c>
      <c r="K68" s="153">
        <f t="shared" si="10"/>
        <v>44.597581094964028</v>
      </c>
      <c r="L68" s="153">
        <f t="shared" si="11"/>
        <v>42.532209105734978</v>
      </c>
      <c r="M68" t="b">
        <v>1</v>
      </c>
      <c r="N68">
        <v>3</v>
      </c>
      <c r="O68" s="144" t="s">
        <v>228</v>
      </c>
      <c r="P68" s="144" t="s">
        <v>229</v>
      </c>
      <c r="Q68" t="b">
        <v>0</v>
      </c>
      <c r="R68" t="s">
        <v>214</v>
      </c>
      <c r="S68" t="b">
        <v>1</v>
      </c>
      <c r="T68" t="b">
        <v>0</v>
      </c>
      <c r="U68" t="s">
        <v>171</v>
      </c>
      <c r="V68" t="s">
        <v>171</v>
      </c>
      <c r="W68" t="b">
        <v>0</v>
      </c>
      <c r="X68" t="s">
        <v>171</v>
      </c>
      <c r="Y68" s="139" t="s">
        <v>167</v>
      </c>
      <c r="Z68" s="143" t="s">
        <v>168</v>
      </c>
      <c r="AA68" t="s">
        <v>169</v>
      </c>
      <c r="AB68" s="162" t="s">
        <v>210</v>
      </c>
      <c r="AC68" s="162">
        <v>4</v>
      </c>
      <c r="AD68" s="162" t="s">
        <v>209</v>
      </c>
      <c r="AE68" s="163">
        <v>11</v>
      </c>
      <c r="AF68" s="163">
        <f t="shared" si="15"/>
        <v>13</v>
      </c>
      <c r="AG68" s="164">
        <v>36.43</v>
      </c>
      <c r="AH68" s="164">
        <v>36.43</v>
      </c>
      <c r="AI68" t="s">
        <v>171</v>
      </c>
      <c r="AJ68" t="s">
        <v>172</v>
      </c>
      <c r="AK68" s="146">
        <v>12.74</v>
      </c>
      <c r="AL68" s="146">
        <v>-78.739999999999995</v>
      </c>
      <c r="AM68" t="s">
        <v>171</v>
      </c>
      <c r="AN68" t="s">
        <v>171</v>
      </c>
      <c r="AO68">
        <v>-2839</v>
      </c>
      <c r="AP68" t="s">
        <v>171</v>
      </c>
      <c r="AQ68" t="s">
        <v>171</v>
      </c>
      <c r="AR68" t="s">
        <v>171</v>
      </c>
      <c r="AS68">
        <v>1099.46</v>
      </c>
      <c r="AT68" t="s">
        <v>173</v>
      </c>
      <c r="AU68">
        <v>6</v>
      </c>
      <c r="AV68">
        <v>6</v>
      </c>
      <c r="AW68" t="s">
        <v>171</v>
      </c>
      <c r="AX68" t="s">
        <v>174</v>
      </c>
      <c r="AY68" t="s">
        <v>171</v>
      </c>
      <c r="AZ68" t="s">
        <v>171</v>
      </c>
      <c r="BA68" t="s">
        <v>171</v>
      </c>
      <c r="BB68" t="s">
        <v>171</v>
      </c>
      <c r="BC68" t="s">
        <v>171</v>
      </c>
      <c r="BD68" t="s">
        <v>171</v>
      </c>
      <c r="BE68" t="s">
        <v>171</v>
      </c>
      <c r="BF68" t="s">
        <v>171</v>
      </c>
      <c r="BG68" t="s">
        <v>175</v>
      </c>
      <c r="BH68" t="s">
        <v>176</v>
      </c>
      <c r="BI68" t="s">
        <v>177</v>
      </c>
      <c r="BJ68" s="142">
        <v>2</v>
      </c>
      <c r="BK68" t="s">
        <v>178</v>
      </c>
      <c r="BL68" t="s">
        <v>179</v>
      </c>
      <c r="BM68" t="s">
        <v>180</v>
      </c>
      <c r="BN68" t="s">
        <v>171</v>
      </c>
      <c r="BO68" s="142">
        <v>2</v>
      </c>
      <c r="BP68" s="144" t="s">
        <v>171</v>
      </c>
      <c r="BQ68" s="149">
        <v>20.0893291</v>
      </c>
      <c r="BR68" t="s">
        <v>181</v>
      </c>
      <c r="BS68" s="149">
        <v>0.194254126</v>
      </c>
      <c r="BT68">
        <v>0.64</v>
      </c>
      <c r="BU68" t="s">
        <v>182</v>
      </c>
      <c r="BV68">
        <v>3.4000000000000002E-2</v>
      </c>
      <c r="BW68">
        <v>9.1</v>
      </c>
      <c r="BX68" t="s">
        <v>173</v>
      </c>
      <c r="BY68">
        <v>0.56000000000000005</v>
      </c>
      <c r="BZ68" t="s">
        <v>183</v>
      </c>
      <c r="CA68" t="s">
        <v>184</v>
      </c>
      <c r="CB68" s="148">
        <f t="shared" si="6"/>
        <v>18.698881833333335</v>
      </c>
      <c r="CC68" s="144" t="s">
        <v>185</v>
      </c>
      <c r="CD68" s="144" t="s">
        <v>171</v>
      </c>
      <c r="CE68" s="144" t="s">
        <v>171</v>
      </c>
      <c r="CF68" t="s">
        <v>186</v>
      </c>
      <c r="CG68" s="144">
        <v>10</v>
      </c>
      <c r="CH68" s="144" t="s">
        <v>187</v>
      </c>
      <c r="CI68" s="144" t="s">
        <v>171</v>
      </c>
      <c r="CJ68" s="147">
        <v>26.316807690000001</v>
      </c>
      <c r="CK68" t="s">
        <v>173</v>
      </c>
      <c r="CL68">
        <v>3</v>
      </c>
      <c r="CM68">
        <v>3</v>
      </c>
      <c r="CN68" t="s">
        <v>171</v>
      </c>
      <c r="CO68" s="149">
        <v>3.8424601093623867</v>
      </c>
      <c r="CP68" t="s">
        <v>188</v>
      </c>
      <c r="CQ68" s="149">
        <f t="shared" si="16"/>
        <v>0.15369840437449547</v>
      </c>
      <c r="CR68" s="149">
        <v>0.15369840437449547</v>
      </c>
      <c r="CS68" s="150" t="s">
        <v>171</v>
      </c>
      <c r="CT68" t="s">
        <v>189</v>
      </c>
      <c r="CU68" t="s">
        <v>171</v>
      </c>
      <c r="CV68" t="s">
        <v>190</v>
      </c>
      <c r="CW68" t="s">
        <v>191</v>
      </c>
      <c r="CX68" t="s">
        <v>191</v>
      </c>
      <c r="CY68" t="s">
        <v>191</v>
      </c>
      <c r="CZ68" t="s">
        <v>171</v>
      </c>
      <c r="DA68" t="s">
        <v>171</v>
      </c>
      <c r="DB68" t="s">
        <v>171</v>
      </c>
      <c r="DC68" t="s">
        <v>171</v>
      </c>
      <c r="DD68" t="s">
        <v>171</v>
      </c>
      <c r="DE68" t="s">
        <v>171</v>
      </c>
      <c r="DF68" t="s">
        <v>171</v>
      </c>
      <c r="DG68">
        <v>35</v>
      </c>
      <c r="DH68" t="s">
        <v>185</v>
      </c>
      <c r="DI68" s="142">
        <v>3</v>
      </c>
      <c r="DJ68" s="144" t="s">
        <v>192</v>
      </c>
      <c r="DK68" s="144" t="s">
        <v>171</v>
      </c>
      <c r="DL68" s="144" t="s">
        <v>171</v>
      </c>
      <c r="DM68" s="144" t="s">
        <v>171</v>
      </c>
      <c r="DN68" s="144" t="s">
        <v>171</v>
      </c>
      <c r="DO68" s="144" t="s">
        <v>171</v>
      </c>
      <c r="DP68" s="144" t="s">
        <v>171</v>
      </c>
      <c r="DQ68" s="144" t="s">
        <v>171</v>
      </c>
      <c r="DR68" s="144" t="s">
        <v>171</v>
      </c>
      <c r="DS68" s="144" t="s">
        <v>171</v>
      </c>
      <c r="DT68" s="144" t="s">
        <v>171</v>
      </c>
      <c r="DU68" s="144" t="s">
        <v>171</v>
      </c>
      <c r="DV68" s="144" t="s">
        <v>171</v>
      </c>
      <c r="DW68" s="147">
        <v>432.56244218316402</v>
      </c>
      <c r="DX68" t="s">
        <v>193</v>
      </c>
      <c r="DY68">
        <v>37.1</v>
      </c>
      <c r="DZ68" t="s">
        <v>194</v>
      </c>
      <c r="EA68">
        <v>39.61</v>
      </c>
      <c r="EB68" t="s">
        <v>185</v>
      </c>
      <c r="EC68" s="149">
        <f t="shared" ref="EC68:EC113" si="17">0.1+0.1*AS68/1000</f>
        <v>0.20994600000000002</v>
      </c>
      <c r="ED68" t="s">
        <v>195</v>
      </c>
      <c r="EE68" t="s">
        <v>196</v>
      </c>
      <c r="EF68" t="s">
        <v>197</v>
      </c>
      <c r="EG68">
        <v>1.0271999999999999</v>
      </c>
      <c r="EH68" t="s">
        <v>171</v>
      </c>
      <c r="EI68" t="s">
        <v>171</v>
      </c>
      <c r="EJ68" t="s">
        <v>198</v>
      </c>
      <c r="EK68" t="s">
        <v>191</v>
      </c>
      <c r="EL68" t="s">
        <v>191</v>
      </c>
      <c r="EM68" t="s">
        <v>199</v>
      </c>
      <c r="EN68" t="s">
        <v>200</v>
      </c>
      <c r="EO68" s="151" t="s">
        <v>201</v>
      </c>
      <c r="EP68" s="151" t="s">
        <v>201</v>
      </c>
      <c r="EQ68" s="144" t="s">
        <v>171</v>
      </c>
      <c r="ER68" s="144" t="s">
        <v>171</v>
      </c>
      <c r="ES68" s="144" t="s">
        <v>171</v>
      </c>
      <c r="ET68" t="s">
        <v>202</v>
      </c>
      <c r="EU68" t="s">
        <v>203</v>
      </c>
      <c r="EV68" t="s">
        <v>171</v>
      </c>
      <c r="EW68">
        <v>2395</v>
      </c>
      <c r="EX68" s="151" t="s">
        <v>204</v>
      </c>
      <c r="EY68" s="151">
        <v>175</v>
      </c>
      <c r="EZ68">
        <v>175</v>
      </c>
      <c r="FA68" t="s">
        <v>171</v>
      </c>
      <c r="FB68" t="s">
        <v>171</v>
      </c>
      <c r="FC68" t="s">
        <v>171</v>
      </c>
      <c r="FD68" t="s">
        <v>171</v>
      </c>
      <c r="FE68" s="152">
        <v>8.0951603374656091</v>
      </c>
      <c r="FF68" t="s">
        <v>205</v>
      </c>
      <c r="FG68" s="144" t="s">
        <v>171</v>
      </c>
      <c r="FH68" s="144" t="s">
        <v>171</v>
      </c>
      <c r="FI68" s="153">
        <v>343.54932739999998</v>
      </c>
      <c r="FJ68">
        <v>21</v>
      </c>
      <c r="FK68" t="s">
        <v>207</v>
      </c>
      <c r="FL68" s="160">
        <v>322.54932739999998</v>
      </c>
      <c r="FM68" s="161">
        <v>44.597581094964028</v>
      </c>
      <c r="FN68" s="161">
        <v>42.532209105734978</v>
      </c>
      <c r="FO68" t="s">
        <v>186</v>
      </c>
      <c r="FP68" t="s">
        <v>208</v>
      </c>
      <c r="FQ68" t="s">
        <v>171</v>
      </c>
      <c r="FR68" t="s">
        <v>171</v>
      </c>
      <c r="FS68" t="s">
        <v>171</v>
      </c>
      <c r="FT68" t="s">
        <v>171</v>
      </c>
      <c r="FU68" t="s">
        <v>171</v>
      </c>
      <c r="FV68" t="s">
        <v>171</v>
      </c>
      <c r="FW68" t="s">
        <v>171</v>
      </c>
      <c r="FX68" t="s">
        <v>171</v>
      </c>
      <c r="FY68" t="s">
        <v>171</v>
      </c>
      <c r="FZ68" t="s">
        <v>171</v>
      </c>
      <c r="GA68" t="s">
        <v>171</v>
      </c>
      <c r="GB68" t="s">
        <v>171</v>
      </c>
    </row>
    <row r="69" spans="1:184" ht="16" x14ac:dyDescent="0.2">
      <c r="A69" t="s">
        <v>217</v>
      </c>
      <c r="B69" s="143" t="s">
        <v>216</v>
      </c>
      <c r="C69" s="138" t="s">
        <v>212</v>
      </c>
      <c r="D69" t="s">
        <v>211</v>
      </c>
      <c r="E69">
        <v>2017</v>
      </c>
      <c r="F69" t="str">
        <f t="shared" si="7"/>
        <v>10.1073/pnas.1702143114</v>
      </c>
      <c r="G69" s="147">
        <f t="shared" si="8"/>
        <v>1102.42</v>
      </c>
      <c r="H69">
        <f t="shared" ref="H69:H113" si="18">AU69</f>
        <v>6</v>
      </c>
      <c r="I69">
        <f t="shared" ref="I69:I113" si="19">AV69</f>
        <v>6</v>
      </c>
      <c r="J69" s="153">
        <f t="shared" si="9"/>
        <v>300.96910079999998</v>
      </c>
      <c r="K69" s="153">
        <f t="shared" si="10"/>
        <v>42.958384441738019</v>
      </c>
      <c r="L69" s="153">
        <f t="shared" si="11"/>
        <v>40.893016918655974</v>
      </c>
      <c r="M69" t="b">
        <v>1</v>
      </c>
      <c r="N69">
        <v>3</v>
      </c>
      <c r="O69" s="144" t="s">
        <v>228</v>
      </c>
      <c r="P69" s="144" t="s">
        <v>229</v>
      </c>
      <c r="Q69" t="b">
        <v>0</v>
      </c>
      <c r="R69" t="s">
        <v>214</v>
      </c>
      <c r="S69" t="b">
        <v>1</v>
      </c>
      <c r="T69" t="b">
        <v>0</v>
      </c>
      <c r="U69" t="s">
        <v>171</v>
      </c>
      <c r="V69" t="s">
        <v>171</v>
      </c>
      <c r="W69" t="b">
        <v>0</v>
      </c>
      <c r="X69" t="s">
        <v>171</v>
      </c>
      <c r="Y69" s="139" t="s">
        <v>167</v>
      </c>
      <c r="Z69" s="143" t="s">
        <v>168</v>
      </c>
      <c r="AA69" t="s">
        <v>169</v>
      </c>
      <c r="AB69" s="157" t="s">
        <v>210</v>
      </c>
      <c r="AC69" s="157">
        <v>5</v>
      </c>
      <c r="AD69" s="157">
        <v>1</v>
      </c>
      <c r="AE69" s="158">
        <v>12</v>
      </c>
      <c r="AF69" s="158">
        <f t="shared" si="15"/>
        <v>14</v>
      </c>
      <c r="AG69" s="159">
        <v>36.22</v>
      </c>
      <c r="AH69" s="159">
        <v>36.22</v>
      </c>
      <c r="AI69" t="s">
        <v>171</v>
      </c>
      <c r="AJ69" t="s">
        <v>172</v>
      </c>
      <c r="AK69" s="146">
        <v>12.74</v>
      </c>
      <c r="AL69" s="146">
        <v>-78.739999999999995</v>
      </c>
      <c r="AM69" t="s">
        <v>171</v>
      </c>
      <c r="AN69" t="s">
        <v>171</v>
      </c>
      <c r="AO69">
        <v>-2839</v>
      </c>
      <c r="AP69" t="s">
        <v>171</v>
      </c>
      <c r="AQ69" t="s">
        <v>171</v>
      </c>
      <c r="AR69" t="s">
        <v>171</v>
      </c>
      <c r="AS69">
        <v>1102.42</v>
      </c>
      <c r="AT69" t="s">
        <v>173</v>
      </c>
      <c r="AU69">
        <v>6</v>
      </c>
      <c r="AV69">
        <v>6</v>
      </c>
      <c r="AW69" t="s">
        <v>171</v>
      </c>
      <c r="AX69" t="s">
        <v>174</v>
      </c>
      <c r="AY69" t="s">
        <v>171</v>
      </c>
      <c r="AZ69" t="s">
        <v>171</v>
      </c>
      <c r="BA69" t="s">
        <v>171</v>
      </c>
      <c r="BB69" t="s">
        <v>171</v>
      </c>
      <c r="BC69" t="s">
        <v>171</v>
      </c>
      <c r="BD69" t="s">
        <v>171</v>
      </c>
      <c r="BE69" t="s">
        <v>171</v>
      </c>
      <c r="BF69" t="s">
        <v>171</v>
      </c>
      <c r="BG69" t="s">
        <v>175</v>
      </c>
      <c r="BH69" t="s">
        <v>176</v>
      </c>
      <c r="BI69" t="s">
        <v>177</v>
      </c>
      <c r="BJ69" s="142">
        <v>2</v>
      </c>
      <c r="BK69" t="s">
        <v>178</v>
      </c>
      <c r="BL69" t="s">
        <v>179</v>
      </c>
      <c r="BM69" t="s">
        <v>180</v>
      </c>
      <c r="BN69" t="s">
        <v>171</v>
      </c>
      <c r="BO69" s="142">
        <v>2</v>
      </c>
      <c r="BP69" s="144" t="s">
        <v>171</v>
      </c>
      <c r="BQ69" s="149">
        <v>20.229757670000001</v>
      </c>
      <c r="BR69" t="s">
        <v>181</v>
      </c>
      <c r="BS69" s="149">
        <v>0.19304795599999999</v>
      </c>
      <c r="BT69">
        <v>0.64</v>
      </c>
      <c r="BU69" t="s">
        <v>182</v>
      </c>
      <c r="BV69">
        <v>3.4000000000000002E-2</v>
      </c>
      <c r="BW69">
        <v>9.1</v>
      </c>
      <c r="BX69" t="s">
        <v>173</v>
      </c>
      <c r="BY69">
        <v>0.56000000000000005</v>
      </c>
      <c r="BZ69" t="s">
        <v>183</v>
      </c>
      <c r="CA69" t="s">
        <v>184</v>
      </c>
      <c r="CB69" s="148">
        <f t="shared" ref="CB69:CB113" si="20">(BQ69-8.87)/0.6</f>
        <v>18.932929450000003</v>
      </c>
      <c r="CC69" s="144" t="s">
        <v>185</v>
      </c>
      <c r="CD69" s="144" t="s">
        <v>171</v>
      </c>
      <c r="CE69" s="144" t="s">
        <v>171</v>
      </c>
      <c r="CF69" t="s">
        <v>186</v>
      </c>
      <c r="CG69" s="144">
        <v>10</v>
      </c>
      <c r="CH69" s="144" t="s">
        <v>187</v>
      </c>
      <c r="CI69" s="144" t="s">
        <v>171</v>
      </c>
      <c r="CJ69" s="147">
        <v>26.176028890000001</v>
      </c>
      <c r="CK69" t="s">
        <v>173</v>
      </c>
      <c r="CL69">
        <v>3</v>
      </c>
      <c r="CM69">
        <v>3</v>
      </c>
      <c r="CN69" t="s">
        <v>171</v>
      </c>
      <c r="CO69" s="149">
        <v>3.7937389566535522</v>
      </c>
      <c r="CP69" t="s">
        <v>188</v>
      </c>
      <c r="CQ69" s="149">
        <f t="shared" si="16"/>
        <v>0.15174955826614209</v>
      </c>
      <c r="CR69" s="149">
        <v>0.15174955826614209</v>
      </c>
      <c r="CS69" s="150" t="s">
        <v>171</v>
      </c>
      <c r="CT69" t="s">
        <v>189</v>
      </c>
      <c r="CU69" t="s">
        <v>171</v>
      </c>
      <c r="CV69" t="s">
        <v>190</v>
      </c>
      <c r="CW69" t="s">
        <v>191</v>
      </c>
      <c r="CX69" t="s">
        <v>191</v>
      </c>
      <c r="CY69" t="s">
        <v>191</v>
      </c>
      <c r="CZ69" t="s">
        <v>171</v>
      </c>
      <c r="DA69" t="s">
        <v>171</v>
      </c>
      <c r="DB69" t="s">
        <v>171</v>
      </c>
      <c r="DC69" t="s">
        <v>171</v>
      </c>
      <c r="DD69" t="s">
        <v>171</v>
      </c>
      <c r="DE69" t="s">
        <v>171</v>
      </c>
      <c r="DF69" t="s">
        <v>171</v>
      </c>
      <c r="DG69">
        <v>35</v>
      </c>
      <c r="DH69" t="s">
        <v>185</v>
      </c>
      <c r="DI69" s="142">
        <v>3</v>
      </c>
      <c r="DJ69" s="144" t="s">
        <v>192</v>
      </c>
      <c r="DK69" s="144" t="s">
        <v>171</v>
      </c>
      <c r="DL69" s="144" t="s">
        <v>171</v>
      </c>
      <c r="DM69" s="144" t="s">
        <v>171</v>
      </c>
      <c r="DN69" s="144" t="s">
        <v>171</v>
      </c>
      <c r="DO69" s="144" t="s">
        <v>171</v>
      </c>
      <c r="DP69" s="144" t="s">
        <v>171</v>
      </c>
      <c r="DQ69" s="144" t="s">
        <v>171</v>
      </c>
      <c r="DR69" s="144" t="s">
        <v>171</v>
      </c>
      <c r="DS69" s="144" t="s">
        <v>171</v>
      </c>
      <c r="DT69" s="144" t="s">
        <v>171</v>
      </c>
      <c r="DU69" s="144" t="s">
        <v>171</v>
      </c>
      <c r="DV69" s="144" t="s">
        <v>171</v>
      </c>
      <c r="DW69" s="147">
        <v>432.56244218316402</v>
      </c>
      <c r="DX69" t="s">
        <v>193</v>
      </c>
      <c r="DY69">
        <v>37.1</v>
      </c>
      <c r="DZ69" t="s">
        <v>194</v>
      </c>
      <c r="EA69">
        <v>39.61</v>
      </c>
      <c r="EB69" t="s">
        <v>185</v>
      </c>
      <c r="EC69" s="149">
        <f t="shared" si="17"/>
        <v>0.21024200000000004</v>
      </c>
      <c r="ED69" t="s">
        <v>195</v>
      </c>
      <c r="EE69" t="s">
        <v>196</v>
      </c>
      <c r="EF69" t="s">
        <v>197</v>
      </c>
      <c r="EG69">
        <v>1.0271999999999999</v>
      </c>
      <c r="EH69" t="s">
        <v>171</v>
      </c>
      <c r="EI69" t="s">
        <v>171</v>
      </c>
      <c r="EJ69" t="s">
        <v>198</v>
      </c>
      <c r="EK69" t="s">
        <v>191</v>
      </c>
      <c r="EL69" t="s">
        <v>191</v>
      </c>
      <c r="EM69" t="s">
        <v>199</v>
      </c>
      <c r="EN69" t="s">
        <v>200</v>
      </c>
      <c r="EO69" s="151" t="s">
        <v>201</v>
      </c>
      <c r="EP69" s="151" t="s">
        <v>201</v>
      </c>
      <c r="EQ69" s="144" t="s">
        <v>171</v>
      </c>
      <c r="ER69" s="144" t="s">
        <v>171</v>
      </c>
      <c r="ES69" s="144" t="s">
        <v>171</v>
      </c>
      <c r="ET69" t="s">
        <v>202</v>
      </c>
      <c r="EU69" t="s">
        <v>203</v>
      </c>
      <c r="EV69" t="s">
        <v>171</v>
      </c>
      <c r="EW69">
        <v>2396</v>
      </c>
      <c r="EX69" s="151" t="s">
        <v>204</v>
      </c>
      <c r="EY69" s="151">
        <v>175</v>
      </c>
      <c r="EZ69">
        <v>175</v>
      </c>
      <c r="FA69" t="s">
        <v>171</v>
      </c>
      <c r="FB69" t="s">
        <v>171</v>
      </c>
      <c r="FC69" t="s">
        <v>171</v>
      </c>
      <c r="FD69" t="s">
        <v>171</v>
      </c>
      <c r="FE69" s="152">
        <v>8.1175650956993604</v>
      </c>
      <c r="FF69" t="s">
        <v>205</v>
      </c>
      <c r="FG69" s="144" t="s">
        <v>171</v>
      </c>
      <c r="FH69" s="144" t="s">
        <v>171</v>
      </c>
      <c r="FI69" s="153">
        <v>321.96910079999998</v>
      </c>
      <c r="FJ69">
        <v>21</v>
      </c>
      <c r="FK69" t="s">
        <v>207</v>
      </c>
      <c r="FL69" s="160">
        <v>300.96910079999998</v>
      </c>
      <c r="FM69" s="161">
        <v>42.958384441738019</v>
      </c>
      <c r="FN69" s="161">
        <v>40.893016918655974</v>
      </c>
      <c r="FO69" t="s">
        <v>186</v>
      </c>
      <c r="FP69" t="s">
        <v>208</v>
      </c>
      <c r="FQ69" t="s">
        <v>171</v>
      </c>
      <c r="FR69" t="s">
        <v>171</v>
      </c>
      <c r="FS69" t="s">
        <v>171</v>
      </c>
      <c r="FT69" t="s">
        <v>171</v>
      </c>
      <c r="FU69" t="s">
        <v>171</v>
      </c>
      <c r="FV69" t="s">
        <v>171</v>
      </c>
      <c r="FW69" t="s">
        <v>171</v>
      </c>
      <c r="FX69" t="s">
        <v>171</v>
      </c>
      <c r="FY69" t="s">
        <v>171</v>
      </c>
      <c r="FZ69" t="s">
        <v>171</v>
      </c>
      <c r="GA69" t="s">
        <v>171</v>
      </c>
      <c r="GB69" t="s">
        <v>171</v>
      </c>
    </row>
    <row r="70" spans="1:184" ht="16" x14ac:dyDescent="0.2">
      <c r="A70" t="s">
        <v>217</v>
      </c>
      <c r="B70" s="143" t="s">
        <v>216</v>
      </c>
      <c r="C70" s="138" t="s">
        <v>212</v>
      </c>
      <c r="D70" t="s">
        <v>211</v>
      </c>
      <c r="E70">
        <v>2017</v>
      </c>
      <c r="F70" t="str">
        <f t="shared" ref="F70:F113" si="21">Z70</f>
        <v>10.1073/pnas.1702143114</v>
      </c>
      <c r="G70" s="147">
        <f t="shared" ref="G70:G113" si="22">AS70</f>
        <v>1103.1600000000001</v>
      </c>
      <c r="H70">
        <f t="shared" si="18"/>
        <v>6</v>
      </c>
      <c r="I70">
        <f t="shared" si="19"/>
        <v>6</v>
      </c>
      <c r="J70" s="153">
        <f t="shared" ref="J70:J113" si="23">FL70</f>
        <v>286.69133299999999</v>
      </c>
      <c r="K70" s="153">
        <f t="shared" si="10"/>
        <v>43.963506745999041</v>
      </c>
      <c r="L70" s="153">
        <f t="shared" si="11"/>
        <v>42.495567929505995</v>
      </c>
      <c r="M70" t="b">
        <v>1</v>
      </c>
      <c r="N70">
        <v>3</v>
      </c>
      <c r="O70" s="144" t="s">
        <v>228</v>
      </c>
      <c r="P70" s="144" t="s">
        <v>229</v>
      </c>
      <c r="Q70" t="b">
        <v>0</v>
      </c>
      <c r="R70" t="s">
        <v>214</v>
      </c>
      <c r="S70" t="b">
        <v>1</v>
      </c>
      <c r="T70" t="b">
        <v>0</v>
      </c>
      <c r="U70" t="s">
        <v>171</v>
      </c>
      <c r="V70" t="s">
        <v>171</v>
      </c>
      <c r="W70" t="b">
        <v>0</v>
      </c>
      <c r="X70" t="s">
        <v>171</v>
      </c>
      <c r="Y70" s="139" t="s">
        <v>167</v>
      </c>
      <c r="Z70" s="143" t="s">
        <v>168</v>
      </c>
      <c r="AA70" t="s">
        <v>169</v>
      </c>
      <c r="AB70" s="157" t="s">
        <v>210</v>
      </c>
      <c r="AC70" s="157">
        <v>5</v>
      </c>
      <c r="AD70" s="157">
        <v>1</v>
      </c>
      <c r="AE70" s="158">
        <v>17</v>
      </c>
      <c r="AF70" s="158">
        <f t="shared" si="15"/>
        <v>19</v>
      </c>
      <c r="AG70" s="159">
        <v>36.270000000000003</v>
      </c>
      <c r="AH70" s="159">
        <v>36.270000000000003</v>
      </c>
      <c r="AI70" t="s">
        <v>171</v>
      </c>
      <c r="AJ70" t="s">
        <v>172</v>
      </c>
      <c r="AK70" s="146">
        <v>12.74</v>
      </c>
      <c r="AL70" s="146">
        <v>-78.739999999999995</v>
      </c>
      <c r="AM70" t="s">
        <v>171</v>
      </c>
      <c r="AN70" t="s">
        <v>171</v>
      </c>
      <c r="AO70">
        <v>-2839</v>
      </c>
      <c r="AP70" t="s">
        <v>171</v>
      </c>
      <c r="AQ70" t="s">
        <v>171</v>
      </c>
      <c r="AR70" t="s">
        <v>171</v>
      </c>
      <c r="AS70">
        <v>1103.1600000000001</v>
      </c>
      <c r="AT70" t="s">
        <v>173</v>
      </c>
      <c r="AU70">
        <v>6</v>
      </c>
      <c r="AV70">
        <v>6</v>
      </c>
      <c r="AW70" t="s">
        <v>171</v>
      </c>
      <c r="AX70" t="s">
        <v>174</v>
      </c>
      <c r="AY70" t="s">
        <v>171</v>
      </c>
      <c r="AZ70" t="s">
        <v>171</v>
      </c>
      <c r="BA70" t="s">
        <v>171</v>
      </c>
      <c r="BB70" t="s">
        <v>171</v>
      </c>
      <c r="BC70" t="s">
        <v>171</v>
      </c>
      <c r="BD70" t="s">
        <v>171</v>
      </c>
      <c r="BE70" t="s">
        <v>171</v>
      </c>
      <c r="BF70" t="s">
        <v>171</v>
      </c>
      <c r="BG70" t="s">
        <v>175</v>
      </c>
      <c r="BH70" t="s">
        <v>176</v>
      </c>
      <c r="BI70" t="s">
        <v>177</v>
      </c>
      <c r="BJ70" s="142">
        <v>2</v>
      </c>
      <c r="BK70" t="s">
        <v>178</v>
      </c>
      <c r="BL70" t="s">
        <v>179</v>
      </c>
      <c r="BM70" t="s">
        <v>180</v>
      </c>
      <c r="BN70" t="s">
        <v>171</v>
      </c>
      <c r="BO70" s="142">
        <v>2</v>
      </c>
      <c r="BP70" s="144" t="s">
        <v>171</v>
      </c>
      <c r="BQ70" s="149">
        <v>20.23</v>
      </c>
      <c r="BR70" t="s">
        <v>181</v>
      </c>
      <c r="BS70" s="149">
        <v>0.29217580599999998</v>
      </c>
      <c r="BT70">
        <v>0.64</v>
      </c>
      <c r="BU70" t="s">
        <v>182</v>
      </c>
      <c r="BV70">
        <v>3.4000000000000002E-2</v>
      </c>
      <c r="BW70">
        <v>9.1</v>
      </c>
      <c r="BX70" t="s">
        <v>173</v>
      </c>
      <c r="BY70">
        <v>0.56000000000000005</v>
      </c>
      <c r="BZ70" t="s">
        <v>183</v>
      </c>
      <c r="CA70" t="s">
        <v>184</v>
      </c>
      <c r="CB70" s="148">
        <f t="shared" si="20"/>
        <v>18.933333333333337</v>
      </c>
      <c r="CC70" s="144" t="s">
        <v>185</v>
      </c>
      <c r="CD70" s="144" t="s">
        <v>171</v>
      </c>
      <c r="CE70" s="144" t="s">
        <v>171</v>
      </c>
      <c r="CF70" t="s">
        <v>186</v>
      </c>
      <c r="CG70" s="144">
        <v>10</v>
      </c>
      <c r="CH70" s="144" t="s">
        <v>187</v>
      </c>
      <c r="CI70" s="144" t="s">
        <v>171</v>
      </c>
      <c r="CJ70" s="147">
        <v>24.6625114</v>
      </c>
      <c r="CK70" t="s">
        <v>173</v>
      </c>
      <c r="CL70">
        <v>3</v>
      </c>
      <c r="CM70">
        <v>3</v>
      </c>
      <c r="CN70" t="s">
        <v>171</v>
      </c>
      <c r="CO70" s="149">
        <v>4.1463718663410507</v>
      </c>
      <c r="CP70" t="s">
        <v>188</v>
      </c>
      <c r="CQ70" s="149">
        <f t="shared" si="16"/>
        <v>0.16585487465364204</v>
      </c>
      <c r="CR70" s="149">
        <v>0.16585487465364204</v>
      </c>
      <c r="CS70" s="150" t="s">
        <v>171</v>
      </c>
      <c r="CT70" t="s">
        <v>189</v>
      </c>
      <c r="CU70" t="s">
        <v>171</v>
      </c>
      <c r="CV70" t="s">
        <v>190</v>
      </c>
      <c r="CW70" t="s">
        <v>191</v>
      </c>
      <c r="CX70" t="s">
        <v>191</v>
      </c>
      <c r="CY70" t="s">
        <v>191</v>
      </c>
      <c r="CZ70" t="s">
        <v>171</v>
      </c>
      <c r="DA70" t="s">
        <v>171</v>
      </c>
      <c r="DB70" t="s">
        <v>171</v>
      </c>
      <c r="DC70" t="s">
        <v>171</v>
      </c>
      <c r="DD70" t="s">
        <v>171</v>
      </c>
      <c r="DE70" t="s">
        <v>171</v>
      </c>
      <c r="DF70" t="s">
        <v>171</v>
      </c>
      <c r="DG70">
        <v>35</v>
      </c>
      <c r="DH70" t="s">
        <v>185</v>
      </c>
      <c r="DI70" s="142">
        <v>3</v>
      </c>
      <c r="DJ70" s="144" t="s">
        <v>192</v>
      </c>
      <c r="DK70" s="144" t="s">
        <v>171</v>
      </c>
      <c r="DL70" s="144" t="s">
        <v>171</v>
      </c>
      <c r="DM70" s="144" t="s">
        <v>171</v>
      </c>
      <c r="DN70" s="144" t="s">
        <v>171</v>
      </c>
      <c r="DO70" s="144" t="s">
        <v>171</v>
      </c>
      <c r="DP70" s="144" t="s">
        <v>171</v>
      </c>
      <c r="DQ70" s="144" t="s">
        <v>171</v>
      </c>
      <c r="DR70" s="144" t="s">
        <v>171</v>
      </c>
      <c r="DS70" s="144" t="s">
        <v>171</v>
      </c>
      <c r="DT70" s="144" t="s">
        <v>171</v>
      </c>
      <c r="DU70" s="144" t="s">
        <v>171</v>
      </c>
      <c r="DV70" s="144" t="s">
        <v>171</v>
      </c>
      <c r="DW70" s="147">
        <v>432.56244218316402</v>
      </c>
      <c r="DX70" t="s">
        <v>193</v>
      </c>
      <c r="DY70">
        <v>37.1</v>
      </c>
      <c r="DZ70" t="s">
        <v>194</v>
      </c>
      <c r="EA70">
        <v>39.61</v>
      </c>
      <c r="EB70" t="s">
        <v>185</v>
      </c>
      <c r="EC70" s="149">
        <f t="shared" si="17"/>
        <v>0.210316</v>
      </c>
      <c r="ED70" t="s">
        <v>195</v>
      </c>
      <c r="EE70" t="s">
        <v>196</v>
      </c>
      <c r="EF70" t="s">
        <v>197</v>
      </c>
      <c r="EG70">
        <v>1.0271999999999999</v>
      </c>
      <c r="EH70" t="s">
        <v>171</v>
      </c>
      <c r="EI70" t="s">
        <v>171</v>
      </c>
      <c r="EJ70" t="s">
        <v>198</v>
      </c>
      <c r="EK70" t="s">
        <v>191</v>
      </c>
      <c r="EL70" t="s">
        <v>191</v>
      </c>
      <c r="EM70" t="s">
        <v>199</v>
      </c>
      <c r="EN70" t="s">
        <v>200</v>
      </c>
      <c r="EO70" s="151" t="s">
        <v>201</v>
      </c>
      <c r="EP70" s="151" t="s">
        <v>201</v>
      </c>
      <c r="EQ70" s="144" t="s">
        <v>171</v>
      </c>
      <c r="ER70" s="144" t="s">
        <v>171</v>
      </c>
      <c r="ES70" s="144" t="s">
        <v>171</v>
      </c>
      <c r="ET70" t="s">
        <v>202</v>
      </c>
      <c r="EU70" t="s">
        <v>203</v>
      </c>
      <c r="EV70" t="s">
        <v>171</v>
      </c>
      <c r="EW70">
        <v>2397</v>
      </c>
      <c r="EX70" s="151" t="s">
        <v>204</v>
      </c>
      <c r="EY70" s="151">
        <v>175</v>
      </c>
      <c r="EZ70">
        <v>175</v>
      </c>
      <c r="FA70" t="s">
        <v>171</v>
      </c>
      <c r="FB70" t="s">
        <v>171</v>
      </c>
      <c r="FC70" t="s">
        <v>171</v>
      </c>
      <c r="FD70" t="s">
        <v>171</v>
      </c>
      <c r="FE70" s="152">
        <v>8.1350888737471507</v>
      </c>
      <c r="FF70" t="s">
        <v>205</v>
      </c>
      <c r="FG70" s="144" t="s">
        <v>171</v>
      </c>
      <c r="FH70" s="144" t="s">
        <v>171</v>
      </c>
      <c r="FI70" s="153">
        <v>307.69133299999999</v>
      </c>
      <c r="FJ70">
        <v>21</v>
      </c>
      <c r="FK70" t="s">
        <v>207</v>
      </c>
      <c r="FL70" s="160">
        <v>286.69133299999999</v>
      </c>
      <c r="FM70" s="161">
        <v>43.963506745999041</v>
      </c>
      <c r="FN70" s="161">
        <v>42.495567929505995</v>
      </c>
      <c r="FO70" t="s">
        <v>186</v>
      </c>
      <c r="FP70" t="s">
        <v>208</v>
      </c>
      <c r="FQ70" t="s">
        <v>171</v>
      </c>
      <c r="FR70" t="s">
        <v>171</v>
      </c>
      <c r="FS70" t="s">
        <v>171</v>
      </c>
      <c r="FT70" t="s">
        <v>171</v>
      </c>
      <c r="FU70" t="s">
        <v>171</v>
      </c>
      <c r="FV70" t="s">
        <v>171</v>
      </c>
      <c r="FW70" t="s">
        <v>171</v>
      </c>
      <c r="FX70" t="s">
        <v>171</v>
      </c>
      <c r="FY70" t="s">
        <v>171</v>
      </c>
      <c r="FZ70" t="s">
        <v>171</v>
      </c>
      <c r="GA70" t="s">
        <v>171</v>
      </c>
      <c r="GB70" t="s">
        <v>171</v>
      </c>
    </row>
    <row r="71" spans="1:184" ht="16" x14ac:dyDescent="0.2">
      <c r="A71" t="s">
        <v>217</v>
      </c>
      <c r="B71" s="143" t="s">
        <v>216</v>
      </c>
      <c r="C71" s="138" t="s">
        <v>212</v>
      </c>
      <c r="D71" t="s">
        <v>211</v>
      </c>
      <c r="E71">
        <v>2017</v>
      </c>
      <c r="F71" t="str">
        <f t="shared" si="21"/>
        <v>10.1073/pnas.1702143114</v>
      </c>
      <c r="G71" s="147">
        <f t="shared" si="22"/>
        <v>1106.2</v>
      </c>
      <c r="H71">
        <f t="shared" si="18"/>
        <v>6</v>
      </c>
      <c r="I71">
        <f t="shared" si="19"/>
        <v>6</v>
      </c>
      <c r="J71" s="153">
        <f t="shared" si="23"/>
        <v>242.20572250000001</v>
      </c>
      <c r="K71" s="153">
        <f t="shared" ref="K71:K113" si="24">FM71</f>
        <v>35.667806603754997</v>
      </c>
      <c r="L71" s="153">
        <f t="shared" ref="L71:L113" si="25">FN71</f>
        <v>33.986669315906994</v>
      </c>
      <c r="M71" t="b">
        <v>1</v>
      </c>
      <c r="N71">
        <v>3</v>
      </c>
      <c r="O71" s="144" t="s">
        <v>228</v>
      </c>
      <c r="P71" s="144" t="s">
        <v>229</v>
      </c>
      <c r="Q71" t="b">
        <v>0</v>
      </c>
      <c r="R71" t="s">
        <v>214</v>
      </c>
      <c r="S71" t="b">
        <v>1</v>
      </c>
      <c r="T71" t="b">
        <v>0</v>
      </c>
      <c r="U71" t="s">
        <v>171</v>
      </c>
      <c r="V71" t="s">
        <v>171</v>
      </c>
      <c r="W71" t="b">
        <v>0</v>
      </c>
      <c r="X71" t="s">
        <v>171</v>
      </c>
      <c r="Y71" s="139" t="s">
        <v>167</v>
      </c>
      <c r="Z71" s="143" t="s">
        <v>168</v>
      </c>
      <c r="AA71" t="s">
        <v>169</v>
      </c>
      <c r="AB71" s="157" t="s">
        <v>210</v>
      </c>
      <c r="AC71" s="157">
        <v>5</v>
      </c>
      <c r="AD71" s="157">
        <v>1</v>
      </c>
      <c r="AE71" s="158">
        <v>37.517309000000353</v>
      </c>
      <c r="AF71" s="158">
        <f t="shared" si="15"/>
        <v>39.517309000000353</v>
      </c>
      <c r="AG71" s="159">
        <v>36.474948410000003</v>
      </c>
      <c r="AH71" s="159">
        <v>36.474948410000003</v>
      </c>
      <c r="AI71" t="s">
        <v>171</v>
      </c>
      <c r="AJ71" t="s">
        <v>172</v>
      </c>
      <c r="AK71" s="146">
        <v>12.74</v>
      </c>
      <c r="AL71" s="146">
        <v>-78.739999999999995</v>
      </c>
      <c r="AM71" t="s">
        <v>171</v>
      </c>
      <c r="AN71" t="s">
        <v>171</v>
      </c>
      <c r="AO71">
        <v>-2839</v>
      </c>
      <c r="AP71" t="s">
        <v>171</v>
      </c>
      <c r="AQ71" t="s">
        <v>171</v>
      </c>
      <c r="AR71" t="s">
        <v>171</v>
      </c>
      <c r="AS71">
        <v>1106.2</v>
      </c>
      <c r="AT71" t="s">
        <v>173</v>
      </c>
      <c r="AU71">
        <v>6</v>
      </c>
      <c r="AV71">
        <v>6</v>
      </c>
      <c r="AW71" t="s">
        <v>171</v>
      </c>
      <c r="AX71" t="s">
        <v>174</v>
      </c>
      <c r="AY71" t="s">
        <v>171</v>
      </c>
      <c r="AZ71" t="s">
        <v>171</v>
      </c>
      <c r="BA71" t="s">
        <v>171</v>
      </c>
      <c r="BB71" t="s">
        <v>171</v>
      </c>
      <c r="BC71" t="s">
        <v>171</v>
      </c>
      <c r="BD71" t="s">
        <v>171</v>
      </c>
      <c r="BE71" t="s">
        <v>171</v>
      </c>
      <c r="BF71" t="s">
        <v>171</v>
      </c>
      <c r="BG71" t="s">
        <v>175</v>
      </c>
      <c r="BH71" t="s">
        <v>176</v>
      </c>
      <c r="BI71" t="s">
        <v>177</v>
      </c>
      <c r="BJ71" s="142">
        <v>2</v>
      </c>
      <c r="BK71" t="s">
        <v>178</v>
      </c>
      <c r="BL71" t="s">
        <v>179</v>
      </c>
      <c r="BM71" t="s">
        <v>180</v>
      </c>
      <c r="BN71" t="s">
        <v>171</v>
      </c>
      <c r="BO71" s="142">
        <v>2</v>
      </c>
      <c r="BP71" s="144" t="s">
        <v>171</v>
      </c>
      <c r="BQ71" s="149">
        <v>20.74592762</v>
      </c>
      <c r="BR71" t="s">
        <v>181</v>
      </c>
      <c r="BS71" s="149">
        <v>0.149970348</v>
      </c>
      <c r="BT71">
        <v>0.64</v>
      </c>
      <c r="BU71" t="s">
        <v>182</v>
      </c>
      <c r="BV71">
        <v>3.4000000000000002E-2</v>
      </c>
      <c r="BW71">
        <v>9.1</v>
      </c>
      <c r="BX71" t="s">
        <v>173</v>
      </c>
      <c r="BY71">
        <v>0.56000000000000005</v>
      </c>
      <c r="BZ71" t="s">
        <v>183</v>
      </c>
      <c r="CA71" t="s">
        <v>184</v>
      </c>
      <c r="CB71" s="148">
        <f t="shared" si="20"/>
        <v>19.793212700000002</v>
      </c>
      <c r="CC71" s="144" t="s">
        <v>185</v>
      </c>
      <c r="CD71" s="144" t="s">
        <v>171</v>
      </c>
      <c r="CE71" s="144" t="s">
        <v>171</v>
      </c>
      <c r="CF71" t="s">
        <v>186</v>
      </c>
      <c r="CG71" s="144">
        <v>10</v>
      </c>
      <c r="CH71" s="144" t="s">
        <v>187</v>
      </c>
      <c r="CI71" s="144" t="s">
        <v>171</v>
      </c>
      <c r="CJ71" s="147">
        <v>26.442725530000001</v>
      </c>
      <c r="CK71" t="s">
        <v>173</v>
      </c>
      <c r="CL71">
        <v>3</v>
      </c>
      <c r="CM71">
        <v>3</v>
      </c>
      <c r="CN71" t="s">
        <v>171</v>
      </c>
      <c r="CO71" s="149">
        <v>3.88554821414494</v>
      </c>
      <c r="CP71" t="s">
        <v>188</v>
      </c>
      <c r="CQ71" s="149">
        <f t="shared" si="16"/>
        <v>0.15542192856579759</v>
      </c>
      <c r="CR71" s="149">
        <v>0.15542192856579759</v>
      </c>
      <c r="CS71" s="150" t="s">
        <v>171</v>
      </c>
      <c r="CT71" t="s">
        <v>189</v>
      </c>
      <c r="CU71" t="s">
        <v>171</v>
      </c>
      <c r="CV71" t="s">
        <v>190</v>
      </c>
      <c r="CW71" t="s">
        <v>191</v>
      </c>
      <c r="CX71" t="s">
        <v>191</v>
      </c>
      <c r="CY71" t="s">
        <v>191</v>
      </c>
      <c r="CZ71" t="s">
        <v>171</v>
      </c>
      <c r="DA71" t="s">
        <v>171</v>
      </c>
      <c r="DB71" t="s">
        <v>171</v>
      </c>
      <c r="DC71" t="s">
        <v>171</v>
      </c>
      <c r="DD71" t="s">
        <v>171</v>
      </c>
      <c r="DE71" t="s">
        <v>171</v>
      </c>
      <c r="DF71" t="s">
        <v>171</v>
      </c>
      <c r="DG71">
        <v>35</v>
      </c>
      <c r="DH71" t="s">
        <v>185</v>
      </c>
      <c r="DI71" s="142">
        <v>3</v>
      </c>
      <c r="DJ71" s="144" t="s">
        <v>192</v>
      </c>
      <c r="DK71" s="144" t="s">
        <v>171</v>
      </c>
      <c r="DL71" s="144" t="s">
        <v>171</v>
      </c>
      <c r="DM71" s="144" t="s">
        <v>171</v>
      </c>
      <c r="DN71" s="144" t="s">
        <v>171</v>
      </c>
      <c r="DO71" s="144" t="s">
        <v>171</v>
      </c>
      <c r="DP71" s="144" t="s">
        <v>171</v>
      </c>
      <c r="DQ71" s="144" t="s">
        <v>171</v>
      </c>
      <c r="DR71" s="144" t="s">
        <v>171</v>
      </c>
      <c r="DS71" s="144" t="s">
        <v>171</v>
      </c>
      <c r="DT71" s="144" t="s">
        <v>171</v>
      </c>
      <c r="DU71" s="144" t="s">
        <v>171</v>
      </c>
      <c r="DV71" s="144" t="s">
        <v>171</v>
      </c>
      <c r="DW71" s="147">
        <v>432.56244218316402</v>
      </c>
      <c r="DX71" t="s">
        <v>193</v>
      </c>
      <c r="DY71">
        <v>37.1</v>
      </c>
      <c r="DZ71" t="s">
        <v>194</v>
      </c>
      <c r="EA71">
        <v>39.61</v>
      </c>
      <c r="EB71" t="s">
        <v>185</v>
      </c>
      <c r="EC71" s="149">
        <f t="shared" si="17"/>
        <v>0.21062000000000003</v>
      </c>
      <c r="ED71" t="s">
        <v>195</v>
      </c>
      <c r="EE71" t="s">
        <v>196</v>
      </c>
      <c r="EF71" t="s">
        <v>197</v>
      </c>
      <c r="EG71">
        <v>1.0271999999999999</v>
      </c>
      <c r="EH71" t="s">
        <v>171</v>
      </c>
      <c r="EI71" t="s">
        <v>171</v>
      </c>
      <c r="EJ71" t="s">
        <v>198</v>
      </c>
      <c r="EK71" t="s">
        <v>191</v>
      </c>
      <c r="EL71" t="s">
        <v>191</v>
      </c>
      <c r="EM71" t="s">
        <v>199</v>
      </c>
      <c r="EN71" t="s">
        <v>200</v>
      </c>
      <c r="EO71" s="151" t="s">
        <v>201</v>
      </c>
      <c r="EP71" s="151" t="s">
        <v>201</v>
      </c>
      <c r="EQ71" s="144" t="s">
        <v>171</v>
      </c>
      <c r="ER71" s="144" t="s">
        <v>171</v>
      </c>
      <c r="ES71" s="144" t="s">
        <v>171</v>
      </c>
      <c r="ET71" t="s">
        <v>202</v>
      </c>
      <c r="EU71" t="s">
        <v>203</v>
      </c>
      <c r="EV71" t="s">
        <v>171</v>
      </c>
      <c r="EW71">
        <v>2398</v>
      </c>
      <c r="EX71" s="151" t="s">
        <v>204</v>
      </c>
      <c r="EY71" s="151">
        <v>175</v>
      </c>
      <c r="EZ71">
        <v>175</v>
      </c>
      <c r="FA71" t="s">
        <v>171</v>
      </c>
      <c r="FB71" t="s">
        <v>171</v>
      </c>
      <c r="FC71" t="s">
        <v>171</v>
      </c>
      <c r="FD71" t="s">
        <v>171</v>
      </c>
      <c r="FE71" s="152">
        <v>8.1850102387093298</v>
      </c>
      <c r="FF71" t="s">
        <v>205</v>
      </c>
      <c r="FG71" s="144" t="s">
        <v>171</v>
      </c>
      <c r="FH71" s="144" t="s">
        <v>171</v>
      </c>
      <c r="FI71" s="153">
        <v>263.20572249999998</v>
      </c>
      <c r="FJ71">
        <v>21</v>
      </c>
      <c r="FK71" t="s">
        <v>207</v>
      </c>
      <c r="FL71" s="160">
        <v>242.20572250000001</v>
      </c>
      <c r="FM71" s="161">
        <v>35.667806603754997</v>
      </c>
      <c r="FN71" s="161">
        <v>33.986669315906994</v>
      </c>
      <c r="FO71" t="s">
        <v>186</v>
      </c>
      <c r="FP71" t="s">
        <v>208</v>
      </c>
      <c r="FQ71" t="s">
        <v>171</v>
      </c>
      <c r="FR71" t="s">
        <v>171</v>
      </c>
      <c r="FS71" t="s">
        <v>171</v>
      </c>
      <c r="FT71" t="s">
        <v>171</v>
      </c>
      <c r="FU71" t="s">
        <v>171</v>
      </c>
      <c r="FV71" t="s">
        <v>171</v>
      </c>
      <c r="FW71" t="s">
        <v>171</v>
      </c>
      <c r="FX71" t="s">
        <v>171</v>
      </c>
      <c r="FY71" t="s">
        <v>171</v>
      </c>
      <c r="FZ71" t="s">
        <v>171</v>
      </c>
      <c r="GA71" t="s">
        <v>171</v>
      </c>
      <c r="GB71" t="s">
        <v>171</v>
      </c>
    </row>
    <row r="72" spans="1:184" ht="16" x14ac:dyDescent="0.2">
      <c r="A72" t="s">
        <v>217</v>
      </c>
      <c r="B72" s="143" t="s">
        <v>216</v>
      </c>
      <c r="C72" s="138" t="s">
        <v>212</v>
      </c>
      <c r="D72" t="s">
        <v>211</v>
      </c>
      <c r="E72">
        <v>2017</v>
      </c>
      <c r="F72" t="str">
        <f t="shared" si="21"/>
        <v>10.1073/pnas.1702143114</v>
      </c>
      <c r="G72" s="147">
        <f t="shared" si="22"/>
        <v>1107.82</v>
      </c>
      <c r="H72">
        <f t="shared" si="18"/>
        <v>6</v>
      </c>
      <c r="I72">
        <f t="shared" si="19"/>
        <v>6</v>
      </c>
      <c r="J72" s="153">
        <f t="shared" si="23"/>
        <v>260.50053159999999</v>
      </c>
      <c r="K72" s="153">
        <f t="shared" si="24"/>
        <v>38.67847874652</v>
      </c>
      <c r="L72" s="153">
        <f t="shared" si="25"/>
        <v>37.357309554341981</v>
      </c>
      <c r="M72" t="b">
        <v>1</v>
      </c>
      <c r="N72">
        <v>3</v>
      </c>
      <c r="O72" s="144" t="s">
        <v>228</v>
      </c>
      <c r="P72" s="144" t="s">
        <v>229</v>
      </c>
      <c r="Q72" t="b">
        <v>0</v>
      </c>
      <c r="R72" t="s">
        <v>214</v>
      </c>
      <c r="S72" t="b">
        <v>1</v>
      </c>
      <c r="T72" t="b">
        <v>0</v>
      </c>
      <c r="U72" t="s">
        <v>171</v>
      </c>
      <c r="V72" t="s">
        <v>171</v>
      </c>
      <c r="W72" t="b">
        <v>0</v>
      </c>
      <c r="X72" t="s">
        <v>171</v>
      </c>
      <c r="Y72" s="139" t="s">
        <v>167</v>
      </c>
      <c r="Z72" s="143" t="s">
        <v>168</v>
      </c>
      <c r="AA72" t="s">
        <v>169</v>
      </c>
      <c r="AB72" s="157" t="s">
        <v>210</v>
      </c>
      <c r="AC72" s="157">
        <v>5</v>
      </c>
      <c r="AD72" s="157">
        <v>1</v>
      </c>
      <c r="AE72" s="158">
        <v>48.399195000000304</v>
      </c>
      <c r="AF72" s="158">
        <f t="shared" si="15"/>
        <v>50.399195000000304</v>
      </c>
      <c r="AG72" s="159">
        <v>36.583767270000003</v>
      </c>
      <c r="AH72" s="159">
        <v>36.583767270000003</v>
      </c>
      <c r="AI72" t="s">
        <v>171</v>
      </c>
      <c r="AJ72" t="s">
        <v>172</v>
      </c>
      <c r="AK72" s="146">
        <v>12.74</v>
      </c>
      <c r="AL72" s="146">
        <v>-78.739999999999995</v>
      </c>
      <c r="AM72" t="s">
        <v>171</v>
      </c>
      <c r="AN72" t="s">
        <v>171</v>
      </c>
      <c r="AO72">
        <v>-2839</v>
      </c>
      <c r="AP72" t="s">
        <v>171</v>
      </c>
      <c r="AQ72" t="s">
        <v>171</v>
      </c>
      <c r="AR72" t="s">
        <v>171</v>
      </c>
      <c r="AS72">
        <v>1107.82</v>
      </c>
      <c r="AT72" t="s">
        <v>173</v>
      </c>
      <c r="AU72">
        <v>6</v>
      </c>
      <c r="AV72">
        <v>6</v>
      </c>
      <c r="AW72" t="s">
        <v>171</v>
      </c>
      <c r="AX72" t="s">
        <v>174</v>
      </c>
      <c r="AY72" t="s">
        <v>171</v>
      </c>
      <c r="AZ72" t="s">
        <v>171</v>
      </c>
      <c r="BA72" t="s">
        <v>171</v>
      </c>
      <c r="BB72" t="s">
        <v>171</v>
      </c>
      <c r="BC72" t="s">
        <v>171</v>
      </c>
      <c r="BD72" t="s">
        <v>171</v>
      </c>
      <c r="BE72" t="s">
        <v>171</v>
      </c>
      <c r="BF72" t="s">
        <v>171</v>
      </c>
      <c r="BG72" t="s">
        <v>175</v>
      </c>
      <c r="BH72" t="s">
        <v>176</v>
      </c>
      <c r="BI72" t="s">
        <v>177</v>
      </c>
      <c r="BJ72" s="142">
        <v>2</v>
      </c>
      <c r="BK72" t="s">
        <v>178</v>
      </c>
      <c r="BL72" t="s">
        <v>179</v>
      </c>
      <c r="BM72" t="s">
        <v>180</v>
      </c>
      <c r="BN72" t="s">
        <v>171</v>
      </c>
      <c r="BO72" s="142">
        <v>2</v>
      </c>
      <c r="BP72" s="144" t="s">
        <v>171</v>
      </c>
      <c r="BQ72" s="149">
        <v>20.51</v>
      </c>
      <c r="BR72" t="s">
        <v>181</v>
      </c>
      <c r="BS72" s="149">
        <v>0.20036323</v>
      </c>
      <c r="BT72">
        <v>0.64</v>
      </c>
      <c r="BU72" t="s">
        <v>182</v>
      </c>
      <c r="BV72">
        <v>3.4000000000000002E-2</v>
      </c>
      <c r="BW72">
        <v>9.1</v>
      </c>
      <c r="BX72" t="s">
        <v>173</v>
      </c>
      <c r="BY72">
        <v>0.56000000000000005</v>
      </c>
      <c r="BZ72" t="s">
        <v>183</v>
      </c>
      <c r="CA72" t="s">
        <v>184</v>
      </c>
      <c r="CB72" s="148">
        <f t="shared" si="20"/>
        <v>19.400000000000006</v>
      </c>
      <c r="CC72" s="144" t="s">
        <v>185</v>
      </c>
      <c r="CD72" s="144" t="s">
        <v>171</v>
      </c>
      <c r="CE72" s="144" t="s">
        <v>171</v>
      </c>
      <c r="CF72" t="s">
        <v>186</v>
      </c>
      <c r="CG72" s="144">
        <v>10</v>
      </c>
      <c r="CH72" s="144" t="s">
        <v>187</v>
      </c>
      <c r="CI72" s="144" t="s">
        <v>171</v>
      </c>
      <c r="CJ72" s="147">
        <v>25.506174690000002</v>
      </c>
      <c r="CK72" t="s">
        <v>173</v>
      </c>
      <c r="CL72">
        <v>3</v>
      </c>
      <c r="CM72">
        <v>3</v>
      </c>
      <c r="CN72" t="s">
        <v>171</v>
      </c>
      <c r="CO72" s="149">
        <v>3.5714601200971803</v>
      </c>
      <c r="CP72" t="s">
        <v>188</v>
      </c>
      <c r="CQ72" s="149">
        <f t="shared" si="16"/>
        <v>0.1428584048038872</v>
      </c>
      <c r="CR72" s="149">
        <v>0.1428584048038872</v>
      </c>
      <c r="CS72" s="150" t="s">
        <v>171</v>
      </c>
      <c r="CT72" t="s">
        <v>189</v>
      </c>
      <c r="CU72" t="s">
        <v>171</v>
      </c>
      <c r="CV72" t="s">
        <v>190</v>
      </c>
      <c r="CW72" t="s">
        <v>191</v>
      </c>
      <c r="CX72" t="s">
        <v>191</v>
      </c>
      <c r="CY72" t="s">
        <v>191</v>
      </c>
      <c r="CZ72" t="s">
        <v>171</v>
      </c>
      <c r="DA72" t="s">
        <v>171</v>
      </c>
      <c r="DB72" t="s">
        <v>171</v>
      </c>
      <c r="DC72" t="s">
        <v>171</v>
      </c>
      <c r="DD72" t="s">
        <v>171</v>
      </c>
      <c r="DE72" t="s">
        <v>171</v>
      </c>
      <c r="DF72" t="s">
        <v>171</v>
      </c>
      <c r="DG72">
        <v>35</v>
      </c>
      <c r="DH72" t="s">
        <v>185</v>
      </c>
      <c r="DI72" s="142">
        <v>3</v>
      </c>
      <c r="DJ72" s="144" t="s">
        <v>192</v>
      </c>
      <c r="DK72" s="144" t="s">
        <v>171</v>
      </c>
      <c r="DL72" s="144" t="s">
        <v>171</v>
      </c>
      <c r="DM72" s="144" t="s">
        <v>171</v>
      </c>
      <c r="DN72" s="144" t="s">
        <v>171</v>
      </c>
      <c r="DO72" s="144" t="s">
        <v>171</v>
      </c>
      <c r="DP72" s="144" t="s">
        <v>171</v>
      </c>
      <c r="DQ72" s="144" t="s">
        <v>171</v>
      </c>
      <c r="DR72" s="144" t="s">
        <v>171</v>
      </c>
      <c r="DS72" s="144" t="s">
        <v>171</v>
      </c>
      <c r="DT72" s="144" t="s">
        <v>171</v>
      </c>
      <c r="DU72" s="144" t="s">
        <v>171</v>
      </c>
      <c r="DV72" s="144" t="s">
        <v>171</v>
      </c>
      <c r="DW72" s="147">
        <v>432.56244218316402</v>
      </c>
      <c r="DX72" t="s">
        <v>193</v>
      </c>
      <c r="DY72">
        <v>37.1</v>
      </c>
      <c r="DZ72" t="s">
        <v>194</v>
      </c>
      <c r="EA72">
        <v>39.61</v>
      </c>
      <c r="EB72" t="s">
        <v>185</v>
      </c>
      <c r="EC72" s="149">
        <f t="shared" si="17"/>
        <v>0.210782</v>
      </c>
      <c r="ED72" t="s">
        <v>195</v>
      </c>
      <c r="EE72" t="s">
        <v>196</v>
      </c>
      <c r="EF72" t="s">
        <v>197</v>
      </c>
      <c r="EG72">
        <v>1.0271999999999999</v>
      </c>
      <c r="EH72" t="s">
        <v>171</v>
      </c>
      <c r="EI72" t="s">
        <v>171</v>
      </c>
      <c r="EJ72" t="s">
        <v>198</v>
      </c>
      <c r="EK72" t="s">
        <v>191</v>
      </c>
      <c r="EL72" t="s">
        <v>191</v>
      </c>
      <c r="EM72" t="s">
        <v>199</v>
      </c>
      <c r="EN72" t="s">
        <v>200</v>
      </c>
      <c r="EO72" s="151" t="s">
        <v>201</v>
      </c>
      <c r="EP72" s="151" t="s">
        <v>201</v>
      </c>
      <c r="EQ72" s="144" t="s">
        <v>171</v>
      </c>
      <c r="ER72" s="144" t="s">
        <v>171</v>
      </c>
      <c r="ES72" s="144" t="s">
        <v>171</v>
      </c>
      <c r="ET72" t="s">
        <v>202</v>
      </c>
      <c r="EU72" t="s">
        <v>203</v>
      </c>
      <c r="EV72" t="s">
        <v>171</v>
      </c>
      <c r="EW72">
        <v>2399</v>
      </c>
      <c r="EX72" s="151" t="s">
        <v>204</v>
      </c>
      <c r="EY72" s="151">
        <v>175</v>
      </c>
      <c r="EZ72">
        <v>175</v>
      </c>
      <c r="FA72" t="s">
        <v>171</v>
      </c>
      <c r="FB72" t="s">
        <v>171</v>
      </c>
      <c r="FC72" t="s">
        <v>171</v>
      </c>
      <c r="FD72" t="s">
        <v>171</v>
      </c>
      <c r="FE72" s="152">
        <v>8.1644311455733902</v>
      </c>
      <c r="FF72" t="s">
        <v>205</v>
      </c>
      <c r="FG72" s="144" t="s">
        <v>171</v>
      </c>
      <c r="FH72" s="144" t="s">
        <v>171</v>
      </c>
      <c r="FI72" s="153">
        <v>281.50053159999999</v>
      </c>
      <c r="FJ72">
        <v>21</v>
      </c>
      <c r="FK72" t="s">
        <v>207</v>
      </c>
      <c r="FL72" s="160">
        <v>260.50053159999999</v>
      </c>
      <c r="FM72" s="161">
        <v>38.67847874652</v>
      </c>
      <c r="FN72" s="161">
        <v>37.357309554341981</v>
      </c>
      <c r="FO72" t="s">
        <v>186</v>
      </c>
      <c r="FP72" t="s">
        <v>208</v>
      </c>
      <c r="FQ72" t="s">
        <v>171</v>
      </c>
      <c r="FR72" t="s">
        <v>171</v>
      </c>
      <c r="FS72" t="s">
        <v>171</v>
      </c>
      <c r="FT72" t="s">
        <v>171</v>
      </c>
      <c r="FU72" t="s">
        <v>171</v>
      </c>
      <c r="FV72" t="s">
        <v>171</v>
      </c>
      <c r="FW72" t="s">
        <v>171</v>
      </c>
      <c r="FX72" t="s">
        <v>171</v>
      </c>
      <c r="FY72" t="s">
        <v>171</v>
      </c>
      <c r="FZ72" t="s">
        <v>171</v>
      </c>
      <c r="GA72" t="s">
        <v>171</v>
      </c>
      <c r="GB72" t="s">
        <v>171</v>
      </c>
    </row>
    <row r="73" spans="1:184" ht="16" x14ac:dyDescent="0.2">
      <c r="A73" t="s">
        <v>217</v>
      </c>
      <c r="B73" s="143" t="s">
        <v>216</v>
      </c>
      <c r="C73" s="138" t="s">
        <v>212</v>
      </c>
      <c r="D73" t="s">
        <v>211</v>
      </c>
      <c r="E73">
        <v>2017</v>
      </c>
      <c r="F73" t="str">
        <f t="shared" si="21"/>
        <v>10.1073/pnas.1702143114</v>
      </c>
      <c r="G73" s="147">
        <f t="shared" si="22"/>
        <v>1110.3</v>
      </c>
      <c r="H73">
        <f t="shared" si="18"/>
        <v>6</v>
      </c>
      <c r="I73">
        <f t="shared" si="19"/>
        <v>6</v>
      </c>
      <c r="J73" s="153">
        <f t="shared" si="23"/>
        <v>281.65994230000001</v>
      </c>
      <c r="K73" s="153">
        <f t="shared" si="24"/>
        <v>39.561198937716995</v>
      </c>
      <c r="L73" s="153">
        <f t="shared" si="25"/>
        <v>38.872510175629998</v>
      </c>
      <c r="M73" t="b">
        <v>1</v>
      </c>
      <c r="N73">
        <v>3</v>
      </c>
      <c r="O73" s="144" t="s">
        <v>228</v>
      </c>
      <c r="P73" s="144" t="s">
        <v>229</v>
      </c>
      <c r="Q73" t="b">
        <v>0</v>
      </c>
      <c r="R73" t="s">
        <v>214</v>
      </c>
      <c r="S73" t="b">
        <v>1</v>
      </c>
      <c r="T73" t="b">
        <v>0</v>
      </c>
      <c r="U73" t="s">
        <v>171</v>
      </c>
      <c r="V73" t="s">
        <v>171</v>
      </c>
      <c r="W73" t="b">
        <v>0</v>
      </c>
      <c r="X73" t="s">
        <v>171</v>
      </c>
      <c r="Y73" s="139" t="s">
        <v>167</v>
      </c>
      <c r="Z73" s="143" t="s">
        <v>168</v>
      </c>
      <c r="AA73" t="s">
        <v>169</v>
      </c>
      <c r="AB73" s="157" t="s">
        <v>210</v>
      </c>
      <c r="AC73" s="157">
        <v>5</v>
      </c>
      <c r="AD73" s="157">
        <v>1</v>
      </c>
      <c r="AE73" s="158">
        <v>59.281265999999931</v>
      </c>
      <c r="AF73" s="158">
        <f t="shared" si="15"/>
        <v>61.281265999999931</v>
      </c>
      <c r="AG73" s="159">
        <v>36.692587979999999</v>
      </c>
      <c r="AH73" s="159">
        <v>36.692587979999999</v>
      </c>
      <c r="AI73" t="s">
        <v>171</v>
      </c>
      <c r="AJ73" t="s">
        <v>172</v>
      </c>
      <c r="AK73" s="146">
        <v>12.74</v>
      </c>
      <c r="AL73" s="146">
        <v>-78.739999999999995</v>
      </c>
      <c r="AM73" t="s">
        <v>171</v>
      </c>
      <c r="AN73" t="s">
        <v>171</v>
      </c>
      <c r="AO73">
        <v>-2839</v>
      </c>
      <c r="AP73" t="s">
        <v>171</v>
      </c>
      <c r="AQ73" t="s">
        <v>171</v>
      </c>
      <c r="AR73" t="s">
        <v>171</v>
      </c>
      <c r="AS73">
        <v>1110.3</v>
      </c>
      <c r="AT73" t="s">
        <v>173</v>
      </c>
      <c r="AU73">
        <v>6</v>
      </c>
      <c r="AV73">
        <v>6</v>
      </c>
      <c r="AW73" t="s">
        <v>171</v>
      </c>
      <c r="AX73" t="s">
        <v>174</v>
      </c>
      <c r="AY73" t="s">
        <v>171</v>
      </c>
      <c r="AZ73" t="s">
        <v>171</v>
      </c>
      <c r="BA73" t="s">
        <v>171</v>
      </c>
      <c r="BB73" t="s">
        <v>171</v>
      </c>
      <c r="BC73" t="s">
        <v>171</v>
      </c>
      <c r="BD73" t="s">
        <v>171</v>
      </c>
      <c r="BE73" t="s">
        <v>171</v>
      </c>
      <c r="BF73" t="s">
        <v>171</v>
      </c>
      <c r="BG73" t="s">
        <v>175</v>
      </c>
      <c r="BH73" t="s">
        <v>176</v>
      </c>
      <c r="BI73" t="s">
        <v>177</v>
      </c>
      <c r="BJ73" s="142">
        <v>2</v>
      </c>
      <c r="BK73" t="s">
        <v>178</v>
      </c>
      <c r="BL73" t="s">
        <v>179</v>
      </c>
      <c r="BM73" t="s">
        <v>180</v>
      </c>
      <c r="BN73" t="s">
        <v>171</v>
      </c>
      <c r="BO73" s="142">
        <v>2</v>
      </c>
      <c r="BP73" s="144" t="s">
        <v>171</v>
      </c>
      <c r="BQ73" s="149">
        <v>20.420000000000002</v>
      </c>
      <c r="BR73" t="s">
        <v>181</v>
      </c>
      <c r="BS73" s="149">
        <v>0.18522651200000001</v>
      </c>
      <c r="BT73">
        <v>0.64</v>
      </c>
      <c r="BU73" t="s">
        <v>182</v>
      </c>
      <c r="BV73">
        <v>3.4000000000000002E-2</v>
      </c>
      <c r="BW73">
        <v>9.1</v>
      </c>
      <c r="BX73" t="s">
        <v>173</v>
      </c>
      <c r="BY73">
        <v>0.56000000000000005</v>
      </c>
      <c r="BZ73" t="s">
        <v>183</v>
      </c>
      <c r="CA73" t="s">
        <v>184</v>
      </c>
      <c r="CB73" s="148">
        <f t="shared" si="20"/>
        <v>19.250000000000004</v>
      </c>
      <c r="CC73" s="144" t="s">
        <v>185</v>
      </c>
      <c r="CD73" s="144" t="s">
        <v>171</v>
      </c>
      <c r="CE73" s="144" t="s">
        <v>171</v>
      </c>
      <c r="CF73" t="s">
        <v>186</v>
      </c>
      <c r="CG73" s="144">
        <v>10</v>
      </c>
      <c r="CH73" s="144" t="s">
        <v>187</v>
      </c>
      <c r="CI73" s="144" t="s">
        <v>171</v>
      </c>
      <c r="CJ73" s="147">
        <v>26.708559040000001</v>
      </c>
      <c r="CK73" t="s">
        <v>173</v>
      </c>
      <c r="CL73">
        <v>3</v>
      </c>
      <c r="CM73">
        <v>3</v>
      </c>
      <c r="CN73" t="s">
        <v>171</v>
      </c>
      <c r="CO73" s="149">
        <v>3.9792700684600364</v>
      </c>
      <c r="CP73" t="s">
        <v>188</v>
      </c>
      <c r="CQ73" s="149">
        <f t="shared" si="16"/>
        <v>0.15917080273840145</v>
      </c>
      <c r="CR73" s="149">
        <v>0.15917080273840145</v>
      </c>
      <c r="CS73" s="150" t="s">
        <v>171</v>
      </c>
      <c r="CT73" t="s">
        <v>189</v>
      </c>
      <c r="CU73" t="s">
        <v>171</v>
      </c>
      <c r="CV73" t="s">
        <v>190</v>
      </c>
      <c r="CW73" t="s">
        <v>191</v>
      </c>
      <c r="CX73" t="s">
        <v>191</v>
      </c>
      <c r="CY73" t="s">
        <v>191</v>
      </c>
      <c r="CZ73" t="s">
        <v>171</v>
      </c>
      <c r="DA73" t="s">
        <v>171</v>
      </c>
      <c r="DB73" t="s">
        <v>171</v>
      </c>
      <c r="DC73" t="s">
        <v>171</v>
      </c>
      <c r="DD73" t="s">
        <v>171</v>
      </c>
      <c r="DE73" t="s">
        <v>171</v>
      </c>
      <c r="DF73" t="s">
        <v>171</v>
      </c>
      <c r="DG73">
        <v>35</v>
      </c>
      <c r="DH73" t="s">
        <v>185</v>
      </c>
      <c r="DI73" s="142">
        <v>3</v>
      </c>
      <c r="DJ73" s="144" t="s">
        <v>192</v>
      </c>
      <c r="DK73" s="144" t="s">
        <v>171</v>
      </c>
      <c r="DL73" s="144" t="s">
        <v>171</v>
      </c>
      <c r="DM73" s="144" t="s">
        <v>171</v>
      </c>
      <c r="DN73" s="144" t="s">
        <v>171</v>
      </c>
      <c r="DO73" s="144" t="s">
        <v>171</v>
      </c>
      <c r="DP73" s="144" t="s">
        <v>171</v>
      </c>
      <c r="DQ73" s="144" t="s">
        <v>171</v>
      </c>
      <c r="DR73" s="144" t="s">
        <v>171</v>
      </c>
      <c r="DS73" s="144" t="s">
        <v>171</v>
      </c>
      <c r="DT73" s="144" t="s">
        <v>171</v>
      </c>
      <c r="DU73" s="144" t="s">
        <v>171</v>
      </c>
      <c r="DV73" s="144" t="s">
        <v>171</v>
      </c>
      <c r="DW73" s="147">
        <v>432.56244218316402</v>
      </c>
      <c r="DX73" t="s">
        <v>193</v>
      </c>
      <c r="DY73">
        <v>37.1</v>
      </c>
      <c r="DZ73" t="s">
        <v>194</v>
      </c>
      <c r="EA73">
        <v>39.61</v>
      </c>
      <c r="EB73" t="s">
        <v>185</v>
      </c>
      <c r="EC73" s="149">
        <f t="shared" si="17"/>
        <v>0.21103</v>
      </c>
      <c r="ED73" t="s">
        <v>195</v>
      </c>
      <c r="EE73" t="s">
        <v>196</v>
      </c>
      <c r="EF73" t="s">
        <v>197</v>
      </c>
      <c r="EG73">
        <v>1.0271999999999999</v>
      </c>
      <c r="EH73" t="s">
        <v>171</v>
      </c>
      <c r="EI73" t="s">
        <v>171</v>
      </c>
      <c r="EJ73" t="s">
        <v>198</v>
      </c>
      <c r="EK73" t="s">
        <v>191</v>
      </c>
      <c r="EL73" t="s">
        <v>191</v>
      </c>
      <c r="EM73" t="s">
        <v>199</v>
      </c>
      <c r="EN73" t="s">
        <v>200</v>
      </c>
      <c r="EO73" s="151" t="s">
        <v>201</v>
      </c>
      <c r="EP73" s="151" t="s">
        <v>201</v>
      </c>
      <c r="EQ73" s="144" t="s">
        <v>171</v>
      </c>
      <c r="ER73" s="144" t="s">
        <v>171</v>
      </c>
      <c r="ES73" s="144" t="s">
        <v>171</v>
      </c>
      <c r="ET73" t="s">
        <v>202</v>
      </c>
      <c r="EU73" t="s">
        <v>203</v>
      </c>
      <c r="EV73" t="s">
        <v>171</v>
      </c>
      <c r="EW73">
        <v>2400</v>
      </c>
      <c r="EX73" s="151" t="s">
        <v>204</v>
      </c>
      <c r="EY73" s="151">
        <v>175</v>
      </c>
      <c r="EZ73">
        <v>175</v>
      </c>
      <c r="FA73" t="s">
        <v>171</v>
      </c>
      <c r="FB73" t="s">
        <v>171</v>
      </c>
      <c r="FC73" t="s">
        <v>171</v>
      </c>
      <c r="FD73" t="s">
        <v>171</v>
      </c>
      <c r="FE73" s="152">
        <v>8.1381236856211405</v>
      </c>
      <c r="FF73" t="s">
        <v>205</v>
      </c>
      <c r="FG73" s="144" t="s">
        <v>171</v>
      </c>
      <c r="FH73" s="144" t="s">
        <v>171</v>
      </c>
      <c r="FI73" s="153">
        <v>302.65994230000001</v>
      </c>
      <c r="FJ73">
        <v>21</v>
      </c>
      <c r="FK73" t="s">
        <v>207</v>
      </c>
      <c r="FL73" s="160">
        <v>281.65994230000001</v>
      </c>
      <c r="FM73" s="161">
        <v>39.561198937716995</v>
      </c>
      <c r="FN73" s="161">
        <v>38.872510175629998</v>
      </c>
      <c r="FO73" t="s">
        <v>186</v>
      </c>
      <c r="FP73" t="s">
        <v>208</v>
      </c>
      <c r="FQ73" t="s">
        <v>171</v>
      </c>
      <c r="FR73" t="s">
        <v>171</v>
      </c>
      <c r="FS73" t="s">
        <v>171</v>
      </c>
      <c r="FT73" t="s">
        <v>171</v>
      </c>
      <c r="FU73" t="s">
        <v>171</v>
      </c>
      <c r="FV73" t="s">
        <v>171</v>
      </c>
      <c r="FW73" t="s">
        <v>171</v>
      </c>
      <c r="FX73" t="s">
        <v>171</v>
      </c>
      <c r="FY73" t="s">
        <v>171</v>
      </c>
      <c r="FZ73" t="s">
        <v>171</v>
      </c>
      <c r="GA73" t="s">
        <v>171</v>
      </c>
      <c r="GB73" t="s">
        <v>171</v>
      </c>
    </row>
    <row r="74" spans="1:184" ht="16" x14ac:dyDescent="0.2">
      <c r="A74" t="s">
        <v>217</v>
      </c>
      <c r="B74" s="143" t="s">
        <v>216</v>
      </c>
      <c r="C74" s="138" t="s">
        <v>212</v>
      </c>
      <c r="D74" t="s">
        <v>211</v>
      </c>
      <c r="E74">
        <v>2017</v>
      </c>
      <c r="F74" t="str">
        <f t="shared" si="21"/>
        <v>10.1073/pnas.1702143114</v>
      </c>
      <c r="G74" s="147">
        <f t="shared" si="22"/>
        <v>1112.8</v>
      </c>
      <c r="H74">
        <f t="shared" si="18"/>
        <v>6</v>
      </c>
      <c r="I74">
        <f t="shared" si="19"/>
        <v>6</v>
      </c>
      <c r="J74" s="153">
        <f t="shared" si="23"/>
        <v>241.64218439999999</v>
      </c>
      <c r="K74" s="153">
        <f t="shared" si="24"/>
        <v>36.060655534790016</v>
      </c>
      <c r="L74" s="153">
        <f t="shared" si="25"/>
        <v>35.199414761789001</v>
      </c>
      <c r="M74" t="b">
        <v>1</v>
      </c>
      <c r="N74">
        <v>3</v>
      </c>
      <c r="O74" s="144" t="s">
        <v>228</v>
      </c>
      <c r="P74" s="144" t="s">
        <v>229</v>
      </c>
      <c r="Q74" t="b">
        <v>0</v>
      </c>
      <c r="R74" t="s">
        <v>214</v>
      </c>
      <c r="S74" t="b">
        <v>1</v>
      </c>
      <c r="T74" t="b">
        <v>0</v>
      </c>
      <c r="U74" t="s">
        <v>171</v>
      </c>
      <c r="V74" t="s">
        <v>171</v>
      </c>
      <c r="W74" t="b">
        <v>0</v>
      </c>
      <c r="X74" t="s">
        <v>171</v>
      </c>
      <c r="Y74" s="139" t="s">
        <v>167</v>
      </c>
      <c r="Z74" s="143" t="s">
        <v>168</v>
      </c>
      <c r="AA74" t="s">
        <v>169</v>
      </c>
      <c r="AB74" s="157" t="s">
        <v>210</v>
      </c>
      <c r="AC74" s="157">
        <v>5</v>
      </c>
      <c r="AD74" s="157">
        <v>1</v>
      </c>
      <c r="AE74" s="158">
        <v>70.16303500000015</v>
      </c>
      <c r="AF74" s="158">
        <f t="shared" si="15"/>
        <v>72.16303500000015</v>
      </c>
      <c r="AG74" s="159">
        <v>36.801405670000001</v>
      </c>
      <c r="AH74" s="159">
        <v>36.801405670000001</v>
      </c>
      <c r="AI74" t="s">
        <v>171</v>
      </c>
      <c r="AJ74" t="s">
        <v>172</v>
      </c>
      <c r="AK74" s="146">
        <v>12.74</v>
      </c>
      <c r="AL74" s="146">
        <v>-78.739999999999995</v>
      </c>
      <c r="AM74" t="s">
        <v>171</v>
      </c>
      <c r="AN74" t="s">
        <v>171</v>
      </c>
      <c r="AO74">
        <v>-2839</v>
      </c>
      <c r="AP74" t="s">
        <v>171</v>
      </c>
      <c r="AQ74" t="s">
        <v>171</v>
      </c>
      <c r="AR74" t="s">
        <v>171</v>
      </c>
      <c r="AS74">
        <v>1112.8</v>
      </c>
      <c r="AT74" t="s">
        <v>173</v>
      </c>
      <c r="AU74">
        <v>6</v>
      </c>
      <c r="AV74">
        <v>6</v>
      </c>
      <c r="AW74" t="s">
        <v>171</v>
      </c>
      <c r="AX74" t="s">
        <v>174</v>
      </c>
      <c r="AY74" t="s">
        <v>171</v>
      </c>
      <c r="AZ74" t="s">
        <v>171</v>
      </c>
      <c r="BA74" t="s">
        <v>171</v>
      </c>
      <c r="BB74" t="s">
        <v>171</v>
      </c>
      <c r="BC74" t="s">
        <v>171</v>
      </c>
      <c r="BD74" t="s">
        <v>171</v>
      </c>
      <c r="BE74" t="s">
        <v>171</v>
      </c>
      <c r="BF74" t="s">
        <v>171</v>
      </c>
      <c r="BG74" t="s">
        <v>175</v>
      </c>
      <c r="BH74" t="s">
        <v>176</v>
      </c>
      <c r="BI74" t="s">
        <v>177</v>
      </c>
      <c r="BJ74" s="142">
        <v>2</v>
      </c>
      <c r="BK74" t="s">
        <v>178</v>
      </c>
      <c r="BL74" t="s">
        <v>179</v>
      </c>
      <c r="BM74" t="s">
        <v>180</v>
      </c>
      <c r="BN74" t="s">
        <v>171</v>
      </c>
      <c r="BO74" s="142">
        <v>2</v>
      </c>
      <c r="BP74" s="144" t="s">
        <v>171</v>
      </c>
      <c r="BQ74" s="149">
        <v>20.77558234</v>
      </c>
      <c r="BR74" t="s">
        <v>181</v>
      </c>
      <c r="BS74" s="149">
        <v>0.19660471199999999</v>
      </c>
      <c r="BT74">
        <v>0.64</v>
      </c>
      <c r="BU74" t="s">
        <v>182</v>
      </c>
      <c r="BV74">
        <v>3.4000000000000002E-2</v>
      </c>
      <c r="BW74">
        <v>9.1</v>
      </c>
      <c r="BX74" t="s">
        <v>173</v>
      </c>
      <c r="BY74">
        <v>0.56000000000000005</v>
      </c>
      <c r="BZ74" t="s">
        <v>183</v>
      </c>
      <c r="CA74" t="s">
        <v>184</v>
      </c>
      <c r="CB74" s="148">
        <f t="shared" si="20"/>
        <v>19.842637233333335</v>
      </c>
      <c r="CC74" s="144" t="s">
        <v>185</v>
      </c>
      <c r="CD74" s="144" t="s">
        <v>171</v>
      </c>
      <c r="CE74" s="144" t="s">
        <v>171</v>
      </c>
      <c r="CF74" t="s">
        <v>186</v>
      </c>
      <c r="CG74" s="144">
        <v>10</v>
      </c>
      <c r="CH74" s="144" t="s">
        <v>187</v>
      </c>
      <c r="CI74" s="144" t="s">
        <v>171</v>
      </c>
      <c r="CJ74" s="147">
        <v>26.743849399999998</v>
      </c>
      <c r="CK74" t="s">
        <v>173</v>
      </c>
      <c r="CL74">
        <v>3</v>
      </c>
      <c r="CM74">
        <v>3</v>
      </c>
      <c r="CN74" t="s">
        <v>171</v>
      </c>
      <c r="CO74" s="149">
        <v>4.0027706482267922</v>
      </c>
      <c r="CP74" t="s">
        <v>188</v>
      </c>
      <c r="CQ74" s="149">
        <f t="shared" si="16"/>
        <v>0.16011082592907169</v>
      </c>
      <c r="CR74" s="149">
        <v>0.16011082592907169</v>
      </c>
      <c r="CS74" s="150" t="s">
        <v>171</v>
      </c>
      <c r="CT74" t="s">
        <v>189</v>
      </c>
      <c r="CU74" t="s">
        <v>171</v>
      </c>
      <c r="CV74" t="s">
        <v>190</v>
      </c>
      <c r="CW74" t="s">
        <v>191</v>
      </c>
      <c r="CX74" t="s">
        <v>191</v>
      </c>
      <c r="CY74" t="s">
        <v>191</v>
      </c>
      <c r="CZ74" t="s">
        <v>171</v>
      </c>
      <c r="DA74" t="s">
        <v>171</v>
      </c>
      <c r="DB74" t="s">
        <v>171</v>
      </c>
      <c r="DC74" t="s">
        <v>171</v>
      </c>
      <c r="DD74" t="s">
        <v>171</v>
      </c>
      <c r="DE74" t="s">
        <v>171</v>
      </c>
      <c r="DF74" t="s">
        <v>171</v>
      </c>
      <c r="DG74">
        <v>35</v>
      </c>
      <c r="DH74" t="s">
        <v>185</v>
      </c>
      <c r="DI74" s="142">
        <v>3</v>
      </c>
      <c r="DJ74" s="144" t="s">
        <v>192</v>
      </c>
      <c r="DK74" s="144" t="s">
        <v>171</v>
      </c>
      <c r="DL74" s="144" t="s">
        <v>171</v>
      </c>
      <c r="DM74" s="144" t="s">
        <v>171</v>
      </c>
      <c r="DN74" s="144" t="s">
        <v>171</v>
      </c>
      <c r="DO74" s="144" t="s">
        <v>171</v>
      </c>
      <c r="DP74" s="144" t="s">
        <v>171</v>
      </c>
      <c r="DQ74" s="144" t="s">
        <v>171</v>
      </c>
      <c r="DR74" s="144" t="s">
        <v>171</v>
      </c>
      <c r="DS74" s="144" t="s">
        <v>171</v>
      </c>
      <c r="DT74" s="144" t="s">
        <v>171</v>
      </c>
      <c r="DU74" s="144" t="s">
        <v>171</v>
      </c>
      <c r="DV74" s="144" t="s">
        <v>171</v>
      </c>
      <c r="DW74" s="147">
        <v>432.56244218316402</v>
      </c>
      <c r="DX74" t="s">
        <v>193</v>
      </c>
      <c r="DY74">
        <v>37.1</v>
      </c>
      <c r="DZ74" t="s">
        <v>194</v>
      </c>
      <c r="EA74">
        <v>39.61</v>
      </c>
      <c r="EB74" t="s">
        <v>185</v>
      </c>
      <c r="EC74" s="149">
        <f t="shared" si="17"/>
        <v>0.21128000000000002</v>
      </c>
      <c r="ED74" t="s">
        <v>195</v>
      </c>
      <c r="EE74" t="s">
        <v>196</v>
      </c>
      <c r="EF74" t="s">
        <v>197</v>
      </c>
      <c r="EG74">
        <v>1.0271999999999999</v>
      </c>
      <c r="EH74" t="s">
        <v>171</v>
      </c>
      <c r="EI74" t="s">
        <v>171</v>
      </c>
      <c r="EJ74" t="s">
        <v>198</v>
      </c>
      <c r="EK74" t="s">
        <v>191</v>
      </c>
      <c r="EL74" t="s">
        <v>191</v>
      </c>
      <c r="EM74" t="s">
        <v>199</v>
      </c>
      <c r="EN74" t="s">
        <v>200</v>
      </c>
      <c r="EO74" s="151" t="s">
        <v>201</v>
      </c>
      <c r="EP74" s="151" t="s">
        <v>201</v>
      </c>
      <c r="EQ74" s="144" t="s">
        <v>171</v>
      </c>
      <c r="ER74" s="144" t="s">
        <v>171</v>
      </c>
      <c r="ES74" s="144" t="s">
        <v>171</v>
      </c>
      <c r="ET74" t="s">
        <v>202</v>
      </c>
      <c r="EU74" t="s">
        <v>203</v>
      </c>
      <c r="EV74" t="s">
        <v>171</v>
      </c>
      <c r="EW74">
        <v>2401</v>
      </c>
      <c r="EX74" s="151" t="s">
        <v>204</v>
      </c>
      <c r="EY74" s="151">
        <v>175</v>
      </c>
      <c r="EZ74">
        <v>175</v>
      </c>
      <c r="FA74" t="s">
        <v>171</v>
      </c>
      <c r="FB74" t="s">
        <v>171</v>
      </c>
      <c r="FC74" t="s">
        <v>171</v>
      </c>
      <c r="FD74" t="s">
        <v>171</v>
      </c>
      <c r="FE74" s="152">
        <v>8.1855162885859905</v>
      </c>
      <c r="FF74" t="s">
        <v>205</v>
      </c>
      <c r="FG74" s="144" t="s">
        <v>171</v>
      </c>
      <c r="FH74" s="144" t="s">
        <v>171</v>
      </c>
      <c r="FI74" s="153">
        <v>262.64218440000002</v>
      </c>
      <c r="FJ74">
        <v>21</v>
      </c>
      <c r="FK74" t="s">
        <v>207</v>
      </c>
      <c r="FL74" s="160">
        <v>241.64218439999999</v>
      </c>
      <c r="FM74" s="161">
        <v>36.060655534790016</v>
      </c>
      <c r="FN74" s="161">
        <v>35.199414761789001</v>
      </c>
      <c r="FO74" t="s">
        <v>186</v>
      </c>
      <c r="FP74" t="s">
        <v>208</v>
      </c>
      <c r="FQ74" t="s">
        <v>171</v>
      </c>
      <c r="FR74" t="s">
        <v>171</v>
      </c>
      <c r="FS74" t="s">
        <v>171</v>
      </c>
      <c r="FT74" t="s">
        <v>171</v>
      </c>
      <c r="FU74" t="s">
        <v>171</v>
      </c>
      <c r="FV74" t="s">
        <v>171</v>
      </c>
      <c r="FW74" t="s">
        <v>171</v>
      </c>
      <c r="FX74" t="s">
        <v>171</v>
      </c>
      <c r="FY74" t="s">
        <v>171</v>
      </c>
      <c r="FZ74" t="s">
        <v>171</v>
      </c>
      <c r="GA74" t="s">
        <v>171</v>
      </c>
      <c r="GB74" t="s">
        <v>171</v>
      </c>
    </row>
    <row r="75" spans="1:184" ht="16" x14ac:dyDescent="0.2">
      <c r="A75" t="s">
        <v>217</v>
      </c>
      <c r="B75" s="143" t="s">
        <v>216</v>
      </c>
      <c r="C75" s="138" t="s">
        <v>212</v>
      </c>
      <c r="D75" t="s">
        <v>211</v>
      </c>
      <c r="E75">
        <v>2017</v>
      </c>
      <c r="F75" t="str">
        <f t="shared" si="21"/>
        <v>10.1073/pnas.1702143114</v>
      </c>
      <c r="G75" s="147">
        <f t="shared" si="22"/>
        <v>1115.26</v>
      </c>
      <c r="H75">
        <f t="shared" si="18"/>
        <v>6</v>
      </c>
      <c r="I75">
        <f t="shared" si="19"/>
        <v>6</v>
      </c>
      <c r="J75" s="153">
        <f t="shared" si="23"/>
        <v>222.33685819999999</v>
      </c>
      <c r="K75" s="153">
        <f t="shared" si="24"/>
        <v>34.100599513809016</v>
      </c>
      <c r="L75" s="153">
        <f t="shared" si="25"/>
        <v>33.394010036017988</v>
      </c>
      <c r="M75" t="b">
        <v>1</v>
      </c>
      <c r="N75">
        <v>3</v>
      </c>
      <c r="O75" s="144" t="s">
        <v>228</v>
      </c>
      <c r="P75" s="144" t="s">
        <v>229</v>
      </c>
      <c r="Q75" t="b">
        <v>0</v>
      </c>
      <c r="R75" t="s">
        <v>214</v>
      </c>
      <c r="S75" t="b">
        <v>1</v>
      </c>
      <c r="T75" t="b">
        <v>0</v>
      </c>
      <c r="U75" t="s">
        <v>171</v>
      </c>
      <c r="V75" t="s">
        <v>171</v>
      </c>
      <c r="W75" t="b">
        <v>0</v>
      </c>
      <c r="X75" t="s">
        <v>171</v>
      </c>
      <c r="Y75" s="139" t="s">
        <v>167</v>
      </c>
      <c r="Z75" s="143" t="s">
        <v>168</v>
      </c>
      <c r="AA75" t="s">
        <v>169</v>
      </c>
      <c r="AB75" s="157" t="s">
        <v>210</v>
      </c>
      <c r="AC75" s="157">
        <v>5</v>
      </c>
      <c r="AD75" s="157">
        <v>1</v>
      </c>
      <c r="AE75" s="158">
        <v>80.892932000000371</v>
      </c>
      <c r="AF75" s="158">
        <f t="shared" si="15"/>
        <v>82.892932000000371</v>
      </c>
      <c r="AG75" s="159">
        <v>36.908704640000003</v>
      </c>
      <c r="AH75" s="159">
        <v>36.908704640000003</v>
      </c>
      <c r="AI75" t="s">
        <v>171</v>
      </c>
      <c r="AJ75" t="s">
        <v>172</v>
      </c>
      <c r="AK75" s="146">
        <v>12.74</v>
      </c>
      <c r="AL75" s="146">
        <v>-78.739999999999995</v>
      </c>
      <c r="AM75" t="s">
        <v>171</v>
      </c>
      <c r="AN75" t="s">
        <v>171</v>
      </c>
      <c r="AO75">
        <v>-2839</v>
      </c>
      <c r="AP75" t="s">
        <v>171</v>
      </c>
      <c r="AQ75" t="s">
        <v>171</v>
      </c>
      <c r="AR75" t="s">
        <v>171</v>
      </c>
      <c r="AS75">
        <v>1115.26</v>
      </c>
      <c r="AT75" t="s">
        <v>173</v>
      </c>
      <c r="AU75">
        <v>6</v>
      </c>
      <c r="AV75">
        <v>6</v>
      </c>
      <c r="AW75" t="s">
        <v>171</v>
      </c>
      <c r="AX75" t="s">
        <v>174</v>
      </c>
      <c r="AY75" t="s">
        <v>171</v>
      </c>
      <c r="AZ75" t="s">
        <v>171</v>
      </c>
      <c r="BA75" t="s">
        <v>171</v>
      </c>
      <c r="BB75" t="s">
        <v>171</v>
      </c>
      <c r="BC75" t="s">
        <v>171</v>
      </c>
      <c r="BD75" t="s">
        <v>171</v>
      </c>
      <c r="BE75" t="s">
        <v>171</v>
      </c>
      <c r="BF75" t="s">
        <v>171</v>
      </c>
      <c r="BG75" t="s">
        <v>175</v>
      </c>
      <c r="BH75" t="s">
        <v>176</v>
      </c>
      <c r="BI75" t="s">
        <v>177</v>
      </c>
      <c r="BJ75" s="142">
        <v>2</v>
      </c>
      <c r="BK75" t="s">
        <v>178</v>
      </c>
      <c r="BL75" t="s">
        <v>179</v>
      </c>
      <c r="BM75" t="s">
        <v>180</v>
      </c>
      <c r="BN75" t="s">
        <v>171</v>
      </c>
      <c r="BO75" s="142">
        <v>2</v>
      </c>
      <c r="BP75" s="144" t="s">
        <v>171</v>
      </c>
      <c r="BQ75" s="149">
        <v>20.934999999999999</v>
      </c>
      <c r="BR75" t="s">
        <v>181</v>
      </c>
      <c r="BS75" s="149">
        <v>0.19400513799999999</v>
      </c>
      <c r="BT75">
        <v>0.64</v>
      </c>
      <c r="BU75" t="s">
        <v>182</v>
      </c>
      <c r="BV75">
        <v>3.4000000000000002E-2</v>
      </c>
      <c r="BW75">
        <v>9.1</v>
      </c>
      <c r="BX75" t="s">
        <v>173</v>
      </c>
      <c r="BY75">
        <v>0.56000000000000005</v>
      </c>
      <c r="BZ75" t="s">
        <v>183</v>
      </c>
      <c r="CA75" t="s">
        <v>184</v>
      </c>
      <c r="CB75" s="148">
        <f t="shared" si="20"/>
        <v>20.108333333333334</v>
      </c>
      <c r="CC75" s="144" t="s">
        <v>185</v>
      </c>
      <c r="CD75" s="144" t="s">
        <v>171</v>
      </c>
      <c r="CE75" s="144" t="s">
        <v>171</v>
      </c>
      <c r="CF75" t="s">
        <v>186</v>
      </c>
      <c r="CG75" s="144">
        <v>10</v>
      </c>
      <c r="CH75" s="144" t="s">
        <v>187</v>
      </c>
      <c r="CI75" s="144" t="s">
        <v>171</v>
      </c>
      <c r="CJ75" s="147">
        <v>26.32885001</v>
      </c>
      <c r="CK75" t="s">
        <v>173</v>
      </c>
      <c r="CL75">
        <v>3</v>
      </c>
      <c r="CM75">
        <v>3</v>
      </c>
      <c r="CN75" t="s">
        <v>171</v>
      </c>
      <c r="CO75" s="149">
        <v>3.8664286885937984</v>
      </c>
      <c r="CP75" t="s">
        <v>188</v>
      </c>
      <c r="CQ75" s="149">
        <f t="shared" si="16"/>
        <v>0.15465714754375193</v>
      </c>
      <c r="CR75" s="149">
        <v>0.15465714754375193</v>
      </c>
      <c r="CS75" s="150" t="s">
        <v>171</v>
      </c>
      <c r="CT75" t="s">
        <v>189</v>
      </c>
      <c r="CU75" t="s">
        <v>171</v>
      </c>
      <c r="CV75" t="s">
        <v>190</v>
      </c>
      <c r="CW75" t="s">
        <v>191</v>
      </c>
      <c r="CX75" t="s">
        <v>191</v>
      </c>
      <c r="CY75" t="s">
        <v>191</v>
      </c>
      <c r="CZ75" t="s">
        <v>171</v>
      </c>
      <c r="DA75" t="s">
        <v>171</v>
      </c>
      <c r="DB75" t="s">
        <v>171</v>
      </c>
      <c r="DC75" t="s">
        <v>171</v>
      </c>
      <c r="DD75" t="s">
        <v>171</v>
      </c>
      <c r="DE75" t="s">
        <v>171</v>
      </c>
      <c r="DF75" t="s">
        <v>171</v>
      </c>
      <c r="DG75">
        <v>35</v>
      </c>
      <c r="DH75" t="s">
        <v>185</v>
      </c>
      <c r="DI75" s="142">
        <v>3</v>
      </c>
      <c r="DJ75" s="144" t="s">
        <v>192</v>
      </c>
      <c r="DK75" s="144" t="s">
        <v>171</v>
      </c>
      <c r="DL75" s="144" t="s">
        <v>171</v>
      </c>
      <c r="DM75" s="144" t="s">
        <v>171</v>
      </c>
      <c r="DN75" s="144" t="s">
        <v>171</v>
      </c>
      <c r="DO75" s="144" t="s">
        <v>171</v>
      </c>
      <c r="DP75" s="144" t="s">
        <v>171</v>
      </c>
      <c r="DQ75" s="144" t="s">
        <v>171</v>
      </c>
      <c r="DR75" s="144" t="s">
        <v>171</v>
      </c>
      <c r="DS75" s="144" t="s">
        <v>171</v>
      </c>
      <c r="DT75" s="144" t="s">
        <v>171</v>
      </c>
      <c r="DU75" s="144" t="s">
        <v>171</v>
      </c>
      <c r="DV75" s="144" t="s">
        <v>171</v>
      </c>
      <c r="DW75" s="147">
        <v>432.56244218316402</v>
      </c>
      <c r="DX75" t="s">
        <v>193</v>
      </c>
      <c r="DY75">
        <v>37.1</v>
      </c>
      <c r="DZ75" t="s">
        <v>194</v>
      </c>
      <c r="EA75">
        <v>39.61</v>
      </c>
      <c r="EB75" t="s">
        <v>185</v>
      </c>
      <c r="EC75" s="149">
        <f t="shared" si="17"/>
        <v>0.21152600000000002</v>
      </c>
      <c r="ED75" t="s">
        <v>195</v>
      </c>
      <c r="EE75" t="s">
        <v>196</v>
      </c>
      <c r="EF75" t="s">
        <v>197</v>
      </c>
      <c r="EG75">
        <v>1.0271999999999999</v>
      </c>
      <c r="EH75" t="s">
        <v>171</v>
      </c>
      <c r="EI75" t="s">
        <v>171</v>
      </c>
      <c r="EJ75" t="s">
        <v>198</v>
      </c>
      <c r="EK75" t="s">
        <v>191</v>
      </c>
      <c r="EL75" t="s">
        <v>191</v>
      </c>
      <c r="EM75" t="s">
        <v>199</v>
      </c>
      <c r="EN75" t="s">
        <v>200</v>
      </c>
      <c r="EO75" s="151" t="s">
        <v>201</v>
      </c>
      <c r="EP75" s="151" t="s">
        <v>201</v>
      </c>
      <c r="EQ75" s="144" t="s">
        <v>171</v>
      </c>
      <c r="ER75" s="144" t="s">
        <v>171</v>
      </c>
      <c r="ES75" s="144" t="s">
        <v>171</v>
      </c>
      <c r="ET75" t="s">
        <v>202</v>
      </c>
      <c r="EU75" t="s">
        <v>203</v>
      </c>
      <c r="EV75" t="s">
        <v>171</v>
      </c>
      <c r="EW75">
        <v>2402</v>
      </c>
      <c r="EX75" s="151" t="s">
        <v>204</v>
      </c>
      <c r="EY75" s="151">
        <v>175</v>
      </c>
      <c r="EZ75">
        <v>175</v>
      </c>
      <c r="FA75" t="s">
        <v>171</v>
      </c>
      <c r="FB75" t="s">
        <v>171</v>
      </c>
      <c r="FC75" t="s">
        <v>171</v>
      </c>
      <c r="FD75" t="s">
        <v>171</v>
      </c>
      <c r="FE75" s="152">
        <v>8.2115802548634704</v>
      </c>
      <c r="FF75" t="s">
        <v>205</v>
      </c>
      <c r="FG75" s="144" t="s">
        <v>171</v>
      </c>
      <c r="FH75" s="144" t="s">
        <v>171</v>
      </c>
      <c r="FI75" s="153">
        <v>243.33685819999999</v>
      </c>
      <c r="FJ75">
        <v>21</v>
      </c>
      <c r="FK75" t="s">
        <v>207</v>
      </c>
      <c r="FL75" s="160">
        <v>222.33685819999999</v>
      </c>
      <c r="FM75" s="161">
        <v>34.100599513809016</v>
      </c>
      <c r="FN75" s="161">
        <v>33.394010036017988</v>
      </c>
      <c r="FO75" t="s">
        <v>186</v>
      </c>
      <c r="FP75" t="s">
        <v>208</v>
      </c>
      <c r="FQ75" t="s">
        <v>171</v>
      </c>
      <c r="FR75" t="s">
        <v>171</v>
      </c>
      <c r="FS75" t="s">
        <v>171</v>
      </c>
      <c r="FT75" t="s">
        <v>171</v>
      </c>
      <c r="FU75" t="s">
        <v>171</v>
      </c>
      <c r="FV75" t="s">
        <v>171</v>
      </c>
      <c r="FW75" t="s">
        <v>171</v>
      </c>
      <c r="FX75" t="s">
        <v>171</v>
      </c>
      <c r="FY75" t="s">
        <v>171</v>
      </c>
      <c r="FZ75" t="s">
        <v>171</v>
      </c>
      <c r="GA75" t="s">
        <v>171</v>
      </c>
      <c r="GB75" t="s">
        <v>171</v>
      </c>
    </row>
    <row r="76" spans="1:184" ht="16" x14ac:dyDescent="0.2">
      <c r="A76" t="s">
        <v>217</v>
      </c>
      <c r="B76" s="143" t="s">
        <v>216</v>
      </c>
      <c r="C76" s="138" t="s">
        <v>212</v>
      </c>
      <c r="D76" t="s">
        <v>211</v>
      </c>
      <c r="E76">
        <v>2017</v>
      </c>
      <c r="F76" t="str">
        <f t="shared" si="21"/>
        <v>10.1073/pnas.1702143114</v>
      </c>
      <c r="G76" s="147">
        <f t="shared" si="22"/>
        <v>1117.8599999999999</v>
      </c>
      <c r="H76">
        <f t="shared" si="18"/>
        <v>6</v>
      </c>
      <c r="I76">
        <f t="shared" si="19"/>
        <v>6</v>
      </c>
      <c r="J76" s="153">
        <f t="shared" si="23"/>
        <v>208.91475</v>
      </c>
      <c r="K76" s="153">
        <f t="shared" si="24"/>
        <v>32.15766081491401</v>
      </c>
      <c r="L76" s="153">
        <f t="shared" si="25"/>
        <v>31.614661924713005</v>
      </c>
      <c r="M76" t="b">
        <v>1</v>
      </c>
      <c r="N76">
        <v>3</v>
      </c>
      <c r="O76" s="144" t="s">
        <v>228</v>
      </c>
      <c r="P76" s="144" t="s">
        <v>229</v>
      </c>
      <c r="Q76" t="b">
        <v>0</v>
      </c>
      <c r="R76" t="s">
        <v>214</v>
      </c>
      <c r="S76" t="b">
        <v>1</v>
      </c>
      <c r="T76" t="b">
        <v>0</v>
      </c>
      <c r="U76" t="s">
        <v>171</v>
      </c>
      <c r="V76" t="s">
        <v>171</v>
      </c>
      <c r="W76" t="b">
        <v>0</v>
      </c>
      <c r="X76" t="s">
        <v>171</v>
      </c>
      <c r="Y76" s="139" t="s">
        <v>167</v>
      </c>
      <c r="Z76" s="143" t="s">
        <v>168</v>
      </c>
      <c r="AA76" t="s">
        <v>169</v>
      </c>
      <c r="AB76" s="157" t="s">
        <v>210</v>
      </c>
      <c r="AC76" s="157">
        <v>5</v>
      </c>
      <c r="AD76" s="157">
        <v>1</v>
      </c>
      <c r="AE76" s="158">
        <v>90.361001000000073</v>
      </c>
      <c r="AF76" s="158">
        <f t="shared" si="15"/>
        <v>92.361001000000073</v>
      </c>
      <c r="AG76" s="159">
        <v>37.00338533</v>
      </c>
      <c r="AH76" s="159">
        <v>37.00338533</v>
      </c>
      <c r="AI76" t="s">
        <v>171</v>
      </c>
      <c r="AJ76" t="s">
        <v>172</v>
      </c>
      <c r="AK76" s="146">
        <v>12.74</v>
      </c>
      <c r="AL76" s="146">
        <v>-78.739999999999995</v>
      </c>
      <c r="AM76" t="s">
        <v>171</v>
      </c>
      <c r="AN76" t="s">
        <v>171</v>
      </c>
      <c r="AO76">
        <v>-2839</v>
      </c>
      <c r="AP76" t="s">
        <v>171</v>
      </c>
      <c r="AQ76" t="s">
        <v>171</v>
      </c>
      <c r="AR76" t="s">
        <v>171</v>
      </c>
      <c r="AS76">
        <v>1117.8599999999999</v>
      </c>
      <c r="AT76" t="s">
        <v>173</v>
      </c>
      <c r="AU76">
        <v>6</v>
      </c>
      <c r="AV76">
        <v>6</v>
      </c>
      <c r="AW76" t="s">
        <v>171</v>
      </c>
      <c r="AX76" t="s">
        <v>174</v>
      </c>
      <c r="AY76" t="s">
        <v>171</v>
      </c>
      <c r="AZ76" t="s">
        <v>171</v>
      </c>
      <c r="BA76" t="s">
        <v>171</v>
      </c>
      <c r="BB76" t="s">
        <v>171</v>
      </c>
      <c r="BC76" t="s">
        <v>171</v>
      </c>
      <c r="BD76" t="s">
        <v>171</v>
      </c>
      <c r="BE76" t="s">
        <v>171</v>
      </c>
      <c r="BF76" t="s">
        <v>171</v>
      </c>
      <c r="BG76" t="s">
        <v>175</v>
      </c>
      <c r="BH76" t="s">
        <v>176</v>
      </c>
      <c r="BI76" t="s">
        <v>177</v>
      </c>
      <c r="BJ76" s="142">
        <v>2</v>
      </c>
      <c r="BK76" t="s">
        <v>178</v>
      </c>
      <c r="BL76" t="s">
        <v>179</v>
      </c>
      <c r="BM76" t="s">
        <v>180</v>
      </c>
      <c r="BN76" t="s">
        <v>171</v>
      </c>
      <c r="BO76" s="142">
        <v>2</v>
      </c>
      <c r="BP76" s="144" t="s">
        <v>171</v>
      </c>
      <c r="BQ76" s="149">
        <v>21.107182569999999</v>
      </c>
      <c r="BR76" t="s">
        <v>181</v>
      </c>
      <c r="BS76" s="149">
        <v>0.149424944</v>
      </c>
      <c r="BT76">
        <v>0.64</v>
      </c>
      <c r="BU76" t="s">
        <v>182</v>
      </c>
      <c r="BV76">
        <v>3.4000000000000002E-2</v>
      </c>
      <c r="BW76">
        <v>9.1</v>
      </c>
      <c r="BX76" t="s">
        <v>173</v>
      </c>
      <c r="BY76">
        <v>0.56000000000000005</v>
      </c>
      <c r="BZ76" t="s">
        <v>183</v>
      </c>
      <c r="CA76" t="s">
        <v>184</v>
      </c>
      <c r="CB76" s="148">
        <f t="shared" si="20"/>
        <v>20.395304283333335</v>
      </c>
      <c r="CC76" s="144" t="s">
        <v>185</v>
      </c>
      <c r="CD76" s="144" t="s">
        <v>171</v>
      </c>
      <c r="CE76" s="144" t="s">
        <v>171</v>
      </c>
      <c r="CF76" t="s">
        <v>186</v>
      </c>
      <c r="CG76" s="144">
        <v>10</v>
      </c>
      <c r="CH76" s="144" t="s">
        <v>187</v>
      </c>
      <c r="CI76" s="144" t="s">
        <v>171</v>
      </c>
      <c r="CJ76" s="147">
        <v>26.648023349999999</v>
      </c>
      <c r="CK76" t="s">
        <v>173</v>
      </c>
      <c r="CL76">
        <v>3</v>
      </c>
      <c r="CM76">
        <v>3</v>
      </c>
      <c r="CN76" t="s">
        <v>171</v>
      </c>
      <c r="CO76" s="149">
        <v>3.989770434521112</v>
      </c>
      <c r="CP76" t="s">
        <v>188</v>
      </c>
      <c r="CQ76" s="149">
        <f t="shared" si="16"/>
        <v>0.15959081738084449</v>
      </c>
      <c r="CR76" s="149">
        <v>0.15959081738084449</v>
      </c>
      <c r="CS76" s="150" t="s">
        <v>171</v>
      </c>
      <c r="CT76" t="s">
        <v>189</v>
      </c>
      <c r="CU76" t="s">
        <v>171</v>
      </c>
      <c r="CV76" t="s">
        <v>190</v>
      </c>
      <c r="CW76" t="s">
        <v>191</v>
      </c>
      <c r="CX76" t="s">
        <v>191</v>
      </c>
      <c r="CY76" t="s">
        <v>191</v>
      </c>
      <c r="CZ76" t="s">
        <v>171</v>
      </c>
      <c r="DA76" t="s">
        <v>171</v>
      </c>
      <c r="DB76" t="s">
        <v>171</v>
      </c>
      <c r="DC76" t="s">
        <v>171</v>
      </c>
      <c r="DD76" t="s">
        <v>171</v>
      </c>
      <c r="DE76" t="s">
        <v>171</v>
      </c>
      <c r="DF76" t="s">
        <v>171</v>
      </c>
      <c r="DG76">
        <v>35</v>
      </c>
      <c r="DH76" t="s">
        <v>185</v>
      </c>
      <c r="DI76" s="142">
        <v>3</v>
      </c>
      <c r="DJ76" s="144" t="s">
        <v>192</v>
      </c>
      <c r="DK76" s="144" t="s">
        <v>171</v>
      </c>
      <c r="DL76" s="144" t="s">
        <v>171</v>
      </c>
      <c r="DM76" s="144" t="s">
        <v>171</v>
      </c>
      <c r="DN76" s="144" t="s">
        <v>171</v>
      </c>
      <c r="DO76" s="144" t="s">
        <v>171</v>
      </c>
      <c r="DP76" s="144" t="s">
        <v>171</v>
      </c>
      <c r="DQ76" s="144" t="s">
        <v>171</v>
      </c>
      <c r="DR76" s="144" t="s">
        <v>171</v>
      </c>
      <c r="DS76" s="144" t="s">
        <v>171</v>
      </c>
      <c r="DT76" s="144" t="s">
        <v>171</v>
      </c>
      <c r="DU76" s="144" t="s">
        <v>171</v>
      </c>
      <c r="DV76" s="144" t="s">
        <v>171</v>
      </c>
      <c r="DW76" s="147">
        <v>432.56244218316402</v>
      </c>
      <c r="DX76" t="s">
        <v>193</v>
      </c>
      <c r="DY76">
        <v>37.1</v>
      </c>
      <c r="DZ76" t="s">
        <v>194</v>
      </c>
      <c r="EA76">
        <v>39.61</v>
      </c>
      <c r="EB76" t="s">
        <v>185</v>
      </c>
      <c r="EC76" s="149">
        <f t="shared" si="17"/>
        <v>0.211786</v>
      </c>
      <c r="ED76" t="s">
        <v>195</v>
      </c>
      <c r="EE76" t="s">
        <v>196</v>
      </c>
      <c r="EF76" t="s">
        <v>197</v>
      </c>
      <c r="EG76">
        <v>1.0271999999999999</v>
      </c>
      <c r="EH76" t="s">
        <v>171</v>
      </c>
      <c r="EI76" t="s">
        <v>171</v>
      </c>
      <c r="EJ76" t="s">
        <v>198</v>
      </c>
      <c r="EK76" t="s">
        <v>191</v>
      </c>
      <c r="EL76" t="s">
        <v>191</v>
      </c>
      <c r="EM76" t="s">
        <v>199</v>
      </c>
      <c r="EN76" t="s">
        <v>200</v>
      </c>
      <c r="EO76" s="151" t="s">
        <v>201</v>
      </c>
      <c r="EP76" s="151" t="s">
        <v>201</v>
      </c>
      <c r="EQ76" s="144" t="s">
        <v>171</v>
      </c>
      <c r="ER76" s="144" t="s">
        <v>171</v>
      </c>
      <c r="ES76" s="144" t="s">
        <v>171</v>
      </c>
      <c r="ET76" t="s">
        <v>202</v>
      </c>
      <c r="EU76" t="s">
        <v>203</v>
      </c>
      <c r="EV76" t="s">
        <v>171</v>
      </c>
      <c r="EW76">
        <v>2403</v>
      </c>
      <c r="EX76" s="151" t="s">
        <v>204</v>
      </c>
      <c r="EY76" s="151">
        <v>175</v>
      </c>
      <c r="EZ76">
        <v>175</v>
      </c>
      <c r="FA76" t="s">
        <v>171</v>
      </c>
      <c r="FB76" t="s">
        <v>171</v>
      </c>
      <c r="FC76" t="s">
        <v>171</v>
      </c>
      <c r="FD76" t="s">
        <v>171</v>
      </c>
      <c r="FE76" s="152">
        <v>8.2295900330282308</v>
      </c>
      <c r="FF76" t="s">
        <v>205</v>
      </c>
      <c r="FG76" s="144" t="s">
        <v>171</v>
      </c>
      <c r="FH76" s="144" t="s">
        <v>171</v>
      </c>
      <c r="FI76" s="153">
        <v>229.91475</v>
      </c>
      <c r="FJ76">
        <v>21</v>
      </c>
      <c r="FK76" t="s">
        <v>207</v>
      </c>
      <c r="FL76" s="160">
        <v>208.91475</v>
      </c>
      <c r="FM76" s="161">
        <v>32.15766081491401</v>
      </c>
      <c r="FN76" s="161">
        <v>31.614661924713005</v>
      </c>
      <c r="FO76" t="s">
        <v>186</v>
      </c>
      <c r="FP76" t="s">
        <v>208</v>
      </c>
      <c r="FQ76" t="s">
        <v>171</v>
      </c>
      <c r="FR76" t="s">
        <v>171</v>
      </c>
      <c r="FS76" t="s">
        <v>171</v>
      </c>
      <c r="FT76" t="s">
        <v>171</v>
      </c>
      <c r="FU76" t="s">
        <v>171</v>
      </c>
      <c r="FV76" t="s">
        <v>171</v>
      </c>
      <c r="FW76" t="s">
        <v>171</v>
      </c>
      <c r="FX76" t="s">
        <v>171</v>
      </c>
      <c r="FY76" t="s">
        <v>171</v>
      </c>
      <c r="FZ76" t="s">
        <v>171</v>
      </c>
      <c r="GA76" t="s">
        <v>171</v>
      </c>
      <c r="GB76" t="s">
        <v>171</v>
      </c>
    </row>
    <row r="77" spans="1:184" ht="16" x14ac:dyDescent="0.2">
      <c r="A77" t="s">
        <v>217</v>
      </c>
      <c r="B77" s="143" t="s">
        <v>216</v>
      </c>
      <c r="C77" s="138" t="s">
        <v>212</v>
      </c>
      <c r="D77" t="s">
        <v>211</v>
      </c>
      <c r="E77">
        <v>2017</v>
      </c>
      <c r="F77" t="str">
        <f t="shared" si="21"/>
        <v>10.1073/pnas.1702143114</v>
      </c>
      <c r="G77" s="147">
        <f t="shared" si="22"/>
        <v>1120.3599999999999</v>
      </c>
      <c r="H77">
        <f t="shared" si="18"/>
        <v>6</v>
      </c>
      <c r="I77">
        <f t="shared" si="19"/>
        <v>6</v>
      </c>
      <c r="J77" s="153">
        <f t="shared" si="23"/>
        <v>243.3561393</v>
      </c>
      <c r="K77" s="153">
        <f t="shared" si="24"/>
        <v>35.895111597328025</v>
      </c>
      <c r="L77" s="153">
        <f t="shared" si="25"/>
        <v>35.122515495253992</v>
      </c>
      <c r="M77" t="b">
        <v>1</v>
      </c>
      <c r="N77">
        <v>3</v>
      </c>
      <c r="O77" s="144" t="s">
        <v>228</v>
      </c>
      <c r="P77" s="144" t="s">
        <v>229</v>
      </c>
      <c r="Q77" t="b">
        <v>0</v>
      </c>
      <c r="R77" t="s">
        <v>214</v>
      </c>
      <c r="S77" t="b">
        <v>1</v>
      </c>
      <c r="T77" t="b">
        <v>0</v>
      </c>
      <c r="U77" t="s">
        <v>171</v>
      </c>
      <c r="V77" t="s">
        <v>171</v>
      </c>
      <c r="W77" t="b">
        <v>0</v>
      </c>
      <c r="X77" t="s">
        <v>171</v>
      </c>
      <c r="Y77" s="139" t="s">
        <v>167</v>
      </c>
      <c r="Z77" s="143" t="s">
        <v>168</v>
      </c>
      <c r="AA77" t="s">
        <v>169</v>
      </c>
      <c r="AB77" s="157" t="s">
        <v>210</v>
      </c>
      <c r="AC77" s="157">
        <v>5</v>
      </c>
      <c r="AD77" s="157">
        <v>1</v>
      </c>
      <c r="AE77" s="158">
        <v>98.801709999999986</v>
      </c>
      <c r="AF77" s="158">
        <f t="shared" si="15"/>
        <v>100.80170999999999</v>
      </c>
      <c r="AG77" s="159">
        <v>37.08779242</v>
      </c>
      <c r="AH77" s="159">
        <v>37.08779242</v>
      </c>
      <c r="AI77" t="s">
        <v>171</v>
      </c>
      <c r="AJ77" t="s">
        <v>172</v>
      </c>
      <c r="AK77" s="146">
        <v>12.74</v>
      </c>
      <c r="AL77" s="146">
        <v>-78.739999999999995</v>
      </c>
      <c r="AM77" t="s">
        <v>171</v>
      </c>
      <c r="AN77" t="s">
        <v>171</v>
      </c>
      <c r="AO77">
        <v>-2839</v>
      </c>
      <c r="AP77" t="s">
        <v>171</v>
      </c>
      <c r="AQ77" t="s">
        <v>171</v>
      </c>
      <c r="AR77" t="s">
        <v>171</v>
      </c>
      <c r="AS77">
        <v>1120.3599999999999</v>
      </c>
      <c r="AT77" t="s">
        <v>173</v>
      </c>
      <c r="AU77">
        <v>6</v>
      </c>
      <c r="AV77">
        <v>6</v>
      </c>
      <c r="AW77" t="s">
        <v>171</v>
      </c>
      <c r="AX77" t="s">
        <v>174</v>
      </c>
      <c r="AY77" t="s">
        <v>171</v>
      </c>
      <c r="AZ77" t="s">
        <v>171</v>
      </c>
      <c r="BA77" t="s">
        <v>171</v>
      </c>
      <c r="BB77" t="s">
        <v>171</v>
      </c>
      <c r="BC77" t="s">
        <v>171</v>
      </c>
      <c r="BD77" t="s">
        <v>171</v>
      </c>
      <c r="BE77" t="s">
        <v>171</v>
      </c>
      <c r="BF77" t="s">
        <v>171</v>
      </c>
      <c r="BG77" t="s">
        <v>175</v>
      </c>
      <c r="BH77" t="s">
        <v>176</v>
      </c>
      <c r="BI77" t="s">
        <v>177</v>
      </c>
      <c r="BJ77" s="142">
        <v>2</v>
      </c>
      <c r="BK77" t="s">
        <v>178</v>
      </c>
      <c r="BL77" t="s">
        <v>179</v>
      </c>
      <c r="BM77" t="s">
        <v>180</v>
      </c>
      <c r="BN77" t="s">
        <v>171</v>
      </c>
      <c r="BO77" s="142">
        <v>2</v>
      </c>
      <c r="BP77" s="144" t="s">
        <v>171</v>
      </c>
      <c r="BQ77" s="149">
        <v>20.785485380000001</v>
      </c>
      <c r="BR77" t="s">
        <v>181</v>
      </c>
      <c r="BS77" s="149">
        <v>0.15332352399999999</v>
      </c>
      <c r="BT77">
        <v>0.64</v>
      </c>
      <c r="BU77" t="s">
        <v>182</v>
      </c>
      <c r="BV77">
        <v>3.4000000000000002E-2</v>
      </c>
      <c r="BW77">
        <v>9.1</v>
      </c>
      <c r="BX77" t="s">
        <v>173</v>
      </c>
      <c r="BY77">
        <v>0.56000000000000005</v>
      </c>
      <c r="BZ77" t="s">
        <v>183</v>
      </c>
      <c r="CA77" t="s">
        <v>184</v>
      </c>
      <c r="CB77" s="148">
        <f t="shared" si="20"/>
        <v>19.859142300000002</v>
      </c>
      <c r="CC77" s="144" t="s">
        <v>185</v>
      </c>
      <c r="CD77" s="144" t="s">
        <v>171</v>
      </c>
      <c r="CE77" s="144" t="s">
        <v>171</v>
      </c>
      <c r="CF77" t="s">
        <v>186</v>
      </c>
      <c r="CG77" s="144">
        <v>10</v>
      </c>
      <c r="CH77" s="144" t="s">
        <v>187</v>
      </c>
      <c r="CI77" s="144" t="s">
        <v>171</v>
      </c>
      <c r="CJ77" s="147">
        <v>27.09466544</v>
      </c>
      <c r="CK77" t="s">
        <v>173</v>
      </c>
      <c r="CL77">
        <v>3</v>
      </c>
      <c r="CM77">
        <v>3</v>
      </c>
      <c r="CN77" t="s">
        <v>171</v>
      </c>
      <c r="CO77" s="149">
        <v>4.1754965300287168</v>
      </c>
      <c r="CP77" t="s">
        <v>188</v>
      </c>
      <c r="CQ77" s="149">
        <f t="shared" si="16"/>
        <v>0.16701986120114867</v>
      </c>
      <c r="CR77" s="149">
        <v>0.16701986120114867</v>
      </c>
      <c r="CS77" s="150" t="s">
        <v>171</v>
      </c>
      <c r="CT77" t="s">
        <v>189</v>
      </c>
      <c r="CU77" t="s">
        <v>171</v>
      </c>
      <c r="CV77" t="s">
        <v>190</v>
      </c>
      <c r="CW77" t="s">
        <v>191</v>
      </c>
      <c r="CX77" t="s">
        <v>191</v>
      </c>
      <c r="CY77" t="s">
        <v>191</v>
      </c>
      <c r="CZ77" t="s">
        <v>171</v>
      </c>
      <c r="DA77" t="s">
        <v>171</v>
      </c>
      <c r="DB77" t="s">
        <v>171</v>
      </c>
      <c r="DC77" t="s">
        <v>171</v>
      </c>
      <c r="DD77" t="s">
        <v>171</v>
      </c>
      <c r="DE77" t="s">
        <v>171</v>
      </c>
      <c r="DF77" t="s">
        <v>171</v>
      </c>
      <c r="DG77">
        <v>35</v>
      </c>
      <c r="DH77" t="s">
        <v>185</v>
      </c>
      <c r="DI77" s="142">
        <v>3</v>
      </c>
      <c r="DJ77" s="144" t="s">
        <v>192</v>
      </c>
      <c r="DK77" s="144" t="s">
        <v>171</v>
      </c>
      <c r="DL77" s="144" t="s">
        <v>171</v>
      </c>
      <c r="DM77" s="144" t="s">
        <v>171</v>
      </c>
      <c r="DN77" s="144" t="s">
        <v>171</v>
      </c>
      <c r="DO77" s="144" t="s">
        <v>171</v>
      </c>
      <c r="DP77" s="144" t="s">
        <v>171</v>
      </c>
      <c r="DQ77" s="144" t="s">
        <v>171</v>
      </c>
      <c r="DR77" s="144" t="s">
        <v>171</v>
      </c>
      <c r="DS77" s="144" t="s">
        <v>171</v>
      </c>
      <c r="DT77" s="144" t="s">
        <v>171</v>
      </c>
      <c r="DU77" s="144" t="s">
        <v>171</v>
      </c>
      <c r="DV77" s="144" t="s">
        <v>171</v>
      </c>
      <c r="DW77" s="147">
        <v>432.56244218316402</v>
      </c>
      <c r="DX77" t="s">
        <v>193</v>
      </c>
      <c r="DY77">
        <v>37.1</v>
      </c>
      <c r="DZ77" t="s">
        <v>194</v>
      </c>
      <c r="EA77">
        <v>39.61</v>
      </c>
      <c r="EB77" t="s">
        <v>185</v>
      </c>
      <c r="EC77" s="149">
        <f t="shared" si="17"/>
        <v>0.212036</v>
      </c>
      <c r="ED77" t="s">
        <v>195</v>
      </c>
      <c r="EE77" t="s">
        <v>196</v>
      </c>
      <c r="EF77" t="s">
        <v>197</v>
      </c>
      <c r="EG77">
        <v>1.0271999999999999</v>
      </c>
      <c r="EH77" t="s">
        <v>171</v>
      </c>
      <c r="EI77" t="s">
        <v>171</v>
      </c>
      <c r="EJ77" t="s">
        <v>198</v>
      </c>
      <c r="EK77" t="s">
        <v>191</v>
      </c>
      <c r="EL77" t="s">
        <v>191</v>
      </c>
      <c r="EM77" t="s">
        <v>199</v>
      </c>
      <c r="EN77" t="s">
        <v>200</v>
      </c>
      <c r="EO77" s="151" t="s">
        <v>201</v>
      </c>
      <c r="EP77" s="151" t="s">
        <v>201</v>
      </c>
      <c r="EQ77" s="144" t="s">
        <v>171</v>
      </c>
      <c r="ER77" s="144" t="s">
        <v>171</v>
      </c>
      <c r="ES77" s="144" t="s">
        <v>171</v>
      </c>
      <c r="ET77" t="s">
        <v>202</v>
      </c>
      <c r="EU77" t="s">
        <v>203</v>
      </c>
      <c r="EV77" t="s">
        <v>171</v>
      </c>
      <c r="EW77">
        <v>2404</v>
      </c>
      <c r="EX77" s="151" t="s">
        <v>204</v>
      </c>
      <c r="EY77" s="151">
        <v>175</v>
      </c>
      <c r="EZ77">
        <v>175</v>
      </c>
      <c r="FA77" t="s">
        <v>171</v>
      </c>
      <c r="FB77" t="s">
        <v>171</v>
      </c>
      <c r="FC77" t="s">
        <v>171</v>
      </c>
      <c r="FD77" t="s">
        <v>171</v>
      </c>
      <c r="FE77" s="152">
        <v>8.1831046758065398</v>
      </c>
      <c r="FF77" t="s">
        <v>205</v>
      </c>
      <c r="FG77" s="144" t="s">
        <v>171</v>
      </c>
      <c r="FH77" s="144" t="s">
        <v>171</v>
      </c>
      <c r="FI77" s="153">
        <v>264.3561393</v>
      </c>
      <c r="FJ77">
        <v>21</v>
      </c>
      <c r="FK77" t="s">
        <v>207</v>
      </c>
      <c r="FL77" s="160">
        <v>243.3561393</v>
      </c>
      <c r="FM77" s="161">
        <v>35.895111597328025</v>
      </c>
      <c r="FN77" s="161">
        <v>35.122515495253992</v>
      </c>
      <c r="FO77" t="s">
        <v>186</v>
      </c>
      <c r="FP77" t="s">
        <v>208</v>
      </c>
      <c r="FQ77" t="s">
        <v>171</v>
      </c>
      <c r="FR77" t="s">
        <v>171</v>
      </c>
      <c r="FS77" t="s">
        <v>171</v>
      </c>
      <c r="FT77" t="s">
        <v>171</v>
      </c>
      <c r="FU77" t="s">
        <v>171</v>
      </c>
      <c r="FV77" t="s">
        <v>171</v>
      </c>
      <c r="FW77" t="s">
        <v>171</v>
      </c>
      <c r="FX77" t="s">
        <v>171</v>
      </c>
      <c r="FY77" t="s">
        <v>171</v>
      </c>
      <c r="FZ77" t="s">
        <v>171</v>
      </c>
      <c r="GA77" t="s">
        <v>171</v>
      </c>
      <c r="GB77" t="s">
        <v>171</v>
      </c>
    </row>
    <row r="78" spans="1:184" ht="16" x14ac:dyDescent="0.2">
      <c r="A78" t="s">
        <v>217</v>
      </c>
      <c r="B78" s="143" t="s">
        <v>216</v>
      </c>
      <c r="C78" s="138" t="s">
        <v>212</v>
      </c>
      <c r="D78" t="s">
        <v>211</v>
      </c>
      <c r="E78">
        <v>2017</v>
      </c>
      <c r="F78" t="str">
        <f t="shared" si="21"/>
        <v>10.1073/pnas.1702143114</v>
      </c>
      <c r="G78" s="147">
        <f t="shared" si="22"/>
        <v>1123.0899999999999</v>
      </c>
      <c r="H78">
        <f t="shared" si="18"/>
        <v>6</v>
      </c>
      <c r="I78">
        <f t="shared" si="19"/>
        <v>6</v>
      </c>
      <c r="J78" s="153">
        <f t="shared" si="23"/>
        <v>196.93406450000001</v>
      </c>
      <c r="K78" s="153">
        <f t="shared" si="24"/>
        <v>31.127967239859004</v>
      </c>
      <c r="L78" s="153">
        <f t="shared" si="25"/>
        <v>30.623996794093017</v>
      </c>
      <c r="M78" t="b">
        <v>1</v>
      </c>
      <c r="N78">
        <v>3</v>
      </c>
      <c r="O78" s="144" t="s">
        <v>228</v>
      </c>
      <c r="P78" s="144" t="s">
        <v>229</v>
      </c>
      <c r="Q78" t="b">
        <v>0</v>
      </c>
      <c r="R78" t="s">
        <v>214</v>
      </c>
      <c r="S78" t="b">
        <v>1</v>
      </c>
      <c r="T78" t="b">
        <v>0</v>
      </c>
      <c r="U78" t="s">
        <v>171</v>
      </c>
      <c r="V78" t="s">
        <v>171</v>
      </c>
      <c r="W78" t="b">
        <v>0</v>
      </c>
      <c r="X78" t="s">
        <v>171</v>
      </c>
      <c r="Y78" s="139" t="s">
        <v>167</v>
      </c>
      <c r="Z78" s="143" t="s">
        <v>168</v>
      </c>
      <c r="AA78" t="s">
        <v>169</v>
      </c>
      <c r="AB78" s="157" t="s">
        <v>210</v>
      </c>
      <c r="AC78" s="157">
        <v>5</v>
      </c>
      <c r="AD78" s="157">
        <v>1</v>
      </c>
      <c r="AE78" s="158">
        <v>108</v>
      </c>
      <c r="AF78" s="158">
        <f t="shared" si="15"/>
        <v>110</v>
      </c>
      <c r="AG78" s="159">
        <v>37.18</v>
      </c>
      <c r="AH78" s="159">
        <v>37.18</v>
      </c>
      <c r="AI78" t="s">
        <v>171</v>
      </c>
      <c r="AJ78" t="s">
        <v>172</v>
      </c>
      <c r="AK78" s="146">
        <v>12.74</v>
      </c>
      <c r="AL78" s="146">
        <v>-78.739999999999995</v>
      </c>
      <c r="AM78" t="s">
        <v>171</v>
      </c>
      <c r="AN78" t="s">
        <v>171</v>
      </c>
      <c r="AO78">
        <v>-2839</v>
      </c>
      <c r="AP78" t="s">
        <v>171</v>
      </c>
      <c r="AQ78" t="s">
        <v>171</v>
      </c>
      <c r="AR78" t="s">
        <v>171</v>
      </c>
      <c r="AS78">
        <v>1123.0899999999999</v>
      </c>
      <c r="AT78" t="s">
        <v>173</v>
      </c>
      <c r="AU78">
        <v>6</v>
      </c>
      <c r="AV78">
        <v>6</v>
      </c>
      <c r="AW78" t="s">
        <v>171</v>
      </c>
      <c r="AX78" t="s">
        <v>174</v>
      </c>
      <c r="AY78" t="s">
        <v>171</v>
      </c>
      <c r="AZ78" t="s">
        <v>171</v>
      </c>
      <c r="BA78" t="s">
        <v>171</v>
      </c>
      <c r="BB78" t="s">
        <v>171</v>
      </c>
      <c r="BC78" t="s">
        <v>171</v>
      </c>
      <c r="BD78" t="s">
        <v>171</v>
      </c>
      <c r="BE78" t="s">
        <v>171</v>
      </c>
      <c r="BF78" t="s">
        <v>171</v>
      </c>
      <c r="BG78" t="s">
        <v>175</v>
      </c>
      <c r="BH78" t="s">
        <v>176</v>
      </c>
      <c r="BI78" t="s">
        <v>177</v>
      </c>
      <c r="BJ78" s="142">
        <v>2</v>
      </c>
      <c r="BK78" t="s">
        <v>178</v>
      </c>
      <c r="BL78" t="s">
        <v>179</v>
      </c>
      <c r="BM78" t="s">
        <v>180</v>
      </c>
      <c r="BN78" t="s">
        <v>171</v>
      </c>
      <c r="BO78" s="142">
        <v>2</v>
      </c>
      <c r="BP78" s="144" t="s">
        <v>171</v>
      </c>
      <c r="BQ78" s="149">
        <v>21.251716349999999</v>
      </c>
      <c r="BR78" t="s">
        <v>181</v>
      </c>
      <c r="BS78" s="149">
        <v>0.14808570600000001</v>
      </c>
      <c r="BT78">
        <v>0.64</v>
      </c>
      <c r="BU78" t="s">
        <v>182</v>
      </c>
      <c r="BV78">
        <v>3.4000000000000002E-2</v>
      </c>
      <c r="BW78">
        <v>9.1</v>
      </c>
      <c r="BX78" t="s">
        <v>173</v>
      </c>
      <c r="BY78">
        <v>0.56000000000000005</v>
      </c>
      <c r="BZ78" t="s">
        <v>183</v>
      </c>
      <c r="CA78" t="s">
        <v>184</v>
      </c>
      <c r="CB78" s="148">
        <f t="shared" si="20"/>
        <v>20.636193916666667</v>
      </c>
      <c r="CC78" s="144" t="s">
        <v>185</v>
      </c>
      <c r="CD78" s="144" t="s">
        <v>171</v>
      </c>
      <c r="CE78" s="144" t="s">
        <v>171</v>
      </c>
      <c r="CF78" t="s">
        <v>186</v>
      </c>
      <c r="CG78" s="144">
        <v>10</v>
      </c>
      <c r="CH78" s="144" t="s">
        <v>187</v>
      </c>
      <c r="CI78" s="144" t="s">
        <v>171</v>
      </c>
      <c r="CJ78" s="147">
        <v>26.750982010000001</v>
      </c>
      <c r="CK78" t="s">
        <v>173</v>
      </c>
      <c r="CL78">
        <v>3</v>
      </c>
      <c r="CM78">
        <v>3</v>
      </c>
      <c r="CN78" t="s">
        <v>171</v>
      </c>
      <c r="CO78" s="149">
        <v>4.0589616152941002</v>
      </c>
      <c r="CP78" t="s">
        <v>188</v>
      </c>
      <c r="CQ78" s="149">
        <f t="shared" si="16"/>
        <v>0.16235846461176401</v>
      </c>
      <c r="CR78" s="149">
        <v>0.16235846461176401</v>
      </c>
      <c r="CS78" s="150" t="s">
        <v>171</v>
      </c>
      <c r="CT78" t="s">
        <v>189</v>
      </c>
      <c r="CU78" t="s">
        <v>171</v>
      </c>
      <c r="CV78" t="s">
        <v>190</v>
      </c>
      <c r="CW78" t="s">
        <v>191</v>
      </c>
      <c r="CX78" t="s">
        <v>191</v>
      </c>
      <c r="CY78" t="s">
        <v>191</v>
      </c>
      <c r="CZ78" t="s">
        <v>171</v>
      </c>
      <c r="DA78" t="s">
        <v>171</v>
      </c>
      <c r="DB78" t="s">
        <v>171</v>
      </c>
      <c r="DC78" t="s">
        <v>171</v>
      </c>
      <c r="DD78" t="s">
        <v>171</v>
      </c>
      <c r="DE78" t="s">
        <v>171</v>
      </c>
      <c r="DF78" t="s">
        <v>171</v>
      </c>
      <c r="DG78">
        <v>35</v>
      </c>
      <c r="DH78" t="s">
        <v>185</v>
      </c>
      <c r="DI78" s="142">
        <v>3</v>
      </c>
      <c r="DJ78" s="144" t="s">
        <v>192</v>
      </c>
      <c r="DK78" s="144" t="s">
        <v>171</v>
      </c>
      <c r="DL78" s="144" t="s">
        <v>171</v>
      </c>
      <c r="DM78" s="144" t="s">
        <v>171</v>
      </c>
      <c r="DN78" s="144" t="s">
        <v>171</v>
      </c>
      <c r="DO78" s="144" t="s">
        <v>171</v>
      </c>
      <c r="DP78" s="144" t="s">
        <v>171</v>
      </c>
      <c r="DQ78" s="144" t="s">
        <v>171</v>
      </c>
      <c r="DR78" s="144" t="s">
        <v>171</v>
      </c>
      <c r="DS78" s="144" t="s">
        <v>171</v>
      </c>
      <c r="DT78" s="144" t="s">
        <v>171</v>
      </c>
      <c r="DU78" s="144" t="s">
        <v>171</v>
      </c>
      <c r="DV78" s="144" t="s">
        <v>171</v>
      </c>
      <c r="DW78" s="147">
        <v>432.56244218316402</v>
      </c>
      <c r="DX78" t="s">
        <v>193</v>
      </c>
      <c r="DY78">
        <v>37.1</v>
      </c>
      <c r="DZ78" t="s">
        <v>194</v>
      </c>
      <c r="EA78">
        <v>39.61</v>
      </c>
      <c r="EB78" t="s">
        <v>185</v>
      </c>
      <c r="EC78" s="149">
        <f t="shared" si="17"/>
        <v>0.212309</v>
      </c>
      <c r="ED78" t="s">
        <v>195</v>
      </c>
      <c r="EE78" t="s">
        <v>196</v>
      </c>
      <c r="EF78" t="s">
        <v>197</v>
      </c>
      <c r="EG78">
        <v>1.0271999999999999</v>
      </c>
      <c r="EH78" t="s">
        <v>171</v>
      </c>
      <c r="EI78" t="s">
        <v>171</v>
      </c>
      <c r="EJ78" t="s">
        <v>198</v>
      </c>
      <c r="EK78" t="s">
        <v>191</v>
      </c>
      <c r="EL78" t="s">
        <v>191</v>
      </c>
      <c r="EM78" t="s">
        <v>199</v>
      </c>
      <c r="EN78" t="s">
        <v>200</v>
      </c>
      <c r="EO78" s="151" t="s">
        <v>201</v>
      </c>
      <c r="EP78" s="151" t="s">
        <v>201</v>
      </c>
      <c r="EQ78" s="144" t="s">
        <v>171</v>
      </c>
      <c r="ER78" s="144" t="s">
        <v>171</v>
      </c>
      <c r="ES78" s="144" t="s">
        <v>171</v>
      </c>
      <c r="ET78" t="s">
        <v>202</v>
      </c>
      <c r="EU78" t="s">
        <v>203</v>
      </c>
      <c r="EV78" t="s">
        <v>171</v>
      </c>
      <c r="EW78">
        <v>2405</v>
      </c>
      <c r="EX78" s="151" t="s">
        <v>204</v>
      </c>
      <c r="EY78" s="151">
        <v>175</v>
      </c>
      <c r="EZ78">
        <v>175</v>
      </c>
      <c r="FA78" t="s">
        <v>171</v>
      </c>
      <c r="FB78" t="s">
        <v>171</v>
      </c>
      <c r="FC78" t="s">
        <v>171</v>
      </c>
      <c r="FD78" t="s">
        <v>171</v>
      </c>
      <c r="FE78" s="152">
        <v>8.24694417316352</v>
      </c>
      <c r="FF78" t="s">
        <v>205</v>
      </c>
      <c r="FG78" s="144" t="s">
        <v>171</v>
      </c>
      <c r="FH78" s="144" t="s">
        <v>171</v>
      </c>
      <c r="FI78" s="153">
        <v>217.93406450000001</v>
      </c>
      <c r="FJ78">
        <v>21</v>
      </c>
      <c r="FK78" t="s">
        <v>207</v>
      </c>
      <c r="FL78" s="160">
        <v>196.93406450000001</v>
      </c>
      <c r="FM78" s="161">
        <v>31.127967239859004</v>
      </c>
      <c r="FN78" s="161">
        <v>30.623996794093017</v>
      </c>
      <c r="FO78" t="s">
        <v>186</v>
      </c>
      <c r="FP78" t="s">
        <v>208</v>
      </c>
      <c r="FQ78" t="s">
        <v>171</v>
      </c>
      <c r="FR78" t="s">
        <v>171</v>
      </c>
      <c r="FS78" t="s">
        <v>171</v>
      </c>
      <c r="FT78" t="s">
        <v>171</v>
      </c>
      <c r="FU78" t="s">
        <v>171</v>
      </c>
      <c r="FV78" t="s">
        <v>171</v>
      </c>
      <c r="FW78" t="s">
        <v>171</v>
      </c>
      <c r="FX78" t="s">
        <v>171</v>
      </c>
      <c r="FY78" t="s">
        <v>171</v>
      </c>
      <c r="FZ78" t="s">
        <v>171</v>
      </c>
      <c r="GA78" t="s">
        <v>171</v>
      </c>
      <c r="GB78" t="s">
        <v>171</v>
      </c>
    </row>
    <row r="79" spans="1:184" ht="16" x14ac:dyDescent="0.2">
      <c r="A79" t="s">
        <v>217</v>
      </c>
      <c r="B79" s="143" t="s">
        <v>216</v>
      </c>
      <c r="C79" s="138" t="s">
        <v>212</v>
      </c>
      <c r="D79" t="s">
        <v>211</v>
      </c>
      <c r="E79">
        <v>2017</v>
      </c>
      <c r="F79" t="str">
        <f t="shared" si="21"/>
        <v>10.1073/pnas.1702143114</v>
      </c>
      <c r="G79" s="147">
        <f t="shared" si="22"/>
        <v>1126.06</v>
      </c>
      <c r="H79">
        <f t="shared" si="18"/>
        <v>6</v>
      </c>
      <c r="I79">
        <f t="shared" si="19"/>
        <v>6</v>
      </c>
      <c r="J79" s="153">
        <f t="shared" si="23"/>
        <v>242.75019159999999</v>
      </c>
      <c r="K79" s="153">
        <f t="shared" si="24"/>
        <v>36.766680271343034</v>
      </c>
      <c r="L79" s="153">
        <f t="shared" si="25"/>
        <v>35.214065905580981</v>
      </c>
      <c r="M79" t="b">
        <v>1</v>
      </c>
      <c r="N79">
        <v>3</v>
      </c>
      <c r="O79" s="144" t="s">
        <v>228</v>
      </c>
      <c r="P79" s="144" t="s">
        <v>229</v>
      </c>
      <c r="Q79" t="b">
        <v>0</v>
      </c>
      <c r="R79" t="s">
        <v>214</v>
      </c>
      <c r="S79" t="b">
        <v>1</v>
      </c>
      <c r="T79" t="b">
        <v>0</v>
      </c>
      <c r="U79" t="s">
        <v>171</v>
      </c>
      <c r="V79" t="s">
        <v>171</v>
      </c>
      <c r="W79" t="b">
        <v>0</v>
      </c>
      <c r="X79" t="s">
        <v>171</v>
      </c>
      <c r="Y79" s="139" t="s">
        <v>167</v>
      </c>
      <c r="Z79" s="143" t="s">
        <v>168</v>
      </c>
      <c r="AA79" t="s">
        <v>169</v>
      </c>
      <c r="AB79" s="157" t="s">
        <v>210</v>
      </c>
      <c r="AC79" s="157">
        <v>5</v>
      </c>
      <c r="AD79" s="157">
        <v>1</v>
      </c>
      <c r="AE79" s="158">
        <v>118</v>
      </c>
      <c r="AF79" s="158">
        <f t="shared" si="15"/>
        <v>120</v>
      </c>
      <c r="AG79" s="159">
        <v>37.28</v>
      </c>
      <c r="AH79" s="159">
        <v>37.28</v>
      </c>
      <c r="AI79" t="s">
        <v>171</v>
      </c>
      <c r="AJ79" t="s">
        <v>172</v>
      </c>
      <c r="AK79" s="146">
        <v>12.74</v>
      </c>
      <c r="AL79" s="146">
        <v>-78.739999999999995</v>
      </c>
      <c r="AM79" t="s">
        <v>171</v>
      </c>
      <c r="AN79" t="s">
        <v>171</v>
      </c>
      <c r="AO79">
        <v>-2839</v>
      </c>
      <c r="AP79" t="s">
        <v>171</v>
      </c>
      <c r="AQ79" t="s">
        <v>171</v>
      </c>
      <c r="AR79" t="s">
        <v>171</v>
      </c>
      <c r="AS79">
        <v>1126.06</v>
      </c>
      <c r="AT79" t="s">
        <v>173</v>
      </c>
      <c r="AU79">
        <v>6</v>
      </c>
      <c r="AV79">
        <v>6</v>
      </c>
      <c r="AW79" t="s">
        <v>171</v>
      </c>
      <c r="AX79" t="s">
        <v>174</v>
      </c>
      <c r="AY79" t="s">
        <v>171</v>
      </c>
      <c r="AZ79" t="s">
        <v>171</v>
      </c>
      <c r="BA79" t="s">
        <v>171</v>
      </c>
      <c r="BB79" t="s">
        <v>171</v>
      </c>
      <c r="BC79" t="s">
        <v>171</v>
      </c>
      <c r="BD79" t="s">
        <v>171</v>
      </c>
      <c r="BE79" t="s">
        <v>171</v>
      </c>
      <c r="BF79" t="s">
        <v>171</v>
      </c>
      <c r="BG79" t="s">
        <v>175</v>
      </c>
      <c r="BH79" t="s">
        <v>176</v>
      </c>
      <c r="BI79" t="s">
        <v>177</v>
      </c>
      <c r="BJ79" s="142">
        <v>2</v>
      </c>
      <c r="BK79" t="s">
        <v>178</v>
      </c>
      <c r="BL79" t="s">
        <v>179</v>
      </c>
      <c r="BM79" t="s">
        <v>180</v>
      </c>
      <c r="BN79" t="s">
        <v>171</v>
      </c>
      <c r="BO79" s="142">
        <v>2</v>
      </c>
      <c r="BP79" s="144" t="s">
        <v>171</v>
      </c>
      <c r="BQ79" s="149">
        <v>20.635507010000001</v>
      </c>
      <c r="BR79" t="s">
        <v>181</v>
      </c>
      <c r="BS79" s="149">
        <v>0.21353292400000001</v>
      </c>
      <c r="BT79">
        <v>0.64</v>
      </c>
      <c r="BU79" t="s">
        <v>182</v>
      </c>
      <c r="BV79">
        <v>3.4000000000000002E-2</v>
      </c>
      <c r="BW79">
        <v>9.1</v>
      </c>
      <c r="BX79" t="s">
        <v>173</v>
      </c>
      <c r="BY79">
        <v>0.56000000000000005</v>
      </c>
      <c r="BZ79" t="s">
        <v>183</v>
      </c>
      <c r="CA79" t="s">
        <v>184</v>
      </c>
      <c r="CB79" s="148">
        <f t="shared" si="20"/>
        <v>19.609178350000004</v>
      </c>
      <c r="CC79" s="144" t="s">
        <v>185</v>
      </c>
      <c r="CD79" s="144" t="s">
        <v>171</v>
      </c>
      <c r="CE79" s="144" t="s">
        <v>171</v>
      </c>
      <c r="CF79" t="s">
        <v>186</v>
      </c>
      <c r="CG79" s="144">
        <v>10</v>
      </c>
      <c r="CH79" s="144" t="s">
        <v>187</v>
      </c>
      <c r="CI79" s="144" t="s">
        <v>171</v>
      </c>
      <c r="CJ79" s="147">
        <v>25.05464023</v>
      </c>
      <c r="CK79" t="s">
        <v>173</v>
      </c>
      <c r="CL79">
        <v>3</v>
      </c>
      <c r="CM79">
        <v>3</v>
      </c>
      <c r="CN79" t="s">
        <v>171</v>
      </c>
      <c r="CO79" s="149">
        <v>3.5024311291596772</v>
      </c>
      <c r="CP79" t="s">
        <v>188</v>
      </c>
      <c r="CQ79" s="149">
        <f t="shared" si="16"/>
        <v>0.14009724516638708</v>
      </c>
      <c r="CR79" s="149">
        <v>0.14009724516638708</v>
      </c>
      <c r="CS79" s="150" t="s">
        <v>171</v>
      </c>
      <c r="CT79" t="s">
        <v>189</v>
      </c>
      <c r="CU79" t="s">
        <v>171</v>
      </c>
      <c r="CV79" t="s">
        <v>190</v>
      </c>
      <c r="CW79" t="s">
        <v>191</v>
      </c>
      <c r="CX79" t="s">
        <v>191</v>
      </c>
      <c r="CY79" t="s">
        <v>191</v>
      </c>
      <c r="CZ79" t="s">
        <v>171</v>
      </c>
      <c r="DA79" t="s">
        <v>171</v>
      </c>
      <c r="DB79" t="s">
        <v>171</v>
      </c>
      <c r="DC79" t="s">
        <v>171</v>
      </c>
      <c r="DD79" t="s">
        <v>171</v>
      </c>
      <c r="DE79" t="s">
        <v>171</v>
      </c>
      <c r="DF79" t="s">
        <v>171</v>
      </c>
      <c r="DG79">
        <v>35</v>
      </c>
      <c r="DH79" t="s">
        <v>185</v>
      </c>
      <c r="DI79" s="142">
        <v>3</v>
      </c>
      <c r="DJ79" s="144" t="s">
        <v>192</v>
      </c>
      <c r="DK79" s="144" t="s">
        <v>171</v>
      </c>
      <c r="DL79" s="144" t="s">
        <v>171</v>
      </c>
      <c r="DM79" s="144" t="s">
        <v>171</v>
      </c>
      <c r="DN79" s="144" t="s">
        <v>171</v>
      </c>
      <c r="DO79" s="144" t="s">
        <v>171</v>
      </c>
      <c r="DP79" s="144" t="s">
        <v>171</v>
      </c>
      <c r="DQ79" s="144" t="s">
        <v>171</v>
      </c>
      <c r="DR79" s="144" t="s">
        <v>171</v>
      </c>
      <c r="DS79" s="144" t="s">
        <v>171</v>
      </c>
      <c r="DT79" s="144" t="s">
        <v>171</v>
      </c>
      <c r="DU79" s="144" t="s">
        <v>171</v>
      </c>
      <c r="DV79" s="144" t="s">
        <v>171</v>
      </c>
      <c r="DW79" s="147">
        <v>432.56244218316402</v>
      </c>
      <c r="DX79" t="s">
        <v>193</v>
      </c>
      <c r="DY79">
        <v>37.1</v>
      </c>
      <c r="DZ79" t="s">
        <v>194</v>
      </c>
      <c r="EA79">
        <v>39.61</v>
      </c>
      <c r="EB79" t="s">
        <v>185</v>
      </c>
      <c r="EC79" s="149">
        <f t="shared" si="17"/>
        <v>0.21260600000000002</v>
      </c>
      <c r="ED79" t="s">
        <v>195</v>
      </c>
      <c r="EE79" t="s">
        <v>196</v>
      </c>
      <c r="EF79" t="s">
        <v>197</v>
      </c>
      <c r="EG79">
        <v>1.0271999999999999</v>
      </c>
      <c r="EH79" t="s">
        <v>171</v>
      </c>
      <c r="EI79" t="s">
        <v>171</v>
      </c>
      <c r="EJ79" t="s">
        <v>198</v>
      </c>
      <c r="EK79" t="s">
        <v>191</v>
      </c>
      <c r="EL79" t="s">
        <v>191</v>
      </c>
      <c r="EM79" t="s">
        <v>199</v>
      </c>
      <c r="EN79" t="s">
        <v>200</v>
      </c>
      <c r="EO79" s="151" t="s">
        <v>201</v>
      </c>
      <c r="EP79" s="151" t="s">
        <v>201</v>
      </c>
      <c r="EQ79" s="144" t="s">
        <v>171</v>
      </c>
      <c r="ER79" s="144" t="s">
        <v>171</v>
      </c>
      <c r="ES79" s="144" t="s">
        <v>171</v>
      </c>
      <c r="ET79" t="s">
        <v>202</v>
      </c>
      <c r="EU79" t="s">
        <v>203</v>
      </c>
      <c r="EV79" t="s">
        <v>171</v>
      </c>
      <c r="EW79">
        <v>2406</v>
      </c>
      <c r="EX79" s="151" t="s">
        <v>204</v>
      </c>
      <c r="EY79" s="151">
        <v>175</v>
      </c>
      <c r="EZ79">
        <v>175</v>
      </c>
      <c r="FA79" t="s">
        <v>171</v>
      </c>
      <c r="FB79" t="s">
        <v>171</v>
      </c>
      <c r="FC79" t="s">
        <v>171</v>
      </c>
      <c r="FD79" t="s">
        <v>171</v>
      </c>
      <c r="FE79" s="152">
        <v>8.1868997105982206</v>
      </c>
      <c r="FF79" t="s">
        <v>205</v>
      </c>
      <c r="FG79" s="144" t="s">
        <v>171</v>
      </c>
      <c r="FH79" s="144" t="s">
        <v>171</v>
      </c>
      <c r="FI79" s="153">
        <v>263.75019159999999</v>
      </c>
      <c r="FJ79">
        <v>21</v>
      </c>
      <c r="FK79" t="s">
        <v>207</v>
      </c>
      <c r="FL79" s="160">
        <v>242.75019159999999</v>
      </c>
      <c r="FM79" s="161">
        <v>36.766680271343034</v>
      </c>
      <c r="FN79" s="161">
        <v>35.214065905580981</v>
      </c>
      <c r="FO79" t="s">
        <v>186</v>
      </c>
      <c r="FP79" t="s">
        <v>208</v>
      </c>
      <c r="FQ79" t="s">
        <v>171</v>
      </c>
      <c r="FR79" t="s">
        <v>171</v>
      </c>
      <c r="FS79" t="s">
        <v>171</v>
      </c>
      <c r="FT79" t="s">
        <v>171</v>
      </c>
      <c r="FU79" t="s">
        <v>171</v>
      </c>
      <c r="FV79" t="s">
        <v>171</v>
      </c>
      <c r="FW79" t="s">
        <v>171</v>
      </c>
      <c r="FX79" t="s">
        <v>171</v>
      </c>
      <c r="FY79" t="s">
        <v>171</v>
      </c>
      <c r="FZ79" t="s">
        <v>171</v>
      </c>
      <c r="GA79" t="s">
        <v>171</v>
      </c>
      <c r="GB79" t="s">
        <v>171</v>
      </c>
    </row>
    <row r="80" spans="1:184" ht="16" x14ac:dyDescent="0.2">
      <c r="A80" t="s">
        <v>217</v>
      </c>
      <c r="B80" s="143" t="s">
        <v>216</v>
      </c>
      <c r="C80" s="138" t="s">
        <v>212</v>
      </c>
      <c r="D80" t="s">
        <v>211</v>
      </c>
      <c r="E80">
        <v>2017</v>
      </c>
      <c r="F80" t="str">
        <f t="shared" si="21"/>
        <v>10.1073/pnas.1702143114</v>
      </c>
      <c r="G80" s="147">
        <f t="shared" si="22"/>
        <v>1127.81</v>
      </c>
      <c r="H80">
        <f t="shared" si="18"/>
        <v>6</v>
      </c>
      <c r="I80">
        <f t="shared" si="19"/>
        <v>6</v>
      </c>
      <c r="J80" s="153">
        <f t="shared" si="23"/>
        <v>241.55714459999999</v>
      </c>
      <c r="K80" s="153">
        <f t="shared" si="24"/>
        <v>36.527146339345023</v>
      </c>
      <c r="L80" s="153">
        <f t="shared" si="25"/>
        <v>35.195127459437998</v>
      </c>
      <c r="M80" t="b">
        <v>1</v>
      </c>
      <c r="N80">
        <v>3</v>
      </c>
      <c r="O80" s="144" t="s">
        <v>228</v>
      </c>
      <c r="P80" s="144" t="s">
        <v>229</v>
      </c>
      <c r="Q80" t="b">
        <v>0</v>
      </c>
      <c r="R80" t="s">
        <v>214</v>
      </c>
      <c r="S80" t="b">
        <v>1</v>
      </c>
      <c r="T80" t="b">
        <v>0</v>
      </c>
      <c r="U80" t="s">
        <v>171</v>
      </c>
      <c r="V80" t="s">
        <v>171</v>
      </c>
      <c r="W80" t="b">
        <v>0</v>
      </c>
      <c r="X80" t="s">
        <v>171</v>
      </c>
      <c r="Y80" s="139" t="s">
        <v>167</v>
      </c>
      <c r="Z80" s="143" t="s">
        <v>168</v>
      </c>
      <c r="AA80" t="s">
        <v>169</v>
      </c>
      <c r="AB80" s="157" t="s">
        <v>210</v>
      </c>
      <c r="AC80" s="157">
        <v>5</v>
      </c>
      <c r="AD80" s="157">
        <v>1</v>
      </c>
      <c r="AE80" s="158">
        <v>123</v>
      </c>
      <c r="AF80" s="158">
        <f t="shared" si="15"/>
        <v>125</v>
      </c>
      <c r="AG80" s="159">
        <v>37.33</v>
      </c>
      <c r="AH80" s="159">
        <v>37.33</v>
      </c>
      <c r="AI80" t="s">
        <v>171</v>
      </c>
      <c r="AJ80" t="s">
        <v>172</v>
      </c>
      <c r="AK80" s="146">
        <v>12.74</v>
      </c>
      <c r="AL80" s="146">
        <v>-78.739999999999995</v>
      </c>
      <c r="AM80" t="s">
        <v>171</v>
      </c>
      <c r="AN80" t="s">
        <v>171</v>
      </c>
      <c r="AO80">
        <v>-2839</v>
      </c>
      <c r="AP80" t="s">
        <v>171</v>
      </c>
      <c r="AQ80" t="s">
        <v>171</v>
      </c>
      <c r="AR80" t="s">
        <v>171</v>
      </c>
      <c r="AS80">
        <v>1127.81</v>
      </c>
      <c r="AT80" t="s">
        <v>173</v>
      </c>
      <c r="AU80">
        <v>6</v>
      </c>
      <c r="AV80">
        <v>6</v>
      </c>
      <c r="AW80" t="s">
        <v>171</v>
      </c>
      <c r="AX80" t="s">
        <v>174</v>
      </c>
      <c r="AY80" t="s">
        <v>171</v>
      </c>
      <c r="AZ80" t="s">
        <v>171</v>
      </c>
      <c r="BA80" t="s">
        <v>171</v>
      </c>
      <c r="BB80" t="s">
        <v>171</v>
      </c>
      <c r="BC80" t="s">
        <v>171</v>
      </c>
      <c r="BD80" t="s">
        <v>171</v>
      </c>
      <c r="BE80" t="s">
        <v>171</v>
      </c>
      <c r="BF80" t="s">
        <v>171</v>
      </c>
      <c r="BG80" t="s">
        <v>175</v>
      </c>
      <c r="BH80" t="s">
        <v>176</v>
      </c>
      <c r="BI80" t="s">
        <v>177</v>
      </c>
      <c r="BJ80" s="142">
        <v>2</v>
      </c>
      <c r="BK80" t="s">
        <v>178</v>
      </c>
      <c r="BL80" t="s">
        <v>179</v>
      </c>
      <c r="BM80" t="s">
        <v>180</v>
      </c>
      <c r="BN80" t="s">
        <v>171</v>
      </c>
      <c r="BO80" s="142">
        <v>2</v>
      </c>
      <c r="BP80" s="144" t="s">
        <v>171</v>
      </c>
      <c r="BQ80" s="149">
        <v>20.631648850000001</v>
      </c>
      <c r="BR80" t="s">
        <v>181</v>
      </c>
      <c r="BS80" s="149">
        <v>0.220123392</v>
      </c>
      <c r="BT80">
        <v>0.64</v>
      </c>
      <c r="BU80" t="s">
        <v>182</v>
      </c>
      <c r="BV80">
        <v>3.4000000000000002E-2</v>
      </c>
      <c r="BW80">
        <v>9.1</v>
      </c>
      <c r="BX80" t="s">
        <v>173</v>
      </c>
      <c r="BY80">
        <v>0.56000000000000005</v>
      </c>
      <c r="BZ80" t="s">
        <v>183</v>
      </c>
      <c r="CA80" t="s">
        <v>184</v>
      </c>
      <c r="CB80" s="148">
        <f t="shared" si="20"/>
        <v>19.602748083333339</v>
      </c>
      <c r="CC80" s="144" t="s">
        <v>185</v>
      </c>
      <c r="CD80" s="144" t="s">
        <v>171</v>
      </c>
      <c r="CE80" s="144" t="s">
        <v>171</v>
      </c>
      <c r="CF80" t="s">
        <v>186</v>
      </c>
      <c r="CG80" s="144">
        <v>10</v>
      </c>
      <c r="CH80" s="144" t="s">
        <v>187</v>
      </c>
      <c r="CI80" s="144" t="s">
        <v>171</v>
      </c>
      <c r="CJ80" s="147">
        <v>24.88153981</v>
      </c>
      <c r="CK80" t="s">
        <v>173</v>
      </c>
      <c r="CL80">
        <v>3</v>
      </c>
      <c r="CM80">
        <v>3</v>
      </c>
      <c r="CN80" t="s">
        <v>171</v>
      </c>
      <c r="CO80" s="149">
        <v>3.4482894569759326</v>
      </c>
      <c r="CP80" t="s">
        <v>188</v>
      </c>
      <c r="CQ80" s="149">
        <f t="shared" si="16"/>
        <v>0.13793157827903732</v>
      </c>
      <c r="CR80" s="149">
        <v>0.13793157827903732</v>
      </c>
      <c r="CS80" s="150" t="s">
        <v>171</v>
      </c>
      <c r="CT80" t="s">
        <v>189</v>
      </c>
      <c r="CU80" t="s">
        <v>171</v>
      </c>
      <c r="CV80" t="s">
        <v>190</v>
      </c>
      <c r="CW80" t="s">
        <v>191</v>
      </c>
      <c r="CX80" t="s">
        <v>191</v>
      </c>
      <c r="CY80" t="s">
        <v>191</v>
      </c>
      <c r="CZ80" t="s">
        <v>171</v>
      </c>
      <c r="DA80" t="s">
        <v>171</v>
      </c>
      <c r="DB80" t="s">
        <v>171</v>
      </c>
      <c r="DC80" t="s">
        <v>171</v>
      </c>
      <c r="DD80" t="s">
        <v>171</v>
      </c>
      <c r="DE80" t="s">
        <v>171</v>
      </c>
      <c r="DF80" t="s">
        <v>171</v>
      </c>
      <c r="DG80">
        <v>35</v>
      </c>
      <c r="DH80" t="s">
        <v>185</v>
      </c>
      <c r="DI80" s="142">
        <v>3</v>
      </c>
      <c r="DJ80" s="144" t="s">
        <v>192</v>
      </c>
      <c r="DK80" s="144" t="s">
        <v>171</v>
      </c>
      <c r="DL80" s="144" t="s">
        <v>171</v>
      </c>
      <c r="DM80" s="144" t="s">
        <v>171</v>
      </c>
      <c r="DN80" s="144" t="s">
        <v>171</v>
      </c>
      <c r="DO80" s="144" t="s">
        <v>171</v>
      </c>
      <c r="DP80" s="144" t="s">
        <v>171</v>
      </c>
      <c r="DQ80" s="144" t="s">
        <v>171</v>
      </c>
      <c r="DR80" s="144" t="s">
        <v>171</v>
      </c>
      <c r="DS80" s="144" t="s">
        <v>171</v>
      </c>
      <c r="DT80" s="144" t="s">
        <v>171</v>
      </c>
      <c r="DU80" s="144" t="s">
        <v>171</v>
      </c>
      <c r="DV80" s="144" t="s">
        <v>171</v>
      </c>
      <c r="DW80" s="147">
        <v>432.56244218316402</v>
      </c>
      <c r="DX80" t="s">
        <v>193</v>
      </c>
      <c r="DY80">
        <v>37.1</v>
      </c>
      <c r="DZ80" t="s">
        <v>194</v>
      </c>
      <c r="EA80">
        <v>39.61</v>
      </c>
      <c r="EB80" t="s">
        <v>185</v>
      </c>
      <c r="EC80" s="149">
        <f t="shared" si="17"/>
        <v>0.212781</v>
      </c>
      <c r="ED80" t="s">
        <v>195</v>
      </c>
      <c r="EE80" t="s">
        <v>196</v>
      </c>
      <c r="EF80" t="s">
        <v>197</v>
      </c>
      <c r="EG80">
        <v>1.0271999999999999</v>
      </c>
      <c r="EH80" t="s">
        <v>171</v>
      </c>
      <c r="EI80" t="s">
        <v>171</v>
      </c>
      <c r="EJ80" t="s">
        <v>198</v>
      </c>
      <c r="EK80" t="s">
        <v>191</v>
      </c>
      <c r="EL80" t="s">
        <v>191</v>
      </c>
      <c r="EM80" t="s">
        <v>199</v>
      </c>
      <c r="EN80" t="s">
        <v>200</v>
      </c>
      <c r="EO80" s="151" t="s">
        <v>201</v>
      </c>
      <c r="EP80" s="151" t="s">
        <v>201</v>
      </c>
      <c r="EQ80" s="144" t="s">
        <v>171</v>
      </c>
      <c r="ER80" s="144" t="s">
        <v>171</v>
      </c>
      <c r="ES80" s="144" t="s">
        <v>171</v>
      </c>
      <c r="ET80" t="s">
        <v>202</v>
      </c>
      <c r="EU80" t="s">
        <v>203</v>
      </c>
      <c r="EV80" t="s">
        <v>171</v>
      </c>
      <c r="EW80">
        <v>2407</v>
      </c>
      <c r="EX80" s="151" t="s">
        <v>204</v>
      </c>
      <c r="EY80" s="151">
        <v>175</v>
      </c>
      <c r="EZ80">
        <v>175</v>
      </c>
      <c r="FA80" t="s">
        <v>171</v>
      </c>
      <c r="FB80" t="s">
        <v>171</v>
      </c>
      <c r="FC80" t="s">
        <v>171</v>
      </c>
      <c r="FD80" t="s">
        <v>171</v>
      </c>
      <c r="FE80" s="152">
        <v>8.18845375612322</v>
      </c>
      <c r="FF80" t="s">
        <v>205</v>
      </c>
      <c r="FG80" s="144" t="s">
        <v>171</v>
      </c>
      <c r="FH80" s="144" t="s">
        <v>171</v>
      </c>
      <c r="FI80" s="153">
        <v>262.55714460000002</v>
      </c>
      <c r="FJ80">
        <v>21</v>
      </c>
      <c r="FK80" t="s">
        <v>207</v>
      </c>
      <c r="FL80" s="160">
        <v>241.55714459999999</v>
      </c>
      <c r="FM80" s="161">
        <v>36.527146339345023</v>
      </c>
      <c r="FN80" s="161">
        <v>35.195127459437998</v>
      </c>
      <c r="FO80" t="s">
        <v>186</v>
      </c>
      <c r="FP80" t="s">
        <v>208</v>
      </c>
      <c r="FQ80" t="s">
        <v>171</v>
      </c>
      <c r="FR80" t="s">
        <v>171</v>
      </c>
      <c r="FS80" t="s">
        <v>171</v>
      </c>
      <c r="FT80" t="s">
        <v>171</v>
      </c>
      <c r="FU80" t="s">
        <v>171</v>
      </c>
      <c r="FV80" t="s">
        <v>171</v>
      </c>
      <c r="FW80" t="s">
        <v>171</v>
      </c>
      <c r="FX80" t="s">
        <v>171</v>
      </c>
      <c r="FY80" t="s">
        <v>171</v>
      </c>
      <c r="FZ80" t="s">
        <v>171</v>
      </c>
      <c r="GA80" t="s">
        <v>171</v>
      </c>
      <c r="GB80" t="s">
        <v>171</v>
      </c>
    </row>
    <row r="81" spans="1:184" ht="16" x14ac:dyDescent="0.2">
      <c r="A81" t="s">
        <v>217</v>
      </c>
      <c r="B81" s="143" t="s">
        <v>216</v>
      </c>
      <c r="C81" s="138" t="s">
        <v>212</v>
      </c>
      <c r="D81" t="s">
        <v>211</v>
      </c>
      <c r="E81">
        <v>2017</v>
      </c>
      <c r="F81" t="str">
        <f t="shared" si="21"/>
        <v>10.1073/pnas.1702143114</v>
      </c>
      <c r="G81" s="147">
        <f t="shared" si="22"/>
        <v>1130.97</v>
      </c>
      <c r="H81">
        <f t="shared" si="18"/>
        <v>6</v>
      </c>
      <c r="I81">
        <f t="shared" si="19"/>
        <v>6</v>
      </c>
      <c r="J81" s="153">
        <f t="shared" si="23"/>
        <v>246.5238334</v>
      </c>
      <c r="K81" s="153">
        <f t="shared" si="24"/>
        <v>36.04957404084098</v>
      </c>
      <c r="L81" s="153">
        <f t="shared" si="25"/>
        <v>34.839578191182</v>
      </c>
      <c r="M81" t="b">
        <v>1</v>
      </c>
      <c r="N81">
        <v>3</v>
      </c>
      <c r="O81" s="144" t="s">
        <v>228</v>
      </c>
      <c r="P81" s="144" t="s">
        <v>229</v>
      </c>
      <c r="Q81" t="b">
        <v>0</v>
      </c>
      <c r="R81" t="s">
        <v>214</v>
      </c>
      <c r="S81" t="b">
        <v>1</v>
      </c>
      <c r="T81" t="b">
        <v>0</v>
      </c>
      <c r="U81" t="s">
        <v>171</v>
      </c>
      <c r="V81" t="s">
        <v>171</v>
      </c>
      <c r="W81" t="b">
        <v>0</v>
      </c>
      <c r="X81" t="s">
        <v>171</v>
      </c>
      <c r="Y81" s="139" t="s">
        <v>167</v>
      </c>
      <c r="Z81" s="143" t="s">
        <v>168</v>
      </c>
      <c r="AA81" t="s">
        <v>169</v>
      </c>
      <c r="AB81" s="157" t="s">
        <v>210</v>
      </c>
      <c r="AC81" s="157">
        <v>5</v>
      </c>
      <c r="AD81" s="157">
        <v>1</v>
      </c>
      <c r="AE81" s="158">
        <v>132</v>
      </c>
      <c r="AF81" s="158">
        <f t="shared" si="15"/>
        <v>134</v>
      </c>
      <c r="AG81" s="159">
        <v>37.42</v>
      </c>
      <c r="AH81" s="159">
        <v>37.42</v>
      </c>
      <c r="AI81" t="s">
        <v>171</v>
      </c>
      <c r="AJ81" t="s">
        <v>172</v>
      </c>
      <c r="AK81" s="146">
        <v>12.74</v>
      </c>
      <c r="AL81" s="146">
        <v>-78.739999999999995</v>
      </c>
      <c r="AM81" t="s">
        <v>171</v>
      </c>
      <c r="AN81" t="s">
        <v>171</v>
      </c>
      <c r="AO81">
        <v>-2839</v>
      </c>
      <c r="AP81" t="s">
        <v>171</v>
      </c>
      <c r="AQ81" t="s">
        <v>171</v>
      </c>
      <c r="AR81" t="s">
        <v>171</v>
      </c>
      <c r="AS81">
        <v>1130.97</v>
      </c>
      <c r="AT81" t="s">
        <v>173</v>
      </c>
      <c r="AU81">
        <v>6</v>
      </c>
      <c r="AV81">
        <v>6</v>
      </c>
      <c r="AW81" t="s">
        <v>171</v>
      </c>
      <c r="AX81" t="s">
        <v>174</v>
      </c>
      <c r="AY81" t="s">
        <v>171</v>
      </c>
      <c r="AZ81" t="s">
        <v>171</v>
      </c>
      <c r="BA81" t="s">
        <v>171</v>
      </c>
      <c r="BB81" t="s">
        <v>171</v>
      </c>
      <c r="BC81" t="s">
        <v>171</v>
      </c>
      <c r="BD81" t="s">
        <v>171</v>
      </c>
      <c r="BE81" t="s">
        <v>171</v>
      </c>
      <c r="BF81" t="s">
        <v>171</v>
      </c>
      <c r="BG81" t="s">
        <v>175</v>
      </c>
      <c r="BH81" t="s">
        <v>176</v>
      </c>
      <c r="BI81" t="s">
        <v>177</v>
      </c>
      <c r="BJ81" s="142">
        <v>2</v>
      </c>
      <c r="BK81" t="s">
        <v>178</v>
      </c>
      <c r="BL81" t="s">
        <v>179</v>
      </c>
      <c r="BM81" t="s">
        <v>180</v>
      </c>
      <c r="BN81" t="s">
        <v>171</v>
      </c>
      <c r="BO81" s="142">
        <v>2</v>
      </c>
      <c r="BP81" s="144" t="s">
        <v>171</v>
      </c>
      <c r="BQ81" s="149">
        <v>20.633755820000001</v>
      </c>
      <c r="BR81" t="s">
        <v>181</v>
      </c>
      <c r="BS81" s="149">
        <v>0.162198646</v>
      </c>
      <c r="BT81">
        <v>0.64</v>
      </c>
      <c r="BU81" t="s">
        <v>182</v>
      </c>
      <c r="BV81">
        <v>3.4000000000000002E-2</v>
      </c>
      <c r="BW81">
        <v>9.1</v>
      </c>
      <c r="BX81" t="s">
        <v>173</v>
      </c>
      <c r="BY81">
        <v>0.56000000000000005</v>
      </c>
      <c r="BZ81" t="s">
        <v>183</v>
      </c>
      <c r="CA81" t="s">
        <v>184</v>
      </c>
      <c r="CB81" s="148">
        <f t="shared" si="20"/>
        <v>19.606259700000003</v>
      </c>
      <c r="CC81" s="144" t="s">
        <v>185</v>
      </c>
      <c r="CD81" s="144" t="s">
        <v>171</v>
      </c>
      <c r="CE81" s="144" t="s">
        <v>171</v>
      </c>
      <c r="CF81" t="s">
        <v>186</v>
      </c>
      <c r="CG81" s="144">
        <v>10</v>
      </c>
      <c r="CH81" s="144" t="s">
        <v>187</v>
      </c>
      <c r="CI81" s="144" t="s">
        <v>171</v>
      </c>
      <c r="CJ81" s="147">
        <v>25.535231769999999</v>
      </c>
      <c r="CK81" t="s">
        <v>173</v>
      </c>
      <c r="CL81">
        <v>3</v>
      </c>
      <c r="CM81">
        <v>3</v>
      </c>
      <c r="CN81" t="s">
        <v>171</v>
      </c>
      <c r="CO81" s="149">
        <v>3.6760776998066587</v>
      </c>
      <c r="CP81" t="s">
        <v>188</v>
      </c>
      <c r="CQ81" s="149">
        <f t="shared" si="16"/>
        <v>0.14704310799226636</v>
      </c>
      <c r="CR81" s="149">
        <v>0.14704310799226636</v>
      </c>
      <c r="CS81" s="150" t="s">
        <v>171</v>
      </c>
      <c r="CT81" t="s">
        <v>189</v>
      </c>
      <c r="CU81" t="s">
        <v>171</v>
      </c>
      <c r="CV81" t="s">
        <v>190</v>
      </c>
      <c r="CW81" t="s">
        <v>191</v>
      </c>
      <c r="CX81" t="s">
        <v>191</v>
      </c>
      <c r="CY81" t="s">
        <v>191</v>
      </c>
      <c r="CZ81" t="s">
        <v>171</v>
      </c>
      <c r="DA81" t="s">
        <v>171</v>
      </c>
      <c r="DB81" t="s">
        <v>171</v>
      </c>
      <c r="DC81" t="s">
        <v>171</v>
      </c>
      <c r="DD81" t="s">
        <v>171</v>
      </c>
      <c r="DE81" t="s">
        <v>171</v>
      </c>
      <c r="DF81" t="s">
        <v>171</v>
      </c>
      <c r="DG81">
        <v>35</v>
      </c>
      <c r="DH81" t="s">
        <v>185</v>
      </c>
      <c r="DI81" s="142">
        <v>3</v>
      </c>
      <c r="DJ81" s="144" t="s">
        <v>192</v>
      </c>
      <c r="DK81" s="144" t="s">
        <v>171</v>
      </c>
      <c r="DL81" s="144" t="s">
        <v>171</v>
      </c>
      <c r="DM81" s="144" t="s">
        <v>171</v>
      </c>
      <c r="DN81" s="144" t="s">
        <v>171</v>
      </c>
      <c r="DO81" s="144" t="s">
        <v>171</v>
      </c>
      <c r="DP81" s="144" t="s">
        <v>171</v>
      </c>
      <c r="DQ81" s="144" t="s">
        <v>171</v>
      </c>
      <c r="DR81" s="144" t="s">
        <v>171</v>
      </c>
      <c r="DS81" s="144" t="s">
        <v>171</v>
      </c>
      <c r="DT81" s="144" t="s">
        <v>171</v>
      </c>
      <c r="DU81" s="144" t="s">
        <v>171</v>
      </c>
      <c r="DV81" s="144" t="s">
        <v>171</v>
      </c>
      <c r="DW81" s="147">
        <v>432.56244218316402</v>
      </c>
      <c r="DX81" t="s">
        <v>193</v>
      </c>
      <c r="DY81">
        <v>37.1</v>
      </c>
      <c r="DZ81" t="s">
        <v>194</v>
      </c>
      <c r="EA81">
        <v>39.61</v>
      </c>
      <c r="EB81" t="s">
        <v>185</v>
      </c>
      <c r="EC81" s="149">
        <f t="shared" si="17"/>
        <v>0.21309700000000001</v>
      </c>
      <c r="ED81" t="s">
        <v>195</v>
      </c>
      <c r="EE81" t="s">
        <v>196</v>
      </c>
      <c r="EF81" t="s">
        <v>197</v>
      </c>
      <c r="EG81">
        <v>1.0271999999999999</v>
      </c>
      <c r="EH81" t="s">
        <v>171</v>
      </c>
      <c r="EI81" t="s">
        <v>171</v>
      </c>
      <c r="EJ81" t="s">
        <v>198</v>
      </c>
      <c r="EK81" t="s">
        <v>191</v>
      </c>
      <c r="EL81" t="s">
        <v>191</v>
      </c>
      <c r="EM81" t="s">
        <v>199</v>
      </c>
      <c r="EN81" t="s">
        <v>200</v>
      </c>
      <c r="EO81" s="151" t="s">
        <v>201</v>
      </c>
      <c r="EP81" s="151" t="s">
        <v>201</v>
      </c>
      <c r="EQ81" s="144" t="s">
        <v>171</v>
      </c>
      <c r="ER81" s="144" t="s">
        <v>171</v>
      </c>
      <c r="ES81" s="144" t="s">
        <v>171</v>
      </c>
      <c r="ET81" t="s">
        <v>202</v>
      </c>
      <c r="EU81" t="s">
        <v>203</v>
      </c>
      <c r="EV81" t="s">
        <v>171</v>
      </c>
      <c r="EW81">
        <v>2408</v>
      </c>
      <c r="EX81" s="151" t="s">
        <v>204</v>
      </c>
      <c r="EY81" s="151">
        <v>175</v>
      </c>
      <c r="EZ81">
        <v>175</v>
      </c>
      <c r="FA81" t="s">
        <v>171</v>
      </c>
      <c r="FB81" t="s">
        <v>171</v>
      </c>
      <c r="FC81" t="s">
        <v>171</v>
      </c>
      <c r="FD81" t="s">
        <v>171</v>
      </c>
      <c r="FE81" s="152">
        <v>8.1810477928629997</v>
      </c>
      <c r="FF81" t="s">
        <v>205</v>
      </c>
      <c r="FG81" s="144" t="s">
        <v>171</v>
      </c>
      <c r="FH81" s="144" t="s">
        <v>171</v>
      </c>
      <c r="FI81" s="153">
        <v>267.5238334</v>
      </c>
      <c r="FJ81">
        <v>21</v>
      </c>
      <c r="FK81" t="s">
        <v>207</v>
      </c>
      <c r="FL81" s="160">
        <v>246.5238334</v>
      </c>
      <c r="FM81" s="161">
        <v>36.04957404084098</v>
      </c>
      <c r="FN81" s="161">
        <v>34.839578191182</v>
      </c>
      <c r="FO81" t="s">
        <v>186</v>
      </c>
      <c r="FP81" t="s">
        <v>208</v>
      </c>
      <c r="FQ81" t="s">
        <v>171</v>
      </c>
      <c r="FR81" t="s">
        <v>171</v>
      </c>
      <c r="FS81" t="s">
        <v>171</v>
      </c>
      <c r="FT81" t="s">
        <v>171</v>
      </c>
      <c r="FU81" t="s">
        <v>171</v>
      </c>
      <c r="FV81" t="s">
        <v>171</v>
      </c>
      <c r="FW81" t="s">
        <v>171</v>
      </c>
      <c r="FX81" t="s">
        <v>171</v>
      </c>
      <c r="FY81" t="s">
        <v>171</v>
      </c>
      <c r="FZ81" t="s">
        <v>171</v>
      </c>
      <c r="GA81" t="s">
        <v>171</v>
      </c>
      <c r="GB81" t="s">
        <v>171</v>
      </c>
    </row>
    <row r="82" spans="1:184" ht="16" x14ac:dyDescent="0.2">
      <c r="A82" t="s">
        <v>217</v>
      </c>
      <c r="B82" s="143" t="s">
        <v>216</v>
      </c>
      <c r="C82" s="138" t="s">
        <v>212</v>
      </c>
      <c r="D82" t="s">
        <v>211</v>
      </c>
      <c r="E82">
        <v>2017</v>
      </c>
      <c r="F82" t="str">
        <f t="shared" si="21"/>
        <v>10.1073/pnas.1702143114</v>
      </c>
      <c r="G82" s="147">
        <f t="shared" si="22"/>
        <v>1136.57</v>
      </c>
      <c r="H82">
        <f t="shared" si="18"/>
        <v>6</v>
      </c>
      <c r="I82">
        <f t="shared" si="19"/>
        <v>6</v>
      </c>
      <c r="J82" s="153">
        <f t="shared" si="23"/>
        <v>292.22401189999999</v>
      </c>
      <c r="K82" s="153">
        <f t="shared" si="24"/>
        <v>40.855489154011991</v>
      </c>
      <c r="L82" s="153">
        <f t="shared" si="25"/>
        <v>38.69439636007499</v>
      </c>
      <c r="M82" t="b">
        <v>1</v>
      </c>
      <c r="N82">
        <v>3</v>
      </c>
      <c r="O82" s="144" t="s">
        <v>228</v>
      </c>
      <c r="P82" s="144" t="s">
        <v>229</v>
      </c>
      <c r="Q82" t="b">
        <v>0</v>
      </c>
      <c r="R82" t="s">
        <v>214</v>
      </c>
      <c r="S82" t="b">
        <v>1</v>
      </c>
      <c r="T82" t="b">
        <v>0</v>
      </c>
      <c r="U82" t="s">
        <v>171</v>
      </c>
      <c r="V82" t="s">
        <v>171</v>
      </c>
      <c r="W82" t="b">
        <v>0</v>
      </c>
      <c r="X82" t="s">
        <v>171</v>
      </c>
      <c r="Y82" s="139" t="s">
        <v>167</v>
      </c>
      <c r="Z82" s="143" t="s">
        <v>168</v>
      </c>
      <c r="AA82" t="s">
        <v>169</v>
      </c>
      <c r="AB82" s="157" t="s">
        <v>210</v>
      </c>
      <c r="AC82" s="157">
        <v>5</v>
      </c>
      <c r="AD82" s="157">
        <v>1</v>
      </c>
      <c r="AE82" s="158">
        <v>148</v>
      </c>
      <c r="AF82" s="158">
        <f t="shared" si="15"/>
        <v>150</v>
      </c>
      <c r="AG82" s="159">
        <v>37.58</v>
      </c>
      <c r="AH82" s="159">
        <v>37.58</v>
      </c>
      <c r="AI82" t="s">
        <v>171</v>
      </c>
      <c r="AJ82" t="s">
        <v>172</v>
      </c>
      <c r="AK82" s="146">
        <v>12.74</v>
      </c>
      <c r="AL82" s="146">
        <v>-78.739999999999995</v>
      </c>
      <c r="AM82" t="s">
        <v>171</v>
      </c>
      <c r="AN82" t="s">
        <v>171</v>
      </c>
      <c r="AO82">
        <v>-2839</v>
      </c>
      <c r="AP82" t="s">
        <v>171</v>
      </c>
      <c r="AQ82" t="s">
        <v>171</v>
      </c>
      <c r="AR82" t="s">
        <v>171</v>
      </c>
      <c r="AS82">
        <v>1136.57</v>
      </c>
      <c r="AT82" t="s">
        <v>173</v>
      </c>
      <c r="AU82">
        <v>6</v>
      </c>
      <c r="AV82">
        <v>6</v>
      </c>
      <c r="AW82" t="s">
        <v>171</v>
      </c>
      <c r="AX82" t="s">
        <v>174</v>
      </c>
      <c r="AY82" t="s">
        <v>171</v>
      </c>
      <c r="AZ82" t="s">
        <v>171</v>
      </c>
      <c r="BA82" t="s">
        <v>171</v>
      </c>
      <c r="BB82" t="s">
        <v>171</v>
      </c>
      <c r="BC82" t="s">
        <v>171</v>
      </c>
      <c r="BD82" t="s">
        <v>171</v>
      </c>
      <c r="BE82" t="s">
        <v>171</v>
      </c>
      <c r="BF82" t="s">
        <v>171</v>
      </c>
      <c r="BG82" t="s">
        <v>175</v>
      </c>
      <c r="BH82" t="s">
        <v>176</v>
      </c>
      <c r="BI82" t="s">
        <v>177</v>
      </c>
      <c r="BJ82" s="142">
        <v>2</v>
      </c>
      <c r="BK82" t="s">
        <v>178</v>
      </c>
      <c r="BL82" t="s">
        <v>179</v>
      </c>
      <c r="BM82" t="s">
        <v>180</v>
      </c>
      <c r="BN82" t="s">
        <v>171</v>
      </c>
      <c r="BO82" s="142">
        <v>2</v>
      </c>
      <c r="BP82" s="144" t="s">
        <v>171</v>
      </c>
      <c r="BQ82" s="149">
        <v>20.23242814</v>
      </c>
      <c r="BR82" t="s">
        <v>181</v>
      </c>
      <c r="BS82" s="149">
        <v>0.15004474400000001</v>
      </c>
      <c r="BT82">
        <v>0.64</v>
      </c>
      <c r="BU82" t="s">
        <v>182</v>
      </c>
      <c r="BV82">
        <v>3.4000000000000002E-2</v>
      </c>
      <c r="BW82">
        <v>9.1</v>
      </c>
      <c r="BX82" t="s">
        <v>173</v>
      </c>
      <c r="BY82">
        <v>0.56000000000000005</v>
      </c>
      <c r="BZ82" t="s">
        <v>183</v>
      </c>
      <c r="CA82" t="s">
        <v>184</v>
      </c>
      <c r="CB82" s="148">
        <f t="shared" si="20"/>
        <v>18.937380233333336</v>
      </c>
      <c r="CC82" s="144" t="s">
        <v>185</v>
      </c>
      <c r="CD82" s="144" t="s">
        <v>171</v>
      </c>
      <c r="CE82" s="144" t="s">
        <v>171</v>
      </c>
      <c r="CF82" t="s">
        <v>186</v>
      </c>
      <c r="CG82" s="144">
        <v>10</v>
      </c>
      <c r="CH82" s="144" t="s">
        <v>187</v>
      </c>
      <c r="CI82" s="144" t="s">
        <v>171</v>
      </c>
      <c r="CJ82" s="147">
        <v>25.31786885</v>
      </c>
      <c r="CK82" t="s">
        <v>173</v>
      </c>
      <c r="CL82">
        <v>3</v>
      </c>
      <c r="CM82">
        <v>3</v>
      </c>
      <c r="CN82" t="s">
        <v>171</v>
      </c>
      <c r="CO82" s="149">
        <v>3.6323095448875868</v>
      </c>
      <c r="CP82" t="s">
        <v>188</v>
      </c>
      <c r="CQ82" s="149">
        <f t="shared" si="16"/>
        <v>0.14529238179550347</v>
      </c>
      <c r="CR82" s="149">
        <v>0.14529238179550347</v>
      </c>
      <c r="CS82" s="150" t="s">
        <v>171</v>
      </c>
      <c r="CT82" t="s">
        <v>189</v>
      </c>
      <c r="CU82" t="s">
        <v>171</v>
      </c>
      <c r="CV82" t="s">
        <v>190</v>
      </c>
      <c r="CW82" t="s">
        <v>191</v>
      </c>
      <c r="CX82" t="s">
        <v>191</v>
      </c>
      <c r="CY82" t="s">
        <v>191</v>
      </c>
      <c r="CZ82" t="s">
        <v>171</v>
      </c>
      <c r="DA82" t="s">
        <v>171</v>
      </c>
      <c r="DB82" t="s">
        <v>171</v>
      </c>
      <c r="DC82" t="s">
        <v>171</v>
      </c>
      <c r="DD82" t="s">
        <v>171</v>
      </c>
      <c r="DE82" t="s">
        <v>171</v>
      </c>
      <c r="DF82" t="s">
        <v>171</v>
      </c>
      <c r="DG82">
        <v>35</v>
      </c>
      <c r="DH82" t="s">
        <v>185</v>
      </c>
      <c r="DI82" s="142">
        <v>3</v>
      </c>
      <c r="DJ82" s="144" t="s">
        <v>192</v>
      </c>
      <c r="DK82" s="144" t="s">
        <v>171</v>
      </c>
      <c r="DL82" s="144" t="s">
        <v>171</v>
      </c>
      <c r="DM82" s="144" t="s">
        <v>171</v>
      </c>
      <c r="DN82" s="144" t="s">
        <v>171</v>
      </c>
      <c r="DO82" s="144" t="s">
        <v>171</v>
      </c>
      <c r="DP82" s="144" t="s">
        <v>171</v>
      </c>
      <c r="DQ82" s="144" t="s">
        <v>171</v>
      </c>
      <c r="DR82" s="144" t="s">
        <v>171</v>
      </c>
      <c r="DS82" s="144" t="s">
        <v>171</v>
      </c>
      <c r="DT82" s="144" t="s">
        <v>171</v>
      </c>
      <c r="DU82" s="144" t="s">
        <v>171</v>
      </c>
      <c r="DV82" s="144" t="s">
        <v>171</v>
      </c>
      <c r="DW82" s="147">
        <v>432.56244218316402</v>
      </c>
      <c r="DX82" t="s">
        <v>193</v>
      </c>
      <c r="DY82">
        <v>37.1</v>
      </c>
      <c r="DZ82" t="s">
        <v>194</v>
      </c>
      <c r="EA82">
        <v>39.61</v>
      </c>
      <c r="EB82" t="s">
        <v>185</v>
      </c>
      <c r="EC82" s="149">
        <f t="shared" si="17"/>
        <v>0.21365699999999999</v>
      </c>
      <c r="ED82" t="s">
        <v>195</v>
      </c>
      <c r="EE82" t="s">
        <v>196</v>
      </c>
      <c r="EF82" t="s">
        <v>197</v>
      </c>
      <c r="EG82">
        <v>1.0271999999999999</v>
      </c>
      <c r="EH82" t="s">
        <v>171</v>
      </c>
      <c r="EI82" t="s">
        <v>171</v>
      </c>
      <c r="EJ82" t="s">
        <v>198</v>
      </c>
      <c r="EK82" t="s">
        <v>191</v>
      </c>
      <c r="EL82" t="s">
        <v>191</v>
      </c>
      <c r="EM82" t="s">
        <v>199</v>
      </c>
      <c r="EN82" t="s">
        <v>200</v>
      </c>
      <c r="EO82" s="151" t="s">
        <v>201</v>
      </c>
      <c r="EP82" s="151" t="s">
        <v>201</v>
      </c>
      <c r="EQ82" s="144" t="s">
        <v>171</v>
      </c>
      <c r="ER82" s="144" t="s">
        <v>171</v>
      </c>
      <c r="ES82" s="144" t="s">
        <v>171</v>
      </c>
      <c r="ET82" t="s">
        <v>202</v>
      </c>
      <c r="EU82" t="s">
        <v>203</v>
      </c>
      <c r="EV82" t="s">
        <v>171</v>
      </c>
      <c r="EW82">
        <v>2409</v>
      </c>
      <c r="EX82" s="151" t="s">
        <v>204</v>
      </c>
      <c r="EY82" s="151">
        <v>175</v>
      </c>
      <c r="EZ82">
        <v>175</v>
      </c>
      <c r="FA82" t="s">
        <v>171</v>
      </c>
      <c r="FB82" t="s">
        <v>171</v>
      </c>
      <c r="FC82" t="s">
        <v>171</v>
      </c>
      <c r="FD82" t="s">
        <v>171</v>
      </c>
      <c r="FE82" s="152">
        <v>8.1279632123809495</v>
      </c>
      <c r="FF82" t="s">
        <v>205</v>
      </c>
      <c r="FG82" s="144" t="s">
        <v>171</v>
      </c>
      <c r="FH82" s="144" t="s">
        <v>171</v>
      </c>
      <c r="FI82" s="153">
        <v>313.22401189999999</v>
      </c>
      <c r="FJ82">
        <v>21</v>
      </c>
      <c r="FK82" t="s">
        <v>207</v>
      </c>
      <c r="FL82" s="160">
        <v>292.22401189999999</v>
      </c>
      <c r="FM82" s="161">
        <v>40.855489154011991</v>
      </c>
      <c r="FN82" s="161">
        <v>38.69439636007499</v>
      </c>
      <c r="FO82" t="s">
        <v>186</v>
      </c>
      <c r="FP82" t="s">
        <v>208</v>
      </c>
      <c r="FQ82" t="s">
        <v>171</v>
      </c>
      <c r="FR82" t="s">
        <v>171</v>
      </c>
      <c r="FS82" t="s">
        <v>171</v>
      </c>
      <c r="FT82" t="s">
        <v>171</v>
      </c>
      <c r="FU82" t="s">
        <v>171</v>
      </c>
      <c r="FV82" t="s">
        <v>171</v>
      </c>
      <c r="FW82" t="s">
        <v>171</v>
      </c>
      <c r="FX82" t="s">
        <v>171</v>
      </c>
      <c r="FY82" t="s">
        <v>171</v>
      </c>
      <c r="FZ82" t="s">
        <v>171</v>
      </c>
      <c r="GA82" t="s">
        <v>171</v>
      </c>
      <c r="GB82" t="s">
        <v>171</v>
      </c>
    </row>
    <row r="83" spans="1:184" ht="16" x14ac:dyDescent="0.2">
      <c r="A83" t="s">
        <v>217</v>
      </c>
      <c r="B83" s="143" t="s">
        <v>216</v>
      </c>
      <c r="C83" s="138" t="s">
        <v>212</v>
      </c>
      <c r="D83" t="s">
        <v>211</v>
      </c>
      <c r="E83">
        <v>2017</v>
      </c>
      <c r="F83" t="str">
        <f t="shared" si="21"/>
        <v>10.1073/pnas.1702143114</v>
      </c>
      <c r="G83" s="147">
        <f t="shared" si="22"/>
        <v>1140.03</v>
      </c>
      <c r="H83">
        <f t="shared" si="18"/>
        <v>6</v>
      </c>
      <c r="I83">
        <f t="shared" si="19"/>
        <v>6</v>
      </c>
      <c r="J83" s="153">
        <f t="shared" si="23"/>
        <v>308.46774260000001</v>
      </c>
      <c r="K83" s="153">
        <f t="shared" si="24"/>
        <v>45.212316457018972</v>
      </c>
      <c r="L83" s="153">
        <f t="shared" si="25"/>
        <v>42.310123271376028</v>
      </c>
      <c r="M83" t="b">
        <v>1</v>
      </c>
      <c r="N83">
        <v>3</v>
      </c>
      <c r="O83" s="144" t="s">
        <v>228</v>
      </c>
      <c r="P83" s="144" t="s">
        <v>229</v>
      </c>
      <c r="Q83" t="b">
        <v>0</v>
      </c>
      <c r="R83" t="s">
        <v>214</v>
      </c>
      <c r="S83" t="b">
        <v>1</v>
      </c>
      <c r="T83" t="b">
        <v>0</v>
      </c>
      <c r="U83" t="s">
        <v>171</v>
      </c>
      <c r="V83" t="s">
        <v>171</v>
      </c>
      <c r="W83" t="b">
        <v>0</v>
      </c>
      <c r="X83" t="s">
        <v>171</v>
      </c>
      <c r="Y83" s="139" t="s">
        <v>167</v>
      </c>
      <c r="Z83" s="143" t="s">
        <v>168</v>
      </c>
      <c r="AA83" t="s">
        <v>169</v>
      </c>
      <c r="AB83" s="157" t="s">
        <v>210</v>
      </c>
      <c r="AC83" s="157">
        <v>5</v>
      </c>
      <c r="AD83" s="157">
        <v>2</v>
      </c>
      <c r="AE83" s="158">
        <v>7.8864019999996913</v>
      </c>
      <c r="AF83" s="158">
        <f t="shared" si="15"/>
        <v>9.8864019999996913</v>
      </c>
      <c r="AG83" s="159">
        <v>37.678639339999997</v>
      </c>
      <c r="AH83" s="159">
        <v>37.678639339999997</v>
      </c>
      <c r="AI83" t="s">
        <v>171</v>
      </c>
      <c r="AJ83" t="s">
        <v>172</v>
      </c>
      <c r="AK83" s="146">
        <v>12.74</v>
      </c>
      <c r="AL83" s="146">
        <v>-78.739999999999995</v>
      </c>
      <c r="AM83" t="s">
        <v>171</v>
      </c>
      <c r="AN83" t="s">
        <v>171</v>
      </c>
      <c r="AO83">
        <v>-2839</v>
      </c>
      <c r="AP83" t="s">
        <v>171</v>
      </c>
      <c r="AQ83" t="s">
        <v>171</v>
      </c>
      <c r="AR83" t="s">
        <v>171</v>
      </c>
      <c r="AS83">
        <v>1140.03</v>
      </c>
      <c r="AT83" t="s">
        <v>173</v>
      </c>
      <c r="AU83">
        <v>6</v>
      </c>
      <c r="AV83">
        <v>6</v>
      </c>
      <c r="AW83" t="s">
        <v>171</v>
      </c>
      <c r="AX83" t="s">
        <v>174</v>
      </c>
      <c r="AY83" t="s">
        <v>171</v>
      </c>
      <c r="AZ83" t="s">
        <v>171</v>
      </c>
      <c r="BA83" t="s">
        <v>171</v>
      </c>
      <c r="BB83" t="s">
        <v>171</v>
      </c>
      <c r="BC83" t="s">
        <v>171</v>
      </c>
      <c r="BD83" t="s">
        <v>171</v>
      </c>
      <c r="BE83" t="s">
        <v>171</v>
      </c>
      <c r="BF83" t="s">
        <v>171</v>
      </c>
      <c r="BG83" t="s">
        <v>175</v>
      </c>
      <c r="BH83" t="s">
        <v>176</v>
      </c>
      <c r="BI83" t="s">
        <v>177</v>
      </c>
      <c r="BJ83" s="142">
        <v>2</v>
      </c>
      <c r="BK83" t="s">
        <v>178</v>
      </c>
      <c r="BL83" t="s">
        <v>179</v>
      </c>
      <c r="BM83" t="s">
        <v>180</v>
      </c>
      <c r="BN83" t="s">
        <v>171</v>
      </c>
      <c r="BO83" s="142">
        <v>2</v>
      </c>
      <c r="BP83" s="144" t="s">
        <v>171</v>
      </c>
      <c r="BQ83" s="149">
        <v>20.04</v>
      </c>
      <c r="BR83" t="s">
        <v>181</v>
      </c>
      <c r="BS83" s="149">
        <v>0.194540186</v>
      </c>
      <c r="BT83">
        <v>0.64</v>
      </c>
      <c r="BU83" t="s">
        <v>182</v>
      </c>
      <c r="BV83">
        <v>3.4000000000000002E-2</v>
      </c>
      <c r="BW83">
        <v>9.1</v>
      </c>
      <c r="BX83" t="s">
        <v>173</v>
      </c>
      <c r="BY83">
        <v>0.56000000000000005</v>
      </c>
      <c r="BZ83" t="s">
        <v>183</v>
      </c>
      <c r="CA83" t="s">
        <v>184</v>
      </c>
      <c r="CB83" s="148">
        <f t="shared" si="20"/>
        <v>18.616666666666667</v>
      </c>
      <c r="CC83" s="144" t="s">
        <v>185</v>
      </c>
      <c r="CD83" s="144" t="s">
        <v>171</v>
      </c>
      <c r="CE83" s="144" t="s">
        <v>171</v>
      </c>
      <c r="CF83" t="s">
        <v>186</v>
      </c>
      <c r="CG83" s="144">
        <v>10</v>
      </c>
      <c r="CH83" s="144" t="s">
        <v>187</v>
      </c>
      <c r="CI83" s="144" t="s">
        <v>171</v>
      </c>
      <c r="CJ83" s="147">
        <v>24.33830867</v>
      </c>
      <c r="CK83" t="s">
        <v>173</v>
      </c>
      <c r="CL83">
        <v>3</v>
      </c>
      <c r="CM83">
        <v>3</v>
      </c>
      <c r="CN83" t="s">
        <v>171</v>
      </c>
      <c r="CO83" s="149">
        <v>3.3423965709729231</v>
      </c>
      <c r="CP83" t="s">
        <v>188</v>
      </c>
      <c r="CQ83" s="149">
        <f t="shared" si="16"/>
        <v>0.13369586283891693</v>
      </c>
      <c r="CR83" s="149">
        <v>0.13369586283891693</v>
      </c>
      <c r="CS83" s="150" t="s">
        <v>171</v>
      </c>
      <c r="CT83" t="s">
        <v>189</v>
      </c>
      <c r="CU83" t="s">
        <v>171</v>
      </c>
      <c r="CV83" t="s">
        <v>190</v>
      </c>
      <c r="CW83" t="s">
        <v>191</v>
      </c>
      <c r="CX83" t="s">
        <v>191</v>
      </c>
      <c r="CY83" t="s">
        <v>191</v>
      </c>
      <c r="CZ83" t="s">
        <v>171</v>
      </c>
      <c r="DA83" t="s">
        <v>171</v>
      </c>
      <c r="DB83" t="s">
        <v>171</v>
      </c>
      <c r="DC83" t="s">
        <v>171</v>
      </c>
      <c r="DD83" t="s">
        <v>171</v>
      </c>
      <c r="DE83" t="s">
        <v>171</v>
      </c>
      <c r="DF83" t="s">
        <v>171</v>
      </c>
      <c r="DG83">
        <v>35</v>
      </c>
      <c r="DH83" t="s">
        <v>185</v>
      </c>
      <c r="DI83" s="142">
        <v>3</v>
      </c>
      <c r="DJ83" s="144" t="s">
        <v>192</v>
      </c>
      <c r="DK83" s="144" t="s">
        <v>171</v>
      </c>
      <c r="DL83" s="144" t="s">
        <v>171</v>
      </c>
      <c r="DM83" s="144" t="s">
        <v>171</v>
      </c>
      <c r="DN83" s="144" t="s">
        <v>171</v>
      </c>
      <c r="DO83" s="144" t="s">
        <v>171</v>
      </c>
      <c r="DP83" s="144" t="s">
        <v>171</v>
      </c>
      <c r="DQ83" s="144" t="s">
        <v>171</v>
      </c>
      <c r="DR83" s="144" t="s">
        <v>171</v>
      </c>
      <c r="DS83" s="144" t="s">
        <v>171</v>
      </c>
      <c r="DT83" s="144" t="s">
        <v>171</v>
      </c>
      <c r="DU83" s="144" t="s">
        <v>171</v>
      </c>
      <c r="DV83" s="144" t="s">
        <v>171</v>
      </c>
      <c r="DW83" s="147">
        <v>432.56244218316402</v>
      </c>
      <c r="DX83" t="s">
        <v>193</v>
      </c>
      <c r="DY83">
        <v>37.1</v>
      </c>
      <c r="DZ83" t="s">
        <v>194</v>
      </c>
      <c r="EA83">
        <v>39.61</v>
      </c>
      <c r="EB83" t="s">
        <v>185</v>
      </c>
      <c r="EC83" s="149">
        <f t="shared" si="17"/>
        <v>0.214003</v>
      </c>
      <c r="ED83" t="s">
        <v>195</v>
      </c>
      <c r="EE83" t="s">
        <v>196</v>
      </c>
      <c r="EF83" t="s">
        <v>197</v>
      </c>
      <c r="EG83">
        <v>1.0271999999999999</v>
      </c>
      <c r="EH83" t="s">
        <v>171</v>
      </c>
      <c r="EI83" t="s">
        <v>171</v>
      </c>
      <c r="EJ83" t="s">
        <v>198</v>
      </c>
      <c r="EK83" t="s">
        <v>191</v>
      </c>
      <c r="EL83" t="s">
        <v>191</v>
      </c>
      <c r="EM83" t="s">
        <v>199</v>
      </c>
      <c r="EN83" t="s">
        <v>200</v>
      </c>
      <c r="EO83" s="151" t="s">
        <v>201</v>
      </c>
      <c r="EP83" s="151" t="s">
        <v>201</v>
      </c>
      <c r="EQ83" s="144" t="s">
        <v>171</v>
      </c>
      <c r="ER83" s="144" t="s">
        <v>171</v>
      </c>
      <c r="ES83" s="144" t="s">
        <v>171</v>
      </c>
      <c r="ET83" t="s">
        <v>202</v>
      </c>
      <c r="EU83" t="s">
        <v>203</v>
      </c>
      <c r="EV83" t="s">
        <v>171</v>
      </c>
      <c r="EW83">
        <v>2410</v>
      </c>
      <c r="EX83" s="151" t="s">
        <v>204</v>
      </c>
      <c r="EY83" s="151">
        <v>175</v>
      </c>
      <c r="EZ83">
        <v>175</v>
      </c>
      <c r="FA83" t="s">
        <v>171</v>
      </c>
      <c r="FB83" t="s">
        <v>171</v>
      </c>
      <c r="FC83" t="s">
        <v>171</v>
      </c>
      <c r="FD83" t="s">
        <v>171</v>
      </c>
      <c r="FE83" s="152">
        <v>8.1115267741068102</v>
      </c>
      <c r="FF83" t="s">
        <v>205</v>
      </c>
      <c r="FG83" s="144" t="s">
        <v>171</v>
      </c>
      <c r="FH83" s="144" t="s">
        <v>171</v>
      </c>
      <c r="FI83" s="153">
        <v>329.46774260000001</v>
      </c>
      <c r="FJ83">
        <v>21</v>
      </c>
      <c r="FK83" t="s">
        <v>207</v>
      </c>
      <c r="FL83" s="160">
        <v>308.46774260000001</v>
      </c>
      <c r="FM83" s="161">
        <v>45.212316457018972</v>
      </c>
      <c r="FN83" s="161">
        <v>42.310123271376028</v>
      </c>
      <c r="FO83" t="s">
        <v>186</v>
      </c>
      <c r="FP83" t="s">
        <v>208</v>
      </c>
      <c r="FQ83" t="s">
        <v>171</v>
      </c>
      <c r="FR83" t="s">
        <v>171</v>
      </c>
      <c r="FS83" t="s">
        <v>171</v>
      </c>
      <c r="FT83" t="s">
        <v>171</v>
      </c>
      <c r="FU83" t="s">
        <v>171</v>
      </c>
      <c r="FV83" t="s">
        <v>171</v>
      </c>
      <c r="FW83" t="s">
        <v>171</v>
      </c>
      <c r="FX83" t="s">
        <v>171</v>
      </c>
      <c r="FY83" t="s">
        <v>171</v>
      </c>
      <c r="FZ83" t="s">
        <v>171</v>
      </c>
      <c r="GA83" t="s">
        <v>171</v>
      </c>
      <c r="GB83" t="s">
        <v>171</v>
      </c>
    </row>
    <row r="84" spans="1:184" ht="16" x14ac:dyDescent="0.2">
      <c r="A84" t="s">
        <v>217</v>
      </c>
      <c r="B84" s="143" t="s">
        <v>216</v>
      </c>
      <c r="C84" s="138" t="s">
        <v>212</v>
      </c>
      <c r="D84" t="s">
        <v>211</v>
      </c>
      <c r="E84">
        <v>2017</v>
      </c>
      <c r="F84" t="str">
        <f t="shared" si="21"/>
        <v>10.1073/pnas.1702143114</v>
      </c>
      <c r="G84" s="147">
        <f t="shared" si="22"/>
        <v>1143.23</v>
      </c>
      <c r="H84">
        <f t="shared" si="18"/>
        <v>6</v>
      </c>
      <c r="I84">
        <f t="shared" si="19"/>
        <v>6</v>
      </c>
      <c r="J84" s="153">
        <f t="shared" si="23"/>
        <v>280.06984080000001</v>
      </c>
      <c r="K84" s="153">
        <f t="shared" si="24"/>
        <v>43.365862654740965</v>
      </c>
      <c r="L84" s="153">
        <f t="shared" si="25"/>
        <v>40.637095406523997</v>
      </c>
      <c r="M84" t="b">
        <v>1</v>
      </c>
      <c r="N84">
        <v>3</v>
      </c>
      <c r="O84" s="144" t="s">
        <v>228</v>
      </c>
      <c r="P84" s="144" t="s">
        <v>229</v>
      </c>
      <c r="Q84" t="b">
        <v>0</v>
      </c>
      <c r="R84" t="s">
        <v>214</v>
      </c>
      <c r="S84" t="b">
        <v>1</v>
      </c>
      <c r="T84" t="b">
        <v>0</v>
      </c>
      <c r="U84" t="s">
        <v>171</v>
      </c>
      <c r="V84" t="s">
        <v>171</v>
      </c>
      <c r="W84" t="b">
        <v>0</v>
      </c>
      <c r="X84" t="s">
        <v>171</v>
      </c>
      <c r="Y84" s="139" t="s">
        <v>167</v>
      </c>
      <c r="Z84" s="143" t="s">
        <v>168</v>
      </c>
      <c r="AA84" t="s">
        <v>169</v>
      </c>
      <c r="AB84" s="157" t="s">
        <v>210</v>
      </c>
      <c r="AC84" s="157">
        <v>5</v>
      </c>
      <c r="AD84" s="157">
        <v>2</v>
      </c>
      <c r="AE84" s="158">
        <v>17</v>
      </c>
      <c r="AF84" s="158">
        <f t="shared" si="15"/>
        <v>19</v>
      </c>
      <c r="AG84" s="159">
        <v>37.770000000000003</v>
      </c>
      <c r="AH84" s="159">
        <v>37.770000000000003</v>
      </c>
      <c r="AI84" t="s">
        <v>171</v>
      </c>
      <c r="AJ84" t="s">
        <v>172</v>
      </c>
      <c r="AK84" s="146">
        <v>12.74</v>
      </c>
      <c r="AL84" s="146">
        <v>-78.739999999999995</v>
      </c>
      <c r="AM84" t="s">
        <v>171</v>
      </c>
      <c r="AN84" t="s">
        <v>171</v>
      </c>
      <c r="AO84">
        <v>-2839</v>
      </c>
      <c r="AP84" t="s">
        <v>171</v>
      </c>
      <c r="AQ84" t="s">
        <v>171</v>
      </c>
      <c r="AR84" t="s">
        <v>171</v>
      </c>
      <c r="AS84">
        <v>1143.23</v>
      </c>
      <c r="AT84" t="s">
        <v>173</v>
      </c>
      <c r="AU84">
        <v>6</v>
      </c>
      <c r="AV84">
        <v>6</v>
      </c>
      <c r="AW84" t="s">
        <v>171</v>
      </c>
      <c r="AX84" t="s">
        <v>174</v>
      </c>
      <c r="AY84" t="s">
        <v>171</v>
      </c>
      <c r="AZ84" t="s">
        <v>171</v>
      </c>
      <c r="BA84" t="s">
        <v>171</v>
      </c>
      <c r="BB84" t="s">
        <v>171</v>
      </c>
      <c r="BC84" t="s">
        <v>171</v>
      </c>
      <c r="BD84" t="s">
        <v>171</v>
      </c>
      <c r="BE84" t="s">
        <v>171</v>
      </c>
      <c r="BF84" t="s">
        <v>171</v>
      </c>
      <c r="BG84" t="s">
        <v>175</v>
      </c>
      <c r="BH84" t="s">
        <v>176</v>
      </c>
      <c r="BI84" t="s">
        <v>177</v>
      </c>
      <c r="BJ84" s="142">
        <v>2</v>
      </c>
      <c r="BK84" t="s">
        <v>178</v>
      </c>
      <c r="BL84" t="s">
        <v>179</v>
      </c>
      <c r="BM84" t="s">
        <v>180</v>
      </c>
      <c r="BN84" t="s">
        <v>171</v>
      </c>
      <c r="BO84" s="142">
        <v>2</v>
      </c>
      <c r="BP84" s="144" t="s">
        <v>171</v>
      </c>
      <c r="BQ84" s="149">
        <v>20.18038387</v>
      </c>
      <c r="BR84" t="s">
        <v>181</v>
      </c>
      <c r="BS84" s="149">
        <v>0.24422612199999999</v>
      </c>
      <c r="BT84">
        <v>0.64</v>
      </c>
      <c r="BU84" t="s">
        <v>182</v>
      </c>
      <c r="BV84">
        <v>3.4000000000000002E-2</v>
      </c>
      <c r="BW84">
        <v>9.1</v>
      </c>
      <c r="BX84" t="s">
        <v>173</v>
      </c>
      <c r="BY84">
        <v>0.56000000000000005</v>
      </c>
      <c r="BZ84" t="s">
        <v>183</v>
      </c>
      <c r="CA84" t="s">
        <v>184</v>
      </c>
      <c r="CB84" s="148">
        <f t="shared" si="20"/>
        <v>18.850639783333335</v>
      </c>
      <c r="CC84" s="144" t="s">
        <v>185</v>
      </c>
      <c r="CD84" s="144" t="s">
        <v>171</v>
      </c>
      <c r="CE84" s="144" t="s">
        <v>171</v>
      </c>
      <c r="CF84" t="s">
        <v>186</v>
      </c>
      <c r="CG84" s="144">
        <v>10</v>
      </c>
      <c r="CH84" s="144" t="s">
        <v>187</v>
      </c>
      <c r="CI84" s="144" t="s">
        <v>171</v>
      </c>
      <c r="CJ84" s="147">
        <v>23.302753750000001</v>
      </c>
      <c r="CK84" t="s">
        <v>173</v>
      </c>
      <c r="CL84">
        <v>3</v>
      </c>
      <c r="CM84">
        <v>3</v>
      </c>
      <c r="CN84" t="s">
        <v>171</v>
      </c>
      <c r="CO84" s="149">
        <v>3.0524835970582589</v>
      </c>
      <c r="CP84" t="s">
        <v>188</v>
      </c>
      <c r="CQ84" s="149">
        <f t="shared" si="16"/>
        <v>0.12209934388233036</v>
      </c>
      <c r="CR84" s="149">
        <v>0.12209934388233036</v>
      </c>
      <c r="CS84" s="150" t="s">
        <v>171</v>
      </c>
      <c r="CT84" t="s">
        <v>189</v>
      </c>
      <c r="CU84" t="s">
        <v>171</v>
      </c>
      <c r="CV84" t="s">
        <v>190</v>
      </c>
      <c r="CW84" t="s">
        <v>191</v>
      </c>
      <c r="CX84" t="s">
        <v>191</v>
      </c>
      <c r="CY84" t="s">
        <v>191</v>
      </c>
      <c r="CZ84" t="s">
        <v>171</v>
      </c>
      <c r="DA84" t="s">
        <v>171</v>
      </c>
      <c r="DB84" t="s">
        <v>171</v>
      </c>
      <c r="DC84" t="s">
        <v>171</v>
      </c>
      <c r="DD84" t="s">
        <v>171</v>
      </c>
      <c r="DE84" t="s">
        <v>171</v>
      </c>
      <c r="DF84" t="s">
        <v>171</v>
      </c>
      <c r="DG84">
        <v>35</v>
      </c>
      <c r="DH84" t="s">
        <v>185</v>
      </c>
      <c r="DI84" s="142">
        <v>3</v>
      </c>
      <c r="DJ84" s="144" t="s">
        <v>192</v>
      </c>
      <c r="DK84" s="144" t="s">
        <v>171</v>
      </c>
      <c r="DL84" s="144" t="s">
        <v>171</v>
      </c>
      <c r="DM84" s="144" t="s">
        <v>171</v>
      </c>
      <c r="DN84" s="144" t="s">
        <v>171</v>
      </c>
      <c r="DO84" s="144" t="s">
        <v>171</v>
      </c>
      <c r="DP84" s="144" t="s">
        <v>171</v>
      </c>
      <c r="DQ84" s="144" t="s">
        <v>171</v>
      </c>
      <c r="DR84" s="144" t="s">
        <v>171</v>
      </c>
      <c r="DS84" s="144" t="s">
        <v>171</v>
      </c>
      <c r="DT84" s="144" t="s">
        <v>171</v>
      </c>
      <c r="DU84" s="144" t="s">
        <v>171</v>
      </c>
      <c r="DV84" s="144" t="s">
        <v>171</v>
      </c>
      <c r="DW84" s="147">
        <v>432.56244218316402</v>
      </c>
      <c r="DX84" t="s">
        <v>193</v>
      </c>
      <c r="DY84">
        <v>37.1</v>
      </c>
      <c r="DZ84" t="s">
        <v>194</v>
      </c>
      <c r="EA84">
        <v>39.61</v>
      </c>
      <c r="EB84" t="s">
        <v>185</v>
      </c>
      <c r="EC84" s="149">
        <f t="shared" si="17"/>
        <v>0.21432300000000001</v>
      </c>
      <c r="ED84" t="s">
        <v>195</v>
      </c>
      <c r="EE84" t="s">
        <v>196</v>
      </c>
      <c r="EF84" t="s">
        <v>197</v>
      </c>
      <c r="EG84">
        <v>1.0271999999999999</v>
      </c>
      <c r="EH84" t="s">
        <v>171</v>
      </c>
      <c r="EI84" t="s">
        <v>171</v>
      </c>
      <c r="EJ84" t="s">
        <v>198</v>
      </c>
      <c r="EK84" t="s">
        <v>191</v>
      </c>
      <c r="EL84" t="s">
        <v>191</v>
      </c>
      <c r="EM84" t="s">
        <v>199</v>
      </c>
      <c r="EN84" t="s">
        <v>200</v>
      </c>
      <c r="EO84" s="151" t="s">
        <v>201</v>
      </c>
      <c r="EP84" s="151" t="s">
        <v>201</v>
      </c>
      <c r="EQ84" s="144" t="s">
        <v>171</v>
      </c>
      <c r="ER84" s="144" t="s">
        <v>171</v>
      </c>
      <c r="ES84" s="144" t="s">
        <v>171</v>
      </c>
      <c r="ET84" t="s">
        <v>202</v>
      </c>
      <c r="EU84" t="s">
        <v>203</v>
      </c>
      <c r="EV84" t="s">
        <v>171</v>
      </c>
      <c r="EW84">
        <v>2411</v>
      </c>
      <c r="EX84" s="151" t="s">
        <v>204</v>
      </c>
      <c r="EY84" s="151">
        <v>175</v>
      </c>
      <c r="EZ84">
        <v>175</v>
      </c>
      <c r="FA84" t="s">
        <v>171</v>
      </c>
      <c r="FB84" t="s">
        <v>171</v>
      </c>
      <c r="FC84" t="s">
        <v>171</v>
      </c>
      <c r="FD84" t="s">
        <v>171</v>
      </c>
      <c r="FE84" s="152">
        <v>8.1439800997642706</v>
      </c>
      <c r="FF84" t="s">
        <v>205</v>
      </c>
      <c r="FG84" s="144" t="s">
        <v>171</v>
      </c>
      <c r="FH84" s="144" t="s">
        <v>171</v>
      </c>
      <c r="FI84" s="153">
        <v>301.06984080000001</v>
      </c>
      <c r="FJ84">
        <v>21</v>
      </c>
      <c r="FK84" t="s">
        <v>207</v>
      </c>
      <c r="FL84" s="160">
        <v>280.06984080000001</v>
      </c>
      <c r="FM84" s="161">
        <v>43.365862654740965</v>
      </c>
      <c r="FN84" s="161">
        <v>40.637095406523997</v>
      </c>
      <c r="FO84" t="s">
        <v>186</v>
      </c>
      <c r="FP84" t="s">
        <v>208</v>
      </c>
      <c r="FQ84" t="s">
        <v>171</v>
      </c>
      <c r="FR84" t="s">
        <v>171</v>
      </c>
      <c r="FS84" t="s">
        <v>171</v>
      </c>
      <c r="FT84" t="s">
        <v>171</v>
      </c>
      <c r="FU84" t="s">
        <v>171</v>
      </c>
      <c r="FV84" t="s">
        <v>171</v>
      </c>
      <c r="FW84" t="s">
        <v>171</v>
      </c>
      <c r="FX84" t="s">
        <v>171</v>
      </c>
      <c r="FY84" t="s">
        <v>171</v>
      </c>
      <c r="FZ84" t="s">
        <v>171</v>
      </c>
      <c r="GA84" t="s">
        <v>171</v>
      </c>
      <c r="GB84" t="s">
        <v>171</v>
      </c>
    </row>
    <row r="85" spans="1:184" ht="16" x14ac:dyDescent="0.2">
      <c r="A85" t="s">
        <v>217</v>
      </c>
      <c r="B85" s="143" t="s">
        <v>216</v>
      </c>
      <c r="C85" s="138" t="s">
        <v>212</v>
      </c>
      <c r="D85" t="s">
        <v>211</v>
      </c>
      <c r="E85">
        <v>2017</v>
      </c>
      <c r="F85" t="str">
        <f t="shared" si="21"/>
        <v>10.1073/pnas.1702143114</v>
      </c>
      <c r="G85" s="147">
        <f t="shared" si="22"/>
        <v>1145.33</v>
      </c>
      <c r="H85">
        <f t="shared" si="18"/>
        <v>6</v>
      </c>
      <c r="I85">
        <f t="shared" si="19"/>
        <v>6</v>
      </c>
      <c r="J85" s="153">
        <f t="shared" si="23"/>
        <v>298.21053569999998</v>
      </c>
      <c r="K85" s="153">
        <f t="shared" si="24"/>
        <v>43.985811146079016</v>
      </c>
      <c r="L85" s="153">
        <f t="shared" si="25"/>
        <v>41.286925841060963</v>
      </c>
      <c r="M85" t="b">
        <v>1</v>
      </c>
      <c r="N85">
        <v>3</v>
      </c>
      <c r="O85" s="144" t="s">
        <v>228</v>
      </c>
      <c r="P85" s="144" t="s">
        <v>229</v>
      </c>
      <c r="Q85" t="b">
        <v>0</v>
      </c>
      <c r="R85" t="s">
        <v>214</v>
      </c>
      <c r="S85" t="b">
        <v>1</v>
      </c>
      <c r="T85" t="b">
        <v>0</v>
      </c>
      <c r="U85" t="s">
        <v>171</v>
      </c>
      <c r="V85" t="s">
        <v>171</v>
      </c>
      <c r="W85" t="b">
        <v>0</v>
      </c>
      <c r="X85" t="s">
        <v>171</v>
      </c>
      <c r="Y85" s="139" t="s">
        <v>167</v>
      </c>
      <c r="Z85" s="143" t="s">
        <v>168</v>
      </c>
      <c r="AA85" t="s">
        <v>169</v>
      </c>
      <c r="AB85" s="157" t="s">
        <v>210</v>
      </c>
      <c r="AC85" s="157">
        <v>5</v>
      </c>
      <c r="AD85" s="157">
        <v>2</v>
      </c>
      <c r="AE85" s="158">
        <v>23</v>
      </c>
      <c r="AF85" s="158">
        <f t="shared" si="15"/>
        <v>25</v>
      </c>
      <c r="AG85" s="159">
        <v>37.83</v>
      </c>
      <c r="AH85" s="159">
        <v>37.83</v>
      </c>
      <c r="AI85" t="s">
        <v>171</v>
      </c>
      <c r="AJ85" t="s">
        <v>172</v>
      </c>
      <c r="AK85" s="146">
        <v>12.74</v>
      </c>
      <c r="AL85" s="146">
        <v>-78.739999999999995</v>
      </c>
      <c r="AM85" t="s">
        <v>171</v>
      </c>
      <c r="AN85" t="s">
        <v>171</v>
      </c>
      <c r="AO85">
        <v>-2839</v>
      </c>
      <c r="AP85" t="s">
        <v>171</v>
      </c>
      <c r="AQ85" t="s">
        <v>171</v>
      </c>
      <c r="AR85" t="s">
        <v>171</v>
      </c>
      <c r="AS85">
        <v>1145.33</v>
      </c>
      <c r="AT85" t="s">
        <v>173</v>
      </c>
      <c r="AU85">
        <v>6</v>
      </c>
      <c r="AV85">
        <v>6</v>
      </c>
      <c r="AW85" t="s">
        <v>171</v>
      </c>
      <c r="AX85" t="s">
        <v>174</v>
      </c>
      <c r="AY85" t="s">
        <v>171</v>
      </c>
      <c r="AZ85" t="s">
        <v>171</v>
      </c>
      <c r="BA85" t="s">
        <v>171</v>
      </c>
      <c r="BB85" t="s">
        <v>171</v>
      </c>
      <c r="BC85" t="s">
        <v>171</v>
      </c>
      <c r="BD85" t="s">
        <v>171</v>
      </c>
      <c r="BE85" t="s">
        <v>171</v>
      </c>
      <c r="BF85" t="s">
        <v>171</v>
      </c>
      <c r="BG85" t="s">
        <v>175</v>
      </c>
      <c r="BH85" t="s">
        <v>176</v>
      </c>
      <c r="BI85" t="s">
        <v>177</v>
      </c>
      <c r="BJ85" s="142">
        <v>2</v>
      </c>
      <c r="BK85" t="s">
        <v>178</v>
      </c>
      <c r="BL85" t="s">
        <v>179</v>
      </c>
      <c r="BM85" t="s">
        <v>180</v>
      </c>
      <c r="BN85" t="s">
        <v>171</v>
      </c>
      <c r="BO85" s="142">
        <v>2</v>
      </c>
      <c r="BP85" s="144" t="s">
        <v>171</v>
      </c>
      <c r="BQ85" s="149">
        <v>20.09301133</v>
      </c>
      <c r="BR85" t="s">
        <v>181</v>
      </c>
      <c r="BS85" s="149">
        <v>0.22981889999999999</v>
      </c>
      <c r="BT85">
        <v>0.64</v>
      </c>
      <c r="BU85" t="s">
        <v>182</v>
      </c>
      <c r="BV85">
        <v>3.4000000000000002E-2</v>
      </c>
      <c r="BW85">
        <v>9.1</v>
      </c>
      <c r="BX85" t="s">
        <v>173</v>
      </c>
      <c r="BY85">
        <v>0.56000000000000005</v>
      </c>
      <c r="BZ85" t="s">
        <v>183</v>
      </c>
      <c r="CA85" t="s">
        <v>184</v>
      </c>
      <c r="CB85" s="148">
        <f t="shared" si="20"/>
        <v>18.705018883333334</v>
      </c>
      <c r="CC85" s="144" t="s">
        <v>185</v>
      </c>
      <c r="CD85" s="144" t="s">
        <v>171</v>
      </c>
      <c r="CE85" s="144" t="s">
        <v>171</v>
      </c>
      <c r="CF85" t="s">
        <v>186</v>
      </c>
      <c r="CG85" s="144">
        <v>10</v>
      </c>
      <c r="CH85" s="144" t="s">
        <v>187</v>
      </c>
      <c r="CI85" s="144" t="s">
        <v>171</v>
      </c>
      <c r="CJ85" s="147">
        <v>24.04556758</v>
      </c>
      <c r="CK85" t="s">
        <v>173</v>
      </c>
      <c r="CL85">
        <v>3</v>
      </c>
      <c r="CM85">
        <v>3</v>
      </c>
      <c r="CN85" t="s">
        <v>171</v>
      </c>
      <c r="CO85" s="149">
        <v>3.2715420449268695</v>
      </c>
      <c r="CP85" t="s">
        <v>188</v>
      </c>
      <c r="CQ85" s="149">
        <f t="shared" si="16"/>
        <v>0.13086168179707477</v>
      </c>
      <c r="CR85" s="149">
        <v>0.13086168179707477</v>
      </c>
      <c r="CS85" s="150" t="s">
        <v>171</v>
      </c>
      <c r="CT85" t="s">
        <v>189</v>
      </c>
      <c r="CU85" t="s">
        <v>171</v>
      </c>
      <c r="CV85" t="s">
        <v>190</v>
      </c>
      <c r="CW85" t="s">
        <v>191</v>
      </c>
      <c r="CX85" t="s">
        <v>191</v>
      </c>
      <c r="CY85" t="s">
        <v>191</v>
      </c>
      <c r="CZ85" t="s">
        <v>171</v>
      </c>
      <c r="DA85" t="s">
        <v>171</v>
      </c>
      <c r="DB85" t="s">
        <v>171</v>
      </c>
      <c r="DC85" t="s">
        <v>171</v>
      </c>
      <c r="DD85" t="s">
        <v>171</v>
      </c>
      <c r="DE85" t="s">
        <v>171</v>
      </c>
      <c r="DF85" t="s">
        <v>171</v>
      </c>
      <c r="DG85">
        <v>35</v>
      </c>
      <c r="DH85" t="s">
        <v>185</v>
      </c>
      <c r="DI85" s="142">
        <v>3</v>
      </c>
      <c r="DJ85" s="144" t="s">
        <v>192</v>
      </c>
      <c r="DK85" s="144" t="s">
        <v>171</v>
      </c>
      <c r="DL85" s="144" t="s">
        <v>171</v>
      </c>
      <c r="DM85" s="144" t="s">
        <v>171</v>
      </c>
      <c r="DN85" s="144" t="s">
        <v>171</v>
      </c>
      <c r="DO85" s="144" t="s">
        <v>171</v>
      </c>
      <c r="DP85" s="144" t="s">
        <v>171</v>
      </c>
      <c r="DQ85" s="144" t="s">
        <v>171</v>
      </c>
      <c r="DR85" s="144" t="s">
        <v>171</v>
      </c>
      <c r="DS85" s="144" t="s">
        <v>171</v>
      </c>
      <c r="DT85" s="144" t="s">
        <v>171</v>
      </c>
      <c r="DU85" s="144" t="s">
        <v>171</v>
      </c>
      <c r="DV85" s="144" t="s">
        <v>171</v>
      </c>
      <c r="DW85" s="147">
        <v>432.56244218316402</v>
      </c>
      <c r="DX85" t="s">
        <v>193</v>
      </c>
      <c r="DY85">
        <v>37.1</v>
      </c>
      <c r="DZ85" t="s">
        <v>194</v>
      </c>
      <c r="EA85">
        <v>39.61</v>
      </c>
      <c r="EB85" t="s">
        <v>185</v>
      </c>
      <c r="EC85" s="149">
        <f t="shared" si="17"/>
        <v>0.214533</v>
      </c>
      <c r="ED85" t="s">
        <v>195</v>
      </c>
      <c r="EE85" t="s">
        <v>196</v>
      </c>
      <c r="EF85" t="s">
        <v>197</v>
      </c>
      <c r="EG85">
        <v>1.0271999999999999</v>
      </c>
      <c r="EH85" t="s">
        <v>171</v>
      </c>
      <c r="EI85" t="s">
        <v>171</v>
      </c>
      <c r="EJ85" t="s">
        <v>198</v>
      </c>
      <c r="EK85" t="s">
        <v>191</v>
      </c>
      <c r="EL85" t="s">
        <v>191</v>
      </c>
      <c r="EM85" t="s">
        <v>199</v>
      </c>
      <c r="EN85" t="s">
        <v>200</v>
      </c>
      <c r="EO85" s="151" t="s">
        <v>201</v>
      </c>
      <c r="EP85" s="151" t="s">
        <v>201</v>
      </c>
      <c r="EQ85" s="144" t="s">
        <v>171</v>
      </c>
      <c r="ER85" s="144" t="s">
        <v>171</v>
      </c>
      <c r="ES85" s="144" t="s">
        <v>171</v>
      </c>
      <c r="ET85" t="s">
        <v>202</v>
      </c>
      <c r="EU85" t="s">
        <v>203</v>
      </c>
      <c r="EV85" t="s">
        <v>171</v>
      </c>
      <c r="EW85">
        <v>2412</v>
      </c>
      <c r="EX85" s="151" t="s">
        <v>204</v>
      </c>
      <c r="EY85" s="151">
        <v>175</v>
      </c>
      <c r="EZ85">
        <v>175</v>
      </c>
      <c r="FA85" t="s">
        <v>171</v>
      </c>
      <c r="FB85" t="s">
        <v>171</v>
      </c>
      <c r="FC85" t="s">
        <v>171</v>
      </c>
      <c r="FD85" t="s">
        <v>171</v>
      </c>
      <c r="FE85" s="152">
        <v>8.1229483314257394</v>
      </c>
      <c r="FF85" t="s">
        <v>205</v>
      </c>
      <c r="FG85" s="144" t="s">
        <v>171</v>
      </c>
      <c r="FH85" s="144" t="s">
        <v>171</v>
      </c>
      <c r="FI85" s="153">
        <v>319.21053569999998</v>
      </c>
      <c r="FJ85">
        <v>21</v>
      </c>
      <c r="FK85" t="s">
        <v>207</v>
      </c>
      <c r="FL85" s="160">
        <v>298.21053569999998</v>
      </c>
      <c r="FM85" s="161">
        <v>43.985811146079016</v>
      </c>
      <c r="FN85" s="161">
        <v>41.286925841060963</v>
      </c>
      <c r="FO85" t="s">
        <v>186</v>
      </c>
      <c r="FP85" t="s">
        <v>208</v>
      </c>
      <c r="FQ85" t="s">
        <v>171</v>
      </c>
      <c r="FR85" t="s">
        <v>171</v>
      </c>
      <c r="FS85" t="s">
        <v>171</v>
      </c>
      <c r="FT85" t="s">
        <v>171</v>
      </c>
      <c r="FU85" t="s">
        <v>171</v>
      </c>
      <c r="FV85" t="s">
        <v>171</v>
      </c>
      <c r="FW85" t="s">
        <v>171</v>
      </c>
      <c r="FX85" t="s">
        <v>171</v>
      </c>
      <c r="FY85" t="s">
        <v>171</v>
      </c>
      <c r="FZ85" t="s">
        <v>171</v>
      </c>
      <c r="GA85" t="s">
        <v>171</v>
      </c>
      <c r="GB85" t="s">
        <v>171</v>
      </c>
    </row>
    <row r="86" spans="1:184" ht="16" x14ac:dyDescent="0.2">
      <c r="A86" t="s">
        <v>217</v>
      </c>
      <c r="B86" s="143" t="s">
        <v>216</v>
      </c>
      <c r="C86" s="138" t="s">
        <v>212</v>
      </c>
      <c r="D86" t="s">
        <v>211</v>
      </c>
      <c r="E86">
        <v>2017</v>
      </c>
      <c r="F86" t="str">
        <f t="shared" si="21"/>
        <v>10.1073/pnas.1702143114</v>
      </c>
      <c r="G86" s="147">
        <f t="shared" si="22"/>
        <v>1148.9000000000001</v>
      </c>
      <c r="H86">
        <f t="shared" si="18"/>
        <v>6</v>
      </c>
      <c r="I86">
        <f t="shared" si="19"/>
        <v>6</v>
      </c>
      <c r="J86" s="153">
        <f t="shared" si="23"/>
        <v>314.92612270000001</v>
      </c>
      <c r="K86" s="153">
        <f t="shared" si="24"/>
        <v>52.294788541621017</v>
      </c>
      <c r="L86" s="153">
        <f t="shared" si="25"/>
        <v>49.411603955115027</v>
      </c>
      <c r="M86" t="b">
        <v>1</v>
      </c>
      <c r="N86">
        <v>3</v>
      </c>
      <c r="O86" s="144" t="s">
        <v>228</v>
      </c>
      <c r="P86" s="144" t="s">
        <v>229</v>
      </c>
      <c r="Q86" t="b">
        <v>0</v>
      </c>
      <c r="R86" t="s">
        <v>214</v>
      </c>
      <c r="S86" t="b">
        <v>1</v>
      </c>
      <c r="T86" t="b">
        <v>0</v>
      </c>
      <c r="U86" t="s">
        <v>171</v>
      </c>
      <c r="V86" t="s">
        <v>171</v>
      </c>
      <c r="W86" t="b">
        <v>0</v>
      </c>
      <c r="X86" t="s">
        <v>171</v>
      </c>
      <c r="Y86" s="139" t="s">
        <v>167</v>
      </c>
      <c r="Z86" s="143" t="s">
        <v>168</v>
      </c>
      <c r="AA86" t="s">
        <v>169</v>
      </c>
      <c r="AB86" s="157" t="s">
        <v>210</v>
      </c>
      <c r="AC86" s="157">
        <v>5</v>
      </c>
      <c r="AD86" s="157">
        <v>2</v>
      </c>
      <c r="AE86" s="158">
        <v>33.208349000000169</v>
      </c>
      <c r="AF86" s="158">
        <f t="shared" si="15"/>
        <v>35.208349000000169</v>
      </c>
      <c r="AG86" s="159">
        <v>37.931858810000001</v>
      </c>
      <c r="AH86" s="159">
        <v>37.931858810000001</v>
      </c>
      <c r="AI86" t="s">
        <v>171</v>
      </c>
      <c r="AJ86" t="s">
        <v>172</v>
      </c>
      <c r="AK86" s="146">
        <v>12.74</v>
      </c>
      <c r="AL86" s="146">
        <v>-78.739999999999995</v>
      </c>
      <c r="AM86" t="s">
        <v>171</v>
      </c>
      <c r="AN86" t="s">
        <v>171</v>
      </c>
      <c r="AO86">
        <v>-2839</v>
      </c>
      <c r="AP86" t="s">
        <v>171</v>
      </c>
      <c r="AQ86" t="s">
        <v>171</v>
      </c>
      <c r="AR86" t="s">
        <v>171</v>
      </c>
      <c r="AS86">
        <v>1148.9000000000001</v>
      </c>
      <c r="AT86" t="s">
        <v>173</v>
      </c>
      <c r="AU86">
        <v>6</v>
      </c>
      <c r="AV86">
        <v>6</v>
      </c>
      <c r="AW86" t="s">
        <v>171</v>
      </c>
      <c r="AX86" t="s">
        <v>174</v>
      </c>
      <c r="AY86" t="s">
        <v>171</v>
      </c>
      <c r="AZ86" t="s">
        <v>171</v>
      </c>
      <c r="BA86" t="s">
        <v>171</v>
      </c>
      <c r="BB86" t="s">
        <v>171</v>
      </c>
      <c r="BC86" t="s">
        <v>171</v>
      </c>
      <c r="BD86" t="s">
        <v>171</v>
      </c>
      <c r="BE86" t="s">
        <v>171</v>
      </c>
      <c r="BF86" t="s">
        <v>171</v>
      </c>
      <c r="BG86" t="s">
        <v>175</v>
      </c>
      <c r="BH86" t="s">
        <v>176</v>
      </c>
      <c r="BI86" t="s">
        <v>177</v>
      </c>
      <c r="BJ86" s="142">
        <v>2</v>
      </c>
      <c r="BK86" t="s">
        <v>178</v>
      </c>
      <c r="BL86" t="s">
        <v>179</v>
      </c>
      <c r="BM86" t="s">
        <v>180</v>
      </c>
      <c r="BN86" t="s">
        <v>171</v>
      </c>
      <c r="BO86" s="142">
        <v>2</v>
      </c>
      <c r="BP86" s="144" t="s">
        <v>171</v>
      </c>
      <c r="BQ86" s="149">
        <v>19.962607640000002</v>
      </c>
      <c r="BR86" t="s">
        <v>181</v>
      </c>
      <c r="BS86" s="149">
        <v>0.35340079800000002</v>
      </c>
      <c r="BT86">
        <v>0.64</v>
      </c>
      <c r="BU86" t="s">
        <v>182</v>
      </c>
      <c r="BV86">
        <v>3.4000000000000002E-2</v>
      </c>
      <c r="BW86">
        <v>9.1</v>
      </c>
      <c r="BX86" t="s">
        <v>173</v>
      </c>
      <c r="BY86">
        <v>0.56000000000000005</v>
      </c>
      <c r="BZ86" t="s">
        <v>183</v>
      </c>
      <c r="CA86" t="s">
        <v>184</v>
      </c>
      <c r="CB86" s="148">
        <f t="shared" si="20"/>
        <v>18.487679400000005</v>
      </c>
      <c r="CC86" s="144" t="s">
        <v>185</v>
      </c>
      <c r="CD86" s="144" t="s">
        <v>171</v>
      </c>
      <c r="CE86" s="144" t="s">
        <v>171</v>
      </c>
      <c r="CF86" t="s">
        <v>186</v>
      </c>
      <c r="CG86" s="144">
        <v>10</v>
      </c>
      <c r="CH86" s="144" t="s">
        <v>187</v>
      </c>
      <c r="CI86" s="144" t="s">
        <v>171</v>
      </c>
      <c r="CJ86" s="147">
        <v>23.832587669999999</v>
      </c>
      <c r="CK86" t="s">
        <v>173</v>
      </c>
      <c r="CL86">
        <v>3</v>
      </c>
      <c r="CM86">
        <v>3</v>
      </c>
      <c r="CN86" t="s">
        <v>171</v>
      </c>
      <c r="CO86" s="149">
        <v>3.225071021659236</v>
      </c>
      <c r="CP86" t="s">
        <v>188</v>
      </c>
      <c r="CQ86" s="149">
        <f t="shared" si="16"/>
        <v>0.12900284086636943</v>
      </c>
      <c r="CR86" s="149">
        <v>0.12900284086636943</v>
      </c>
      <c r="CS86" s="150" t="s">
        <v>171</v>
      </c>
      <c r="CT86" t="s">
        <v>189</v>
      </c>
      <c r="CU86" t="s">
        <v>171</v>
      </c>
      <c r="CV86" t="s">
        <v>190</v>
      </c>
      <c r="CW86" t="s">
        <v>191</v>
      </c>
      <c r="CX86" t="s">
        <v>191</v>
      </c>
      <c r="CY86" t="s">
        <v>191</v>
      </c>
      <c r="CZ86" t="s">
        <v>171</v>
      </c>
      <c r="DA86" t="s">
        <v>171</v>
      </c>
      <c r="DB86" t="s">
        <v>171</v>
      </c>
      <c r="DC86" t="s">
        <v>171</v>
      </c>
      <c r="DD86" t="s">
        <v>171</v>
      </c>
      <c r="DE86" t="s">
        <v>171</v>
      </c>
      <c r="DF86" t="s">
        <v>171</v>
      </c>
      <c r="DG86">
        <v>35</v>
      </c>
      <c r="DH86" t="s">
        <v>185</v>
      </c>
      <c r="DI86" s="142">
        <v>3</v>
      </c>
      <c r="DJ86" s="144" t="s">
        <v>192</v>
      </c>
      <c r="DK86" s="144" t="s">
        <v>171</v>
      </c>
      <c r="DL86" s="144" t="s">
        <v>171</v>
      </c>
      <c r="DM86" s="144" t="s">
        <v>171</v>
      </c>
      <c r="DN86" s="144" t="s">
        <v>171</v>
      </c>
      <c r="DO86" s="144" t="s">
        <v>171</v>
      </c>
      <c r="DP86" s="144" t="s">
        <v>171</v>
      </c>
      <c r="DQ86" s="144" t="s">
        <v>171</v>
      </c>
      <c r="DR86" s="144" t="s">
        <v>171</v>
      </c>
      <c r="DS86" s="144" t="s">
        <v>171</v>
      </c>
      <c r="DT86" s="144" t="s">
        <v>171</v>
      </c>
      <c r="DU86" s="144" t="s">
        <v>171</v>
      </c>
      <c r="DV86" s="144" t="s">
        <v>171</v>
      </c>
      <c r="DW86" s="147">
        <v>432.56244218316402</v>
      </c>
      <c r="DX86" t="s">
        <v>193</v>
      </c>
      <c r="DY86">
        <v>37.1</v>
      </c>
      <c r="DZ86" t="s">
        <v>194</v>
      </c>
      <c r="EA86">
        <v>39.61</v>
      </c>
      <c r="EB86" t="s">
        <v>185</v>
      </c>
      <c r="EC86" s="149">
        <f t="shared" si="17"/>
        <v>0.21489000000000003</v>
      </c>
      <c r="ED86" t="s">
        <v>195</v>
      </c>
      <c r="EE86" t="s">
        <v>196</v>
      </c>
      <c r="EF86" t="s">
        <v>197</v>
      </c>
      <c r="EG86">
        <v>1.0271999999999999</v>
      </c>
      <c r="EH86" t="s">
        <v>171</v>
      </c>
      <c r="EI86" t="s">
        <v>171</v>
      </c>
      <c r="EJ86" t="s">
        <v>198</v>
      </c>
      <c r="EK86" t="s">
        <v>191</v>
      </c>
      <c r="EL86" t="s">
        <v>191</v>
      </c>
      <c r="EM86" t="s">
        <v>199</v>
      </c>
      <c r="EN86" t="s">
        <v>200</v>
      </c>
      <c r="EO86" s="151" t="s">
        <v>201</v>
      </c>
      <c r="EP86" s="151" t="s">
        <v>201</v>
      </c>
      <c r="EQ86" s="144" t="s">
        <v>171</v>
      </c>
      <c r="ER86" s="144" t="s">
        <v>171</v>
      </c>
      <c r="ES86" s="144" t="s">
        <v>171</v>
      </c>
      <c r="ET86" t="s">
        <v>202</v>
      </c>
      <c r="EU86" t="s">
        <v>203</v>
      </c>
      <c r="EV86" t="s">
        <v>171</v>
      </c>
      <c r="EW86">
        <v>2413</v>
      </c>
      <c r="EX86" s="151" t="s">
        <v>204</v>
      </c>
      <c r="EY86" s="151">
        <v>175</v>
      </c>
      <c r="EZ86">
        <v>175</v>
      </c>
      <c r="FA86" t="s">
        <v>171</v>
      </c>
      <c r="FB86" t="s">
        <v>171</v>
      </c>
      <c r="FC86" t="s">
        <v>171</v>
      </c>
      <c r="FD86" t="s">
        <v>171</v>
      </c>
      <c r="FE86" s="152">
        <v>8.1057785798925597</v>
      </c>
      <c r="FF86" t="s">
        <v>205</v>
      </c>
      <c r="FG86" s="144" t="s">
        <v>171</v>
      </c>
      <c r="FH86" s="144" t="s">
        <v>171</v>
      </c>
      <c r="FI86" s="153">
        <v>335.92612270000001</v>
      </c>
      <c r="FJ86">
        <v>21</v>
      </c>
      <c r="FK86" t="s">
        <v>207</v>
      </c>
      <c r="FL86" s="160">
        <v>314.92612270000001</v>
      </c>
      <c r="FM86" s="161">
        <v>52.294788541621017</v>
      </c>
      <c r="FN86" s="161">
        <v>49.411603955115027</v>
      </c>
      <c r="FO86" t="s">
        <v>186</v>
      </c>
      <c r="FP86" t="s">
        <v>208</v>
      </c>
      <c r="FQ86" t="s">
        <v>171</v>
      </c>
      <c r="FR86" t="s">
        <v>171</v>
      </c>
      <c r="FS86" t="s">
        <v>171</v>
      </c>
      <c r="FT86" t="s">
        <v>171</v>
      </c>
      <c r="FU86" t="s">
        <v>171</v>
      </c>
      <c r="FV86" t="s">
        <v>171</v>
      </c>
      <c r="FW86" t="s">
        <v>171</v>
      </c>
      <c r="FX86" t="s">
        <v>171</v>
      </c>
      <c r="FY86" t="s">
        <v>171</v>
      </c>
      <c r="FZ86" t="s">
        <v>171</v>
      </c>
      <c r="GA86" t="s">
        <v>171</v>
      </c>
      <c r="GB86" t="s">
        <v>171</v>
      </c>
    </row>
    <row r="87" spans="1:184" ht="16" x14ac:dyDescent="0.2">
      <c r="A87" t="s">
        <v>217</v>
      </c>
      <c r="B87" s="143" t="s">
        <v>216</v>
      </c>
      <c r="C87" s="138" t="s">
        <v>212</v>
      </c>
      <c r="D87" t="s">
        <v>211</v>
      </c>
      <c r="E87">
        <v>2017</v>
      </c>
      <c r="F87" t="str">
        <f t="shared" si="21"/>
        <v>10.1073/pnas.1702143114</v>
      </c>
      <c r="G87" s="147">
        <f t="shared" si="22"/>
        <v>1150.94</v>
      </c>
      <c r="H87">
        <f t="shared" si="18"/>
        <v>6</v>
      </c>
      <c r="I87">
        <f t="shared" si="19"/>
        <v>6</v>
      </c>
      <c r="J87" s="153">
        <f t="shared" si="23"/>
        <v>262.12715809999997</v>
      </c>
      <c r="K87" s="153">
        <f t="shared" si="24"/>
        <v>39.029958104301045</v>
      </c>
      <c r="L87" s="153">
        <f t="shared" si="25"/>
        <v>38.400641805425977</v>
      </c>
      <c r="M87" t="b">
        <v>1</v>
      </c>
      <c r="N87">
        <v>3</v>
      </c>
      <c r="O87" s="144" t="s">
        <v>228</v>
      </c>
      <c r="P87" s="144" t="s">
        <v>229</v>
      </c>
      <c r="Q87" t="b">
        <v>0</v>
      </c>
      <c r="R87" t="s">
        <v>214</v>
      </c>
      <c r="S87" t="b">
        <v>1</v>
      </c>
      <c r="T87" t="b">
        <v>0</v>
      </c>
      <c r="U87" t="s">
        <v>171</v>
      </c>
      <c r="V87" t="s">
        <v>171</v>
      </c>
      <c r="W87" t="b">
        <v>0</v>
      </c>
      <c r="X87" t="s">
        <v>171</v>
      </c>
      <c r="Y87" s="139" t="s">
        <v>167</v>
      </c>
      <c r="Z87" s="143" t="s">
        <v>168</v>
      </c>
      <c r="AA87" t="s">
        <v>169</v>
      </c>
      <c r="AB87" s="157" t="s">
        <v>210</v>
      </c>
      <c r="AC87" s="157">
        <v>5</v>
      </c>
      <c r="AD87" s="157">
        <v>2</v>
      </c>
      <c r="AE87" s="158">
        <v>39</v>
      </c>
      <c r="AF87" s="158">
        <f t="shared" si="15"/>
        <v>41</v>
      </c>
      <c r="AG87" s="159">
        <v>37.99</v>
      </c>
      <c r="AH87" s="159">
        <v>37.99</v>
      </c>
      <c r="AI87" t="s">
        <v>171</v>
      </c>
      <c r="AJ87" t="s">
        <v>172</v>
      </c>
      <c r="AK87" s="146">
        <v>12.74</v>
      </c>
      <c r="AL87" s="146">
        <v>-78.739999999999995</v>
      </c>
      <c r="AM87" t="s">
        <v>171</v>
      </c>
      <c r="AN87" t="s">
        <v>171</v>
      </c>
      <c r="AO87">
        <v>-2839</v>
      </c>
      <c r="AP87" t="s">
        <v>171</v>
      </c>
      <c r="AQ87" t="s">
        <v>171</v>
      </c>
      <c r="AR87" t="s">
        <v>171</v>
      </c>
      <c r="AS87">
        <v>1150.94</v>
      </c>
      <c r="AT87" t="s">
        <v>173</v>
      </c>
      <c r="AU87">
        <v>6</v>
      </c>
      <c r="AV87">
        <v>6</v>
      </c>
      <c r="AW87" t="s">
        <v>171</v>
      </c>
      <c r="AX87" t="s">
        <v>174</v>
      </c>
      <c r="AY87" t="s">
        <v>171</v>
      </c>
      <c r="AZ87" t="s">
        <v>171</v>
      </c>
      <c r="BA87" t="s">
        <v>171</v>
      </c>
      <c r="BB87" t="s">
        <v>171</v>
      </c>
      <c r="BC87" t="s">
        <v>171</v>
      </c>
      <c r="BD87" t="s">
        <v>171</v>
      </c>
      <c r="BE87" t="s">
        <v>171</v>
      </c>
      <c r="BF87" t="s">
        <v>171</v>
      </c>
      <c r="BG87" t="s">
        <v>175</v>
      </c>
      <c r="BH87" t="s">
        <v>176</v>
      </c>
      <c r="BI87" t="s">
        <v>177</v>
      </c>
      <c r="BJ87" s="142">
        <v>2</v>
      </c>
      <c r="BK87" t="s">
        <v>178</v>
      </c>
      <c r="BL87" t="s">
        <v>179</v>
      </c>
      <c r="BM87" t="s">
        <v>180</v>
      </c>
      <c r="BN87" t="s">
        <v>171</v>
      </c>
      <c r="BO87" s="142">
        <v>2</v>
      </c>
      <c r="BP87" s="144" t="s">
        <v>171</v>
      </c>
      <c r="BQ87" s="149">
        <v>20.309999999999999</v>
      </c>
      <c r="BR87" t="s">
        <v>181</v>
      </c>
      <c r="BS87" s="149">
        <v>0.23907551199999999</v>
      </c>
      <c r="BT87">
        <v>0.64</v>
      </c>
      <c r="BU87" t="s">
        <v>182</v>
      </c>
      <c r="BV87">
        <v>3.4000000000000002E-2</v>
      </c>
      <c r="BW87">
        <v>9.1</v>
      </c>
      <c r="BX87" t="s">
        <v>173</v>
      </c>
      <c r="BY87">
        <v>0.56000000000000005</v>
      </c>
      <c r="BZ87" t="s">
        <v>183</v>
      </c>
      <c r="CA87" t="s">
        <v>184</v>
      </c>
      <c r="CB87" s="148">
        <f t="shared" si="20"/>
        <v>19.066666666666666</v>
      </c>
      <c r="CC87" s="144" t="s">
        <v>185</v>
      </c>
      <c r="CD87" s="144" t="s">
        <v>171</v>
      </c>
      <c r="CE87" s="144" t="s">
        <v>171</v>
      </c>
      <c r="CF87" t="s">
        <v>186</v>
      </c>
      <c r="CG87" s="144">
        <v>10</v>
      </c>
      <c r="CH87" s="144" t="s">
        <v>187</v>
      </c>
      <c r="CI87" s="144" t="s">
        <v>171</v>
      </c>
      <c r="CJ87" s="147">
        <v>23.023440319999999</v>
      </c>
      <c r="CK87" t="s">
        <v>173</v>
      </c>
      <c r="CL87">
        <v>3</v>
      </c>
      <c r="CM87">
        <v>3</v>
      </c>
      <c r="CN87" t="s">
        <v>171</v>
      </c>
      <c r="CO87" s="149">
        <v>3.0057920800475317</v>
      </c>
      <c r="CP87" t="s">
        <v>188</v>
      </c>
      <c r="CQ87" s="149">
        <f t="shared" si="16"/>
        <v>0.12023168320190127</v>
      </c>
      <c r="CR87" s="149">
        <v>0.12023168320190127</v>
      </c>
      <c r="CS87" s="150" t="s">
        <v>171</v>
      </c>
      <c r="CT87" t="s">
        <v>189</v>
      </c>
      <c r="CU87" t="s">
        <v>171</v>
      </c>
      <c r="CV87" t="s">
        <v>190</v>
      </c>
      <c r="CW87" t="s">
        <v>191</v>
      </c>
      <c r="CX87" t="s">
        <v>191</v>
      </c>
      <c r="CY87" t="s">
        <v>191</v>
      </c>
      <c r="CZ87" t="s">
        <v>171</v>
      </c>
      <c r="DA87" t="s">
        <v>171</v>
      </c>
      <c r="DB87" t="s">
        <v>171</v>
      </c>
      <c r="DC87" t="s">
        <v>171</v>
      </c>
      <c r="DD87" t="s">
        <v>171</v>
      </c>
      <c r="DE87" t="s">
        <v>171</v>
      </c>
      <c r="DF87" t="s">
        <v>171</v>
      </c>
      <c r="DG87">
        <v>35</v>
      </c>
      <c r="DH87" t="s">
        <v>185</v>
      </c>
      <c r="DI87" s="142">
        <v>3</v>
      </c>
      <c r="DJ87" s="144" t="s">
        <v>192</v>
      </c>
      <c r="DK87" s="144" t="s">
        <v>171</v>
      </c>
      <c r="DL87" s="144" t="s">
        <v>171</v>
      </c>
      <c r="DM87" s="144" t="s">
        <v>171</v>
      </c>
      <c r="DN87" s="144" t="s">
        <v>171</v>
      </c>
      <c r="DO87" s="144" t="s">
        <v>171</v>
      </c>
      <c r="DP87" s="144" t="s">
        <v>171</v>
      </c>
      <c r="DQ87" s="144" t="s">
        <v>171</v>
      </c>
      <c r="DR87" s="144" t="s">
        <v>171</v>
      </c>
      <c r="DS87" s="144" t="s">
        <v>171</v>
      </c>
      <c r="DT87" s="144" t="s">
        <v>171</v>
      </c>
      <c r="DU87" s="144" t="s">
        <v>171</v>
      </c>
      <c r="DV87" s="144" t="s">
        <v>171</v>
      </c>
      <c r="DW87" s="147">
        <v>432.56244218316402</v>
      </c>
      <c r="DX87" t="s">
        <v>193</v>
      </c>
      <c r="DY87">
        <v>37.1</v>
      </c>
      <c r="DZ87" t="s">
        <v>194</v>
      </c>
      <c r="EA87">
        <v>39.61</v>
      </c>
      <c r="EB87" t="s">
        <v>185</v>
      </c>
      <c r="EC87" s="149">
        <f t="shared" si="17"/>
        <v>0.21509400000000001</v>
      </c>
      <c r="ED87" t="s">
        <v>195</v>
      </c>
      <c r="EE87" t="s">
        <v>196</v>
      </c>
      <c r="EF87" t="s">
        <v>197</v>
      </c>
      <c r="EG87">
        <v>1.0271999999999999</v>
      </c>
      <c r="EH87" t="s">
        <v>171</v>
      </c>
      <c r="EI87" t="s">
        <v>171</v>
      </c>
      <c r="EJ87" t="s">
        <v>198</v>
      </c>
      <c r="EK87" t="s">
        <v>191</v>
      </c>
      <c r="EL87" t="s">
        <v>191</v>
      </c>
      <c r="EM87" t="s">
        <v>199</v>
      </c>
      <c r="EN87" t="s">
        <v>200</v>
      </c>
      <c r="EO87" s="151" t="s">
        <v>201</v>
      </c>
      <c r="EP87" s="151" t="s">
        <v>201</v>
      </c>
      <c r="EQ87" s="144" t="s">
        <v>171</v>
      </c>
      <c r="ER87" s="144" t="s">
        <v>171</v>
      </c>
      <c r="ES87" s="144" t="s">
        <v>171</v>
      </c>
      <c r="ET87" t="s">
        <v>202</v>
      </c>
      <c r="EU87" t="s">
        <v>203</v>
      </c>
      <c r="EV87" t="s">
        <v>171</v>
      </c>
      <c r="EW87">
        <v>2414</v>
      </c>
      <c r="EX87" s="151" t="s">
        <v>204</v>
      </c>
      <c r="EY87" s="151">
        <v>175</v>
      </c>
      <c r="EZ87">
        <v>175</v>
      </c>
      <c r="FA87" t="s">
        <v>171</v>
      </c>
      <c r="FB87" t="s">
        <v>171</v>
      </c>
      <c r="FC87" t="s">
        <v>171</v>
      </c>
      <c r="FD87" t="s">
        <v>171</v>
      </c>
      <c r="FE87" s="152">
        <v>8.1657448839488005</v>
      </c>
      <c r="FF87" t="s">
        <v>205</v>
      </c>
      <c r="FG87" s="144" t="s">
        <v>171</v>
      </c>
      <c r="FH87" s="144" t="s">
        <v>171</v>
      </c>
      <c r="FI87" s="153">
        <v>283.12715809999997</v>
      </c>
      <c r="FJ87">
        <v>21</v>
      </c>
      <c r="FK87" t="s">
        <v>207</v>
      </c>
      <c r="FL87" s="160">
        <v>262.12715809999997</v>
      </c>
      <c r="FM87" s="161">
        <v>39.029958104301045</v>
      </c>
      <c r="FN87" s="161">
        <v>38.400641805425977</v>
      </c>
      <c r="FO87" t="s">
        <v>186</v>
      </c>
      <c r="FP87" t="s">
        <v>208</v>
      </c>
      <c r="FQ87" t="s">
        <v>171</v>
      </c>
      <c r="FR87" t="s">
        <v>171</v>
      </c>
      <c r="FS87" t="s">
        <v>171</v>
      </c>
      <c r="FT87" t="s">
        <v>171</v>
      </c>
      <c r="FU87" t="s">
        <v>171</v>
      </c>
      <c r="FV87" t="s">
        <v>171</v>
      </c>
      <c r="FW87" t="s">
        <v>171</v>
      </c>
      <c r="FX87" t="s">
        <v>171</v>
      </c>
      <c r="FY87" t="s">
        <v>171</v>
      </c>
      <c r="FZ87" t="s">
        <v>171</v>
      </c>
      <c r="GA87" t="s">
        <v>171</v>
      </c>
      <c r="GB87" t="s">
        <v>171</v>
      </c>
    </row>
    <row r="88" spans="1:184" ht="16" x14ac:dyDescent="0.2">
      <c r="A88" t="s">
        <v>217</v>
      </c>
      <c r="B88" s="143" t="s">
        <v>216</v>
      </c>
      <c r="C88" s="138" t="s">
        <v>212</v>
      </c>
      <c r="D88" t="s">
        <v>211</v>
      </c>
      <c r="E88">
        <v>2017</v>
      </c>
      <c r="F88" t="str">
        <f t="shared" si="21"/>
        <v>10.1073/pnas.1702143114</v>
      </c>
      <c r="G88" s="147">
        <f t="shared" si="22"/>
        <v>1154.0899999999999</v>
      </c>
      <c r="H88">
        <f t="shared" si="18"/>
        <v>6</v>
      </c>
      <c r="I88">
        <f t="shared" si="19"/>
        <v>6</v>
      </c>
      <c r="J88" s="153">
        <f t="shared" si="23"/>
        <v>246.3945483</v>
      </c>
      <c r="K88" s="153">
        <f t="shared" si="24"/>
        <v>37.652452665310989</v>
      </c>
      <c r="L88" s="153">
        <f t="shared" si="25"/>
        <v>36.004043339790002</v>
      </c>
      <c r="M88" t="b">
        <v>1</v>
      </c>
      <c r="N88">
        <v>3</v>
      </c>
      <c r="O88" s="144" t="s">
        <v>228</v>
      </c>
      <c r="P88" s="144" t="s">
        <v>229</v>
      </c>
      <c r="Q88" t="b">
        <v>0</v>
      </c>
      <c r="R88" t="s">
        <v>214</v>
      </c>
      <c r="S88" t="b">
        <v>1</v>
      </c>
      <c r="T88" t="b">
        <v>0</v>
      </c>
      <c r="U88" t="s">
        <v>171</v>
      </c>
      <c r="V88" t="s">
        <v>171</v>
      </c>
      <c r="W88" t="b">
        <v>0</v>
      </c>
      <c r="X88" t="s">
        <v>171</v>
      </c>
      <c r="Y88" s="139" t="s">
        <v>167</v>
      </c>
      <c r="Z88" s="143" t="s">
        <v>168</v>
      </c>
      <c r="AA88" t="s">
        <v>169</v>
      </c>
      <c r="AB88" s="157" t="s">
        <v>210</v>
      </c>
      <c r="AC88" s="157">
        <v>5</v>
      </c>
      <c r="AD88" s="157">
        <v>2</v>
      </c>
      <c r="AE88" s="158">
        <v>48</v>
      </c>
      <c r="AF88" s="158">
        <f t="shared" si="15"/>
        <v>50</v>
      </c>
      <c r="AG88" s="159">
        <v>38.08</v>
      </c>
      <c r="AH88" s="159">
        <v>38.08</v>
      </c>
      <c r="AI88" t="s">
        <v>171</v>
      </c>
      <c r="AJ88" t="s">
        <v>172</v>
      </c>
      <c r="AK88" s="146">
        <v>12.74</v>
      </c>
      <c r="AL88" s="146">
        <v>-78.739999999999995</v>
      </c>
      <c r="AM88" t="s">
        <v>171</v>
      </c>
      <c r="AN88" t="s">
        <v>171</v>
      </c>
      <c r="AO88">
        <v>-2839</v>
      </c>
      <c r="AP88" t="s">
        <v>171</v>
      </c>
      <c r="AQ88" t="s">
        <v>171</v>
      </c>
      <c r="AR88" t="s">
        <v>171</v>
      </c>
      <c r="AS88">
        <v>1154.0899999999999</v>
      </c>
      <c r="AT88" t="s">
        <v>173</v>
      </c>
      <c r="AU88">
        <v>6</v>
      </c>
      <c r="AV88">
        <v>6</v>
      </c>
      <c r="AW88" t="s">
        <v>171</v>
      </c>
      <c r="AX88" t="s">
        <v>174</v>
      </c>
      <c r="AY88" t="s">
        <v>171</v>
      </c>
      <c r="AZ88" t="s">
        <v>171</v>
      </c>
      <c r="BA88" t="s">
        <v>171</v>
      </c>
      <c r="BB88" t="s">
        <v>171</v>
      </c>
      <c r="BC88" t="s">
        <v>171</v>
      </c>
      <c r="BD88" t="s">
        <v>171</v>
      </c>
      <c r="BE88" t="s">
        <v>171</v>
      </c>
      <c r="BF88" t="s">
        <v>171</v>
      </c>
      <c r="BG88" t="s">
        <v>175</v>
      </c>
      <c r="BH88" t="s">
        <v>176</v>
      </c>
      <c r="BI88" t="s">
        <v>177</v>
      </c>
      <c r="BJ88" s="142">
        <v>2</v>
      </c>
      <c r="BK88" t="s">
        <v>178</v>
      </c>
      <c r="BL88" t="s">
        <v>179</v>
      </c>
      <c r="BM88" t="s">
        <v>180</v>
      </c>
      <c r="BN88" t="s">
        <v>171</v>
      </c>
      <c r="BO88" s="142">
        <v>2</v>
      </c>
      <c r="BP88" s="144" t="s">
        <v>171</v>
      </c>
      <c r="BQ88" s="149">
        <v>20.519103950000002</v>
      </c>
      <c r="BR88" t="s">
        <v>181</v>
      </c>
      <c r="BS88" s="149">
        <v>0.222955026</v>
      </c>
      <c r="BT88">
        <v>0.64</v>
      </c>
      <c r="BU88" t="s">
        <v>182</v>
      </c>
      <c r="BV88">
        <v>3.4000000000000002E-2</v>
      </c>
      <c r="BW88">
        <v>9.1</v>
      </c>
      <c r="BX88" t="s">
        <v>173</v>
      </c>
      <c r="BY88">
        <v>0.56000000000000005</v>
      </c>
      <c r="BZ88" t="s">
        <v>183</v>
      </c>
      <c r="CA88" t="s">
        <v>184</v>
      </c>
      <c r="CB88" s="148">
        <f t="shared" si="20"/>
        <v>19.415173250000006</v>
      </c>
      <c r="CC88" s="144" t="s">
        <v>185</v>
      </c>
      <c r="CD88" s="144" t="s">
        <v>171</v>
      </c>
      <c r="CE88" s="144" t="s">
        <v>171</v>
      </c>
      <c r="CF88" t="s">
        <v>186</v>
      </c>
      <c r="CG88" s="144">
        <v>10</v>
      </c>
      <c r="CH88" s="144" t="s">
        <v>187</v>
      </c>
      <c r="CI88" s="144" t="s">
        <v>171</v>
      </c>
      <c r="CJ88" s="147">
        <v>24.003456360000001</v>
      </c>
      <c r="CK88" t="s">
        <v>173</v>
      </c>
      <c r="CL88">
        <v>3</v>
      </c>
      <c r="CM88">
        <v>3</v>
      </c>
      <c r="CN88" t="s">
        <v>171</v>
      </c>
      <c r="CO88" s="149">
        <v>3.2746396578140695</v>
      </c>
      <c r="CP88" t="s">
        <v>188</v>
      </c>
      <c r="CQ88" s="149">
        <f t="shared" si="16"/>
        <v>0.1309855863125628</v>
      </c>
      <c r="CR88" s="149">
        <v>0.1309855863125628</v>
      </c>
      <c r="CS88" s="150" t="s">
        <v>171</v>
      </c>
      <c r="CT88" t="s">
        <v>189</v>
      </c>
      <c r="CU88" t="s">
        <v>171</v>
      </c>
      <c r="CV88" t="s">
        <v>190</v>
      </c>
      <c r="CW88" t="s">
        <v>191</v>
      </c>
      <c r="CX88" t="s">
        <v>191</v>
      </c>
      <c r="CY88" t="s">
        <v>191</v>
      </c>
      <c r="CZ88" t="s">
        <v>171</v>
      </c>
      <c r="DA88" t="s">
        <v>171</v>
      </c>
      <c r="DB88" t="s">
        <v>171</v>
      </c>
      <c r="DC88" t="s">
        <v>171</v>
      </c>
      <c r="DD88" t="s">
        <v>171</v>
      </c>
      <c r="DE88" t="s">
        <v>171</v>
      </c>
      <c r="DF88" t="s">
        <v>171</v>
      </c>
      <c r="DG88">
        <v>35</v>
      </c>
      <c r="DH88" t="s">
        <v>185</v>
      </c>
      <c r="DI88" s="142">
        <v>3</v>
      </c>
      <c r="DJ88" s="144" t="s">
        <v>192</v>
      </c>
      <c r="DK88" s="144" t="s">
        <v>171</v>
      </c>
      <c r="DL88" s="144" t="s">
        <v>171</v>
      </c>
      <c r="DM88" s="144" t="s">
        <v>171</v>
      </c>
      <c r="DN88" s="144" t="s">
        <v>171</v>
      </c>
      <c r="DO88" s="144" t="s">
        <v>171</v>
      </c>
      <c r="DP88" s="144" t="s">
        <v>171</v>
      </c>
      <c r="DQ88" s="144" t="s">
        <v>171</v>
      </c>
      <c r="DR88" s="144" t="s">
        <v>171</v>
      </c>
      <c r="DS88" s="144" t="s">
        <v>171</v>
      </c>
      <c r="DT88" s="144" t="s">
        <v>171</v>
      </c>
      <c r="DU88" s="144" t="s">
        <v>171</v>
      </c>
      <c r="DV88" s="144" t="s">
        <v>171</v>
      </c>
      <c r="DW88" s="147">
        <v>432.56244218316402</v>
      </c>
      <c r="DX88" t="s">
        <v>193</v>
      </c>
      <c r="DY88">
        <v>37.1</v>
      </c>
      <c r="DZ88" t="s">
        <v>194</v>
      </c>
      <c r="EA88">
        <v>39.61</v>
      </c>
      <c r="EB88" t="s">
        <v>185</v>
      </c>
      <c r="EC88" s="149">
        <f t="shared" si="17"/>
        <v>0.21540900000000002</v>
      </c>
      <c r="ED88" t="s">
        <v>195</v>
      </c>
      <c r="EE88" t="s">
        <v>196</v>
      </c>
      <c r="EF88" t="s">
        <v>197</v>
      </c>
      <c r="EG88">
        <v>1.0271999999999999</v>
      </c>
      <c r="EH88" t="s">
        <v>171</v>
      </c>
      <c r="EI88" t="s">
        <v>171</v>
      </c>
      <c r="EJ88" t="s">
        <v>198</v>
      </c>
      <c r="EK88" t="s">
        <v>191</v>
      </c>
      <c r="EL88" t="s">
        <v>191</v>
      </c>
      <c r="EM88" t="s">
        <v>199</v>
      </c>
      <c r="EN88" t="s">
        <v>200</v>
      </c>
      <c r="EO88" s="151" t="s">
        <v>201</v>
      </c>
      <c r="EP88" s="151" t="s">
        <v>201</v>
      </c>
      <c r="EQ88" s="144" t="s">
        <v>171</v>
      </c>
      <c r="ER88" s="144" t="s">
        <v>171</v>
      </c>
      <c r="ES88" s="144" t="s">
        <v>171</v>
      </c>
      <c r="ET88" t="s">
        <v>202</v>
      </c>
      <c r="EU88" t="s">
        <v>203</v>
      </c>
      <c r="EV88" t="s">
        <v>171</v>
      </c>
      <c r="EW88">
        <v>2415</v>
      </c>
      <c r="EX88" s="151" t="s">
        <v>204</v>
      </c>
      <c r="EY88" s="151">
        <v>175</v>
      </c>
      <c r="EZ88">
        <v>175</v>
      </c>
      <c r="FA88" t="s">
        <v>171</v>
      </c>
      <c r="FB88" t="s">
        <v>171</v>
      </c>
      <c r="FC88" t="s">
        <v>171</v>
      </c>
      <c r="FD88" t="s">
        <v>171</v>
      </c>
      <c r="FE88" s="152">
        <v>8.1835330632976806</v>
      </c>
      <c r="FF88" t="s">
        <v>205</v>
      </c>
      <c r="FG88" s="144" t="s">
        <v>171</v>
      </c>
      <c r="FH88" s="144" t="s">
        <v>171</v>
      </c>
      <c r="FI88" s="153">
        <v>267.3945483</v>
      </c>
      <c r="FJ88">
        <v>21</v>
      </c>
      <c r="FK88" t="s">
        <v>207</v>
      </c>
      <c r="FL88" s="160">
        <v>246.3945483</v>
      </c>
      <c r="FM88" s="161">
        <v>37.652452665310989</v>
      </c>
      <c r="FN88" s="161">
        <v>36.004043339790002</v>
      </c>
      <c r="FO88" t="s">
        <v>186</v>
      </c>
      <c r="FP88" t="s">
        <v>208</v>
      </c>
      <c r="FQ88" t="s">
        <v>171</v>
      </c>
      <c r="FR88" t="s">
        <v>171</v>
      </c>
      <c r="FS88" t="s">
        <v>171</v>
      </c>
      <c r="FT88" t="s">
        <v>171</v>
      </c>
      <c r="FU88" t="s">
        <v>171</v>
      </c>
      <c r="FV88" t="s">
        <v>171</v>
      </c>
      <c r="FW88" t="s">
        <v>171</v>
      </c>
      <c r="FX88" t="s">
        <v>171</v>
      </c>
      <c r="FY88" t="s">
        <v>171</v>
      </c>
      <c r="FZ88" t="s">
        <v>171</v>
      </c>
      <c r="GA88" t="s">
        <v>171</v>
      </c>
      <c r="GB88" t="s">
        <v>171</v>
      </c>
    </row>
    <row r="89" spans="1:184" ht="16" x14ac:dyDescent="0.2">
      <c r="A89" t="s">
        <v>217</v>
      </c>
      <c r="B89" s="143" t="s">
        <v>216</v>
      </c>
      <c r="C89" s="138" t="s">
        <v>212</v>
      </c>
      <c r="D89" t="s">
        <v>211</v>
      </c>
      <c r="E89">
        <v>2017</v>
      </c>
      <c r="F89" t="str">
        <f t="shared" si="21"/>
        <v>10.1073/pnas.1702143114</v>
      </c>
      <c r="G89" s="147">
        <f t="shared" si="22"/>
        <v>1157.77</v>
      </c>
      <c r="H89">
        <f t="shared" si="18"/>
        <v>6</v>
      </c>
      <c r="I89">
        <f t="shared" si="19"/>
        <v>6</v>
      </c>
      <c r="J89" s="153">
        <f t="shared" si="23"/>
        <v>301.9340588</v>
      </c>
      <c r="K89" s="153">
        <f t="shared" si="24"/>
        <v>44.670751358211021</v>
      </c>
      <c r="L89" s="153">
        <f t="shared" si="25"/>
        <v>42.146764635550028</v>
      </c>
      <c r="M89" t="b">
        <v>1</v>
      </c>
      <c r="N89">
        <v>3</v>
      </c>
      <c r="O89" s="144" t="s">
        <v>228</v>
      </c>
      <c r="P89" s="144" t="s">
        <v>229</v>
      </c>
      <c r="Q89" t="b">
        <v>0</v>
      </c>
      <c r="R89" t="s">
        <v>214</v>
      </c>
      <c r="S89" t="b">
        <v>1</v>
      </c>
      <c r="T89" t="b">
        <v>0</v>
      </c>
      <c r="U89" t="s">
        <v>171</v>
      </c>
      <c r="V89" t="s">
        <v>171</v>
      </c>
      <c r="W89" t="b">
        <v>0</v>
      </c>
      <c r="X89" t="s">
        <v>171</v>
      </c>
      <c r="Y89" s="139" t="s">
        <v>167</v>
      </c>
      <c r="Z89" s="143" t="s">
        <v>168</v>
      </c>
      <c r="AA89" t="s">
        <v>169</v>
      </c>
      <c r="AB89" s="157" t="s">
        <v>210</v>
      </c>
      <c r="AC89" s="157">
        <v>5</v>
      </c>
      <c r="AD89" s="157">
        <v>2</v>
      </c>
      <c r="AE89" s="158">
        <v>58.530575000000283</v>
      </c>
      <c r="AF89" s="158">
        <f t="shared" si="15"/>
        <v>60.530575000000283</v>
      </c>
      <c r="AG89" s="159">
        <v>38.185081070000003</v>
      </c>
      <c r="AH89" s="159">
        <v>38.185081070000003</v>
      </c>
      <c r="AI89" t="s">
        <v>171</v>
      </c>
      <c r="AJ89" t="s">
        <v>172</v>
      </c>
      <c r="AK89" s="146">
        <v>12.74</v>
      </c>
      <c r="AL89" s="146">
        <v>-78.739999999999995</v>
      </c>
      <c r="AM89" t="s">
        <v>171</v>
      </c>
      <c r="AN89" t="s">
        <v>171</v>
      </c>
      <c r="AO89">
        <v>-2839</v>
      </c>
      <c r="AP89" t="s">
        <v>171</v>
      </c>
      <c r="AQ89" t="s">
        <v>171</v>
      </c>
      <c r="AR89" t="s">
        <v>171</v>
      </c>
      <c r="AS89">
        <v>1157.77</v>
      </c>
      <c r="AT89" t="s">
        <v>173</v>
      </c>
      <c r="AU89">
        <v>6</v>
      </c>
      <c r="AV89">
        <v>6</v>
      </c>
      <c r="AW89" t="s">
        <v>171</v>
      </c>
      <c r="AX89" t="s">
        <v>174</v>
      </c>
      <c r="AY89" t="s">
        <v>171</v>
      </c>
      <c r="AZ89" t="s">
        <v>171</v>
      </c>
      <c r="BA89" t="s">
        <v>171</v>
      </c>
      <c r="BB89" t="s">
        <v>171</v>
      </c>
      <c r="BC89" t="s">
        <v>171</v>
      </c>
      <c r="BD89" t="s">
        <v>171</v>
      </c>
      <c r="BE89" t="s">
        <v>171</v>
      </c>
      <c r="BF89" t="s">
        <v>171</v>
      </c>
      <c r="BG89" t="s">
        <v>175</v>
      </c>
      <c r="BH89" t="s">
        <v>176</v>
      </c>
      <c r="BI89" t="s">
        <v>177</v>
      </c>
      <c r="BJ89" s="142">
        <v>2</v>
      </c>
      <c r="BK89" t="s">
        <v>178</v>
      </c>
      <c r="BL89" t="s">
        <v>179</v>
      </c>
      <c r="BM89" t="s">
        <v>180</v>
      </c>
      <c r="BN89" t="s">
        <v>171</v>
      </c>
      <c r="BO89" s="142">
        <v>2</v>
      </c>
      <c r="BP89" s="144" t="s">
        <v>171</v>
      </c>
      <c r="BQ89" s="149">
        <v>20.102758009999999</v>
      </c>
      <c r="BR89" t="s">
        <v>181</v>
      </c>
      <c r="BS89" s="149">
        <v>0.217485602</v>
      </c>
      <c r="BT89">
        <v>0.64</v>
      </c>
      <c r="BU89" t="s">
        <v>182</v>
      </c>
      <c r="BV89">
        <v>3.4000000000000002E-2</v>
      </c>
      <c r="BW89">
        <v>9.1</v>
      </c>
      <c r="BX89" t="s">
        <v>173</v>
      </c>
      <c r="BY89">
        <v>0.56000000000000005</v>
      </c>
      <c r="BZ89" t="s">
        <v>183</v>
      </c>
      <c r="CA89" t="s">
        <v>184</v>
      </c>
      <c r="CB89" s="148">
        <f t="shared" si="20"/>
        <v>18.721263350000001</v>
      </c>
      <c r="CC89" s="144" t="s">
        <v>185</v>
      </c>
      <c r="CD89" s="144" t="s">
        <v>171</v>
      </c>
      <c r="CE89" s="144" t="s">
        <v>171</v>
      </c>
      <c r="CF89" t="s">
        <v>186</v>
      </c>
      <c r="CG89" s="144">
        <v>10</v>
      </c>
      <c r="CH89" s="144" t="s">
        <v>187</v>
      </c>
      <c r="CI89" s="144" t="s">
        <v>171</v>
      </c>
      <c r="CJ89" s="147">
        <v>24.5289015</v>
      </c>
      <c r="CK89" t="s">
        <v>173</v>
      </c>
      <c r="CL89">
        <v>3</v>
      </c>
      <c r="CM89">
        <v>3</v>
      </c>
      <c r="CN89" t="s">
        <v>171</v>
      </c>
      <c r="CO89" s="149">
        <v>3.4288489882960311</v>
      </c>
      <c r="CP89" t="s">
        <v>188</v>
      </c>
      <c r="CQ89" s="149">
        <f t="shared" si="16"/>
        <v>0.13715395953184126</v>
      </c>
      <c r="CR89" s="149">
        <v>0.13715395953184126</v>
      </c>
      <c r="CS89" s="150" t="s">
        <v>171</v>
      </c>
      <c r="CT89" t="s">
        <v>189</v>
      </c>
      <c r="CU89" t="s">
        <v>171</v>
      </c>
      <c r="CV89" t="s">
        <v>190</v>
      </c>
      <c r="CW89" t="s">
        <v>191</v>
      </c>
      <c r="CX89" t="s">
        <v>191</v>
      </c>
      <c r="CY89" t="s">
        <v>191</v>
      </c>
      <c r="CZ89" t="s">
        <v>171</v>
      </c>
      <c r="DA89" t="s">
        <v>171</v>
      </c>
      <c r="DB89" t="s">
        <v>171</v>
      </c>
      <c r="DC89" t="s">
        <v>171</v>
      </c>
      <c r="DD89" t="s">
        <v>171</v>
      </c>
      <c r="DE89" t="s">
        <v>171</v>
      </c>
      <c r="DF89" t="s">
        <v>171</v>
      </c>
      <c r="DG89">
        <v>35</v>
      </c>
      <c r="DH89" t="s">
        <v>185</v>
      </c>
      <c r="DI89" s="142">
        <v>3</v>
      </c>
      <c r="DJ89" s="144" t="s">
        <v>192</v>
      </c>
      <c r="DK89" s="144" t="s">
        <v>171</v>
      </c>
      <c r="DL89" s="144" t="s">
        <v>171</v>
      </c>
      <c r="DM89" s="144" t="s">
        <v>171</v>
      </c>
      <c r="DN89" s="144" t="s">
        <v>171</v>
      </c>
      <c r="DO89" s="144" t="s">
        <v>171</v>
      </c>
      <c r="DP89" s="144" t="s">
        <v>171</v>
      </c>
      <c r="DQ89" s="144" t="s">
        <v>171</v>
      </c>
      <c r="DR89" s="144" t="s">
        <v>171</v>
      </c>
      <c r="DS89" s="144" t="s">
        <v>171</v>
      </c>
      <c r="DT89" s="144" t="s">
        <v>171</v>
      </c>
      <c r="DU89" s="144" t="s">
        <v>171</v>
      </c>
      <c r="DV89" s="144" t="s">
        <v>171</v>
      </c>
      <c r="DW89" s="147">
        <v>432.56244218316402</v>
      </c>
      <c r="DX89" t="s">
        <v>193</v>
      </c>
      <c r="DY89">
        <v>37.1</v>
      </c>
      <c r="DZ89" t="s">
        <v>194</v>
      </c>
      <c r="EA89">
        <v>39.61</v>
      </c>
      <c r="EB89" t="s">
        <v>185</v>
      </c>
      <c r="EC89" s="149">
        <f t="shared" si="17"/>
        <v>0.215777</v>
      </c>
      <c r="ED89" t="s">
        <v>195</v>
      </c>
      <c r="EE89" t="s">
        <v>196</v>
      </c>
      <c r="EF89" t="s">
        <v>197</v>
      </c>
      <c r="EG89">
        <v>1.0271999999999999</v>
      </c>
      <c r="EH89" t="s">
        <v>171</v>
      </c>
      <c r="EI89" t="s">
        <v>171</v>
      </c>
      <c r="EJ89" t="s">
        <v>198</v>
      </c>
      <c r="EK89" t="s">
        <v>191</v>
      </c>
      <c r="EL89" t="s">
        <v>191</v>
      </c>
      <c r="EM89" t="s">
        <v>199</v>
      </c>
      <c r="EN89" t="s">
        <v>200</v>
      </c>
      <c r="EO89" s="151" t="s">
        <v>201</v>
      </c>
      <c r="EP89" s="151" t="s">
        <v>201</v>
      </c>
      <c r="EQ89" s="144" t="s">
        <v>171</v>
      </c>
      <c r="ER89" s="144" t="s">
        <v>171</v>
      </c>
      <c r="ES89" s="144" t="s">
        <v>171</v>
      </c>
      <c r="ET89" t="s">
        <v>202</v>
      </c>
      <c r="EU89" t="s">
        <v>203</v>
      </c>
      <c r="EV89" t="s">
        <v>171</v>
      </c>
      <c r="EW89">
        <v>2416</v>
      </c>
      <c r="EX89" s="151" t="s">
        <v>204</v>
      </c>
      <c r="EY89" s="151">
        <v>175</v>
      </c>
      <c r="EZ89">
        <v>175</v>
      </c>
      <c r="FA89" t="s">
        <v>171</v>
      </c>
      <c r="FB89" t="s">
        <v>171</v>
      </c>
      <c r="FC89" t="s">
        <v>171</v>
      </c>
      <c r="FD89" t="s">
        <v>171</v>
      </c>
      <c r="FE89" s="152">
        <v>8.1184380907580707</v>
      </c>
      <c r="FF89" t="s">
        <v>205</v>
      </c>
      <c r="FG89" s="144" t="s">
        <v>171</v>
      </c>
      <c r="FH89" s="144" t="s">
        <v>171</v>
      </c>
      <c r="FI89" s="153">
        <v>322.9340588</v>
      </c>
      <c r="FJ89">
        <v>21</v>
      </c>
      <c r="FK89" t="s">
        <v>207</v>
      </c>
      <c r="FL89" s="160">
        <v>301.9340588</v>
      </c>
      <c r="FM89" s="161">
        <v>44.670751358211021</v>
      </c>
      <c r="FN89" s="161">
        <v>42.146764635550028</v>
      </c>
      <c r="FO89" t="s">
        <v>186</v>
      </c>
      <c r="FP89" t="s">
        <v>208</v>
      </c>
      <c r="FQ89" t="s">
        <v>171</v>
      </c>
      <c r="FR89" t="s">
        <v>171</v>
      </c>
      <c r="FS89" t="s">
        <v>171</v>
      </c>
      <c r="FT89" t="s">
        <v>171</v>
      </c>
      <c r="FU89" t="s">
        <v>171</v>
      </c>
      <c r="FV89" t="s">
        <v>171</v>
      </c>
      <c r="FW89" t="s">
        <v>171</v>
      </c>
      <c r="FX89" t="s">
        <v>171</v>
      </c>
      <c r="FY89" t="s">
        <v>171</v>
      </c>
      <c r="FZ89" t="s">
        <v>171</v>
      </c>
      <c r="GA89" t="s">
        <v>171</v>
      </c>
      <c r="GB89" t="s">
        <v>171</v>
      </c>
    </row>
    <row r="90" spans="1:184" ht="16" x14ac:dyDescent="0.2">
      <c r="A90" t="s">
        <v>217</v>
      </c>
      <c r="B90" s="143" t="s">
        <v>216</v>
      </c>
      <c r="C90" s="138" t="s">
        <v>212</v>
      </c>
      <c r="D90" t="s">
        <v>211</v>
      </c>
      <c r="E90">
        <v>2017</v>
      </c>
      <c r="F90" t="str">
        <f t="shared" si="21"/>
        <v>10.1073/pnas.1702143114</v>
      </c>
      <c r="G90" s="147">
        <f t="shared" si="22"/>
        <v>1160.73</v>
      </c>
      <c r="H90">
        <f t="shared" si="18"/>
        <v>6</v>
      </c>
      <c r="I90">
        <f t="shared" si="19"/>
        <v>6</v>
      </c>
      <c r="J90" s="153">
        <f t="shared" si="23"/>
        <v>311.41142660000003</v>
      </c>
      <c r="K90" s="153">
        <f t="shared" si="24"/>
        <v>45.691829283649952</v>
      </c>
      <c r="L90" s="153">
        <f t="shared" si="25"/>
        <v>42.345422190779004</v>
      </c>
      <c r="M90" t="b">
        <v>1</v>
      </c>
      <c r="N90">
        <v>3</v>
      </c>
      <c r="O90" s="144" t="s">
        <v>228</v>
      </c>
      <c r="P90" s="144" t="s">
        <v>229</v>
      </c>
      <c r="Q90" t="b">
        <v>0</v>
      </c>
      <c r="R90" t="s">
        <v>214</v>
      </c>
      <c r="S90" t="b">
        <v>1</v>
      </c>
      <c r="T90" t="b">
        <v>0</v>
      </c>
      <c r="U90" t="s">
        <v>171</v>
      </c>
      <c r="V90" t="s">
        <v>171</v>
      </c>
      <c r="W90" t="b">
        <v>0</v>
      </c>
      <c r="X90" t="s">
        <v>171</v>
      </c>
      <c r="Y90" s="139" t="s">
        <v>167</v>
      </c>
      <c r="Z90" s="143" t="s">
        <v>168</v>
      </c>
      <c r="AA90" t="s">
        <v>169</v>
      </c>
      <c r="AB90" s="157" t="s">
        <v>210</v>
      </c>
      <c r="AC90" s="157">
        <v>5</v>
      </c>
      <c r="AD90" s="157">
        <v>2</v>
      </c>
      <c r="AE90" s="158">
        <v>66.971234999999695</v>
      </c>
      <c r="AF90" s="158">
        <f t="shared" si="15"/>
        <v>68.971234999999695</v>
      </c>
      <c r="AG90" s="159">
        <v>38.269487669999997</v>
      </c>
      <c r="AH90" s="159">
        <v>38.269487669999997</v>
      </c>
      <c r="AI90" t="s">
        <v>171</v>
      </c>
      <c r="AJ90" t="s">
        <v>172</v>
      </c>
      <c r="AK90" s="146">
        <v>12.74</v>
      </c>
      <c r="AL90" s="146">
        <v>-78.739999999999995</v>
      </c>
      <c r="AM90" t="s">
        <v>171</v>
      </c>
      <c r="AN90" t="s">
        <v>171</v>
      </c>
      <c r="AO90">
        <v>-2839</v>
      </c>
      <c r="AP90" t="s">
        <v>171</v>
      </c>
      <c r="AQ90" t="s">
        <v>171</v>
      </c>
      <c r="AR90" t="s">
        <v>171</v>
      </c>
      <c r="AS90">
        <v>1160.73</v>
      </c>
      <c r="AT90" t="s">
        <v>173</v>
      </c>
      <c r="AU90">
        <v>6</v>
      </c>
      <c r="AV90">
        <v>6</v>
      </c>
      <c r="AW90" t="s">
        <v>171</v>
      </c>
      <c r="AX90" t="s">
        <v>174</v>
      </c>
      <c r="AY90" t="s">
        <v>171</v>
      </c>
      <c r="AZ90" t="s">
        <v>171</v>
      </c>
      <c r="BA90" t="s">
        <v>171</v>
      </c>
      <c r="BB90" t="s">
        <v>171</v>
      </c>
      <c r="BC90" t="s">
        <v>171</v>
      </c>
      <c r="BD90" t="s">
        <v>171</v>
      </c>
      <c r="BE90" t="s">
        <v>171</v>
      </c>
      <c r="BF90" t="s">
        <v>171</v>
      </c>
      <c r="BG90" t="s">
        <v>175</v>
      </c>
      <c r="BH90" t="s">
        <v>176</v>
      </c>
      <c r="BI90" t="s">
        <v>177</v>
      </c>
      <c r="BJ90" s="142">
        <v>2</v>
      </c>
      <c r="BK90" t="s">
        <v>178</v>
      </c>
      <c r="BL90" t="s">
        <v>179</v>
      </c>
      <c r="BM90" t="s">
        <v>180</v>
      </c>
      <c r="BN90" t="s">
        <v>171</v>
      </c>
      <c r="BO90" s="142">
        <v>2</v>
      </c>
      <c r="BP90" s="144" t="s">
        <v>171</v>
      </c>
      <c r="BQ90" s="149">
        <v>19.98</v>
      </c>
      <c r="BR90" t="s">
        <v>181</v>
      </c>
      <c r="BS90" s="149">
        <v>0.21643417200000001</v>
      </c>
      <c r="BT90">
        <v>0.64</v>
      </c>
      <c r="BU90" t="s">
        <v>182</v>
      </c>
      <c r="BV90">
        <v>3.4000000000000002E-2</v>
      </c>
      <c r="BW90">
        <v>9.1</v>
      </c>
      <c r="BX90" t="s">
        <v>173</v>
      </c>
      <c r="BY90">
        <v>0.56000000000000005</v>
      </c>
      <c r="BZ90" t="s">
        <v>183</v>
      </c>
      <c r="CA90" t="s">
        <v>184</v>
      </c>
      <c r="CB90" s="148">
        <f t="shared" si="20"/>
        <v>18.516666666666669</v>
      </c>
      <c r="CC90" s="144" t="s">
        <v>185</v>
      </c>
      <c r="CD90" s="144" t="s">
        <v>171</v>
      </c>
      <c r="CE90" s="144" t="s">
        <v>171</v>
      </c>
      <c r="CF90" t="s">
        <v>186</v>
      </c>
      <c r="CG90" s="144">
        <v>10</v>
      </c>
      <c r="CH90" s="144" t="s">
        <v>187</v>
      </c>
      <c r="CI90" s="144" t="s">
        <v>171</v>
      </c>
      <c r="CJ90" s="147">
        <v>23.843971790000001</v>
      </c>
      <c r="CK90" t="s">
        <v>173</v>
      </c>
      <c r="CL90">
        <v>3</v>
      </c>
      <c r="CM90">
        <v>3</v>
      </c>
      <c r="CN90" t="s">
        <v>171</v>
      </c>
      <c r="CO90" s="149">
        <v>3.2156274578758648</v>
      </c>
      <c r="CP90" t="s">
        <v>188</v>
      </c>
      <c r="CQ90" s="149">
        <f t="shared" si="16"/>
        <v>0.1286250983150346</v>
      </c>
      <c r="CR90" s="149">
        <v>0.1286250983150346</v>
      </c>
      <c r="CS90" s="150" t="s">
        <v>171</v>
      </c>
      <c r="CT90" t="s">
        <v>189</v>
      </c>
      <c r="CU90" t="s">
        <v>171</v>
      </c>
      <c r="CV90" t="s">
        <v>190</v>
      </c>
      <c r="CW90" t="s">
        <v>191</v>
      </c>
      <c r="CX90" t="s">
        <v>191</v>
      </c>
      <c r="CY90" t="s">
        <v>191</v>
      </c>
      <c r="CZ90" t="s">
        <v>171</v>
      </c>
      <c r="DA90" t="s">
        <v>171</v>
      </c>
      <c r="DB90" t="s">
        <v>171</v>
      </c>
      <c r="DC90" t="s">
        <v>171</v>
      </c>
      <c r="DD90" t="s">
        <v>171</v>
      </c>
      <c r="DE90" t="s">
        <v>171</v>
      </c>
      <c r="DF90" t="s">
        <v>171</v>
      </c>
      <c r="DG90">
        <v>35</v>
      </c>
      <c r="DH90" t="s">
        <v>185</v>
      </c>
      <c r="DI90" s="142">
        <v>3</v>
      </c>
      <c r="DJ90" s="144" t="s">
        <v>192</v>
      </c>
      <c r="DK90" s="144" t="s">
        <v>171</v>
      </c>
      <c r="DL90" s="144" t="s">
        <v>171</v>
      </c>
      <c r="DM90" s="144" t="s">
        <v>171</v>
      </c>
      <c r="DN90" s="144" t="s">
        <v>171</v>
      </c>
      <c r="DO90" s="144" t="s">
        <v>171</v>
      </c>
      <c r="DP90" s="144" t="s">
        <v>171</v>
      </c>
      <c r="DQ90" s="144" t="s">
        <v>171</v>
      </c>
      <c r="DR90" s="144" t="s">
        <v>171</v>
      </c>
      <c r="DS90" s="144" t="s">
        <v>171</v>
      </c>
      <c r="DT90" s="144" t="s">
        <v>171</v>
      </c>
      <c r="DU90" s="144" t="s">
        <v>171</v>
      </c>
      <c r="DV90" s="144" t="s">
        <v>171</v>
      </c>
      <c r="DW90" s="147">
        <v>432.56244218316402</v>
      </c>
      <c r="DX90" t="s">
        <v>193</v>
      </c>
      <c r="DY90">
        <v>37.1</v>
      </c>
      <c r="DZ90" t="s">
        <v>194</v>
      </c>
      <c r="EA90">
        <v>39.61</v>
      </c>
      <c r="EB90" t="s">
        <v>185</v>
      </c>
      <c r="EC90" s="149">
        <f t="shared" si="17"/>
        <v>0.21607300000000002</v>
      </c>
      <c r="ED90" t="s">
        <v>195</v>
      </c>
      <c r="EE90" t="s">
        <v>196</v>
      </c>
      <c r="EF90" t="s">
        <v>197</v>
      </c>
      <c r="EG90">
        <v>1.0271999999999999</v>
      </c>
      <c r="EH90" t="s">
        <v>171</v>
      </c>
      <c r="EI90" t="s">
        <v>171</v>
      </c>
      <c r="EJ90" t="s">
        <v>198</v>
      </c>
      <c r="EK90" t="s">
        <v>191</v>
      </c>
      <c r="EL90" t="s">
        <v>191</v>
      </c>
      <c r="EM90" t="s">
        <v>199</v>
      </c>
      <c r="EN90" t="s">
        <v>200</v>
      </c>
      <c r="EO90" s="151" t="s">
        <v>201</v>
      </c>
      <c r="EP90" s="151" t="s">
        <v>201</v>
      </c>
      <c r="EQ90" s="144" t="s">
        <v>171</v>
      </c>
      <c r="ER90" s="144" t="s">
        <v>171</v>
      </c>
      <c r="ES90" s="144" t="s">
        <v>171</v>
      </c>
      <c r="ET90" t="s">
        <v>202</v>
      </c>
      <c r="EU90" t="s">
        <v>203</v>
      </c>
      <c r="EV90" t="s">
        <v>171</v>
      </c>
      <c r="EW90">
        <v>2417</v>
      </c>
      <c r="EX90" s="151" t="s">
        <v>204</v>
      </c>
      <c r="EY90" s="151">
        <v>175</v>
      </c>
      <c r="EZ90">
        <v>175</v>
      </c>
      <c r="FA90" t="s">
        <v>171</v>
      </c>
      <c r="FB90" t="s">
        <v>171</v>
      </c>
      <c r="FC90" t="s">
        <v>171</v>
      </c>
      <c r="FD90" t="s">
        <v>171</v>
      </c>
      <c r="FE90" s="152">
        <v>8.1087633042367404</v>
      </c>
      <c r="FF90" t="s">
        <v>205</v>
      </c>
      <c r="FG90" s="144" t="s">
        <v>171</v>
      </c>
      <c r="FH90" s="144" t="s">
        <v>171</v>
      </c>
      <c r="FI90" s="153">
        <v>332.41142660000003</v>
      </c>
      <c r="FJ90">
        <v>21</v>
      </c>
      <c r="FK90" t="s">
        <v>207</v>
      </c>
      <c r="FL90" s="160">
        <v>311.41142660000003</v>
      </c>
      <c r="FM90" s="161">
        <v>45.691829283649952</v>
      </c>
      <c r="FN90" s="161">
        <v>42.345422190779004</v>
      </c>
      <c r="FO90" t="s">
        <v>186</v>
      </c>
      <c r="FP90" t="s">
        <v>208</v>
      </c>
      <c r="FQ90" t="s">
        <v>171</v>
      </c>
      <c r="FR90" t="s">
        <v>171</v>
      </c>
      <c r="FS90" t="s">
        <v>171</v>
      </c>
      <c r="FT90" t="s">
        <v>171</v>
      </c>
      <c r="FU90" t="s">
        <v>171</v>
      </c>
      <c r="FV90" t="s">
        <v>171</v>
      </c>
      <c r="FW90" t="s">
        <v>171</v>
      </c>
      <c r="FX90" t="s">
        <v>171</v>
      </c>
      <c r="FY90" t="s">
        <v>171</v>
      </c>
      <c r="FZ90" t="s">
        <v>171</v>
      </c>
      <c r="GA90" t="s">
        <v>171</v>
      </c>
      <c r="GB90" t="s">
        <v>171</v>
      </c>
    </row>
    <row r="91" spans="1:184" ht="16" x14ac:dyDescent="0.2">
      <c r="A91" t="s">
        <v>217</v>
      </c>
      <c r="B91" s="143" t="s">
        <v>216</v>
      </c>
      <c r="C91" s="138" t="s">
        <v>212</v>
      </c>
      <c r="D91" t="s">
        <v>211</v>
      </c>
      <c r="E91">
        <v>2017</v>
      </c>
      <c r="F91" t="str">
        <f t="shared" si="21"/>
        <v>10.1073/pnas.1702143114</v>
      </c>
      <c r="G91" s="147">
        <f t="shared" si="22"/>
        <v>1162.8499999999999</v>
      </c>
      <c r="H91">
        <f t="shared" si="18"/>
        <v>6</v>
      </c>
      <c r="I91">
        <f t="shared" si="19"/>
        <v>6</v>
      </c>
      <c r="J91" s="153">
        <f t="shared" si="23"/>
        <v>273.66994490000002</v>
      </c>
      <c r="K91" s="153">
        <f t="shared" si="24"/>
        <v>39.539264790007962</v>
      </c>
      <c r="L91" s="153">
        <f t="shared" si="25"/>
        <v>37.399312833493013</v>
      </c>
      <c r="M91" t="b">
        <v>1</v>
      </c>
      <c r="N91">
        <v>3</v>
      </c>
      <c r="O91" s="144" t="s">
        <v>228</v>
      </c>
      <c r="P91" s="144" t="s">
        <v>229</v>
      </c>
      <c r="Q91" t="b">
        <v>0</v>
      </c>
      <c r="R91" t="s">
        <v>214</v>
      </c>
      <c r="S91" t="b">
        <v>1</v>
      </c>
      <c r="T91" t="b">
        <v>0</v>
      </c>
      <c r="U91" t="s">
        <v>171</v>
      </c>
      <c r="V91" t="s">
        <v>171</v>
      </c>
      <c r="W91" t="b">
        <v>0</v>
      </c>
      <c r="X91" t="s">
        <v>171</v>
      </c>
      <c r="Y91" s="139" t="s">
        <v>167</v>
      </c>
      <c r="Z91" s="143" t="s">
        <v>168</v>
      </c>
      <c r="AA91" t="s">
        <v>169</v>
      </c>
      <c r="AB91" s="157" t="s">
        <v>210</v>
      </c>
      <c r="AC91" s="157">
        <v>5</v>
      </c>
      <c r="AD91" s="157">
        <v>2</v>
      </c>
      <c r="AE91" s="158">
        <v>73</v>
      </c>
      <c r="AF91" s="158">
        <f t="shared" si="15"/>
        <v>75</v>
      </c>
      <c r="AG91" s="159">
        <v>38.33</v>
      </c>
      <c r="AH91" s="159">
        <v>38.33</v>
      </c>
      <c r="AI91" t="s">
        <v>171</v>
      </c>
      <c r="AJ91" t="s">
        <v>172</v>
      </c>
      <c r="AK91" s="146">
        <v>12.74</v>
      </c>
      <c r="AL91" s="146">
        <v>-78.739999999999995</v>
      </c>
      <c r="AM91" t="s">
        <v>171</v>
      </c>
      <c r="AN91" t="s">
        <v>171</v>
      </c>
      <c r="AO91">
        <v>-2839</v>
      </c>
      <c r="AP91" t="s">
        <v>171</v>
      </c>
      <c r="AQ91" t="s">
        <v>171</v>
      </c>
      <c r="AR91" t="s">
        <v>171</v>
      </c>
      <c r="AS91">
        <v>1162.8499999999999</v>
      </c>
      <c r="AT91" t="s">
        <v>173</v>
      </c>
      <c r="AU91">
        <v>6</v>
      </c>
      <c r="AV91">
        <v>6</v>
      </c>
      <c r="AW91" t="s">
        <v>171</v>
      </c>
      <c r="AX91" t="s">
        <v>174</v>
      </c>
      <c r="AY91" t="s">
        <v>171</v>
      </c>
      <c r="AZ91" t="s">
        <v>171</v>
      </c>
      <c r="BA91" t="s">
        <v>171</v>
      </c>
      <c r="BB91" t="s">
        <v>171</v>
      </c>
      <c r="BC91" t="s">
        <v>171</v>
      </c>
      <c r="BD91" t="s">
        <v>171</v>
      </c>
      <c r="BE91" t="s">
        <v>171</v>
      </c>
      <c r="BF91" t="s">
        <v>171</v>
      </c>
      <c r="BG91" t="s">
        <v>175</v>
      </c>
      <c r="BH91" t="s">
        <v>176</v>
      </c>
      <c r="BI91" t="s">
        <v>177</v>
      </c>
      <c r="BJ91" s="142">
        <v>2</v>
      </c>
      <c r="BK91" t="s">
        <v>178</v>
      </c>
      <c r="BL91" t="s">
        <v>179</v>
      </c>
      <c r="BM91" t="s">
        <v>180</v>
      </c>
      <c r="BN91" t="s">
        <v>171</v>
      </c>
      <c r="BO91" s="142">
        <v>2</v>
      </c>
      <c r="BP91" s="144" t="s">
        <v>171</v>
      </c>
      <c r="BQ91" s="149">
        <v>20.37160853</v>
      </c>
      <c r="BR91" t="s">
        <v>181</v>
      </c>
      <c r="BS91" s="149">
        <v>0.19426560200000001</v>
      </c>
      <c r="BT91">
        <v>0.64</v>
      </c>
      <c r="BU91" t="s">
        <v>182</v>
      </c>
      <c r="BV91">
        <v>3.4000000000000002E-2</v>
      </c>
      <c r="BW91">
        <v>9.1</v>
      </c>
      <c r="BX91" t="s">
        <v>173</v>
      </c>
      <c r="BY91">
        <v>0.56000000000000005</v>
      </c>
      <c r="BZ91" t="s">
        <v>183</v>
      </c>
      <c r="CA91" t="s">
        <v>184</v>
      </c>
      <c r="CB91" s="148">
        <f t="shared" si="20"/>
        <v>19.169347550000001</v>
      </c>
      <c r="CC91" s="144" t="s">
        <v>185</v>
      </c>
      <c r="CD91" s="144" t="s">
        <v>171</v>
      </c>
      <c r="CE91" s="144" t="s">
        <v>171</v>
      </c>
      <c r="CF91" t="s">
        <v>186</v>
      </c>
      <c r="CG91" s="144">
        <v>10</v>
      </c>
      <c r="CH91" s="144" t="s">
        <v>187</v>
      </c>
      <c r="CI91" s="144" t="s">
        <v>171</v>
      </c>
      <c r="CJ91" s="147">
        <v>25.252022969999999</v>
      </c>
      <c r="CK91" t="s">
        <v>173</v>
      </c>
      <c r="CL91">
        <v>3</v>
      </c>
      <c r="CM91">
        <v>3</v>
      </c>
      <c r="CN91" t="s">
        <v>171</v>
      </c>
      <c r="CO91" s="149">
        <v>3.6453845905833457</v>
      </c>
      <c r="CP91" t="s">
        <v>188</v>
      </c>
      <c r="CQ91" s="149">
        <f t="shared" si="16"/>
        <v>0.14581538362333382</v>
      </c>
      <c r="CR91" s="149">
        <v>0.14581538362333382</v>
      </c>
      <c r="CS91" s="150" t="s">
        <v>171</v>
      </c>
      <c r="CT91" t="s">
        <v>189</v>
      </c>
      <c r="CU91" t="s">
        <v>171</v>
      </c>
      <c r="CV91" t="s">
        <v>190</v>
      </c>
      <c r="CW91" t="s">
        <v>191</v>
      </c>
      <c r="CX91" t="s">
        <v>191</v>
      </c>
      <c r="CY91" t="s">
        <v>191</v>
      </c>
      <c r="CZ91" t="s">
        <v>171</v>
      </c>
      <c r="DA91" t="s">
        <v>171</v>
      </c>
      <c r="DB91" t="s">
        <v>171</v>
      </c>
      <c r="DC91" t="s">
        <v>171</v>
      </c>
      <c r="DD91" t="s">
        <v>171</v>
      </c>
      <c r="DE91" t="s">
        <v>171</v>
      </c>
      <c r="DF91" t="s">
        <v>171</v>
      </c>
      <c r="DG91">
        <v>35</v>
      </c>
      <c r="DH91" t="s">
        <v>185</v>
      </c>
      <c r="DI91" s="142">
        <v>3</v>
      </c>
      <c r="DJ91" s="144" t="s">
        <v>192</v>
      </c>
      <c r="DK91" s="144" t="s">
        <v>171</v>
      </c>
      <c r="DL91" s="144" t="s">
        <v>171</v>
      </c>
      <c r="DM91" s="144" t="s">
        <v>171</v>
      </c>
      <c r="DN91" s="144" t="s">
        <v>171</v>
      </c>
      <c r="DO91" s="144" t="s">
        <v>171</v>
      </c>
      <c r="DP91" s="144" t="s">
        <v>171</v>
      </c>
      <c r="DQ91" s="144" t="s">
        <v>171</v>
      </c>
      <c r="DR91" s="144" t="s">
        <v>171</v>
      </c>
      <c r="DS91" s="144" t="s">
        <v>171</v>
      </c>
      <c r="DT91" s="144" t="s">
        <v>171</v>
      </c>
      <c r="DU91" s="144" t="s">
        <v>171</v>
      </c>
      <c r="DV91" s="144" t="s">
        <v>171</v>
      </c>
      <c r="DW91" s="147">
        <v>432.56244218316402</v>
      </c>
      <c r="DX91" t="s">
        <v>193</v>
      </c>
      <c r="DY91">
        <v>37.1</v>
      </c>
      <c r="DZ91" t="s">
        <v>194</v>
      </c>
      <c r="EA91">
        <v>39.61</v>
      </c>
      <c r="EB91" t="s">
        <v>185</v>
      </c>
      <c r="EC91" s="149">
        <f t="shared" si="17"/>
        <v>0.21628500000000001</v>
      </c>
      <c r="ED91" t="s">
        <v>195</v>
      </c>
      <c r="EE91" t="s">
        <v>196</v>
      </c>
      <c r="EF91" t="s">
        <v>197</v>
      </c>
      <c r="EG91">
        <v>1.0271999999999999</v>
      </c>
      <c r="EH91" t="s">
        <v>171</v>
      </c>
      <c r="EI91" t="s">
        <v>171</v>
      </c>
      <c r="EJ91" t="s">
        <v>198</v>
      </c>
      <c r="EK91" t="s">
        <v>191</v>
      </c>
      <c r="EL91" t="s">
        <v>191</v>
      </c>
      <c r="EM91" t="s">
        <v>199</v>
      </c>
      <c r="EN91" t="s">
        <v>200</v>
      </c>
      <c r="EO91" s="151" t="s">
        <v>201</v>
      </c>
      <c r="EP91" s="151" t="s">
        <v>201</v>
      </c>
      <c r="EQ91" s="144" t="s">
        <v>171</v>
      </c>
      <c r="ER91" s="144" t="s">
        <v>171</v>
      </c>
      <c r="ES91" s="144" t="s">
        <v>171</v>
      </c>
      <c r="ET91" t="s">
        <v>202</v>
      </c>
      <c r="EU91" t="s">
        <v>203</v>
      </c>
      <c r="EV91" t="s">
        <v>171</v>
      </c>
      <c r="EW91">
        <v>2418</v>
      </c>
      <c r="EX91" s="151" t="s">
        <v>204</v>
      </c>
      <c r="EY91" s="151">
        <v>175</v>
      </c>
      <c r="EZ91">
        <v>175</v>
      </c>
      <c r="FA91" t="s">
        <v>171</v>
      </c>
      <c r="FB91" t="s">
        <v>171</v>
      </c>
      <c r="FC91" t="s">
        <v>171</v>
      </c>
      <c r="FD91" t="s">
        <v>171</v>
      </c>
      <c r="FE91" s="152">
        <v>8.1487911267720499</v>
      </c>
      <c r="FF91" t="s">
        <v>205</v>
      </c>
      <c r="FG91" s="144" t="s">
        <v>171</v>
      </c>
      <c r="FH91" s="144" t="s">
        <v>171</v>
      </c>
      <c r="FI91" s="153">
        <v>294.66994490000002</v>
      </c>
      <c r="FJ91">
        <v>21</v>
      </c>
      <c r="FK91" t="s">
        <v>207</v>
      </c>
      <c r="FL91" s="160">
        <v>273.66994490000002</v>
      </c>
      <c r="FM91" s="161">
        <v>39.539264790007962</v>
      </c>
      <c r="FN91" s="161">
        <v>37.399312833493013</v>
      </c>
      <c r="FO91" t="s">
        <v>186</v>
      </c>
      <c r="FP91" t="s">
        <v>208</v>
      </c>
      <c r="FQ91" t="s">
        <v>171</v>
      </c>
      <c r="FR91" t="s">
        <v>171</v>
      </c>
      <c r="FS91" t="s">
        <v>171</v>
      </c>
      <c r="FT91" t="s">
        <v>171</v>
      </c>
      <c r="FU91" t="s">
        <v>171</v>
      </c>
      <c r="FV91" t="s">
        <v>171</v>
      </c>
      <c r="FW91" t="s">
        <v>171</v>
      </c>
      <c r="FX91" t="s">
        <v>171</v>
      </c>
      <c r="FY91" t="s">
        <v>171</v>
      </c>
      <c r="FZ91" t="s">
        <v>171</v>
      </c>
      <c r="GA91" t="s">
        <v>171</v>
      </c>
      <c r="GB91" t="s">
        <v>171</v>
      </c>
    </row>
    <row r="92" spans="1:184" ht="16" x14ac:dyDescent="0.2">
      <c r="A92" t="s">
        <v>217</v>
      </c>
      <c r="B92" s="143" t="s">
        <v>216</v>
      </c>
      <c r="C92" s="138" t="s">
        <v>212</v>
      </c>
      <c r="D92" t="s">
        <v>211</v>
      </c>
      <c r="E92">
        <v>2017</v>
      </c>
      <c r="F92" t="str">
        <f t="shared" si="21"/>
        <v>10.1073/pnas.1702143114</v>
      </c>
      <c r="G92" s="147">
        <f t="shared" si="22"/>
        <v>1169.8599999999999</v>
      </c>
      <c r="H92">
        <f t="shared" si="18"/>
        <v>6</v>
      </c>
      <c r="I92">
        <f t="shared" si="19"/>
        <v>6</v>
      </c>
      <c r="J92" s="153">
        <f t="shared" si="23"/>
        <v>283.11378259999998</v>
      </c>
      <c r="K92" s="153">
        <f t="shared" si="24"/>
        <v>40.48591622164804</v>
      </c>
      <c r="L92" s="153">
        <f t="shared" si="25"/>
        <v>37.343431608319975</v>
      </c>
      <c r="M92" t="b">
        <v>1</v>
      </c>
      <c r="N92">
        <v>3</v>
      </c>
      <c r="O92" s="144" t="s">
        <v>228</v>
      </c>
      <c r="P92" s="144" t="s">
        <v>229</v>
      </c>
      <c r="Q92" t="b">
        <v>0</v>
      </c>
      <c r="R92" t="s">
        <v>214</v>
      </c>
      <c r="S92" t="b">
        <v>1</v>
      </c>
      <c r="T92" t="b">
        <v>0</v>
      </c>
      <c r="U92" t="s">
        <v>171</v>
      </c>
      <c r="V92" t="s">
        <v>171</v>
      </c>
      <c r="W92" t="b">
        <v>0</v>
      </c>
      <c r="X92" t="s">
        <v>171</v>
      </c>
      <c r="Y92" s="139" t="s">
        <v>167</v>
      </c>
      <c r="Z92" s="143" t="s">
        <v>168</v>
      </c>
      <c r="AA92" t="s">
        <v>169</v>
      </c>
      <c r="AB92" s="157" t="s">
        <v>210</v>
      </c>
      <c r="AC92" s="157">
        <v>5</v>
      </c>
      <c r="AD92" s="157">
        <v>2</v>
      </c>
      <c r="AE92" s="158">
        <v>93</v>
      </c>
      <c r="AF92" s="158">
        <f t="shared" si="15"/>
        <v>95</v>
      </c>
      <c r="AG92" s="159">
        <v>38.53</v>
      </c>
      <c r="AH92" s="159">
        <v>38.53</v>
      </c>
      <c r="AI92" t="s">
        <v>171</v>
      </c>
      <c r="AJ92" t="s">
        <v>172</v>
      </c>
      <c r="AK92" s="146">
        <v>12.74</v>
      </c>
      <c r="AL92" s="146">
        <v>-78.739999999999995</v>
      </c>
      <c r="AM92" t="s">
        <v>171</v>
      </c>
      <c r="AN92" t="s">
        <v>171</v>
      </c>
      <c r="AO92">
        <v>-2839</v>
      </c>
      <c r="AP92" t="s">
        <v>171</v>
      </c>
      <c r="AQ92" t="s">
        <v>171</v>
      </c>
      <c r="AR92" t="s">
        <v>171</v>
      </c>
      <c r="AS92">
        <v>1169.8599999999999</v>
      </c>
      <c r="AT92" t="s">
        <v>173</v>
      </c>
      <c r="AU92">
        <v>6</v>
      </c>
      <c r="AV92">
        <v>6</v>
      </c>
      <c r="AW92" t="s">
        <v>171</v>
      </c>
      <c r="AX92" t="s">
        <v>174</v>
      </c>
      <c r="AY92" t="s">
        <v>171</v>
      </c>
      <c r="AZ92" t="s">
        <v>171</v>
      </c>
      <c r="BA92" t="s">
        <v>171</v>
      </c>
      <c r="BB92" t="s">
        <v>171</v>
      </c>
      <c r="BC92" t="s">
        <v>171</v>
      </c>
      <c r="BD92" t="s">
        <v>171</v>
      </c>
      <c r="BE92" t="s">
        <v>171</v>
      </c>
      <c r="BF92" t="s">
        <v>171</v>
      </c>
      <c r="BG92" t="s">
        <v>175</v>
      </c>
      <c r="BH92" t="s">
        <v>176</v>
      </c>
      <c r="BI92" t="s">
        <v>177</v>
      </c>
      <c r="BJ92" s="142">
        <v>2</v>
      </c>
      <c r="BK92" t="s">
        <v>178</v>
      </c>
      <c r="BL92" t="s">
        <v>179</v>
      </c>
      <c r="BM92" t="s">
        <v>180</v>
      </c>
      <c r="BN92" t="s">
        <v>171</v>
      </c>
      <c r="BO92" s="142">
        <v>2</v>
      </c>
      <c r="BP92" s="144" t="s">
        <v>171</v>
      </c>
      <c r="BQ92" s="149">
        <v>20.291287440000001</v>
      </c>
      <c r="BR92" t="s">
        <v>181</v>
      </c>
      <c r="BS92" s="149">
        <v>0.15786813</v>
      </c>
      <c r="BT92">
        <v>0.64</v>
      </c>
      <c r="BU92" t="s">
        <v>182</v>
      </c>
      <c r="BV92">
        <v>3.4000000000000002E-2</v>
      </c>
      <c r="BW92">
        <v>9.1</v>
      </c>
      <c r="BX92" t="s">
        <v>173</v>
      </c>
      <c r="BY92">
        <v>0.56000000000000005</v>
      </c>
      <c r="BZ92" t="s">
        <v>183</v>
      </c>
      <c r="CA92" t="s">
        <v>184</v>
      </c>
      <c r="CB92" s="148">
        <f t="shared" si="20"/>
        <v>19.035479066666671</v>
      </c>
      <c r="CC92" s="144" t="s">
        <v>185</v>
      </c>
      <c r="CD92" s="144" t="s">
        <v>171</v>
      </c>
      <c r="CE92" s="144" t="s">
        <v>171</v>
      </c>
      <c r="CF92" t="s">
        <v>186</v>
      </c>
      <c r="CG92" s="144">
        <v>10</v>
      </c>
      <c r="CH92" s="144" t="s">
        <v>187</v>
      </c>
      <c r="CI92" s="144" t="s">
        <v>171</v>
      </c>
      <c r="CJ92" s="147">
        <v>25.169538159999998</v>
      </c>
      <c r="CK92" t="s">
        <v>173</v>
      </c>
      <c r="CL92">
        <v>3</v>
      </c>
      <c r="CM92">
        <v>3</v>
      </c>
      <c r="CN92" t="s">
        <v>171</v>
      </c>
      <c r="CO92" s="149">
        <v>3.6044102645215927</v>
      </c>
      <c r="CP92" t="s">
        <v>188</v>
      </c>
      <c r="CQ92" s="149">
        <f t="shared" si="16"/>
        <v>0.14417641058086372</v>
      </c>
      <c r="CR92" s="149">
        <v>0.14417641058086372</v>
      </c>
      <c r="CS92" s="150" t="s">
        <v>171</v>
      </c>
      <c r="CT92" t="s">
        <v>189</v>
      </c>
      <c r="CU92" t="s">
        <v>171</v>
      </c>
      <c r="CV92" t="s">
        <v>190</v>
      </c>
      <c r="CW92" t="s">
        <v>191</v>
      </c>
      <c r="CX92" t="s">
        <v>191</v>
      </c>
      <c r="CY92" t="s">
        <v>191</v>
      </c>
      <c r="CZ92" t="s">
        <v>171</v>
      </c>
      <c r="DA92" t="s">
        <v>171</v>
      </c>
      <c r="DB92" t="s">
        <v>171</v>
      </c>
      <c r="DC92" t="s">
        <v>171</v>
      </c>
      <c r="DD92" t="s">
        <v>171</v>
      </c>
      <c r="DE92" t="s">
        <v>171</v>
      </c>
      <c r="DF92" t="s">
        <v>171</v>
      </c>
      <c r="DG92">
        <v>35</v>
      </c>
      <c r="DH92" t="s">
        <v>185</v>
      </c>
      <c r="DI92" s="142">
        <v>3</v>
      </c>
      <c r="DJ92" s="144" t="s">
        <v>192</v>
      </c>
      <c r="DK92" s="144" t="s">
        <v>171</v>
      </c>
      <c r="DL92" s="144" t="s">
        <v>171</v>
      </c>
      <c r="DM92" s="144" t="s">
        <v>171</v>
      </c>
      <c r="DN92" s="144" t="s">
        <v>171</v>
      </c>
      <c r="DO92" s="144" t="s">
        <v>171</v>
      </c>
      <c r="DP92" s="144" t="s">
        <v>171</v>
      </c>
      <c r="DQ92" s="144" t="s">
        <v>171</v>
      </c>
      <c r="DR92" s="144" t="s">
        <v>171</v>
      </c>
      <c r="DS92" s="144" t="s">
        <v>171</v>
      </c>
      <c r="DT92" s="144" t="s">
        <v>171</v>
      </c>
      <c r="DU92" s="144" t="s">
        <v>171</v>
      </c>
      <c r="DV92" s="144" t="s">
        <v>171</v>
      </c>
      <c r="DW92" s="147">
        <v>432.56244218316402</v>
      </c>
      <c r="DX92" t="s">
        <v>193</v>
      </c>
      <c r="DY92">
        <v>37.1</v>
      </c>
      <c r="DZ92" t="s">
        <v>194</v>
      </c>
      <c r="EA92">
        <v>39.61</v>
      </c>
      <c r="EB92" t="s">
        <v>185</v>
      </c>
      <c r="EC92" s="149">
        <f t="shared" si="17"/>
        <v>0.21698600000000001</v>
      </c>
      <c r="ED92" t="s">
        <v>195</v>
      </c>
      <c r="EE92" t="s">
        <v>196</v>
      </c>
      <c r="EF92" t="s">
        <v>197</v>
      </c>
      <c r="EG92">
        <v>1.0271999999999999</v>
      </c>
      <c r="EH92" t="s">
        <v>171</v>
      </c>
      <c r="EI92" t="s">
        <v>171</v>
      </c>
      <c r="EJ92" t="s">
        <v>198</v>
      </c>
      <c r="EK92" t="s">
        <v>191</v>
      </c>
      <c r="EL92" t="s">
        <v>191</v>
      </c>
      <c r="EM92" t="s">
        <v>199</v>
      </c>
      <c r="EN92" t="s">
        <v>200</v>
      </c>
      <c r="EO92" s="151" t="s">
        <v>201</v>
      </c>
      <c r="EP92" s="151" t="s">
        <v>201</v>
      </c>
      <c r="EQ92" s="144" t="s">
        <v>171</v>
      </c>
      <c r="ER92" s="144" t="s">
        <v>171</v>
      </c>
      <c r="ES92" s="144" t="s">
        <v>171</v>
      </c>
      <c r="ET92" t="s">
        <v>202</v>
      </c>
      <c r="EU92" t="s">
        <v>203</v>
      </c>
      <c r="EV92" t="s">
        <v>171</v>
      </c>
      <c r="EW92">
        <v>2419</v>
      </c>
      <c r="EX92" s="151" t="s">
        <v>204</v>
      </c>
      <c r="EY92" s="151">
        <v>175</v>
      </c>
      <c r="EZ92">
        <v>175</v>
      </c>
      <c r="FA92" t="s">
        <v>171</v>
      </c>
      <c r="FB92" t="s">
        <v>171</v>
      </c>
      <c r="FC92" t="s">
        <v>171</v>
      </c>
      <c r="FD92" t="s">
        <v>171</v>
      </c>
      <c r="FE92" s="152">
        <v>8.1383238498249995</v>
      </c>
      <c r="FF92" t="s">
        <v>205</v>
      </c>
      <c r="FG92" s="144" t="s">
        <v>171</v>
      </c>
      <c r="FH92" s="144" t="s">
        <v>171</v>
      </c>
      <c r="FI92" s="153">
        <v>304.11378259999998</v>
      </c>
      <c r="FJ92">
        <v>21</v>
      </c>
      <c r="FK92" t="s">
        <v>207</v>
      </c>
      <c r="FL92" s="160">
        <v>283.11378259999998</v>
      </c>
      <c r="FM92" s="161">
        <v>40.48591622164804</v>
      </c>
      <c r="FN92" s="161">
        <v>37.343431608319975</v>
      </c>
      <c r="FO92" t="s">
        <v>186</v>
      </c>
      <c r="FP92" t="s">
        <v>208</v>
      </c>
      <c r="FQ92" t="s">
        <v>171</v>
      </c>
      <c r="FR92" t="s">
        <v>171</v>
      </c>
      <c r="FS92" t="s">
        <v>171</v>
      </c>
      <c r="FT92" t="s">
        <v>171</v>
      </c>
      <c r="FU92" t="s">
        <v>171</v>
      </c>
      <c r="FV92" t="s">
        <v>171</v>
      </c>
      <c r="FW92" t="s">
        <v>171</v>
      </c>
      <c r="FX92" t="s">
        <v>171</v>
      </c>
      <c r="FY92" t="s">
        <v>171</v>
      </c>
      <c r="FZ92" t="s">
        <v>171</v>
      </c>
      <c r="GA92" t="s">
        <v>171</v>
      </c>
      <c r="GB92" t="s">
        <v>171</v>
      </c>
    </row>
    <row r="93" spans="1:184" ht="16" x14ac:dyDescent="0.2">
      <c r="A93" t="s">
        <v>217</v>
      </c>
      <c r="B93" s="143" t="s">
        <v>216</v>
      </c>
      <c r="C93" s="138" t="s">
        <v>212</v>
      </c>
      <c r="D93" t="s">
        <v>211</v>
      </c>
      <c r="E93">
        <v>2017</v>
      </c>
      <c r="F93" t="str">
        <f t="shared" si="21"/>
        <v>10.1073/pnas.1702143114</v>
      </c>
      <c r="G93" s="147">
        <f t="shared" si="22"/>
        <v>1177.57</v>
      </c>
      <c r="H93">
        <f t="shared" si="18"/>
        <v>6</v>
      </c>
      <c r="I93">
        <f t="shared" si="19"/>
        <v>6</v>
      </c>
      <c r="J93" s="153">
        <f t="shared" si="23"/>
        <v>271.52357590000003</v>
      </c>
      <c r="K93" s="153">
        <f t="shared" si="24"/>
        <v>38.773854723268983</v>
      </c>
      <c r="L93" s="153">
        <f t="shared" si="25"/>
        <v>37.295947283120029</v>
      </c>
      <c r="M93" t="b">
        <v>1</v>
      </c>
      <c r="N93">
        <v>3</v>
      </c>
      <c r="O93" s="144" t="s">
        <v>228</v>
      </c>
      <c r="P93" s="144" t="s">
        <v>229</v>
      </c>
      <c r="Q93" t="b">
        <v>0</v>
      </c>
      <c r="R93" t="s">
        <v>214</v>
      </c>
      <c r="S93" t="b">
        <v>1</v>
      </c>
      <c r="T93" t="b">
        <v>0</v>
      </c>
      <c r="U93" t="s">
        <v>171</v>
      </c>
      <c r="V93" t="s">
        <v>171</v>
      </c>
      <c r="W93" t="b">
        <v>0</v>
      </c>
      <c r="X93" t="s">
        <v>171</v>
      </c>
      <c r="Y93" s="139" t="s">
        <v>167</v>
      </c>
      <c r="Z93" s="143" t="s">
        <v>168</v>
      </c>
      <c r="AA93" t="s">
        <v>169</v>
      </c>
      <c r="AB93" s="157" t="s">
        <v>210</v>
      </c>
      <c r="AC93" s="157">
        <v>5</v>
      </c>
      <c r="AD93" s="157">
        <v>2</v>
      </c>
      <c r="AE93" s="158">
        <v>120.22590400000007</v>
      </c>
      <c r="AF93" s="158">
        <f t="shared" si="15"/>
        <v>122.22590400000007</v>
      </c>
      <c r="AG93" s="159">
        <v>38.80203436</v>
      </c>
      <c r="AH93" s="159">
        <v>38.80203436</v>
      </c>
      <c r="AI93" t="s">
        <v>171</v>
      </c>
      <c r="AJ93" t="s">
        <v>172</v>
      </c>
      <c r="AK93" s="146">
        <v>12.74</v>
      </c>
      <c r="AL93" s="146">
        <v>-78.739999999999995</v>
      </c>
      <c r="AM93" t="s">
        <v>171</v>
      </c>
      <c r="AN93" t="s">
        <v>171</v>
      </c>
      <c r="AO93">
        <v>-2839</v>
      </c>
      <c r="AP93" t="s">
        <v>171</v>
      </c>
      <c r="AQ93" t="s">
        <v>171</v>
      </c>
      <c r="AR93" t="s">
        <v>171</v>
      </c>
      <c r="AS93">
        <v>1177.57</v>
      </c>
      <c r="AT93" t="s">
        <v>173</v>
      </c>
      <c r="AU93">
        <v>6</v>
      </c>
      <c r="AV93">
        <v>6</v>
      </c>
      <c r="AW93" t="s">
        <v>171</v>
      </c>
      <c r="AX93" t="s">
        <v>174</v>
      </c>
      <c r="AY93" t="s">
        <v>171</v>
      </c>
      <c r="AZ93" t="s">
        <v>171</v>
      </c>
      <c r="BA93" t="s">
        <v>171</v>
      </c>
      <c r="BB93" t="s">
        <v>171</v>
      </c>
      <c r="BC93" t="s">
        <v>171</v>
      </c>
      <c r="BD93" t="s">
        <v>171</v>
      </c>
      <c r="BE93" t="s">
        <v>171</v>
      </c>
      <c r="BF93" t="s">
        <v>171</v>
      </c>
      <c r="BG93" t="s">
        <v>175</v>
      </c>
      <c r="BH93" t="s">
        <v>176</v>
      </c>
      <c r="BI93" t="s">
        <v>177</v>
      </c>
      <c r="BJ93" s="142">
        <v>2</v>
      </c>
      <c r="BK93" t="s">
        <v>178</v>
      </c>
      <c r="BL93" t="s">
        <v>179</v>
      </c>
      <c r="BM93" t="s">
        <v>180</v>
      </c>
      <c r="BN93" t="s">
        <v>171</v>
      </c>
      <c r="BO93" s="142">
        <v>2</v>
      </c>
      <c r="BP93" s="144" t="s">
        <v>171</v>
      </c>
      <c r="BQ93" s="149">
        <v>20.364437330000001</v>
      </c>
      <c r="BR93" t="s">
        <v>181</v>
      </c>
      <c r="BS93" s="149">
        <v>0.17548992399999999</v>
      </c>
      <c r="BT93">
        <v>0.64</v>
      </c>
      <c r="BU93" t="s">
        <v>182</v>
      </c>
      <c r="BV93">
        <v>3.4000000000000002E-2</v>
      </c>
      <c r="BW93">
        <v>9.1</v>
      </c>
      <c r="BX93" t="s">
        <v>173</v>
      </c>
      <c r="BY93">
        <v>0.56000000000000005</v>
      </c>
      <c r="BZ93" t="s">
        <v>183</v>
      </c>
      <c r="CA93" t="s">
        <v>184</v>
      </c>
      <c r="CB93" s="148">
        <f t="shared" si="20"/>
        <v>19.157395550000004</v>
      </c>
      <c r="CC93" s="144" t="s">
        <v>185</v>
      </c>
      <c r="CD93" s="144" t="s">
        <v>171</v>
      </c>
      <c r="CE93" s="144" t="s">
        <v>171</v>
      </c>
      <c r="CF93" t="s">
        <v>186</v>
      </c>
      <c r="CG93" s="144">
        <v>10</v>
      </c>
      <c r="CH93" s="144" t="s">
        <v>187</v>
      </c>
      <c r="CI93" s="144" t="s">
        <v>171</v>
      </c>
      <c r="CJ93" s="147">
        <v>24.957658460000001</v>
      </c>
      <c r="CK93" t="s">
        <v>173</v>
      </c>
      <c r="CL93">
        <v>3</v>
      </c>
      <c r="CM93">
        <v>3</v>
      </c>
      <c r="CN93" t="s">
        <v>171</v>
      </c>
      <c r="CO93" s="149">
        <v>3.5178773533677314</v>
      </c>
      <c r="CP93" t="s">
        <v>188</v>
      </c>
      <c r="CQ93" s="149">
        <f t="shared" si="16"/>
        <v>0.14071509413470926</v>
      </c>
      <c r="CR93" s="149">
        <v>0.14071509413470926</v>
      </c>
      <c r="CS93" s="150" t="s">
        <v>171</v>
      </c>
      <c r="CT93" t="s">
        <v>189</v>
      </c>
      <c r="CU93" t="s">
        <v>171</v>
      </c>
      <c r="CV93" t="s">
        <v>190</v>
      </c>
      <c r="CW93" t="s">
        <v>191</v>
      </c>
      <c r="CX93" t="s">
        <v>191</v>
      </c>
      <c r="CY93" t="s">
        <v>191</v>
      </c>
      <c r="CZ93" t="s">
        <v>171</v>
      </c>
      <c r="DA93" t="s">
        <v>171</v>
      </c>
      <c r="DB93" t="s">
        <v>171</v>
      </c>
      <c r="DC93" t="s">
        <v>171</v>
      </c>
      <c r="DD93" t="s">
        <v>171</v>
      </c>
      <c r="DE93" t="s">
        <v>171</v>
      </c>
      <c r="DF93" t="s">
        <v>171</v>
      </c>
      <c r="DG93">
        <v>35</v>
      </c>
      <c r="DH93" t="s">
        <v>185</v>
      </c>
      <c r="DI93" s="142">
        <v>3</v>
      </c>
      <c r="DJ93" s="144" t="s">
        <v>192</v>
      </c>
      <c r="DK93" s="144" t="s">
        <v>171</v>
      </c>
      <c r="DL93" s="144" t="s">
        <v>171</v>
      </c>
      <c r="DM93" s="144" t="s">
        <v>171</v>
      </c>
      <c r="DN93" s="144" t="s">
        <v>171</v>
      </c>
      <c r="DO93" s="144" t="s">
        <v>171</v>
      </c>
      <c r="DP93" s="144" t="s">
        <v>171</v>
      </c>
      <c r="DQ93" s="144" t="s">
        <v>171</v>
      </c>
      <c r="DR93" s="144" t="s">
        <v>171</v>
      </c>
      <c r="DS93" s="144" t="s">
        <v>171</v>
      </c>
      <c r="DT93" s="144" t="s">
        <v>171</v>
      </c>
      <c r="DU93" s="144" t="s">
        <v>171</v>
      </c>
      <c r="DV93" s="144" t="s">
        <v>171</v>
      </c>
      <c r="DW93" s="147">
        <v>432.56244218316402</v>
      </c>
      <c r="DX93" t="s">
        <v>193</v>
      </c>
      <c r="DY93">
        <v>37.1</v>
      </c>
      <c r="DZ93" t="s">
        <v>194</v>
      </c>
      <c r="EA93">
        <v>39.61</v>
      </c>
      <c r="EB93" t="s">
        <v>185</v>
      </c>
      <c r="EC93" s="149">
        <f t="shared" si="17"/>
        <v>0.21775700000000001</v>
      </c>
      <c r="ED93" t="s">
        <v>195</v>
      </c>
      <c r="EE93" t="s">
        <v>196</v>
      </c>
      <c r="EF93" t="s">
        <v>197</v>
      </c>
      <c r="EG93">
        <v>1.0271999999999999</v>
      </c>
      <c r="EH93" t="s">
        <v>171</v>
      </c>
      <c r="EI93" t="s">
        <v>171</v>
      </c>
      <c r="EJ93" t="s">
        <v>198</v>
      </c>
      <c r="EK93" t="s">
        <v>191</v>
      </c>
      <c r="EL93" t="s">
        <v>191</v>
      </c>
      <c r="EM93" t="s">
        <v>199</v>
      </c>
      <c r="EN93" t="s">
        <v>200</v>
      </c>
      <c r="EO93" s="151" t="s">
        <v>201</v>
      </c>
      <c r="EP93" s="151" t="s">
        <v>201</v>
      </c>
      <c r="EQ93" s="144" t="s">
        <v>171</v>
      </c>
      <c r="ER93" s="144" t="s">
        <v>171</v>
      </c>
      <c r="ES93" s="144" t="s">
        <v>171</v>
      </c>
      <c r="ET93" t="s">
        <v>202</v>
      </c>
      <c r="EU93" t="s">
        <v>203</v>
      </c>
      <c r="EV93" t="s">
        <v>171</v>
      </c>
      <c r="EW93">
        <v>2420</v>
      </c>
      <c r="EX93" s="151" t="s">
        <v>204</v>
      </c>
      <c r="EY93" s="151">
        <v>175</v>
      </c>
      <c r="EZ93">
        <v>175</v>
      </c>
      <c r="FA93" t="s">
        <v>171</v>
      </c>
      <c r="FB93" t="s">
        <v>171</v>
      </c>
      <c r="FC93" t="s">
        <v>171</v>
      </c>
      <c r="FD93" t="s">
        <v>171</v>
      </c>
      <c r="FE93" s="152">
        <v>8.1516001252830694</v>
      </c>
      <c r="FF93" t="s">
        <v>205</v>
      </c>
      <c r="FG93" s="144" t="s">
        <v>171</v>
      </c>
      <c r="FH93" s="144" t="s">
        <v>171</v>
      </c>
      <c r="FI93" s="153">
        <v>292.52357590000003</v>
      </c>
      <c r="FJ93">
        <v>21</v>
      </c>
      <c r="FK93" t="s">
        <v>207</v>
      </c>
      <c r="FL93" s="160">
        <v>271.52357590000003</v>
      </c>
      <c r="FM93" s="161">
        <v>38.773854723268983</v>
      </c>
      <c r="FN93" s="161">
        <v>37.295947283120029</v>
      </c>
      <c r="FO93" t="s">
        <v>186</v>
      </c>
      <c r="FP93" t="s">
        <v>208</v>
      </c>
      <c r="FQ93" t="s">
        <v>171</v>
      </c>
      <c r="FR93" t="s">
        <v>171</v>
      </c>
      <c r="FS93" t="s">
        <v>171</v>
      </c>
      <c r="FT93" t="s">
        <v>171</v>
      </c>
      <c r="FU93" t="s">
        <v>171</v>
      </c>
      <c r="FV93" t="s">
        <v>171</v>
      </c>
      <c r="FW93" t="s">
        <v>171</v>
      </c>
      <c r="FX93" t="s">
        <v>171</v>
      </c>
      <c r="FY93" t="s">
        <v>171</v>
      </c>
      <c r="FZ93" t="s">
        <v>171</v>
      </c>
      <c r="GA93" t="s">
        <v>171</v>
      </c>
      <c r="GB93" t="s">
        <v>171</v>
      </c>
    </row>
    <row r="94" spans="1:184" ht="16" x14ac:dyDescent="0.2">
      <c r="A94" t="s">
        <v>217</v>
      </c>
      <c r="B94" s="143" t="s">
        <v>216</v>
      </c>
      <c r="C94" s="138" t="s">
        <v>212</v>
      </c>
      <c r="D94" t="s">
        <v>211</v>
      </c>
      <c r="E94">
        <v>2017</v>
      </c>
      <c r="F94" t="str">
        <f t="shared" si="21"/>
        <v>10.1073/pnas.1702143114</v>
      </c>
      <c r="G94" s="147">
        <f t="shared" si="22"/>
        <v>1179.6600000000001</v>
      </c>
      <c r="H94">
        <f t="shared" si="18"/>
        <v>6</v>
      </c>
      <c r="I94">
        <f t="shared" si="19"/>
        <v>6</v>
      </c>
      <c r="J94" s="153">
        <f t="shared" si="23"/>
        <v>261.6177012</v>
      </c>
      <c r="K94" s="153">
        <f t="shared" si="24"/>
        <v>38.358902014012017</v>
      </c>
      <c r="L94" s="153">
        <f t="shared" si="25"/>
        <v>37.547298219332987</v>
      </c>
      <c r="M94" t="b">
        <v>1</v>
      </c>
      <c r="N94">
        <v>3</v>
      </c>
      <c r="O94" s="144" t="s">
        <v>228</v>
      </c>
      <c r="P94" s="144" t="s">
        <v>229</v>
      </c>
      <c r="Q94" t="b">
        <v>0</v>
      </c>
      <c r="R94" t="s">
        <v>214</v>
      </c>
      <c r="S94" t="b">
        <v>1</v>
      </c>
      <c r="T94" t="b">
        <v>0</v>
      </c>
      <c r="U94" t="s">
        <v>171</v>
      </c>
      <c r="V94" t="s">
        <v>171</v>
      </c>
      <c r="W94" t="b">
        <v>0</v>
      </c>
      <c r="X94" t="s">
        <v>171</v>
      </c>
      <c r="Y94" s="139" t="s">
        <v>167</v>
      </c>
      <c r="Z94" s="143" t="s">
        <v>168</v>
      </c>
      <c r="AA94" t="s">
        <v>169</v>
      </c>
      <c r="AB94" s="157" t="s">
        <v>210</v>
      </c>
      <c r="AC94" s="157">
        <v>5</v>
      </c>
      <c r="AD94" s="157">
        <v>2</v>
      </c>
      <c r="AE94" s="158">
        <v>130.45642100000018</v>
      </c>
      <c r="AF94" s="158">
        <f t="shared" si="15"/>
        <v>132.45642100000018</v>
      </c>
      <c r="AG94" s="159">
        <v>38.904339530000001</v>
      </c>
      <c r="AH94" s="159">
        <v>38.904339530000001</v>
      </c>
      <c r="AI94" t="s">
        <v>171</v>
      </c>
      <c r="AJ94" t="s">
        <v>172</v>
      </c>
      <c r="AK94" s="146">
        <v>12.74</v>
      </c>
      <c r="AL94" s="146">
        <v>-78.739999999999995</v>
      </c>
      <c r="AM94" t="s">
        <v>171</v>
      </c>
      <c r="AN94" t="s">
        <v>171</v>
      </c>
      <c r="AO94">
        <v>-2839</v>
      </c>
      <c r="AP94" t="s">
        <v>171</v>
      </c>
      <c r="AQ94" t="s">
        <v>171</v>
      </c>
      <c r="AR94" t="s">
        <v>171</v>
      </c>
      <c r="AS94">
        <v>1179.6600000000001</v>
      </c>
      <c r="AT94" t="s">
        <v>173</v>
      </c>
      <c r="AU94">
        <v>6</v>
      </c>
      <c r="AV94">
        <v>6</v>
      </c>
      <c r="AW94" t="s">
        <v>171</v>
      </c>
      <c r="AX94" t="s">
        <v>174</v>
      </c>
      <c r="AY94" t="s">
        <v>171</v>
      </c>
      <c r="AZ94" t="s">
        <v>171</v>
      </c>
      <c r="BA94" t="s">
        <v>171</v>
      </c>
      <c r="BB94" t="s">
        <v>171</v>
      </c>
      <c r="BC94" t="s">
        <v>171</v>
      </c>
      <c r="BD94" t="s">
        <v>171</v>
      </c>
      <c r="BE94" t="s">
        <v>171</v>
      </c>
      <c r="BF94" t="s">
        <v>171</v>
      </c>
      <c r="BG94" t="s">
        <v>175</v>
      </c>
      <c r="BH94" t="s">
        <v>176</v>
      </c>
      <c r="BI94" t="s">
        <v>177</v>
      </c>
      <c r="BJ94" s="142">
        <v>2</v>
      </c>
      <c r="BK94" t="s">
        <v>178</v>
      </c>
      <c r="BL94" t="s">
        <v>179</v>
      </c>
      <c r="BM94" t="s">
        <v>180</v>
      </c>
      <c r="BN94" t="s">
        <v>171</v>
      </c>
      <c r="BO94" s="142">
        <v>2</v>
      </c>
      <c r="BP94" s="144" t="s">
        <v>171</v>
      </c>
      <c r="BQ94" s="149">
        <v>20.497592919999999</v>
      </c>
      <c r="BR94" t="s">
        <v>181</v>
      </c>
      <c r="BS94" s="149">
        <v>0.19726300399999999</v>
      </c>
      <c r="BT94">
        <v>0.64</v>
      </c>
      <c r="BU94" t="s">
        <v>182</v>
      </c>
      <c r="BV94">
        <v>3.4000000000000002E-2</v>
      </c>
      <c r="BW94">
        <v>9.1</v>
      </c>
      <c r="BX94" t="s">
        <v>173</v>
      </c>
      <c r="BY94">
        <v>0.56000000000000005</v>
      </c>
      <c r="BZ94" t="s">
        <v>183</v>
      </c>
      <c r="CA94" t="s">
        <v>184</v>
      </c>
      <c r="CB94" s="148">
        <f t="shared" si="20"/>
        <v>19.379321533333332</v>
      </c>
      <c r="CC94" s="144" t="s">
        <v>185</v>
      </c>
      <c r="CD94" s="144" t="s">
        <v>171</v>
      </c>
      <c r="CE94" s="144" t="s">
        <v>171</v>
      </c>
      <c r="CF94" t="s">
        <v>186</v>
      </c>
      <c r="CG94" s="144">
        <v>10</v>
      </c>
      <c r="CH94" s="144" t="s">
        <v>187</v>
      </c>
      <c r="CI94" s="144" t="s">
        <v>171</v>
      </c>
      <c r="CJ94" s="147">
        <v>25.544653570000001</v>
      </c>
      <c r="CK94" t="s">
        <v>173</v>
      </c>
      <c r="CL94">
        <v>3</v>
      </c>
      <c r="CM94">
        <v>3</v>
      </c>
      <c r="CN94" t="s">
        <v>171</v>
      </c>
      <c r="CO94" s="149">
        <v>3.7038360152177661</v>
      </c>
      <c r="CP94" t="s">
        <v>188</v>
      </c>
      <c r="CQ94" s="149">
        <f t="shared" si="16"/>
        <v>0.14815344060871063</v>
      </c>
      <c r="CR94" s="149">
        <v>0.14815344060871063</v>
      </c>
      <c r="CS94" s="150" t="s">
        <v>171</v>
      </c>
      <c r="CT94" t="s">
        <v>189</v>
      </c>
      <c r="CU94" t="s">
        <v>171</v>
      </c>
      <c r="CV94" t="s">
        <v>190</v>
      </c>
      <c r="CW94" t="s">
        <v>191</v>
      </c>
      <c r="CX94" t="s">
        <v>191</v>
      </c>
      <c r="CY94" t="s">
        <v>191</v>
      </c>
      <c r="CZ94" t="s">
        <v>171</v>
      </c>
      <c r="DA94" t="s">
        <v>171</v>
      </c>
      <c r="DB94" t="s">
        <v>171</v>
      </c>
      <c r="DC94" t="s">
        <v>171</v>
      </c>
      <c r="DD94" t="s">
        <v>171</v>
      </c>
      <c r="DE94" t="s">
        <v>171</v>
      </c>
      <c r="DF94" t="s">
        <v>171</v>
      </c>
      <c r="DG94">
        <v>35</v>
      </c>
      <c r="DH94" t="s">
        <v>185</v>
      </c>
      <c r="DI94" s="142">
        <v>3</v>
      </c>
      <c r="DJ94" s="144" t="s">
        <v>192</v>
      </c>
      <c r="DK94" s="144" t="s">
        <v>171</v>
      </c>
      <c r="DL94" s="144" t="s">
        <v>171</v>
      </c>
      <c r="DM94" s="144" t="s">
        <v>171</v>
      </c>
      <c r="DN94" s="144" t="s">
        <v>171</v>
      </c>
      <c r="DO94" s="144" t="s">
        <v>171</v>
      </c>
      <c r="DP94" s="144" t="s">
        <v>171</v>
      </c>
      <c r="DQ94" s="144" t="s">
        <v>171</v>
      </c>
      <c r="DR94" s="144" t="s">
        <v>171</v>
      </c>
      <c r="DS94" s="144" t="s">
        <v>171</v>
      </c>
      <c r="DT94" s="144" t="s">
        <v>171</v>
      </c>
      <c r="DU94" s="144" t="s">
        <v>171</v>
      </c>
      <c r="DV94" s="144" t="s">
        <v>171</v>
      </c>
      <c r="DW94" s="147">
        <v>432.56244218316402</v>
      </c>
      <c r="DX94" t="s">
        <v>193</v>
      </c>
      <c r="DY94">
        <v>37.1</v>
      </c>
      <c r="DZ94" t="s">
        <v>194</v>
      </c>
      <c r="EA94">
        <v>39.61</v>
      </c>
      <c r="EB94" t="s">
        <v>185</v>
      </c>
      <c r="EC94" s="149">
        <f t="shared" si="17"/>
        <v>0.21796599999999999</v>
      </c>
      <c r="ED94" t="s">
        <v>195</v>
      </c>
      <c r="EE94" t="s">
        <v>196</v>
      </c>
      <c r="EF94" t="s">
        <v>197</v>
      </c>
      <c r="EG94">
        <v>1.0271999999999999</v>
      </c>
      <c r="EH94" t="s">
        <v>171</v>
      </c>
      <c r="EI94" t="s">
        <v>171</v>
      </c>
      <c r="EJ94" t="s">
        <v>198</v>
      </c>
      <c r="EK94" t="s">
        <v>191</v>
      </c>
      <c r="EL94" t="s">
        <v>191</v>
      </c>
      <c r="EM94" t="s">
        <v>199</v>
      </c>
      <c r="EN94" t="s">
        <v>200</v>
      </c>
      <c r="EO94" s="151" t="s">
        <v>201</v>
      </c>
      <c r="EP94" s="151" t="s">
        <v>201</v>
      </c>
      <c r="EQ94" s="144" t="s">
        <v>171</v>
      </c>
      <c r="ER94" s="144" t="s">
        <v>171</v>
      </c>
      <c r="ES94" s="144" t="s">
        <v>171</v>
      </c>
      <c r="ET94" t="s">
        <v>202</v>
      </c>
      <c r="EU94" t="s">
        <v>203</v>
      </c>
      <c r="EV94" t="s">
        <v>171</v>
      </c>
      <c r="EW94">
        <v>2421</v>
      </c>
      <c r="EX94" s="151" t="s">
        <v>204</v>
      </c>
      <c r="EY94" s="151">
        <v>175</v>
      </c>
      <c r="EZ94">
        <v>175</v>
      </c>
      <c r="FA94" t="s">
        <v>171</v>
      </c>
      <c r="FB94" t="s">
        <v>171</v>
      </c>
      <c r="FC94" t="s">
        <v>171</v>
      </c>
      <c r="FD94" t="s">
        <v>171</v>
      </c>
      <c r="FE94" s="152">
        <v>8.1629084727785095</v>
      </c>
      <c r="FF94" t="s">
        <v>205</v>
      </c>
      <c r="FG94" s="144" t="s">
        <v>171</v>
      </c>
      <c r="FH94" s="144" t="s">
        <v>171</v>
      </c>
      <c r="FI94" s="153">
        <v>282.6177012</v>
      </c>
      <c r="FJ94">
        <v>21</v>
      </c>
      <c r="FK94" t="s">
        <v>207</v>
      </c>
      <c r="FL94" s="160">
        <v>261.6177012</v>
      </c>
      <c r="FM94" s="161">
        <v>38.358902014012017</v>
      </c>
      <c r="FN94" s="161">
        <v>37.547298219332987</v>
      </c>
      <c r="FO94" t="s">
        <v>186</v>
      </c>
      <c r="FP94" t="s">
        <v>208</v>
      </c>
      <c r="FQ94" t="s">
        <v>171</v>
      </c>
      <c r="FR94" t="s">
        <v>171</v>
      </c>
      <c r="FS94" t="s">
        <v>171</v>
      </c>
      <c r="FT94" t="s">
        <v>171</v>
      </c>
      <c r="FU94" t="s">
        <v>171</v>
      </c>
      <c r="FV94" t="s">
        <v>171</v>
      </c>
      <c r="FW94" t="s">
        <v>171</v>
      </c>
      <c r="FX94" t="s">
        <v>171</v>
      </c>
      <c r="FY94" t="s">
        <v>171</v>
      </c>
      <c r="FZ94" t="s">
        <v>171</v>
      </c>
      <c r="GA94" t="s">
        <v>171</v>
      </c>
      <c r="GB94" t="s">
        <v>171</v>
      </c>
    </row>
    <row r="95" spans="1:184" ht="16" x14ac:dyDescent="0.2">
      <c r="A95" t="s">
        <v>217</v>
      </c>
      <c r="B95" s="143" t="s">
        <v>216</v>
      </c>
      <c r="C95" s="138" t="s">
        <v>212</v>
      </c>
      <c r="D95" t="s">
        <v>211</v>
      </c>
      <c r="E95">
        <v>2017</v>
      </c>
      <c r="F95" t="str">
        <f t="shared" si="21"/>
        <v>10.1073/pnas.1702143114</v>
      </c>
      <c r="G95" s="147">
        <f t="shared" si="22"/>
        <v>1181.75</v>
      </c>
      <c r="H95">
        <f t="shared" si="18"/>
        <v>6</v>
      </c>
      <c r="I95">
        <f t="shared" si="19"/>
        <v>6</v>
      </c>
      <c r="J95" s="153">
        <f t="shared" si="23"/>
        <v>228.50452369999999</v>
      </c>
      <c r="K95" s="153">
        <f t="shared" si="24"/>
        <v>33.494281999697989</v>
      </c>
      <c r="L95" s="153">
        <f t="shared" si="25"/>
        <v>33.244602996726002</v>
      </c>
      <c r="M95" t="b">
        <v>1</v>
      </c>
      <c r="N95">
        <v>3</v>
      </c>
      <c r="O95" s="144" t="s">
        <v>228</v>
      </c>
      <c r="P95" s="144" t="s">
        <v>229</v>
      </c>
      <c r="Q95" t="b">
        <v>0</v>
      </c>
      <c r="R95" t="s">
        <v>214</v>
      </c>
      <c r="S95" t="b">
        <v>1</v>
      </c>
      <c r="T95" t="b">
        <v>0</v>
      </c>
      <c r="U95" t="s">
        <v>171</v>
      </c>
      <c r="V95" t="s">
        <v>171</v>
      </c>
      <c r="W95" t="b">
        <v>0</v>
      </c>
      <c r="X95" t="s">
        <v>171</v>
      </c>
      <c r="Y95" s="139" t="s">
        <v>167</v>
      </c>
      <c r="Z95" s="143" t="s">
        <v>168</v>
      </c>
      <c r="AA95" t="s">
        <v>169</v>
      </c>
      <c r="AB95" s="157" t="s">
        <v>210</v>
      </c>
      <c r="AC95" s="157">
        <v>5</v>
      </c>
      <c r="AD95" s="157">
        <v>2</v>
      </c>
      <c r="AE95" s="158">
        <v>140.68698299999974</v>
      </c>
      <c r="AF95" s="158">
        <f t="shared" si="15"/>
        <v>142.68698299999974</v>
      </c>
      <c r="AG95" s="159">
        <v>39.006645149999997</v>
      </c>
      <c r="AH95" s="159">
        <v>39.006645149999997</v>
      </c>
      <c r="AI95" t="s">
        <v>171</v>
      </c>
      <c r="AJ95" t="s">
        <v>172</v>
      </c>
      <c r="AK95" s="146">
        <v>12.74</v>
      </c>
      <c r="AL95" s="146">
        <v>-78.739999999999995</v>
      </c>
      <c r="AM95" t="s">
        <v>171</v>
      </c>
      <c r="AN95" t="s">
        <v>171</v>
      </c>
      <c r="AO95">
        <v>-2839</v>
      </c>
      <c r="AP95" t="s">
        <v>171</v>
      </c>
      <c r="AQ95" t="s">
        <v>171</v>
      </c>
      <c r="AR95" t="s">
        <v>171</v>
      </c>
      <c r="AS95">
        <v>1181.75</v>
      </c>
      <c r="AT95" t="s">
        <v>173</v>
      </c>
      <c r="AU95">
        <v>6</v>
      </c>
      <c r="AV95">
        <v>6</v>
      </c>
      <c r="AW95" t="s">
        <v>171</v>
      </c>
      <c r="AX95" t="s">
        <v>174</v>
      </c>
      <c r="AY95" t="s">
        <v>171</v>
      </c>
      <c r="AZ95" t="s">
        <v>171</v>
      </c>
      <c r="BA95" t="s">
        <v>171</v>
      </c>
      <c r="BB95" t="s">
        <v>171</v>
      </c>
      <c r="BC95" t="s">
        <v>171</v>
      </c>
      <c r="BD95" t="s">
        <v>171</v>
      </c>
      <c r="BE95" t="s">
        <v>171</v>
      </c>
      <c r="BF95" t="s">
        <v>171</v>
      </c>
      <c r="BG95" t="s">
        <v>175</v>
      </c>
      <c r="BH95" t="s">
        <v>176</v>
      </c>
      <c r="BI95" t="s">
        <v>177</v>
      </c>
      <c r="BJ95" s="142">
        <v>2</v>
      </c>
      <c r="BK95" t="s">
        <v>178</v>
      </c>
      <c r="BL95" t="s">
        <v>179</v>
      </c>
      <c r="BM95" t="s">
        <v>180</v>
      </c>
      <c r="BN95" t="s">
        <v>171</v>
      </c>
      <c r="BO95" s="142">
        <v>2</v>
      </c>
      <c r="BP95" s="144" t="s">
        <v>171</v>
      </c>
      <c r="BQ95" s="149">
        <v>20.849184019999999</v>
      </c>
      <c r="BR95" t="s">
        <v>181</v>
      </c>
      <c r="BS95" s="149">
        <v>0.14637763600000001</v>
      </c>
      <c r="BT95">
        <v>0.64</v>
      </c>
      <c r="BU95" t="s">
        <v>182</v>
      </c>
      <c r="BV95">
        <v>3.4000000000000002E-2</v>
      </c>
      <c r="BW95">
        <v>9.1</v>
      </c>
      <c r="BX95" t="s">
        <v>173</v>
      </c>
      <c r="BY95">
        <v>0.56000000000000005</v>
      </c>
      <c r="BZ95" t="s">
        <v>183</v>
      </c>
      <c r="CA95" t="s">
        <v>184</v>
      </c>
      <c r="CB95" s="148">
        <f t="shared" si="20"/>
        <v>19.965306699999999</v>
      </c>
      <c r="CC95" s="144" t="s">
        <v>185</v>
      </c>
      <c r="CD95" s="144" t="s">
        <v>171</v>
      </c>
      <c r="CE95" s="144" t="s">
        <v>171</v>
      </c>
      <c r="CF95" t="s">
        <v>186</v>
      </c>
      <c r="CG95" s="144">
        <v>10</v>
      </c>
      <c r="CH95" s="144" t="s">
        <v>187</v>
      </c>
      <c r="CI95" s="144" t="s">
        <v>171</v>
      </c>
      <c r="CJ95" s="147">
        <v>26.121038939999998</v>
      </c>
      <c r="CK95" t="s">
        <v>173</v>
      </c>
      <c r="CL95">
        <v>3</v>
      </c>
      <c r="CM95">
        <v>3</v>
      </c>
      <c r="CN95" t="s">
        <v>171</v>
      </c>
      <c r="CO95" s="149">
        <v>3.8958861975830157</v>
      </c>
      <c r="CP95" t="s">
        <v>188</v>
      </c>
      <c r="CQ95" s="149">
        <f t="shared" si="16"/>
        <v>0.15583544790332063</v>
      </c>
      <c r="CR95" s="149">
        <v>0.15583544790332063</v>
      </c>
      <c r="CS95" s="150" t="s">
        <v>171</v>
      </c>
      <c r="CT95" t="s">
        <v>189</v>
      </c>
      <c r="CU95" t="s">
        <v>171</v>
      </c>
      <c r="CV95" t="s">
        <v>190</v>
      </c>
      <c r="CW95" t="s">
        <v>191</v>
      </c>
      <c r="CX95" t="s">
        <v>191</v>
      </c>
      <c r="CY95" t="s">
        <v>191</v>
      </c>
      <c r="CZ95" t="s">
        <v>171</v>
      </c>
      <c r="DA95" t="s">
        <v>171</v>
      </c>
      <c r="DB95" t="s">
        <v>171</v>
      </c>
      <c r="DC95" t="s">
        <v>171</v>
      </c>
      <c r="DD95" t="s">
        <v>171</v>
      </c>
      <c r="DE95" t="s">
        <v>171</v>
      </c>
      <c r="DF95" t="s">
        <v>171</v>
      </c>
      <c r="DG95">
        <v>35</v>
      </c>
      <c r="DH95" t="s">
        <v>185</v>
      </c>
      <c r="DI95" s="142">
        <v>3</v>
      </c>
      <c r="DJ95" s="144" t="s">
        <v>192</v>
      </c>
      <c r="DK95" s="144" t="s">
        <v>171</v>
      </c>
      <c r="DL95" s="144" t="s">
        <v>171</v>
      </c>
      <c r="DM95" s="144" t="s">
        <v>171</v>
      </c>
      <c r="DN95" s="144" t="s">
        <v>171</v>
      </c>
      <c r="DO95" s="144" t="s">
        <v>171</v>
      </c>
      <c r="DP95" s="144" t="s">
        <v>171</v>
      </c>
      <c r="DQ95" s="144" t="s">
        <v>171</v>
      </c>
      <c r="DR95" s="144" t="s">
        <v>171</v>
      </c>
      <c r="DS95" s="144" t="s">
        <v>171</v>
      </c>
      <c r="DT95" s="144" t="s">
        <v>171</v>
      </c>
      <c r="DU95" s="144" t="s">
        <v>171</v>
      </c>
      <c r="DV95" s="144" t="s">
        <v>171</v>
      </c>
      <c r="DW95" s="147">
        <v>432.56244218316402</v>
      </c>
      <c r="DX95" t="s">
        <v>193</v>
      </c>
      <c r="DY95">
        <v>37.1</v>
      </c>
      <c r="DZ95" t="s">
        <v>194</v>
      </c>
      <c r="EA95">
        <v>39.61</v>
      </c>
      <c r="EB95" t="s">
        <v>185</v>
      </c>
      <c r="EC95" s="149">
        <f t="shared" si="17"/>
        <v>0.21817500000000001</v>
      </c>
      <c r="ED95" t="s">
        <v>195</v>
      </c>
      <c r="EE95" t="s">
        <v>196</v>
      </c>
      <c r="EF95" t="s">
        <v>197</v>
      </c>
      <c r="EG95">
        <v>1.0271999999999999</v>
      </c>
      <c r="EH95" t="s">
        <v>171</v>
      </c>
      <c r="EI95" t="s">
        <v>171</v>
      </c>
      <c r="EJ95" t="s">
        <v>198</v>
      </c>
      <c r="EK95" t="s">
        <v>191</v>
      </c>
      <c r="EL95" t="s">
        <v>191</v>
      </c>
      <c r="EM95" t="s">
        <v>199</v>
      </c>
      <c r="EN95" t="s">
        <v>200</v>
      </c>
      <c r="EO95" s="151" t="s">
        <v>201</v>
      </c>
      <c r="EP95" s="151" t="s">
        <v>201</v>
      </c>
      <c r="EQ95" s="144" t="s">
        <v>171</v>
      </c>
      <c r="ER95" s="144" t="s">
        <v>171</v>
      </c>
      <c r="ES95" s="144" t="s">
        <v>171</v>
      </c>
      <c r="ET95" t="s">
        <v>202</v>
      </c>
      <c r="EU95" t="s">
        <v>203</v>
      </c>
      <c r="EV95" t="s">
        <v>171</v>
      </c>
      <c r="EW95">
        <v>2422</v>
      </c>
      <c r="EX95" s="151" t="s">
        <v>204</v>
      </c>
      <c r="EY95" s="151">
        <v>175</v>
      </c>
      <c r="EZ95">
        <v>175</v>
      </c>
      <c r="FA95" t="s">
        <v>171</v>
      </c>
      <c r="FB95" t="s">
        <v>171</v>
      </c>
      <c r="FC95" t="s">
        <v>171</v>
      </c>
      <c r="FD95" t="s">
        <v>171</v>
      </c>
      <c r="FE95" s="152">
        <v>8.2037186839006502</v>
      </c>
      <c r="FF95" t="s">
        <v>205</v>
      </c>
      <c r="FG95" s="144" t="s">
        <v>171</v>
      </c>
      <c r="FH95" s="144" t="s">
        <v>171</v>
      </c>
      <c r="FI95" s="153">
        <v>249.50452369999999</v>
      </c>
      <c r="FJ95">
        <v>21</v>
      </c>
      <c r="FK95" t="s">
        <v>207</v>
      </c>
      <c r="FL95" s="160">
        <v>228.50452369999999</v>
      </c>
      <c r="FM95" s="161">
        <v>33.494281999697989</v>
      </c>
      <c r="FN95" s="161">
        <v>33.244602996726002</v>
      </c>
      <c r="FO95" t="s">
        <v>186</v>
      </c>
      <c r="FP95" t="s">
        <v>208</v>
      </c>
      <c r="FQ95" t="s">
        <v>171</v>
      </c>
      <c r="FR95" t="s">
        <v>171</v>
      </c>
      <c r="FS95" t="s">
        <v>171</v>
      </c>
      <c r="FT95" t="s">
        <v>171</v>
      </c>
      <c r="FU95" t="s">
        <v>171</v>
      </c>
      <c r="FV95" t="s">
        <v>171</v>
      </c>
      <c r="FW95" t="s">
        <v>171</v>
      </c>
      <c r="FX95" t="s">
        <v>171</v>
      </c>
      <c r="FY95" t="s">
        <v>171</v>
      </c>
      <c r="FZ95" t="s">
        <v>171</v>
      </c>
      <c r="GA95" t="s">
        <v>171</v>
      </c>
      <c r="GB95" t="s">
        <v>171</v>
      </c>
    </row>
    <row r="96" spans="1:184" ht="16" x14ac:dyDescent="0.2">
      <c r="A96" t="s">
        <v>217</v>
      </c>
      <c r="B96" s="143" t="s">
        <v>216</v>
      </c>
      <c r="C96" s="138" t="s">
        <v>212</v>
      </c>
      <c r="D96" t="s">
        <v>211</v>
      </c>
      <c r="E96">
        <v>2017</v>
      </c>
      <c r="F96" t="str">
        <f t="shared" si="21"/>
        <v>10.1073/pnas.1702143114</v>
      </c>
      <c r="G96" s="147">
        <f t="shared" si="22"/>
        <v>1184.06</v>
      </c>
      <c r="H96">
        <f t="shared" si="18"/>
        <v>6</v>
      </c>
      <c r="I96">
        <f t="shared" si="19"/>
        <v>6</v>
      </c>
      <c r="J96" s="153">
        <f t="shared" si="23"/>
        <v>222.41688250000001</v>
      </c>
      <c r="K96" s="153">
        <f t="shared" si="24"/>
        <v>33.757694666535002</v>
      </c>
      <c r="L96" s="153">
        <f t="shared" si="25"/>
        <v>33.202581097024023</v>
      </c>
      <c r="M96" t="b">
        <v>1</v>
      </c>
      <c r="N96">
        <v>3</v>
      </c>
      <c r="O96" s="144" t="s">
        <v>228</v>
      </c>
      <c r="P96" s="144" t="s">
        <v>229</v>
      </c>
      <c r="Q96" t="b">
        <v>0</v>
      </c>
      <c r="R96" t="s">
        <v>214</v>
      </c>
      <c r="S96" t="b">
        <v>1</v>
      </c>
      <c r="T96" t="b">
        <v>0</v>
      </c>
      <c r="U96" t="s">
        <v>171</v>
      </c>
      <c r="V96" t="s">
        <v>171</v>
      </c>
      <c r="W96" t="b">
        <v>0</v>
      </c>
      <c r="X96" t="s">
        <v>171</v>
      </c>
      <c r="Y96" s="139" t="s">
        <v>167</v>
      </c>
      <c r="Z96" s="143" t="s">
        <v>168</v>
      </c>
      <c r="AA96" t="s">
        <v>169</v>
      </c>
      <c r="AB96" s="157" t="s">
        <v>210</v>
      </c>
      <c r="AC96" s="157">
        <v>5</v>
      </c>
      <c r="AD96" s="157">
        <v>3</v>
      </c>
      <c r="AE96" s="158">
        <v>2</v>
      </c>
      <c r="AF96" s="158">
        <f t="shared" si="15"/>
        <v>4</v>
      </c>
      <c r="AG96" s="159">
        <v>39.119999999999997</v>
      </c>
      <c r="AH96" s="159">
        <v>39.119999999999997</v>
      </c>
      <c r="AI96" t="s">
        <v>171</v>
      </c>
      <c r="AJ96" t="s">
        <v>172</v>
      </c>
      <c r="AK96" s="146">
        <v>12.74</v>
      </c>
      <c r="AL96" s="146">
        <v>-78.739999999999995</v>
      </c>
      <c r="AM96" t="s">
        <v>171</v>
      </c>
      <c r="AN96" t="s">
        <v>171</v>
      </c>
      <c r="AO96">
        <v>-2839</v>
      </c>
      <c r="AP96" t="s">
        <v>171</v>
      </c>
      <c r="AQ96" t="s">
        <v>171</v>
      </c>
      <c r="AR96" t="s">
        <v>171</v>
      </c>
      <c r="AS96">
        <v>1184.06</v>
      </c>
      <c r="AT96" t="s">
        <v>173</v>
      </c>
      <c r="AU96">
        <v>6</v>
      </c>
      <c r="AV96">
        <v>6</v>
      </c>
      <c r="AW96" t="s">
        <v>171</v>
      </c>
      <c r="AX96" t="s">
        <v>174</v>
      </c>
      <c r="AY96" t="s">
        <v>171</v>
      </c>
      <c r="AZ96" t="s">
        <v>171</v>
      </c>
      <c r="BA96" t="s">
        <v>171</v>
      </c>
      <c r="BB96" t="s">
        <v>171</v>
      </c>
      <c r="BC96" t="s">
        <v>171</v>
      </c>
      <c r="BD96" t="s">
        <v>171</v>
      </c>
      <c r="BE96" t="s">
        <v>171</v>
      </c>
      <c r="BF96" t="s">
        <v>171</v>
      </c>
      <c r="BG96" t="s">
        <v>175</v>
      </c>
      <c r="BH96" t="s">
        <v>176</v>
      </c>
      <c r="BI96" t="s">
        <v>177</v>
      </c>
      <c r="BJ96" s="142">
        <v>2</v>
      </c>
      <c r="BK96" t="s">
        <v>178</v>
      </c>
      <c r="BL96" t="s">
        <v>179</v>
      </c>
      <c r="BM96" t="s">
        <v>180</v>
      </c>
      <c r="BN96" t="s">
        <v>171</v>
      </c>
      <c r="BO96" s="142">
        <v>2</v>
      </c>
      <c r="BP96" s="144" t="s">
        <v>171</v>
      </c>
      <c r="BQ96" s="149">
        <v>20.832362369999998</v>
      </c>
      <c r="BR96" t="s">
        <v>181</v>
      </c>
      <c r="BS96" s="149">
        <v>0.17948405200000001</v>
      </c>
      <c r="BT96">
        <v>0.64</v>
      </c>
      <c r="BU96" t="s">
        <v>182</v>
      </c>
      <c r="BV96">
        <v>3.4000000000000002E-2</v>
      </c>
      <c r="BW96">
        <v>9.1</v>
      </c>
      <c r="BX96" t="s">
        <v>173</v>
      </c>
      <c r="BY96">
        <v>0.56000000000000005</v>
      </c>
      <c r="BZ96" t="s">
        <v>183</v>
      </c>
      <c r="CA96" t="s">
        <v>184</v>
      </c>
      <c r="CB96" s="148">
        <f t="shared" si="20"/>
        <v>19.937270616666666</v>
      </c>
      <c r="CC96" s="144" t="s">
        <v>185</v>
      </c>
      <c r="CD96" s="144" t="s">
        <v>171</v>
      </c>
      <c r="CE96" s="144" t="s">
        <v>171</v>
      </c>
      <c r="CF96" t="s">
        <v>186</v>
      </c>
      <c r="CG96" s="144">
        <v>10</v>
      </c>
      <c r="CH96" s="144" t="s">
        <v>187</v>
      </c>
      <c r="CI96" s="144" t="s">
        <v>171</v>
      </c>
      <c r="CJ96" s="147">
        <v>25.04226976</v>
      </c>
      <c r="CK96" t="s">
        <v>173</v>
      </c>
      <c r="CL96">
        <v>3</v>
      </c>
      <c r="CM96">
        <v>3</v>
      </c>
      <c r="CN96" t="s">
        <v>171</v>
      </c>
      <c r="CO96" s="149">
        <v>3.5260348857581363</v>
      </c>
      <c r="CP96" t="s">
        <v>188</v>
      </c>
      <c r="CQ96" s="149">
        <f t="shared" si="16"/>
        <v>0.14104139543032546</v>
      </c>
      <c r="CR96" s="149">
        <v>0.14104139543032546</v>
      </c>
      <c r="CS96" s="150" t="s">
        <v>171</v>
      </c>
      <c r="CT96" t="s">
        <v>189</v>
      </c>
      <c r="CU96" t="s">
        <v>171</v>
      </c>
      <c r="CV96" t="s">
        <v>190</v>
      </c>
      <c r="CW96" t="s">
        <v>191</v>
      </c>
      <c r="CX96" t="s">
        <v>191</v>
      </c>
      <c r="CY96" t="s">
        <v>191</v>
      </c>
      <c r="CZ96" t="s">
        <v>171</v>
      </c>
      <c r="DA96" t="s">
        <v>171</v>
      </c>
      <c r="DB96" t="s">
        <v>171</v>
      </c>
      <c r="DC96" t="s">
        <v>171</v>
      </c>
      <c r="DD96" t="s">
        <v>171</v>
      </c>
      <c r="DE96" t="s">
        <v>171</v>
      </c>
      <c r="DF96" t="s">
        <v>171</v>
      </c>
      <c r="DG96">
        <v>35</v>
      </c>
      <c r="DH96" t="s">
        <v>185</v>
      </c>
      <c r="DI96" s="142">
        <v>3</v>
      </c>
      <c r="DJ96" s="144" t="s">
        <v>192</v>
      </c>
      <c r="DK96" s="144" t="s">
        <v>171</v>
      </c>
      <c r="DL96" s="144" t="s">
        <v>171</v>
      </c>
      <c r="DM96" s="144" t="s">
        <v>171</v>
      </c>
      <c r="DN96" s="144" t="s">
        <v>171</v>
      </c>
      <c r="DO96" s="144" t="s">
        <v>171</v>
      </c>
      <c r="DP96" s="144" t="s">
        <v>171</v>
      </c>
      <c r="DQ96" s="144" t="s">
        <v>171</v>
      </c>
      <c r="DR96" s="144" t="s">
        <v>171</v>
      </c>
      <c r="DS96" s="144" t="s">
        <v>171</v>
      </c>
      <c r="DT96" s="144" t="s">
        <v>171</v>
      </c>
      <c r="DU96" s="144" t="s">
        <v>171</v>
      </c>
      <c r="DV96" s="144" t="s">
        <v>171</v>
      </c>
      <c r="DW96" s="147">
        <v>432.56244218316402</v>
      </c>
      <c r="DX96" t="s">
        <v>193</v>
      </c>
      <c r="DY96">
        <v>37.1</v>
      </c>
      <c r="DZ96" t="s">
        <v>194</v>
      </c>
      <c r="EA96">
        <v>39.61</v>
      </c>
      <c r="EB96" t="s">
        <v>185</v>
      </c>
      <c r="EC96" s="149">
        <f t="shared" si="17"/>
        <v>0.21840600000000002</v>
      </c>
      <c r="ED96" t="s">
        <v>195</v>
      </c>
      <c r="EE96" t="s">
        <v>196</v>
      </c>
      <c r="EF96" t="s">
        <v>197</v>
      </c>
      <c r="EG96">
        <v>1.0271999999999999</v>
      </c>
      <c r="EH96" t="s">
        <v>171</v>
      </c>
      <c r="EI96" t="s">
        <v>171</v>
      </c>
      <c r="EJ96" t="s">
        <v>198</v>
      </c>
      <c r="EK96" t="s">
        <v>191</v>
      </c>
      <c r="EL96" t="s">
        <v>191</v>
      </c>
      <c r="EM96" t="s">
        <v>199</v>
      </c>
      <c r="EN96" t="s">
        <v>200</v>
      </c>
      <c r="EO96" s="151" t="s">
        <v>201</v>
      </c>
      <c r="EP96" s="151" t="s">
        <v>201</v>
      </c>
      <c r="EQ96" s="144" t="s">
        <v>171</v>
      </c>
      <c r="ER96" s="144" t="s">
        <v>171</v>
      </c>
      <c r="ES96" s="144" t="s">
        <v>171</v>
      </c>
      <c r="ET96" t="s">
        <v>202</v>
      </c>
      <c r="EU96" t="s">
        <v>203</v>
      </c>
      <c r="EV96" t="s">
        <v>171</v>
      </c>
      <c r="EW96">
        <v>2423</v>
      </c>
      <c r="EX96" s="151" t="s">
        <v>204</v>
      </c>
      <c r="EY96" s="151">
        <v>175</v>
      </c>
      <c r="EZ96">
        <v>175</v>
      </c>
      <c r="FA96" t="s">
        <v>171</v>
      </c>
      <c r="FB96" t="s">
        <v>171</v>
      </c>
      <c r="FC96" t="s">
        <v>171</v>
      </c>
      <c r="FD96" t="s">
        <v>171</v>
      </c>
      <c r="FE96" s="152">
        <v>8.2134615332848302</v>
      </c>
      <c r="FF96" t="s">
        <v>205</v>
      </c>
      <c r="FG96" s="144" t="s">
        <v>171</v>
      </c>
      <c r="FH96" s="144" t="s">
        <v>171</v>
      </c>
      <c r="FI96" s="153">
        <v>243.41688250000001</v>
      </c>
      <c r="FJ96">
        <v>21</v>
      </c>
      <c r="FK96" t="s">
        <v>207</v>
      </c>
      <c r="FL96" s="160">
        <v>222.41688250000001</v>
      </c>
      <c r="FM96" s="161">
        <v>33.757694666535002</v>
      </c>
      <c r="FN96" s="161">
        <v>33.202581097024023</v>
      </c>
      <c r="FO96" t="s">
        <v>186</v>
      </c>
      <c r="FP96" t="s">
        <v>208</v>
      </c>
      <c r="FQ96" t="s">
        <v>171</v>
      </c>
      <c r="FR96" t="s">
        <v>171</v>
      </c>
      <c r="FS96" t="s">
        <v>171</v>
      </c>
      <c r="FT96" t="s">
        <v>171</v>
      </c>
      <c r="FU96" t="s">
        <v>171</v>
      </c>
      <c r="FV96" t="s">
        <v>171</v>
      </c>
      <c r="FW96" t="s">
        <v>171</v>
      </c>
      <c r="FX96" t="s">
        <v>171</v>
      </c>
      <c r="FY96" t="s">
        <v>171</v>
      </c>
      <c r="FZ96" t="s">
        <v>171</v>
      </c>
      <c r="GA96" t="s">
        <v>171</v>
      </c>
      <c r="GB96" t="s">
        <v>171</v>
      </c>
    </row>
    <row r="97" spans="1:184" ht="16" x14ac:dyDescent="0.2">
      <c r="A97" t="s">
        <v>217</v>
      </c>
      <c r="B97" s="143" t="s">
        <v>216</v>
      </c>
      <c r="C97" s="138" t="s">
        <v>212</v>
      </c>
      <c r="D97" t="s">
        <v>211</v>
      </c>
      <c r="E97">
        <v>2017</v>
      </c>
      <c r="F97" t="str">
        <f t="shared" si="21"/>
        <v>10.1073/pnas.1702143114</v>
      </c>
      <c r="G97" s="147">
        <f t="shared" si="22"/>
        <v>1185.97</v>
      </c>
      <c r="H97">
        <f t="shared" si="18"/>
        <v>6</v>
      </c>
      <c r="I97">
        <f t="shared" si="19"/>
        <v>6</v>
      </c>
      <c r="J97" s="153">
        <f t="shared" si="23"/>
        <v>254.35988839999999</v>
      </c>
      <c r="K97" s="153">
        <f t="shared" si="24"/>
        <v>38.360921059812995</v>
      </c>
      <c r="L97" s="153">
        <f t="shared" si="25"/>
        <v>35.498186561271979</v>
      </c>
      <c r="M97" t="b">
        <v>1</v>
      </c>
      <c r="N97">
        <v>3</v>
      </c>
      <c r="O97" s="144" t="s">
        <v>228</v>
      </c>
      <c r="P97" s="144" t="s">
        <v>229</v>
      </c>
      <c r="Q97" t="b">
        <v>0</v>
      </c>
      <c r="R97" t="s">
        <v>214</v>
      </c>
      <c r="S97" t="b">
        <v>1</v>
      </c>
      <c r="T97" t="b">
        <v>0</v>
      </c>
      <c r="U97" t="s">
        <v>171</v>
      </c>
      <c r="V97" t="s">
        <v>171</v>
      </c>
      <c r="W97" t="b">
        <v>0</v>
      </c>
      <c r="X97" t="s">
        <v>171</v>
      </c>
      <c r="Y97" s="139" t="s">
        <v>167</v>
      </c>
      <c r="Z97" s="143" t="s">
        <v>168</v>
      </c>
      <c r="AA97" t="s">
        <v>169</v>
      </c>
      <c r="AB97" s="162" t="s">
        <v>210</v>
      </c>
      <c r="AC97" s="162">
        <v>5</v>
      </c>
      <c r="AD97" s="162">
        <v>3</v>
      </c>
      <c r="AE97" s="163">
        <v>10.111267999999939</v>
      </c>
      <c r="AF97" s="163">
        <f t="shared" si="15"/>
        <v>12.111267999999939</v>
      </c>
      <c r="AG97" s="164">
        <v>39.200887999999999</v>
      </c>
      <c r="AH97" s="164">
        <v>39.200887999999999</v>
      </c>
      <c r="AI97" t="s">
        <v>171</v>
      </c>
      <c r="AJ97" t="s">
        <v>172</v>
      </c>
      <c r="AK97" s="146">
        <v>12.74</v>
      </c>
      <c r="AL97" s="146">
        <v>-78.739999999999995</v>
      </c>
      <c r="AM97" t="s">
        <v>171</v>
      </c>
      <c r="AN97" t="s">
        <v>171</v>
      </c>
      <c r="AO97">
        <v>-2839</v>
      </c>
      <c r="AP97" t="s">
        <v>171</v>
      </c>
      <c r="AQ97" t="s">
        <v>171</v>
      </c>
      <c r="AR97" t="s">
        <v>171</v>
      </c>
      <c r="AS97">
        <v>1185.97</v>
      </c>
      <c r="AT97" t="s">
        <v>173</v>
      </c>
      <c r="AU97">
        <v>6</v>
      </c>
      <c r="AV97">
        <v>6</v>
      </c>
      <c r="AW97" t="s">
        <v>171</v>
      </c>
      <c r="AX97" t="s">
        <v>174</v>
      </c>
      <c r="AY97" t="s">
        <v>171</v>
      </c>
      <c r="AZ97" t="s">
        <v>171</v>
      </c>
      <c r="BA97" t="s">
        <v>171</v>
      </c>
      <c r="BB97" t="s">
        <v>171</v>
      </c>
      <c r="BC97" t="s">
        <v>171</v>
      </c>
      <c r="BD97" t="s">
        <v>171</v>
      </c>
      <c r="BE97" t="s">
        <v>171</v>
      </c>
      <c r="BF97" t="s">
        <v>171</v>
      </c>
      <c r="BG97" t="s">
        <v>175</v>
      </c>
      <c r="BH97" t="s">
        <v>176</v>
      </c>
      <c r="BI97" t="s">
        <v>177</v>
      </c>
      <c r="BJ97" s="142">
        <v>2</v>
      </c>
      <c r="BK97" t="s">
        <v>178</v>
      </c>
      <c r="BL97" t="s">
        <v>179</v>
      </c>
      <c r="BM97" t="s">
        <v>180</v>
      </c>
      <c r="BN97" t="s">
        <v>171</v>
      </c>
      <c r="BO97" s="142">
        <v>2</v>
      </c>
      <c r="BP97" s="144" t="s">
        <v>171</v>
      </c>
      <c r="BQ97" s="149">
        <v>20.574240379999999</v>
      </c>
      <c r="BR97" t="s">
        <v>181</v>
      </c>
      <c r="BS97" s="149">
        <v>0.19473354400000001</v>
      </c>
      <c r="BT97">
        <v>0.64</v>
      </c>
      <c r="BU97" t="s">
        <v>182</v>
      </c>
      <c r="BV97">
        <v>3.4000000000000002E-2</v>
      </c>
      <c r="BW97">
        <v>9.1</v>
      </c>
      <c r="BX97" t="s">
        <v>173</v>
      </c>
      <c r="BY97">
        <v>0.56000000000000005</v>
      </c>
      <c r="BZ97" t="s">
        <v>183</v>
      </c>
      <c r="CA97" t="s">
        <v>184</v>
      </c>
      <c r="CB97" s="148">
        <f t="shared" si="20"/>
        <v>19.507067299999999</v>
      </c>
      <c r="CC97" s="144" t="s">
        <v>185</v>
      </c>
      <c r="CD97" s="144" t="s">
        <v>171</v>
      </c>
      <c r="CE97" s="144" t="s">
        <v>171</v>
      </c>
      <c r="CF97" t="s">
        <v>186</v>
      </c>
      <c r="CG97" s="144">
        <v>10</v>
      </c>
      <c r="CH97" s="144" t="s">
        <v>187</v>
      </c>
      <c r="CI97" s="144" t="s">
        <v>171</v>
      </c>
      <c r="CJ97" s="147">
        <v>25.717720530000001</v>
      </c>
      <c r="CK97" t="s">
        <v>173</v>
      </c>
      <c r="CL97">
        <v>3</v>
      </c>
      <c r="CM97">
        <v>3</v>
      </c>
      <c r="CN97" t="s">
        <v>171</v>
      </c>
      <c r="CO97" s="149">
        <v>3.7470338261404286</v>
      </c>
      <c r="CP97" t="s">
        <v>188</v>
      </c>
      <c r="CQ97" s="149">
        <f t="shared" si="16"/>
        <v>0.14988135304561714</v>
      </c>
      <c r="CR97" s="149">
        <v>0.14988135304561714</v>
      </c>
      <c r="CS97" s="150" t="s">
        <v>171</v>
      </c>
      <c r="CT97" t="s">
        <v>189</v>
      </c>
      <c r="CU97" t="s">
        <v>171</v>
      </c>
      <c r="CV97" t="s">
        <v>190</v>
      </c>
      <c r="CW97" t="s">
        <v>191</v>
      </c>
      <c r="CX97" t="s">
        <v>191</v>
      </c>
      <c r="CY97" t="s">
        <v>191</v>
      </c>
      <c r="CZ97" t="s">
        <v>171</v>
      </c>
      <c r="DA97" t="s">
        <v>171</v>
      </c>
      <c r="DB97" t="s">
        <v>171</v>
      </c>
      <c r="DC97" t="s">
        <v>171</v>
      </c>
      <c r="DD97" t="s">
        <v>171</v>
      </c>
      <c r="DE97" t="s">
        <v>171</v>
      </c>
      <c r="DF97" t="s">
        <v>171</v>
      </c>
      <c r="DG97">
        <v>35</v>
      </c>
      <c r="DH97" t="s">
        <v>185</v>
      </c>
      <c r="DI97" s="142">
        <v>3</v>
      </c>
      <c r="DJ97" s="144" t="s">
        <v>192</v>
      </c>
      <c r="DK97" s="144" t="s">
        <v>171</v>
      </c>
      <c r="DL97" s="144" t="s">
        <v>171</v>
      </c>
      <c r="DM97" s="144" t="s">
        <v>171</v>
      </c>
      <c r="DN97" s="144" t="s">
        <v>171</v>
      </c>
      <c r="DO97" s="144" t="s">
        <v>171</v>
      </c>
      <c r="DP97" s="144" t="s">
        <v>171</v>
      </c>
      <c r="DQ97" s="144" t="s">
        <v>171</v>
      </c>
      <c r="DR97" s="144" t="s">
        <v>171</v>
      </c>
      <c r="DS97" s="144" t="s">
        <v>171</v>
      </c>
      <c r="DT97" s="144" t="s">
        <v>171</v>
      </c>
      <c r="DU97" s="144" t="s">
        <v>171</v>
      </c>
      <c r="DV97" s="144" t="s">
        <v>171</v>
      </c>
      <c r="DW97" s="147">
        <v>432.56244218316402</v>
      </c>
      <c r="DX97" t="s">
        <v>193</v>
      </c>
      <c r="DY97">
        <v>37.1</v>
      </c>
      <c r="DZ97" t="s">
        <v>194</v>
      </c>
      <c r="EA97">
        <v>39.61</v>
      </c>
      <c r="EB97" t="s">
        <v>185</v>
      </c>
      <c r="EC97" s="149">
        <f t="shared" si="17"/>
        <v>0.21859700000000001</v>
      </c>
      <c r="ED97" t="s">
        <v>195</v>
      </c>
      <c r="EE97" t="s">
        <v>196</v>
      </c>
      <c r="EF97" t="s">
        <v>197</v>
      </c>
      <c r="EG97">
        <v>1.0271999999999999</v>
      </c>
      <c r="EH97" t="s">
        <v>171</v>
      </c>
      <c r="EI97" t="s">
        <v>171</v>
      </c>
      <c r="EJ97" t="s">
        <v>198</v>
      </c>
      <c r="EK97" t="s">
        <v>191</v>
      </c>
      <c r="EL97" t="s">
        <v>191</v>
      </c>
      <c r="EM97" t="s">
        <v>199</v>
      </c>
      <c r="EN97" t="s">
        <v>200</v>
      </c>
      <c r="EO97" s="151" t="s">
        <v>201</v>
      </c>
      <c r="EP97" s="151" t="s">
        <v>201</v>
      </c>
      <c r="EQ97" s="144" t="s">
        <v>171</v>
      </c>
      <c r="ER97" s="144" t="s">
        <v>171</v>
      </c>
      <c r="ES97" s="144" t="s">
        <v>171</v>
      </c>
      <c r="ET97" t="s">
        <v>202</v>
      </c>
      <c r="EU97" t="s">
        <v>203</v>
      </c>
      <c r="EV97" t="s">
        <v>171</v>
      </c>
      <c r="EW97">
        <v>2424</v>
      </c>
      <c r="EX97" s="151" t="s">
        <v>204</v>
      </c>
      <c r="EY97" s="151">
        <v>175</v>
      </c>
      <c r="EZ97">
        <v>175</v>
      </c>
      <c r="FA97" t="s">
        <v>171</v>
      </c>
      <c r="FB97" t="s">
        <v>171</v>
      </c>
      <c r="FC97" t="s">
        <v>171</v>
      </c>
      <c r="FD97" t="s">
        <v>171</v>
      </c>
      <c r="FE97" s="152">
        <v>8.1716158295797197</v>
      </c>
      <c r="FF97" t="s">
        <v>205</v>
      </c>
      <c r="FG97" s="144" t="s">
        <v>171</v>
      </c>
      <c r="FH97" s="144" t="s">
        <v>171</v>
      </c>
      <c r="FI97" s="153">
        <v>275.35988839999999</v>
      </c>
      <c r="FJ97">
        <v>21</v>
      </c>
      <c r="FK97" t="s">
        <v>207</v>
      </c>
      <c r="FL97" s="160">
        <v>254.35988839999999</v>
      </c>
      <c r="FM97" s="161">
        <v>38.360921059812995</v>
      </c>
      <c r="FN97" s="161">
        <v>35.498186561271979</v>
      </c>
      <c r="FO97" t="s">
        <v>186</v>
      </c>
      <c r="FP97" t="s">
        <v>208</v>
      </c>
      <c r="FQ97" t="s">
        <v>171</v>
      </c>
      <c r="FR97" t="s">
        <v>171</v>
      </c>
      <c r="FS97" t="s">
        <v>171</v>
      </c>
      <c r="FT97" t="s">
        <v>171</v>
      </c>
      <c r="FU97" t="s">
        <v>171</v>
      </c>
      <c r="FV97" t="s">
        <v>171</v>
      </c>
      <c r="FW97" t="s">
        <v>171</v>
      </c>
      <c r="FX97" t="s">
        <v>171</v>
      </c>
      <c r="FY97" t="s">
        <v>171</v>
      </c>
      <c r="FZ97" t="s">
        <v>171</v>
      </c>
      <c r="GA97" t="s">
        <v>171</v>
      </c>
      <c r="GB97" t="s">
        <v>171</v>
      </c>
    </row>
    <row r="98" spans="1:184" ht="16" x14ac:dyDescent="0.2">
      <c r="A98" t="s">
        <v>217</v>
      </c>
      <c r="B98" s="143" t="s">
        <v>216</v>
      </c>
      <c r="C98" s="138" t="s">
        <v>212</v>
      </c>
      <c r="D98" t="s">
        <v>211</v>
      </c>
      <c r="E98">
        <v>2017</v>
      </c>
      <c r="F98" t="str">
        <f t="shared" si="21"/>
        <v>10.1073/pnas.1702143114</v>
      </c>
      <c r="G98" s="147">
        <f t="shared" si="22"/>
        <v>1188.07</v>
      </c>
      <c r="H98">
        <f t="shared" si="18"/>
        <v>6</v>
      </c>
      <c r="I98">
        <f t="shared" si="19"/>
        <v>6</v>
      </c>
      <c r="J98" s="153">
        <f t="shared" si="23"/>
        <v>263.57386609999998</v>
      </c>
      <c r="K98" s="153">
        <f t="shared" si="24"/>
        <v>38.389266939233039</v>
      </c>
      <c r="L98" s="153">
        <f t="shared" si="25"/>
        <v>36.161952737399986</v>
      </c>
      <c r="M98" t="b">
        <v>1</v>
      </c>
      <c r="N98">
        <v>3</v>
      </c>
      <c r="O98" s="144" t="s">
        <v>228</v>
      </c>
      <c r="P98" s="144" t="s">
        <v>229</v>
      </c>
      <c r="Q98" t="b">
        <v>0</v>
      </c>
      <c r="R98" t="s">
        <v>214</v>
      </c>
      <c r="S98" t="b">
        <v>1</v>
      </c>
      <c r="T98" t="b">
        <v>0</v>
      </c>
      <c r="U98" t="s">
        <v>171</v>
      </c>
      <c r="V98" t="s">
        <v>171</v>
      </c>
      <c r="W98" t="b">
        <v>0</v>
      </c>
      <c r="X98" t="s">
        <v>171</v>
      </c>
      <c r="Y98" s="139" t="s">
        <v>167</v>
      </c>
      <c r="Z98" s="143" t="s">
        <v>168</v>
      </c>
      <c r="AA98" t="s">
        <v>169</v>
      </c>
      <c r="AB98" s="157" t="s">
        <v>210</v>
      </c>
      <c r="AC98" s="157">
        <v>5</v>
      </c>
      <c r="AD98" s="157">
        <v>3</v>
      </c>
      <c r="AE98" s="158">
        <v>18.570803000000012</v>
      </c>
      <c r="AF98" s="158">
        <f t="shared" si="15"/>
        <v>20.570803000000012</v>
      </c>
      <c r="AG98" s="159">
        <v>39.28548335</v>
      </c>
      <c r="AH98" s="159">
        <v>39.28548335</v>
      </c>
      <c r="AI98" t="s">
        <v>171</v>
      </c>
      <c r="AJ98" t="s">
        <v>172</v>
      </c>
      <c r="AK98" s="146">
        <v>12.74</v>
      </c>
      <c r="AL98" s="146">
        <v>-78.739999999999995</v>
      </c>
      <c r="AM98" t="s">
        <v>171</v>
      </c>
      <c r="AN98" t="s">
        <v>171</v>
      </c>
      <c r="AO98">
        <v>-2839</v>
      </c>
      <c r="AP98" t="s">
        <v>171</v>
      </c>
      <c r="AQ98" t="s">
        <v>171</v>
      </c>
      <c r="AR98" t="s">
        <v>171</v>
      </c>
      <c r="AS98">
        <v>1188.07</v>
      </c>
      <c r="AT98" t="s">
        <v>173</v>
      </c>
      <c r="AU98">
        <v>6</v>
      </c>
      <c r="AV98">
        <v>6</v>
      </c>
      <c r="AW98" t="s">
        <v>171</v>
      </c>
      <c r="AX98" t="s">
        <v>174</v>
      </c>
      <c r="AY98" t="s">
        <v>171</v>
      </c>
      <c r="AZ98" t="s">
        <v>171</v>
      </c>
      <c r="BA98" t="s">
        <v>171</v>
      </c>
      <c r="BB98" t="s">
        <v>171</v>
      </c>
      <c r="BC98" t="s">
        <v>171</v>
      </c>
      <c r="BD98" t="s">
        <v>171</v>
      </c>
      <c r="BE98" t="s">
        <v>171</v>
      </c>
      <c r="BF98" t="s">
        <v>171</v>
      </c>
      <c r="BG98" t="s">
        <v>175</v>
      </c>
      <c r="BH98" t="s">
        <v>176</v>
      </c>
      <c r="BI98" t="s">
        <v>177</v>
      </c>
      <c r="BJ98" s="142">
        <v>2</v>
      </c>
      <c r="BK98" t="s">
        <v>178</v>
      </c>
      <c r="BL98" t="s">
        <v>179</v>
      </c>
      <c r="BM98" t="s">
        <v>180</v>
      </c>
      <c r="BN98" t="s">
        <v>171</v>
      </c>
      <c r="BO98" s="142">
        <v>2</v>
      </c>
      <c r="BP98" s="144" t="s">
        <v>171</v>
      </c>
      <c r="BQ98" s="149">
        <v>20.444129319999998</v>
      </c>
      <c r="BR98" t="s">
        <v>181</v>
      </c>
      <c r="BS98" s="149">
        <v>0.18617460199999999</v>
      </c>
      <c r="BT98">
        <v>0.64</v>
      </c>
      <c r="BU98" t="s">
        <v>182</v>
      </c>
      <c r="BV98">
        <v>3.4000000000000002E-2</v>
      </c>
      <c r="BW98">
        <v>9.1</v>
      </c>
      <c r="BX98" t="s">
        <v>173</v>
      </c>
      <c r="BY98">
        <v>0.56000000000000005</v>
      </c>
      <c r="BZ98" t="s">
        <v>183</v>
      </c>
      <c r="CA98" t="s">
        <v>184</v>
      </c>
      <c r="CB98" s="148">
        <f t="shared" si="20"/>
        <v>19.290215533333331</v>
      </c>
      <c r="CC98" s="144" t="s">
        <v>185</v>
      </c>
      <c r="CD98" s="144" t="s">
        <v>171</v>
      </c>
      <c r="CE98" s="144" t="s">
        <v>171</v>
      </c>
      <c r="CF98" t="s">
        <v>186</v>
      </c>
      <c r="CG98" s="144">
        <v>10</v>
      </c>
      <c r="CH98" s="144" t="s">
        <v>187</v>
      </c>
      <c r="CI98" s="144" t="s">
        <v>171</v>
      </c>
      <c r="CJ98" s="147">
        <v>25.10194787</v>
      </c>
      <c r="CK98" t="s">
        <v>173</v>
      </c>
      <c r="CL98">
        <v>3</v>
      </c>
      <c r="CM98">
        <v>3</v>
      </c>
      <c r="CN98" t="s">
        <v>171</v>
      </c>
      <c r="CO98" s="149">
        <v>3.5355528917381869</v>
      </c>
      <c r="CP98" t="s">
        <v>188</v>
      </c>
      <c r="CQ98" s="149">
        <f t="shared" si="16"/>
        <v>0.14142211566952748</v>
      </c>
      <c r="CR98" s="149">
        <v>0.14142211566952748</v>
      </c>
      <c r="CS98" s="150" t="s">
        <v>171</v>
      </c>
      <c r="CT98" t="s">
        <v>189</v>
      </c>
      <c r="CU98" t="s">
        <v>171</v>
      </c>
      <c r="CV98" t="s">
        <v>190</v>
      </c>
      <c r="CW98" t="s">
        <v>191</v>
      </c>
      <c r="CX98" t="s">
        <v>191</v>
      </c>
      <c r="CY98" t="s">
        <v>191</v>
      </c>
      <c r="CZ98" t="s">
        <v>171</v>
      </c>
      <c r="DA98" t="s">
        <v>171</v>
      </c>
      <c r="DB98" t="s">
        <v>171</v>
      </c>
      <c r="DC98" t="s">
        <v>171</v>
      </c>
      <c r="DD98" t="s">
        <v>171</v>
      </c>
      <c r="DE98" t="s">
        <v>171</v>
      </c>
      <c r="DF98" t="s">
        <v>171</v>
      </c>
      <c r="DG98">
        <v>35</v>
      </c>
      <c r="DH98" t="s">
        <v>185</v>
      </c>
      <c r="DI98" s="142">
        <v>3</v>
      </c>
      <c r="DJ98" s="144" t="s">
        <v>192</v>
      </c>
      <c r="DK98" s="144" t="s">
        <v>171</v>
      </c>
      <c r="DL98" s="144" t="s">
        <v>171</v>
      </c>
      <c r="DM98" s="144" t="s">
        <v>171</v>
      </c>
      <c r="DN98" s="144" t="s">
        <v>171</v>
      </c>
      <c r="DO98" s="144" t="s">
        <v>171</v>
      </c>
      <c r="DP98" s="144" t="s">
        <v>171</v>
      </c>
      <c r="DQ98" s="144" t="s">
        <v>171</v>
      </c>
      <c r="DR98" s="144" t="s">
        <v>171</v>
      </c>
      <c r="DS98" s="144" t="s">
        <v>171</v>
      </c>
      <c r="DT98" s="144" t="s">
        <v>171</v>
      </c>
      <c r="DU98" s="144" t="s">
        <v>171</v>
      </c>
      <c r="DV98" s="144" t="s">
        <v>171</v>
      </c>
      <c r="DW98" s="147">
        <v>432.56244218316402</v>
      </c>
      <c r="DX98" t="s">
        <v>193</v>
      </c>
      <c r="DY98">
        <v>37.1</v>
      </c>
      <c r="DZ98" t="s">
        <v>194</v>
      </c>
      <c r="EA98">
        <v>39.61</v>
      </c>
      <c r="EB98" t="s">
        <v>185</v>
      </c>
      <c r="EC98" s="149">
        <f t="shared" si="17"/>
        <v>0.218807</v>
      </c>
      <c r="ED98" t="s">
        <v>195</v>
      </c>
      <c r="EE98" t="s">
        <v>196</v>
      </c>
      <c r="EF98" t="s">
        <v>197</v>
      </c>
      <c r="EG98">
        <v>1.0271999999999999</v>
      </c>
      <c r="EH98" t="s">
        <v>171</v>
      </c>
      <c r="EI98" t="s">
        <v>171</v>
      </c>
      <c r="EJ98" t="s">
        <v>198</v>
      </c>
      <c r="EK98" t="s">
        <v>191</v>
      </c>
      <c r="EL98" t="s">
        <v>191</v>
      </c>
      <c r="EM98" t="s">
        <v>199</v>
      </c>
      <c r="EN98" t="s">
        <v>200</v>
      </c>
      <c r="EO98" s="151" t="s">
        <v>201</v>
      </c>
      <c r="EP98" s="151" t="s">
        <v>201</v>
      </c>
      <c r="EQ98" s="144" t="s">
        <v>171</v>
      </c>
      <c r="ER98" s="144" t="s">
        <v>171</v>
      </c>
      <c r="ES98" s="144" t="s">
        <v>171</v>
      </c>
      <c r="ET98" t="s">
        <v>202</v>
      </c>
      <c r="EU98" t="s">
        <v>203</v>
      </c>
      <c r="EV98" t="s">
        <v>171</v>
      </c>
      <c r="EW98">
        <v>2425</v>
      </c>
      <c r="EX98" s="151" t="s">
        <v>204</v>
      </c>
      <c r="EY98" s="151">
        <v>175</v>
      </c>
      <c r="EZ98">
        <v>175</v>
      </c>
      <c r="FA98" t="s">
        <v>171</v>
      </c>
      <c r="FB98" t="s">
        <v>171</v>
      </c>
      <c r="FC98" t="s">
        <v>171</v>
      </c>
      <c r="FD98" t="s">
        <v>171</v>
      </c>
      <c r="FE98" s="152">
        <v>8.1610697403956909</v>
      </c>
      <c r="FF98" t="s">
        <v>205</v>
      </c>
      <c r="FG98" s="144" t="s">
        <v>171</v>
      </c>
      <c r="FH98" s="144" t="s">
        <v>171</v>
      </c>
      <c r="FI98" s="153">
        <v>284.57386609999998</v>
      </c>
      <c r="FJ98">
        <v>21</v>
      </c>
      <c r="FK98" t="s">
        <v>207</v>
      </c>
      <c r="FL98" s="160">
        <v>263.57386609999998</v>
      </c>
      <c r="FM98" s="161">
        <v>38.389266939233039</v>
      </c>
      <c r="FN98" s="161">
        <v>36.161952737399986</v>
      </c>
      <c r="FO98" t="s">
        <v>186</v>
      </c>
      <c r="FP98" t="s">
        <v>208</v>
      </c>
      <c r="FQ98" t="s">
        <v>171</v>
      </c>
      <c r="FR98" t="s">
        <v>171</v>
      </c>
      <c r="FS98" t="s">
        <v>171</v>
      </c>
      <c r="FT98" t="s">
        <v>171</v>
      </c>
      <c r="FU98" t="s">
        <v>171</v>
      </c>
      <c r="FV98" t="s">
        <v>171</v>
      </c>
      <c r="FW98" t="s">
        <v>171</v>
      </c>
      <c r="FX98" t="s">
        <v>171</v>
      </c>
      <c r="FY98" t="s">
        <v>171</v>
      </c>
      <c r="FZ98" t="s">
        <v>171</v>
      </c>
      <c r="GA98" t="s">
        <v>171</v>
      </c>
      <c r="GB98" t="s">
        <v>171</v>
      </c>
    </row>
    <row r="99" spans="1:184" ht="16" x14ac:dyDescent="0.2">
      <c r="A99" t="s">
        <v>217</v>
      </c>
      <c r="B99" s="143" t="s">
        <v>216</v>
      </c>
      <c r="C99" s="138" t="s">
        <v>212</v>
      </c>
      <c r="D99" t="s">
        <v>211</v>
      </c>
      <c r="E99">
        <v>2017</v>
      </c>
      <c r="F99" t="str">
        <f t="shared" si="21"/>
        <v>10.1073/pnas.1702143114</v>
      </c>
      <c r="G99" s="147">
        <f t="shared" si="22"/>
        <v>1191.31</v>
      </c>
      <c r="H99">
        <f t="shared" si="18"/>
        <v>6</v>
      </c>
      <c r="I99">
        <f t="shared" si="19"/>
        <v>6</v>
      </c>
      <c r="J99" s="153">
        <f t="shared" si="23"/>
        <v>211.01563530000001</v>
      </c>
      <c r="K99" s="153">
        <f t="shared" si="24"/>
        <v>32.707985576238997</v>
      </c>
      <c r="L99" s="153">
        <f t="shared" si="25"/>
        <v>31.437210493558013</v>
      </c>
      <c r="M99" t="b">
        <v>1</v>
      </c>
      <c r="N99">
        <v>3</v>
      </c>
      <c r="O99" s="144" t="s">
        <v>228</v>
      </c>
      <c r="P99" s="144" t="s">
        <v>229</v>
      </c>
      <c r="Q99" t="b">
        <v>0</v>
      </c>
      <c r="R99" t="s">
        <v>214</v>
      </c>
      <c r="S99" t="b">
        <v>1</v>
      </c>
      <c r="T99" t="b">
        <v>0</v>
      </c>
      <c r="U99" t="s">
        <v>171</v>
      </c>
      <c r="V99" t="s">
        <v>171</v>
      </c>
      <c r="W99" t="b">
        <v>0</v>
      </c>
      <c r="X99" t="s">
        <v>171</v>
      </c>
      <c r="Y99" s="139" t="s">
        <v>167</v>
      </c>
      <c r="Z99" s="143" t="s">
        <v>168</v>
      </c>
      <c r="AA99" t="s">
        <v>169</v>
      </c>
      <c r="AB99" s="162" t="s">
        <v>210</v>
      </c>
      <c r="AC99" s="162">
        <v>5</v>
      </c>
      <c r="AD99" s="162">
        <v>3</v>
      </c>
      <c r="AE99" s="163">
        <v>27.029711000000077</v>
      </c>
      <c r="AF99" s="163">
        <f t="shared" si="15"/>
        <v>29.029711000000077</v>
      </c>
      <c r="AG99" s="164">
        <v>39.37007243</v>
      </c>
      <c r="AH99" s="164">
        <v>39.37007243</v>
      </c>
      <c r="AI99" t="s">
        <v>171</v>
      </c>
      <c r="AJ99" t="s">
        <v>172</v>
      </c>
      <c r="AK99" s="146">
        <v>12.74</v>
      </c>
      <c r="AL99" s="146">
        <v>-78.739999999999995</v>
      </c>
      <c r="AM99" t="s">
        <v>171</v>
      </c>
      <c r="AN99" t="s">
        <v>171</v>
      </c>
      <c r="AO99">
        <v>-2839</v>
      </c>
      <c r="AP99" t="s">
        <v>171</v>
      </c>
      <c r="AQ99" t="s">
        <v>171</v>
      </c>
      <c r="AR99" t="s">
        <v>171</v>
      </c>
      <c r="AS99">
        <v>1191.31</v>
      </c>
      <c r="AT99" t="s">
        <v>173</v>
      </c>
      <c r="AU99">
        <v>6</v>
      </c>
      <c r="AV99">
        <v>6</v>
      </c>
      <c r="AW99" t="s">
        <v>171</v>
      </c>
      <c r="AX99" t="s">
        <v>174</v>
      </c>
      <c r="AY99" t="s">
        <v>171</v>
      </c>
      <c r="AZ99" t="s">
        <v>171</v>
      </c>
      <c r="BA99" t="s">
        <v>171</v>
      </c>
      <c r="BB99" t="s">
        <v>171</v>
      </c>
      <c r="BC99" t="s">
        <v>171</v>
      </c>
      <c r="BD99" t="s">
        <v>171</v>
      </c>
      <c r="BE99" t="s">
        <v>171</v>
      </c>
      <c r="BF99" t="s">
        <v>171</v>
      </c>
      <c r="BG99" t="s">
        <v>175</v>
      </c>
      <c r="BH99" t="s">
        <v>176</v>
      </c>
      <c r="BI99" t="s">
        <v>177</v>
      </c>
      <c r="BJ99" s="142">
        <v>2</v>
      </c>
      <c r="BK99" t="s">
        <v>178</v>
      </c>
      <c r="BL99" t="s">
        <v>179</v>
      </c>
      <c r="BM99" t="s">
        <v>180</v>
      </c>
      <c r="BN99" t="s">
        <v>171</v>
      </c>
      <c r="BO99" s="142">
        <v>2</v>
      </c>
      <c r="BP99" s="144" t="s">
        <v>171</v>
      </c>
      <c r="BQ99" s="149">
        <v>20.946358920000002</v>
      </c>
      <c r="BR99" t="s">
        <v>181</v>
      </c>
      <c r="BS99" s="149">
        <v>0.146908178</v>
      </c>
      <c r="BT99">
        <v>0.64</v>
      </c>
      <c r="BU99" t="s">
        <v>182</v>
      </c>
      <c r="BV99">
        <v>3.4000000000000002E-2</v>
      </c>
      <c r="BW99">
        <v>9.1</v>
      </c>
      <c r="BX99" t="s">
        <v>173</v>
      </c>
      <c r="BY99">
        <v>0.56000000000000005</v>
      </c>
      <c r="BZ99" t="s">
        <v>183</v>
      </c>
      <c r="CA99" t="s">
        <v>184</v>
      </c>
      <c r="CB99" s="148">
        <f t="shared" si="20"/>
        <v>20.127264866666671</v>
      </c>
      <c r="CC99" s="144" t="s">
        <v>185</v>
      </c>
      <c r="CD99" s="144" t="s">
        <v>171</v>
      </c>
      <c r="CE99" s="144" t="s">
        <v>171</v>
      </c>
      <c r="CF99" t="s">
        <v>186</v>
      </c>
      <c r="CG99" s="144">
        <v>10</v>
      </c>
      <c r="CH99" s="144" t="s">
        <v>187</v>
      </c>
      <c r="CI99" s="144" t="s">
        <v>171</v>
      </c>
      <c r="CJ99" s="147">
        <v>24.921200299999999</v>
      </c>
      <c r="CK99" t="s">
        <v>173</v>
      </c>
      <c r="CL99">
        <v>3</v>
      </c>
      <c r="CM99">
        <v>3</v>
      </c>
      <c r="CN99" t="s">
        <v>171</v>
      </c>
      <c r="CO99" s="149">
        <v>3.4738315536437967</v>
      </c>
      <c r="CP99" t="s">
        <v>188</v>
      </c>
      <c r="CQ99" s="149">
        <f t="shared" si="16"/>
        <v>0.13895326214575188</v>
      </c>
      <c r="CR99" s="149">
        <v>0.13895326214575188</v>
      </c>
      <c r="CS99" s="150" t="s">
        <v>171</v>
      </c>
      <c r="CT99" t="s">
        <v>189</v>
      </c>
      <c r="CU99" t="s">
        <v>171</v>
      </c>
      <c r="CV99" t="s">
        <v>190</v>
      </c>
      <c r="CW99" t="s">
        <v>191</v>
      </c>
      <c r="CX99" t="s">
        <v>191</v>
      </c>
      <c r="CY99" t="s">
        <v>191</v>
      </c>
      <c r="CZ99" t="s">
        <v>171</v>
      </c>
      <c r="DA99" t="s">
        <v>171</v>
      </c>
      <c r="DB99" t="s">
        <v>171</v>
      </c>
      <c r="DC99" t="s">
        <v>171</v>
      </c>
      <c r="DD99" t="s">
        <v>171</v>
      </c>
      <c r="DE99" t="s">
        <v>171</v>
      </c>
      <c r="DF99" t="s">
        <v>171</v>
      </c>
      <c r="DG99">
        <v>35</v>
      </c>
      <c r="DH99" t="s">
        <v>185</v>
      </c>
      <c r="DI99" s="142">
        <v>3</v>
      </c>
      <c r="DJ99" s="144" t="s">
        <v>192</v>
      </c>
      <c r="DK99" s="144" t="s">
        <v>171</v>
      </c>
      <c r="DL99" s="144" t="s">
        <v>171</v>
      </c>
      <c r="DM99" s="144" t="s">
        <v>171</v>
      </c>
      <c r="DN99" s="144" t="s">
        <v>171</v>
      </c>
      <c r="DO99" s="144" t="s">
        <v>171</v>
      </c>
      <c r="DP99" s="144" t="s">
        <v>171</v>
      </c>
      <c r="DQ99" s="144" t="s">
        <v>171</v>
      </c>
      <c r="DR99" s="144" t="s">
        <v>171</v>
      </c>
      <c r="DS99" s="144" t="s">
        <v>171</v>
      </c>
      <c r="DT99" s="144" t="s">
        <v>171</v>
      </c>
      <c r="DU99" s="144" t="s">
        <v>171</v>
      </c>
      <c r="DV99" s="144" t="s">
        <v>171</v>
      </c>
      <c r="DW99" s="147">
        <v>432.56244218316402</v>
      </c>
      <c r="DX99" t="s">
        <v>193</v>
      </c>
      <c r="DY99">
        <v>37.1</v>
      </c>
      <c r="DZ99" t="s">
        <v>194</v>
      </c>
      <c r="EA99">
        <v>39.61</v>
      </c>
      <c r="EB99" t="s">
        <v>185</v>
      </c>
      <c r="EC99" s="149">
        <f t="shared" si="17"/>
        <v>0.21913100000000002</v>
      </c>
      <c r="ED99" t="s">
        <v>195</v>
      </c>
      <c r="EE99" t="s">
        <v>196</v>
      </c>
      <c r="EF99" t="s">
        <v>197</v>
      </c>
      <c r="EG99">
        <v>1.0271999999999999</v>
      </c>
      <c r="EH99" t="s">
        <v>171</v>
      </c>
      <c r="EI99" t="s">
        <v>171</v>
      </c>
      <c r="EJ99" t="s">
        <v>198</v>
      </c>
      <c r="EK99" t="s">
        <v>191</v>
      </c>
      <c r="EL99" t="s">
        <v>191</v>
      </c>
      <c r="EM99" t="s">
        <v>199</v>
      </c>
      <c r="EN99" t="s">
        <v>200</v>
      </c>
      <c r="EO99" s="151" t="s">
        <v>201</v>
      </c>
      <c r="EP99" s="151" t="s">
        <v>201</v>
      </c>
      <c r="EQ99" s="144" t="s">
        <v>171</v>
      </c>
      <c r="ER99" s="144" t="s">
        <v>171</v>
      </c>
      <c r="ES99" s="144" t="s">
        <v>171</v>
      </c>
      <c r="ET99" t="s">
        <v>202</v>
      </c>
      <c r="EU99" t="s">
        <v>203</v>
      </c>
      <c r="EV99" t="s">
        <v>171</v>
      </c>
      <c r="EW99">
        <v>2426</v>
      </c>
      <c r="EX99" s="151" t="s">
        <v>204</v>
      </c>
      <c r="EY99" s="151">
        <v>175</v>
      </c>
      <c r="EZ99">
        <v>175</v>
      </c>
      <c r="FA99" t="s">
        <v>171</v>
      </c>
      <c r="FB99" t="s">
        <v>171</v>
      </c>
      <c r="FC99" t="s">
        <v>171</v>
      </c>
      <c r="FD99" t="s">
        <v>171</v>
      </c>
      <c r="FE99" s="152">
        <v>8.23007079863679</v>
      </c>
      <c r="FF99" t="s">
        <v>205</v>
      </c>
      <c r="FG99" s="144" t="s">
        <v>171</v>
      </c>
      <c r="FH99" s="144" t="s">
        <v>171</v>
      </c>
      <c r="FI99" s="153">
        <v>232.01563530000001</v>
      </c>
      <c r="FJ99">
        <v>21</v>
      </c>
      <c r="FK99" t="s">
        <v>207</v>
      </c>
      <c r="FL99" s="160">
        <v>211.01563530000001</v>
      </c>
      <c r="FM99" s="161">
        <v>32.707985576238997</v>
      </c>
      <c r="FN99" s="161">
        <v>31.437210493558013</v>
      </c>
      <c r="FO99" t="s">
        <v>186</v>
      </c>
      <c r="FP99" t="s">
        <v>208</v>
      </c>
      <c r="FQ99" t="s">
        <v>171</v>
      </c>
      <c r="FR99" t="s">
        <v>171</v>
      </c>
      <c r="FS99" t="s">
        <v>171</v>
      </c>
      <c r="FT99" t="s">
        <v>171</v>
      </c>
      <c r="FU99" t="s">
        <v>171</v>
      </c>
      <c r="FV99" t="s">
        <v>171</v>
      </c>
      <c r="FW99" t="s">
        <v>171</v>
      </c>
      <c r="FX99" t="s">
        <v>171</v>
      </c>
      <c r="FY99" t="s">
        <v>171</v>
      </c>
      <c r="FZ99" t="s">
        <v>171</v>
      </c>
      <c r="GA99" t="s">
        <v>171</v>
      </c>
      <c r="GB99" t="s">
        <v>171</v>
      </c>
    </row>
    <row r="100" spans="1:184" ht="16" x14ac:dyDescent="0.2">
      <c r="A100" t="s">
        <v>217</v>
      </c>
      <c r="B100" s="143" t="s">
        <v>216</v>
      </c>
      <c r="C100" s="138" t="s">
        <v>212</v>
      </c>
      <c r="D100" t="s">
        <v>211</v>
      </c>
      <c r="E100">
        <v>2017</v>
      </c>
      <c r="F100" t="str">
        <f t="shared" si="21"/>
        <v>10.1073/pnas.1702143114</v>
      </c>
      <c r="G100" s="147">
        <f t="shared" si="22"/>
        <v>1195.1500000000001</v>
      </c>
      <c r="H100">
        <f t="shared" si="18"/>
        <v>6</v>
      </c>
      <c r="I100">
        <f t="shared" si="19"/>
        <v>6</v>
      </c>
      <c r="J100" s="153">
        <f t="shared" si="23"/>
        <v>203.2736453</v>
      </c>
      <c r="K100" s="153">
        <f t="shared" si="24"/>
        <v>32.625007589755</v>
      </c>
      <c r="L100" s="153">
        <f t="shared" si="25"/>
        <v>31.064840117539006</v>
      </c>
      <c r="M100" t="b">
        <v>1</v>
      </c>
      <c r="N100">
        <v>3</v>
      </c>
      <c r="O100" s="144" t="s">
        <v>228</v>
      </c>
      <c r="P100" s="144" t="s">
        <v>229</v>
      </c>
      <c r="Q100" t="b">
        <v>0</v>
      </c>
      <c r="R100" t="s">
        <v>214</v>
      </c>
      <c r="S100" t="b">
        <v>1</v>
      </c>
      <c r="T100" t="b">
        <v>0</v>
      </c>
      <c r="U100" t="s">
        <v>171</v>
      </c>
      <c r="V100" t="s">
        <v>171</v>
      </c>
      <c r="W100" t="b">
        <v>0</v>
      </c>
      <c r="X100" t="s">
        <v>171</v>
      </c>
      <c r="Y100" s="139" t="s">
        <v>167</v>
      </c>
      <c r="Z100" s="143" t="s">
        <v>168</v>
      </c>
      <c r="AA100" t="s">
        <v>169</v>
      </c>
      <c r="AB100" s="157" t="s">
        <v>210</v>
      </c>
      <c r="AC100" s="157">
        <v>5</v>
      </c>
      <c r="AD100" s="157">
        <v>3</v>
      </c>
      <c r="AE100" s="158">
        <v>37</v>
      </c>
      <c r="AF100" s="158">
        <f t="shared" si="15"/>
        <v>39</v>
      </c>
      <c r="AG100" s="159">
        <v>39.47</v>
      </c>
      <c r="AH100" s="159">
        <v>39.47</v>
      </c>
      <c r="AI100" t="s">
        <v>171</v>
      </c>
      <c r="AJ100" t="s">
        <v>172</v>
      </c>
      <c r="AK100" s="146">
        <v>12.74</v>
      </c>
      <c r="AL100" s="146">
        <v>-78.739999999999995</v>
      </c>
      <c r="AM100" t="s">
        <v>171</v>
      </c>
      <c r="AN100" t="s">
        <v>171</v>
      </c>
      <c r="AO100">
        <v>-2839</v>
      </c>
      <c r="AP100" t="s">
        <v>171</v>
      </c>
      <c r="AQ100" t="s">
        <v>171</v>
      </c>
      <c r="AR100" t="s">
        <v>171</v>
      </c>
      <c r="AS100">
        <v>1195.1500000000001</v>
      </c>
      <c r="AT100" t="s">
        <v>173</v>
      </c>
      <c r="AU100">
        <v>6</v>
      </c>
      <c r="AV100">
        <v>6</v>
      </c>
      <c r="AW100" t="s">
        <v>171</v>
      </c>
      <c r="AX100" t="s">
        <v>174</v>
      </c>
      <c r="AY100" t="s">
        <v>171</v>
      </c>
      <c r="AZ100" t="s">
        <v>171</v>
      </c>
      <c r="BA100" t="s">
        <v>171</v>
      </c>
      <c r="BB100" t="s">
        <v>171</v>
      </c>
      <c r="BC100" t="s">
        <v>171</v>
      </c>
      <c r="BD100" t="s">
        <v>171</v>
      </c>
      <c r="BE100" t="s">
        <v>171</v>
      </c>
      <c r="BF100" t="s">
        <v>171</v>
      </c>
      <c r="BG100" t="s">
        <v>175</v>
      </c>
      <c r="BH100" t="s">
        <v>176</v>
      </c>
      <c r="BI100" t="s">
        <v>177</v>
      </c>
      <c r="BJ100" s="142">
        <v>2</v>
      </c>
      <c r="BK100" t="s">
        <v>178</v>
      </c>
      <c r="BL100" t="s">
        <v>179</v>
      </c>
      <c r="BM100" t="s">
        <v>180</v>
      </c>
      <c r="BN100" t="s">
        <v>171</v>
      </c>
      <c r="BO100" s="142">
        <v>2</v>
      </c>
      <c r="BP100" s="144" t="s">
        <v>171</v>
      </c>
      <c r="BQ100" s="149">
        <v>20.97</v>
      </c>
      <c r="BR100" t="s">
        <v>181</v>
      </c>
      <c r="BS100" s="149">
        <v>0.178041634</v>
      </c>
      <c r="BT100">
        <v>0.64</v>
      </c>
      <c r="BU100" t="s">
        <v>182</v>
      </c>
      <c r="BV100">
        <v>3.4000000000000002E-2</v>
      </c>
      <c r="BW100">
        <v>9.1</v>
      </c>
      <c r="BX100" t="s">
        <v>173</v>
      </c>
      <c r="BY100">
        <v>0.56000000000000005</v>
      </c>
      <c r="BZ100" t="s">
        <v>183</v>
      </c>
      <c r="CA100" t="s">
        <v>184</v>
      </c>
      <c r="CB100" s="148">
        <f t="shared" si="20"/>
        <v>20.166666666666668</v>
      </c>
      <c r="CC100" s="144" t="s">
        <v>185</v>
      </c>
      <c r="CD100" s="144" t="s">
        <v>171</v>
      </c>
      <c r="CE100" s="144" t="s">
        <v>171</v>
      </c>
      <c r="CF100" t="s">
        <v>186</v>
      </c>
      <c r="CG100" s="144">
        <v>10</v>
      </c>
      <c r="CH100" s="144" t="s">
        <v>187</v>
      </c>
      <c r="CI100" s="144" t="s">
        <v>171</v>
      </c>
      <c r="CJ100" s="147">
        <v>24.15624373</v>
      </c>
      <c r="CK100" t="s">
        <v>173</v>
      </c>
      <c r="CL100">
        <v>3</v>
      </c>
      <c r="CM100">
        <v>3</v>
      </c>
      <c r="CN100" t="s">
        <v>171</v>
      </c>
      <c r="CO100" s="149">
        <v>3.2339694933336096</v>
      </c>
      <c r="CP100" t="s">
        <v>188</v>
      </c>
      <c r="CQ100" s="149">
        <f t="shared" si="16"/>
        <v>0.12935877973334439</v>
      </c>
      <c r="CR100" s="149">
        <v>0.12935877973334439</v>
      </c>
      <c r="CS100" s="150" t="s">
        <v>171</v>
      </c>
      <c r="CT100" t="s">
        <v>189</v>
      </c>
      <c r="CU100" t="s">
        <v>171</v>
      </c>
      <c r="CV100" t="s">
        <v>190</v>
      </c>
      <c r="CW100" t="s">
        <v>191</v>
      </c>
      <c r="CX100" t="s">
        <v>191</v>
      </c>
      <c r="CY100" t="s">
        <v>191</v>
      </c>
      <c r="CZ100" t="s">
        <v>171</v>
      </c>
      <c r="DA100" t="s">
        <v>171</v>
      </c>
      <c r="DB100" t="s">
        <v>171</v>
      </c>
      <c r="DC100" t="s">
        <v>171</v>
      </c>
      <c r="DD100" t="s">
        <v>171</v>
      </c>
      <c r="DE100" t="s">
        <v>171</v>
      </c>
      <c r="DF100" t="s">
        <v>171</v>
      </c>
      <c r="DG100">
        <v>35</v>
      </c>
      <c r="DH100" t="s">
        <v>185</v>
      </c>
      <c r="DI100" s="142">
        <v>3</v>
      </c>
      <c r="DJ100" s="144" t="s">
        <v>192</v>
      </c>
      <c r="DK100" s="144" t="s">
        <v>171</v>
      </c>
      <c r="DL100" s="144" t="s">
        <v>171</v>
      </c>
      <c r="DM100" s="144" t="s">
        <v>171</v>
      </c>
      <c r="DN100" s="144" t="s">
        <v>171</v>
      </c>
      <c r="DO100" s="144" t="s">
        <v>171</v>
      </c>
      <c r="DP100" s="144" t="s">
        <v>171</v>
      </c>
      <c r="DQ100" s="144" t="s">
        <v>171</v>
      </c>
      <c r="DR100" s="144" t="s">
        <v>171</v>
      </c>
      <c r="DS100" s="144" t="s">
        <v>171</v>
      </c>
      <c r="DT100" s="144" t="s">
        <v>171</v>
      </c>
      <c r="DU100" s="144" t="s">
        <v>171</v>
      </c>
      <c r="DV100" s="144" t="s">
        <v>171</v>
      </c>
      <c r="DW100" s="147">
        <v>432.56244218316402</v>
      </c>
      <c r="DX100" t="s">
        <v>193</v>
      </c>
      <c r="DY100">
        <v>37.1</v>
      </c>
      <c r="DZ100" t="s">
        <v>194</v>
      </c>
      <c r="EA100">
        <v>39.61</v>
      </c>
      <c r="EB100" t="s">
        <v>185</v>
      </c>
      <c r="EC100" s="149">
        <f t="shared" si="17"/>
        <v>0.21951500000000002</v>
      </c>
      <c r="ED100" t="s">
        <v>195</v>
      </c>
      <c r="EE100" t="s">
        <v>196</v>
      </c>
      <c r="EF100" t="s">
        <v>197</v>
      </c>
      <c r="EG100">
        <v>1.0271999999999999</v>
      </c>
      <c r="EH100" t="s">
        <v>171</v>
      </c>
      <c r="EI100" t="s">
        <v>171</v>
      </c>
      <c r="EJ100" t="s">
        <v>198</v>
      </c>
      <c r="EK100" t="s">
        <v>191</v>
      </c>
      <c r="EL100" t="s">
        <v>191</v>
      </c>
      <c r="EM100" t="s">
        <v>199</v>
      </c>
      <c r="EN100" t="s">
        <v>200</v>
      </c>
      <c r="EO100" s="151" t="s">
        <v>201</v>
      </c>
      <c r="EP100" s="151" t="s">
        <v>201</v>
      </c>
      <c r="EQ100" s="144" t="s">
        <v>171</v>
      </c>
      <c r="ER100" s="144" t="s">
        <v>171</v>
      </c>
      <c r="ES100" s="144" t="s">
        <v>171</v>
      </c>
      <c r="ET100" t="s">
        <v>202</v>
      </c>
      <c r="EU100" t="s">
        <v>203</v>
      </c>
      <c r="EV100" t="s">
        <v>171</v>
      </c>
      <c r="EW100">
        <v>2427</v>
      </c>
      <c r="EX100" s="151" t="s">
        <v>204</v>
      </c>
      <c r="EY100" s="151">
        <v>175</v>
      </c>
      <c r="EZ100">
        <v>175</v>
      </c>
      <c r="FA100" t="s">
        <v>171</v>
      </c>
      <c r="FB100" t="s">
        <v>171</v>
      </c>
      <c r="FC100" t="s">
        <v>171</v>
      </c>
      <c r="FD100" t="s">
        <v>171</v>
      </c>
      <c r="FE100" s="152">
        <v>8.2420665574691192</v>
      </c>
      <c r="FF100" t="s">
        <v>205</v>
      </c>
      <c r="FG100" s="144" t="s">
        <v>171</v>
      </c>
      <c r="FH100" s="144" t="s">
        <v>171</v>
      </c>
      <c r="FI100" s="153">
        <v>224.2736453</v>
      </c>
      <c r="FJ100">
        <v>21</v>
      </c>
      <c r="FK100" t="s">
        <v>207</v>
      </c>
      <c r="FL100" s="160">
        <v>203.2736453</v>
      </c>
      <c r="FM100" s="161">
        <v>32.625007589755</v>
      </c>
      <c r="FN100" s="161">
        <v>31.064840117539006</v>
      </c>
      <c r="FO100" t="s">
        <v>186</v>
      </c>
      <c r="FP100" t="s">
        <v>208</v>
      </c>
      <c r="FQ100" t="s">
        <v>171</v>
      </c>
      <c r="FR100" t="s">
        <v>171</v>
      </c>
      <c r="FS100" t="s">
        <v>171</v>
      </c>
      <c r="FT100" t="s">
        <v>171</v>
      </c>
      <c r="FU100" t="s">
        <v>171</v>
      </c>
      <c r="FV100" t="s">
        <v>171</v>
      </c>
      <c r="FW100" t="s">
        <v>171</v>
      </c>
      <c r="FX100" t="s">
        <v>171</v>
      </c>
      <c r="FY100" t="s">
        <v>171</v>
      </c>
      <c r="FZ100" t="s">
        <v>171</v>
      </c>
      <c r="GA100" t="s">
        <v>171</v>
      </c>
      <c r="GB100" t="s">
        <v>171</v>
      </c>
    </row>
    <row r="101" spans="1:184" ht="16" x14ac:dyDescent="0.2">
      <c r="A101" t="s">
        <v>217</v>
      </c>
      <c r="B101" s="143" t="s">
        <v>216</v>
      </c>
      <c r="C101" s="138" t="s">
        <v>212</v>
      </c>
      <c r="D101" t="s">
        <v>211</v>
      </c>
      <c r="E101">
        <v>2017</v>
      </c>
      <c r="F101" t="str">
        <f t="shared" si="21"/>
        <v>10.1073/pnas.1702143114</v>
      </c>
      <c r="G101" s="147">
        <f t="shared" si="22"/>
        <v>1203.26</v>
      </c>
      <c r="H101">
        <f t="shared" si="18"/>
        <v>6</v>
      </c>
      <c r="I101">
        <f t="shared" si="19"/>
        <v>6</v>
      </c>
      <c r="J101" s="153">
        <f t="shared" si="23"/>
        <v>189.30044659999999</v>
      </c>
      <c r="K101" s="153">
        <f t="shared" si="24"/>
        <v>30.683121171037016</v>
      </c>
      <c r="L101" s="153">
        <f t="shared" si="25"/>
        <v>29.642032073037996</v>
      </c>
      <c r="M101" t="b">
        <v>1</v>
      </c>
      <c r="N101">
        <v>3</v>
      </c>
      <c r="O101" s="144" t="s">
        <v>228</v>
      </c>
      <c r="P101" s="144" t="s">
        <v>229</v>
      </c>
      <c r="Q101" t="b">
        <v>0</v>
      </c>
      <c r="R101" t="s">
        <v>214</v>
      </c>
      <c r="S101" t="b">
        <v>1</v>
      </c>
      <c r="T101" t="b">
        <v>0</v>
      </c>
      <c r="U101" t="s">
        <v>171</v>
      </c>
      <c r="V101" t="s">
        <v>171</v>
      </c>
      <c r="W101" t="b">
        <v>0</v>
      </c>
      <c r="X101" t="s">
        <v>171</v>
      </c>
      <c r="Y101" s="139" t="s">
        <v>167</v>
      </c>
      <c r="Z101" s="143" t="s">
        <v>168</v>
      </c>
      <c r="AA101" t="s">
        <v>169</v>
      </c>
      <c r="AB101" s="162" t="s">
        <v>210</v>
      </c>
      <c r="AC101" s="162">
        <v>5</v>
      </c>
      <c r="AD101" s="162">
        <v>3</v>
      </c>
      <c r="AE101" s="163">
        <v>58</v>
      </c>
      <c r="AF101" s="163">
        <f t="shared" si="15"/>
        <v>60</v>
      </c>
      <c r="AG101" s="164">
        <v>39.68</v>
      </c>
      <c r="AH101" s="164">
        <v>39.68</v>
      </c>
      <c r="AI101" t="s">
        <v>171</v>
      </c>
      <c r="AJ101" t="s">
        <v>172</v>
      </c>
      <c r="AK101" s="146">
        <v>12.74</v>
      </c>
      <c r="AL101" s="146">
        <v>-78.739999999999995</v>
      </c>
      <c r="AM101" t="s">
        <v>171</v>
      </c>
      <c r="AN101" t="s">
        <v>171</v>
      </c>
      <c r="AO101">
        <v>-2839</v>
      </c>
      <c r="AP101" t="s">
        <v>171</v>
      </c>
      <c r="AQ101" t="s">
        <v>171</v>
      </c>
      <c r="AR101" t="s">
        <v>171</v>
      </c>
      <c r="AS101">
        <v>1203.26</v>
      </c>
      <c r="AT101" t="s">
        <v>173</v>
      </c>
      <c r="AU101">
        <v>6</v>
      </c>
      <c r="AV101">
        <v>6</v>
      </c>
      <c r="AW101" t="s">
        <v>171</v>
      </c>
      <c r="AX101" t="s">
        <v>174</v>
      </c>
      <c r="AY101" t="s">
        <v>171</v>
      </c>
      <c r="AZ101" t="s">
        <v>171</v>
      </c>
      <c r="BA101" t="s">
        <v>171</v>
      </c>
      <c r="BB101" t="s">
        <v>171</v>
      </c>
      <c r="BC101" t="s">
        <v>171</v>
      </c>
      <c r="BD101" t="s">
        <v>171</v>
      </c>
      <c r="BE101" t="s">
        <v>171</v>
      </c>
      <c r="BF101" t="s">
        <v>171</v>
      </c>
      <c r="BG101" t="s">
        <v>175</v>
      </c>
      <c r="BH101" t="s">
        <v>176</v>
      </c>
      <c r="BI101" t="s">
        <v>177</v>
      </c>
      <c r="BJ101" s="142">
        <v>2</v>
      </c>
      <c r="BK101" t="s">
        <v>178</v>
      </c>
      <c r="BL101" t="s">
        <v>179</v>
      </c>
      <c r="BM101" t="s">
        <v>180</v>
      </c>
      <c r="BN101" t="s">
        <v>171</v>
      </c>
      <c r="BO101" s="142">
        <v>2</v>
      </c>
      <c r="BP101" s="144" t="s">
        <v>171</v>
      </c>
      <c r="BQ101" s="149">
        <v>21.220684389999999</v>
      </c>
      <c r="BR101" t="s">
        <v>181</v>
      </c>
      <c r="BS101" s="149">
        <v>0.14698281999999999</v>
      </c>
      <c r="BT101">
        <v>0.64</v>
      </c>
      <c r="BU101" t="s">
        <v>182</v>
      </c>
      <c r="BV101">
        <v>3.4000000000000002E-2</v>
      </c>
      <c r="BW101">
        <v>9.1</v>
      </c>
      <c r="BX101" t="s">
        <v>173</v>
      </c>
      <c r="BY101">
        <v>0.56000000000000005</v>
      </c>
      <c r="BZ101" t="s">
        <v>183</v>
      </c>
      <c r="CA101" t="s">
        <v>184</v>
      </c>
      <c r="CB101" s="148">
        <f t="shared" si="20"/>
        <v>20.584473983333332</v>
      </c>
      <c r="CC101" s="144" t="s">
        <v>185</v>
      </c>
      <c r="CD101" s="144" t="s">
        <v>171</v>
      </c>
      <c r="CE101" s="144" t="s">
        <v>171</v>
      </c>
      <c r="CF101" t="s">
        <v>186</v>
      </c>
      <c r="CG101" s="144">
        <v>10</v>
      </c>
      <c r="CH101" s="144" t="s">
        <v>187</v>
      </c>
      <c r="CI101" s="144" t="s">
        <v>171</v>
      </c>
      <c r="CJ101" s="147">
        <v>25.23691556</v>
      </c>
      <c r="CK101" t="s">
        <v>173</v>
      </c>
      <c r="CL101">
        <v>3</v>
      </c>
      <c r="CM101">
        <v>3</v>
      </c>
      <c r="CN101" t="s">
        <v>171</v>
      </c>
      <c r="CO101" s="149">
        <v>3.5449117641615664</v>
      </c>
      <c r="CP101" t="s">
        <v>188</v>
      </c>
      <c r="CQ101" s="149">
        <f t="shared" si="16"/>
        <v>0.14179647056646266</v>
      </c>
      <c r="CR101" s="149">
        <v>0.14179647056646266</v>
      </c>
      <c r="CS101" s="150" t="s">
        <v>171</v>
      </c>
      <c r="CT101" t="s">
        <v>189</v>
      </c>
      <c r="CU101" t="s">
        <v>171</v>
      </c>
      <c r="CV101" t="s">
        <v>190</v>
      </c>
      <c r="CW101" t="s">
        <v>191</v>
      </c>
      <c r="CX101" t="s">
        <v>191</v>
      </c>
      <c r="CY101" t="s">
        <v>191</v>
      </c>
      <c r="CZ101" t="s">
        <v>171</v>
      </c>
      <c r="DA101" t="s">
        <v>171</v>
      </c>
      <c r="DB101" t="s">
        <v>171</v>
      </c>
      <c r="DC101" t="s">
        <v>171</v>
      </c>
      <c r="DD101" t="s">
        <v>171</v>
      </c>
      <c r="DE101" t="s">
        <v>171</v>
      </c>
      <c r="DF101" t="s">
        <v>171</v>
      </c>
      <c r="DG101">
        <v>35</v>
      </c>
      <c r="DH101" t="s">
        <v>185</v>
      </c>
      <c r="DI101" s="142">
        <v>3</v>
      </c>
      <c r="DJ101" s="144" t="s">
        <v>192</v>
      </c>
      <c r="DK101" s="144" t="s">
        <v>171</v>
      </c>
      <c r="DL101" s="144" t="s">
        <v>171</v>
      </c>
      <c r="DM101" s="144" t="s">
        <v>171</v>
      </c>
      <c r="DN101" s="144" t="s">
        <v>171</v>
      </c>
      <c r="DO101" s="144" t="s">
        <v>171</v>
      </c>
      <c r="DP101" s="144" t="s">
        <v>171</v>
      </c>
      <c r="DQ101" s="144" t="s">
        <v>171</v>
      </c>
      <c r="DR101" s="144" t="s">
        <v>171</v>
      </c>
      <c r="DS101" s="144" t="s">
        <v>171</v>
      </c>
      <c r="DT101" s="144" t="s">
        <v>171</v>
      </c>
      <c r="DU101" s="144" t="s">
        <v>171</v>
      </c>
      <c r="DV101" s="144" t="s">
        <v>171</v>
      </c>
      <c r="DW101" s="147">
        <v>432.56244218316402</v>
      </c>
      <c r="DX101" t="s">
        <v>193</v>
      </c>
      <c r="DY101">
        <v>37.1</v>
      </c>
      <c r="DZ101" t="s">
        <v>194</v>
      </c>
      <c r="EA101">
        <v>39.61</v>
      </c>
      <c r="EB101" t="s">
        <v>185</v>
      </c>
      <c r="EC101" s="149">
        <f t="shared" si="17"/>
        <v>0.22032600000000002</v>
      </c>
      <c r="ED101" t="s">
        <v>195</v>
      </c>
      <c r="EE101" t="s">
        <v>196</v>
      </c>
      <c r="EF101" t="s">
        <v>197</v>
      </c>
      <c r="EG101">
        <v>1.0271999999999999</v>
      </c>
      <c r="EH101" t="s">
        <v>171</v>
      </c>
      <c r="EI101" t="s">
        <v>171</v>
      </c>
      <c r="EJ101" t="s">
        <v>198</v>
      </c>
      <c r="EK101" t="s">
        <v>191</v>
      </c>
      <c r="EL101" t="s">
        <v>191</v>
      </c>
      <c r="EM101" t="s">
        <v>199</v>
      </c>
      <c r="EN101" t="s">
        <v>200</v>
      </c>
      <c r="EO101" s="151" t="s">
        <v>201</v>
      </c>
      <c r="EP101" s="151" t="s">
        <v>201</v>
      </c>
      <c r="EQ101" s="144" t="s">
        <v>171</v>
      </c>
      <c r="ER101" s="144" t="s">
        <v>171</v>
      </c>
      <c r="ES101" s="144" t="s">
        <v>171</v>
      </c>
      <c r="ET101" t="s">
        <v>202</v>
      </c>
      <c r="EU101" t="s">
        <v>203</v>
      </c>
      <c r="EV101" t="s">
        <v>171</v>
      </c>
      <c r="EW101">
        <v>2428</v>
      </c>
      <c r="EX101" s="151" t="s">
        <v>204</v>
      </c>
      <c r="EY101" s="151">
        <v>175</v>
      </c>
      <c r="EZ101">
        <v>175</v>
      </c>
      <c r="FA101" t="s">
        <v>171</v>
      </c>
      <c r="FB101" t="s">
        <v>171</v>
      </c>
      <c r="FC101" t="s">
        <v>171</v>
      </c>
      <c r="FD101" t="s">
        <v>171</v>
      </c>
      <c r="FE101" s="152">
        <v>8.2613797542213305</v>
      </c>
      <c r="FF101" t="s">
        <v>205</v>
      </c>
      <c r="FG101" s="144" t="s">
        <v>171</v>
      </c>
      <c r="FH101" s="144" t="s">
        <v>171</v>
      </c>
      <c r="FI101" s="153">
        <v>210.30044659999999</v>
      </c>
      <c r="FJ101">
        <v>21</v>
      </c>
      <c r="FK101" t="s">
        <v>207</v>
      </c>
      <c r="FL101" s="160">
        <v>189.30044659999999</v>
      </c>
      <c r="FM101" s="161">
        <v>30.683121171037016</v>
      </c>
      <c r="FN101" s="161">
        <v>29.642032073037996</v>
      </c>
      <c r="FO101" t="s">
        <v>186</v>
      </c>
      <c r="FP101" t="s">
        <v>208</v>
      </c>
      <c r="FQ101" t="s">
        <v>171</v>
      </c>
      <c r="FR101" t="s">
        <v>171</v>
      </c>
      <c r="FS101" t="s">
        <v>171</v>
      </c>
      <c r="FT101" t="s">
        <v>171</v>
      </c>
      <c r="FU101" t="s">
        <v>171</v>
      </c>
      <c r="FV101" t="s">
        <v>171</v>
      </c>
      <c r="FW101" t="s">
        <v>171</v>
      </c>
      <c r="FX101" t="s">
        <v>171</v>
      </c>
      <c r="FY101" t="s">
        <v>171</v>
      </c>
      <c r="FZ101" t="s">
        <v>171</v>
      </c>
      <c r="GA101" t="s">
        <v>171</v>
      </c>
      <c r="GB101" t="s">
        <v>171</v>
      </c>
    </row>
    <row r="102" spans="1:184" ht="16" x14ac:dyDescent="0.2">
      <c r="A102" t="s">
        <v>217</v>
      </c>
      <c r="B102" s="143" t="s">
        <v>216</v>
      </c>
      <c r="C102" s="138" t="s">
        <v>212</v>
      </c>
      <c r="D102" t="s">
        <v>211</v>
      </c>
      <c r="E102">
        <v>2017</v>
      </c>
      <c r="F102" t="str">
        <f t="shared" si="21"/>
        <v>10.1073/pnas.1702143114</v>
      </c>
      <c r="G102" s="147">
        <f t="shared" si="22"/>
        <v>1206.76</v>
      </c>
      <c r="H102">
        <f t="shared" si="18"/>
        <v>6</v>
      </c>
      <c r="I102">
        <f t="shared" si="19"/>
        <v>6</v>
      </c>
      <c r="J102" s="153">
        <f t="shared" si="23"/>
        <v>212.9832313</v>
      </c>
      <c r="K102" s="153">
        <f t="shared" si="24"/>
        <v>32.301944586183993</v>
      </c>
      <c r="L102" s="153">
        <f t="shared" si="25"/>
        <v>31.772115733514994</v>
      </c>
      <c r="M102" t="b">
        <v>1</v>
      </c>
      <c r="N102">
        <v>3</v>
      </c>
      <c r="O102" s="144" t="s">
        <v>228</v>
      </c>
      <c r="P102" s="144" t="s">
        <v>229</v>
      </c>
      <c r="Q102" t="b">
        <v>0</v>
      </c>
      <c r="R102" t="s">
        <v>214</v>
      </c>
      <c r="S102" t="b">
        <v>1</v>
      </c>
      <c r="T102" t="b">
        <v>0</v>
      </c>
      <c r="U102" t="s">
        <v>171</v>
      </c>
      <c r="V102" t="s">
        <v>171</v>
      </c>
      <c r="W102" t="b">
        <v>0</v>
      </c>
      <c r="X102" t="s">
        <v>171</v>
      </c>
      <c r="Y102" s="139" t="s">
        <v>167</v>
      </c>
      <c r="Z102" s="143" t="s">
        <v>168</v>
      </c>
      <c r="AA102" t="s">
        <v>169</v>
      </c>
      <c r="AB102" s="157" t="s">
        <v>210</v>
      </c>
      <c r="AC102" s="157">
        <v>5</v>
      </c>
      <c r="AD102" s="157">
        <v>3</v>
      </c>
      <c r="AE102" s="158">
        <v>67</v>
      </c>
      <c r="AF102" s="158">
        <f t="shared" si="15"/>
        <v>69</v>
      </c>
      <c r="AG102" s="159">
        <v>39.770000000000003</v>
      </c>
      <c r="AH102" s="159">
        <v>39.770000000000003</v>
      </c>
      <c r="AI102" t="s">
        <v>171</v>
      </c>
      <c r="AJ102" t="s">
        <v>172</v>
      </c>
      <c r="AK102" s="146">
        <v>12.74</v>
      </c>
      <c r="AL102" s="146">
        <v>-78.739999999999995</v>
      </c>
      <c r="AM102" t="s">
        <v>171</v>
      </c>
      <c r="AN102" t="s">
        <v>171</v>
      </c>
      <c r="AO102">
        <v>-2839</v>
      </c>
      <c r="AP102" t="s">
        <v>171</v>
      </c>
      <c r="AQ102" t="s">
        <v>171</v>
      </c>
      <c r="AR102" t="s">
        <v>171</v>
      </c>
      <c r="AS102">
        <v>1206.76</v>
      </c>
      <c r="AT102" t="s">
        <v>173</v>
      </c>
      <c r="AU102">
        <v>6</v>
      </c>
      <c r="AV102">
        <v>6</v>
      </c>
      <c r="AW102" t="s">
        <v>171</v>
      </c>
      <c r="AX102" t="s">
        <v>174</v>
      </c>
      <c r="AY102" t="s">
        <v>171</v>
      </c>
      <c r="AZ102" t="s">
        <v>171</v>
      </c>
      <c r="BA102" t="s">
        <v>171</v>
      </c>
      <c r="BB102" t="s">
        <v>171</v>
      </c>
      <c r="BC102" t="s">
        <v>171</v>
      </c>
      <c r="BD102" t="s">
        <v>171</v>
      </c>
      <c r="BE102" t="s">
        <v>171</v>
      </c>
      <c r="BF102" t="s">
        <v>171</v>
      </c>
      <c r="BG102" t="s">
        <v>175</v>
      </c>
      <c r="BH102" t="s">
        <v>176</v>
      </c>
      <c r="BI102" t="s">
        <v>177</v>
      </c>
      <c r="BJ102" s="142">
        <v>2</v>
      </c>
      <c r="BK102" t="s">
        <v>178</v>
      </c>
      <c r="BL102" t="s">
        <v>179</v>
      </c>
      <c r="BM102" t="s">
        <v>180</v>
      </c>
      <c r="BN102" t="s">
        <v>171</v>
      </c>
      <c r="BO102" s="142">
        <v>2</v>
      </c>
      <c r="BP102" s="144" t="s">
        <v>171</v>
      </c>
      <c r="BQ102" s="149">
        <v>20.99090554</v>
      </c>
      <c r="BR102" t="s">
        <v>181</v>
      </c>
      <c r="BS102" s="149">
        <v>0.14387740600000001</v>
      </c>
      <c r="BT102">
        <v>0.64</v>
      </c>
      <c r="BU102" t="s">
        <v>182</v>
      </c>
      <c r="BV102">
        <v>3.4000000000000002E-2</v>
      </c>
      <c r="BW102">
        <v>9.1</v>
      </c>
      <c r="BX102" t="s">
        <v>173</v>
      </c>
      <c r="BY102">
        <v>0.56000000000000005</v>
      </c>
      <c r="BZ102" t="s">
        <v>183</v>
      </c>
      <c r="CA102" t="s">
        <v>184</v>
      </c>
      <c r="CB102" s="148">
        <f t="shared" si="20"/>
        <v>20.201509233333336</v>
      </c>
      <c r="CC102" s="144" t="s">
        <v>185</v>
      </c>
      <c r="CD102" s="144" t="s">
        <v>171</v>
      </c>
      <c r="CE102" s="144" t="s">
        <v>171</v>
      </c>
      <c r="CF102" t="s">
        <v>186</v>
      </c>
      <c r="CG102" s="144">
        <v>10</v>
      </c>
      <c r="CH102" s="144" t="s">
        <v>187</v>
      </c>
      <c r="CI102" s="144" t="s">
        <v>171</v>
      </c>
      <c r="CJ102" s="147">
        <v>25.851531690000002</v>
      </c>
      <c r="CK102" t="s">
        <v>173</v>
      </c>
      <c r="CL102">
        <v>3</v>
      </c>
      <c r="CM102">
        <v>3</v>
      </c>
      <c r="CN102" t="s">
        <v>171</v>
      </c>
      <c r="CO102" s="149">
        <v>3.7362127829540839</v>
      </c>
      <c r="CP102" t="s">
        <v>188</v>
      </c>
      <c r="CQ102" s="149">
        <f t="shared" si="16"/>
        <v>0.14944851131816336</v>
      </c>
      <c r="CR102" s="149">
        <v>0.14944851131816336</v>
      </c>
      <c r="CS102" s="150" t="s">
        <v>171</v>
      </c>
      <c r="CT102" t="s">
        <v>189</v>
      </c>
      <c r="CU102" t="s">
        <v>171</v>
      </c>
      <c r="CV102" t="s">
        <v>190</v>
      </c>
      <c r="CW102" t="s">
        <v>191</v>
      </c>
      <c r="CX102" t="s">
        <v>191</v>
      </c>
      <c r="CY102" t="s">
        <v>191</v>
      </c>
      <c r="CZ102" t="s">
        <v>171</v>
      </c>
      <c r="DA102" t="s">
        <v>171</v>
      </c>
      <c r="DB102" t="s">
        <v>171</v>
      </c>
      <c r="DC102" t="s">
        <v>171</v>
      </c>
      <c r="DD102" t="s">
        <v>171</v>
      </c>
      <c r="DE102" t="s">
        <v>171</v>
      </c>
      <c r="DF102" t="s">
        <v>171</v>
      </c>
      <c r="DG102">
        <v>35</v>
      </c>
      <c r="DH102" t="s">
        <v>185</v>
      </c>
      <c r="DI102" s="142">
        <v>3</v>
      </c>
      <c r="DJ102" s="144" t="s">
        <v>192</v>
      </c>
      <c r="DK102" s="144" t="s">
        <v>171</v>
      </c>
      <c r="DL102" s="144" t="s">
        <v>171</v>
      </c>
      <c r="DM102" s="144" t="s">
        <v>171</v>
      </c>
      <c r="DN102" s="144" t="s">
        <v>171</v>
      </c>
      <c r="DO102" s="144" t="s">
        <v>171</v>
      </c>
      <c r="DP102" s="144" t="s">
        <v>171</v>
      </c>
      <c r="DQ102" s="144" t="s">
        <v>171</v>
      </c>
      <c r="DR102" s="144" t="s">
        <v>171</v>
      </c>
      <c r="DS102" s="144" t="s">
        <v>171</v>
      </c>
      <c r="DT102" s="144" t="s">
        <v>171</v>
      </c>
      <c r="DU102" s="144" t="s">
        <v>171</v>
      </c>
      <c r="DV102" s="144" t="s">
        <v>171</v>
      </c>
      <c r="DW102" s="147">
        <v>432.56244218316402</v>
      </c>
      <c r="DX102" t="s">
        <v>193</v>
      </c>
      <c r="DY102">
        <v>37.1</v>
      </c>
      <c r="DZ102" t="s">
        <v>194</v>
      </c>
      <c r="EA102">
        <v>39.61</v>
      </c>
      <c r="EB102" t="s">
        <v>185</v>
      </c>
      <c r="EC102" s="149">
        <f t="shared" si="17"/>
        <v>0.22067600000000001</v>
      </c>
      <c r="ED102" t="s">
        <v>195</v>
      </c>
      <c r="EE102" t="s">
        <v>196</v>
      </c>
      <c r="EF102" t="s">
        <v>197</v>
      </c>
      <c r="EG102">
        <v>1.0271999999999999</v>
      </c>
      <c r="EH102" t="s">
        <v>171</v>
      </c>
      <c r="EI102" t="s">
        <v>171</v>
      </c>
      <c r="EJ102" t="s">
        <v>198</v>
      </c>
      <c r="EK102" t="s">
        <v>191</v>
      </c>
      <c r="EL102" t="s">
        <v>191</v>
      </c>
      <c r="EM102" t="s">
        <v>199</v>
      </c>
      <c r="EN102" t="s">
        <v>200</v>
      </c>
      <c r="EO102" s="151" t="s">
        <v>201</v>
      </c>
      <c r="EP102" s="151" t="s">
        <v>201</v>
      </c>
      <c r="EQ102" s="144" t="s">
        <v>171</v>
      </c>
      <c r="ER102" s="144" t="s">
        <v>171</v>
      </c>
      <c r="ES102" s="144" t="s">
        <v>171</v>
      </c>
      <c r="ET102" t="s">
        <v>202</v>
      </c>
      <c r="EU102" t="s">
        <v>203</v>
      </c>
      <c r="EV102" t="s">
        <v>171</v>
      </c>
      <c r="EW102">
        <v>2429</v>
      </c>
      <c r="EX102" s="151" t="s">
        <v>204</v>
      </c>
      <c r="EY102" s="151">
        <v>175</v>
      </c>
      <c r="EZ102">
        <v>175</v>
      </c>
      <c r="FA102" t="s">
        <v>171</v>
      </c>
      <c r="FB102" t="s">
        <v>171</v>
      </c>
      <c r="FC102" t="s">
        <v>171</v>
      </c>
      <c r="FD102" t="s">
        <v>171</v>
      </c>
      <c r="FE102" s="152">
        <v>8.2252836891415999</v>
      </c>
      <c r="FF102" t="s">
        <v>205</v>
      </c>
      <c r="FG102" s="144" t="s">
        <v>171</v>
      </c>
      <c r="FH102" s="144" t="s">
        <v>171</v>
      </c>
      <c r="FI102" s="153">
        <v>233.9832313</v>
      </c>
      <c r="FJ102">
        <v>21</v>
      </c>
      <c r="FK102" t="s">
        <v>207</v>
      </c>
      <c r="FL102" s="160">
        <v>212.9832313</v>
      </c>
      <c r="FM102" s="161">
        <v>32.301944586183993</v>
      </c>
      <c r="FN102" s="161">
        <v>31.772115733514994</v>
      </c>
      <c r="FO102" t="s">
        <v>186</v>
      </c>
      <c r="FP102" t="s">
        <v>208</v>
      </c>
      <c r="FQ102" t="s">
        <v>171</v>
      </c>
      <c r="FR102" t="s">
        <v>171</v>
      </c>
      <c r="FS102" t="s">
        <v>171</v>
      </c>
      <c r="FT102" t="s">
        <v>171</v>
      </c>
      <c r="FU102" t="s">
        <v>171</v>
      </c>
      <c r="FV102" t="s">
        <v>171</v>
      </c>
      <c r="FW102" t="s">
        <v>171</v>
      </c>
      <c r="FX102" t="s">
        <v>171</v>
      </c>
      <c r="FY102" t="s">
        <v>171</v>
      </c>
      <c r="FZ102" t="s">
        <v>171</v>
      </c>
      <c r="GA102" t="s">
        <v>171</v>
      </c>
      <c r="GB102" t="s">
        <v>171</v>
      </c>
    </row>
    <row r="103" spans="1:184" ht="16" x14ac:dyDescent="0.2">
      <c r="A103" t="s">
        <v>217</v>
      </c>
      <c r="B103" s="143" t="s">
        <v>216</v>
      </c>
      <c r="C103" s="138" t="s">
        <v>212</v>
      </c>
      <c r="D103" t="s">
        <v>211</v>
      </c>
      <c r="E103">
        <v>2017</v>
      </c>
      <c r="F103" t="str">
        <f t="shared" si="21"/>
        <v>10.1073/pnas.1702143114</v>
      </c>
      <c r="G103" s="147">
        <f t="shared" si="22"/>
        <v>1209.99</v>
      </c>
      <c r="H103">
        <f t="shared" si="18"/>
        <v>6</v>
      </c>
      <c r="I103">
        <f t="shared" si="19"/>
        <v>6</v>
      </c>
      <c r="J103" s="153">
        <f t="shared" si="23"/>
        <v>235.1503955</v>
      </c>
      <c r="K103" s="153">
        <f t="shared" si="24"/>
        <v>36.447523315226022</v>
      </c>
      <c r="L103" s="153">
        <f t="shared" si="25"/>
        <v>34.145107930322013</v>
      </c>
      <c r="M103" t="b">
        <v>1</v>
      </c>
      <c r="N103">
        <v>3</v>
      </c>
      <c r="O103" s="144" t="s">
        <v>228</v>
      </c>
      <c r="P103" s="144" t="s">
        <v>229</v>
      </c>
      <c r="Q103" t="b">
        <v>0</v>
      </c>
      <c r="R103" t="s">
        <v>214</v>
      </c>
      <c r="S103" t="b">
        <v>1</v>
      </c>
      <c r="T103" t="b">
        <v>0</v>
      </c>
      <c r="U103" t="s">
        <v>171</v>
      </c>
      <c r="V103" t="s">
        <v>171</v>
      </c>
      <c r="W103" t="b">
        <v>0</v>
      </c>
      <c r="X103" t="s">
        <v>171</v>
      </c>
      <c r="Y103" s="139" t="s">
        <v>167</v>
      </c>
      <c r="Z103" s="143" t="s">
        <v>168</v>
      </c>
      <c r="AA103" t="s">
        <v>169</v>
      </c>
      <c r="AB103" s="157" t="s">
        <v>210</v>
      </c>
      <c r="AC103" s="157">
        <v>5</v>
      </c>
      <c r="AD103" s="157">
        <v>3</v>
      </c>
      <c r="AE103" s="158">
        <v>77.78518100000008</v>
      </c>
      <c r="AF103" s="158">
        <f t="shared" si="15"/>
        <v>79.78518100000008</v>
      </c>
      <c r="AG103" s="159">
        <v>39.87762713</v>
      </c>
      <c r="AH103" s="159">
        <v>39.87762713</v>
      </c>
      <c r="AI103" t="s">
        <v>171</v>
      </c>
      <c r="AJ103" t="s">
        <v>172</v>
      </c>
      <c r="AK103" s="146">
        <v>12.74</v>
      </c>
      <c r="AL103" s="146">
        <v>-78.739999999999995</v>
      </c>
      <c r="AM103" t="s">
        <v>171</v>
      </c>
      <c r="AN103" t="s">
        <v>171</v>
      </c>
      <c r="AO103">
        <v>-2839</v>
      </c>
      <c r="AP103" t="s">
        <v>171</v>
      </c>
      <c r="AQ103" t="s">
        <v>171</v>
      </c>
      <c r="AR103" t="s">
        <v>171</v>
      </c>
      <c r="AS103">
        <v>1209.99</v>
      </c>
      <c r="AT103" t="s">
        <v>173</v>
      </c>
      <c r="AU103">
        <v>6</v>
      </c>
      <c r="AV103">
        <v>6</v>
      </c>
      <c r="AW103" t="s">
        <v>171</v>
      </c>
      <c r="AX103" t="s">
        <v>174</v>
      </c>
      <c r="AY103" t="s">
        <v>171</v>
      </c>
      <c r="AZ103" t="s">
        <v>171</v>
      </c>
      <c r="BA103" t="s">
        <v>171</v>
      </c>
      <c r="BB103" t="s">
        <v>171</v>
      </c>
      <c r="BC103" t="s">
        <v>171</v>
      </c>
      <c r="BD103" t="s">
        <v>171</v>
      </c>
      <c r="BE103" t="s">
        <v>171</v>
      </c>
      <c r="BF103" t="s">
        <v>171</v>
      </c>
      <c r="BG103" t="s">
        <v>175</v>
      </c>
      <c r="BH103" t="s">
        <v>176</v>
      </c>
      <c r="BI103" t="s">
        <v>177</v>
      </c>
      <c r="BJ103" s="142">
        <v>2</v>
      </c>
      <c r="BK103" t="s">
        <v>178</v>
      </c>
      <c r="BL103" t="s">
        <v>179</v>
      </c>
      <c r="BM103" t="s">
        <v>180</v>
      </c>
      <c r="BN103" t="s">
        <v>171</v>
      </c>
      <c r="BO103" s="142">
        <v>2</v>
      </c>
      <c r="BP103" s="144" t="s">
        <v>171</v>
      </c>
      <c r="BQ103" s="149">
        <v>20.71</v>
      </c>
      <c r="BR103" t="s">
        <v>181</v>
      </c>
      <c r="BS103" s="149">
        <v>0.18053741400000001</v>
      </c>
      <c r="BT103">
        <v>0.64</v>
      </c>
      <c r="BU103" t="s">
        <v>182</v>
      </c>
      <c r="BV103">
        <v>3.4000000000000002E-2</v>
      </c>
      <c r="BW103">
        <v>9.1</v>
      </c>
      <c r="BX103" t="s">
        <v>173</v>
      </c>
      <c r="BY103">
        <v>0.56000000000000005</v>
      </c>
      <c r="BZ103" t="s">
        <v>183</v>
      </c>
      <c r="CA103" t="s">
        <v>184</v>
      </c>
      <c r="CB103" s="148">
        <f t="shared" si="20"/>
        <v>19.733333333333338</v>
      </c>
      <c r="CC103" s="144" t="s">
        <v>185</v>
      </c>
      <c r="CD103" s="144" t="s">
        <v>171</v>
      </c>
      <c r="CE103" s="144" t="s">
        <v>171</v>
      </c>
      <c r="CF103" t="s">
        <v>186</v>
      </c>
      <c r="CG103" s="144">
        <v>10</v>
      </c>
      <c r="CH103" s="144" t="s">
        <v>187</v>
      </c>
      <c r="CI103" s="144" t="s">
        <v>171</v>
      </c>
      <c r="CJ103" s="147">
        <v>25.158027149999999</v>
      </c>
      <c r="CK103" t="s">
        <v>173</v>
      </c>
      <c r="CL103">
        <v>3</v>
      </c>
      <c r="CM103">
        <v>3</v>
      </c>
      <c r="CN103" t="s">
        <v>171</v>
      </c>
      <c r="CO103" s="149">
        <v>3.5052854622714156</v>
      </c>
      <c r="CP103" t="s">
        <v>188</v>
      </c>
      <c r="CQ103" s="149">
        <f t="shared" si="16"/>
        <v>0.14021141849085664</v>
      </c>
      <c r="CR103" s="149">
        <v>0.14021141849085664</v>
      </c>
      <c r="CS103" s="150" t="s">
        <v>171</v>
      </c>
      <c r="CT103" t="s">
        <v>189</v>
      </c>
      <c r="CU103" t="s">
        <v>171</v>
      </c>
      <c r="CV103" t="s">
        <v>190</v>
      </c>
      <c r="CW103" t="s">
        <v>191</v>
      </c>
      <c r="CX103" t="s">
        <v>191</v>
      </c>
      <c r="CY103" t="s">
        <v>191</v>
      </c>
      <c r="CZ103" t="s">
        <v>171</v>
      </c>
      <c r="DA103" t="s">
        <v>171</v>
      </c>
      <c r="DB103" t="s">
        <v>171</v>
      </c>
      <c r="DC103" t="s">
        <v>171</v>
      </c>
      <c r="DD103" t="s">
        <v>171</v>
      </c>
      <c r="DE103" t="s">
        <v>171</v>
      </c>
      <c r="DF103" t="s">
        <v>171</v>
      </c>
      <c r="DG103">
        <v>35</v>
      </c>
      <c r="DH103" t="s">
        <v>185</v>
      </c>
      <c r="DI103" s="142">
        <v>3</v>
      </c>
      <c r="DJ103" s="144" t="s">
        <v>192</v>
      </c>
      <c r="DK103" s="144" t="s">
        <v>171</v>
      </c>
      <c r="DL103" s="144" t="s">
        <v>171</v>
      </c>
      <c r="DM103" s="144" t="s">
        <v>171</v>
      </c>
      <c r="DN103" s="144" t="s">
        <v>171</v>
      </c>
      <c r="DO103" s="144" t="s">
        <v>171</v>
      </c>
      <c r="DP103" s="144" t="s">
        <v>171</v>
      </c>
      <c r="DQ103" s="144" t="s">
        <v>171</v>
      </c>
      <c r="DR103" s="144" t="s">
        <v>171</v>
      </c>
      <c r="DS103" s="144" t="s">
        <v>171</v>
      </c>
      <c r="DT103" s="144" t="s">
        <v>171</v>
      </c>
      <c r="DU103" s="144" t="s">
        <v>171</v>
      </c>
      <c r="DV103" s="144" t="s">
        <v>171</v>
      </c>
      <c r="DW103" s="147">
        <v>432.56244218316402</v>
      </c>
      <c r="DX103" t="s">
        <v>193</v>
      </c>
      <c r="DY103">
        <v>37.1</v>
      </c>
      <c r="DZ103" t="s">
        <v>194</v>
      </c>
      <c r="EA103">
        <v>39.61</v>
      </c>
      <c r="EB103" t="s">
        <v>185</v>
      </c>
      <c r="EC103" s="149">
        <f t="shared" si="17"/>
        <v>0.220999</v>
      </c>
      <c r="ED103" t="s">
        <v>195</v>
      </c>
      <c r="EE103" t="s">
        <v>196</v>
      </c>
      <c r="EF103" t="s">
        <v>197</v>
      </c>
      <c r="EG103">
        <v>1.0271999999999999</v>
      </c>
      <c r="EH103" t="s">
        <v>171</v>
      </c>
      <c r="EI103" t="s">
        <v>171</v>
      </c>
      <c r="EJ103" t="s">
        <v>198</v>
      </c>
      <c r="EK103" t="s">
        <v>191</v>
      </c>
      <c r="EL103" t="s">
        <v>191</v>
      </c>
      <c r="EM103" t="s">
        <v>199</v>
      </c>
      <c r="EN103" t="s">
        <v>200</v>
      </c>
      <c r="EO103" s="151" t="s">
        <v>201</v>
      </c>
      <c r="EP103" s="151" t="s">
        <v>201</v>
      </c>
      <c r="EQ103" s="144" t="s">
        <v>171</v>
      </c>
      <c r="ER103" s="144" t="s">
        <v>171</v>
      </c>
      <c r="ES103" s="144" t="s">
        <v>171</v>
      </c>
      <c r="ET103" t="s">
        <v>202</v>
      </c>
      <c r="EU103" t="s">
        <v>203</v>
      </c>
      <c r="EV103" t="s">
        <v>171</v>
      </c>
      <c r="EW103">
        <v>2430</v>
      </c>
      <c r="EX103" s="151" t="s">
        <v>204</v>
      </c>
      <c r="EY103" s="151">
        <v>175</v>
      </c>
      <c r="EZ103">
        <v>175</v>
      </c>
      <c r="FA103" t="s">
        <v>171</v>
      </c>
      <c r="FB103" t="s">
        <v>171</v>
      </c>
      <c r="FC103" t="s">
        <v>171</v>
      </c>
      <c r="FD103" t="s">
        <v>171</v>
      </c>
      <c r="FE103" s="152">
        <v>8.1962874395774907</v>
      </c>
      <c r="FF103" t="s">
        <v>205</v>
      </c>
      <c r="FG103" s="144" t="s">
        <v>171</v>
      </c>
      <c r="FH103" s="144" t="s">
        <v>171</v>
      </c>
      <c r="FI103" s="153">
        <v>256.1503955</v>
      </c>
      <c r="FJ103">
        <v>21</v>
      </c>
      <c r="FK103" t="s">
        <v>207</v>
      </c>
      <c r="FL103" s="160">
        <v>235.1503955</v>
      </c>
      <c r="FM103" s="161">
        <v>36.447523315226022</v>
      </c>
      <c r="FN103" s="161">
        <v>34.145107930322013</v>
      </c>
      <c r="FO103" t="s">
        <v>186</v>
      </c>
      <c r="FP103" t="s">
        <v>208</v>
      </c>
      <c r="FQ103" t="s">
        <v>171</v>
      </c>
      <c r="FR103" t="s">
        <v>171</v>
      </c>
      <c r="FS103" t="s">
        <v>171</v>
      </c>
      <c r="FT103" t="s">
        <v>171</v>
      </c>
      <c r="FU103" t="s">
        <v>171</v>
      </c>
      <c r="FV103" t="s">
        <v>171</v>
      </c>
      <c r="FW103" t="s">
        <v>171</v>
      </c>
      <c r="FX103" t="s">
        <v>171</v>
      </c>
      <c r="FY103" t="s">
        <v>171</v>
      </c>
      <c r="FZ103" t="s">
        <v>171</v>
      </c>
      <c r="GA103" t="s">
        <v>171</v>
      </c>
      <c r="GB103" t="s">
        <v>171</v>
      </c>
    </row>
    <row r="104" spans="1:184" ht="16" x14ac:dyDescent="0.2">
      <c r="A104" t="s">
        <v>217</v>
      </c>
      <c r="B104" s="143" t="s">
        <v>216</v>
      </c>
      <c r="C104" s="138" t="s">
        <v>212</v>
      </c>
      <c r="D104" t="s">
        <v>211</v>
      </c>
      <c r="E104">
        <v>2017</v>
      </c>
      <c r="F104" t="str">
        <f t="shared" si="21"/>
        <v>10.1073/pnas.1702143114</v>
      </c>
      <c r="G104" s="147">
        <f t="shared" si="22"/>
        <v>1214.48</v>
      </c>
      <c r="H104">
        <f t="shared" si="18"/>
        <v>6</v>
      </c>
      <c r="I104">
        <f t="shared" si="19"/>
        <v>6</v>
      </c>
      <c r="J104" s="153">
        <f t="shared" si="23"/>
        <v>288.0500356</v>
      </c>
      <c r="K104" s="153">
        <f t="shared" si="24"/>
        <v>40.133098718538974</v>
      </c>
      <c r="L104" s="153">
        <f t="shared" si="25"/>
        <v>39.118647608976005</v>
      </c>
      <c r="M104" t="b">
        <v>1</v>
      </c>
      <c r="N104">
        <v>3</v>
      </c>
      <c r="O104" s="144" t="s">
        <v>228</v>
      </c>
      <c r="P104" s="144" t="s">
        <v>229</v>
      </c>
      <c r="Q104" t="b">
        <v>0</v>
      </c>
      <c r="R104" t="s">
        <v>214</v>
      </c>
      <c r="S104" t="b">
        <v>1</v>
      </c>
      <c r="T104" t="b">
        <v>0</v>
      </c>
      <c r="U104" t="s">
        <v>171</v>
      </c>
      <c r="V104" t="s">
        <v>171</v>
      </c>
      <c r="W104" t="b">
        <v>0</v>
      </c>
      <c r="X104" t="s">
        <v>171</v>
      </c>
      <c r="Y104" s="139" t="s">
        <v>167</v>
      </c>
      <c r="Z104" s="143" t="s">
        <v>168</v>
      </c>
      <c r="AA104" t="s">
        <v>169</v>
      </c>
      <c r="AB104" s="162" t="s">
        <v>210</v>
      </c>
      <c r="AC104" s="162">
        <v>5</v>
      </c>
      <c r="AD104" s="162">
        <v>3</v>
      </c>
      <c r="AE104" s="163">
        <v>94.703500999999989</v>
      </c>
      <c r="AF104" s="163">
        <f t="shared" si="15"/>
        <v>96.703500999999989</v>
      </c>
      <c r="AG104" s="164">
        <v>40.04681033</v>
      </c>
      <c r="AH104" s="164">
        <v>40.04681033</v>
      </c>
      <c r="AI104" t="s">
        <v>171</v>
      </c>
      <c r="AJ104" t="s">
        <v>172</v>
      </c>
      <c r="AK104" s="146">
        <v>12.74</v>
      </c>
      <c r="AL104" s="146">
        <v>-78.739999999999995</v>
      </c>
      <c r="AM104" t="s">
        <v>171</v>
      </c>
      <c r="AN104" t="s">
        <v>171</v>
      </c>
      <c r="AO104">
        <v>-2839</v>
      </c>
      <c r="AP104" t="s">
        <v>171</v>
      </c>
      <c r="AQ104" t="s">
        <v>171</v>
      </c>
      <c r="AR104" t="s">
        <v>171</v>
      </c>
      <c r="AS104">
        <v>1214.48</v>
      </c>
      <c r="AT104" t="s">
        <v>173</v>
      </c>
      <c r="AU104">
        <v>6</v>
      </c>
      <c r="AV104">
        <v>6</v>
      </c>
      <c r="AW104" t="s">
        <v>171</v>
      </c>
      <c r="AX104" t="s">
        <v>174</v>
      </c>
      <c r="AY104" t="s">
        <v>171</v>
      </c>
      <c r="AZ104" t="s">
        <v>171</v>
      </c>
      <c r="BA104" t="s">
        <v>171</v>
      </c>
      <c r="BB104" t="s">
        <v>171</v>
      </c>
      <c r="BC104" t="s">
        <v>171</v>
      </c>
      <c r="BD104" t="s">
        <v>171</v>
      </c>
      <c r="BE104" t="s">
        <v>171</v>
      </c>
      <c r="BF104" t="s">
        <v>171</v>
      </c>
      <c r="BG104" t="s">
        <v>175</v>
      </c>
      <c r="BH104" t="s">
        <v>176</v>
      </c>
      <c r="BI104" t="s">
        <v>177</v>
      </c>
      <c r="BJ104" s="142">
        <v>2</v>
      </c>
      <c r="BK104" t="s">
        <v>178</v>
      </c>
      <c r="BL104" t="s">
        <v>179</v>
      </c>
      <c r="BM104" t="s">
        <v>180</v>
      </c>
      <c r="BN104" t="s">
        <v>171</v>
      </c>
      <c r="BO104" s="142">
        <v>2</v>
      </c>
      <c r="BP104" s="144" t="s">
        <v>171</v>
      </c>
      <c r="BQ104" s="149">
        <v>20.234999999999999</v>
      </c>
      <c r="BR104" t="s">
        <v>181</v>
      </c>
      <c r="BS104" s="149">
        <v>0.17693286</v>
      </c>
      <c r="BT104">
        <v>0.64</v>
      </c>
      <c r="BU104" t="s">
        <v>182</v>
      </c>
      <c r="BV104">
        <v>3.4000000000000002E-2</v>
      </c>
      <c r="BW104">
        <v>9.1</v>
      </c>
      <c r="BX104" t="s">
        <v>173</v>
      </c>
      <c r="BY104">
        <v>0.56000000000000005</v>
      </c>
      <c r="BZ104" t="s">
        <v>183</v>
      </c>
      <c r="CA104" t="s">
        <v>184</v>
      </c>
      <c r="CB104" s="148">
        <f t="shared" si="20"/>
        <v>18.941666666666666</v>
      </c>
      <c r="CC104" s="144" t="s">
        <v>185</v>
      </c>
      <c r="CD104" s="144" t="s">
        <v>171</v>
      </c>
      <c r="CE104" s="144" t="s">
        <v>171</v>
      </c>
      <c r="CF104" t="s">
        <v>186</v>
      </c>
      <c r="CG104" s="144">
        <v>10</v>
      </c>
      <c r="CH104" s="144" t="s">
        <v>187</v>
      </c>
      <c r="CI104" s="144" t="s">
        <v>171</v>
      </c>
      <c r="CJ104" s="147">
        <v>24.977316030000001</v>
      </c>
      <c r="CK104" t="s">
        <v>173</v>
      </c>
      <c r="CL104">
        <v>3</v>
      </c>
      <c r="CM104">
        <v>3</v>
      </c>
      <c r="CN104" t="s">
        <v>171</v>
      </c>
      <c r="CO104" s="149">
        <v>3.4343385689548018</v>
      </c>
      <c r="CP104" t="s">
        <v>188</v>
      </c>
      <c r="CQ104" s="149">
        <f t="shared" si="16"/>
        <v>0.13737354275819208</v>
      </c>
      <c r="CR104" s="149">
        <v>0.13737354275819208</v>
      </c>
      <c r="CS104" s="150" t="s">
        <v>171</v>
      </c>
      <c r="CT104" t="s">
        <v>189</v>
      </c>
      <c r="CU104" t="s">
        <v>171</v>
      </c>
      <c r="CV104" t="s">
        <v>190</v>
      </c>
      <c r="CW104" t="s">
        <v>191</v>
      </c>
      <c r="CX104" t="s">
        <v>191</v>
      </c>
      <c r="CY104" t="s">
        <v>191</v>
      </c>
      <c r="CZ104" t="s">
        <v>171</v>
      </c>
      <c r="DA104" t="s">
        <v>171</v>
      </c>
      <c r="DB104" t="s">
        <v>171</v>
      </c>
      <c r="DC104" t="s">
        <v>171</v>
      </c>
      <c r="DD104" t="s">
        <v>171</v>
      </c>
      <c r="DE104" t="s">
        <v>171</v>
      </c>
      <c r="DF104" t="s">
        <v>171</v>
      </c>
      <c r="DG104">
        <v>35</v>
      </c>
      <c r="DH104" t="s">
        <v>185</v>
      </c>
      <c r="DI104" s="142">
        <v>3</v>
      </c>
      <c r="DJ104" s="144" t="s">
        <v>192</v>
      </c>
      <c r="DK104" s="144" t="s">
        <v>171</v>
      </c>
      <c r="DL104" s="144" t="s">
        <v>171</v>
      </c>
      <c r="DM104" s="144" t="s">
        <v>171</v>
      </c>
      <c r="DN104" s="144" t="s">
        <v>171</v>
      </c>
      <c r="DO104" s="144" t="s">
        <v>171</v>
      </c>
      <c r="DP104" s="144" t="s">
        <v>171</v>
      </c>
      <c r="DQ104" s="144" t="s">
        <v>171</v>
      </c>
      <c r="DR104" s="144" t="s">
        <v>171</v>
      </c>
      <c r="DS104" s="144" t="s">
        <v>171</v>
      </c>
      <c r="DT104" s="144" t="s">
        <v>171</v>
      </c>
      <c r="DU104" s="144" t="s">
        <v>171</v>
      </c>
      <c r="DV104" s="144" t="s">
        <v>171</v>
      </c>
      <c r="DW104" s="147">
        <v>432.56244218316402</v>
      </c>
      <c r="DX104" t="s">
        <v>193</v>
      </c>
      <c r="DY104">
        <v>37.1</v>
      </c>
      <c r="DZ104" t="s">
        <v>194</v>
      </c>
      <c r="EA104">
        <v>39.61</v>
      </c>
      <c r="EB104" t="s">
        <v>185</v>
      </c>
      <c r="EC104" s="149">
        <f t="shared" si="17"/>
        <v>0.22144800000000003</v>
      </c>
      <c r="ED104" t="s">
        <v>195</v>
      </c>
      <c r="EE104" t="s">
        <v>196</v>
      </c>
      <c r="EF104" t="s">
        <v>197</v>
      </c>
      <c r="EG104">
        <v>1.0271999999999999</v>
      </c>
      <c r="EH104" t="s">
        <v>171</v>
      </c>
      <c r="EI104" t="s">
        <v>171</v>
      </c>
      <c r="EJ104" t="s">
        <v>198</v>
      </c>
      <c r="EK104" t="s">
        <v>191</v>
      </c>
      <c r="EL104" t="s">
        <v>191</v>
      </c>
      <c r="EM104" t="s">
        <v>199</v>
      </c>
      <c r="EN104" t="s">
        <v>200</v>
      </c>
      <c r="EO104" s="151" t="s">
        <v>201</v>
      </c>
      <c r="EP104" s="151" t="s">
        <v>201</v>
      </c>
      <c r="EQ104" s="144" t="s">
        <v>171</v>
      </c>
      <c r="ER104" s="144" t="s">
        <v>171</v>
      </c>
      <c r="ES104" s="144" t="s">
        <v>171</v>
      </c>
      <c r="ET104" t="s">
        <v>202</v>
      </c>
      <c r="EU104" t="s">
        <v>203</v>
      </c>
      <c r="EV104" t="s">
        <v>171</v>
      </c>
      <c r="EW104">
        <v>2431</v>
      </c>
      <c r="EX104" s="151" t="s">
        <v>204</v>
      </c>
      <c r="EY104" s="151">
        <v>175</v>
      </c>
      <c r="EZ104">
        <v>175</v>
      </c>
      <c r="FA104" t="s">
        <v>171</v>
      </c>
      <c r="FB104" t="s">
        <v>171</v>
      </c>
      <c r="FC104" t="s">
        <v>171</v>
      </c>
      <c r="FD104" t="s">
        <v>171</v>
      </c>
      <c r="FE104" s="152">
        <v>8.1333092552126907</v>
      </c>
      <c r="FF104" t="s">
        <v>205</v>
      </c>
      <c r="FG104" s="144" t="s">
        <v>171</v>
      </c>
      <c r="FH104" s="144" t="s">
        <v>171</v>
      </c>
      <c r="FI104" s="153">
        <v>309.0500356</v>
      </c>
      <c r="FJ104">
        <v>21</v>
      </c>
      <c r="FK104" t="s">
        <v>207</v>
      </c>
      <c r="FL104" s="160">
        <v>288.0500356</v>
      </c>
      <c r="FM104" s="161">
        <v>40.133098718538974</v>
      </c>
      <c r="FN104" s="161">
        <v>39.118647608976005</v>
      </c>
      <c r="FO104" t="s">
        <v>186</v>
      </c>
      <c r="FP104" t="s">
        <v>208</v>
      </c>
      <c r="FQ104" t="s">
        <v>171</v>
      </c>
      <c r="FR104" t="s">
        <v>171</v>
      </c>
      <c r="FS104" t="s">
        <v>171</v>
      </c>
      <c r="FT104" t="s">
        <v>171</v>
      </c>
      <c r="FU104" t="s">
        <v>171</v>
      </c>
      <c r="FV104" t="s">
        <v>171</v>
      </c>
      <c r="FW104" t="s">
        <v>171</v>
      </c>
      <c r="FX104" t="s">
        <v>171</v>
      </c>
      <c r="FY104" t="s">
        <v>171</v>
      </c>
      <c r="FZ104" t="s">
        <v>171</v>
      </c>
      <c r="GA104" t="s">
        <v>171</v>
      </c>
      <c r="GB104" t="s">
        <v>171</v>
      </c>
    </row>
    <row r="105" spans="1:184" ht="16" x14ac:dyDescent="0.2">
      <c r="A105" t="s">
        <v>217</v>
      </c>
      <c r="B105" s="143" t="s">
        <v>216</v>
      </c>
      <c r="C105" s="138" t="s">
        <v>212</v>
      </c>
      <c r="D105" t="s">
        <v>211</v>
      </c>
      <c r="E105">
        <v>2017</v>
      </c>
      <c r="F105" t="str">
        <f t="shared" si="21"/>
        <v>10.1073/pnas.1702143114</v>
      </c>
      <c r="G105" s="147">
        <f t="shared" si="22"/>
        <v>1216.42</v>
      </c>
      <c r="H105">
        <f t="shared" si="18"/>
        <v>6</v>
      </c>
      <c r="I105">
        <f t="shared" si="19"/>
        <v>6</v>
      </c>
      <c r="J105" s="153">
        <f t="shared" si="23"/>
        <v>271.69856399999998</v>
      </c>
      <c r="K105" s="153">
        <f t="shared" si="24"/>
        <v>40.300393314868018</v>
      </c>
      <c r="L105" s="153">
        <f t="shared" si="25"/>
        <v>37.671469581254968</v>
      </c>
      <c r="M105" t="b">
        <v>1</v>
      </c>
      <c r="N105">
        <v>3</v>
      </c>
      <c r="O105" s="144" t="s">
        <v>228</v>
      </c>
      <c r="P105" s="144" t="s">
        <v>229</v>
      </c>
      <c r="Q105" t="b">
        <v>0</v>
      </c>
      <c r="R105" t="s">
        <v>214</v>
      </c>
      <c r="S105" t="b">
        <v>1</v>
      </c>
      <c r="T105" t="b">
        <v>0</v>
      </c>
      <c r="U105" t="s">
        <v>171</v>
      </c>
      <c r="V105" t="s">
        <v>171</v>
      </c>
      <c r="W105" t="b">
        <v>0</v>
      </c>
      <c r="X105" t="s">
        <v>171</v>
      </c>
      <c r="Y105" s="139" t="s">
        <v>167</v>
      </c>
      <c r="Z105" s="143" t="s">
        <v>168</v>
      </c>
      <c r="AA105" t="s">
        <v>169</v>
      </c>
      <c r="AB105" s="162" t="s">
        <v>210</v>
      </c>
      <c r="AC105" s="162">
        <v>5</v>
      </c>
      <c r="AD105" s="162">
        <v>3</v>
      </c>
      <c r="AE105" s="163">
        <v>102</v>
      </c>
      <c r="AF105" s="163">
        <f t="shared" si="15"/>
        <v>104</v>
      </c>
      <c r="AG105" s="164">
        <v>40.119999999999997</v>
      </c>
      <c r="AH105" s="164">
        <v>40.119999999999997</v>
      </c>
      <c r="AI105" t="s">
        <v>171</v>
      </c>
      <c r="AJ105" t="s">
        <v>172</v>
      </c>
      <c r="AK105" s="146">
        <v>12.74</v>
      </c>
      <c r="AL105" s="146">
        <v>-78.739999999999995</v>
      </c>
      <c r="AM105" t="s">
        <v>171</v>
      </c>
      <c r="AN105" t="s">
        <v>171</v>
      </c>
      <c r="AO105">
        <v>-2839</v>
      </c>
      <c r="AP105" t="s">
        <v>171</v>
      </c>
      <c r="AQ105" t="s">
        <v>171</v>
      </c>
      <c r="AR105" t="s">
        <v>171</v>
      </c>
      <c r="AS105">
        <v>1216.42</v>
      </c>
      <c r="AT105" t="s">
        <v>173</v>
      </c>
      <c r="AU105">
        <v>6</v>
      </c>
      <c r="AV105">
        <v>6</v>
      </c>
      <c r="AW105" t="s">
        <v>171</v>
      </c>
      <c r="AX105" t="s">
        <v>174</v>
      </c>
      <c r="AY105" t="s">
        <v>171</v>
      </c>
      <c r="AZ105" t="s">
        <v>171</v>
      </c>
      <c r="BA105" t="s">
        <v>171</v>
      </c>
      <c r="BB105" t="s">
        <v>171</v>
      </c>
      <c r="BC105" t="s">
        <v>171</v>
      </c>
      <c r="BD105" t="s">
        <v>171</v>
      </c>
      <c r="BE105" t="s">
        <v>171</v>
      </c>
      <c r="BF105" t="s">
        <v>171</v>
      </c>
      <c r="BG105" t="s">
        <v>175</v>
      </c>
      <c r="BH105" t="s">
        <v>176</v>
      </c>
      <c r="BI105" t="s">
        <v>177</v>
      </c>
      <c r="BJ105" s="142">
        <v>2</v>
      </c>
      <c r="BK105" t="s">
        <v>178</v>
      </c>
      <c r="BL105" t="s">
        <v>179</v>
      </c>
      <c r="BM105" t="s">
        <v>180</v>
      </c>
      <c r="BN105" t="s">
        <v>171</v>
      </c>
      <c r="BO105" s="142">
        <v>2</v>
      </c>
      <c r="BP105" s="144" t="s">
        <v>171</v>
      </c>
      <c r="BQ105" s="149">
        <v>20.356538149999999</v>
      </c>
      <c r="BR105" t="s">
        <v>181</v>
      </c>
      <c r="BS105" s="149">
        <v>0.21990035999999999</v>
      </c>
      <c r="BT105">
        <v>0.64</v>
      </c>
      <c r="BU105" t="s">
        <v>182</v>
      </c>
      <c r="BV105">
        <v>3.4000000000000002E-2</v>
      </c>
      <c r="BW105">
        <v>9.1</v>
      </c>
      <c r="BX105" t="s">
        <v>173</v>
      </c>
      <c r="BY105">
        <v>0.56000000000000005</v>
      </c>
      <c r="BZ105" t="s">
        <v>183</v>
      </c>
      <c r="CA105" t="s">
        <v>184</v>
      </c>
      <c r="CB105" s="148">
        <f t="shared" si="20"/>
        <v>19.14423025</v>
      </c>
      <c r="CC105" s="144" t="s">
        <v>185</v>
      </c>
      <c r="CD105" s="144" t="s">
        <v>171</v>
      </c>
      <c r="CE105" s="144" t="s">
        <v>171</v>
      </c>
      <c r="CF105" t="s">
        <v>186</v>
      </c>
      <c r="CG105" s="144">
        <v>10</v>
      </c>
      <c r="CH105" s="144" t="s">
        <v>187</v>
      </c>
      <c r="CI105" s="144" t="s">
        <v>171</v>
      </c>
      <c r="CJ105" s="147">
        <v>24.84939455</v>
      </c>
      <c r="CK105" t="s">
        <v>173</v>
      </c>
      <c r="CL105">
        <v>3</v>
      </c>
      <c r="CM105">
        <v>3</v>
      </c>
      <c r="CN105" t="s">
        <v>171</v>
      </c>
      <c r="CO105" s="149">
        <v>3.3902624608114964</v>
      </c>
      <c r="CP105" t="s">
        <v>188</v>
      </c>
      <c r="CQ105" s="149">
        <f t="shared" si="16"/>
        <v>0.13561049843245987</v>
      </c>
      <c r="CR105" s="149">
        <v>0.13561049843245987</v>
      </c>
      <c r="CS105" s="150" t="s">
        <v>171</v>
      </c>
      <c r="CT105" t="s">
        <v>189</v>
      </c>
      <c r="CU105" t="s">
        <v>171</v>
      </c>
      <c r="CV105" t="s">
        <v>190</v>
      </c>
      <c r="CW105" t="s">
        <v>191</v>
      </c>
      <c r="CX105" t="s">
        <v>191</v>
      </c>
      <c r="CY105" t="s">
        <v>191</v>
      </c>
      <c r="CZ105" t="s">
        <v>171</v>
      </c>
      <c r="DA105" t="s">
        <v>171</v>
      </c>
      <c r="DB105" t="s">
        <v>171</v>
      </c>
      <c r="DC105" t="s">
        <v>171</v>
      </c>
      <c r="DD105" t="s">
        <v>171</v>
      </c>
      <c r="DE105" t="s">
        <v>171</v>
      </c>
      <c r="DF105" t="s">
        <v>171</v>
      </c>
      <c r="DG105">
        <v>35</v>
      </c>
      <c r="DH105" t="s">
        <v>185</v>
      </c>
      <c r="DI105" s="142">
        <v>3</v>
      </c>
      <c r="DJ105" s="144" t="s">
        <v>192</v>
      </c>
      <c r="DK105" s="144" t="s">
        <v>171</v>
      </c>
      <c r="DL105" s="144" t="s">
        <v>171</v>
      </c>
      <c r="DM105" s="144" t="s">
        <v>171</v>
      </c>
      <c r="DN105" s="144" t="s">
        <v>171</v>
      </c>
      <c r="DO105" s="144" t="s">
        <v>171</v>
      </c>
      <c r="DP105" s="144" t="s">
        <v>171</v>
      </c>
      <c r="DQ105" s="144" t="s">
        <v>171</v>
      </c>
      <c r="DR105" s="144" t="s">
        <v>171</v>
      </c>
      <c r="DS105" s="144" t="s">
        <v>171</v>
      </c>
      <c r="DT105" s="144" t="s">
        <v>171</v>
      </c>
      <c r="DU105" s="144" t="s">
        <v>171</v>
      </c>
      <c r="DV105" s="144" t="s">
        <v>171</v>
      </c>
      <c r="DW105" s="147">
        <v>432.56244218316402</v>
      </c>
      <c r="DX105" t="s">
        <v>193</v>
      </c>
      <c r="DY105">
        <v>37.1</v>
      </c>
      <c r="DZ105" t="s">
        <v>194</v>
      </c>
      <c r="EA105">
        <v>39.61</v>
      </c>
      <c r="EB105" t="s">
        <v>185</v>
      </c>
      <c r="EC105" s="149">
        <f t="shared" si="17"/>
        <v>0.22164200000000001</v>
      </c>
      <c r="ED105" t="s">
        <v>195</v>
      </c>
      <c r="EE105" t="s">
        <v>196</v>
      </c>
      <c r="EF105" t="s">
        <v>197</v>
      </c>
      <c r="EG105">
        <v>1.0271999999999999</v>
      </c>
      <c r="EH105" t="s">
        <v>171</v>
      </c>
      <c r="EI105" t="s">
        <v>171</v>
      </c>
      <c r="EJ105" t="s">
        <v>198</v>
      </c>
      <c r="EK105" t="s">
        <v>191</v>
      </c>
      <c r="EL105" t="s">
        <v>191</v>
      </c>
      <c r="EM105" t="s">
        <v>199</v>
      </c>
      <c r="EN105" t="s">
        <v>200</v>
      </c>
      <c r="EO105" s="151" t="s">
        <v>201</v>
      </c>
      <c r="EP105" s="151" t="s">
        <v>201</v>
      </c>
      <c r="EQ105" s="144" t="s">
        <v>171</v>
      </c>
      <c r="ER105" s="144" t="s">
        <v>171</v>
      </c>
      <c r="ES105" s="144" t="s">
        <v>171</v>
      </c>
      <c r="ET105" t="s">
        <v>202</v>
      </c>
      <c r="EU105" t="s">
        <v>203</v>
      </c>
      <c r="EV105" t="s">
        <v>171</v>
      </c>
      <c r="EW105">
        <v>2432</v>
      </c>
      <c r="EX105" s="151" t="s">
        <v>204</v>
      </c>
      <c r="EY105" s="151">
        <v>175</v>
      </c>
      <c r="EZ105">
        <v>175</v>
      </c>
      <c r="FA105" t="s">
        <v>171</v>
      </c>
      <c r="FB105" t="s">
        <v>171</v>
      </c>
      <c r="FC105" t="s">
        <v>171</v>
      </c>
      <c r="FD105" t="s">
        <v>171</v>
      </c>
      <c r="FE105" s="152">
        <v>8.1518829649970606</v>
      </c>
      <c r="FF105" t="s">
        <v>205</v>
      </c>
      <c r="FG105" s="144" t="s">
        <v>171</v>
      </c>
      <c r="FH105" s="144" t="s">
        <v>171</v>
      </c>
      <c r="FI105" s="153">
        <v>292.69856399999998</v>
      </c>
      <c r="FJ105">
        <v>21</v>
      </c>
      <c r="FK105" t="s">
        <v>207</v>
      </c>
      <c r="FL105" s="160">
        <v>271.69856399999998</v>
      </c>
      <c r="FM105" s="161">
        <v>40.300393314868018</v>
      </c>
      <c r="FN105" s="161">
        <v>37.671469581254968</v>
      </c>
      <c r="FO105" t="s">
        <v>186</v>
      </c>
      <c r="FP105" t="s">
        <v>208</v>
      </c>
      <c r="FQ105" t="s">
        <v>171</v>
      </c>
      <c r="FR105" t="s">
        <v>171</v>
      </c>
      <c r="FS105" t="s">
        <v>171</v>
      </c>
      <c r="FT105" t="s">
        <v>171</v>
      </c>
      <c r="FU105" t="s">
        <v>171</v>
      </c>
      <c r="FV105" t="s">
        <v>171</v>
      </c>
      <c r="FW105" t="s">
        <v>171</v>
      </c>
      <c r="FX105" t="s">
        <v>171</v>
      </c>
      <c r="FY105" t="s">
        <v>171</v>
      </c>
      <c r="FZ105" t="s">
        <v>171</v>
      </c>
      <c r="GA105" t="s">
        <v>171</v>
      </c>
      <c r="GB105" t="s">
        <v>171</v>
      </c>
    </row>
    <row r="106" spans="1:184" ht="16" x14ac:dyDescent="0.2">
      <c r="A106" t="s">
        <v>217</v>
      </c>
      <c r="B106" s="143" t="s">
        <v>216</v>
      </c>
      <c r="C106" s="138" t="s">
        <v>212</v>
      </c>
      <c r="D106" t="s">
        <v>211</v>
      </c>
      <c r="E106">
        <v>2017</v>
      </c>
      <c r="F106" t="str">
        <f t="shared" si="21"/>
        <v>10.1073/pnas.1702143114</v>
      </c>
      <c r="G106" s="147">
        <f t="shared" si="22"/>
        <v>1218.54</v>
      </c>
      <c r="H106">
        <f t="shared" si="18"/>
        <v>6</v>
      </c>
      <c r="I106">
        <f t="shared" si="19"/>
        <v>6</v>
      </c>
      <c r="J106" s="153">
        <f t="shared" si="23"/>
        <v>301.07789350000002</v>
      </c>
      <c r="K106" s="153">
        <f t="shared" si="24"/>
        <v>44.66716765528497</v>
      </c>
      <c r="L106" s="153">
        <f t="shared" si="25"/>
        <v>41.818762933787013</v>
      </c>
      <c r="M106" t="b">
        <v>1</v>
      </c>
      <c r="N106">
        <v>3</v>
      </c>
      <c r="O106" s="144" t="s">
        <v>228</v>
      </c>
      <c r="P106" s="144" t="s">
        <v>229</v>
      </c>
      <c r="Q106" t="b">
        <v>0</v>
      </c>
      <c r="R106" t="s">
        <v>214</v>
      </c>
      <c r="S106" t="b">
        <v>1</v>
      </c>
      <c r="T106" t="b">
        <v>0</v>
      </c>
      <c r="U106" t="s">
        <v>171</v>
      </c>
      <c r="V106" t="s">
        <v>171</v>
      </c>
      <c r="W106" t="b">
        <v>0</v>
      </c>
      <c r="X106" t="s">
        <v>171</v>
      </c>
      <c r="Y106" s="139" t="s">
        <v>167</v>
      </c>
      <c r="Z106" s="143" t="s">
        <v>168</v>
      </c>
      <c r="AA106" t="s">
        <v>169</v>
      </c>
      <c r="AB106" s="157" t="s">
        <v>210</v>
      </c>
      <c r="AC106" s="157">
        <v>5</v>
      </c>
      <c r="AD106" s="157">
        <v>3</v>
      </c>
      <c r="AE106" s="158">
        <v>110</v>
      </c>
      <c r="AF106" s="158">
        <f t="shared" si="15"/>
        <v>112</v>
      </c>
      <c r="AG106" s="159">
        <v>40.200000000000003</v>
      </c>
      <c r="AH106" s="159">
        <v>40.200000000000003</v>
      </c>
      <c r="AI106" t="s">
        <v>171</v>
      </c>
      <c r="AJ106" t="s">
        <v>172</v>
      </c>
      <c r="AK106" s="146">
        <v>12.74</v>
      </c>
      <c r="AL106" s="146">
        <v>-78.739999999999995</v>
      </c>
      <c r="AM106" t="s">
        <v>171</v>
      </c>
      <c r="AN106" t="s">
        <v>171</v>
      </c>
      <c r="AO106">
        <v>-2839</v>
      </c>
      <c r="AP106" t="s">
        <v>171</v>
      </c>
      <c r="AQ106" t="s">
        <v>171</v>
      </c>
      <c r="AR106" t="s">
        <v>171</v>
      </c>
      <c r="AS106">
        <v>1218.54</v>
      </c>
      <c r="AT106" t="s">
        <v>173</v>
      </c>
      <c r="AU106">
        <v>6</v>
      </c>
      <c r="AV106">
        <v>6</v>
      </c>
      <c r="AW106" t="s">
        <v>171</v>
      </c>
      <c r="AX106" t="s">
        <v>174</v>
      </c>
      <c r="AY106" t="s">
        <v>171</v>
      </c>
      <c r="AZ106" t="s">
        <v>171</v>
      </c>
      <c r="BA106" t="s">
        <v>171</v>
      </c>
      <c r="BB106" t="s">
        <v>171</v>
      </c>
      <c r="BC106" t="s">
        <v>171</v>
      </c>
      <c r="BD106" t="s">
        <v>171</v>
      </c>
      <c r="BE106" t="s">
        <v>171</v>
      </c>
      <c r="BF106" t="s">
        <v>171</v>
      </c>
      <c r="BG106" t="s">
        <v>175</v>
      </c>
      <c r="BH106" t="s">
        <v>176</v>
      </c>
      <c r="BI106" t="s">
        <v>177</v>
      </c>
      <c r="BJ106" s="142">
        <v>2</v>
      </c>
      <c r="BK106" t="s">
        <v>178</v>
      </c>
      <c r="BL106" t="s">
        <v>179</v>
      </c>
      <c r="BM106" t="s">
        <v>180</v>
      </c>
      <c r="BN106" t="s">
        <v>171</v>
      </c>
      <c r="BO106" s="142">
        <v>2</v>
      </c>
      <c r="BP106" s="144" t="s">
        <v>171</v>
      </c>
      <c r="BQ106" s="149">
        <v>20.073427200000001</v>
      </c>
      <c r="BR106" t="s">
        <v>181</v>
      </c>
      <c r="BS106" s="149">
        <v>0.22101573799999999</v>
      </c>
      <c r="BT106">
        <v>0.64</v>
      </c>
      <c r="BU106" t="s">
        <v>182</v>
      </c>
      <c r="BV106">
        <v>3.4000000000000002E-2</v>
      </c>
      <c r="BW106">
        <v>9.1</v>
      </c>
      <c r="BX106" t="s">
        <v>173</v>
      </c>
      <c r="BY106">
        <v>0.56000000000000005</v>
      </c>
      <c r="BZ106" t="s">
        <v>183</v>
      </c>
      <c r="CA106" t="s">
        <v>184</v>
      </c>
      <c r="CB106" s="148">
        <f t="shared" si="20"/>
        <v>18.67237866666667</v>
      </c>
      <c r="CC106" s="144" t="s">
        <v>185</v>
      </c>
      <c r="CD106" s="144" t="s">
        <v>171</v>
      </c>
      <c r="CE106" s="144" t="s">
        <v>171</v>
      </c>
      <c r="CF106" t="s">
        <v>186</v>
      </c>
      <c r="CG106" s="144">
        <v>10</v>
      </c>
      <c r="CH106" s="144" t="s">
        <v>187</v>
      </c>
      <c r="CI106" s="144" t="s">
        <v>171</v>
      </c>
      <c r="CJ106" s="147">
        <v>24.129130150000002</v>
      </c>
      <c r="CK106" t="s">
        <v>173</v>
      </c>
      <c r="CL106">
        <v>3</v>
      </c>
      <c r="CM106">
        <v>3</v>
      </c>
      <c r="CN106" t="s">
        <v>171</v>
      </c>
      <c r="CO106" s="149">
        <v>3.1729908929986768</v>
      </c>
      <c r="CP106" t="s">
        <v>188</v>
      </c>
      <c r="CQ106" s="149">
        <f t="shared" si="16"/>
        <v>0.12691963571994708</v>
      </c>
      <c r="CR106" s="149">
        <v>0.12691963571994708</v>
      </c>
      <c r="CS106" s="150" t="s">
        <v>171</v>
      </c>
      <c r="CT106" t="s">
        <v>189</v>
      </c>
      <c r="CU106" t="s">
        <v>171</v>
      </c>
      <c r="CV106" t="s">
        <v>190</v>
      </c>
      <c r="CW106" t="s">
        <v>191</v>
      </c>
      <c r="CX106" t="s">
        <v>191</v>
      </c>
      <c r="CY106" t="s">
        <v>191</v>
      </c>
      <c r="CZ106" t="s">
        <v>171</v>
      </c>
      <c r="DA106" t="s">
        <v>171</v>
      </c>
      <c r="DB106" t="s">
        <v>171</v>
      </c>
      <c r="DC106" t="s">
        <v>171</v>
      </c>
      <c r="DD106" t="s">
        <v>171</v>
      </c>
      <c r="DE106" t="s">
        <v>171</v>
      </c>
      <c r="DF106" t="s">
        <v>171</v>
      </c>
      <c r="DG106">
        <v>35</v>
      </c>
      <c r="DH106" t="s">
        <v>185</v>
      </c>
      <c r="DI106" s="142">
        <v>3</v>
      </c>
      <c r="DJ106" s="144" t="s">
        <v>192</v>
      </c>
      <c r="DK106" s="144" t="s">
        <v>171</v>
      </c>
      <c r="DL106" s="144" t="s">
        <v>171</v>
      </c>
      <c r="DM106" s="144" t="s">
        <v>171</v>
      </c>
      <c r="DN106" s="144" t="s">
        <v>171</v>
      </c>
      <c r="DO106" s="144" t="s">
        <v>171</v>
      </c>
      <c r="DP106" s="144" t="s">
        <v>171</v>
      </c>
      <c r="DQ106" s="144" t="s">
        <v>171</v>
      </c>
      <c r="DR106" s="144" t="s">
        <v>171</v>
      </c>
      <c r="DS106" s="144" t="s">
        <v>171</v>
      </c>
      <c r="DT106" s="144" t="s">
        <v>171</v>
      </c>
      <c r="DU106" s="144" t="s">
        <v>171</v>
      </c>
      <c r="DV106" s="144" t="s">
        <v>171</v>
      </c>
      <c r="DW106" s="147">
        <v>432.56244218316402</v>
      </c>
      <c r="DX106" t="s">
        <v>193</v>
      </c>
      <c r="DY106">
        <v>37.1</v>
      </c>
      <c r="DZ106" t="s">
        <v>194</v>
      </c>
      <c r="EA106">
        <v>39.61</v>
      </c>
      <c r="EB106" t="s">
        <v>185</v>
      </c>
      <c r="EC106" s="149">
        <f t="shared" si="17"/>
        <v>0.221854</v>
      </c>
      <c r="ED106" t="s">
        <v>195</v>
      </c>
      <c r="EE106" t="s">
        <v>196</v>
      </c>
      <c r="EF106" t="s">
        <v>197</v>
      </c>
      <c r="EG106">
        <v>1.0271999999999999</v>
      </c>
      <c r="EH106" t="s">
        <v>171</v>
      </c>
      <c r="EI106" t="s">
        <v>171</v>
      </c>
      <c r="EJ106" t="s">
        <v>198</v>
      </c>
      <c r="EK106" t="s">
        <v>191</v>
      </c>
      <c r="EL106" t="s">
        <v>191</v>
      </c>
      <c r="EM106" t="s">
        <v>199</v>
      </c>
      <c r="EN106" t="s">
        <v>200</v>
      </c>
      <c r="EO106" s="151" t="s">
        <v>201</v>
      </c>
      <c r="EP106" s="151" t="s">
        <v>201</v>
      </c>
      <c r="EQ106" s="144" t="s">
        <v>171</v>
      </c>
      <c r="ER106" s="144" t="s">
        <v>171</v>
      </c>
      <c r="ES106" s="144" t="s">
        <v>171</v>
      </c>
      <c r="ET106" t="s">
        <v>202</v>
      </c>
      <c r="EU106" t="s">
        <v>203</v>
      </c>
      <c r="EV106" t="s">
        <v>171</v>
      </c>
      <c r="EW106">
        <v>2433</v>
      </c>
      <c r="EX106" s="151" t="s">
        <v>204</v>
      </c>
      <c r="EY106" s="151">
        <v>175</v>
      </c>
      <c r="EZ106">
        <v>175</v>
      </c>
      <c r="FA106" t="s">
        <v>171</v>
      </c>
      <c r="FB106" t="s">
        <v>171</v>
      </c>
      <c r="FC106" t="s">
        <v>171</v>
      </c>
      <c r="FD106" t="s">
        <v>171</v>
      </c>
      <c r="FE106" s="152">
        <v>8.1197951003869004</v>
      </c>
      <c r="FF106" t="s">
        <v>205</v>
      </c>
      <c r="FG106" s="144" t="s">
        <v>171</v>
      </c>
      <c r="FH106" s="144" t="s">
        <v>171</v>
      </c>
      <c r="FI106" s="153">
        <v>322.07789350000002</v>
      </c>
      <c r="FJ106">
        <v>21</v>
      </c>
      <c r="FK106" t="s">
        <v>207</v>
      </c>
      <c r="FL106" s="160">
        <v>301.07789350000002</v>
      </c>
      <c r="FM106" s="161">
        <v>44.66716765528497</v>
      </c>
      <c r="FN106" s="161">
        <v>41.818762933787013</v>
      </c>
      <c r="FO106" t="s">
        <v>186</v>
      </c>
      <c r="FP106" t="s">
        <v>208</v>
      </c>
      <c r="FQ106" t="s">
        <v>171</v>
      </c>
      <c r="FR106" t="s">
        <v>171</v>
      </c>
      <c r="FS106" t="s">
        <v>171</v>
      </c>
      <c r="FT106" t="s">
        <v>171</v>
      </c>
      <c r="FU106" t="s">
        <v>171</v>
      </c>
      <c r="FV106" t="s">
        <v>171</v>
      </c>
      <c r="FW106" t="s">
        <v>171</v>
      </c>
      <c r="FX106" t="s">
        <v>171</v>
      </c>
      <c r="FY106" t="s">
        <v>171</v>
      </c>
      <c r="FZ106" t="s">
        <v>171</v>
      </c>
      <c r="GA106" t="s">
        <v>171</v>
      </c>
      <c r="GB106" t="s">
        <v>171</v>
      </c>
    </row>
    <row r="107" spans="1:184" ht="16" x14ac:dyDescent="0.2">
      <c r="A107" t="s">
        <v>217</v>
      </c>
      <c r="B107" s="143" t="s">
        <v>216</v>
      </c>
      <c r="C107" s="138" t="s">
        <v>212</v>
      </c>
      <c r="D107" t="s">
        <v>211</v>
      </c>
      <c r="E107">
        <v>2017</v>
      </c>
      <c r="F107" t="str">
        <f t="shared" si="21"/>
        <v>10.1073/pnas.1702143114</v>
      </c>
      <c r="G107" s="147">
        <f t="shared" si="22"/>
        <v>1224.18</v>
      </c>
      <c r="H107">
        <f t="shared" si="18"/>
        <v>6</v>
      </c>
      <c r="I107">
        <f t="shared" si="19"/>
        <v>6</v>
      </c>
      <c r="J107" s="153">
        <f t="shared" si="23"/>
        <v>252.53129150000001</v>
      </c>
      <c r="K107" s="153">
        <f t="shared" si="24"/>
        <v>37.92943187202701</v>
      </c>
      <c r="L107" s="153">
        <f t="shared" si="25"/>
        <v>37.543007119137002</v>
      </c>
      <c r="M107" t="b">
        <v>1</v>
      </c>
      <c r="N107">
        <v>3</v>
      </c>
      <c r="O107" s="144" t="s">
        <v>228</v>
      </c>
      <c r="P107" s="144" t="s">
        <v>229</v>
      </c>
      <c r="Q107" t="b">
        <v>0</v>
      </c>
      <c r="R107" t="s">
        <v>214</v>
      </c>
      <c r="S107" t="b">
        <v>1</v>
      </c>
      <c r="T107" t="b">
        <v>0</v>
      </c>
      <c r="U107" t="s">
        <v>171</v>
      </c>
      <c r="V107" t="s">
        <v>171</v>
      </c>
      <c r="W107" t="b">
        <v>0</v>
      </c>
      <c r="X107" t="s">
        <v>171</v>
      </c>
      <c r="Y107" s="139" t="s">
        <v>167</v>
      </c>
      <c r="Z107" s="143" t="s">
        <v>168</v>
      </c>
      <c r="AA107" t="s">
        <v>169</v>
      </c>
      <c r="AB107" s="162" t="s">
        <v>210</v>
      </c>
      <c r="AC107" s="162">
        <v>5</v>
      </c>
      <c r="AD107" s="162">
        <v>3</v>
      </c>
      <c r="AE107" s="163">
        <v>128.54058400000022</v>
      </c>
      <c r="AF107" s="163">
        <f t="shared" si="15"/>
        <v>130.54058400000022</v>
      </c>
      <c r="AG107" s="164">
        <v>40.385181160000002</v>
      </c>
      <c r="AH107" s="164">
        <v>40.385181160000002</v>
      </c>
      <c r="AI107" t="s">
        <v>171</v>
      </c>
      <c r="AJ107" t="s">
        <v>172</v>
      </c>
      <c r="AK107" s="146">
        <v>12.74</v>
      </c>
      <c r="AL107" s="146">
        <v>-78.739999999999995</v>
      </c>
      <c r="AM107" t="s">
        <v>171</v>
      </c>
      <c r="AN107" t="s">
        <v>171</v>
      </c>
      <c r="AO107">
        <v>-2839</v>
      </c>
      <c r="AP107" t="s">
        <v>171</v>
      </c>
      <c r="AQ107" t="s">
        <v>171</v>
      </c>
      <c r="AR107" t="s">
        <v>171</v>
      </c>
      <c r="AS107">
        <v>1224.18</v>
      </c>
      <c r="AT107" t="s">
        <v>173</v>
      </c>
      <c r="AU107">
        <v>6</v>
      </c>
      <c r="AV107">
        <v>6</v>
      </c>
      <c r="AW107" t="s">
        <v>171</v>
      </c>
      <c r="AX107" t="s">
        <v>174</v>
      </c>
      <c r="AY107" t="s">
        <v>171</v>
      </c>
      <c r="AZ107" t="s">
        <v>171</v>
      </c>
      <c r="BA107" t="s">
        <v>171</v>
      </c>
      <c r="BB107" t="s">
        <v>171</v>
      </c>
      <c r="BC107" t="s">
        <v>171</v>
      </c>
      <c r="BD107" t="s">
        <v>171</v>
      </c>
      <c r="BE107" t="s">
        <v>171</v>
      </c>
      <c r="BF107" t="s">
        <v>171</v>
      </c>
      <c r="BG107" t="s">
        <v>175</v>
      </c>
      <c r="BH107" t="s">
        <v>176</v>
      </c>
      <c r="BI107" t="s">
        <v>177</v>
      </c>
      <c r="BJ107" s="142">
        <v>2</v>
      </c>
      <c r="BK107" t="s">
        <v>178</v>
      </c>
      <c r="BL107" t="s">
        <v>179</v>
      </c>
      <c r="BM107" t="s">
        <v>180</v>
      </c>
      <c r="BN107" t="s">
        <v>171</v>
      </c>
      <c r="BO107" s="142">
        <v>2</v>
      </c>
      <c r="BP107" s="144" t="s">
        <v>171</v>
      </c>
      <c r="BQ107" s="149">
        <v>20.531904579999999</v>
      </c>
      <c r="BR107" t="s">
        <v>181</v>
      </c>
      <c r="BS107" s="149">
        <v>0.23632450399999999</v>
      </c>
      <c r="BT107">
        <v>0.64</v>
      </c>
      <c r="BU107" t="s">
        <v>182</v>
      </c>
      <c r="BV107">
        <v>3.4000000000000002E-2</v>
      </c>
      <c r="BW107">
        <v>9.1</v>
      </c>
      <c r="BX107" t="s">
        <v>173</v>
      </c>
      <c r="BY107">
        <v>0.56000000000000005</v>
      </c>
      <c r="BZ107" t="s">
        <v>183</v>
      </c>
      <c r="CA107" t="s">
        <v>184</v>
      </c>
      <c r="CB107" s="148">
        <f t="shared" si="20"/>
        <v>19.436507633333335</v>
      </c>
      <c r="CC107" s="144" t="s">
        <v>185</v>
      </c>
      <c r="CD107" s="144" t="s">
        <v>171</v>
      </c>
      <c r="CE107" s="144" t="s">
        <v>171</v>
      </c>
      <c r="CF107" t="s">
        <v>186</v>
      </c>
      <c r="CG107" s="144">
        <v>10</v>
      </c>
      <c r="CH107" s="144" t="s">
        <v>187</v>
      </c>
      <c r="CI107" s="144" t="s">
        <v>171</v>
      </c>
      <c r="CJ107" s="147">
        <v>24.9842008</v>
      </c>
      <c r="CK107" t="s">
        <v>173</v>
      </c>
      <c r="CL107">
        <v>3</v>
      </c>
      <c r="CM107">
        <v>3</v>
      </c>
      <c r="CN107" t="s">
        <v>171</v>
      </c>
      <c r="CO107" s="149">
        <v>3.412260624337498</v>
      </c>
      <c r="CP107" t="s">
        <v>188</v>
      </c>
      <c r="CQ107" s="149">
        <f t="shared" si="16"/>
        <v>0.13649042497349992</v>
      </c>
      <c r="CR107" s="149">
        <v>0.13649042497349992</v>
      </c>
      <c r="CS107" s="150" t="s">
        <v>171</v>
      </c>
      <c r="CT107" t="s">
        <v>189</v>
      </c>
      <c r="CU107" t="s">
        <v>171</v>
      </c>
      <c r="CV107" t="s">
        <v>190</v>
      </c>
      <c r="CW107" t="s">
        <v>191</v>
      </c>
      <c r="CX107" t="s">
        <v>191</v>
      </c>
      <c r="CY107" t="s">
        <v>191</v>
      </c>
      <c r="CZ107" t="s">
        <v>171</v>
      </c>
      <c r="DA107" t="s">
        <v>171</v>
      </c>
      <c r="DB107" t="s">
        <v>171</v>
      </c>
      <c r="DC107" t="s">
        <v>171</v>
      </c>
      <c r="DD107" t="s">
        <v>171</v>
      </c>
      <c r="DE107" t="s">
        <v>171</v>
      </c>
      <c r="DF107" t="s">
        <v>171</v>
      </c>
      <c r="DG107">
        <v>35</v>
      </c>
      <c r="DH107" t="s">
        <v>185</v>
      </c>
      <c r="DI107" s="142">
        <v>3</v>
      </c>
      <c r="DJ107" s="144" t="s">
        <v>192</v>
      </c>
      <c r="DK107" s="144" t="s">
        <v>171</v>
      </c>
      <c r="DL107" s="144" t="s">
        <v>171</v>
      </c>
      <c r="DM107" s="144" t="s">
        <v>171</v>
      </c>
      <c r="DN107" s="144" t="s">
        <v>171</v>
      </c>
      <c r="DO107" s="144" t="s">
        <v>171</v>
      </c>
      <c r="DP107" s="144" t="s">
        <v>171</v>
      </c>
      <c r="DQ107" s="144" t="s">
        <v>171</v>
      </c>
      <c r="DR107" s="144" t="s">
        <v>171</v>
      </c>
      <c r="DS107" s="144" t="s">
        <v>171</v>
      </c>
      <c r="DT107" s="144" t="s">
        <v>171</v>
      </c>
      <c r="DU107" s="144" t="s">
        <v>171</v>
      </c>
      <c r="DV107" s="144" t="s">
        <v>171</v>
      </c>
      <c r="DW107" s="147">
        <v>432.56244218316402</v>
      </c>
      <c r="DX107" t="s">
        <v>193</v>
      </c>
      <c r="DY107">
        <v>37.1</v>
      </c>
      <c r="DZ107" t="s">
        <v>194</v>
      </c>
      <c r="EA107">
        <v>39.61</v>
      </c>
      <c r="EB107" t="s">
        <v>185</v>
      </c>
      <c r="EC107" s="149">
        <f t="shared" si="17"/>
        <v>0.222418</v>
      </c>
      <c r="ED107" t="s">
        <v>195</v>
      </c>
      <c r="EE107" t="s">
        <v>196</v>
      </c>
      <c r="EF107" t="s">
        <v>197</v>
      </c>
      <c r="EG107">
        <v>1.0271999999999999</v>
      </c>
      <c r="EH107" t="s">
        <v>171</v>
      </c>
      <c r="EI107" t="s">
        <v>171</v>
      </c>
      <c r="EJ107" t="s">
        <v>198</v>
      </c>
      <c r="EK107" t="s">
        <v>191</v>
      </c>
      <c r="EL107" t="s">
        <v>191</v>
      </c>
      <c r="EM107" t="s">
        <v>199</v>
      </c>
      <c r="EN107" t="s">
        <v>200</v>
      </c>
      <c r="EO107" s="151" t="s">
        <v>201</v>
      </c>
      <c r="EP107" s="151" t="s">
        <v>201</v>
      </c>
      <c r="EQ107" s="144" t="s">
        <v>171</v>
      </c>
      <c r="ER107" s="144" t="s">
        <v>171</v>
      </c>
      <c r="ES107" s="144" t="s">
        <v>171</v>
      </c>
      <c r="ET107" t="s">
        <v>202</v>
      </c>
      <c r="EU107" t="s">
        <v>203</v>
      </c>
      <c r="EV107" t="s">
        <v>171</v>
      </c>
      <c r="EW107">
        <v>2434</v>
      </c>
      <c r="EX107" s="151" t="s">
        <v>204</v>
      </c>
      <c r="EY107" s="151">
        <v>175</v>
      </c>
      <c r="EZ107">
        <v>175</v>
      </c>
      <c r="FA107" t="s">
        <v>171</v>
      </c>
      <c r="FB107" t="s">
        <v>171</v>
      </c>
      <c r="FC107" t="s">
        <v>171</v>
      </c>
      <c r="FD107" t="s">
        <v>171</v>
      </c>
      <c r="FE107" s="152">
        <v>8.1746548437481401</v>
      </c>
      <c r="FF107" t="s">
        <v>205</v>
      </c>
      <c r="FG107" s="144" t="s">
        <v>171</v>
      </c>
      <c r="FH107" s="144" t="s">
        <v>171</v>
      </c>
      <c r="FI107" s="153">
        <v>273.53129150000001</v>
      </c>
      <c r="FJ107">
        <v>21</v>
      </c>
      <c r="FK107" t="s">
        <v>207</v>
      </c>
      <c r="FL107" s="160">
        <v>252.53129150000001</v>
      </c>
      <c r="FM107" s="161">
        <v>37.92943187202701</v>
      </c>
      <c r="FN107" s="161">
        <v>37.543007119137002</v>
      </c>
      <c r="FO107" t="s">
        <v>186</v>
      </c>
      <c r="FP107" t="s">
        <v>208</v>
      </c>
      <c r="FQ107" t="s">
        <v>171</v>
      </c>
      <c r="FR107" t="s">
        <v>171</v>
      </c>
      <c r="FS107" t="s">
        <v>171</v>
      </c>
      <c r="FT107" t="s">
        <v>171</v>
      </c>
      <c r="FU107" t="s">
        <v>171</v>
      </c>
      <c r="FV107" t="s">
        <v>171</v>
      </c>
      <c r="FW107" t="s">
        <v>171</v>
      </c>
      <c r="FX107" t="s">
        <v>171</v>
      </c>
      <c r="FY107" t="s">
        <v>171</v>
      </c>
      <c r="FZ107" t="s">
        <v>171</v>
      </c>
      <c r="GA107" t="s">
        <v>171</v>
      </c>
      <c r="GB107" t="s">
        <v>171</v>
      </c>
    </row>
    <row r="108" spans="1:184" ht="16" x14ac:dyDescent="0.2">
      <c r="A108" t="s">
        <v>217</v>
      </c>
      <c r="B108" s="143" t="s">
        <v>216</v>
      </c>
      <c r="C108" s="138" t="s">
        <v>212</v>
      </c>
      <c r="D108" t="s">
        <v>211</v>
      </c>
      <c r="E108">
        <v>2017</v>
      </c>
      <c r="F108" t="str">
        <f t="shared" si="21"/>
        <v>10.1073/pnas.1702143114</v>
      </c>
      <c r="G108" s="147">
        <f t="shared" si="22"/>
        <v>1227.17</v>
      </c>
      <c r="H108">
        <f t="shared" si="18"/>
        <v>6</v>
      </c>
      <c r="I108">
        <f t="shared" si="19"/>
        <v>6</v>
      </c>
      <c r="J108" s="153">
        <f t="shared" si="23"/>
        <v>270.713052</v>
      </c>
      <c r="K108" s="153">
        <f t="shared" si="24"/>
        <v>40.283391368747004</v>
      </c>
      <c r="L108" s="153">
        <f t="shared" si="25"/>
        <v>38.100604684948991</v>
      </c>
      <c r="M108" t="b">
        <v>1</v>
      </c>
      <c r="N108">
        <v>3</v>
      </c>
      <c r="O108" s="144" t="s">
        <v>228</v>
      </c>
      <c r="P108" s="144" t="s">
        <v>229</v>
      </c>
      <c r="Q108" t="b">
        <v>0</v>
      </c>
      <c r="R108" t="s">
        <v>214</v>
      </c>
      <c r="S108" t="b">
        <v>1</v>
      </c>
      <c r="T108" t="b">
        <v>0</v>
      </c>
      <c r="U108" t="s">
        <v>171</v>
      </c>
      <c r="V108" t="s">
        <v>171</v>
      </c>
      <c r="W108" t="b">
        <v>0</v>
      </c>
      <c r="X108" t="s">
        <v>171</v>
      </c>
      <c r="Y108" s="139" t="s">
        <v>167</v>
      </c>
      <c r="Z108" s="143" t="s">
        <v>168</v>
      </c>
      <c r="AA108" t="s">
        <v>169</v>
      </c>
      <c r="AB108" s="157" t="s">
        <v>210</v>
      </c>
      <c r="AC108" s="157">
        <v>5</v>
      </c>
      <c r="AD108" s="157">
        <v>3</v>
      </c>
      <c r="AE108" s="158">
        <v>136.99988199999987</v>
      </c>
      <c r="AF108" s="158">
        <f t="shared" si="15"/>
        <v>138.99988199999987</v>
      </c>
      <c r="AG108" s="159">
        <v>40.469774139999998</v>
      </c>
      <c r="AH108" s="159">
        <v>40.469774139999998</v>
      </c>
      <c r="AI108" t="s">
        <v>171</v>
      </c>
      <c r="AJ108" t="s">
        <v>172</v>
      </c>
      <c r="AK108" s="146">
        <v>12.74</v>
      </c>
      <c r="AL108" s="146">
        <v>-78.739999999999995</v>
      </c>
      <c r="AM108" t="s">
        <v>171</v>
      </c>
      <c r="AN108" t="s">
        <v>171</v>
      </c>
      <c r="AO108">
        <v>-2839</v>
      </c>
      <c r="AP108" t="s">
        <v>171</v>
      </c>
      <c r="AQ108" t="s">
        <v>171</v>
      </c>
      <c r="AR108" t="s">
        <v>171</v>
      </c>
      <c r="AS108">
        <v>1227.17</v>
      </c>
      <c r="AT108" t="s">
        <v>173</v>
      </c>
      <c r="AU108">
        <v>6</v>
      </c>
      <c r="AV108">
        <v>6</v>
      </c>
      <c r="AW108" t="s">
        <v>171</v>
      </c>
      <c r="AX108" t="s">
        <v>174</v>
      </c>
      <c r="AY108" t="s">
        <v>171</v>
      </c>
      <c r="AZ108" t="s">
        <v>171</v>
      </c>
      <c r="BA108" t="s">
        <v>171</v>
      </c>
      <c r="BB108" t="s">
        <v>171</v>
      </c>
      <c r="BC108" t="s">
        <v>171</v>
      </c>
      <c r="BD108" t="s">
        <v>171</v>
      </c>
      <c r="BE108" t="s">
        <v>171</v>
      </c>
      <c r="BF108" t="s">
        <v>171</v>
      </c>
      <c r="BG108" t="s">
        <v>175</v>
      </c>
      <c r="BH108" t="s">
        <v>176</v>
      </c>
      <c r="BI108" t="s">
        <v>177</v>
      </c>
      <c r="BJ108" s="142">
        <v>2</v>
      </c>
      <c r="BK108" t="s">
        <v>178</v>
      </c>
      <c r="BL108" t="s">
        <v>179</v>
      </c>
      <c r="BM108" t="s">
        <v>180</v>
      </c>
      <c r="BN108" t="s">
        <v>171</v>
      </c>
      <c r="BO108" s="142">
        <v>2</v>
      </c>
      <c r="BP108" s="144" t="s">
        <v>171</v>
      </c>
      <c r="BQ108" s="149">
        <v>20.376740099999999</v>
      </c>
      <c r="BR108" t="s">
        <v>181</v>
      </c>
      <c r="BS108" s="149">
        <v>0.21315179000000001</v>
      </c>
      <c r="BT108">
        <v>0.64</v>
      </c>
      <c r="BU108" t="s">
        <v>182</v>
      </c>
      <c r="BV108">
        <v>3.4000000000000002E-2</v>
      </c>
      <c r="BW108">
        <v>9.1</v>
      </c>
      <c r="BX108" t="s">
        <v>173</v>
      </c>
      <c r="BY108">
        <v>0.56000000000000005</v>
      </c>
      <c r="BZ108" t="s">
        <v>183</v>
      </c>
      <c r="CA108" t="s">
        <v>184</v>
      </c>
      <c r="CB108" s="148">
        <f t="shared" si="20"/>
        <v>19.177900166666667</v>
      </c>
      <c r="CC108" s="144" t="s">
        <v>185</v>
      </c>
      <c r="CD108" s="144" t="s">
        <v>171</v>
      </c>
      <c r="CE108" s="144" t="s">
        <v>171</v>
      </c>
      <c r="CF108" t="s">
        <v>186</v>
      </c>
      <c r="CG108" s="144">
        <v>10</v>
      </c>
      <c r="CH108" s="144" t="s">
        <v>187</v>
      </c>
      <c r="CI108" s="144" t="s">
        <v>171</v>
      </c>
      <c r="CJ108" s="147">
        <v>25.042515940000001</v>
      </c>
      <c r="CK108" t="s">
        <v>173</v>
      </c>
      <c r="CL108">
        <v>3</v>
      </c>
      <c r="CM108">
        <v>3</v>
      </c>
      <c r="CN108" t="s">
        <v>171</v>
      </c>
      <c r="CO108" s="149">
        <v>3.4253197888385545</v>
      </c>
      <c r="CP108" t="s">
        <v>188</v>
      </c>
      <c r="CQ108" s="149">
        <f t="shared" si="16"/>
        <v>0.13701279155354218</v>
      </c>
      <c r="CR108" s="149">
        <v>0.13701279155354218</v>
      </c>
      <c r="CS108" s="150" t="s">
        <v>171</v>
      </c>
      <c r="CT108" t="s">
        <v>189</v>
      </c>
      <c r="CU108" t="s">
        <v>171</v>
      </c>
      <c r="CV108" t="s">
        <v>190</v>
      </c>
      <c r="CW108" t="s">
        <v>191</v>
      </c>
      <c r="CX108" t="s">
        <v>191</v>
      </c>
      <c r="CY108" t="s">
        <v>191</v>
      </c>
      <c r="CZ108" t="s">
        <v>171</v>
      </c>
      <c r="DA108" t="s">
        <v>171</v>
      </c>
      <c r="DB108" t="s">
        <v>171</v>
      </c>
      <c r="DC108" t="s">
        <v>171</v>
      </c>
      <c r="DD108" t="s">
        <v>171</v>
      </c>
      <c r="DE108" t="s">
        <v>171</v>
      </c>
      <c r="DF108" t="s">
        <v>171</v>
      </c>
      <c r="DG108">
        <v>35</v>
      </c>
      <c r="DH108" t="s">
        <v>185</v>
      </c>
      <c r="DI108" s="142">
        <v>3</v>
      </c>
      <c r="DJ108" s="144" t="s">
        <v>192</v>
      </c>
      <c r="DK108" s="144" t="s">
        <v>171</v>
      </c>
      <c r="DL108" s="144" t="s">
        <v>171</v>
      </c>
      <c r="DM108" s="144" t="s">
        <v>171</v>
      </c>
      <c r="DN108" s="144" t="s">
        <v>171</v>
      </c>
      <c r="DO108" s="144" t="s">
        <v>171</v>
      </c>
      <c r="DP108" s="144" t="s">
        <v>171</v>
      </c>
      <c r="DQ108" s="144" t="s">
        <v>171</v>
      </c>
      <c r="DR108" s="144" t="s">
        <v>171</v>
      </c>
      <c r="DS108" s="144" t="s">
        <v>171</v>
      </c>
      <c r="DT108" s="144" t="s">
        <v>171</v>
      </c>
      <c r="DU108" s="144" t="s">
        <v>171</v>
      </c>
      <c r="DV108" s="144" t="s">
        <v>171</v>
      </c>
      <c r="DW108" s="147">
        <v>432.56244218316402</v>
      </c>
      <c r="DX108" t="s">
        <v>193</v>
      </c>
      <c r="DY108">
        <v>37.1</v>
      </c>
      <c r="DZ108" t="s">
        <v>194</v>
      </c>
      <c r="EA108">
        <v>39.61</v>
      </c>
      <c r="EB108" t="s">
        <v>185</v>
      </c>
      <c r="EC108" s="149">
        <f t="shared" si="17"/>
        <v>0.222717</v>
      </c>
      <c r="ED108" t="s">
        <v>195</v>
      </c>
      <c r="EE108" t="s">
        <v>196</v>
      </c>
      <c r="EF108" t="s">
        <v>197</v>
      </c>
      <c r="EG108">
        <v>1.0271999999999999</v>
      </c>
      <c r="EH108" t="s">
        <v>171</v>
      </c>
      <c r="EI108" t="s">
        <v>171</v>
      </c>
      <c r="EJ108" t="s">
        <v>198</v>
      </c>
      <c r="EK108" t="s">
        <v>191</v>
      </c>
      <c r="EL108" t="s">
        <v>191</v>
      </c>
      <c r="EM108" t="s">
        <v>199</v>
      </c>
      <c r="EN108" t="s">
        <v>200</v>
      </c>
      <c r="EO108" s="151" t="s">
        <v>201</v>
      </c>
      <c r="EP108" s="151" t="s">
        <v>201</v>
      </c>
      <c r="EQ108" s="144" t="s">
        <v>171</v>
      </c>
      <c r="ER108" s="144" t="s">
        <v>171</v>
      </c>
      <c r="ES108" s="144" t="s">
        <v>171</v>
      </c>
      <c r="ET108" t="s">
        <v>202</v>
      </c>
      <c r="EU108" t="s">
        <v>203</v>
      </c>
      <c r="EV108" t="s">
        <v>171</v>
      </c>
      <c r="EW108">
        <v>2435</v>
      </c>
      <c r="EX108" s="151" t="s">
        <v>204</v>
      </c>
      <c r="EY108" s="151">
        <v>175</v>
      </c>
      <c r="EZ108">
        <v>175</v>
      </c>
      <c r="FA108" t="s">
        <v>171</v>
      </c>
      <c r="FB108" t="s">
        <v>171</v>
      </c>
      <c r="FC108" t="s">
        <v>171</v>
      </c>
      <c r="FD108" t="s">
        <v>171</v>
      </c>
      <c r="FE108" s="152">
        <v>8.1528677910178597</v>
      </c>
      <c r="FF108" t="s">
        <v>205</v>
      </c>
      <c r="FG108" s="144" t="s">
        <v>171</v>
      </c>
      <c r="FH108" s="144" t="s">
        <v>171</v>
      </c>
      <c r="FI108" s="153">
        <v>291.713052</v>
      </c>
      <c r="FJ108">
        <v>21</v>
      </c>
      <c r="FK108" t="s">
        <v>207</v>
      </c>
      <c r="FL108" s="160">
        <v>270.713052</v>
      </c>
      <c r="FM108" s="161">
        <v>40.283391368747004</v>
      </c>
      <c r="FN108" s="161">
        <v>38.100604684948991</v>
      </c>
      <c r="FO108" t="s">
        <v>186</v>
      </c>
      <c r="FP108" t="s">
        <v>208</v>
      </c>
      <c r="FQ108" t="s">
        <v>171</v>
      </c>
      <c r="FR108" t="s">
        <v>171</v>
      </c>
      <c r="FS108" t="s">
        <v>171</v>
      </c>
      <c r="FT108" t="s">
        <v>171</v>
      </c>
      <c r="FU108" t="s">
        <v>171</v>
      </c>
      <c r="FV108" t="s">
        <v>171</v>
      </c>
      <c r="FW108" t="s">
        <v>171</v>
      </c>
      <c r="FX108" t="s">
        <v>171</v>
      </c>
      <c r="FY108" t="s">
        <v>171</v>
      </c>
      <c r="FZ108" t="s">
        <v>171</v>
      </c>
      <c r="GA108" t="s">
        <v>171</v>
      </c>
      <c r="GB108" t="s">
        <v>171</v>
      </c>
    </row>
    <row r="109" spans="1:184" ht="16" x14ac:dyDescent="0.2">
      <c r="A109" t="s">
        <v>217</v>
      </c>
      <c r="B109" s="143" t="s">
        <v>216</v>
      </c>
      <c r="C109" s="138" t="s">
        <v>212</v>
      </c>
      <c r="D109" t="s">
        <v>211</v>
      </c>
      <c r="E109">
        <v>2017</v>
      </c>
      <c r="F109" t="str">
        <f t="shared" si="21"/>
        <v>10.1073/pnas.1702143114</v>
      </c>
      <c r="G109" s="147">
        <f t="shared" si="22"/>
        <v>1230.72</v>
      </c>
      <c r="H109">
        <f t="shared" si="18"/>
        <v>6</v>
      </c>
      <c r="I109">
        <f t="shared" si="19"/>
        <v>6</v>
      </c>
      <c r="J109" s="153">
        <f t="shared" si="23"/>
        <v>314.03957329999997</v>
      </c>
      <c r="K109" s="153">
        <f t="shared" si="24"/>
        <v>46.459602966605019</v>
      </c>
      <c r="L109" s="153">
        <f t="shared" si="25"/>
        <v>44.360044374614972</v>
      </c>
      <c r="M109" t="b">
        <v>1</v>
      </c>
      <c r="N109">
        <v>3</v>
      </c>
      <c r="O109" s="144" t="s">
        <v>228</v>
      </c>
      <c r="P109" s="144" t="s">
        <v>229</v>
      </c>
      <c r="Q109" t="b">
        <v>0</v>
      </c>
      <c r="R109" t="s">
        <v>214</v>
      </c>
      <c r="S109" t="b">
        <v>1</v>
      </c>
      <c r="T109" t="b">
        <v>0</v>
      </c>
      <c r="U109" t="s">
        <v>171</v>
      </c>
      <c r="V109" t="s">
        <v>171</v>
      </c>
      <c r="W109" t="b">
        <v>0</v>
      </c>
      <c r="X109" t="s">
        <v>171</v>
      </c>
      <c r="Y109" s="139" t="s">
        <v>167</v>
      </c>
      <c r="Z109" s="143" t="s">
        <v>168</v>
      </c>
      <c r="AA109" t="s">
        <v>169</v>
      </c>
      <c r="AB109" s="162" t="s">
        <v>210</v>
      </c>
      <c r="AC109" s="162">
        <v>5</v>
      </c>
      <c r="AD109" s="162">
        <v>3</v>
      </c>
      <c r="AE109" s="163">
        <v>147</v>
      </c>
      <c r="AF109" s="163">
        <f t="shared" si="15"/>
        <v>149</v>
      </c>
      <c r="AG109" s="164">
        <v>40.57</v>
      </c>
      <c r="AH109" s="164">
        <v>40.57</v>
      </c>
      <c r="AI109" t="s">
        <v>171</v>
      </c>
      <c r="AJ109" t="s">
        <v>172</v>
      </c>
      <c r="AK109" s="146">
        <v>12.74</v>
      </c>
      <c r="AL109" s="146">
        <v>-78.739999999999995</v>
      </c>
      <c r="AM109" t="s">
        <v>171</v>
      </c>
      <c r="AN109" t="s">
        <v>171</v>
      </c>
      <c r="AO109">
        <v>-2839</v>
      </c>
      <c r="AP109" t="s">
        <v>171</v>
      </c>
      <c r="AQ109" t="s">
        <v>171</v>
      </c>
      <c r="AR109" t="s">
        <v>171</v>
      </c>
      <c r="AS109">
        <v>1230.72</v>
      </c>
      <c r="AT109" t="s">
        <v>173</v>
      </c>
      <c r="AU109">
        <v>6</v>
      </c>
      <c r="AV109">
        <v>6</v>
      </c>
      <c r="AW109" t="s">
        <v>171</v>
      </c>
      <c r="AX109" t="s">
        <v>174</v>
      </c>
      <c r="AY109" t="s">
        <v>171</v>
      </c>
      <c r="AZ109" t="s">
        <v>171</v>
      </c>
      <c r="BA109" t="s">
        <v>171</v>
      </c>
      <c r="BB109" t="s">
        <v>171</v>
      </c>
      <c r="BC109" t="s">
        <v>171</v>
      </c>
      <c r="BD109" t="s">
        <v>171</v>
      </c>
      <c r="BE109" t="s">
        <v>171</v>
      </c>
      <c r="BF109" t="s">
        <v>171</v>
      </c>
      <c r="BG109" t="s">
        <v>175</v>
      </c>
      <c r="BH109" t="s">
        <v>176</v>
      </c>
      <c r="BI109" t="s">
        <v>177</v>
      </c>
      <c r="BJ109" s="142">
        <v>2</v>
      </c>
      <c r="BK109" t="s">
        <v>178</v>
      </c>
      <c r="BL109" t="s">
        <v>179</v>
      </c>
      <c r="BM109" t="s">
        <v>180</v>
      </c>
      <c r="BN109" t="s">
        <v>171</v>
      </c>
      <c r="BO109" s="142">
        <v>2</v>
      </c>
      <c r="BP109" s="144" t="s">
        <v>171</v>
      </c>
      <c r="BQ109" s="149">
        <v>20.041196150000001</v>
      </c>
      <c r="BR109" t="s">
        <v>181</v>
      </c>
      <c r="BS109" s="149">
        <v>0.248398278</v>
      </c>
      <c r="BT109">
        <v>0.64</v>
      </c>
      <c r="BU109" t="s">
        <v>182</v>
      </c>
      <c r="BV109">
        <v>3.4000000000000002E-2</v>
      </c>
      <c r="BW109">
        <v>9.1</v>
      </c>
      <c r="BX109" t="s">
        <v>173</v>
      </c>
      <c r="BY109">
        <v>0.56000000000000005</v>
      </c>
      <c r="BZ109" t="s">
        <v>183</v>
      </c>
      <c r="CA109" t="s">
        <v>184</v>
      </c>
      <c r="CB109" s="148">
        <f t="shared" si="20"/>
        <v>18.618660250000005</v>
      </c>
      <c r="CC109" s="144" t="s">
        <v>185</v>
      </c>
      <c r="CD109" s="144" t="s">
        <v>171</v>
      </c>
      <c r="CE109" s="144" t="s">
        <v>171</v>
      </c>
      <c r="CF109" t="s">
        <v>186</v>
      </c>
      <c r="CG109" s="144">
        <v>10</v>
      </c>
      <c r="CH109" s="144" t="s">
        <v>187</v>
      </c>
      <c r="CI109" s="144" t="s">
        <v>171</v>
      </c>
      <c r="CJ109" s="147">
        <v>25.042597690000001</v>
      </c>
      <c r="CK109" t="s">
        <v>173</v>
      </c>
      <c r="CL109">
        <v>3</v>
      </c>
      <c r="CM109">
        <v>3</v>
      </c>
      <c r="CN109" t="s">
        <v>171</v>
      </c>
      <c r="CO109" s="149">
        <v>3.415521186809702</v>
      </c>
      <c r="CP109" t="s">
        <v>188</v>
      </c>
      <c r="CQ109" s="149">
        <f t="shared" si="16"/>
        <v>0.13662084747238809</v>
      </c>
      <c r="CR109" s="149">
        <v>0.13662084747238809</v>
      </c>
      <c r="CS109" s="150" t="s">
        <v>171</v>
      </c>
      <c r="CT109" t="s">
        <v>189</v>
      </c>
      <c r="CU109" t="s">
        <v>171</v>
      </c>
      <c r="CV109" t="s">
        <v>190</v>
      </c>
      <c r="CW109" t="s">
        <v>191</v>
      </c>
      <c r="CX109" t="s">
        <v>191</v>
      </c>
      <c r="CY109" t="s">
        <v>191</v>
      </c>
      <c r="CZ109" t="s">
        <v>171</v>
      </c>
      <c r="DA109" t="s">
        <v>171</v>
      </c>
      <c r="DB109" t="s">
        <v>171</v>
      </c>
      <c r="DC109" t="s">
        <v>171</v>
      </c>
      <c r="DD109" t="s">
        <v>171</v>
      </c>
      <c r="DE109" t="s">
        <v>171</v>
      </c>
      <c r="DF109" t="s">
        <v>171</v>
      </c>
      <c r="DG109">
        <v>35</v>
      </c>
      <c r="DH109" t="s">
        <v>185</v>
      </c>
      <c r="DI109" s="142">
        <v>3</v>
      </c>
      <c r="DJ109" s="144" t="s">
        <v>192</v>
      </c>
      <c r="DK109" s="144" t="s">
        <v>171</v>
      </c>
      <c r="DL109" s="144" t="s">
        <v>171</v>
      </c>
      <c r="DM109" s="144" t="s">
        <v>171</v>
      </c>
      <c r="DN109" s="144" t="s">
        <v>171</v>
      </c>
      <c r="DO109" s="144" t="s">
        <v>171</v>
      </c>
      <c r="DP109" s="144" t="s">
        <v>171</v>
      </c>
      <c r="DQ109" s="144" t="s">
        <v>171</v>
      </c>
      <c r="DR109" s="144" t="s">
        <v>171</v>
      </c>
      <c r="DS109" s="144" t="s">
        <v>171</v>
      </c>
      <c r="DT109" s="144" t="s">
        <v>171</v>
      </c>
      <c r="DU109" s="144" t="s">
        <v>171</v>
      </c>
      <c r="DV109" s="144" t="s">
        <v>171</v>
      </c>
      <c r="DW109" s="147">
        <v>432.56244218316402</v>
      </c>
      <c r="DX109" t="s">
        <v>193</v>
      </c>
      <c r="DY109">
        <v>37.1</v>
      </c>
      <c r="DZ109" t="s">
        <v>194</v>
      </c>
      <c r="EA109">
        <v>39.61</v>
      </c>
      <c r="EB109" t="s">
        <v>185</v>
      </c>
      <c r="EC109" s="149">
        <f t="shared" si="17"/>
        <v>0.22307199999999999</v>
      </c>
      <c r="ED109" t="s">
        <v>195</v>
      </c>
      <c r="EE109" t="s">
        <v>196</v>
      </c>
      <c r="EF109" t="s">
        <v>197</v>
      </c>
      <c r="EG109">
        <v>1.0271999999999999</v>
      </c>
      <c r="EH109" t="s">
        <v>171</v>
      </c>
      <c r="EI109" t="s">
        <v>171</v>
      </c>
      <c r="EJ109" t="s">
        <v>198</v>
      </c>
      <c r="EK109" t="s">
        <v>191</v>
      </c>
      <c r="EL109" t="s">
        <v>191</v>
      </c>
      <c r="EM109" t="s">
        <v>199</v>
      </c>
      <c r="EN109" t="s">
        <v>200</v>
      </c>
      <c r="EO109" s="151" t="s">
        <v>201</v>
      </c>
      <c r="EP109" s="151" t="s">
        <v>201</v>
      </c>
      <c r="EQ109" s="144" t="s">
        <v>171</v>
      </c>
      <c r="ER109" s="144" t="s">
        <v>171</v>
      </c>
      <c r="ES109" s="144" t="s">
        <v>171</v>
      </c>
      <c r="ET109" t="s">
        <v>202</v>
      </c>
      <c r="EU109" t="s">
        <v>203</v>
      </c>
      <c r="EV109" t="s">
        <v>171</v>
      </c>
      <c r="EW109">
        <v>2436</v>
      </c>
      <c r="EX109" s="151" t="s">
        <v>204</v>
      </c>
      <c r="EY109" s="151">
        <v>175</v>
      </c>
      <c r="EZ109">
        <v>175</v>
      </c>
      <c r="FA109" t="s">
        <v>171</v>
      </c>
      <c r="FB109" t="s">
        <v>171</v>
      </c>
      <c r="FC109" t="s">
        <v>171</v>
      </c>
      <c r="FD109" t="s">
        <v>171</v>
      </c>
      <c r="FE109" s="152">
        <v>8.1051037228766294</v>
      </c>
      <c r="FF109" t="s">
        <v>205</v>
      </c>
      <c r="FG109" s="144" t="s">
        <v>171</v>
      </c>
      <c r="FH109" s="144" t="s">
        <v>171</v>
      </c>
      <c r="FI109" s="153">
        <v>335.03957329999997</v>
      </c>
      <c r="FJ109">
        <v>21</v>
      </c>
      <c r="FK109" t="s">
        <v>207</v>
      </c>
      <c r="FL109" s="160">
        <v>314.03957329999997</v>
      </c>
      <c r="FM109" s="161">
        <v>46.459602966605019</v>
      </c>
      <c r="FN109" s="161">
        <v>44.360044374614972</v>
      </c>
      <c r="FO109" t="s">
        <v>186</v>
      </c>
      <c r="FP109" t="s">
        <v>208</v>
      </c>
      <c r="FQ109" t="s">
        <v>171</v>
      </c>
      <c r="FR109" t="s">
        <v>171</v>
      </c>
      <c r="FS109" t="s">
        <v>171</v>
      </c>
      <c r="FT109" t="s">
        <v>171</v>
      </c>
      <c r="FU109" t="s">
        <v>171</v>
      </c>
      <c r="FV109" t="s">
        <v>171</v>
      </c>
      <c r="FW109" t="s">
        <v>171</v>
      </c>
      <c r="FX109" t="s">
        <v>171</v>
      </c>
      <c r="FY109" t="s">
        <v>171</v>
      </c>
      <c r="FZ109" t="s">
        <v>171</v>
      </c>
      <c r="GA109" t="s">
        <v>171</v>
      </c>
      <c r="GB109" t="s">
        <v>171</v>
      </c>
    </row>
    <row r="110" spans="1:184" ht="16" x14ac:dyDescent="0.2">
      <c r="A110" t="s">
        <v>217</v>
      </c>
      <c r="B110" s="143" t="s">
        <v>216</v>
      </c>
      <c r="C110" s="138" t="s">
        <v>212</v>
      </c>
      <c r="D110" t="s">
        <v>211</v>
      </c>
      <c r="E110">
        <v>2017</v>
      </c>
      <c r="F110" t="str">
        <f t="shared" si="21"/>
        <v>10.1073/pnas.1702143114</v>
      </c>
      <c r="G110" s="147">
        <f t="shared" si="22"/>
        <v>1233.9000000000001</v>
      </c>
      <c r="H110">
        <f t="shared" si="18"/>
        <v>6</v>
      </c>
      <c r="I110">
        <f t="shared" si="19"/>
        <v>6</v>
      </c>
      <c r="J110" s="153">
        <f t="shared" si="23"/>
        <v>295.24227999999999</v>
      </c>
      <c r="K110" s="153">
        <f t="shared" si="24"/>
        <v>41.894227570763007</v>
      </c>
      <c r="L110" s="153">
        <f t="shared" si="25"/>
        <v>40.710332691111006</v>
      </c>
      <c r="M110" t="b">
        <v>1</v>
      </c>
      <c r="N110">
        <v>3</v>
      </c>
      <c r="O110" s="144" t="s">
        <v>228</v>
      </c>
      <c r="P110" s="144" t="s">
        <v>229</v>
      </c>
      <c r="Q110" t="b">
        <v>0</v>
      </c>
      <c r="R110" t="s">
        <v>214</v>
      </c>
      <c r="S110" t="b">
        <v>1</v>
      </c>
      <c r="T110" t="b">
        <v>0</v>
      </c>
      <c r="U110" t="s">
        <v>171</v>
      </c>
      <c r="V110" t="s">
        <v>171</v>
      </c>
      <c r="W110" t="b">
        <v>0</v>
      </c>
      <c r="X110" t="s">
        <v>171</v>
      </c>
      <c r="Y110" s="139" t="s">
        <v>167</v>
      </c>
      <c r="Z110" s="143" t="s">
        <v>168</v>
      </c>
      <c r="AA110" t="s">
        <v>169</v>
      </c>
      <c r="AB110" s="157" t="s">
        <v>210</v>
      </c>
      <c r="AC110" s="157">
        <v>5</v>
      </c>
      <c r="AD110" s="157">
        <v>4</v>
      </c>
      <c r="AE110" s="158">
        <v>6</v>
      </c>
      <c r="AF110" s="158">
        <f t="shared" si="15"/>
        <v>8</v>
      </c>
      <c r="AG110" s="159">
        <v>40.659999999999997</v>
      </c>
      <c r="AH110" s="159">
        <v>40.659999999999997</v>
      </c>
      <c r="AI110" t="s">
        <v>171</v>
      </c>
      <c r="AJ110" t="s">
        <v>172</v>
      </c>
      <c r="AK110" s="146">
        <v>12.74</v>
      </c>
      <c r="AL110" s="146">
        <v>-78.739999999999995</v>
      </c>
      <c r="AM110" t="s">
        <v>171</v>
      </c>
      <c r="AN110" t="s">
        <v>171</v>
      </c>
      <c r="AO110">
        <v>-2839</v>
      </c>
      <c r="AP110" t="s">
        <v>171</v>
      </c>
      <c r="AQ110" t="s">
        <v>171</v>
      </c>
      <c r="AR110" t="s">
        <v>171</v>
      </c>
      <c r="AS110">
        <v>1233.9000000000001</v>
      </c>
      <c r="AT110" t="s">
        <v>173</v>
      </c>
      <c r="AU110">
        <v>6</v>
      </c>
      <c r="AV110">
        <v>6</v>
      </c>
      <c r="AW110" t="s">
        <v>171</v>
      </c>
      <c r="AX110" t="s">
        <v>174</v>
      </c>
      <c r="AY110" t="s">
        <v>171</v>
      </c>
      <c r="AZ110" t="s">
        <v>171</v>
      </c>
      <c r="BA110" t="s">
        <v>171</v>
      </c>
      <c r="BB110" t="s">
        <v>171</v>
      </c>
      <c r="BC110" t="s">
        <v>171</v>
      </c>
      <c r="BD110" t="s">
        <v>171</v>
      </c>
      <c r="BE110" t="s">
        <v>171</v>
      </c>
      <c r="BF110" t="s">
        <v>171</v>
      </c>
      <c r="BG110" t="s">
        <v>175</v>
      </c>
      <c r="BH110" t="s">
        <v>176</v>
      </c>
      <c r="BI110" t="s">
        <v>177</v>
      </c>
      <c r="BJ110" s="142">
        <v>2</v>
      </c>
      <c r="BK110" t="s">
        <v>178</v>
      </c>
      <c r="BL110" t="s">
        <v>179</v>
      </c>
      <c r="BM110" t="s">
        <v>180</v>
      </c>
      <c r="BN110" t="s">
        <v>171</v>
      </c>
      <c r="BO110" s="142">
        <v>2</v>
      </c>
      <c r="BP110" s="144" t="s">
        <v>171</v>
      </c>
      <c r="BQ110" s="149">
        <v>20.225000000000001</v>
      </c>
      <c r="BR110" t="s">
        <v>181</v>
      </c>
      <c r="BS110" s="149">
        <v>0.207754982</v>
      </c>
      <c r="BT110">
        <v>0.64</v>
      </c>
      <c r="BU110" t="s">
        <v>182</v>
      </c>
      <c r="BV110">
        <v>3.4000000000000002E-2</v>
      </c>
      <c r="BW110">
        <v>9.1</v>
      </c>
      <c r="BX110" t="s">
        <v>173</v>
      </c>
      <c r="BY110">
        <v>0.56000000000000005</v>
      </c>
      <c r="BZ110" t="s">
        <v>183</v>
      </c>
      <c r="CA110" t="s">
        <v>184</v>
      </c>
      <c r="CB110" s="148">
        <f t="shared" si="20"/>
        <v>18.925000000000004</v>
      </c>
      <c r="CC110" s="144" t="s">
        <v>185</v>
      </c>
      <c r="CD110" s="144" t="s">
        <v>171</v>
      </c>
      <c r="CE110" s="144" t="s">
        <v>171</v>
      </c>
      <c r="CF110" t="s">
        <v>186</v>
      </c>
      <c r="CG110" s="144">
        <v>10</v>
      </c>
      <c r="CH110" s="144" t="s">
        <v>187</v>
      </c>
      <c r="CI110" s="144" t="s">
        <v>171</v>
      </c>
      <c r="CJ110" s="147">
        <v>25.655881789999999</v>
      </c>
      <c r="CK110" t="s">
        <v>173</v>
      </c>
      <c r="CL110">
        <v>3</v>
      </c>
      <c r="CM110">
        <v>3</v>
      </c>
      <c r="CN110" t="s">
        <v>171</v>
      </c>
      <c r="CO110" s="149">
        <v>3.6041358749812109</v>
      </c>
      <c r="CP110" t="s">
        <v>188</v>
      </c>
      <c r="CQ110" s="149">
        <f t="shared" si="16"/>
        <v>0.14416543499924844</v>
      </c>
      <c r="CR110" s="149">
        <v>0.14416543499924844</v>
      </c>
      <c r="CS110" s="150" t="s">
        <v>171</v>
      </c>
      <c r="CT110" t="s">
        <v>189</v>
      </c>
      <c r="CU110" t="s">
        <v>171</v>
      </c>
      <c r="CV110" t="s">
        <v>190</v>
      </c>
      <c r="CW110" t="s">
        <v>191</v>
      </c>
      <c r="CX110" t="s">
        <v>191</v>
      </c>
      <c r="CY110" t="s">
        <v>191</v>
      </c>
      <c r="CZ110" t="s">
        <v>171</v>
      </c>
      <c r="DA110" t="s">
        <v>171</v>
      </c>
      <c r="DB110" t="s">
        <v>171</v>
      </c>
      <c r="DC110" t="s">
        <v>171</v>
      </c>
      <c r="DD110" t="s">
        <v>171</v>
      </c>
      <c r="DE110" t="s">
        <v>171</v>
      </c>
      <c r="DF110" t="s">
        <v>171</v>
      </c>
      <c r="DG110">
        <v>35</v>
      </c>
      <c r="DH110" t="s">
        <v>185</v>
      </c>
      <c r="DI110" s="142">
        <v>3</v>
      </c>
      <c r="DJ110" s="144" t="s">
        <v>192</v>
      </c>
      <c r="DK110" s="144" t="s">
        <v>171</v>
      </c>
      <c r="DL110" s="144" t="s">
        <v>171</v>
      </c>
      <c r="DM110" s="144" t="s">
        <v>171</v>
      </c>
      <c r="DN110" s="144" t="s">
        <v>171</v>
      </c>
      <c r="DO110" s="144" t="s">
        <v>171</v>
      </c>
      <c r="DP110" s="144" t="s">
        <v>171</v>
      </c>
      <c r="DQ110" s="144" t="s">
        <v>171</v>
      </c>
      <c r="DR110" s="144" t="s">
        <v>171</v>
      </c>
      <c r="DS110" s="144" t="s">
        <v>171</v>
      </c>
      <c r="DT110" s="144" t="s">
        <v>171</v>
      </c>
      <c r="DU110" s="144" t="s">
        <v>171</v>
      </c>
      <c r="DV110" s="144" t="s">
        <v>171</v>
      </c>
      <c r="DW110" s="147">
        <v>432.56244218316402</v>
      </c>
      <c r="DX110" t="s">
        <v>193</v>
      </c>
      <c r="DY110">
        <v>37.1</v>
      </c>
      <c r="DZ110" t="s">
        <v>194</v>
      </c>
      <c r="EA110">
        <v>39.61</v>
      </c>
      <c r="EB110" t="s">
        <v>185</v>
      </c>
      <c r="EC110" s="149">
        <f t="shared" si="17"/>
        <v>0.22339000000000003</v>
      </c>
      <c r="ED110" t="s">
        <v>195</v>
      </c>
      <c r="EE110" t="s">
        <v>196</v>
      </c>
      <c r="EF110" t="s">
        <v>197</v>
      </c>
      <c r="EG110">
        <v>1.0271999999999999</v>
      </c>
      <c r="EH110" t="s">
        <v>171</v>
      </c>
      <c r="EI110" t="s">
        <v>171</v>
      </c>
      <c r="EJ110" t="s">
        <v>198</v>
      </c>
      <c r="EK110" t="s">
        <v>191</v>
      </c>
      <c r="EL110" t="s">
        <v>191</v>
      </c>
      <c r="EM110" t="s">
        <v>199</v>
      </c>
      <c r="EN110" t="s">
        <v>200</v>
      </c>
      <c r="EO110" s="151" t="s">
        <v>201</v>
      </c>
      <c r="EP110" s="151" t="s">
        <v>201</v>
      </c>
      <c r="EQ110" s="144" t="s">
        <v>171</v>
      </c>
      <c r="ER110" s="144" t="s">
        <v>171</v>
      </c>
      <c r="ES110" s="144" t="s">
        <v>171</v>
      </c>
      <c r="ET110" t="s">
        <v>202</v>
      </c>
      <c r="EU110" t="s">
        <v>203</v>
      </c>
      <c r="EV110" t="s">
        <v>171</v>
      </c>
      <c r="EW110">
        <v>2437</v>
      </c>
      <c r="EX110" s="151" t="s">
        <v>204</v>
      </c>
      <c r="EY110" s="151">
        <v>175</v>
      </c>
      <c r="EZ110">
        <v>175</v>
      </c>
      <c r="FA110" t="s">
        <v>171</v>
      </c>
      <c r="FB110" t="s">
        <v>171</v>
      </c>
      <c r="FC110" t="s">
        <v>171</v>
      </c>
      <c r="FD110" t="s">
        <v>171</v>
      </c>
      <c r="FE110" s="152">
        <v>8.1241822058375508</v>
      </c>
      <c r="FF110" t="s">
        <v>205</v>
      </c>
      <c r="FG110" s="144" t="s">
        <v>171</v>
      </c>
      <c r="FH110" s="144" t="s">
        <v>171</v>
      </c>
      <c r="FI110" s="153">
        <v>316.24227999999999</v>
      </c>
      <c r="FJ110">
        <v>21</v>
      </c>
      <c r="FK110" t="s">
        <v>207</v>
      </c>
      <c r="FL110" s="160">
        <v>295.24227999999999</v>
      </c>
      <c r="FM110" s="161">
        <v>41.894227570763007</v>
      </c>
      <c r="FN110" s="161">
        <v>40.710332691111006</v>
      </c>
      <c r="FO110" t="s">
        <v>186</v>
      </c>
      <c r="FP110" t="s">
        <v>208</v>
      </c>
      <c r="FQ110" t="s">
        <v>171</v>
      </c>
      <c r="FR110" t="s">
        <v>171</v>
      </c>
      <c r="FS110" t="s">
        <v>171</v>
      </c>
      <c r="FT110" t="s">
        <v>171</v>
      </c>
      <c r="FU110" t="s">
        <v>171</v>
      </c>
      <c r="FV110" t="s">
        <v>171</v>
      </c>
      <c r="FW110" t="s">
        <v>171</v>
      </c>
      <c r="FX110" t="s">
        <v>171</v>
      </c>
      <c r="FY110" t="s">
        <v>171</v>
      </c>
      <c r="FZ110" t="s">
        <v>171</v>
      </c>
      <c r="GA110" t="s">
        <v>171</v>
      </c>
      <c r="GB110" t="s">
        <v>171</v>
      </c>
    </row>
    <row r="111" spans="1:184" ht="16" x14ac:dyDescent="0.2">
      <c r="A111" t="s">
        <v>217</v>
      </c>
      <c r="B111" s="143" t="s">
        <v>216</v>
      </c>
      <c r="C111" s="138" t="s">
        <v>212</v>
      </c>
      <c r="D111" t="s">
        <v>211</v>
      </c>
      <c r="E111">
        <v>2017</v>
      </c>
      <c r="F111" t="str">
        <f t="shared" si="21"/>
        <v>10.1073/pnas.1702143114</v>
      </c>
      <c r="G111" s="147">
        <f t="shared" si="22"/>
        <v>1236.18</v>
      </c>
      <c r="H111">
        <f t="shared" si="18"/>
        <v>6</v>
      </c>
      <c r="I111">
        <f t="shared" si="19"/>
        <v>6</v>
      </c>
      <c r="J111" s="153">
        <f t="shared" si="23"/>
        <v>259.779582</v>
      </c>
      <c r="K111" s="153">
        <f t="shared" si="24"/>
        <v>37.744337263808006</v>
      </c>
      <c r="L111" s="153">
        <f t="shared" si="25"/>
        <v>35.33873520476601</v>
      </c>
      <c r="M111" t="b">
        <v>1</v>
      </c>
      <c r="N111">
        <v>3</v>
      </c>
      <c r="O111" s="144" t="s">
        <v>228</v>
      </c>
      <c r="P111" s="144" t="s">
        <v>229</v>
      </c>
      <c r="Q111" t="b">
        <v>0</v>
      </c>
      <c r="R111" t="s">
        <v>214</v>
      </c>
      <c r="S111" t="b">
        <v>1</v>
      </c>
      <c r="T111" t="b">
        <v>0</v>
      </c>
      <c r="U111" t="s">
        <v>171</v>
      </c>
      <c r="V111" t="s">
        <v>171</v>
      </c>
      <c r="W111" t="b">
        <v>0</v>
      </c>
      <c r="X111" t="s">
        <v>171</v>
      </c>
      <c r="Y111" s="139" t="s">
        <v>167</v>
      </c>
      <c r="Z111" s="143" t="s">
        <v>168</v>
      </c>
      <c r="AA111" t="s">
        <v>169</v>
      </c>
      <c r="AB111" s="157" t="s">
        <v>210</v>
      </c>
      <c r="AC111" s="157">
        <v>5</v>
      </c>
      <c r="AD111" s="157">
        <v>4</v>
      </c>
      <c r="AE111" s="158">
        <v>12.459163999999788</v>
      </c>
      <c r="AF111" s="158">
        <f t="shared" si="15"/>
        <v>14.459163999999788</v>
      </c>
      <c r="AG111" s="159">
        <v>40.724366959999998</v>
      </c>
      <c r="AH111" s="159">
        <v>40.724366959999998</v>
      </c>
      <c r="AI111" t="s">
        <v>171</v>
      </c>
      <c r="AJ111" t="s">
        <v>172</v>
      </c>
      <c r="AK111" s="146">
        <v>12.74</v>
      </c>
      <c r="AL111" s="146">
        <v>-78.739999999999995</v>
      </c>
      <c r="AM111" t="s">
        <v>171</v>
      </c>
      <c r="AN111" t="s">
        <v>171</v>
      </c>
      <c r="AO111">
        <v>-2839</v>
      </c>
      <c r="AP111" t="s">
        <v>171</v>
      </c>
      <c r="AQ111" t="s">
        <v>171</v>
      </c>
      <c r="AR111" t="s">
        <v>171</v>
      </c>
      <c r="AS111">
        <v>1236.18</v>
      </c>
      <c r="AT111" t="s">
        <v>173</v>
      </c>
      <c r="AU111">
        <v>6</v>
      </c>
      <c r="AV111">
        <v>6</v>
      </c>
      <c r="AW111" t="s">
        <v>171</v>
      </c>
      <c r="AX111" t="s">
        <v>174</v>
      </c>
      <c r="AY111" t="s">
        <v>171</v>
      </c>
      <c r="AZ111" t="s">
        <v>171</v>
      </c>
      <c r="BA111" t="s">
        <v>171</v>
      </c>
      <c r="BB111" t="s">
        <v>171</v>
      </c>
      <c r="BC111" t="s">
        <v>171</v>
      </c>
      <c r="BD111" t="s">
        <v>171</v>
      </c>
      <c r="BE111" t="s">
        <v>171</v>
      </c>
      <c r="BF111" t="s">
        <v>171</v>
      </c>
      <c r="BG111" t="s">
        <v>175</v>
      </c>
      <c r="BH111" t="s">
        <v>176</v>
      </c>
      <c r="BI111" t="s">
        <v>177</v>
      </c>
      <c r="BJ111" s="142">
        <v>2</v>
      </c>
      <c r="BK111" t="s">
        <v>178</v>
      </c>
      <c r="BL111" t="s">
        <v>179</v>
      </c>
      <c r="BM111" t="s">
        <v>180</v>
      </c>
      <c r="BN111" t="s">
        <v>171</v>
      </c>
      <c r="BO111" s="142">
        <v>2</v>
      </c>
      <c r="BP111" s="144" t="s">
        <v>171</v>
      </c>
      <c r="BQ111" s="149">
        <v>20.564001139999998</v>
      </c>
      <c r="BR111" t="s">
        <v>181</v>
      </c>
      <c r="BS111" s="149">
        <v>0.17050941999999999</v>
      </c>
      <c r="BT111">
        <v>0.64</v>
      </c>
      <c r="BU111" t="s">
        <v>182</v>
      </c>
      <c r="BV111">
        <v>3.4000000000000002E-2</v>
      </c>
      <c r="BW111">
        <v>9.1</v>
      </c>
      <c r="BX111" t="s">
        <v>173</v>
      </c>
      <c r="BY111">
        <v>0.56000000000000005</v>
      </c>
      <c r="BZ111" t="s">
        <v>183</v>
      </c>
      <c r="CA111" t="s">
        <v>184</v>
      </c>
      <c r="CB111" s="148">
        <f t="shared" si="20"/>
        <v>19.490001899999999</v>
      </c>
      <c r="CC111" s="144" t="s">
        <v>185</v>
      </c>
      <c r="CD111" s="144" t="s">
        <v>171</v>
      </c>
      <c r="CE111" s="144" t="s">
        <v>171</v>
      </c>
      <c r="CF111" t="s">
        <v>186</v>
      </c>
      <c r="CG111" s="144">
        <v>10</v>
      </c>
      <c r="CH111" s="144" t="s">
        <v>187</v>
      </c>
      <c r="CI111" s="144" t="s">
        <v>171</v>
      </c>
      <c r="CJ111" s="147">
        <v>26.304711749999999</v>
      </c>
      <c r="CK111" t="s">
        <v>173</v>
      </c>
      <c r="CL111">
        <v>3</v>
      </c>
      <c r="CM111">
        <v>3</v>
      </c>
      <c r="CN111" t="s">
        <v>171</v>
      </c>
      <c r="CO111" s="149">
        <v>3.809790274253829</v>
      </c>
      <c r="CP111" t="s">
        <v>188</v>
      </c>
      <c r="CQ111" s="149">
        <f t="shared" si="16"/>
        <v>0.15239161097015316</v>
      </c>
      <c r="CR111" s="149">
        <v>0.15239161097015316</v>
      </c>
      <c r="CS111" s="150" t="s">
        <v>171</v>
      </c>
      <c r="CT111" t="s">
        <v>189</v>
      </c>
      <c r="CU111" t="s">
        <v>171</v>
      </c>
      <c r="CV111" t="s">
        <v>190</v>
      </c>
      <c r="CW111" t="s">
        <v>191</v>
      </c>
      <c r="CX111" t="s">
        <v>191</v>
      </c>
      <c r="CY111" t="s">
        <v>191</v>
      </c>
      <c r="CZ111" t="s">
        <v>171</v>
      </c>
      <c r="DA111" t="s">
        <v>171</v>
      </c>
      <c r="DB111" t="s">
        <v>171</v>
      </c>
      <c r="DC111" t="s">
        <v>171</v>
      </c>
      <c r="DD111" t="s">
        <v>171</v>
      </c>
      <c r="DE111" t="s">
        <v>171</v>
      </c>
      <c r="DF111" t="s">
        <v>171</v>
      </c>
      <c r="DG111">
        <v>35</v>
      </c>
      <c r="DH111" t="s">
        <v>185</v>
      </c>
      <c r="DI111" s="142">
        <v>3</v>
      </c>
      <c r="DJ111" s="144" t="s">
        <v>192</v>
      </c>
      <c r="DK111" s="144" t="s">
        <v>171</v>
      </c>
      <c r="DL111" s="144" t="s">
        <v>171</v>
      </c>
      <c r="DM111" s="144" t="s">
        <v>171</v>
      </c>
      <c r="DN111" s="144" t="s">
        <v>171</v>
      </c>
      <c r="DO111" s="144" t="s">
        <v>171</v>
      </c>
      <c r="DP111" s="144" t="s">
        <v>171</v>
      </c>
      <c r="DQ111" s="144" t="s">
        <v>171</v>
      </c>
      <c r="DR111" s="144" t="s">
        <v>171</v>
      </c>
      <c r="DS111" s="144" t="s">
        <v>171</v>
      </c>
      <c r="DT111" s="144" t="s">
        <v>171</v>
      </c>
      <c r="DU111" s="144" t="s">
        <v>171</v>
      </c>
      <c r="DV111" s="144" t="s">
        <v>171</v>
      </c>
      <c r="DW111" s="147">
        <v>432.56244218316402</v>
      </c>
      <c r="DX111" t="s">
        <v>193</v>
      </c>
      <c r="DY111">
        <v>37.1</v>
      </c>
      <c r="DZ111" t="s">
        <v>194</v>
      </c>
      <c r="EA111">
        <v>39.61</v>
      </c>
      <c r="EB111" t="s">
        <v>185</v>
      </c>
      <c r="EC111" s="149">
        <f t="shared" si="17"/>
        <v>0.22361800000000001</v>
      </c>
      <c r="ED111" t="s">
        <v>195</v>
      </c>
      <c r="EE111" t="s">
        <v>196</v>
      </c>
      <c r="EF111" t="s">
        <v>197</v>
      </c>
      <c r="EG111">
        <v>1.0271999999999999</v>
      </c>
      <c r="EH111" t="s">
        <v>171</v>
      </c>
      <c r="EI111" t="s">
        <v>171</v>
      </c>
      <c r="EJ111" t="s">
        <v>198</v>
      </c>
      <c r="EK111" t="s">
        <v>191</v>
      </c>
      <c r="EL111" t="s">
        <v>191</v>
      </c>
      <c r="EM111" t="s">
        <v>199</v>
      </c>
      <c r="EN111" t="s">
        <v>200</v>
      </c>
      <c r="EO111" s="151" t="s">
        <v>201</v>
      </c>
      <c r="EP111" s="151" t="s">
        <v>201</v>
      </c>
      <c r="EQ111" s="144" t="s">
        <v>171</v>
      </c>
      <c r="ER111" s="144" t="s">
        <v>171</v>
      </c>
      <c r="ES111" s="144" t="s">
        <v>171</v>
      </c>
      <c r="ET111" t="s">
        <v>202</v>
      </c>
      <c r="EU111" t="s">
        <v>203</v>
      </c>
      <c r="EV111" t="s">
        <v>171</v>
      </c>
      <c r="EW111">
        <v>2438</v>
      </c>
      <c r="EX111" s="151" t="s">
        <v>204</v>
      </c>
      <c r="EY111" s="151">
        <v>175</v>
      </c>
      <c r="EZ111">
        <v>175</v>
      </c>
      <c r="FA111" t="s">
        <v>171</v>
      </c>
      <c r="FB111" t="s">
        <v>171</v>
      </c>
      <c r="FC111" t="s">
        <v>171</v>
      </c>
      <c r="FD111" t="s">
        <v>171</v>
      </c>
      <c r="FE111" s="152">
        <v>8.1638712208222302</v>
      </c>
      <c r="FF111" t="s">
        <v>205</v>
      </c>
      <c r="FG111" s="144" t="s">
        <v>171</v>
      </c>
      <c r="FH111" s="144" t="s">
        <v>171</v>
      </c>
      <c r="FI111" s="153">
        <v>280.779582</v>
      </c>
      <c r="FJ111">
        <v>21</v>
      </c>
      <c r="FK111" t="s">
        <v>207</v>
      </c>
      <c r="FL111" s="160">
        <v>259.779582</v>
      </c>
      <c r="FM111" s="161">
        <v>37.744337263808006</v>
      </c>
      <c r="FN111" s="161">
        <v>35.33873520476601</v>
      </c>
      <c r="FO111" t="s">
        <v>186</v>
      </c>
      <c r="FP111" t="s">
        <v>208</v>
      </c>
      <c r="FQ111" t="s">
        <v>171</v>
      </c>
      <c r="FR111" t="s">
        <v>171</v>
      </c>
      <c r="FS111" t="s">
        <v>171</v>
      </c>
      <c r="FT111" t="s">
        <v>171</v>
      </c>
      <c r="FU111" t="s">
        <v>171</v>
      </c>
      <c r="FV111" t="s">
        <v>171</v>
      </c>
      <c r="FW111" t="s">
        <v>171</v>
      </c>
      <c r="FX111" t="s">
        <v>171</v>
      </c>
      <c r="FY111" t="s">
        <v>171</v>
      </c>
      <c r="FZ111" t="s">
        <v>171</v>
      </c>
      <c r="GA111" t="s">
        <v>171</v>
      </c>
      <c r="GB111" t="s">
        <v>171</v>
      </c>
    </row>
    <row r="112" spans="1:184" ht="16" x14ac:dyDescent="0.2">
      <c r="A112" t="s">
        <v>217</v>
      </c>
      <c r="B112" s="143" t="s">
        <v>216</v>
      </c>
      <c r="C112" s="138" t="s">
        <v>212</v>
      </c>
      <c r="D112" t="s">
        <v>211</v>
      </c>
      <c r="E112">
        <v>2017</v>
      </c>
      <c r="F112" t="str">
        <f t="shared" si="21"/>
        <v>10.1073/pnas.1702143114</v>
      </c>
      <c r="G112" s="147">
        <f t="shared" si="22"/>
        <v>1239.83</v>
      </c>
      <c r="H112">
        <f t="shared" si="18"/>
        <v>6</v>
      </c>
      <c r="I112">
        <f t="shared" si="19"/>
        <v>6</v>
      </c>
      <c r="J112" s="153">
        <f t="shared" si="23"/>
        <v>265.64764280000003</v>
      </c>
      <c r="K112" s="153">
        <f t="shared" si="24"/>
        <v>39.189645442429992</v>
      </c>
      <c r="L112" s="153">
        <f t="shared" si="25"/>
        <v>37.571565167341021</v>
      </c>
      <c r="M112" t="b">
        <v>1</v>
      </c>
      <c r="N112">
        <v>3</v>
      </c>
      <c r="O112" s="144" t="s">
        <v>228</v>
      </c>
      <c r="P112" s="144" t="s">
        <v>229</v>
      </c>
      <c r="Q112" t="b">
        <v>0</v>
      </c>
      <c r="R112" t="s">
        <v>214</v>
      </c>
      <c r="S112" t="b">
        <v>1</v>
      </c>
      <c r="T112" t="b">
        <v>0</v>
      </c>
      <c r="U112" t="s">
        <v>171</v>
      </c>
      <c r="V112" t="s">
        <v>171</v>
      </c>
      <c r="W112" t="b">
        <v>0</v>
      </c>
      <c r="X112" t="s">
        <v>171</v>
      </c>
      <c r="Y112" s="139" t="s">
        <v>167</v>
      </c>
      <c r="Z112" s="143" t="s">
        <v>168</v>
      </c>
      <c r="AA112" t="s">
        <v>169</v>
      </c>
      <c r="AB112" s="162" t="s">
        <v>210</v>
      </c>
      <c r="AC112" s="162">
        <v>5</v>
      </c>
      <c r="AD112" s="162">
        <v>4</v>
      </c>
      <c r="AE112" s="163">
        <v>21</v>
      </c>
      <c r="AF112" s="163">
        <f t="shared" si="15"/>
        <v>23</v>
      </c>
      <c r="AG112" s="164">
        <v>40.81</v>
      </c>
      <c r="AH112" s="164">
        <v>40.81</v>
      </c>
      <c r="AI112" t="s">
        <v>171</v>
      </c>
      <c r="AJ112" t="s">
        <v>172</v>
      </c>
      <c r="AK112" s="146">
        <v>12.74</v>
      </c>
      <c r="AL112" s="146">
        <v>-78.739999999999995</v>
      </c>
      <c r="AM112" t="s">
        <v>171</v>
      </c>
      <c r="AN112" t="s">
        <v>171</v>
      </c>
      <c r="AO112">
        <v>-2839</v>
      </c>
      <c r="AP112" t="s">
        <v>171</v>
      </c>
      <c r="AQ112" t="s">
        <v>171</v>
      </c>
      <c r="AR112" t="s">
        <v>171</v>
      </c>
      <c r="AS112">
        <v>1239.83</v>
      </c>
      <c r="AT112" t="s">
        <v>173</v>
      </c>
      <c r="AU112">
        <v>6</v>
      </c>
      <c r="AV112">
        <v>6</v>
      </c>
      <c r="AW112" t="s">
        <v>171</v>
      </c>
      <c r="AX112" t="s">
        <v>174</v>
      </c>
      <c r="AY112" t="s">
        <v>171</v>
      </c>
      <c r="AZ112" t="s">
        <v>171</v>
      </c>
      <c r="BA112" t="s">
        <v>171</v>
      </c>
      <c r="BB112" t="s">
        <v>171</v>
      </c>
      <c r="BC112" t="s">
        <v>171</v>
      </c>
      <c r="BD112" t="s">
        <v>171</v>
      </c>
      <c r="BE112" t="s">
        <v>171</v>
      </c>
      <c r="BF112" t="s">
        <v>171</v>
      </c>
      <c r="BG112" t="s">
        <v>175</v>
      </c>
      <c r="BH112" t="s">
        <v>176</v>
      </c>
      <c r="BI112" t="s">
        <v>177</v>
      </c>
      <c r="BJ112" s="142">
        <v>2</v>
      </c>
      <c r="BK112" t="s">
        <v>178</v>
      </c>
      <c r="BL112" t="s">
        <v>179</v>
      </c>
      <c r="BM112" t="s">
        <v>180</v>
      </c>
      <c r="BN112" t="s">
        <v>171</v>
      </c>
      <c r="BO112" s="142">
        <v>2</v>
      </c>
      <c r="BP112" s="144" t="s">
        <v>171</v>
      </c>
      <c r="BQ112" s="149">
        <v>20.54738004</v>
      </c>
      <c r="BR112" t="s">
        <v>181</v>
      </c>
      <c r="BS112" s="149">
        <v>0.207386182</v>
      </c>
      <c r="BT112">
        <v>0.64</v>
      </c>
      <c r="BU112" t="s">
        <v>182</v>
      </c>
      <c r="BV112">
        <v>3.4000000000000002E-2</v>
      </c>
      <c r="BW112">
        <v>9.1</v>
      </c>
      <c r="BX112" t="s">
        <v>173</v>
      </c>
      <c r="BY112">
        <v>0.56000000000000005</v>
      </c>
      <c r="BZ112" t="s">
        <v>183</v>
      </c>
      <c r="CA112" t="s">
        <v>184</v>
      </c>
      <c r="CB112" s="148">
        <f t="shared" si="20"/>
        <v>19.462300066666668</v>
      </c>
      <c r="CC112" s="144" t="s">
        <v>185</v>
      </c>
      <c r="CD112" s="144" t="s">
        <v>171</v>
      </c>
      <c r="CE112" s="144" t="s">
        <v>171</v>
      </c>
      <c r="CF112" t="s">
        <v>186</v>
      </c>
      <c r="CG112" s="144">
        <v>10</v>
      </c>
      <c r="CH112" s="144" t="s">
        <v>187</v>
      </c>
      <c r="CI112" s="144" t="s">
        <v>171</v>
      </c>
      <c r="CJ112" s="147">
        <v>26.790870470000002</v>
      </c>
      <c r="CK112" t="s">
        <v>173</v>
      </c>
      <c r="CL112">
        <v>3</v>
      </c>
      <c r="CM112">
        <v>3</v>
      </c>
      <c r="CN112" t="s">
        <v>171</v>
      </c>
      <c r="CO112" s="149">
        <v>3.9743824857629071</v>
      </c>
      <c r="CP112" t="s">
        <v>188</v>
      </c>
      <c r="CQ112" s="149">
        <f t="shared" si="16"/>
        <v>0.15897529943051628</v>
      </c>
      <c r="CR112" s="149">
        <v>0.15897529943051628</v>
      </c>
      <c r="CS112" s="150" t="s">
        <v>171</v>
      </c>
      <c r="CT112" t="s">
        <v>189</v>
      </c>
      <c r="CU112" t="s">
        <v>171</v>
      </c>
      <c r="CV112" t="s">
        <v>190</v>
      </c>
      <c r="CW112" t="s">
        <v>191</v>
      </c>
      <c r="CX112" t="s">
        <v>191</v>
      </c>
      <c r="CY112" t="s">
        <v>191</v>
      </c>
      <c r="CZ112" t="s">
        <v>171</v>
      </c>
      <c r="DA112" t="s">
        <v>171</v>
      </c>
      <c r="DB112" t="s">
        <v>171</v>
      </c>
      <c r="DC112" t="s">
        <v>171</v>
      </c>
      <c r="DD112" t="s">
        <v>171</v>
      </c>
      <c r="DE112" t="s">
        <v>171</v>
      </c>
      <c r="DF112" t="s">
        <v>171</v>
      </c>
      <c r="DG112">
        <v>35</v>
      </c>
      <c r="DH112" t="s">
        <v>185</v>
      </c>
      <c r="DI112" s="142">
        <v>3</v>
      </c>
      <c r="DJ112" s="144" t="s">
        <v>192</v>
      </c>
      <c r="DK112" s="144" t="s">
        <v>171</v>
      </c>
      <c r="DL112" s="144" t="s">
        <v>171</v>
      </c>
      <c r="DM112" s="144" t="s">
        <v>171</v>
      </c>
      <c r="DN112" s="144" t="s">
        <v>171</v>
      </c>
      <c r="DO112" s="144" t="s">
        <v>171</v>
      </c>
      <c r="DP112" s="144" t="s">
        <v>171</v>
      </c>
      <c r="DQ112" s="144" t="s">
        <v>171</v>
      </c>
      <c r="DR112" s="144" t="s">
        <v>171</v>
      </c>
      <c r="DS112" s="144" t="s">
        <v>171</v>
      </c>
      <c r="DT112" s="144" t="s">
        <v>171</v>
      </c>
      <c r="DU112" s="144" t="s">
        <v>171</v>
      </c>
      <c r="DV112" s="144" t="s">
        <v>171</v>
      </c>
      <c r="DW112" s="147">
        <v>432.56244218316402</v>
      </c>
      <c r="DX112" t="s">
        <v>193</v>
      </c>
      <c r="DY112">
        <v>37.1</v>
      </c>
      <c r="DZ112" t="s">
        <v>194</v>
      </c>
      <c r="EA112">
        <v>39.61</v>
      </c>
      <c r="EB112" t="s">
        <v>185</v>
      </c>
      <c r="EC112" s="149">
        <f t="shared" si="17"/>
        <v>0.22398300000000002</v>
      </c>
      <c r="ED112" t="s">
        <v>195</v>
      </c>
      <c r="EE112" t="s">
        <v>196</v>
      </c>
      <c r="EF112" t="s">
        <v>197</v>
      </c>
      <c r="EG112">
        <v>1.0271999999999999</v>
      </c>
      <c r="EH112" t="s">
        <v>171</v>
      </c>
      <c r="EI112" t="s">
        <v>171</v>
      </c>
      <c r="EJ112" t="s">
        <v>198</v>
      </c>
      <c r="EK112" t="s">
        <v>191</v>
      </c>
      <c r="EL112" t="s">
        <v>191</v>
      </c>
      <c r="EM112" t="s">
        <v>199</v>
      </c>
      <c r="EN112" t="s">
        <v>200</v>
      </c>
      <c r="EO112" s="151" t="s">
        <v>201</v>
      </c>
      <c r="EP112" s="151" t="s">
        <v>201</v>
      </c>
      <c r="EQ112" s="144" t="s">
        <v>171</v>
      </c>
      <c r="ER112" s="144" t="s">
        <v>171</v>
      </c>
      <c r="ES112" s="144" t="s">
        <v>171</v>
      </c>
      <c r="ET112" t="s">
        <v>202</v>
      </c>
      <c r="EU112" t="s">
        <v>203</v>
      </c>
      <c r="EV112" t="s">
        <v>171</v>
      </c>
      <c r="EW112">
        <v>2439</v>
      </c>
      <c r="EX112" s="151" t="s">
        <v>204</v>
      </c>
      <c r="EY112" s="151">
        <v>175</v>
      </c>
      <c r="EZ112">
        <v>175</v>
      </c>
      <c r="FA112" t="s">
        <v>171</v>
      </c>
      <c r="FB112" t="s">
        <v>171</v>
      </c>
      <c r="FC112" t="s">
        <v>171</v>
      </c>
      <c r="FD112" t="s">
        <v>171</v>
      </c>
      <c r="FE112" s="152">
        <v>8.1563629371641309</v>
      </c>
      <c r="FF112" t="s">
        <v>205</v>
      </c>
      <c r="FG112" s="144" t="s">
        <v>171</v>
      </c>
      <c r="FH112" s="144" t="s">
        <v>171</v>
      </c>
      <c r="FI112" s="153">
        <v>286.64764280000003</v>
      </c>
      <c r="FJ112">
        <v>21</v>
      </c>
      <c r="FK112" t="s">
        <v>207</v>
      </c>
      <c r="FL112" s="160">
        <v>265.64764280000003</v>
      </c>
      <c r="FM112" s="161">
        <v>39.189645442429992</v>
      </c>
      <c r="FN112" s="161">
        <v>37.571565167341021</v>
      </c>
      <c r="FO112" t="s">
        <v>186</v>
      </c>
      <c r="FP112" t="s">
        <v>208</v>
      </c>
      <c r="FQ112" t="s">
        <v>171</v>
      </c>
      <c r="FR112" t="s">
        <v>171</v>
      </c>
      <c r="FS112" t="s">
        <v>171</v>
      </c>
      <c r="FT112" t="s">
        <v>171</v>
      </c>
      <c r="FU112" t="s">
        <v>171</v>
      </c>
      <c r="FV112" t="s">
        <v>171</v>
      </c>
      <c r="FW112" t="s">
        <v>171</v>
      </c>
      <c r="FX112" t="s">
        <v>171</v>
      </c>
      <c r="FY112" t="s">
        <v>171</v>
      </c>
      <c r="FZ112" t="s">
        <v>171</v>
      </c>
      <c r="GA112" t="s">
        <v>171</v>
      </c>
      <c r="GB112" t="s">
        <v>171</v>
      </c>
    </row>
    <row r="113" spans="1:184" ht="16" x14ac:dyDescent="0.2">
      <c r="A113" t="s">
        <v>217</v>
      </c>
      <c r="B113" s="143" t="s">
        <v>216</v>
      </c>
      <c r="C113" s="138" t="s">
        <v>212</v>
      </c>
      <c r="D113" t="s">
        <v>211</v>
      </c>
      <c r="E113">
        <v>2017</v>
      </c>
      <c r="F113" t="str">
        <f t="shared" si="21"/>
        <v>10.1073/pnas.1702143114</v>
      </c>
      <c r="G113" s="147">
        <f t="shared" si="22"/>
        <v>1243.25</v>
      </c>
      <c r="H113">
        <f t="shared" si="18"/>
        <v>6</v>
      </c>
      <c r="I113">
        <f t="shared" si="19"/>
        <v>6</v>
      </c>
      <c r="J113" s="153">
        <f t="shared" si="23"/>
        <v>288.5075635</v>
      </c>
      <c r="K113" s="153">
        <f t="shared" si="24"/>
        <v>39.952441544902001</v>
      </c>
      <c r="L113" s="153">
        <f t="shared" si="25"/>
        <v>38.416460486042013</v>
      </c>
      <c r="M113" t="b">
        <v>1</v>
      </c>
      <c r="N113">
        <v>3</v>
      </c>
      <c r="O113" s="144" t="s">
        <v>228</v>
      </c>
      <c r="P113" s="144" t="s">
        <v>229</v>
      </c>
      <c r="Q113" t="b">
        <v>0</v>
      </c>
      <c r="R113" t="s">
        <v>214</v>
      </c>
      <c r="S113" t="b">
        <v>1</v>
      </c>
      <c r="T113" t="b">
        <v>0</v>
      </c>
      <c r="U113" t="s">
        <v>171</v>
      </c>
      <c r="V113" t="s">
        <v>171</v>
      </c>
      <c r="W113" t="b">
        <v>0</v>
      </c>
      <c r="X113" t="s">
        <v>171</v>
      </c>
      <c r="Y113" s="139" t="s">
        <v>167</v>
      </c>
      <c r="Z113" s="143" t="s">
        <v>168</v>
      </c>
      <c r="AA113" t="s">
        <v>169</v>
      </c>
      <c r="AB113" s="157" t="s">
        <v>210</v>
      </c>
      <c r="AC113" s="157">
        <v>5</v>
      </c>
      <c r="AD113" s="157">
        <v>4</v>
      </c>
      <c r="AE113" s="158">
        <v>29</v>
      </c>
      <c r="AF113" s="158">
        <f t="shared" si="15"/>
        <v>31</v>
      </c>
      <c r="AG113" s="159">
        <v>40.89</v>
      </c>
      <c r="AH113" s="159">
        <v>40.89</v>
      </c>
      <c r="AI113" t="s">
        <v>171</v>
      </c>
      <c r="AJ113" t="s">
        <v>172</v>
      </c>
      <c r="AK113" s="146">
        <v>12.74</v>
      </c>
      <c r="AL113" s="146">
        <v>-78.739999999999995</v>
      </c>
      <c r="AM113" t="s">
        <v>171</v>
      </c>
      <c r="AN113" t="s">
        <v>171</v>
      </c>
      <c r="AO113">
        <v>-2839</v>
      </c>
      <c r="AP113" t="s">
        <v>171</v>
      </c>
      <c r="AQ113" t="s">
        <v>171</v>
      </c>
      <c r="AR113" t="s">
        <v>171</v>
      </c>
      <c r="AS113">
        <v>1243.25</v>
      </c>
      <c r="AT113" t="s">
        <v>173</v>
      </c>
      <c r="AU113">
        <v>6</v>
      </c>
      <c r="AV113">
        <v>6</v>
      </c>
      <c r="AW113" t="s">
        <v>171</v>
      </c>
      <c r="AX113" t="s">
        <v>174</v>
      </c>
      <c r="AY113" t="s">
        <v>171</v>
      </c>
      <c r="AZ113" t="s">
        <v>171</v>
      </c>
      <c r="BA113" t="s">
        <v>171</v>
      </c>
      <c r="BB113" t="s">
        <v>171</v>
      </c>
      <c r="BC113" t="s">
        <v>171</v>
      </c>
      <c r="BD113" t="s">
        <v>171</v>
      </c>
      <c r="BE113" t="s">
        <v>171</v>
      </c>
      <c r="BF113" t="s">
        <v>171</v>
      </c>
      <c r="BG113" t="s">
        <v>175</v>
      </c>
      <c r="BH113" t="s">
        <v>176</v>
      </c>
      <c r="BI113" t="s">
        <v>177</v>
      </c>
      <c r="BJ113" s="142">
        <v>2</v>
      </c>
      <c r="BK113" t="s">
        <v>178</v>
      </c>
      <c r="BL113" t="s">
        <v>179</v>
      </c>
      <c r="BM113" t="s">
        <v>180</v>
      </c>
      <c r="BN113" t="s">
        <v>171</v>
      </c>
      <c r="BO113" s="142">
        <v>2</v>
      </c>
      <c r="BP113" s="144" t="s">
        <v>171</v>
      </c>
      <c r="BQ113" s="149">
        <v>20.46</v>
      </c>
      <c r="BR113" t="s">
        <v>181</v>
      </c>
      <c r="BS113" s="149">
        <v>0.15259805400000001</v>
      </c>
      <c r="BT113">
        <v>0.64</v>
      </c>
      <c r="BU113" t="s">
        <v>182</v>
      </c>
      <c r="BV113">
        <v>3.4000000000000002E-2</v>
      </c>
      <c r="BW113">
        <v>9.1</v>
      </c>
      <c r="BX113" t="s">
        <v>173</v>
      </c>
      <c r="BY113">
        <v>0.56000000000000005</v>
      </c>
      <c r="BZ113" t="s">
        <v>183</v>
      </c>
      <c r="CA113" t="s">
        <v>184</v>
      </c>
      <c r="CB113" s="148">
        <f t="shared" si="20"/>
        <v>19.31666666666667</v>
      </c>
      <c r="CC113" s="144" t="s">
        <v>185</v>
      </c>
      <c r="CD113" s="144" t="s">
        <v>171</v>
      </c>
      <c r="CE113" s="144" t="s">
        <v>171</v>
      </c>
      <c r="CF113" t="s">
        <v>186</v>
      </c>
      <c r="CG113" s="144">
        <v>10</v>
      </c>
      <c r="CH113" s="144" t="s">
        <v>187</v>
      </c>
      <c r="CI113" s="144" t="s">
        <v>171</v>
      </c>
      <c r="CJ113" s="147">
        <v>28.171230820000002</v>
      </c>
      <c r="CK113" t="s">
        <v>173</v>
      </c>
      <c r="CL113">
        <v>3</v>
      </c>
      <c r="CM113">
        <v>3</v>
      </c>
      <c r="CN113" t="s">
        <v>171</v>
      </c>
      <c r="CO113" s="149">
        <v>4.4918539232517594</v>
      </c>
      <c r="CP113" t="s">
        <v>188</v>
      </c>
      <c r="CQ113" s="149">
        <f t="shared" si="16"/>
        <v>0.17967415693007038</v>
      </c>
      <c r="CR113" s="149">
        <v>0.17967415693007038</v>
      </c>
      <c r="CS113" s="150" t="s">
        <v>171</v>
      </c>
      <c r="CT113" t="s">
        <v>189</v>
      </c>
      <c r="CU113" t="s">
        <v>171</v>
      </c>
      <c r="CV113" t="s">
        <v>190</v>
      </c>
      <c r="CW113" t="s">
        <v>191</v>
      </c>
      <c r="CX113" t="s">
        <v>191</v>
      </c>
      <c r="CY113" t="s">
        <v>191</v>
      </c>
      <c r="CZ113" t="s">
        <v>171</v>
      </c>
      <c r="DA113" t="s">
        <v>171</v>
      </c>
      <c r="DB113" t="s">
        <v>171</v>
      </c>
      <c r="DC113" t="s">
        <v>171</v>
      </c>
      <c r="DD113" t="s">
        <v>171</v>
      </c>
      <c r="DE113" t="s">
        <v>171</v>
      </c>
      <c r="DF113" t="s">
        <v>171</v>
      </c>
      <c r="DG113">
        <v>35</v>
      </c>
      <c r="DH113" t="s">
        <v>185</v>
      </c>
      <c r="DI113" s="142">
        <v>3</v>
      </c>
      <c r="DJ113" s="144" t="s">
        <v>192</v>
      </c>
      <c r="DK113" s="144" t="s">
        <v>171</v>
      </c>
      <c r="DL113" s="144" t="s">
        <v>171</v>
      </c>
      <c r="DM113" s="144" t="s">
        <v>171</v>
      </c>
      <c r="DN113" s="144" t="s">
        <v>171</v>
      </c>
      <c r="DO113" s="144" t="s">
        <v>171</v>
      </c>
      <c r="DP113" s="144" t="s">
        <v>171</v>
      </c>
      <c r="DQ113" s="144" t="s">
        <v>171</v>
      </c>
      <c r="DR113" s="144" t="s">
        <v>171</v>
      </c>
      <c r="DS113" s="144" t="s">
        <v>171</v>
      </c>
      <c r="DT113" s="144" t="s">
        <v>171</v>
      </c>
      <c r="DU113" s="144" t="s">
        <v>171</v>
      </c>
      <c r="DV113" s="144" t="s">
        <v>171</v>
      </c>
      <c r="DW113" s="147">
        <v>432.56244218316402</v>
      </c>
      <c r="DX113" t="s">
        <v>193</v>
      </c>
      <c r="DY113">
        <v>37.1</v>
      </c>
      <c r="DZ113" t="s">
        <v>194</v>
      </c>
      <c r="EA113">
        <v>39.61</v>
      </c>
      <c r="EB113" t="s">
        <v>185</v>
      </c>
      <c r="EC113" s="149">
        <f t="shared" si="17"/>
        <v>0.224325</v>
      </c>
      <c r="ED113" t="s">
        <v>195</v>
      </c>
      <c r="EE113" t="s">
        <v>196</v>
      </c>
      <c r="EF113" t="s">
        <v>197</v>
      </c>
      <c r="EG113">
        <v>1.0271999999999999</v>
      </c>
      <c r="EH113" t="s">
        <v>171</v>
      </c>
      <c r="EI113" t="s">
        <v>171</v>
      </c>
      <c r="EJ113" t="s">
        <v>198</v>
      </c>
      <c r="EK113" t="s">
        <v>191</v>
      </c>
      <c r="EL113" t="s">
        <v>191</v>
      </c>
      <c r="EM113" t="s">
        <v>199</v>
      </c>
      <c r="EN113" t="s">
        <v>200</v>
      </c>
      <c r="EO113" s="151" t="s">
        <v>201</v>
      </c>
      <c r="EP113" s="151" t="s">
        <v>201</v>
      </c>
      <c r="EQ113" s="144" t="s">
        <v>171</v>
      </c>
      <c r="ER113" s="144" t="s">
        <v>171</v>
      </c>
      <c r="ES113" s="144" t="s">
        <v>171</v>
      </c>
      <c r="ET113" t="s">
        <v>202</v>
      </c>
      <c r="EU113" t="s">
        <v>203</v>
      </c>
      <c r="EV113" t="s">
        <v>171</v>
      </c>
      <c r="EW113">
        <v>2440</v>
      </c>
      <c r="EX113" s="151" t="s">
        <v>204</v>
      </c>
      <c r="EY113" s="151">
        <v>175</v>
      </c>
      <c r="EZ113">
        <v>175</v>
      </c>
      <c r="FA113" t="s">
        <v>171</v>
      </c>
      <c r="FB113" t="s">
        <v>171</v>
      </c>
      <c r="FC113" t="s">
        <v>171</v>
      </c>
      <c r="FD113" t="s">
        <v>171</v>
      </c>
      <c r="FE113" s="152">
        <v>8.1282861307531</v>
      </c>
      <c r="FF113" t="s">
        <v>205</v>
      </c>
      <c r="FG113" s="144" t="s">
        <v>171</v>
      </c>
      <c r="FH113" s="144" t="s">
        <v>171</v>
      </c>
      <c r="FI113" s="153">
        <v>309.5075635</v>
      </c>
      <c r="FJ113">
        <v>21</v>
      </c>
      <c r="FK113" t="s">
        <v>207</v>
      </c>
      <c r="FL113" s="160">
        <v>288.5075635</v>
      </c>
      <c r="FM113" s="153">
        <v>39.952441544902001</v>
      </c>
      <c r="FN113" s="153">
        <v>38.416460486042013</v>
      </c>
      <c r="FO113" t="s">
        <v>186</v>
      </c>
      <c r="FP113" t="s">
        <v>208</v>
      </c>
      <c r="FQ113" t="s">
        <v>171</v>
      </c>
      <c r="FR113" t="s">
        <v>171</v>
      </c>
      <c r="FS113" t="s">
        <v>171</v>
      </c>
      <c r="FT113" t="s">
        <v>171</v>
      </c>
      <c r="FU113" t="s">
        <v>171</v>
      </c>
      <c r="FV113" t="s">
        <v>171</v>
      </c>
      <c r="FW113" t="s">
        <v>171</v>
      </c>
      <c r="FX113" t="s">
        <v>171</v>
      </c>
      <c r="FY113" t="s">
        <v>171</v>
      </c>
      <c r="FZ113" t="s">
        <v>171</v>
      </c>
      <c r="GA113" t="s">
        <v>171</v>
      </c>
      <c r="GB113" t="s">
        <v>171</v>
      </c>
    </row>
  </sheetData>
  <mergeCells count="1">
    <mergeCell ref="S2:W2"/>
  </mergeCells>
  <hyperlinks>
    <hyperlink ref="Z4" r:id="rId1" display="https://doi.org/10.1073/pnas.1702143114" xr:uid="{AFAEBD2B-05F1-4E4E-8E77-07EFDF3132D1}"/>
    <hyperlink ref="B4" r:id="rId2" display="t.chalk@noc.soton.ac.uk, elwyn" xr:uid="{A0219204-DD28-6C44-89FA-4A648875C1C6}"/>
    <hyperlink ref="Z5" r:id="rId3" display="https://doi.org/10.1073/pnas.1702143114" xr:uid="{51CE3942-367A-3D4F-A144-9A025A83F901}"/>
    <hyperlink ref="Z6" r:id="rId4" display="https://doi.org/10.1073/pnas.1702143114" xr:uid="{32B0ED7A-947E-7F49-B16D-98441E08490E}"/>
    <hyperlink ref="Z8" r:id="rId5" display="https://doi.org/10.1073/pnas.1702143114" xr:uid="{7636C180-4F39-5D45-B1DC-DD77555618D4}"/>
    <hyperlink ref="Z10" r:id="rId6" display="https://doi.org/10.1073/pnas.1702143114" xr:uid="{7538E38B-BCF4-CC46-864C-9791712B8EB4}"/>
    <hyperlink ref="Z12" r:id="rId7" display="https://doi.org/10.1073/pnas.1702143114" xr:uid="{835DB386-53FB-7D49-A596-CD2D26565C21}"/>
    <hyperlink ref="Z14" r:id="rId8" display="https://doi.org/10.1073/pnas.1702143114" xr:uid="{A386B7F5-F2A9-9D43-8C49-B7497DAEE12A}"/>
    <hyperlink ref="Z16" r:id="rId9" display="https://doi.org/10.1073/pnas.1702143114" xr:uid="{65A72FA6-ECCA-3242-B2E7-4313C98F38B9}"/>
    <hyperlink ref="Z18" r:id="rId10" display="https://doi.org/10.1073/pnas.1702143114" xr:uid="{0C31A37A-9BD4-E347-949D-05B3A3F92C48}"/>
    <hyperlink ref="Z20" r:id="rId11" display="https://doi.org/10.1073/pnas.1702143114" xr:uid="{3904970F-F9B5-DD43-A563-48922E489150}"/>
    <hyperlink ref="Z22" r:id="rId12" display="https://doi.org/10.1073/pnas.1702143114" xr:uid="{FDFB917C-1C50-DD4E-B8D7-F45F80B85C10}"/>
    <hyperlink ref="Z24" r:id="rId13" display="https://doi.org/10.1073/pnas.1702143114" xr:uid="{698B4549-2AFD-714D-B78C-4713BEB997A8}"/>
    <hyperlink ref="Z26" r:id="rId14" display="https://doi.org/10.1073/pnas.1702143114" xr:uid="{247B5270-AD60-7147-9DDC-057885785EF8}"/>
    <hyperlink ref="Z28" r:id="rId15" display="https://doi.org/10.1073/pnas.1702143114" xr:uid="{3DB7D069-0284-3647-BB3B-D6BD23B500D4}"/>
    <hyperlink ref="Z30" r:id="rId16" display="https://doi.org/10.1073/pnas.1702143114" xr:uid="{0CC4EB1C-2AA6-B64F-8A80-10520130A0C4}"/>
    <hyperlink ref="Z32" r:id="rId17" display="https://doi.org/10.1073/pnas.1702143114" xr:uid="{A9FD7689-3419-3F4E-8DA9-21400B83FEF7}"/>
    <hyperlink ref="Z34" r:id="rId18" display="https://doi.org/10.1073/pnas.1702143114" xr:uid="{91D04DE0-0166-4048-AE0B-848E7BF8EE62}"/>
    <hyperlink ref="Z36" r:id="rId19" display="https://doi.org/10.1073/pnas.1702143114" xr:uid="{C0954668-575D-9440-962A-D2D11FAED601}"/>
    <hyperlink ref="Z38" r:id="rId20" display="https://doi.org/10.1073/pnas.1702143114" xr:uid="{662DE206-53D4-4C4D-8D3D-5E2EF5F3187F}"/>
    <hyperlink ref="Z40" r:id="rId21" display="https://doi.org/10.1073/pnas.1702143114" xr:uid="{7A6876E1-CB14-B44A-8C63-C2FF412A3DA4}"/>
    <hyperlink ref="Z42" r:id="rId22" display="https://doi.org/10.1073/pnas.1702143114" xr:uid="{D85FFA40-A579-3748-B8AE-744BDA09D3A6}"/>
    <hyperlink ref="Z44" r:id="rId23" display="https://doi.org/10.1073/pnas.1702143114" xr:uid="{9B6AB261-6E08-EE4D-8161-9D1D0B703DCE}"/>
    <hyperlink ref="Z46" r:id="rId24" display="https://doi.org/10.1073/pnas.1702143114" xr:uid="{B50B6EA2-0CB9-D040-AD26-699E8242E89E}"/>
    <hyperlink ref="Z48" r:id="rId25" display="https://doi.org/10.1073/pnas.1702143114" xr:uid="{5510F47D-DB40-1E44-AAAD-26CABCA2F887}"/>
    <hyperlink ref="Z50" r:id="rId26" display="https://doi.org/10.1073/pnas.1702143114" xr:uid="{18386FD8-6E92-4740-894C-F3FFACA9D89D}"/>
    <hyperlink ref="Z52" r:id="rId27" display="https://doi.org/10.1073/pnas.1702143114" xr:uid="{F593017A-DFC9-7548-A56A-463C2D926F2E}"/>
    <hyperlink ref="Z54" r:id="rId28" display="https://doi.org/10.1073/pnas.1702143114" xr:uid="{74F29200-17E7-7B45-A8B5-BF0017403C01}"/>
    <hyperlink ref="Z56" r:id="rId29" display="https://doi.org/10.1073/pnas.1702143114" xr:uid="{4C8FF63F-4FA5-464B-A6EA-91254A284643}"/>
    <hyperlink ref="Z58" r:id="rId30" display="https://doi.org/10.1073/pnas.1702143114" xr:uid="{53D57A04-092C-2241-B434-AF6265A14594}"/>
    <hyperlink ref="Z60" r:id="rId31" display="https://doi.org/10.1073/pnas.1702143114" xr:uid="{D13C2C0C-EA0F-D444-8BDA-64AE70A583A2}"/>
    <hyperlink ref="Z62" r:id="rId32" display="https://doi.org/10.1073/pnas.1702143114" xr:uid="{E249D8B1-415E-A949-8059-6146578988BB}"/>
    <hyperlink ref="Z64" r:id="rId33" display="https://doi.org/10.1073/pnas.1702143114" xr:uid="{3C44369C-E6F1-E94F-879E-0243A825A8F2}"/>
    <hyperlink ref="Z66" r:id="rId34" display="https://doi.org/10.1073/pnas.1702143114" xr:uid="{19C7F257-E24C-554F-8523-6DAB3927F07D}"/>
    <hyperlink ref="Z68" r:id="rId35" display="https://doi.org/10.1073/pnas.1702143114" xr:uid="{63C4B9FC-BE57-1746-8B7E-95D8757AFED7}"/>
    <hyperlink ref="Z70" r:id="rId36" display="https://doi.org/10.1073/pnas.1702143114" xr:uid="{5FAD0E98-5537-934A-A9B5-D8C955994D97}"/>
    <hyperlink ref="Z72" r:id="rId37" display="https://doi.org/10.1073/pnas.1702143114" xr:uid="{545F047B-6B61-984F-90FD-C3B4AFEA73A1}"/>
    <hyperlink ref="Z74" r:id="rId38" display="https://doi.org/10.1073/pnas.1702143114" xr:uid="{3E0F8DE1-0E9C-3041-9553-2AB6143C876C}"/>
    <hyperlink ref="Z76" r:id="rId39" display="https://doi.org/10.1073/pnas.1702143114" xr:uid="{B21F3D66-0D0A-0A41-A6EF-D9411ABE0EDF}"/>
    <hyperlink ref="Z78" r:id="rId40" display="https://doi.org/10.1073/pnas.1702143114" xr:uid="{D5E165C9-2950-B446-B6F9-9F20D970EA8C}"/>
    <hyperlink ref="Z80" r:id="rId41" display="https://doi.org/10.1073/pnas.1702143114" xr:uid="{5C586A9F-DC78-324E-8858-351D4CA0DF5A}"/>
    <hyperlink ref="Z82" r:id="rId42" display="https://doi.org/10.1073/pnas.1702143114" xr:uid="{057D013B-4AC4-FD48-9D17-6C5CC0398CEC}"/>
    <hyperlink ref="Z84" r:id="rId43" display="https://doi.org/10.1073/pnas.1702143114" xr:uid="{3D4449DA-65DF-3547-A931-EBDCDFC59B1F}"/>
    <hyperlink ref="Z86" r:id="rId44" display="https://doi.org/10.1073/pnas.1702143114" xr:uid="{376C9422-2492-8F4C-BF36-9891E6BFBEA7}"/>
    <hyperlink ref="Z88" r:id="rId45" display="https://doi.org/10.1073/pnas.1702143114" xr:uid="{CFD459D8-49CB-AC41-A307-320211ADEC42}"/>
    <hyperlink ref="Z90" r:id="rId46" display="https://doi.org/10.1073/pnas.1702143114" xr:uid="{6F1810CC-5262-A841-9584-782592ABAE0F}"/>
    <hyperlink ref="Z92" r:id="rId47" display="https://doi.org/10.1073/pnas.1702143114" xr:uid="{41A57475-EE6B-A84A-8DA7-E9BD9D9F543B}"/>
    <hyperlink ref="Z94" r:id="rId48" display="https://doi.org/10.1073/pnas.1702143114" xr:uid="{82E07036-9CFB-6543-AD76-9478915A1CD4}"/>
    <hyperlink ref="Z96" r:id="rId49" display="https://doi.org/10.1073/pnas.1702143114" xr:uid="{9674EAA0-1D4E-B84A-8751-5C1CD001FA52}"/>
    <hyperlink ref="Z98" r:id="rId50" display="https://doi.org/10.1073/pnas.1702143114" xr:uid="{B8B3865B-4C5C-EE42-A256-AC0A4D8119D1}"/>
    <hyperlink ref="Z100" r:id="rId51" display="https://doi.org/10.1073/pnas.1702143114" xr:uid="{676F33DA-8CB0-8C4A-9659-D81A45ACB2A8}"/>
    <hyperlink ref="Z102" r:id="rId52" display="https://doi.org/10.1073/pnas.1702143114" xr:uid="{2BB6687A-B673-AD46-B6EF-7744BE4845A5}"/>
    <hyperlink ref="Z104" r:id="rId53" display="https://doi.org/10.1073/pnas.1702143114" xr:uid="{55F80EEA-898A-CD48-A0B0-17BB781E13A9}"/>
    <hyperlink ref="Z106" r:id="rId54" display="https://doi.org/10.1073/pnas.1702143114" xr:uid="{627BC112-0FF1-A441-B49D-DDB8B14BA298}"/>
    <hyperlink ref="Z108" r:id="rId55" display="https://doi.org/10.1073/pnas.1702143114" xr:uid="{21F6102F-DBA2-E340-8A77-14DC5CAC522B}"/>
    <hyperlink ref="Z110" r:id="rId56" display="https://doi.org/10.1073/pnas.1702143114" xr:uid="{BBD60EDD-2996-3F47-8FA3-C59767EF9453}"/>
    <hyperlink ref="Z112" r:id="rId57" display="https://doi.org/10.1073/pnas.1702143114" xr:uid="{1E745A7D-98F8-5246-8F70-8B5E93D2EBA1}"/>
    <hyperlink ref="Z7" r:id="rId58" display="https://doi.org/10.1073/pnas.1702143114" xr:uid="{1F79C438-5452-3C4C-8666-C6D6DEEB9EE1}"/>
    <hyperlink ref="Z9" r:id="rId59" display="https://doi.org/10.1073/pnas.1702143114" xr:uid="{88975762-4202-4E45-89DD-D8125632B001}"/>
    <hyperlink ref="Z11" r:id="rId60" display="https://doi.org/10.1073/pnas.1702143114" xr:uid="{5AFAD9A4-762E-0B48-90F4-872EEFBBCEE0}"/>
    <hyperlink ref="Z13" r:id="rId61" display="https://doi.org/10.1073/pnas.1702143114" xr:uid="{E8A3A0DD-72B9-244D-8C7D-BA6438684EB0}"/>
    <hyperlink ref="Z15" r:id="rId62" display="https://doi.org/10.1073/pnas.1702143114" xr:uid="{8701BD36-7D28-8B42-9A38-87ED6BAF9E67}"/>
    <hyperlink ref="Z17" r:id="rId63" display="https://doi.org/10.1073/pnas.1702143114" xr:uid="{BB90D3ED-D346-F745-BB34-D4A4BF69AB87}"/>
    <hyperlink ref="Z19" r:id="rId64" display="https://doi.org/10.1073/pnas.1702143114" xr:uid="{A3CF9C93-40F8-6E40-973C-2ED81BAAF577}"/>
    <hyperlink ref="Z21" r:id="rId65" display="https://doi.org/10.1073/pnas.1702143114" xr:uid="{65348B5B-3051-8A45-A9DA-0AC86B19472E}"/>
    <hyperlink ref="Z23" r:id="rId66" display="https://doi.org/10.1073/pnas.1702143114" xr:uid="{62DCB728-BD15-3843-B440-A69D2397A7D7}"/>
    <hyperlink ref="Z25" r:id="rId67" display="https://doi.org/10.1073/pnas.1702143114" xr:uid="{51C7B4DF-6E0C-A947-AFE6-43066B423807}"/>
    <hyperlink ref="Z27" r:id="rId68" display="https://doi.org/10.1073/pnas.1702143114" xr:uid="{12730517-91BC-874F-838D-8714241BBED8}"/>
    <hyperlink ref="Z29" r:id="rId69" display="https://doi.org/10.1073/pnas.1702143114" xr:uid="{4A3E571A-1A38-D944-9CA5-55651F41BBCC}"/>
    <hyperlink ref="Z31" r:id="rId70" display="https://doi.org/10.1073/pnas.1702143114" xr:uid="{9A1CBF67-49D6-FA40-A080-2E573779BA76}"/>
    <hyperlink ref="Z33" r:id="rId71" display="https://doi.org/10.1073/pnas.1702143114" xr:uid="{8400DE03-2A46-8243-9172-83EE54CABB77}"/>
    <hyperlink ref="Z35" r:id="rId72" display="https://doi.org/10.1073/pnas.1702143114" xr:uid="{FE79B2CD-720A-7546-8170-54D7340FEA75}"/>
    <hyperlink ref="Z37" r:id="rId73" display="https://doi.org/10.1073/pnas.1702143114" xr:uid="{9B1D7F78-5855-E743-B440-0B4C64A22D8A}"/>
    <hyperlink ref="Z39" r:id="rId74" display="https://doi.org/10.1073/pnas.1702143114" xr:uid="{DCFED472-3AB7-1744-8CB6-287B8BCEEC11}"/>
    <hyperlink ref="Z41" r:id="rId75" display="https://doi.org/10.1073/pnas.1702143114" xr:uid="{C608CF39-183E-9048-BFB0-5912DB5034A5}"/>
    <hyperlink ref="Z43" r:id="rId76" display="https://doi.org/10.1073/pnas.1702143114" xr:uid="{D6980042-2347-2A4F-A144-0FA31A013A0D}"/>
    <hyperlink ref="Z45" r:id="rId77" display="https://doi.org/10.1073/pnas.1702143114" xr:uid="{85AB7E18-AD93-6A4C-8DE3-2A812499F1F3}"/>
    <hyperlink ref="Z47" r:id="rId78" display="https://doi.org/10.1073/pnas.1702143114" xr:uid="{26C09FA7-19BE-0C44-9995-9DE32A3B06DE}"/>
    <hyperlink ref="Z49" r:id="rId79" display="https://doi.org/10.1073/pnas.1702143114" xr:uid="{DC34A958-99CC-0B47-A40E-4C44ECA011D6}"/>
    <hyperlink ref="Z51" r:id="rId80" display="https://doi.org/10.1073/pnas.1702143114" xr:uid="{CEB71472-5D88-264D-996E-B0E86A7B09B4}"/>
    <hyperlink ref="Z53" r:id="rId81" display="https://doi.org/10.1073/pnas.1702143114" xr:uid="{D403AAB4-88E1-9841-8A4F-2AF42FD0A101}"/>
    <hyperlink ref="Z55" r:id="rId82" display="https://doi.org/10.1073/pnas.1702143114" xr:uid="{3C716781-CC8C-B646-B10D-C63B8B047625}"/>
    <hyperlink ref="Z57" r:id="rId83" display="https://doi.org/10.1073/pnas.1702143114" xr:uid="{7579387C-0651-6941-92D3-997053F39932}"/>
    <hyperlink ref="Z59" r:id="rId84" display="https://doi.org/10.1073/pnas.1702143114" xr:uid="{249DCB6B-8124-4141-A570-2083C18B0DB3}"/>
    <hyperlink ref="Z61" r:id="rId85" display="https://doi.org/10.1073/pnas.1702143114" xr:uid="{051BEB97-8588-484A-857F-146C02A094BA}"/>
    <hyperlink ref="Z63" r:id="rId86" display="https://doi.org/10.1073/pnas.1702143114" xr:uid="{B35C6FE9-092C-9241-B3BB-F9E29A5FBB7E}"/>
    <hyperlink ref="Z65" r:id="rId87" display="https://doi.org/10.1073/pnas.1702143114" xr:uid="{93DCBEFF-4428-0446-9460-F88AB9DE0835}"/>
    <hyperlink ref="Z67" r:id="rId88" display="https://doi.org/10.1073/pnas.1702143114" xr:uid="{9CE17CD4-6736-3442-929D-617F986F106C}"/>
    <hyperlink ref="Z69" r:id="rId89" display="https://doi.org/10.1073/pnas.1702143114" xr:uid="{47FCC7FA-8803-5840-9C42-3B221500E82B}"/>
    <hyperlink ref="Z71" r:id="rId90" display="https://doi.org/10.1073/pnas.1702143114" xr:uid="{883ABB46-8105-5D41-B979-8933582D2BA9}"/>
    <hyperlink ref="Z73" r:id="rId91" display="https://doi.org/10.1073/pnas.1702143114" xr:uid="{F4588690-560A-7742-B44B-39E7581EAF8F}"/>
    <hyperlink ref="Z75" r:id="rId92" display="https://doi.org/10.1073/pnas.1702143114" xr:uid="{60A17B99-FAE0-164B-9110-53742122766B}"/>
    <hyperlink ref="Z77" r:id="rId93" display="https://doi.org/10.1073/pnas.1702143114" xr:uid="{7995A842-8C10-0542-9751-1E366BC2B3DF}"/>
    <hyperlink ref="Z79" r:id="rId94" display="https://doi.org/10.1073/pnas.1702143114" xr:uid="{0A7152B1-14B9-8442-B77F-95F7ABA81778}"/>
    <hyperlink ref="Z81" r:id="rId95" display="https://doi.org/10.1073/pnas.1702143114" xr:uid="{63555194-3FA0-5E4D-A3E4-958890A2DA99}"/>
    <hyperlink ref="Z83" r:id="rId96" display="https://doi.org/10.1073/pnas.1702143114" xr:uid="{FB65B514-7FDB-2C49-939A-42EACDFAFD27}"/>
    <hyperlink ref="Z85" r:id="rId97" display="https://doi.org/10.1073/pnas.1702143114" xr:uid="{E90D6171-22C0-FE4A-81D4-349D88395413}"/>
    <hyperlink ref="Z87" r:id="rId98" display="https://doi.org/10.1073/pnas.1702143114" xr:uid="{013EE434-C9A6-1043-A128-B445DF9EAE80}"/>
    <hyperlink ref="Z89" r:id="rId99" display="https://doi.org/10.1073/pnas.1702143114" xr:uid="{348CD468-CB26-CB46-A6B7-0E6EC5A731DD}"/>
    <hyperlink ref="Z91" r:id="rId100" display="https://doi.org/10.1073/pnas.1702143114" xr:uid="{C809E0E1-A3CF-F946-8E0A-CA0740C4C6EC}"/>
    <hyperlink ref="Z93" r:id="rId101" display="https://doi.org/10.1073/pnas.1702143114" xr:uid="{AD4BBCAC-3F7D-8F40-A678-D554B46A6038}"/>
    <hyperlink ref="Z95" r:id="rId102" display="https://doi.org/10.1073/pnas.1702143114" xr:uid="{993A6B7B-E9CF-1A40-BD55-CDD8C56E02B4}"/>
    <hyperlink ref="Z97" r:id="rId103" display="https://doi.org/10.1073/pnas.1702143114" xr:uid="{D8ABC2DA-5770-874E-8FDE-61839FB6C88B}"/>
    <hyperlink ref="Z99" r:id="rId104" display="https://doi.org/10.1073/pnas.1702143114" xr:uid="{C7FB62A4-DAFD-9447-AA72-0B963AECEF78}"/>
    <hyperlink ref="Z101" r:id="rId105" display="https://doi.org/10.1073/pnas.1702143114" xr:uid="{AE930AF2-20AE-0C4C-8817-8F0083B23230}"/>
    <hyperlink ref="Z103" r:id="rId106" display="https://doi.org/10.1073/pnas.1702143114" xr:uid="{A5FC1BB0-5EB8-3942-B9DB-D2080F30F1F1}"/>
    <hyperlink ref="Z105" r:id="rId107" display="https://doi.org/10.1073/pnas.1702143114" xr:uid="{F66165FA-0C99-784A-84ED-BC5A7A02B643}"/>
    <hyperlink ref="Z107" r:id="rId108" display="https://doi.org/10.1073/pnas.1702143114" xr:uid="{45D14376-BE26-7546-9FA5-B18D6B6A87B9}"/>
    <hyperlink ref="Z109" r:id="rId109" display="https://doi.org/10.1073/pnas.1702143114" xr:uid="{7EDA7948-DCCB-5046-95A7-D454E54098EA}"/>
    <hyperlink ref="Z111" r:id="rId110" display="https://doi.org/10.1073/pnas.1702143114" xr:uid="{3745D0D9-334F-1746-B0BE-1214B4B425D5}"/>
    <hyperlink ref="Z113" r:id="rId111" display="https://doi.org/10.1073/pnas.1702143114" xr:uid="{2AB1C321-A052-AB43-88B0-CC858DD5C379}"/>
    <hyperlink ref="B5" r:id="rId112" display="t.chalk@noc.soton.ac.uk, elwyn" xr:uid="{56E035CA-1B44-E14A-8410-442A6A8D6F47}"/>
    <hyperlink ref="B6" r:id="rId113" display="t.chalk@noc.soton.ac.uk, elwyn" xr:uid="{9F670F18-0F33-3249-88B8-1FF2D61FACCB}"/>
    <hyperlink ref="B7" r:id="rId114" display="t.chalk@noc.soton.ac.uk, elwyn" xr:uid="{0F77C897-4BA6-6844-BAF2-E75DF90B5DAE}"/>
    <hyperlink ref="B8" r:id="rId115" display="t.chalk@noc.soton.ac.uk, elwyn" xr:uid="{A133C8C5-9F4B-EB44-9BA2-A6D8F30BEC67}"/>
    <hyperlink ref="B9" r:id="rId116" display="t.chalk@noc.soton.ac.uk, elwyn" xr:uid="{E3A476A3-565B-4941-B8E0-254923F87D25}"/>
    <hyperlink ref="B10" r:id="rId117" display="t.chalk@noc.soton.ac.uk, elwyn" xr:uid="{A13B49E9-997F-BF44-B216-EADF5A9EC365}"/>
    <hyperlink ref="B11" r:id="rId118" display="t.chalk@noc.soton.ac.uk, elwyn" xr:uid="{AA6D5865-E590-C34B-A72C-362933EEFDB1}"/>
    <hyperlink ref="B12" r:id="rId119" display="t.chalk@noc.soton.ac.uk, elwyn" xr:uid="{529FC4B1-C359-024D-AAD4-8650655AE06B}"/>
    <hyperlink ref="B13" r:id="rId120" display="t.chalk@noc.soton.ac.uk, elwyn" xr:uid="{126393C8-ECB2-E941-ADC4-E9F96AD3127C}"/>
    <hyperlink ref="B14" r:id="rId121" display="t.chalk@noc.soton.ac.uk, elwyn" xr:uid="{4068AD2D-7FC9-CD45-A85E-A624C47D181D}"/>
    <hyperlink ref="B15" r:id="rId122" display="t.chalk@noc.soton.ac.uk, elwyn" xr:uid="{1A8409E9-AB9C-DE4B-BFD0-8E8C1910BC52}"/>
    <hyperlink ref="B16" r:id="rId123" display="t.chalk@noc.soton.ac.uk, elwyn" xr:uid="{1B6F9FFD-E23D-7845-8E69-6A4E13CA8EA8}"/>
    <hyperlink ref="B17" r:id="rId124" display="t.chalk@noc.soton.ac.uk, elwyn" xr:uid="{CD423DCB-DACD-3249-B47F-3190AFCE73F8}"/>
    <hyperlink ref="B18" r:id="rId125" display="t.chalk@noc.soton.ac.uk, elwyn" xr:uid="{80AF315D-9C32-0C48-BC49-9D53F1C45841}"/>
    <hyperlink ref="B19" r:id="rId126" display="t.chalk@noc.soton.ac.uk, elwyn" xr:uid="{33BC2858-B3B6-ED4F-9980-9500EFD91B96}"/>
    <hyperlink ref="B20" r:id="rId127" display="t.chalk@noc.soton.ac.uk, elwyn" xr:uid="{1E7F8C4D-A947-B241-85AB-41CD016BA75A}"/>
    <hyperlink ref="B21" r:id="rId128" display="t.chalk@noc.soton.ac.uk, elwyn" xr:uid="{8F356C0D-F4F4-F545-ACB5-9E0952379277}"/>
    <hyperlink ref="B22" r:id="rId129" display="t.chalk@noc.soton.ac.uk, elwyn" xr:uid="{DFE431BF-31F9-5F4E-8366-6DC1A1E320FC}"/>
    <hyperlink ref="B23" r:id="rId130" display="t.chalk@noc.soton.ac.uk, elwyn" xr:uid="{97E64917-B67B-0C47-A87D-63825B91F33D}"/>
    <hyperlink ref="B24" r:id="rId131" display="t.chalk@noc.soton.ac.uk, elwyn" xr:uid="{65F59D6B-707E-D542-A556-5A55D49B7189}"/>
    <hyperlink ref="B25" r:id="rId132" display="t.chalk@noc.soton.ac.uk, elwyn" xr:uid="{3243E1B3-1026-7244-8EE6-8E08B923864C}"/>
    <hyperlink ref="B26" r:id="rId133" display="t.chalk@noc.soton.ac.uk, elwyn" xr:uid="{B45461BA-E5D0-4D40-8400-27BD119B89EE}"/>
    <hyperlink ref="B27" r:id="rId134" display="t.chalk@noc.soton.ac.uk, elwyn" xr:uid="{C961648C-AB05-6048-A40B-D6AC2396FC66}"/>
    <hyperlink ref="B28" r:id="rId135" display="t.chalk@noc.soton.ac.uk, elwyn" xr:uid="{65DE5BF4-9196-2743-9EA6-64AB3F04E776}"/>
    <hyperlink ref="B29" r:id="rId136" display="t.chalk@noc.soton.ac.uk, elwyn" xr:uid="{7C606AAC-25FF-BF46-ABE6-62E8AE0AF222}"/>
    <hyperlink ref="B30" r:id="rId137" display="t.chalk@noc.soton.ac.uk, elwyn" xr:uid="{53BBB22B-9B50-684B-B24B-C137E4C5AE01}"/>
    <hyperlink ref="B31" r:id="rId138" display="t.chalk@noc.soton.ac.uk, elwyn" xr:uid="{5C53E1AE-BF73-A942-AF17-D40F61669195}"/>
    <hyperlink ref="B32" r:id="rId139" display="t.chalk@noc.soton.ac.uk, elwyn" xr:uid="{A49C8F5C-D65E-C548-A654-356BF94B7807}"/>
    <hyperlink ref="B33" r:id="rId140" display="t.chalk@noc.soton.ac.uk, elwyn" xr:uid="{96E4BA63-3BC7-994F-A0A0-CD08BFA3136D}"/>
    <hyperlink ref="B34" r:id="rId141" display="t.chalk@noc.soton.ac.uk, elwyn" xr:uid="{600BA75D-216A-1D42-8DB2-D14D920283A0}"/>
    <hyperlink ref="B35" r:id="rId142" display="t.chalk@noc.soton.ac.uk, elwyn" xr:uid="{FBC8B7FC-6C63-B04D-935E-E8A36B5889AA}"/>
    <hyperlink ref="B36" r:id="rId143" display="t.chalk@noc.soton.ac.uk, elwyn" xr:uid="{5DB77F67-D578-2B4B-AC8A-F7AC442D0023}"/>
    <hyperlink ref="B37" r:id="rId144" display="t.chalk@noc.soton.ac.uk, elwyn" xr:uid="{35FB3CA2-2EBD-F24D-97ED-B925C738C879}"/>
    <hyperlink ref="B38" r:id="rId145" display="t.chalk@noc.soton.ac.uk, elwyn" xr:uid="{6ABB018A-AF2E-A746-9C06-E064483A3B8F}"/>
    <hyperlink ref="B39" r:id="rId146" display="t.chalk@noc.soton.ac.uk, elwyn" xr:uid="{4E1D6698-F733-F04E-ADA3-6EDE4699161B}"/>
    <hyperlink ref="B40" r:id="rId147" display="t.chalk@noc.soton.ac.uk, elwyn" xr:uid="{D5227924-EA9F-7947-A45B-033BAD4D475D}"/>
    <hyperlink ref="B41" r:id="rId148" display="t.chalk@noc.soton.ac.uk, elwyn" xr:uid="{A58A41EB-E492-5341-B503-2DA9A5F02886}"/>
    <hyperlink ref="B42" r:id="rId149" display="t.chalk@noc.soton.ac.uk, elwyn" xr:uid="{C27A209E-DE07-7841-88DE-FBC4FE697AB3}"/>
    <hyperlink ref="B43" r:id="rId150" display="t.chalk@noc.soton.ac.uk, elwyn" xr:uid="{29C86EF6-CB42-C840-9D07-E5A27C972F7E}"/>
    <hyperlink ref="B44" r:id="rId151" display="t.chalk@noc.soton.ac.uk, elwyn" xr:uid="{7047E1D0-64C6-8542-9941-7F30A553A926}"/>
    <hyperlink ref="B45" r:id="rId152" display="t.chalk@noc.soton.ac.uk, elwyn" xr:uid="{471CA8C4-25C1-0848-9279-E8EC9415E339}"/>
    <hyperlink ref="B46" r:id="rId153" display="t.chalk@noc.soton.ac.uk, elwyn" xr:uid="{BCE81C24-CA64-524E-9225-6C2430895E29}"/>
    <hyperlink ref="B47" r:id="rId154" display="t.chalk@noc.soton.ac.uk, elwyn" xr:uid="{446A0878-773B-124A-8D03-318C15EB7BB9}"/>
    <hyperlink ref="B48" r:id="rId155" display="t.chalk@noc.soton.ac.uk, elwyn" xr:uid="{52C447EA-BC07-2F4A-A9D2-BBF550C207AA}"/>
    <hyperlink ref="B49" r:id="rId156" display="t.chalk@noc.soton.ac.uk, elwyn" xr:uid="{A984AA5A-667F-3041-9AB3-8F960DFD5597}"/>
    <hyperlink ref="B50" r:id="rId157" display="t.chalk@noc.soton.ac.uk, elwyn" xr:uid="{E2474EE2-31B4-9647-A5A0-68876688DCDD}"/>
    <hyperlink ref="B51" r:id="rId158" display="t.chalk@noc.soton.ac.uk, elwyn" xr:uid="{A0F8748E-12E4-7640-8667-62F99C51C3A0}"/>
    <hyperlink ref="B52" r:id="rId159" display="t.chalk@noc.soton.ac.uk, elwyn" xr:uid="{92E44D01-1BBF-C842-9D4D-F2F36806FB7F}"/>
    <hyperlink ref="B53" r:id="rId160" display="t.chalk@noc.soton.ac.uk, elwyn" xr:uid="{F4B6D39D-C321-D448-98AE-68269FE79E5C}"/>
    <hyperlink ref="B54" r:id="rId161" display="t.chalk@noc.soton.ac.uk, elwyn" xr:uid="{D1817BE3-F9A7-DE40-9FCA-238088226EDF}"/>
    <hyperlink ref="B55" r:id="rId162" display="t.chalk@noc.soton.ac.uk, elwyn" xr:uid="{94001DC4-1DF7-6A4A-AA50-C6331092E518}"/>
    <hyperlink ref="B56" r:id="rId163" display="t.chalk@noc.soton.ac.uk, elwyn" xr:uid="{4EF53920-A804-7544-B88D-B046F105F08F}"/>
    <hyperlink ref="B57" r:id="rId164" display="t.chalk@noc.soton.ac.uk, elwyn" xr:uid="{B31611EF-B082-2840-9B73-A79DC5D22FAB}"/>
    <hyperlink ref="B58" r:id="rId165" display="t.chalk@noc.soton.ac.uk, elwyn" xr:uid="{9D0D5203-74FF-4A4B-9617-1E81A597ABDC}"/>
    <hyperlink ref="B59" r:id="rId166" display="t.chalk@noc.soton.ac.uk, elwyn" xr:uid="{4C08A328-491C-2043-BC54-354567530D0F}"/>
    <hyperlink ref="B60" r:id="rId167" display="t.chalk@noc.soton.ac.uk, elwyn" xr:uid="{7255939C-4898-FB41-9498-F578326C4E28}"/>
    <hyperlink ref="B61" r:id="rId168" display="t.chalk@noc.soton.ac.uk, elwyn" xr:uid="{FDAA9F67-C0B8-4045-883E-B4F6A1ABA1FE}"/>
    <hyperlink ref="B62" r:id="rId169" display="t.chalk@noc.soton.ac.uk, elwyn" xr:uid="{9D9391D4-7A0A-4940-BAE5-D4B2E00916DB}"/>
    <hyperlink ref="B63" r:id="rId170" display="t.chalk@noc.soton.ac.uk, elwyn" xr:uid="{78F94DE5-3180-3844-A9D1-9429BDC3EB38}"/>
    <hyperlink ref="B64" r:id="rId171" display="t.chalk@noc.soton.ac.uk, elwyn" xr:uid="{D00C9EB7-E0FC-ED4D-9542-10D57D02BB77}"/>
    <hyperlink ref="B65" r:id="rId172" display="t.chalk@noc.soton.ac.uk, elwyn" xr:uid="{1EEDFD83-4204-8B49-B259-3E80C4868370}"/>
    <hyperlink ref="B66" r:id="rId173" display="t.chalk@noc.soton.ac.uk, elwyn" xr:uid="{16C3D5B2-F514-2443-A6A1-549E9DEAF012}"/>
    <hyperlink ref="B67" r:id="rId174" display="t.chalk@noc.soton.ac.uk, elwyn" xr:uid="{5E73D012-19CB-6847-ADD9-275F43F616FD}"/>
    <hyperlink ref="B68" r:id="rId175" display="t.chalk@noc.soton.ac.uk, elwyn" xr:uid="{B411BB72-7673-7041-ADCA-986CD5067BD9}"/>
    <hyperlink ref="B69" r:id="rId176" display="t.chalk@noc.soton.ac.uk, elwyn" xr:uid="{98F960D2-4E8E-3846-A6B6-9F2FED3B3283}"/>
    <hyperlink ref="B70" r:id="rId177" display="t.chalk@noc.soton.ac.uk, elwyn" xr:uid="{6C6CD72F-3657-A14A-B4A8-518FC7A69E42}"/>
    <hyperlink ref="B71" r:id="rId178" display="t.chalk@noc.soton.ac.uk, elwyn" xr:uid="{07B21630-C9A1-7B47-B87B-71870F9A0E9B}"/>
    <hyperlink ref="B72" r:id="rId179" display="t.chalk@noc.soton.ac.uk, elwyn" xr:uid="{2A4891D5-8920-1D4B-8976-EE7058832A51}"/>
    <hyperlink ref="B73" r:id="rId180" display="t.chalk@noc.soton.ac.uk, elwyn" xr:uid="{15071F0A-CAEE-874E-8F91-00CB61B9F78A}"/>
    <hyperlink ref="B74" r:id="rId181" display="t.chalk@noc.soton.ac.uk, elwyn" xr:uid="{3FBF6EFF-8B7F-6746-ADD9-E5C4BE3A51D8}"/>
    <hyperlink ref="B75" r:id="rId182" display="t.chalk@noc.soton.ac.uk, elwyn" xr:uid="{C3B3A863-E853-834B-B4B6-E79D3A3C3BBF}"/>
    <hyperlink ref="B76" r:id="rId183" display="t.chalk@noc.soton.ac.uk, elwyn" xr:uid="{85C02EF6-A831-014F-8CBB-21F3536DF75F}"/>
    <hyperlink ref="B77" r:id="rId184" display="t.chalk@noc.soton.ac.uk, elwyn" xr:uid="{C049E4C6-BA93-9843-A772-BF209BAC17EC}"/>
    <hyperlink ref="B78" r:id="rId185" display="t.chalk@noc.soton.ac.uk, elwyn" xr:uid="{06E088DD-2279-F044-983D-CE77FEAF6611}"/>
    <hyperlink ref="B79" r:id="rId186" display="t.chalk@noc.soton.ac.uk, elwyn" xr:uid="{871DB9FC-CA30-4149-9924-36640279DFBD}"/>
    <hyperlink ref="B80" r:id="rId187" display="t.chalk@noc.soton.ac.uk, elwyn" xr:uid="{E6A93B98-89F1-C142-9B9A-AAF051BB79D3}"/>
    <hyperlink ref="B81" r:id="rId188" display="t.chalk@noc.soton.ac.uk, elwyn" xr:uid="{C494272F-06CA-9B4D-8427-3F07F1AC2AE4}"/>
    <hyperlink ref="B82" r:id="rId189" display="t.chalk@noc.soton.ac.uk, elwyn" xr:uid="{BF6C6A71-74B9-F84C-A7C1-E16AFAE98892}"/>
    <hyperlink ref="B83" r:id="rId190" display="t.chalk@noc.soton.ac.uk, elwyn" xr:uid="{B3932EF3-F5FA-5D4D-AF45-1E8F32CD3A1E}"/>
    <hyperlink ref="B84" r:id="rId191" display="t.chalk@noc.soton.ac.uk, elwyn" xr:uid="{F1286F29-EC82-6840-990A-C682A3E868C3}"/>
    <hyperlink ref="B85" r:id="rId192" display="t.chalk@noc.soton.ac.uk, elwyn" xr:uid="{3E2D708A-B983-7C45-A52C-81E96A36037C}"/>
    <hyperlink ref="B86" r:id="rId193" display="t.chalk@noc.soton.ac.uk, elwyn" xr:uid="{A7309EB4-D3A1-9C43-9BBA-EC6EEDB86544}"/>
    <hyperlink ref="B87" r:id="rId194" display="t.chalk@noc.soton.ac.uk, elwyn" xr:uid="{AE361FE5-8DAF-1541-A3D0-BBE8E43E8E9B}"/>
    <hyperlink ref="B88" r:id="rId195" display="t.chalk@noc.soton.ac.uk, elwyn" xr:uid="{59DFAF9E-CB27-874E-94BC-DC1FCAC3B8BD}"/>
    <hyperlink ref="B89" r:id="rId196" display="t.chalk@noc.soton.ac.uk, elwyn" xr:uid="{ADFCF3C5-F1CA-7541-B8A1-D81D70FDF1E3}"/>
    <hyperlink ref="B90" r:id="rId197" display="t.chalk@noc.soton.ac.uk, elwyn" xr:uid="{73164DF4-4A94-8A4F-AAC0-498CA4D05FF6}"/>
    <hyperlink ref="B91" r:id="rId198" display="t.chalk@noc.soton.ac.uk, elwyn" xr:uid="{2BE7DF54-7808-BB4E-BEDB-28558052CD31}"/>
    <hyperlink ref="B92" r:id="rId199" display="t.chalk@noc.soton.ac.uk, elwyn" xr:uid="{6F0AB6A3-6079-D04E-A4DF-B09A0AFFD2C8}"/>
    <hyperlink ref="B93" r:id="rId200" display="t.chalk@noc.soton.ac.uk, elwyn" xr:uid="{9E453F77-F63D-D44B-BF06-BA3D83C290DD}"/>
    <hyperlink ref="B94" r:id="rId201" display="t.chalk@noc.soton.ac.uk, elwyn" xr:uid="{3DC96898-E904-3C40-9434-93096164E742}"/>
    <hyperlink ref="B95" r:id="rId202" display="t.chalk@noc.soton.ac.uk, elwyn" xr:uid="{FD615D28-0979-654F-89CB-884F567E090C}"/>
    <hyperlink ref="B96" r:id="rId203" display="t.chalk@noc.soton.ac.uk, elwyn" xr:uid="{AFA6758D-827D-4B40-8884-B16B94F887CD}"/>
    <hyperlink ref="B97" r:id="rId204" display="t.chalk@noc.soton.ac.uk, elwyn" xr:uid="{A30D436A-350C-BE4D-9BC5-F3513E27E36C}"/>
    <hyperlink ref="B98" r:id="rId205" display="t.chalk@noc.soton.ac.uk, elwyn" xr:uid="{A798D10F-2907-D94E-82D3-0139CBC62961}"/>
    <hyperlink ref="B99" r:id="rId206" display="t.chalk@noc.soton.ac.uk, elwyn" xr:uid="{08500E11-13A5-714D-8A14-B7C93A1AD408}"/>
    <hyperlink ref="B100" r:id="rId207" display="t.chalk@noc.soton.ac.uk, elwyn" xr:uid="{A83B43BB-4EAB-104A-AD17-D4A4C25573D1}"/>
    <hyperlink ref="B101" r:id="rId208" display="t.chalk@noc.soton.ac.uk, elwyn" xr:uid="{877D4AA8-B390-3948-B5D1-71AB80F8DD3B}"/>
    <hyperlink ref="B102" r:id="rId209" display="t.chalk@noc.soton.ac.uk, elwyn" xr:uid="{7CBDA7C2-C427-6742-9543-09FD195A3450}"/>
    <hyperlink ref="B103" r:id="rId210" display="t.chalk@noc.soton.ac.uk, elwyn" xr:uid="{D3E9E499-D4D0-E84F-8971-5439435ADA26}"/>
    <hyperlink ref="B104" r:id="rId211" display="t.chalk@noc.soton.ac.uk, elwyn" xr:uid="{84B7D368-7482-FC4F-969A-FE6675F2122F}"/>
    <hyperlink ref="B105" r:id="rId212" display="t.chalk@noc.soton.ac.uk, elwyn" xr:uid="{19EFA762-3F9A-E045-A718-E294E08A009F}"/>
    <hyperlink ref="B106" r:id="rId213" display="t.chalk@noc.soton.ac.uk, elwyn" xr:uid="{3C2480EA-B54C-B844-A553-07CB03A7EF5E}"/>
    <hyperlink ref="B107" r:id="rId214" display="t.chalk@noc.soton.ac.uk, elwyn" xr:uid="{E74E87EF-3FE6-5846-B251-358CE5063000}"/>
    <hyperlink ref="B108" r:id="rId215" display="t.chalk@noc.soton.ac.uk, elwyn" xr:uid="{5452B172-A41C-0A40-B657-BE89B0FD4907}"/>
    <hyperlink ref="B109" r:id="rId216" display="t.chalk@noc.soton.ac.uk, elwyn" xr:uid="{4E3D19BD-176D-D84D-A25F-2380447FD2CA}"/>
    <hyperlink ref="B110" r:id="rId217" display="t.chalk@noc.soton.ac.uk, elwyn" xr:uid="{24B7F86B-5C5B-0D4C-A1AB-9E64E41A361D}"/>
    <hyperlink ref="B111" r:id="rId218" display="t.chalk@noc.soton.ac.uk, elwyn" xr:uid="{318AA469-813A-AD45-839B-6CA68870E850}"/>
    <hyperlink ref="B112" r:id="rId219" display="t.chalk@noc.soton.ac.uk, elwyn" xr:uid="{08109C7A-DF90-554A-9C82-44F28AC00260}"/>
    <hyperlink ref="B113" r:id="rId220" display="t.chalk@noc.soton.ac.uk, elwyn" xr:uid="{E0997A66-E9E8-0F49-8571-C63D4DDDEDC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Wesleyan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Dana Royer</dc:creator>
  <cp:lastModifiedBy>Bärbel Hönisch</cp:lastModifiedBy>
  <dcterms:created xsi:type="dcterms:W3CDTF">2019-02-20T15:43:35Z</dcterms:created>
  <dcterms:modified xsi:type="dcterms:W3CDTF">2022-03-17T17:59:27Z</dcterms:modified>
</cp:coreProperties>
</file>