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Users/Daphnia/Desktop/paleo-CO2 data base/product/product May 2023/"/>
    </mc:Choice>
  </mc:AlternateContent>
  <xr:revisionPtr revIDLastSave="0" documentId="13_ncr:1_{B87377BE-8F2D-5142-9E65-4BA0E1485584}" xr6:coauthVersionLast="47" xr6:coauthVersionMax="47" xr10:uidLastSave="{00000000-0000-0000-0000-000000000000}"/>
  <bookViews>
    <workbookView xWindow="600" yWindow="680" windowWidth="25960" windowHeight="15340" xr2:uid="{00000000-000D-0000-FFFF-FFFF00000000}"/>
  </bookViews>
  <sheets>
    <sheet name="Sheet1" sheetId="1" r:id="rId1"/>
  </sheets>
  <calcPr calcId="191029"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I48" i="1" l="1"/>
  <c r="EZ48" i="1"/>
  <c r="EY48" i="1"/>
  <c r="FI47" i="1"/>
  <c r="EZ47" i="1"/>
  <c r="EY47" i="1"/>
  <c r="FI46" i="1"/>
  <c r="EZ46" i="1"/>
  <c r="EY46" i="1"/>
  <c r="FI45" i="1"/>
  <c r="EZ45" i="1"/>
  <c r="EY45" i="1"/>
  <c r="FI44" i="1"/>
  <c r="EZ44" i="1"/>
  <c r="EY44" i="1"/>
  <c r="FI43" i="1"/>
  <c r="EZ43" i="1"/>
  <c r="EY43" i="1"/>
  <c r="FI42" i="1"/>
  <c r="EZ42" i="1"/>
  <c r="EY42" i="1"/>
  <c r="FI41" i="1"/>
  <c r="EZ41" i="1"/>
  <c r="EY41" i="1"/>
  <c r="FI40" i="1"/>
  <c r="EZ40" i="1"/>
  <c r="EY40" i="1"/>
  <c r="FI39" i="1"/>
  <c r="EZ39" i="1"/>
  <c r="EY39" i="1"/>
  <c r="FI38" i="1"/>
  <c r="EZ38" i="1"/>
  <c r="EY38" i="1"/>
  <c r="FI37" i="1"/>
  <c r="EZ37" i="1"/>
  <c r="EY37" i="1"/>
  <c r="FI36" i="1"/>
  <c r="EZ36" i="1"/>
  <c r="EY36" i="1"/>
  <c r="FI35" i="1"/>
  <c r="EZ35" i="1"/>
  <c r="EY35" i="1"/>
  <c r="FI34" i="1"/>
  <c r="EZ34" i="1"/>
  <c r="EY34" i="1"/>
  <c r="FI33" i="1"/>
  <c r="EZ33" i="1"/>
  <c r="EY33" i="1"/>
  <c r="FI32" i="1"/>
  <c r="EZ32" i="1"/>
  <c r="EY32" i="1"/>
  <c r="FI31" i="1"/>
  <c r="EZ31" i="1"/>
  <c r="EY31" i="1"/>
  <c r="FI30" i="1"/>
  <c r="EZ30" i="1"/>
  <c r="EY30" i="1"/>
  <c r="FI29" i="1"/>
  <c r="EZ29" i="1"/>
  <c r="EY29" i="1"/>
  <c r="FI28" i="1"/>
  <c r="EZ28" i="1"/>
  <c r="EY28" i="1"/>
  <c r="FI27" i="1"/>
  <c r="EZ27" i="1"/>
  <c r="EY27" i="1"/>
  <c r="FI26" i="1"/>
  <c r="EZ26" i="1"/>
  <c r="EY26" i="1"/>
  <c r="FI25" i="1"/>
  <c r="EZ25" i="1"/>
  <c r="EY25" i="1"/>
  <c r="FI24" i="1"/>
  <c r="EZ24" i="1"/>
  <c r="EY24" i="1"/>
  <c r="FI23" i="1"/>
  <c r="EZ23" i="1"/>
  <c r="EY23" i="1"/>
  <c r="FI22" i="1"/>
  <c r="EZ22" i="1"/>
  <c r="EY22" i="1"/>
  <c r="FI21" i="1"/>
  <c r="EZ21" i="1"/>
  <c r="EY21" i="1"/>
  <c r="FI20" i="1"/>
  <c r="EZ20" i="1"/>
  <c r="EY20" i="1"/>
  <c r="FI19" i="1"/>
  <c r="EZ19" i="1"/>
  <c r="EY19" i="1"/>
  <c r="FI18" i="1"/>
  <c r="EZ18" i="1"/>
  <c r="EY18" i="1"/>
  <c r="FI17" i="1"/>
  <c r="EZ17" i="1"/>
  <c r="EY17" i="1"/>
  <c r="FI16" i="1"/>
  <c r="EZ16" i="1"/>
  <c r="EY16" i="1"/>
  <c r="FI15" i="1"/>
  <c r="EZ15" i="1"/>
  <c r="EY15" i="1"/>
  <c r="FI14" i="1"/>
  <c r="EZ14" i="1"/>
  <c r="EY14" i="1"/>
  <c r="FI13" i="1"/>
  <c r="EZ13" i="1"/>
  <c r="EY13" i="1"/>
  <c r="FI12" i="1"/>
  <c r="EZ12" i="1"/>
  <c r="EY12" i="1"/>
  <c r="FI11" i="1"/>
  <c r="EZ11" i="1"/>
  <c r="EY11" i="1"/>
  <c r="FI10" i="1"/>
  <c r="EZ10" i="1"/>
  <c r="EY10" i="1"/>
  <c r="FI9" i="1"/>
  <c r="EZ9" i="1"/>
  <c r="EY9" i="1"/>
  <c r="FI8" i="1"/>
  <c r="EZ8" i="1"/>
  <c r="EY8" i="1"/>
  <c r="FI7" i="1"/>
  <c r="EZ7" i="1"/>
  <c r="EY7" i="1"/>
  <c r="FI6" i="1"/>
  <c r="EZ6" i="1"/>
  <c r="EY6" i="1"/>
  <c r="FI5" i="1"/>
  <c r="EZ5" i="1"/>
  <c r="EY5" i="1"/>
  <c r="FI4" i="1"/>
  <c r="EZ4" i="1"/>
  <c r="EY4" i="1"/>
</calcChain>
</file>

<file path=xl/sharedStrings.xml><?xml version="1.0" encoding="utf-8"?>
<sst xmlns="http://schemas.openxmlformats.org/spreadsheetml/2006/main" count="5975" uniqueCount="360">
  <si>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</si>
  <si>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</si>
  <si>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</si>
  <si>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</si>
  <si>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</si>
  <si>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</si>
  <si>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</si>
  <si>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</si>
  <si>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</si>
  <si>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</si>
  <si>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</si>
  <si>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</si>
  <si>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</si>
  <si>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</si>
  <si>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</si>
  <si>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</si>
  <si>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</si>
  <si>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</si>
  <si>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</si>
  <si>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</si>
  <si>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</si>
  <si>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</si>
  <si>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</si>
  <si>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</si>
  <si>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</si>
  <si>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</si>
  <si>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</si>
  <si>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</si>
  <si>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</si>
  <si>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</si>
  <si>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</si>
  <si>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</si>
  <si>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</si>
  <si>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</si>
  <si>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</si>
  <si>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</si>
  <si>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</si>
  <si>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</si>
  <si>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</si>
  <si>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</si>
  <si>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</si>
  <si>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</si>
  <si>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</si>
  <si>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</si>
  <si>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</si>
  <si>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</si>
  <si>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</si>
  <si>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</si>
  <si>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</si>
  <si>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</si>
  <si>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</si>
  <si>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</si>
  <si>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</si>
  <si>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</si>
  <si>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</si>
  <si>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</si>
  <si>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</si>
  <si>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</si>
  <si>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</si>
  <si>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</si>
  <si>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</si>
  <si>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</si>
  <si>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</si>
  <si>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</si>
  <si>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</si>
  <si>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</si>
  <si>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</si>
  <si>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</si>
  <si>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</si>
  <si>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</si>
  <si>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</si>
  <si>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</si>
  <si>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</si>
  <si>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</si>
  <si>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</si>
  <si>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</si>
  <si>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</si>
  <si>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</si>
  <si>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</si>
  <si>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</si>
  <si>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</si>
  <si>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</si>
  <si>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</si>
  <si>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</si>
  <si>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</si>
  <si>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</si>
  <si>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</si>
  <si>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</si>
  <si>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</si>
  <si>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</si>
  <si>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</si>
  <si>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</si>
  <si>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</si>
  <si>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</si>
  <si>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</si>
  <si>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</si>
  <si>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</si>
  <si>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</si>
  <si>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</si>
  <si>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</si>
  <si>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</si>
  <si>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</si>
  <si>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</si>
  <si>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</si>
  <si>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</si>
  <si>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</si>
  <si>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</si>
  <si>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</si>
  <si>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</si>
  <si>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</si>
  <si>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</si>
  <si>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</si>
  <si>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</si>
  <si>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</si>
  <si>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</si>
  <si>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</si>
  <si>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</si>
  <si>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</si>
  <si>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</si>
  <si>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</si>
  <si>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</si>
  <si>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</si>
  <si>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</si>
  <si>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</si>
  <si>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</si>
  <si>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</si>
  <si>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</si>
  <si>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</si>
  <si>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</si>
  <si>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</si>
  <si>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</si>
  <si>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</si>
  <si>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</si>
  <si>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</si>
  <si>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</si>
  <si>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</si>
  <si>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</si>
  <si>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</si>
  <si>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</si>
  <si>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</si>
  <si>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</si>
  <si>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</si>
  <si>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</si>
  <si>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</si>
  <si>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</si>
  <si>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</si>
  <si>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</si>
  <si>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</si>
  <si>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</si>
  <si>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</si>
  <si>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</si>
  <si>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</si>
  <si>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</si>
  <si>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</si>
  <si>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</si>
  <si>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</si>
  <si>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</si>
  <si>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</si>
  <si>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</si>
  <si>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</si>
  <si>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</si>
  <si>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</si>
  <si>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</si>
  <si>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</si>
  <si>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</si>
  <si>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</si>
  <si>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</si>
  <si>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A</t>
  </si>
  <si>
    <t>NA</t>
  </si>
  <si>
    <t>Klochko et al. (2006)</t>
  </si>
  <si>
    <t>set value</t>
  </si>
  <si>
    <t>total scale</t>
  </si>
  <si>
    <t xml:space="preserve">NA </t>
  </si>
  <si>
    <t>boron isotopes</t>
  </si>
  <si>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</si>
  <si>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</si>
  <si>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</si>
  <si>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</si>
  <si>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</si>
  <si>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</si>
  <si>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</si>
  <si>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</si>
  <si>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</si>
  <si>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</si>
  <si>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</si>
  <si>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</si>
  <si>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</si>
  <si>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</si>
  <si>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Brown</t>
  </si>
  <si>
    <t xml:space="preserve">10.1038/s41561-022-00982-7 </t>
  </si>
  <si>
    <t>Michael Henehan</t>
  </si>
  <si>
    <t>all known sources of error have been quantified and/or sensitivity of the CO2 estimate to those sources is small</t>
  </si>
  <si>
    <t>Brown, R.M., Chalk, T.B., Crocker, A.J., Wilson, P.A. and Foster, G.L., 2022. Late Miocene cooling coupled to carbon dioxide with Pleistocene-like climate sensitivity. Nature Geoscience, 15(8), pp.664-670.</t>
  </si>
  <si>
    <t>10.1038/s41561-022-00982-7</t>
  </si>
  <si>
    <t xml:space="preserve"> ODP 926</t>
  </si>
  <si>
    <t>B</t>
  </si>
  <si>
    <t>Zeeden et al. (2013) https://doi.org/10.1016/j.palaeo.2012.11.009</t>
  </si>
  <si>
    <t>Ceara Rise, Equatorial Atlantic Ocean</t>
  </si>
  <si>
    <t>none given</t>
  </si>
  <si>
    <t xml:space="preserve">tuned to Laskar La2001b10 </t>
  </si>
  <si>
    <t>From previously published age model from ODP 926 based on astronomical tuning of magnetic susceptibility, X-ray fluorescence and core images.</t>
  </si>
  <si>
    <t xml:space="preserve"> Zeeden, C. et al., 2013. Revised Miocene splice, astronomical tuning and calcareous plankton biochronology of ODP Site 926 between 5 and 14.4Ma. Palaeogeogr. Palaeoclimatol. Palaeoecol. 369, 430–451.Wilkens, R. H. et al., 2017. Revisiting the Ceara Rise, equatorial Atlantic Ocean: isotope stratigraphy of ODP Leg 154 from 0 to 5Ma. Clim. Past 13, 779–793.</t>
  </si>
  <si>
    <t xml:space="preserve">Trilobatus trilobus, Cibicidoides wuellerstorfi </t>
  </si>
  <si>
    <t>300–355 μm</t>
  </si>
  <si>
    <t>~300</t>
  </si>
  <si>
    <t>~3</t>
  </si>
  <si>
    <t>Chalk, T. B. et al. 2017. Causes of ice age intensification across the mid-Pleistocene transition. Proc. Natl Acad. Sci. USA 114, 13114–13119, Barker, S., Greaves, M. &amp; Elderfield, H. 2003. A study of cleaning procedures used for foraminiferal Mg/Ca paleothermometry. Geochem. Geophys. Geosyst. 4., Foster, G. L. et al. 2013. Interlaboratory comparison of boron isotope analyses of boric acid, seawater and marine CaCO3 by MC-ICPMS and NTIMS. Chem. Geol. 358, 1–14, Henehan, M. J. et al. 2013. Calibration of the boron isotope proxy in the planktonic foraminifera Globigerinoides ruber for use in palaeo-CO2 reconstruction. Earth Planet. Sci. Lett. 364, 111–122.</t>
  </si>
  <si>
    <t>Column Chemistry</t>
  </si>
  <si>
    <t>MC-ICPMS</t>
  </si>
  <si>
    <t>18.32 , 18.16</t>
  </si>
  <si>
    <t>0.19 , 0.18</t>
  </si>
  <si>
    <t>2x standard deviation, based on scaling long-term standard reproducibility with sample size</t>
  </si>
  <si>
    <t>Sosdian et al. (2018)</t>
  </si>
  <si>
    <t>300-355 µm from core top data of Seki et al. (2010) with estimates of surface water borate from Henehan et al. (2016)</t>
  </si>
  <si>
    <t xml:space="preserve">2sd (normal distribution) </t>
  </si>
  <si>
    <t>from analytical uncertainty only- no calibration uncertainty</t>
  </si>
  <si>
    <t>root mean squares of max. and min. analytical uncertainty transformed to borate - NB, not supplied in original paper</t>
  </si>
  <si>
    <t>none applied</t>
  </si>
  <si>
    <t>2x standard deviation</t>
  </si>
  <si>
    <r>
      <t>SST = ln ((Mg/Ca</t>
    </r>
    <r>
      <rPr>
        <vertAlign val="subscript"/>
        <sz val="12"/>
        <color theme="1"/>
        <rFont val="Calibri"/>
        <family val="2"/>
      </rPr>
      <t>trilobus</t>
    </r>
    <r>
      <rPr>
        <sz val="12"/>
        <color theme="1"/>
        <rFont val="Calibri"/>
        <family val="2"/>
      </rPr>
      <t>)/ (Mg/Ca</t>
    </r>
    <r>
      <rPr>
        <vertAlign val="subscript"/>
        <sz val="12"/>
        <color theme="1"/>
        <rFont val="Calibri"/>
        <family val="2"/>
      </rPr>
      <t>corrected</t>
    </r>
    <r>
      <rPr>
        <sz val="12"/>
        <color theme="1"/>
        <rFont val="Calibri"/>
        <family val="2"/>
      </rPr>
      <t xml:space="preserve"> × 0.37 )) ÷ 0.09 + 0.36 × core depth (km)</t>
    </r>
  </si>
  <si>
    <t>Anand, P., Elderfield, H. &amp; Conte, M. H., 2003. Calibration of Mg/Ca thermometry in planktonic foraminifera from a sediment trap time series. Paleoceanography 18, 28–31.</t>
  </si>
  <si>
    <r>
      <t xml:space="preserve">   Mg/Ca</t>
    </r>
    <r>
      <rPr>
        <vertAlign val="subscript"/>
        <sz val="12"/>
        <color theme="1"/>
        <rFont val="Calibri"/>
        <family val="2"/>
      </rPr>
      <t xml:space="preserve">corrected </t>
    </r>
    <r>
      <rPr>
        <sz val="12"/>
        <color theme="1"/>
        <rFont val="Calibri"/>
        <family val="2"/>
      </rPr>
      <t>= (Mg/Ca</t>
    </r>
    <r>
      <rPr>
        <vertAlign val="subscript"/>
        <sz val="12"/>
        <color theme="1"/>
        <rFont val="Calibri"/>
        <family val="2"/>
      </rPr>
      <t>sw</t>
    </r>
    <r>
      <rPr>
        <sz val="12"/>
        <color theme="1"/>
        <rFont val="Calibri"/>
        <family val="2"/>
      </rPr>
      <t xml:space="preserve"> × age/Mg/Ca</t>
    </r>
    <r>
      <rPr>
        <vertAlign val="subscript"/>
        <sz val="12"/>
        <color theme="1"/>
        <rFont val="Calibri"/>
        <family val="2"/>
      </rPr>
      <t>modern</t>
    </r>
    <r>
      <rPr>
        <sz val="12"/>
        <color theme="1"/>
        <rFont val="Calibri"/>
        <family val="2"/>
      </rPr>
      <t>)</t>
    </r>
    <r>
      <rPr>
        <vertAlign val="superscript"/>
        <sz val="12"/>
        <color theme="1"/>
        <rFont val="Calibri"/>
        <family val="2"/>
      </rPr>
      <t>0.41</t>
    </r>
  </si>
  <si>
    <t>Lear, C. H. et al. Neogene ice volume and ocean temperatures: insights from infaunal foraminiferal Mg/Ca paleothermometry. Paleoceanography 30, 2015PA002833 (2015).
Hasiuk, F. J. &amp; Lohmann, K. C. Application of calcite Mg partitioning functions to the reconstruction of paleocean Mg/Ca. Geochim. Cosmochim. Acta 74, 6751–6763 (2010).</t>
  </si>
  <si>
    <t>modern</t>
  </si>
  <si>
    <t>Monte Carlo, note that uncertainty is reported as the average of pos. and neg. uncertainties</t>
  </si>
  <si>
    <t xml:space="preserve">Total boron of seawater at S=35 (µmol/kg) calculated with seacarb package in R. </t>
  </si>
  <si>
    <r>
      <t>mean δ</t>
    </r>
    <r>
      <rPr>
        <vertAlign val="superscript"/>
        <sz val="12"/>
        <color theme="1"/>
        <rFont val="Calibri"/>
        <family val="2"/>
      </rPr>
      <t>11</t>
    </r>
    <r>
      <rPr>
        <sz val="12"/>
        <color theme="1"/>
        <rFont val="Calibri"/>
        <family val="2"/>
      </rPr>
      <t>B</t>
    </r>
    <r>
      <rPr>
        <vertAlign val="subscript"/>
        <sz val="12"/>
        <color theme="1"/>
        <rFont val="Calibri"/>
        <family val="2"/>
      </rPr>
      <t>sw</t>
    </r>
    <r>
      <rPr>
        <sz val="12"/>
        <color theme="1"/>
        <rFont val="Calibri"/>
        <family val="2"/>
      </rPr>
      <t xml:space="preserve"> for 7–5 Ma; uncertainty is 2sd normal distribution</t>
    </r>
  </si>
  <si>
    <t>Greenop et al 2017</t>
  </si>
  <si>
    <t xml:space="preserve"> Dickson, A. G., 1990. Thermodynamics of the dissociation of boric acid in synthetic seawater from 273.15 to 318.15K. Deep Sea Res. Part A 37, 755–766. No correction for seawater Mg and Ca- just used seacarb</t>
  </si>
  <si>
    <t>Millero, F. J., 1995. Thermodynamics of the carbon dioxide system in the oceans. Geochim. Cosmochim. Acta 59, 661–677</t>
  </si>
  <si>
    <t>seacarb, R</t>
  </si>
  <si>
    <t>Lueker, T. J., Dickson, A. G. &amp; Keeling, C. D. Ocean pCO2 calculated from dissolved inorganic carbon, alkalinity, and equations for K1 and K2: validation based on laboratory measurements of CO2 in gas and seawater at equilibrium. Mar. Chem. 70, 105–119 (2000).</t>
  </si>
  <si>
    <t xml:space="preserve"> Dickson, A. G., 1990. Thermodynamics of the dissociation of boric acid in synthetic seawater from 273.15 to 318.15K. Deep Sea Res. Part A 37, 755–766.</t>
  </si>
  <si>
    <t>DIC</t>
  </si>
  <si>
    <r>
      <t>DIC</t>
    </r>
    <r>
      <rPr>
        <vertAlign val="subscript"/>
        <sz val="12"/>
        <color theme="1"/>
        <rFont val="Calibri"/>
        <family val="2"/>
      </rPr>
      <t>s</t>
    </r>
    <r>
      <rPr>
        <sz val="12"/>
        <color theme="1"/>
        <rFont val="Calibri"/>
        <family val="2"/>
      </rPr>
      <t xml:space="preserve"> =( -20.1/1,000) ×Ma+ 2,027.8/10</t>
    </r>
    <r>
      <rPr>
        <vertAlign val="superscript"/>
        <sz val="12"/>
        <color theme="1"/>
        <rFont val="Calibri"/>
        <family val="2"/>
      </rPr>
      <t>6</t>
    </r>
  </si>
  <si>
    <t xml:space="preserve"> Sosdian, S. M. et al. Constraining the evolution of Neogene ocean carbonate chemistry using the boron isotope pH proxy. Earth Planet. Sci. Lett. 498, 362–376 (2018).</t>
  </si>
  <si>
    <t>set value=250 µmol/kg, 1 sigma</t>
  </si>
  <si>
    <t>Monte Carlo</t>
  </si>
  <si>
    <t>18.08 , 18.03</t>
  </si>
  <si>
    <t>0.25 , 0.24</t>
  </si>
  <si>
    <t>Millero, F. J., 1995. Thermodynamics of the carbon dioxide system in the oceans. Geochim. Cosmochim. Acta 59, 661–678</t>
  </si>
  <si>
    <t>18.17 , 18.32</t>
  </si>
  <si>
    <t>0.27 , 0.25</t>
  </si>
  <si>
    <t>Millero, F. J., 1995. Thermodynamics of the carbon dioxide system in the oceans. Geochim. Cosmochim. Acta 59, 661–679</t>
  </si>
  <si>
    <t>18.27 , 18.42</t>
  </si>
  <si>
    <t>0.19 , 0.19</t>
  </si>
  <si>
    <t>Millero, F. J., 1995. Thermodynamics of the carbon dioxide system in the oceans. Geochim. Cosmochim. Acta 59, 661–680</t>
  </si>
  <si>
    <t>C</t>
  </si>
  <si>
    <t>17.76 , 17.75</t>
  </si>
  <si>
    <t>Millero, F. J., 1995. Thermodynamics of the carbon dioxide system in the oceans. Geochim. Cosmochim. Acta 59, 661–681</t>
  </si>
  <si>
    <t>tuned to Laskar La2001b10</t>
  </si>
  <si>
    <t>17.53 , 17.48</t>
  </si>
  <si>
    <t>0.21 , 0.20</t>
  </si>
  <si>
    <t>Millero, F. J., 1995. Thermodynamics of the carbon dioxide system in the oceans. Geochim. Cosmochim. Acta 59, 661–682</t>
  </si>
  <si>
    <t>18.53 , 18.51</t>
  </si>
  <si>
    <t>0.17 , 0.17</t>
  </si>
  <si>
    <t>Millero, F. J., 1995. Thermodynamics of the carbon dioxide system in the oceans. Geochim. Cosmochim. Acta 59, 661–683</t>
  </si>
  <si>
    <t>18.66 , 18.73</t>
  </si>
  <si>
    <t>0.23 , 0.22</t>
  </si>
  <si>
    <t>Millero, F. J., 1995. Thermodynamics of the carbon dioxide system in the oceans. Geochim. Cosmochim. Acta 59, 661–684</t>
  </si>
  <si>
    <t>18.29 , 18.31</t>
  </si>
  <si>
    <t>0.18 , 0.17</t>
  </si>
  <si>
    <t>Millero, F. J., 1995. Thermodynamics of the carbon dioxide system in the oceans. Geochim. Cosmochim. Acta 59, 661–685</t>
  </si>
  <si>
    <t>18.25 , 18.49</t>
  </si>
  <si>
    <t>Millero, F. J., 1995. Thermodynamics of the carbon dioxide system in the oceans. Geochim. Cosmochim. Acta 59, 661–686</t>
  </si>
  <si>
    <t>17.80 , 17.75</t>
  </si>
  <si>
    <t>0.23 , 0.23</t>
  </si>
  <si>
    <t>Millero, F. J., 1995. Thermodynamics of the carbon dioxide system in the oceans. Geochim. Cosmochim. Acta 59, 661–687</t>
  </si>
  <si>
    <t>18.80 , 18.80</t>
  </si>
  <si>
    <t>Millero, F. J., 1995. Thermodynamics of the carbon dioxide system in the oceans. Geochim. Cosmochim. Acta 59, 661–688</t>
  </si>
  <si>
    <t>18.21 , 18.36</t>
  </si>
  <si>
    <t>0.17 , 0.16</t>
  </si>
  <si>
    <t>Millero, F. J., 1995. Thermodynamics of the carbon dioxide system in the oceans. Geochim. Cosmochim. Acta 59, 661–689</t>
  </si>
  <si>
    <t>18.13 , 18.23</t>
  </si>
  <si>
    <t>Millero, F. J., 1995. Thermodynamics of the carbon dioxide system in the oceans. Geochim. Cosmochim. Acta 59, 661–690</t>
  </si>
  <si>
    <t>18.62 , 18.77</t>
  </si>
  <si>
    <t>Millero, F. J., 1995. Thermodynamics of the carbon dioxide system in the oceans. Geochim. Cosmochim. Acta 59, 661–691</t>
  </si>
  <si>
    <t>17.67 , 17.70</t>
  </si>
  <si>
    <t>Millero, F. J., 1995. Thermodynamics of the carbon dioxide system in the oceans. Geochim. Cosmochim. Acta 59, 661–692</t>
  </si>
  <si>
    <t>18.03 , 18.08</t>
  </si>
  <si>
    <t>Millero, F. J., 1995. Thermodynamics of the carbon dioxide system in the oceans. Geochim. Cosmochim. Acta 59, 661–693</t>
  </si>
  <si>
    <t>18.30 , 18.29</t>
  </si>
  <si>
    <t>Millero, F. J., 1995. Thermodynamics of the carbon dioxide system in the oceans. Geochim. Cosmochim. Acta 59, 661–694</t>
  </si>
  <si>
    <t>17.33 , 17.57</t>
  </si>
  <si>
    <t>0.20 , 0.20</t>
  </si>
  <si>
    <t>Millero, F. J., 1995. Thermodynamics of the carbon dioxide system in the oceans. Geochim. Cosmochim. Acta 59, 661–695</t>
  </si>
  <si>
    <t>18.37 , 18.34</t>
  </si>
  <si>
    <t>Millero, F. J., 1995. Thermodynamics of the carbon dioxide system in the oceans. Geochim. Cosmochim. Acta 59, 661–696</t>
  </si>
  <si>
    <t>17.64 , 17.64</t>
  </si>
  <si>
    <t>0.24 , 0.23</t>
  </si>
  <si>
    <t>Millero, F. J., 1995. Thermodynamics of the carbon dioxide system in the oceans. Geochim. Cosmochim. Acta 59, 661–697</t>
  </si>
  <si>
    <t>18.43 , 18.53</t>
  </si>
  <si>
    <t>0.20 , 0.19</t>
  </si>
  <si>
    <t>Millero, F. J., 1995. Thermodynamics of the carbon dioxide system in the oceans. Geochim. Cosmochim. Acta 59, 661–698</t>
  </si>
  <si>
    <t>18.49 , 18.65</t>
  </si>
  <si>
    <t>0.17 , 0.15</t>
  </si>
  <si>
    <t>Millero, F. J., 1995. Thermodynamics of the carbon dioxide system in the oceans. Geochim. Cosmochim. Acta 59, 661–699</t>
  </si>
  <si>
    <t>17.25 , 17.29</t>
  </si>
  <si>
    <t>0.22 , 0.22</t>
  </si>
  <si>
    <t>Millero, F. J., 1995. Thermodynamics of the carbon dioxide system in the oceans. Geochim. Cosmochim. Acta 59, 661–700</t>
  </si>
  <si>
    <t>18.52 , 18.42</t>
  </si>
  <si>
    <t>Millero, F. J., 1995. Thermodynamics of the carbon dioxide system in the oceans. Geochim. Cosmochim. Acta 59, 661–701</t>
  </si>
  <si>
    <t>18.55 , 18.69</t>
  </si>
  <si>
    <t>0.16 , 0.15</t>
  </si>
  <si>
    <t>Millero, F. J., 1995. Thermodynamics of the carbon dioxide system in the oceans. Geochim. Cosmochim. Acta 59, 661–702</t>
  </si>
  <si>
    <t>18.78 , 18.70</t>
  </si>
  <si>
    <t>Millero, F. J., 1995. Thermodynamics of the carbon dioxide system in the oceans. Geochim. Cosmochim. Acta 59, 661–703</t>
  </si>
  <si>
    <t>18.34 , 18.38</t>
  </si>
  <si>
    <t>Millero, F. J., 1995. Thermodynamics of the carbon dioxide system in the oceans. Geochim. Cosmochim. Acta 59, 661–704</t>
  </si>
  <si>
    <t>17.51 , 17.97</t>
  </si>
  <si>
    <t>Millero, F. J., 1995. Thermodynamics of the carbon dioxide system in the oceans. Geochim. Cosmochim. Acta 59, 661–705</t>
  </si>
  <si>
    <t>17.50 , 18.25</t>
  </si>
  <si>
    <t>Millero, F. J., 1995. Thermodynamics of the carbon dioxide system in the oceans. Geochim. Cosmochim. Acta 59, 661–706</t>
  </si>
  <si>
    <t>17.64 , 17.95</t>
  </si>
  <si>
    <t>Millero, F. J., 1995. Thermodynamics of the carbon dioxide system in the oceans. Geochim. Cosmochim. Acta 59, 661–707</t>
  </si>
  <si>
    <t>17.41 , 17.06</t>
  </si>
  <si>
    <t>0.14 , 0.25</t>
  </si>
  <si>
    <t>Millero, F. J., 1995. Thermodynamics of the carbon dioxide system in the oceans. Geochim. Cosmochim. Acta 59, 661–709</t>
  </si>
  <si>
    <t>18.05 , 18.22</t>
  </si>
  <si>
    <t>0.11 , 0.21</t>
  </si>
  <si>
    <t>Millero, F. J., 1995. Thermodynamics of the carbon dioxide system in the oceans. Geochim. Cosmochim. Acta 59, 661–710</t>
  </si>
  <si>
    <t>17.40 , 17.73</t>
  </si>
  <si>
    <t>0.15 , 0.26</t>
  </si>
  <si>
    <t>Millero, F. J., 1995. Thermodynamics of the carbon dioxide system in the oceans. Geochim. Cosmochim. Acta 59, 661–711</t>
  </si>
  <si>
    <t>17.73 , 17.47</t>
  </si>
  <si>
    <t>0.24 , 0.42</t>
  </si>
  <si>
    <t>Millero, F. J., 1995. Thermodynamics of the carbon dioxide system in the oceans. Geochim. Cosmochim. Acta 59, 661–712</t>
  </si>
  <si>
    <t>18.26 , 18.25</t>
  </si>
  <si>
    <t>0.18 , 0.25</t>
  </si>
  <si>
    <t>Millero, F. J., 1995. Thermodynamics of the carbon dioxide system in the oceans. Geochim. Cosmochim. Acta 59, 661–713</t>
  </si>
  <si>
    <t>17.43 , 17.69</t>
  </si>
  <si>
    <t>0.13 , 0.22</t>
  </si>
  <si>
    <t>Millero, F. J., 1995. Thermodynamics of the carbon dioxide system in the oceans. Geochim. Cosmochim. Acta 59, 661–714</t>
  </si>
  <si>
    <t>18.18 , 18.12</t>
  </si>
  <si>
    <t>0.19 , 0.24</t>
  </si>
  <si>
    <t>Millero, F. J., 1995. Thermodynamics of the carbon dioxide system in the oceans. Geochim. Cosmochim. Acta 59, 661–715</t>
  </si>
  <si>
    <t>17.81 , 17.69</t>
  </si>
  <si>
    <t>0.09 , 0.19</t>
  </si>
  <si>
    <t>Millero, F. J., 1995. Thermodynamics of the carbon dioxide system in the oceans. Geochim. Cosmochim. Acta 59, 661–716</t>
  </si>
  <si>
    <t>18.03 , 18.35</t>
  </si>
  <si>
    <t>0.12 , 0.22</t>
  </si>
  <si>
    <t>Millero, F. J., 1995. Thermodynamics of the carbon dioxide system in the oceans. Geochim. Cosmochim. Acta 59, 661–717</t>
  </si>
  <si>
    <t>17.31 , 17.15</t>
  </si>
  <si>
    <t>0.08 , 0.18</t>
  </si>
  <si>
    <t>Millero, F. J., 1995. Thermodynamics of the carbon dioxide system in the oceans. Geochim. Cosmochim. Acta 59, 661–718</t>
  </si>
  <si>
    <t>17.50 , 17.71</t>
  </si>
  <si>
    <t>0.11 , 0.19</t>
  </si>
  <si>
    <t>Millero, F. J., 1995. Thermodynamics of the carbon dioxide system in the oceans. Geochim. Cosmochim. Acta 59, 661–719</t>
  </si>
  <si>
    <t>17.43 , 17.52</t>
  </si>
  <si>
    <t>0.11 , 0.20</t>
  </si>
  <si>
    <t>Millero, F. J., 1995. Thermodynamics of the carbon dioxide system in the oceans. Geochim. Cosmochim. Acta 59, 661–721</t>
  </si>
  <si>
    <t>17.99 , 18.28</t>
  </si>
  <si>
    <t>0.11 , 0.15</t>
  </si>
  <si>
    <t>Millero, F. J., 1995. Thermodynamics of the carbon dioxide system in the oceans. Geochim. Cosmochim. Acta 59, 661–722</t>
  </si>
  <si>
    <t>18.07 , 17.28</t>
  </si>
  <si>
    <t>0.40 , 1.16</t>
  </si>
  <si>
    <t>Millero, F. J., 1995. Thermodynamics of the carbon dioxide system in the oceans. Geochim. Cosmochim. Acta 59, 661–727</t>
  </si>
  <si>
    <t>note that DIC uncertainty is assumed as a generous +/- 250 µmol/kg and has been arbitrarily defined by authors as 1 sigma</t>
  </si>
  <si>
    <t>michael.henehan@bristol.ac.uk</t>
  </si>
  <si>
    <t>added age uncertainties based nannofossil biostratigraphy uncertainty reported by Zeeden et al.(2013) age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</si>
</sst>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
  </numFmts>
  <fonts count="35" x14ac:knownFonts="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1"/>
      <color rgb="FF000000"/>
      <name val="Arial"/>
      <family val="2"/>
    </font>
    <font>
      <sz val="12"/>
      <color theme="1"/>
      <name val="Calibri"/>
      <family val="2"/>
    </font>
    <font>
      <i/>
      <sz val="12"/>
      <color theme="1"/>
      <name val="Calibri"/>
      <family val="2"/>
    </font>
    <font>
      <vertAlign val="subscript"/>
      <sz val="12"/>
      <color theme="1"/>
      <name val="Calibri"/>
      <family val="2"/>
    </font>
    <font>
      <vertAlign val="superscript"/>
      <sz val="12"/>
      <color theme="1"/>
      <name val="Calibri"/>
      <family val="2"/>
    </font>
    <font>
      <sz val="12"/>
      <color rgb="FF000000"/>
      <name val="Calibri"/>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28" fillId="0" borderId="0"/>
  </cellStyleXfs>
  <cellXfs count="17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Border="1" applyAlignment="1">
      <alignment wrapText="1"/>
    </xf>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xf numFmtId="0" fontId="3" fillId="5" borderId="0" xfId="0" applyFont="1" applyFill="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xf numFmtId="0" fontId="2" fillId="7" borderId="10" xfId="0" applyFont="1" applyFill="1" applyBorder="1"/>
    <xf numFmtId="0" fontId="2" fillId="6" borderId="11" xfId="0" applyFont="1" applyFill="1" applyBorder="1"/>
    <xf numFmtId="0" fontId="2" fillId="6" borderId="0" xfId="0" applyFont="1" applyFill="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Alignment="1">
      <alignment horizontal="left" vertical="center"/>
    </xf>
    <xf numFmtId="0" fontId="3" fillId="7" borderId="0" xfId="0" applyFont="1" applyFill="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Alignment="1">
      <alignment vertical="top"/>
    </xf>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0" borderId="0" xfId="0" applyAlignment="1">
      <alignment horizontal="center"/>
    </xf>
    <xf numFmtId="0" fontId="26" fillId="0" borderId="0" xfId="1"/>
    <xf numFmtId="0" fontId="29" fillId="0" borderId="0" xfId="0" applyFont="1"/>
    <xf numFmtId="165" fontId="0" fillId="0" borderId="0" xfId="0" applyNumberFormat="1"/>
    <xf numFmtId="2" fontId="0" fillId="0" borderId="0" xfId="0" applyNumberFormat="1"/>
    <xf numFmtId="0" fontId="1" fillId="0" borderId="0" xfId="0" applyFont="1"/>
    <xf numFmtId="164" fontId="0" fillId="0" borderId="0" xfId="0" applyNumberFormat="1"/>
    <xf numFmtId="1" fontId="0" fillId="0" borderId="0" xfId="0" applyNumberFormat="1"/>
    <xf numFmtId="0" fontId="27" fillId="0" borderId="0" xfId="0" applyFont="1"/>
    <xf numFmtId="0" fontId="28" fillId="0" borderId="0" xfId="0" applyFont="1"/>
    <xf numFmtId="0" fontId="28" fillId="0" borderId="0" xfId="0" applyFont="1" applyAlignment="1">
      <alignment horizontal="right"/>
    </xf>
    <xf numFmtId="0" fontId="27" fillId="0" borderId="0" xfId="0" applyFont="1" applyAlignment="1">
      <alignment horizontal="center"/>
    </xf>
    <xf numFmtId="1" fontId="27" fillId="0" borderId="0" xfId="0" applyNumberFormat="1" applyFont="1" applyAlignment="1">
      <alignment horizontal="center"/>
    </xf>
    <xf numFmtId="2" fontId="27" fillId="0" borderId="0" xfId="0" applyNumberFormat="1" applyFont="1"/>
    <xf numFmtId="1" fontId="1" fillId="0" borderId="0" xfId="0" applyNumberFormat="1" applyFont="1" applyAlignment="1">
      <alignment horizontal="right"/>
    </xf>
    <xf numFmtId="1" fontId="0" fillId="0" borderId="0" xfId="0" applyNumberFormat="1" applyAlignment="1">
      <alignment horizontal="right"/>
    </xf>
    <xf numFmtId="0" fontId="28" fillId="0" borderId="0" xfId="0" applyFont="1" applyAlignment="1">
      <alignment horizontal="center"/>
    </xf>
    <xf numFmtId="1" fontId="28" fillId="0" borderId="0" xfId="0" applyNumberFormat="1" applyFont="1" applyAlignment="1">
      <alignment horizontal="center"/>
    </xf>
    <xf numFmtId="2" fontId="28" fillId="0" borderId="0" xfId="0" applyNumberFormat="1" applyFont="1"/>
    <xf numFmtId="0" fontId="30" fillId="0" borderId="0" xfId="0" applyFont="1" applyProtection="1">
      <protection locked="0"/>
    </xf>
    <xf numFmtId="0" fontId="30" fillId="0" borderId="0" xfId="0" applyFont="1" applyAlignment="1" applyProtection="1">
      <alignment vertical="top"/>
      <protection locked="0"/>
    </xf>
    <xf numFmtId="0" fontId="30" fillId="0" borderId="0" xfId="0" applyFont="1" applyAlignment="1" applyProtection="1">
      <alignment horizontal="right"/>
      <protection locked="0"/>
    </xf>
    <xf numFmtId="166" fontId="0" fillId="0" borderId="0" xfId="0" applyNumberFormat="1" applyAlignment="1">
      <alignment horizontal="right"/>
    </xf>
    <xf numFmtId="0" fontId="0" fillId="0" borderId="0" xfId="0" applyAlignment="1">
      <alignment horizontal="right"/>
    </xf>
    <xf numFmtId="0" fontId="30" fillId="0" borderId="0" xfId="0" applyFont="1" applyAlignment="1" applyProtection="1">
      <alignment horizontal="left"/>
      <protection locked="0"/>
    </xf>
    <xf numFmtId="2" fontId="30" fillId="0" borderId="0" xfId="0" applyNumberFormat="1" applyFont="1" applyAlignment="1" applyProtection="1">
      <alignment horizontal="right"/>
      <protection locked="0"/>
    </xf>
    <xf numFmtId="165" fontId="30" fillId="0" borderId="0" xfId="0" applyNumberFormat="1" applyFont="1" applyAlignment="1" applyProtection="1">
      <alignment horizontal="right"/>
      <protection locked="0"/>
    </xf>
    <xf numFmtId="164" fontId="30" fillId="0" borderId="0" xfId="0" applyNumberFormat="1" applyFont="1" applyProtection="1">
      <protection locked="0"/>
    </xf>
    <xf numFmtId="0" fontId="31" fillId="0" borderId="0" xfId="0" applyFont="1" applyProtection="1">
      <protection locked="0"/>
    </xf>
    <xf numFmtId="2" fontId="30" fillId="0" borderId="0" xfId="0" applyNumberFormat="1" applyFont="1" applyProtection="1">
      <protection locked="0"/>
    </xf>
    <xf numFmtId="165" fontId="30" fillId="0" borderId="0" xfId="0" applyNumberFormat="1" applyFont="1" applyProtection="1">
      <protection locked="0"/>
    </xf>
    <xf numFmtId="0" fontId="30" fillId="0" borderId="0" xfId="0" applyFont="1"/>
    <xf numFmtId="0" fontId="34" fillId="0" borderId="0" xfId="0" applyFont="1"/>
    <xf numFmtId="1" fontId="30" fillId="0" borderId="0" xfId="0" applyNumberFormat="1" applyFont="1" applyProtection="1">
      <protection locked="0"/>
    </xf>
    <xf numFmtId="0" fontId="0" fillId="0" borderId="0" xfId="0" applyProtection="1">
      <protection locked="0"/>
    </xf>
    <xf numFmtId="2" fontId="30" fillId="0" borderId="0" xfId="0" applyNumberFormat="1" applyFont="1" applyAlignment="1" applyProtection="1">
      <alignment horizontal="left"/>
      <protection locked="0"/>
    </xf>
    <xf numFmtId="0" fontId="0" fillId="0" borderId="0" xfId="0" applyAlignment="1">
      <alignment horizontal="center"/>
    </xf>
    <xf numFmtId="1" fontId="30" fillId="0" borderId="0" xfId="0" applyNumberFormat="1" applyFont="1" applyAlignment="1" applyProtection="1">
      <alignment horizontal="right"/>
      <protection locked="0"/>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nas.org/cgi/doi/10.1073/pnas.1905989116" TargetMode="External"/><Relationship Id="rId2" Type="http://schemas.openxmlformats.org/officeDocument/2006/relationships/hyperlink" Target="http://www.pnas.org/cgi/doi/10.1073/pnas.1905989116" TargetMode="External"/><Relationship Id="rId1" Type="http://schemas.openxmlformats.org/officeDocument/2006/relationships/hyperlink" Target="http://www.pnas.org/cgi/doi/10.1073/pnas.1905989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13"/>
  <sheetViews>
    <sheetView tabSelected="1" topLeftCell="L3" workbookViewId="0">
      <selection activeCell="X4" sqref="X4:X48"/>
    </sheetView>
  </sheetViews>
  <sheetFormatPr baseColWidth="10" defaultColWidth="8.83203125" defaultRowHeight="15" x14ac:dyDescent="0.2"/>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7"/>
      <c r="Z1" s="3"/>
      <c r="AA1" s="18" t="s">
        <v>11</v>
      </c>
      <c r="AB1" s="19"/>
      <c r="AC1" s="19"/>
      <c r="AD1" s="19"/>
      <c r="AE1" s="19"/>
      <c r="AF1" s="19"/>
      <c r="AG1" s="20"/>
      <c r="AH1" s="21"/>
      <c r="AI1" s="20"/>
      <c r="AJ1" s="19"/>
      <c r="AK1" s="19"/>
      <c r="AL1" s="19"/>
      <c r="AM1" s="19"/>
      <c r="AN1" s="19"/>
      <c r="AO1" s="19"/>
      <c r="AP1" s="19"/>
      <c r="AQ1" s="19"/>
      <c r="AR1" s="19"/>
      <c r="AS1" s="22" t="s">
        <v>12</v>
      </c>
      <c r="AT1" s="23"/>
      <c r="AU1" s="24"/>
      <c r="AV1" s="24"/>
      <c r="AW1" s="25"/>
      <c r="AX1" s="25"/>
      <c r="AY1" s="25"/>
      <c r="AZ1" s="26"/>
      <c r="BA1" s="25"/>
      <c r="BB1" s="25"/>
      <c r="BC1" s="25"/>
      <c r="BD1" s="25"/>
      <c r="BE1" s="25"/>
      <c r="BF1" s="25"/>
      <c r="BG1" s="27" t="s">
        <v>13</v>
      </c>
      <c r="BH1" s="28"/>
      <c r="BI1" s="28"/>
      <c r="BJ1" s="28"/>
      <c r="BK1" s="28"/>
      <c r="BL1" s="28"/>
      <c r="BM1" s="28"/>
      <c r="BN1" s="29"/>
      <c r="BO1" s="30"/>
      <c r="BP1" s="30"/>
      <c r="BQ1" s="30"/>
      <c r="BR1" s="31"/>
      <c r="BS1" s="32"/>
      <c r="BT1" s="33" t="s">
        <v>14</v>
      </c>
      <c r="BU1" s="34"/>
      <c r="BV1" s="34"/>
      <c r="BW1" s="34"/>
      <c r="BX1" s="34"/>
      <c r="BY1" s="34"/>
      <c r="BZ1" s="34"/>
      <c r="CA1" s="35"/>
      <c r="CB1" s="36" t="s">
        <v>15</v>
      </c>
      <c r="CC1" s="36"/>
      <c r="CD1" s="37"/>
      <c r="CE1" s="37"/>
      <c r="CF1" s="37"/>
      <c r="CG1" s="38" t="s">
        <v>16</v>
      </c>
      <c r="CH1" s="39"/>
      <c r="CI1" s="40"/>
      <c r="CJ1" s="38"/>
      <c r="CK1" s="41"/>
      <c r="CL1" s="41"/>
      <c r="CM1" s="42"/>
      <c r="CN1" s="38" t="s">
        <v>17</v>
      </c>
      <c r="CO1" s="43"/>
      <c r="CP1" s="41"/>
      <c r="CQ1" s="41"/>
      <c r="CR1" s="41"/>
      <c r="CS1" s="41"/>
      <c r="CT1" s="41"/>
      <c r="CU1" s="41"/>
      <c r="CV1" s="41"/>
      <c r="CW1" s="41"/>
      <c r="CX1" s="41"/>
      <c r="CY1" s="41"/>
      <c r="CZ1" s="38" t="s">
        <v>18</v>
      </c>
      <c r="DA1" s="41"/>
      <c r="DB1" s="41"/>
      <c r="DC1" s="41"/>
      <c r="DD1" s="41"/>
      <c r="DE1" s="41"/>
      <c r="DF1" s="42"/>
      <c r="DG1" s="39" t="s">
        <v>19</v>
      </c>
      <c r="DH1" s="39"/>
      <c r="DI1" s="39"/>
      <c r="DJ1" s="39"/>
      <c r="DK1" s="39"/>
      <c r="DL1" s="39"/>
      <c r="DM1" s="39"/>
      <c r="DN1" s="39"/>
      <c r="DO1" s="39"/>
      <c r="DP1" s="39"/>
      <c r="DQ1" s="39"/>
      <c r="DR1" s="39"/>
      <c r="DS1" s="39"/>
      <c r="DT1" s="39"/>
      <c r="DU1" s="39"/>
      <c r="DV1" s="39"/>
      <c r="DW1" s="39"/>
      <c r="DX1" s="39"/>
      <c r="DY1" s="39"/>
      <c r="DZ1" s="39"/>
      <c r="EA1" s="44"/>
      <c r="EB1" s="41"/>
      <c r="EC1" s="41"/>
      <c r="ED1" s="42"/>
      <c r="EE1" s="39"/>
      <c r="EF1" s="39"/>
      <c r="EG1" s="45" t="s">
        <v>20</v>
      </c>
      <c r="EH1" s="39"/>
      <c r="EI1" s="39"/>
      <c r="EJ1" s="39"/>
      <c r="EK1" s="39"/>
      <c r="EL1" s="40"/>
      <c r="EM1" s="45" t="s">
        <v>21</v>
      </c>
      <c r="EN1" s="39"/>
      <c r="EO1" s="39"/>
      <c r="EP1" s="39"/>
      <c r="EQ1" s="39"/>
      <c r="ER1" s="46"/>
      <c r="ES1" s="46"/>
      <c r="ET1" s="47" t="s">
        <v>22</v>
      </c>
      <c r="EU1" s="48"/>
      <c r="EV1" s="48"/>
      <c r="EW1" s="49"/>
      <c r="EX1" s="49"/>
      <c r="EY1" s="49"/>
      <c r="EZ1" s="49"/>
      <c r="FA1" s="49"/>
      <c r="FB1" s="49"/>
      <c r="FC1" s="49"/>
      <c r="FD1" s="49"/>
      <c r="FE1" s="50" t="s">
        <v>23</v>
      </c>
      <c r="FF1" s="51"/>
      <c r="FG1" s="51"/>
      <c r="FH1" s="51"/>
      <c r="FI1" s="52"/>
      <c r="FJ1" s="52"/>
      <c r="FK1" s="52"/>
      <c r="FL1" s="52"/>
      <c r="FM1" s="51"/>
      <c r="FN1" s="51"/>
      <c r="FO1" s="51"/>
      <c r="FP1" s="51"/>
      <c r="FQ1" s="50"/>
      <c r="FR1" s="51"/>
      <c r="FS1" s="51"/>
      <c r="FT1" s="51"/>
      <c r="FU1" s="51"/>
      <c r="FV1" s="51"/>
      <c r="FW1" s="19"/>
      <c r="FX1" s="19"/>
      <c r="FY1" s="19"/>
      <c r="FZ1" s="19"/>
      <c r="GA1" s="19"/>
      <c r="GB1" s="19"/>
      <c r="GC1" s="5"/>
    </row>
    <row r="2" spans="1:185" ht="20" x14ac:dyDescent="0.25">
      <c r="A2" s="1"/>
      <c r="B2" s="2"/>
      <c r="C2" s="2"/>
      <c r="D2" s="2"/>
      <c r="E2" s="2"/>
      <c r="F2" s="2"/>
      <c r="G2" s="2"/>
      <c r="H2" s="2"/>
      <c r="I2" s="2"/>
      <c r="J2" s="2"/>
      <c r="K2" s="2"/>
      <c r="L2" s="3"/>
      <c r="M2" s="4"/>
      <c r="N2" s="4"/>
      <c r="O2" s="4"/>
      <c r="P2" s="4"/>
      <c r="R2" s="5"/>
      <c r="S2" s="175"/>
      <c r="T2" s="175"/>
      <c r="U2" s="175"/>
      <c r="V2" s="175"/>
      <c r="W2" s="175"/>
      <c r="X2" s="5"/>
      <c r="Y2" s="53"/>
      <c r="Z2" s="54"/>
      <c r="AA2" s="55"/>
      <c r="AB2" s="55"/>
      <c r="AC2" s="55"/>
      <c r="AD2" s="55"/>
      <c r="AE2" s="55"/>
      <c r="AF2" s="55"/>
      <c r="AG2" s="56"/>
      <c r="AH2" s="57"/>
      <c r="AI2" s="56"/>
      <c r="AJ2" s="55"/>
      <c r="AK2" s="55"/>
      <c r="AL2" s="55"/>
      <c r="AM2" s="55"/>
      <c r="AN2" s="55"/>
      <c r="AO2" s="55"/>
      <c r="AP2" s="55"/>
      <c r="AQ2" s="55"/>
      <c r="AR2" s="55"/>
      <c r="AS2" s="58"/>
      <c r="AT2" s="23"/>
      <c r="AU2" s="24"/>
      <c r="AV2" s="24"/>
      <c r="AW2" s="25"/>
      <c r="AX2" s="25"/>
      <c r="AY2" s="25"/>
      <c r="AZ2" s="26" t="s">
        <v>24</v>
      </c>
      <c r="BA2" s="25"/>
      <c r="BB2" s="25"/>
      <c r="BC2" s="25"/>
      <c r="BD2" s="25"/>
      <c r="BE2" s="25"/>
      <c r="BF2" s="25"/>
      <c r="BG2" s="29"/>
      <c r="BH2" s="30"/>
      <c r="BI2" s="28"/>
      <c r="BJ2" s="28"/>
      <c r="BK2" s="28"/>
      <c r="BL2" s="28"/>
      <c r="BM2" s="30"/>
      <c r="BN2" s="59" t="s">
        <v>25</v>
      </c>
      <c r="BO2" s="60"/>
      <c r="BP2" s="60"/>
      <c r="BQ2" s="30"/>
      <c r="BR2" s="31"/>
      <c r="BS2" s="32"/>
      <c r="BT2" s="61" t="s">
        <v>26</v>
      </c>
      <c r="BU2" s="62"/>
      <c r="BV2" s="62"/>
      <c r="BW2" s="63" t="s">
        <v>27</v>
      </c>
      <c r="BX2" s="64"/>
      <c r="BY2" s="65"/>
      <c r="BZ2" s="65"/>
      <c r="CA2" s="66"/>
      <c r="CB2" s="67"/>
      <c r="CC2" s="67"/>
      <c r="CD2" s="34"/>
      <c r="CE2" s="34"/>
      <c r="CF2" s="34"/>
      <c r="CG2" s="68" t="s">
        <v>28</v>
      </c>
      <c r="CH2" s="69"/>
      <c r="CI2" s="70"/>
      <c r="CJ2" s="71" t="s">
        <v>29</v>
      </c>
      <c r="CK2" s="72"/>
      <c r="CL2" s="72"/>
      <c r="CM2" s="72"/>
      <c r="CN2" s="73" t="s">
        <v>30</v>
      </c>
      <c r="CO2" s="74"/>
      <c r="CP2" s="72"/>
      <c r="CQ2" s="72"/>
      <c r="CR2" s="72"/>
      <c r="CS2" s="72"/>
      <c r="CT2" s="72"/>
      <c r="CU2" s="72"/>
      <c r="CV2" s="72"/>
      <c r="CW2" s="72"/>
      <c r="CX2" s="72"/>
      <c r="CY2" s="72"/>
      <c r="CZ2" s="38" t="s">
        <v>31</v>
      </c>
      <c r="DA2" s="43"/>
      <c r="DB2" s="41"/>
      <c r="DC2" s="41"/>
      <c r="DD2" s="41"/>
      <c r="DE2" s="41"/>
      <c r="DF2" s="42"/>
      <c r="DG2" s="69" t="s">
        <v>32</v>
      </c>
      <c r="DH2" s="69"/>
      <c r="DI2" s="69"/>
      <c r="DJ2" s="69"/>
      <c r="DK2" s="75" t="s">
        <v>33</v>
      </c>
      <c r="DL2" s="76"/>
      <c r="DM2" s="76"/>
      <c r="DN2" s="77"/>
      <c r="DO2" s="75" t="s">
        <v>34</v>
      </c>
      <c r="DP2" s="46"/>
      <c r="DQ2" s="46"/>
      <c r="DR2" s="78"/>
      <c r="DS2" s="79" t="s">
        <v>35</v>
      </c>
      <c r="DT2" s="46"/>
      <c r="DU2" s="46"/>
      <c r="DV2" s="78"/>
      <c r="DW2" s="80" t="s">
        <v>36</v>
      </c>
      <c r="DX2" s="81"/>
      <c r="DY2" s="69"/>
      <c r="DZ2" s="69"/>
      <c r="EA2" s="82" t="s">
        <v>37</v>
      </c>
      <c r="EB2" s="72"/>
      <c r="EC2" s="72"/>
      <c r="ED2" s="83"/>
      <c r="EE2" s="69" t="s">
        <v>38</v>
      </c>
      <c r="EF2" s="69"/>
      <c r="EG2" s="84" t="s">
        <v>39</v>
      </c>
      <c r="EH2" s="85"/>
      <c r="EI2" s="85"/>
      <c r="EJ2" s="85"/>
      <c r="EK2" s="69"/>
      <c r="EL2" s="69"/>
      <c r="EM2" s="86"/>
      <c r="EN2" s="69"/>
      <c r="EO2" s="69"/>
      <c r="EP2" s="69"/>
      <c r="EQ2" s="46"/>
      <c r="ER2" s="68" t="s">
        <v>40</v>
      </c>
      <c r="ES2" s="46"/>
      <c r="ET2" s="87"/>
      <c r="EU2" s="49"/>
      <c r="EV2" s="49"/>
      <c r="EW2" s="88"/>
      <c r="EX2" s="88"/>
      <c r="EY2" s="88"/>
      <c r="EZ2" s="88"/>
      <c r="FA2" s="89"/>
      <c r="FB2" s="89"/>
      <c r="FC2" s="89"/>
      <c r="FD2" s="89"/>
      <c r="FE2" s="90"/>
      <c r="FF2" s="55"/>
      <c r="FG2" s="55"/>
      <c r="FH2" s="55"/>
      <c r="FI2" s="55"/>
      <c r="FJ2" s="55"/>
      <c r="FK2" s="55"/>
      <c r="FL2" s="55"/>
      <c r="FM2" s="55"/>
      <c r="FN2" s="55"/>
      <c r="FO2" s="55"/>
      <c r="FP2" s="55"/>
      <c r="FQ2" s="18"/>
      <c r="FR2" s="19"/>
      <c r="FS2" s="19"/>
      <c r="FT2" s="19"/>
      <c r="FU2" s="19"/>
      <c r="FV2" s="19"/>
      <c r="FW2" s="19"/>
      <c r="FX2" s="19"/>
      <c r="FY2" s="19"/>
      <c r="FZ2" s="19"/>
      <c r="GA2" s="19"/>
      <c r="GB2" s="55"/>
      <c r="GC2" s="91"/>
    </row>
    <row r="3" spans="1:185" ht="409.6" x14ac:dyDescent="0.2">
      <c r="A3" s="6" t="s">
        <v>0</v>
      </c>
      <c r="B3" s="7" t="s">
        <v>1</v>
      </c>
      <c r="C3" s="8" t="s">
        <v>2</v>
      </c>
      <c r="D3" s="9" t="s">
        <v>3</v>
      </c>
      <c r="E3" s="9" t="s">
        <v>4</v>
      </c>
      <c r="F3" s="2" t="s">
        <v>5</v>
      </c>
      <c r="G3" s="2" t="s">
        <v>6</v>
      </c>
      <c r="H3" s="10" t="s">
        <v>7</v>
      </c>
      <c r="I3" s="10" t="s">
        <v>8</v>
      </c>
      <c r="J3" s="9" t="s">
        <v>175</v>
      </c>
      <c r="K3" s="10" t="s">
        <v>176</v>
      </c>
      <c r="L3" s="11" t="s">
        <v>185</v>
      </c>
      <c r="M3" s="9" t="s">
        <v>177</v>
      </c>
      <c r="N3" s="9" t="s">
        <v>186</v>
      </c>
      <c r="O3" s="9" t="s">
        <v>187</v>
      </c>
      <c r="P3" s="9" t="s">
        <v>178</v>
      </c>
      <c r="Q3" s="12" t="s">
        <v>179</v>
      </c>
      <c r="R3" s="13" t="s">
        <v>180</v>
      </c>
      <c r="S3" s="14" t="s">
        <v>181</v>
      </c>
      <c r="T3" s="9" t="s">
        <v>182</v>
      </c>
      <c r="U3" s="9" t="s">
        <v>9</v>
      </c>
      <c r="V3" s="9" t="s">
        <v>183</v>
      </c>
      <c r="W3" s="15" t="s">
        <v>184</v>
      </c>
      <c r="X3" s="16" t="s">
        <v>10</v>
      </c>
      <c r="Y3" s="92" t="s">
        <v>41</v>
      </c>
      <c r="Z3" s="93" t="s">
        <v>42</v>
      </c>
      <c r="AA3" s="94" t="s">
        <v>43</v>
      </c>
      <c r="AB3" s="94" t="s">
        <v>44</v>
      </c>
      <c r="AC3" s="94" t="s">
        <v>45</v>
      </c>
      <c r="AD3" s="94" t="s">
        <v>46</v>
      </c>
      <c r="AE3" s="94" t="s">
        <v>47</v>
      </c>
      <c r="AF3" s="94" t="s">
        <v>48</v>
      </c>
      <c r="AG3" s="94" t="s">
        <v>49</v>
      </c>
      <c r="AH3" s="95" t="s">
        <v>50</v>
      </c>
      <c r="AI3" s="94" t="s">
        <v>51</v>
      </c>
      <c r="AJ3" s="94" t="s">
        <v>52</v>
      </c>
      <c r="AK3" s="94" t="s">
        <v>53</v>
      </c>
      <c r="AL3" s="94" t="s">
        <v>54</v>
      </c>
      <c r="AM3" s="94" t="s">
        <v>55</v>
      </c>
      <c r="AN3" s="94" t="s">
        <v>56</v>
      </c>
      <c r="AO3" s="94" t="s">
        <v>57</v>
      </c>
      <c r="AP3" s="94" t="s">
        <v>58</v>
      </c>
      <c r="AQ3" s="94" t="s">
        <v>59</v>
      </c>
      <c r="AR3" s="94" t="s">
        <v>60</v>
      </c>
      <c r="AS3" s="96" t="s">
        <v>61</v>
      </c>
      <c r="AT3" s="97" t="s">
        <v>62</v>
      </c>
      <c r="AU3" s="98" t="s">
        <v>63</v>
      </c>
      <c r="AV3" s="98" t="s">
        <v>64</v>
      </c>
      <c r="AW3" s="99" t="s">
        <v>65</v>
      </c>
      <c r="AX3" s="99" t="s">
        <v>66</v>
      </c>
      <c r="AY3" s="100" t="s">
        <v>67</v>
      </c>
      <c r="AZ3" s="96" t="s">
        <v>61</v>
      </c>
      <c r="BA3" s="97" t="s">
        <v>62</v>
      </c>
      <c r="BB3" s="98" t="s">
        <v>63</v>
      </c>
      <c r="BC3" s="98" t="s">
        <v>64</v>
      </c>
      <c r="BD3" s="99" t="s">
        <v>65</v>
      </c>
      <c r="BE3" s="99" t="s">
        <v>66</v>
      </c>
      <c r="BF3" s="99" t="s">
        <v>67</v>
      </c>
      <c r="BG3" s="101" t="s">
        <v>68</v>
      </c>
      <c r="BH3" s="102" t="s">
        <v>69</v>
      </c>
      <c r="BI3" s="102" t="s">
        <v>70</v>
      </c>
      <c r="BJ3" s="102" t="s">
        <v>71</v>
      </c>
      <c r="BK3" s="102" t="s">
        <v>72</v>
      </c>
      <c r="BL3" s="102" t="s">
        <v>73</v>
      </c>
      <c r="BM3" s="102" t="s">
        <v>74</v>
      </c>
      <c r="BN3" s="103" t="s">
        <v>75</v>
      </c>
      <c r="BO3" s="104" t="s">
        <v>76</v>
      </c>
      <c r="BP3" s="104" t="s">
        <v>77</v>
      </c>
      <c r="BQ3" s="105" t="s">
        <v>78</v>
      </c>
      <c r="BR3" s="106" t="s">
        <v>79</v>
      </c>
      <c r="BS3" s="106" t="s">
        <v>80</v>
      </c>
      <c r="BT3" s="107" t="s">
        <v>81</v>
      </c>
      <c r="BU3" s="108" t="s">
        <v>82</v>
      </c>
      <c r="BV3" s="109" t="s">
        <v>83</v>
      </c>
      <c r="BW3" s="110" t="s">
        <v>84</v>
      </c>
      <c r="BX3" s="111" t="s">
        <v>82</v>
      </c>
      <c r="BY3" s="112" t="s">
        <v>83</v>
      </c>
      <c r="BZ3" s="65" t="s">
        <v>85</v>
      </c>
      <c r="CA3" s="66" t="s">
        <v>86</v>
      </c>
      <c r="CB3" s="112" t="s">
        <v>87</v>
      </c>
      <c r="CC3" s="108" t="s">
        <v>82</v>
      </c>
      <c r="CD3" s="109" t="s">
        <v>83</v>
      </c>
      <c r="CE3" s="65" t="s">
        <v>174</v>
      </c>
      <c r="CF3" s="65" t="s">
        <v>88</v>
      </c>
      <c r="CG3" s="113" t="s">
        <v>89</v>
      </c>
      <c r="CH3" s="114" t="s">
        <v>62</v>
      </c>
      <c r="CI3" s="115" t="s">
        <v>90</v>
      </c>
      <c r="CJ3" s="116" t="s">
        <v>91</v>
      </c>
      <c r="CK3" s="114" t="s">
        <v>62</v>
      </c>
      <c r="CL3" s="117" t="s">
        <v>92</v>
      </c>
      <c r="CM3" s="118" t="s">
        <v>93</v>
      </c>
      <c r="CN3" s="119" t="s">
        <v>94</v>
      </c>
      <c r="CO3" s="116" t="s">
        <v>95</v>
      </c>
      <c r="CP3" s="114" t="s">
        <v>62</v>
      </c>
      <c r="CQ3" s="117" t="s">
        <v>96</v>
      </c>
      <c r="CR3" s="118" t="s">
        <v>97</v>
      </c>
      <c r="CS3" s="119" t="s">
        <v>98</v>
      </c>
      <c r="CT3" s="119" t="s">
        <v>99</v>
      </c>
      <c r="CU3" s="119" t="s">
        <v>165</v>
      </c>
      <c r="CV3" s="119" t="s">
        <v>164</v>
      </c>
      <c r="CW3" s="119" t="s">
        <v>100</v>
      </c>
      <c r="CX3" s="119" t="s">
        <v>101</v>
      </c>
      <c r="CY3" s="119" t="s">
        <v>102</v>
      </c>
      <c r="CZ3" s="120" t="s">
        <v>103</v>
      </c>
      <c r="DA3" s="116" t="s">
        <v>104</v>
      </c>
      <c r="DB3" s="114" t="s">
        <v>62</v>
      </c>
      <c r="DC3" s="114" t="s">
        <v>105</v>
      </c>
      <c r="DD3" s="119" t="s">
        <v>106</v>
      </c>
      <c r="DE3" s="119" t="s">
        <v>99</v>
      </c>
      <c r="DF3" s="119" t="s">
        <v>107</v>
      </c>
      <c r="DG3" s="113" t="s">
        <v>108</v>
      </c>
      <c r="DH3" s="114" t="s">
        <v>62</v>
      </c>
      <c r="DI3" s="114" t="s">
        <v>105</v>
      </c>
      <c r="DJ3" s="121" t="s">
        <v>109</v>
      </c>
      <c r="DK3" s="116" t="s">
        <v>110</v>
      </c>
      <c r="DL3" s="114" t="s">
        <v>62</v>
      </c>
      <c r="DM3" s="114" t="s">
        <v>105</v>
      </c>
      <c r="DN3" s="121" t="s">
        <v>111</v>
      </c>
      <c r="DO3" s="116" t="s">
        <v>112</v>
      </c>
      <c r="DP3" s="114" t="s">
        <v>62</v>
      </c>
      <c r="DQ3" s="114" t="s">
        <v>105</v>
      </c>
      <c r="DR3" s="121" t="s">
        <v>113</v>
      </c>
      <c r="DS3" s="116" t="s">
        <v>114</v>
      </c>
      <c r="DT3" s="114" t="s">
        <v>62</v>
      </c>
      <c r="DU3" s="114" t="s">
        <v>105</v>
      </c>
      <c r="DV3" s="121" t="s">
        <v>115</v>
      </c>
      <c r="DW3" s="116" t="s">
        <v>116</v>
      </c>
      <c r="DX3" s="114" t="s">
        <v>62</v>
      </c>
      <c r="DY3" s="114" t="s">
        <v>105</v>
      </c>
      <c r="DZ3" s="122" t="s">
        <v>117</v>
      </c>
      <c r="EA3" s="113" t="s">
        <v>118</v>
      </c>
      <c r="EB3" s="114" t="s">
        <v>62</v>
      </c>
      <c r="EC3" s="114" t="s">
        <v>105</v>
      </c>
      <c r="ED3" s="123" t="s">
        <v>119</v>
      </c>
      <c r="EE3" s="122" t="s">
        <v>120</v>
      </c>
      <c r="EF3" s="122" t="s">
        <v>121</v>
      </c>
      <c r="EG3" s="113" t="s">
        <v>122</v>
      </c>
      <c r="EH3" s="114" t="s">
        <v>62</v>
      </c>
      <c r="EI3" s="114" t="s">
        <v>105</v>
      </c>
      <c r="EJ3" s="114" t="s">
        <v>123</v>
      </c>
      <c r="EK3" s="122" t="s">
        <v>124</v>
      </c>
      <c r="EL3" s="121" t="s">
        <v>125</v>
      </c>
      <c r="EM3" s="119" t="s">
        <v>126</v>
      </c>
      <c r="EN3" s="122" t="s">
        <v>127</v>
      </c>
      <c r="EO3" s="122" t="s">
        <v>128</v>
      </c>
      <c r="EP3" s="122" t="s">
        <v>129</v>
      </c>
      <c r="EQ3" s="124" t="s">
        <v>130</v>
      </c>
      <c r="ER3" s="125" t="s">
        <v>131</v>
      </c>
      <c r="ES3" s="122" t="s">
        <v>132</v>
      </c>
      <c r="ET3" s="137" t="s">
        <v>133</v>
      </c>
      <c r="EU3" s="138" t="s">
        <v>134</v>
      </c>
      <c r="EV3" s="138" t="s">
        <v>135</v>
      </c>
      <c r="EW3" s="126" t="s">
        <v>136</v>
      </c>
      <c r="EX3" s="127" t="s">
        <v>62</v>
      </c>
      <c r="EY3" s="128" t="s">
        <v>162</v>
      </c>
      <c r="EZ3" s="129" t="s">
        <v>163</v>
      </c>
      <c r="FA3" s="126" t="s">
        <v>137</v>
      </c>
      <c r="FB3" s="127" t="s">
        <v>62</v>
      </c>
      <c r="FC3" s="128" t="s">
        <v>140</v>
      </c>
      <c r="FD3" s="129" t="s">
        <v>141</v>
      </c>
      <c r="FE3" s="130" t="s">
        <v>138</v>
      </c>
      <c r="FF3" s="94" t="s">
        <v>139</v>
      </c>
      <c r="FG3" s="131" t="s">
        <v>140</v>
      </c>
      <c r="FH3" s="131" t="s">
        <v>141</v>
      </c>
      <c r="FI3" s="94" t="s">
        <v>142</v>
      </c>
      <c r="FJ3" s="94" t="s">
        <v>143</v>
      </c>
      <c r="FK3" s="94" t="s">
        <v>144</v>
      </c>
      <c r="FL3" s="94" t="s">
        <v>145</v>
      </c>
      <c r="FM3" s="131" t="s">
        <v>146</v>
      </c>
      <c r="FN3" s="131" t="s">
        <v>147</v>
      </c>
      <c r="FO3" s="94" t="s">
        <v>148</v>
      </c>
      <c r="FP3" s="94" t="s">
        <v>149</v>
      </c>
      <c r="FQ3" s="130" t="s">
        <v>150</v>
      </c>
      <c r="FR3" s="132" t="s">
        <v>151</v>
      </c>
      <c r="FS3" s="132" t="s">
        <v>152</v>
      </c>
      <c r="FT3" s="94" t="s">
        <v>153</v>
      </c>
      <c r="FU3" s="132" t="s">
        <v>154</v>
      </c>
      <c r="FV3" s="132" t="s">
        <v>155</v>
      </c>
      <c r="FW3" s="133" t="s">
        <v>156</v>
      </c>
      <c r="FX3" s="133" t="s">
        <v>157</v>
      </c>
      <c r="FY3" s="133" t="s">
        <v>158</v>
      </c>
      <c r="FZ3" s="133" t="s">
        <v>159</v>
      </c>
      <c r="GA3" s="134" t="s">
        <v>160</v>
      </c>
      <c r="GB3" s="134" t="s">
        <v>166</v>
      </c>
      <c r="GC3" s="135" t="s">
        <v>161</v>
      </c>
    </row>
    <row r="4" spans="1:185" ht="20" x14ac:dyDescent="0.25">
      <c r="A4" t="s">
        <v>190</v>
      </c>
      <c r="B4" s="140" t="s">
        <v>358</v>
      </c>
      <c r="C4" s="158" t="s">
        <v>173</v>
      </c>
      <c r="D4" s="158" t="s">
        <v>188</v>
      </c>
      <c r="E4" s="158">
        <v>2022</v>
      </c>
      <c r="F4" s="158" t="s">
        <v>189</v>
      </c>
      <c r="G4">
        <v>4935.7153846153897</v>
      </c>
      <c r="H4" s="176">
        <v>15</v>
      </c>
      <c r="I4" s="176">
        <v>15</v>
      </c>
      <c r="J4" s="158">
        <v>312.13330873504202</v>
      </c>
      <c r="K4">
        <v>94.201171296406983</v>
      </c>
      <c r="L4">
        <v>90.898881963518022</v>
      </c>
      <c r="M4" t="b">
        <v>1</v>
      </c>
      <c r="N4">
        <v>1</v>
      </c>
      <c r="O4" t="s">
        <v>191</v>
      </c>
      <c r="P4" t="s">
        <v>168</v>
      </c>
      <c r="Q4" t="s">
        <v>168</v>
      </c>
      <c r="R4" t="s">
        <v>168</v>
      </c>
      <c r="S4" t="b">
        <v>0</v>
      </c>
      <c r="T4" t="b">
        <v>0</v>
      </c>
      <c r="U4" t="s">
        <v>168</v>
      </c>
      <c r="V4" t="b">
        <v>0</v>
      </c>
      <c r="W4" t="b">
        <v>0</v>
      </c>
      <c r="X4" t="s">
        <v>359</v>
      </c>
      <c r="Y4" s="159" t="s">
        <v>192</v>
      </c>
      <c r="Z4" s="158" t="s">
        <v>193</v>
      </c>
      <c r="AA4" s="160" t="s">
        <v>194</v>
      </c>
      <c r="AB4" s="160" t="s">
        <v>195</v>
      </c>
      <c r="AC4" s="158">
        <v>15</v>
      </c>
      <c r="AD4" s="158">
        <v>4</v>
      </c>
      <c r="AE4" s="158">
        <v>23.5</v>
      </c>
      <c r="AF4" s="158">
        <v>25</v>
      </c>
      <c r="AG4" s="158">
        <v>135.23500000000001</v>
      </c>
      <c r="AH4" s="158">
        <v>151.77500000000001</v>
      </c>
      <c r="AI4" s="160" t="s">
        <v>196</v>
      </c>
      <c r="AJ4" s="158" t="s">
        <v>197</v>
      </c>
      <c r="AK4" s="166">
        <v>3.7212472000000001</v>
      </c>
      <c r="AL4" s="166">
        <v>-42.913286111111098</v>
      </c>
      <c r="AM4" s="160" t="s">
        <v>168</v>
      </c>
      <c r="AN4" s="160" t="s">
        <v>168</v>
      </c>
      <c r="AO4" s="158">
        <v>-3598</v>
      </c>
      <c r="AP4" s="160" t="s">
        <v>168</v>
      </c>
      <c r="AQ4" s="160" t="s">
        <v>168</v>
      </c>
      <c r="AR4" s="160" t="s">
        <v>168</v>
      </c>
      <c r="AS4" s="158">
        <v>4935.7153846153897</v>
      </c>
      <c r="AT4" s="160" t="s">
        <v>198</v>
      </c>
      <c r="AU4" s="160" t="s">
        <v>168</v>
      </c>
      <c r="AV4" s="160" t="s">
        <v>168</v>
      </c>
      <c r="AW4" s="160" t="s">
        <v>199</v>
      </c>
      <c r="AX4" s="158" t="s">
        <v>200</v>
      </c>
      <c r="AY4" s="158" t="s">
        <v>201</v>
      </c>
      <c r="AZ4" s="158" t="s">
        <v>168</v>
      </c>
      <c r="BA4" s="158" t="s">
        <v>168</v>
      </c>
      <c r="BB4" s="158" t="s">
        <v>168</v>
      </c>
      <c r="BC4" s="158" t="s">
        <v>168</v>
      </c>
      <c r="BD4" s="158" t="s">
        <v>168</v>
      </c>
      <c r="BE4" s="158" t="s">
        <v>168</v>
      </c>
      <c r="BF4" s="158" t="s">
        <v>168</v>
      </c>
      <c r="BG4" s="167" t="s">
        <v>202</v>
      </c>
      <c r="BH4" s="158" t="s">
        <v>203</v>
      </c>
      <c r="BI4" s="160" t="s">
        <v>204</v>
      </c>
      <c r="BJ4" s="160" t="s">
        <v>205</v>
      </c>
      <c r="BK4" s="158" t="s">
        <v>206</v>
      </c>
      <c r="BL4" s="158" t="s">
        <v>207</v>
      </c>
      <c r="BM4" s="158" t="s">
        <v>208</v>
      </c>
      <c r="BN4" s="161" t="s">
        <v>209</v>
      </c>
      <c r="BO4" s="158">
        <v>2</v>
      </c>
      <c r="BP4" s="162" t="s">
        <v>210</v>
      </c>
      <c r="BQ4" s="168">
        <v>18.237073044377048</v>
      </c>
      <c r="BR4" s="168" t="s">
        <v>211</v>
      </c>
      <c r="BS4" s="168">
        <v>0.18642979012146332</v>
      </c>
      <c r="BT4">
        <v>0.83299999999999996</v>
      </c>
      <c r="BU4" t="s">
        <v>168</v>
      </c>
      <c r="BV4" t="s">
        <v>168</v>
      </c>
      <c r="BW4">
        <v>2.69</v>
      </c>
      <c r="BX4" t="s">
        <v>168</v>
      </c>
      <c r="BY4" t="s">
        <v>168</v>
      </c>
      <c r="BZ4" s="163" t="s">
        <v>212</v>
      </c>
      <c r="CA4" t="s">
        <v>213</v>
      </c>
      <c r="CB4" s="168">
        <v>18.663953234546277</v>
      </c>
      <c r="CC4" s="160" t="s">
        <v>214</v>
      </c>
      <c r="CD4" s="164">
        <v>0.31650844852357801</v>
      </c>
      <c r="CE4" s="160" t="s">
        <v>215</v>
      </c>
      <c r="CF4" s="160" t="s">
        <v>216</v>
      </c>
      <c r="CG4" s="160">
        <v>0</v>
      </c>
      <c r="CH4" s="160" t="s">
        <v>217</v>
      </c>
      <c r="CI4" s="160" t="s">
        <v>168</v>
      </c>
      <c r="CJ4">
        <v>25.056726199113427</v>
      </c>
      <c r="CK4" s="158" t="s">
        <v>170</v>
      </c>
      <c r="CL4" s="158">
        <v>1</v>
      </c>
      <c r="CM4" s="158">
        <v>1</v>
      </c>
      <c r="CN4">
        <v>2.8937465310960038</v>
      </c>
      <c r="CO4">
        <v>2.8937465310960038</v>
      </c>
      <c r="CP4" s="165" t="s">
        <v>218</v>
      </c>
      <c r="CQ4" s="169">
        <v>0.05</v>
      </c>
      <c r="CR4" s="169">
        <v>0.05</v>
      </c>
      <c r="CS4" s="168" t="s">
        <v>219</v>
      </c>
      <c r="CT4" s="168" t="s">
        <v>220</v>
      </c>
      <c r="CU4" s="170" t="s">
        <v>221</v>
      </c>
      <c r="CV4" s="158" t="s">
        <v>222</v>
      </c>
      <c r="CW4" s="160" t="s">
        <v>168</v>
      </c>
      <c r="CX4" s="160" t="s">
        <v>168</v>
      </c>
      <c r="CY4" s="160" t="s">
        <v>168</v>
      </c>
      <c r="CZ4" s="160" t="s">
        <v>168</v>
      </c>
      <c r="DA4" s="160" t="s">
        <v>168</v>
      </c>
      <c r="DB4" s="160" t="s">
        <v>168</v>
      </c>
      <c r="DC4" s="160" t="s">
        <v>168</v>
      </c>
      <c r="DD4" s="160" t="s">
        <v>168</v>
      </c>
      <c r="DE4" s="160" t="s">
        <v>168</v>
      </c>
      <c r="DF4" s="160" t="s">
        <v>168</v>
      </c>
      <c r="DG4">
        <v>35</v>
      </c>
      <c r="DH4" t="s">
        <v>170</v>
      </c>
      <c r="DI4" s="160">
        <v>1.5</v>
      </c>
      <c r="DJ4" s="160" t="s">
        <v>168</v>
      </c>
      <c r="DK4" s="158" t="s">
        <v>223</v>
      </c>
      <c r="DL4" s="158" t="s">
        <v>168</v>
      </c>
      <c r="DM4" s="158" t="s">
        <v>168</v>
      </c>
      <c r="DN4" s="158" t="s">
        <v>168</v>
      </c>
      <c r="DO4" s="158" t="s">
        <v>223</v>
      </c>
      <c r="DP4" s="158" t="s">
        <v>168</v>
      </c>
      <c r="DQ4" s="158" t="s">
        <v>168</v>
      </c>
      <c r="DR4" s="158" t="s">
        <v>168</v>
      </c>
      <c r="DS4" s="158" t="s">
        <v>168</v>
      </c>
      <c r="DT4" s="158" t="s">
        <v>168</v>
      </c>
      <c r="DU4" s="158" t="s">
        <v>168</v>
      </c>
      <c r="DV4" s="158" t="s">
        <v>168</v>
      </c>
      <c r="DW4">
        <v>432.681774970795</v>
      </c>
      <c r="DX4" s="163" t="s">
        <v>224</v>
      </c>
      <c r="DY4" s="158">
        <v>36.245079344487493</v>
      </c>
      <c r="DZ4" s="158" t="s">
        <v>225</v>
      </c>
      <c r="EA4">
        <v>39.799999999999997</v>
      </c>
      <c r="EB4" s="158" t="s">
        <v>226</v>
      </c>
      <c r="EC4">
        <v>0.31</v>
      </c>
      <c r="ED4" s="158" t="s">
        <v>227</v>
      </c>
      <c r="EE4" s="158" t="s">
        <v>228</v>
      </c>
      <c r="EF4" s="158" t="s">
        <v>229</v>
      </c>
      <c r="EG4">
        <v>1.0271999999999999</v>
      </c>
      <c r="EH4" s="158">
        <v>5.9999999999999995E-4</v>
      </c>
      <c r="EI4" s="160" t="s">
        <v>168</v>
      </c>
      <c r="EJ4" s="158" t="s">
        <v>169</v>
      </c>
      <c r="EK4" s="160" t="s">
        <v>168</v>
      </c>
      <c r="EL4" s="160" t="s">
        <v>168</v>
      </c>
      <c r="EM4" s="171" t="s">
        <v>230</v>
      </c>
      <c r="EN4" s="158" t="s">
        <v>231</v>
      </c>
      <c r="EO4" s="158" t="s">
        <v>231</v>
      </c>
      <c r="EP4" s="158" t="s">
        <v>231</v>
      </c>
      <c r="EQ4" s="158" t="s">
        <v>232</v>
      </c>
      <c r="ER4" s="160" t="s">
        <v>168</v>
      </c>
      <c r="ES4" s="160" t="s">
        <v>168</v>
      </c>
      <c r="ET4" s="160" t="s">
        <v>233</v>
      </c>
      <c r="EU4" s="158" t="s">
        <v>234</v>
      </c>
      <c r="EV4" s="158" t="s">
        <v>235</v>
      </c>
      <c r="EW4" s="146">
        <v>1928.5921207692306</v>
      </c>
      <c r="EX4" s="158" t="s">
        <v>236</v>
      </c>
      <c r="EY4" s="172">
        <f>EW4+(2*250)</f>
        <v>2428.5921207692309</v>
      </c>
      <c r="EZ4" s="168">
        <f>EW4-(2*250)</f>
        <v>1428.5921207692306</v>
      </c>
      <c r="FA4" s="160" t="s">
        <v>168</v>
      </c>
      <c r="FB4" s="160" t="s">
        <v>168</v>
      </c>
      <c r="FC4" s="160" t="s">
        <v>168</v>
      </c>
      <c r="FD4" s="160" t="s">
        <v>168</v>
      </c>
      <c r="FE4">
        <v>8.0894424688627993</v>
      </c>
      <c r="FF4" s="173" t="s">
        <v>171</v>
      </c>
      <c r="FG4">
        <v>3.642946727307006E-2</v>
      </c>
      <c r="FH4">
        <v>3.6780608749928945E-2</v>
      </c>
      <c r="FI4" s="160">
        <f>FL4+FJ4</f>
        <v>342.13330873504202</v>
      </c>
      <c r="FJ4" s="160">
        <v>30</v>
      </c>
      <c r="FK4" s="160" t="s">
        <v>168</v>
      </c>
      <c r="FL4">
        <v>312.13330873504202</v>
      </c>
      <c r="FM4">
        <v>94.201171296406983</v>
      </c>
      <c r="FN4">
        <v>90.898881963518022</v>
      </c>
      <c r="FO4" s="158" t="s">
        <v>237</v>
      </c>
      <c r="FP4" s="158" t="s">
        <v>168</v>
      </c>
      <c r="FQ4" s="158" t="s">
        <v>172</v>
      </c>
      <c r="FR4" s="158" t="s">
        <v>172</v>
      </c>
      <c r="FS4" s="158" t="s">
        <v>172</v>
      </c>
      <c r="FT4" s="158" t="s">
        <v>172</v>
      </c>
      <c r="FU4" s="158" t="s">
        <v>172</v>
      </c>
      <c r="FV4" s="158" t="s">
        <v>172</v>
      </c>
      <c r="FW4" s="158" t="s">
        <v>172</v>
      </c>
      <c r="FX4" s="158" t="s">
        <v>172</v>
      </c>
      <c r="FY4" s="158" t="s">
        <v>172</v>
      </c>
      <c r="FZ4" s="158" t="s">
        <v>172</v>
      </c>
      <c r="GA4" s="158" t="s">
        <v>172</v>
      </c>
      <c r="GB4" s="158" t="s">
        <v>172</v>
      </c>
      <c r="GC4" s="158" t="s">
        <v>357</v>
      </c>
    </row>
    <row r="5" spans="1:185" ht="20" x14ac:dyDescent="0.25">
      <c r="A5" t="s">
        <v>190</v>
      </c>
      <c r="B5" s="140" t="s">
        <v>358</v>
      </c>
      <c r="C5" s="158" t="s">
        <v>173</v>
      </c>
      <c r="D5" s="158" t="s">
        <v>188</v>
      </c>
      <c r="E5" s="158">
        <v>2022</v>
      </c>
      <c r="F5" s="158" t="s">
        <v>189</v>
      </c>
      <c r="G5">
        <v>4976.9090909090901</v>
      </c>
      <c r="H5" s="176">
        <v>15</v>
      </c>
      <c r="I5" s="176">
        <v>15</v>
      </c>
      <c r="J5" s="158">
        <v>327.15299166402599</v>
      </c>
      <c r="K5">
        <v>101.00666938849099</v>
      </c>
      <c r="L5">
        <v>97.312790338599001</v>
      </c>
      <c r="M5" t="b">
        <v>1</v>
      </c>
      <c r="N5">
        <v>1</v>
      </c>
      <c r="O5" t="s">
        <v>191</v>
      </c>
      <c r="P5" t="s">
        <v>168</v>
      </c>
      <c r="Q5" t="s">
        <v>168</v>
      </c>
      <c r="R5" t="s">
        <v>168</v>
      </c>
      <c r="S5" t="b">
        <v>0</v>
      </c>
      <c r="T5" t="b">
        <v>0</v>
      </c>
      <c r="U5" t="s">
        <v>168</v>
      </c>
      <c r="V5" t="b">
        <v>0</v>
      </c>
      <c r="W5" t="b">
        <v>0</v>
      </c>
      <c r="X5" t="s">
        <v>359</v>
      </c>
      <c r="Y5" s="159" t="s">
        <v>192</v>
      </c>
      <c r="Z5" s="158" t="s">
        <v>193</v>
      </c>
      <c r="AA5" s="160" t="s">
        <v>194</v>
      </c>
      <c r="AB5" s="160" t="s">
        <v>195</v>
      </c>
      <c r="AC5" s="158">
        <v>15</v>
      </c>
      <c r="AD5" s="158">
        <v>4</v>
      </c>
      <c r="AE5" s="158">
        <v>137.5</v>
      </c>
      <c r="AF5" s="158">
        <v>139</v>
      </c>
      <c r="AG5" s="158">
        <v>136.375</v>
      </c>
      <c r="AH5" s="158">
        <v>152.91499999999999</v>
      </c>
      <c r="AI5" s="160" t="s">
        <v>196</v>
      </c>
      <c r="AJ5" s="158" t="s">
        <v>197</v>
      </c>
      <c r="AK5" s="166">
        <v>3.7212472000000001</v>
      </c>
      <c r="AL5" s="166">
        <v>-42.913286111111098</v>
      </c>
      <c r="AM5" s="160" t="s">
        <v>168</v>
      </c>
      <c r="AN5" s="160" t="s">
        <v>168</v>
      </c>
      <c r="AO5" s="158">
        <v>-3598</v>
      </c>
      <c r="AP5" s="160" t="s">
        <v>168</v>
      </c>
      <c r="AQ5" s="160" t="s">
        <v>168</v>
      </c>
      <c r="AR5" s="160" t="s">
        <v>168</v>
      </c>
      <c r="AS5" s="158">
        <v>4976.9090909090901</v>
      </c>
      <c r="AT5" s="160" t="s">
        <v>198</v>
      </c>
      <c r="AU5" s="160" t="s">
        <v>168</v>
      </c>
      <c r="AV5" s="160" t="s">
        <v>168</v>
      </c>
      <c r="AW5" s="160" t="s">
        <v>199</v>
      </c>
      <c r="AX5" s="158" t="s">
        <v>200</v>
      </c>
      <c r="AY5" s="158" t="s">
        <v>201</v>
      </c>
      <c r="AZ5" s="158" t="s">
        <v>168</v>
      </c>
      <c r="BA5" s="158" t="s">
        <v>168</v>
      </c>
      <c r="BB5" s="158" t="s">
        <v>168</v>
      </c>
      <c r="BC5" s="158" t="s">
        <v>168</v>
      </c>
      <c r="BD5" s="158" t="s">
        <v>168</v>
      </c>
      <c r="BE5" s="158" t="s">
        <v>168</v>
      </c>
      <c r="BF5" s="158" t="s">
        <v>168</v>
      </c>
      <c r="BG5" s="167" t="s">
        <v>202</v>
      </c>
      <c r="BH5" s="158" t="s">
        <v>203</v>
      </c>
      <c r="BI5" s="160" t="s">
        <v>204</v>
      </c>
      <c r="BJ5" s="160" t="s">
        <v>205</v>
      </c>
      <c r="BK5" s="158" t="s">
        <v>206</v>
      </c>
      <c r="BL5" s="158" t="s">
        <v>207</v>
      </c>
      <c r="BM5" s="158" t="s">
        <v>208</v>
      </c>
      <c r="BN5" s="162" t="s">
        <v>238</v>
      </c>
      <c r="BO5" s="158">
        <v>2</v>
      </c>
      <c r="BP5" s="162" t="s">
        <v>239</v>
      </c>
      <c r="BQ5" s="168">
        <v>18.053811465543081</v>
      </c>
      <c r="BR5" s="168" t="s">
        <v>211</v>
      </c>
      <c r="BS5" s="168">
        <v>0.24836756608957319</v>
      </c>
      <c r="BT5">
        <v>0.83299999999999996</v>
      </c>
      <c r="BU5" t="s">
        <v>168</v>
      </c>
      <c r="BV5" t="s">
        <v>168</v>
      </c>
      <c r="BW5">
        <v>2.69</v>
      </c>
      <c r="BX5" t="s">
        <v>168</v>
      </c>
      <c r="BY5" t="s">
        <v>168</v>
      </c>
      <c r="BZ5" s="163" t="s">
        <v>212</v>
      </c>
      <c r="CA5" t="s">
        <v>213</v>
      </c>
      <c r="CB5" s="168">
        <v>18.443951339187375</v>
      </c>
      <c r="CC5" s="160" t="s">
        <v>214</v>
      </c>
      <c r="CD5" s="164">
        <v>0.42166240146154765</v>
      </c>
      <c r="CE5" s="160" t="s">
        <v>215</v>
      </c>
      <c r="CF5" s="160" t="s">
        <v>216</v>
      </c>
      <c r="CG5" s="160">
        <v>0</v>
      </c>
      <c r="CH5" s="160" t="s">
        <v>217</v>
      </c>
      <c r="CI5" s="160" t="s">
        <v>168</v>
      </c>
      <c r="CJ5">
        <v>24.800810685113611</v>
      </c>
      <c r="CK5" s="158" t="s">
        <v>170</v>
      </c>
      <c r="CL5" s="158">
        <v>1</v>
      </c>
      <c r="CM5" s="158">
        <v>1</v>
      </c>
      <c r="CN5">
        <v>2.8258296293931355</v>
      </c>
      <c r="CO5">
        <v>2.8258296293931355</v>
      </c>
      <c r="CP5" s="165" t="s">
        <v>218</v>
      </c>
      <c r="CQ5" s="169">
        <v>0.05</v>
      </c>
      <c r="CR5" s="169">
        <v>0.05</v>
      </c>
      <c r="CS5" s="174" t="s">
        <v>219</v>
      </c>
      <c r="CT5" s="168" t="s">
        <v>220</v>
      </c>
      <c r="CU5" s="170" t="s">
        <v>221</v>
      </c>
      <c r="CV5" s="158" t="s">
        <v>222</v>
      </c>
      <c r="CW5" s="160" t="s">
        <v>168</v>
      </c>
      <c r="CX5" s="160" t="s">
        <v>168</v>
      </c>
      <c r="CY5" s="160" t="s">
        <v>168</v>
      </c>
      <c r="CZ5" s="160" t="s">
        <v>168</v>
      </c>
      <c r="DA5" s="160" t="s">
        <v>168</v>
      </c>
      <c r="DB5" s="160" t="s">
        <v>168</v>
      </c>
      <c r="DC5" s="160" t="s">
        <v>168</v>
      </c>
      <c r="DD5" s="160" t="s">
        <v>168</v>
      </c>
      <c r="DE5" s="160" t="s">
        <v>168</v>
      </c>
      <c r="DF5" s="160" t="s">
        <v>168</v>
      </c>
      <c r="DG5">
        <v>35</v>
      </c>
      <c r="DH5" t="s">
        <v>170</v>
      </c>
      <c r="DI5" s="160">
        <v>1.5</v>
      </c>
      <c r="DJ5" s="160" t="s">
        <v>168</v>
      </c>
      <c r="DK5" s="158" t="s">
        <v>223</v>
      </c>
      <c r="DL5" s="158" t="s">
        <v>168</v>
      </c>
      <c r="DM5" s="158" t="s">
        <v>168</v>
      </c>
      <c r="DN5" s="158" t="s">
        <v>168</v>
      </c>
      <c r="DO5" s="158" t="s">
        <v>223</v>
      </c>
      <c r="DP5" s="158" t="s">
        <v>168</v>
      </c>
      <c r="DQ5" s="158" t="s">
        <v>168</v>
      </c>
      <c r="DR5" s="158" t="s">
        <v>168</v>
      </c>
      <c r="DS5" s="158" t="s">
        <v>168</v>
      </c>
      <c r="DT5" s="158" t="s">
        <v>168</v>
      </c>
      <c r="DU5" s="158" t="s">
        <v>168</v>
      </c>
      <c r="DV5" s="158" t="s">
        <v>168</v>
      </c>
      <c r="DW5">
        <v>432.67358096596899</v>
      </c>
      <c r="DX5" s="163" t="s">
        <v>224</v>
      </c>
      <c r="DY5" s="158">
        <v>36.153438473221001</v>
      </c>
      <c r="DZ5" s="158" t="s">
        <v>225</v>
      </c>
      <c r="EA5">
        <v>39.799999999999997</v>
      </c>
      <c r="EB5" s="158" t="s">
        <v>226</v>
      </c>
      <c r="EC5">
        <v>0.31</v>
      </c>
      <c r="ED5" s="158" t="s">
        <v>227</v>
      </c>
      <c r="EE5" s="158" t="s">
        <v>228</v>
      </c>
      <c r="EF5" s="158" t="s">
        <v>240</v>
      </c>
      <c r="EG5">
        <v>1.0271999999999999</v>
      </c>
      <c r="EH5" s="158">
        <v>5.9999999999999995E-4</v>
      </c>
      <c r="EI5" s="160" t="s">
        <v>168</v>
      </c>
      <c r="EJ5" s="158" t="s">
        <v>169</v>
      </c>
      <c r="EK5" s="160" t="s">
        <v>168</v>
      </c>
      <c r="EL5" s="160" t="s">
        <v>168</v>
      </c>
      <c r="EM5" s="171" t="s">
        <v>230</v>
      </c>
      <c r="EN5" s="158" t="s">
        <v>231</v>
      </c>
      <c r="EO5" s="158" t="s">
        <v>231</v>
      </c>
      <c r="EP5" s="158" t="s">
        <v>231</v>
      </c>
      <c r="EQ5" s="158" t="s">
        <v>232</v>
      </c>
      <c r="ER5" s="160" t="s">
        <v>168</v>
      </c>
      <c r="ES5" s="160" t="s">
        <v>168</v>
      </c>
      <c r="ET5" s="160" t="s">
        <v>233</v>
      </c>
      <c r="EU5" s="158" t="s">
        <v>234</v>
      </c>
      <c r="EV5" s="158" t="s">
        <v>235</v>
      </c>
      <c r="EW5" s="146">
        <v>1927.7641272727274</v>
      </c>
      <c r="EX5" s="158" t="s">
        <v>236</v>
      </c>
      <c r="EY5" s="172">
        <f t="shared" ref="EY5:EY48" si="0">EW5+(2*250)</f>
        <v>2427.7641272727274</v>
      </c>
      <c r="EZ5" s="168">
        <f t="shared" ref="EZ5:EZ48" si="1">EW5-(2*250)</f>
        <v>1427.7641272727274</v>
      </c>
      <c r="FA5" s="160" t="s">
        <v>168</v>
      </c>
      <c r="FB5" s="160" t="s">
        <v>168</v>
      </c>
      <c r="FC5" s="160" t="s">
        <v>168</v>
      </c>
      <c r="FD5" s="160" t="s">
        <v>168</v>
      </c>
      <c r="FE5">
        <v>8.0724587314869698</v>
      </c>
      <c r="FF5" s="173" t="s">
        <v>171</v>
      </c>
      <c r="FG5">
        <v>3.9411545902970246E-2</v>
      </c>
      <c r="FH5">
        <v>4.1663328154109891E-2</v>
      </c>
      <c r="FI5" s="160">
        <f t="shared" ref="FI5:FI48" si="2">FL5+FJ5</f>
        <v>357.15299166402599</v>
      </c>
      <c r="FJ5" s="160">
        <v>30</v>
      </c>
      <c r="FK5" s="160" t="s">
        <v>168</v>
      </c>
      <c r="FL5">
        <v>327.15299166402599</v>
      </c>
      <c r="FM5">
        <v>101.00666938849099</v>
      </c>
      <c r="FN5">
        <v>97.312790338599001</v>
      </c>
      <c r="FO5" s="158" t="s">
        <v>237</v>
      </c>
      <c r="FP5" s="158" t="s">
        <v>168</v>
      </c>
      <c r="FQ5" s="158" t="s">
        <v>172</v>
      </c>
      <c r="FR5" s="158" t="s">
        <v>172</v>
      </c>
      <c r="FS5" s="158" t="s">
        <v>172</v>
      </c>
      <c r="FT5" s="158" t="s">
        <v>172</v>
      </c>
      <c r="FU5" s="158" t="s">
        <v>172</v>
      </c>
      <c r="FV5" s="158" t="s">
        <v>172</v>
      </c>
      <c r="FW5" s="158" t="s">
        <v>172</v>
      </c>
      <c r="FX5" s="158" t="s">
        <v>172</v>
      </c>
      <c r="FY5" s="158" t="s">
        <v>172</v>
      </c>
      <c r="FZ5" s="158" t="s">
        <v>172</v>
      </c>
      <c r="GA5" s="158" t="s">
        <v>172</v>
      </c>
      <c r="GB5" s="158" t="s">
        <v>172</v>
      </c>
      <c r="GC5" s="158" t="s">
        <v>357</v>
      </c>
    </row>
    <row r="6" spans="1:185" ht="20" x14ac:dyDescent="0.25">
      <c r="A6" t="s">
        <v>190</v>
      </c>
      <c r="B6" s="140" t="s">
        <v>358</v>
      </c>
      <c r="C6" s="158" t="s">
        <v>173</v>
      </c>
      <c r="D6" s="158" t="s">
        <v>188</v>
      </c>
      <c r="E6" s="158">
        <v>2022</v>
      </c>
      <c r="F6" s="158" t="s">
        <v>189</v>
      </c>
      <c r="G6">
        <v>4998.5289256198303</v>
      </c>
      <c r="H6" s="176">
        <v>15</v>
      </c>
      <c r="I6" s="176">
        <v>15</v>
      </c>
      <c r="J6" s="158">
        <v>319.93864168992798</v>
      </c>
      <c r="K6">
        <v>98.444769786513007</v>
      </c>
      <c r="L6">
        <v>92.737445235377976</v>
      </c>
      <c r="M6" t="b">
        <v>1</v>
      </c>
      <c r="N6">
        <v>1</v>
      </c>
      <c r="O6" t="s">
        <v>191</v>
      </c>
      <c r="P6" t="s">
        <v>168</v>
      </c>
      <c r="Q6" t="s">
        <v>168</v>
      </c>
      <c r="R6" t="s">
        <v>168</v>
      </c>
      <c r="S6" t="b">
        <v>0</v>
      </c>
      <c r="T6" t="b">
        <v>0</v>
      </c>
      <c r="U6" t="s">
        <v>168</v>
      </c>
      <c r="V6" t="b">
        <v>0</v>
      </c>
      <c r="W6" t="b">
        <v>0</v>
      </c>
      <c r="X6" t="s">
        <v>359</v>
      </c>
      <c r="Y6" s="159" t="s">
        <v>192</v>
      </c>
      <c r="Z6" s="158" t="s">
        <v>193</v>
      </c>
      <c r="AA6" s="160" t="s">
        <v>194</v>
      </c>
      <c r="AB6" s="160" t="s">
        <v>195</v>
      </c>
      <c r="AC6" s="158">
        <v>15</v>
      </c>
      <c r="AD6" s="158">
        <v>5</v>
      </c>
      <c r="AE6" s="158">
        <v>42</v>
      </c>
      <c r="AF6" s="158">
        <v>43.5</v>
      </c>
      <c r="AG6" s="158">
        <v>136.91999999999999</v>
      </c>
      <c r="AH6" s="158">
        <v>153.46</v>
      </c>
      <c r="AI6" s="160" t="s">
        <v>196</v>
      </c>
      <c r="AJ6" s="158" t="s">
        <v>197</v>
      </c>
      <c r="AK6" s="166">
        <v>3.7212472000000001</v>
      </c>
      <c r="AL6" s="166">
        <v>-42.913286111111098</v>
      </c>
      <c r="AM6" s="160" t="s">
        <v>168</v>
      </c>
      <c r="AN6" s="160" t="s">
        <v>168</v>
      </c>
      <c r="AO6" s="158">
        <v>-3598</v>
      </c>
      <c r="AP6" s="160" t="s">
        <v>168</v>
      </c>
      <c r="AQ6" s="160" t="s">
        <v>168</v>
      </c>
      <c r="AR6" s="160" t="s">
        <v>168</v>
      </c>
      <c r="AS6" s="158">
        <v>4998.5289256198303</v>
      </c>
      <c r="AT6" s="160" t="s">
        <v>198</v>
      </c>
      <c r="AU6" s="160" t="s">
        <v>168</v>
      </c>
      <c r="AV6" s="160" t="s">
        <v>168</v>
      </c>
      <c r="AW6" s="160" t="s">
        <v>199</v>
      </c>
      <c r="AX6" s="158" t="s">
        <v>200</v>
      </c>
      <c r="AY6" s="158" t="s">
        <v>201</v>
      </c>
      <c r="AZ6" s="158" t="s">
        <v>168</v>
      </c>
      <c r="BA6" s="158" t="s">
        <v>168</v>
      </c>
      <c r="BB6" s="158" t="s">
        <v>168</v>
      </c>
      <c r="BC6" s="158" t="s">
        <v>168</v>
      </c>
      <c r="BD6" s="158" t="s">
        <v>168</v>
      </c>
      <c r="BE6" s="158" t="s">
        <v>168</v>
      </c>
      <c r="BF6" s="158" t="s">
        <v>168</v>
      </c>
      <c r="BG6" s="167" t="s">
        <v>202</v>
      </c>
      <c r="BH6" s="158" t="s">
        <v>203</v>
      </c>
      <c r="BI6" s="160" t="s">
        <v>204</v>
      </c>
      <c r="BJ6" s="160" t="s">
        <v>205</v>
      </c>
      <c r="BK6" s="158" t="s">
        <v>206</v>
      </c>
      <c r="BL6" s="158" t="s">
        <v>207</v>
      </c>
      <c r="BM6" s="158" t="s">
        <v>208</v>
      </c>
      <c r="BN6" s="162" t="s">
        <v>241</v>
      </c>
      <c r="BO6" s="158">
        <v>2</v>
      </c>
      <c r="BP6" s="162" t="s">
        <v>242</v>
      </c>
      <c r="BQ6" s="168">
        <v>18.246362447256523</v>
      </c>
      <c r="BR6" s="168" t="s">
        <v>211</v>
      </c>
      <c r="BS6" s="168">
        <v>0.26100397705903061</v>
      </c>
      <c r="BT6">
        <v>0.83299999999999996</v>
      </c>
      <c r="BU6" t="s">
        <v>168</v>
      </c>
      <c r="BV6" t="s">
        <v>168</v>
      </c>
      <c r="BW6">
        <v>2.69</v>
      </c>
      <c r="BX6" t="s">
        <v>168</v>
      </c>
      <c r="BY6" t="s">
        <v>168</v>
      </c>
      <c r="BZ6" s="163" t="s">
        <v>212</v>
      </c>
      <c r="CA6" t="s">
        <v>213</v>
      </c>
      <c r="CB6" s="168">
        <v>18.675104978699309</v>
      </c>
      <c r="CC6" s="160" t="s">
        <v>214</v>
      </c>
      <c r="CD6" s="164">
        <v>0.44311568330155604</v>
      </c>
      <c r="CE6" s="160" t="s">
        <v>215</v>
      </c>
      <c r="CF6" s="160" t="s">
        <v>216</v>
      </c>
      <c r="CG6" s="160">
        <v>0</v>
      </c>
      <c r="CH6" s="160" t="s">
        <v>217</v>
      </c>
      <c r="CI6" s="160" t="s">
        <v>168</v>
      </c>
      <c r="CJ6">
        <v>25.800672775644884</v>
      </c>
      <c r="CK6" s="158" t="s">
        <v>170</v>
      </c>
      <c r="CL6" s="158">
        <v>1</v>
      </c>
      <c r="CM6" s="158">
        <v>1</v>
      </c>
      <c r="CN6">
        <v>3.090748161966113</v>
      </c>
      <c r="CO6">
        <v>3.090748161966113</v>
      </c>
      <c r="CP6" s="165" t="s">
        <v>218</v>
      </c>
      <c r="CQ6" s="169">
        <v>0.05</v>
      </c>
      <c r="CR6" s="169">
        <v>0.05</v>
      </c>
      <c r="CS6" s="168" t="s">
        <v>219</v>
      </c>
      <c r="CT6" s="168" t="s">
        <v>220</v>
      </c>
      <c r="CU6" s="170" t="s">
        <v>221</v>
      </c>
      <c r="CV6" s="158" t="s">
        <v>222</v>
      </c>
      <c r="CW6" s="160" t="s">
        <v>168</v>
      </c>
      <c r="CX6" s="160" t="s">
        <v>168</v>
      </c>
      <c r="CY6" s="160" t="s">
        <v>168</v>
      </c>
      <c r="CZ6" s="160" t="s">
        <v>168</v>
      </c>
      <c r="DA6" s="160" t="s">
        <v>168</v>
      </c>
      <c r="DB6" s="160" t="s">
        <v>168</v>
      </c>
      <c r="DC6" s="160" t="s">
        <v>168</v>
      </c>
      <c r="DD6" s="160" t="s">
        <v>168</v>
      </c>
      <c r="DE6" s="160" t="s">
        <v>168</v>
      </c>
      <c r="DF6" s="160" t="s">
        <v>168</v>
      </c>
      <c r="DG6">
        <v>35</v>
      </c>
      <c r="DH6" t="s">
        <v>170</v>
      </c>
      <c r="DI6" s="160">
        <v>1.5</v>
      </c>
      <c r="DJ6" s="160" t="s">
        <v>168</v>
      </c>
      <c r="DK6" s="158" t="s">
        <v>223</v>
      </c>
      <c r="DL6" s="158" t="s">
        <v>168</v>
      </c>
      <c r="DM6" s="158" t="s">
        <v>168</v>
      </c>
      <c r="DN6" s="158" t="s">
        <v>168</v>
      </c>
      <c r="DO6" s="158" t="s">
        <v>223</v>
      </c>
      <c r="DP6" s="158" t="s">
        <v>168</v>
      </c>
      <c r="DQ6" s="158" t="s">
        <v>168</v>
      </c>
      <c r="DR6" s="158" t="s">
        <v>168</v>
      </c>
      <c r="DS6" s="158" t="s">
        <v>168</v>
      </c>
      <c r="DT6" s="158" t="s">
        <v>168</v>
      </c>
      <c r="DU6" s="158" t="s">
        <v>168</v>
      </c>
      <c r="DV6" s="158" t="s">
        <v>168</v>
      </c>
      <c r="DW6">
        <v>432.56966081685903</v>
      </c>
      <c r="DX6" s="163" t="s">
        <v>224</v>
      </c>
      <c r="DY6" s="158">
        <v>36.800176881851996</v>
      </c>
      <c r="DZ6" s="158" t="s">
        <v>225</v>
      </c>
      <c r="EA6">
        <v>39.799999999999997</v>
      </c>
      <c r="EB6" s="158" t="s">
        <v>226</v>
      </c>
      <c r="EC6">
        <v>0.31</v>
      </c>
      <c r="ED6" s="158" t="s">
        <v>227</v>
      </c>
      <c r="EE6" s="158" t="s">
        <v>228</v>
      </c>
      <c r="EF6" s="158" t="s">
        <v>243</v>
      </c>
      <c r="EG6">
        <v>1.0271999999999999</v>
      </c>
      <c r="EH6" s="158">
        <v>5.9999999999999995E-4</v>
      </c>
      <c r="EI6" s="160" t="s">
        <v>168</v>
      </c>
      <c r="EJ6" s="158" t="s">
        <v>169</v>
      </c>
      <c r="EK6" s="160" t="s">
        <v>168</v>
      </c>
      <c r="EL6" s="160" t="s">
        <v>168</v>
      </c>
      <c r="EM6" s="171" t="s">
        <v>230</v>
      </c>
      <c r="EN6" s="158" t="s">
        <v>231</v>
      </c>
      <c r="EO6" s="158" t="s">
        <v>231</v>
      </c>
      <c r="EP6" s="158" t="s">
        <v>231</v>
      </c>
      <c r="EQ6" s="158" t="s">
        <v>232</v>
      </c>
      <c r="ER6" s="160" t="s">
        <v>168</v>
      </c>
      <c r="ES6" s="160" t="s">
        <v>168</v>
      </c>
      <c r="ET6" s="160" t="s">
        <v>233</v>
      </c>
      <c r="EU6" s="158" t="s">
        <v>234</v>
      </c>
      <c r="EV6" s="158" t="s">
        <v>235</v>
      </c>
      <c r="EW6" s="146">
        <v>1927.3295685950413</v>
      </c>
      <c r="EX6" s="158" t="s">
        <v>236</v>
      </c>
      <c r="EY6" s="172">
        <f t="shared" si="0"/>
        <v>2427.3295685950416</v>
      </c>
      <c r="EZ6" s="168">
        <f t="shared" si="1"/>
        <v>1427.3295685950413</v>
      </c>
      <c r="FA6" s="160" t="s">
        <v>168</v>
      </c>
      <c r="FB6" s="160" t="s">
        <v>168</v>
      </c>
      <c r="FC6" s="160" t="s">
        <v>168</v>
      </c>
      <c r="FD6" s="160" t="s">
        <v>168</v>
      </c>
      <c r="FE6">
        <v>8.0817503720300596</v>
      </c>
      <c r="FF6" s="173" t="s">
        <v>171</v>
      </c>
      <c r="FG6">
        <v>3.9897101944060154E-2</v>
      </c>
      <c r="FH6">
        <v>4.0998057865399673E-2</v>
      </c>
      <c r="FI6" s="160">
        <f t="shared" si="2"/>
        <v>349.93864168992798</v>
      </c>
      <c r="FJ6" s="160">
        <v>30</v>
      </c>
      <c r="FK6" s="160" t="s">
        <v>168</v>
      </c>
      <c r="FL6">
        <v>319.93864168992798</v>
      </c>
      <c r="FM6">
        <v>98.444769786513007</v>
      </c>
      <c r="FN6">
        <v>92.737445235377976</v>
      </c>
      <c r="FO6" s="158" t="s">
        <v>237</v>
      </c>
      <c r="FP6" s="158" t="s">
        <v>168</v>
      </c>
      <c r="FQ6" s="158" t="s">
        <v>172</v>
      </c>
      <c r="FR6" s="158" t="s">
        <v>172</v>
      </c>
      <c r="FS6" s="158" t="s">
        <v>172</v>
      </c>
      <c r="FT6" s="158" t="s">
        <v>172</v>
      </c>
      <c r="FU6" s="158" t="s">
        <v>172</v>
      </c>
      <c r="FV6" s="158" t="s">
        <v>172</v>
      </c>
      <c r="FW6" s="158" t="s">
        <v>172</v>
      </c>
      <c r="FX6" s="158" t="s">
        <v>172</v>
      </c>
      <c r="FY6" s="158" t="s">
        <v>172</v>
      </c>
      <c r="FZ6" s="158" t="s">
        <v>172</v>
      </c>
      <c r="GA6" s="158" t="s">
        <v>172</v>
      </c>
      <c r="GB6" s="158" t="s">
        <v>172</v>
      </c>
      <c r="GC6" s="158" t="s">
        <v>357</v>
      </c>
    </row>
    <row r="7" spans="1:185" ht="20" x14ac:dyDescent="0.25">
      <c r="A7" t="s">
        <v>190</v>
      </c>
      <c r="B7" s="140" t="s">
        <v>358</v>
      </c>
      <c r="C7" s="158" t="s">
        <v>173</v>
      </c>
      <c r="D7" s="158" t="s">
        <v>188</v>
      </c>
      <c r="E7" s="158">
        <v>2022</v>
      </c>
      <c r="F7" s="158" t="s">
        <v>189</v>
      </c>
      <c r="G7">
        <v>5052.3358490566097</v>
      </c>
      <c r="H7" s="176">
        <v>15</v>
      </c>
      <c r="I7" s="176">
        <v>15</v>
      </c>
      <c r="J7" s="158">
        <v>319.36418618991502</v>
      </c>
      <c r="K7">
        <v>97.008326727308997</v>
      </c>
      <c r="L7">
        <v>93.708229428099031</v>
      </c>
      <c r="M7" t="b">
        <v>1</v>
      </c>
      <c r="N7">
        <v>1</v>
      </c>
      <c r="O7" t="s">
        <v>191</v>
      </c>
      <c r="P7" t="s">
        <v>168</v>
      </c>
      <c r="Q7" t="s">
        <v>168</v>
      </c>
      <c r="R7" t="s">
        <v>168</v>
      </c>
      <c r="S7" t="b">
        <v>0</v>
      </c>
      <c r="T7" t="b">
        <v>0</v>
      </c>
      <c r="U7" t="s">
        <v>168</v>
      </c>
      <c r="V7" t="b">
        <v>0</v>
      </c>
      <c r="W7" t="b">
        <v>0</v>
      </c>
      <c r="X7" t="s">
        <v>359</v>
      </c>
      <c r="Y7" s="159" t="s">
        <v>192</v>
      </c>
      <c r="Z7" s="158" t="s">
        <v>193</v>
      </c>
      <c r="AA7" s="160" t="s">
        <v>194</v>
      </c>
      <c r="AB7" s="160" t="s">
        <v>195</v>
      </c>
      <c r="AC7" s="158">
        <v>15</v>
      </c>
      <c r="AD7" s="158">
        <v>6</v>
      </c>
      <c r="AE7" s="158">
        <v>2</v>
      </c>
      <c r="AF7" s="158">
        <v>3.5</v>
      </c>
      <c r="AG7" s="158">
        <v>138.02000000000001</v>
      </c>
      <c r="AH7" s="158">
        <v>154.84452830188701</v>
      </c>
      <c r="AI7" s="160" t="s">
        <v>196</v>
      </c>
      <c r="AJ7" s="158" t="s">
        <v>197</v>
      </c>
      <c r="AK7" s="166">
        <v>3.7212472000000001</v>
      </c>
      <c r="AL7" s="166">
        <v>-42.913286111111098</v>
      </c>
      <c r="AM7" s="160" t="s">
        <v>168</v>
      </c>
      <c r="AN7" s="160" t="s">
        <v>168</v>
      </c>
      <c r="AO7" s="158">
        <v>-3598</v>
      </c>
      <c r="AP7" s="160" t="s">
        <v>168</v>
      </c>
      <c r="AQ7" s="160" t="s">
        <v>168</v>
      </c>
      <c r="AR7" s="160" t="s">
        <v>168</v>
      </c>
      <c r="AS7" s="158">
        <v>5052.3358490566097</v>
      </c>
      <c r="AT7" s="160" t="s">
        <v>198</v>
      </c>
      <c r="AU7" s="160" t="s">
        <v>168</v>
      </c>
      <c r="AV7" s="160" t="s">
        <v>168</v>
      </c>
      <c r="AW7" s="160" t="s">
        <v>199</v>
      </c>
      <c r="AX7" s="158" t="s">
        <v>200</v>
      </c>
      <c r="AY7" s="158" t="s">
        <v>201</v>
      </c>
      <c r="AZ7" s="158" t="s">
        <v>168</v>
      </c>
      <c r="BA7" s="158" t="s">
        <v>168</v>
      </c>
      <c r="BB7" s="158" t="s">
        <v>168</v>
      </c>
      <c r="BC7" s="158" t="s">
        <v>168</v>
      </c>
      <c r="BD7" s="158" t="s">
        <v>168</v>
      </c>
      <c r="BE7" s="158" t="s">
        <v>168</v>
      </c>
      <c r="BF7" s="158" t="s">
        <v>168</v>
      </c>
      <c r="BG7" s="167" t="s">
        <v>202</v>
      </c>
      <c r="BH7" s="158" t="s">
        <v>203</v>
      </c>
      <c r="BI7" s="160" t="s">
        <v>204</v>
      </c>
      <c r="BJ7" s="160" t="s">
        <v>205</v>
      </c>
      <c r="BK7" s="158" t="s">
        <v>206</v>
      </c>
      <c r="BL7" s="158" t="s">
        <v>207</v>
      </c>
      <c r="BM7" s="158" t="s">
        <v>208</v>
      </c>
      <c r="BN7" s="162" t="s">
        <v>244</v>
      </c>
      <c r="BO7" s="158">
        <v>2</v>
      </c>
      <c r="BP7" s="162" t="s">
        <v>245</v>
      </c>
      <c r="BQ7" s="168">
        <v>18.346606535292295</v>
      </c>
      <c r="BR7" s="168" t="s">
        <v>211</v>
      </c>
      <c r="BS7" s="168">
        <v>0.19062569101485605</v>
      </c>
      <c r="BT7">
        <v>0.83299999999999996</v>
      </c>
      <c r="BU7" t="s">
        <v>168</v>
      </c>
      <c r="BV7" t="s">
        <v>168</v>
      </c>
      <c r="BW7">
        <v>2.69</v>
      </c>
      <c r="BX7" t="s">
        <v>168</v>
      </c>
      <c r="BY7" t="s">
        <v>168</v>
      </c>
      <c r="BZ7" s="163" t="s">
        <v>212</v>
      </c>
      <c r="CA7" t="s">
        <v>213</v>
      </c>
      <c r="CB7" s="168">
        <v>18.795446020759059</v>
      </c>
      <c r="CC7" s="160" t="s">
        <v>214</v>
      </c>
      <c r="CD7" s="164">
        <v>0.32363197787509163</v>
      </c>
      <c r="CE7" s="160" t="s">
        <v>215</v>
      </c>
      <c r="CF7" s="160" t="s">
        <v>216</v>
      </c>
      <c r="CG7" s="160">
        <v>0</v>
      </c>
      <c r="CH7" s="160" t="s">
        <v>217</v>
      </c>
      <c r="CI7" s="160" t="s">
        <v>168</v>
      </c>
      <c r="CJ7">
        <v>26.660041595671835</v>
      </c>
      <c r="CK7" s="158" t="s">
        <v>170</v>
      </c>
      <c r="CL7" s="158">
        <v>1</v>
      </c>
      <c r="CM7" s="158">
        <v>1</v>
      </c>
      <c r="CN7">
        <v>3.3361596810630658</v>
      </c>
      <c r="CO7">
        <v>3.3361596810630658</v>
      </c>
      <c r="CP7" s="165" t="s">
        <v>218</v>
      </c>
      <c r="CQ7" s="169">
        <v>0.05</v>
      </c>
      <c r="CR7" s="169">
        <v>0.05</v>
      </c>
      <c r="CS7" s="168" t="s">
        <v>219</v>
      </c>
      <c r="CT7" s="168" t="s">
        <v>220</v>
      </c>
      <c r="CU7" s="170" t="s">
        <v>221</v>
      </c>
      <c r="CV7" s="158" t="s">
        <v>222</v>
      </c>
      <c r="CW7" s="160" t="s">
        <v>168</v>
      </c>
      <c r="CX7" s="160" t="s">
        <v>168</v>
      </c>
      <c r="CY7" s="160" t="s">
        <v>168</v>
      </c>
      <c r="CZ7" s="160" t="s">
        <v>168</v>
      </c>
      <c r="DA7" s="160" t="s">
        <v>168</v>
      </c>
      <c r="DB7" s="160" t="s">
        <v>168</v>
      </c>
      <c r="DC7" s="160" t="s">
        <v>168</v>
      </c>
      <c r="DD7" s="160" t="s">
        <v>168</v>
      </c>
      <c r="DE7" s="160" t="s">
        <v>168</v>
      </c>
      <c r="DF7" s="160" t="s">
        <v>168</v>
      </c>
      <c r="DG7">
        <v>35</v>
      </c>
      <c r="DH7" t="s">
        <v>170</v>
      </c>
      <c r="DI7" s="160">
        <v>1.5</v>
      </c>
      <c r="DJ7" s="160" t="s">
        <v>168</v>
      </c>
      <c r="DK7" s="158" t="s">
        <v>223</v>
      </c>
      <c r="DL7" s="158" t="s">
        <v>168</v>
      </c>
      <c r="DM7" s="158" t="s">
        <v>168</v>
      </c>
      <c r="DN7" s="158" t="s">
        <v>168</v>
      </c>
      <c r="DO7" s="158" t="s">
        <v>223</v>
      </c>
      <c r="DP7" s="158" t="s">
        <v>168</v>
      </c>
      <c r="DQ7" s="158" t="s">
        <v>168</v>
      </c>
      <c r="DR7" s="158" t="s">
        <v>168</v>
      </c>
      <c r="DS7" s="158" t="s">
        <v>168</v>
      </c>
      <c r="DT7" s="158" t="s">
        <v>168</v>
      </c>
      <c r="DU7" s="158" t="s">
        <v>168</v>
      </c>
      <c r="DV7" s="158" t="s">
        <v>168</v>
      </c>
      <c r="DW7">
        <v>432.51420891676503</v>
      </c>
      <c r="DX7" s="163" t="s">
        <v>224</v>
      </c>
      <c r="DY7" s="158">
        <v>37.060753371079016</v>
      </c>
      <c r="DZ7" s="158" t="s">
        <v>225</v>
      </c>
      <c r="EA7">
        <v>39.799999999999997</v>
      </c>
      <c r="EB7" s="158" t="s">
        <v>226</v>
      </c>
      <c r="EC7">
        <v>0.31</v>
      </c>
      <c r="ED7" s="158" t="s">
        <v>227</v>
      </c>
      <c r="EE7" s="158" t="s">
        <v>228</v>
      </c>
      <c r="EF7" s="158" t="s">
        <v>246</v>
      </c>
      <c r="EG7">
        <v>1.0271999999999999</v>
      </c>
      <c r="EH7" s="158">
        <v>5.9999999999999995E-4</v>
      </c>
      <c r="EI7" s="160" t="s">
        <v>168</v>
      </c>
      <c r="EJ7" s="158" t="s">
        <v>169</v>
      </c>
      <c r="EK7" s="160" t="s">
        <v>168</v>
      </c>
      <c r="EL7" s="160" t="s">
        <v>168</v>
      </c>
      <c r="EM7" s="171" t="s">
        <v>230</v>
      </c>
      <c r="EN7" s="158" t="s">
        <v>231</v>
      </c>
      <c r="EO7" s="158" t="s">
        <v>231</v>
      </c>
      <c r="EP7" s="158" t="s">
        <v>231</v>
      </c>
      <c r="EQ7" s="158" t="s">
        <v>232</v>
      </c>
      <c r="ER7" s="160" t="s">
        <v>168</v>
      </c>
      <c r="ES7" s="160" t="s">
        <v>168</v>
      </c>
      <c r="ET7" s="160" t="s">
        <v>233</v>
      </c>
      <c r="EU7" s="158" t="s">
        <v>234</v>
      </c>
      <c r="EV7" s="158" t="s">
        <v>235</v>
      </c>
      <c r="EW7" s="146">
        <v>1926.248049433962</v>
      </c>
      <c r="EX7" s="158" t="s">
        <v>236</v>
      </c>
      <c r="EY7" s="172">
        <f t="shared" si="0"/>
        <v>2426.248049433962</v>
      </c>
      <c r="EZ7" s="168">
        <f t="shared" si="1"/>
        <v>1426.248049433962</v>
      </c>
      <c r="FA7" s="160" t="s">
        <v>168</v>
      </c>
      <c r="FB7" s="160" t="s">
        <v>168</v>
      </c>
      <c r="FC7" s="160" t="s">
        <v>168</v>
      </c>
      <c r="FD7" s="160" t="s">
        <v>168</v>
      </c>
      <c r="FE7">
        <v>8.08224380734368</v>
      </c>
      <c r="FF7" s="173" t="s">
        <v>171</v>
      </c>
      <c r="FG7">
        <v>3.6044645383279672E-2</v>
      </c>
      <c r="FH7">
        <v>3.7171451465480843E-2</v>
      </c>
      <c r="FI7" s="160">
        <f t="shared" si="2"/>
        <v>349.36418618991502</v>
      </c>
      <c r="FJ7" s="160">
        <v>30</v>
      </c>
      <c r="FK7" s="160" t="s">
        <v>168</v>
      </c>
      <c r="FL7">
        <v>319.36418618991502</v>
      </c>
      <c r="FM7">
        <v>97.008326727308997</v>
      </c>
      <c r="FN7">
        <v>93.708229428099031</v>
      </c>
      <c r="FO7" s="158" t="s">
        <v>237</v>
      </c>
      <c r="FP7" s="158" t="s">
        <v>168</v>
      </c>
      <c r="FQ7" s="158" t="s">
        <v>172</v>
      </c>
      <c r="FR7" s="158" t="s">
        <v>172</v>
      </c>
      <c r="FS7" s="158" t="s">
        <v>172</v>
      </c>
      <c r="FT7" s="158" t="s">
        <v>172</v>
      </c>
      <c r="FU7" s="158" t="s">
        <v>172</v>
      </c>
      <c r="FV7" s="158" t="s">
        <v>172</v>
      </c>
      <c r="FW7" s="158" t="s">
        <v>172</v>
      </c>
      <c r="FX7" s="158" t="s">
        <v>172</v>
      </c>
      <c r="FY7" s="158" t="s">
        <v>172</v>
      </c>
      <c r="FZ7" s="158" t="s">
        <v>172</v>
      </c>
      <c r="GA7" s="158" t="s">
        <v>172</v>
      </c>
      <c r="GB7" s="158" t="s">
        <v>172</v>
      </c>
      <c r="GC7" s="158" t="s">
        <v>357</v>
      </c>
    </row>
    <row r="8" spans="1:185" ht="20" x14ac:dyDescent="0.25">
      <c r="A8" t="s">
        <v>190</v>
      </c>
      <c r="B8" s="140" t="s">
        <v>358</v>
      </c>
      <c r="C8" s="158" t="s">
        <v>173</v>
      </c>
      <c r="D8" s="158" t="s">
        <v>188</v>
      </c>
      <c r="E8" s="158">
        <v>2022</v>
      </c>
      <c r="F8" s="158" t="s">
        <v>189</v>
      </c>
      <c r="G8">
        <v>5057.6774045099</v>
      </c>
      <c r="H8" s="176">
        <v>15</v>
      </c>
      <c r="I8" s="176">
        <v>15</v>
      </c>
      <c r="J8" s="158">
        <v>391.87654928114199</v>
      </c>
      <c r="K8">
        <v>118.31556771794601</v>
      </c>
      <c r="L8">
        <v>115.38158532030701</v>
      </c>
      <c r="M8" t="b">
        <v>1</v>
      </c>
      <c r="N8">
        <v>1</v>
      </c>
      <c r="O8" t="s">
        <v>191</v>
      </c>
      <c r="P8" t="s">
        <v>168</v>
      </c>
      <c r="Q8" t="s">
        <v>168</v>
      </c>
      <c r="R8" t="s">
        <v>168</v>
      </c>
      <c r="S8" t="b">
        <v>0</v>
      </c>
      <c r="T8" t="b">
        <v>0</v>
      </c>
      <c r="U8" t="s">
        <v>168</v>
      </c>
      <c r="V8" t="b">
        <v>0</v>
      </c>
      <c r="W8" t="b">
        <v>0</v>
      </c>
      <c r="X8" t="s">
        <v>359</v>
      </c>
      <c r="Y8" s="159" t="s">
        <v>192</v>
      </c>
      <c r="Z8" s="158" t="s">
        <v>193</v>
      </c>
      <c r="AA8" s="160" t="s">
        <v>194</v>
      </c>
      <c r="AB8" s="160" t="s">
        <v>247</v>
      </c>
      <c r="AC8" s="158">
        <v>15</v>
      </c>
      <c r="AD8" s="158">
        <v>4</v>
      </c>
      <c r="AE8" s="158">
        <v>10</v>
      </c>
      <c r="AF8" s="158">
        <v>11.5</v>
      </c>
      <c r="AG8" s="158">
        <v>138.1</v>
      </c>
      <c r="AH8" s="158">
        <v>155.01207547169801</v>
      </c>
      <c r="AI8" s="160" t="s">
        <v>196</v>
      </c>
      <c r="AJ8" s="158" t="s">
        <v>197</v>
      </c>
      <c r="AK8" s="166">
        <v>3.7212472000000001</v>
      </c>
      <c r="AL8" s="166">
        <v>-42.913286111111098</v>
      </c>
      <c r="AM8" s="160" t="s">
        <v>168</v>
      </c>
      <c r="AN8" s="160" t="s">
        <v>168</v>
      </c>
      <c r="AO8" s="158">
        <v>-3598</v>
      </c>
      <c r="AP8" s="160" t="s">
        <v>168</v>
      </c>
      <c r="AQ8" s="160" t="s">
        <v>168</v>
      </c>
      <c r="AR8" s="160" t="s">
        <v>168</v>
      </c>
      <c r="AS8" s="158">
        <v>5057.6774045099</v>
      </c>
      <c r="AT8" s="160" t="s">
        <v>198</v>
      </c>
      <c r="AU8" s="160" t="s">
        <v>168</v>
      </c>
      <c r="AV8" s="160" t="s">
        <v>168</v>
      </c>
      <c r="AW8" s="160" t="s">
        <v>199</v>
      </c>
      <c r="AX8" s="158" t="s">
        <v>200</v>
      </c>
      <c r="AY8" s="158" t="s">
        <v>201</v>
      </c>
      <c r="AZ8" s="158" t="s">
        <v>168</v>
      </c>
      <c r="BA8" s="158" t="s">
        <v>168</v>
      </c>
      <c r="BB8" s="158" t="s">
        <v>168</v>
      </c>
      <c r="BC8" s="158" t="s">
        <v>168</v>
      </c>
      <c r="BD8" s="158" t="s">
        <v>168</v>
      </c>
      <c r="BE8" s="158" t="s">
        <v>168</v>
      </c>
      <c r="BF8" s="158" t="s">
        <v>168</v>
      </c>
      <c r="BG8" s="167" t="s">
        <v>202</v>
      </c>
      <c r="BH8" s="158" t="s">
        <v>203</v>
      </c>
      <c r="BI8" s="160" t="s">
        <v>204</v>
      </c>
      <c r="BJ8" s="160" t="s">
        <v>205</v>
      </c>
      <c r="BK8" s="158" t="s">
        <v>206</v>
      </c>
      <c r="BL8" s="158" t="s">
        <v>207</v>
      </c>
      <c r="BM8" s="158" t="s">
        <v>208</v>
      </c>
      <c r="BN8" s="162" t="s">
        <v>248</v>
      </c>
      <c r="BO8" s="158">
        <v>2</v>
      </c>
      <c r="BP8" s="162" t="s">
        <v>210</v>
      </c>
      <c r="BQ8" s="168">
        <v>17.752679282036276</v>
      </c>
      <c r="BR8" s="168" t="s">
        <v>211</v>
      </c>
      <c r="BS8" s="168">
        <v>0.18272204440728787</v>
      </c>
      <c r="BT8">
        <v>0.83299999999999996</v>
      </c>
      <c r="BU8" t="s">
        <v>168</v>
      </c>
      <c r="BV8" t="s">
        <v>168</v>
      </c>
      <c r="BW8">
        <v>2.69</v>
      </c>
      <c r="BX8" t="s">
        <v>168</v>
      </c>
      <c r="BY8" t="s">
        <v>168</v>
      </c>
      <c r="BZ8" s="163" t="s">
        <v>212</v>
      </c>
      <c r="CA8" t="s">
        <v>213</v>
      </c>
      <c r="CB8" s="168">
        <v>18.082448117690607</v>
      </c>
      <c r="CC8" s="160" t="s">
        <v>214</v>
      </c>
      <c r="CD8" s="164">
        <v>0.31021367748538409</v>
      </c>
      <c r="CE8" s="160" t="s">
        <v>215</v>
      </c>
      <c r="CF8" s="160" t="s">
        <v>216</v>
      </c>
      <c r="CG8" s="160">
        <v>0</v>
      </c>
      <c r="CH8" s="160" t="s">
        <v>217</v>
      </c>
      <c r="CI8" s="160" t="s">
        <v>168</v>
      </c>
      <c r="CJ8">
        <v>27.450073977885992</v>
      </c>
      <c r="CK8" s="158" t="s">
        <v>170</v>
      </c>
      <c r="CL8" s="158">
        <v>1</v>
      </c>
      <c r="CM8" s="158">
        <v>1</v>
      </c>
      <c r="CN8">
        <v>3.5816743964095332</v>
      </c>
      <c r="CO8">
        <v>3.5816743964095332</v>
      </c>
      <c r="CP8" s="165" t="s">
        <v>218</v>
      </c>
      <c r="CQ8" s="169">
        <v>0.05</v>
      </c>
      <c r="CR8" s="169">
        <v>0.05</v>
      </c>
      <c r="CS8" s="168" t="s">
        <v>219</v>
      </c>
      <c r="CT8" s="168" t="s">
        <v>220</v>
      </c>
      <c r="CU8" s="170" t="s">
        <v>221</v>
      </c>
      <c r="CV8" s="158" t="s">
        <v>222</v>
      </c>
      <c r="CW8" s="160" t="s">
        <v>168</v>
      </c>
      <c r="CX8" s="160" t="s">
        <v>168</v>
      </c>
      <c r="CY8" s="160" t="s">
        <v>168</v>
      </c>
      <c r="CZ8" s="160" t="s">
        <v>168</v>
      </c>
      <c r="DA8" s="160" t="s">
        <v>168</v>
      </c>
      <c r="DB8" s="160" t="s">
        <v>168</v>
      </c>
      <c r="DC8" s="160" t="s">
        <v>168</v>
      </c>
      <c r="DD8" s="160" t="s">
        <v>168</v>
      </c>
      <c r="DE8" s="160" t="s">
        <v>168</v>
      </c>
      <c r="DF8" s="160" t="s">
        <v>168</v>
      </c>
      <c r="DG8">
        <v>35</v>
      </c>
      <c r="DH8" t="s">
        <v>170</v>
      </c>
      <c r="DI8" s="160">
        <v>1.5</v>
      </c>
      <c r="DJ8" s="160" t="s">
        <v>168</v>
      </c>
      <c r="DK8" s="158" t="s">
        <v>223</v>
      </c>
      <c r="DL8" s="158" t="s">
        <v>168</v>
      </c>
      <c r="DM8" s="158" t="s">
        <v>168</v>
      </c>
      <c r="DN8" s="158" t="s">
        <v>168</v>
      </c>
      <c r="DO8" s="158" t="s">
        <v>223</v>
      </c>
      <c r="DP8" s="158" t="s">
        <v>168</v>
      </c>
      <c r="DQ8" s="158" t="s">
        <v>168</v>
      </c>
      <c r="DR8" s="158" t="s">
        <v>168</v>
      </c>
      <c r="DS8" s="158" t="s">
        <v>168</v>
      </c>
      <c r="DT8" s="158" t="s">
        <v>168</v>
      </c>
      <c r="DU8" s="158" t="s">
        <v>168</v>
      </c>
      <c r="DV8" s="158" t="s">
        <v>168</v>
      </c>
      <c r="DW8">
        <v>432.80839708472803</v>
      </c>
      <c r="DX8" s="163" t="s">
        <v>224</v>
      </c>
      <c r="DY8" s="158">
        <v>36.90215266052499</v>
      </c>
      <c r="DZ8" s="158" t="s">
        <v>225</v>
      </c>
      <c r="EA8">
        <v>39.799999999999997</v>
      </c>
      <c r="EB8" s="158" t="s">
        <v>226</v>
      </c>
      <c r="EC8">
        <v>0.31</v>
      </c>
      <c r="ED8" s="158" t="s">
        <v>227</v>
      </c>
      <c r="EE8" s="158" t="s">
        <v>228</v>
      </c>
      <c r="EF8" s="158" t="s">
        <v>249</v>
      </c>
      <c r="EG8">
        <v>1.0271999999999999</v>
      </c>
      <c r="EH8" s="158">
        <v>5.9999999999999995E-4</v>
      </c>
      <c r="EI8" s="160" t="s">
        <v>168</v>
      </c>
      <c r="EJ8" s="158" t="s">
        <v>169</v>
      </c>
      <c r="EK8" s="160" t="s">
        <v>168</v>
      </c>
      <c r="EL8" s="160" t="s">
        <v>168</v>
      </c>
      <c r="EM8" s="171" t="s">
        <v>230</v>
      </c>
      <c r="EN8" s="158" t="s">
        <v>231</v>
      </c>
      <c r="EO8" s="158" t="s">
        <v>231</v>
      </c>
      <c r="EP8" s="158" t="s">
        <v>231</v>
      </c>
      <c r="EQ8" s="158" t="s">
        <v>232</v>
      </c>
      <c r="ER8" s="160" t="s">
        <v>168</v>
      </c>
      <c r="ES8" s="160" t="s">
        <v>168</v>
      </c>
      <c r="ET8" s="160" t="s">
        <v>233</v>
      </c>
      <c r="EU8" s="158" t="s">
        <v>234</v>
      </c>
      <c r="EV8" s="158" t="s">
        <v>235</v>
      </c>
      <c r="EW8" s="146">
        <v>1926.1406841693511</v>
      </c>
      <c r="EX8" s="158" t="s">
        <v>236</v>
      </c>
      <c r="EY8" s="172">
        <f t="shared" si="0"/>
        <v>2426.1406841693511</v>
      </c>
      <c r="EZ8" s="168">
        <f t="shared" si="1"/>
        <v>1426.1406841693511</v>
      </c>
      <c r="FA8" s="160" t="s">
        <v>168</v>
      </c>
      <c r="FB8" s="160" t="s">
        <v>168</v>
      </c>
      <c r="FC8" s="160" t="s">
        <v>168</v>
      </c>
      <c r="FD8" s="160" t="s">
        <v>168</v>
      </c>
      <c r="FE8">
        <v>8.0088162635349498</v>
      </c>
      <c r="FF8" s="173" t="s">
        <v>171</v>
      </c>
      <c r="FG8">
        <v>3.8452444018769683E-2</v>
      </c>
      <c r="FH8">
        <v>3.868609154806979E-2</v>
      </c>
      <c r="FI8" s="160">
        <f t="shared" si="2"/>
        <v>421.87654928114199</v>
      </c>
      <c r="FJ8" s="160">
        <v>30</v>
      </c>
      <c r="FK8" s="160" t="s">
        <v>168</v>
      </c>
      <c r="FL8">
        <v>391.87654928114199</v>
      </c>
      <c r="FM8">
        <v>118.31556771794601</v>
      </c>
      <c r="FN8">
        <v>115.38158532030701</v>
      </c>
      <c r="FO8" s="158" t="s">
        <v>237</v>
      </c>
      <c r="FP8" s="158" t="s">
        <v>168</v>
      </c>
      <c r="FQ8" s="158" t="s">
        <v>172</v>
      </c>
      <c r="FR8" s="158" t="s">
        <v>172</v>
      </c>
      <c r="FS8" s="158" t="s">
        <v>172</v>
      </c>
      <c r="FT8" s="158" t="s">
        <v>172</v>
      </c>
      <c r="FU8" s="158" t="s">
        <v>172</v>
      </c>
      <c r="FV8" s="158" t="s">
        <v>172</v>
      </c>
      <c r="FW8" s="158" t="s">
        <v>172</v>
      </c>
      <c r="FX8" s="158" t="s">
        <v>172</v>
      </c>
      <c r="FY8" s="158" t="s">
        <v>172</v>
      </c>
      <c r="FZ8" s="158" t="s">
        <v>172</v>
      </c>
      <c r="GA8" s="158" t="s">
        <v>172</v>
      </c>
      <c r="GB8" s="158" t="s">
        <v>172</v>
      </c>
      <c r="GC8" s="158" t="s">
        <v>357</v>
      </c>
    </row>
    <row r="9" spans="1:185" ht="20" x14ac:dyDescent="0.25">
      <c r="A9" t="s">
        <v>190</v>
      </c>
      <c r="B9" s="140" t="s">
        <v>358</v>
      </c>
      <c r="C9" s="158" t="s">
        <v>173</v>
      </c>
      <c r="D9" s="158" t="s">
        <v>188</v>
      </c>
      <c r="E9" s="158">
        <v>2022</v>
      </c>
      <c r="F9" s="158" t="s">
        <v>189</v>
      </c>
      <c r="G9">
        <v>5119.5789473684199</v>
      </c>
      <c r="H9" s="176">
        <v>15</v>
      </c>
      <c r="I9" s="176">
        <v>15</v>
      </c>
      <c r="J9" s="158">
        <v>366.357283670931</v>
      </c>
      <c r="K9">
        <v>112.95096346851102</v>
      </c>
      <c r="L9">
        <v>108.25038058624398</v>
      </c>
      <c r="M9" t="b">
        <v>1</v>
      </c>
      <c r="N9">
        <v>1</v>
      </c>
      <c r="O9" t="s">
        <v>191</v>
      </c>
      <c r="P9" t="s">
        <v>168</v>
      </c>
      <c r="Q9" t="s">
        <v>168</v>
      </c>
      <c r="R9" t="s">
        <v>168</v>
      </c>
      <c r="S9" t="b">
        <v>0</v>
      </c>
      <c r="T9" t="b">
        <v>0</v>
      </c>
      <c r="U9" t="s">
        <v>168</v>
      </c>
      <c r="V9" t="b">
        <v>0</v>
      </c>
      <c r="W9" t="b">
        <v>0</v>
      </c>
      <c r="X9" t="s">
        <v>359</v>
      </c>
      <c r="Y9" s="159" t="s">
        <v>192</v>
      </c>
      <c r="Z9" s="158" t="s">
        <v>193</v>
      </c>
      <c r="AA9" s="160" t="s">
        <v>194</v>
      </c>
      <c r="AB9" s="160" t="s">
        <v>247</v>
      </c>
      <c r="AC9" s="158">
        <v>15</v>
      </c>
      <c r="AD9" s="158">
        <v>4</v>
      </c>
      <c r="AE9" s="158">
        <v>109</v>
      </c>
      <c r="AF9" s="158">
        <v>110.5</v>
      </c>
      <c r="AG9" s="158">
        <v>139.09</v>
      </c>
      <c r="AH9" s="158">
        <v>156.21</v>
      </c>
      <c r="AI9" s="160" t="s">
        <v>196</v>
      </c>
      <c r="AJ9" s="158" t="s">
        <v>197</v>
      </c>
      <c r="AK9" s="166">
        <v>3.7212472000000001</v>
      </c>
      <c r="AL9" s="166">
        <v>-42.913286111111098</v>
      </c>
      <c r="AM9" s="160" t="s">
        <v>168</v>
      </c>
      <c r="AN9" s="160" t="s">
        <v>168</v>
      </c>
      <c r="AO9" s="158">
        <v>-3598</v>
      </c>
      <c r="AP9" s="160" t="s">
        <v>168</v>
      </c>
      <c r="AQ9" s="160" t="s">
        <v>168</v>
      </c>
      <c r="AR9" s="160" t="s">
        <v>168</v>
      </c>
      <c r="AS9" s="158">
        <v>5119.5789473684199</v>
      </c>
      <c r="AT9" s="160" t="s">
        <v>198</v>
      </c>
      <c r="AU9" s="160" t="s">
        <v>168</v>
      </c>
      <c r="AV9" s="160" t="s">
        <v>168</v>
      </c>
      <c r="AW9" s="160" t="s">
        <v>250</v>
      </c>
      <c r="AX9" s="158" t="s">
        <v>200</v>
      </c>
      <c r="AY9" s="158" t="s">
        <v>201</v>
      </c>
      <c r="AZ9" s="158" t="s">
        <v>168</v>
      </c>
      <c r="BA9" s="158" t="s">
        <v>168</v>
      </c>
      <c r="BB9" s="158" t="s">
        <v>168</v>
      </c>
      <c r="BC9" s="158" t="s">
        <v>168</v>
      </c>
      <c r="BD9" s="158" t="s">
        <v>168</v>
      </c>
      <c r="BE9" s="158" t="s">
        <v>168</v>
      </c>
      <c r="BF9" s="158" t="s">
        <v>168</v>
      </c>
      <c r="BG9" s="167" t="s">
        <v>202</v>
      </c>
      <c r="BH9" s="158" t="s">
        <v>203</v>
      </c>
      <c r="BI9" s="160" t="s">
        <v>204</v>
      </c>
      <c r="BJ9" s="160" t="s">
        <v>205</v>
      </c>
      <c r="BK9" s="158" t="s">
        <v>206</v>
      </c>
      <c r="BL9" s="158" t="s">
        <v>207</v>
      </c>
      <c r="BM9" s="158" t="s">
        <v>208</v>
      </c>
      <c r="BN9" s="162" t="s">
        <v>251</v>
      </c>
      <c r="BO9" s="158">
        <v>2</v>
      </c>
      <c r="BP9" s="162" t="s">
        <v>252</v>
      </c>
      <c r="BQ9" s="168">
        <v>17.503309304604755</v>
      </c>
      <c r="BR9" s="168" t="s">
        <v>211</v>
      </c>
      <c r="BS9" s="168">
        <v>0.20265611333536532</v>
      </c>
      <c r="BT9">
        <v>0.83299999999999996</v>
      </c>
      <c r="BU9" t="s">
        <v>168</v>
      </c>
      <c r="BV9" t="s">
        <v>168</v>
      </c>
      <c r="BW9">
        <v>2.69</v>
      </c>
      <c r="BX9" t="s">
        <v>168</v>
      </c>
      <c r="BY9" t="s">
        <v>168</v>
      </c>
      <c r="BZ9" s="163" t="s">
        <v>212</v>
      </c>
      <c r="CA9" t="s">
        <v>213</v>
      </c>
      <c r="CB9" s="168">
        <v>17.783084399285421</v>
      </c>
      <c r="CC9" s="160" t="s">
        <v>214</v>
      </c>
      <c r="CD9" s="164">
        <v>0.34405645135257251</v>
      </c>
      <c r="CE9" s="160" t="s">
        <v>215</v>
      </c>
      <c r="CF9" s="160" t="s">
        <v>216</v>
      </c>
      <c r="CG9" s="160">
        <v>0</v>
      </c>
      <c r="CH9" s="160" t="s">
        <v>217</v>
      </c>
      <c r="CI9" s="160" t="s">
        <v>168</v>
      </c>
      <c r="CJ9">
        <v>23.181650426982422</v>
      </c>
      <c r="CK9" s="158" t="s">
        <v>170</v>
      </c>
      <c r="CL9" s="158">
        <v>1</v>
      </c>
      <c r="CM9" s="158">
        <v>1</v>
      </c>
      <c r="CN9">
        <v>2.4365835490765124</v>
      </c>
      <c r="CO9">
        <v>2.4365835490765124</v>
      </c>
      <c r="CP9" s="165" t="s">
        <v>218</v>
      </c>
      <c r="CQ9" s="169">
        <v>0.05</v>
      </c>
      <c r="CR9" s="169">
        <v>0.05</v>
      </c>
      <c r="CS9" s="168" t="s">
        <v>219</v>
      </c>
      <c r="CT9" s="168" t="s">
        <v>220</v>
      </c>
      <c r="CU9" s="170" t="s">
        <v>221</v>
      </c>
      <c r="CV9" s="158" t="s">
        <v>222</v>
      </c>
      <c r="CW9" s="160" t="s">
        <v>168</v>
      </c>
      <c r="CX9" s="160" t="s">
        <v>168</v>
      </c>
      <c r="CY9" s="160" t="s">
        <v>168</v>
      </c>
      <c r="CZ9" s="160" t="s">
        <v>168</v>
      </c>
      <c r="DA9" s="160" t="s">
        <v>168</v>
      </c>
      <c r="DB9" s="160" t="s">
        <v>168</v>
      </c>
      <c r="DC9" s="160" t="s">
        <v>168</v>
      </c>
      <c r="DD9" s="160" t="s">
        <v>168</v>
      </c>
      <c r="DE9" s="160" t="s">
        <v>168</v>
      </c>
      <c r="DF9" s="160" t="s">
        <v>168</v>
      </c>
      <c r="DG9">
        <v>35</v>
      </c>
      <c r="DH9" t="s">
        <v>170</v>
      </c>
      <c r="DI9" s="160">
        <v>1.5</v>
      </c>
      <c r="DJ9" s="160" t="s">
        <v>168</v>
      </c>
      <c r="DK9" s="158" t="s">
        <v>223</v>
      </c>
      <c r="DL9" s="158" t="s">
        <v>168</v>
      </c>
      <c r="DM9" s="158" t="s">
        <v>168</v>
      </c>
      <c r="DN9" s="158" t="s">
        <v>168</v>
      </c>
      <c r="DO9" s="158" t="s">
        <v>223</v>
      </c>
      <c r="DP9" s="158" t="s">
        <v>168</v>
      </c>
      <c r="DQ9" s="158" t="s">
        <v>168</v>
      </c>
      <c r="DR9" s="158" t="s">
        <v>168</v>
      </c>
      <c r="DS9" s="158" t="s">
        <v>168</v>
      </c>
      <c r="DT9" s="158" t="s">
        <v>168</v>
      </c>
      <c r="DU9" s="158" t="s">
        <v>168</v>
      </c>
      <c r="DV9" s="158" t="s">
        <v>168</v>
      </c>
      <c r="DW9">
        <v>432.71220166129302</v>
      </c>
      <c r="DX9" s="163" t="s">
        <v>224</v>
      </c>
      <c r="DY9" s="158">
        <v>36.87577713316</v>
      </c>
      <c r="DZ9" s="158" t="s">
        <v>225</v>
      </c>
      <c r="EA9">
        <v>39.799999999999997</v>
      </c>
      <c r="EB9" s="158" t="s">
        <v>226</v>
      </c>
      <c r="EC9">
        <v>0.31</v>
      </c>
      <c r="ED9" s="158" t="s">
        <v>227</v>
      </c>
      <c r="EE9" s="158" t="s">
        <v>228</v>
      </c>
      <c r="EF9" s="158" t="s">
        <v>253</v>
      </c>
      <c r="EG9">
        <v>1.0271999999999999</v>
      </c>
      <c r="EH9" s="158">
        <v>5.9999999999999995E-4</v>
      </c>
      <c r="EI9" s="160" t="s">
        <v>168</v>
      </c>
      <c r="EJ9" s="158" t="s">
        <v>169</v>
      </c>
      <c r="EK9" s="160" t="s">
        <v>168</v>
      </c>
      <c r="EL9" s="160" t="s">
        <v>168</v>
      </c>
      <c r="EM9" s="171" t="s">
        <v>230</v>
      </c>
      <c r="EN9" s="158" t="s">
        <v>231</v>
      </c>
      <c r="EO9" s="158" t="s">
        <v>231</v>
      </c>
      <c r="EP9" s="158" t="s">
        <v>231</v>
      </c>
      <c r="EQ9" s="158" t="s">
        <v>232</v>
      </c>
      <c r="ER9" s="160" t="s">
        <v>168</v>
      </c>
      <c r="ES9" s="160" t="s">
        <v>168</v>
      </c>
      <c r="ET9" s="160" t="s">
        <v>233</v>
      </c>
      <c r="EU9" s="158" t="s">
        <v>234</v>
      </c>
      <c r="EV9" s="158" t="s">
        <v>235</v>
      </c>
      <c r="EW9" s="146">
        <v>1924.8964631578947</v>
      </c>
      <c r="EX9" s="158" t="s">
        <v>236</v>
      </c>
      <c r="EY9" s="172">
        <f t="shared" si="0"/>
        <v>2424.8964631578947</v>
      </c>
      <c r="EZ9" s="168">
        <f t="shared" si="1"/>
        <v>1424.8964631578947</v>
      </c>
      <c r="FA9" s="160" t="s">
        <v>168</v>
      </c>
      <c r="FB9" s="160" t="s">
        <v>168</v>
      </c>
      <c r="FC9" s="160" t="s">
        <v>168</v>
      </c>
      <c r="FD9" s="160" t="s">
        <v>168</v>
      </c>
      <c r="FE9">
        <v>8.0290221289760009</v>
      </c>
      <c r="FF9" s="173" t="s">
        <v>171</v>
      </c>
      <c r="FG9">
        <v>3.9981705416799684E-2</v>
      </c>
      <c r="FH9">
        <v>4.0557235126961189E-2</v>
      </c>
      <c r="FI9" s="160">
        <f t="shared" si="2"/>
        <v>396.357283670931</v>
      </c>
      <c r="FJ9" s="160">
        <v>30</v>
      </c>
      <c r="FK9" s="160" t="s">
        <v>168</v>
      </c>
      <c r="FL9">
        <v>366.357283670931</v>
      </c>
      <c r="FM9">
        <v>112.95096346851102</v>
      </c>
      <c r="FN9">
        <v>108.25038058624398</v>
      </c>
      <c r="FO9" s="158" t="s">
        <v>237</v>
      </c>
      <c r="FP9" s="158" t="s">
        <v>168</v>
      </c>
      <c r="FQ9" s="158" t="s">
        <v>172</v>
      </c>
      <c r="FR9" s="158" t="s">
        <v>172</v>
      </c>
      <c r="FS9" s="158" t="s">
        <v>172</v>
      </c>
      <c r="FT9" s="158" t="s">
        <v>172</v>
      </c>
      <c r="FU9" s="158" t="s">
        <v>172</v>
      </c>
      <c r="FV9" s="158" t="s">
        <v>172</v>
      </c>
      <c r="FW9" s="158" t="s">
        <v>172</v>
      </c>
      <c r="FX9" s="158" t="s">
        <v>172</v>
      </c>
      <c r="FY9" s="158" t="s">
        <v>172</v>
      </c>
      <c r="FZ9" s="158" t="s">
        <v>172</v>
      </c>
      <c r="GA9" s="158" t="s">
        <v>172</v>
      </c>
      <c r="GB9" s="158" t="s">
        <v>172</v>
      </c>
      <c r="GC9" s="158" t="s">
        <v>357</v>
      </c>
    </row>
    <row r="10" spans="1:185" ht="20" x14ac:dyDescent="0.25">
      <c r="A10" t="s">
        <v>190</v>
      </c>
      <c r="B10" s="140" t="s">
        <v>358</v>
      </c>
      <c r="C10" s="158" t="s">
        <v>173</v>
      </c>
      <c r="D10" s="158" t="s">
        <v>188</v>
      </c>
      <c r="E10" s="158">
        <v>2022</v>
      </c>
      <c r="F10" s="158" t="s">
        <v>189</v>
      </c>
      <c r="G10">
        <v>5168.8935185185201</v>
      </c>
      <c r="H10" s="176">
        <v>15</v>
      </c>
      <c r="I10" s="176">
        <v>15</v>
      </c>
      <c r="J10" s="158">
        <v>310.38255340765897</v>
      </c>
      <c r="K10">
        <v>93.660038539664015</v>
      </c>
      <c r="L10">
        <v>91.059406872746962</v>
      </c>
      <c r="M10" t="b">
        <v>1</v>
      </c>
      <c r="N10">
        <v>1</v>
      </c>
      <c r="O10" t="s">
        <v>191</v>
      </c>
      <c r="P10" t="s">
        <v>168</v>
      </c>
      <c r="Q10" t="s">
        <v>168</v>
      </c>
      <c r="R10" t="s">
        <v>168</v>
      </c>
      <c r="S10" t="b">
        <v>0</v>
      </c>
      <c r="T10" t="b">
        <v>0</v>
      </c>
      <c r="U10" t="s">
        <v>168</v>
      </c>
      <c r="V10" t="b">
        <v>0</v>
      </c>
      <c r="W10" t="b">
        <v>0</v>
      </c>
      <c r="X10" t="s">
        <v>359</v>
      </c>
      <c r="Y10" s="159" t="s">
        <v>192</v>
      </c>
      <c r="Z10" s="158" t="s">
        <v>193</v>
      </c>
      <c r="AA10" s="160" t="s">
        <v>194</v>
      </c>
      <c r="AB10" s="160" t="s">
        <v>247</v>
      </c>
      <c r="AC10" s="158">
        <v>15</v>
      </c>
      <c r="AD10" s="158">
        <v>5</v>
      </c>
      <c r="AE10" s="158">
        <v>55.5</v>
      </c>
      <c r="AF10" s="158">
        <v>57</v>
      </c>
      <c r="AG10" s="158">
        <v>140.05500000000001</v>
      </c>
      <c r="AH10" s="158">
        <v>157.42527777777801</v>
      </c>
      <c r="AI10" s="160" t="s">
        <v>196</v>
      </c>
      <c r="AJ10" s="158" t="s">
        <v>197</v>
      </c>
      <c r="AK10" s="166">
        <v>3.7212472000000001</v>
      </c>
      <c r="AL10" s="166">
        <v>-42.913286111111098</v>
      </c>
      <c r="AM10" s="160" t="s">
        <v>168</v>
      </c>
      <c r="AN10" s="160" t="s">
        <v>168</v>
      </c>
      <c r="AO10" s="158">
        <v>-3598</v>
      </c>
      <c r="AP10" s="160" t="s">
        <v>168</v>
      </c>
      <c r="AQ10" s="160" t="s">
        <v>168</v>
      </c>
      <c r="AR10" s="160" t="s">
        <v>168</v>
      </c>
      <c r="AS10" s="158">
        <v>5168.8935185185201</v>
      </c>
      <c r="AT10" s="160" t="s">
        <v>198</v>
      </c>
      <c r="AU10" s="160" t="s">
        <v>168</v>
      </c>
      <c r="AV10" s="160" t="s">
        <v>168</v>
      </c>
      <c r="AW10" s="160" t="s">
        <v>250</v>
      </c>
      <c r="AX10" s="158" t="s">
        <v>200</v>
      </c>
      <c r="AY10" s="158" t="s">
        <v>201</v>
      </c>
      <c r="AZ10" s="158" t="s">
        <v>168</v>
      </c>
      <c r="BA10" s="158" t="s">
        <v>168</v>
      </c>
      <c r="BB10" s="158" t="s">
        <v>168</v>
      </c>
      <c r="BC10" s="158" t="s">
        <v>168</v>
      </c>
      <c r="BD10" s="158" t="s">
        <v>168</v>
      </c>
      <c r="BE10" s="158" t="s">
        <v>168</v>
      </c>
      <c r="BF10" s="158" t="s">
        <v>168</v>
      </c>
      <c r="BG10" s="167" t="s">
        <v>202</v>
      </c>
      <c r="BH10" s="158" t="s">
        <v>203</v>
      </c>
      <c r="BI10" s="160" t="s">
        <v>204</v>
      </c>
      <c r="BJ10" s="160" t="s">
        <v>205</v>
      </c>
      <c r="BK10" s="158" t="s">
        <v>206</v>
      </c>
      <c r="BL10" s="158" t="s">
        <v>207</v>
      </c>
      <c r="BM10" s="158" t="s">
        <v>208</v>
      </c>
      <c r="BN10" s="162" t="s">
        <v>254</v>
      </c>
      <c r="BO10" s="158">
        <v>2</v>
      </c>
      <c r="BP10" s="162" t="s">
        <v>255</v>
      </c>
      <c r="BQ10" s="168">
        <v>18.521302647804827</v>
      </c>
      <c r="BR10" s="168" t="s">
        <v>211</v>
      </c>
      <c r="BS10" s="168">
        <v>0.16952296665284847</v>
      </c>
      <c r="BT10">
        <v>0.83299999999999996</v>
      </c>
      <c r="BU10" t="s">
        <v>168</v>
      </c>
      <c r="BV10" t="s">
        <v>168</v>
      </c>
      <c r="BW10">
        <v>2.69</v>
      </c>
      <c r="BX10" t="s">
        <v>168</v>
      </c>
      <c r="BY10" t="s">
        <v>168</v>
      </c>
      <c r="BZ10" s="163" t="s">
        <v>212</v>
      </c>
      <c r="CA10" t="s">
        <v>213</v>
      </c>
      <c r="CB10" s="168">
        <v>19.005165243463178</v>
      </c>
      <c r="CC10" s="160" t="s">
        <v>214</v>
      </c>
      <c r="CD10" s="164">
        <v>0.28780513634355326</v>
      </c>
      <c r="CE10" s="160" t="s">
        <v>215</v>
      </c>
      <c r="CF10" s="160" t="s">
        <v>216</v>
      </c>
      <c r="CG10" s="160">
        <v>0</v>
      </c>
      <c r="CH10" s="160" t="s">
        <v>217</v>
      </c>
      <c r="CI10" s="160" t="s">
        <v>168</v>
      </c>
      <c r="CJ10">
        <v>27.325587428635025</v>
      </c>
      <c r="CK10" s="158" t="s">
        <v>170</v>
      </c>
      <c r="CL10" s="158">
        <v>1</v>
      </c>
      <c r="CM10" s="158">
        <v>1</v>
      </c>
      <c r="CN10">
        <v>3.5349370176076702</v>
      </c>
      <c r="CO10">
        <v>3.5349370176076702</v>
      </c>
      <c r="CP10" s="165" t="s">
        <v>218</v>
      </c>
      <c r="CQ10" s="169">
        <v>0.05</v>
      </c>
      <c r="CR10" s="169">
        <v>0.05</v>
      </c>
      <c r="CS10" s="168" t="s">
        <v>219</v>
      </c>
      <c r="CT10" s="168" t="s">
        <v>220</v>
      </c>
      <c r="CU10" s="170" t="s">
        <v>221</v>
      </c>
      <c r="CV10" s="158" t="s">
        <v>222</v>
      </c>
      <c r="CW10" s="160" t="s">
        <v>168</v>
      </c>
      <c r="CX10" s="160" t="s">
        <v>168</v>
      </c>
      <c r="CY10" s="160" t="s">
        <v>168</v>
      </c>
      <c r="CZ10" s="160" t="s">
        <v>168</v>
      </c>
      <c r="DA10" s="160" t="s">
        <v>168</v>
      </c>
      <c r="DB10" s="160" t="s">
        <v>168</v>
      </c>
      <c r="DC10" s="160" t="s">
        <v>168</v>
      </c>
      <c r="DD10" s="160" t="s">
        <v>168</v>
      </c>
      <c r="DE10" s="160" t="s">
        <v>168</v>
      </c>
      <c r="DF10" s="160" t="s">
        <v>168</v>
      </c>
      <c r="DG10">
        <v>35</v>
      </c>
      <c r="DH10" t="s">
        <v>170</v>
      </c>
      <c r="DI10" s="160">
        <v>1.5</v>
      </c>
      <c r="DJ10" s="160" t="s">
        <v>168</v>
      </c>
      <c r="DK10" s="158" t="s">
        <v>223</v>
      </c>
      <c r="DL10" s="158" t="s">
        <v>168</v>
      </c>
      <c r="DM10" s="158" t="s">
        <v>168</v>
      </c>
      <c r="DN10" s="158" t="s">
        <v>168</v>
      </c>
      <c r="DO10" s="158" t="s">
        <v>223</v>
      </c>
      <c r="DP10" s="158" t="s">
        <v>168</v>
      </c>
      <c r="DQ10" s="158" t="s">
        <v>168</v>
      </c>
      <c r="DR10" s="158" t="s">
        <v>168</v>
      </c>
      <c r="DS10" s="158" t="s">
        <v>168</v>
      </c>
      <c r="DT10" s="158" t="s">
        <v>168</v>
      </c>
      <c r="DU10" s="158" t="s">
        <v>168</v>
      </c>
      <c r="DV10" s="158" t="s">
        <v>168</v>
      </c>
      <c r="DW10">
        <v>432.78010706579602</v>
      </c>
      <c r="DX10" s="163" t="s">
        <v>224</v>
      </c>
      <c r="DY10" s="158">
        <v>35.915420244418016</v>
      </c>
      <c r="DZ10" s="158" t="s">
        <v>225</v>
      </c>
      <c r="EA10">
        <v>39.799999999999997</v>
      </c>
      <c r="EB10" s="158" t="s">
        <v>226</v>
      </c>
      <c r="EC10">
        <v>0.31</v>
      </c>
      <c r="ED10" s="158" t="s">
        <v>227</v>
      </c>
      <c r="EE10" s="158" t="s">
        <v>228</v>
      </c>
      <c r="EF10" s="158" t="s">
        <v>256</v>
      </c>
      <c r="EG10">
        <v>1.0271999999999999</v>
      </c>
      <c r="EH10" s="158">
        <v>5.9999999999999995E-4</v>
      </c>
      <c r="EI10" s="160" t="s">
        <v>168</v>
      </c>
      <c r="EJ10" s="158" t="s">
        <v>169</v>
      </c>
      <c r="EK10" s="160" t="s">
        <v>168</v>
      </c>
      <c r="EL10" s="160" t="s">
        <v>168</v>
      </c>
      <c r="EM10" s="171" t="s">
        <v>230</v>
      </c>
      <c r="EN10" s="158" t="s">
        <v>231</v>
      </c>
      <c r="EO10" s="158" t="s">
        <v>231</v>
      </c>
      <c r="EP10" s="158" t="s">
        <v>231</v>
      </c>
      <c r="EQ10" s="158" t="s">
        <v>232</v>
      </c>
      <c r="ER10" s="160" t="s">
        <v>168</v>
      </c>
      <c r="ES10" s="160" t="s">
        <v>168</v>
      </c>
      <c r="ET10" s="160" t="s">
        <v>233</v>
      </c>
      <c r="EU10" s="158" t="s">
        <v>234</v>
      </c>
      <c r="EV10" s="158" t="s">
        <v>235</v>
      </c>
      <c r="EW10" s="146">
        <v>1923.9052402777777</v>
      </c>
      <c r="EX10" s="158" t="s">
        <v>236</v>
      </c>
      <c r="EY10" s="172">
        <f t="shared" si="0"/>
        <v>2423.9052402777779</v>
      </c>
      <c r="EZ10" s="168">
        <f t="shared" si="1"/>
        <v>1423.9052402777777</v>
      </c>
      <c r="FA10" s="160" t="s">
        <v>168</v>
      </c>
      <c r="FB10" s="160" t="s">
        <v>168</v>
      </c>
      <c r="FC10" s="160" t="s">
        <v>168</v>
      </c>
      <c r="FD10" s="160" t="s">
        <v>168</v>
      </c>
      <c r="FE10">
        <v>8.0925865047355003</v>
      </c>
      <c r="FF10" s="173" t="s">
        <v>171</v>
      </c>
      <c r="FG10">
        <v>3.5148253033380428E-2</v>
      </c>
      <c r="FH10">
        <v>3.5830750994410465E-2</v>
      </c>
      <c r="FI10" s="160">
        <f t="shared" si="2"/>
        <v>340.38255340765897</v>
      </c>
      <c r="FJ10" s="160">
        <v>30</v>
      </c>
      <c r="FK10" s="160" t="s">
        <v>168</v>
      </c>
      <c r="FL10">
        <v>310.38255340765897</v>
      </c>
      <c r="FM10">
        <v>93.660038539664015</v>
      </c>
      <c r="FN10">
        <v>91.059406872746962</v>
      </c>
      <c r="FO10" s="158" t="s">
        <v>237</v>
      </c>
      <c r="FP10" s="158" t="s">
        <v>168</v>
      </c>
      <c r="FQ10" s="158" t="s">
        <v>172</v>
      </c>
      <c r="FR10" s="158" t="s">
        <v>172</v>
      </c>
      <c r="FS10" s="158" t="s">
        <v>172</v>
      </c>
      <c r="FT10" s="158" t="s">
        <v>172</v>
      </c>
      <c r="FU10" s="158" t="s">
        <v>172</v>
      </c>
      <c r="FV10" s="158" t="s">
        <v>172</v>
      </c>
      <c r="FW10" s="158" t="s">
        <v>172</v>
      </c>
      <c r="FX10" s="158" t="s">
        <v>172</v>
      </c>
      <c r="FY10" s="158" t="s">
        <v>172</v>
      </c>
      <c r="FZ10" s="158" t="s">
        <v>172</v>
      </c>
      <c r="GA10" s="158" t="s">
        <v>172</v>
      </c>
      <c r="GB10" s="158" t="s">
        <v>172</v>
      </c>
      <c r="GC10" s="158" t="s">
        <v>357</v>
      </c>
    </row>
    <row r="11" spans="1:185" ht="20" x14ac:dyDescent="0.25">
      <c r="A11" t="s">
        <v>190</v>
      </c>
      <c r="B11" s="140" t="s">
        <v>358</v>
      </c>
      <c r="C11" s="158" t="s">
        <v>173</v>
      </c>
      <c r="D11" s="158" t="s">
        <v>188</v>
      </c>
      <c r="E11" s="158">
        <v>2022</v>
      </c>
      <c r="F11" s="158" t="s">
        <v>189</v>
      </c>
      <c r="G11">
        <v>5179.4691358024702</v>
      </c>
      <c r="H11" s="176">
        <v>15</v>
      </c>
      <c r="I11" s="176">
        <v>15</v>
      </c>
      <c r="J11" s="158">
        <v>298.27807405831402</v>
      </c>
      <c r="K11">
        <v>91.721637456468954</v>
      </c>
      <c r="L11">
        <v>89.260754321725017</v>
      </c>
      <c r="M11" t="b">
        <v>1</v>
      </c>
      <c r="N11">
        <v>1</v>
      </c>
      <c r="O11" t="s">
        <v>191</v>
      </c>
      <c r="P11" t="s">
        <v>168</v>
      </c>
      <c r="Q11" t="s">
        <v>168</v>
      </c>
      <c r="R11" t="s">
        <v>168</v>
      </c>
      <c r="S11" t="b">
        <v>0</v>
      </c>
      <c r="T11" t="b">
        <v>0</v>
      </c>
      <c r="U11" t="s">
        <v>168</v>
      </c>
      <c r="V11" t="b">
        <v>0</v>
      </c>
      <c r="W11" t="b">
        <v>0</v>
      </c>
      <c r="X11" t="s">
        <v>359</v>
      </c>
      <c r="Y11" s="159" t="s">
        <v>192</v>
      </c>
      <c r="Z11" s="158" t="s">
        <v>193</v>
      </c>
      <c r="AA11" s="160" t="s">
        <v>194</v>
      </c>
      <c r="AB11" s="160" t="s">
        <v>167</v>
      </c>
      <c r="AC11" s="158">
        <v>16</v>
      </c>
      <c r="AD11" s="158">
        <v>3</v>
      </c>
      <c r="AE11" s="158">
        <v>18.5</v>
      </c>
      <c r="AF11" s="158">
        <v>20</v>
      </c>
      <c r="AG11" s="158">
        <v>140.185</v>
      </c>
      <c r="AH11" s="158">
        <v>157.678055555556</v>
      </c>
      <c r="AI11" s="160" t="s">
        <v>196</v>
      </c>
      <c r="AJ11" s="158" t="s">
        <v>197</v>
      </c>
      <c r="AK11" s="166">
        <v>3.7212472000000001</v>
      </c>
      <c r="AL11" s="166">
        <v>-42.913286111111098</v>
      </c>
      <c r="AM11" s="160" t="s">
        <v>168</v>
      </c>
      <c r="AN11" s="160" t="s">
        <v>168</v>
      </c>
      <c r="AO11" s="158">
        <v>-3598</v>
      </c>
      <c r="AP11" s="160" t="s">
        <v>168</v>
      </c>
      <c r="AQ11" s="160" t="s">
        <v>168</v>
      </c>
      <c r="AR11" s="160" t="s">
        <v>168</v>
      </c>
      <c r="AS11" s="158">
        <v>5179.4691358024702</v>
      </c>
      <c r="AT11" s="160" t="s">
        <v>198</v>
      </c>
      <c r="AU11" s="160" t="s">
        <v>168</v>
      </c>
      <c r="AV11" s="160" t="s">
        <v>168</v>
      </c>
      <c r="AW11" s="160" t="s">
        <v>250</v>
      </c>
      <c r="AX11" s="158" t="s">
        <v>200</v>
      </c>
      <c r="AY11" s="158" t="s">
        <v>201</v>
      </c>
      <c r="AZ11" s="158" t="s">
        <v>168</v>
      </c>
      <c r="BA11" s="158" t="s">
        <v>168</v>
      </c>
      <c r="BB11" s="158" t="s">
        <v>168</v>
      </c>
      <c r="BC11" s="158" t="s">
        <v>168</v>
      </c>
      <c r="BD11" s="158" t="s">
        <v>168</v>
      </c>
      <c r="BE11" s="158" t="s">
        <v>168</v>
      </c>
      <c r="BF11" s="158" t="s">
        <v>168</v>
      </c>
      <c r="BG11" s="167" t="s">
        <v>202</v>
      </c>
      <c r="BH11" s="158" t="s">
        <v>203</v>
      </c>
      <c r="BI11" s="160" t="s">
        <v>204</v>
      </c>
      <c r="BJ11" s="160" t="s">
        <v>205</v>
      </c>
      <c r="BK11" s="158" t="s">
        <v>206</v>
      </c>
      <c r="BL11" s="158" t="s">
        <v>207</v>
      </c>
      <c r="BM11" s="158" t="s">
        <v>208</v>
      </c>
      <c r="BN11" s="162" t="s">
        <v>257</v>
      </c>
      <c r="BO11" s="158">
        <v>2</v>
      </c>
      <c r="BP11" s="162" t="s">
        <v>258</v>
      </c>
      <c r="BQ11" s="168">
        <v>18.692922224237574</v>
      </c>
      <c r="BR11" s="168" t="s">
        <v>211</v>
      </c>
      <c r="BS11" s="168">
        <v>0.22333385289136007</v>
      </c>
      <c r="BT11">
        <v>0.83299999999999996</v>
      </c>
      <c r="BU11" t="s">
        <v>168</v>
      </c>
      <c r="BV11" t="s">
        <v>168</v>
      </c>
      <c r="BW11">
        <v>2.69</v>
      </c>
      <c r="BX11" t="s">
        <v>168</v>
      </c>
      <c r="BY11" t="s">
        <v>168</v>
      </c>
      <c r="BZ11" s="163" t="s">
        <v>212</v>
      </c>
      <c r="CA11" t="s">
        <v>213</v>
      </c>
      <c r="CB11" s="168">
        <v>19.211191145543307</v>
      </c>
      <c r="CC11" s="160" t="s">
        <v>214</v>
      </c>
      <c r="CD11" s="164">
        <v>0.37916178114765953</v>
      </c>
      <c r="CE11" s="160" t="s">
        <v>215</v>
      </c>
      <c r="CF11" s="160" t="s">
        <v>216</v>
      </c>
      <c r="CG11" s="160">
        <v>0</v>
      </c>
      <c r="CH11" s="160" t="s">
        <v>217</v>
      </c>
      <c r="CI11" s="160" t="s">
        <v>168</v>
      </c>
      <c r="CJ11">
        <v>27.654153794510378</v>
      </c>
      <c r="CK11" s="158" t="s">
        <v>170</v>
      </c>
      <c r="CL11" s="158">
        <v>1</v>
      </c>
      <c r="CM11" s="158">
        <v>1</v>
      </c>
      <c r="CN11">
        <v>3.6403617611846544</v>
      </c>
      <c r="CO11">
        <v>3.6403617611846544</v>
      </c>
      <c r="CP11" s="165" t="s">
        <v>218</v>
      </c>
      <c r="CQ11" s="169">
        <v>0.05</v>
      </c>
      <c r="CR11" s="169">
        <v>0.05</v>
      </c>
      <c r="CS11" s="168" t="s">
        <v>219</v>
      </c>
      <c r="CT11" s="168" t="s">
        <v>220</v>
      </c>
      <c r="CU11" s="170" t="s">
        <v>221</v>
      </c>
      <c r="CV11" s="158" t="s">
        <v>222</v>
      </c>
      <c r="CW11" s="160" t="s">
        <v>168</v>
      </c>
      <c r="CX11" s="160" t="s">
        <v>168</v>
      </c>
      <c r="CY11" s="160" t="s">
        <v>168</v>
      </c>
      <c r="CZ11" s="160" t="s">
        <v>168</v>
      </c>
      <c r="DA11" s="160" t="s">
        <v>168</v>
      </c>
      <c r="DB11" s="160" t="s">
        <v>168</v>
      </c>
      <c r="DC11" s="160" t="s">
        <v>168</v>
      </c>
      <c r="DD11" s="160" t="s">
        <v>168</v>
      </c>
      <c r="DE11" s="160" t="s">
        <v>168</v>
      </c>
      <c r="DF11" s="160" t="s">
        <v>168</v>
      </c>
      <c r="DG11">
        <v>35</v>
      </c>
      <c r="DH11" t="s">
        <v>170</v>
      </c>
      <c r="DI11" s="160">
        <v>1.5</v>
      </c>
      <c r="DJ11" s="160" t="s">
        <v>168</v>
      </c>
      <c r="DK11" s="158" t="s">
        <v>223</v>
      </c>
      <c r="DL11" s="158" t="s">
        <v>168</v>
      </c>
      <c r="DM11" s="158" t="s">
        <v>168</v>
      </c>
      <c r="DN11" s="158" t="s">
        <v>168</v>
      </c>
      <c r="DO11" s="158" t="s">
        <v>223</v>
      </c>
      <c r="DP11" s="158" t="s">
        <v>168</v>
      </c>
      <c r="DQ11" s="158" t="s">
        <v>168</v>
      </c>
      <c r="DR11" s="158" t="s">
        <v>168</v>
      </c>
      <c r="DS11" s="158" t="s">
        <v>168</v>
      </c>
      <c r="DT11" s="158" t="s">
        <v>168</v>
      </c>
      <c r="DU11" s="158" t="s">
        <v>168</v>
      </c>
      <c r="DV11" s="158" t="s">
        <v>168</v>
      </c>
      <c r="DW11">
        <v>432.82587351766301</v>
      </c>
      <c r="DX11" s="163" t="s">
        <v>224</v>
      </c>
      <c r="DY11" s="158">
        <v>36.550162443038005</v>
      </c>
      <c r="DZ11" s="158" t="s">
        <v>225</v>
      </c>
      <c r="EA11">
        <v>39.799999999999997</v>
      </c>
      <c r="EB11" s="158" t="s">
        <v>226</v>
      </c>
      <c r="EC11">
        <v>0.31</v>
      </c>
      <c r="ED11" s="158" t="s">
        <v>227</v>
      </c>
      <c r="EE11" s="158" t="s">
        <v>228</v>
      </c>
      <c r="EF11" s="158" t="s">
        <v>259</v>
      </c>
      <c r="EG11">
        <v>1.0271999999999999</v>
      </c>
      <c r="EH11" s="158">
        <v>5.9999999999999995E-4</v>
      </c>
      <c r="EI11" s="160" t="s">
        <v>168</v>
      </c>
      <c r="EJ11" s="158" t="s">
        <v>169</v>
      </c>
      <c r="EK11" s="160" t="s">
        <v>168</v>
      </c>
      <c r="EL11" s="160" t="s">
        <v>168</v>
      </c>
      <c r="EM11" s="171" t="s">
        <v>230</v>
      </c>
      <c r="EN11" s="158" t="s">
        <v>231</v>
      </c>
      <c r="EO11" s="158" t="s">
        <v>231</v>
      </c>
      <c r="EP11" s="158" t="s">
        <v>231</v>
      </c>
      <c r="EQ11" s="158" t="s">
        <v>232</v>
      </c>
      <c r="ER11" s="160" t="s">
        <v>168</v>
      </c>
      <c r="ES11" s="160" t="s">
        <v>168</v>
      </c>
      <c r="ET11" s="160" t="s">
        <v>233</v>
      </c>
      <c r="EU11" s="158" t="s">
        <v>234</v>
      </c>
      <c r="EV11" s="158" t="s">
        <v>235</v>
      </c>
      <c r="EW11" s="146">
        <v>1923.6926703703703</v>
      </c>
      <c r="EX11" s="158" t="s">
        <v>236</v>
      </c>
      <c r="EY11" s="172">
        <f t="shared" si="0"/>
        <v>2423.6926703703703</v>
      </c>
      <c r="EZ11" s="168">
        <f t="shared" si="1"/>
        <v>1423.6926703703703</v>
      </c>
      <c r="FA11" s="160" t="s">
        <v>168</v>
      </c>
      <c r="FB11" s="160" t="s">
        <v>168</v>
      </c>
      <c r="FC11" s="160" t="s">
        <v>168</v>
      </c>
      <c r="FD11" s="160" t="s">
        <v>168</v>
      </c>
      <c r="FE11">
        <v>8.1064411012510895</v>
      </c>
      <c r="FF11" s="173" t="s">
        <v>171</v>
      </c>
      <c r="FG11">
        <v>3.6636668866950828E-2</v>
      </c>
      <c r="FH11">
        <v>3.6995936942799901E-2</v>
      </c>
      <c r="FI11" s="160">
        <f t="shared" si="2"/>
        <v>328.27807405831402</v>
      </c>
      <c r="FJ11" s="160">
        <v>30</v>
      </c>
      <c r="FK11" s="160" t="s">
        <v>168</v>
      </c>
      <c r="FL11">
        <v>298.27807405831402</v>
      </c>
      <c r="FM11">
        <v>91.721637456468954</v>
      </c>
      <c r="FN11">
        <v>89.260754321725017</v>
      </c>
      <c r="FO11" s="158" t="s">
        <v>237</v>
      </c>
      <c r="FP11" s="158" t="s">
        <v>168</v>
      </c>
      <c r="FQ11" s="158" t="s">
        <v>172</v>
      </c>
      <c r="FR11" s="158" t="s">
        <v>172</v>
      </c>
      <c r="FS11" s="158" t="s">
        <v>172</v>
      </c>
      <c r="FT11" s="158" t="s">
        <v>172</v>
      </c>
      <c r="FU11" s="158" t="s">
        <v>172</v>
      </c>
      <c r="FV11" s="158" t="s">
        <v>172</v>
      </c>
      <c r="FW11" s="158" t="s">
        <v>172</v>
      </c>
      <c r="FX11" s="158" t="s">
        <v>172</v>
      </c>
      <c r="FY11" s="158" t="s">
        <v>172</v>
      </c>
      <c r="FZ11" s="158" t="s">
        <v>172</v>
      </c>
      <c r="GA11" s="158" t="s">
        <v>172</v>
      </c>
      <c r="GB11" s="158" t="s">
        <v>172</v>
      </c>
      <c r="GC11" s="158" t="s">
        <v>357</v>
      </c>
    </row>
    <row r="12" spans="1:185" ht="20" x14ac:dyDescent="0.25">
      <c r="A12" t="s">
        <v>190</v>
      </c>
      <c r="B12" s="140" t="s">
        <v>358</v>
      </c>
      <c r="C12" s="158" t="s">
        <v>173</v>
      </c>
      <c r="D12" s="158" t="s">
        <v>188</v>
      </c>
      <c r="E12" s="158">
        <v>2022</v>
      </c>
      <c r="F12" s="158" t="s">
        <v>189</v>
      </c>
      <c r="G12">
        <v>5199.1527777777801</v>
      </c>
      <c r="H12" s="176">
        <v>15</v>
      </c>
      <c r="I12" s="176">
        <v>15</v>
      </c>
      <c r="J12" s="158">
        <v>332.17462317796401</v>
      </c>
      <c r="K12">
        <v>100.68847497158998</v>
      </c>
      <c r="L12">
        <v>97.632278246761018</v>
      </c>
      <c r="M12" t="b">
        <v>1</v>
      </c>
      <c r="N12">
        <v>1</v>
      </c>
      <c r="O12" t="s">
        <v>191</v>
      </c>
      <c r="P12" t="s">
        <v>168</v>
      </c>
      <c r="Q12" t="s">
        <v>168</v>
      </c>
      <c r="R12" t="s">
        <v>168</v>
      </c>
      <c r="S12" t="b">
        <v>0</v>
      </c>
      <c r="T12" t="b">
        <v>0</v>
      </c>
      <c r="U12" t="s">
        <v>168</v>
      </c>
      <c r="V12" t="b">
        <v>0</v>
      </c>
      <c r="W12" t="b">
        <v>0</v>
      </c>
      <c r="X12" t="s">
        <v>359</v>
      </c>
      <c r="Y12" s="159" t="s">
        <v>192</v>
      </c>
      <c r="Z12" s="158" t="s">
        <v>193</v>
      </c>
      <c r="AA12" s="160" t="s">
        <v>194</v>
      </c>
      <c r="AB12" s="160" t="s">
        <v>247</v>
      </c>
      <c r="AC12" s="158">
        <v>15</v>
      </c>
      <c r="AD12" s="158">
        <v>5</v>
      </c>
      <c r="AE12" s="158">
        <v>119.5</v>
      </c>
      <c r="AF12" s="158">
        <v>121</v>
      </c>
      <c r="AG12" s="158">
        <v>140.69499999999999</v>
      </c>
      <c r="AH12" s="158">
        <v>158.10305555555601</v>
      </c>
      <c r="AI12" s="160" t="s">
        <v>196</v>
      </c>
      <c r="AJ12" s="158" t="s">
        <v>197</v>
      </c>
      <c r="AK12" s="166">
        <v>3.7212472000000001</v>
      </c>
      <c r="AL12" s="166">
        <v>-42.913286111111098</v>
      </c>
      <c r="AM12" s="160" t="s">
        <v>168</v>
      </c>
      <c r="AN12" s="160" t="s">
        <v>168</v>
      </c>
      <c r="AO12" s="158">
        <v>-3598</v>
      </c>
      <c r="AP12" s="160" t="s">
        <v>168</v>
      </c>
      <c r="AQ12" s="160" t="s">
        <v>168</v>
      </c>
      <c r="AR12" s="160" t="s">
        <v>168</v>
      </c>
      <c r="AS12" s="158">
        <v>5199.1527777777801</v>
      </c>
      <c r="AT12" s="160" t="s">
        <v>198</v>
      </c>
      <c r="AU12" s="160" t="s">
        <v>168</v>
      </c>
      <c r="AV12" s="160" t="s">
        <v>168</v>
      </c>
      <c r="AW12" s="160" t="s">
        <v>250</v>
      </c>
      <c r="AX12" s="158" t="s">
        <v>200</v>
      </c>
      <c r="AY12" s="158" t="s">
        <v>201</v>
      </c>
      <c r="AZ12" s="158" t="s">
        <v>168</v>
      </c>
      <c r="BA12" s="158" t="s">
        <v>168</v>
      </c>
      <c r="BB12" s="158" t="s">
        <v>168</v>
      </c>
      <c r="BC12" s="158" t="s">
        <v>168</v>
      </c>
      <c r="BD12" s="158" t="s">
        <v>168</v>
      </c>
      <c r="BE12" s="158" t="s">
        <v>168</v>
      </c>
      <c r="BF12" s="158" t="s">
        <v>168</v>
      </c>
      <c r="BG12" s="167" t="s">
        <v>202</v>
      </c>
      <c r="BH12" s="158" t="s">
        <v>203</v>
      </c>
      <c r="BI12" s="160" t="s">
        <v>204</v>
      </c>
      <c r="BJ12" s="160" t="s">
        <v>205</v>
      </c>
      <c r="BK12" s="158" t="s">
        <v>206</v>
      </c>
      <c r="BL12" s="158" t="s">
        <v>207</v>
      </c>
      <c r="BM12" s="158" t="s">
        <v>208</v>
      </c>
      <c r="BN12" s="162" t="s">
        <v>260</v>
      </c>
      <c r="BO12" s="158">
        <v>2</v>
      </c>
      <c r="BP12" s="162" t="s">
        <v>261</v>
      </c>
      <c r="BQ12" s="168">
        <v>18.298135213496213</v>
      </c>
      <c r="BR12" s="168" t="s">
        <v>211</v>
      </c>
      <c r="BS12" s="168">
        <v>0.17646722242570573</v>
      </c>
      <c r="BT12">
        <v>0.83299999999999996</v>
      </c>
      <c r="BU12" t="s">
        <v>168</v>
      </c>
      <c r="BV12" t="s">
        <v>168</v>
      </c>
      <c r="BW12">
        <v>2.69</v>
      </c>
      <c r="BX12" t="s">
        <v>168</v>
      </c>
      <c r="BY12" t="s">
        <v>168</v>
      </c>
      <c r="BZ12" s="163" t="s">
        <v>212</v>
      </c>
      <c r="CA12" t="s">
        <v>213</v>
      </c>
      <c r="CB12" s="168">
        <v>18.73725715905908</v>
      </c>
      <c r="CC12" s="160" t="s">
        <v>214</v>
      </c>
      <c r="CD12" s="164">
        <v>0.29959464498048705</v>
      </c>
      <c r="CE12" s="160" t="s">
        <v>215</v>
      </c>
      <c r="CF12" s="160" t="s">
        <v>216</v>
      </c>
      <c r="CG12" s="160">
        <v>0</v>
      </c>
      <c r="CH12" s="160" t="s">
        <v>217</v>
      </c>
      <c r="CI12" s="160" t="s">
        <v>168</v>
      </c>
      <c r="CJ12">
        <v>27.499772007600342</v>
      </c>
      <c r="CK12" s="158" t="s">
        <v>170</v>
      </c>
      <c r="CL12" s="158">
        <v>1</v>
      </c>
      <c r="CM12" s="158">
        <v>1</v>
      </c>
      <c r="CN12">
        <v>3.588906191931585</v>
      </c>
      <c r="CO12">
        <v>3.588906191931585</v>
      </c>
      <c r="CP12" s="165" t="s">
        <v>218</v>
      </c>
      <c r="CQ12" s="169">
        <v>0.05</v>
      </c>
      <c r="CR12" s="169">
        <v>0.05</v>
      </c>
      <c r="CS12" s="168" t="s">
        <v>219</v>
      </c>
      <c r="CT12" s="168" t="s">
        <v>220</v>
      </c>
      <c r="CU12" s="170" t="s">
        <v>221</v>
      </c>
      <c r="CV12" s="158" t="s">
        <v>222</v>
      </c>
      <c r="CW12" s="160" t="s">
        <v>168</v>
      </c>
      <c r="CX12" s="160" t="s">
        <v>168</v>
      </c>
      <c r="CY12" s="160" t="s">
        <v>168</v>
      </c>
      <c r="CZ12" s="160" t="s">
        <v>168</v>
      </c>
      <c r="DA12" s="160" t="s">
        <v>168</v>
      </c>
      <c r="DB12" s="160" t="s">
        <v>168</v>
      </c>
      <c r="DC12" s="160" t="s">
        <v>168</v>
      </c>
      <c r="DD12" s="160" t="s">
        <v>168</v>
      </c>
      <c r="DE12" s="160" t="s">
        <v>168</v>
      </c>
      <c r="DF12" s="160" t="s">
        <v>168</v>
      </c>
      <c r="DG12">
        <v>35</v>
      </c>
      <c r="DH12" t="s">
        <v>170</v>
      </c>
      <c r="DI12" s="160">
        <v>1.5</v>
      </c>
      <c r="DJ12" s="160" t="s">
        <v>168</v>
      </c>
      <c r="DK12" s="158" t="s">
        <v>223</v>
      </c>
      <c r="DL12" s="158" t="s">
        <v>168</v>
      </c>
      <c r="DM12" s="158" t="s">
        <v>168</v>
      </c>
      <c r="DN12" s="158" t="s">
        <v>168</v>
      </c>
      <c r="DO12" s="158" t="s">
        <v>223</v>
      </c>
      <c r="DP12" s="158" t="s">
        <v>168</v>
      </c>
      <c r="DQ12" s="158" t="s">
        <v>168</v>
      </c>
      <c r="DR12" s="158" t="s">
        <v>168</v>
      </c>
      <c r="DS12" s="158" t="s">
        <v>168</v>
      </c>
      <c r="DT12" s="158" t="s">
        <v>168</v>
      </c>
      <c r="DU12" s="158" t="s">
        <v>168</v>
      </c>
      <c r="DV12" s="158" t="s">
        <v>168</v>
      </c>
      <c r="DW12">
        <v>432.84971453387601</v>
      </c>
      <c r="DX12" s="163" t="s">
        <v>224</v>
      </c>
      <c r="DY12" s="158">
        <v>36.087425973784491</v>
      </c>
      <c r="DZ12" s="158" t="s">
        <v>225</v>
      </c>
      <c r="EA12">
        <v>39.799999999999997</v>
      </c>
      <c r="EB12" s="158" t="s">
        <v>226</v>
      </c>
      <c r="EC12">
        <v>0.31</v>
      </c>
      <c r="ED12" s="158" t="s">
        <v>227</v>
      </c>
      <c r="EE12" s="158" t="s">
        <v>228</v>
      </c>
      <c r="EF12" s="158" t="s">
        <v>262</v>
      </c>
      <c r="EG12">
        <v>1.0271999999999999</v>
      </c>
      <c r="EH12" s="158">
        <v>5.9999999999999995E-4</v>
      </c>
      <c r="EI12" s="160" t="s">
        <v>168</v>
      </c>
      <c r="EJ12" s="158" t="s">
        <v>169</v>
      </c>
      <c r="EK12" s="160" t="s">
        <v>168</v>
      </c>
      <c r="EL12" s="160" t="s">
        <v>168</v>
      </c>
      <c r="EM12" s="171" t="s">
        <v>230</v>
      </c>
      <c r="EN12" s="158" t="s">
        <v>231</v>
      </c>
      <c r="EO12" s="158" t="s">
        <v>231</v>
      </c>
      <c r="EP12" s="158" t="s">
        <v>231</v>
      </c>
      <c r="EQ12" s="158" t="s">
        <v>232</v>
      </c>
      <c r="ER12" s="160" t="s">
        <v>168</v>
      </c>
      <c r="ES12" s="160" t="s">
        <v>168</v>
      </c>
      <c r="ET12" s="160" t="s">
        <v>233</v>
      </c>
      <c r="EU12" s="158" t="s">
        <v>234</v>
      </c>
      <c r="EV12" s="158" t="s">
        <v>235</v>
      </c>
      <c r="EW12" s="146">
        <v>1923.2970291666666</v>
      </c>
      <c r="EX12" s="158" t="s">
        <v>236</v>
      </c>
      <c r="EY12" s="172">
        <f t="shared" si="0"/>
        <v>2423.2970291666666</v>
      </c>
      <c r="EZ12" s="168">
        <f t="shared" si="1"/>
        <v>1423.2970291666666</v>
      </c>
      <c r="FA12" s="160" t="s">
        <v>168</v>
      </c>
      <c r="FB12" s="160" t="s">
        <v>168</v>
      </c>
      <c r="FC12" s="160" t="s">
        <v>168</v>
      </c>
      <c r="FD12" s="160" t="s">
        <v>168</v>
      </c>
      <c r="FE12">
        <v>8.0676517588843506</v>
      </c>
      <c r="FF12" s="173" t="s">
        <v>171</v>
      </c>
      <c r="FG12">
        <v>3.5635820697919485E-2</v>
      </c>
      <c r="FH12">
        <v>3.600994099855015E-2</v>
      </c>
      <c r="FI12" s="160">
        <f t="shared" si="2"/>
        <v>362.17462317796401</v>
      </c>
      <c r="FJ12" s="160">
        <v>30</v>
      </c>
      <c r="FK12" s="160" t="s">
        <v>168</v>
      </c>
      <c r="FL12">
        <v>332.17462317796401</v>
      </c>
      <c r="FM12">
        <v>100.68847497158998</v>
      </c>
      <c r="FN12">
        <v>97.632278246761018</v>
      </c>
      <c r="FO12" s="158" t="s">
        <v>237</v>
      </c>
      <c r="FP12" s="158" t="s">
        <v>168</v>
      </c>
      <c r="FQ12" s="158" t="s">
        <v>172</v>
      </c>
      <c r="FR12" s="158" t="s">
        <v>172</v>
      </c>
      <c r="FS12" s="158" t="s">
        <v>172</v>
      </c>
      <c r="FT12" s="158" t="s">
        <v>172</v>
      </c>
      <c r="FU12" s="158" t="s">
        <v>172</v>
      </c>
      <c r="FV12" s="158" t="s">
        <v>172</v>
      </c>
      <c r="FW12" s="158" t="s">
        <v>172</v>
      </c>
      <c r="FX12" s="158" t="s">
        <v>172</v>
      </c>
      <c r="FY12" s="158" t="s">
        <v>172</v>
      </c>
      <c r="FZ12" s="158" t="s">
        <v>172</v>
      </c>
      <c r="GA12" s="158" t="s">
        <v>172</v>
      </c>
      <c r="GB12" s="158" t="s">
        <v>172</v>
      </c>
      <c r="GC12" s="158" t="s">
        <v>357</v>
      </c>
    </row>
    <row r="13" spans="1:185" ht="20" x14ac:dyDescent="0.25">
      <c r="A13" t="s">
        <v>190</v>
      </c>
      <c r="B13" s="140" t="s">
        <v>358</v>
      </c>
      <c r="C13" s="158" t="s">
        <v>173</v>
      </c>
      <c r="D13" s="158" t="s">
        <v>188</v>
      </c>
      <c r="E13" s="158">
        <v>2022</v>
      </c>
      <c r="F13" s="158" t="s">
        <v>189</v>
      </c>
      <c r="G13">
        <v>5234.1333333333296</v>
      </c>
      <c r="H13" s="176">
        <v>15</v>
      </c>
      <c r="I13" s="176">
        <v>15</v>
      </c>
      <c r="J13" s="158">
        <v>307.04720970428701</v>
      </c>
      <c r="K13">
        <v>95.270594430057997</v>
      </c>
      <c r="L13">
        <v>90.884871166169006</v>
      </c>
      <c r="M13" t="b">
        <v>1</v>
      </c>
      <c r="N13">
        <v>1</v>
      </c>
      <c r="O13" t="s">
        <v>191</v>
      </c>
      <c r="P13" t="s">
        <v>168</v>
      </c>
      <c r="Q13" t="s">
        <v>168</v>
      </c>
      <c r="R13" t="s">
        <v>168</v>
      </c>
      <c r="S13" t="b">
        <v>0</v>
      </c>
      <c r="T13" t="b">
        <v>0</v>
      </c>
      <c r="U13" t="s">
        <v>168</v>
      </c>
      <c r="V13" t="b">
        <v>0</v>
      </c>
      <c r="W13" t="b">
        <v>0</v>
      </c>
      <c r="X13" t="s">
        <v>359</v>
      </c>
      <c r="Y13" s="159" t="s">
        <v>192</v>
      </c>
      <c r="Z13" s="158" t="s">
        <v>193</v>
      </c>
      <c r="AA13" s="160" t="s">
        <v>194</v>
      </c>
      <c r="AB13" s="160" t="s">
        <v>167</v>
      </c>
      <c r="AC13" s="158">
        <v>16</v>
      </c>
      <c r="AD13" s="158">
        <v>3</v>
      </c>
      <c r="AE13" s="158">
        <v>121</v>
      </c>
      <c r="AF13" s="158">
        <v>122.5</v>
      </c>
      <c r="AG13" s="158">
        <v>141.21</v>
      </c>
      <c r="AH13" s="158">
        <v>158.84</v>
      </c>
      <c r="AI13" s="160" t="s">
        <v>196</v>
      </c>
      <c r="AJ13" s="158" t="s">
        <v>197</v>
      </c>
      <c r="AK13" s="166">
        <v>3.7212472000000001</v>
      </c>
      <c r="AL13" s="166">
        <v>-42.913286111111098</v>
      </c>
      <c r="AM13" s="160" t="s">
        <v>168</v>
      </c>
      <c r="AN13" s="160" t="s">
        <v>168</v>
      </c>
      <c r="AO13" s="158">
        <v>-3598</v>
      </c>
      <c r="AP13" s="160" t="s">
        <v>168</v>
      </c>
      <c r="AQ13" s="160" t="s">
        <v>168</v>
      </c>
      <c r="AR13" s="160" t="s">
        <v>168</v>
      </c>
      <c r="AS13" s="158">
        <v>5234.1333333333296</v>
      </c>
      <c r="AT13" s="160" t="s">
        <v>198</v>
      </c>
      <c r="AU13" s="160" t="s">
        <v>168</v>
      </c>
      <c r="AV13" s="160" t="s">
        <v>168</v>
      </c>
      <c r="AW13" s="160" t="s">
        <v>250</v>
      </c>
      <c r="AX13" s="158" t="s">
        <v>200</v>
      </c>
      <c r="AY13" s="158" t="s">
        <v>201</v>
      </c>
      <c r="AZ13" s="158" t="s">
        <v>168</v>
      </c>
      <c r="BA13" s="158" t="s">
        <v>168</v>
      </c>
      <c r="BB13" s="158" t="s">
        <v>168</v>
      </c>
      <c r="BC13" s="158" t="s">
        <v>168</v>
      </c>
      <c r="BD13" s="158" t="s">
        <v>168</v>
      </c>
      <c r="BE13" s="158" t="s">
        <v>168</v>
      </c>
      <c r="BF13" s="158" t="s">
        <v>168</v>
      </c>
      <c r="BG13" s="167" t="s">
        <v>202</v>
      </c>
      <c r="BH13" s="158" t="s">
        <v>203</v>
      </c>
      <c r="BI13" s="160" t="s">
        <v>204</v>
      </c>
      <c r="BJ13" s="160" t="s">
        <v>205</v>
      </c>
      <c r="BK13" s="158" t="s">
        <v>206</v>
      </c>
      <c r="BL13" s="158" t="s">
        <v>207</v>
      </c>
      <c r="BM13" s="158" t="s">
        <v>208</v>
      </c>
      <c r="BN13" s="162" t="s">
        <v>263</v>
      </c>
      <c r="BO13" s="158">
        <v>2</v>
      </c>
      <c r="BP13" s="162" t="s">
        <v>245</v>
      </c>
      <c r="BQ13" s="168">
        <v>18.370387120324018</v>
      </c>
      <c r="BR13" s="168" t="s">
        <v>211</v>
      </c>
      <c r="BS13" s="168">
        <v>0.19094568512873084</v>
      </c>
      <c r="BT13">
        <v>0.83299999999999996</v>
      </c>
      <c r="BU13" t="s">
        <v>168</v>
      </c>
      <c r="BV13" t="s">
        <v>168</v>
      </c>
      <c r="BW13">
        <v>2.69</v>
      </c>
      <c r="BX13" t="s">
        <v>168</v>
      </c>
      <c r="BY13" t="s">
        <v>168</v>
      </c>
      <c r="BZ13" s="163" t="s">
        <v>212</v>
      </c>
      <c r="CA13" t="s">
        <v>213</v>
      </c>
      <c r="CB13" s="168">
        <v>18.823994142045642</v>
      </c>
      <c r="CC13" s="160" t="s">
        <v>214</v>
      </c>
      <c r="CD13" s="164">
        <v>0.324175243200089</v>
      </c>
      <c r="CE13" s="160" t="s">
        <v>215</v>
      </c>
      <c r="CF13" s="160" t="s">
        <v>216</v>
      </c>
      <c r="CG13" s="160">
        <v>0</v>
      </c>
      <c r="CH13" s="160" t="s">
        <v>217</v>
      </c>
      <c r="CI13" s="160" t="s">
        <v>168</v>
      </c>
      <c r="CJ13">
        <v>25.750827122766154</v>
      </c>
      <c r="CK13" s="158" t="s">
        <v>170</v>
      </c>
      <c r="CL13" s="158">
        <v>1</v>
      </c>
      <c r="CM13" s="158">
        <v>1</v>
      </c>
      <c r="CN13">
        <v>3.0643527860477131</v>
      </c>
      <c r="CO13">
        <v>3.0643527860477131</v>
      </c>
      <c r="CP13" s="165" t="s">
        <v>218</v>
      </c>
      <c r="CQ13" s="169">
        <v>0.05</v>
      </c>
      <c r="CR13" s="169">
        <v>0.05</v>
      </c>
      <c r="CS13" s="168" t="s">
        <v>219</v>
      </c>
      <c r="CT13" s="168" t="s">
        <v>220</v>
      </c>
      <c r="CU13" s="170" t="s">
        <v>221</v>
      </c>
      <c r="CV13" s="158" t="s">
        <v>222</v>
      </c>
      <c r="CW13" s="160" t="s">
        <v>168</v>
      </c>
      <c r="CX13" s="160" t="s">
        <v>168</v>
      </c>
      <c r="CY13" s="160" t="s">
        <v>168</v>
      </c>
      <c r="CZ13" s="160" t="s">
        <v>168</v>
      </c>
      <c r="DA13" s="160" t="s">
        <v>168</v>
      </c>
      <c r="DB13" s="160" t="s">
        <v>168</v>
      </c>
      <c r="DC13" s="160" t="s">
        <v>168</v>
      </c>
      <c r="DD13" s="160" t="s">
        <v>168</v>
      </c>
      <c r="DE13" s="160" t="s">
        <v>168</v>
      </c>
      <c r="DF13" s="160" t="s">
        <v>168</v>
      </c>
      <c r="DG13">
        <v>35</v>
      </c>
      <c r="DH13" t="s">
        <v>170</v>
      </c>
      <c r="DI13" s="160">
        <v>1.5</v>
      </c>
      <c r="DJ13" s="160" t="s">
        <v>168</v>
      </c>
      <c r="DK13" s="158" t="s">
        <v>223</v>
      </c>
      <c r="DL13" s="158" t="s">
        <v>168</v>
      </c>
      <c r="DM13" s="158" t="s">
        <v>168</v>
      </c>
      <c r="DN13" s="158" t="s">
        <v>168</v>
      </c>
      <c r="DO13" s="158" t="s">
        <v>223</v>
      </c>
      <c r="DP13" s="158" t="s">
        <v>168</v>
      </c>
      <c r="DQ13" s="158" t="s">
        <v>168</v>
      </c>
      <c r="DR13" s="158" t="s">
        <v>168</v>
      </c>
      <c r="DS13" s="158" t="s">
        <v>168</v>
      </c>
      <c r="DT13" s="158" t="s">
        <v>168</v>
      </c>
      <c r="DU13" s="158" t="s">
        <v>168</v>
      </c>
      <c r="DV13" s="158" t="s">
        <v>168</v>
      </c>
      <c r="DW13">
        <v>432.34081489833699</v>
      </c>
      <c r="DX13" s="163" t="s">
        <v>224</v>
      </c>
      <c r="DY13" s="158">
        <v>36.46254408508949</v>
      </c>
      <c r="DZ13" s="158" t="s">
        <v>225</v>
      </c>
      <c r="EA13">
        <v>39.799999999999997</v>
      </c>
      <c r="EB13" s="158" t="s">
        <v>226</v>
      </c>
      <c r="EC13">
        <v>0.31</v>
      </c>
      <c r="ED13" s="158" t="s">
        <v>227</v>
      </c>
      <c r="EE13" s="158" t="s">
        <v>228</v>
      </c>
      <c r="EF13" s="158" t="s">
        <v>264</v>
      </c>
      <c r="EG13">
        <v>1.0271999999999999</v>
      </c>
      <c r="EH13" s="158">
        <v>5.9999999999999995E-4</v>
      </c>
      <c r="EI13" s="160" t="s">
        <v>168</v>
      </c>
      <c r="EJ13" s="158" t="s">
        <v>169</v>
      </c>
      <c r="EK13" s="160" t="s">
        <v>168</v>
      </c>
      <c r="EL13" s="160" t="s">
        <v>168</v>
      </c>
      <c r="EM13" s="171" t="s">
        <v>230</v>
      </c>
      <c r="EN13" s="158" t="s">
        <v>231</v>
      </c>
      <c r="EO13" s="158" t="s">
        <v>231</v>
      </c>
      <c r="EP13" s="158" t="s">
        <v>231</v>
      </c>
      <c r="EQ13" s="158" t="s">
        <v>232</v>
      </c>
      <c r="ER13" s="160" t="s">
        <v>168</v>
      </c>
      <c r="ES13" s="160" t="s">
        <v>168</v>
      </c>
      <c r="ET13" s="160" t="s">
        <v>233</v>
      </c>
      <c r="EU13" s="158" t="s">
        <v>234</v>
      </c>
      <c r="EV13" s="158" t="s">
        <v>235</v>
      </c>
      <c r="EW13" s="146">
        <v>1922.59392</v>
      </c>
      <c r="EX13" s="158" t="s">
        <v>236</v>
      </c>
      <c r="EY13" s="172">
        <f t="shared" si="0"/>
        <v>2422.5939200000003</v>
      </c>
      <c r="EZ13" s="168">
        <f t="shared" si="1"/>
        <v>1422.59392</v>
      </c>
      <c r="FA13" s="160" t="s">
        <v>168</v>
      </c>
      <c r="FB13" s="160" t="s">
        <v>168</v>
      </c>
      <c r="FC13" s="160" t="s">
        <v>168</v>
      </c>
      <c r="FD13" s="160" t="s">
        <v>168</v>
      </c>
      <c r="FE13">
        <v>8.0952760891680295</v>
      </c>
      <c r="FF13" s="173" t="s">
        <v>171</v>
      </c>
      <c r="FG13">
        <v>3.6346490165771073E-2</v>
      </c>
      <c r="FH13">
        <v>3.7194566498769177E-2</v>
      </c>
      <c r="FI13" s="160">
        <f t="shared" si="2"/>
        <v>337.04720970428701</v>
      </c>
      <c r="FJ13" s="160">
        <v>30</v>
      </c>
      <c r="FK13" s="160" t="s">
        <v>168</v>
      </c>
      <c r="FL13">
        <v>307.04720970428701</v>
      </c>
      <c r="FM13">
        <v>95.270594430057997</v>
      </c>
      <c r="FN13">
        <v>90.884871166169006</v>
      </c>
      <c r="FO13" s="158" t="s">
        <v>237</v>
      </c>
      <c r="FP13" s="158" t="s">
        <v>168</v>
      </c>
      <c r="FQ13" s="158" t="s">
        <v>172</v>
      </c>
      <c r="FR13" s="158" t="s">
        <v>172</v>
      </c>
      <c r="FS13" s="158" t="s">
        <v>172</v>
      </c>
      <c r="FT13" s="158" t="s">
        <v>172</v>
      </c>
      <c r="FU13" s="158" t="s">
        <v>172</v>
      </c>
      <c r="FV13" s="158" t="s">
        <v>172</v>
      </c>
      <c r="FW13" s="158" t="s">
        <v>172</v>
      </c>
      <c r="FX13" s="158" t="s">
        <v>172</v>
      </c>
      <c r="FY13" s="158" t="s">
        <v>172</v>
      </c>
      <c r="FZ13" s="158" t="s">
        <v>172</v>
      </c>
      <c r="GA13" s="158" t="s">
        <v>172</v>
      </c>
      <c r="GB13" s="158" t="s">
        <v>172</v>
      </c>
      <c r="GC13" s="158" t="s">
        <v>357</v>
      </c>
    </row>
    <row r="14" spans="1:185" ht="20" x14ac:dyDescent="0.25">
      <c r="A14" t="s">
        <v>190</v>
      </c>
      <c r="B14" s="140" t="s">
        <v>358</v>
      </c>
      <c r="C14" s="158" t="s">
        <v>173</v>
      </c>
      <c r="D14" s="158" t="s">
        <v>188</v>
      </c>
      <c r="E14" s="158">
        <v>2022</v>
      </c>
      <c r="F14" s="158" t="s">
        <v>189</v>
      </c>
      <c r="G14">
        <v>5272.4</v>
      </c>
      <c r="H14" s="176">
        <v>15</v>
      </c>
      <c r="I14" s="176">
        <v>15</v>
      </c>
      <c r="J14" s="158">
        <v>382.39648139477401</v>
      </c>
      <c r="K14">
        <v>116.88380060335396</v>
      </c>
      <c r="L14">
        <v>112.57506782447899</v>
      </c>
      <c r="M14" t="b">
        <v>1</v>
      </c>
      <c r="N14">
        <v>1</v>
      </c>
      <c r="O14" t="s">
        <v>191</v>
      </c>
      <c r="P14" t="s">
        <v>168</v>
      </c>
      <c r="Q14" t="s">
        <v>168</v>
      </c>
      <c r="R14" t="s">
        <v>168</v>
      </c>
      <c r="S14" t="b">
        <v>0</v>
      </c>
      <c r="T14" t="b">
        <v>0</v>
      </c>
      <c r="U14" t="s">
        <v>168</v>
      </c>
      <c r="V14" t="b">
        <v>0</v>
      </c>
      <c r="W14" t="b">
        <v>0</v>
      </c>
      <c r="X14" t="s">
        <v>359</v>
      </c>
      <c r="Y14" s="159" t="s">
        <v>192</v>
      </c>
      <c r="Z14" s="158" t="s">
        <v>193</v>
      </c>
      <c r="AA14" s="160" t="s">
        <v>194</v>
      </c>
      <c r="AB14" s="160" t="s">
        <v>167</v>
      </c>
      <c r="AC14" s="158">
        <v>16</v>
      </c>
      <c r="AD14" s="158">
        <v>4</v>
      </c>
      <c r="AE14" s="158">
        <v>61.5</v>
      </c>
      <c r="AF14" s="158">
        <v>63</v>
      </c>
      <c r="AG14" s="158">
        <v>142.11500000000001</v>
      </c>
      <c r="AH14" s="158">
        <v>159.745</v>
      </c>
      <c r="AI14" s="160" t="s">
        <v>196</v>
      </c>
      <c r="AJ14" s="158" t="s">
        <v>197</v>
      </c>
      <c r="AK14" s="166">
        <v>3.7212472000000001</v>
      </c>
      <c r="AL14" s="166">
        <v>-42.913286111111098</v>
      </c>
      <c r="AM14" s="160" t="s">
        <v>168</v>
      </c>
      <c r="AN14" s="160" t="s">
        <v>168</v>
      </c>
      <c r="AO14" s="158">
        <v>-3598</v>
      </c>
      <c r="AP14" s="160" t="s">
        <v>168</v>
      </c>
      <c r="AQ14" s="160" t="s">
        <v>168</v>
      </c>
      <c r="AR14" s="160" t="s">
        <v>168</v>
      </c>
      <c r="AS14" s="158">
        <v>5272.4</v>
      </c>
      <c r="AT14" s="160" t="s">
        <v>198</v>
      </c>
      <c r="AU14" s="160" t="s">
        <v>168</v>
      </c>
      <c r="AV14" s="160" t="s">
        <v>168</v>
      </c>
      <c r="AW14" s="160" t="s">
        <v>250</v>
      </c>
      <c r="AX14" s="158" t="s">
        <v>200</v>
      </c>
      <c r="AY14" s="158" t="s">
        <v>201</v>
      </c>
      <c r="AZ14" s="158" t="s">
        <v>168</v>
      </c>
      <c r="BA14" s="158" t="s">
        <v>168</v>
      </c>
      <c r="BB14" s="158" t="s">
        <v>168</v>
      </c>
      <c r="BC14" s="158" t="s">
        <v>168</v>
      </c>
      <c r="BD14" s="158" t="s">
        <v>168</v>
      </c>
      <c r="BE14" s="158" t="s">
        <v>168</v>
      </c>
      <c r="BF14" s="158" t="s">
        <v>168</v>
      </c>
      <c r="BG14" s="167" t="s">
        <v>202</v>
      </c>
      <c r="BH14" s="158" t="s">
        <v>203</v>
      </c>
      <c r="BI14" s="160" t="s">
        <v>204</v>
      </c>
      <c r="BJ14" s="160" t="s">
        <v>205</v>
      </c>
      <c r="BK14" s="158" t="s">
        <v>206</v>
      </c>
      <c r="BL14" s="158" t="s">
        <v>207</v>
      </c>
      <c r="BM14" s="158" t="s">
        <v>208</v>
      </c>
      <c r="BN14" s="162" t="s">
        <v>265</v>
      </c>
      <c r="BO14" s="158">
        <v>2</v>
      </c>
      <c r="BP14" s="162" t="s">
        <v>266</v>
      </c>
      <c r="BQ14" s="168">
        <v>17.773494611735607</v>
      </c>
      <c r="BR14" s="168" t="s">
        <v>211</v>
      </c>
      <c r="BS14" s="168">
        <v>0.229889157605699</v>
      </c>
      <c r="BT14">
        <v>0.83299999999999996</v>
      </c>
      <c r="BU14" t="s">
        <v>168</v>
      </c>
      <c r="BV14" t="s">
        <v>168</v>
      </c>
      <c r="BW14">
        <v>2.69</v>
      </c>
      <c r="BX14" t="s">
        <v>168</v>
      </c>
      <c r="BY14" t="s">
        <v>168</v>
      </c>
      <c r="BZ14" s="163" t="s">
        <v>212</v>
      </c>
      <c r="CA14" t="s">
        <v>213</v>
      </c>
      <c r="CB14" s="168">
        <v>18.107436508686206</v>
      </c>
      <c r="CC14" s="160" t="s">
        <v>214</v>
      </c>
      <c r="CD14" s="164">
        <v>0.39029095381573092</v>
      </c>
      <c r="CE14" s="160" t="s">
        <v>215</v>
      </c>
      <c r="CF14" s="160" t="s">
        <v>216</v>
      </c>
      <c r="CG14" s="160">
        <v>0</v>
      </c>
      <c r="CH14" s="160" t="s">
        <v>217</v>
      </c>
      <c r="CI14" s="160" t="s">
        <v>168</v>
      </c>
      <c r="CJ14">
        <v>26.836603694122907</v>
      </c>
      <c r="CK14" s="158" t="s">
        <v>170</v>
      </c>
      <c r="CL14" s="158">
        <v>1</v>
      </c>
      <c r="CM14" s="158">
        <v>1</v>
      </c>
      <c r="CN14">
        <v>3.3766828326395326</v>
      </c>
      <c r="CO14">
        <v>3.3766828326395326</v>
      </c>
      <c r="CP14" s="165" t="s">
        <v>218</v>
      </c>
      <c r="CQ14" s="169">
        <v>0.05</v>
      </c>
      <c r="CR14" s="169">
        <v>0.05</v>
      </c>
      <c r="CS14" s="168" t="s">
        <v>219</v>
      </c>
      <c r="CT14" s="168" t="s">
        <v>220</v>
      </c>
      <c r="CU14" s="170" t="s">
        <v>221</v>
      </c>
      <c r="CV14" s="158" t="s">
        <v>222</v>
      </c>
      <c r="CW14" s="160" t="s">
        <v>168</v>
      </c>
      <c r="CX14" s="160" t="s">
        <v>168</v>
      </c>
      <c r="CY14" s="160" t="s">
        <v>168</v>
      </c>
      <c r="CZ14" s="160" t="s">
        <v>168</v>
      </c>
      <c r="DA14" s="160" t="s">
        <v>168</v>
      </c>
      <c r="DB14" s="160" t="s">
        <v>168</v>
      </c>
      <c r="DC14" s="160" t="s">
        <v>168</v>
      </c>
      <c r="DD14" s="160" t="s">
        <v>168</v>
      </c>
      <c r="DE14" s="160" t="s">
        <v>168</v>
      </c>
      <c r="DF14" s="160" t="s">
        <v>168</v>
      </c>
      <c r="DG14">
        <v>35</v>
      </c>
      <c r="DH14" t="s">
        <v>170</v>
      </c>
      <c r="DI14" s="160">
        <v>1.5</v>
      </c>
      <c r="DJ14" s="160" t="s">
        <v>168</v>
      </c>
      <c r="DK14" s="158" t="s">
        <v>223</v>
      </c>
      <c r="DL14" s="158" t="s">
        <v>168</v>
      </c>
      <c r="DM14" s="158" t="s">
        <v>168</v>
      </c>
      <c r="DN14" s="158" t="s">
        <v>168</v>
      </c>
      <c r="DO14" s="158" t="s">
        <v>223</v>
      </c>
      <c r="DP14" s="158" t="s">
        <v>168</v>
      </c>
      <c r="DQ14" s="158" t="s">
        <v>168</v>
      </c>
      <c r="DR14" s="158" t="s">
        <v>168</v>
      </c>
      <c r="DS14" s="158" t="s">
        <v>168</v>
      </c>
      <c r="DT14" s="158" t="s">
        <v>168</v>
      </c>
      <c r="DU14" s="158" t="s">
        <v>168</v>
      </c>
      <c r="DV14" s="158" t="s">
        <v>168</v>
      </c>
      <c r="DW14">
        <v>432.638795658579</v>
      </c>
      <c r="DX14" s="163" t="s">
        <v>224</v>
      </c>
      <c r="DY14" s="158">
        <v>36.228313433045997</v>
      </c>
      <c r="DZ14" s="158" t="s">
        <v>225</v>
      </c>
      <c r="EA14">
        <v>39.799999999999997</v>
      </c>
      <c r="EB14" s="158" t="s">
        <v>226</v>
      </c>
      <c r="EC14">
        <v>0.31</v>
      </c>
      <c r="ED14" s="158" t="s">
        <v>227</v>
      </c>
      <c r="EE14" s="158" t="s">
        <v>228</v>
      </c>
      <c r="EF14" s="158" t="s">
        <v>267</v>
      </c>
      <c r="EG14">
        <v>1.0271999999999999</v>
      </c>
      <c r="EH14" s="158">
        <v>5.9999999999999995E-4</v>
      </c>
      <c r="EI14" s="160" t="s">
        <v>168</v>
      </c>
      <c r="EJ14" s="158" t="s">
        <v>169</v>
      </c>
      <c r="EK14" s="160" t="s">
        <v>168</v>
      </c>
      <c r="EL14" s="160" t="s">
        <v>168</v>
      </c>
      <c r="EM14" s="171" t="s">
        <v>230</v>
      </c>
      <c r="EN14" s="158" t="s">
        <v>231</v>
      </c>
      <c r="EO14" s="158" t="s">
        <v>231</v>
      </c>
      <c r="EP14" s="158" t="s">
        <v>231</v>
      </c>
      <c r="EQ14" s="158" t="s">
        <v>232</v>
      </c>
      <c r="ER14" s="160" t="s">
        <v>168</v>
      </c>
      <c r="ES14" s="160" t="s">
        <v>168</v>
      </c>
      <c r="ET14" s="160" t="s">
        <v>233</v>
      </c>
      <c r="EU14" s="158" t="s">
        <v>234</v>
      </c>
      <c r="EV14" s="158" t="s">
        <v>235</v>
      </c>
      <c r="EW14" s="146">
        <v>1921.82476</v>
      </c>
      <c r="EX14" s="158" t="s">
        <v>236</v>
      </c>
      <c r="EY14" s="172">
        <f t="shared" si="0"/>
        <v>2421.82476</v>
      </c>
      <c r="EZ14" s="168">
        <f t="shared" si="1"/>
        <v>1421.82476</v>
      </c>
      <c r="FA14" s="160" t="s">
        <v>168</v>
      </c>
      <c r="FB14" s="160" t="s">
        <v>168</v>
      </c>
      <c r="FC14" s="160" t="s">
        <v>168</v>
      </c>
      <c r="FD14" s="160" t="s">
        <v>168</v>
      </c>
      <c r="FE14">
        <v>8.0180488594052193</v>
      </c>
      <c r="FF14" s="173" t="s">
        <v>171</v>
      </c>
      <c r="FG14">
        <v>4.0553313440060634E-2</v>
      </c>
      <c r="FH14">
        <v>4.033704243977887E-2</v>
      </c>
      <c r="FI14" s="160">
        <f t="shared" si="2"/>
        <v>412.39648139477401</v>
      </c>
      <c r="FJ14" s="160">
        <v>30</v>
      </c>
      <c r="FK14" s="160" t="s">
        <v>168</v>
      </c>
      <c r="FL14">
        <v>382.39648139477401</v>
      </c>
      <c r="FM14">
        <v>116.88380060335396</v>
      </c>
      <c r="FN14">
        <v>112.57506782447899</v>
      </c>
      <c r="FO14" s="158" t="s">
        <v>237</v>
      </c>
      <c r="FP14" s="158" t="s">
        <v>168</v>
      </c>
      <c r="FQ14" s="158" t="s">
        <v>172</v>
      </c>
      <c r="FR14" s="158" t="s">
        <v>172</v>
      </c>
      <c r="FS14" s="158" t="s">
        <v>172</v>
      </c>
      <c r="FT14" s="158" t="s">
        <v>172</v>
      </c>
      <c r="FU14" s="158" t="s">
        <v>172</v>
      </c>
      <c r="FV14" s="158" t="s">
        <v>172</v>
      </c>
      <c r="FW14" s="158" t="s">
        <v>172</v>
      </c>
      <c r="FX14" s="158" t="s">
        <v>172</v>
      </c>
      <c r="FY14" s="158" t="s">
        <v>172</v>
      </c>
      <c r="FZ14" s="158" t="s">
        <v>172</v>
      </c>
      <c r="GA14" s="158" t="s">
        <v>172</v>
      </c>
      <c r="GB14" s="158" t="s">
        <v>172</v>
      </c>
      <c r="GC14" s="158" t="s">
        <v>357</v>
      </c>
    </row>
    <row r="15" spans="1:185" ht="20" x14ac:dyDescent="0.25">
      <c r="A15" t="s">
        <v>190</v>
      </c>
      <c r="B15" s="140" t="s">
        <v>358</v>
      </c>
      <c r="C15" s="158" t="s">
        <v>173</v>
      </c>
      <c r="D15" s="158" t="s">
        <v>188</v>
      </c>
      <c r="E15" s="158">
        <v>2022</v>
      </c>
      <c r="F15" s="158" t="s">
        <v>189</v>
      </c>
      <c r="G15">
        <v>5305.5</v>
      </c>
      <c r="H15" s="176">
        <v>15</v>
      </c>
      <c r="I15" s="176">
        <v>15</v>
      </c>
      <c r="J15" s="158">
        <v>290.50708596271301</v>
      </c>
      <c r="K15">
        <v>89.834766319965979</v>
      </c>
      <c r="L15">
        <v>86.965197438248993</v>
      </c>
      <c r="M15" t="b">
        <v>1</v>
      </c>
      <c r="N15">
        <v>1</v>
      </c>
      <c r="O15" t="s">
        <v>191</v>
      </c>
      <c r="P15" t="s">
        <v>168</v>
      </c>
      <c r="Q15" t="s">
        <v>168</v>
      </c>
      <c r="R15" t="s">
        <v>168</v>
      </c>
      <c r="S15" t="b">
        <v>0</v>
      </c>
      <c r="T15" t="b">
        <v>0</v>
      </c>
      <c r="U15" t="s">
        <v>168</v>
      </c>
      <c r="V15" t="b">
        <v>0</v>
      </c>
      <c r="W15" t="b">
        <v>0</v>
      </c>
      <c r="X15" t="s">
        <v>359</v>
      </c>
      <c r="Y15" s="159" t="s">
        <v>192</v>
      </c>
      <c r="Z15" s="158" t="s">
        <v>193</v>
      </c>
      <c r="AA15" s="160" t="s">
        <v>194</v>
      </c>
      <c r="AB15" s="160" t="s">
        <v>167</v>
      </c>
      <c r="AC15" s="158">
        <v>16</v>
      </c>
      <c r="AD15" s="158">
        <v>4</v>
      </c>
      <c r="AE15" s="158">
        <v>140</v>
      </c>
      <c r="AF15" s="158">
        <v>141.5</v>
      </c>
      <c r="AG15" s="158">
        <v>142.9</v>
      </c>
      <c r="AH15" s="158">
        <v>160.53</v>
      </c>
      <c r="AI15" s="160" t="s">
        <v>196</v>
      </c>
      <c r="AJ15" s="158" t="s">
        <v>197</v>
      </c>
      <c r="AK15" s="166">
        <v>3.7212472000000001</v>
      </c>
      <c r="AL15" s="166">
        <v>-42.913286111111098</v>
      </c>
      <c r="AM15" s="160" t="s">
        <v>168</v>
      </c>
      <c r="AN15" s="160" t="s">
        <v>168</v>
      </c>
      <c r="AO15" s="158">
        <v>-3598</v>
      </c>
      <c r="AP15" s="160" t="s">
        <v>168</v>
      </c>
      <c r="AQ15" s="160" t="s">
        <v>168</v>
      </c>
      <c r="AR15" s="160" t="s">
        <v>168</v>
      </c>
      <c r="AS15" s="158">
        <v>5305.5</v>
      </c>
      <c r="AT15" s="160" t="s">
        <v>198</v>
      </c>
      <c r="AU15" s="160" t="s">
        <v>168</v>
      </c>
      <c r="AV15" s="160" t="s">
        <v>168</v>
      </c>
      <c r="AW15" s="160" t="s">
        <v>250</v>
      </c>
      <c r="AX15" s="158" t="s">
        <v>200</v>
      </c>
      <c r="AY15" s="158" t="s">
        <v>201</v>
      </c>
      <c r="AZ15" s="158" t="s">
        <v>168</v>
      </c>
      <c r="BA15" s="158" t="s">
        <v>168</v>
      </c>
      <c r="BB15" s="158" t="s">
        <v>168</v>
      </c>
      <c r="BC15" s="158" t="s">
        <v>168</v>
      </c>
      <c r="BD15" s="158" t="s">
        <v>168</v>
      </c>
      <c r="BE15" s="158" t="s">
        <v>168</v>
      </c>
      <c r="BF15" s="158" t="s">
        <v>168</v>
      </c>
      <c r="BG15" s="167" t="s">
        <v>202</v>
      </c>
      <c r="BH15" s="158" t="s">
        <v>203</v>
      </c>
      <c r="BI15" s="160" t="s">
        <v>204</v>
      </c>
      <c r="BJ15" s="160" t="s">
        <v>205</v>
      </c>
      <c r="BK15" s="158" t="s">
        <v>206</v>
      </c>
      <c r="BL15" s="158" t="s">
        <v>207</v>
      </c>
      <c r="BM15" s="158" t="s">
        <v>208</v>
      </c>
      <c r="BN15" s="162" t="s">
        <v>268</v>
      </c>
      <c r="BO15" s="158">
        <v>2</v>
      </c>
      <c r="BP15" s="162" t="s">
        <v>210</v>
      </c>
      <c r="BQ15" s="168">
        <v>18.801174341847805</v>
      </c>
      <c r="BR15" s="168" t="s">
        <v>211</v>
      </c>
      <c r="BS15" s="168">
        <v>0.18373650199394703</v>
      </c>
      <c r="BT15">
        <v>0.83299999999999996</v>
      </c>
      <c r="BU15" t="s">
        <v>168</v>
      </c>
      <c r="BV15" t="s">
        <v>168</v>
      </c>
      <c r="BW15">
        <v>2.69</v>
      </c>
      <c r="BX15" t="s">
        <v>168</v>
      </c>
      <c r="BY15" t="s">
        <v>168</v>
      </c>
      <c r="BZ15" s="163" t="s">
        <v>212</v>
      </c>
      <c r="CA15" t="s">
        <v>213</v>
      </c>
      <c r="CB15" s="168">
        <v>19.34114566848476</v>
      </c>
      <c r="CC15" s="160" t="s">
        <v>214</v>
      </c>
      <c r="CD15" s="164">
        <v>0.3119359580106017</v>
      </c>
      <c r="CE15" s="160" t="s">
        <v>215</v>
      </c>
      <c r="CF15" s="160" t="s">
        <v>216</v>
      </c>
      <c r="CG15" s="160">
        <v>0</v>
      </c>
      <c r="CH15" s="160" t="s">
        <v>217</v>
      </c>
      <c r="CI15" s="160" t="s">
        <v>168</v>
      </c>
      <c r="CJ15">
        <v>27.801641427674902</v>
      </c>
      <c r="CK15" s="158" t="s">
        <v>170</v>
      </c>
      <c r="CL15" s="158">
        <v>1</v>
      </c>
      <c r="CM15" s="158">
        <v>1</v>
      </c>
      <c r="CN15">
        <v>3.6809638800012392</v>
      </c>
      <c r="CO15">
        <v>3.6809638800012392</v>
      </c>
      <c r="CP15" s="165" t="s">
        <v>218</v>
      </c>
      <c r="CQ15" s="169">
        <v>0.05</v>
      </c>
      <c r="CR15" s="169">
        <v>0.05</v>
      </c>
      <c r="CS15" s="168" t="s">
        <v>219</v>
      </c>
      <c r="CT15" s="168" t="s">
        <v>220</v>
      </c>
      <c r="CU15" s="170" t="s">
        <v>221</v>
      </c>
      <c r="CV15" s="158" t="s">
        <v>222</v>
      </c>
      <c r="CW15" s="160" t="s">
        <v>168</v>
      </c>
      <c r="CX15" s="160" t="s">
        <v>168</v>
      </c>
      <c r="CY15" s="160" t="s">
        <v>168</v>
      </c>
      <c r="CZ15" s="160" t="s">
        <v>168</v>
      </c>
      <c r="DA15" s="160" t="s">
        <v>168</v>
      </c>
      <c r="DB15" s="160" t="s">
        <v>168</v>
      </c>
      <c r="DC15" s="160" t="s">
        <v>168</v>
      </c>
      <c r="DD15" s="160" t="s">
        <v>168</v>
      </c>
      <c r="DE15" s="160" t="s">
        <v>168</v>
      </c>
      <c r="DF15" s="160" t="s">
        <v>168</v>
      </c>
      <c r="DG15">
        <v>35</v>
      </c>
      <c r="DH15" t="s">
        <v>170</v>
      </c>
      <c r="DI15" s="160">
        <v>1.5</v>
      </c>
      <c r="DJ15" s="160" t="s">
        <v>168</v>
      </c>
      <c r="DK15" s="158" t="s">
        <v>223</v>
      </c>
      <c r="DL15" s="158" t="s">
        <v>168</v>
      </c>
      <c r="DM15" s="158" t="s">
        <v>168</v>
      </c>
      <c r="DN15" s="158" t="s">
        <v>168</v>
      </c>
      <c r="DO15" s="158" t="s">
        <v>223</v>
      </c>
      <c r="DP15" s="158" t="s">
        <v>168</v>
      </c>
      <c r="DQ15" s="158" t="s">
        <v>168</v>
      </c>
      <c r="DR15" s="158" t="s">
        <v>168</v>
      </c>
      <c r="DS15" s="158" t="s">
        <v>168</v>
      </c>
      <c r="DT15" s="158" t="s">
        <v>168</v>
      </c>
      <c r="DU15" s="158" t="s">
        <v>168</v>
      </c>
      <c r="DV15" s="158" t="s">
        <v>168</v>
      </c>
      <c r="DW15">
        <v>432.80496025319002</v>
      </c>
      <c r="DX15" s="163" t="s">
        <v>224</v>
      </c>
      <c r="DY15" s="158">
        <v>36.741624746666503</v>
      </c>
      <c r="DZ15" s="158" t="s">
        <v>225</v>
      </c>
      <c r="EA15">
        <v>39.799999999999997</v>
      </c>
      <c r="EB15" s="158" t="s">
        <v>226</v>
      </c>
      <c r="EC15">
        <v>0.31</v>
      </c>
      <c r="ED15" s="158" t="s">
        <v>227</v>
      </c>
      <c r="EE15" s="158" t="s">
        <v>228</v>
      </c>
      <c r="EF15" s="158" t="s">
        <v>269</v>
      </c>
      <c r="EG15">
        <v>1.0271999999999999</v>
      </c>
      <c r="EH15" s="158">
        <v>5.9999999999999995E-4</v>
      </c>
      <c r="EI15" s="160" t="s">
        <v>168</v>
      </c>
      <c r="EJ15" s="158" t="s">
        <v>169</v>
      </c>
      <c r="EK15" s="160" t="s">
        <v>168</v>
      </c>
      <c r="EL15" s="160" t="s">
        <v>168</v>
      </c>
      <c r="EM15" s="171" t="s">
        <v>230</v>
      </c>
      <c r="EN15" s="158" t="s">
        <v>231</v>
      </c>
      <c r="EO15" s="158" t="s">
        <v>231</v>
      </c>
      <c r="EP15" s="158" t="s">
        <v>231</v>
      </c>
      <c r="EQ15" s="158" t="s">
        <v>232</v>
      </c>
      <c r="ER15" s="160" t="s">
        <v>168</v>
      </c>
      <c r="ES15" s="160" t="s">
        <v>168</v>
      </c>
      <c r="ET15" s="160" t="s">
        <v>233</v>
      </c>
      <c r="EU15" s="158" t="s">
        <v>234</v>
      </c>
      <c r="EV15" s="158" t="s">
        <v>235</v>
      </c>
      <c r="EW15" s="146">
        <v>1921.1594499999999</v>
      </c>
      <c r="EX15" s="158" t="s">
        <v>236</v>
      </c>
      <c r="EY15" s="172">
        <f t="shared" si="0"/>
        <v>2421.1594500000001</v>
      </c>
      <c r="EZ15" s="168">
        <f t="shared" si="1"/>
        <v>1421.1594499999999</v>
      </c>
      <c r="FA15" s="160" t="s">
        <v>168</v>
      </c>
      <c r="FB15" s="160" t="s">
        <v>168</v>
      </c>
      <c r="FC15" s="160" t="s">
        <v>168</v>
      </c>
      <c r="FD15" s="160" t="s">
        <v>168</v>
      </c>
      <c r="FE15">
        <v>8.1156142232864195</v>
      </c>
      <c r="FF15" s="173" t="s">
        <v>171</v>
      </c>
      <c r="FG15">
        <v>3.5501146853620824E-2</v>
      </c>
      <c r="FH15">
        <v>3.5391242372739384E-2</v>
      </c>
      <c r="FI15" s="160">
        <f t="shared" si="2"/>
        <v>320.50708596271301</v>
      </c>
      <c r="FJ15" s="160">
        <v>30</v>
      </c>
      <c r="FK15" s="160" t="s">
        <v>168</v>
      </c>
      <c r="FL15">
        <v>290.50708596271301</v>
      </c>
      <c r="FM15">
        <v>89.834766319965979</v>
      </c>
      <c r="FN15">
        <v>86.965197438248993</v>
      </c>
      <c r="FO15" s="158" t="s">
        <v>237</v>
      </c>
      <c r="FP15" s="158" t="s">
        <v>168</v>
      </c>
      <c r="FQ15" s="158" t="s">
        <v>172</v>
      </c>
      <c r="FR15" s="158" t="s">
        <v>172</v>
      </c>
      <c r="FS15" s="158" t="s">
        <v>172</v>
      </c>
      <c r="FT15" s="158" t="s">
        <v>172</v>
      </c>
      <c r="FU15" s="158" t="s">
        <v>172</v>
      </c>
      <c r="FV15" s="158" t="s">
        <v>172</v>
      </c>
      <c r="FW15" s="158" t="s">
        <v>172</v>
      </c>
      <c r="FX15" s="158" t="s">
        <v>172</v>
      </c>
      <c r="FY15" s="158" t="s">
        <v>172</v>
      </c>
      <c r="FZ15" s="158" t="s">
        <v>172</v>
      </c>
      <c r="GA15" s="158" t="s">
        <v>172</v>
      </c>
      <c r="GB15" s="158" t="s">
        <v>172</v>
      </c>
      <c r="GC15" s="158" t="s">
        <v>357</v>
      </c>
    </row>
    <row r="16" spans="1:185" ht="20" x14ac:dyDescent="0.25">
      <c r="A16" t="s">
        <v>190</v>
      </c>
      <c r="B16" s="140" t="s">
        <v>358</v>
      </c>
      <c r="C16" s="158" t="s">
        <v>173</v>
      </c>
      <c r="D16" s="158" t="s">
        <v>188</v>
      </c>
      <c r="E16" s="158">
        <v>2022</v>
      </c>
      <c r="F16" s="158" t="s">
        <v>189</v>
      </c>
      <c r="G16">
        <v>5358.7560975609804</v>
      </c>
      <c r="H16" s="176">
        <v>15</v>
      </c>
      <c r="I16" s="176">
        <v>15</v>
      </c>
      <c r="J16" s="158">
        <v>332.83818888238</v>
      </c>
      <c r="K16">
        <v>100.96465251850299</v>
      </c>
      <c r="L16">
        <v>98.679990957961991</v>
      </c>
      <c r="M16" t="b">
        <v>1</v>
      </c>
      <c r="N16">
        <v>1</v>
      </c>
      <c r="O16" t="s">
        <v>191</v>
      </c>
      <c r="P16" t="s">
        <v>168</v>
      </c>
      <c r="Q16" t="s">
        <v>168</v>
      </c>
      <c r="R16" t="s">
        <v>168</v>
      </c>
      <c r="S16" t="b">
        <v>0</v>
      </c>
      <c r="T16" t="b">
        <v>0</v>
      </c>
      <c r="U16" t="s">
        <v>168</v>
      </c>
      <c r="V16" t="b">
        <v>0</v>
      </c>
      <c r="W16" t="b">
        <v>0</v>
      </c>
      <c r="X16" t="s">
        <v>359</v>
      </c>
      <c r="Y16" s="159" t="s">
        <v>192</v>
      </c>
      <c r="Z16" s="158" t="s">
        <v>193</v>
      </c>
      <c r="AA16" s="160" t="s">
        <v>194</v>
      </c>
      <c r="AB16" s="160" t="s">
        <v>167</v>
      </c>
      <c r="AC16" s="158">
        <v>16</v>
      </c>
      <c r="AD16" s="158">
        <v>5</v>
      </c>
      <c r="AE16" s="158">
        <v>90</v>
      </c>
      <c r="AF16" s="158">
        <v>91.5</v>
      </c>
      <c r="AG16" s="158">
        <v>143.9</v>
      </c>
      <c r="AH16" s="158">
        <v>161.67512195122001</v>
      </c>
      <c r="AI16" s="160" t="s">
        <v>196</v>
      </c>
      <c r="AJ16" s="158" t="s">
        <v>197</v>
      </c>
      <c r="AK16" s="166">
        <v>3.7212472000000001</v>
      </c>
      <c r="AL16" s="166">
        <v>-42.913286111111098</v>
      </c>
      <c r="AM16" s="160" t="s">
        <v>168</v>
      </c>
      <c r="AN16" s="160" t="s">
        <v>168</v>
      </c>
      <c r="AO16" s="158">
        <v>-3598</v>
      </c>
      <c r="AP16" s="160" t="s">
        <v>168</v>
      </c>
      <c r="AQ16" s="160" t="s">
        <v>168</v>
      </c>
      <c r="AR16" s="160" t="s">
        <v>168</v>
      </c>
      <c r="AS16" s="158">
        <v>5358.7560975609804</v>
      </c>
      <c r="AT16" s="160" t="s">
        <v>198</v>
      </c>
      <c r="AU16" s="160" t="s">
        <v>168</v>
      </c>
      <c r="AV16" s="160" t="s">
        <v>168</v>
      </c>
      <c r="AW16" s="160" t="s">
        <v>250</v>
      </c>
      <c r="AX16" s="158" t="s">
        <v>200</v>
      </c>
      <c r="AY16" s="158" t="s">
        <v>201</v>
      </c>
      <c r="AZ16" s="158" t="s">
        <v>168</v>
      </c>
      <c r="BA16" s="158" t="s">
        <v>168</v>
      </c>
      <c r="BB16" s="158" t="s">
        <v>168</v>
      </c>
      <c r="BC16" s="158" t="s">
        <v>168</v>
      </c>
      <c r="BD16" s="158" t="s">
        <v>168</v>
      </c>
      <c r="BE16" s="158" t="s">
        <v>168</v>
      </c>
      <c r="BF16" s="158" t="s">
        <v>168</v>
      </c>
      <c r="BG16" s="167" t="s">
        <v>202</v>
      </c>
      <c r="BH16" s="158" t="s">
        <v>203</v>
      </c>
      <c r="BI16" s="160" t="s">
        <v>204</v>
      </c>
      <c r="BJ16" s="160" t="s">
        <v>205</v>
      </c>
      <c r="BK16" s="158" t="s">
        <v>206</v>
      </c>
      <c r="BL16" s="158" t="s">
        <v>207</v>
      </c>
      <c r="BM16" s="158" t="s">
        <v>208</v>
      </c>
      <c r="BN16" s="162" t="s">
        <v>270</v>
      </c>
      <c r="BO16" s="158">
        <v>2</v>
      </c>
      <c r="BP16" s="162" t="s">
        <v>271</v>
      </c>
      <c r="BQ16" s="168">
        <v>18.282966084746889</v>
      </c>
      <c r="BR16" s="168" t="s">
        <v>211</v>
      </c>
      <c r="BS16" s="168">
        <v>0.1638387202150261</v>
      </c>
      <c r="BT16">
        <v>0.83299999999999996</v>
      </c>
      <c r="BU16" t="s">
        <v>168</v>
      </c>
      <c r="BV16" t="s">
        <v>168</v>
      </c>
      <c r="BW16">
        <v>2.69</v>
      </c>
      <c r="BX16" t="s">
        <v>168</v>
      </c>
      <c r="BY16" t="s">
        <v>168</v>
      </c>
      <c r="BZ16" s="163" t="s">
        <v>212</v>
      </c>
      <c r="CA16" t="s">
        <v>213</v>
      </c>
      <c r="CB16" s="168">
        <v>18.719046920464454</v>
      </c>
      <c r="CC16" s="160" t="s">
        <v>214</v>
      </c>
      <c r="CD16" s="164">
        <v>0.27815479011997596</v>
      </c>
      <c r="CE16" s="160" t="s">
        <v>215</v>
      </c>
      <c r="CF16" s="160" t="s">
        <v>216</v>
      </c>
      <c r="CG16" s="160">
        <v>0</v>
      </c>
      <c r="CH16" s="160" t="s">
        <v>217</v>
      </c>
      <c r="CI16" s="160" t="s">
        <v>168</v>
      </c>
      <c r="CJ16">
        <v>27.368143824523798</v>
      </c>
      <c r="CK16" s="158" t="s">
        <v>170</v>
      </c>
      <c r="CL16" s="158">
        <v>1</v>
      </c>
      <c r="CM16" s="158">
        <v>1</v>
      </c>
      <c r="CN16">
        <v>3.5368605700912528</v>
      </c>
      <c r="CO16">
        <v>3.5368605700912528</v>
      </c>
      <c r="CP16" s="165" t="s">
        <v>218</v>
      </c>
      <c r="CQ16" s="169">
        <v>0.05</v>
      </c>
      <c r="CR16" s="169">
        <v>0.05</v>
      </c>
      <c r="CS16" s="168" t="s">
        <v>219</v>
      </c>
      <c r="CT16" s="168" t="s">
        <v>220</v>
      </c>
      <c r="CU16" s="170" t="s">
        <v>221</v>
      </c>
      <c r="CV16" s="158" t="s">
        <v>222</v>
      </c>
      <c r="CW16" s="160" t="s">
        <v>168</v>
      </c>
      <c r="CX16" s="160" t="s">
        <v>168</v>
      </c>
      <c r="CY16" s="160" t="s">
        <v>168</v>
      </c>
      <c r="CZ16" s="160" t="s">
        <v>168</v>
      </c>
      <c r="DA16" s="160" t="s">
        <v>168</v>
      </c>
      <c r="DB16" s="160" t="s">
        <v>168</v>
      </c>
      <c r="DC16" s="160" t="s">
        <v>168</v>
      </c>
      <c r="DD16" s="160" t="s">
        <v>168</v>
      </c>
      <c r="DE16" s="160" t="s">
        <v>168</v>
      </c>
      <c r="DF16" s="160" t="s">
        <v>168</v>
      </c>
      <c r="DG16">
        <v>35</v>
      </c>
      <c r="DH16" t="s">
        <v>170</v>
      </c>
      <c r="DI16" s="160">
        <v>1.5</v>
      </c>
      <c r="DJ16" s="160" t="s">
        <v>168</v>
      </c>
      <c r="DK16" s="158" t="s">
        <v>223</v>
      </c>
      <c r="DL16" s="158" t="s">
        <v>168</v>
      </c>
      <c r="DM16" s="158" t="s">
        <v>168</v>
      </c>
      <c r="DN16" s="158" t="s">
        <v>168</v>
      </c>
      <c r="DO16" s="158" t="s">
        <v>223</v>
      </c>
      <c r="DP16" s="158" t="s">
        <v>168</v>
      </c>
      <c r="DQ16" s="158" t="s">
        <v>168</v>
      </c>
      <c r="DR16" s="158" t="s">
        <v>168</v>
      </c>
      <c r="DS16" s="158" t="s">
        <v>168</v>
      </c>
      <c r="DT16" s="158" t="s">
        <v>168</v>
      </c>
      <c r="DU16" s="158" t="s">
        <v>168</v>
      </c>
      <c r="DV16" s="158" t="s">
        <v>168</v>
      </c>
      <c r="DW16">
        <v>432.489468349231</v>
      </c>
      <c r="DX16" s="163" t="s">
        <v>224</v>
      </c>
      <c r="DY16" s="158">
        <v>36.780998274275504</v>
      </c>
      <c r="DZ16" s="158" t="s">
        <v>225</v>
      </c>
      <c r="EA16">
        <v>39.799999999999997</v>
      </c>
      <c r="EB16" s="158" t="s">
        <v>226</v>
      </c>
      <c r="EC16">
        <v>0.31</v>
      </c>
      <c r="ED16" s="158" t="s">
        <v>227</v>
      </c>
      <c r="EE16" s="158" t="s">
        <v>228</v>
      </c>
      <c r="EF16" s="158" t="s">
        <v>272</v>
      </c>
      <c r="EG16">
        <v>1.0271999999999999</v>
      </c>
      <c r="EH16" s="158">
        <v>5.9999999999999995E-4</v>
      </c>
      <c r="EI16" s="160" t="s">
        <v>168</v>
      </c>
      <c r="EJ16" s="158" t="s">
        <v>169</v>
      </c>
      <c r="EK16" s="160" t="s">
        <v>168</v>
      </c>
      <c r="EL16" s="160" t="s">
        <v>168</v>
      </c>
      <c r="EM16" s="171" t="s">
        <v>230</v>
      </c>
      <c r="EN16" s="158" t="s">
        <v>231</v>
      </c>
      <c r="EO16" s="158" t="s">
        <v>231</v>
      </c>
      <c r="EP16" s="158" t="s">
        <v>231</v>
      </c>
      <c r="EQ16" s="158" t="s">
        <v>232</v>
      </c>
      <c r="ER16" s="160" t="s">
        <v>168</v>
      </c>
      <c r="ES16" s="160" t="s">
        <v>168</v>
      </c>
      <c r="ET16" s="160" t="s">
        <v>233</v>
      </c>
      <c r="EU16" s="158" t="s">
        <v>234</v>
      </c>
      <c r="EV16" s="158" t="s">
        <v>235</v>
      </c>
      <c r="EW16" s="146">
        <v>1920.0890024390242</v>
      </c>
      <c r="EX16" s="158" t="s">
        <v>236</v>
      </c>
      <c r="EY16" s="172">
        <f t="shared" si="0"/>
        <v>2420.0890024390242</v>
      </c>
      <c r="EZ16" s="168">
        <f t="shared" si="1"/>
        <v>1420.0890024390242</v>
      </c>
      <c r="FA16" s="160" t="s">
        <v>168</v>
      </c>
      <c r="FB16" s="160" t="s">
        <v>168</v>
      </c>
      <c r="FC16" s="160" t="s">
        <v>168</v>
      </c>
      <c r="FD16" s="160" t="s">
        <v>168</v>
      </c>
      <c r="FE16">
        <v>8.0673354136282391</v>
      </c>
      <c r="FF16" s="173" t="s">
        <v>171</v>
      </c>
      <c r="FG16">
        <v>3.696724246927019E-2</v>
      </c>
      <c r="FH16">
        <v>3.6574323483479887E-2</v>
      </c>
      <c r="FI16" s="160">
        <f t="shared" si="2"/>
        <v>362.83818888238</v>
      </c>
      <c r="FJ16" s="160">
        <v>30</v>
      </c>
      <c r="FK16" s="160" t="s">
        <v>168</v>
      </c>
      <c r="FL16">
        <v>332.83818888238</v>
      </c>
      <c r="FM16">
        <v>100.96465251850299</v>
      </c>
      <c r="FN16">
        <v>98.679990957961991</v>
      </c>
      <c r="FO16" s="158" t="s">
        <v>237</v>
      </c>
      <c r="FP16" s="158" t="s">
        <v>168</v>
      </c>
      <c r="FQ16" s="158" t="s">
        <v>172</v>
      </c>
      <c r="FR16" s="158" t="s">
        <v>172</v>
      </c>
      <c r="FS16" s="158" t="s">
        <v>172</v>
      </c>
      <c r="FT16" s="158" t="s">
        <v>172</v>
      </c>
      <c r="FU16" s="158" t="s">
        <v>172</v>
      </c>
      <c r="FV16" s="158" t="s">
        <v>172</v>
      </c>
      <c r="FW16" s="158" t="s">
        <v>172</v>
      </c>
      <c r="FX16" s="158" t="s">
        <v>172</v>
      </c>
      <c r="FY16" s="158" t="s">
        <v>172</v>
      </c>
      <c r="FZ16" s="158" t="s">
        <v>172</v>
      </c>
      <c r="GA16" s="158" t="s">
        <v>172</v>
      </c>
      <c r="GB16" s="158" t="s">
        <v>172</v>
      </c>
      <c r="GC16" s="158" t="s">
        <v>357</v>
      </c>
    </row>
    <row r="17" spans="1:185" ht="20" x14ac:dyDescent="0.25">
      <c r="A17" t="s">
        <v>190</v>
      </c>
      <c r="B17" s="140" t="s">
        <v>358</v>
      </c>
      <c r="C17" s="158" t="s">
        <v>173</v>
      </c>
      <c r="D17" s="158" t="s">
        <v>188</v>
      </c>
      <c r="E17" s="158">
        <v>2022</v>
      </c>
      <c r="F17" s="158" t="s">
        <v>189</v>
      </c>
      <c r="G17">
        <v>5381.92682926829</v>
      </c>
      <c r="H17" s="176">
        <v>15</v>
      </c>
      <c r="I17" s="176">
        <v>15</v>
      </c>
      <c r="J17" s="158">
        <v>351.39776467925299</v>
      </c>
      <c r="K17">
        <v>105.48939145075303</v>
      </c>
      <c r="L17">
        <v>101.32871871054698</v>
      </c>
      <c r="M17" t="b">
        <v>1</v>
      </c>
      <c r="N17">
        <v>1</v>
      </c>
      <c r="O17" t="s">
        <v>191</v>
      </c>
      <c r="P17" t="s">
        <v>168</v>
      </c>
      <c r="Q17" t="s">
        <v>168</v>
      </c>
      <c r="R17" t="s">
        <v>168</v>
      </c>
      <c r="S17" t="b">
        <v>0</v>
      </c>
      <c r="T17" t="b">
        <v>0</v>
      </c>
      <c r="U17" t="s">
        <v>168</v>
      </c>
      <c r="V17" t="b">
        <v>0</v>
      </c>
      <c r="W17" t="b">
        <v>0</v>
      </c>
      <c r="X17" t="s">
        <v>359</v>
      </c>
      <c r="Y17" s="159" t="s">
        <v>192</v>
      </c>
      <c r="Z17" s="158" t="s">
        <v>193</v>
      </c>
      <c r="AA17" s="160" t="s">
        <v>194</v>
      </c>
      <c r="AB17" s="160" t="s">
        <v>247</v>
      </c>
      <c r="AC17" s="158">
        <v>16</v>
      </c>
      <c r="AD17" s="158">
        <v>1</v>
      </c>
      <c r="AE17" s="158">
        <v>115</v>
      </c>
      <c r="AF17" s="158">
        <v>116.5</v>
      </c>
      <c r="AG17" s="158">
        <v>144.15</v>
      </c>
      <c r="AH17" s="158">
        <v>162.13853658536601</v>
      </c>
      <c r="AI17" s="160" t="s">
        <v>196</v>
      </c>
      <c r="AJ17" s="158" t="s">
        <v>197</v>
      </c>
      <c r="AK17" s="166">
        <v>3.7212472000000001</v>
      </c>
      <c r="AL17" s="166">
        <v>-42.913286111111098</v>
      </c>
      <c r="AM17" s="160" t="s">
        <v>168</v>
      </c>
      <c r="AN17" s="160" t="s">
        <v>168</v>
      </c>
      <c r="AO17" s="158">
        <v>-3598</v>
      </c>
      <c r="AP17" s="160" t="s">
        <v>168</v>
      </c>
      <c r="AQ17" s="160" t="s">
        <v>168</v>
      </c>
      <c r="AR17" s="160" t="s">
        <v>168</v>
      </c>
      <c r="AS17" s="158">
        <v>5381.92682926829</v>
      </c>
      <c r="AT17" s="160" t="s">
        <v>198</v>
      </c>
      <c r="AU17" s="160" t="s">
        <v>168</v>
      </c>
      <c r="AV17" s="160" t="s">
        <v>168</v>
      </c>
      <c r="AW17" s="160" t="s">
        <v>250</v>
      </c>
      <c r="AX17" s="158" t="s">
        <v>200</v>
      </c>
      <c r="AY17" s="158" t="s">
        <v>201</v>
      </c>
      <c r="AZ17" s="158" t="s">
        <v>168</v>
      </c>
      <c r="BA17" s="158" t="s">
        <v>168</v>
      </c>
      <c r="BB17" s="158" t="s">
        <v>168</v>
      </c>
      <c r="BC17" s="158" t="s">
        <v>168</v>
      </c>
      <c r="BD17" s="158" t="s">
        <v>168</v>
      </c>
      <c r="BE17" s="158" t="s">
        <v>168</v>
      </c>
      <c r="BF17" s="158" t="s">
        <v>168</v>
      </c>
      <c r="BG17" s="167" t="s">
        <v>202</v>
      </c>
      <c r="BH17" s="158" t="s">
        <v>203</v>
      </c>
      <c r="BI17" s="160" t="s">
        <v>204</v>
      </c>
      <c r="BJ17" s="160" t="s">
        <v>205</v>
      </c>
      <c r="BK17" s="158" t="s">
        <v>206</v>
      </c>
      <c r="BL17" s="158" t="s">
        <v>207</v>
      </c>
      <c r="BM17" s="158" t="s">
        <v>208</v>
      </c>
      <c r="BN17" s="162" t="s">
        <v>273</v>
      </c>
      <c r="BO17" s="158">
        <v>2</v>
      </c>
      <c r="BP17" s="162" t="s">
        <v>271</v>
      </c>
      <c r="BQ17" s="168">
        <v>18.179721857424227</v>
      </c>
      <c r="BR17" s="168" t="s">
        <v>211</v>
      </c>
      <c r="BS17" s="168">
        <v>0.16661077553530185</v>
      </c>
      <c r="BT17">
        <v>0.83299999999999996</v>
      </c>
      <c r="BU17" t="s">
        <v>168</v>
      </c>
      <c r="BV17" t="s">
        <v>168</v>
      </c>
      <c r="BW17">
        <v>2.69</v>
      </c>
      <c r="BX17" t="s">
        <v>168</v>
      </c>
      <c r="BY17" t="s">
        <v>168</v>
      </c>
      <c r="BZ17" s="163" t="s">
        <v>212</v>
      </c>
      <c r="CA17" t="s">
        <v>213</v>
      </c>
      <c r="CB17" s="168">
        <v>18.59510427061732</v>
      </c>
      <c r="CC17" s="160" t="s">
        <v>214</v>
      </c>
      <c r="CD17" s="164">
        <v>0.28286100648201862</v>
      </c>
      <c r="CE17" s="160" t="s">
        <v>215</v>
      </c>
      <c r="CF17" s="160" t="s">
        <v>216</v>
      </c>
      <c r="CG17" s="160">
        <v>0</v>
      </c>
      <c r="CH17" s="160" t="s">
        <v>217</v>
      </c>
      <c r="CI17" s="160" t="s">
        <v>168</v>
      </c>
      <c r="CJ17">
        <v>28.070323913009979</v>
      </c>
      <c r="CK17" s="158" t="s">
        <v>170</v>
      </c>
      <c r="CL17" s="158">
        <v>1</v>
      </c>
      <c r="CM17" s="158">
        <v>1</v>
      </c>
      <c r="CN17">
        <v>3.7660834820178475</v>
      </c>
      <c r="CO17">
        <v>3.7660834820178475</v>
      </c>
      <c r="CP17" s="165" t="s">
        <v>218</v>
      </c>
      <c r="CQ17" s="169">
        <v>0.05</v>
      </c>
      <c r="CR17" s="169">
        <v>0.05</v>
      </c>
      <c r="CS17" s="168" t="s">
        <v>219</v>
      </c>
      <c r="CT17" s="168" t="s">
        <v>220</v>
      </c>
      <c r="CU17" s="170" t="s">
        <v>221</v>
      </c>
      <c r="CV17" s="158" t="s">
        <v>222</v>
      </c>
      <c r="CW17" s="160" t="s">
        <v>168</v>
      </c>
      <c r="CX17" s="160" t="s">
        <v>168</v>
      </c>
      <c r="CY17" s="160" t="s">
        <v>168</v>
      </c>
      <c r="CZ17" s="160" t="s">
        <v>168</v>
      </c>
      <c r="DA17" s="160" t="s">
        <v>168</v>
      </c>
      <c r="DB17" s="160" t="s">
        <v>168</v>
      </c>
      <c r="DC17" s="160" t="s">
        <v>168</v>
      </c>
      <c r="DD17" s="160" t="s">
        <v>168</v>
      </c>
      <c r="DE17" s="160" t="s">
        <v>168</v>
      </c>
      <c r="DF17" s="160" t="s">
        <v>168</v>
      </c>
      <c r="DG17">
        <v>35</v>
      </c>
      <c r="DH17" t="s">
        <v>170</v>
      </c>
      <c r="DI17" s="160">
        <v>1.5</v>
      </c>
      <c r="DJ17" s="160" t="s">
        <v>168</v>
      </c>
      <c r="DK17" s="158" t="s">
        <v>223</v>
      </c>
      <c r="DL17" s="158" t="s">
        <v>168</v>
      </c>
      <c r="DM17" s="158" t="s">
        <v>168</v>
      </c>
      <c r="DN17" s="158" t="s">
        <v>168</v>
      </c>
      <c r="DO17" s="158" t="s">
        <v>223</v>
      </c>
      <c r="DP17" s="158" t="s">
        <v>168</v>
      </c>
      <c r="DQ17" s="158" t="s">
        <v>168</v>
      </c>
      <c r="DR17" s="158" t="s">
        <v>168</v>
      </c>
      <c r="DS17" s="158" t="s">
        <v>168</v>
      </c>
      <c r="DT17" s="158" t="s">
        <v>168</v>
      </c>
      <c r="DU17" s="158" t="s">
        <v>168</v>
      </c>
      <c r="DV17" s="158" t="s">
        <v>168</v>
      </c>
      <c r="DW17">
        <v>432.61892161355701</v>
      </c>
      <c r="DX17" s="163" t="s">
        <v>224</v>
      </c>
      <c r="DY17" s="158">
        <v>36.584982523896514</v>
      </c>
      <c r="DZ17" s="158" t="s">
        <v>225</v>
      </c>
      <c r="EA17">
        <v>39.799999999999997</v>
      </c>
      <c r="EB17" s="158" t="s">
        <v>226</v>
      </c>
      <c r="EC17">
        <v>0.31</v>
      </c>
      <c r="ED17" s="158" t="s">
        <v>227</v>
      </c>
      <c r="EE17" s="158" t="s">
        <v>228</v>
      </c>
      <c r="EF17" s="158" t="s">
        <v>274</v>
      </c>
      <c r="EG17">
        <v>1.0271999999999999</v>
      </c>
      <c r="EH17" s="158">
        <v>5.9999999999999995E-4</v>
      </c>
      <c r="EI17" s="160" t="s">
        <v>168</v>
      </c>
      <c r="EJ17" s="158" t="s">
        <v>169</v>
      </c>
      <c r="EK17" s="160" t="s">
        <v>168</v>
      </c>
      <c r="EL17" s="160" t="s">
        <v>168</v>
      </c>
      <c r="EM17" s="171" t="s">
        <v>230</v>
      </c>
      <c r="EN17" s="158" t="s">
        <v>231</v>
      </c>
      <c r="EO17" s="158" t="s">
        <v>231</v>
      </c>
      <c r="EP17" s="158" t="s">
        <v>231</v>
      </c>
      <c r="EQ17" s="158" t="s">
        <v>232</v>
      </c>
      <c r="ER17" s="160" t="s">
        <v>168</v>
      </c>
      <c r="ES17" s="160" t="s">
        <v>168</v>
      </c>
      <c r="ET17" s="160" t="s">
        <v>233</v>
      </c>
      <c r="EU17" s="158" t="s">
        <v>234</v>
      </c>
      <c r="EV17" s="158" t="s">
        <v>235</v>
      </c>
      <c r="EW17" s="146">
        <v>1919.6232707317074</v>
      </c>
      <c r="EX17" s="158" t="s">
        <v>236</v>
      </c>
      <c r="EY17" s="172">
        <f t="shared" si="0"/>
        <v>2419.6232707317076</v>
      </c>
      <c r="EZ17" s="168">
        <f t="shared" si="1"/>
        <v>1419.6232707317074</v>
      </c>
      <c r="FA17" s="160" t="s">
        <v>168</v>
      </c>
      <c r="FB17" s="160" t="s">
        <v>168</v>
      </c>
      <c r="FC17" s="160" t="s">
        <v>168</v>
      </c>
      <c r="FD17" s="160" t="s">
        <v>168</v>
      </c>
      <c r="FE17">
        <v>8.0484147777531305</v>
      </c>
      <c r="FF17" s="173" t="s">
        <v>171</v>
      </c>
      <c r="FG17">
        <v>3.6607369231449027E-2</v>
      </c>
      <c r="FH17">
        <v>3.6430459328300913E-2</v>
      </c>
      <c r="FI17" s="160">
        <f t="shared" si="2"/>
        <v>381.39776467925299</v>
      </c>
      <c r="FJ17" s="160">
        <v>30</v>
      </c>
      <c r="FK17" s="160" t="s">
        <v>168</v>
      </c>
      <c r="FL17">
        <v>351.39776467925299</v>
      </c>
      <c r="FM17">
        <v>105.48939145075303</v>
      </c>
      <c r="FN17">
        <v>101.32871871054698</v>
      </c>
      <c r="FO17" s="158" t="s">
        <v>237</v>
      </c>
      <c r="FP17" s="158" t="s">
        <v>168</v>
      </c>
      <c r="FQ17" s="158" t="s">
        <v>172</v>
      </c>
      <c r="FR17" s="158" t="s">
        <v>172</v>
      </c>
      <c r="FS17" s="158" t="s">
        <v>172</v>
      </c>
      <c r="FT17" s="158" t="s">
        <v>172</v>
      </c>
      <c r="FU17" s="158" t="s">
        <v>172</v>
      </c>
      <c r="FV17" s="158" t="s">
        <v>172</v>
      </c>
      <c r="FW17" s="158" t="s">
        <v>172</v>
      </c>
      <c r="FX17" s="158" t="s">
        <v>172</v>
      </c>
      <c r="FY17" s="158" t="s">
        <v>172</v>
      </c>
      <c r="FZ17" s="158" t="s">
        <v>172</v>
      </c>
      <c r="GA17" s="158" t="s">
        <v>172</v>
      </c>
      <c r="GB17" s="158" t="s">
        <v>172</v>
      </c>
      <c r="GC17" s="158" t="s">
        <v>357</v>
      </c>
    </row>
    <row r="18" spans="1:185" ht="20" x14ac:dyDescent="0.25">
      <c r="A18" t="s">
        <v>190</v>
      </c>
      <c r="B18" s="140" t="s">
        <v>358</v>
      </c>
      <c r="C18" s="158" t="s">
        <v>173</v>
      </c>
      <c r="D18" s="158" t="s">
        <v>188</v>
      </c>
      <c r="E18" s="158">
        <v>2022</v>
      </c>
      <c r="F18" s="158" t="s">
        <v>189</v>
      </c>
      <c r="G18">
        <v>5416.8395061728397</v>
      </c>
      <c r="H18" s="176">
        <v>15</v>
      </c>
      <c r="I18" s="176">
        <v>15</v>
      </c>
      <c r="J18" s="158">
        <v>299.97287345874201</v>
      </c>
      <c r="K18">
        <v>93.202866905179008</v>
      </c>
      <c r="L18">
        <v>89.710306682760006</v>
      </c>
      <c r="M18" t="b">
        <v>1</v>
      </c>
      <c r="N18">
        <v>1</v>
      </c>
      <c r="O18" t="s">
        <v>191</v>
      </c>
      <c r="P18" t="s">
        <v>168</v>
      </c>
      <c r="Q18" t="s">
        <v>168</v>
      </c>
      <c r="R18" t="s">
        <v>168</v>
      </c>
      <c r="S18" t="b">
        <v>0</v>
      </c>
      <c r="T18" t="b">
        <v>0</v>
      </c>
      <c r="U18" t="s">
        <v>168</v>
      </c>
      <c r="V18" t="b">
        <v>0</v>
      </c>
      <c r="W18" t="b">
        <v>0</v>
      </c>
      <c r="X18" t="s">
        <v>359</v>
      </c>
      <c r="Y18" s="159" t="s">
        <v>192</v>
      </c>
      <c r="Z18" s="158" t="s">
        <v>193</v>
      </c>
      <c r="AA18" s="160" t="s">
        <v>194</v>
      </c>
      <c r="AB18" s="160" t="s">
        <v>167</v>
      </c>
      <c r="AC18" s="158">
        <v>16</v>
      </c>
      <c r="AD18" s="158">
        <v>6</v>
      </c>
      <c r="AE18" s="158">
        <v>38</v>
      </c>
      <c r="AF18" s="158">
        <v>39.5</v>
      </c>
      <c r="AG18" s="158">
        <v>144.88</v>
      </c>
      <c r="AH18" s="158">
        <v>162.89888888888899</v>
      </c>
      <c r="AI18" s="160" t="s">
        <v>196</v>
      </c>
      <c r="AJ18" s="158" t="s">
        <v>197</v>
      </c>
      <c r="AK18" s="166">
        <v>3.7212472000000001</v>
      </c>
      <c r="AL18" s="166">
        <v>-42.913286111111098</v>
      </c>
      <c r="AM18" s="160" t="s">
        <v>168</v>
      </c>
      <c r="AN18" s="160" t="s">
        <v>168</v>
      </c>
      <c r="AO18" s="158">
        <v>-3598</v>
      </c>
      <c r="AP18" s="160" t="s">
        <v>168</v>
      </c>
      <c r="AQ18" s="160" t="s">
        <v>168</v>
      </c>
      <c r="AR18" s="160" t="s">
        <v>168</v>
      </c>
      <c r="AS18" s="158">
        <v>5416.8395061728397</v>
      </c>
      <c r="AT18" s="160" t="s">
        <v>198</v>
      </c>
      <c r="AU18" s="160" t="s">
        <v>168</v>
      </c>
      <c r="AV18" s="160" t="s">
        <v>168</v>
      </c>
      <c r="AW18" s="160" t="s">
        <v>250</v>
      </c>
      <c r="AX18" s="158" t="s">
        <v>200</v>
      </c>
      <c r="AY18" s="158" t="s">
        <v>201</v>
      </c>
      <c r="AZ18" s="158" t="s">
        <v>168</v>
      </c>
      <c r="BA18" s="158" t="s">
        <v>168</v>
      </c>
      <c r="BB18" s="158" t="s">
        <v>168</v>
      </c>
      <c r="BC18" s="158" t="s">
        <v>168</v>
      </c>
      <c r="BD18" s="158" t="s">
        <v>168</v>
      </c>
      <c r="BE18" s="158" t="s">
        <v>168</v>
      </c>
      <c r="BF18" s="158" t="s">
        <v>168</v>
      </c>
      <c r="BG18" s="167" t="s">
        <v>202</v>
      </c>
      <c r="BH18" s="158" t="s">
        <v>203</v>
      </c>
      <c r="BI18" s="160" t="s">
        <v>204</v>
      </c>
      <c r="BJ18" s="160" t="s">
        <v>205</v>
      </c>
      <c r="BK18" s="158" t="s">
        <v>206</v>
      </c>
      <c r="BL18" s="158" t="s">
        <v>207</v>
      </c>
      <c r="BM18" s="158" t="s">
        <v>208</v>
      </c>
      <c r="BN18" s="162" t="s">
        <v>275</v>
      </c>
      <c r="BO18" s="158">
        <v>2</v>
      </c>
      <c r="BP18" s="162" t="s">
        <v>261</v>
      </c>
      <c r="BQ18" s="168">
        <v>18.69887508950152</v>
      </c>
      <c r="BR18" s="168" t="s">
        <v>211</v>
      </c>
      <c r="BS18" s="168">
        <v>0.17722198526921873</v>
      </c>
      <c r="BT18">
        <v>0.83299999999999996</v>
      </c>
      <c r="BU18" t="s">
        <v>168</v>
      </c>
      <c r="BV18" t="s">
        <v>168</v>
      </c>
      <c r="BW18">
        <v>2.69</v>
      </c>
      <c r="BX18" t="s">
        <v>168</v>
      </c>
      <c r="BY18" t="s">
        <v>168</v>
      </c>
      <c r="BZ18" s="163" t="s">
        <v>212</v>
      </c>
      <c r="CA18" t="s">
        <v>213</v>
      </c>
      <c r="CB18" s="168">
        <v>19.218337442378775</v>
      </c>
      <c r="CC18" s="160" t="s">
        <v>214</v>
      </c>
      <c r="CD18" s="164">
        <v>0.30087603255511847</v>
      </c>
      <c r="CE18" s="160" t="s">
        <v>215</v>
      </c>
      <c r="CF18" s="160" t="s">
        <v>216</v>
      </c>
      <c r="CG18" s="160">
        <v>0</v>
      </c>
      <c r="CH18" s="160" t="s">
        <v>217</v>
      </c>
      <c r="CI18" s="160" t="s">
        <v>168</v>
      </c>
      <c r="CJ18">
        <v>27.821954309092227</v>
      </c>
      <c r="CK18" s="158" t="s">
        <v>170</v>
      </c>
      <c r="CL18" s="158">
        <v>1</v>
      </c>
      <c r="CM18" s="158">
        <v>1</v>
      </c>
      <c r="CN18">
        <v>3.6806150267769282</v>
      </c>
      <c r="CO18">
        <v>3.6806150267769282</v>
      </c>
      <c r="CP18" s="165" t="s">
        <v>218</v>
      </c>
      <c r="CQ18" s="169">
        <v>0.05</v>
      </c>
      <c r="CR18" s="169">
        <v>0.05</v>
      </c>
      <c r="CS18" s="168" t="s">
        <v>219</v>
      </c>
      <c r="CT18" s="168" t="s">
        <v>220</v>
      </c>
      <c r="CU18" s="170" t="s">
        <v>221</v>
      </c>
      <c r="CV18" s="158" t="s">
        <v>222</v>
      </c>
      <c r="CW18" s="160" t="s">
        <v>168</v>
      </c>
      <c r="CX18" s="160" t="s">
        <v>168</v>
      </c>
      <c r="CY18" s="160" t="s">
        <v>168</v>
      </c>
      <c r="CZ18" s="160" t="s">
        <v>168</v>
      </c>
      <c r="DA18" s="160" t="s">
        <v>168</v>
      </c>
      <c r="DB18" s="160" t="s">
        <v>168</v>
      </c>
      <c r="DC18" s="160" t="s">
        <v>168</v>
      </c>
      <c r="DD18" s="160" t="s">
        <v>168</v>
      </c>
      <c r="DE18" s="160" t="s">
        <v>168</v>
      </c>
      <c r="DF18" s="160" t="s">
        <v>168</v>
      </c>
      <c r="DG18">
        <v>35</v>
      </c>
      <c r="DH18" t="s">
        <v>170</v>
      </c>
      <c r="DI18" s="160">
        <v>1.5</v>
      </c>
      <c r="DJ18" s="160" t="s">
        <v>168</v>
      </c>
      <c r="DK18" s="158" t="s">
        <v>223</v>
      </c>
      <c r="DL18" s="158" t="s">
        <v>168</v>
      </c>
      <c r="DM18" s="158" t="s">
        <v>168</v>
      </c>
      <c r="DN18" s="158" t="s">
        <v>168</v>
      </c>
      <c r="DO18" s="158" t="s">
        <v>223</v>
      </c>
      <c r="DP18" s="158" t="s">
        <v>168</v>
      </c>
      <c r="DQ18" s="158" t="s">
        <v>168</v>
      </c>
      <c r="DR18" s="158" t="s">
        <v>168</v>
      </c>
      <c r="DS18" s="158" t="s">
        <v>168</v>
      </c>
      <c r="DT18" s="158" t="s">
        <v>168</v>
      </c>
      <c r="DU18" s="158" t="s">
        <v>168</v>
      </c>
      <c r="DV18" s="158" t="s">
        <v>168</v>
      </c>
      <c r="DW18">
        <v>432.58871379108302</v>
      </c>
      <c r="DX18" s="163" t="s">
        <v>224</v>
      </c>
      <c r="DY18" s="158">
        <v>35.96818137375999</v>
      </c>
      <c r="DZ18" s="158" t="s">
        <v>225</v>
      </c>
      <c r="EA18">
        <v>39.799999999999997</v>
      </c>
      <c r="EB18" s="158" t="s">
        <v>226</v>
      </c>
      <c r="EC18">
        <v>0.31</v>
      </c>
      <c r="ED18" s="158" t="s">
        <v>227</v>
      </c>
      <c r="EE18" s="158" t="s">
        <v>228</v>
      </c>
      <c r="EF18" s="158" t="s">
        <v>276</v>
      </c>
      <c r="EG18">
        <v>1.0271999999999999</v>
      </c>
      <c r="EH18" s="158">
        <v>5.9999999999999995E-4</v>
      </c>
      <c r="EI18" s="160" t="s">
        <v>168</v>
      </c>
      <c r="EJ18" s="158" t="s">
        <v>169</v>
      </c>
      <c r="EK18" s="160" t="s">
        <v>168</v>
      </c>
      <c r="EL18" s="160" t="s">
        <v>168</v>
      </c>
      <c r="EM18" s="171" t="s">
        <v>230</v>
      </c>
      <c r="EN18" s="158" t="s">
        <v>231</v>
      </c>
      <c r="EO18" s="158" t="s">
        <v>231</v>
      </c>
      <c r="EP18" s="158" t="s">
        <v>231</v>
      </c>
      <c r="EQ18" s="158" t="s">
        <v>232</v>
      </c>
      <c r="ER18" s="160" t="s">
        <v>168</v>
      </c>
      <c r="ES18" s="160" t="s">
        <v>168</v>
      </c>
      <c r="ET18" s="160" t="s">
        <v>233</v>
      </c>
      <c r="EU18" s="158" t="s">
        <v>234</v>
      </c>
      <c r="EV18" s="158" t="s">
        <v>235</v>
      </c>
      <c r="EW18" s="146">
        <v>1918.9215259259258</v>
      </c>
      <c r="EX18" s="158" t="s">
        <v>236</v>
      </c>
      <c r="EY18" s="172">
        <f t="shared" si="0"/>
        <v>2418.9215259259258</v>
      </c>
      <c r="EZ18" s="168">
        <f t="shared" si="1"/>
        <v>1418.9215259259258</v>
      </c>
      <c r="FA18" s="160" t="s">
        <v>168</v>
      </c>
      <c r="FB18" s="160" t="s">
        <v>168</v>
      </c>
      <c r="FC18" s="160" t="s">
        <v>168</v>
      </c>
      <c r="FD18" s="160" t="s">
        <v>168</v>
      </c>
      <c r="FE18">
        <v>8.1049313451451201</v>
      </c>
      <c r="FF18" s="173" t="s">
        <v>171</v>
      </c>
      <c r="FG18">
        <v>3.4602461705690146E-2</v>
      </c>
      <c r="FH18">
        <v>3.484166701498026E-2</v>
      </c>
      <c r="FI18" s="160">
        <f t="shared" si="2"/>
        <v>329.97287345874201</v>
      </c>
      <c r="FJ18" s="160">
        <v>30</v>
      </c>
      <c r="FK18" s="160" t="s">
        <v>168</v>
      </c>
      <c r="FL18">
        <v>299.97287345874201</v>
      </c>
      <c r="FM18">
        <v>93.202866905179008</v>
      </c>
      <c r="FN18">
        <v>89.710306682760006</v>
      </c>
      <c r="FO18" s="158" t="s">
        <v>237</v>
      </c>
      <c r="FP18" s="158" t="s">
        <v>168</v>
      </c>
      <c r="FQ18" s="158" t="s">
        <v>172</v>
      </c>
      <c r="FR18" s="158" t="s">
        <v>172</v>
      </c>
      <c r="FS18" s="158" t="s">
        <v>172</v>
      </c>
      <c r="FT18" s="158" t="s">
        <v>172</v>
      </c>
      <c r="FU18" s="158" t="s">
        <v>172</v>
      </c>
      <c r="FV18" s="158" t="s">
        <v>172</v>
      </c>
      <c r="FW18" s="158" t="s">
        <v>172</v>
      </c>
      <c r="FX18" s="158" t="s">
        <v>172</v>
      </c>
      <c r="FY18" s="158" t="s">
        <v>172</v>
      </c>
      <c r="FZ18" s="158" t="s">
        <v>172</v>
      </c>
      <c r="GA18" s="158" t="s">
        <v>172</v>
      </c>
      <c r="GB18" s="158" t="s">
        <v>172</v>
      </c>
      <c r="GC18" s="158" t="s">
        <v>357</v>
      </c>
    </row>
    <row r="19" spans="1:185" ht="20" x14ac:dyDescent="0.25">
      <c r="A19" t="s">
        <v>190</v>
      </c>
      <c r="B19" s="140" t="s">
        <v>358</v>
      </c>
      <c r="C19" s="158" t="s">
        <v>173</v>
      </c>
      <c r="D19" s="158" t="s">
        <v>188</v>
      </c>
      <c r="E19" s="158">
        <v>2022</v>
      </c>
      <c r="F19" s="158" t="s">
        <v>189</v>
      </c>
      <c r="G19">
        <v>5452.00980392157</v>
      </c>
      <c r="H19" s="176">
        <v>15</v>
      </c>
      <c r="I19" s="176">
        <v>15</v>
      </c>
      <c r="J19" s="158">
        <v>370.85889328846599</v>
      </c>
      <c r="K19">
        <v>113.235119430297</v>
      </c>
      <c r="L19">
        <v>106.87920646679197</v>
      </c>
      <c r="M19" t="b">
        <v>1</v>
      </c>
      <c r="N19">
        <v>1</v>
      </c>
      <c r="O19" t="s">
        <v>191</v>
      </c>
      <c r="P19" t="s">
        <v>168</v>
      </c>
      <c r="Q19" t="s">
        <v>168</v>
      </c>
      <c r="R19" t="s">
        <v>168</v>
      </c>
      <c r="S19" t="b">
        <v>0</v>
      </c>
      <c r="T19" t="b">
        <v>0</v>
      </c>
      <c r="U19" t="s">
        <v>168</v>
      </c>
      <c r="V19" t="b">
        <v>0</v>
      </c>
      <c r="W19" t="b">
        <v>0</v>
      </c>
      <c r="X19" t="s">
        <v>359</v>
      </c>
      <c r="Y19" s="159" t="s">
        <v>192</v>
      </c>
      <c r="Z19" s="158" t="s">
        <v>193</v>
      </c>
      <c r="AA19" s="160" t="s">
        <v>194</v>
      </c>
      <c r="AB19" s="160" t="s">
        <v>247</v>
      </c>
      <c r="AC19" s="158">
        <v>16</v>
      </c>
      <c r="AD19" s="158">
        <v>2</v>
      </c>
      <c r="AE19" s="158">
        <v>85.5</v>
      </c>
      <c r="AF19" s="158">
        <v>87</v>
      </c>
      <c r="AG19" s="158">
        <v>145.35499999999999</v>
      </c>
      <c r="AH19" s="158">
        <v>163.685</v>
      </c>
      <c r="AI19" s="160" t="s">
        <v>196</v>
      </c>
      <c r="AJ19" s="158" t="s">
        <v>197</v>
      </c>
      <c r="AK19" s="166">
        <v>3.7212472000000001</v>
      </c>
      <c r="AL19" s="166">
        <v>-42.913286111111098</v>
      </c>
      <c r="AM19" s="160" t="s">
        <v>168</v>
      </c>
      <c r="AN19" s="160" t="s">
        <v>168</v>
      </c>
      <c r="AO19" s="158">
        <v>-3598</v>
      </c>
      <c r="AP19" s="160" t="s">
        <v>168</v>
      </c>
      <c r="AQ19" s="160" t="s">
        <v>168</v>
      </c>
      <c r="AR19" s="160" t="s">
        <v>168</v>
      </c>
      <c r="AS19" s="158">
        <v>5452.00980392157</v>
      </c>
      <c r="AT19" s="160" t="s">
        <v>198</v>
      </c>
      <c r="AU19" s="160" t="s">
        <v>168</v>
      </c>
      <c r="AV19" s="160" t="s">
        <v>168</v>
      </c>
      <c r="AW19" s="160" t="s">
        <v>250</v>
      </c>
      <c r="AX19" s="158" t="s">
        <v>200</v>
      </c>
      <c r="AY19" s="158" t="s">
        <v>201</v>
      </c>
      <c r="AZ19" s="158" t="s">
        <v>168</v>
      </c>
      <c r="BA19" s="158" t="s">
        <v>168</v>
      </c>
      <c r="BB19" s="158" t="s">
        <v>168</v>
      </c>
      <c r="BC19" s="158" t="s">
        <v>168</v>
      </c>
      <c r="BD19" s="158" t="s">
        <v>168</v>
      </c>
      <c r="BE19" s="158" t="s">
        <v>168</v>
      </c>
      <c r="BF19" s="158" t="s">
        <v>168</v>
      </c>
      <c r="BG19" s="167" t="s">
        <v>202</v>
      </c>
      <c r="BH19" s="158" t="s">
        <v>203</v>
      </c>
      <c r="BI19" s="160" t="s">
        <v>204</v>
      </c>
      <c r="BJ19" s="160" t="s">
        <v>205</v>
      </c>
      <c r="BK19" s="158" t="s">
        <v>206</v>
      </c>
      <c r="BL19" s="158" t="s">
        <v>207</v>
      </c>
      <c r="BM19" s="158" t="s">
        <v>208</v>
      </c>
      <c r="BN19" s="162" t="s">
        <v>277</v>
      </c>
      <c r="BO19" s="158">
        <v>2</v>
      </c>
      <c r="BP19" s="162" t="s">
        <v>252</v>
      </c>
      <c r="BQ19" s="168">
        <v>17.684127647910941</v>
      </c>
      <c r="BR19" s="168" t="s">
        <v>211</v>
      </c>
      <c r="BS19" s="168">
        <v>0.20762787320106108</v>
      </c>
      <c r="BT19">
        <v>0.83299999999999996</v>
      </c>
      <c r="BU19" t="s">
        <v>168</v>
      </c>
      <c r="BV19" t="s">
        <v>168</v>
      </c>
      <c r="BW19">
        <v>2.69</v>
      </c>
      <c r="BX19" t="s">
        <v>168</v>
      </c>
      <c r="BY19" t="s">
        <v>168</v>
      </c>
      <c r="BZ19" s="163" t="s">
        <v>212</v>
      </c>
      <c r="CA19" t="s">
        <v>213</v>
      </c>
      <c r="CB19" s="168">
        <v>18.000153238788645</v>
      </c>
      <c r="CC19" s="160" t="s">
        <v>214</v>
      </c>
      <c r="CD19" s="164">
        <v>0.35249718392271612</v>
      </c>
      <c r="CE19" s="160" t="s">
        <v>215</v>
      </c>
      <c r="CF19" s="160" t="s">
        <v>216</v>
      </c>
      <c r="CG19" s="160">
        <v>0</v>
      </c>
      <c r="CH19" s="160" t="s">
        <v>217</v>
      </c>
      <c r="CI19" s="160" t="s">
        <v>168</v>
      </c>
      <c r="CJ19">
        <v>25.139100031571324</v>
      </c>
      <c r="CK19" s="158" t="s">
        <v>170</v>
      </c>
      <c r="CL19" s="158">
        <v>1</v>
      </c>
      <c r="CM19" s="158">
        <v>1</v>
      </c>
      <c r="CN19">
        <v>2.8893065828919049</v>
      </c>
      <c r="CO19">
        <v>2.8893065828919049</v>
      </c>
      <c r="CP19" s="165" t="s">
        <v>218</v>
      </c>
      <c r="CQ19" s="169">
        <v>0.05</v>
      </c>
      <c r="CR19" s="169">
        <v>0.05</v>
      </c>
      <c r="CS19" s="168" t="s">
        <v>219</v>
      </c>
      <c r="CT19" s="168" t="s">
        <v>220</v>
      </c>
      <c r="CU19" s="170" t="s">
        <v>221</v>
      </c>
      <c r="CV19" s="158" t="s">
        <v>222</v>
      </c>
      <c r="CW19" s="160" t="s">
        <v>168</v>
      </c>
      <c r="CX19" s="160" t="s">
        <v>168</v>
      </c>
      <c r="CY19" s="160" t="s">
        <v>168</v>
      </c>
      <c r="CZ19" s="160" t="s">
        <v>168</v>
      </c>
      <c r="DA19" s="160" t="s">
        <v>168</v>
      </c>
      <c r="DB19" s="160" t="s">
        <v>168</v>
      </c>
      <c r="DC19" s="160" t="s">
        <v>168</v>
      </c>
      <c r="DD19" s="160" t="s">
        <v>168</v>
      </c>
      <c r="DE19" s="160" t="s">
        <v>168</v>
      </c>
      <c r="DF19" s="160" t="s">
        <v>168</v>
      </c>
      <c r="DG19">
        <v>35</v>
      </c>
      <c r="DH19" t="s">
        <v>170</v>
      </c>
      <c r="DI19" s="160">
        <v>1.5</v>
      </c>
      <c r="DJ19" s="160" t="s">
        <v>168</v>
      </c>
      <c r="DK19" s="158" t="s">
        <v>223</v>
      </c>
      <c r="DL19" s="158" t="s">
        <v>168</v>
      </c>
      <c r="DM19" s="158" t="s">
        <v>168</v>
      </c>
      <c r="DN19" s="158" t="s">
        <v>168</v>
      </c>
      <c r="DO19" s="158" t="s">
        <v>223</v>
      </c>
      <c r="DP19" s="158" t="s">
        <v>168</v>
      </c>
      <c r="DQ19" s="158" t="s">
        <v>168</v>
      </c>
      <c r="DR19" s="158" t="s">
        <v>168</v>
      </c>
      <c r="DS19" s="158" t="s">
        <v>168</v>
      </c>
      <c r="DT19" s="158" t="s">
        <v>168</v>
      </c>
      <c r="DU19" s="158" t="s">
        <v>168</v>
      </c>
      <c r="DV19" s="158" t="s">
        <v>168</v>
      </c>
      <c r="DW19">
        <v>432.58145354597502</v>
      </c>
      <c r="DX19" s="163" t="s">
        <v>224</v>
      </c>
      <c r="DY19" s="158">
        <v>36.2803221869315</v>
      </c>
      <c r="DZ19" s="158" t="s">
        <v>225</v>
      </c>
      <c r="EA19">
        <v>39.799999999999997</v>
      </c>
      <c r="EB19" s="158" t="s">
        <v>226</v>
      </c>
      <c r="EC19">
        <v>0.31</v>
      </c>
      <c r="ED19" s="158" t="s">
        <v>227</v>
      </c>
      <c r="EE19" s="158" t="s">
        <v>228</v>
      </c>
      <c r="EF19" s="158" t="s">
        <v>278</v>
      </c>
      <c r="EG19">
        <v>1.0271999999999999</v>
      </c>
      <c r="EH19" s="158">
        <v>5.9999999999999995E-4</v>
      </c>
      <c r="EI19" s="160" t="s">
        <v>168</v>
      </c>
      <c r="EJ19" s="158" t="s">
        <v>169</v>
      </c>
      <c r="EK19" s="160" t="s">
        <v>168</v>
      </c>
      <c r="EL19" s="160" t="s">
        <v>168</v>
      </c>
      <c r="EM19" s="171" t="s">
        <v>230</v>
      </c>
      <c r="EN19" s="158" t="s">
        <v>231</v>
      </c>
      <c r="EO19" s="158" t="s">
        <v>231</v>
      </c>
      <c r="EP19" s="158" t="s">
        <v>231</v>
      </c>
      <c r="EQ19" s="158" t="s">
        <v>232</v>
      </c>
      <c r="ER19" s="160" t="s">
        <v>168</v>
      </c>
      <c r="ES19" s="160" t="s">
        <v>168</v>
      </c>
      <c r="ET19" s="160" t="s">
        <v>233</v>
      </c>
      <c r="EU19" s="158" t="s">
        <v>234</v>
      </c>
      <c r="EV19" s="158" t="s">
        <v>235</v>
      </c>
      <c r="EW19" s="146">
        <v>1918.2146029411765</v>
      </c>
      <c r="EX19" s="158" t="s">
        <v>236</v>
      </c>
      <c r="EY19" s="172">
        <f t="shared" si="0"/>
        <v>2418.2146029411765</v>
      </c>
      <c r="EZ19" s="168">
        <f t="shared" si="1"/>
        <v>1418.2146029411765</v>
      </c>
      <c r="FA19" s="160" t="s">
        <v>168</v>
      </c>
      <c r="FB19" s="160" t="s">
        <v>168</v>
      </c>
      <c r="FC19" s="160" t="s">
        <v>168</v>
      </c>
      <c r="FD19" s="160" t="s">
        <v>168</v>
      </c>
      <c r="FE19">
        <v>8.0274671923194596</v>
      </c>
      <c r="FF19" s="173" t="s">
        <v>171</v>
      </c>
      <c r="FG19">
        <v>3.8914517398019655E-2</v>
      </c>
      <c r="FH19">
        <v>3.98725010221197E-2</v>
      </c>
      <c r="FI19" s="160">
        <f t="shared" si="2"/>
        <v>400.85889328846599</v>
      </c>
      <c r="FJ19" s="160">
        <v>30</v>
      </c>
      <c r="FK19" s="160" t="s">
        <v>168</v>
      </c>
      <c r="FL19">
        <v>370.85889328846599</v>
      </c>
      <c r="FM19">
        <v>113.235119430297</v>
      </c>
      <c r="FN19">
        <v>106.87920646679197</v>
      </c>
      <c r="FO19" s="158" t="s">
        <v>237</v>
      </c>
      <c r="FP19" s="158" t="s">
        <v>168</v>
      </c>
      <c r="FQ19" s="158" t="s">
        <v>172</v>
      </c>
      <c r="FR19" s="158" t="s">
        <v>172</v>
      </c>
      <c r="FS19" s="158" t="s">
        <v>172</v>
      </c>
      <c r="FT19" s="158" t="s">
        <v>172</v>
      </c>
      <c r="FU19" s="158" t="s">
        <v>172</v>
      </c>
      <c r="FV19" s="158" t="s">
        <v>172</v>
      </c>
      <c r="FW19" s="158" t="s">
        <v>172</v>
      </c>
      <c r="FX19" s="158" t="s">
        <v>172</v>
      </c>
      <c r="FY19" s="158" t="s">
        <v>172</v>
      </c>
      <c r="FZ19" s="158" t="s">
        <v>172</v>
      </c>
      <c r="GA19" s="158" t="s">
        <v>172</v>
      </c>
      <c r="GB19" s="158" t="s">
        <v>172</v>
      </c>
      <c r="GC19" s="158" t="s">
        <v>357</v>
      </c>
    </row>
    <row r="20" spans="1:185" ht="20" x14ac:dyDescent="0.25">
      <c r="A20" t="s">
        <v>190</v>
      </c>
      <c r="B20" s="140" t="s">
        <v>358</v>
      </c>
      <c r="C20" s="158" t="s">
        <v>173</v>
      </c>
      <c r="D20" s="158" t="s">
        <v>188</v>
      </c>
      <c r="E20" s="158">
        <v>2022</v>
      </c>
      <c r="F20" s="158" t="s">
        <v>189</v>
      </c>
      <c r="G20">
        <v>5494.0263157894797</v>
      </c>
      <c r="H20" s="176">
        <v>15</v>
      </c>
      <c r="I20" s="176">
        <v>15</v>
      </c>
      <c r="J20" s="158">
        <v>344.07345596897198</v>
      </c>
      <c r="K20">
        <v>106.33211459332</v>
      </c>
      <c r="L20">
        <v>101.46709575271097</v>
      </c>
      <c r="M20" t="b">
        <v>1</v>
      </c>
      <c r="N20">
        <v>1</v>
      </c>
      <c r="O20" t="s">
        <v>191</v>
      </c>
      <c r="P20" t="s">
        <v>168</v>
      </c>
      <c r="Q20" t="s">
        <v>168</v>
      </c>
      <c r="R20" t="s">
        <v>168</v>
      </c>
      <c r="S20" t="b">
        <v>0</v>
      </c>
      <c r="T20" t="b">
        <v>0</v>
      </c>
      <c r="U20" t="s">
        <v>168</v>
      </c>
      <c r="V20" t="b">
        <v>0</v>
      </c>
      <c r="W20" t="b">
        <v>0</v>
      </c>
      <c r="X20" t="s">
        <v>359</v>
      </c>
      <c r="Y20" s="159" t="s">
        <v>192</v>
      </c>
      <c r="Z20" s="158" t="s">
        <v>193</v>
      </c>
      <c r="AA20" s="160" t="s">
        <v>194</v>
      </c>
      <c r="AB20" s="160" t="s">
        <v>247</v>
      </c>
      <c r="AC20" s="158">
        <v>16</v>
      </c>
      <c r="AD20" s="158">
        <v>3</v>
      </c>
      <c r="AE20" s="158">
        <v>14.5</v>
      </c>
      <c r="AF20" s="158">
        <v>16</v>
      </c>
      <c r="AG20" s="158">
        <v>146.14500000000001</v>
      </c>
      <c r="AH20" s="158">
        <v>164.47499999999999</v>
      </c>
      <c r="AI20" s="160" t="s">
        <v>196</v>
      </c>
      <c r="AJ20" s="158" t="s">
        <v>197</v>
      </c>
      <c r="AK20" s="166">
        <v>3.7212472000000001</v>
      </c>
      <c r="AL20" s="166">
        <v>-42.913286111111098</v>
      </c>
      <c r="AM20" s="160" t="s">
        <v>168</v>
      </c>
      <c r="AN20" s="160" t="s">
        <v>168</v>
      </c>
      <c r="AO20" s="158">
        <v>-3598</v>
      </c>
      <c r="AP20" s="160" t="s">
        <v>168</v>
      </c>
      <c r="AQ20" s="160" t="s">
        <v>168</v>
      </c>
      <c r="AR20" s="160" t="s">
        <v>168</v>
      </c>
      <c r="AS20" s="158">
        <v>5494.0263157894797</v>
      </c>
      <c r="AT20" s="160" t="s">
        <v>198</v>
      </c>
      <c r="AU20" s="160" t="s">
        <v>168</v>
      </c>
      <c r="AV20" s="160" t="s">
        <v>168</v>
      </c>
      <c r="AW20" s="160" t="s">
        <v>250</v>
      </c>
      <c r="AX20" s="158" t="s">
        <v>200</v>
      </c>
      <c r="AY20" s="158" t="s">
        <v>201</v>
      </c>
      <c r="AZ20" s="158" t="s">
        <v>168</v>
      </c>
      <c r="BA20" s="158" t="s">
        <v>168</v>
      </c>
      <c r="BB20" s="158" t="s">
        <v>168</v>
      </c>
      <c r="BC20" s="158" t="s">
        <v>168</v>
      </c>
      <c r="BD20" s="158" t="s">
        <v>168</v>
      </c>
      <c r="BE20" s="158" t="s">
        <v>168</v>
      </c>
      <c r="BF20" s="158" t="s">
        <v>168</v>
      </c>
      <c r="BG20" s="167" t="s">
        <v>202</v>
      </c>
      <c r="BH20" s="158" t="s">
        <v>203</v>
      </c>
      <c r="BI20" s="160" t="s">
        <v>204</v>
      </c>
      <c r="BJ20" s="160" t="s">
        <v>205</v>
      </c>
      <c r="BK20" s="158" t="s">
        <v>206</v>
      </c>
      <c r="BL20" s="158" t="s">
        <v>207</v>
      </c>
      <c r="BM20" s="158" t="s">
        <v>208</v>
      </c>
      <c r="BN20" s="162" t="s">
        <v>279</v>
      </c>
      <c r="BO20" s="158">
        <v>2</v>
      </c>
      <c r="BP20" s="162" t="s">
        <v>210</v>
      </c>
      <c r="BQ20" s="168">
        <v>18.056141662957437</v>
      </c>
      <c r="BR20" s="168" t="s">
        <v>211</v>
      </c>
      <c r="BS20" s="168">
        <v>0.18278956409345226</v>
      </c>
      <c r="BT20">
        <v>0.83299999999999996</v>
      </c>
      <c r="BU20" t="s">
        <v>168</v>
      </c>
      <c r="BV20" t="s">
        <v>168</v>
      </c>
      <c r="BW20">
        <v>2.69</v>
      </c>
      <c r="BX20" t="s">
        <v>168</v>
      </c>
      <c r="BY20" t="s">
        <v>168</v>
      </c>
      <c r="BZ20" s="163" t="s">
        <v>212</v>
      </c>
      <c r="CA20" t="s">
        <v>213</v>
      </c>
      <c r="CB20" s="168">
        <v>18.446748695026937</v>
      </c>
      <c r="CC20" s="160" t="s">
        <v>214</v>
      </c>
      <c r="CD20" s="164">
        <v>0.31032830804468531</v>
      </c>
      <c r="CE20" s="160" t="s">
        <v>215</v>
      </c>
      <c r="CF20" s="160" t="s">
        <v>216</v>
      </c>
      <c r="CG20" s="160">
        <v>0</v>
      </c>
      <c r="CH20" s="160" t="s">
        <v>217</v>
      </c>
      <c r="CI20" s="160" t="s">
        <v>168</v>
      </c>
      <c r="CJ20">
        <v>26.259111608225638</v>
      </c>
      <c r="CK20" s="158" t="s">
        <v>170</v>
      </c>
      <c r="CL20" s="158">
        <v>1</v>
      </c>
      <c r="CM20" s="158">
        <v>1</v>
      </c>
      <c r="CN20">
        <v>3.1934240343981832</v>
      </c>
      <c r="CO20">
        <v>3.1934240343981832</v>
      </c>
      <c r="CP20" s="165" t="s">
        <v>218</v>
      </c>
      <c r="CQ20" s="169">
        <v>0.05</v>
      </c>
      <c r="CR20" s="169">
        <v>0.05</v>
      </c>
      <c r="CS20" s="168" t="s">
        <v>219</v>
      </c>
      <c r="CT20" s="168" t="s">
        <v>220</v>
      </c>
      <c r="CU20" s="170" t="s">
        <v>221</v>
      </c>
      <c r="CV20" s="158" t="s">
        <v>222</v>
      </c>
      <c r="CW20" s="160" t="s">
        <v>168</v>
      </c>
      <c r="CX20" s="160" t="s">
        <v>168</v>
      </c>
      <c r="CY20" s="160" t="s">
        <v>168</v>
      </c>
      <c r="CZ20" s="160" t="s">
        <v>168</v>
      </c>
      <c r="DA20" s="160" t="s">
        <v>168</v>
      </c>
      <c r="DB20" s="160" t="s">
        <v>168</v>
      </c>
      <c r="DC20" s="160" t="s">
        <v>168</v>
      </c>
      <c r="DD20" s="160" t="s">
        <v>168</v>
      </c>
      <c r="DE20" s="160" t="s">
        <v>168</v>
      </c>
      <c r="DF20" s="160" t="s">
        <v>168</v>
      </c>
      <c r="DG20">
        <v>35</v>
      </c>
      <c r="DH20" t="s">
        <v>170</v>
      </c>
      <c r="DI20" s="160">
        <v>1.5</v>
      </c>
      <c r="DJ20" s="160" t="s">
        <v>168</v>
      </c>
      <c r="DK20" s="158" t="s">
        <v>223</v>
      </c>
      <c r="DL20" s="158" t="s">
        <v>168</v>
      </c>
      <c r="DM20" s="158" t="s">
        <v>168</v>
      </c>
      <c r="DN20" s="158" t="s">
        <v>168</v>
      </c>
      <c r="DO20" s="158" t="s">
        <v>223</v>
      </c>
      <c r="DP20" s="158" t="s">
        <v>168</v>
      </c>
      <c r="DQ20" s="158" t="s">
        <v>168</v>
      </c>
      <c r="DR20" s="158" t="s">
        <v>168</v>
      </c>
      <c r="DS20" s="158" t="s">
        <v>168</v>
      </c>
      <c r="DT20" s="158" t="s">
        <v>168</v>
      </c>
      <c r="DU20" s="158" t="s">
        <v>168</v>
      </c>
      <c r="DV20" s="158" t="s">
        <v>168</v>
      </c>
      <c r="DW20">
        <v>433.07335002590003</v>
      </c>
      <c r="DX20" s="163" t="s">
        <v>224</v>
      </c>
      <c r="DY20" s="158">
        <v>35.903822960262005</v>
      </c>
      <c r="DZ20" s="158" t="s">
        <v>225</v>
      </c>
      <c r="EA20">
        <v>39.799999999999997</v>
      </c>
      <c r="EB20" s="158" t="s">
        <v>226</v>
      </c>
      <c r="EC20">
        <v>0.31</v>
      </c>
      <c r="ED20" s="158" t="s">
        <v>227</v>
      </c>
      <c r="EE20" s="158" t="s">
        <v>228</v>
      </c>
      <c r="EF20" s="158" t="s">
        <v>280</v>
      </c>
      <c r="EG20">
        <v>1.0271999999999999</v>
      </c>
      <c r="EH20" s="158">
        <v>5.9999999999999995E-4</v>
      </c>
      <c r="EI20" s="160" t="s">
        <v>168</v>
      </c>
      <c r="EJ20" s="158" t="s">
        <v>169</v>
      </c>
      <c r="EK20" s="160" t="s">
        <v>168</v>
      </c>
      <c r="EL20" s="160" t="s">
        <v>168</v>
      </c>
      <c r="EM20" s="171" t="s">
        <v>230</v>
      </c>
      <c r="EN20" s="158" t="s">
        <v>231</v>
      </c>
      <c r="EO20" s="158" t="s">
        <v>231</v>
      </c>
      <c r="EP20" s="158" t="s">
        <v>231</v>
      </c>
      <c r="EQ20" s="158" t="s">
        <v>232</v>
      </c>
      <c r="ER20" s="160" t="s">
        <v>168</v>
      </c>
      <c r="ES20" s="160" t="s">
        <v>168</v>
      </c>
      <c r="ET20" s="160" t="s">
        <v>233</v>
      </c>
      <c r="EU20" s="158" t="s">
        <v>234</v>
      </c>
      <c r="EV20" s="158" t="s">
        <v>235</v>
      </c>
      <c r="EW20" s="146">
        <v>1917.3700710526314</v>
      </c>
      <c r="EX20" s="158" t="s">
        <v>236</v>
      </c>
      <c r="EY20" s="172">
        <f t="shared" si="0"/>
        <v>2417.3700710526314</v>
      </c>
      <c r="EZ20" s="168">
        <f t="shared" si="1"/>
        <v>1417.3700710526314</v>
      </c>
      <c r="FA20" s="160" t="s">
        <v>168</v>
      </c>
      <c r="FB20" s="160" t="s">
        <v>168</v>
      </c>
      <c r="FC20" s="160" t="s">
        <v>168</v>
      </c>
      <c r="FD20" s="160" t="s">
        <v>168</v>
      </c>
      <c r="FE20">
        <v>8.0557305391972491</v>
      </c>
      <c r="FF20" s="173" t="s">
        <v>171</v>
      </c>
      <c r="FG20">
        <v>3.7279862848311751E-2</v>
      </c>
      <c r="FH20">
        <v>3.81765188086991E-2</v>
      </c>
      <c r="FI20" s="160">
        <f t="shared" si="2"/>
        <v>374.07345596897198</v>
      </c>
      <c r="FJ20" s="160">
        <v>30</v>
      </c>
      <c r="FK20" s="160" t="s">
        <v>168</v>
      </c>
      <c r="FL20">
        <v>344.07345596897198</v>
      </c>
      <c r="FM20">
        <v>106.33211459332</v>
      </c>
      <c r="FN20">
        <v>101.46709575271097</v>
      </c>
      <c r="FO20" s="158" t="s">
        <v>237</v>
      </c>
      <c r="FP20" s="158" t="s">
        <v>168</v>
      </c>
      <c r="FQ20" s="158" t="s">
        <v>172</v>
      </c>
      <c r="FR20" s="158" t="s">
        <v>172</v>
      </c>
      <c r="FS20" s="158" t="s">
        <v>172</v>
      </c>
      <c r="FT20" s="158" t="s">
        <v>172</v>
      </c>
      <c r="FU20" s="158" t="s">
        <v>172</v>
      </c>
      <c r="FV20" s="158" t="s">
        <v>172</v>
      </c>
      <c r="FW20" s="158" t="s">
        <v>172</v>
      </c>
      <c r="FX20" s="158" t="s">
        <v>172</v>
      </c>
      <c r="FY20" s="158" t="s">
        <v>172</v>
      </c>
      <c r="FZ20" s="158" t="s">
        <v>172</v>
      </c>
      <c r="GA20" s="158" t="s">
        <v>172</v>
      </c>
      <c r="GB20" s="158" t="s">
        <v>172</v>
      </c>
      <c r="GC20" s="158" t="s">
        <v>357</v>
      </c>
    </row>
    <row r="21" spans="1:185" ht="20" x14ac:dyDescent="0.25">
      <c r="A21" t="s">
        <v>190</v>
      </c>
      <c r="B21" s="140" t="s">
        <v>358</v>
      </c>
      <c r="C21" s="158" t="s">
        <v>173</v>
      </c>
      <c r="D21" s="158" t="s">
        <v>188</v>
      </c>
      <c r="E21" s="158">
        <v>2022</v>
      </c>
      <c r="F21" s="158" t="s">
        <v>189</v>
      </c>
      <c r="G21">
        <v>5536.6666666666697</v>
      </c>
      <c r="H21" s="176">
        <v>15</v>
      </c>
      <c r="I21" s="176">
        <v>15</v>
      </c>
      <c r="J21" s="158">
        <v>328.72935817298298</v>
      </c>
      <c r="K21">
        <v>102.083887741372</v>
      </c>
      <c r="L21">
        <v>96.373318667611983</v>
      </c>
      <c r="M21" t="b">
        <v>1</v>
      </c>
      <c r="N21">
        <v>1</v>
      </c>
      <c r="O21" t="s">
        <v>191</v>
      </c>
      <c r="P21" t="s">
        <v>168</v>
      </c>
      <c r="Q21" t="s">
        <v>168</v>
      </c>
      <c r="R21" t="s">
        <v>168</v>
      </c>
      <c r="S21" t="b">
        <v>0</v>
      </c>
      <c r="T21" t="b">
        <v>0</v>
      </c>
      <c r="U21" t="s">
        <v>168</v>
      </c>
      <c r="V21" t="b">
        <v>0</v>
      </c>
      <c r="W21" t="b">
        <v>0</v>
      </c>
      <c r="X21" t="s">
        <v>359</v>
      </c>
      <c r="Y21" s="159" t="s">
        <v>192</v>
      </c>
      <c r="Z21" s="158" t="s">
        <v>193</v>
      </c>
      <c r="AA21" s="160" t="s">
        <v>194</v>
      </c>
      <c r="AB21" s="160" t="s">
        <v>247</v>
      </c>
      <c r="AC21" s="158">
        <v>16</v>
      </c>
      <c r="AD21" s="158">
        <v>3</v>
      </c>
      <c r="AE21" s="158">
        <v>95</v>
      </c>
      <c r="AF21" s="158">
        <v>96.5</v>
      </c>
      <c r="AG21" s="158">
        <v>146.94999999999999</v>
      </c>
      <c r="AH21" s="158">
        <v>165.28</v>
      </c>
      <c r="AI21" s="160" t="s">
        <v>196</v>
      </c>
      <c r="AJ21" s="158" t="s">
        <v>197</v>
      </c>
      <c r="AK21" s="166">
        <v>3.7212472000000001</v>
      </c>
      <c r="AL21" s="166">
        <v>-42.913286111111098</v>
      </c>
      <c r="AM21" s="160" t="s">
        <v>168</v>
      </c>
      <c r="AN21" s="160" t="s">
        <v>168</v>
      </c>
      <c r="AO21" s="158">
        <v>-3598</v>
      </c>
      <c r="AP21" s="160" t="s">
        <v>168</v>
      </c>
      <c r="AQ21" s="160" t="s">
        <v>168</v>
      </c>
      <c r="AR21" s="160" t="s">
        <v>168</v>
      </c>
      <c r="AS21" s="158">
        <v>5536.6666666666697</v>
      </c>
      <c r="AT21" s="160" t="s">
        <v>198</v>
      </c>
      <c r="AU21" s="160" t="s">
        <v>168</v>
      </c>
      <c r="AV21" s="160" t="s">
        <v>168</v>
      </c>
      <c r="AW21" s="160" t="s">
        <v>250</v>
      </c>
      <c r="AX21" s="158" t="s">
        <v>200</v>
      </c>
      <c r="AY21" s="158" t="s">
        <v>201</v>
      </c>
      <c r="AZ21" s="158" t="s">
        <v>168</v>
      </c>
      <c r="BA21" s="158" t="s">
        <v>168</v>
      </c>
      <c r="BB21" s="158" t="s">
        <v>168</v>
      </c>
      <c r="BC21" s="158" t="s">
        <v>168</v>
      </c>
      <c r="BD21" s="158" t="s">
        <v>168</v>
      </c>
      <c r="BE21" s="158" t="s">
        <v>168</v>
      </c>
      <c r="BF21" s="158" t="s">
        <v>168</v>
      </c>
      <c r="BG21" s="167" t="s">
        <v>202</v>
      </c>
      <c r="BH21" s="158" t="s">
        <v>203</v>
      </c>
      <c r="BI21" s="160" t="s">
        <v>204</v>
      </c>
      <c r="BJ21" s="160" t="s">
        <v>205</v>
      </c>
      <c r="BK21" s="158" t="s">
        <v>206</v>
      </c>
      <c r="BL21" s="158" t="s">
        <v>207</v>
      </c>
      <c r="BM21" s="158" t="s">
        <v>208</v>
      </c>
      <c r="BN21" s="162" t="s">
        <v>281</v>
      </c>
      <c r="BO21" s="158">
        <v>2</v>
      </c>
      <c r="BP21" s="162" t="s">
        <v>252</v>
      </c>
      <c r="BQ21" s="168">
        <v>18.294726608260703</v>
      </c>
      <c r="BR21" s="168" t="s">
        <v>211</v>
      </c>
      <c r="BS21" s="168">
        <v>0.20311576564124068</v>
      </c>
      <c r="BT21">
        <v>0.83299999999999996</v>
      </c>
      <c r="BU21" t="s">
        <v>168</v>
      </c>
      <c r="BV21" t="s">
        <v>168</v>
      </c>
      <c r="BW21">
        <v>2.69</v>
      </c>
      <c r="BX21" t="s">
        <v>168</v>
      </c>
      <c r="BY21" t="s">
        <v>168</v>
      </c>
      <c r="BZ21" s="163" t="s">
        <v>212</v>
      </c>
      <c r="CA21" t="s">
        <v>213</v>
      </c>
      <c r="CB21" s="168">
        <v>18.733165195991241</v>
      </c>
      <c r="CC21" s="160" t="s">
        <v>214</v>
      </c>
      <c r="CD21" s="164">
        <v>0.34483681932969412</v>
      </c>
      <c r="CE21" s="160" t="s">
        <v>215</v>
      </c>
      <c r="CF21" s="160" t="s">
        <v>216</v>
      </c>
      <c r="CG21" s="160">
        <v>0</v>
      </c>
      <c r="CH21" s="160" t="s">
        <v>217</v>
      </c>
      <c r="CI21" s="160" t="s">
        <v>168</v>
      </c>
      <c r="CJ21">
        <v>27.010064630927104</v>
      </c>
      <c r="CK21" s="158" t="s">
        <v>170</v>
      </c>
      <c r="CL21" s="158">
        <v>1</v>
      </c>
      <c r="CM21" s="158">
        <v>1</v>
      </c>
      <c r="CN21">
        <v>3.4142080130293539</v>
      </c>
      <c r="CO21">
        <v>3.4142080130293539</v>
      </c>
      <c r="CP21" s="165" t="s">
        <v>218</v>
      </c>
      <c r="CQ21" s="169">
        <v>0.05</v>
      </c>
      <c r="CR21" s="169">
        <v>0.05</v>
      </c>
      <c r="CS21" s="168" t="s">
        <v>219</v>
      </c>
      <c r="CT21" s="168" t="s">
        <v>220</v>
      </c>
      <c r="CU21" s="170" t="s">
        <v>221</v>
      </c>
      <c r="CV21" s="158" t="s">
        <v>222</v>
      </c>
      <c r="CW21" s="160" t="s">
        <v>168</v>
      </c>
      <c r="CX21" s="160" t="s">
        <v>168</v>
      </c>
      <c r="CY21" s="160" t="s">
        <v>168</v>
      </c>
      <c r="CZ21" s="160" t="s">
        <v>168</v>
      </c>
      <c r="DA21" s="160" t="s">
        <v>168</v>
      </c>
      <c r="DB21" s="160" t="s">
        <v>168</v>
      </c>
      <c r="DC21" s="160" t="s">
        <v>168</v>
      </c>
      <c r="DD21" s="160" t="s">
        <v>168</v>
      </c>
      <c r="DE21" s="160" t="s">
        <v>168</v>
      </c>
      <c r="DF21" s="160" t="s">
        <v>168</v>
      </c>
      <c r="DG21">
        <v>35</v>
      </c>
      <c r="DH21" t="s">
        <v>170</v>
      </c>
      <c r="DI21" s="160">
        <v>1.5</v>
      </c>
      <c r="DJ21" s="160" t="s">
        <v>168</v>
      </c>
      <c r="DK21" s="158" t="s">
        <v>223</v>
      </c>
      <c r="DL21" s="158" t="s">
        <v>168</v>
      </c>
      <c r="DM21" s="158" t="s">
        <v>168</v>
      </c>
      <c r="DN21" s="158" t="s">
        <v>168</v>
      </c>
      <c r="DO21" s="158" t="s">
        <v>223</v>
      </c>
      <c r="DP21" s="158" t="s">
        <v>168</v>
      </c>
      <c r="DQ21" s="158" t="s">
        <v>168</v>
      </c>
      <c r="DR21" s="158" t="s">
        <v>168</v>
      </c>
      <c r="DS21" s="158" t="s">
        <v>168</v>
      </c>
      <c r="DT21" s="158" t="s">
        <v>168</v>
      </c>
      <c r="DU21" s="158" t="s">
        <v>168</v>
      </c>
      <c r="DV21" s="158" t="s">
        <v>168</v>
      </c>
      <c r="DW21">
        <v>432.40380394490899</v>
      </c>
      <c r="DX21" s="163" t="s">
        <v>224</v>
      </c>
      <c r="DY21" s="158">
        <v>36.625625946339511</v>
      </c>
      <c r="DZ21" s="158" t="s">
        <v>225</v>
      </c>
      <c r="EA21">
        <v>39.799999999999997</v>
      </c>
      <c r="EB21" s="158" t="s">
        <v>226</v>
      </c>
      <c r="EC21">
        <v>0.31</v>
      </c>
      <c r="ED21" s="158" t="s">
        <v>227</v>
      </c>
      <c r="EE21" s="158" t="s">
        <v>228</v>
      </c>
      <c r="EF21" s="158" t="s">
        <v>282</v>
      </c>
      <c r="EG21">
        <v>1.0271999999999999</v>
      </c>
      <c r="EH21" s="158">
        <v>5.9999999999999995E-4</v>
      </c>
      <c r="EI21" s="160" t="s">
        <v>168</v>
      </c>
      <c r="EJ21" s="158" t="s">
        <v>169</v>
      </c>
      <c r="EK21" s="160" t="s">
        <v>168</v>
      </c>
      <c r="EL21" s="160" t="s">
        <v>168</v>
      </c>
      <c r="EM21" s="171" t="s">
        <v>230</v>
      </c>
      <c r="EN21" s="158" t="s">
        <v>231</v>
      </c>
      <c r="EO21" s="158" t="s">
        <v>231</v>
      </c>
      <c r="EP21" s="158" t="s">
        <v>231</v>
      </c>
      <c r="EQ21" s="158" t="s">
        <v>232</v>
      </c>
      <c r="ER21" s="160" t="s">
        <v>168</v>
      </c>
      <c r="ES21" s="160" t="s">
        <v>168</v>
      </c>
      <c r="ET21" s="160" t="s">
        <v>233</v>
      </c>
      <c r="EU21" s="158" t="s">
        <v>234</v>
      </c>
      <c r="EV21" s="158" t="s">
        <v>235</v>
      </c>
      <c r="EW21" s="146">
        <v>1916.5129999999999</v>
      </c>
      <c r="EX21" s="158" t="s">
        <v>236</v>
      </c>
      <c r="EY21" s="172">
        <f t="shared" si="0"/>
        <v>2416.5129999999999</v>
      </c>
      <c r="EZ21" s="168">
        <f t="shared" si="1"/>
        <v>1416.5129999999999</v>
      </c>
      <c r="FA21" s="160" t="s">
        <v>168</v>
      </c>
      <c r="FB21" s="160" t="s">
        <v>168</v>
      </c>
      <c r="FC21" s="160" t="s">
        <v>168</v>
      </c>
      <c r="FD21" s="160" t="s">
        <v>168</v>
      </c>
      <c r="FE21">
        <v>8.0729523442292201</v>
      </c>
      <c r="FF21" s="173" t="s">
        <v>171</v>
      </c>
      <c r="FG21">
        <v>3.6725270931968979E-2</v>
      </c>
      <c r="FH21">
        <v>3.7200555053470197E-2</v>
      </c>
      <c r="FI21" s="160">
        <f t="shared" si="2"/>
        <v>358.72935817298298</v>
      </c>
      <c r="FJ21" s="160">
        <v>30</v>
      </c>
      <c r="FK21" s="160" t="s">
        <v>168</v>
      </c>
      <c r="FL21">
        <v>328.72935817298298</v>
      </c>
      <c r="FM21">
        <v>102.083887741372</v>
      </c>
      <c r="FN21">
        <v>96.373318667611983</v>
      </c>
      <c r="FO21" s="158" t="s">
        <v>237</v>
      </c>
      <c r="FP21" s="158" t="s">
        <v>168</v>
      </c>
      <c r="FQ21" s="158" t="s">
        <v>172</v>
      </c>
      <c r="FR21" s="158" t="s">
        <v>172</v>
      </c>
      <c r="FS21" s="158" t="s">
        <v>172</v>
      </c>
      <c r="FT21" s="158" t="s">
        <v>172</v>
      </c>
      <c r="FU21" s="158" t="s">
        <v>172</v>
      </c>
      <c r="FV21" s="158" t="s">
        <v>172</v>
      </c>
      <c r="FW21" s="158" t="s">
        <v>172</v>
      </c>
      <c r="FX21" s="158" t="s">
        <v>172</v>
      </c>
      <c r="FY21" s="158" t="s">
        <v>172</v>
      </c>
      <c r="FZ21" s="158" t="s">
        <v>172</v>
      </c>
      <c r="GA21" s="158" t="s">
        <v>172</v>
      </c>
      <c r="GB21" s="158" t="s">
        <v>172</v>
      </c>
      <c r="GC21" s="158" t="s">
        <v>357</v>
      </c>
    </row>
    <row r="22" spans="1:185" ht="20" x14ac:dyDescent="0.25">
      <c r="A22" t="s">
        <v>190</v>
      </c>
      <c r="B22" s="140" t="s">
        <v>358</v>
      </c>
      <c r="C22" s="158" t="s">
        <v>173</v>
      </c>
      <c r="D22" s="158" t="s">
        <v>188</v>
      </c>
      <c r="E22" s="158">
        <v>2022</v>
      </c>
      <c r="F22" s="158" t="s">
        <v>189</v>
      </c>
      <c r="G22">
        <v>5579.5555555555602</v>
      </c>
      <c r="H22" s="176">
        <v>15</v>
      </c>
      <c r="I22" s="176">
        <v>15</v>
      </c>
      <c r="J22" s="158">
        <v>400.790352736432</v>
      </c>
      <c r="K22">
        <v>121.38239006633904</v>
      </c>
      <c r="L22">
        <v>117.14568051020899</v>
      </c>
      <c r="M22" t="b">
        <v>1</v>
      </c>
      <c r="N22">
        <v>1</v>
      </c>
      <c r="O22" t="s">
        <v>191</v>
      </c>
      <c r="P22" t="s">
        <v>168</v>
      </c>
      <c r="Q22" t="s">
        <v>168</v>
      </c>
      <c r="R22" t="s">
        <v>168</v>
      </c>
      <c r="S22" t="b">
        <v>0</v>
      </c>
      <c r="T22" t="b">
        <v>0</v>
      </c>
      <c r="U22" t="s">
        <v>168</v>
      </c>
      <c r="V22" t="b">
        <v>0</v>
      </c>
      <c r="W22" t="b">
        <v>0</v>
      </c>
      <c r="X22" t="s">
        <v>359</v>
      </c>
      <c r="Y22" s="159" t="s">
        <v>192</v>
      </c>
      <c r="Z22" s="158" t="s">
        <v>193</v>
      </c>
      <c r="AA22" s="160" t="s">
        <v>194</v>
      </c>
      <c r="AB22" s="160" t="s">
        <v>247</v>
      </c>
      <c r="AC22" s="158">
        <v>16</v>
      </c>
      <c r="AD22" s="158">
        <v>4</v>
      </c>
      <c r="AE22" s="158">
        <v>40</v>
      </c>
      <c r="AF22" s="158">
        <v>41.5</v>
      </c>
      <c r="AG22" s="158">
        <v>147.9</v>
      </c>
      <c r="AH22" s="158">
        <v>166.23</v>
      </c>
      <c r="AI22" s="160" t="s">
        <v>196</v>
      </c>
      <c r="AJ22" s="158" t="s">
        <v>197</v>
      </c>
      <c r="AK22" s="166">
        <v>3.7212472000000001</v>
      </c>
      <c r="AL22" s="166">
        <v>-42.913286111111098</v>
      </c>
      <c r="AM22" s="160" t="s">
        <v>168</v>
      </c>
      <c r="AN22" s="160" t="s">
        <v>168</v>
      </c>
      <c r="AO22" s="158">
        <v>-3598</v>
      </c>
      <c r="AP22" s="160" t="s">
        <v>168</v>
      </c>
      <c r="AQ22" s="160" t="s">
        <v>168</v>
      </c>
      <c r="AR22" s="160" t="s">
        <v>168</v>
      </c>
      <c r="AS22" s="158">
        <v>5579.5555555555602</v>
      </c>
      <c r="AT22" s="160" t="s">
        <v>198</v>
      </c>
      <c r="AU22" s="160" t="s">
        <v>168</v>
      </c>
      <c r="AV22" s="160" t="s">
        <v>168</v>
      </c>
      <c r="AW22" s="160" t="s">
        <v>250</v>
      </c>
      <c r="AX22" s="158" t="s">
        <v>200</v>
      </c>
      <c r="AY22" s="158" t="s">
        <v>201</v>
      </c>
      <c r="AZ22" s="158" t="s">
        <v>168</v>
      </c>
      <c r="BA22" s="158" t="s">
        <v>168</v>
      </c>
      <c r="BB22" s="158" t="s">
        <v>168</v>
      </c>
      <c r="BC22" s="158" t="s">
        <v>168</v>
      </c>
      <c r="BD22" s="158" t="s">
        <v>168</v>
      </c>
      <c r="BE22" s="158" t="s">
        <v>168</v>
      </c>
      <c r="BF22" s="158" t="s">
        <v>168</v>
      </c>
      <c r="BG22" s="167" t="s">
        <v>202</v>
      </c>
      <c r="BH22" s="158" t="s">
        <v>203</v>
      </c>
      <c r="BI22" s="160" t="s">
        <v>204</v>
      </c>
      <c r="BJ22" s="160" t="s">
        <v>205</v>
      </c>
      <c r="BK22" s="158" t="s">
        <v>206</v>
      </c>
      <c r="BL22" s="158" t="s">
        <v>207</v>
      </c>
      <c r="BM22" s="158" t="s">
        <v>208</v>
      </c>
      <c r="BN22" s="162" t="s">
        <v>283</v>
      </c>
      <c r="BO22" s="158">
        <v>2</v>
      </c>
      <c r="BP22" s="162" t="s">
        <v>284</v>
      </c>
      <c r="BQ22" s="168">
        <v>17.447826399829999</v>
      </c>
      <c r="BR22" s="168" t="s">
        <v>211</v>
      </c>
      <c r="BS22" s="168">
        <v>0.19965372814746396</v>
      </c>
      <c r="BT22">
        <v>0.83299999999999996</v>
      </c>
      <c r="BU22" t="s">
        <v>168</v>
      </c>
      <c r="BV22" t="s">
        <v>168</v>
      </c>
      <c r="BW22">
        <v>2.69</v>
      </c>
      <c r="BX22" t="s">
        <v>168</v>
      </c>
      <c r="BY22" t="s">
        <v>168</v>
      </c>
      <c r="BZ22" s="163" t="s">
        <v>212</v>
      </c>
      <c r="CA22" t="s">
        <v>213</v>
      </c>
      <c r="CB22" s="168">
        <v>17.716478271104442</v>
      </c>
      <c r="CC22" s="160" t="s">
        <v>214</v>
      </c>
      <c r="CD22" s="164">
        <v>0.33895919582772205</v>
      </c>
      <c r="CE22" s="160" t="s">
        <v>215</v>
      </c>
      <c r="CF22" s="160" t="s">
        <v>216</v>
      </c>
      <c r="CG22" s="160">
        <v>0</v>
      </c>
      <c r="CH22" s="160" t="s">
        <v>217</v>
      </c>
      <c r="CI22" s="160" t="s">
        <v>168</v>
      </c>
      <c r="CJ22">
        <v>25.235248533271367</v>
      </c>
      <c r="CK22" s="158" t="s">
        <v>170</v>
      </c>
      <c r="CL22" s="158">
        <v>1</v>
      </c>
      <c r="CM22" s="158">
        <v>1</v>
      </c>
      <c r="CN22">
        <v>2.9080263098207033</v>
      </c>
      <c r="CO22">
        <v>2.9080263098207033</v>
      </c>
      <c r="CP22" s="165" t="s">
        <v>218</v>
      </c>
      <c r="CQ22" s="169">
        <v>0.05</v>
      </c>
      <c r="CR22" s="169">
        <v>0.05</v>
      </c>
      <c r="CS22" s="168" t="s">
        <v>219</v>
      </c>
      <c r="CT22" s="168" t="s">
        <v>220</v>
      </c>
      <c r="CU22" s="170" t="s">
        <v>221</v>
      </c>
      <c r="CV22" s="158" t="s">
        <v>222</v>
      </c>
      <c r="CW22" s="160" t="s">
        <v>168</v>
      </c>
      <c r="CX22" s="160" t="s">
        <v>168</v>
      </c>
      <c r="CY22" s="160" t="s">
        <v>168</v>
      </c>
      <c r="CZ22" s="160" t="s">
        <v>168</v>
      </c>
      <c r="DA22" s="160" t="s">
        <v>168</v>
      </c>
      <c r="DB22" s="160" t="s">
        <v>168</v>
      </c>
      <c r="DC22" s="160" t="s">
        <v>168</v>
      </c>
      <c r="DD22" s="160" t="s">
        <v>168</v>
      </c>
      <c r="DE22" s="160" t="s">
        <v>168</v>
      </c>
      <c r="DF22" s="160" t="s">
        <v>168</v>
      </c>
      <c r="DG22">
        <v>35</v>
      </c>
      <c r="DH22" t="s">
        <v>170</v>
      </c>
      <c r="DI22" s="160">
        <v>1.5</v>
      </c>
      <c r="DJ22" s="160" t="s">
        <v>168</v>
      </c>
      <c r="DK22" s="158" t="s">
        <v>223</v>
      </c>
      <c r="DL22" s="158" t="s">
        <v>168</v>
      </c>
      <c r="DM22" s="158" t="s">
        <v>168</v>
      </c>
      <c r="DN22" s="158" t="s">
        <v>168</v>
      </c>
      <c r="DO22" s="158" t="s">
        <v>223</v>
      </c>
      <c r="DP22" s="158" t="s">
        <v>168</v>
      </c>
      <c r="DQ22" s="158" t="s">
        <v>168</v>
      </c>
      <c r="DR22" s="158" t="s">
        <v>168</v>
      </c>
      <c r="DS22" s="158" t="s">
        <v>168</v>
      </c>
      <c r="DT22" s="158" t="s">
        <v>168</v>
      </c>
      <c r="DU22" s="158" t="s">
        <v>168</v>
      </c>
      <c r="DV22" s="158" t="s">
        <v>168</v>
      </c>
      <c r="DW22">
        <v>432.63165161967902</v>
      </c>
      <c r="DX22" s="163" t="s">
        <v>224</v>
      </c>
      <c r="DY22" s="158">
        <v>36.426168752361491</v>
      </c>
      <c r="DZ22" s="158" t="s">
        <v>225</v>
      </c>
      <c r="EA22">
        <v>39.799999999999997</v>
      </c>
      <c r="EB22" s="158" t="s">
        <v>226</v>
      </c>
      <c r="EC22">
        <v>0.31</v>
      </c>
      <c r="ED22" s="158" t="s">
        <v>227</v>
      </c>
      <c r="EE22" s="158" t="s">
        <v>228</v>
      </c>
      <c r="EF22" s="158" t="s">
        <v>285</v>
      </c>
      <c r="EG22">
        <v>1.0271999999999999</v>
      </c>
      <c r="EH22" s="158">
        <v>5.9999999999999995E-4</v>
      </c>
      <c r="EI22" s="160" t="s">
        <v>168</v>
      </c>
      <c r="EJ22" s="158" t="s">
        <v>169</v>
      </c>
      <c r="EK22" s="160" t="s">
        <v>168</v>
      </c>
      <c r="EL22" s="160" t="s">
        <v>168</v>
      </c>
      <c r="EM22" s="171" t="s">
        <v>230</v>
      </c>
      <c r="EN22" s="158" t="s">
        <v>231</v>
      </c>
      <c r="EO22" s="158" t="s">
        <v>231</v>
      </c>
      <c r="EP22" s="158" t="s">
        <v>231</v>
      </c>
      <c r="EQ22" s="158" t="s">
        <v>232</v>
      </c>
      <c r="ER22" s="160" t="s">
        <v>168</v>
      </c>
      <c r="ES22" s="160" t="s">
        <v>168</v>
      </c>
      <c r="ET22" s="160" t="s">
        <v>233</v>
      </c>
      <c r="EU22" s="158" t="s">
        <v>234</v>
      </c>
      <c r="EV22" s="158" t="s">
        <v>235</v>
      </c>
      <c r="EW22" s="146">
        <v>1915.6509333333331</v>
      </c>
      <c r="EX22" s="158" t="s">
        <v>236</v>
      </c>
      <c r="EY22" s="172">
        <f t="shared" si="0"/>
        <v>2415.6509333333333</v>
      </c>
      <c r="EZ22" s="168">
        <f t="shared" si="1"/>
        <v>1415.6509333333331</v>
      </c>
      <c r="FA22" s="160" t="s">
        <v>168</v>
      </c>
      <c r="FB22" s="160" t="s">
        <v>168</v>
      </c>
      <c r="FC22" s="160" t="s">
        <v>168</v>
      </c>
      <c r="FD22" s="160" t="s">
        <v>168</v>
      </c>
      <c r="FE22">
        <v>7.9984210829325999</v>
      </c>
      <c r="FF22" s="173" t="s">
        <v>171</v>
      </c>
      <c r="FG22">
        <v>3.9644057597080007E-2</v>
      </c>
      <c r="FH22">
        <v>4.0670814789820042E-2</v>
      </c>
      <c r="FI22" s="160">
        <f t="shared" si="2"/>
        <v>430.790352736432</v>
      </c>
      <c r="FJ22" s="160">
        <v>30</v>
      </c>
      <c r="FK22" s="160" t="s">
        <v>168</v>
      </c>
      <c r="FL22">
        <v>400.790352736432</v>
      </c>
      <c r="FM22">
        <v>121.38239006633904</v>
      </c>
      <c r="FN22">
        <v>117.14568051020899</v>
      </c>
      <c r="FO22" s="158" t="s">
        <v>237</v>
      </c>
      <c r="FP22" s="158" t="s">
        <v>168</v>
      </c>
      <c r="FQ22" s="158" t="s">
        <v>172</v>
      </c>
      <c r="FR22" s="158" t="s">
        <v>172</v>
      </c>
      <c r="FS22" s="158" t="s">
        <v>172</v>
      </c>
      <c r="FT22" s="158" t="s">
        <v>172</v>
      </c>
      <c r="FU22" s="158" t="s">
        <v>172</v>
      </c>
      <c r="FV22" s="158" t="s">
        <v>172</v>
      </c>
      <c r="FW22" s="158" t="s">
        <v>172</v>
      </c>
      <c r="FX22" s="158" t="s">
        <v>172</v>
      </c>
      <c r="FY22" s="158" t="s">
        <v>172</v>
      </c>
      <c r="FZ22" s="158" t="s">
        <v>172</v>
      </c>
      <c r="GA22" s="158" t="s">
        <v>172</v>
      </c>
      <c r="GB22" s="158" t="s">
        <v>172</v>
      </c>
      <c r="GC22" s="158" t="s">
        <v>357</v>
      </c>
    </row>
    <row r="23" spans="1:185" ht="20" x14ac:dyDescent="0.25">
      <c r="A23" t="s">
        <v>190</v>
      </c>
      <c r="B23" s="140" t="s">
        <v>358</v>
      </c>
      <c r="C23" s="158" t="s">
        <v>173</v>
      </c>
      <c r="D23" s="158" t="s">
        <v>188</v>
      </c>
      <c r="E23" s="158">
        <v>2022</v>
      </c>
      <c r="F23" s="158" t="s">
        <v>189</v>
      </c>
      <c r="G23">
        <v>5601.5641025640998</v>
      </c>
      <c r="H23" s="176">
        <v>15</v>
      </c>
      <c r="I23" s="176">
        <v>15</v>
      </c>
      <c r="J23" s="158">
        <v>299.254385193404</v>
      </c>
      <c r="K23">
        <v>92.934121321198973</v>
      </c>
      <c r="L23">
        <v>88.432412603071015</v>
      </c>
      <c r="M23" t="b">
        <v>1</v>
      </c>
      <c r="N23">
        <v>1</v>
      </c>
      <c r="O23" t="s">
        <v>191</v>
      </c>
      <c r="P23" t="s">
        <v>168</v>
      </c>
      <c r="Q23" t="s">
        <v>168</v>
      </c>
      <c r="R23" t="s">
        <v>168</v>
      </c>
      <c r="S23" t="b">
        <v>0</v>
      </c>
      <c r="T23" t="b">
        <v>0</v>
      </c>
      <c r="U23" t="s">
        <v>168</v>
      </c>
      <c r="V23" t="b">
        <v>0</v>
      </c>
      <c r="W23" t="b">
        <v>0</v>
      </c>
      <c r="X23" t="s">
        <v>359</v>
      </c>
      <c r="Y23" s="159" t="s">
        <v>192</v>
      </c>
      <c r="Z23" s="158" t="s">
        <v>193</v>
      </c>
      <c r="AA23" s="160" t="s">
        <v>194</v>
      </c>
      <c r="AB23" s="160" t="s">
        <v>247</v>
      </c>
      <c r="AC23" s="158">
        <v>16</v>
      </c>
      <c r="AD23" s="158">
        <v>4</v>
      </c>
      <c r="AE23" s="158">
        <v>100</v>
      </c>
      <c r="AF23" s="158">
        <v>101.5</v>
      </c>
      <c r="AG23" s="158">
        <v>148.5</v>
      </c>
      <c r="AH23" s="158">
        <v>166.83</v>
      </c>
      <c r="AI23" s="160" t="s">
        <v>196</v>
      </c>
      <c r="AJ23" s="158" t="s">
        <v>197</v>
      </c>
      <c r="AK23" s="166">
        <v>3.7212472000000001</v>
      </c>
      <c r="AL23" s="166">
        <v>-42.913286111111098</v>
      </c>
      <c r="AM23" s="160" t="s">
        <v>168</v>
      </c>
      <c r="AN23" s="160" t="s">
        <v>168</v>
      </c>
      <c r="AO23" s="158">
        <v>-3598</v>
      </c>
      <c r="AP23" s="160" t="s">
        <v>168</v>
      </c>
      <c r="AQ23" s="160" t="s">
        <v>168</v>
      </c>
      <c r="AR23" s="160" t="s">
        <v>168</v>
      </c>
      <c r="AS23" s="158">
        <v>5601.5641025640998</v>
      </c>
      <c r="AT23" s="160" t="s">
        <v>198</v>
      </c>
      <c r="AU23" s="160" t="s">
        <v>168</v>
      </c>
      <c r="AV23" s="160" t="s">
        <v>168</v>
      </c>
      <c r="AW23" s="160" t="s">
        <v>250</v>
      </c>
      <c r="AX23" s="158" t="s">
        <v>200</v>
      </c>
      <c r="AY23" s="158" t="s">
        <v>201</v>
      </c>
      <c r="AZ23" s="158" t="s">
        <v>168</v>
      </c>
      <c r="BA23" s="158" t="s">
        <v>168</v>
      </c>
      <c r="BB23" s="158" t="s">
        <v>168</v>
      </c>
      <c r="BC23" s="158" t="s">
        <v>168</v>
      </c>
      <c r="BD23" s="158" t="s">
        <v>168</v>
      </c>
      <c r="BE23" s="158" t="s">
        <v>168</v>
      </c>
      <c r="BF23" s="158" t="s">
        <v>168</v>
      </c>
      <c r="BG23" s="167" t="s">
        <v>202</v>
      </c>
      <c r="BH23" s="158" t="s">
        <v>203</v>
      </c>
      <c r="BI23" s="160" t="s">
        <v>204</v>
      </c>
      <c r="BJ23" s="160" t="s">
        <v>205</v>
      </c>
      <c r="BK23" s="158" t="s">
        <v>206</v>
      </c>
      <c r="BL23" s="158" t="s">
        <v>207</v>
      </c>
      <c r="BM23" s="158" t="s">
        <v>208</v>
      </c>
      <c r="BN23" s="162" t="s">
        <v>286</v>
      </c>
      <c r="BO23" s="158">
        <v>2</v>
      </c>
      <c r="BP23" s="162" t="s">
        <v>239</v>
      </c>
      <c r="BQ23" s="168">
        <v>18.352977187778176</v>
      </c>
      <c r="BR23" s="168" t="s">
        <v>211</v>
      </c>
      <c r="BS23" s="168">
        <v>0.24302749783783684</v>
      </c>
      <c r="BT23">
        <v>0.83299999999999996</v>
      </c>
      <c r="BU23" t="s">
        <v>168</v>
      </c>
      <c r="BV23" t="s">
        <v>168</v>
      </c>
      <c r="BW23">
        <v>2.69</v>
      </c>
      <c r="BX23" t="s">
        <v>168</v>
      </c>
      <c r="BY23" t="s">
        <v>168</v>
      </c>
      <c r="BZ23" s="163" t="s">
        <v>212</v>
      </c>
      <c r="CA23" t="s">
        <v>213</v>
      </c>
      <c r="CB23" s="168">
        <v>18.803093862878963</v>
      </c>
      <c r="CC23" s="160" t="s">
        <v>214</v>
      </c>
      <c r="CD23" s="164">
        <v>0.4125963787177257</v>
      </c>
      <c r="CE23" s="160" t="s">
        <v>215</v>
      </c>
      <c r="CF23" s="160" t="s">
        <v>216</v>
      </c>
      <c r="CG23" s="160">
        <v>0</v>
      </c>
      <c r="CH23" s="160" t="s">
        <v>217</v>
      </c>
      <c r="CI23" s="160" t="s">
        <v>168</v>
      </c>
      <c r="CJ23">
        <v>24.768115216384203</v>
      </c>
      <c r="CK23" s="158" t="s">
        <v>170</v>
      </c>
      <c r="CL23" s="158">
        <v>1</v>
      </c>
      <c r="CM23" s="158">
        <v>1</v>
      </c>
      <c r="CN23">
        <v>2.7872471860233032</v>
      </c>
      <c r="CO23">
        <v>2.7872471860233032</v>
      </c>
      <c r="CP23" s="165" t="s">
        <v>218</v>
      </c>
      <c r="CQ23" s="169">
        <v>0.05</v>
      </c>
      <c r="CR23" s="169">
        <v>0.05</v>
      </c>
      <c r="CS23" s="168" t="s">
        <v>219</v>
      </c>
      <c r="CT23" s="168" t="s">
        <v>220</v>
      </c>
      <c r="CU23" s="170" t="s">
        <v>221</v>
      </c>
      <c r="CV23" s="158" t="s">
        <v>222</v>
      </c>
      <c r="CW23" s="160" t="s">
        <v>168</v>
      </c>
      <c r="CX23" s="160" t="s">
        <v>168</v>
      </c>
      <c r="CY23" s="160" t="s">
        <v>168</v>
      </c>
      <c r="CZ23" s="160" t="s">
        <v>168</v>
      </c>
      <c r="DA23" s="160" t="s">
        <v>168</v>
      </c>
      <c r="DB23" s="160" t="s">
        <v>168</v>
      </c>
      <c r="DC23" s="160" t="s">
        <v>168</v>
      </c>
      <c r="DD23" s="160" t="s">
        <v>168</v>
      </c>
      <c r="DE23" s="160" t="s">
        <v>168</v>
      </c>
      <c r="DF23" s="160" t="s">
        <v>168</v>
      </c>
      <c r="DG23">
        <v>35</v>
      </c>
      <c r="DH23" t="s">
        <v>170</v>
      </c>
      <c r="DI23" s="160">
        <v>1.5</v>
      </c>
      <c r="DJ23" s="160" t="s">
        <v>168</v>
      </c>
      <c r="DK23" s="158" t="s">
        <v>223</v>
      </c>
      <c r="DL23" s="158" t="s">
        <v>168</v>
      </c>
      <c r="DM23" s="158" t="s">
        <v>168</v>
      </c>
      <c r="DN23" s="158" t="s">
        <v>168</v>
      </c>
      <c r="DO23" s="158" t="s">
        <v>223</v>
      </c>
      <c r="DP23" s="158" t="s">
        <v>168</v>
      </c>
      <c r="DQ23" s="158" t="s">
        <v>168</v>
      </c>
      <c r="DR23" s="158" t="s">
        <v>168</v>
      </c>
      <c r="DS23" s="158" t="s">
        <v>168</v>
      </c>
      <c r="DT23" s="158" t="s">
        <v>168</v>
      </c>
      <c r="DU23" s="158" t="s">
        <v>168</v>
      </c>
      <c r="DV23" s="158" t="s">
        <v>168</v>
      </c>
      <c r="DW23">
        <v>432.846612276256</v>
      </c>
      <c r="DX23" s="163" t="s">
        <v>224</v>
      </c>
      <c r="DY23" s="158">
        <v>36.881501287389</v>
      </c>
      <c r="DZ23" s="158" t="s">
        <v>225</v>
      </c>
      <c r="EA23">
        <v>39.799999999999997</v>
      </c>
      <c r="EB23" s="158" t="s">
        <v>226</v>
      </c>
      <c r="EC23">
        <v>0.31</v>
      </c>
      <c r="ED23" s="158" t="s">
        <v>227</v>
      </c>
      <c r="EE23" s="158" t="s">
        <v>228</v>
      </c>
      <c r="EF23" s="158" t="s">
        <v>287</v>
      </c>
      <c r="EG23">
        <v>1.0271999999999999</v>
      </c>
      <c r="EH23" s="158">
        <v>5.9999999999999995E-4</v>
      </c>
      <c r="EI23" s="160" t="s">
        <v>168</v>
      </c>
      <c r="EJ23" s="158" t="s">
        <v>169</v>
      </c>
      <c r="EK23" s="160" t="s">
        <v>168</v>
      </c>
      <c r="EL23" s="160" t="s">
        <v>168</v>
      </c>
      <c r="EM23" s="171" t="s">
        <v>230</v>
      </c>
      <c r="EN23" s="158" t="s">
        <v>231</v>
      </c>
      <c r="EO23" s="158" t="s">
        <v>231</v>
      </c>
      <c r="EP23" s="158" t="s">
        <v>231</v>
      </c>
      <c r="EQ23" s="158" t="s">
        <v>232</v>
      </c>
      <c r="ER23" s="160" t="s">
        <v>168</v>
      </c>
      <c r="ES23" s="160" t="s">
        <v>168</v>
      </c>
      <c r="ET23" s="160" t="s">
        <v>233</v>
      </c>
      <c r="EU23" s="158" t="s">
        <v>234</v>
      </c>
      <c r="EV23" s="158" t="s">
        <v>235</v>
      </c>
      <c r="EW23" s="146">
        <v>1915.2085615384615</v>
      </c>
      <c r="EX23" s="158" t="s">
        <v>236</v>
      </c>
      <c r="EY23" s="172">
        <f t="shared" si="0"/>
        <v>2415.2085615384613</v>
      </c>
      <c r="EZ23" s="168">
        <f t="shared" si="1"/>
        <v>1415.2085615384615</v>
      </c>
      <c r="FA23" s="160" t="s">
        <v>168</v>
      </c>
      <c r="FB23" s="160" t="s">
        <v>168</v>
      </c>
      <c r="FC23" s="160" t="s">
        <v>168</v>
      </c>
      <c r="FD23" s="160" t="s">
        <v>168</v>
      </c>
      <c r="FE23">
        <v>8.1047424823751797</v>
      </c>
      <c r="FF23" s="173" t="s">
        <v>171</v>
      </c>
      <c r="FG23">
        <v>3.8033851058200341E-2</v>
      </c>
      <c r="FH23">
        <v>3.8565383032610256E-2</v>
      </c>
      <c r="FI23" s="160">
        <f t="shared" si="2"/>
        <v>329.254385193404</v>
      </c>
      <c r="FJ23" s="160">
        <v>30</v>
      </c>
      <c r="FK23" s="160" t="s">
        <v>168</v>
      </c>
      <c r="FL23">
        <v>299.254385193404</v>
      </c>
      <c r="FM23">
        <v>92.934121321198973</v>
      </c>
      <c r="FN23">
        <v>88.432412603071015</v>
      </c>
      <c r="FO23" s="158" t="s">
        <v>237</v>
      </c>
      <c r="FP23" s="158" t="s">
        <v>168</v>
      </c>
      <c r="FQ23" s="158" t="s">
        <v>172</v>
      </c>
      <c r="FR23" s="158" t="s">
        <v>172</v>
      </c>
      <c r="FS23" s="158" t="s">
        <v>172</v>
      </c>
      <c r="FT23" s="158" t="s">
        <v>172</v>
      </c>
      <c r="FU23" s="158" t="s">
        <v>172</v>
      </c>
      <c r="FV23" s="158" t="s">
        <v>172</v>
      </c>
      <c r="FW23" s="158" t="s">
        <v>172</v>
      </c>
      <c r="FX23" s="158" t="s">
        <v>172</v>
      </c>
      <c r="FY23" s="158" t="s">
        <v>172</v>
      </c>
      <c r="FZ23" s="158" t="s">
        <v>172</v>
      </c>
      <c r="GA23" s="158" t="s">
        <v>172</v>
      </c>
      <c r="GB23" s="158" t="s">
        <v>172</v>
      </c>
      <c r="GC23" s="158" t="s">
        <v>357</v>
      </c>
    </row>
    <row r="24" spans="1:185" ht="20" x14ac:dyDescent="0.25">
      <c r="A24" t="s">
        <v>190</v>
      </c>
      <c r="B24" s="140" t="s">
        <v>358</v>
      </c>
      <c r="C24" s="158" t="s">
        <v>173</v>
      </c>
      <c r="D24" s="158" t="s">
        <v>188</v>
      </c>
      <c r="E24" s="158">
        <v>2022</v>
      </c>
      <c r="F24" s="158" t="s">
        <v>189</v>
      </c>
      <c r="G24">
        <v>5654.1111111111104</v>
      </c>
      <c r="H24" s="176">
        <v>15</v>
      </c>
      <c r="I24" s="176">
        <v>15</v>
      </c>
      <c r="J24" s="158">
        <v>372.21295854713702</v>
      </c>
      <c r="K24">
        <v>116.84277471119395</v>
      </c>
      <c r="L24">
        <v>108.01161528570503</v>
      </c>
      <c r="M24" t="b">
        <v>1</v>
      </c>
      <c r="N24">
        <v>1</v>
      </c>
      <c r="O24" t="s">
        <v>191</v>
      </c>
      <c r="P24" t="s">
        <v>168</v>
      </c>
      <c r="Q24" t="s">
        <v>168</v>
      </c>
      <c r="R24" t="s">
        <v>168</v>
      </c>
      <c r="S24" t="b">
        <v>0</v>
      </c>
      <c r="T24" t="b">
        <v>0</v>
      </c>
      <c r="U24" t="s">
        <v>168</v>
      </c>
      <c r="V24" t="b">
        <v>0</v>
      </c>
      <c r="W24" t="b">
        <v>0</v>
      </c>
      <c r="X24" t="s">
        <v>359</v>
      </c>
      <c r="Y24" s="159" t="s">
        <v>192</v>
      </c>
      <c r="Z24" s="158" t="s">
        <v>193</v>
      </c>
      <c r="AA24" s="160" t="s">
        <v>194</v>
      </c>
      <c r="AB24" s="160" t="s">
        <v>247</v>
      </c>
      <c r="AC24" s="158">
        <v>16</v>
      </c>
      <c r="AD24" s="158">
        <v>5</v>
      </c>
      <c r="AE24" s="158">
        <v>55</v>
      </c>
      <c r="AF24" s="158">
        <v>56.5</v>
      </c>
      <c r="AG24" s="158">
        <v>149.55000000000001</v>
      </c>
      <c r="AH24" s="158">
        <v>167.88</v>
      </c>
      <c r="AI24" s="160" t="s">
        <v>196</v>
      </c>
      <c r="AJ24" s="158" t="s">
        <v>197</v>
      </c>
      <c r="AK24" s="166">
        <v>3.7212472000000001</v>
      </c>
      <c r="AL24" s="166">
        <v>-42.913286111111098</v>
      </c>
      <c r="AM24" s="160" t="s">
        <v>168</v>
      </c>
      <c r="AN24" s="160" t="s">
        <v>168</v>
      </c>
      <c r="AO24" s="158">
        <v>-3598</v>
      </c>
      <c r="AP24" s="160" t="s">
        <v>168</v>
      </c>
      <c r="AQ24" s="160" t="s">
        <v>168</v>
      </c>
      <c r="AR24" s="160" t="s">
        <v>168</v>
      </c>
      <c r="AS24" s="158">
        <v>5654.1111111111104</v>
      </c>
      <c r="AT24" s="160" t="s">
        <v>198</v>
      </c>
      <c r="AU24" s="160" t="s">
        <v>168</v>
      </c>
      <c r="AV24" s="160" t="s">
        <v>168</v>
      </c>
      <c r="AW24" s="160" t="s">
        <v>250</v>
      </c>
      <c r="AX24" s="158" t="s">
        <v>200</v>
      </c>
      <c r="AY24" s="158" t="s">
        <v>201</v>
      </c>
      <c r="AZ24" s="158" t="s">
        <v>168</v>
      </c>
      <c r="BA24" s="158" t="s">
        <v>168</v>
      </c>
      <c r="BB24" s="158" t="s">
        <v>168</v>
      </c>
      <c r="BC24" s="158" t="s">
        <v>168</v>
      </c>
      <c r="BD24" s="158" t="s">
        <v>168</v>
      </c>
      <c r="BE24" s="158" t="s">
        <v>168</v>
      </c>
      <c r="BF24" s="158" t="s">
        <v>168</v>
      </c>
      <c r="BG24" s="167" t="s">
        <v>202</v>
      </c>
      <c r="BH24" s="158" t="s">
        <v>203</v>
      </c>
      <c r="BI24" s="160" t="s">
        <v>204</v>
      </c>
      <c r="BJ24" s="160" t="s">
        <v>205</v>
      </c>
      <c r="BK24" s="158" t="s">
        <v>206</v>
      </c>
      <c r="BL24" s="158" t="s">
        <v>207</v>
      </c>
      <c r="BM24" s="158" t="s">
        <v>208</v>
      </c>
      <c r="BN24" s="162" t="s">
        <v>288</v>
      </c>
      <c r="BO24" s="158">
        <v>2</v>
      </c>
      <c r="BP24" s="162" t="s">
        <v>289</v>
      </c>
      <c r="BQ24" s="168">
        <v>17.640829904311929</v>
      </c>
      <c r="BR24" s="168" t="s">
        <v>211</v>
      </c>
      <c r="BS24" s="168">
        <v>0.23253356308409029</v>
      </c>
      <c r="BT24">
        <v>0.83299999999999996</v>
      </c>
      <c r="BU24" t="s">
        <v>168</v>
      </c>
      <c r="BV24" t="s">
        <v>168</v>
      </c>
      <c r="BW24">
        <v>2.69</v>
      </c>
      <c r="BX24" t="s">
        <v>168</v>
      </c>
      <c r="BY24" t="s">
        <v>168</v>
      </c>
      <c r="BZ24" s="163" t="s">
        <v>212</v>
      </c>
      <c r="CA24" t="s">
        <v>213</v>
      </c>
      <c r="CB24" s="168">
        <v>17.948175155236409</v>
      </c>
      <c r="CC24" s="160" t="s">
        <v>214</v>
      </c>
      <c r="CD24" s="164">
        <v>0.39478045452636035</v>
      </c>
      <c r="CE24" s="160" t="s">
        <v>215</v>
      </c>
      <c r="CF24" s="160" t="s">
        <v>216</v>
      </c>
      <c r="CG24" s="160">
        <v>0</v>
      </c>
      <c r="CH24" s="160" t="s">
        <v>217</v>
      </c>
      <c r="CI24" s="160" t="s">
        <v>168</v>
      </c>
      <c r="CJ24">
        <v>24.807104314937973</v>
      </c>
      <c r="CK24" s="158" t="s">
        <v>170</v>
      </c>
      <c r="CL24" s="158">
        <v>1</v>
      </c>
      <c r="CM24" s="158">
        <v>1</v>
      </c>
      <c r="CN24">
        <v>2.7945226529047869</v>
      </c>
      <c r="CO24">
        <v>2.7945226529047869</v>
      </c>
      <c r="CP24" s="165" t="s">
        <v>218</v>
      </c>
      <c r="CQ24" s="169">
        <v>0.05</v>
      </c>
      <c r="CR24" s="169">
        <v>0.05</v>
      </c>
      <c r="CS24" s="168" t="s">
        <v>219</v>
      </c>
      <c r="CT24" s="168" t="s">
        <v>220</v>
      </c>
      <c r="CU24" s="170" t="s">
        <v>221</v>
      </c>
      <c r="CV24" s="158" t="s">
        <v>222</v>
      </c>
      <c r="CW24" s="160" t="s">
        <v>168</v>
      </c>
      <c r="CX24" s="160" t="s">
        <v>168</v>
      </c>
      <c r="CY24" s="160" t="s">
        <v>168</v>
      </c>
      <c r="CZ24" s="160" t="s">
        <v>168</v>
      </c>
      <c r="DA24" s="160" t="s">
        <v>168</v>
      </c>
      <c r="DB24" s="160" t="s">
        <v>168</v>
      </c>
      <c r="DC24" s="160" t="s">
        <v>168</v>
      </c>
      <c r="DD24" s="160" t="s">
        <v>168</v>
      </c>
      <c r="DE24" s="160" t="s">
        <v>168</v>
      </c>
      <c r="DF24" s="160" t="s">
        <v>168</v>
      </c>
      <c r="DG24">
        <v>35</v>
      </c>
      <c r="DH24" t="s">
        <v>170</v>
      </c>
      <c r="DI24" s="160">
        <v>1.5</v>
      </c>
      <c r="DJ24" s="160" t="s">
        <v>168</v>
      </c>
      <c r="DK24" s="158" t="s">
        <v>223</v>
      </c>
      <c r="DL24" s="158" t="s">
        <v>168</v>
      </c>
      <c r="DM24" s="158" t="s">
        <v>168</v>
      </c>
      <c r="DN24" s="158" t="s">
        <v>168</v>
      </c>
      <c r="DO24" s="158" t="s">
        <v>223</v>
      </c>
      <c r="DP24" s="158" t="s">
        <v>168</v>
      </c>
      <c r="DQ24" s="158" t="s">
        <v>168</v>
      </c>
      <c r="DR24" s="158" t="s">
        <v>168</v>
      </c>
      <c r="DS24" s="158" t="s">
        <v>168</v>
      </c>
      <c r="DT24" s="158" t="s">
        <v>168</v>
      </c>
      <c r="DU24" s="158" t="s">
        <v>168</v>
      </c>
      <c r="DV24" s="158" t="s">
        <v>168</v>
      </c>
      <c r="DW24">
        <v>432.685966541043</v>
      </c>
      <c r="DX24" s="163" t="s">
        <v>224</v>
      </c>
      <c r="DY24" s="158">
        <v>36.781613857108482</v>
      </c>
      <c r="DZ24" s="158" t="s">
        <v>225</v>
      </c>
      <c r="EA24">
        <v>39.799999999999997</v>
      </c>
      <c r="EB24" s="158" t="s">
        <v>226</v>
      </c>
      <c r="EC24">
        <v>0.31</v>
      </c>
      <c r="ED24" s="158" t="s">
        <v>227</v>
      </c>
      <c r="EE24" s="158" t="s">
        <v>228</v>
      </c>
      <c r="EF24" s="158" t="s">
        <v>290</v>
      </c>
      <c r="EG24">
        <v>1.0271999999999999</v>
      </c>
      <c r="EH24" s="158">
        <v>5.9999999999999995E-4</v>
      </c>
      <c r="EI24" s="160" t="s">
        <v>168</v>
      </c>
      <c r="EJ24" s="158" t="s">
        <v>169</v>
      </c>
      <c r="EK24" s="160" t="s">
        <v>168</v>
      </c>
      <c r="EL24" s="160" t="s">
        <v>168</v>
      </c>
      <c r="EM24" s="171" t="s">
        <v>230</v>
      </c>
      <c r="EN24" s="158" t="s">
        <v>231</v>
      </c>
      <c r="EO24" s="158" t="s">
        <v>231</v>
      </c>
      <c r="EP24" s="158" t="s">
        <v>231</v>
      </c>
      <c r="EQ24" s="158" t="s">
        <v>232</v>
      </c>
      <c r="ER24" s="160" t="s">
        <v>168</v>
      </c>
      <c r="ES24" s="160" t="s">
        <v>168</v>
      </c>
      <c r="ET24" s="160" t="s">
        <v>233</v>
      </c>
      <c r="EU24" s="158" t="s">
        <v>234</v>
      </c>
      <c r="EV24" s="158" t="s">
        <v>235</v>
      </c>
      <c r="EW24" s="146">
        <v>1914.1523666666667</v>
      </c>
      <c r="EX24" s="158" t="s">
        <v>236</v>
      </c>
      <c r="EY24" s="172">
        <f t="shared" si="0"/>
        <v>2414.1523666666667</v>
      </c>
      <c r="EZ24" s="168">
        <f t="shared" si="1"/>
        <v>1414.1523666666667</v>
      </c>
      <c r="FA24" s="160" t="s">
        <v>168</v>
      </c>
      <c r="FB24" s="160" t="s">
        <v>168</v>
      </c>
      <c r="FC24" s="160" t="s">
        <v>168</v>
      </c>
      <c r="FD24" s="160" t="s">
        <v>168</v>
      </c>
      <c r="FE24">
        <v>8.0258836835724505</v>
      </c>
      <c r="FF24" s="173" t="s">
        <v>171</v>
      </c>
      <c r="FG24">
        <v>4.0617175075370326E-2</v>
      </c>
      <c r="FH24">
        <v>4.149538374483086E-2</v>
      </c>
      <c r="FI24" s="160">
        <f t="shared" si="2"/>
        <v>402.21295854713702</v>
      </c>
      <c r="FJ24" s="160">
        <v>30</v>
      </c>
      <c r="FK24" s="160" t="s">
        <v>168</v>
      </c>
      <c r="FL24">
        <v>372.21295854713702</v>
      </c>
      <c r="FM24">
        <v>116.84277471119395</v>
      </c>
      <c r="FN24">
        <v>108.01161528570503</v>
      </c>
      <c r="FO24" s="158" t="s">
        <v>237</v>
      </c>
      <c r="FP24" s="158" t="s">
        <v>168</v>
      </c>
      <c r="FQ24" s="158" t="s">
        <v>172</v>
      </c>
      <c r="FR24" s="158" t="s">
        <v>172</v>
      </c>
      <c r="FS24" s="158" t="s">
        <v>172</v>
      </c>
      <c r="FT24" s="158" t="s">
        <v>172</v>
      </c>
      <c r="FU24" s="158" t="s">
        <v>172</v>
      </c>
      <c r="FV24" s="158" t="s">
        <v>172</v>
      </c>
      <c r="FW24" s="158" t="s">
        <v>172</v>
      </c>
      <c r="FX24" s="158" t="s">
        <v>172</v>
      </c>
      <c r="FY24" s="158" t="s">
        <v>172</v>
      </c>
      <c r="FZ24" s="158" t="s">
        <v>172</v>
      </c>
      <c r="GA24" s="158" t="s">
        <v>172</v>
      </c>
      <c r="GB24" s="158" t="s">
        <v>172</v>
      </c>
      <c r="GC24" s="158" t="s">
        <v>357</v>
      </c>
    </row>
    <row r="25" spans="1:185" ht="20" x14ac:dyDescent="0.25">
      <c r="A25" t="s">
        <v>190</v>
      </c>
      <c r="B25" s="140" t="s">
        <v>358</v>
      </c>
      <c r="C25" s="158" t="s">
        <v>173</v>
      </c>
      <c r="D25" s="158" t="s">
        <v>188</v>
      </c>
      <c r="E25" s="158">
        <v>2022</v>
      </c>
      <c r="F25" s="158" t="s">
        <v>189</v>
      </c>
      <c r="G25">
        <v>5708.1621621621598</v>
      </c>
      <c r="H25" s="176">
        <v>15</v>
      </c>
      <c r="I25" s="176">
        <v>15</v>
      </c>
      <c r="J25" s="158">
        <v>297.46199974324298</v>
      </c>
      <c r="K25">
        <v>91.745752424973034</v>
      </c>
      <c r="L25">
        <v>88.687760576054984</v>
      </c>
      <c r="M25" t="b">
        <v>1</v>
      </c>
      <c r="N25">
        <v>1</v>
      </c>
      <c r="O25" t="s">
        <v>191</v>
      </c>
      <c r="P25" t="s">
        <v>168</v>
      </c>
      <c r="Q25" t="s">
        <v>168</v>
      </c>
      <c r="R25" t="s">
        <v>168</v>
      </c>
      <c r="S25" t="b">
        <v>0</v>
      </c>
      <c r="T25" t="b">
        <v>0</v>
      </c>
      <c r="U25" t="s">
        <v>168</v>
      </c>
      <c r="V25" t="b">
        <v>0</v>
      </c>
      <c r="W25" t="b">
        <v>0</v>
      </c>
      <c r="X25" t="s">
        <v>359</v>
      </c>
      <c r="Y25" s="159" t="s">
        <v>192</v>
      </c>
      <c r="Z25" s="158" t="s">
        <v>193</v>
      </c>
      <c r="AA25" s="160" t="s">
        <v>194</v>
      </c>
      <c r="AB25" s="160" t="s">
        <v>195</v>
      </c>
      <c r="AC25" s="158">
        <v>17</v>
      </c>
      <c r="AD25" s="158">
        <v>1</v>
      </c>
      <c r="AE25" s="158">
        <v>90</v>
      </c>
      <c r="AF25" s="158">
        <v>93</v>
      </c>
      <c r="AG25" s="158">
        <v>150.4</v>
      </c>
      <c r="AH25" s="158">
        <v>168.99270270270301</v>
      </c>
      <c r="AI25" s="160" t="s">
        <v>196</v>
      </c>
      <c r="AJ25" s="158" t="s">
        <v>197</v>
      </c>
      <c r="AK25" s="166">
        <v>3.7212472000000001</v>
      </c>
      <c r="AL25" s="166">
        <v>-42.913286111111098</v>
      </c>
      <c r="AM25" s="160" t="s">
        <v>168</v>
      </c>
      <c r="AN25" s="160" t="s">
        <v>168</v>
      </c>
      <c r="AO25" s="158">
        <v>-3598</v>
      </c>
      <c r="AP25" s="160" t="s">
        <v>168</v>
      </c>
      <c r="AQ25" s="160" t="s">
        <v>168</v>
      </c>
      <c r="AR25" s="160" t="s">
        <v>168</v>
      </c>
      <c r="AS25" s="158">
        <v>5708.1621621621598</v>
      </c>
      <c r="AT25" s="160" t="s">
        <v>198</v>
      </c>
      <c r="AU25" s="160" t="s">
        <v>168</v>
      </c>
      <c r="AV25" s="160" t="s">
        <v>168</v>
      </c>
      <c r="AW25" s="160" t="s">
        <v>250</v>
      </c>
      <c r="AX25" s="158" t="s">
        <v>200</v>
      </c>
      <c r="AY25" s="158" t="s">
        <v>201</v>
      </c>
      <c r="AZ25" s="158" t="s">
        <v>168</v>
      </c>
      <c r="BA25" s="158" t="s">
        <v>168</v>
      </c>
      <c r="BB25" s="158" t="s">
        <v>168</v>
      </c>
      <c r="BC25" s="158" t="s">
        <v>168</v>
      </c>
      <c r="BD25" s="158" t="s">
        <v>168</v>
      </c>
      <c r="BE25" s="158" t="s">
        <v>168</v>
      </c>
      <c r="BF25" s="158" t="s">
        <v>168</v>
      </c>
      <c r="BG25" s="167" t="s">
        <v>202</v>
      </c>
      <c r="BH25" s="158" t="s">
        <v>203</v>
      </c>
      <c r="BI25" s="160" t="s">
        <v>204</v>
      </c>
      <c r="BJ25" s="160" t="s">
        <v>205</v>
      </c>
      <c r="BK25" s="158" t="s">
        <v>206</v>
      </c>
      <c r="BL25" s="158" t="s">
        <v>207</v>
      </c>
      <c r="BM25" s="158" t="s">
        <v>208</v>
      </c>
      <c r="BN25" s="162" t="s">
        <v>291</v>
      </c>
      <c r="BO25" s="158">
        <v>2</v>
      </c>
      <c r="BP25" s="162" t="s">
        <v>292</v>
      </c>
      <c r="BQ25" s="168">
        <v>18.477320800940554</v>
      </c>
      <c r="BR25" s="168" t="s">
        <v>211</v>
      </c>
      <c r="BS25" s="168">
        <v>0.19814237572044191</v>
      </c>
      <c r="BT25">
        <v>0.83299999999999996</v>
      </c>
      <c r="BU25" t="s">
        <v>168</v>
      </c>
      <c r="BV25" t="s">
        <v>168</v>
      </c>
      <c r="BW25">
        <v>2.69</v>
      </c>
      <c r="BX25" t="s">
        <v>168</v>
      </c>
      <c r="BY25" t="s">
        <v>168</v>
      </c>
      <c r="BZ25" s="163" t="s">
        <v>212</v>
      </c>
      <c r="CA25" t="s">
        <v>213</v>
      </c>
      <c r="CB25" s="168">
        <v>18.952365907491661</v>
      </c>
      <c r="CC25" s="160" t="s">
        <v>214</v>
      </c>
      <c r="CD25" s="164">
        <v>0.33639331935734962</v>
      </c>
      <c r="CE25" s="160" t="s">
        <v>215</v>
      </c>
      <c r="CF25" s="160" t="s">
        <v>216</v>
      </c>
      <c r="CG25" s="160">
        <v>0</v>
      </c>
      <c r="CH25" s="160" t="s">
        <v>217</v>
      </c>
      <c r="CI25" s="160" t="s">
        <v>168</v>
      </c>
      <c r="CJ25">
        <v>26.111498985438324</v>
      </c>
      <c r="CK25" s="158" t="s">
        <v>170</v>
      </c>
      <c r="CL25" s="158">
        <v>1</v>
      </c>
      <c r="CM25" s="158">
        <v>1</v>
      </c>
      <c r="CN25">
        <v>3.1393494185761948</v>
      </c>
      <c r="CO25">
        <v>3.1393494185761948</v>
      </c>
      <c r="CP25" s="165" t="s">
        <v>218</v>
      </c>
      <c r="CQ25" s="169">
        <v>0.05</v>
      </c>
      <c r="CR25" s="169">
        <v>0.05</v>
      </c>
      <c r="CS25" s="168" t="s">
        <v>219</v>
      </c>
      <c r="CT25" s="168" t="s">
        <v>220</v>
      </c>
      <c r="CU25" s="170" t="s">
        <v>221</v>
      </c>
      <c r="CV25" s="158" t="s">
        <v>222</v>
      </c>
      <c r="CW25" s="160" t="s">
        <v>168</v>
      </c>
      <c r="CX25" s="160" t="s">
        <v>168</v>
      </c>
      <c r="CY25" s="160" t="s">
        <v>168</v>
      </c>
      <c r="CZ25" s="160" t="s">
        <v>168</v>
      </c>
      <c r="DA25" s="160" t="s">
        <v>168</v>
      </c>
      <c r="DB25" s="160" t="s">
        <v>168</v>
      </c>
      <c r="DC25" s="160" t="s">
        <v>168</v>
      </c>
      <c r="DD25" s="160" t="s">
        <v>168</v>
      </c>
      <c r="DE25" s="160" t="s">
        <v>168</v>
      </c>
      <c r="DF25" s="160" t="s">
        <v>168</v>
      </c>
      <c r="DG25">
        <v>35</v>
      </c>
      <c r="DH25" t="s">
        <v>170</v>
      </c>
      <c r="DI25" s="160">
        <v>1.5</v>
      </c>
      <c r="DJ25" s="160" t="s">
        <v>168</v>
      </c>
      <c r="DK25" s="158" t="s">
        <v>223</v>
      </c>
      <c r="DL25" s="158" t="s">
        <v>168</v>
      </c>
      <c r="DM25" s="158" t="s">
        <v>168</v>
      </c>
      <c r="DN25" s="158" t="s">
        <v>168</v>
      </c>
      <c r="DO25" s="158" t="s">
        <v>223</v>
      </c>
      <c r="DP25" s="158" t="s">
        <v>168</v>
      </c>
      <c r="DQ25" s="158" t="s">
        <v>168</v>
      </c>
      <c r="DR25" s="158" t="s">
        <v>168</v>
      </c>
      <c r="DS25" s="158" t="s">
        <v>168</v>
      </c>
      <c r="DT25" s="158" t="s">
        <v>168</v>
      </c>
      <c r="DU25" s="158" t="s">
        <v>168</v>
      </c>
      <c r="DV25" s="158" t="s">
        <v>168</v>
      </c>
      <c r="DW25">
        <v>432.42137199754501</v>
      </c>
      <c r="DX25" s="163" t="s">
        <v>224</v>
      </c>
      <c r="DY25" s="158">
        <v>35.824782488876991</v>
      </c>
      <c r="DZ25" s="158" t="s">
        <v>225</v>
      </c>
      <c r="EA25">
        <v>39.799999999999997</v>
      </c>
      <c r="EB25" s="158" t="s">
        <v>226</v>
      </c>
      <c r="EC25">
        <v>0.31</v>
      </c>
      <c r="ED25" s="158" t="s">
        <v>227</v>
      </c>
      <c r="EE25" s="158" t="s">
        <v>228</v>
      </c>
      <c r="EF25" s="158" t="s">
        <v>293</v>
      </c>
      <c r="EG25">
        <v>1.0271999999999999</v>
      </c>
      <c r="EH25" s="158">
        <v>5.9999999999999995E-4</v>
      </c>
      <c r="EI25" s="160" t="s">
        <v>168</v>
      </c>
      <c r="EJ25" s="158" t="s">
        <v>169</v>
      </c>
      <c r="EK25" s="160" t="s">
        <v>168</v>
      </c>
      <c r="EL25" s="160" t="s">
        <v>168</v>
      </c>
      <c r="EM25" s="171" t="s">
        <v>230</v>
      </c>
      <c r="EN25" s="158" t="s">
        <v>231</v>
      </c>
      <c r="EO25" s="158" t="s">
        <v>231</v>
      </c>
      <c r="EP25" s="158" t="s">
        <v>231</v>
      </c>
      <c r="EQ25" s="158" t="s">
        <v>232</v>
      </c>
      <c r="ER25" s="160" t="s">
        <v>168</v>
      </c>
      <c r="ES25" s="160" t="s">
        <v>168</v>
      </c>
      <c r="ET25" s="160" t="s">
        <v>233</v>
      </c>
      <c r="EU25" s="158" t="s">
        <v>234</v>
      </c>
      <c r="EV25" s="158" t="s">
        <v>235</v>
      </c>
      <c r="EW25" s="146">
        <v>1913.0659405405406</v>
      </c>
      <c r="EX25" s="158" t="s">
        <v>236</v>
      </c>
      <c r="EY25" s="172">
        <f t="shared" si="0"/>
        <v>2413.0659405405404</v>
      </c>
      <c r="EZ25" s="168">
        <f t="shared" si="1"/>
        <v>1413.0659405405406</v>
      </c>
      <c r="FA25" s="160" t="s">
        <v>168</v>
      </c>
      <c r="FB25" s="160" t="s">
        <v>168</v>
      </c>
      <c r="FC25" s="160" t="s">
        <v>168</v>
      </c>
      <c r="FD25" s="160" t="s">
        <v>168</v>
      </c>
      <c r="FE25">
        <v>8.1068145935681901</v>
      </c>
      <c r="FF25" s="173" t="s">
        <v>171</v>
      </c>
      <c r="FG25">
        <v>3.5598567341939003E-2</v>
      </c>
      <c r="FH25">
        <v>3.5070045952680928E-2</v>
      </c>
      <c r="FI25" s="160">
        <f t="shared" si="2"/>
        <v>327.46199974324298</v>
      </c>
      <c r="FJ25" s="160">
        <v>30</v>
      </c>
      <c r="FK25" s="160" t="s">
        <v>168</v>
      </c>
      <c r="FL25">
        <v>297.46199974324298</v>
      </c>
      <c r="FM25">
        <v>91.745752424973034</v>
      </c>
      <c r="FN25">
        <v>88.687760576054984</v>
      </c>
      <c r="FO25" s="158" t="s">
        <v>237</v>
      </c>
      <c r="FP25" s="158" t="s">
        <v>168</v>
      </c>
      <c r="FQ25" s="158" t="s">
        <v>172</v>
      </c>
      <c r="FR25" s="158" t="s">
        <v>172</v>
      </c>
      <c r="FS25" s="158" t="s">
        <v>172</v>
      </c>
      <c r="FT25" s="158" t="s">
        <v>172</v>
      </c>
      <c r="FU25" s="158" t="s">
        <v>172</v>
      </c>
      <c r="FV25" s="158" t="s">
        <v>172</v>
      </c>
      <c r="FW25" s="158" t="s">
        <v>172</v>
      </c>
      <c r="FX25" s="158" t="s">
        <v>172</v>
      </c>
      <c r="FY25" s="158" t="s">
        <v>172</v>
      </c>
      <c r="FZ25" s="158" t="s">
        <v>172</v>
      </c>
      <c r="GA25" s="158" t="s">
        <v>172</v>
      </c>
      <c r="GB25" s="158" t="s">
        <v>172</v>
      </c>
      <c r="GC25" s="158" t="s">
        <v>357</v>
      </c>
    </row>
    <row r="26" spans="1:185" ht="20" x14ac:dyDescent="0.25">
      <c r="A26" t="s">
        <v>190</v>
      </c>
      <c r="B26" s="140" t="s">
        <v>358</v>
      </c>
      <c r="C26" s="158" t="s">
        <v>173</v>
      </c>
      <c r="D26" s="158" t="s">
        <v>188</v>
      </c>
      <c r="E26" s="158">
        <v>2022</v>
      </c>
      <c r="F26" s="158" t="s">
        <v>189</v>
      </c>
      <c r="G26">
        <v>5714.8378378378402</v>
      </c>
      <c r="H26" s="176">
        <v>15</v>
      </c>
      <c r="I26" s="176">
        <v>15</v>
      </c>
      <c r="J26" s="158">
        <v>302.05678722601698</v>
      </c>
      <c r="K26">
        <v>94.212358239671005</v>
      </c>
      <c r="L26">
        <v>87.614656331951977</v>
      </c>
      <c r="M26" t="b">
        <v>1</v>
      </c>
      <c r="N26">
        <v>1</v>
      </c>
      <c r="O26" t="s">
        <v>191</v>
      </c>
      <c r="P26" t="s">
        <v>168</v>
      </c>
      <c r="Q26" t="s">
        <v>168</v>
      </c>
      <c r="R26" t="s">
        <v>168</v>
      </c>
      <c r="S26" t="b">
        <v>0</v>
      </c>
      <c r="T26" t="b">
        <v>0</v>
      </c>
      <c r="U26" t="s">
        <v>168</v>
      </c>
      <c r="V26" t="b">
        <v>0</v>
      </c>
      <c r="W26" t="b">
        <v>0</v>
      </c>
      <c r="X26" t="s">
        <v>359</v>
      </c>
      <c r="Y26" s="159" t="s">
        <v>192</v>
      </c>
      <c r="Z26" s="158" t="s">
        <v>193</v>
      </c>
      <c r="AA26" s="160" t="s">
        <v>194</v>
      </c>
      <c r="AB26" s="160" t="s">
        <v>247</v>
      </c>
      <c r="AC26" s="158">
        <v>16</v>
      </c>
      <c r="AD26" s="158">
        <v>5</v>
      </c>
      <c r="AE26" s="158">
        <v>127</v>
      </c>
      <c r="AF26" s="158">
        <v>128.5</v>
      </c>
      <c r="AG26" s="158">
        <v>150.27000000000001</v>
      </c>
      <c r="AH26" s="158">
        <v>169.147297297297</v>
      </c>
      <c r="AI26" s="160" t="s">
        <v>196</v>
      </c>
      <c r="AJ26" s="158" t="s">
        <v>197</v>
      </c>
      <c r="AK26" s="166">
        <v>3.7212472000000001</v>
      </c>
      <c r="AL26" s="166">
        <v>-42.913286111111098</v>
      </c>
      <c r="AM26" s="160" t="s">
        <v>168</v>
      </c>
      <c r="AN26" s="160" t="s">
        <v>168</v>
      </c>
      <c r="AO26" s="158">
        <v>-3598</v>
      </c>
      <c r="AP26" s="160" t="s">
        <v>168</v>
      </c>
      <c r="AQ26" s="160" t="s">
        <v>168</v>
      </c>
      <c r="AR26" s="160" t="s">
        <v>168</v>
      </c>
      <c r="AS26" s="158">
        <v>5714.8378378378402</v>
      </c>
      <c r="AT26" s="160" t="s">
        <v>198</v>
      </c>
      <c r="AU26" s="160" t="s">
        <v>168</v>
      </c>
      <c r="AV26" s="160" t="s">
        <v>168</v>
      </c>
      <c r="AW26" s="160" t="s">
        <v>250</v>
      </c>
      <c r="AX26" s="158" t="s">
        <v>200</v>
      </c>
      <c r="AY26" s="158" t="s">
        <v>201</v>
      </c>
      <c r="AZ26" s="158" t="s">
        <v>168</v>
      </c>
      <c r="BA26" s="158" t="s">
        <v>168</v>
      </c>
      <c r="BB26" s="158" t="s">
        <v>168</v>
      </c>
      <c r="BC26" s="158" t="s">
        <v>168</v>
      </c>
      <c r="BD26" s="158" t="s">
        <v>168</v>
      </c>
      <c r="BE26" s="158" t="s">
        <v>168</v>
      </c>
      <c r="BF26" s="158" t="s">
        <v>168</v>
      </c>
      <c r="BG26" s="167" t="s">
        <v>202</v>
      </c>
      <c r="BH26" s="158" t="s">
        <v>203</v>
      </c>
      <c r="BI26" s="160" t="s">
        <v>204</v>
      </c>
      <c r="BJ26" s="160" t="s">
        <v>205</v>
      </c>
      <c r="BK26" s="158" t="s">
        <v>206</v>
      </c>
      <c r="BL26" s="158" t="s">
        <v>207</v>
      </c>
      <c r="BM26" s="158" t="s">
        <v>208</v>
      </c>
      <c r="BN26" s="162" t="s">
        <v>294</v>
      </c>
      <c r="BO26" s="158">
        <v>2</v>
      </c>
      <c r="BP26" s="162" t="s">
        <v>295</v>
      </c>
      <c r="BQ26" s="168">
        <v>18.567571032266031</v>
      </c>
      <c r="BR26" s="168" t="s">
        <v>211</v>
      </c>
      <c r="BS26" s="168">
        <v>0.15989477445034975</v>
      </c>
      <c r="BT26">
        <v>0.83299999999999996</v>
      </c>
      <c r="BU26" t="s">
        <v>168</v>
      </c>
      <c r="BV26" t="s">
        <v>168</v>
      </c>
      <c r="BW26">
        <v>2.69</v>
      </c>
      <c r="BX26" t="s">
        <v>168</v>
      </c>
      <c r="BY26" t="s">
        <v>168</v>
      </c>
      <c r="BZ26" s="163" t="s">
        <v>212</v>
      </c>
      <c r="CA26" t="s">
        <v>213</v>
      </c>
      <c r="CB26" s="168">
        <v>19.060709522528249</v>
      </c>
      <c r="CC26" s="160" t="s">
        <v>214</v>
      </c>
      <c r="CD26" s="164">
        <v>0.27145901390188792</v>
      </c>
      <c r="CE26" s="160" t="s">
        <v>215</v>
      </c>
      <c r="CF26" s="160" t="s">
        <v>216</v>
      </c>
      <c r="CG26" s="160">
        <v>0</v>
      </c>
      <c r="CH26" s="160" t="s">
        <v>217</v>
      </c>
      <c r="CI26" s="160" t="s">
        <v>168</v>
      </c>
      <c r="CJ26">
        <v>26.506769276383331</v>
      </c>
      <c r="CK26" s="158" t="s">
        <v>170</v>
      </c>
      <c r="CL26" s="158">
        <v>1</v>
      </c>
      <c r="CM26" s="158">
        <v>1</v>
      </c>
      <c r="CN26">
        <v>3.2534120448841657</v>
      </c>
      <c r="CO26">
        <v>3.2534120448841657</v>
      </c>
      <c r="CP26" s="165" t="s">
        <v>218</v>
      </c>
      <c r="CQ26" s="169">
        <v>0.05</v>
      </c>
      <c r="CR26" s="169">
        <v>0.05</v>
      </c>
      <c r="CS26" s="168" t="s">
        <v>219</v>
      </c>
      <c r="CT26" s="168" t="s">
        <v>220</v>
      </c>
      <c r="CU26" s="170" t="s">
        <v>221</v>
      </c>
      <c r="CV26" s="158" t="s">
        <v>222</v>
      </c>
      <c r="CW26" s="160" t="s">
        <v>168</v>
      </c>
      <c r="CX26" s="160" t="s">
        <v>168</v>
      </c>
      <c r="CY26" s="160" t="s">
        <v>168</v>
      </c>
      <c r="CZ26" s="160" t="s">
        <v>168</v>
      </c>
      <c r="DA26" s="160" t="s">
        <v>168</v>
      </c>
      <c r="DB26" s="160" t="s">
        <v>168</v>
      </c>
      <c r="DC26" s="160" t="s">
        <v>168</v>
      </c>
      <c r="DD26" s="160" t="s">
        <v>168</v>
      </c>
      <c r="DE26" s="160" t="s">
        <v>168</v>
      </c>
      <c r="DF26" s="160" t="s">
        <v>168</v>
      </c>
      <c r="DG26">
        <v>35</v>
      </c>
      <c r="DH26" t="s">
        <v>170</v>
      </c>
      <c r="DI26" s="160">
        <v>1.5</v>
      </c>
      <c r="DJ26" s="160" t="s">
        <v>168</v>
      </c>
      <c r="DK26" s="158" t="s">
        <v>223</v>
      </c>
      <c r="DL26" s="158" t="s">
        <v>168</v>
      </c>
      <c r="DM26" s="158" t="s">
        <v>168</v>
      </c>
      <c r="DN26" s="158" t="s">
        <v>168</v>
      </c>
      <c r="DO26" s="158" t="s">
        <v>223</v>
      </c>
      <c r="DP26" s="158" t="s">
        <v>168</v>
      </c>
      <c r="DQ26" s="158" t="s">
        <v>168</v>
      </c>
      <c r="DR26" s="158" t="s">
        <v>168</v>
      </c>
      <c r="DS26" s="158" t="s">
        <v>168</v>
      </c>
      <c r="DT26" s="158" t="s">
        <v>168</v>
      </c>
      <c r="DU26" s="158" t="s">
        <v>168</v>
      </c>
      <c r="DV26" s="158" t="s">
        <v>168</v>
      </c>
      <c r="DW26">
        <v>432.54176895976201</v>
      </c>
      <c r="DX26" s="163" t="s">
        <v>224</v>
      </c>
      <c r="DY26" s="158">
        <v>36.319013451556998</v>
      </c>
      <c r="DZ26" s="158" t="s">
        <v>225</v>
      </c>
      <c r="EA26">
        <v>39.799999999999997</v>
      </c>
      <c r="EB26" s="158" t="s">
        <v>226</v>
      </c>
      <c r="EC26">
        <v>0.31</v>
      </c>
      <c r="ED26" s="158" t="s">
        <v>227</v>
      </c>
      <c r="EE26" s="158" t="s">
        <v>228</v>
      </c>
      <c r="EF26" s="158" t="s">
        <v>296</v>
      </c>
      <c r="EG26">
        <v>1.0271999999999999</v>
      </c>
      <c r="EH26" s="158">
        <v>5.9999999999999995E-4</v>
      </c>
      <c r="EI26" s="160" t="s">
        <v>168</v>
      </c>
      <c r="EJ26" s="158" t="s">
        <v>169</v>
      </c>
      <c r="EK26" s="160" t="s">
        <v>168</v>
      </c>
      <c r="EL26" s="160" t="s">
        <v>168</v>
      </c>
      <c r="EM26" s="171" t="s">
        <v>230</v>
      </c>
      <c r="EN26" s="158" t="s">
        <v>231</v>
      </c>
      <c r="EO26" s="158" t="s">
        <v>231</v>
      </c>
      <c r="EP26" s="158" t="s">
        <v>231</v>
      </c>
      <c r="EQ26" s="158" t="s">
        <v>232</v>
      </c>
      <c r="ER26" s="160" t="s">
        <v>168</v>
      </c>
      <c r="ES26" s="160" t="s">
        <v>168</v>
      </c>
      <c r="ET26" s="160" t="s">
        <v>233</v>
      </c>
      <c r="EU26" s="158" t="s">
        <v>234</v>
      </c>
      <c r="EV26" s="158" t="s">
        <v>235</v>
      </c>
      <c r="EW26" s="146">
        <v>1912.9317594594593</v>
      </c>
      <c r="EX26" s="158" t="s">
        <v>236</v>
      </c>
      <c r="EY26" s="172">
        <f t="shared" si="0"/>
        <v>2412.9317594594595</v>
      </c>
      <c r="EZ26" s="168">
        <f t="shared" si="1"/>
        <v>1412.9317594594593</v>
      </c>
      <c r="FA26" s="160" t="s">
        <v>168</v>
      </c>
      <c r="FB26" s="160" t="s">
        <v>168</v>
      </c>
      <c r="FC26" s="160" t="s">
        <v>168</v>
      </c>
      <c r="FD26" s="160" t="s">
        <v>168</v>
      </c>
      <c r="FE26">
        <v>8.1021315082109702</v>
      </c>
      <c r="FF26" s="173" t="s">
        <v>171</v>
      </c>
      <c r="FG26">
        <v>3.6763172518730514E-2</v>
      </c>
      <c r="FH26">
        <v>3.6821746708159964E-2</v>
      </c>
      <c r="FI26" s="160">
        <f t="shared" si="2"/>
        <v>332.05678722601698</v>
      </c>
      <c r="FJ26" s="160">
        <v>30</v>
      </c>
      <c r="FK26" s="160" t="s">
        <v>168</v>
      </c>
      <c r="FL26">
        <v>302.05678722601698</v>
      </c>
      <c r="FM26">
        <v>94.212358239671005</v>
      </c>
      <c r="FN26">
        <v>87.614656331951977</v>
      </c>
      <c r="FO26" s="158" t="s">
        <v>237</v>
      </c>
      <c r="FP26" s="158" t="s">
        <v>168</v>
      </c>
      <c r="FQ26" s="158" t="s">
        <v>172</v>
      </c>
      <c r="FR26" s="158" t="s">
        <v>172</v>
      </c>
      <c r="FS26" s="158" t="s">
        <v>172</v>
      </c>
      <c r="FT26" s="158" t="s">
        <v>172</v>
      </c>
      <c r="FU26" s="158" t="s">
        <v>172</v>
      </c>
      <c r="FV26" s="158" t="s">
        <v>172</v>
      </c>
      <c r="FW26" s="158" t="s">
        <v>172</v>
      </c>
      <c r="FX26" s="158" t="s">
        <v>172</v>
      </c>
      <c r="FY26" s="158" t="s">
        <v>172</v>
      </c>
      <c r="FZ26" s="158" t="s">
        <v>172</v>
      </c>
      <c r="GA26" s="158" t="s">
        <v>172</v>
      </c>
      <c r="GB26" s="158" t="s">
        <v>172</v>
      </c>
      <c r="GC26" s="158" t="s">
        <v>357</v>
      </c>
    </row>
    <row r="27" spans="1:185" ht="20" x14ac:dyDescent="0.25">
      <c r="A27" t="s">
        <v>190</v>
      </c>
      <c r="B27" s="140" t="s">
        <v>358</v>
      </c>
      <c r="C27" s="158" t="s">
        <v>173</v>
      </c>
      <c r="D27" s="158" t="s">
        <v>188</v>
      </c>
      <c r="E27" s="158">
        <v>2022</v>
      </c>
      <c r="F27" s="158" t="s">
        <v>189</v>
      </c>
      <c r="G27">
        <v>5765.98809523809</v>
      </c>
      <c r="H27" s="176">
        <v>15</v>
      </c>
      <c r="I27" s="176">
        <v>15</v>
      </c>
      <c r="J27" s="158">
        <v>409.44091853220402</v>
      </c>
      <c r="K27">
        <v>124.43010903110996</v>
      </c>
      <c r="L27">
        <v>118.352194591439</v>
      </c>
      <c r="M27" t="b">
        <v>1</v>
      </c>
      <c r="N27">
        <v>1</v>
      </c>
      <c r="O27" t="s">
        <v>191</v>
      </c>
      <c r="P27" t="s">
        <v>168</v>
      </c>
      <c r="Q27" t="s">
        <v>168</v>
      </c>
      <c r="R27" t="s">
        <v>168</v>
      </c>
      <c r="S27" t="b">
        <v>0</v>
      </c>
      <c r="T27" t="b">
        <v>0</v>
      </c>
      <c r="U27" t="s">
        <v>168</v>
      </c>
      <c r="V27" t="b">
        <v>0</v>
      </c>
      <c r="W27" t="b">
        <v>0</v>
      </c>
      <c r="X27" t="s">
        <v>359</v>
      </c>
      <c r="Y27" s="159" t="s">
        <v>192</v>
      </c>
      <c r="Z27" s="158" t="s">
        <v>193</v>
      </c>
      <c r="AA27" s="160" t="s">
        <v>194</v>
      </c>
      <c r="AB27" s="160" t="s">
        <v>195</v>
      </c>
      <c r="AC27" s="158">
        <v>17</v>
      </c>
      <c r="AD27" s="158">
        <v>2</v>
      </c>
      <c r="AE27" s="158">
        <v>7.5</v>
      </c>
      <c r="AF27" s="158">
        <v>10.5</v>
      </c>
      <c r="AG27" s="158">
        <v>151.07499999999999</v>
      </c>
      <c r="AH27" s="158">
        <v>170.215</v>
      </c>
      <c r="AI27" s="160" t="s">
        <v>196</v>
      </c>
      <c r="AJ27" s="158" t="s">
        <v>197</v>
      </c>
      <c r="AK27" s="166">
        <v>3.7212472000000001</v>
      </c>
      <c r="AL27" s="166">
        <v>-42.913286111111098</v>
      </c>
      <c r="AM27" s="160" t="s">
        <v>168</v>
      </c>
      <c r="AN27" s="160" t="s">
        <v>168</v>
      </c>
      <c r="AO27" s="158">
        <v>-3598</v>
      </c>
      <c r="AP27" s="160" t="s">
        <v>168</v>
      </c>
      <c r="AQ27" s="160" t="s">
        <v>168</v>
      </c>
      <c r="AR27" s="160" t="s">
        <v>168</v>
      </c>
      <c r="AS27" s="158">
        <v>5765.98809523809</v>
      </c>
      <c r="AT27" s="160" t="s">
        <v>198</v>
      </c>
      <c r="AU27" s="160" t="s">
        <v>168</v>
      </c>
      <c r="AV27" s="160" t="s">
        <v>168</v>
      </c>
      <c r="AW27" s="160" t="s">
        <v>250</v>
      </c>
      <c r="AX27" s="158" t="s">
        <v>200</v>
      </c>
      <c r="AY27" s="158" t="s">
        <v>201</v>
      </c>
      <c r="AZ27" s="158" t="s">
        <v>168</v>
      </c>
      <c r="BA27" s="158" t="s">
        <v>168</v>
      </c>
      <c r="BB27" s="158" t="s">
        <v>168</v>
      </c>
      <c r="BC27" s="158" t="s">
        <v>168</v>
      </c>
      <c r="BD27" s="158" t="s">
        <v>168</v>
      </c>
      <c r="BE27" s="158" t="s">
        <v>168</v>
      </c>
      <c r="BF27" s="158" t="s">
        <v>168</v>
      </c>
      <c r="BG27" s="167" t="s">
        <v>202</v>
      </c>
      <c r="BH27" s="158" t="s">
        <v>203</v>
      </c>
      <c r="BI27" s="160" t="s">
        <v>204</v>
      </c>
      <c r="BJ27" s="160" t="s">
        <v>205</v>
      </c>
      <c r="BK27" s="158" t="s">
        <v>206</v>
      </c>
      <c r="BL27" s="158" t="s">
        <v>207</v>
      </c>
      <c r="BM27" s="158" t="s">
        <v>208</v>
      </c>
      <c r="BN27" s="162" t="s">
        <v>297</v>
      </c>
      <c r="BO27" s="158">
        <v>2</v>
      </c>
      <c r="BP27" s="162" t="s">
        <v>298</v>
      </c>
      <c r="BQ27" s="168">
        <v>17.269253088770252</v>
      </c>
      <c r="BR27" s="168" t="s">
        <v>211</v>
      </c>
      <c r="BS27" s="168">
        <v>0.21885491804489648</v>
      </c>
      <c r="BT27">
        <v>0.83299999999999996</v>
      </c>
      <c r="BU27" t="s">
        <v>168</v>
      </c>
      <c r="BV27" t="s">
        <v>168</v>
      </c>
      <c r="BW27">
        <v>2.69</v>
      </c>
      <c r="BX27" t="s">
        <v>168</v>
      </c>
      <c r="BY27" t="s">
        <v>168</v>
      </c>
      <c r="BZ27" s="163" t="s">
        <v>212</v>
      </c>
      <c r="CA27" t="s">
        <v>213</v>
      </c>
      <c r="CB27" s="168">
        <v>17.502104548343642</v>
      </c>
      <c r="CC27" s="160" t="s">
        <v>214</v>
      </c>
      <c r="CD27" s="164">
        <v>0.37155773504339396</v>
      </c>
      <c r="CE27" s="160" t="s">
        <v>215</v>
      </c>
      <c r="CF27" s="160" t="s">
        <v>216</v>
      </c>
      <c r="CG27" s="160">
        <v>0</v>
      </c>
      <c r="CH27" s="160" t="s">
        <v>217</v>
      </c>
      <c r="CI27" s="160" t="s">
        <v>168</v>
      </c>
      <c r="CJ27">
        <v>24.168364630551544</v>
      </c>
      <c r="CK27" s="158" t="s">
        <v>170</v>
      </c>
      <c r="CL27" s="158">
        <v>1</v>
      </c>
      <c r="CM27" s="158">
        <v>1</v>
      </c>
      <c r="CN27">
        <v>2.6333520557794752</v>
      </c>
      <c r="CO27">
        <v>2.6333520557794752</v>
      </c>
      <c r="CP27" s="165" t="s">
        <v>218</v>
      </c>
      <c r="CQ27" s="169">
        <v>0.05</v>
      </c>
      <c r="CR27" s="169">
        <v>0.05</v>
      </c>
      <c r="CS27" s="168" t="s">
        <v>219</v>
      </c>
      <c r="CT27" s="168" t="s">
        <v>220</v>
      </c>
      <c r="CU27" s="170" t="s">
        <v>221</v>
      </c>
      <c r="CV27" s="158" t="s">
        <v>222</v>
      </c>
      <c r="CW27" s="160" t="s">
        <v>168</v>
      </c>
      <c r="CX27" s="160" t="s">
        <v>168</v>
      </c>
      <c r="CY27" s="160" t="s">
        <v>168</v>
      </c>
      <c r="CZ27" s="160" t="s">
        <v>168</v>
      </c>
      <c r="DA27" s="160" t="s">
        <v>168</v>
      </c>
      <c r="DB27" s="160" t="s">
        <v>168</v>
      </c>
      <c r="DC27" s="160" t="s">
        <v>168</v>
      </c>
      <c r="DD27" s="160" t="s">
        <v>168</v>
      </c>
      <c r="DE27" s="160" t="s">
        <v>168</v>
      </c>
      <c r="DF27" s="160" t="s">
        <v>168</v>
      </c>
      <c r="DG27">
        <v>35</v>
      </c>
      <c r="DH27" t="s">
        <v>170</v>
      </c>
      <c r="DI27" s="160">
        <v>1.5</v>
      </c>
      <c r="DJ27" s="160" t="s">
        <v>168</v>
      </c>
      <c r="DK27" s="158" t="s">
        <v>223</v>
      </c>
      <c r="DL27" s="158" t="s">
        <v>168</v>
      </c>
      <c r="DM27" s="158" t="s">
        <v>168</v>
      </c>
      <c r="DN27" s="158" t="s">
        <v>168</v>
      </c>
      <c r="DO27" s="158" t="s">
        <v>223</v>
      </c>
      <c r="DP27" s="158" t="s">
        <v>168</v>
      </c>
      <c r="DQ27" s="158" t="s">
        <v>168</v>
      </c>
      <c r="DR27" s="158" t="s">
        <v>168</v>
      </c>
      <c r="DS27" s="158" t="s">
        <v>168</v>
      </c>
      <c r="DT27" s="158" t="s">
        <v>168</v>
      </c>
      <c r="DU27" s="158" t="s">
        <v>168</v>
      </c>
      <c r="DV27" s="158" t="s">
        <v>168</v>
      </c>
      <c r="DW27">
        <v>432.74015473953898</v>
      </c>
      <c r="DX27" s="163" t="s">
        <v>224</v>
      </c>
      <c r="DY27" s="158">
        <v>37.443120165685997</v>
      </c>
      <c r="DZ27" s="158" t="s">
        <v>225</v>
      </c>
      <c r="EA27">
        <v>39.799999999999997</v>
      </c>
      <c r="EB27" s="158" t="s">
        <v>226</v>
      </c>
      <c r="EC27">
        <v>0.31</v>
      </c>
      <c r="ED27" s="158" t="s">
        <v>227</v>
      </c>
      <c r="EE27" s="158" t="s">
        <v>228</v>
      </c>
      <c r="EF27" s="158" t="s">
        <v>299</v>
      </c>
      <c r="EG27">
        <v>1.0271999999999999</v>
      </c>
      <c r="EH27" s="158">
        <v>5.9999999999999995E-4</v>
      </c>
      <c r="EI27" s="160" t="s">
        <v>168</v>
      </c>
      <c r="EJ27" s="158" t="s">
        <v>169</v>
      </c>
      <c r="EK27" s="160" t="s">
        <v>168</v>
      </c>
      <c r="EL27" s="160" t="s">
        <v>168</v>
      </c>
      <c r="EM27" s="171" t="s">
        <v>230</v>
      </c>
      <c r="EN27" s="158" t="s">
        <v>231</v>
      </c>
      <c r="EO27" s="158" t="s">
        <v>231</v>
      </c>
      <c r="EP27" s="158" t="s">
        <v>231</v>
      </c>
      <c r="EQ27" s="158" t="s">
        <v>232</v>
      </c>
      <c r="ER27" s="160" t="s">
        <v>168</v>
      </c>
      <c r="ES27" s="160" t="s">
        <v>168</v>
      </c>
      <c r="ET27" s="160" t="s">
        <v>233</v>
      </c>
      <c r="EU27" s="158" t="s">
        <v>234</v>
      </c>
      <c r="EV27" s="158" t="s">
        <v>235</v>
      </c>
      <c r="EW27" s="146">
        <v>1911.9036392857142</v>
      </c>
      <c r="EX27" s="158" t="s">
        <v>236</v>
      </c>
      <c r="EY27" s="172">
        <f t="shared" si="0"/>
        <v>2411.9036392857142</v>
      </c>
      <c r="EZ27" s="168">
        <f t="shared" si="1"/>
        <v>1411.9036392857142</v>
      </c>
      <c r="FA27" s="160" t="s">
        <v>168</v>
      </c>
      <c r="FB27" s="160" t="s">
        <v>168</v>
      </c>
      <c r="FC27" s="160" t="s">
        <v>168</v>
      </c>
      <c r="FD27" s="160" t="s">
        <v>168</v>
      </c>
      <c r="FE27">
        <v>7.9894373286990099</v>
      </c>
      <c r="FF27" s="173" t="s">
        <v>171</v>
      </c>
      <c r="FG27">
        <v>4.1159467182149356E-2</v>
      </c>
      <c r="FH27">
        <v>4.4021934299549592E-2</v>
      </c>
      <c r="FI27" s="160">
        <f t="shared" si="2"/>
        <v>439.44091853220402</v>
      </c>
      <c r="FJ27" s="160">
        <v>30</v>
      </c>
      <c r="FK27" s="160" t="s">
        <v>168</v>
      </c>
      <c r="FL27">
        <v>409.44091853220402</v>
      </c>
      <c r="FM27">
        <v>124.43010903110996</v>
      </c>
      <c r="FN27">
        <v>118.352194591439</v>
      </c>
      <c r="FO27" s="158" t="s">
        <v>237</v>
      </c>
      <c r="FP27" s="158" t="s">
        <v>168</v>
      </c>
      <c r="FQ27" s="158" t="s">
        <v>172</v>
      </c>
      <c r="FR27" s="158" t="s">
        <v>172</v>
      </c>
      <c r="FS27" s="158" t="s">
        <v>172</v>
      </c>
      <c r="FT27" s="158" t="s">
        <v>172</v>
      </c>
      <c r="FU27" s="158" t="s">
        <v>172</v>
      </c>
      <c r="FV27" s="158" t="s">
        <v>172</v>
      </c>
      <c r="FW27" s="158" t="s">
        <v>172</v>
      </c>
      <c r="FX27" s="158" t="s">
        <v>172</v>
      </c>
      <c r="FY27" s="158" t="s">
        <v>172</v>
      </c>
      <c r="FZ27" s="158" t="s">
        <v>172</v>
      </c>
      <c r="GA27" s="158" t="s">
        <v>172</v>
      </c>
      <c r="GB27" s="158" t="s">
        <v>172</v>
      </c>
      <c r="GC27" s="158" t="s">
        <v>357</v>
      </c>
    </row>
    <row r="28" spans="1:185" ht="20" x14ac:dyDescent="0.25">
      <c r="A28" t="s">
        <v>190</v>
      </c>
      <c r="B28" s="140" t="s">
        <v>358</v>
      </c>
      <c r="C28" s="158" t="s">
        <v>173</v>
      </c>
      <c r="D28" s="158" t="s">
        <v>188</v>
      </c>
      <c r="E28" s="158">
        <v>2022</v>
      </c>
      <c r="F28" s="158" t="s">
        <v>189</v>
      </c>
      <c r="G28">
        <v>5807.4042553191503</v>
      </c>
      <c r="H28" s="176">
        <v>15</v>
      </c>
      <c r="I28" s="176">
        <v>15</v>
      </c>
      <c r="J28" s="158">
        <v>294.69572877490799</v>
      </c>
      <c r="K28">
        <v>93.310157286018011</v>
      </c>
      <c r="L28">
        <v>87.984681589033983</v>
      </c>
      <c r="M28" t="b">
        <v>1</v>
      </c>
      <c r="N28">
        <v>1</v>
      </c>
      <c r="O28" t="s">
        <v>191</v>
      </c>
      <c r="P28" t="s">
        <v>168</v>
      </c>
      <c r="Q28" t="s">
        <v>168</v>
      </c>
      <c r="R28" t="s">
        <v>168</v>
      </c>
      <c r="S28" t="b">
        <v>0</v>
      </c>
      <c r="T28" t="b">
        <v>0</v>
      </c>
      <c r="U28" t="s">
        <v>168</v>
      </c>
      <c r="V28" t="b">
        <v>0</v>
      </c>
      <c r="W28" t="b">
        <v>0</v>
      </c>
      <c r="X28" t="s">
        <v>359</v>
      </c>
      <c r="Y28" s="159" t="s">
        <v>192</v>
      </c>
      <c r="Z28" s="158" t="s">
        <v>193</v>
      </c>
      <c r="AA28" s="160" t="s">
        <v>194</v>
      </c>
      <c r="AB28" s="160" t="s">
        <v>195</v>
      </c>
      <c r="AC28" s="158">
        <v>17</v>
      </c>
      <c r="AD28" s="158">
        <v>2</v>
      </c>
      <c r="AE28" s="158">
        <v>117</v>
      </c>
      <c r="AF28" s="158">
        <v>120</v>
      </c>
      <c r="AG28" s="158">
        <v>152.16999999999999</v>
      </c>
      <c r="AH28" s="158">
        <v>171.31</v>
      </c>
      <c r="AI28" s="160" t="s">
        <v>196</v>
      </c>
      <c r="AJ28" s="158" t="s">
        <v>197</v>
      </c>
      <c r="AK28" s="166">
        <v>3.7212472000000001</v>
      </c>
      <c r="AL28" s="166">
        <v>-42.913286111111098</v>
      </c>
      <c r="AM28" s="160" t="s">
        <v>168</v>
      </c>
      <c r="AN28" s="160" t="s">
        <v>168</v>
      </c>
      <c r="AO28" s="158">
        <v>-3598</v>
      </c>
      <c r="AP28" s="160" t="s">
        <v>168</v>
      </c>
      <c r="AQ28" s="160" t="s">
        <v>168</v>
      </c>
      <c r="AR28" s="160" t="s">
        <v>168</v>
      </c>
      <c r="AS28" s="158">
        <v>5807.4042553191503</v>
      </c>
      <c r="AT28" s="160" t="s">
        <v>198</v>
      </c>
      <c r="AU28" s="160" t="s">
        <v>168</v>
      </c>
      <c r="AV28" s="160" t="s">
        <v>168</v>
      </c>
      <c r="AW28" s="160" t="s">
        <v>250</v>
      </c>
      <c r="AX28" s="158" t="s">
        <v>200</v>
      </c>
      <c r="AY28" s="158" t="s">
        <v>201</v>
      </c>
      <c r="AZ28" s="158" t="s">
        <v>168</v>
      </c>
      <c r="BA28" s="158" t="s">
        <v>168</v>
      </c>
      <c r="BB28" s="158" t="s">
        <v>168</v>
      </c>
      <c r="BC28" s="158" t="s">
        <v>168</v>
      </c>
      <c r="BD28" s="158" t="s">
        <v>168</v>
      </c>
      <c r="BE28" s="158" t="s">
        <v>168</v>
      </c>
      <c r="BF28" s="158" t="s">
        <v>168</v>
      </c>
      <c r="BG28" s="167" t="s">
        <v>202</v>
      </c>
      <c r="BH28" s="158" t="s">
        <v>203</v>
      </c>
      <c r="BI28" s="160" t="s">
        <v>204</v>
      </c>
      <c r="BJ28" s="160" t="s">
        <v>205</v>
      </c>
      <c r="BK28" s="158" t="s">
        <v>206</v>
      </c>
      <c r="BL28" s="158" t="s">
        <v>207</v>
      </c>
      <c r="BM28" s="158" t="s">
        <v>208</v>
      </c>
      <c r="BN28" s="162" t="s">
        <v>300</v>
      </c>
      <c r="BO28" s="158">
        <v>2</v>
      </c>
      <c r="BP28" s="162" t="s">
        <v>258</v>
      </c>
      <c r="BQ28" s="168">
        <v>18.470498950136196</v>
      </c>
      <c r="BR28" s="168" t="s">
        <v>211</v>
      </c>
      <c r="BS28" s="168">
        <v>0.22809953528999599</v>
      </c>
      <c r="BT28">
        <v>0.83299999999999996</v>
      </c>
      <c r="BU28" t="s">
        <v>168</v>
      </c>
      <c r="BV28" t="s">
        <v>168</v>
      </c>
      <c r="BW28">
        <v>2.69</v>
      </c>
      <c r="BX28" t="s">
        <v>168</v>
      </c>
      <c r="BY28" t="s">
        <v>168</v>
      </c>
      <c r="BZ28" s="163" t="s">
        <v>212</v>
      </c>
      <c r="CA28" t="s">
        <v>213</v>
      </c>
      <c r="CB28" s="168">
        <v>18.944176410727728</v>
      </c>
      <c r="CC28" s="160" t="s">
        <v>214</v>
      </c>
      <c r="CD28" s="164">
        <v>0.38725264871321857</v>
      </c>
      <c r="CE28" s="160" t="s">
        <v>215</v>
      </c>
      <c r="CF28" s="160" t="s">
        <v>216</v>
      </c>
      <c r="CG28" s="160">
        <v>0</v>
      </c>
      <c r="CH28" s="160" t="s">
        <v>217</v>
      </c>
      <c r="CI28" s="160" t="s">
        <v>168</v>
      </c>
      <c r="CJ28">
        <v>25.371593687039493</v>
      </c>
      <c r="CK28" s="158" t="s">
        <v>170</v>
      </c>
      <c r="CL28" s="158">
        <v>1</v>
      </c>
      <c r="CM28" s="158">
        <v>1</v>
      </c>
      <c r="CN28">
        <v>2.932454330718703</v>
      </c>
      <c r="CO28">
        <v>2.932454330718703</v>
      </c>
      <c r="CP28" s="165" t="s">
        <v>218</v>
      </c>
      <c r="CQ28" s="169">
        <v>0.05</v>
      </c>
      <c r="CR28" s="169">
        <v>0.05</v>
      </c>
      <c r="CS28" s="168" t="s">
        <v>219</v>
      </c>
      <c r="CT28" s="168" t="s">
        <v>220</v>
      </c>
      <c r="CU28" s="170" t="s">
        <v>221</v>
      </c>
      <c r="CV28" s="158" t="s">
        <v>222</v>
      </c>
      <c r="CW28" s="160" t="s">
        <v>168</v>
      </c>
      <c r="CX28" s="160" t="s">
        <v>168</v>
      </c>
      <c r="CY28" s="160" t="s">
        <v>168</v>
      </c>
      <c r="CZ28" s="160" t="s">
        <v>168</v>
      </c>
      <c r="DA28" s="160" t="s">
        <v>168</v>
      </c>
      <c r="DB28" s="160" t="s">
        <v>168</v>
      </c>
      <c r="DC28" s="160" t="s">
        <v>168</v>
      </c>
      <c r="DD28" s="160" t="s">
        <v>168</v>
      </c>
      <c r="DE28" s="160" t="s">
        <v>168</v>
      </c>
      <c r="DF28" s="160" t="s">
        <v>168</v>
      </c>
      <c r="DG28">
        <v>35</v>
      </c>
      <c r="DH28" t="s">
        <v>170</v>
      </c>
      <c r="DI28" s="160">
        <v>1.5</v>
      </c>
      <c r="DJ28" s="160" t="s">
        <v>168</v>
      </c>
      <c r="DK28" s="158" t="s">
        <v>223</v>
      </c>
      <c r="DL28" s="158" t="s">
        <v>168</v>
      </c>
      <c r="DM28" s="158" t="s">
        <v>168</v>
      </c>
      <c r="DN28" s="158" t="s">
        <v>168</v>
      </c>
      <c r="DO28" s="158" t="s">
        <v>223</v>
      </c>
      <c r="DP28" s="158" t="s">
        <v>168</v>
      </c>
      <c r="DQ28" s="158" t="s">
        <v>168</v>
      </c>
      <c r="DR28" s="158" t="s">
        <v>168</v>
      </c>
      <c r="DS28" s="158" t="s">
        <v>168</v>
      </c>
      <c r="DT28" s="158" t="s">
        <v>168</v>
      </c>
      <c r="DU28" s="158" t="s">
        <v>168</v>
      </c>
      <c r="DV28" s="158" t="s">
        <v>168</v>
      </c>
      <c r="DW28">
        <v>432.83333462982898</v>
      </c>
      <c r="DX28" s="163" t="s">
        <v>224</v>
      </c>
      <c r="DY28" s="158">
        <v>36.407308699236495</v>
      </c>
      <c r="DZ28" s="158" t="s">
        <v>225</v>
      </c>
      <c r="EA28">
        <v>39.799999999999997</v>
      </c>
      <c r="EB28" s="158" t="s">
        <v>226</v>
      </c>
      <c r="EC28">
        <v>0.31</v>
      </c>
      <c r="ED28" s="158" t="s">
        <v>227</v>
      </c>
      <c r="EE28" s="158" t="s">
        <v>228</v>
      </c>
      <c r="EF28" s="158" t="s">
        <v>301</v>
      </c>
      <c r="EG28">
        <v>1.0271999999999999</v>
      </c>
      <c r="EH28" s="158">
        <v>5.9999999999999995E-4</v>
      </c>
      <c r="EI28" s="160" t="s">
        <v>168</v>
      </c>
      <c r="EJ28" s="158" t="s">
        <v>169</v>
      </c>
      <c r="EK28" s="160" t="s">
        <v>168</v>
      </c>
      <c r="EL28" s="160" t="s">
        <v>168</v>
      </c>
      <c r="EM28" s="171" t="s">
        <v>230</v>
      </c>
      <c r="EN28" s="158" t="s">
        <v>231</v>
      </c>
      <c r="EO28" s="158" t="s">
        <v>231</v>
      </c>
      <c r="EP28" s="158" t="s">
        <v>231</v>
      </c>
      <c r="EQ28" s="158" t="s">
        <v>232</v>
      </c>
      <c r="ER28" s="160" t="s">
        <v>168</v>
      </c>
      <c r="ES28" s="160" t="s">
        <v>168</v>
      </c>
      <c r="ET28" s="160" t="s">
        <v>233</v>
      </c>
      <c r="EU28" s="158" t="s">
        <v>234</v>
      </c>
      <c r="EV28" s="158" t="s">
        <v>235</v>
      </c>
      <c r="EW28" s="146">
        <v>1911.071174468085</v>
      </c>
      <c r="EX28" s="158" t="s">
        <v>236</v>
      </c>
      <c r="EY28" s="172">
        <f t="shared" si="0"/>
        <v>2411.0711744680848</v>
      </c>
      <c r="EZ28" s="168">
        <f t="shared" si="1"/>
        <v>1411.071174468085</v>
      </c>
      <c r="FA28" s="160" t="s">
        <v>168</v>
      </c>
      <c r="FB28" s="160" t="s">
        <v>168</v>
      </c>
      <c r="FC28" s="160" t="s">
        <v>168</v>
      </c>
      <c r="FD28" s="160" t="s">
        <v>168</v>
      </c>
      <c r="FE28">
        <v>8.1099470881090596</v>
      </c>
      <c r="FF28" s="173" t="s">
        <v>171</v>
      </c>
      <c r="FG28">
        <v>3.7753468192830653E-2</v>
      </c>
      <c r="FH28">
        <v>3.8095947584698919E-2</v>
      </c>
      <c r="FI28" s="160">
        <f t="shared" si="2"/>
        <v>324.69572877490799</v>
      </c>
      <c r="FJ28" s="160">
        <v>30</v>
      </c>
      <c r="FK28" s="160" t="s">
        <v>168</v>
      </c>
      <c r="FL28">
        <v>294.69572877490799</v>
      </c>
      <c r="FM28">
        <v>93.310157286018011</v>
      </c>
      <c r="FN28">
        <v>87.984681589033983</v>
      </c>
      <c r="FO28" s="158" t="s">
        <v>237</v>
      </c>
      <c r="FP28" s="158" t="s">
        <v>168</v>
      </c>
      <c r="FQ28" s="158" t="s">
        <v>172</v>
      </c>
      <c r="FR28" s="158" t="s">
        <v>172</v>
      </c>
      <c r="FS28" s="158" t="s">
        <v>172</v>
      </c>
      <c r="FT28" s="158" t="s">
        <v>172</v>
      </c>
      <c r="FU28" s="158" t="s">
        <v>172</v>
      </c>
      <c r="FV28" s="158" t="s">
        <v>172</v>
      </c>
      <c r="FW28" s="158" t="s">
        <v>172</v>
      </c>
      <c r="FX28" s="158" t="s">
        <v>172</v>
      </c>
      <c r="FY28" s="158" t="s">
        <v>172</v>
      </c>
      <c r="FZ28" s="158" t="s">
        <v>172</v>
      </c>
      <c r="GA28" s="158" t="s">
        <v>172</v>
      </c>
      <c r="GB28" s="158" t="s">
        <v>172</v>
      </c>
      <c r="GC28" s="158" t="s">
        <v>357</v>
      </c>
    </row>
    <row r="29" spans="1:185" ht="20" x14ac:dyDescent="0.25">
      <c r="A29" t="s">
        <v>190</v>
      </c>
      <c r="B29" s="140" t="s">
        <v>358</v>
      </c>
      <c r="C29" s="158" t="s">
        <v>173</v>
      </c>
      <c r="D29" s="158" t="s">
        <v>188</v>
      </c>
      <c r="E29" s="158">
        <v>2022</v>
      </c>
      <c r="F29" s="158" t="s">
        <v>189</v>
      </c>
      <c r="G29">
        <v>5852.1948051948102</v>
      </c>
      <c r="H29" s="176">
        <v>15</v>
      </c>
      <c r="I29" s="176">
        <v>15</v>
      </c>
      <c r="J29" s="158">
        <v>283.04729183107901</v>
      </c>
      <c r="K29">
        <v>86.691544940139977</v>
      </c>
      <c r="L29">
        <v>84.652719182650003</v>
      </c>
      <c r="M29" t="b">
        <v>1</v>
      </c>
      <c r="N29">
        <v>1</v>
      </c>
      <c r="O29" t="s">
        <v>191</v>
      </c>
      <c r="P29" t="s">
        <v>168</v>
      </c>
      <c r="Q29" t="s">
        <v>168</v>
      </c>
      <c r="R29" t="s">
        <v>168</v>
      </c>
      <c r="S29" t="b">
        <v>0</v>
      </c>
      <c r="T29" t="b">
        <v>0</v>
      </c>
      <c r="U29" t="s">
        <v>168</v>
      </c>
      <c r="V29" t="b">
        <v>0</v>
      </c>
      <c r="W29" t="b">
        <v>0</v>
      </c>
      <c r="X29" t="s">
        <v>359</v>
      </c>
      <c r="Y29" s="159" t="s">
        <v>192</v>
      </c>
      <c r="Z29" s="158" t="s">
        <v>193</v>
      </c>
      <c r="AA29" s="160" t="s">
        <v>194</v>
      </c>
      <c r="AB29" s="160" t="s">
        <v>195</v>
      </c>
      <c r="AC29" s="158">
        <v>17</v>
      </c>
      <c r="AD29" s="158">
        <v>3</v>
      </c>
      <c r="AE29" s="158">
        <v>80</v>
      </c>
      <c r="AF29" s="158">
        <v>83</v>
      </c>
      <c r="AG29" s="158">
        <v>153.30000000000001</v>
      </c>
      <c r="AH29" s="158">
        <v>172.44</v>
      </c>
      <c r="AI29" s="160" t="s">
        <v>196</v>
      </c>
      <c r="AJ29" s="158" t="s">
        <v>197</v>
      </c>
      <c r="AK29" s="166">
        <v>3.7212472000000001</v>
      </c>
      <c r="AL29" s="166">
        <v>-42.913286111111098</v>
      </c>
      <c r="AM29" s="160" t="s">
        <v>168</v>
      </c>
      <c r="AN29" s="160" t="s">
        <v>168</v>
      </c>
      <c r="AO29" s="158">
        <v>-3598</v>
      </c>
      <c r="AP29" s="160" t="s">
        <v>168</v>
      </c>
      <c r="AQ29" s="160" t="s">
        <v>168</v>
      </c>
      <c r="AR29" s="160" t="s">
        <v>168</v>
      </c>
      <c r="AS29" s="158">
        <v>5852.1948051948102</v>
      </c>
      <c r="AT29" s="160" t="s">
        <v>198</v>
      </c>
      <c r="AU29" s="160" t="s">
        <v>168</v>
      </c>
      <c r="AV29" s="160" t="s">
        <v>168</v>
      </c>
      <c r="AW29" s="160" t="s">
        <v>250</v>
      </c>
      <c r="AX29" s="158" t="s">
        <v>200</v>
      </c>
      <c r="AY29" s="158" t="s">
        <v>201</v>
      </c>
      <c r="AZ29" s="158" t="s">
        <v>168</v>
      </c>
      <c r="BA29" s="158" t="s">
        <v>168</v>
      </c>
      <c r="BB29" s="158" t="s">
        <v>168</v>
      </c>
      <c r="BC29" s="158" t="s">
        <v>168</v>
      </c>
      <c r="BD29" s="158" t="s">
        <v>168</v>
      </c>
      <c r="BE29" s="158" t="s">
        <v>168</v>
      </c>
      <c r="BF29" s="158" t="s">
        <v>168</v>
      </c>
      <c r="BG29" s="167" t="s">
        <v>202</v>
      </c>
      <c r="BH29" s="158" t="s">
        <v>203</v>
      </c>
      <c r="BI29" s="160" t="s">
        <v>204</v>
      </c>
      <c r="BJ29" s="160" t="s">
        <v>205</v>
      </c>
      <c r="BK29" s="158" t="s">
        <v>206</v>
      </c>
      <c r="BL29" s="158" t="s">
        <v>207</v>
      </c>
      <c r="BM29" s="158" t="s">
        <v>208</v>
      </c>
      <c r="BN29" s="162" t="s">
        <v>302</v>
      </c>
      <c r="BO29" s="158">
        <v>2</v>
      </c>
      <c r="BP29" s="162" t="s">
        <v>303</v>
      </c>
      <c r="BQ29" s="168">
        <v>18.618352054252775</v>
      </c>
      <c r="BR29" s="168" t="s">
        <v>211</v>
      </c>
      <c r="BS29" s="168">
        <v>0.15371707086633868</v>
      </c>
      <c r="BT29">
        <v>0.83299999999999996</v>
      </c>
      <c r="BU29" t="s">
        <v>168</v>
      </c>
      <c r="BV29" t="s">
        <v>168</v>
      </c>
      <c r="BW29">
        <v>2.69</v>
      </c>
      <c r="BX29" t="s">
        <v>168</v>
      </c>
      <c r="BY29" t="s">
        <v>168</v>
      </c>
      <c r="BZ29" s="163" t="s">
        <v>212</v>
      </c>
      <c r="CA29" t="s">
        <v>213</v>
      </c>
      <c r="CB29" s="168">
        <v>19.121671133556752</v>
      </c>
      <c r="CC29" s="160" t="s">
        <v>214</v>
      </c>
      <c r="CD29" s="164">
        <v>0.26097090802814082</v>
      </c>
      <c r="CE29" s="160" t="s">
        <v>215</v>
      </c>
      <c r="CF29" s="160" t="s">
        <v>216</v>
      </c>
      <c r="CG29" s="160">
        <v>0</v>
      </c>
      <c r="CH29" s="160" t="s">
        <v>217</v>
      </c>
      <c r="CI29" s="160" t="s">
        <v>168</v>
      </c>
      <c r="CJ29">
        <v>25.409656202622962</v>
      </c>
      <c r="CK29" s="158" t="s">
        <v>170</v>
      </c>
      <c r="CL29" s="158">
        <v>1</v>
      </c>
      <c r="CM29" s="158">
        <v>1</v>
      </c>
      <c r="CN29">
        <v>2.9402656358183261</v>
      </c>
      <c r="CO29">
        <v>2.9402656358183261</v>
      </c>
      <c r="CP29" s="165" t="s">
        <v>218</v>
      </c>
      <c r="CQ29" s="169">
        <v>0.05</v>
      </c>
      <c r="CR29" s="169">
        <v>0.05</v>
      </c>
      <c r="CS29" s="168" t="s">
        <v>219</v>
      </c>
      <c r="CT29" s="168" t="s">
        <v>220</v>
      </c>
      <c r="CU29" s="170" t="s">
        <v>221</v>
      </c>
      <c r="CV29" s="158" t="s">
        <v>222</v>
      </c>
      <c r="CW29" s="160" t="s">
        <v>168</v>
      </c>
      <c r="CX29" s="160" t="s">
        <v>168</v>
      </c>
      <c r="CY29" s="160" t="s">
        <v>168</v>
      </c>
      <c r="CZ29" s="160" t="s">
        <v>168</v>
      </c>
      <c r="DA29" s="160" t="s">
        <v>168</v>
      </c>
      <c r="DB29" s="160" t="s">
        <v>168</v>
      </c>
      <c r="DC29" s="160" t="s">
        <v>168</v>
      </c>
      <c r="DD29" s="160" t="s">
        <v>168</v>
      </c>
      <c r="DE29" s="160" t="s">
        <v>168</v>
      </c>
      <c r="DF29" s="160" t="s">
        <v>168</v>
      </c>
      <c r="DG29">
        <v>35</v>
      </c>
      <c r="DH29" t="s">
        <v>170</v>
      </c>
      <c r="DI29" s="160">
        <v>1.5</v>
      </c>
      <c r="DJ29" s="160" t="s">
        <v>168</v>
      </c>
      <c r="DK29" s="158" t="s">
        <v>223</v>
      </c>
      <c r="DL29" s="158" t="s">
        <v>168</v>
      </c>
      <c r="DM29" s="158" t="s">
        <v>168</v>
      </c>
      <c r="DN29" s="158" t="s">
        <v>168</v>
      </c>
      <c r="DO29" s="158" t="s">
        <v>223</v>
      </c>
      <c r="DP29" s="158" t="s">
        <v>168</v>
      </c>
      <c r="DQ29" s="158" t="s">
        <v>168</v>
      </c>
      <c r="DR29" s="158" t="s">
        <v>168</v>
      </c>
      <c r="DS29" s="158" t="s">
        <v>168</v>
      </c>
      <c r="DT29" s="158" t="s">
        <v>168</v>
      </c>
      <c r="DU29" s="158" t="s">
        <v>168</v>
      </c>
      <c r="DV29" s="158" t="s">
        <v>168</v>
      </c>
      <c r="DW29">
        <v>432.621796983541</v>
      </c>
      <c r="DX29" s="163" t="s">
        <v>224</v>
      </c>
      <c r="DY29" s="158">
        <v>36.46393919986798</v>
      </c>
      <c r="DZ29" s="158" t="s">
        <v>225</v>
      </c>
      <c r="EA29">
        <v>39.799999999999997</v>
      </c>
      <c r="EB29" s="158" t="s">
        <v>226</v>
      </c>
      <c r="EC29">
        <v>0.31</v>
      </c>
      <c r="ED29" s="158" t="s">
        <v>227</v>
      </c>
      <c r="EE29" s="158" t="s">
        <v>228</v>
      </c>
      <c r="EF29" s="158" t="s">
        <v>304</v>
      </c>
      <c r="EG29">
        <v>1.0271999999999999</v>
      </c>
      <c r="EH29" s="158">
        <v>5.9999999999999995E-4</v>
      </c>
      <c r="EI29" s="160" t="s">
        <v>168</v>
      </c>
      <c r="EJ29" s="158" t="s">
        <v>169</v>
      </c>
      <c r="EK29" s="160" t="s">
        <v>168</v>
      </c>
      <c r="EL29" s="160" t="s">
        <v>168</v>
      </c>
      <c r="EM29" s="171" t="s">
        <v>230</v>
      </c>
      <c r="EN29" s="158" t="s">
        <v>231</v>
      </c>
      <c r="EO29" s="158" t="s">
        <v>231</v>
      </c>
      <c r="EP29" s="158" t="s">
        <v>231</v>
      </c>
      <c r="EQ29" s="158" t="s">
        <v>232</v>
      </c>
      <c r="ER29" s="160" t="s">
        <v>168</v>
      </c>
      <c r="ES29" s="160" t="s">
        <v>168</v>
      </c>
      <c r="ET29" s="160" t="s">
        <v>233</v>
      </c>
      <c r="EU29" s="158" t="s">
        <v>234</v>
      </c>
      <c r="EV29" s="158" t="s">
        <v>235</v>
      </c>
      <c r="EW29" s="146">
        <v>1910.1708844155842</v>
      </c>
      <c r="EX29" s="158" t="s">
        <v>236</v>
      </c>
      <c r="EY29" s="172">
        <f t="shared" si="0"/>
        <v>2410.1708844155842</v>
      </c>
      <c r="EZ29" s="168">
        <f t="shared" si="1"/>
        <v>1410.1708844155842</v>
      </c>
      <c r="FA29" s="160" t="s">
        <v>168</v>
      </c>
      <c r="FB29" s="160" t="s">
        <v>168</v>
      </c>
      <c r="FC29" s="160" t="s">
        <v>168</v>
      </c>
      <c r="FD29" s="160" t="s">
        <v>168</v>
      </c>
      <c r="FE29">
        <v>8.1247686320589398</v>
      </c>
      <c r="FF29" s="173" t="s">
        <v>171</v>
      </c>
      <c r="FG29">
        <v>3.3930490405429836E-2</v>
      </c>
      <c r="FH29">
        <v>3.4271627867170196E-2</v>
      </c>
      <c r="FI29" s="160">
        <f t="shared" si="2"/>
        <v>313.04729183107901</v>
      </c>
      <c r="FJ29" s="160">
        <v>30</v>
      </c>
      <c r="FK29" s="160" t="s">
        <v>168</v>
      </c>
      <c r="FL29">
        <v>283.04729183107901</v>
      </c>
      <c r="FM29">
        <v>86.691544940139977</v>
      </c>
      <c r="FN29">
        <v>84.652719182650003</v>
      </c>
      <c r="FO29" s="158" t="s">
        <v>237</v>
      </c>
      <c r="FP29" s="158" t="s">
        <v>168</v>
      </c>
      <c r="FQ29" s="158" t="s">
        <v>172</v>
      </c>
      <c r="FR29" s="158" t="s">
        <v>172</v>
      </c>
      <c r="FS29" s="158" t="s">
        <v>172</v>
      </c>
      <c r="FT29" s="158" t="s">
        <v>172</v>
      </c>
      <c r="FU29" s="158" t="s">
        <v>172</v>
      </c>
      <c r="FV29" s="158" t="s">
        <v>172</v>
      </c>
      <c r="FW29" s="158" t="s">
        <v>172</v>
      </c>
      <c r="FX29" s="158" t="s">
        <v>172</v>
      </c>
      <c r="FY29" s="158" t="s">
        <v>172</v>
      </c>
      <c r="FZ29" s="158" t="s">
        <v>172</v>
      </c>
      <c r="GA29" s="158" t="s">
        <v>172</v>
      </c>
      <c r="GB29" s="158" t="s">
        <v>172</v>
      </c>
      <c r="GC29" s="158" t="s">
        <v>357</v>
      </c>
    </row>
    <row r="30" spans="1:185" ht="20" x14ac:dyDescent="0.25">
      <c r="A30" t="s">
        <v>190</v>
      </c>
      <c r="B30" s="140" t="s">
        <v>358</v>
      </c>
      <c r="C30" s="158" t="s">
        <v>173</v>
      </c>
      <c r="D30" s="158" t="s">
        <v>188</v>
      </c>
      <c r="E30" s="158">
        <v>2022</v>
      </c>
      <c r="F30" s="158" t="s">
        <v>189</v>
      </c>
      <c r="G30">
        <v>5892.7037037036998</v>
      </c>
      <c r="H30" s="176">
        <v>15</v>
      </c>
      <c r="I30" s="176">
        <v>15</v>
      </c>
      <c r="J30" s="158">
        <v>280.77980669710797</v>
      </c>
      <c r="K30">
        <v>86.916309983131043</v>
      </c>
      <c r="L30">
        <v>83.301956460504982</v>
      </c>
      <c r="M30" t="b">
        <v>1</v>
      </c>
      <c r="N30">
        <v>1</v>
      </c>
      <c r="O30" t="s">
        <v>191</v>
      </c>
      <c r="P30" t="s">
        <v>168</v>
      </c>
      <c r="Q30" t="s">
        <v>168</v>
      </c>
      <c r="R30" t="s">
        <v>168</v>
      </c>
      <c r="S30" t="b">
        <v>0</v>
      </c>
      <c r="T30" t="b">
        <v>0</v>
      </c>
      <c r="U30" t="s">
        <v>168</v>
      </c>
      <c r="V30" t="b">
        <v>0</v>
      </c>
      <c r="W30" t="b">
        <v>0</v>
      </c>
      <c r="X30" t="s">
        <v>359</v>
      </c>
      <c r="Y30" s="159" t="s">
        <v>192</v>
      </c>
      <c r="Z30" s="158" t="s">
        <v>193</v>
      </c>
      <c r="AA30" s="160" t="s">
        <v>194</v>
      </c>
      <c r="AB30" s="160" t="s">
        <v>195</v>
      </c>
      <c r="AC30" s="158">
        <v>17</v>
      </c>
      <c r="AD30" s="158">
        <v>4</v>
      </c>
      <c r="AE30" s="158">
        <v>22</v>
      </c>
      <c r="AF30" s="158">
        <v>25</v>
      </c>
      <c r="AG30" s="158">
        <v>154.22</v>
      </c>
      <c r="AH30" s="158">
        <v>173.36</v>
      </c>
      <c r="AI30" s="160" t="s">
        <v>196</v>
      </c>
      <c r="AJ30" s="158" t="s">
        <v>197</v>
      </c>
      <c r="AK30" s="166">
        <v>3.7212472000000001</v>
      </c>
      <c r="AL30" s="166">
        <v>-42.913286111111098</v>
      </c>
      <c r="AM30" s="160" t="s">
        <v>168</v>
      </c>
      <c r="AN30" s="160" t="s">
        <v>168</v>
      </c>
      <c r="AO30" s="158">
        <v>-3598</v>
      </c>
      <c r="AP30" s="160" t="s">
        <v>168</v>
      </c>
      <c r="AQ30" s="160" t="s">
        <v>168</v>
      </c>
      <c r="AR30" s="160" t="s">
        <v>168</v>
      </c>
      <c r="AS30" s="158">
        <v>5892.7037037036998</v>
      </c>
      <c r="AT30" s="160" t="s">
        <v>198</v>
      </c>
      <c r="AU30" s="160" t="s">
        <v>168</v>
      </c>
      <c r="AV30" s="160" t="s">
        <v>168</v>
      </c>
      <c r="AW30" s="160" t="s">
        <v>250</v>
      </c>
      <c r="AX30" s="158" t="s">
        <v>200</v>
      </c>
      <c r="AY30" s="158" t="s">
        <v>201</v>
      </c>
      <c r="AZ30" s="158" t="s">
        <v>168</v>
      </c>
      <c r="BA30" s="158" t="s">
        <v>168</v>
      </c>
      <c r="BB30" s="158" t="s">
        <v>168</v>
      </c>
      <c r="BC30" s="158" t="s">
        <v>168</v>
      </c>
      <c r="BD30" s="158" t="s">
        <v>168</v>
      </c>
      <c r="BE30" s="158" t="s">
        <v>168</v>
      </c>
      <c r="BF30" s="158" t="s">
        <v>168</v>
      </c>
      <c r="BG30" s="167" t="s">
        <v>202</v>
      </c>
      <c r="BH30" s="158" t="s">
        <v>203</v>
      </c>
      <c r="BI30" s="160" t="s">
        <v>204</v>
      </c>
      <c r="BJ30" s="160" t="s">
        <v>205</v>
      </c>
      <c r="BK30" s="158" t="s">
        <v>206</v>
      </c>
      <c r="BL30" s="158" t="s">
        <v>207</v>
      </c>
      <c r="BM30" s="158" t="s">
        <v>208</v>
      </c>
      <c r="BN30" s="162" t="s">
        <v>305</v>
      </c>
      <c r="BO30" s="158">
        <v>2</v>
      </c>
      <c r="BP30" s="162" t="s">
        <v>271</v>
      </c>
      <c r="BQ30" s="168">
        <v>18.739125231522213</v>
      </c>
      <c r="BR30" s="168" t="s">
        <v>211</v>
      </c>
      <c r="BS30" s="168">
        <v>0.16467120708083913</v>
      </c>
      <c r="BT30">
        <v>0.83299999999999996</v>
      </c>
      <c r="BU30" t="s">
        <v>168</v>
      </c>
      <c r="BV30" t="s">
        <v>168</v>
      </c>
      <c r="BW30">
        <v>2.69</v>
      </c>
      <c r="BX30" t="s">
        <v>168</v>
      </c>
      <c r="BY30" t="s">
        <v>168</v>
      </c>
      <c r="BZ30" s="163" t="s">
        <v>212</v>
      </c>
      <c r="CA30" t="s">
        <v>213</v>
      </c>
      <c r="CB30" s="168">
        <v>19.266656940602896</v>
      </c>
      <c r="CC30" s="160" t="s">
        <v>214</v>
      </c>
      <c r="CD30" s="164">
        <v>0.27956813251629131</v>
      </c>
      <c r="CE30" s="160" t="s">
        <v>215</v>
      </c>
      <c r="CF30" s="160" t="s">
        <v>216</v>
      </c>
      <c r="CG30" s="160">
        <v>0</v>
      </c>
      <c r="CH30" s="160" t="s">
        <v>217</v>
      </c>
      <c r="CI30" s="160" t="s">
        <v>168</v>
      </c>
      <c r="CJ30">
        <v>26.18887683426486</v>
      </c>
      <c r="CK30" s="158" t="s">
        <v>170</v>
      </c>
      <c r="CL30" s="158">
        <v>1</v>
      </c>
      <c r="CM30" s="158">
        <v>1</v>
      </c>
      <c r="CN30">
        <v>3.1516881144252835</v>
      </c>
      <c r="CO30">
        <v>3.1516881144252835</v>
      </c>
      <c r="CP30" s="165" t="s">
        <v>218</v>
      </c>
      <c r="CQ30" s="169">
        <v>0.05</v>
      </c>
      <c r="CR30" s="169">
        <v>0.05</v>
      </c>
      <c r="CS30" s="168" t="s">
        <v>219</v>
      </c>
      <c r="CT30" s="168" t="s">
        <v>220</v>
      </c>
      <c r="CU30" s="170" t="s">
        <v>221</v>
      </c>
      <c r="CV30" s="158" t="s">
        <v>222</v>
      </c>
      <c r="CW30" s="160" t="s">
        <v>168</v>
      </c>
      <c r="CX30" s="160" t="s">
        <v>168</v>
      </c>
      <c r="CY30" s="160" t="s">
        <v>168</v>
      </c>
      <c r="CZ30" s="160" t="s">
        <v>168</v>
      </c>
      <c r="DA30" s="160" t="s">
        <v>168</v>
      </c>
      <c r="DB30" s="160" t="s">
        <v>168</v>
      </c>
      <c r="DC30" s="160" t="s">
        <v>168</v>
      </c>
      <c r="DD30" s="160" t="s">
        <v>168</v>
      </c>
      <c r="DE30" s="160" t="s">
        <v>168</v>
      </c>
      <c r="DF30" s="160" t="s">
        <v>168</v>
      </c>
      <c r="DG30">
        <v>35</v>
      </c>
      <c r="DH30" t="s">
        <v>170</v>
      </c>
      <c r="DI30" s="160">
        <v>1.5</v>
      </c>
      <c r="DJ30" s="160" t="s">
        <v>168</v>
      </c>
      <c r="DK30" s="158" t="s">
        <v>223</v>
      </c>
      <c r="DL30" s="158" t="s">
        <v>168</v>
      </c>
      <c r="DM30" s="158" t="s">
        <v>168</v>
      </c>
      <c r="DN30" s="158" t="s">
        <v>168</v>
      </c>
      <c r="DO30" s="158" t="s">
        <v>223</v>
      </c>
      <c r="DP30" s="158" t="s">
        <v>168</v>
      </c>
      <c r="DQ30" s="158" t="s">
        <v>168</v>
      </c>
      <c r="DR30" s="158" t="s">
        <v>168</v>
      </c>
      <c r="DS30" s="158" t="s">
        <v>168</v>
      </c>
      <c r="DT30" s="158" t="s">
        <v>168</v>
      </c>
      <c r="DU30" s="158" t="s">
        <v>168</v>
      </c>
      <c r="DV30" s="158" t="s">
        <v>168</v>
      </c>
      <c r="DW30">
        <v>432.44984083522797</v>
      </c>
      <c r="DX30" s="163" t="s">
        <v>224</v>
      </c>
      <c r="DY30" s="158">
        <v>36.669410888999494</v>
      </c>
      <c r="DZ30" s="158" t="s">
        <v>225</v>
      </c>
      <c r="EA30">
        <v>39.799999999999997</v>
      </c>
      <c r="EB30" s="158" t="s">
        <v>226</v>
      </c>
      <c r="EC30">
        <v>0.31</v>
      </c>
      <c r="ED30" s="158" t="s">
        <v>227</v>
      </c>
      <c r="EE30" s="158" t="s">
        <v>228</v>
      </c>
      <c r="EF30" s="158" t="s">
        <v>306</v>
      </c>
      <c r="EG30">
        <v>1.0271999999999999</v>
      </c>
      <c r="EH30" s="158">
        <v>5.9999999999999995E-4</v>
      </c>
      <c r="EI30" s="160" t="s">
        <v>168</v>
      </c>
      <c r="EJ30" s="158" t="s">
        <v>169</v>
      </c>
      <c r="EK30" s="160" t="s">
        <v>168</v>
      </c>
      <c r="EL30" s="160" t="s">
        <v>168</v>
      </c>
      <c r="EM30" s="171" t="s">
        <v>230</v>
      </c>
      <c r="EN30" s="158" t="s">
        <v>231</v>
      </c>
      <c r="EO30" s="158" t="s">
        <v>231</v>
      </c>
      <c r="EP30" s="158" t="s">
        <v>231</v>
      </c>
      <c r="EQ30" s="158" t="s">
        <v>232</v>
      </c>
      <c r="ER30" s="160" t="s">
        <v>168</v>
      </c>
      <c r="ES30" s="160" t="s">
        <v>168</v>
      </c>
      <c r="ET30" s="160" t="s">
        <v>233</v>
      </c>
      <c r="EU30" s="158" t="s">
        <v>234</v>
      </c>
      <c r="EV30" s="158" t="s">
        <v>235</v>
      </c>
      <c r="EW30" s="146">
        <v>1909.3566555555556</v>
      </c>
      <c r="EX30" s="158" t="s">
        <v>236</v>
      </c>
      <c r="EY30" s="172">
        <f t="shared" si="0"/>
        <v>2409.3566555555553</v>
      </c>
      <c r="EZ30" s="168">
        <f t="shared" si="1"/>
        <v>1409.3566555555556</v>
      </c>
      <c r="FA30" s="160" t="s">
        <v>168</v>
      </c>
      <c r="FB30" s="160" t="s">
        <v>168</v>
      </c>
      <c r="FC30" s="160" t="s">
        <v>168</v>
      </c>
      <c r="FD30" s="160" t="s">
        <v>168</v>
      </c>
      <c r="FE30">
        <v>8.1275982399391697</v>
      </c>
      <c r="FF30" s="173" t="s">
        <v>171</v>
      </c>
      <c r="FG30">
        <v>3.4617545764440649E-2</v>
      </c>
      <c r="FH30">
        <v>3.3991534942000357E-2</v>
      </c>
      <c r="FI30" s="160">
        <f t="shared" si="2"/>
        <v>310.77980669710797</v>
      </c>
      <c r="FJ30" s="160">
        <v>30</v>
      </c>
      <c r="FK30" s="160" t="s">
        <v>168</v>
      </c>
      <c r="FL30">
        <v>280.77980669710797</v>
      </c>
      <c r="FM30">
        <v>86.916309983131043</v>
      </c>
      <c r="FN30">
        <v>83.301956460504982</v>
      </c>
      <c r="FO30" s="158" t="s">
        <v>237</v>
      </c>
      <c r="FP30" s="158" t="s">
        <v>168</v>
      </c>
      <c r="FQ30" s="158" t="s">
        <v>172</v>
      </c>
      <c r="FR30" s="158" t="s">
        <v>172</v>
      </c>
      <c r="FS30" s="158" t="s">
        <v>172</v>
      </c>
      <c r="FT30" s="158" t="s">
        <v>172</v>
      </c>
      <c r="FU30" s="158" t="s">
        <v>172</v>
      </c>
      <c r="FV30" s="158" t="s">
        <v>172</v>
      </c>
      <c r="FW30" s="158" t="s">
        <v>172</v>
      </c>
      <c r="FX30" s="158" t="s">
        <v>172</v>
      </c>
      <c r="FY30" s="158" t="s">
        <v>172</v>
      </c>
      <c r="FZ30" s="158" t="s">
        <v>172</v>
      </c>
      <c r="GA30" s="158" t="s">
        <v>172</v>
      </c>
      <c r="GB30" s="158" t="s">
        <v>172</v>
      </c>
      <c r="GC30" s="158" t="s">
        <v>357</v>
      </c>
    </row>
    <row r="31" spans="1:185" ht="20" x14ac:dyDescent="0.25">
      <c r="A31" t="s">
        <v>190</v>
      </c>
      <c r="B31" s="140" t="s">
        <v>358</v>
      </c>
      <c r="C31" s="158" t="s">
        <v>173</v>
      </c>
      <c r="D31" s="158" t="s">
        <v>188</v>
      </c>
      <c r="E31" s="158">
        <v>2022</v>
      </c>
      <c r="F31" s="158" t="s">
        <v>189</v>
      </c>
      <c r="G31">
        <v>5971.375</v>
      </c>
      <c r="H31" s="176">
        <v>15</v>
      </c>
      <c r="I31" s="176">
        <v>15</v>
      </c>
      <c r="J31" s="158">
        <v>302.77521052500498</v>
      </c>
      <c r="K31">
        <v>91.800804951115992</v>
      </c>
      <c r="L31">
        <v>91.373603026678978</v>
      </c>
      <c r="M31" t="b">
        <v>1</v>
      </c>
      <c r="N31">
        <v>1</v>
      </c>
      <c r="O31" t="s">
        <v>191</v>
      </c>
      <c r="P31" t="s">
        <v>168</v>
      </c>
      <c r="Q31" t="s">
        <v>168</v>
      </c>
      <c r="R31" t="s">
        <v>168</v>
      </c>
      <c r="S31" t="b">
        <v>0</v>
      </c>
      <c r="T31" t="b">
        <v>0</v>
      </c>
      <c r="U31" t="s">
        <v>168</v>
      </c>
      <c r="V31" t="b">
        <v>0</v>
      </c>
      <c r="W31" t="b">
        <v>0</v>
      </c>
      <c r="X31" t="s">
        <v>359</v>
      </c>
      <c r="Y31" s="159" t="s">
        <v>192</v>
      </c>
      <c r="Z31" s="158" t="s">
        <v>193</v>
      </c>
      <c r="AA31" s="160" t="s">
        <v>194</v>
      </c>
      <c r="AB31" s="160" t="s">
        <v>247</v>
      </c>
      <c r="AC31" s="158">
        <v>17</v>
      </c>
      <c r="AD31" s="158">
        <v>3</v>
      </c>
      <c r="AE31" s="158">
        <v>4</v>
      </c>
      <c r="AF31" s="158">
        <v>7</v>
      </c>
      <c r="AG31" s="158">
        <v>155.54</v>
      </c>
      <c r="AH31" s="158">
        <v>174.94</v>
      </c>
      <c r="AI31" s="160" t="s">
        <v>196</v>
      </c>
      <c r="AJ31" s="158" t="s">
        <v>197</v>
      </c>
      <c r="AK31" s="166">
        <v>3.7212472000000001</v>
      </c>
      <c r="AL31" s="166">
        <v>-42.913286111111098</v>
      </c>
      <c r="AM31" s="160" t="s">
        <v>168</v>
      </c>
      <c r="AN31" s="160" t="s">
        <v>168</v>
      </c>
      <c r="AO31" s="158">
        <v>-3598</v>
      </c>
      <c r="AP31" s="160" t="s">
        <v>168</v>
      </c>
      <c r="AQ31" s="160" t="s">
        <v>168</v>
      </c>
      <c r="AR31" s="160" t="s">
        <v>168</v>
      </c>
      <c r="AS31" s="158">
        <v>5971.375</v>
      </c>
      <c r="AT31" s="160" t="s">
        <v>198</v>
      </c>
      <c r="AU31" s="160" t="s">
        <v>168</v>
      </c>
      <c r="AV31" s="160" t="s">
        <v>168</v>
      </c>
      <c r="AW31" s="160" t="s">
        <v>250</v>
      </c>
      <c r="AX31" s="158" t="s">
        <v>200</v>
      </c>
      <c r="AY31" s="158" t="s">
        <v>201</v>
      </c>
      <c r="AZ31" s="158" t="s">
        <v>168</v>
      </c>
      <c r="BA31" s="158" t="s">
        <v>168</v>
      </c>
      <c r="BB31" s="158" t="s">
        <v>168</v>
      </c>
      <c r="BC31" s="158" t="s">
        <v>168</v>
      </c>
      <c r="BD31" s="158" t="s">
        <v>168</v>
      </c>
      <c r="BE31" s="158" t="s">
        <v>168</v>
      </c>
      <c r="BF31" s="158" t="s">
        <v>168</v>
      </c>
      <c r="BG31" s="167" t="s">
        <v>202</v>
      </c>
      <c r="BH31" s="158" t="s">
        <v>203</v>
      </c>
      <c r="BI31" s="160" t="s">
        <v>204</v>
      </c>
      <c r="BJ31" s="160" t="s">
        <v>205</v>
      </c>
      <c r="BK31" s="158" t="s">
        <v>206</v>
      </c>
      <c r="BL31" s="158" t="s">
        <v>207</v>
      </c>
      <c r="BM31" s="158" t="s">
        <v>208</v>
      </c>
      <c r="BN31" s="162" t="s">
        <v>307</v>
      </c>
      <c r="BO31" s="158">
        <v>2</v>
      </c>
      <c r="BP31" s="162" t="s">
        <v>261</v>
      </c>
      <c r="BQ31" s="168">
        <v>18.359772997095348</v>
      </c>
      <c r="BR31" s="168" t="s">
        <v>211</v>
      </c>
      <c r="BS31" s="168">
        <v>0.17281369044333536</v>
      </c>
      <c r="BT31">
        <v>0.83299999999999996</v>
      </c>
      <c r="BU31" t="s">
        <v>168</v>
      </c>
      <c r="BV31" t="s">
        <v>168</v>
      </c>
      <c r="BW31">
        <v>2.69</v>
      </c>
      <c r="BX31" t="s">
        <v>168</v>
      </c>
      <c r="BY31" t="s">
        <v>168</v>
      </c>
      <c r="BZ31" s="163" t="s">
        <v>212</v>
      </c>
      <c r="CA31" t="s">
        <v>213</v>
      </c>
      <c r="CB31" s="168">
        <v>18.811252097353361</v>
      </c>
      <c r="CC31" s="160" t="s">
        <v>214</v>
      </c>
      <c r="CD31" s="164">
        <v>0.29339191451225621</v>
      </c>
      <c r="CE31" s="160" t="s">
        <v>215</v>
      </c>
      <c r="CF31" s="160" t="s">
        <v>216</v>
      </c>
      <c r="CG31" s="160">
        <v>0</v>
      </c>
      <c r="CH31" s="160" t="s">
        <v>217</v>
      </c>
      <c r="CI31" s="160" t="s">
        <v>168</v>
      </c>
      <c r="CJ31">
        <v>25.278421056788602</v>
      </c>
      <c r="CK31" s="158" t="s">
        <v>170</v>
      </c>
      <c r="CL31" s="158">
        <v>1</v>
      </c>
      <c r="CM31" s="158">
        <v>1</v>
      </c>
      <c r="CN31">
        <v>2.8998412640594293</v>
      </c>
      <c r="CO31">
        <v>2.8998412640594293</v>
      </c>
      <c r="CP31" s="165" t="s">
        <v>218</v>
      </c>
      <c r="CQ31" s="169">
        <v>0.05</v>
      </c>
      <c r="CR31" s="169">
        <v>0.05</v>
      </c>
      <c r="CS31" s="168" t="s">
        <v>219</v>
      </c>
      <c r="CT31" s="168" t="s">
        <v>220</v>
      </c>
      <c r="CU31" s="170" t="s">
        <v>221</v>
      </c>
      <c r="CV31" s="158" t="s">
        <v>222</v>
      </c>
      <c r="CW31" s="160" t="s">
        <v>168</v>
      </c>
      <c r="CX31" s="160" t="s">
        <v>168</v>
      </c>
      <c r="CY31" s="160" t="s">
        <v>168</v>
      </c>
      <c r="CZ31" s="160" t="s">
        <v>168</v>
      </c>
      <c r="DA31" s="160" t="s">
        <v>168</v>
      </c>
      <c r="DB31" s="160" t="s">
        <v>168</v>
      </c>
      <c r="DC31" s="160" t="s">
        <v>168</v>
      </c>
      <c r="DD31" s="160" t="s">
        <v>168</v>
      </c>
      <c r="DE31" s="160" t="s">
        <v>168</v>
      </c>
      <c r="DF31" s="160" t="s">
        <v>168</v>
      </c>
      <c r="DG31">
        <v>35</v>
      </c>
      <c r="DH31" t="s">
        <v>170</v>
      </c>
      <c r="DI31" s="160">
        <v>1.5</v>
      </c>
      <c r="DJ31" s="160" t="s">
        <v>168</v>
      </c>
      <c r="DK31" s="158" t="s">
        <v>223</v>
      </c>
      <c r="DL31" s="158" t="s">
        <v>168</v>
      </c>
      <c r="DM31" s="158" t="s">
        <v>168</v>
      </c>
      <c r="DN31" s="158" t="s">
        <v>168</v>
      </c>
      <c r="DO31" s="158" t="s">
        <v>223</v>
      </c>
      <c r="DP31" s="158" t="s">
        <v>168</v>
      </c>
      <c r="DQ31" s="158" t="s">
        <v>168</v>
      </c>
      <c r="DR31" s="158" t="s">
        <v>168</v>
      </c>
      <c r="DS31" s="158" t="s">
        <v>168</v>
      </c>
      <c r="DT31" s="158" t="s">
        <v>168</v>
      </c>
      <c r="DU31" s="158" t="s">
        <v>168</v>
      </c>
      <c r="DV31" s="158" t="s">
        <v>168</v>
      </c>
      <c r="DW31">
        <v>432.50002477561799</v>
      </c>
      <c r="DX31" s="163" t="s">
        <v>224</v>
      </c>
      <c r="DY31" s="158">
        <v>36.783443942770504</v>
      </c>
      <c r="DZ31" s="158" t="s">
        <v>225</v>
      </c>
      <c r="EA31">
        <v>39.799999999999997</v>
      </c>
      <c r="EB31" s="158" t="s">
        <v>226</v>
      </c>
      <c r="EC31">
        <v>0.31</v>
      </c>
      <c r="ED31" s="158" t="s">
        <v>227</v>
      </c>
      <c r="EE31" s="158" t="s">
        <v>228</v>
      </c>
      <c r="EF31" s="158" t="s">
        <v>308</v>
      </c>
      <c r="EG31">
        <v>1.0271999999999999</v>
      </c>
      <c r="EH31" s="158">
        <v>5.9999999999999995E-4</v>
      </c>
      <c r="EI31" s="160" t="s">
        <v>168</v>
      </c>
      <c r="EJ31" s="158" t="s">
        <v>169</v>
      </c>
      <c r="EK31" s="160" t="s">
        <v>168</v>
      </c>
      <c r="EL31" s="160" t="s">
        <v>168</v>
      </c>
      <c r="EM31" s="171" t="s">
        <v>230</v>
      </c>
      <c r="EN31" s="158" t="s">
        <v>231</v>
      </c>
      <c r="EO31" s="158" t="s">
        <v>231</v>
      </c>
      <c r="EP31" s="158" t="s">
        <v>231</v>
      </c>
      <c r="EQ31" s="158" t="s">
        <v>232</v>
      </c>
      <c r="ER31" s="160" t="s">
        <v>168</v>
      </c>
      <c r="ES31" s="160" t="s">
        <v>168</v>
      </c>
      <c r="ET31" s="160" t="s">
        <v>233</v>
      </c>
      <c r="EU31" s="158" t="s">
        <v>234</v>
      </c>
      <c r="EV31" s="158" t="s">
        <v>235</v>
      </c>
      <c r="EW31" s="146">
        <v>1907.7753625</v>
      </c>
      <c r="EX31" s="158" t="s">
        <v>236</v>
      </c>
      <c r="EY31" s="172">
        <f t="shared" si="0"/>
        <v>2407.7753625</v>
      </c>
      <c r="EZ31" s="168">
        <f t="shared" si="1"/>
        <v>1407.7753625</v>
      </c>
      <c r="FA31" s="160" t="s">
        <v>168</v>
      </c>
      <c r="FB31" s="160" t="s">
        <v>168</v>
      </c>
      <c r="FC31" s="160" t="s">
        <v>168</v>
      </c>
      <c r="FD31" s="160" t="s">
        <v>168</v>
      </c>
      <c r="FE31">
        <v>8.0999380223869295</v>
      </c>
      <c r="FF31" s="173" t="s">
        <v>171</v>
      </c>
      <c r="FG31">
        <v>3.544273467201009E-2</v>
      </c>
      <c r="FH31">
        <v>3.6402445016278762E-2</v>
      </c>
      <c r="FI31" s="160">
        <f t="shared" si="2"/>
        <v>332.77521052500498</v>
      </c>
      <c r="FJ31" s="160">
        <v>30</v>
      </c>
      <c r="FK31" s="160" t="s">
        <v>168</v>
      </c>
      <c r="FL31">
        <v>302.77521052500498</v>
      </c>
      <c r="FM31">
        <v>91.800804951115992</v>
      </c>
      <c r="FN31">
        <v>91.373603026678978</v>
      </c>
      <c r="FO31" s="158" t="s">
        <v>237</v>
      </c>
      <c r="FP31" s="158" t="s">
        <v>168</v>
      </c>
      <c r="FQ31" s="158" t="s">
        <v>172</v>
      </c>
      <c r="FR31" s="158" t="s">
        <v>172</v>
      </c>
      <c r="FS31" s="158" t="s">
        <v>172</v>
      </c>
      <c r="FT31" s="158" t="s">
        <v>172</v>
      </c>
      <c r="FU31" s="158" t="s">
        <v>172</v>
      </c>
      <c r="FV31" s="158" t="s">
        <v>172</v>
      </c>
      <c r="FW31" s="158" t="s">
        <v>172</v>
      </c>
      <c r="FX31" s="158" t="s">
        <v>172</v>
      </c>
      <c r="FY31" s="158" t="s">
        <v>172</v>
      </c>
      <c r="FZ31" s="158" t="s">
        <v>172</v>
      </c>
      <c r="GA31" s="158" t="s">
        <v>172</v>
      </c>
      <c r="GB31" s="158" t="s">
        <v>172</v>
      </c>
      <c r="GC31" s="158" t="s">
        <v>357</v>
      </c>
    </row>
    <row r="32" spans="1:185" ht="20" x14ac:dyDescent="0.25">
      <c r="A32" t="s">
        <v>190</v>
      </c>
      <c r="B32" s="140" t="s">
        <v>358</v>
      </c>
      <c r="C32" s="158" t="s">
        <v>173</v>
      </c>
      <c r="D32" s="158" t="s">
        <v>188</v>
      </c>
      <c r="E32" s="158">
        <v>2022</v>
      </c>
      <c r="F32" s="158" t="s">
        <v>189</v>
      </c>
      <c r="G32">
        <v>6018.5</v>
      </c>
      <c r="H32" s="176">
        <v>15</v>
      </c>
      <c r="I32" s="176">
        <v>15</v>
      </c>
      <c r="J32" s="158">
        <v>373.58317032701399</v>
      </c>
      <c r="K32">
        <v>112.06412177582303</v>
      </c>
      <c r="L32">
        <v>110.50827105362902</v>
      </c>
      <c r="M32" t="b">
        <v>1</v>
      </c>
      <c r="N32">
        <v>1</v>
      </c>
      <c r="O32" t="s">
        <v>191</v>
      </c>
      <c r="P32" t="s">
        <v>168</v>
      </c>
      <c r="Q32" t="s">
        <v>168</v>
      </c>
      <c r="R32" t="s">
        <v>168</v>
      </c>
      <c r="S32" t="b">
        <v>0</v>
      </c>
      <c r="T32" t="b">
        <v>0</v>
      </c>
      <c r="U32" t="s">
        <v>168</v>
      </c>
      <c r="V32" t="b">
        <v>0</v>
      </c>
      <c r="W32" t="b">
        <v>0</v>
      </c>
      <c r="X32" t="s">
        <v>359</v>
      </c>
      <c r="Y32" s="159" t="s">
        <v>192</v>
      </c>
      <c r="Z32" s="158" t="s">
        <v>193</v>
      </c>
      <c r="AA32" s="160" t="s">
        <v>194</v>
      </c>
      <c r="AB32" s="160" t="s">
        <v>247</v>
      </c>
      <c r="AC32" s="158">
        <v>17</v>
      </c>
      <c r="AD32" s="158">
        <v>3</v>
      </c>
      <c r="AE32" s="158">
        <v>109</v>
      </c>
      <c r="AF32" s="158">
        <v>112</v>
      </c>
      <c r="AG32" s="158">
        <v>156.59</v>
      </c>
      <c r="AH32" s="158">
        <v>175.99</v>
      </c>
      <c r="AI32" s="160" t="s">
        <v>196</v>
      </c>
      <c r="AJ32" s="158" t="s">
        <v>197</v>
      </c>
      <c r="AK32" s="166">
        <v>3.7212472000000001</v>
      </c>
      <c r="AL32" s="166">
        <v>-42.913286111111098</v>
      </c>
      <c r="AM32" s="160" t="s">
        <v>168</v>
      </c>
      <c r="AN32" s="160" t="s">
        <v>168</v>
      </c>
      <c r="AO32" s="158">
        <v>-3598</v>
      </c>
      <c r="AP32" s="160" t="s">
        <v>168</v>
      </c>
      <c r="AQ32" s="160" t="s">
        <v>168</v>
      </c>
      <c r="AR32" s="160" t="s">
        <v>168</v>
      </c>
      <c r="AS32" s="158">
        <v>6018.5</v>
      </c>
      <c r="AT32" s="160" t="s">
        <v>198</v>
      </c>
      <c r="AU32" s="160" t="s">
        <v>168</v>
      </c>
      <c r="AV32" s="160" t="s">
        <v>168</v>
      </c>
      <c r="AW32" s="160" t="s">
        <v>250</v>
      </c>
      <c r="AX32" s="158" t="s">
        <v>200</v>
      </c>
      <c r="AY32" s="158" t="s">
        <v>201</v>
      </c>
      <c r="AZ32" s="158" t="s">
        <v>168</v>
      </c>
      <c r="BA32" s="158" t="s">
        <v>168</v>
      </c>
      <c r="BB32" s="158" t="s">
        <v>168</v>
      </c>
      <c r="BC32" s="158" t="s">
        <v>168</v>
      </c>
      <c r="BD32" s="158" t="s">
        <v>168</v>
      </c>
      <c r="BE32" s="158" t="s">
        <v>168</v>
      </c>
      <c r="BF32" s="158" t="s">
        <v>168</v>
      </c>
      <c r="BG32" s="167" t="s">
        <v>202</v>
      </c>
      <c r="BH32" s="158" t="s">
        <v>203</v>
      </c>
      <c r="BI32" s="160" t="s">
        <v>204</v>
      </c>
      <c r="BJ32" s="160" t="s">
        <v>205</v>
      </c>
      <c r="BK32" s="158" t="s">
        <v>206</v>
      </c>
      <c r="BL32" s="158" t="s">
        <v>207</v>
      </c>
      <c r="BM32" s="158" t="s">
        <v>208</v>
      </c>
      <c r="BN32" s="162" t="s">
        <v>309</v>
      </c>
      <c r="BO32" s="158">
        <v>2</v>
      </c>
      <c r="BP32" s="162" t="s">
        <v>292</v>
      </c>
      <c r="BQ32" s="168">
        <v>17.74050154938611</v>
      </c>
      <c r="BR32" s="168" t="s">
        <v>211</v>
      </c>
      <c r="BS32" s="168">
        <v>0.19854944221447551</v>
      </c>
      <c r="BT32">
        <v>0.83299999999999996</v>
      </c>
      <c r="BU32" t="s">
        <v>168</v>
      </c>
      <c r="BV32" t="s">
        <v>168</v>
      </c>
      <c r="BW32">
        <v>2.69</v>
      </c>
      <c r="BX32" t="s">
        <v>168</v>
      </c>
      <c r="BY32" t="s">
        <v>168</v>
      </c>
      <c r="BZ32" s="163" t="s">
        <v>212</v>
      </c>
      <c r="CA32" t="s">
        <v>213</v>
      </c>
      <c r="CB32" s="168">
        <v>18.067828990859677</v>
      </c>
      <c r="CC32" s="160" t="s">
        <v>214</v>
      </c>
      <c r="CD32" s="164">
        <v>0.3370844105418051</v>
      </c>
      <c r="CE32" s="160" t="s">
        <v>215</v>
      </c>
      <c r="CF32" s="160" t="s">
        <v>216</v>
      </c>
      <c r="CG32" s="160">
        <v>0</v>
      </c>
      <c r="CH32" s="160" t="s">
        <v>217</v>
      </c>
      <c r="CI32" s="160" t="s">
        <v>168</v>
      </c>
      <c r="CJ32">
        <v>25.856472411831071</v>
      </c>
      <c r="CK32" s="158" t="s">
        <v>170</v>
      </c>
      <c r="CL32" s="158">
        <v>1</v>
      </c>
      <c r="CM32" s="158">
        <v>1</v>
      </c>
      <c r="CN32">
        <v>3.0522481572661722</v>
      </c>
      <c r="CO32">
        <v>3.0522481572661722</v>
      </c>
      <c r="CP32" s="165" t="s">
        <v>218</v>
      </c>
      <c r="CQ32" s="169">
        <v>0.05</v>
      </c>
      <c r="CR32" s="169">
        <v>0.05</v>
      </c>
      <c r="CS32" s="168" t="s">
        <v>219</v>
      </c>
      <c r="CT32" s="168" t="s">
        <v>220</v>
      </c>
      <c r="CU32" s="170" t="s">
        <v>221</v>
      </c>
      <c r="CV32" s="158" t="s">
        <v>222</v>
      </c>
      <c r="CW32" s="160" t="s">
        <v>168</v>
      </c>
      <c r="CX32" s="160" t="s">
        <v>168</v>
      </c>
      <c r="CY32" s="160" t="s">
        <v>168</v>
      </c>
      <c r="CZ32" s="160" t="s">
        <v>168</v>
      </c>
      <c r="DA32" s="160" t="s">
        <v>168</v>
      </c>
      <c r="DB32" s="160" t="s">
        <v>168</v>
      </c>
      <c r="DC32" s="160" t="s">
        <v>168</v>
      </c>
      <c r="DD32" s="160" t="s">
        <v>168</v>
      </c>
      <c r="DE32" s="160" t="s">
        <v>168</v>
      </c>
      <c r="DF32" s="160" t="s">
        <v>168</v>
      </c>
      <c r="DG32">
        <v>35</v>
      </c>
      <c r="DH32" t="s">
        <v>170</v>
      </c>
      <c r="DI32" s="160">
        <v>1.5</v>
      </c>
      <c r="DJ32" s="160" t="s">
        <v>168</v>
      </c>
      <c r="DK32" s="158" t="s">
        <v>223</v>
      </c>
      <c r="DL32" s="158" t="s">
        <v>168</v>
      </c>
      <c r="DM32" s="158" t="s">
        <v>168</v>
      </c>
      <c r="DN32" s="158" t="s">
        <v>168</v>
      </c>
      <c r="DO32" s="158" t="s">
        <v>223</v>
      </c>
      <c r="DP32" s="158" t="s">
        <v>168</v>
      </c>
      <c r="DQ32" s="158" t="s">
        <v>168</v>
      </c>
      <c r="DR32" s="158" t="s">
        <v>168</v>
      </c>
      <c r="DS32" s="158" t="s">
        <v>168</v>
      </c>
      <c r="DT32" s="158" t="s">
        <v>168</v>
      </c>
      <c r="DU32" s="158" t="s">
        <v>168</v>
      </c>
      <c r="DV32" s="158" t="s">
        <v>168</v>
      </c>
      <c r="DW32">
        <v>432.44128676898202</v>
      </c>
      <c r="DX32" s="163" t="s">
        <v>224</v>
      </c>
      <c r="DY32" s="158">
        <v>36.518769633212486</v>
      </c>
      <c r="DZ32" s="158" t="s">
        <v>225</v>
      </c>
      <c r="EA32">
        <v>39.799999999999997</v>
      </c>
      <c r="EB32" s="158" t="s">
        <v>226</v>
      </c>
      <c r="EC32">
        <v>0.31</v>
      </c>
      <c r="ED32" s="158" t="s">
        <v>227</v>
      </c>
      <c r="EE32" s="158" t="s">
        <v>228</v>
      </c>
      <c r="EF32" s="158" t="s">
        <v>310</v>
      </c>
      <c r="EG32">
        <v>1.0271999999999999</v>
      </c>
      <c r="EH32" s="158">
        <v>5.9999999999999995E-4</v>
      </c>
      <c r="EI32" s="160" t="s">
        <v>168</v>
      </c>
      <c r="EJ32" s="158" t="s">
        <v>169</v>
      </c>
      <c r="EK32" s="160" t="s">
        <v>168</v>
      </c>
      <c r="EL32" s="160" t="s">
        <v>168</v>
      </c>
      <c r="EM32" s="171" t="s">
        <v>230</v>
      </c>
      <c r="EN32" s="158" t="s">
        <v>231</v>
      </c>
      <c r="EO32" s="158" t="s">
        <v>231</v>
      </c>
      <c r="EP32" s="158" t="s">
        <v>231</v>
      </c>
      <c r="EQ32" s="158" t="s">
        <v>232</v>
      </c>
      <c r="ER32" s="160" t="s">
        <v>168</v>
      </c>
      <c r="ES32" s="160" t="s">
        <v>168</v>
      </c>
      <c r="ET32" s="160" t="s">
        <v>233</v>
      </c>
      <c r="EU32" s="158" t="s">
        <v>234</v>
      </c>
      <c r="EV32" s="158" t="s">
        <v>235</v>
      </c>
      <c r="EW32" s="146">
        <v>1906.8281500000001</v>
      </c>
      <c r="EX32" s="158" t="s">
        <v>236</v>
      </c>
      <c r="EY32" s="172">
        <f t="shared" si="0"/>
        <v>2406.8281500000003</v>
      </c>
      <c r="EZ32" s="168">
        <f t="shared" si="1"/>
        <v>1406.8281500000001</v>
      </c>
      <c r="FA32" s="160" t="s">
        <v>168</v>
      </c>
      <c r="FB32" s="160" t="s">
        <v>168</v>
      </c>
      <c r="FC32" s="160" t="s">
        <v>168</v>
      </c>
      <c r="FD32" s="160" t="s">
        <v>168</v>
      </c>
      <c r="FE32">
        <v>8.0251568283245494</v>
      </c>
      <c r="FF32" s="173" t="s">
        <v>171</v>
      </c>
      <c r="FG32">
        <v>3.8332812773530733E-2</v>
      </c>
      <c r="FH32">
        <v>3.9552123714089227E-2</v>
      </c>
      <c r="FI32" s="160">
        <f t="shared" si="2"/>
        <v>403.58317032701399</v>
      </c>
      <c r="FJ32" s="160">
        <v>30</v>
      </c>
      <c r="FK32" s="160" t="s">
        <v>168</v>
      </c>
      <c r="FL32">
        <v>373.58317032701399</v>
      </c>
      <c r="FM32">
        <v>112.06412177582303</v>
      </c>
      <c r="FN32">
        <v>110.50827105362902</v>
      </c>
      <c r="FO32" s="158" t="s">
        <v>237</v>
      </c>
      <c r="FP32" s="158" t="s">
        <v>168</v>
      </c>
      <c r="FQ32" s="158" t="s">
        <v>172</v>
      </c>
      <c r="FR32" s="158" t="s">
        <v>172</v>
      </c>
      <c r="FS32" s="158" t="s">
        <v>172</v>
      </c>
      <c r="FT32" s="158" t="s">
        <v>172</v>
      </c>
      <c r="FU32" s="158" t="s">
        <v>172</v>
      </c>
      <c r="FV32" s="158" t="s">
        <v>172</v>
      </c>
      <c r="FW32" s="158" t="s">
        <v>172</v>
      </c>
      <c r="FX32" s="158" t="s">
        <v>172</v>
      </c>
      <c r="FY32" s="158" t="s">
        <v>172</v>
      </c>
      <c r="FZ32" s="158" t="s">
        <v>172</v>
      </c>
      <c r="GA32" s="158" t="s">
        <v>172</v>
      </c>
      <c r="GB32" s="158" t="s">
        <v>172</v>
      </c>
      <c r="GC32" s="158" t="s">
        <v>357</v>
      </c>
    </row>
    <row r="33" spans="1:185" ht="20" x14ac:dyDescent="0.25">
      <c r="A33" t="s">
        <v>190</v>
      </c>
      <c r="B33" s="140" t="s">
        <v>358</v>
      </c>
      <c r="C33" s="158" t="s">
        <v>173</v>
      </c>
      <c r="D33" s="158" t="s">
        <v>188</v>
      </c>
      <c r="E33" s="158">
        <v>2022</v>
      </c>
      <c r="F33" s="158" t="s">
        <v>189</v>
      </c>
      <c r="G33">
        <v>6061.4615384615399</v>
      </c>
      <c r="H33" s="176">
        <v>15</v>
      </c>
      <c r="I33" s="176">
        <v>15</v>
      </c>
      <c r="J33" s="158">
        <v>345.34360558876699</v>
      </c>
      <c r="K33">
        <v>105.48438843221601</v>
      </c>
      <c r="L33">
        <v>102.25921802759899</v>
      </c>
      <c r="M33" t="b">
        <v>1</v>
      </c>
      <c r="N33">
        <v>1</v>
      </c>
      <c r="O33" t="s">
        <v>191</v>
      </c>
      <c r="P33" t="s">
        <v>168</v>
      </c>
      <c r="Q33" t="s">
        <v>168</v>
      </c>
      <c r="R33" t="s">
        <v>168</v>
      </c>
      <c r="S33" t="b">
        <v>0</v>
      </c>
      <c r="T33" t="b">
        <v>0</v>
      </c>
      <c r="U33" t="s">
        <v>168</v>
      </c>
      <c r="V33" t="b">
        <v>0</v>
      </c>
      <c r="W33" t="b">
        <v>0</v>
      </c>
      <c r="X33" t="s">
        <v>359</v>
      </c>
      <c r="Y33" s="159" t="s">
        <v>192</v>
      </c>
      <c r="Z33" s="158" t="s">
        <v>193</v>
      </c>
      <c r="AA33" s="160" t="s">
        <v>194</v>
      </c>
      <c r="AB33" s="160" t="s">
        <v>247</v>
      </c>
      <c r="AC33" s="158">
        <v>17</v>
      </c>
      <c r="AD33" s="158">
        <v>4</v>
      </c>
      <c r="AE33" s="158">
        <v>39</v>
      </c>
      <c r="AF33" s="158">
        <v>43</v>
      </c>
      <c r="AG33" s="158">
        <v>157.38999999999999</v>
      </c>
      <c r="AH33" s="158">
        <v>176.79</v>
      </c>
      <c r="AI33" s="160" t="s">
        <v>196</v>
      </c>
      <c r="AJ33" s="158" t="s">
        <v>197</v>
      </c>
      <c r="AK33" s="166">
        <v>3.7212472000000001</v>
      </c>
      <c r="AL33" s="166">
        <v>-42.913286111111098</v>
      </c>
      <c r="AM33" s="160" t="s">
        <v>168</v>
      </c>
      <c r="AN33" s="160" t="s">
        <v>168</v>
      </c>
      <c r="AO33" s="158">
        <v>-3598</v>
      </c>
      <c r="AP33" s="160" t="s">
        <v>168</v>
      </c>
      <c r="AQ33" s="160" t="s">
        <v>168</v>
      </c>
      <c r="AR33" s="160" t="s">
        <v>168</v>
      </c>
      <c r="AS33" s="158">
        <v>6061.4615384615399</v>
      </c>
      <c r="AT33" s="160" t="s">
        <v>198</v>
      </c>
      <c r="AU33" s="160" t="s">
        <v>168</v>
      </c>
      <c r="AV33" s="160" t="s">
        <v>168</v>
      </c>
      <c r="AW33" s="160" t="s">
        <v>250</v>
      </c>
      <c r="AX33" s="158" t="s">
        <v>200</v>
      </c>
      <c r="AY33" s="158" t="s">
        <v>201</v>
      </c>
      <c r="AZ33" s="158" t="s">
        <v>168</v>
      </c>
      <c r="BA33" s="158" t="s">
        <v>168</v>
      </c>
      <c r="BB33" s="158" t="s">
        <v>168</v>
      </c>
      <c r="BC33" s="158" t="s">
        <v>168</v>
      </c>
      <c r="BD33" s="158" t="s">
        <v>168</v>
      </c>
      <c r="BE33" s="158" t="s">
        <v>168</v>
      </c>
      <c r="BF33" s="158" t="s">
        <v>168</v>
      </c>
      <c r="BG33" s="167" t="s">
        <v>202</v>
      </c>
      <c r="BH33" s="158" t="s">
        <v>203</v>
      </c>
      <c r="BI33" s="160" t="s">
        <v>204</v>
      </c>
      <c r="BJ33" s="160" t="s">
        <v>205</v>
      </c>
      <c r="BK33" s="158" t="s">
        <v>206</v>
      </c>
      <c r="BL33" s="158" t="s">
        <v>207</v>
      </c>
      <c r="BM33" s="158" t="s">
        <v>208</v>
      </c>
      <c r="BN33" s="162" t="s">
        <v>311</v>
      </c>
      <c r="BO33" s="158">
        <v>2</v>
      </c>
      <c r="BP33" s="162" t="s">
        <v>210</v>
      </c>
      <c r="BQ33" s="168">
        <v>17.872855091133012</v>
      </c>
      <c r="BR33" s="168" t="s">
        <v>211</v>
      </c>
      <c r="BS33" s="168">
        <v>0.18794981128313198</v>
      </c>
      <c r="BT33">
        <v>0.83299999999999996</v>
      </c>
      <c r="BU33" t="s">
        <v>168</v>
      </c>
      <c r="BV33" t="s">
        <v>168</v>
      </c>
      <c r="BW33">
        <v>2.69</v>
      </c>
      <c r="BX33" t="s">
        <v>168</v>
      </c>
      <c r="BY33" t="s">
        <v>168</v>
      </c>
      <c r="BZ33" s="163" t="s">
        <v>212</v>
      </c>
      <c r="CA33" t="s">
        <v>213</v>
      </c>
      <c r="CB33" s="168">
        <v>18.226716796078048</v>
      </c>
      <c r="CC33" s="160" t="s">
        <v>214</v>
      </c>
      <c r="CD33" s="164">
        <v>0.31908904221136797</v>
      </c>
      <c r="CE33" s="160" t="s">
        <v>215</v>
      </c>
      <c r="CF33" s="160" t="s">
        <v>216</v>
      </c>
      <c r="CG33" s="160">
        <v>0</v>
      </c>
      <c r="CH33" s="160" t="s">
        <v>217</v>
      </c>
      <c r="CI33" s="160" t="s">
        <v>168</v>
      </c>
      <c r="CJ33">
        <v>24.787593924596216</v>
      </c>
      <c r="CK33" s="158" t="s">
        <v>170</v>
      </c>
      <c r="CL33" s="158">
        <v>1</v>
      </c>
      <c r="CM33" s="158">
        <v>1</v>
      </c>
      <c r="CN33">
        <v>2.7702811458389967</v>
      </c>
      <c r="CO33">
        <v>2.7702811458389967</v>
      </c>
      <c r="CP33" s="165" t="s">
        <v>218</v>
      </c>
      <c r="CQ33" s="169">
        <v>0.05</v>
      </c>
      <c r="CR33" s="169">
        <v>0.05</v>
      </c>
      <c r="CS33" s="168" t="s">
        <v>219</v>
      </c>
      <c r="CT33" s="168" t="s">
        <v>220</v>
      </c>
      <c r="CU33" s="170" t="s">
        <v>221</v>
      </c>
      <c r="CV33" s="158" t="s">
        <v>222</v>
      </c>
      <c r="CW33" s="160" t="s">
        <v>168</v>
      </c>
      <c r="CX33" s="160" t="s">
        <v>168</v>
      </c>
      <c r="CY33" s="160" t="s">
        <v>168</v>
      </c>
      <c r="CZ33" s="160" t="s">
        <v>168</v>
      </c>
      <c r="DA33" s="160" t="s">
        <v>168</v>
      </c>
      <c r="DB33" s="160" t="s">
        <v>168</v>
      </c>
      <c r="DC33" s="160" t="s">
        <v>168</v>
      </c>
      <c r="DD33" s="160" t="s">
        <v>168</v>
      </c>
      <c r="DE33" s="160" t="s">
        <v>168</v>
      </c>
      <c r="DF33" s="160" t="s">
        <v>168</v>
      </c>
      <c r="DG33">
        <v>35</v>
      </c>
      <c r="DH33" t="s">
        <v>170</v>
      </c>
      <c r="DI33" s="160">
        <v>1.5</v>
      </c>
      <c r="DJ33" s="160" t="s">
        <v>168</v>
      </c>
      <c r="DK33" s="158" t="s">
        <v>223</v>
      </c>
      <c r="DL33" s="158" t="s">
        <v>168</v>
      </c>
      <c r="DM33" s="158" t="s">
        <v>168</v>
      </c>
      <c r="DN33" s="158" t="s">
        <v>168</v>
      </c>
      <c r="DO33" s="158" t="s">
        <v>223</v>
      </c>
      <c r="DP33" s="158" t="s">
        <v>168</v>
      </c>
      <c r="DQ33" s="158" t="s">
        <v>168</v>
      </c>
      <c r="DR33" s="158" t="s">
        <v>168</v>
      </c>
      <c r="DS33" s="158" t="s">
        <v>168</v>
      </c>
      <c r="DT33" s="158" t="s">
        <v>168</v>
      </c>
      <c r="DU33" s="158" t="s">
        <v>168</v>
      </c>
      <c r="DV33" s="158" t="s">
        <v>168</v>
      </c>
      <c r="DW33">
        <v>432.79135566833298</v>
      </c>
      <c r="DX33" s="163" t="s">
        <v>224</v>
      </c>
      <c r="DY33" s="158">
        <v>36.305856580010015</v>
      </c>
      <c r="DZ33" s="158" t="s">
        <v>225</v>
      </c>
      <c r="EA33">
        <v>39.799999999999997</v>
      </c>
      <c r="EB33" s="158" t="s">
        <v>226</v>
      </c>
      <c r="EC33">
        <v>0.31</v>
      </c>
      <c r="ED33" s="158" t="s">
        <v>227</v>
      </c>
      <c r="EE33" s="158" t="s">
        <v>228</v>
      </c>
      <c r="EF33" s="158" t="s">
        <v>312</v>
      </c>
      <c r="EG33">
        <v>1.0271999999999999</v>
      </c>
      <c r="EH33" s="158">
        <v>5.9999999999999995E-4</v>
      </c>
      <c r="EI33" s="160" t="s">
        <v>168</v>
      </c>
      <c r="EJ33" s="158" t="s">
        <v>169</v>
      </c>
      <c r="EK33" s="160" t="s">
        <v>168</v>
      </c>
      <c r="EL33" s="160" t="s">
        <v>168</v>
      </c>
      <c r="EM33" s="171" t="s">
        <v>230</v>
      </c>
      <c r="EN33" s="158" t="s">
        <v>231</v>
      </c>
      <c r="EO33" s="158" t="s">
        <v>231</v>
      </c>
      <c r="EP33" s="158" t="s">
        <v>231</v>
      </c>
      <c r="EQ33" s="158" t="s">
        <v>232</v>
      </c>
      <c r="ER33" s="160" t="s">
        <v>168</v>
      </c>
      <c r="ES33" s="160" t="s">
        <v>168</v>
      </c>
      <c r="ET33" s="160" t="s">
        <v>233</v>
      </c>
      <c r="EU33" s="158" t="s">
        <v>234</v>
      </c>
      <c r="EV33" s="158" t="s">
        <v>235</v>
      </c>
      <c r="EW33" s="146">
        <v>1905.9646230769231</v>
      </c>
      <c r="EX33" s="158" t="s">
        <v>236</v>
      </c>
      <c r="EY33" s="172">
        <f t="shared" si="0"/>
        <v>2405.9646230769231</v>
      </c>
      <c r="EZ33" s="168">
        <f t="shared" si="1"/>
        <v>1405.9646230769231</v>
      </c>
      <c r="FA33" s="160" t="s">
        <v>168</v>
      </c>
      <c r="FB33" s="160" t="s">
        <v>168</v>
      </c>
      <c r="FC33" s="160" t="s">
        <v>168</v>
      </c>
      <c r="FD33" s="160" t="s">
        <v>168</v>
      </c>
      <c r="FE33">
        <v>8.0525657255488294</v>
      </c>
      <c r="FF33" s="173" t="s">
        <v>171</v>
      </c>
      <c r="FG33">
        <v>3.7023733323820807E-2</v>
      </c>
      <c r="FH33">
        <v>3.814613420379942E-2</v>
      </c>
      <c r="FI33" s="160">
        <f t="shared" si="2"/>
        <v>375.34360558876699</v>
      </c>
      <c r="FJ33" s="160">
        <v>30</v>
      </c>
      <c r="FK33" s="160" t="s">
        <v>168</v>
      </c>
      <c r="FL33">
        <v>345.34360558876699</v>
      </c>
      <c r="FM33">
        <v>105.48438843221601</v>
      </c>
      <c r="FN33">
        <v>102.25921802759899</v>
      </c>
      <c r="FO33" s="158" t="s">
        <v>237</v>
      </c>
      <c r="FP33" s="158" t="s">
        <v>168</v>
      </c>
      <c r="FQ33" s="158" t="s">
        <v>172</v>
      </c>
      <c r="FR33" s="158" t="s">
        <v>172</v>
      </c>
      <c r="FS33" s="158" t="s">
        <v>172</v>
      </c>
      <c r="FT33" s="158" t="s">
        <v>172</v>
      </c>
      <c r="FU33" s="158" t="s">
        <v>172</v>
      </c>
      <c r="FV33" s="158" t="s">
        <v>172</v>
      </c>
      <c r="FW33" s="158" t="s">
        <v>172</v>
      </c>
      <c r="FX33" s="158" t="s">
        <v>172</v>
      </c>
      <c r="FY33" s="158" t="s">
        <v>172</v>
      </c>
      <c r="FZ33" s="158" t="s">
        <v>172</v>
      </c>
      <c r="GA33" s="158" t="s">
        <v>172</v>
      </c>
      <c r="GB33" s="158" t="s">
        <v>172</v>
      </c>
      <c r="GC33" s="158" t="s">
        <v>357</v>
      </c>
    </row>
    <row r="34" spans="1:185" ht="20" x14ac:dyDescent="0.25">
      <c r="A34" t="s">
        <v>190</v>
      </c>
      <c r="B34" s="140" t="s">
        <v>358</v>
      </c>
      <c r="C34" s="158" t="s">
        <v>173</v>
      </c>
      <c r="D34" s="158" t="s">
        <v>188</v>
      </c>
      <c r="E34" s="158">
        <v>2022</v>
      </c>
      <c r="F34" s="158" t="s">
        <v>189</v>
      </c>
      <c r="G34">
        <v>6102.9375</v>
      </c>
      <c r="H34" s="176">
        <v>15</v>
      </c>
      <c r="I34" s="176">
        <v>15</v>
      </c>
      <c r="J34" s="158">
        <v>359.409001319011</v>
      </c>
      <c r="K34">
        <v>109.48474846141198</v>
      </c>
      <c r="L34">
        <v>105.77034186247801</v>
      </c>
      <c r="M34" t="b">
        <v>1</v>
      </c>
      <c r="N34">
        <v>1</v>
      </c>
      <c r="O34" t="s">
        <v>191</v>
      </c>
      <c r="P34" t="s">
        <v>168</v>
      </c>
      <c r="Q34" t="s">
        <v>168</v>
      </c>
      <c r="R34" t="s">
        <v>168</v>
      </c>
      <c r="S34" t="b">
        <v>0</v>
      </c>
      <c r="T34" t="b">
        <v>0</v>
      </c>
      <c r="U34" t="s">
        <v>168</v>
      </c>
      <c r="V34" t="b">
        <v>0</v>
      </c>
      <c r="W34" t="b">
        <v>0</v>
      </c>
      <c r="X34" t="s">
        <v>359</v>
      </c>
      <c r="Y34" s="159" t="s">
        <v>192</v>
      </c>
      <c r="Z34" s="158" t="s">
        <v>193</v>
      </c>
      <c r="AA34" s="160" t="s">
        <v>194</v>
      </c>
      <c r="AB34" s="160" t="s">
        <v>247</v>
      </c>
      <c r="AC34" s="158">
        <v>17</v>
      </c>
      <c r="AD34" s="158">
        <v>4</v>
      </c>
      <c r="AE34" s="158">
        <v>122</v>
      </c>
      <c r="AF34" s="158">
        <v>126</v>
      </c>
      <c r="AG34" s="158">
        <v>158.22</v>
      </c>
      <c r="AH34" s="158">
        <v>177.62</v>
      </c>
      <c r="AI34" s="160" t="s">
        <v>196</v>
      </c>
      <c r="AJ34" s="158" t="s">
        <v>197</v>
      </c>
      <c r="AK34" s="166">
        <v>3.7212472000000001</v>
      </c>
      <c r="AL34" s="166">
        <v>-42.913286111111098</v>
      </c>
      <c r="AM34" s="160" t="s">
        <v>168</v>
      </c>
      <c r="AN34" s="160" t="s">
        <v>168</v>
      </c>
      <c r="AO34" s="158">
        <v>-3598</v>
      </c>
      <c r="AP34" s="160" t="s">
        <v>168</v>
      </c>
      <c r="AQ34" s="160" t="s">
        <v>168</v>
      </c>
      <c r="AR34" s="160" t="s">
        <v>168</v>
      </c>
      <c r="AS34" s="158">
        <v>6102.9375</v>
      </c>
      <c r="AT34" s="160" t="s">
        <v>198</v>
      </c>
      <c r="AU34" s="160" t="s">
        <v>168</v>
      </c>
      <c r="AV34" s="160" t="s">
        <v>168</v>
      </c>
      <c r="AW34" s="160" t="s">
        <v>250</v>
      </c>
      <c r="AX34" s="158" t="s">
        <v>200</v>
      </c>
      <c r="AY34" s="158" t="s">
        <v>201</v>
      </c>
      <c r="AZ34" s="158" t="s">
        <v>168</v>
      </c>
      <c r="BA34" s="158" t="s">
        <v>168</v>
      </c>
      <c r="BB34" s="158" t="s">
        <v>168</v>
      </c>
      <c r="BC34" s="158" t="s">
        <v>168</v>
      </c>
      <c r="BD34" s="158" t="s">
        <v>168</v>
      </c>
      <c r="BE34" s="158" t="s">
        <v>168</v>
      </c>
      <c r="BF34" s="158" t="s">
        <v>168</v>
      </c>
      <c r="BG34" s="167" t="s">
        <v>202</v>
      </c>
      <c r="BH34" s="158" t="s">
        <v>203</v>
      </c>
      <c r="BI34" s="160" t="s">
        <v>204</v>
      </c>
      <c r="BJ34" s="160" t="s">
        <v>205</v>
      </c>
      <c r="BK34" s="158" t="s">
        <v>206</v>
      </c>
      <c r="BL34" s="158" t="s">
        <v>207</v>
      </c>
      <c r="BM34" s="158" t="s">
        <v>208</v>
      </c>
      <c r="BN34" s="162" t="s">
        <v>313</v>
      </c>
      <c r="BO34" s="158">
        <v>2</v>
      </c>
      <c r="BP34" s="162" t="s">
        <v>298</v>
      </c>
      <c r="BQ34" s="168">
        <v>17.795667608121345</v>
      </c>
      <c r="BR34" s="168" t="s">
        <v>211</v>
      </c>
      <c r="BS34" s="168">
        <v>0.22068420299172731</v>
      </c>
      <c r="BT34">
        <v>0.83299999999999996</v>
      </c>
      <c r="BU34" t="s">
        <v>168</v>
      </c>
      <c r="BV34" t="s">
        <v>168</v>
      </c>
      <c r="BW34">
        <v>2.69</v>
      </c>
      <c r="BX34" t="s">
        <v>168</v>
      </c>
      <c r="BY34" t="s">
        <v>168</v>
      </c>
      <c r="BZ34" s="163" t="s">
        <v>212</v>
      </c>
      <c r="CA34" t="s">
        <v>213</v>
      </c>
      <c r="CB34" s="168">
        <v>18.134054751646275</v>
      </c>
      <c r="CC34" s="160" t="s">
        <v>214</v>
      </c>
      <c r="CD34" s="164">
        <v>0.37466337679759559</v>
      </c>
      <c r="CE34" s="160" t="s">
        <v>215</v>
      </c>
      <c r="CF34" s="160" t="s">
        <v>216</v>
      </c>
      <c r="CG34" s="160">
        <v>0</v>
      </c>
      <c r="CH34" s="160" t="s">
        <v>217</v>
      </c>
      <c r="CI34" s="160" t="s">
        <v>168</v>
      </c>
      <c r="CJ34">
        <v>25.239449298136492</v>
      </c>
      <c r="CK34" s="158" t="s">
        <v>170</v>
      </c>
      <c r="CL34" s="158">
        <v>1</v>
      </c>
      <c r="CM34" s="158">
        <v>1</v>
      </c>
      <c r="CN34">
        <v>2.8832300885316573</v>
      </c>
      <c r="CO34">
        <v>2.8832300885316573</v>
      </c>
      <c r="CP34" s="165" t="s">
        <v>218</v>
      </c>
      <c r="CQ34" s="169">
        <v>0.05</v>
      </c>
      <c r="CR34" s="169">
        <v>0.05</v>
      </c>
      <c r="CS34" s="168" t="s">
        <v>219</v>
      </c>
      <c r="CT34" s="168" t="s">
        <v>220</v>
      </c>
      <c r="CU34" s="170" t="s">
        <v>221</v>
      </c>
      <c r="CV34" s="158" t="s">
        <v>222</v>
      </c>
      <c r="CW34" s="160" t="s">
        <v>168</v>
      </c>
      <c r="CX34" s="160" t="s">
        <v>168</v>
      </c>
      <c r="CY34" s="160" t="s">
        <v>168</v>
      </c>
      <c r="CZ34" s="160" t="s">
        <v>168</v>
      </c>
      <c r="DA34" s="160" t="s">
        <v>168</v>
      </c>
      <c r="DB34" s="160" t="s">
        <v>168</v>
      </c>
      <c r="DC34" s="160" t="s">
        <v>168</v>
      </c>
      <c r="DD34" s="160" t="s">
        <v>168</v>
      </c>
      <c r="DE34" s="160" t="s">
        <v>168</v>
      </c>
      <c r="DF34" s="160" t="s">
        <v>168</v>
      </c>
      <c r="DG34">
        <v>35</v>
      </c>
      <c r="DH34" t="s">
        <v>170</v>
      </c>
      <c r="DI34" s="160">
        <v>1.5</v>
      </c>
      <c r="DJ34" s="160" t="s">
        <v>168</v>
      </c>
      <c r="DK34" s="158" t="s">
        <v>223</v>
      </c>
      <c r="DL34" s="158" t="s">
        <v>168</v>
      </c>
      <c r="DM34" s="158" t="s">
        <v>168</v>
      </c>
      <c r="DN34" s="158" t="s">
        <v>168</v>
      </c>
      <c r="DO34" s="158" t="s">
        <v>223</v>
      </c>
      <c r="DP34" s="158" t="s">
        <v>168</v>
      </c>
      <c r="DQ34" s="158" t="s">
        <v>168</v>
      </c>
      <c r="DR34" s="158" t="s">
        <v>168</v>
      </c>
      <c r="DS34" s="158" t="s">
        <v>168</v>
      </c>
      <c r="DT34" s="158" t="s">
        <v>168</v>
      </c>
      <c r="DU34" s="158" t="s">
        <v>168</v>
      </c>
      <c r="DV34" s="158" t="s">
        <v>168</v>
      </c>
      <c r="DW34">
        <v>432.78658585013198</v>
      </c>
      <c r="DX34" s="163" t="s">
        <v>224</v>
      </c>
      <c r="DY34" s="158">
        <v>36.366859155948504</v>
      </c>
      <c r="DZ34" s="158" t="s">
        <v>225</v>
      </c>
      <c r="EA34">
        <v>39.799999999999997</v>
      </c>
      <c r="EB34" s="158" t="s">
        <v>226</v>
      </c>
      <c r="EC34">
        <v>0.31</v>
      </c>
      <c r="ED34" s="158" t="s">
        <v>227</v>
      </c>
      <c r="EE34" s="158" t="s">
        <v>228</v>
      </c>
      <c r="EF34" s="158" t="s">
        <v>314</v>
      </c>
      <c r="EG34">
        <v>1.0271999999999999</v>
      </c>
      <c r="EH34" s="158">
        <v>5.9999999999999995E-4</v>
      </c>
      <c r="EI34" s="160" t="s">
        <v>168</v>
      </c>
      <c r="EJ34" s="158" t="s">
        <v>169</v>
      </c>
      <c r="EK34" s="160" t="s">
        <v>168</v>
      </c>
      <c r="EL34" s="160" t="s">
        <v>168</v>
      </c>
      <c r="EM34" s="171" t="s">
        <v>230</v>
      </c>
      <c r="EN34" s="158" t="s">
        <v>231</v>
      </c>
      <c r="EO34" s="158" t="s">
        <v>231</v>
      </c>
      <c r="EP34" s="158" t="s">
        <v>231</v>
      </c>
      <c r="EQ34" s="158" t="s">
        <v>232</v>
      </c>
      <c r="ER34" s="160" t="s">
        <v>168</v>
      </c>
      <c r="ES34" s="160" t="s">
        <v>168</v>
      </c>
      <c r="ET34" s="160" t="s">
        <v>233</v>
      </c>
      <c r="EU34" s="158" t="s">
        <v>234</v>
      </c>
      <c r="EV34" s="158" t="s">
        <v>235</v>
      </c>
      <c r="EW34" s="146">
        <v>1905.1309562500001</v>
      </c>
      <c r="EX34" s="158" t="s">
        <v>236</v>
      </c>
      <c r="EY34" s="172">
        <f t="shared" si="0"/>
        <v>2405.1309562500001</v>
      </c>
      <c r="EZ34" s="168">
        <f t="shared" si="1"/>
        <v>1405.1309562500001</v>
      </c>
      <c r="FA34" s="160" t="s">
        <v>168</v>
      </c>
      <c r="FB34" s="160" t="s">
        <v>168</v>
      </c>
      <c r="FC34" s="160" t="s">
        <v>168</v>
      </c>
      <c r="FD34" s="160" t="s">
        <v>168</v>
      </c>
      <c r="FE34">
        <v>8.0388992284849099</v>
      </c>
      <c r="FF34" s="173" t="s">
        <v>171</v>
      </c>
      <c r="FG34">
        <v>3.9712303611480593E-2</v>
      </c>
      <c r="FH34">
        <v>4.0435631935419991E-2</v>
      </c>
      <c r="FI34" s="160">
        <f t="shared" si="2"/>
        <v>389.409001319011</v>
      </c>
      <c r="FJ34" s="160">
        <v>30</v>
      </c>
      <c r="FK34" s="160" t="s">
        <v>168</v>
      </c>
      <c r="FL34">
        <v>359.409001319011</v>
      </c>
      <c r="FM34">
        <v>109.48474846141198</v>
      </c>
      <c r="FN34">
        <v>105.77034186247801</v>
      </c>
      <c r="FO34" s="158" t="s">
        <v>237</v>
      </c>
      <c r="FP34" s="158" t="s">
        <v>168</v>
      </c>
      <c r="FQ34" s="158" t="s">
        <v>172</v>
      </c>
      <c r="FR34" s="158" t="s">
        <v>172</v>
      </c>
      <c r="FS34" s="158" t="s">
        <v>172</v>
      </c>
      <c r="FT34" s="158" t="s">
        <v>172</v>
      </c>
      <c r="FU34" s="158" t="s">
        <v>172</v>
      </c>
      <c r="FV34" s="158" t="s">
        <v>172</v>
      </c>
      <c r="FW34" s="158" t="s">
        <v>172</v>
      </c>
      <c r="FX34" s="158" t="s">
        <v>172</v>
      </c>
      <c r="FY34" s="158" t="s">
        <v>172</v>
      </c>
      <c r="FZ34" s="158" t="s">
        <v>172</v>
      </c>
      <c r="GA34" s="158" t="s">
        <v>172</v>
      </c>
      <c r="GB34" s="158" t="s">
        <v>172</v>
      </c>
      <c r="GC34" s="158" t="s">
        <v>357</v>
      </c>
    </row>
    <row r="35" spans="1:185" ht="20" x14ac:dyDescent="0.25">
      <c r="A35" t="s">
        <v>190</v>
      </c>
      <c r="B35" s="140" t="s">
        <v>358</v>
      </c>
      <c r="C35" s="158" t="s">
        <v>173</v>
      </c>
      <c r="D35" s="158" t="s">
        <v>188</v>
      </c>
      <c r="E35" s="158">
        <v>2022</v>
      </c>
      <c r="F35" s="158" t="s">
        <v>189</v>
      </c>
      <c r="G35">
        <v>6229.3333333333303</v>
      </c>
      <c r="H35" s="176">
        <v>15</v>
      </c>
      <c r="I35" s="176">
        <v>15</v>
      </c>
      <c r="J35" s="158">
        <v>413.73750986389803</v>
      </c>
      <c r="K35">
        <v>131.13896939505298</v>
      </c>
      <c r="L35">
        <v>121.26866443089705</v>
      </c>
      <c r="M35" t="b">
        <v>1</v>
      </c>
      <c r="N35">
        <v>1</v>
      </c>
      <c r="O35" t="s">
        <v>191</v>
      </c>
      <c r="P35" t="s">
        <v>168</v>
      </c>
      <c r="Q35" t="s">
        <v>168</v>
      </c>
      <c r="R35" t="s">
        <v>168</v>
      </c>
      <c r="S35" t="b">
        <v>0</v>
      </c>
      <c r="T35" t="b">
        <v>0</v>
      </c>
      <c r="U35" t="s">
        <v>168</v>
      </c>
      <c r="V35" t="b">
        <v>0</v>
      </c>
      <c r="W35" t="b">
        <v>0</v>
      </c>
      <c r="X35" t="s">
        <v>359</v>
      </c>
      <c r="Y35" s="159" t="s">
        <v>192</v>
      </c>
      <c r="Z35" s="158" t="s">
        <v>193</v>
      </c>
      <c r="AA35" s="160" t="s">
        <v>194</v>
      </c>
      <c r="AB35" s="160" t="s">
        <v>247</v>
      </c>
      <c r="AC35" s="158">
        <v>17</v>
      </c>
      <c r="AD35" s="158">
        <v>6</v>
      </c>
      <c r="AE35" s="158">
        <v>34</v>
      </c>
      <c r="AF35" s="158">
        <v>37</v>
      </c>
      <c r="AG35" s="158">
        <v>160.34</v>
      </c>
      <c r="AH35" s="158">
        <v>179.74</v>
      </c>
      <c r="AI35" s="160" t="s">
        <v>196</v>
      </c>
      <c r="AJ35" s="158" t="s">
        <v>197</v>
      </c>
      <c r="AK35" s="166">
        <v>3.7212472000000001</v>
      </c>
      <c r="AL35" s="166">
        <v>-42.913286111111098</v>
      </c>
      <c r="AM35" s="160" t="s">
        <v>168</v>
      </c>
      <c r="AN35" s="160" t="s">
        <v>168</v>
      </c>
      <c r="AO35" s="158">
        <v>-3598</v>
      </c>
      <c r="AP35" s="160" t="s">
        <v>168</v>
      </c>
      <c r="AQ35" s="160" t="s">
        <v>168</v>
      </c>
      <c r="AR35" s="160" t="s">
        <v>168</v>
      </c>
      <c r="AS35" s="158">
        <v>6229.3333333333303</v>
      </c>
      <c r="AT35" s="160" t="s">
        <v>198</v>
      </c>
      <c r="AU35" s="160" t="s">
        <v>168</v>
      </c>
      <c r="AV35" s="160" t="s">
        <v>168</v>
      </c>
      <c r="AW35" s="160" t="s">
        <v>250</v>
      </c>
      <c r="AX35" s="158" t="s">
        <v>200</v>
      </c>
      <c r="AY35" s="158" t="s">
        <v>201</v>
      </c>
      <c r="AZ35" s="158" t="s">
        <v>168</v>
      </c>
      <c r="BA35" s="158" t="s">
        <v>168</v>
      </c>
      <c r="BB35" s="158" t="s">
        <v>168</v>
      </c>
      <c r="BC35" s="158" t="s">
        <v>168</v>
      </c>
      <c r="BD35" s="158" t="s">
        <v>168</v>
      </c>
      <c r="BE35" s="158" t="s">
        <v>168</v>
      </c>
      <c r="BF35" s="158" t="s">
        <v>168</v>
      </c>
      <c r="BG35" s="167" t="s">
        <v>202</v>
      </c>
      <c r="BH35" s="158" t="s">
        <v>203</v>
      </c>
      <c r="BI35" s="160" t="s">
        <v>204</v>
      </c>
      <c r="BJ35" s="160" t="s">
        <v>205</v>
      </c>
      <c r="BK35" s="158" t="s">
        <v>206</v>
      </c>
      <c r="BL35" s="158" t="s">
        <v>207</v>
      </c>
      <c r="BM35" s="158" t="s">
        <v>208</v>
      </c>
      <c r="BN35" s="162" t="s">
        <v>315</v>
      </c>
      <c r="BO35" s="158">
        <v>2</v>
      </c>
      <c r="BP35" s="162" t="s">
        <v>316</v>
      </c>
      <c r="BQ35" s="168">
        <v>17.234698603954214</v>
      </c>
      <c r="BR35" s="168" t="s">
        <v>211</v>
      </c>
      <c r="BS35" s="168">
        <v>0.19253411543170681</v>
      </c>
      <c r="BT35">
        <v>0.83299999999999996</v>
      </c>
      <c r="BU35" t="s">
        <v>168</v>
      </c>
      <c r="BV35" t="s">
        <v>168</v>
      </c>
      <c r="BW35">
        <v>2.69</v>
      </c>
      <c r="BX35" t="s">
        <v>168</v>
      </c>
      <c r="BY35" t="s">
        <v>168</v>
      </c>
      <c r="BZ35" s="163" t="s">
        <v>212</v>
      </c>
      <c r="CA35" t="s">
        <v>213</v>
      </c>
      <c r="CB35" s="168">
        <v>17.460622573774568</v>
      </c>
      <c r="CC35" s="160" t="s">
        <v>214</v>
      </c>
      <c r="CD35" s="164">
        <v>0.32687197750663116</v>
      </c>
      <c r="CE35" s="160" t="s">
        <v>215</v>
      </c>
      <c r="CF35" s="160" t="s">
        <v>216</v>
      </c>
      <c r="CG35" s="160">
        <v>0</v>
      </c>
      <c r="CH35" s="160" t="s">
        <v>217</v>
      </c>
      <c r="CI35" s="160" t="s">
        <v>168</v>
      </c>
      <c r="CJ35">
        <v>24.094374264916262</v>
      </c>
      <c r="CK35" s="158" t="s">
        <v>170</v>
      </c>
      <c r="CL35" s="158">
        <v>1</v>
      </c>
      <c r="CM35" s="158">
        <v>1</v>
      </c>
      <c r="CN35">
        <v>2.5953247836793691</v>
      </c>
      <c r="CO35">
        <v>2.5953247836793691</v>
      </c>
      <c r="CP35" s="165" t="s">
        <v>218</v>
      </c>
      <c r="CQ35" s="169">
        <v>0.05</v>
      </c>
      <c r="CR35" s="169">
        <v>0.05</v>
      </c>
      <c r="CS35" s="168" t="s">
        <v>219</v>
      </c>
      <c r="CT35" s="168" t="s">
        <v>220</v>
      </c>
      <c r="CU35" s="170" t="s">
        <v>221</v>
      </c>
      <c r="CV35" s="158" t="s">
        <v>222</v>
      </c>
      <c r="CW35" s="160" t="s">
        <v>168</v>
      </c>
      <c r="CX35" s="160" t="s">
        <v>168</v>
      </c>
      <c r="CY35" s="160" t="s">
        <v>168</v>
      </c>
      <c r="CZ35" s="160" t="s">
        <v>168</v>
      </c>
      <c r="DA35" s="160" t="s">
        <v>168</v>
      </c>
      <c r="DB35" s="160" t="s">
        <v>168</v>
      </c>
      <c r="DC35" s="160" t="s">
        <v>168</v>
      </c>
      <c r="DD35" s="160" t="s">
        <v>168</v>
      </c>
      <c r="DE35" s="160" t="s">
        <v>168</v>
      </c>
      <c r="DF35" s="160" t="s">
        <v>168</v>
      </c>
      <c r="DG35">
        <v>35</v>
      </c>
      <c r="DH35" t="s">
        <v>170</v>
      </c>
      <c r="DI35" s="160">
        <v>1.5</v>
      </c>
      <c r="DJ35" s="160" t="s">
        <v>168</v>
      </c>
      <c r="DK35" s="158" t="s">
        <v>223</v>
      </c>
      <c r="DL35" s="158" t="s">
        <v>168</v>
      </c>
      <c r="DM35" s="158" t="s">
        <v>168</v>
      </c>
      <c r="DN35" s="158" t="s">
        <v>168</v>
      </c>
      <c r="DO35" s="158" t="s">
        <v>223</v>
      </c>
      <c r="DP35" s="158" t="s">
        <v>168</v>
      </c>
      <c r="DQ35" s="158" t="s">
        <v>168</v>
      </c>
      <c r="DR35" s="158" t="s">
        <v>168</v>
      </c>
      <c r="DS35" s="158" t="s">
        <v>168</v>
      </c>
      <c r="DT35" s="158" t="s">
        <v>168</v>
      </c>
      <c r="DU35" s="158" t="s">
        <v>168</v>
      </c>
      <c r="DV35" s="158" t="s">
        <v>168</v>
      </c>
      <c r="DW35">
        <v>432.74324713794903</v>
      </c>
      <c r="DX35" s="163" t="s">
        <v>224</v>
      </c>
      <c r="DY35" s="158">
        <v>36.18198516555799</v>
      </c>
      <c r="DZ35" s="158" t="s">
        <v>225</v>
      </c>
      <c r="EA35">
        <v>39.799999999999997</v>
      </c>
      <c r="EB35" s="158" t="s">
        <v>226</v>
      </c>
      <c r="EC35">
        <v>0.31</v>
      </c>
      <c r="ED35" s="158" t="s">
        <v>227</v>
      </c>
      <c r="EE35" s="158" t="s">
        <v>228</v>
      </c>
      <c r="EF35" s="158" t="s">
        <v>317</v>
      </c>
      <c r="EG35">
        <v>1.0271999999999999</v>
      </c>
      <c r="EH35" s="158">
        <v>5.9999999999999995E-4</v>
      </c>
      <c r="EI35" s="160" t="s">
        <v>168</v>
      </c>
      <c r="EJ35" s="158" t="s">
        <v>169</v>
      </c>
      <c r="EK35" s="160" t="s">
        <v>168</v>
      </c>
      <c r="EL35" s="160" t="s">
        <v>168</v>
      </c>
      <c r="EM35" s="171" t="s">
        <v>230</v>
      </c>
      <c r="EN35" s="158" t="s">
        <v>231</v>
      </c>
      <c r="EO35" s="158" t="s">
        <v>231</v>
      </c>
      <c r="EP35" s="158" t="s">
        <v>231</v>
      </c>
      <c r="EQ35" s="158" t="s">
        <v>232</v>
      </c>
      <c r="ER35" s="160" t="s">
        <v>168</v>
      </c>
      <c r="ES35" s="160" t="s">
        <v>168</v>
      </c>
      <c r="ET35" s="160" t="s">
        <v>233</v>
      </c>
      <c r="EU35" s="158" t="s">
        <v>234</v>
      </c>
      <c r="EV35" s="158" t="s">
        <v>235</v>
      </c>
      <c r="EW35" s="146">
        <v>1902.5904</v>
      </c>
      <c r="EX35" s="158" t="s">
        <v>236</v>
      </c>
      <c r="EY35" s="172">
        <f t="shared" si="0"/>
        <v>2402.5904</v>
      </c>
      <c r="EZ35" s="168">
        <f t="shared" si="1"/>
        <v>1402.5904</v>
      </c>
      <c r="FA35" s="160" t="s">
        <v>168</v>
      </c>
      <c r="FB35" s="160" t="s">
        <v>168</v>
      </c>
      <c r="FC35" s="160" t="s">
        <v>168</v>
      </c>
      <c r="FD35" s="160" t="s">
        <v>168</v>
      </c>
      <c r="FE35">
        <v>7.9856945022117598</v>
      </c>
      <c r="FF35" s="173" t="s">
        <v>171</v>
      </c>
      <c r="FG35">
        <v>4.3147004290619684E-2</v>
      </c>
      <c r="FH35">
        <v>4.6148200672440076E-2</v>
      </c>
      <c r="FI35" s="160">
        <f t="shared" si="2"/>
        <v>443.73750986389803</v>
      </c>
      <c r="FJ35" s="160">
        <v>30</v>
      </c>
      <c r="FK35" s="160" t="s">
        <v>168</v>
      </c>
      <c r="FL35">
        <v>413.73750986389803</v>
      </c>
      <c r="FM35">
        <v>131.13896939505298</v>
      </c>
      <c r="FN35">
        <v>121.26866443089705</v>
      </c>
      <c r="FO35" s="158" t="s">
        <v>237</v>
      </c>
      <c r="FP35" s="158" t="s">
        <v>168</v>
      </c>
      <c r="FQ35" s="158" t="s">
        <v>172</v>
      </c>
      <c r="FR35" s="158" t="s">
        <v>172</v>
      </c>
      <c r="FS35" s="158" t="s">
        <v>172</v>
      </c>
      <c r="FT35" s="158" t="s">
        <v>172</v>
      </c>
      <c r="FU35" s="158" t="s">
        <v>172</v>
      </c>
      <c r="FV35" s="158" t="s">
        <v>172</v>
      </c>
      <c r="FW35" s="158" t="s">
        <v>172</v>
      </c>
      <c r="FX35" s="158" t="s">
        <v>172</v>
      </c>
      <c r="FY35" s="158" t="s">
        <v>172</v>
      </c>
      <c r="FZ35" s="158" t="s">
        <v>172</v>
      </c>
      <c r="GA35" s="158" t="s">
        <v>172</v>
      </c>
      <c r="GB35" s="158" t="s">
        <v>172</v>
      </c>
      <c r="GC35" s="158" t="s">
        <v>357</v>
      </c>
    </row>
    <row r="36" spans="1:185" ht="20" x14ac:dyDescent="0.25">
      <c r="A36" t="s">
        <v>190</v>
      </c>
      <c r="B36" s="140" t="s">
        <v>358</v>
      </c>
      <c r="C36" s="158" t="s">
        <v>173</v>
      </c>
      <c r="D36" s="158" t="s">
        <v>188</v>
      </c>
      <c r="E36" s="158">
        <v>2022</v>
      </c>
      <c r="F36" s="158" t="s">
        <v>189</v>
      </c>
      <c r="G36">
        <v>6291.7567567567603</v>
      </c>
      <c r="H36" s="176">
        <v>15</v>
      </c>
      <c r="I36" s="176">
        <v>15</v>
      </c>
      <c r="J36" s="158">
        <v>328.79160229490901</v>
      </c>
      <c r="K36">
        <v>101.80927995632499</v>
      </c>
      <c r="L36">
        <v>96.849054381515998</v>
      </c>
      <c r="M36" t="b">
        <v>1</v>
      </c>
      <c r="N36">
        <v>1</v>
      </c>
      <c r="O36" t="s">
        <v>191</v>
      </c>
      <c r="P36" t="s">
        <v>168</v>
      </c>
      <c r="Q36" t="s">
        <v>168</v>
      </c>
      <c r="R36" t="s">
        <v>168</v>
      </c>
      <c r="S36" t="b">
        <v>0</v>
      </c>
      <c r="T36" t="b">
        <v>0</v>
      </c>
      <c r="U36" t="s">
        <v>168</v>
      </c>
      <c r="V36" t="b">
        <v>0</v>
      </c>
      <c r="W36" t="b">
        <v>0</v>
      </c>
      <c r="X36" t="s">
        <v>359</v>
      </c>
      <c r="Y36" s="159" t="s">
        <v>192</v>
      </c>
      <c r="Z36" s="158" t="s">
        <v>193</v>
      </c>
      <c r="AA36" s="160" t="s">
        <v>194</v>
      </c>
      <c r="AB36" s="160" t="s">
        <v>247</v>
      </c>
      <c r="AC36" s="158">
        <v>17</v>
      </c>
      <c r="AD36" s="158">
        <v>6</v>
      </c>
      <c r="AE36" s="158">
        <v>109</v>
      </c>
      <c r="AF36" s="158">
        <v>112</v>
      </c>
      <c r="AG36" s="158">
        <v>161.09</v>
      </c>
      <c r="AH36" s="158">
        <v>180.8</v>
      </c>
      <c r="AI36" s="160" t="s">
        <v>196</v>
      </c>
      <c r="AJ36" s="158" t="s">
        <v>197</v>
      </c>
      <c r="AK36" s="166">
        <v>3.7212472000000001</v>
      </c>
      <c r="AL36" s="166">
        <v>-42.913286111111098</v>
      </c>
      <c r="AM36" s="160" t="s">
        <v>168</v>
      </c>
      <c r="AN36" s="160" t="s">
        <v>168</v>
      </c>
      <c r="AO36" s="158">
        <v>-3598</v>
      </c>
      <c r="AP36" s="160" t="s">
        <v>168</v>
      </c>
      <c r="AQ36" s="160" t="s">
        <v>168</v>
      </c>
      <c r="AR36" s="160" t="s">
        <v>168</v>
      </c>
      <c r="AS36" s="158">
        <v>6291.7567567567603</v>
      </c>
      <c r="AT36" s="160" t="s">
        <v>198</v>
      </c>
      <c r="AU36" s="160" t="s">
        <v>168</v>
      </c>
      <c r="AV36" s="160" t="s">
        <v>168</v>
      </c>
      <c r="AW36" s="160" t="s">
        <v>250</v>
      </c>
      <c r="AX36" s="158" t="s">
        <v>200</v>
      </c>
      <c r="AY36" s="158" t="s">
        <v>201</v>
      </c>
      <c r="AZ36" s="158" t="s">
        <v>168</v>
      </c>
      <c r="BA36" s="158" t="s">
        <v>168</v>
      </c>
      <c r="BB36" s="158" t="s">
        <v>168</v>
      </c>
      <c r="BC36" s="158" t="s">
        <v>168</v>
      </c>
      <c r="BD36" s="158" t="s">
        <v>168</v>
      </c>
      <c r="BE36" s="158" t="s">
        <v>168</v>
      </c>
      <c r="BF36" s="158" t="s">
        <v>168</v>
      </c>
      <c r="BG36" s="167" t="s">
        <v>202</v>
      </c>
      <c r="BH36" s="158" t="s">
        <v>203</v>
      </c>
      <c r="BI36" s="160" t="s">
        <v>204</v>
      </c>
      <c r="BJ36" s="160" t="s">
        <v>205</v>
      </c>
      <c r="BK36" s="158" t="s">
        <v>206</v>
      </c>
      <c r="BL36" s="158" t="s">
        <v>207</v>
      </c>
      <c r="BM36" s="158" t="s">
        <v>208</v>
      </c>
      <c r="BN36" s="162" t="s">
        <v>318</v>
      </c>
      <c r="BO36" s="158">
        <v>2</v>
      </c>
      <c r="BP36" s="162" t="s">
        <v>319</v>
      </c>
      <c r="BQ36" s="168">
        <v>18.135796991663902</v>
      </c>
      <c r="BR36" s="168" t="s">
        <v>211</v>
      </c>
      <c r="BS36" s="168">
        <v>0.15880105591364319</v>
      </c>
      <c r="BT36">
        <v>0.83299999999999996</v>
      </c>
      <c r="BU36" t="s">
        <v>168</v>
      </c>
      <c r="BV36" t="s">
        <v>168</v>
      </c>
      <c r="BW36">
        <v>2.69</v>
      </c>
      <c r="BX36" t="s">
        <v>168</v>
      </c>
      <c r="BY36" t="s">
        <v>168</v>
      </c>
      <c r="BZ36" s="163" t="s">
        <v>212</v>
      </c>
      <c r="CA36" t="s">
        <v>213</v>
      </c>
      <c r="CB36" s="168">
        <v>18.542373339332418</v>
      </c>
      <c r="CC36" s="160" t="s">
        <v>214</v>
      </c>
      <c r="CD36" s="164">
        <v>0.26960216925839298</v>
      </c>
      <c r="CE36" s="160" t="s">
        <v>215</v>
      </c>
      <c r="CF36" s="160" t="s">
        <v>216</v>
      </c>
      <c r="CG36" s="160">
        <v>0</v>
      </c>
      <c r="CH36" s="160" t="s">
        <v>217</v>
      </c>
      <c r="CI36" s="160" t="s">
        <v>168</v>
      </c>
      <c r="CJ36">
        <v>25.707189119699422</v>
      </c>
      <c r="CK36" s="158" t="s">
        <v>170</v>
      </c>
      <c r="CL36" s="158">
        <v>1</v>
      </c>
      <c r="CM36" s="158">
        <v>1</v>
      </c>
      <c r="CN36">
        <v>2.9975915771161428</v>
      </c>
      <c r="CO36">
        <v>2.9975915771161428</v>
      </c>
      <c r="CP36" s="165" t="s">
        <v>218</v>
      </c>
      <c r="CQ36" s="169">
        <v>0.05</v>
      </c>
      <c r="CR36" s="169">
        <v>0.05</v>
      </c>
      <c r="CS36" s="168" t="s">
        <v>219</v>
      </c>
      <c r="CT36" s="168" t="s">
        <v>220</v>
      </c>
      <c r="CU36" s="170" t="s">
        <v>221</v>
      </c>
      <c r="CV36" s="158" t="s">
        <v>222</v>
      </c>
      <c r="CW36" s="160" t="s">
        <v>168</v>
      </c>
      <c r="CX36" s="160" t="s">
        <v>168</v>
      </c>
      <c r="CY36" s="160" t="s">
        <v>168</v>
      </c>
      <c r="CZ36" s="160" t="s">
        <v>168</v>
      </c>
      <c r="DA36" s="160" t="s">
        <v>168</v>
      </c>
      <c r="DB36" s="160" t="s">
        <v>168</v>
      </c>
      <c r="DC36" s="160" t="s">
        <v>168</v>
      </c>
      <c r="DD36" s="160" t="s">
        <v>168</v>
      </c>
      <c r="DE36" s="160" t="s">
        <v>168</v>
      </c>
      <c r="DF36" s="160" t="s">
        <v>168</v>
      </c>
      <c r="DG36">
        <v>35</v>
      </c>
      <c r="DH36" t="s">
        <v>170</v>
      </c>
      <c r="DI36" s="160">
        <v>1.5</v>
      </c>
      <c r="DJ36" s="160" t="s">
        <v>168</v>
      </c>
      <c r="DK36" s="158" t="s">
        <v>223</v>
      </c>
      <c r="DL36" s="158" t="s">
        <v>168</v>
      </c>
      <c r="DM36" s="158" t="s">
        <v>168</v>
      </c>
      <c r="DN36" s="158" t="s">
        <v>168</v>
      </c>
      <c r="DO36" s="158" t="s">
        <v>223</v>
      </c>
      <c r="DP36" s="158" t="s">
        <v>168</v>
      </c>
      <c r="DQ36" s="158" t="s">
        <v>168</v>
      </c>
      <c r="DR36" s="158" t="s">
        <v>168</v>
      </c>
      <c r="DS36" s="158" t="s">
        <v>168</v>
      </c>
      <c r="DT36" s="158" t="s">
        <v>168</v>
      </c>
      <c r="DU36" s="158" t="s">
        <v>168</v>
      </c>
      <c r="DV36" s="158" t="s">
        <v>168</v>
      </c>
      <c r="DW36">
        <v>432.935397616589</v>
      </c>
      <c r="DX36" s="163" t="s">
        <v>224</v>
      </c>
      <c r="DY36" s="158">
        <v>35.901559897151003</v>
      </c>
      <c r="DZ36" s="158" t="s">
        <v>225</v>
      </c>
      <c r="EA36">
        <v>39.799999999999997</v>
      </c>
      <c r="EB36" s="158" t="s">
        <v>226</v>
      </c>
      <c r="EC36">
        <v>0.31</v>
      </c>
      <c r="ED36" s="158" t="s">
        <v>227</v>
      </c>
      <c r="EE36" s="158" t="s">
        <v>228</v>
      </c>
      <c r="EF36" s="158" t="s">
        <v>320</v>
      </c>
      <c r="EG36">
        <v>1.0271999999999999</v>
      </c>
      <c r="EH36" s="158">
        <v>5.9999999999999995E-4</v>
      </c>
      <c r="EI36" s="160" t="s">
        <v>168</v>
      </c>
      <c r="EJ36" s="158" t="s">
        <v>169</v>
      </c>
      <c r="EK36" s="160" t="s">
        <v>168</v>
      </c>
      <c r="EL36" s="160" t="s">
        <v>168</v>
      </c>
      <c r="EM36" s="171" t="s">
        <v>230</v>
      </c>
      <c r="EN36" s="158" t="s">
        <v>231</v>
      </c>
      <c r="EO36" s="158" t="s">
        <v>231</v>
      </c>
      <c r="EP36" s="158" t="s">
        <v>231</v>
      </c>
      <c r="EQ36" s="158" t="s">
        <v>232</v>
      </c>
      <c r="ER36" s="160" t="s">
        <v>168</v>
      </c>
      <c r="ES36" s="160" t="s">
        <v>168</v>
      </c>
      <c r="ET36" s="160" t="s">
        <v>233</v>
      </c>
      <c r="EU36" s="158" t="s">
        <v>234</v>
      </c>
      <c r="EV36" s="158" t="s">
        <v>235</v>
      </c>
      <c r="EW36" s="146">
        <v>1901.335689189189</v>
      </c>
      <c r="EX36" s="158" t="s">
        <v>236</v>
      </c>
      <c r="EY36" s="172">
        <f t="shared" si="0"/>
        <v>2401.335689189189</v>
      </c>
      <c r="EZ36" s="168">
        <f t="shared" si="1"/>
        <v>1401.335689189189</v>
      </c>
      <c r="FA36" s="160" t="s">
        <v>168</v>
      </c>
      <c r="FB36" s="160" t="s">
        <v>168</v>
      </c>
      <c r="FC36" s="160" t="s">
        <v>168</v>
      </c>
      <c r="FD36" s="160" t="s">
        <v>168</v>
      </c>
      <c r="FE36">
        <v>8.0708658511083904</v>
      </c>
      <c r="FF36" s="173" t="s">
        <v>171</v>
      </c>
      <c r="FG36">
        <v>3.7843043248310337E-2</v>
      </c>
      <c r="FH36">
        <v>3.7333602126720322E-2</v>
      </c>
      <c r="FI36" s="160">
        <f t="shared" si="2"/>
        <v>358.79160229490901</v>
      </c>
      <c r="FJ36" s="160">
        <v>30</v>
      </c>
      <c r="FK36" s="160" t="s">
        <v>168</v>
      </c>
      <c r="FL36">
        <v>328.79160229490901</v>
      </c>
      <c r="FM36">
        <v>101.80927995632499</v>
      </c>
      <c r="FN36">
        <v>96.849054381515998</v>
      </c>
      <c r="FO36" s="158" t="s">
        <v>237</v>
      </c>
      <c r="FP36" s="158" t="s">
        <v>168</v>
      </c>
      <c r="FQ36" s="158" t="s">
        <v>172</v>
      </c>
      <c r="FR36" s="158" t="s">
        <v>172</v>
      </c>
      <c r="FS36" s="158" t="s">
        <v>172</v>
      </c>
      <c r="FT36" s="158" t="s">
        <v>172</v>
      </c>
      <c r="FU36" s="158" t="s">
        <v>172</v>
      </c>
      <c r="FV36" s="158" t="s">
        <v>172</v>
      </c>
      <c r="FW36" s="158" t="s">
        <v>172</v>
      </c>
      <c r="FX36" s="158" t="s">
        <v>172</v>
      </c>
      <c r="FY36" s="158" t="s">
        <v>172</v>
      </c>
      <c r="FZ36" s="158" t="s">
        <v>172</v>
      </c>
      <c r="GA36" s="158" t="s">
        <v>172</v>
      </c>
      <c r="GB36" s="158" t="s">
        <v>172</v>
      </c>
      <c r="GC36" s="158" t="s">
        <v>357</v>
      </c>
    </row>
    <row r="37" spans="1:185" ht="20" x14ac:dyDescent="0.25">
      <c r="A37" t="s">
        <v>190</v>
      </c>
      <c r="B37" s="140" t="s">
        <v>358</v>
      </c>
      <c r="C37" s="158" t="s">
        <v>173</v>
      </c>
      <c r="D37" s="158" t="s">
        <v>188</v>
      </c>
      <c r="E37" s="158">
        <v>2022</v>
      </c>
      <c r="F37" s="158" t="s">
        <v>189</v>
      </c>
      <c r="G37">
        <v>6298.8918918918898</v>
      </c>
      <c r="H37" s="176">
        <v>15</v>
      </c>
      <c r="I37" s="176">
        <v>15</v>
      </c>
      <c r="J37" s="158">
        <v>381.47235863821402</v>
      </c>
      <c r="K37">
        <v>119.00782567081501</v>
      </c>
      <c r="L37">
        <v>114.333535064682</v>
      </c>
      <c r="M37" t="b">
        <v>1</v>
      </c>
      <c r="N37">
        <v>1</v>
      </c>
      <c r="O37" t="s">
        <v>191</v>
      </c>
      <c r="P37" t="s">
        <v>168</v>
      </c>
      <c r="Q37" t="s">
        <v>168</v>
      </c>
      <c r="R37" t="s">
        <v>168</v>
      </c>
      <c r="S37" t="b">
        <v>0</v>
      </c>
      <c r="T37" t="b">
        <v>0</v>
      </c>
      <c r="U37" t="s">
        <v>168</v>
      </c>
      <c r="V37" t="b">
        <v>0</v>
      </c>
      <c r="W37" t="b">
        <v>0</v>
      </c>
      <c r="X37" t="s">
        <v>359</v>
      </c>
      <c r="Y37" s="159" t="s">
        <v>192</v>
      </c>
      <c r="Z37" s="158" t="s">
        <v>193</v>
      </c>
      <c r="AA37" s="160" t="s">
        <v>194</v>
      </c>
      <c r="AB37" s="160" t="s">
        <v>195</v>
      </c>
      <c r="AC37" s="158">
        <v>18</v>
      </c>
      <c r="AD37" s="158">
        <v>2</v>
      </c>
      <c r="AE37" s="158">
        <v>71</v>
      </c>
      <c r="AF37" s="158">
        <v>74</v>
      </c>
      <c r="AG37" s="158">
        <v>161.21</v>
      </c>
      <c r="AH37" s="158">
        <v>180.92</v>
      </c>
      <c r="AI37" s="160" t="s">
        <v>196</v>
      </c>
      <c r="AJ37" s="158" t="s">
        <v>197</v>
      </c>
      <c r="AK37" s="166">
        <v>3.7212472000000001</v>
      </c>
      <c r="AL37" s="166">
        <v>-42.913286111111098</v>
      </c>
      <c r="AM37" s="160" t="s">
        <v>168</v>
      </c>
      <c r="AN37" s="160" t="s">
        <v>168</v>
      </c>
      <c r="AO37" s="158">
        <v>-3598</v>
      </c>
      <c r="AP37" s="160" t="s">
        <v>168</v>
      </c>
      <c r="AQ37" s="160" t="s">
        <v>168</v>
      </c>
      <c r="AR37" s="160" t="s">
        <v>168</v>
      </c>
      <c r="AS37" s="158">
        <v>6298.8918918918898</v>
      </c>
      <c r="AT37" s="160" t="s">
        <v>198</v>
      </c>
      <c r="AU37" s="160" t="s">
        <v>168</v>
      </c>
      <c r="AV37" s="160" t="s">
        <v>168</v>
      </c>
      <c r="AW37" s="160" t="s">
        <v>250</v>
      </c>
      <c r="AX37" s="158" t="s">
        <v>200</v>
      </c>
      <c r="AY37" s="158" t="s">
        <v>201</v>
      </c>
      <c r="AZ37" s="158" t="s">
        <v>168</v>
      </c>
      <c r="BA37" s="158" t="s">
        <v>168</v>
      </c>
      <c r="BB37" s="158" t="s">
        <v>168</v>
      </c>
      <c r="BC37" s="158" t="s">
        <v>168</v>
      </c>
      <c r="BD37" s="158" t="s">
        <v>168</v>
      </c>
      <c r="BE37" s="158" t="s">
        <v>168</v>
      </c>
      <c r="BF37" s="158" t="s">
        <v>168</v>
      </c>
      <c r="BG37" s="167" t="s">
        <v>202</v>
      </c>
      <c r="BH37" s="158" t="s">
        <v>203</v>
      </c>
      <c r="BI37" s="160" t="s">
        <v>204</v>
      </c>
      <c r="BJ37" s="160" t="s">
        <v>205</v>
      </c>
      <c r="BK37" s="158" t="s">
        <v>206</v>
      </c>
      <c r="BL37" s="158" t="s">
        <v>207</v>
      </c>
      <c r="BM37" s="158" t="s">
        <v>208</v>
      </c>
      <c r="BN37" s="162" t="s">
        <v>321</v>
      </c>
      <c r="BO37" s="158">
        <v>2</v>
      </c>
      <c r="BP37" s="162" t="s">
        <v>322</v>
      </c>
      <c r="BQ37" s="168">
        <v>17.565095847929982</v>
      </c>
      <c r="BR37" s="168" t="s">
        <v>211</v>
      </c>
      <c r="BS37" s="168">
        <v>0.204259807994015</v>
      </c>
      <c r="BT37">
        <v>0.83299999999999996</v>
      </c>
      <c r="BU37" t="s">
        <v>168</v>
      </c>
      <c r="BV37" t="s">
        <v>168</v>
      </c>
      <c r="BW37">
        <v>2.69</v>
      </c>
      <c r="BX37" t="s">
        <v>168</v>
      </c>
      <c r="BY37" t="s">
        <v>168</v>
      </c>
      <c r="BZ37" s="163" t="s">
        <v>212</v>
      </c>
      <c r="CA37" t="s">
        <v>213</v>
      </c>
      <c r="CB37" s="168">
        <v>17.857257920684255</v>
      </c>
      <c r="CC37" s="160" t="s">
        <v>214</v>
      </c>
      <c r="CD37" s="164">
        <v>0.34677910049562699</v>
      </c>
      <c r="CE37" s="160" t="s">
        <v>215</v>
      </c>
      <c r="CF37" s="160" t="s">
        <v>216</v>
      </c>
      <c r="CG37" s="160">
        <v>0</v>
      </c>
      <c r="CH37" s="160" t="s">
        <v>217</v>
      </c>
      <c r="CI37" s="160" t="s">
        <v>168</v>
      </c>
      <c r="CJ37">
        <v>24.900564745655245</v>
      </c>
      <c r="CK37" s="158" t="s">
        <v>170</v>
      </c>
      <c r="CL37" s="158">
        <v>1</v>
      </c>
      <c r="CM37" s="158">
        <v>1</v>
      </c>
      <c r="CN37">
        <v>2.7873529511369628</v>
      </c>
      <c r="CO37">
        <v>2.7873529511369628</v>
      </c>
      <c r="CP37" s="165" t="s">
        <v>218</v>
      </c>
      <c r="CQ37" s="169">
        <v>0.05</v>
      </c>
      <c r="CR37" s="169">
        <v>0.05</v>
      </c>
      <c r="CS37" s="168" t="s">
        <v>219</v>
      </c>
      <c r="CT37" s="168" t="s">
        <v>220</v>
      </c>
      <c r="CU37" s="170" t="s">
        <v>221</v>
      </c>
      <c r="CV37" s="158" t="s">
        <v>222</v>
      </c>
      <c r="CW37" s="160" t="s">
        <v>168</v>
      </c>
      <c r="CX37" s="160" t="s">
        <v>168</v>
      </c>
      <c r="CY37" s="160" t="s">
        <v>168</v>
      </c>
      <c r="CZ37" s="160" t="s">
        <v>168</v>
      </c>
      <c r="DA37" s="160" t="s">
        <v>168</v>
      </c>
      <c r="DB37" s="160" t="s">
        <v>168</v>
      </c>
      <c r="DC37" s="160" t="s">
        <v>168</v>
      </c>
      <c r="DD37" s="160" t="s">
        <v>168</v>
      </c>
      <c r="DE37" s="160" t="s">
        <v>168</v>
      </c>
      <c r="DF37" s="160" t="s">
        <v>168</v>
      </c>
      <c r="DG37">
        <v>35</v>
      </c>
      <c r="DH37" t="s">
        <v>170</v>
      </c>
      <c r="DI37" s="160">
        <v>1.5</v>
      </c>
      <c r="DJ37" s="160" t="s">
        <v>168</v>
      </c>
      <c r="DK37" s="158" t="s">
        <v>223</v>
      </c>
      <c r="DL37" s="158" t="s">
        <v>168</v>
      </c>
      <c r="DM37" s="158" t="s">
        <v>168</v>
      </c>
      <c r="DN37" s="158" t="s">
        <v>168</v>
      </c>
      <c r="DO37" s="158" t="s">
        <v>223</v>
      </c>
      <c r="DP37" s="158" t="s">
        <v>168</v>
      </c>
      <c r="DQ37" s="158" t="s">
        <v>168</v>
      </c>
      <c r="DR37" s="158" t="s">
        <v>168</v>
      </c>
      <c r="DS37" s="158" t="s">
        <v>168</v>
      </c>
      <c r="DT37" s="158" t="s">
        <v>168</v>
      </c>
      <c r="DU37" s="158" t="s">
        <v>168</v>
      </c>
      <c r="DV37" s="158" t="s">
        <v>168</v>
      </c>
      <c r="DW37">
        <v>432.71971881424798</v>
      </c>
      <c r="DX37" s="163" t="s">
        <v>224</v>
      </c>
      <c r="DY37" s="158">
        <v>36.093617854859502</v>
      </c>
      <c r="DZ37" s="158" t="s">
        <v>225</v>
      </c>
      <c r="EA37">
        <v>39.799999999999997</v>
      </c>
      <c r="EB37" s="158" t="s">
        <v>226</v>
      </c>
      <c r="EC37">
        <v>0.31</v>
      </c>
      <c r="ED37" s="158" t="s">
        <v>227</v>
      </c>
      <c r="EE37" s="158" t="s">
        <v>228</v>
      </c>
      <c r="EF37" s="158" t="s">
        <v>323</v>
      </c>
      <c r="EG37">
        <v>1.0271999999999999</v>
      </c>
      <c r="EH37" s="158">
        <v>5.9999999999999995E-4</v>
      </c>
      <c r="EI37" s="160" t="s">
        <v>168</v>
      </c>
      <c r="EJ37" s="158" t="s">
        <v>169</v>
      </c>
      <c r="EK37" s="160" t="s">
        <v>168</v>
      </c>
      <c r="EL37" s="160" t="s">
        <v>168</v>
      </c>
      <c r="EM37" s="171" t="s">
        <v>230</v>
      </c>
      <c r="EN37" s="158" t="s">
        <v>231</v>
      </c>
      <c r="EO37" s="158" t="s">
        <v>231</v>
      </c>
      <c r="EP37" s="158" t="s">
        <v>231</v>
      </c>
      <c r="EQ37" s="158" t="s">
        <v>232</v>
      </c>
      <c r="ER37" s="160" t="s">
        <v>168</v>
      </c>
      <c r="ES37" s="160" t="s">
        <v>168</v>
      </c>
      <c r="ET37" s="160" t="s">
        <v>233</v>
      </c>
      <c r="EU37" s="158" t="s">
        <v>234</v>
      </c>
      <c r="EV37" s="158" t="s">
        <v>235</v>
      </c>
      <c r="EW37" s="146">
        <v>1901.1922729729729</v>
      </c>
      <c r="EX37" s="158" t="s">
        <v>236</v>
      </c>
      <c r="EY37" s="172">
        <f t="shared" si="0"/>
        <v>2401.1922729729731</v>
      </c>
      <c r="EZ37" s="168">
        <f t="shared" si="1"/>
        <v>1401.1922729729729</v>
      </c>
      <c r="FA37" s="160" t="s">
        <v>168</v>
      </c>
      <c r="FB37" s="160" t="s">
        <v>168</v>
      </c>
      <c r="FC37" s="160" t="s">
        <v>168</v>
      </c>
      <c r="FD37" s="160" t="s">
        <v>168</v>
      </c>
      <c r="FE37">
        <v>8.0160982386827104</v>
      </c>
      <c r="FF37" s="173" t="s">
        <v>171</v>
      </c>
      <c r="FG37">
        <v>4.3113270417849847E-2</v>
      </c>
      <c r="FH37">
        <v>4.3883656886210431E-2</v>
      </c>
      <c r="FI37" s="160">
        <f t="shared" si="2"/>
        <v>411.47235863821402</v>
      </c>
      <c r="FJ37" s="160">
        <v>30</v>
      </c>
      <c r="FK37" s="160" t="s">
        <v>168</v>
      </c>
      <c r="FL37">
        <v>381.47235863821402</v>
      </c>
      <c r="FM37">
        <v>119.00782567081501</v>
      </c>
      <c r="FN37">
        <v>114.333535064682</v>
      </c>
      <c r="FO37" s="158" t="s">
        <v>237</v>
      </c>
      <c r="FP37" s="158" t="s">
        <v>168</v>
      </c>
      <c r="FQ37" s="158" t="s">
        <v>172</v>
      </c>
      <c r="FR37" s="158" t="s">
        <v>172</v>
      </c>
      <c r="FS37" s="158" t="s">
        <v>172</v>
      </c>
      <c r="FT37" s="158" t="s">
        <v>172</v>
      </c>
      <c r="FU37" s="158" t="s">
        <v>172</v>
      </c>
      <c r="FV37" s="158" t="s">
        <v>172</v>
      </c>
      <c r="FW37" s="158" t="s">
        <v>172</v>
      </c>
      <c r="FX37" s="158" t="s">
        <v>172</v>
      </c>
      <c r="FY37" s="158" t="s">
        <v>172</v>
      </c>
      <c r="FZ37" s="158" t="s">
        <v>172</v>
      </c>
      <c r="GA37" s="158" t="s">
        <v>172</v>
      </c>
      <c r="GB37" s="158" t="s">
        <v>172</v>
      </c>
      <c r="GC37" s="158" t="s">
        <v>357</v>
      </c>
    </row>
    <row r="38" spans="1:185" ht="20" x14ac:dyDescent="0.25">
      <c r="A38" t="s">
        <v>190</v>
      </c>
      <c r="B38" s="140" t="s">
        <v>358</v>
      </c>
      <c r="C38" s="158" t="s">
        <v>173</v>
      </c>
      <c r="D38" s="158" t="s">
        <v>188</v>
      </c>
      <c r="E38" s="158">
        <v>2022</v>
      </c>
      <c r="F38" s="158" t="s">
        <v>189</v>
      </c>
      <c r="G38">
        <v>6346.4285714285697</v>
      </c>
      <c r="H38" s="176">
        <v>15</v>
      </c>
      <c r="I38" s="176">
        <v>15</v>
      </c>
      <c r="J38" s="158">
        <v>376.37075932428297</v>
      </c>
      <c r="K38">
        <v>124.96160988433905</v>
      </c>
      <c r="L38">
        <v>113.92658804313197</v>
      </c>
      <c r="M38" t="b">
        <v>1</v>
      </c>
      <c r="N38">
        <v>1</v>
      </c>
      <c r="O38" t="s">
        <v>191</v>
      </c>
      <c r="P38" t="s">
        <v>168</v>
      </c>
      <c r="Q38" t="s">
        <v>168</v>
      </c>
      <c r="R38" t="s">
        <v>168</v>
      </c>
      <c r="S38" t="b">
        <v>0</v>
      </c>
      <c r="T38" t="b">
        <v>0</v>
      </c>
      <c r="U38" t="s">
        <v>168</v>
      </c>
      <c r="V38" t="b">
        <v>0</v>
      </c>
      <c r="W38" t="b">
        <v>0</v>
      </c>
      <c r="X38" t="s">
        <v>359</v>
      </c>
      <c r="Y38" s="159" t="s">
        <v>192</v>
      </c>
      <c r="Z38" s="158" t="s">
        <v>193</v>
      </c>
      <c r="AA38" s="160" t="s">
        <v>194</v>
      </c>
      <c r="AB38" s="160" t="s">
        <v>195</v>
      </c>
      <c r="AC38" s="158">
        <v>18</v>
      </c>
      <c r="AD38" s="158">
        <v>3</v>
      </c>
      <c r="AE38" s="158">
        <v>15.5</v>
      </c>
      <c r="AF38" s="158">
        <v>18.5</v>
      </c>
      <c r="AG38" s="158">
        <v>162.155</v>
      </c>
      <c r="AH38" s="158">
        <v>181.86500000000001</v>
      </c>
      <c r="AI38" s="160" t="s">
        <v>196</v>
      </c>
      <c r="AJ38" s="158" t="s">
        <v>197</v>
      </c>
      <c r="AK38" s="166">
        <v>3.7212472000000001</v>
      </c>
      <c r="AL38" s="166">
        <v>-42.913286111111098</v>
      </c>
      <c r="AM38" s="160" t="s">
        <v>168</v>
      </c>
      <c r="AN38" s="160" t="s">
        <v>168</v>
      </c>
      <c r="AO38" s="158">
        <v>-3598</v>
      </c>
      <c r="AP38" s="160" t="s">
        <v>168</v>
      </c>
      <c r="AQ38" s="160" t="s">
        <v>168</v>
      </c>
      <c r="AR38" s="160" t="s">
        <v>168</v>
      </c>
      <c r="AS38" s="158">
        <v>6346.4285714285697</v>
      </c>
      <c r="AT38" s="160" t="s">
        <v>198</v>
      </c>
      <c r="AU38" s="160" t="s">
        <v>168</v>
      </c>
      <c r="AV38" s="160" t="s">
        <v>168</v>
      </c>
      <c r="AW38" s="160" t="s">
        <v>250</v>
      </c>
      <c r="AX38" s="158" t="s">
        <v>200</v>
      </c>
      <c r="AY38" s="158" t="s">
        <v>201</v>
      </c>
      <c r="AZ38" s="158" t="s">
        <v>168</v>
      </c>
      <c r="BA38" s="158" t="s">
        <v>168</v>
      </c>
      <c r="BB38" s="158" t="s">
        <v>168</v>
      </c>
      <c r="BC38" s="158" t="s">
        <v>168</v>
      </c>
      <c r="BD38" s="158" t="s">
        <v>168</v>
      </c>
      <c r="BE38" s="158" t="s">
        <v>168</v>
      </c>
      <c r="BF38" s="158" t="s">
        <v>168</v>
      </c>
      <c r="BG38" s="167" t="s">
        <v>202</v>
      </c>
      <c r="BH38" s="158" t="s">
        <v>203</v>
      </c>
      <c r="BI38" s="160" t="s">
        <v>204</v>
      </c>
      <c r="BJ38" s="160" t="s">
        <v>205</v>
      </c>
      <c r="BK38" s="158" t="s">
        <v>206</v>
      </c>
      <c r="BL38" s="158" t="s">
        <v>207</v>
      </c>
      <c r="BM38" s="158" t="s">
        <v>208</v>
      </c>
      <c r="BN38" s="162" t="s">
        <v>324</v>
      </c>
      <c r="BO38" s="158">
        <v>2</v>
      </c>
      <c r="BP38" s="162" t="s">
        <v>325</v>
      </c>
      <c r="BQ38" s="168">
        <v>17.603665518044931</v>
      </c>
      <c r="BR38" s="168" t="s">
        <v>211</v>
      </c>
      <c r="BS38" s="168">
        <v>0.32854600683966689</v>
      </c>
      <c r="BT38">
        <v>0.83299999999999996</v>
      </c>
      <c r="BU38" t="s">
        <v>168</v>
      </c>
      <c r="BV38" t="s">
        <v>168</v>
      </c>
      <c r="BW38">
        <v>2.69</v>
      </c>
      <c r="BX38" t="s">
        <v>168</v>
      </c>
      <c r="BY38" t="s">
        <v>168</v>
      </c>
      <c r="BZ38" s="163" t="s">
        <v>212</v>
      </c>
      <c r="CA38" t="s">
        <v>213</v>
      </c>
      <c r="CB38" s="168">
        <v>17.903560045672187</v>
      </c>
      <c r="CC38" s="160" t="s">
        <v>214</v>
      </c>
      <c r="CD38" s="164">
        <v>0.55778417615387754</v>
      </c>
      <c r="CE38" s="160" t="s">
        <v>215</v>
      </c>
      <c r="CF38" s="160" t="s">
        <v>216</v>
      </c>
      <c r="CG38" s="160">
        <v>0</v>
      </c>
      <c r="CH38" s="160" t="s">
        <v>217</v>
      </c>
      <c r="CI38" s="160" t="s">
        <v>168</v>
      </c>
      <c r="CJ38">
        <v>24.769274411102863</v>
      </c>
      <c r="CK38" s="158" t="s">
        <v>170</v>
      </c>
      <c r="CL38" s="158">
        <v>1</v>
      </c>
      <c r="CM38" s="158">
        <v>1</v>
      </c>
      <c r="CN38">
        <v>2.7524004764523129</v>
      </c>
      <c r="CO38">
        <v>2.7524004764523129</v>
      </c>
      <c r="CP38" s="165" t="s">
        <v>218</v>
      </c>
      <c r="CQ38" s="169">
        <v>0.05</v>
      </c>
      <c r="CR38" s="169">
        <v>0.05</v>
      </c>
      <c r="CS38" s="168" t="s">
        <v>219</v>
      </c>
      <c r="CT38" s="168" t="s">
        <v>220</v>
      </c>
      <c r="CU38" s="170" t="s">
        <v>221</v>
      </c>
      <c r="CV38" s="158" t="s">
        <v>222</v>
      </c>
      <c r="CW38" s="160" t="s">
        <v>168</v>
      </c>
      <c r="CX38" s="160" t="s">
        <v>168</v>
      </c>
      <c r="CY38" s="160" t="s">
        <v>168</v>
      </c>
      <c r="CZ38" s="160" t="s">
        <v>168</v>
      </c>
      <c r="DA38" s="160" t="s">
        <v>168</v>
      </c>
      <c r="DB38" s="160" t="s">
        <v>168</v>
      </c>
      <c r="DC38" s="160" t="s">
        <v>168</v>
      </c>
      <c r="DD38" s="160" t="s">
        <v>168</v>
      </c>
      <c r="DE38" s="160" t="s">
        <v>168</v>
      </c>
      <c r="DF38" s="160" t="s">
        <v>168</v>
      </c>
      <c r="DG38">
        <v>35</v>
      </c>
      <c r="DH38" t="s">
        <v>170</v>
      </c>
      <c r="DI38" s="160">
        <v>1.5</v>
      </c>
      <c r="DJ38" s="160" t="s">
        <v>168</v>
      </c>
      <c r="DK38" s="158" t="s">
        <v>223</v>
      </c>
      <c r="DL38" s="158" t="s">
        <v>168</v>
      </c>
      <c r="DM38" s="158" t="s">
        <v>168</v>
      </c>
      <c r="DN38" s="158" t="s">
        <v>168</v>
      </c>
      <c r="DO38" s="158" t="s">
        <v>223</v>
      </c>
      <c r="DP38" s="158" t="s">
        <v>168</v>
      </c>
      <c r="DQ38" s="158" t="s">
        <v>168</v>
      </c>
      <c r="DR38" s="158" t="s">
        <v>168</v>
      </c>
      <c r="DS38" s="158" t="s">
        <v>168</v>
      </c>
      <c r="DT38" s="158" t="s">
        <v>168</v>
      </c>
      <c r="DU38" s="158" t="s">
        <v>168</v>
      </c>
      <c r="DV38" s="158" t="s">
        <v>168</v>
      </c>
      <c r="DW38">
        <v>432.40320228684698</v>
      </c>
      <c r="DX38" s="163" t="s">
        <v>224</v>
      </c>
      <c r="DY38" s="158">
        <v>36.63234536470398</v>
      </c>
      <c r="DZ38" s="158" t="s">
        <v>225</v>
      </c>
      <c r="EA38">
        <v>39.799999999999997</v>
      </c>
      <c r="EB38" s="158" t="s">
        <v>226</v>
      </c>
      <c r="EC38">
        <v>0.31</v>
      </c>
      <c r="ED38" s="158" t="s">
        <v>227</v>
      </c>
      <c r="EE38" s="158" t="s">
        <v>228</v>
      </c>
      <c r="EF38" s="158" t="s">
        <v>326</v>
      </c>
      <c r="EG38">
        <v>1.0271999999999999</v>
      </c>
      <c r="EH38" s="158">
        <v>5.9999999999999995E-4</v>
      </c>
      <c r="EI38" s="160" t="s">
        <v>168</v>
      </c>
      <c r="EJ38" s="158" t="s">
        <v>169</v>
      </c>
      <c r="EK38" s="160" t="s">
        <v>168</v>
      </c>
      <c r="EL38" s="160" t="s">
        <v>168</v>
      </c>
      <c r="EM38" s="171" t="s">
        <v>230</v>
      </c>
      <c r="EN38" s="158" t="s">
        <v>231</v>
      </c>
      <c r="EO38" s="158" t="s">
        <v>231</v>
      </c>
      <c r="EP38" s="158" t="s">
        <v>231</v>
      </c>
      <c r="EQ38" s="158" t="s">
        <v>232</v>
      </c>
      <c r="ER38" s="160" t="s">
        <v>168</v>
      </c>
      <c r="ES38" s="160" t="s">
        <v>168</v>
      </c>
      <c r="ET38" s="160" t="s">
        <v>233</v>
      </c>
      <c r="EU38" s="158" t="s">
        <v>234</v>
      </c>
      <c r="EV38" s="158" t="s">
        <v>235</v>
      </c>
      <c r="EW38" s="146">
        <v>1900.2367857142858</v>
      </c>
      <c r="EX38" s="158" t="s">
        <v>236</v>
      </c>
      <c r="EY38" s="172">
        <f t="shared" si="0"/>
        <v>2400.2367857142858</v>
      </c>
      <c r="EZ38" s="168">
        <f t="shared" si="1"/>
        <v>1400.2367857142858</v>
      </c>
      <c r="FA38" s="160" t="s">
        <v>168</v>
      </c>
      <c r="FB38" s="160" t="s">
        <v>168</v>
      </c>
      <c r="FC38" s="160" t="s">
        <v>168</v>
      </c>
      <c r="FD38" s="160" t="s">
        <v>168</v>
      </c>
      <c r="FE38">
        <v>8.0220736003710904</v>
      </c>
      <c r="FF38" s="173" t="s">
        <v>171</v>
      </c>
      <c r="FG38">
        <v>5.4706458949910441E-2</v>
      </c>
      <c r="FH38">
        <v>5.5801283533140733E-2</v>
      </c>
      <c r="FI38" s="160">
        <f t="shared" si="2"/>
        <v>406.37075932428297</v>
      </c>
      <c r="FJ38" s="160">
        <v>30</v>
      </c>
      <c r="FK38" s="160" t="s">
        <v>168</v>
      </c>
      <c r="FL38">
        <v>376.37075932428297</v>
      </c>
      <c r="FM38">
        <v>124.96160988433905</v>
      </c>
      <c r="FN38">
        <v>113.92658804313197</v>
      </c>
      <c r="FO38" s="158" t="s">
        <v>237</v>
      </c>
      <c r="FP38" s="158" t="s">
        <v>168</v>
      </c>
      <c r="FQ38" s="158" t="s">
        <v>172</v>
      </c>
      <c r="FR38" s="158" t="s">
        <v>172</v>
      </c>
      <c r="FS38" s="158" t="s">
        <v>172</v>
      </c>
      <c r="FT38" s="158" t="s">
        <v>172</v>
      </c>
      <c r="FU38" s="158" t="s">
        <v>172</v>
      </c>
      <c r="FV38" s="158" t="s">
        <v>172</v>
      </c>
      <c r="FW38" s="158" t="s">
        <v>172</v>
      </c>
      <c r="FX38" s="158" t="s">
        <v>172</v>
      </c>
      <c r="FY38" s="158" t="s">
        <v>172</v>
      </c>
      <c r="FZ38" s="158" t="s">
        <v>172</v>
      </c>
      <c r="GA38" s="158" t="s">
        <v>172</v>
      </c>
      <c r="GB38" s="158" t="s">
        <v>172</v>
      </c>
      <c r="GC38" s="158" t="s">
        <v>357</v>
      </c>
    </row>
    <row r="39" spans="1:185" ht="20" x14ac:dyDescent="0.25">
      <c r="A39" t="s">
        <v>190</v>
      </c>
      <c r="B39" s="140" t="s">
        <v>358</v>
      </c>
      <c r="C39" s="158" t="s">
        <v>173</v>
      </c>
      <c r="D39" s="158" t="s">
        <v>188</v>
      </c>
      <c r="E39" s="158">
        <v>2022</v>
      </c>
      <c r="F39" s="158" t="s">
        <v>189</v>
      </c>
      <c r="G39">
        <v>6385.0833333333303</v>
      </c>
      <c r="H39" s="176">
        <v>15</v>
      </c>
      <c r="I39" s="176">
        <v>15</v>
      </c>
      <c r="J39" s="158">
        <v>309.74967799278801</v>
      </c>
      <c r="K39">
        <v>97.866082021579018</v>
      </c>
      <c r="L39">
        <v>92.700575940942002</v>
      </c>
      <c r="M39" t="b">
        <v>1</v>
      </c>
      <c r="N39">
        <v>1</v>
      </c>
      <c r="O39" t="s">
        <v>191</v>
      </c>
      <c r="P39" t="s">
        <v>168</v>
      </c>
      <c r="Q39" t="s">
        <v>168</v>
      </c>
      <c r="R39" t="s">
        <v>168</v>
      </c>
      <c r="S39" t="b">
        <v>0</v>
      </c>
      <c r="T39" t="b">
        <v>0</v>
      </c>
      <c r="U39" t="s">
        <v>168</v>
      </c>
      <c r="V39" t="b">
        <v>0</v>
      </c>
      <c r="W39" t="b">
        <v>0</v>
      </c>
      <c r="X39" t="s">
        <v>359</v>
      </c>
      <c r="Y39" s="159" t="s">
        <v>192</v>
      </c>
      <c r="Z39" s="158" t="s">
        <v>193</v>
      </c>
      <c r="AA39" s="160" t="s">
        <v>194</v>
      </c>
      <c r="AB39" s="160" t="s">
        <v>195</v>
      </c>
      <c r="AC39" s="158">
        <v>18</v>
      </c>
      <c r="AD39" s="158">
        <v>3</v>
      </c>
      <c r="AE39" s="158">
        <v>91</v>
      </c>
      <c r="AF39" s="158">
        <v>94</v>
      </c>
      <c r="AG39" s="158">
        <v>162.91</v>
      </c>
      <c r="AH39" s="158">
        <v>182.62</v>
      </c>
      <c r="AI39" s="160" t="s">
        <v>196</v>
      </c>
      <c r="AJ39" s="158" t="s">
        <v>197</v>
      </c>
      <c r="AK39" s="166">
        <v>3.7212472000000001</v>
      </c>
      <c r="AL39" s="166">
        <v>-42.913286111111098</v>
      </c>
      <c r="AM39" s="160" t="s">
        <v>168</v>
      </c>
      <c r="AN39" s="160" t="s">
        <v>168</v>
      </c>
      <c r="AO39" s="158">
        <v>-3598</v>
      </c>
      <c r="AP39" s="160" t="s">
        <v>168</v>
      </c>
      <c r="AQ39" s="160" t="s">
        <v>168</v>
      </c>
      <c r="AR39" s="160" t="s">
        <v>168</v>
      </c>
      <c r="AS39" s="158">
        <v>6385.0833333333303</v>
      </c>
      <c r="AT39" s="160" t="s">
        <v>198</v>
      </c>
      <c r="AU39" s="160" t="s">
        <v>168</v>
      </c>
      <c r="AV39" s="160" t="s">
        <v>168</v>
      </c>
      <c r="AW39" s="160" t="s">
        <v>250</v>
      </c>
      <c r="AX39" s="158" t="s">
        <v>200</v>
      </c>
      <c r="AY39" s="158" t="s">
        <v>201</v>
      </c>
      <c r="AZ39" s="158" t="s">
        <v>168</v>
      </c>
      <c r="BA39" s="158" t="s">
        <v>168</v>
      </c>
      <c r="BB39" s="158" t="s">
        <v>168</v>
      </c>
      <c r="BC39" s="158" t="s">
        <v>168</v>
      </c>
      <c r="BD39" s="158" t="s">
        <v>168</v>
      </c>
      <c r="BE39" s="158" t="s">
        <v>168</v>
      </c>
      <c r="BF39" s="158" t="s">
        <v>168</v>
      </c>
      <c r="BG39" s="167" t="s">
        <v>202</v>
      </c>
      <c r="BH39" s="158" t="s">
        <v>203</v>
      </c>
      <c r="BI39" s="160" t="s">
        <v>204</v>
      </c>
      <c r="BJ39" s="160" t="s">
        <v>205</v>
      </c>
      <c r="BK39" s="158" t="s">
        <v>206</v>
      </c>
      <c r="BL39" s="158" t="s">
        <v>207</v>
      </c>
      <c r="BM39" s="158" t="s">
        <v>208</v>
      </c>
      <c r="BN39" s="162" t="s">
        <v>327</v>
      </c>
      <c r="BO39" s="158">
        <v>2</v>
      </c>
      <c r="BP39" s="162" t="s">
        <v>328</v>
      </c>
      <c r="BQ39" s="168">
        <v>18.254148838401374</v>
      </c>
      <c r="BR39" s="168" t="s">
        <v>211</v>
      </c>
      <c r="BS39" s="168">
        <v>0.21751383555040082</v>
      </c>
      <c r="BT39">
        <v>0.83299999999999996</v>
      </c>
      <c r="BU39" t="s">
        <v>168</v>
      </c>
      <c r="BV39" t="s">
        <v>168</v>
      </c>
      <c r="BW39">
        <v>2.69</v>
      </c>
      <c r="BX39" t="s">
        <v>168</v>
      </c>
      <c r="BY39" t="s">
        <v>168</v>
      </c>
      <c r="BZ39" s="163" t="s">
        <v>212</v>
      </c>
      <c r="CA39" t="s">
        <v>213</v>
      </c>
      <c r="CB39" s="168">
        <v>18.684452387036465</v>
      </c>
      <c r="CC39" s="160" t="s">
        <v>214</v>
      </c>
      <c r="CD39" s="164">
        <v>0.36928093185974736</v>
      </c>
      <c r="CE39" s="160" t="s">
        <v>215</v>
      </c>
      <c r="CF39" s="160" t="s">
        <v>216</v>
      </c>
      <c r="CG39" s="160">
        <v>0</v>
      </c>
      <c r="CH39" s="160" t="s">
        <v>217</v>
      </c>
      <c r="CI39" s="160" t="s">
        <v>168</v>
      </c>
      <c r="CJ39">
        <v>24.944255660714809</v>
      </c>
      <c r="CK39" s="158" t="s">
        <v>170</v>
      </c>
      <c r="CL39" s="158">
        <v>1</v>
      </c>
      <c r="CM39" s="158">
        <v>1</v>
      </c>
      <c r="CN39">
        <v>2.7942664457181907</v>
      </c>
      <c r="CO39">
        <v>2.7942664457181907</v>
      </c>
      <c r="CP39" s="165" t="s">
        <v>218</v>
      </c>
      <c r="CQ39" s="169">
        <v>0.05</v>
      </c>
      <c r="CR39" s="169">
        <v>0.05</v>
      </c>
      <c r="CS39" s="168" t="s">
        <v>219</v>
      </c>
      <c r="CT39" s="168" t="s">
        <v>220</v>
      </c>
      <c r="CU39" s="170" t="s">
        <v>221</v>
      </c>
      <c r="CV39" s="158" t="s">
        <v>222</v>
      </c>
      <c r="CW39" s="160" t="s">
        <v>168</v>
      </c>
      <c r="CX39" s="160" t="s">
        <v>168</v>
      </c>
      <c r="CY39" s="160" t="s">
        <v>168</v>
      </c>
      <c r="CZ39" s="160" t="s">
        <v>168</v>
      </c>
      <c r="DA39" s="160" t="s">
        <v>168</v>
      </c>
      <c r="DB39" s="160" t="s">
        <v>168</v>
      </c>
      <c r="DC39" s="160" t="s">
        <v>168</v>
      </c>
      <c r="DD39" s="160" t="s">
        <v>168</v>
      </c>
      <c r="DE39" s="160" t="s">
        <v>168</v>
      </c>
      <c r="DF39" s="160" t="s">
        <v>168</v>
      </c>
      <c r="DG39">
        <v>35</v>
      </c>
      <c r="DH39" t="s">
        <v>170</v>
      </c>
      <c r="DI39" s="160">
        <v>1.5</v>
      </c>
      <c r="DJ39" s="160" t="s">
        <v>168</v>
      </c>
      <c r="DK39" s="158" t="s">
        <v>223</v>
      </c>
      <c r="DL39" s="158" t="s">
        <v>168</v>
      </c>
      <c r="DM39" s="158" t="s">
        <v>168</v>
      </c>
      <c r="DN39" s="158" t="s">
        <v>168</v>
      </c>
      <c r="DO39" s="158" t="s">
        <v>223</v>
      </c>
      <c r="DP39" s="158" t="s">
        <v>168</v>
      </c>
      <c r="DQ39" s="158" t="s">
        <v>168</v>
      </c>
      <c r="DR39" s="158" t="s">
        <v>168</v>
      </c>
      <c r="DS39" s="158" t="s">
        <v>168</v>
      </c>
      <c r="DT39" s="158" t="s">
        <v>168</v>
      </c>
      <c r="DU39" s="158" t="s">
        <v>168</v>
      </c>
      <c r="DV39" s="158" t="s">
        <v>168</v>
      </c>
      <c r="DW39">
        <v>432.43062179845799</v>
      </c>
      <c r="DX39" s="163" t="s">
        <v>224</v>
      </c>
      <c r="DY39" s="158">
        <v>36.405124711945007</v>
      </c>
      <c r="DZ39" s="158" t="s">
        <v>225</v>
      </c>
      <c r="EA39">
        <v>39.799999999999997</v>
      </c>
      <c r="EB39" s="158" t="s">
        <v>226</v>
      </c>
      <c r="EC39">
        <v>0.31</v>
      </c>
      <c r="ED39" s="158" t="s">
        <v>227</v>
      </c>
      <c r="EE39" s="158" t="s">
        <v>228</v>
      </c>
      <c r="EF39" s="158" t="s">
        <v>329</v>
      </c>
      <c r="EG39">
        <v>1.0271999999999999</v>
      </c>
      <c r="EH39" s="158">
        <v>5.9999999999999995E-4</v>
      </c>
      <c r="EI39" s="160" t="s">
        <v>168</v>
      </c>
      <c r="EJ39" s="158" t="s">
        <v>169</v>
      </c>
      <c r="EK39" s="160" t="s">
        <v>168</v>
      </c>
      <c r="EL39" s="160" t="s">
        <v>168</v>
      </c>
      <c r="EM39" s="171" t="s">
        <v>230</v>
      </c>
      <c r="EN39" s="158" t="s">
        <v>231</v>
      </c>
      <c r="EO39" s="158" t="s">
        <v>231</v>
      </c>
      <c r="EP39" s="158" t="s">
        <v>231</v>
      </c>
      <c r="EQ39" s="158" t="s">
        <v>232</v>
      </c>
      <c r="ER39" s="160" t="s">
        <v>168</v>
      </c>
      <c r="ES39" s="160" t="s">
        <v>168</v>
      </c>
      <c r="ET39" s="160" t="s">
        <v>233</v>
      </c>
      <c r="EU39" s="158" t="s">
        <v>234</v>
      </c>
      <c r="EV39" s="158" t="s">
        <v>235</v>
      </c>
      <c r="EW39" s="146">
        <v>1899.4598249999999</v>
      </c>
      <c r="EX39" s="158" t="s">
        <v>236</v>
      </c>
      <c r="EY39" s="172">
        <f t="shared" si="0"/>
        <v>2399.4598249999999</v>
      </c>
      <c r="EZ39" s="168">
        <f t="shared" si="1"/>
        <v>1399.4598249999999</v>
      </c>
      <c r="FA39" s="160" t="s">
        <v>168</v>
      </c>
      <c r="FB39" s="160" t="s">
        <v>168</v>
      </c>
      <c r="FC39" s="160" t="s">
        <v>168</v>
      </c>
      <c r="FD39" s="160" t="s">
        <v>168</v>
      </c>
      <c r="FE39">
        <v>8.0922172726877299</v>
      </c>
      <c r="FF39" s="173" t="s">
        <v>171</v>
      </c>
      <c r="FG39">
        <v>3.9851878972200439E-2</v>
      </c>
      <c r="FH39">
        <v>4.0091242915940128E-2</v>
      </c>
      <c r="FI39" s="160">
        <f t="shared" si="2"/>
        <v>339.74967799278801</v>
      </c>
      <c r="FJ39" s="160">
        <v>30</v>
      </c>
      <c r="FK39" s="160" t="s">
        <v>168</v>
      </c>
      <c r="FL39">
        <v>309.74967799278801</v>
      </c>
      <c r="FM39">
        <v>97.866082021579018</v>
      </c>
      <c r="FN39">
        <v>92.700575940942002</v>
      </c>
      <c r="FO39" s="158" t="s">
        <v>237</v>
      </c>
      <c r="FP39" s="158" t="s">
        <v>168</v>
      </c>
      <c r="FQ39" s="158" t="s">
        <v>172</v>
      </c>
      <c r="FR39" s="158" t="s">
        <v>172</v>
      </c>
      <c r="FS39" s="158" t="s">
        <v>172</v>
      </c>
      <c r="FT39" s="158" t="s">
        <v>172</v>
      </c>
      <c r="FU39" s="158" t="s">
        <v>172</v>
      </c>
      <c r="FV39" s="158" t="s">
        <v>172</v>
      </c>
      <c r="FW39" s="158" t="s">
        <v>172</v>
      </c>
      <c r="FX39" s="158" t="s">
        <v>172</v>
      </c>
      <c r="FY39" s="158" t="s">
        <v>172</v>
      </c>
      <c r="FZ39" s="158" t="s">
        <v>172</v>
      </c>
      <c r="GA39" s="158" t="s">
        <v>172</v>
      </c>
      <c r="GB39" s="158" t="s">
        <v>172</v>
      </c>
      <c r="GC39" s="158" t="s">
        <v>357</v>
      </c>
    </row>
    <row r="40" spans="1:185" ht="20" x14ac:dyDescent="0.25">
      <c r="A40" t="s">
        <v>190</v>
      </c>
      <c r="B40" s="140" t="s">
        <v>358</v>
      </c>
      <c r="C40" s="158" t="s">
        <v>173</v>
      </c>
      <c r="D40" s="158" t="s">
        <v>188</v>
      </c>
      <c r="E40" s="158">
        <v>2022</v>
      </c>
      <c r="F40" s="158" t="s">
        <v>189</v>
      </c>
      <c r="G40">
        <v>6456.9655172413804</v>
      </c>
      <c r="H40" s="176">
        <v>15</v>
      </c>
      <c r="I40" s="176">
        <v>15</v>
      </c>
      <c r="J40" s="158">
        <v>384.17284181316199</v>
      </c>
      <c r="K40">
        <v>118.623701791923</v>
      </c>
      <c r="L40">
        <v>112.44831372645001</v>
      </c>
      <c r="M40" t="b">
        <v>1</v>
      </c>
      <c r="N40">
        <v>1</v>
      </c>
      <c r="O40" t="s">
        <v>191</v>
      </c>
      <c r="P40" t="s">
        <v>168</v>
      </c>
      <c r="Q40" t="s">
        <v>168</v>
      </c>
      <c r="R40" t="s">
        <v>168</v>
      </c>
      <c r="S40" t="b">
        <v>0</v>
      </c>
      <c r="T40" t="b">
        <v>0</v>
      </c>
      <c r="U40" t="s">
        <v>168</v>
      </c>
      <c r="V40" t="b">
        <v>0</v>
      </c>
      <c r="W40" t="b">
        <v>0</v>
      </c>
      <c r="X40" t="s">
        <v>359</v>
      </c>
      <c r="Y40" s="159" t="s">
        <v>192</v>
      </c>
      <c r="Z40" s="158" t="s">
        <v>193</v>
      </c>
      <c r="AA40" s="160" t="s">
        <v>194</v>
      </c>
      <c r="AB40" s="160" t="s">
        <v>195</v>
      </c>
      <c r="AC40" s="158">
        <v>18</v>
      </c>
      <c r="AD40" s="158">
        <v>4</v>
      </c>
      <c r="AE40" s="158">
        <v>81</v>
      </c>
      <c r="AF40" s="158">
        <v>84</v>
      </c>
      <c r="AG40" s="158">
        <v>164.31</v>
      </c>
      <c r="AH40" s="158">
        <v>184.02</v>
      </c>
      <c r="AI40" s="160" t="s">
        <v>196</v>
      </c>
      <c r="AJ40" s="158" t="s">
        <v>197</v>
      </c>
      <c r="AK40" s="166">
        <v>3.7212472000000001</v>
      </c>
      <c r="AL40" s="166">
        <v>-42.913286111111098</v>
      </c>
      <c r="AM40" s="160" t="s">
        <v>168</v>
      </c>
      <c r="AN40" s="160" t="s">
        <v>168</v>
      </c>
      <c r="AO40" s="158">
        <v>-3598</v>
      </c>
      <c r="AP40" s="160" t="s">
        <v>168</v>
      </c>
      <c r="AQ40" s="160" t="s">
        <v>168</v>
      </c>
      <c r="AR40" s="160" t="s">
        <v>168</v>
      </c>
      <c r="AS40" s="158">
        <v>6456.9655172413804</v>
      </c>
      <c r="AT40" s="160" t="s">
        <v>198</v>
      </c>
      <c r="AU40" s="160" t="s">
        <v>168</v>
      </c>
      <c r="AV40" s="160" t="s">
        <v>168</v>
      </c>
      <c r="AW40" s="160" t="s">
        <v>250</v>
      </c>
      <c r="AX40" s="158" t="s">
        <v>200</v>
      </c>
      <c r="AY40" s="158" t="s">
        <v>201</v>
      </c>
      <c r="AZ40" s="158" t="s">
        <v>168</v>
      </c>
      <c r="BA40" s="158" t="s">
        <v>168</v>
      </c>
      <c r="BB40" s="158" t="s">
        <v>168</v>
      </c>
      <c r="BC40" s="158" t="s">
        <v>168</v>
      </c>
      <c r="BD40" s="158" t="s">
        <v>168</v>
      </c>
      <c r="BE40" s="158" t="s">
        <v>168</v>
      </c>
      <c r="BF40" s="158" t="s">
        <v>168</v>
      </c>
      <c r="BG40" s="167" t="s">
        <v>202</v>
      </c>
      <c r="BH40" s="158" t="s">
        <v>203</v>
      </c>
      <c r="BI40" s="160" t="s">
        <v>204</v>
      </c>
      <c r="BJ40" s="160" t="s">
        <v>205</v>
      </c>
      <c r="BK40" s="158" t="s">
        <v>206</v>
      </c>
      <c r="BL40" s="158" t="s">
        <v>207</v>
      </c>
      <c r="BM40" s="158" t="s">
        <v>208</v>
      </c>
      <c r="BN40" s="162" t="s">
        <v>330</v>
      </c>
      <c r="BO40" s="158">
        <v>2</v>
      </c>
      <c r="BP40" s="162" t="s">
        <v>331</v>
      </c>
      <c r="BQ40" s="168">
        <v>17.562293490425041</v>
      </c>
      <c r="BR40" s="168" t="s">
        <v>211</v>
      </c>
      <c r="BS40" s="168">
        <v>0.17736840492958525</v>
      </c>
      <c r="BT40">
        <v>0.83299999999999996</v>
      </c>
      <c r="BU40" t="s">
        <v>168</v>
      </c>
      <c r="BV40" t="s">
        <v>168</v>
      </c>
      <c r="BW40">
        <v>2.69</v>
      </c>
      <c r="BX40" t="s">
        <v>168</v>
      </c>
      <c r="BY40" t="s">
        <v>168</v>
      </c>
      <c r="BZ40" s="163" t="s">
        <v>212</v>
      </c>
      <c r="CA40" t="s">
        <v>213</v>
      </c>
      <c r="CB40" s="168">
        <v>17.853893746008456</v>
      </c>
      <c r="CC40" s="160" t="s">
        <v>214</v>
      </c>
      <c r="CD40" s="164">
        <v>0.30112461439123661</v>
      </c>
      <c r="CE40" s="160" t="s">
        <v>215</v>
      </c>
      <c r="CF40" s="160" t="s">
        <v>216</v>
      </c>
      <c r="CG40" s="160">
        <v>0</v>
      </c>
      <c r="CH40" s="160" t="s">
        <v>217</v>
      </c>
      <c r="CI40" s="160" t="s">
        <v>168</v>
      </c>
      <c r="CJ40">
        <v>24.972321715561485</v>
      </c>
      <c r="CK40" s="158" t="s">
        <v>170</v>
      </c>
      <c r="CL40" s="158">
        <v>1</v>
      </c>
      <c r="CM40" s="158">
        <v>1</v>
      </c>
      <c r="CN40">
        <v>2.7979431104032124</v>
      </c>
      <c r="CO40">
        <v>2.7979431104032124</v>
      </c>
      <c r="CP40" s="165" t="s">
        <v>218</v>
      </c>
      <c r="CQ40" s="169">
        <v>0.05</v>
      </c>
      <c r="CR40" s="169">
        <v>0.05</v>
      </c>
      <c r="CS40" s="168" t="s">
        <v>219</v>
      </c>
      <c r="CT40" s="168" t="s">
        <v>220</v>
      </c>
      <c r="CU40" s="170" t="s">
        <v>221</v>
      </c>
      <c r="CV40" s="158" t="s">
        <v>222</v>
      </c>
      <c r="CW40" s="160" t="s">
        <v>168</v>
      </c>
      <c r="CX40" s="160" t="s">
        <v>168</v>
      </c>
      <c r="CY40" s="160" t="s">
        <v>168</v>
      </c>
      <c r="CZ40" s="160" t="s">
        <v>168</v>
      </c>
      <c r="DA40" s="160" t="s">
        <v>168</v>
      </c>
      <c r="DB40" s="160" t="s">
        <v>168</v>
      </c>
      <c r="DC40" s="160" t="s">
        <v>168</v>
      </c>
      <c r="DD40" s="160" t="s">
        <v>168</v>
      </c>
      <c r="DE40" s="160" t="s">
        <v>168</v>
      </c>
      <c r="DF40" s="160" t="s">
        <v>168</v>
      </c>
      <c r="DG40">
        <v>35</v>
      </c>
      <c r="DH40" t="s">
        <v>170</v>
      </c>
      <c r="DI40" s="160">
        <v>1.5</v>
      </c>
      <c r="DJ40" s="160" t="s">
        <v>168</v>
      </c>
      <c r="DK40" s="158" t="s">
        <v>223</v>
      </c>
      <c r="DL40" s="158" t="s">
        <v>168</v>
      </c>
      <c r="DM40" s="158" t="s">
        <v>168</v>
      </c>
      <c r="DN40" s="158" t="s">
        <v>168</v>
      </c>
      <c r="DO40" s="158" t="s">
        <v>223</v>
      </c>
      <c r="DP40" s="158" t="s">
        <v>168</v>
      </c>
      <c r="DQ40" s="158" t="s">
        <v>168</v>
      </c>
      <c r="DR40" s="158" t="s">
        <v>168</v>
      </c>
      <c r="DS40" s="158" t="s">
        <v>168</v>
      </c>
      <c r="DT40" s="158" t="s">
        <v>168</v>
      </c>
      <c r="DU40" s="158" t="s">
        <v>168</v>
      </c>
      <c r="DV40" s="158" t="s">
        <v>168</v>
      </c>
      <c r="DW40">
        <v>432.96005628364998</v>
      </c>
      <c r="DX40" s="163" t="s">
        <v>224</v>
      </c>
      <c r="DY40" s="158">
        <v>35.885778214242492</v>
      </c>
      <c r="DZ40" s="158" t="s">
        <v>225</v>
      </c>
      <c r="EA40">
        <v>39.799999999999997</v>
      </c>
      <c r="EB40" s="158" t="s">
        <v>226</v>
      </c>
      <c r="EC40">
        <v>0.31</v>
      </c>
      <c r="ED40" s="158" t="s">
        <v>227</v>
      </c>
      <c r="EE40" s="158" t="s">
        <v>228</v>
      </c>
      <c r="EF40" s="158" t="s">
        <v>332</v>
      </c>
      <c r="EG40">
        <v>1.0271999999999999</v>
      </c>
      <c r="EH40" s="158">
        <v>5.9999999999999995E-4</v>
      </c>
      <c r="EI40" s="160" t="s">
        <v>168</v>
      </c>
      <c r="EJ40" s="158" t="s">
        <v>169</v>
      </c>
      <c r="EK40" s="160" t="s">
        <v>168</v>
      </c>
      <c r="EL40" s="160" t="s">
        <v>168</v>
      </c>
      <c r="EM40" s="171" t="s">
        <v>230</v>
      </c>
      <c r="EN40" s="158" t="s">
        <v>231</v>
      </c>
      <c r="EO40" s="158" t="s">
        <v>231</v>
      </c>
      <c r="EP40" s="158" t="s">
        <v>231</v>
      </c>
      <c r="EQ40" s="158" t="s">
        <v>232</v>
      </c>
      <c r="ER40" s="160" t="s">
        <v>168</v>
      </c>
      <c r="ES40" s="160" t="s">
        <v>168</v>
      </c>
      <c r="ET40" s="160" t="s">
        <v>233</v>
      </c>
      <c r="EU40" s="158" t="s">
        <v>234</v>
      </c>
      <c r="EV40" s="158" t="s">
        <v>235</v>
      </c>
      <c r="EW40" s="146">
        <v>1898.0149931034482</v>
      </c>
      <c r="EX40" s="158" t="s">
        <v>236</v>
      </c>
      <c r="EY40" s="172">
        <f t="shared" si="0"/>
        <v>2398.0149931034484</v>
      </c>
      <c r="EZ40" s="168">
        <f t="shared" si="1"/>
        <v>1398.0149931034482</v>
      </c>
      <c r="FA40" s="160" t="s">
        <v>168</v>
      </c>
      <c r="FB40" s="160" t="s">
        <v>168</v>
      </c>
      <c r="FC40" s="160" t="s">
        <v>168</v>
      </c>
      <c r="FD40" s="160" t="s">
        <v>168</v>
      </c>
      <c r="FE40">
        <v>8.0146486974393891</v>
      </c>
      <c r="FF40" s="173" t="s">
        <v>171</v>
      </c>
      <c r="FG40">
        <v>4.111209865361154E-2</v>
      </c>
      <c r="FH40">
        <v>4.1866104918709013E-2</v>
      </c>
      <c r="FI40" s="160">
        <f t="shared" si="2"/>
        <v>414.17284181316199</v>
      </c>
      <c r="FJ40" s="160">
        <v>30</v>
      </c>
      <c r="FK40" s="160" t="s">
        <v>168</v>
      </c>
      <c r="FL40">
        <v>384.17284181316199</v>
      </c>
      <c r="FM40">
        <v>118.623701791923</v>
      </c>
      <c r="FN40">
        <v>112.44831372645001</v>
      </c>
      <c r="FO40" s="158" t="s">
        <v>237</v>
      </c>
      <c r="FP40" s="158" t="s">
        <v>168</v>
      </c>
      <c r="FQ40" s="158" t="s">
        <v>172</v>
      </c>
      <c r="FR40" s="158" t="s">
        <v>172</v>
      </c>
      <c r="FS40" s="158" t="s">
        <v>172</v>
      </c>
      <c r="FT40" s="158" t="s">
        <v>172</v>
      </c>
      <c r="FU40" s="158" t="s">
        <v>172</v>
      </c>
      <c r="FV40" s="158" t="s">
        <v>172</v>
      </c>
      <c r="FW40" s="158" t="s">
        <v>172</v>
      </c>
      <c r="FX40" s="158" t="s">
        <v>172</v>
      </c>
      <c r="FY40" s="158" t="s">
        <v>172</v>
      </c>
      <c r="FZ40" s="158" t="s">
        <v>172</v>
      </c>
      <c r="GA40" s="158" t="s">
        <v>172</v>
      </c>
      <c r="GB40" s="158" t="s">
        <v>172</v>
      </c>
      <c r="GC40" s="158" t="s">
        <v>357</v>
      </c>
    </row>
    <row r="41" spans="1:185" ht="20" x14ac:dyDescent="0.25">
      <c r="A41" t="s">
        <v>190</v>
      </c>
      <c r="B41" s="140" t="s">
        <v>358</v>
      </c>
      <c r="C41" s="158" t="s">
        <v>173</v>
      </c>
      <c r="D41" s="158" t="s">
        <v>188</v>
      </c>
      <c r="E41" s="158">
        <v>2022</v>
      </c>
      <c r="F41" s="158" t="s">
        <v>189</v>
      </c>
      <c r="G41">
        <v>6504.6470588235297</v>
      </c>
      <c r="H41" s="176">
        <v>15</v>
      </c>
      <c r="I41" s="176">
        <v>15</v>
      </c>
      <c r="J41" s="158">
        <v>320.67564800276199</v>
      </c>
      <c r="K41">
        <v>101.325130307157</v>
      </c>
      <c r="L41">
        <v>94.920549398513998</v>
      </c>
      <c r="M41" t="b">
        <v>1</v>
      </c>
      <c r="N41">
        <v>1</v>
      </c>
      <c r="O41" t="s">
        <v>191</v>
      </c>
      <c r="P41" t="s">
        <v>168</v>
      </c>
      <c r="Q41" t="s">
        <v>168</v>
      </c>
      <c r="R41" t="s">
        <v>168</v>
      </c>
      <c r="S41" t="b">
        <v>0</v>
      </c>
      <c r="T41" t="b">
        <v>0</v>
      </c>
      <c r="U41" t="s">
        <v>168</v>
      </c>
      <c r="V41" t="b">
        <v>0</v>
      </c>
      <c r="W41" t="b">
        <v>0</v>
      </c>
      <c r="X41" t="s">
        <v>359</v>
      </c>
      <c r="Y41" s="159" t="s">
        <v>192</v>
      </c>
      <c r="Z41" s="158" t="s">
        <v>193</v>
      </c>
      <c r="AA41" s="160" t="s">
        <v>194</v>
      </c>
      <c r="AB41" s="160" t="s">
        <v>195</v>
      </c>
      <c r="AC41" s="158">
        <v>18</v>
      </c>
      <c r="AD41" s="158">
        <v>5</v>
      </c>
      <c r="AE41" s="158">
        <v>16</v>
      </c>
      <c r="AF41" s="158">
        <v>19</v>
      </c>
      <c r="AG41" s="158">
        <v>165.16</v>
      </c>
      <c r="AH41" s="158">
        <v>184.87</v>
      </c>
      <c r="AI41" s="160" t="s">
        <v>196</v>
      </c>
      <c r="AJ41" s="158" t="s">
        <v>197</v>
      </c>
      <c r="AK41" s="166">
        <v>3.7212472000000001</v>
      </c>
      <c r="AL41" s="166">
        <v>-42.913286111111098</v>
      </c>
      <c r="AM41" s="160" t="s">
        <v>168</v>
      </c>
      <c r="AN41" s="160" t="s">
        <v>168</v>
      </c>
      <c r="AO41" s="158">
        <v>-3598</v>
      </c>
      <c r="AP41" s="160" t="s">
        <v>168</v>
      </c>
      <c r="AQ41" s="160" t="s">
        <v>168</v>
      </c>
      <c r="AR41" s="160" t="s">
        <v>168</v>
      </c>
      <c r="AS41" s="158">
        <v>6504.6470588235297</v>
      </c>
      <c r="AT41" s="160" t="s">
        <v>198</v>
      </c>
      <c r="AU41" s="160" t="s">
        <v>168</v>
      </c>
      <c r="AV41" s="160" t="s">
        <v>168</v>
      </c>
      <c r="AW41" s="160" t="s">
        <v>250</v>
      </c>
      <c r="AX41" s="158" t="s">
        <v>200</v>
      </c>
      <c r="AY41" s="158" t="s">
        <v>201</v>
      </c>
      <c r="AZ41" s="158" t="s">
        <v>168</v>
      </c>
      <c r="BA41" s="158" t="s">
        <v>168</v>
      </c>
      <c r="BB41" s="158" t="s">
        <v>168</v>
      </c>
      <c r="BC41" s="158" t="s">
        <v>168</v>
      </c>
      <c r="BD41" s="158" t="s">
        <v>168</v>
      </c>
      <c r="BE41" s="158" t="s">
        <v>168</v>
      </c>
      <c r="BF41" s="158" t="s">
        <v>168</v>
      </c>
      <c r="BG41" s="167" t="s">
        <v>202</v>
      </c>
      <c r="BH41" s="158" t="s">
        <v>203</v>
      </c>
      <c r="BI41" s="160" t="s">
        <v>204</v>
      </c>
      <c r="BJ41" s="160" t="s">
        <v>205</v>
      </c>
      <c r="BK41" s="158" t="s">
        <v>206</v>
      </c>
      <c r="BL41" s="158" t="s">
        <v>207</v>
      </c>
      <c r="BM41" s="158" t="s">
        <v>208</v>
      </c>
      <c r="BN41" s="162" t="s">
        <v>333</v>
      </c>
      <c r="BO41" s="158">
        <v>2</v>
      </c>
      <c r="BP41" s="162" t="s">
        <v>334</v>
      </c>
      <c r="BQ41" s="168">
        <v>18.150262021108365</v>
      </c>
      <c r="BR41" s="168" t="s">
        <v>211</v>
      </c>
      <c r="BS41" s="168">
        <v>0.21570733685478083</v>
      </c>
      <c r="BT41">
        <v>0.83299999999999996</v>
      </c>
      <c r="BU41" t="s">
        <v>168</v>
      </c>
      <c r="BV41" t="s">
        <v>168</v>
      </c>
      <c r="BW41">
        <v>2.69</v>
      </c>
      <c r="BX41" t="s">
        <v>168</v>
      </c>
      <c r="BY41" t="s">
        <v>168</v>
      </c>
      <c r="BZ41" s="163" t="s">
        <v>212</v>
      </c>
      <c r="CA41" t="s">
        <v>213</v>
      </c>
      <c r="CB41" s="168">
        <v>18.559738320658301</v>
      </c>
      <c r="CC41" s="160" t="s">
        <v>214</v>
      </c>
      <c r="CD41" s="164">
        <v>0.36621397513014725</v>
      </c>
      <c r="CE41" s="160" t="s">
        <v>215</v>
      </c>
      <c r="CF41" s="160" t="s">
        <v>216</v>
      </c>
      <c r="CG41" s="160">
        <v>0</v>
      </c>
      <c r="CH41" s="160" t="s">
        <v>217</v>
      </c>
      <c r="CI41" s="160" t="s">
        <v>168</v>
      </c>
      <c r="CJ41">
        <v>24.970450796281305</v>
      </c>
      <c r="CK41" s="158" t="s">
        <v>170</v>
      </c>
      <c r="CL41" s="158">
        <v>1</v>
      </c>
      <c r="CM41" s="158">
        <v>1</v>
      </c>
      <c r="CN41">
        <v>2.7952290590792686</v>
      </c>
      <c r="CO41">
        <v>2.7952290590792686</v>
      </c>
      <c r="CP41" s="165" t="s">
        <v>218</v>
      </c>
      <c r="CQ41" s="169">
        <v>0.05</v>
      </c>
      <c r="CR41" s="169">
        <v>0.05</v>
      </c>
      <c r="CS41" s="168" t="s">
        <v>219</v>
      </c>
      <c r="CT41" s="168" t="s">
        <v>220</v>
      </c>
      <c r="CU41" s="170" t="s">
        <v>221</v>
      </c>
      <c r="CV41" s="158" t="s">
        <v>222</v>
      </c>
      <c r="CW41" s="160" t="s">
        <v>168</v>
      </c>
      <c r="CX41" s="160" t="s">
        <v>168</v>
      </c>
      <c r="CY41" s="160" t="s">
        <v>168</v>
      </c>
      <c r="CZ41" s="160" t="s">
        <v>168</v>
      </c>
      <c r="DA41" s="160" t="s">
        <v>168</v>
      </c>
      <c r="DB41" s="160" t="s">
        <v>168</v>
      </c>
      <c r="DC41" s="160" t="s">
        <v>168</v>
      </c>
      <c r="DD41" s="160" t="s">
        <v>168</v>
      </c>
      <c r="DE41" s="160" t="s">
        <v>168</v>
      </c>
      <c r="DF41" s="160" t="s">
        <v>168</v>
      </c>
      <c r="DG41">
        <v>35</v>
      </c>
      <c r="DH41" t="s">
        <v>170</v>
      </c>
      <c r="DI41" s="160">
        <v>1.5</v>
      </c>
      <c r="DJ41" s="160" t="s">
        <v>168</v>
      </c>
      <c r="DK41" s="158" t="s">
        <v>223</v>
      </c>
      <c r="DL41" s="158" t="s">
        <v>168</v>
      </c>
      <c r="DM41" s="158" t="s">
        <v>168</v>
      </c>
      <c r="DN41" s="158" t="s">
        <v>168</v>
      </c>
      <c r="DO41" s="158" t="s">
        <v>223</v>
      </c>
      <c r="DP41" s="158" t="s">
        <v>168</v>
      </c>
      <c r="DQ41" s="158" t="s">
        <v>168</v>
      </c>
      <c r="DR41" s="158" t="s">
        <v>168</v>
      </c>
      <c r="DS41" s="158" t="s">
        <v>168</v>
      </c>
      <c r="DT41" s="158" t="s">
        <v>168</v>
      </c>
      <c r="DU41" s="158" t="s">
        <v>168</v>
      </c>
      <c r="DV41" s="158" t="s">
        <v>168</v>
      </c>
      <c r="DW41">
        <v>432.57433607527702</v>
      </c>
      <c r="DX41" s="163" t="s">
        <v>224</v>
      </c>
      <c r="DY41" s="158">
        <v>36.260466483269994</v>
      </c>
      <c r="DZ41" s="158" t="s">
        <v>225</v>
      </c>
      <c r="EA41">
        <v>39.799999999999997</v>
      </c>
      <c r="EB41" s="158" t="s">
        <v>226</v>
      </c>
      <c r="EC41">
        <v>0.31</v>
      </c>
      <c r="ED41" s="158" t="s">
        <v>227</v>
      </c>
      <c r="EE41" s="158" t="s">
        <v>228</v>
      </c>
      <c r="EF41" s="158" t="s">
        <v>335</v>
      </c>
      <c r="EG41">
        <v>1.0271999999999999</v>
      </c>
      <c r="EH41" s="158">
        <v>5.9999999999999995E-4</v>
      </c>
      <c r="EI41" s="160" t="s">
        <v>168</v>
      </c>
      <c r="EJ41" s="158" t="s">
        <v>169</v>
      </c>
      <c r="EK41" s="160" t="s">
        <v>168</v>
      </c>
      <c r="EL41" s="160" t="s">
        <v>168</v>
      </c>
      <c r="EM41" s="171" t="s">
        <v>230</v>
      </c>
      <c r="EN41" s="158" t="s">
        <v>231</v>
      </c>
      <c r="EO41" s="158" t="s">
        <v>231</v>
      </c>
      <c r="EP41" s="158" t="s">
        <v>231</v>
      </c>
      <c r="EQ41" s="158" t="s">
        <v>232</v>
      </c>
      <c r="ER41" s="160" t="s">
        <v>168</v>
      </c>
      <c r="ES41" s="160" t="s">
        <v>168</v>
      </c>
      <c r="ET41" s="160" t="s">
        <v>233</v>
      </c>
      <c r="EU41" s="158" t="s">
        <v>234</v>
      </c>
      <c r="EV41" s="158" t="s">
        <v>235</v>
      </c>
      <c r="EW41" s="146">
        <v>1897.0565941176469</v>
      </c>
      <c r="EX41" s="158" t="s">
        <v>236</v>
      </c>
      <c r="EY41" s="172">
        <f t="shared" si="0"/>
        <v>2397.0565941176469</v>
      </c>
      <c r="EZ41" s="168">
        <f t="shared" si="1"/>
        <v>1397.0565941176469</v>
      </c>
      <c r="FA41" s="160" t="s">
        <v>168</v>
      </c>
      <c r="FB41" s="160" t="s">
        <v>168</v>
      </c>
      <c r="FC41" s="160" t="s">
        <v>168</v>
      </c>
      <c r="FD41" s="160" t="s">
        <v>168</v>
      </c>
      <c r="FE41">
        <v>8.0811138955030994</v>
      </c>
      <c r="FF41" s="173" t="s">
        <v>171</v>
      </c>
      <c r="FG41">
        <v>3.8524608357580092E-2</v>
      </c>
      <c r="FH41">
        <v>3.9512891778189285E-2</v>
      </c>
      <c r="FI41" s="160">
        <f t="shared" si="2"/>
        <v>350.67564800276199</v>
      </c>
      <c r="FJ41" s="160">
        <v>30</v>
      </c>
      <c r="FK41" s="160" t="s">
        <v>168</v>
      </c>
      <c r="FL41">
        <v>320.67564800276199</v>
      </c>
      <c r="FM41">
        <v>101.325130307157</v>
      </c>
      <c r="FN41">
        <v>94.920549398513998</v>
      </c>
      <c r="FO41" s="158" t="s">
        <v>237</v>
      </c>
      <c r="FP41" s="158" t="s">
        <v>168</v>
      </c>
      <c r="FQ41" s="158" t="s">
        <v>172</v>
      </c>
      <c r="FR41" s="158" t="s">
        <v>172</v>
      </c>
      <c r="FS41" s="158" t="s">
        <v>172</v>
      </c>
      <c r="FT41" s="158" t="s">
        <v>172</v>
      </c>
      <c r="FU41" s="158" t="s">
        <v>172</v>
      </c>
      <c r="FV41" s="158" t="s">
        <v>172</v>
      </c>
      <c r="FW41" s="158" t="s">
        <v>172</v>
      </c>
      <c r="FX41" s="158" t="s">
        <v>172</v>
      </c>
      <c r="FY41" s="158" t="s">
        <v>172</v>
      </c>
      <c r="FZ41" s="158" t="s">
        <v>172</v>
      </c>
      <c r="GA41" s="158" t="s">
        <v>172</v>
      </c>
      <c r="GB41" s="158" t="s">
        <v>172</v>
      </c>
      <c r="GC41" s="158" t="s">
        <v>357</v>
      </c>
    </row>
    <row r="42" spans="1:185" ht="20" x14ac:dyDescent="0.25">
      <c r="A42" t="s">
        <v>190</v>
      </c>
      <c r="B42" s="140" t="s">
        <v>358</v>
      </c>
      <c r="C42" s="158" t="s">
        <v>173</v>
      </c>
      <c r="D42" s="158" t="s">
        <v>188</v>
      </c>
      <c r="E42" s="158">
        <v>2022</v>
      </c>
      <c r="F42" s="158" t="s">
        <v>189</v>
      </c>
      <c r="G42">
        <v>6563.4767441860504</v>
      </c>
      <c r="H42" s="176">
        <v>15</v>
      </c>
      <c r="I42" s="176">
        <v>15</v>
      </c>
      <c r="J42" s="158">
        <v>378.12942943887799</v>
      </c>
      <c r="K42">
        <v>117.454479647543</v>
      </c>
      <c r="L42">
        <v>111.53298152468597</v>
      </c>
      <c r="M42" t="b">
        <v>1</v>
      </c>
      <c r="N42">
        <v>1</v>
      </c>
      <c r="O42" t="s">
        <v>191</v>
      </c>
      <c r="P42" t="s">
        <v>168</v>
      </c>
      <c r="Q42" t="s">
        <v>168</v>
      </c>
      <c r="R42" t="s">
        <v>168</v>
      </c>
      <c r="S42" t="b">
        <v>0</v>
      </c>
      <c r="T42" t="b">
        <v>0</v>
      </c>
      <c r="U42" t="s">
        <v>168</v>
      </c>
      <c r="V42" t="b">
        <v>0</v>
      </c>
      <c r="W42" t="b">
        <v>0</v>
      </c>
      <c r="X42" t="s">
        <v>359</v>
      </c>
      <c r="Y42" s="159" t="s">
        <v>192</v>
      </c>
      <c r="Z42" s="158" t="s">
        <v>193</v>
      </c>
      <c r="AA42" s="160" t="s">
        <v>194</v>
      </c>
      <c r="AB42" s="160" t="s">
        <v>195</v>
      </c>
      <c r="AC42" s="158">
        <v>18</v>
      </c>
      <c r="AD42" s="158">
        <v>5</v>
      </c>
      <c r="AE42" s="158">
        <v>125.5</v>
      </c>
      <c r="AF42" s="158">
        <v>128.5</v>
      </c>
      <c r="AG42" s="158">
        <v>166.255</v>
      </c>
      <c r="AH42" s="158">
        <v>185.965</v>
      </c>
      <c r="AI42" s="160" t="s">
        <v>196</v>
      </c>
      <c r="AJ42" s="158" t="s">
        <v>197</v>
      </c>
      <c r="AK42" s="166">
        <v>3.7212472000000001</v>
      </c>
      <c r="AL42" s="166">
        <v>-42.913286111111098</v>
      </c>
      <c r="AM42" s="160" t="s">
        <v>168</v>
      </c>
      <c r="AN42" s="160" t="s">
        <v>168</v>
      </c>
      <c r="AO42" s="158">
        <v>-3598</v>
      </c>
      <c r="AP42" s="160" t="s">
        <v>168</v>
      </c>
      <c r="AQ42" s="160" t="s">
        <v>168</v>
      </c>
      <c r="AR42" s="160" t="s">
        <v>168</v>
      </c>
      <c r="AS42" s="158">
        <v>6563.4767441860504</v>
      </c>
      <c r="AT42" s="160" t="s">
        <v>198</v>
      </c>
      <c r="AU42" s="160" t="s">
        <v>168</v>
      </c>
      <c r="AV42" s="160" t="s">
        <v>168</v>
      </c>
      <c r="AW42" s="160" t="s">
        <v>250</v>
      </c>
      <c r="AX42" s="158" t="s">
        <v>200</v>
      </c>
      <c r="AY42" s="158" t="s">
        <v>201</v>
      </c>
      <c r="AZ42" s="158" t="s">
        <v>168</v>
      </c>
      <c r="BA42" s="158" t="s">
        <v>168</v>
      </c>
      <c r="BB42" s="158" t="s">
        <v>168</v>
      </c>
      <c r="BC42" s="158" t="s">
        <v>168</v>
      </c>
      <c r="BD42" s="158" t="s">
        <v>168</v>
      </c>
      <c r="BE42" s="158" t="s">
        <v>168</v>
      </c>
      <c r="BF42" s="158" t="s">
        <v>168</v>
      </c>
      <c r="BG42" s="167" t="s">
        <v>202</v>
      </c>
      <c r="BH42" s="158" t="s">
        <v>203</v>
      </c>
      <c r="BI42" s="160" t="s">
        <v>204</v>
      </c>
      <c r="BJ42" s="160" t="s">
        <v>205</v>
      </c>
      <c r="BK42" s="158" t="s">
        <v>206</v>
      </c>
      <c r="BL42" s="158" t="s">
        <v>207</v>
      </c>
      <c r="BM42" s="158" t="s">
        <v>208</v>
      </c>
      <c r="BN42" s="162" t="s">
        <v>336</v>
      </c>
      <c r="BO42" s="158">
        <v>2</v>
      </c>
      <c r="BP42" s="162" t="s">
        <v>337</v>
      </c>
      <c r="BQ42" s="168">
        <v>17.75150058843067</v>
      </c>
      <c r="BR42" s="168" t="s">
        <v>211</v>
      </c>
      <c r="BS42" s="168">
        <v>0.13994017019031085</v>
      </c>
      <c r="BT42">
        <v>0.83299999999999996</v>
      </c>
      <c r="BU42" t="s">
        <v>168</v>
      </c>
      <c r="BV42" t="s">
        <v>168</v>
      </c>
      <c r="BW42">
        <v>2.69</v>
      </c>
      <c r="BX42" t="s">
        <v>168</v>
      </c>
      <c r="BY42" t="s">
        <v>168</v>
      </c>
      <c r="BZ42" s="163" t="s">
        <v>212</v>
      </c>
      <c r="CA42" t="s">
        <v>213</v>
      </c>
      <c r="CB42" s="168">
        <v>18.081033119364552</v>
      </c>
      <c r="CC42" s="160" t="s">
        <v>214</v>
      </c>
      <c r="CD42" s="164">
        <v>0.23758137647531369</v>
      </c>
      <c r="CE42" s="160" t="s">
        <v>215</v>
      </c>
      <c r="CF42" s="160" t="s">
        <v>216</v>
      </c>
      <c r="CG42" s="160">
        <v>0</v>
      </c>
      <c r="CH42" s="160" t="s">
        <v>217</v>
      </c>
      <c r="CI42" s="160" t="s">
        <v>168</v>
      </c>
      <c r="CJ42">
        <v>26.355223490274852</v>
      </c>
      <c r="CK42" s="158" t="s">
        <v>170</v>
      </c>
      <c r="CL42" s="158">
        <v>1</v>
      </c>
      <c r="CM42" s="158">
        <v>1</v>
      </c>
      <c r="CN42">
        <v>3.163108623660781</v>
      </c>
      <c r="CO42">
        <v>3.163108623660781</v>
      </c>
      <c r="CP42" s="165" t="s">
        <v>218</v>
      </c>
      <c r="CQ42" s="169">
        <v>0.05</v>
      </c>
      <c r="CR42" s="169">
        <v>0.05</v>
      </c>
      <c r="CS42" s="168" t="s">
        <v>219</v>
      </c>
      <c r="CT42" s="168" t="s">
        <v>220</v>
      </c>
      <c r="CU42" s="170" t="s">
        <v>221</v>
      </c>
      <c r="CV42" s="158" t="s">
        <v>222</v>
      </c>
      <c r="CW42" s="160" t="s">
        <v>168</v>
      </c>
      <c r="CX42" s="160" t="s">
        <v>168</v>
      </c>
      <c r="CY42" s="160" t="s">
        <v>168</v>
      </c>
      <c r="CZ42" s="160" t="s">
        <v>168</v>
      </c>
      <c r="DA42" s="160" t="s">
        <v>168</v>
      </c>
      <c r="DB42" s="160" t="s">
        <v>168</v>
      </c>
      <c r="DC42" s="160" t="s">
        <v>168</v>
      </c>
      <c r="DD42" s="160" t="s">
        <v>168</v>
      </c>
      <c r="DE42" s="160" t="s">
        <v>168</v>
      </c>
      <c r="DF42" s="160" t="s">
        <v>168</v>
      </c>
      <c r="DG42">
        <v>35</v>
      </c>
      <c r="DH42" t="s">
        <v>170</v>
      </c>
      <c r="DI42" s="160">
        <v>1.5</v>
      </c>
      <c r="DJ42" s="160" t="s">
        <v>168</v>
      </c>
      <c r="DK42" s="158" t="s">
        <v>223</v>
      </c>
      <c r="DL42" s="158" t="s">
        <v>168</v>
      </c>
      <c r="DM42" s="158" t="s">
        <v>168</v>
      </c>
      <c r="DN42" s="158" t="s">
        <v>168</v>
      </c>
      <c r="DO42" s="158" t="s">
        <v>223</v>
      </c>
      <c r="DP42" s="158" t="s">
        <v>168</v>
      </c>
      <c r="DQ42" s="158" t="s">
        <v>168</v>
      </c>
      <c r="DR42" s="158" t="s">
        <v>168</v>
      </c>
      <c r="DS42" s="158" t="s">
        <v>168</v>
      </c>
      <c r="DT42" s="158" t="s">
        <v>168</v>
      </c>
      <c r="DU42" s="158" t="s">
        <v>168</v>
      </c>
      <c r="DV42" s="158" t="s">
        <v>168</v>
      </c>
      <c r="DW42">
        <v>432.58815294593097</v>
      </c>
      <c r="DX42" s="163" t="s">
        <v>224</v>
      </c>
      <c r="DY42" s="158">
        <v>36.084240015681502</v>
      </c>
      <c r="DZ42" s="158" t="s">
        <v>225</v>
      </c>
      <c r="EA42">
        <v>39.799999999999997</v>
      </c>
      <c r="EB42" s="158" t="s">
        <v>226</v>
      </c>
      <c r="EC42">
        <v>0.31</v>
      </c>
      <c r="ED42" s="158" t="s">
        <v>227</v>
      </c>
      <c r="EE42" s="158" t="s">
        <v>228</v>
      </c>
      <c r="EF42" s="158" t="s">
        <v>338</v>
      </c>
      <c r="EG42">
        <v>1.0271999999999999</v>
      </c>
      <c r="EH42" s="158">
        <v>5.9999999999999995E-4</v>
      </c>
      <c r="EI42" s="160" t="s">
        <v>168</v>
      </c>
      <c r="EJ42" s="158" t="s">
        <v>169</v>
      </c>
      <c r="EK42" s="160" t="s">
        <v>168</v>
      </c>
      <c r="EL42" s="160" t="s">
        <v>168</v>
      </c>
      <c r="EM42" s="171" t="s">
        <v>230</v>
      </c>
      <c r="EN42" s="158" t="s">
        <v>231</v>
      </c>
      <c r="EO42" s="158" t="s">
        <v>231</v>
      </c>
      <c r="EP42" s="158" t="s">
        <v>231</v>
      </c>
      <c r="EQ42" s="158" t="s">
        <v>232</v>
      </c>
      <c r="ER42" s="160" t="s">
        <v>168</v>
      </c>
      <c r="ES42" s="160" t="s">
        <v>168</v>
      </c>
      <c r="ET42" s="160" t="s">
        <v>233</v>
      </c>
      <c r="EU42" s="158" t="s">
        <v>234</v>
      </c>
      <c r="EV42" s="158" t="s">
        <v>235</v>
      </c>
      <c r="EW42" s="146">
        <v>1895.8741174418603</v>
      </c>
      <c r="EX42" s="158" t="s">
        <v>236</v>
      </c>
      <c r="EY42" s="172">
        <f t="shared" si="0"/>
        <v>2395.8741174418601</v>
      </c>
      <c r="EZ42" s="168">
        <f t="shared" si="1"/>
        <v>1395.8741174418603</v>
      </c>
      <c r="FA42" s="160" t="s">
        <v>168</v>
      </c>
      <c r="FB42" s="160" t="s">
        <v>168</v>
      </c>
      <c r="FC42" s="160" t="s">
        <v>168</v>
      </c>
      <c r="FD42" s="160" t="s">
        <v>168</v>
      </c>
      <c r="FE42">
        <v>8.0206223941518004</v>
      </c>
      <c r="FF42" s="173" t="s">
        <v>171</v>
      </c>
      <c r="FG42">
        <v>3.8241622702399169E-2</v>
      </c>
      <c r="FH42">
        <v>3.9164015598390556E-2</v>
      </c>
      <c r="FI42" s="160">
        <f t="shared" si="2"/>
        <v>408.12942943887799</v>
      </c>
      <c r="FJ42" s="160">
        <v>30</v>
      </c>
      <c r="FK42" s="160" t="s">
        <v>168</v>
      </c>
      <c r="FL42">
        <v>378.12942943887799</v>
      </c>
      <c r="FM42">
        <v>117.454479647543</v>
      </c>
      <c r="FN42">
        <v>111.53298152468597</v>
      </c>
      <c r="FO42" s="158" t="s">
        <v>237</v>
      </c>
      <c r="FP42" s="158" t="s">
        <v>168</v>
      </c>
      <c r="FQ42" s="158" t="s">
        <v>172</v>
      </c>
      <c r="FR42" s="158" t="s">
        <v>172</v>
      </c>
      <c r="FS42" s="158" t="s">
        <v>172</v>
      </c>
      <c r="FT42" s="158" t="s">
        <v>172</v>
      </c>
      <c r="FU42" s="158" t="s">
        <v>172</v>
      </c>
      <c r="FV42" s="158" t="s">
        <v>172</v>
      </c>
      <c r="FW42" s="158" t="s">
        <v>172</v>
      </c>
      <c r="FX42" s="158" t="s">
        <v>172</v>
      </c>
      <c r="FY42" s="158" t="s">
        <v>172</v>
      </c>
      <c r="FZ42" s="158" t="s">
        <v>172</v>
      </c>
      <c r="GA42" s="158" t="s">
        <v>172</v>
      </c>
      <c r="GB42" s="158" t="s">
        <v>172</v>
      </c>
      <c r="GC42" s="158" t="s">
        <v>357</v>
      </c>
    </row>
    <row r="43" spans="1:185" ht="20" x14ac:dyDescent="0.25">
      <c r="A43" t="s">
        <v>190</v>
      </c>
      <c r="B43" s="140" t="s">
        <v>358</v>
      </c>
      <c r="C43" s="158" t="s">
        <v>173</v>
      </c>
      <c r="D43" s="158" t="s">
        <v>188</v>
      </c>
      <c r="E43" s="158">
        <v>2022</v>
      </c>
      <c r="F43" s="158" t="s">
        <v>189</v>
      </c>
      <c r="G43">
        <v>6588.42528735632</v>
      </c>
      <c r="H43" s="176">
        <v>15</v>
      </c>
      <c r="I43" s="176">
        <v>15</v>
      </c>
      <c r="J43" s="158">
        <v>327.756082605063</v>
      </c>
      <c r="K43">
        <v>100.53625602809001</v>
      </c>
      <c r="L43">
        <v>95.136091490942988</v>
      </c>
      <c r="M43" t="b">
        <v>1</v>
      </c>
      <c r="N43">
        <v>1</v>
      </c>
      <c r="O43" t="s">
        <v>191</v>
      </c>
      <c r="P43" t="s">
        <v>168</v>
      </c>
      <c r="Q43" t="s">
        <v>168</v>
      </c>
      <c r="R43" t="s">
        <v>168</v>
      </c>
      <c r="S43" t="b">
        <v>0</v>
      </c>
      <c r="T43" t="b">
        <v>0</v>
      </c>
      <c r="U43" t="s">
        <v>168</v>
      </c>
      <c r="V43" t="b">
        <v>0</v>
      </c>
      <c r="W43" t="b">
        <v>0</v>
      </c>
      <c r="X43" t="s">
        <v>359</v>
      </c>
      <c r="Y43" s="159" t="s">
        <v>192</v>
      </c>
      <c r="Z43" s="158" t="s">
        <v>193</v>
      </c>
      <c r="AA43" s="160" t="s">
        <v>194</v>
      </c>
      <c r="AB43" s="160" t="s">
        <v>247</v>
      </c>
      <c r="AC43" s="158">
        <v>18</v>
      </c>
      <c r="AD43" s="158">
        <v>4</v>
      </c>
      <c r="AE43" s="158">
        <v>56</v>
      </c>
      <c r="AF43" s="158">
        <v>59</v>
      </c>
      <c r="AG43" s="158">
        <v>167.06</v>
      </c>
      <c r="AH43" s="158">
        <v>186.38436781609201</v>
      </c>
      <c r="AI43" s="160" t="s">
        <v>196</v>
      </c>
      <c r="AJ43" s="158" t="s">
        <v>197</v>
      </c>
      <c r="AK43" s="166">
        <v>3.7212472000000001</v>
      </c>
      <c r="AL43" s="166">
        <v>-42.913286111111098</v>
      </c>
      <c r="AM43" s="160" t="s">
        <v>168</v>
      </c>
      <c r="AN43" s="160" t="s">
        <v>168</v>
      </c>
      <c r="AO43" s="158">
        <v>-3598</v>
      </c>
      <c r="AP43" s="160" t="s">
        <v>168</v>
      </c>
      <c r="AQ43" s="160" t="s">
        <v>168</v>
      </c>
      <c r="AR43" s="160" t="s">
        <v>168</v>
      </c>
      <c r="AS43" s="158">
        <v>6588.42528735632</v>
      </c>
      <c r="AT43" s="160" t="s">
        <v>198</v>
      </c>
      <c r="AU43" s="160" t="s">
        <v>168</v>
      </c>
      <c r="AV43" s="160" t="s">
        <v>168</v>
      </c>
      <c r="AW43" s="160" t="s">
        <v>250</v>
      </c>
      <c r="AX43" s="158" t="s">
        <v>200</v>
      </c>
      <c r="AY43" s="158" t="s">
        <v>201</v>
      </c>
      <c r="AZ43" s="158" t="s">
        <v>168</v>
      </c>
      <c r="BA43" s="158" t="s">
        <v>168</v>
      </c>
      <c r="BB43" s="158" t="s">
        <v>168</v>
      </c>
      <c r="BC43" s="158" t="s">
        <v>168</v>
      </c>
      <c r="BD43" s="158" t="s">
        <v>168</v>
      </c>
      <c r="BE43" s="158" t="s">
        <v>168</v>
      </c>
      <c r="BF43" s="158" t="s">
        <v>168</v>
      </c>
      <c r="BG43" s="167" t="s">
        <v>202</v>
      </c>
      <c r="BH43" s="158" t="s">
        <v>203</v>
      </c>
      <c r="BI43" s="160" t="s">
        <v>204</v>
      </c>
      <c r="BJ43" s="160" t="s">
        <v>205</v>
      </c>
      <c r="BK43" s="158" t="s">
        <v>206</v>
      </c>
      <c r="BL43" s="158" t="s">
        <v>207</v>
      </c>
      <c r="BM43" s="158" t="s">
        <v>208</v>
      </c>
      <c r="BN43" s="162" t="s">
        <v>339</v>
      </c>
      <c r="BO43" s="158">
        <v>2</v>
      </c>
      <c r="BP43" s="162" t="s">
        <v>340</v>
      </c>
      <c r="BQ43" s="168">
        <v>18.187278175659682</v>
      </c>
      <c r="BR43" s="168" t="s">
        <v>211</v>
      </c>
      <c r="BS43" s="168">
        <v>0.17390915713737382</v>
      </c>
      <c r="BT43">
        <v>0.83299999999999996</v>
      </c>
      <c r="BU43" t="s">
        <v>168</v>
      </c>
      <c r="BV43" t="s">
        <v>168</v>
      </c>
      <c r="BW43">
        <v>2.69</v>
      </c>
      <c r="BX43" t="s">
        <v>168</v>
      </c>
      <c r="BY43" t="s">
        <v>168</v>
      </c>
      <c r="BZ43" s="163" t="s">
        <v>212</v>
      </c>
      <c r="CA43" t="s">
        <v>213</v>
      </c>
      <c r="CB43" s="168">
        <v>18.604175480984011</v>
      </c>
      <c r="CC43" s="160" t="s">
        <v>214</v>
      </c>
      <c r="CD43" s="164">
        <v>0.29525172706428321</v>
      </c>
      <c r="CE43" s="160" t="s">
        <v>215</v>
      </c>
      <c r="CF43" s="160" t="s">
        <v>216</v>
      </c>
      <c r="CG43" s="160">
        <v>0</v>
      </c>
      <c r="CH43" s="160" t="s">
        <v>217</v>
      </c>
      <c r="CI43" s="160" t="s">
        <v>168</v>
      </c>
      <c r="CJ43">
        <v>25.924126380683674</v>
      </c>
      <c r="CK43" s="158" t="s">
        <v>170</v>
      </c>
      <c r="CL43" s="158">
        <v>1</v>
      </c>
      <c r="CM43" s="158">
        <v>1</v>
      </c>
      <c r="CN43">
        <v>3.0414606151301689</v>
      </c>
      <c r="CO43">
        <v>3.0414606151301689</v>
      </c>
      <c r="CP43" s="165" t="s">
        <v>218</v>
      </c>
      <c r="CQ43" s="169">
        <v>0.05</v>
      </c>
      <c r="CR43" s="169">
        <v>0.05</v>
      </c>
      <c r="CS43" s="168" t="s">
        <v>219</v>
      </c>
      <c r="CT43" s="168" t="s">
        <v>220</v>
      </c>
      <c r="CU43" s="170" t="s">
        <v>221</v>
      </c>
      <c r="CV43" s="158" t="s">
        <v>222</v>
      </c>
      <c r="CW43" s="160" t="s">
        <v>168</v>
      </c>
      <c r="CX43" s="160" t="s">
        <v>168</v>
      </c>
      <c r="CY43" s="160" t="s">
        <v>168</v>
      </c>
      <c r="CZ43" s="160" t="s">
        <v>168</v>
      </c>
      <c r="DA43" s="160" t="s">
        <v>168</v>
      </c>
      <c r="DB43" s="160" t="s">
        <v>168</v>
      </c>
      <c r="DC43" s="160" t="s">
        <v>168</v>
      </c>
      <c r="DD43" s="160" t="s">
        <v>168</v>
      </c>
      <c r="DE43" s="160" t="s">
        <v>168</v>
      </c>
      <c r="DF43" s="160" t="s">
        <v>168</v>
      </c>
      <c r="DG43">
        <v>35</v>
      </c>
      <c r="DH43" t="s">
        <v>170</v>
      </c>
      <c r="DI43" s="160">
        <v>1.5</v>
      </c>
      <c r="DJ43" s="160" t="s">
        <v>168</v>
      </c>
      <c r="DK43" s="158" t="s">
        <v>223</v>
      </c>
      <c r="DL43" s="158" t="s">
        <v>168</v>
      </c>
      <c r="DM43" s="158" t="s">
        <v>168</v>
      </c>
      <c r="DN43" s="158" t="s">
        <v>168</v>
      </c>
      <c r="DO43" s="158" t="s">
        <v>223</v>
      </c>
      <c r="DP43" s="158" t="s">
        <v>168</v>
      </c>
      <c r="DQ43" s="158" t="s">
        <v>168</v>
      </c>
      <c r="DR43" s="158" t="s">
        <v>168</v>
      </c>
      <c r="DS43" s="158" t="s">
        <v>168</v>
      </c>
      <c r="DT43" s="158" t="s">
        <v>168</v>
      </c>
      <c r="DU43" s="158" t="s">
        <v>168</v>
      </c>
      <c r="DV43" s="158" t="s">
        <v>168</v>
      </c>
      <c r="DW43">
        <v>432.59756909021502</v>
      </c>
      <c r="DX43" s="163" t="s">
        <v>224</v>
      </c>
      <c r="DY43" s="158">
        <v>36.171592078062019</v>
      </c>
      <c r="DZ43" s="158" t="s">
        <v>225</v>
      </c>
      <c r="EA43">
        <v>39.799999999999997</v>
      </c>
      <c r="EB43" s="158" t="s">
        <v>226</v>
      </c>
      <c r="EC43">
        <v>0.31</v>
      </c>
      <c r="ED43" s="158" t="s">
        <v>227</v>
      </c>
      <c r="EE43" s="158" t="s">
        <v>228</v>
      </c>
      <c r="EF43" s="158" t="s">
        <v>341</v>
      </c>
      <c r="EG43">
        <v>1.0271999999999999</v>
      </c>
      <c r="EH43" s="158">
        <v>5.9999999999999995E-4</v>
      </c>
      <c r="EI43" s="160" t="s">
        <v>168</v>
      </c>
      <c r="EJ43" s="158" t="s">
        <v>169</v>
      </c>
      <c r="EK43" s="160" t="s">
        <v>168</v>
      </c>
      <c r="EL43" s="160" t="s">
        <v>168</v>
      </c>
      <c r="EM43" s="171" t="s">
        <v>230</v>
      </c>
      <c r="EN43" s="158" t="s">
        <v>231</v>
      </c>
      <c r="EO43" s="158" t="s">
        <v>231</v>
      </c>
      <c r="EP43" s="158" t="s">
        <v>231</v>
      </c>
      <c r="EQ43" s="158" t="s">
        <v>232</v>
      </c>
      <c r="ER43" s="160" t="s">
        <v>168</v>
      </c>
      <c r="ES43" s="160" t="s">
        <v>168</v>
      </c>
      <c r="ET43" s="160" t="s">
        <v>233</v>
      </c>
      <c r="EU43" s="158" t="s">
        <v>234</v>
      </c>
      <c r="EV43" s="158" t="s">
        <v>235</v>
      </c>
      <c r="EW43" s="146">
        <v>1895.372651724138</v>
      </c>
      <c r="EX43" s="158" t="s">
        <v>236</v>
      </c>
      <c r="EY43" s="172">
        <f t="shared" si="0"/>
        <v>2395.372651724138</v>
      </c>
      <c r="EZ43" s="168">
        <f t="shared" si="1"/>
        <v>1395.372651724138</v>
      </c>
      <c r="FA43" s="160" t="s">
        <v>168</v>
      </c>
      <c r="FB43" s="160" t="s">
        <v>168</v>
      </c>
      <c r="FC43" s="160" t="s">
        <v>168</v>
      </c>
      <c r="FD43" s="160" t="s">
        <v>168</v>
      </c>
      <c r="FE43">
        <v>8.0737838031855098</v>
      </c>
      <c r="FF43" s="173" t="s">
        <v>171</v>
      </c>
      <c r="FG43">
        <v>3.8672455744469758E-2</v>
      </c>
      <c r="FH43">
        <v>3.9085692054680266E-2</v>
      </c>
      <c r="FI43" s="160">
        <f t="shared" si="2"/>
        <v>357.756082605063</v>
      </c>
      <c r="FJ43" s="160">
        <v>30</v>
      </c>
      <c r="FK43" s="160" t="s">
        <v>168</v>
      </c>
      <c r="FL43">
        <v>327.756082605063</v>
      </c>
      <c r="FM43">
        <v>100.53625602809001</v>
      </c>
      <c r="FN43">
        <v>95.136091490942988</v>
      </c>
      <c r="FO43" s="158" t="s">
        <v>237</v>
      </c>
      <c r="FP43" s="158" t="s">
        <v>168</v>
      </c>
      <c r="FQ43" s="158" t="s">
        <v>172</v>
      </c>
      <c r="FR43" s="158" t="s">
        <v>172</v>
      </c>
      <c r="FS43" s="158" t="s">
        <v>172</v>
      </c>
      <c r="FT43" s="158" t="s">
        <v>172</v>
      </c>
      <c r="FU43" s="158" t="s">
        <v>172</v>
      </c>
      <c r="FV43" s="158" t="s">
        <v>172</v>
      </c>
      <c r="FW43" s="158" t="s">
        <v>172</v>
      </c>
      <c r="FX43" s="158" t="s">
        <v>172</v>
      </c>
      <c r="FY43" s="158" t="s">
        <v>172</v>
      </c>
      <c r="FZ43" s="158" t="s">
        <v>172</v>
      </c>
      <c r="GA43" s="158" t="s">
        <v>172</v>
      </c>
      <c r="GB43" s="158" t="s">
        <v>172</v>
      </c>
      <c r="GC43" s="158" t="s">
        <v>357</v>
      </c>
    </row>
    <row r="44" spans="1:185" ht="20" x14ac:dyDescent="0.25">
      <c r="A44" t="s">
        <v>190</v>
      </c>
      <c r="B44" s="140" t="s">
        <v>358</v>
      </c>
      <c r="C44" s="158" t="s">
        <v>173</v>
      </c>
      <c r="D44" s="158" t="s">
        <v>188</v>
      </c>
      <c r="E44" s="158">
        <v>2022</v>
      </c>
      <c r="F44" s="158" t="s">
        <v>189</v>
      </c>
      <c r="G44">
        <v>6604.6</v>
      </c>
      <c r="H44" s="176">
        <v>15</v>
      </c>
      <c r="I44" s="176">
        <v>15</v>
      </c>
      <c r="J44" s="158">
        <v>434.23236720307102</v>
      </c>
      <c r="K44">
        <v>133.63618500489099</v>
      </c>
      <c r="L44">
        <v>124.05104994053704</v>
      </c>
      <c r="M44" t="b">
        <v>1</v>
      </c>
      <c r="N44">
        <v>1</v>
      </c>
      <c r="O44" t="s">
        <v>191</v>
      </c>
      <c r="P44" t="s">
        <v>168</v>
      </c>
      <c r="Q44" t="s">
        <v>168</v>
      </c>
      <c r="R44" t="s">
        <v>168</v>
      </c>
      <c r="S44" t="b">
        <v>0</v>
      </c>
      <c r="T44" t="b">
        <v>0</v>
      </c>
      <c r="U44" t="s">
        <v>168</v>
      </c>
      <c r="V44" t="b">
        <v>0</v>
      </c>
      <c r="W44" t="b">
        <v>0</v>
      </c>
      <c r="X44" t="s">
        <v>359</v>
      </c>
      <c r="Y44" s="159" t="s">
        <v>192</v>
      </c>
      <c r="Z44" s="158" t="s">
        <v>193</v>
      </c>
      <c r="AA44" s="160" t="s">
        <v>194</v>
      </c>
      <c r="AB44" s="160" t="s">
        <v>247</v>
      </c>
      <c r="AC44" s="158">
        <v>18</v>
      </c>
      <c r="AD44" s="158">
        <v>4</v>
      </c>
      <c r="AE44" s="158">
        <v>106</v>
      </c>
      <c r="AF44" s="158">
        <v>109</v>
      </c>
      <c r="AG44" s="158">
        <v>167.56</v>
      </c>
      <c r="AH44" s="158">
        <v>186.72</v>
      </c>
      <c r="AI44" s="160" t="s">
        <v>196</v>
      </c>
      <c r="AJ44" s="158" t="s">
        <v>197</v>
      </c>
      <c r="AK44" s="166">
        <v>3.7212472000000001</v>
      </c>
      <c r="AL44" s="166">
        <v>-42.913286111111098</v>
      </c>
      <c r="AM44" s="160" t="s">
        <v>168</v>
      </c>
      <c r="AN44" s="160" t="s">
        <v>168</v>
      </c>
      <c r="AO44" s="158">
        <v>-3598</v>
      </c>
      <c r="AP44" s="160" t="s">
        <v>168</v>
      </c>
      <c r="AQ44" s="160" t="s">
        <v>168</v>
      </c>
      <c r="AR44" s="160" t="s">
        <v>168</v>
      </c>
      <c r="AS44" s="158">
        <v>6604.6</v>
      </c>
      <c r="AT44" s="160" t="s">
        <v>198</v>
      </c>
      <c r="AU44" s="160" t="s">
        <v>168</v>
      </c>
      <c r="AV44" s="160" t="s">
        <v>168</v>
      </c>
      <c r="AW44" s="160" t="s">
        <v>250</v>
      </c>
      <c r="AX44" s="158" t="s">
        <v>200</v>
      </c>
      <c r="AY44" s="158" t="s">
        <v>201</v>
      </c>
      <c r="AZ44" s="158" t="s">
        <v>168</v>
      </c>
      <c r="BA44" s="158" t="s">
        <v>168</v>
      </c>
      <c r="BB44" s="158" t="s">
        <v>168</v>
      </c>
      <c r="BC44" s="158" t="s">
        <v>168</v>
      </c>
      <c r="BD44" s="158" t="s">
        <v>168</v>
      </c>
      <c r="BE44" s="158" t="s">
        <v>168</v>
      </c>
      <c r="BF44" s="158" t="s">
        <v>168</v>
      </c>
      <c r="BG44" s="167" t="s">
        <v>202</v>
      </c>
      <c r="BH44" s="158" t="s">
        <v>203</v>
      </c>
      <c r="BI44" s="160" t="s">
        <v>204</v>
      </c>
      <c r="BJ44" s="160" t="s">
        <v>205</v>
      </c>
      <c r="BK44" s="158" t="s">
        <v>206</v>
      </c>
      <c r="BL44" s="158" t="s">
        <v>207</v>
      </c>
      <c r="BM44" s="158" t="s">
        <v>208</v>
      </c>
      <c r="BN44" s="162" t="s">
        <v>342</v>
      </c>
      <c r="BO44" s="158">
        <v>2</v>
      </c>
      <c r="BP44" s="162" t="s">
        <v>343</v>
      </c>
      <c r="BQ44" s="168">
        <v>17.229343616242176</v>
      </c>
      <c r="BR44" s="168" t="s">
        <v>211</v>
      </c>
      <c r="BS44" s="168">
        <v>0.13106776866968287</v>
      </c>
      <c r="BT44">
        <v>0.83299999999999996</v>
      </c>
      <c r="BU44" t="s">
        <v>168</v>
      </c>
      <c r="BV44" t="s">
        <v>168</v>
      </c>
      <c r="BW44">
        <v>2.69</v>
      </c>
      <c r="BX44" t="s">
        <v>168</v>
      </c>
      <c r="BY44" t="s">
        <v>168</v>
      </c>
      <c r="BZ44" s="163" t="s">
        <v>212</v>
      </c>
      <c r="CA44" t="s">
        <v>213</v>
      </c>
      <c r="CB44" s="168">
        <v>17.45419401709745</v>
      </c>
      <c r="CC44" s="160" t="s">
        <v>214</v>
      </c>
      <c r="CD44" s="164">
        <v>0.22251838660581774</v>
      </c>
      <c r="CE44" s="160" t="s">
        <v>215</v>
      </c>
      <c r="CF44" s="160" t="s">
        <v>216</v>
      </c>
      <c r="CG44" s="160">
        <v>0</v>
      </c>
      <c r="CH44" s="160" t="s">
        <v>217</v>
      </c>
      <c r="CI44" s="160" t="s">
        <v>168</v>
      </c>
      <c r="CJ44">
        <v>25.468552541297313</v>
      </c>
      <c r="CK44" s="158" t="s">
        <v>170</v>
      </c>
      <c r="CL44" s="158">
        <v>1</v>
      </c>
      <c r="CM44" s="158">
        <v>1</v>
      </c>
      <c r="CN44">
        <v>2.9184858048196274</v>
      </c>
      <c r="CO44">
        <v>2.9184858048196274</v>
      </c>
      <c r="CP44" s="165" t="s">
        <v>218</v>
      </c>
      <c r="CQ44" s="169">
        <v>0.05</v>
      </c>
      <c r="CR44" s="169">
        <v>0.05</v>
      </c>
      <c r="CS44" s="168" t="s">
        <v>219</v>
      </c>
      <c r="CT44" s="168" t="s">
        <v>220</v>
      </c>
      <c r="CU44" s="170" t="s">
        <v>221</v>
      </c>
      <c r="CV44" s="158" t="s">
        <v>222</v>
      </c>
      <c r="CW44" s="160" t="s">
        <v>168</v>
      </c>
      <c r="CX44" s="160" t="s">
        <v>168</v>
      </c>
      <c r="CY44" s="160" t="s">
        <v>168</v>
      </c>
      <c r="CZ44" s="160" t="s">
        <v>168</v>
      </c>
      <c r="DA44" s="160" t="s">
        <v>168</v>
      </c>
      <c r="DB44" s="160" t="s">
        <v>168</v>
      </c>
      <c r="DC44" s="160" t="s">
        <v>168</v>
      </c>
      <c r="DD44" s="160" t="s">
        <v>168</v>
      </c>
      <c r="DE44" s="160" t="s">
        <v>168</v>
      </c>
      <c r="DF44" s="160" t="s">
        <v>168</v>
      </c>
      <c r="DG44">
        <v>35</v>
      </c>
      <c r="DH44" t="s">
        <v>170</v>
      </c>
      <c r="DI44" s="160">
        <v>1.5</v>
      </c>
      <c r="DJ44" s="160" t="s">
        <v>168</v>
      </c>
      <c r="DK44" s="158" t="s">
        <v>223</v>
      </c>
      <c r="DL44" s="158" t="s">
        <v>168</v>
      </c>
      <c r="DM44" s="158" t="s">
        <v>168</v>
      </c>
      <c r="DN44" s="158" t="s">
        <v>168</v>
      </c>
      <c r="DO44" s="158" t="s">
        <v>223</v>
      </c>
      <c r="DP44" s="158" t="s">
        <v>168</v>
      </c>
      <c r="DQ44" s="158" t="s">
        <v>168</v>
      </c>
      <c r="DR44" s="158" t="s">
        <v>168</v>
      </c>
      <c r="DS44" s="158" t="s">
        <v>168</v>
      </c>
      <c r="DT44" s="158" t="s">
        <v>168</v>
      </c>
      <c r="DU44" s="158" t="s">
        <v>168</v>
      </c>
      <c r="DV44" s="158" t="s">
        <v>168</v>
      </c>
      <c r="DW44">
        <v>432.42602682873797</v>
      </c>
      <c r="DX44" s="163" t="s">
        <v>224</v>
      </c>
      <c r="DY44" s="158">
        <v>36.613552201683007</v>
      </c>
      <c r="DZ44" s="158" t="s">
        <v>225</v>
      </c>
      <c r="EA44">
        <v>39.799999999999997</v>
      </c>
      <c r="EB44" s="158" t="s">
        <v>226</v>
      </c>
      <c r="EC44">
        <v>0.31</v>
      </c>
      <c r="ED44" s="158" t="s">
        <v>227</v>
      </c>
      <c r="EE44" s="158" t="s">
        <v>228</v>
      </c>
      <c r="EF44" s="158" t="s">
        <v>344</v>
      </c>
      <c r="EG44">
        <v>1.0271999999999999</v>
      </c>
      <c r="EH44" s="158">
        <v>5.9999999999999995E-4</v>
      </c>
      <c r="EI44" s="160" t="s">
        <v>168</v>
      </c>
      <c r="EJ44" s="158" t="s">
        <v>169</v>
      </c>
      <c r="EK44" s="160" t="s">
        <v>168</v>
      </c>
      <c r="EL44" s="160" t="s">
        <v>168</v>
      </c>
      <c r="EM44" s="171" t="s">
        <v>230</v>
      </c>
      <c r="EN44" s="158" t="s">
        <v>231</v>
      </c>
      <c r="EO44" s="158" t="s">
        <v>231</v>
      </c>
      <c r="EP44" s="158" t="s">
        <v>231</v>
      </c>
      <c r="EQ44" s="158" t="s">
        <v>232</v>
      </c>
      <c r="ER44" s="160" t="s">
        <v>168</v>
      </c>
      <c r="ES44" s="160" t="s">
        <v>168</v>
      </c>
      <c r="ET44" s="160" t="s">
        <v>233</v>
      </c>
      <c r="EU44" s="158" t="s">
        <v>234</v>
      </c>
      <c r="EV44" s="158" t="s">
        <v>235</v>
      </c>
      <c r="EW44" s="146">
        <v>1895.04754</v>
      </c>
      <c r="EX44" s="158" t="s">
        <v>236</v>
      </c>
      <c r="EY44" s="172">
        <f t="shared" si="0"/>
        <v>2395.04754</v>
      </c>
      <c r="EZ44" s="168">
        <f t="shared" si="1"/>
        <v>1395.04754</v>
      </c>
      <c r="FA44" s="160" t="s">
        <v>168</v>
      </c>
      <c r="FB44" s="160" t="s">
        <v>168</v>
      </c>
      <c r="FC44" s="160" t="s">
        <v>168</v>
      </c>
      <c r="FD44" s="160" t="s">
        <v>168</v>
      </c>
      <c r="FE44">
        <v>7.96939074081501</v>
      </c>
      <c r="FF44" s="173" t="s">
        <v>171</v>
      </c>
      <c r="FG44">
        <v>4.0281045290479156E-2</v>
      </c>
      <c r="FH44">
        <v>4.119747772591964E-2</v>
      </c>
      <c r="FI44" s="160">
        <f t="shared" si="2"/>
        <v>464.23236720307102</v>
      </c>
      <c r="FJ44" s="160">
        <v>30</v>
      </c>
      <c r="FK44" s="160" t="s">
        <v>168</v>
      </c>
      <c r="FL44">
        <v>434.23236720307102</v>
      </c>
      <c r="FM44">
        <v>133.63618500489099</v>
      </c>
      <c r="FN44">
        <v>124.05104994053704</v>
      </c>
      <c r="FO44" s="158" t="s">
        <v>237</v>
      </c>
      <c r="FP44" s="158" t="s">
        <v>168</v>
      </c>
      <c r="FQ44" s="158" t="s">
        <v>172</v>
      </c>
      <c r="FR44" s="158" t="s">
        <v>172</v>
      </c>
      <c r="FS44" s="158" t="s">
        <v>172</v>
      </c>
      <c r="FT44" s="158" t="s">
        <v>172</v>
      </c>
      <c r="FU44" s="158" t="s">
        <v>172</v>
      </c>
      <c r="FV44" s="158" t="s">
        <v>172</v>
      </c>
      <c r="FW44" s="158" t="s">
        <v>172</v>
      </c>
      <c r="FX44" s="158" t="s">
        <v>172</v>
      </c>
      <c r="FY44" s="158" t="s">
        <v>172</v>
      </c>
      <c r="FZ44" s="158" t="s">
        <v>172</v>
      </c>
      <c r="GA44" s="158" t="s">
        <v>172</v>
      </c>
      <c r="GB44" s="158" t="s">
        <v>172</v>
      </c>
      <c r="GC44" s="158" t="s">
        <v>357</v>
      </c>
    </row>
    <row r="45" spans="1:185" ht="20" x14ac:dyDescent="0.25">
      <c r="A45" t="s">
        <v>190</v>
      </c>
      <c r="B45" s="140" t="s">
        <v>358</v>
      </c>
      <c r="C45" s="158" t="s">
        <v>173</v>
      </c>
      <c r="D45" s="158" t="s">
        <v>188</v>
      </c>
      <c r="E45" s="158">
        <v>2022</v>
      </c>
      <c r="F45" s="158" t="s">
        <v>189</v>
      </c>
      <c r="G45">
        <v>6632.5217391304404</v>
      </c>
      <c r="H45" s="176">
        <v>15</v>
      </c>
      <c r="I45" s="176">
        <v>15</v>
      </c>
      <c r="J45" s="158">
        <v>378.80174507309101</v>
      </c>
      <c r="K45">
        <v>114.354116082779</v>
      </c>
      <c r="L45">
        <v>109.343135263546</v>
      </c>
      <c r="M45" t="b">
        <v>1</v>
      </c>
      <c r="N45">
        <v>1</v>
      </c>
      <c r="O45" t="s">
        <v>191</v>
      </c>
      <c r="P45" t="s">
        <v>168</v>
      </c>
      <c r="Q45" t="s">
        <v>168</v>
      </c>
      <c r="R45" t="s">
        <v>168</v>
      </c>
      <c r="S45" t="b">
        <v>0</v>
      </c>
      <c r="T45" t="b">
        <v>0</v>
      </c>
      <c r="U45" t="s">
        <v>168</v>
      </c>
      <c r="V45" t="b">
        <v>0</v>
      </c>
      <c r="W45" t="b">
        <v>0</v>
      </c>
      <c r="X45" t="s">
        <v>359</v>
      </c>
      <c r="Y45" s="159" t="s">
        <v>192</v>
      </c>
      <c r="Z45" s="158" t="s">
        <v>193</v>
      </c>
      <c r="AA45" s="160" t="s">
        <v>194</v>
      </c>
      <c r="AB45" s="160" t="s">
        <v>247</v>
      </c>
      <c r="AC45" s="158">
        <v>18</v>
      </c>
      <c r="AD45" s="158">
        <v>5</v>
      </c>
      <c r="AE45" s="158">
        <v>21</v>
      </c>
      <c r="AF45" s="158">
        <v>24</v>
      </c>
      <c r="AG45" s="158">
        <v>168.21</v>
      </c>
      <c r="AH45" s="158">
        <v>187.37</v>
      </c>
      <c r="AI45" s="160" t="s">
        <v>196</v>
      </c>
      <c r="AJ45" s="158" t="s">
        <v>197</v>
      </c>
      <c r="AK45" s="166">
        <v>3.7212472000000001</v>
      </c>
      <c r="AL45" s="166">
        <v>-42.913286111111098</v>
      </c>
      <c r="AM45" s="160" t="s">
        <v>168</v>
      </c>
      <c r="AN45" s="160" t="s">
        <v>168</v>
      </c>
      <c r="AO45" s="158">
        <v>-3598</v>
      </c>
      <c r="AP45" s="160" t="s">
        <v>168</v>
      </c>
      <c r="AQ45" s="160" t="s">
        <v>168</v>
      </c>
      <c r="AR45" s="160" t="s">
        <v>168</v>
      </c>
      <c r="AS45" s="158">
        <v>6632.5217391304404</v>
      </c>
      <c r="AT45" s="160" t="s">
        <v>198</v>
      </c>
      <c r="AU45" s="160" t="s">
        <v>168</v>
      </c>
      <c r="AV45" s="160" t="s">
        <v>168</v>
      </c>
      <c r="AW45" s="160" t="s">
        <v>250</v>
      </c>
      <c r="AX45" s="158" t="s">
        <v>200</v>
      </c>
      <c r="AY45" s="158" t="s">
        <v>201</v>
      </c>
      <c r="AZ45" s="158" t="s">
        <v>168</v>
      </c>
      <c r="BA45" s="158" t="s">
        <v>168</v>
      </c>
      <c r="BB45" s="158" t="s">
        <v>168</v>
      </c>
      <c r="BC45" s="158" t="s">
        <v>168</v>
      </c>
      <c r="BD45" s="158" t="s">
        <v>168</v>
      </c>
      <c r="BE45" s="158" t="s">
        <v>168</v>
      </c>
      <c r="BF45" s="158" t="s">
        <v>168</v>
      </c>
      <c r="BG45" s="167" t="s">
        <v>202</v>
      </c>
      <c r="BH45" s="158" t="s">
        <v>203</v>
      </c>
      <c r="BI45" s="160" t="s">
        <v>204</v>
      </c>
      <c r="BJ45" s="160" t="s">
        <v>205</v>
      </c>
      <c r="BK45" s="158" t="s">
        <v>206</v>
      </c>
      <c r="BL45" s="158" t="s">
        <v>207</v>
      </c>
      <c r="BM45" s="158" t="s">
        <v>208</v>
      </c>
      <c r="BN45" s="162" t="s">
        <v>345</v>
      </c>
      <c r="BO45" s="158">
        <v>2</v>
      </c>
      <c r="BP45" s="162" t="s">
        <v>346</v>
      </c>
      <c r="BQ45" s="168">
        <v>17.601039118054217</v>
      </c>
      <c r="BR45" s="168" t="s">
        <v>211</v>
      </c>
      <c r="BS45" s="168">
        <v>0.15019717128490503</v>
      </c>
      <c r="BT45">
        <v>0.83299999999999996</v>
      </c>
      <c r="BU45" t="s">
        <v>168</v>
      </c>
      <c r="BV45" t="s">
        <v>168</v>
      </c>
      <c r="BW45">
        <v>2.69</v>
      </c>
      <c r="BX45" t="s">
        <v>168</v>
      </c>
      <c r="BY45" t="s">
        <v>168</v>
      </c>
      <c r="BZ45" s="163" t="s">
        <v>212</v>
      </c>
      <c r="CA45" t="s">
        <v>213</v>
      </c>
      <c r="CB45" s="168">
        <v>17.900407104506865</v>
      </c>
      <c r="CC45" s="160" t="s">
        <v>214</v>
      </c>
      <c r="CD45" s="164">
        <v>0.25499505001342915</v>
      </c>
      <c r="CE45" s="160" t="s">
        <v>215</v>
      </c>
      <c r="CF45" s="160" t="s">
        <v>216</v>
      </c>
      <c r="CG45" s="160">
        <v>0</v>
      </c>
      <c r="CH45" s="160" t="s">
        <v>217</v>
      </c>
      <c r="CI45" s="160" t="s">
        <v>168</v>
      </c>
      <c r="CJ45">
        <v>25.01752379917653</v>
      </c>
      <c r="CK45" s="158" t="s">
        <v>170</v>
      </c>
      <c r="CL45" s="158">
        <v>1</v>
      </c>
      <c r="CM45" s="158">
        <v>1</v>
      </c>
      <c r="CN45">
        <v>2.8010777874605441</v>
      </c>
      <c r="CO45">
        <v>2.8010777874605441</v>
      </c>
      <c r="CP45" s="165" t="s">
        <v>218</v>
      </c>
      <c r="CQ45" s="169">
        <v>0.05</v>
      </c>
      <c r="CR45" s="169">
        <v>0.05</v>
      </c>
      <c r="CS45" s="168" t="s">
        <v>219</v>
      </c>
      <c r="CT45" s="168" t="s">
        <v>220</v>
      </c>
      <c r="CU45" s="170" t="s">
        <v>221</v>
      </c>
      <c r="CV45" s="158" t="s">
        <v>222</v>
      </c>
      <c r="CW45" s="160" t="s">
        <v>168</v>
      </c>
      <c r="CX45" s="160" t="s">
        <v>168</v>
      </c>
      <c r="CY45" s="160" t="s">
        <v>168</v>
      </c>
      <c r="CZ45" s="160" t="s">
        <v>168</v>
      </c>
      <c r="DA45" s="160" t="s">
        <v>168</v>
      </c>
      <c r="DB45" s="160" t="s">
        <v>168</v>
      </c>
      <c r="DC45" s="160" t="s">
        <v>168</v>
      </c>
      <c r="DD45" s="160" t="s">
        <v>168</v>
      </c>
      <c r="DE45" s="160" t="s">
        <v>168</v>
      </c>
      <c r="DF45" s="160" t="s">
        <v>168</v>
      </c>
      <c r="DG45">
        <v>35</v>
      </c>
      <c r="DH45" t="s">
        <v>170</v>
      </c>
      <c r="DI45" s="160">
        <v>1.5</v>
      </c>
      <c r="DJ45" s="160" t="s">
        <v>168</v>
      </c>
      <c r="DK45" s="158" t="s">
        <v>223</v>
      </c>
      <c r="DL45" s="158" t="s">
        <v>168</v>
      </c>
      <c r="DM45" s="158" t="s">
        <v>168</v>
      </c>
      <c r="DN45" s="158" t="s">
        <v>168</v>
      </c>
      <c r="DO45" s="158" t="s">
        <v>223</v>
      </c>
      <c r="DP45" s="158" t="s">
        <v>168</v>
      </c>
      <c r="DQ45" s="158" t="s">
        <v>168</v>
      </c>
      <c r="DR45" s="158" t="s">
        <v>168</v>
      </c>
      <c r="DS45" s="158" t="s">
        <v>168</v>
      </c>
      <c r="DT45" s="158" t="s">
        <v>168</v>
      </c>
      <c r="DU45" s="158" t="s">
        <v>168</v>
      </c>
      <c r="DV45" s="158" t="s">
        <v>168</v>
      </c>
      <c r="DW45">
        <v>432.56067656821898</v>
      </c>
      <c r="DX45" s="163" t="s">
        <v>224</v>
      </c>
      <c r="DY45" s="158">
        <v>36.924962893587008</v>
      </c>
      <c r="DZ45" s="158" t="s">
        <v>225</v>
      </c>
      <c r="EA45">
        <v>39.799999999999997</v>
      </c>
      <c r="EB45" s="158" t="s">
        <v>226</v>
      </c>
      <c r="EC45">
        <v>0.31</v>
      </c>
      <c r="ED45" s="158" t="s">
        <v>227</v>
      </c>
      <c r="EE45" s="158" t="s">
        <v>228</v>
      </c>
      <c r="EF45" s="158" t="s">
        <v>347</v>
      </c>
      <c r="EG45">
        <v>1.0271999999999999</v>
      </c>
      <c r="EH45" s="158">
        <v>5.9999999999999995E-4</v>
      </c>
      <c r="EI45" s="160" t="s">
        <v>168</v>
      </c>
      <c r="EJ45" s="158" t="s">
        <v>169</v>
      </c>
      <c r="EK45" s="160" t="s">
        <v>168</v>
      </c>
      <c r="EL45" s="160" t="s">
        <v>168</v>
      </c>
      <c r="EM45" s="171" t="s">
        <v>230</v>
      </c>
      <c r="EN45" s="158" t="s">
        <v>231</v>
      </c>
      <c r="EO45" s="158" t="s">
        <v>231</v>
      </c>
      <c r="EP45" s="158" t="s">
        <v>231</v>
      </c>
      <c r="EQ45" s="158" t="s">
        <v>232</v>
      </c>
      <c r="ER45" s="160" t="s">
        <v>168</v>
      </c>
      <c r="ES45" s="160" t="s">
        <v>168</v>
      </c>
      <c r="ET45" s="160" t="s">
        <v>233</v>
      </c>
      <c r="EU45" s="158" t="s">
        <v>234</v>
      </c>
      <c r="EV45" s="158" t="s">
        <v>235</v>
      </c>
      <c r="EW45" s="146">
        <v>1894.486313043478</v>
      </c>
      <c r="EX45" s="158" t="s">
        <v>236</v>
      </c>
      <c r="EY45" s="172">
        <f t="shared" si="0"/>
        <v>2394.4863130434778</v>
      </c>
      <c r="EZ45" s="168">
        <f t="shared" si="1"/>
        <v>1394.486313043478</v>
      </c>
      <c r="FA45" s="160" t="s">
        <v>168</v>
      </c>
      <c r="FB45" s="160" t="s">
        <v>168</v>
      </c>
      <c r="FC45" s="160" t="s">
        <v>168</v>
      </c>
      <c r="FD45" s="160" t="s">
        <v>168</v>
      </c>
      <c r="FE45">
        <v>8.0188120301353099</v>
      </c>
      <c r="FF45" s="173" t="s">
        <v>171</v>
      </c>
      <c r="FG45">
        <v>3.9585249893809404E-2</v>
      </c>
      <c r="FH45">
        <v>3.9551171448259481E-2</v>
      </c>
      <c r="FI45" s="160">
        <f t="shared" si="2"/>
        <v>408.80174507309101</v>
      </c>
      <c r="FJ45" s="160">
        <v>30</v>
      </c>
      <c r="FK45" s="160" t="s">
        <v>168</v>
      </c>
      <c r="FL45">
        <v>378.80174507309101</v>
      </c>
      <c r="FM45">
        <v>114.354116082779</v>
      </c>
      <c r="FN45">
        <v>109.343135263546</v>
      </c>
      <c r="FO45" s="158" t="s">
        <v>237</v>
      </c>
      <c r="FP45" s="158" t="s">
        <v>168</v>
      </c>
      <c r="FQ45" s="158" t="s">
        <v>172</v>
      </c>
      <c r="FR45" s="158" t="s">
        <v>172</v>
      </c>
      <c r="FS45" s="158" t="s">
        <v>172</v>
      </c>
      <c r="FT45" s="158" t="s">
        <v>172</v>
      </c>
      <c r="FU45" s="158" t="s">
        <v>172</v>
      </c>
      <c r="FV45" s="158" t="s">
        <v>172</v>
      </c>
      <c r="FW45" s="158" t="s">
        <v>172</v>
      </c>
      <c r="FX45" s="158" t="s">
        <v>172</v>
      </c>
      <c r="FY45" s="158" t="s">
        <v>172</v>
      </c>
      <c r="FZ45" s="158" t="s">
        <v>172</v>
      </c>
      <c r="GA45" s="158" t="s">
        <v>172</v>
      </c>
      <c r="GB45" s="158" t="s">
        <v>172</v>
      </c>
      <c r="GC45" s="158" t="s">
        <v>357</v>
      </c>
    </row>
    <row r="46" spans="1:185" ht="20" x14ac:dyDescent="0.25">
      <c r="A46" t="s">
        <v>190</v>
      </c>
      <c r="B46" s="140" t="s">
        <v>358</v>
      </c>
      <c r="C46" s="158" t="s">
        <v>173</v>
      </c>
      <c r="D46" s="158" t="s">
        <v>188</v>
      </c>
      <c r="E46" s="158">
        <v>2022</v>
      </c>
      <c r="F46" s="158" t="s">
        <v>189</v>
      </c>
      <c r="G46">
        <v>6772.3702422145298</v>
      </c>
      <c r="H46" s="176">
        <v>15</v>
      </c>
      <c r="I46" s="176">
        <v>15</v>
      </c>
      <c r="J46" s="158">
        <v>408.27390901288101</v>
      </c>
      <c r="K46">
        <v>121.87078385558203</v>
      </c>
      <c r="L46">
        <v>117.08630495035101</v>
      </c>
      <c r="M46" t="b">
        <v>1</v>
      </c>
      <c r="N46">
        <v>1</v>
      </c>
      <c r="O46" t="s">
        <v>191</v>
      </c>
      <c r="P46" t="s">
        <v>168</v>
      </c>
      <c r="Q46" t="s">
        <v>168</v>
      </c>
      <c r="R46" t="s">
        <v>168</v>
      </c>
      <c r="S46" t="b">
        <v>0</v>
      </c>
      <c r="T46" t="b">
        <v>0</v>
      </c>
      <c r="U46" t="s">
        <v>168</v>
      </c>
      <c r="V46" t="b">
        <v>0</v>
      </c>
      <c r="W46" t="b">
        <v>0</v>
      </c>
      <c r="X46" t="s">
        <v>359</v>
      </c>
      <c r="Y46" s="159" t="s">
        <v>192</v>
      </c>
      <c r="Z46" s="158" t="s">
        <v>193</v>
      </c>
      <c r="AA46" s="160" t="s">
        <v>194</v>
      </c>
      <c r="AB46" s="160" t="s">
        <v>247</v>
      </c>
      <c r="AC46" s="158">
        <v>18</v>
      </c>
      <c r="AD46" s="158">
        <v>5</v>
      </c>
      <c r="AE46" s="158">
        <v>116</v>
      </c>
      <c r="AF46" s="158">
        <v>119</v>
      </c>
      <c r="AG46" s="158">
        <v>169.16</v>
      </c>
      <c r="AH46" s="158">
        <v>189.68029411764701</v>
      </c>
      <c r="AI46" s="160" t="s">
        <v>196</v>
      </c>
      <c r="AJ46" s="158" t="s">
        <v>197</v>
      </c>
      <c r="AK46" s="166">
        <v>3.7212472000000001</v>
      </c>
      <c r="AL46" s="166">
        <v>-42.913286111111098</v>
      </c>
      <c r="AM46" s="160" t="s">
        <v>168</v>
      </c>
      <c r="AN46" s="160" t="s">
        <v>168</v>
      </c>
      <c r="AO46" s="158">
        <v>-3598</v>
      </c>
      <c r="AP46" s="160" t="s">
        <v>168</v>
      </c>
      <c r="AQ46" s="160" t="s">
        <v>168</v>
      </c>
      <c r="AR46" s="160" t="s">
        <v>168</v>
      </c>
      <c r="AS46" s="158">
        <v>6772.3702422145298</v>
      </c>
      <c r="AT46" s="160" t="s">
        <v>198</v>
      </c>
      <c r="AU46" s="160" t="s">
        <v>168</v>
      </c>
      <c r="AV46" s="160" t="s">
        <v>168</v>
      </c>
      <c r="AW46" s="160" t="s">
        <v>250</v>
      </c>
      <c r="AX46" s="158" t="s">
        <v>200</v>
      </c>
      <c r="AY46" s="158" t="s">
        <v>201</v>
      </c>
      <c r="AZ46" s="158" t="s">
        <v>168</v>
      </c>
      <c r="BA46" s="158" t="s">
        <v>168</v>
      </c>
      <c r="BB46" s="158" t="s">
        <v>168</v>
      </c>
      <c r="BC46" s="158" t="s">
        <v>168</v>
      </c>
      <c r="BD46" s="158" t="s">
        <v>168</v>
      </c>
      <c r="BE46" s="158" t="s">
        <v>168</v>
      </c>
      <c r="BF46" s="158" t="s">
        <v>168</v>
      </c>
      <c r="BG46" s="167" t="s">
        <v>202</v>
      </c>
      <c r="BH46" s="158" t="s">
        <v>203</v>
      </c>
      <c r="BI46" s="160" t="s">
        <v>204</v>
      </c>
      <c r="BJ46" s="160" t="s">
        <v>205</v>
      </c>
      <c r="BK46" s="158" t="s">
        <v>206</v>
      </c>
      <c r="BL46" s="158" t="s">
        <v>207</v>
      </c>
      <c r="BM46" s="158" t="s">
        <v>208</v>
      </c>
      <c r="BN46" s="162" t="s">
        <v>348</v>
      </c>
      <c r="BO46" s="158">
        <v>2</v>
      </c>
      <c r="BP46" s="162" t="s">
        <v>349</v>
      </c>
      <c r="BQ46" s="168">
        <v>17.478114869255876</v>
      </c>
      <c r="BR46" s="168" t="s">
        <v>211</v>
      </c>
      <c r="BS46" s="168">
        <v>0.15276866812944984</v>
      </c>
      <c r="BT46">
        <v>0.83299999999999996</v>
      </c>
      <c r="BU46" t="s">
        <v>168</v>
      </c>
      <c r="BV46" t="s">
        <v>168</v>
      </c>
      <c r="BW46">
        <v>2.69</v>
      </c>
      <c r="BX46" t="s">
        <v>168</v>
      </c>
      <c r="BY46" t="s">
        <v>168</v>
      </c>
      <c r="BZ46" s="163" t="s">
        <v>212</v>
      </c>
      <c r="CA46" t="s">
        <v>213</v>
      </c>
      <c r="CB46" s="168">
        <v>17.752838978698531</v>
      </c>
      <c r="CC46" s="160" t="s">
        <v>214</v>
      </c>
      <c r="CD46" s="164">
        <v>0.25936077115767436</v>
      </c>
      <c r="CE46" s="160" t="s">
        <v>215</v>
      </c>
      <c r="CF46" s="160" t="s">
        <v>216</v>
      </c>
      <c r="CG46" s="160">
        <v>0</v>
      </c>
      <c r="CH46" s="160" t="s">
        <v>217</v>
      </c>
      <c r="CI46" s="160" t="s">
        <v>168</v>
      </c>
      <c r="CJ46">
        <v>26.07623414030148</v>
      </c>
      <c r="CK46" s="158" t="s">
        <v>170</v>
      </c>
      <c r="CL46" s="158">
        <v>1</v>
      </c>
      <c r="CM46" s="158">
        <v>1</v>
      </c>
      <c r="CN46">
        <v>3.0739054303079274</v>
      </c>
      <c r="CO46">
        <v>3.0739054303079274</v>
      </c>
      <c r="CP46" s="165" t="s">
        <v>218</v>
      </c>
      <c r="CQ46" s="169">
        <v>0.05</v>
      </c>
      <c r="CR46" s="169">
        <v>0.05</v>
      </c>
      <c r="CS46" s="168" t="s">
        <v>219</v>
      </c>
      <c r="CT46" s="168" t="s">
        <v>220</v>
      </c>
      <c r="CU46" s="170" t="s">
        <v>221</v>
      </c>
      <c r="CV46" s="158" t="s">
        <v>222</v>
      </c>
      <c r="CW46" s="160" t="s">
        <v>168</v>
      </c>
      <c r="CX46" s="160" t="s">
        <v>168</v>
      </c>
      <c r="CY46" s="160" t="s">
        <v>168</v>
      </c>
      <c r="CZ46" s="160" t="s">
        <v>168</v>
      </c>
      <c r="DA46" s="160" t="s">
        <v>168</v>
      </c>
      <c r="DB46" s="160" t="s">
        <v>168</v>
      </c>
      <c r="DC46" s="160" t="s">
        <v>168</v>
      </c>
      <c r="DD46" s="160" t="s">
        <v>168</v>
      </c>
      <c r="DE46" s="160" t="s">
        <v>168</v>
      </c>
      <c r="DF46" s="160" t="s">
        <v>168</v>
      </c>
      <c r="DG46">
        <v>35</v>
      </c>
      <c r="DH46" t="s">
        <v>170</v>
      </c>
      <c r="DI46" s="160">
        <v>1.5</v>
      </c>
      <c r="DJ46" s="160" t="s">
        <v>168</v>
      </c>
      <c r="DK46" s="158" t="s">
        <v>223</v>
      </c>
      <c r="DL46" s="158" t="s">
        <v>168</v>
      </c>
      <c r="DM46" s="158" t="s">
        <v>168</v>
      </c>
      <c r="DN46" s="158" t="s">
        <v>168</v>
      </c>
      <c r="DO46" s="158" t="s">
        <v>223</v>
      </c>
      <c r="DP46" s="158" t="s">
        <v>168</v>
      </c>
      <c r="DQ46" s="158" t="s">
        <v>168</v>
      </c>
      <c r="DR46" s="158" t="s">
        <v>168</v>
      </c>
      <c r="DS46" s="158" t="s">
        <v>168</v>
      </c>
      <c r="DT46" s="158" t="s">
        <v>168</v>
      </c>
      <c r="DU46" s="158" t="s">
        <v>168</v>
      </c>
      <c r="DV46" s="158" t="s">
        <v>168</v>
      </c>
      <c r="DW46">
        <v>432.68298198956302</v>
      </c>
      <c r="DX46" s="163" t="s">
        <v>224</v>
      </c>
      <c r="DY46" s="158">
        <v>35.827746372099483</v>
      </c>
      <c r="DZ46" s="158" t="s">
        <v>225</v>
      </c>
      <c r="EA46">
        <v>39.799999999999997</v>
      </c>
      <c r="EB46" s="158" t="s">
        <v>226</v>
      </c>
      <c r="EC46">
        <v>0.31</v>
      </c>
      <c r="ED46" s="158" t="s">
        <v>227</v>
      </c>
      <c r="EE46" s="158" t="s">
        <v>228</v>
      </c>
      <c r="EF46" s="158" t="s">
        <v>350</v>
      </c>
      <c r="EG46">
        <v>1.0271999999999999</v>
      </c>
      <c r="EH46" s="158">
        <v>5.9999999999999995E-4</v>
      </c>
      <c r="EI46" s="160" t="s">
        <v>168</v>
      </c>
      <c r="EJ46" s="158" t="s">
        <v>169</v>
      </c>
      <c r="EK46" s="160" t="s">
        <v>168</v>
      </c>
      <c r="EL46" s="160" t="s">
        <v>168</v>
      </c>
      <c r="EM46" s="171" t="s">
        <v>230</v>
      </c>
      <c r="EN46" s="158" t="s">
        <v>231</v>
      </c>
      <c r="EO46" s="158" t="s">
        <v>231</v>
      </c>
      <c r="EP46" s="158" t="s">
        <v>231</v>
      </c>
      <c r="EQ46" s="158" t="s">
        <v>232</v>
      </c>
      <c r="ER46" s="160" t="s">
        <v>168</v>
      </c>
      <c r="ES46" s="160" t="s">
        <v>168</v>
      </c>
      <c r="ET46" s="160" t="s">
        <v>233</v>
      </c>
      <c r="EU46" s="158" t="s">
        <v>234</v>
      </c>
      <c r="EV46" s="158" t="s">
        <v>235</v>
      </c>
      <c r="EW46" s="146">
        <v>1891.6753581314879</v>
      </c>
      <c r="EX46" s="158" t="s">
        <v>236</v>
      </c>
      <c r="EY46" s="172">
        <f t="shared" si="0"/>
        <v>2391.6753581314879</v>
      </c>
      <c r="EZ46" s="168">
        <f t="shared" si="1"/>
        <v>1391.6753581314879</v>
      </c>
      <c r="FA46" s="160" t="s">
        <v>168</v>
      </c>
      <c r="FB46" s="160" t="s">
        <v>168</v>
      </c>
      <c r="FC46" s="160" t="s">
        <v>168</v>
      </c>
      <c r="FD46" s="160" t="s">
        <v>168</v>
      </c>
      <c r="FE46">
        <v>7.9926612904776002</v>
      </c>
      <c r="FF46" s="173" t="s">
        <v>171</v>
      </c>
      <c r="FG46">
        <v>4.1148582363649489E-2</v>
      </c>
      <c r="FH46">
        <v>4.0746193525220242E-2</v>
      </c>
      <c r="FI46" s="160">
        <f t="shared" si="2"/>
        <v>438.27390901288101</v>
      </c>
      <c r="FJ46" s="160">
        <v>30</v>
      </c>
      <c r="FK46" s="160" t="s">
        <v>168</v>
      </c>
      <c r="FL46">
        <v>408.27390901288101</v>
      </c>
      <c r="FM46">
        <v>121.87078385558203</v>
      </c>
      <c r="FN46">
        <v>117.08630495035101</v>
      </c>
      <c r="FO46" s="158" t="s">
        <v>237</v>
      </c>
      <c r="FP46" s="158" t="s">
        <v>168</v>
      </c>
      <c r="FQ46" s="158" t="s">
        <v>172</v>
      </c>
      <c r="FR46" s="158" t="s">
        <v>172</v>
      </c>
      <c r="FS46" s="158" t="s">
        <v>172</v>
      </c>
      <c r="FT46" s="158" t="s">
        <v>172</v>
      </c>
      <c r="FU46" s="158" t="s">
        <v>172</v>
      </c>
      <c r="FV46" s="158" t="s">
        <v>172</v>
      </c>
      <c r="FW46" s="158" t="s">
        <v>172</v>
      </c>
      <c r="FX46" s="158" t="s">
        <v>172</v>
      </c>
      <c r="FY46" s="158" t="s">
        <v>172</v>
      </c>
      <c r="FZ46" s="158" t="s">
        <v>172</v>
      </c>
      <c r="GA46" s="158" t="s">
        <v>172</v>
      </c>
      <c r="GB46" s="158" t="s">
        <v>172</v>
      </c>
      <c r="GC46" s="158" t="s">
        <v>357</v>
      </c>
    </row>
    <row r="47" spans="1:185" ht="20" x14ac:dyDescent="0.25">
      <c r="A47" t="s">
        <v>190</v>
      </c>
      <c r="B47" s="140" t="s">
        <v>358</v>
      </c>
      <c r="C47" s="158" t="s">
        <v>173</v>
      </c>
      <c r="D47" s="158" t="s">
        <v>188</v>
      </c>
      <c r="E47" s="158">
        <v>2022</v>
      </c>
      <c r="F47" s="158" t="s">
        <v>189</v>
      </c>
      <c r="G47">
        <v>6787.5250544662204</v>
      </c>
      <c r="H47" s="176">
        <v>15</v>
      </c>
      <c r="I47" s="176">
        <v>15</v>
      </c>
      <c r="J47" s="158">
        <v>333.74859385517499</v>
      </c>
      <c r="K47">
        <v>101.656295808457</v>
      </c>
      <c r="L47">
        <v>99.674925020108986</v>
      </c>
      <c r="M47" t="b">
        <v>1</v>
      </c>
      <c r="N47">
        <v>1</v>
      </c>
      <c r="O47" t="s">
        <v>191</v>
      </c>
      <c r="P47" t="s">
        <v>168</v>
      </c>
      <c r="Q47" t="s">
        <v>168</v>
      </c>
      <c r="R47" t="s">
        <v>168</v>
      </c>
      <c r="S47" t="b">
        <v>0</v>
      </c>
      <c r="T47" t="b">
        <v>0</v>
      </c>
      <c r="U47" t="s">
        <v>168</v>
      </c>
      <c r="V47" t="b">
        <v>0</v>
      </c>
      <c r="W47" t="b">
        <v>0</v>
      </c>
      <c r="X47" t="s">
        <v>359</v>
      </c>
      <c r="Y47" s="159" t="s">
        <v>192</v>
      </c>
      <c r="Z47" s="158" t="s">
        <v>193</v>
      </c>
      <c r="AA47" s="160" t="s">
        <v>194</v>
      </c>
      <c r="AB47" s="160" t="s">
        <v>247</v>
      </c>
      <c r="AC47" s="158">
        <v>18</v>
      </c>
      <c r="AD47" s="158">
        <v>6</v>
      </c>
      <c r="AE47" s="158">
        <v>131</v>
      </c>
      <c r="AF47" s="158">
        <v>134</v>
      </c>
      <c r="AG47" s="158">
        <v>170.81</v>
      </c>
      <c r="AH47" s="158">
        <v>189.90235294117599</v>
      </c>
      <c r="AI47" s="160" t="s">
        <v>196</v>
      </c>
      <c r="AJ47" s="158" t="s">
        <v>197</v>
      </c>
      <c r="AK47" s="166">
        <v>3.7212472000000001</v>
      </c>
      <c r="AL47" s="166">
        <v>-42.913286111111098</v>
      </c>
      <c r="AM47" s="160" t="s">
        <v>168</v>
      </c>
      <c r="AN47" s="160" t="s">
        <v>168</v>
      </c>
      <c r="AO47" s="158">
        <v>-3598</v>
      </c>
      <c r="AP47" s="160" t="s">
        <v>168</v>
      </c>
      <c r="AQ47" s="160" t="s">
        <v>168</v>
      </c>
      <c r="AR47" s="160" t="s">
        <v>168</v>
      </c>
      <c r="AS47" s="158">
        <v>6787.5250544662204</v>
      </c>
      <c r="AT47" s="160" t="s">
        <v>198</v>
      </c>
      <c r="AU47" s="160" t="s">
        <v>168</v>
      </c>
      <c r="AV47" s="160" t="s">
        <v>168</v>
      </c>
      <c r="AW47" s="160" t="s">
        <v>250</v>
      </c>
      <c r="AX47" s="158" t="s">
        <v>200</v>
      </c>
      <c r="AY47" s="158" t="s">
        <v>201</v>
      </c>
      <c r="AZ47" s="158" t="s">
        <v>168</v>
      </c>
      <c r="BA47" s="158" t="s">
        <v>168</v>
      </c>
      <c r="BB47" s="158" t="s">
        <v>168</v>
      </c>
      <c r="BC47" s="158" t="s">
        <v>168</v>
      </c>
      <c r="BD47" s="158" t="s">
        <v>168</v>
      </c>
      <c r="BE47" s="158" t="s">
        <v>168</v>
      </c>
      <c r="BF47" s="158" t="s">
        <v>168</v>
      </c>
      <c r="BG47" s="167" t="s">
        <v>202</v>
      </c>
      <c r="BH47" s="158" t="s">
        <v>203</v>
      </c>
      <c r="BI47" s="160" t="s">
        <v>204</v>
      </c>
      <c r="BJ47" s="160" t="s">
        <v>205</v>
      </c>
      <c r="BK47" s="158" t="s">
        <v>206</v>
      </c>
      <c r="BL47" s="158" t="s">
        <v>207</v>
      </c>
      <c r="BM47" s="158" t="s">
        <v>208</v>
      </c>
      <c r="BN47" s="162" t="s">
        <v>351</v>
      </c>
      <c r="BO47" s="158">
        <v>2</v>
      </c>
      <c r="BP47" s="162" t="s">
        <v>352</v>
      </c>
      <c r="BQ47" s="168">
        <v>18.134048011177203</v>
      </c>
      <c r="BR47" s="168" t="s">
        <v>211</v>
      </c>
      <c r="BS47" s="168">
        <v>0.12858279010372195</v>
      </c>
      <c r="BT47">
        <v>0.83299999999999996</v>
      </c>
      <c r="BU47" t="s">
        <v>168</v>
      </c>
      <c r="BV47" t="s">
        <v>168</v>
      </c>
      <c r="BW47">
        <v>2.69</v>
      </c>
      <c r="BX47" t="s">
        <v>168</v>
      </c>
      <c r="BY47" t="s">
        <v>168</v>
      </c>
      <c r="BZ47" s="163" t="s">
        <v>212</v>
      </c>
      <c r="CA47" t="s">
        <v>213</v>
      </c>
      <c r="CB47" s="168">
        <v>18.540273722901805</v>
      </c>
      <c r="CC47" s="160" t="s">
        <v>214</v>
      </c>
      <c r="CD47" s="164">
        <v>0.21829955060318626</v>
      </c>
      <c r="CE47" s="160" t="s">
        <v>215</v>
      </c>
      <c r="CF47" s="160" t="s">
        <v>216</v>
      </c>
      <c r="CG47" s="160">
        <v>0</v>
      </c>
      <c r="CH47" s="160" t="s">
        <v>217</v>
      </c>
      <c r="CI47" s="160" t="s">
        <v>168</v>
      </c>
      <c r="CJ47">
        <v>26.128776491112625</v>
      </c>
      <c r="CK47" s="158" t="s">
        <v>170</v>
      </c>
      <c r="CL47" s="158">
        <v>1</v>
      </c>
      <c r="CM47" s="158">
        <v>1</v>
      </c>
      <c r="CN47">
        <v>3.0856867870806406</v>
      </c>
      <c r="CO47">
        <v>3.0856867870806406</v>
      </c>
      <c r="CP47" s="165" t="s">
        <v>218</v>
      </c>
      <c r="CQ47" s="169">
        <v>0.05</v>
      </c>
      <c r="CR47" s="169">
        <v>0.05</v>
      </c>
      <c r="CS47" s="168" t="s">
        <v>219</v>
      </c>
      <c r="CT47" s="168" t="s">
        <v>220</v>
      </c>
      <c r="CU47" s="170" t="s">
        <v>221</v>
      </c>
      <c r="CV47" s="158" t="s">
        <v>222</v>
      </c>
      <c r="CW47" s="160" t="s">
        <v>168</v>
      </c>
      <c r="CX47" s="160" t="s">
        <v>168</v>
      </c>
      <c r="CY47" s="160" t="s">
        <v>168</v>
      </c>
      <c r="CZ47" s="160" t="s">
        <v>168</v>
      </c>
      <c r="DA47" s="160" t="s">
        <v>168</v>
      </c>
      <c r="DB47" s="160" t="s">
        <v>168</v>
      </c>
      <c r="DC47" s="160" t="s">
        <v>168</v>
      </c>
      <c r="DD47" s="160" t="s">
        <v>168</v>
      </c>
      <c r="DE47" s="160" t="s">
        <v>168</v>
      </c>
      <c r="DF47" s="160" t="s">
        <v>168</v>
      </c>
      <c r="DG47">
        <v>35</v>
      </c>
      <c r="DH47" t="s">
        <v>170</v>
      </c>
      <c r="DI47" s="160">
        <v>1.5</v>
      </c>
      <c r="DJ47" s="160" t="s">
        <v>168</v>
      </c>
      <c r="DK47" s="158" t="s">
        <v>223</v>
      </c>
      <c r="DL47" s="158" t="s">
        <v>168</v>
      </c>
      <c r="DM47" s="158" t="s">
        <v>168</v>
      </c>
      <c r="DN47" s="158" t="s">
        <v>168</v>
      </c>
      <c r="DO47" s="158" t="s">
        <v>223</v>
      </c>
      <c r="DP47" s="158" t="s">
        <v>168</v>
      </c>
      <c r="DQ47" s="158" t="s">
        <v>168</v>
      </c>
      <c r="DR47" s="158" t="s">
        <v>168</v>
      </c>
      <c r="DS47" s="158" t="s">
        <v>168</v>
      </c>
      <c r="DT47" s="158" t="s">
        <v>168</v>
      </c>
      <c r="DU47" s="158" t="s">
        <v>168</v>
      </c>
      <c r="DV47" s="158" t="s">
        <v>168</v>
      </c>
      <c r="DW47">
        <v>432.27424985348699</v>
      </c>
      <c r="DX47" s="163" t="s">
        <v>224</v>
      </c>
      <c r="DY47" s="158">
        <v>35.711838250085009</v>
      </c>
      <c r="DZ47" s="158" t="s">
        <v>225</v>
      </c>
      <c r="EA47">
        <v>39.799999999999997</v>
      </c>
      <c r="EB47" s="158" t="s">
        <v>226</v>
      </c>
      <c r="EC47">
        <v>0.31</v>
      </c>
      <c r="ED47" s="158" t="s">
        <v>227</v>
      </c>
      <c r="EE47" s="158" t="s">
        <v>228</v>
      </c>
      <c r="EF47" s="158" t="s">
        <v>353</v>
      </c>
      <c r="EG47">
        <v>1.0271999999999999</v>
      </c>
      <c r="EH47" s="158">
        <v>5.9999999999999995E-4</v>
      </c>
      <c r="EI47" s="160" t="s">
        <v>168</v>
      </c>
      <c r="EJ47" s="158" t="s">
        <v>169</v>
      </c>
      <c r="EK47" s="160" t="s">
        <v>168</v>
      </c>
      <c r="EL47" s="160" t="s">
        <v>168</v>
      </c>
      <c r="EM47" s="171" t="s">
        <v>230</v>
      </c>
      <c r="EN47" s="158" t="s">
        <v>231</v>
      </c>
      <c r="EO47" s="158" t="s">
        <v>231</v>
      </c>
      <c r="EP47" s="158" t="s">
        <v>231</v>
      </c>
      <c r="EQ47" s="158" t="s">
        <v>232</v>
      </c>
      <c r="ER47" s="160" t="s">
        <v>168</v>
      </c>
      <c r="ES47" s="160" t="s">
        <v>168</v>
      </c>
      <c r="ET47" s="160" t="s">
        <v>233</v>
      </c>
      <c r="EU47" s="158" t="s">
        <v>234</v>
      </c>
      <c r="EV47" s="158" t="s">
        <v>235</v>
      </c>
      <c r="EW47" s="146">
        <v>1891.3707464052288</v>
      </c>
      <c r="EX47" s="158" t="s">
        <v>236</v>
      </c>
      <c r="EY47" s="172">
        <f t="shared" si="0"/>
        <v>2391.3707464052286</v>
      </c>
      <c r="EZ47" s="168">
        <f t="shared" si="1"/>
        <v>1391.3707464052288</v>
      </c>
      <c r="FA47" s="160" t="s">
        <v>168</v>
      </c>
      <c r="FB47" s="160" t="s">
        <v>168</v>
      </c>
      <c r="FC47" s="160" t="s">
        <v>168</v>
      </c>
      <c r="FD47" s="160" t="s">
        <v>168</v>
      </c>
      <c r="FE47">
        <v>8.0657768371449805</v>
      </c>
      <c r="FF47" s="173" t="s">
        <v>171</v>
      </c>
      <c r="FG47">
        <v>3.4453550567659974E-2</v>
      </c>
      <c r="FH47">
        <v>3.6222782818470023E-2</v>
      </c>
      <c r="FI47" s="160">
        <f t="shared" si="2"/>
        <v>363.74859385517499</v>
      </c>
      <c r="FJ47" s="160">
        <v>30</v>
      </c>
      <c r="FK47" s="160" t="s">
        <v>168</v>
      </c>
      <c r="FL47">
        <v>333.74859385517499</v>
      </c>
      <c r="FM47">
        <v>101.656295808457</v>
      </c>
      <c r="FN47">
        <v>99.674925020108986</v>
      </c>
      <c r="FO47" s="158" t="s">
        <v>237</v>
      </c>
      <c r="FP47" s="158" t="s">
        <v>168</v>
      </c>
      <c r="FQ47" s="158" t="s">
        <v>172</v>
      </c>
      <c r="FR47" s="158" t="s">
        <v>172</v>
      </c>
      <c r="FS47" s="158" t="s">
        <v>172</v>
      </c>
      <c r="FT47" s="158" t="s">
        <v>172</v>
      </c>
      <c r="FU47" s="158" t="s">
        <v>172</v>
      </c>
      <c r="FV47" s="158" t="s">
        <v>172</v>
      </c>
      <c r="FW47" s="158" t="s">
        <v>172</v>
      </c>
      <c r="FX47" s="158" t="s">
        <v>172</v>
      </c>
      <c r="FY47" s="158" t="s">
        <v>172</v>
      </c>
      <c r="FZ47" s="158" t="s">
        <v>172</v>
      </c>
      <c r="GA47" s="158" t="s">
        <v>172</v>
      </c>
      <c r="GB47" s="158" t="s">
        <v>172</v>
      </c>
      <c r="GC47" s="158" t="s">
        <v>357</v>
      </c>
    </row>
    <row r="48" spans="1:185" ht="20" x14ac:dyDescent="0.25">
      <c r="A48" t="s">
        <v>190</v>
      </c>
      <c r="B48" s="140" t="s">
        <v>358</v>
      </c>
      <c r="C48" s="158" t="s">
        <v>173</v>
      </c>
      <c r="D48" s="158" t="s">
        <v>188</v>
      </c>
      <c r="E48" s="158">
        <v>2022</v>
      </c>
      <c r="F48" s="158" t="s">
        <v>189</v>
      </c>
      <c r="G48">
        <v>6930.8571428571404</v>
      </c>
      <c r="H48" s="176">
        <v>15</v>
      </c>
      <c r="I48" s="176">
        <v>15</v>
      </c>
      <c r="J48" s="158">
        <v>390.26733917418102</v>
      </c>
      <c r="K48">
        <v>190.28411037178097</v>
      </c>
      <c r="L48">
        <v>146.09956907889801</v>
      </c>
      <c r="M48" t="b">
        <v>1</v>
      </c>
      <c r="N48">
        <v>1</v>
      </c>
      <c r="O48" t="s">
        <v>191</v>
      </c>
      <c r="P48" t="s">
        <v>168</v>
      </c>
      <c r="Q48" t="s">
        <v>168</v>
      </c>
      <c r="R48" t="s">
        <v>168</v>
      </c>
      <c r="S48" t="b">
        <v>0</v>
      </c>
      <c r="T48" t="b">
        <v>0</v>
      </c>
      <c r="U48" t="s">
        <v>168</v>
      </c>
      <c r="V48" t="b">
        <v>0</v>
      </c>
      <c r="W48" t="b">
        <v>0</v>
      </c>
      <c r="X48" t="s">
        <v>359</v>
      </c>
      <c r="Y48" s="159" t="s">
        <v>192</v>
      </c>
      <c r="Z48" s="158" t="s">
        <v>193</v>
      </c>
      <c r="AA48" s="160" t="s">
        <v>194</v>
      </c>
      <c r="AB48" s="160" t="s">
        <v>195</v>
      </c>
      <c r="AC48" s="158">
        <v>19</v>
      </c>
      <c r="AD48" s="158">
        <v>3</v>
      </c>
      <c r="AE48" s="158">
        <v>31.5</v>
      </c>
      <c r="AF48" s="158">
        <v>33</v>
      </c>
      <c r="AG48" s="158">
        <v>171.315</v>
      </c>
      <c r="AH48" s="158">
        <v>192.32499999999999</v>
      </c>
      <c r="AI48" s="160" t="s">
        <v>196</v>
      </c>
      <c r="AJ48" s="158" t="s">
        <v>197</v>
      </c>
      <c r="AK48" s="166">
        <v>3.7212472000000001</v>
      </c>
      <c r="AL48" s="166">
        <v>-42.913286111111098</v>
      </c>
      <c r="AM48" s="160" t="s">
        <v>168</v>
      </c>
      <c r="AN48" s="160" t="s">
        <v>168</v>
      </c>
      <c r="AO48" s="158">
        <v>-3598</v>
      </c>
      <c r="AP48" s="160" t="s">
        <v>168</v>
      </c>
      <c r="AQ48" s="160" t="s">
        <v>168</v>
      </c>
      <c r="AR48" s="160" t="s">
        <v>168</v>
      </c>
      <c r="AS48" s="158">
        <v>6930.8571428571404</v>
      </c>
      <c r="AT48" s="160" t="s">
        <v>198</v>
      </c>
      <c r="AU48" s="160" t="s">
        <v>168</v>
      </c>
      <c r="AV48" s="160" t="s">
        <v>168</v>
      </c>
      <c r="AW48" s="160" t="s">
        <v>250</v>
      </c>
      <c r="AX48" s="158" t="s">
        <v>200</v>
      </c>
      <c r="AY48" s="158" t="s">
        <v>201</v>
      </c>
      <c r="AZ48" s="158" t="s">
        <v>168</v>
      </c>
      <c r="BA48" s="158" t="s">
        <v>168</v>
      </c>
      <c r="BB48" s="158" t="s">
        <v>168</v>
      </c>
      <c r="BC48" s="158" t="s">
        <v>168</v>
      </c>
      <c r="BD48" s="158" t="s">
        <v>168</v>
      </c>
      <c r="BE48" s="158" t="s">
        <v>168</v>
      </c>
      <c r="BF48" s="158" t="s">
        <v>168</v>
      </c>
      <c r="BG48" s="167" t="s">
        <v>202</v>
      </c>
      <c r="BH48" s="158" t="s">
        <v>203</v>
      </c>
      <c r="BI48" s="160" t="s">
        <v>204</v>
      </c>
      <c r="BJ48" s="160" t="s">
        <v>205</v>
      </c>
      <c r="BK48" s="158" t="s">
        <v>206</v>
      </c>
      <c r="BL48" s="158" t="s">
        <v>207</v>
      </c>
      <c r="BM48" s="158" t="s">
        <v>208</v>
      </c>
      <c r="BN48" s="162" t="s">
        <v>354</v>
      </c>
      <c r="BO48" s="160">
        <v>2</v>
      </c>
      <c r="BP48" s="162" t="s">
        <v>355</v>
      </c>
      <c r="BQ48" s="168">
        <v>17.672928467737048</v>
      </c>
      <c r="BR48" s="168" t="s">
        <v>211</v>
      </c>
      <c r="BS48" s="168">
        <v>0.77888649789455178</v>
      </c>
      <c r="BT48">
        <v>0.83299999999999996</v>
      </c>
      <c r="BU48" t="s">
        <v>168</v>
      </c>
      <c r="BV48" t="s">
        <v>168</v>
      </c>
      <c r="BW48">
        <v>2.69</v>
      </c>
      <c r="BX48" t="s">
        <v>168</v>
      </c>
      <c r="BY48" t="s">
        <v>168</v>
      </c>
      <c r="BZ48" s="163" t="s">
        <v>212</v>
      </c>
      <c r="CA48" t="s">
        <v>213</v>
      </c>
      <c r="CB48" s="168">
        <v>17.986708844822388</v>
      </c>
      <c r="CC48" s="160" t="s">
        <v>214</v>
      </c>
      <c r="CD48" s="164">
        <v>1.3223431559084711</v>
      </c>
      <c r="CE48" s="160" t="s">
        <v>215</v>
      </c>
      <c r="CF48" s="160" t="s">
        <v>216</v>
      </c>
      <c r="CG48" s="160">
        <v>0</v>
      </c>
      <c r="CH48" s="160" t="s">
        <v>217</v>
      </c>
      <c r="CI48" s="160" t="s">
        <v>168</v>
      </c>
      <c r="CJ48">
        <v>26.163717473717945</v>
      </c>
      <c r="CK48" s="158" t="s">
        <v>170</v>
      </c>
      <c r="CL48" s="158">
        <v>1</v>
      </c>
      <c r="CM48" s="158">
        <v>1</v>
      </c>
      <c r="CN48">
        <v>3.0900323084990355</v>
      </c>
      <c r="CO48">
        <v>3.0900323084990355</v>
      </c>
      <c r="CP48" s="165" t="s">
        <v>218</v>
      </c>
      <c r="CQ48" s="169">
        <v>0.05</v>
      </c>
      <c r="CR48" s="169">
        <v>0.05</v>
      </c>
      <c r="CS48" s="168" t="s">
        <v>219</v>
      </c>
      <c r="CT48" s="168" t="s">
        <v>220</v>
      </c>
      <c r="CU48" s="170" t="s">
        <v>221</v>
      </c>
      <c r="CV48" s="158" t="s">
        <v>222</v>
      </c>
      <c r="CW48" s="160" t="s">
        <v>168</v>
      </c>
      <c r="CX48" s="160" t="s">
        <v>168</v>
      </c>
      <c r="CY48" s="160" t="s">
        <v>168</v>
      </c>
      <c r="CZ48" s="160" t="s">
        <v>168</v>
      </c>
      <c r="DA48" s="160" t="s">
        <v>168</v>
      </c>
      <c r="DB48" s="160" t="s">
        <v>168</v>
      </c>
      <c r="DC48" s="160" t="s">
        <v>168</v>
      </c>
      <c r="DD48" s="160" t="s">
        <v>168</v>
      </c>
      <c r="DE48" s="160" t="s">
        <v>168</v>
      </c>
      <c r="DF48" s="160" t="s">
        <v>168</v>
      </c>
      <c r="DG48">
        <v>35</v>
      </c>
      <c r="DH48" t="s">
        <v>170</v>
      </c>
      <c r="DI48" s="160">
        <v>1.5</v>
      </c>
      <c r="DJ48" s="160" t="s">
        <v>168</v>
      </c>
      <c r="DK48" s="158" t="s">
        <v>223</v>
      </c>
      <c r="DL48" s="158" t="s">
        <v>168</v>
      </c>
      <c r="DM48" s="158" t="s">
        <v>168</v>
      </c>
      <c r="DN48" s="158" t="s">
        <v>168</v>
      </c>
      <c r="DO48" s="158" t="s">
        <v>223</v>
      </c>
      <c r="DP48" s="158" t="s">
        <v>168</v>
      </c>
      <c r="DQ48" s="158" t="s">
        <v>168</v>
      </c>
      <c r="DR48" s="158" t="s">
        <v>168</v>
      </c>
      <c r="DS48" s="158" t="s">
        <v>168</v>
      </c>
      <c r="DT48" s="158" t="s">
        <v>168</v>
      </c>
      <c r="DU48" s="158" t="s">
        <v>168</v>
      </c>
      <c r="DV48" s="158" t="s">
        <v>168</v>
      </c>
      <c r="DW48">
        <v>432.12059531301298</v>
      </c>
      <c r="DX48" s="163" t="s">
        <v>224</v>
      </c>
      <c r="DY48" s="158">
        <v>36.237543837735501</v>
      </c>
      <c r="DZ48" s="158" t="s">
        <v>225</v>
      </c>
      <c r="EA48">
        <v>39.799999999999997</v>
      </c>
      <c r="EB48" s="158" t="s">
        <v>226</v>
      </c>
      <c r="EC48">
        <v>0.31</v>
      </c>
      <c r="ED48" s="158" t="s">
        <v>227</v>
      </c>
      <c r="EE48" s="158" t="s">
        <v>228</v>
      </c>
      <c r="EF48" s="158" t="s">
        <v>356</v>
      </c>
      <c r="EG48">
        <v>1.0271999999999999</v>
      </c>
      <c r="EH48" s="158">
        <v>5.9999999999999995E-4</v>
      </c>
      <c r="EI48" s="160" t="s">
        <v>168</v>
      </c>
      <c r="EJ48" s="158" t="s">
        <v>169</v>
      </c>
      <c r="EK48" s="160" t="s">
        <v>168</v>
      </c>
      <c r="EL48" s="160" t="s">
        <v>168</v>
      </c>
      <c r="EM48" s="171" t="s">
        <v>230</v>
      </c>
      <c r="EN48" s="158" t="s">
        <v>231</v>
      </c>
      <c r="EO48" s="158" t="s">
        <v>231</v>
      </c>
      <c r="EP48" s="158" t="s">
        <v>231</v>
      </c>
      <c r="EQ48" s="158" t="s">
        <v>232</v>
      </c>
      <c r="ER48" s="160" t="s">
        <v>168</v>
      </c>
      <c r="ES48" s="160" t="s">
        <v>168</v>
      </c>
      <c r="ET48" s="160" t="s">
        <v>233</v>
      </c>
      <c r="EU48" s="158" t="s">
        <v>234</v>
      </c>
      <c r="EV48" s="158" t="s">
        <v>235</v>
      </c>
      <c r="EW48" s="146">
        <v>1888.4897714285714</v>
      </c>
      <c r="EX48" s="158" t="s">
        <v>236</v>
      </c>
      <c r="EY48" s="172">
        <f t="shared" si="0"/>
        <v>2388.4897714285717</v>
      </c>
      <c r="EZ48" s="168">
        <f t="shared" si="1"/>
        <v>1388.4897714285714</v>
      </c>
      <c r="FA48" s="160" t="s">
        <v>168</v>
      </c>
      <c r="FB48" s="160" t="s">
        <v>168</v>
      </c>
      <c r="FC48" s="160" t="s">
        <v>168</v>
      </c>
      <c r="FD48" s="160" t="s">
        <v>168</v>
      </c>
      <c r="FE48">
        <v>8.0125775314393195</v>
      </c>
      <c r="FF48" s="173" t="s">
        <v>171</v>
      </c>
      <c r="FG48">
        <v>0.11322700532222107</v>
      </c>
      <c r="FH48">
        <v>0.12625602044529938</v>
      </c>
      <c r="FI48" s="160">
        <f t="shared" si="2"/>
        <v>420.26733917418102</v>
      </c>
      <c r="FJ48" s="160">
        <v>30</v>
      </c>
      <c r="FK48" s="160" t="s">
        <v>168</v>
      </c>
      <c r="FL48">
        <v>390.26733917418102</v>
      </c>
      <c r="FM48">
        <v>190.28411037178097</v>
      </c>
      <c r="FN48">
        <v>146.09956907889801</v>
      </c>
      <c r="FO48" s="158" t="s">
        <v>237</v>
      </c>
      <c r="FP48" s="158" t="s">
        <v>168</v>
      </c>
      <c r="FQ48" s="158" t="s">
        <v>172</v>
      </c>
      <c r="FR48" s="158" t="s">
        <v>172</v>
      </c>
      <c r="FS48" s="158" t="s">
        <v>172</v>
      </c>
      <c r="FT48" s="158" t="s">
        <v>172</v>
      </c>
      <c r="FU48" s="158" t="s">
        <v>172</v>
      </c>
      <c r="FV48" s="158" t="s">
        <v>172</v>
      </c>
      <c r="FW48" s="158" t="s">
        <v>172</v>
      </c>
      <c r="FX48" s="158" t="s">
        <v>172</v>
      </c>
      <c r="FY48" s="158" t="s">
        <v>172</v>
      </c>
      <c r="FZ48" s="158" t="s">
        <v>172</v>
      </c>
      <c r="GA48" s="158" t="s">
        <v>172</v>
      </c>
      <c r="GB48" s="158" t="s">
        <v>172</v>
      </c>
      <c r="GC48" s="158" t="s">
        <v>357</v>
      </c>
    </row>
    <row r="49" spans="2:170" ht="16" x14ac:dyDescent="0.2">
      <c r="B49" s="140"/>
      <c r="G49" s="142"/>
      <c r="J49" s="146"/>
      <c r="K49" s="146"/>
      <c r="L49" s="146"/>
      <c r="Y49" s="136"/>
      <c r="Z49" s="140"/>
      <c r="AB49" s="147"/>
      <c r="AC49" s="147"/>
      <c r="AD49" s="147"/>
      <c r="AE49" s="147"/>
      <c r="AF49" s="147"/>
      <c r="AG49" s="147"/>
      <c r="AH49" s="147"/>
      <c r="AK49" s="141"/>
      <c r="AL49" s="141"/>
      <c r="AS49" s="142"/>
      <c r="BJ49" s="139"/>
      <c r="BO49" s="139"/>
      <c r="BQ49" s="143"/>
      <c r="BS49" s="143"/>
      <c r="CB49" s="143"/>
      <c r="CJ49" s="142"/>
      <c r="CO49" s="143"/>
      <c r="CQ49" s="143"/>
      <c r="CR49" s="143"/>
      <c r="CS49" s="139"/>
      <c r="DI49" s="139"/>
      <c r="DW49" s="142"/>
      <c r="EC49" s="143"/>
      <c r="EO49" s="144"/>
      <c r="EP49" s="144"/>
      <c r="EX49" s="144"/>
      <c r="EY49" s="144"/>
      <c r="FE49" s="145"/>
      <c r="FI49" s="146"/>
      <c r="FL49" s="146"/>
      <c r="FM49" s="146"/>
      <c r="FN49" s="146"/>
    </row>
    <row r="50" spans="2:170" ht="16" x14ac:dyDescent="0.2">
      <c r="B50" s="140"/>
      <c r="G50" s="142"/>
      <c r="J50" s="146"/>
      <c r="K50" s="146"/>
      <c r="L50" s="146"/>
      <c r="Y50" s="136"/>
      <c r="Z50" s="140"/>
      <c r="AB50" s="147"/>
      <c r="AC50" s="147"/>
      <c r="AD50" s="147"/>
      <c r="AE50" s="147"/>
      <c r="AF50" s="147"/>
      <c r="AG50" s="147"/>
      <c r="AH50" s="147"/>
      <c r="AK50" s="141"/>
      <c r="AL50" s="141"/>
      <c r="AS50" s="142"/>
      <c r="BJ50" s="139"/>
      <c r="BO50" s="139"/>
      <c r="BQ50" s="143"/>
      <c r="BS50" s="143"/>
      <c r="CB50" s="143"/>
      <c r="CJ50" s="142"/>
      <c r="CO50" s="143"/>
      <c r="CQ50" s="143"/>
      <c r="CR50" s="143"/>
      <c r="CS50" s="139"/>
      <c r="DI50" s="139"/>
      <c r="DW50" s="142"/>
      <c r="EC50" s="143"/>
      <c r="EO50" s="144"/>
      <c r="EP50" s="144"/>
      <c r="EX50" s="144"/>
      <c r="EY50" s="144"/>
      <c r="FE50" s="145"/>
      <c r="FI50" s="146"/>
      <c r="FL50" s="146"/>
      <c r="FM50" s="146"/>
      <c r="FN50" s="146"/>
    </row>
    <row r="51" spans="2:170" ht="16" x14ac:dyDescent="0.2">
      <c r="B51" s="140"/>
      <c r="G51" s="142"/>
      <c r="J51" s="146"/>
      <c r="K51" s="146"/>
      <c r="L51" s="146"/>
      <c r="Y51" s="136"/>
      <c r="Z51" s="140"/>
      <c r="AB51" s="147"/>
      <c r="AC51" s="147"/>
      <c r="AD51" s="147"/>
      <c r="AE51" s="147"/>
      <c r="AF51" s="147"/>
      <c r="AG51" s="147"/>
      <c r="AH51" s="147"/>
      <c r="AK51" s="141"/>
      <c r="AL51" s="141"/>
      <c r="AS51" s="142"/>
      <c r="BJ51" s="139"/>
      <c r="BO51" s="139"/>
      <c r="BQ51" s="143"/>
      <c r="BS51" s="143"/>
      <c r="CB51" s="143"/>
      <c r="CJ51" s="142"/>
      <c r="CO51" s="143"/>
      <c r="CQ51" s="143"/>
      <c r="CR51" s="143"/>
      <c r="CS51" s="139"/>
      <c r="DI51" s="139"/>
      <c r="DW51" s="142"/>
      <c r="EC51" s="143"/>
      <c r="EO51" s="144"/>
      <c r="EP51" s="144"/>
      <c r="EX51" s="144"/>
      <c r="EY51" s="144"/>
      <c r="FE51" s="145"/>
      <c r="FI51" s="146"/>
      <c r="FL51" s="146"/>
      <c r="FM51" s="146"/>
      <c r="FN51" s="146"/>
    </row>
    <row r="52" spans="2:170" ht="16" x14ac:dyDescent="0.2">
      <c r="B52" s="140"/>
      <c r="G52" s="142"/>
      <c r="J52" s="146"/>
      <c r="K52" s="146"/>
      <c r="L52" s="146"/>
      <c r="Y52" s="136"/>
      <c r="Z52" s="140"/>
      <c r="AB52" s="148"/>
      <c r="AC52" s="148"/>
      <c r="AD52" s="149"/>
      <c r="AE52" s="148"/>
      <c r="AF52" s="148"/>
      <c r="AG52" s="148"/>
      <c r="AH52" s="148"/>
      <c r="AK52" s="141"/>
      <c r="AL52" s="141"/>
      <c r="AS52" s="142"/>
      <c r="BJ52" s="139"/>
      <c r="BO52" s="139"/>
      <c r="BQ52" s="143"/>
      <c r="BS52" s="143"/>
      <c r="CB52" s="143"/>
      <c r="CJ52" s="142"/>
      <c r="CO52" s="143"/>
      <c r="CQ52" s="143"/>
      <c r="CR52" s="143"/>
      <c r="CS52" s="139"/>
      <c r="DI52" s="139"/>
      <c r="DW52" s="142"/>
      <c r="EC52" s="143"/>
      <c r="EO52" s="144"/>
      <c r="EP52" s="144"/>
      <c r="EX52" s="144"/>
      <c r="EY52" s="144"/>
      <c r="FE52" s="145"/>
      <c r="FI52" s="146"/>
      <c r="FL52" s="146"/>
      <c r="FM52" s="146"/>
      <c r="FN52" s="146"/>
    </row>
    <row r="53" spans="2:170" ht="16" x14ac:dyDescent="0.2">
      <c r="B53" s="140"/>
      <c r="G53" s="142"/>
      <c r="J53" s="146"/>
      <c r="K53" s="146"/>
      <c r="L53" s="146"/>
      <c r="Y53" s="136"/>
      <c r="Z53" s="140"/>
      <c r="AB53" s="148"/>
      <c r="AC53" s="148"/>
      <c r="AD53" s="148"/>
      <c r="AE53" s="148"/>
      <c r="AF53" s="148"/>
      <c r="AG53" s="148"/>
      <c r="AH53" s="148"/>
      <c r="AK53" s="141"/>
      <c r="AL53" s="141"/>
      <c r="AS53" s="142"/>
      <c r="BJ53" s="139"/>
      <c r="BO53" s="139"/>
      <c r="BQ53" s="143"/>
      <c r="BS53" s="143"/>
      <c r="CB53" s="143"/>
      <c r="CJ53" s="142"/>
      <c r="CO53" s="143"/>
      <c r="CQ53" s="143"/>
      <c r="CR53" s="143"/>
      <c r="CS53" s="139"/>
      <c r="DI53" s="139"/>
      <c r="DW53" s="142"/>
      <c r="EC53" s="143"/>
      <c r="EO53" s="144"/>
      <c r="EP53" s="144"/>
      <c r="EX53" s="144"/>
      <c r="EY53" s="144"/>
      <c r="FE53" s="145"/>
      <c r="FI53" s="146"/>
      <c r="FL53" s="146"/>
      <c r="FM53" s="146"/>
      <c r="FN53" s="146"/>
    </row>
    <row r="54" spans="2:170" ht="16" x14ac:dyDescent="0.2">
      <c r="B54" s="140"/>
      <c r="G54" s="142"/>
      <c r="J54" s="146"/>
      <c r="K54" s="146"/>
      <c r="L54" s="146"/>
      <c r="Y54" s="136"/>
      <c r="Z54" s="140"/>
      <c r="AB54" s="147"/>
      <c r="AC54" s="147"/>
      <c r="AD54" s="147"/>
      <c r="AE54" s="147"/>
      <c r="AF54" s="147"/>
      <c r="AG54" s="147"/>
      <c r="AH54" s="147"/>
      <c r="AK54" s="141"/>
      <c r="AL54" s="141"/>
      <c r="AS54" s="142"/>
      <c r="BJ54" s="139"/>
      <c r="BO54" s="139"/>
      <c r="BQ54" s="143"/>
      <c r="BS54" s="143"/>
      <c r="CB54" s="143"/>
      <c r="CJ54" s="142"/>
      <c r="CO54" s="143"/>
      <c r="CQ54" s="143"/>
      <c r="CR54" s="143"/>
      <c r="CS54" s="139"/>
      <c r="DI54" s="139"/>
      <c r="DW54" s="142"/>
      <c r="EC54" s="143"/>
      <c r="EO54" s="144"/>
      <c r="EP54" s="144"/>
      <c r="EX54" s="144"/>
      <c r="EY54" s="144"/>
      <c r="FE54" s="145"/>
      <c r="FI54" s="146"/>
      <c r="FL54" s="146"/>
      <c r="FM54" s="146"/>
      <c r="FN54" s="146"/>
    </row>
    <row r="55" spans="2:170" ht="16" x14ac:dyDescent="0.2">
      <c r="B55" s="140"/>
      <c r="G55" s="142"/>
      <c r="J55" s="146"/>
      <c r="K55" s="146"/>
      <c r="L55" s="146"/>
      <c r="Y55" s="136"/>
      <c r="Z55" s="140"/>
      <c r="AB55" s="147"/>
      <c r="AC55" s="147"/>
      <c r="AD55" s="147"/>
      <c r="AE55" s="147"/>
      <c r="AF55" s="147"/>
      <c r="AG55" s="147"/>
      <c r="AH55" s="147"/>
      <c r="AK55" s="141"/>
      <c r="AL55" s="141"/>
      <c r="AS55" s="142"/>
      <c r="BJ55" s="139"/>
      <c r="BO55" s="139"/>
      <c r="BQ55" s="143"/>
      <c r="BS55" s="143"/>
      <c r="CB55" s="143"/>
      <c r="CJ55" s="142"/>
      <c r="CO55" s="143"/>
      <c r="CQ55" s="143"/>
      <c r="CR55" s="143"/>
      <c r="CS55" s="139"/>
      <c r="DI55" s="139"/>
      <c r="DW55" s="142"/>
      <c r="EC55" s="143"/>
      <c r="EO55" s="144"/>
      <c r="EP55" s="144"/>
      <c r="EX55" s="144"/>
      <c r="EY55" s="144"/>
      <c r="FE55" s="145"/>
      <c r="FI55" s="146"/>
      <c r="FL55" s="146"/>
      <c r="FM55" s="146"/>
      <c r="FN55" s="146"/>
    </row>
    <row r="56" spans="2:170" ht="16" x14ac:dyDescent="0.2">
      <c r="B56" s="140"/>
      <c r="G56" s="142"/>
      <c r="J56" s="146"/>
      <c r="K56" s="146"/>
      <c r="L56" s="146"/>
      <c r="Y56" s="136"/>
      <c r="Z56" s="140"/>
      <c r="AB56" s="147"/>
      <c r="AC56" s="147"/>
      <c r="AD56" s="147"/>
      <c r="AE56" s="147"/>
      <c r="AF56" s="147"/>
      <c r="AG56" s="147"/>
      <c r="AH56" s="147"/>
      <c r="AK56" s="141"/>
      <c r="AL56" s="141"/>
      <c r="AS56" s="142"/>
      <c r="BJ56" s="139"/>
      <c r="BO56" s="139"/>
      <c r="BQ56" s="143"/>
      <c r="BS56" s="143"/>
      <c r="CB56" s="143"/>
      <c r="CJ56" s="142"/>
      <c r="CO56" s="143"/>
      <c r="CQ56" s="143"/>
      <c r="CR56" s="143"/>
      <c r="CS56" s="139"/>
      <c r="DI56" s="139"/>
      <c r="DW56" s="142"/>
      <c r="EC56" s="143"/>
      <c r="EO56" s="144"/>
      <c r="EP56" s="144"/>
      <c r="EX56" s="144"/>
      <c r="EY56" s="144"/>
      <c r="FE56" s="145"/>
      <c r="FI56" s="146"/>
      <c r="FL56" s="146"/>
      <c r="FM56" s="146"/>
      <c r="FN56" s="146"/>
    </row>
    <row r="57" spans="2:170" ht="16" x14ac:dyDescent="0.2">
      <c r="B57" s="140"/>
      <c r="G57" s="142"/>
      <c r="J57" s="146"/>
      <c r="K57" s="146"/>
      <c r="L57" s="146"/>
      <c r="Y57" s="136"/>
      <c r="Z57" s="140"/>
      <c r="AB57" s="147"/>
      <c r="AC57" s="147"/>
      <c r="AD57" s="147"/>
      <c r="AE57" s="147"/>
      <c r="AF57" s="147"/>
      <c r="AG57" s="147"/>
      <c r="AH57" s="147"/>
      <c r="AK57" s="141"/>
      <c r="AL57" s="141"/>
      <c r="AS57" s="142"/>
      <c r="BJ57" s="139"/>
      <c r="BO57" s="139"/>
      <c r="BQ57" s="143"/>
      <c r="BS57" s="143"/>
      <c r="CB57" s="143"/>
      <c r="CJ57" s="142"/>
      <c r="CO57" s="143"/>
      <c r="CQ57" s="143"/>
      <c r="CR57" s="143"/>
      <c r="CS57" s="139"/>
      <c r="DI57" s="139"/>
      <c r="DW57" s="142"/>
      <c r="EC57" s="143"/>
      <c r="EO57" s="144"/>
      <c r="EP57" s="144"/>
      <c r="EX57" s="144"/>
      <c r="EY57" s="144"/>
      <c r="FE57" s="145"/>
      <c r="FI57" s="146"/>
      <c r="FL57" s="146"/>
      <c r="FM57" s="146"/>
      <c r="FN57" s="146"/>
    </row>
    <row r="58" spans="2:170" ht="16" x14ac:dyDescent="0.2">
      <c r="B58" s="140"/>
      <c r="G58" s="142"/>
      <c r="J58" s="146"/>
      <c r="K58" s="146"/>
      <c r="L58" s="146"/>
      <c r="Y58" s="136"/>
      <c r="Z58" s="140"/>
      <c r="AB58" s="147"/>
      <c r="AC58" s="147"/>
      <c r="AD58" s="147"/>
      <c r="AE58" s="147"/>
      <c r="AF58" s="147"/>
      <c r="AG58" s="147"/>
      <c r="AH58" s="147"/>
      <c r="AK58" s="141"/>
      <c r="AL58" s="141"/>
      <c r="AS58" s="142"/>
      <c r="BJ58" s="139"/>
      <c r="BO58" s="139"/>
      <c r="BQ58" s="143"/>
      <c r="BS58" s="143"/>
      <c r="CB58" s="143"/>
      <c r="CJ58" s="142"/>
      <c r="CO58" s="143"/>
      <c r="CQ58" s="143"/>
      <c r="CR58" s="143"/>
      <c r="CS58" s="139"/>
      <c r="DI58" s="139"/>
      <c r="DW58" s="142"/>
      <c r="EC58" s="143"/>
      <c r="EO58" s="144"/>
      <c r="EP58" s="144"/>
      <c r="EX58" s="144"/>
      <c r="EY58" s="144"/>
      <c r="FE58" s="145"/>
      <c r="FI58" s="146"/>
      <c r="FL58" s="146"/>
      <c r="FM58" s="146"/>
      <c r="FN58" s="146"/>
    </row>
    <row r="59" spans="2:170" ht="16" x14ac:dyDescent="0.2">
      <c r="B59" s="140"/>
      <c r="G59" s="142"/>
      <c r="J59" s="146"/>
      <c r="K59" s="146"/>
      <c r="L59" s="146"/>
      <c r="Y59" s="136"/>
      <c r="Z59" s="140"/>
      <c r="AB59" s="148"/>
      <c r="AC59" s="148"/>
      <c r="AD59" s="148"/>
      <c r="AE59" s="148"/>
      <c r="AF59" s="148"/>
      <c r="AG59" s="148"/>
      <c r="AH59" s="148"/>
      <c r="AK59" s="141"/>
      <c r="AL59" s="141"/>
      <c r="AS59" s="142"/>
      <c r="BJ59" s="139"/>
      <c r="BO59" s="139"/>
      <c r="BQ59" s="143"/>
      <c r="BS59" s="143"/>
      <c r="CB59" s="143"/>
      <c r="CJ59" s="142"/>
      <c r="CO59" s="143"/>
      <c r="CQ59" s="143"/>
      <c r="CR59" s="143"/>
      <c r="CS59" s="139"/>
      <c r="DI59" s="139"/>
      <c r="DW59" s="142"/>
      <c r="EC59" s="143"/>
      <c r="EO59" s="144"/>
      <c r="EP59" s="144"/>
      <c r="EX59" s="144"/>
      <c r="EY59" s="144"/>
      <c r="FE59" s="145"/>
      <c r="FI59" s="146"/>
      <c r="FL59" s="146"/>
      <c r="FM59" s="146"/>
      <c r="FN59" s="146"/>
    </row>
    <row r="60" spans="2:170" ht="16" x14ac:dyDescent="0.2">
      <c r="B60" s="140"/>
      <c r="G60" s="142"/>
      <c r="J60" s="146"/>
      <c r="K60" s="146"/>
      <c r="L60" s="146"/>
      <c r="Y60" s="136"/>
      <c r="Z60" s="140"/>
      <c r="AB60" s="147"/>
      <c r="AC60" s="147"/>
      <c r="AD60" s="147"/>
      <c r="AE60" s="147"/>
      <c r="AF60" s="147"/>
      <c r="AG60" s="147"/>
      <c r="AH60" s="147"/>
      <c r="AK60" s="141"/>
      <c r="AL60" s="141"/>
      <c r="AS60" s="142"/>
      <c r="BJ60" s="139"/>
      <c r="BO60" s="139"/>
      <c r="BQ60" s="143"/>
      <c r="BS60" s="143"/>
      <c r="CB60" s="143"/>
      <c r="CJ60" s="142"/>
      <c r="CO60" s="143"/>
      <c r="CQ60" s="143"/>
      <c r="CR60" s="143"/>
      <c r="CS60" s="139"/>
      <c r="DI60" s="139"/>
      <c r="DW60" s="142"/>
      <c r="EC60" s="143"/>
      <c r="EO60" s="144"/>
      <c r="EP60" s="144"/>
      <c r="EX60" s="144"/>
      <c r="EY60" s="144"/>
      <c r="FE60" s="145"/>
      <c r="FI60" s="146"/>
      <c r="FL60" s="146"/>
      <c r="FM60" s="146"/>
      <c r="FN60" s="146"/>
    </row>
    <row r="61" spans="2:170" ht="16" x14ac:dyDescent="0.2">
      <c r="B61" s="140"/>
      <c r="G61" s="142"/>
      <c r="J61" s="146"/>
      <c r="K61" s="146"/>
      <c r="L61" s="146"/>
      <c r="Y61" s="136"/>
      <c r="Z61" s="140"/>
      <c r="AB61" s="147"/>
      <c r="AC61" s="147"/>
      <c r="AD61" s="147"/>
      <c r="AE61" s="147"/>
      <c r="AF61" s="147"/>
      <c r="AG61" s="147"/>
      <c r="AH61" s="147"/>
      <c r="AK61" s="141"/>
      <c r="AL61" s="141"/>
      <c r="AS61" s="142"/>
      <c r="BJ61" s="139"/>
      <c r="BO61" s="139"/>
      <c r="BQ61" s="143"/>
      <c r="BS61" s="143"/>
      <c r="CB61" s="143"/>
      <c r="CJ61" s="142"/>
      <c r="CO61" s="143"/>
      <c r="CQ61" s="143"/>
      <c r="CR61" s="143"/>
      <c r="CS61" s="139"/>
      <c r="DI61" s="139"/>
      <c r="DW61" s="142"/>
      <c r="EC61" s="143"/>
      <c r="EO61" s="144"/>
      <c r="EP61" s="144"/>
      <c r="EX61" s="144"/>
      <c r="EY61" s="144"/>
      <c r="FE61" s="145"/>
      <c r="FI61" s="146"/>
      <c r="FL61" s="146"/>
      <c r="FM61" s="146"/>
      <c r="FN61" s="146"/>
    </row>
    <row r="62" spans="2:170" ht="16" x14ac:dyDescent="0.2">
      <c r="B62" s="140"/>
      <c r="G62" s="142"/>
      <c r="J62" s="146"/>
      <c r="K62" s="146"/>
      <c r="L62" s="146"/>
      <c r="Y62" s="136"/>
      <c r="Z62" s="140"/>
      <c r="AB62" s="147"/>
      <c r="AC62" s="147"/>
      <c r="AD62" s="147"/>
      <c r="AE62" s="147"/>
      <c r="AF62" s="147"/>
      <c r="AG62" s="147"/>
      <c r="AH62" s="147"/>
      <c r="AK62" s="141"/>
      <c r="AL62" s="141"/>
      <c r="AS62" s="142"/>
      <c r="BJ62" s="139"/>
      <c r="BO62" s="139"/>
      <c r="BQ62" s="143"/>
      <c r="BS62" s="143"/>
      <c r="CB62" s="143"/>
      <c r="CJ62" s="142"/>
      <c r="CO62" s="143"/>
      <c r="CQ62" s="143"/>
      <c r="CR62" s="143"/>
      <c r="CS62" s="139"/>
      <c r="DI62" s="139"/>
      <c r="DW62" s="142"/>
      <c r="EC62" s="143"/>
      <c r="EO62" s="144"/>
      <c r="EP62" s="144"/>
      <c r="EX62" s="144"/>
      <c r="EY62" s="144"/>
      <c r="FE62" s="145"/>
      <c r="FI62" s="146"/>
      <c r="FL62" s="146"/>
      <c r="FM62" s="146"/>
      <c r="FN62" s="146"/>
    </row>
    <row r="63" spans="2:170" ht="16" x14ac:dyDescent="0.2">
      <c r="B63" s="140"/>
      <c r="G63" s="142"/>
      <c r="J63" s="146"/>
      <c r="K63" s="146"/>
      <c r="L63" s="146"/>
      <c r="Y63" s="136"/>
      <c r="Z63" s="140"/>
      <c r="AB63" s="150"/>
      <c r="AC63" s="150"/>
      <c r="AD63" s="150"/>
      <c r="AE63" s="151"/>
      <c r="AF63" s="151"/>
      <c r="AG63" s="152"/>
      <c r="AH63" s="152"/>
      <c r="AK63" s="141"/>
      <c r="AL63" s="141"/>
      <c r="BJ63" s="139"/>
      <c r="BO63" s="139"/>
      <c r="BQ63" s="143"/>
      <c r="BS63" s="143"/>
      <c r="CB63" s="143"/>
      <c r="CJ63" s="142"/>
      <c r="CO63" s="143"/>
      <c r="CQ63" s="143"/>
      <c r="CR63" s="143"/>
      <c r="CS63" s="139"/>
      <c r="DI63" s="139"/>
      <c r="DW63" s="142"/>
      <c r="EC63" s="143"/>
      <c r="EO63" s="144"/>
      <c r="EP63" s="144"/>
      <c r="EX63" s="144"/>
      <c r="EY63" s="144"/>
      <c r="FE63" s="145"/>
      <c r="FI63" s="146"/>
      <c r="FL63" s="153"/>
      <c r="FM63" s="154"/>
      <c r="FN63" s="154"/>
    </row>
    <row r="64" spans="2:170" ht="16" x14ac:dyDescent="0.2">
      <c r="B64" s="140"/>
      <c r="G64" s="142"/>
      <c r="J64" s="146"/>
      <c r="K64" s="146"/>
      <c r="L64" s="146"/>
      <c r="Y64" s="136"/>
      <c r="Z64" s="140"/>
      <c r="AB64" s="150"/>
      <c r="AC64" s="150"/>
      <c r="AD64" s="150"/>
      <c r="AE64" s="151"/>
      <c r="AF64" s="151"/>
      <c r="AG64" s="152"/>
      <c r="AH64" s="152"/>
      <c r="AK64" s="141"/>
      <c r="AL64" s="141"/>
      <c r="BJ64" s="139"/>
      <c r="BO64" s="139"/>
      <c r="BQ64" s="143"/>
      <c r="BS64" s="143"/>
      <c r="CB64" s="143"/>
      <c r="CJ64" s="142"/>
      <c r="CO64" s="143"/>
      <c r="CQ64" s="143"/>
      <c r="CR64" s="143"/>
      <c r="CS64" s="139"/>
      <c r="DI64" s="139"/>
      <c r="DW64" s="142"/>
      <c r="EC64" s="143"/>
      <c r="EO64" s="144"/>
      <c r="EP64" s="144"/>
      <c r="EX64" s="144"/>
      <c r="EY64" s="144"/>
      <c r="FE64" s="145"/>
      <c r="FI64" s="146"/>
      <c r="FL64" s="153"/>
      <c r="FM64" s="154"/>
      <c r="FN64" s="154"/>
    </row>
    <row r="65" spans="2:170" ht="16" x14ac:dyDescent="0.2">
      <c r="B65" s="140"/>
      <c r="G65" s="142"/>
      <c r="J65" s="146"/>
      <c r="K65" s="146"/>
      <c r="L65" s="146"/>
      <c r="Y65" s="136"/>
      <c r="Z65" s="140"/>
      <c r="AB65" s="150"/>
      <c r="AC65" s="150"/>
      <c r="AD65" s="150"/>
      <c r="AE65" s="151"/>
      <c r="AF65" s="151"/>
      <c r="AG65" s="152"/>
      <c r="AH65" s="152"/>
      <c r="AK65" s="141"/>
      <c r="AL65" s="141"/>
      <c r="BJ65" s="139"/>
      <c r="BO65" s="139"/>
      <c r="BQ65" s="143"/>
      <c r="BS65" s="143"/>
      <c r="CB65" s="143"/>
      <c r="CJ65" s="142"/>
      <c r="CO65" s="143"/>
      <c r="CQ65" s="143"/>
      <c r="CR65" s="143"/>
      <c r="CS65" s="139"/>
      <c r="DI65" s="139"/>
      <c r="DW65" s="142"/>
      <c r="EC65" s="143"/>
      <c r="EO65" s="144"/>
      <c r="EP65" s="144"/>
      <c r="EX65" s="144"/>
      <c r="EY65" s="144"/>
      <c r="FE65" s="145"/>
      <c r="FI65" s="146"/>
      <c r="FL65" s="153"/>
      <c r="FM65" s="154"/>
      <c r="FN65" s="154"/>
    </row>
    <row r="66" spans="2:170" ht="16" x14ac:dyDescent="0.2">
      <c r="B66" s="140"/>
      <c r="G66" s="142"/>
      <c r="J66" s="146"/>
      <c r="K66" s="146"/>
      <c r="L66" s="146"/>
      <c r="Y66" s="136"/>
      <c r="Z66" s="140"/>
      <c r="AB66" s="150"/>
      <c r="AC66" s="150"/>
      <c r="AD66" s="150"/>
      <c r="AE66" s="151"/>
      <c r="AF66" s="151"/>
      <c r="AG66" s="152"/>
      <c r="AH66" s="152"/>
      <c r="AK66" s="141"/>
      <c r="AL66" s="141"/>
      <c r="BJ66" s="139"/>
      <c r="BO66" s="139"/>
      <c r="BQ66" s="143"/>
      <c r="BS66" s="143"/>
      <c r="CB66" s="143"/>
      <c r="CJ66" s="142"/>
      <c r="CO66" s="143"/>
      <c r="CQ66" s="143"/>
      <c r="CR66" s="143"/>
      <c r="CS66" s="139"/>
      <c r="DI66" s="139"/>
      <c r="DW66" s="142"/>
      <c r="EC66" s="143"/>
      <c r="EO66" s="144"/>
      <c r="EP66" s="144"/>
      <c r="EX66" s="144"/>
      <c r="EY66" s="144"/>
      <c r="FE66" s="145"/>
      <c r="FI66" s="146"/>
      <c r="FL66" s="153"/>
      <c r="FM66" s="154"/>
      <c r="FN66" s="154"/>
    </row>
    <row r="67" spans="2:170" ht="16" x14ac:dyDescent="0.2">
      <c r="B67" s="140"/>
      <c r="G67" s="142"/>
      <c r="J67" s="146"/>
      <c r="K67" s="146"/>
      <c r="L67" s="146"/>
      <c r="Y67" s="136"/>
      <c r="Z67" s="140"/>
      <c r="AB67" s="150"/>
      <c r="AC67" s="150"/>
      <c r="AD67" s="150"/>
      <c r="AE67" s="151"/>
      <c r="AF67" s="151"/>
      <c r="AG67" s="152"/>
      <c r="AH67" s="152"/>
      <c r="AK67" s="141"/>
      <c r="AL67" s="141"/>
      <c r="BJ67" s="139"/>
      <c r="BO67" s="139"/>
      <c r="BQ67" s="143"/>
      <c r="BS67" s="143"/>
      <c r="CB67" s="143"/>
      <c r="CJ67" s="142"/>
      <c r="CO67" s="143"/>
      <c r="CQ67" s="143"/>
      <c r="CR67" s="143"/>
      <c r="CS67" s="139"/>
      <c r="DI67" s="139"/>
      <c r="DW67" s="142"/>
      <c r="EC67" s="143"/>
      <c r="EO67" s="144"/>
      <c r="EP67" s="144"/>
      <c r="EX67" s="144"/>
      <c r="EY67" s="144"/>
      <c r="FE67" s="145"/>
      <c r="FI67" s="146"/>
      <c r="FL67" s="153"/>
      <c r="FM67" s="154"/>
      <c r="FN67" s="154"/>
    </row>
    <row r="68" spans="2:170" ht="16" x14ac:dyDescent="0.2">
      <c r="B68" s="140"/>
      <c r="G68" s="142"/>
      <c r="J68" s="146"/>
      <c r="K68" s="146"/>
      <c r="L68" s="146"/>
      <c r="Y68" s="136"/>
      <c r="Z68" s="140"/>
      <c r="AB68" s="155"/>
      <c r="AC68" s="155"/>
      <c r="AD68" s="155"/>
      <c r="AE68" s="156"/>
      <c r="AF68" s="156"/>
      <c r="AG68" s="157"/>
      <c r="AH68" s="157"/>
      <c r="AK68" s="141"/>
      <c r="AL68" s="141"/>
      <c r="BJ68" s="139"/>
      <c r="BO68" s="139"/>
      <c r="BQ68" s="143"/>
      <c r="BS68" s="143"/>
      <c r="CB68" s="143"/>
      <c r="CJ68" s="142"/>
      <c r="CO68" s="143"/>
      <c r="CQ68" s="143"/>
      <c r="CR68" s="143"/>
      <c r="CS68" s="139"/>
      <c r="DI68" s="139"/>
      <c r="DW68" s="142"/>
      <c r="EC68" s="143"/>
      <c r="EO68" s="144"/>
      <c r="EP68" s="144"/>
      <c r="EX68" s="144"/>
      <c r="EY68" s="144"/>
      <c r="FE68" s="145"/>
      <c r="FI68" s="146"/>
      <c r="FL68" s="153"/>
      <c r="FM68" s="154"/>
      <c r="FN68" s="154"/>
    </row>
    <row r="69" spans="2:170" ht="16" x14ac:dyDescent="0.2">
      <c r="B69" s="140"/>
      <c r="G69" s="142"/>
      <c r="J69" s="146"/>
      <c r="K69" s="146"/>
      <c r="L69" s="146"/>
      <c r="Y69" s="136"/>
      <c r="Z69" s="140"/>
      <c r="AB69" s="150"/>
      <c r="AC69" s="150"/>
      <c r="AD69" s="150"/>
      <c r="AE69" s="151"/>
      <c r="AF69" s="151"/>
      <c r="AG69" s="152"/>
      <c r="AH69" s="152"/>
      <c r="AK69" s="141"/>
      <c r="AL69" s="141"/>
      <c r="BJ69" s="139"/>
      <c r="BO69" s="139"/>
      <c r="BQ69" s="143"/>
      <c r="BS69" s="143"/>
      <c r="CB69" s="143"/>
      <c r="CJ69" s="142"/>
      <c r="CO69" s="143"/>
      <c r="CQ69" s="143"/>
      <c r="CR69" s="143"/>
      <c r="CS69" s="139"/>
      <c r="DI69" s="139"/>
      <c r="DW69" s="142"/>
      <c r="EC69" s="143"/>
      <c r="EO69" s="144"/>
      <c r="EP69" s="144"/>
      <c r="EX69" s="144"/>
      <c r="EY69" s="144"/>
      <c r="FE69" s="145"/>
      <c r="FI69" s="146"/>
      <c r="FL69" s="153"/>
      <c r="FM69" s="154"/>
      <c r="FN69" s="154"/>
    </row>
    <row r="70" spans="2:170" ht="16" x14ac:dyDescent="0.2">
      <c r="B70" s="140"/>
      <c r="G70" s="142"/>
      <c r="J70" s="146"/>
      <c r="K70" s="146"/>
      <c r="L70" s="146"/>
      <c r="Y70" s="136"/>
      <c r="Z70" s="140"/>
      <c r="AB70" s="150"/>
      <c r="AC70" s="150"/>
      <c r="AD70" s="150"/>
      <c r="AE70" s="151"/>
      <c r="AF70" s="151"/>
      <c r="AG70" s="152"/>
      <c r="AH70" s="152"/>
      <c r="AK70" s="141"/>
      <c r="AL70" s="141"/>
      <c r="BJ70" s="139"/>
      <c r="BO70" s="139"/>
      <c r="BQ70" s="143"/>
      <c r="BS70" s="143"/>
      <c r="CB70" s="143"/>
      <c r="CJ70" s="142"/>
      <c r="CO70" s="143"/>
      <c r="CQ70" s="143"/>
      <c r="CR70" s="143"/>
      <c r="CS70" s="139"/>
      <c r="DI70" s="139"/>
      <c r="DW70" s="142"/>
      <c r="EC70" s="143"/>
      <c r="EO70" s="144"/>
      <c r="EP70" s="144"/>
      <c r="EX70" s="144"/>
      <c r="EY70" s="144"/>
      <c r="FE70" s="145"/>
      <c r="FI70" s="146"/>
      <c r="FL70" s="153"/>
      <c r="FM70" s="154"/>
      <c r="FN70" s="154"/>
    </row>
    <row r="71" spans="2:170" ht="16" x14ac:dyDescent="0.2">
      <c r="B71" s="140"/>
      <c r="G71" s="142"/>
      <c r="J71" s="146"/>
      <c r="K71" s="146"/>
      <c r="L71" s="146"/>
      <c r="Y71" s="136"/>
      <c r="Z71" s="140"/>
      <c r="AB71" s="150"/>
      <c r="AC71" s="150"/>
      <c r="AD71" s="150"/>
      <c r="AE71" s="151"/>
      <c r="AF71" s="151"/>
      <c r="AG71" s="152"/>
      <c r="AH71" s="152"/>
      <c r="AK71" s="141"/>
      <c r="AL71" s="141"/>
      <c r="BJ71" s="139"/>
      <c r="BO71" s="139"/>
      <c r="BQ71" s="143"/>
      <c r="BS71" s="143"/>
      <c r="CB71" s="143"/>
      <c r="CJ71" s="142"/>
      <c r="CO71" s="143"/>
      <c r="CQ71" s="143"/>
      <c r="CR71" s="143"/>
      <c r="CS71" s="139"/>
      <c r="DI71" s="139"/>
      <c r="DW71" s="142"/>
      <c r="EC71" s="143"/>
      <c r="EO71" s="144"/>
      <c r="EP71" s="144"/>
      <c r="EX71" s="144"/>
      <c r="EY71" s="144"/>
      <c r="FE71" s="145"/>
      <c r="FI71" s="146"/>
      <c r="FL71" s="153"/>
      <c r="FM71" s="154"/>
      <c r="FN71" s="154"/>
    </row>
    <row r="72" spans="2:170" ht="16" x14ac:dyDescent="0.2">
      <c r="B72" s="140"/>
      <c r="G72" s="142"/>
      <c r="J72" s="146"/>
      <c r="K72" s="146"/>
      <c r="L72" s="146"/>
      <c r="Y72" s="136"/>
      <c r="Z72" s="140"/>
      <c r="AB72" s="150"/>
      <c r="AC72" s="150"/>
      <c r="AD72" s="150"/>
      <c r="AE72" s="151"/>
      <c r="AF72" s="151"/>
      <c r="AG72" s="152"/>
      <c r="AH72" s="152"/>
      <c r="AK72" s="141"/>
      <c r="AL72" s="141"/>
      <c r="BJ72" s="139"/>
      <c r="BO72" s="139"/>
      <c r="BQ72" s="143"/>
      <c r="BS72" s="143"/>
      <c r="CB72" s="143"/>
      <c r="CJ72" s="142"/>
      <c r="CO72" s="143"/>
      <c r="CQ72" s="143"/>
      <c r="CR72" s="143"/>
      <c r="CS72" s="139"/>
      <c r="DI72" s="139"/>
      <c r="DW72" s="142"/>
      <c r="EC72" s="143"/>
      <c r="EO72" s="144"/>
      <c r="EP72" s="144"/>
      <c r="EX72" s="144"/>
      <c r="EY72" s="144"/>
      <c r="FE72" s="145"/>
      <c r="FI72" s="146"/>
      <c r="FL72" s="153"/>
      <c r="FM72" s="154"/>
      <c r="FN72" s="154"/>
    </row>
    <row r="73" spans="2:170" ht="16" x14ac:dyDescent="0.2">
      <c r="B73" s="140"/>
      <c r="G73" s="142"/>
      <c r="J73" s="146"/>
      <c r="K73" s="146"/>
      <c r="L73" s="146"/>
      <c r="Y73" s="136"/>
      <c r="Z73" s="140"/>
      <c r="AB73" s="150"/>
      <c r="AC73" s="150"/>
      <c r="AD73" s="150"/>
      <c r="AE73" s="151"/>
      <c r="AF73" s="151"/>
      <c r="AG73" s="152"/>
      <c r="AH73" s="152"/>
      <c r="AK73" s="141"/>
      <c r="AL73" s="141"/>
      <c r="BJ73" s="139"/>
      <c r="BO73" s="139"/>
      <c r="BQ73" s="143"/>
      <c r="BS73" s="143"/>
      <c r="CB73" s="143"/>
      <c r="CJ73" s="142"/>
      <c r="CO73" s="143"/>
      <c r="CQ73" s="143"/>
      <c r="CR73" s="143"/>
      <c r="CS73" s="139"/>
      <c r="DI73" s="139"/>
      <c r="DW73" s="142"/>
      <c r="EC73" s="143"/>
      <c r="EO73" s="144"/>
      <c r="EP73" s="144"/>
      <c r="EX73" s="144"/>
      <c r="EY73" s="144"/>
      <c r="FE73" s="145"/>
      <c r="FI73" s="146"/>
      <c r="FL73" s="153"/>
      <c r="FM73" s="154"/>
      <c r="FN73" s="154"/>
    </row>
    <row r="74" spans="2:170" ht="16" x14ac:dyDescent="0.2">
      <c r="B74" s="140"/>
      <c r="G74" s="142"/>
      <c r="J74" s="146"/>
      <c r="K74" s="146"/>
      <c r="L74" s="146"/>
      <c r="Y74" s="136"/>
      <c r="Z74" s="140"/>
      <c r="AB74" s="150"/>
      <c r="AC74" s="150"/>
      <c r="AD74" s="150"/>
      <c r="AE74" s="151"/>
      <c r="AF74" s="151"/>
      <c r="AG74" s="152"/>
      <c r="AH74" s="152"/>
      <c r="AK74" s="141"/>
      <c r="AL74" s="141"/>
      <c r="BJ74" s="139"/>
      <c r="BO74" s="139"/>
      <c r="BQ74" s="143"/>
      <c r="BS74" s="143"/>
      <c r="CB74" s="143"/>
      <c r="CJ74" s="142"/>
      <c r="CO74" s="143"/>
      <c r="CQ74" s="143"/>
      <c r="CR74" s="143"/>
      <c r="CS74" s="139"/>
      <c r="DI74" s="139"/>
      <c r="DW74" s="142"/>
      <c r="EC74" s="143"/>
      <c r="EO74" s="144"/>
      <c r="EP74" s="144"/>
      <c r="EX74" s="144"/>
      <c r="EY74" s="144"/>
      <c r="FE74" s="145"/>
      <c r="FI74" s="146"/>
      <c r="FL74" s="153"/>
      <c r="FM74" s="154"/>
      <c r="FN74" s="154"/>
    </row>
    <row r="75" spans="2:170" ht="16" x14ac:dyDescent="0.2">
      <c r="B75" s="140"/>
      <c r="G75" s="142"/>
      <c r="J75" s="146"/>
      <c r="K75" s="146"/>
      <c r="L75" s="146"/>
      <c r="Y75" s="136"/>
      <c r="Z75" s="140"/>
      <c r="AB75" s="150"/>
      <c r="AC75" s="150"/>
      <c r="AD75" s="150"/>
      <c r="AE75" s="151"/>
      <c r="AF75" s="151"/>
      <c r="AG75" s="152"/>
      <c r="AH75" s="152"/>
      <c r="AK75" s="141"/>
      <c r="AL75" s="141"/>
      <c r="BJ75" s="139"/>
      <c r="BO75" s="139"/>
      <c r="BQ75" s="143"/>
      <c r="BS75" s="143"/>
      <c r="CB75" s="143"/>
      <c r="CJ75" s="142"/>
      <c r="CO75" s="143"/>
      <c r="CQ75" s="143"/>
      <c r="CR75" s="143"/>
      <c r="CS75" s="139"/>
      <c r="DI75" s="139"/>
      <c r="DW75" s="142"/>
      <c r="EC75" s="143"/>
      <c r="EO75" s="144"/>
      <c r="EP75" s="144"/>
      <c r="EX75" s="144"/>
      <c r="EY75" s="144"/>
      <c r="FE75" s="145"/>
      <c r="FI75" s="146"/>
      <c r="FL75" s="153"/>
      <c r="FM75" s="154"/>
      <c r="FN75" s="154"/>
    </row>
    <row r="76" spans="2:170" ht="16" x14ac:dyDescent="0.2">
      <c r="B76" s="140"/>
      <c r="G76" s="142"/>
      <c r="J76" s="146"/>
      <c r="K76" s="146"/>
      <c r="L76" s="146"/>
      <c r="Y76" s="136"/>
      <c r="Z76" s="140"/>
      <c r="AB76" s="150"/>
      <c r="AC76" s="150"/>
      <c r="AD76" s="150"/>
      <c r="AE76" s="151"/>
      <c r="AF76" s="151"/>
      <c r="AG76" s="152"/>
      <c r="AH76" s="152"/>
      <c r="AK76" s="141"/>
      <c r="AL76" s="141"/>
      <c r="BJ76" s="139"/>
      <c r="BO76" s="139"/>
      <c r="BQ76" s="143"/>
      <c r="BS76" s="143"/>
      <c r="CB76" s="143"/>
      <c r="CJ76" s="142"/>
      <c r="CO76" s="143"/>
      <c r="CQ76" s="143"/>
      <c r="CR76" s="143"/>
      <c r="CS76" s="139"/>
      <c r="DI76" s="139"/>
      <c r="DW76" s="142"/>
      <c r="EC76" s="143"/>
      <c r="EO76" s="144"/>
      <c r="EP76" s="144"/>
      <c r="EX76" s="144"/>
      <c r="EY76" s="144"/>
      <c r="FE76" s="145"/>
      <c r="FI76" s="146"/>
      <c r="FL76" s="153"/>
      <c r="FM76" s="154"/>
      <c r="FN76" s="154"/>
    </row>
    <row r="77" spans="2:170" ht="16" x14ac:dyDescent="0.2">
      <c r="B77" s="140"/>
      <c r="G77" s="142"/>
      <c r="J77" s="146"/>
      <c r="K77" s="146"/>
      <c r="L77" s="146"/>
      <c r="Y77" s="136"/>
      <c r="Z77" s="140"/>
      <c r="AB77" s="150"/>
      <c r="AC77" s="150"/>
      <c r="AD77" s="150"/>
      <c r="AE77" s="151"/>
      <c r="AF77" s="151"/>
      <c r="AG77" s="152"/>
      <c r="AH77" s="152"/>
      <c r="AK77" s="141"/>
      <c r="AL77" s="141"/>
      <c r="BJ77" s="139"/>
      <c r="BO77" s="139"/>
      <c r="BQ77" s="143"/>
      <c r="BS77" s="143"/>
      <c r="CB77" s="143"/>
      <c r="CJ77" s="142"/>
      <c r="CO77" s="143"/>
      <c r="CQ77" s="143"/>
      <c r="CR77" s="143"/>
      <c r="CS77" s="139"/>
      <c r="DI77" s="139"/>
      <c r="DW77" s="142"/>
      <c r="EC77" s="143"/>
      <c r="EO77" s="144"/>
      <c r="EP77" s="144"/>
      <c r="EX77" s="144"/>
      <c r="EY77" s="144"/>
      <c r="FE77" s="145"/>
      <c r="FI77" s="146"/>
      <c r="FL77" s="153"/>
      <c r="FM77" s="154"/>
      <c r="FN77" s="154"/>
    </row>
    <row r="78" spans="2:170" ht="16" x14ac:dyDescent="0.2">
      <c r="B78" s="140"/>
      <c r="G78" s="142"/>
      <c r="J78" s="146"/>
      <c r="K78" s="146"/>
      <c r="L78" s="146"/>
      <c r="Y78" s="136"/>
      <c r="Z78" s="140"/>
      <c r="AB78" s="150"/>
      <c r="AC78" s="150"/>
      <c r="AD78" s="150"/>
      <c r="AE78" s="151"/>
      <c r="AF78" s="151"/>
      <c r="AG78" s="152"/>
      <c r="AH78" s="152"/>
      <c r="AK78" s="141"/>
      <c r="AL78" s="141"/>
      <c r="BJ78" s="139"/>
      <c r="BO78" s="139"/>
      <c r="BQ78" s="143"/>
      <c r="BS78" s="143"/>
      <c r="CB78" s="143"/>
      <c r="CJ78" s="142"/>
      <c r="CO78" s="143"/>
      <c r="CQ78" s="143"/>
      <c r="CR78" s="143"/>
      <c r="CS78" s="139"/>
      <c r="DI78" s="139"/>
      <c r="DW78" s="142"/>
      <c r="EC78" s="143"/>
      <c r="EO78" s="144"/>
      <c r="EP78" s="144"/>
      <c r="EX78" s="144"/>
      <c r="EY78" s="144"/>
      <c r="FE78" s="145"/>
      <c r="FI78" s="146"/>
      <c r="FL78" s="153"/>
      <c r="FM78" s="154"/>
      <c r="FN78" s="154"/>
    </row>
    <row r="79" spans="2:170" ht="16" x14ac:dyDescent="0.2">
      <c r="B79" s="140"/>
      <c r="G79" s="142"/>
      <c r="J79" s="146"/>
      <c r="K79" s="146"/>
      <c r="L79" s="146"/>
      <c r="Y79" s="136"/>
      <c r="Z79" s="140"/>
      <c r="AB79" s="150"/>
      <c r="AC79" s="150"/>
      <c r="AD79" s="150"/>
      <c r="AE79" s="151"/>
      <c r="AF79" s="151"/>
      <c r="AG79" s="152"/>
      <c r="AH79" s="152"/>
      <c r="AK79" s="141"/>
      <c r="AL79" s="141"/>
      <c r="BJ79" s="139"/>
      <c r="BO79" s="139"/>
      <c r="BQ79" s="143"/>
      <c r="BS79" s="143"/>
      <c r="CB79" s="143"/>
      <c r="CJ79" s="142"/>
      <c r="CO79" s="143"/>
      <c r="CQ79" s="143"/>
      <c r="CR79" s="143"/>
      <c r="CS79" s="139"/>
      <c r="DI79" s="139"/>
      <c r="DW79" s="142"/>
      <c r="EC79" s="143"/>
      <c r="EO79" s="144"/>
      <c r="EP79" s="144"/>
      <c r="EX79" s="144"/>
      <c r="EY79" s="144"/>
      <c r="FE79" s="145"/>
      <c r="FI79" s="146"/>
      <c r="FL79" s="153"/>
      <c r="FM79" s="154"/>
      <c r="FN79" s="154"/>
    </row>
    <row r="80" spans="2:170" ht="16" x14ac:dyDescent="0.2">
      <c r="B80" s="140"/>
      <c r="G80" s="142"/>
      <c r="J80" s="146"/>
      <c r="K80" s="146"/>
      <c r="L80" s="146"/>
      <c r="Y80" s="136"/>
      <c r="Z80" s="140"/>
      <c r="AB80" s="150"/>
      <c r="AC80" s="150"/>
      <c r="AD80" s="150"/>
      <c r="AE80" s="151"/>
      <c r="AF80" s="151"/>
      <c r="AG80" s="152"/>
      <c r="AH80" s="152"/>
      <c r="AK80" s="141"/>
      <c r="AL80" s="141"/>
      <c r="BJ80" s="139"/>
      <c r="BO80" s="139"/>
      <c r="BQ80" s="143"/>
      <c r="BS80" s="143"/>
      <c r="CB80" s="143"/>
      <c r="CJ80" s="142"/>
      <c r="CO80" s="143"/>
      <c r="CQ80" s="143"/>
      <c r="CR80" s="143"/>
      <c r="CS80" s="139"/>
      <c r="DI80" s="139"/>
      <c r="DW80" s="142"/>
      <c r="EC80" s="143"/>
      <c r="EO80" s="144"/>
      <c r="EP80" s="144"/>
      <c r="EX80" s="144"/>
      <c r="EY80" s="144"/>
      <c r="FE80" s="145"/>
      <c r="FI80" s="146"/>
      <c r="FL80" s="153"/>
      <c r="FM80" s="154"/>
      <c r="FN80" s="154"/>
    </row>
    <row r="81" spans="2:170" ht="16" x14ac:dyDescent="0.2">
      <c r="B81" s="140"/>
      <c r="G81" s="142"/>
      <c r="J81" s="146"/>
      <c r="K81" s="146"/>
      <c r="L81" s="146"/>
      <c r="Y81" s="136"/>
      <c r="Z81" s="140"/>
      <c r="AB81" s="150"/>
      <c r="AC81" s="150"/>
      <c r="AD81" s="150"/>
      <c r="AE81" s="151"/>
      <c r="AF81" s="151"/>
      <c r="AG81" s="152"/>
      <c r="AH81" s="152"/>
      <c r="AK81" s="141"/>
      <c r="AL81" s="141"/>
      <c r="BJ81" s="139"/>
      <c r="BO81" s="139"/>
      <c r="BQ81" s="143"/>
      <c r="BS81" s="143"/>
      <c r="CB81" s="143"/>
      <c r="CJ81" s="142"/>
      <c r="CO81" s="143"/>
      <c r="CQ81" s="143"/>
      <c r="CR81" s="143"/>
      <c r="CS81" s="139"/>
      <c r="DI81" s="139"/>
      <c r="DW81" s="142"/>
      <c r="EC81" s="143"/>
      <c r="EO81" s="144"/>
      <c r="EP81" s="144"/>
      <c r="EX81" s="144"/>
      <c r="EY81" s="144"/>
      <c r="FE81" s="145"/>
      <c r="FI81" s="146"/>
      <c r="FL81" s="153"/>
      <c r="FM81" s="154"/>
      <c r="FN81" s="154"/>
    </row>
    <row r="82" spans="2:170" ht="16" x14ac:dyDescent="0.2">
      <c r="B82" s="140"/>
      <c r="G82" s="142"/>
      <c r="J82" s="146"/>
      <c r="K82" s="146"/>
      <c r="L82" s="146"/>
      <c r="Y82" s="136"/>
      <c r="Z82" s="140"/>
      <c r="AB82" s="150"/>
      <c r="AC82" s="150"/>
      <c r="AD82" s="150"/>
      <c r="AE82" s="151"/>
      <c r="AF82" s="151"/>
      <c r="AG82" s="152"/>
      <c r="AH82" s="152"/>
      <c r="AK82" s="141"/>
      <c r="AL82" s="141"/>
      <c r="BJ82" s="139"/>
      <c r="BO82" s="139"/>
      <c r="BQ82" s="143"/>
      <c r="BS82" s="143"/>
      <c r="CB82" s="143"/>
      <c r="CJ82" s="142"/>
      <c r="CO82" s="143"/>
      <c r="CQ82" s="143"/>
      <c r="CR82" s="143"/>
      <c r="CS82" s="139"/>
      <c r="DI82" s="139"/>
      <c r="DW82" s="142"/>
      <c r="EC82" s="143"/>
      <c r="EO82" s="144"/>
      <c r="EP82" s="144"/>
      <c r="EX82" s="144"/>
      <c r="EY82" s="144"/>
      <c r="FE82" s="145"/>
      <c r="FI82" s="146"/>
      <c r="FL82" s="153"/>
      <c r="FM82" s="154"/>
      <c r="FN82" s="154"/>
    </row>
    <row r="83" spans="2:170" ht="16" x14ac:dyDescent="0.2">
      <c r="B83" s="140"/>
      <c r="G83" s="142"/>
      <c r="J83" s="146"/>
      <c r="K83" s="146"/>
      <c r="L83" s="146"/>
      <c r="Y83" s="136"/>
      <c r="Z83" s="140"/>
      <c r="AB83" s="150"/>
      <c r="AC83" s="150"/>
      <c r="AD83" s="150"/>
      <c r="AE83" s="151"/>
      <c r="AF83" s="151"/>
      <c r="AG83" s="152"/>
      <c r="AH83" s="152"/>
      <c r="AK83" s="141"/>
      <c r="AL83" s="141"/>
      <c r="BJ83" s="139"/>
      <c r="BO83" s="139"/>
      <c r="BQ83" s="143"/>
      <c r="BS83" s="143"/>
      <c r="CB83" s="143"/>
      <c r="CJ83" s="142"/>
      <c r="CO83" s="143"/>
      <c r="CQ83" s="143"/>
      <c r="CR83" s="143"/>
      <c r="CS83" s="139"/>
      <c r="DI83" s="139"/>
      <c r="DW83" s="142"/>
      <c r="EC83" s="143"/>
      <c r="EO83" s="144"/>
      <c r="EP83" s="144"/>
      <c r="EX83" s="144"/>
      <c r="EY83" s="144"/>
      <c r="FE83" s="145"/>
      <c r="FI83" s="146"/>
      <c r="FL83" s="153"/>
      <c r="FM83" s="154"/>
      <c r="FN83" s="154"/>
    </row>
    <row r="84" spans="2:170" ht="16" x14ac:dyDescent="0.2">
      <c r="B84" s="140"/>
      <c r="G84" s="142"/>
      <c r="J84" s="146"/>
      <c r="K84" s="146"/>
      <c r="L84" s="146"/>
      <c r="Y84" s="136"/>
      <c r="Z84" s="140"/>
      <c r="AB84" s="150"/>
      <c r="AC84" s="150"/>
      <c r="AD84" s="150"/>
      <c r="AE84" s="151"/>
      <c r="AF84" s="151"/>
      <c r="AG84" s="152"/>
      <c r="AH84" s="152"/>
      <c r="AK84" s="141"/>
      <c r="AL84" s="141"/>
      <c r="BJ84" s="139"/>
      <c r="BO84" s="139"/>
      <c r="BQ84" s="143"/>
      <c r="BS84" s="143"/>
      <c r="CB84" s="143"/>
      <c r="CJ84" s="142"/>
      <c r="CO84" s="143"/>
      <c r="CQ84" s="143"/>
      <c r="CR84" s="143"/>
      <c r="CS84" s="139"/>
      <c r="DI84" s="139"/>
      <c r="DW84" s="142"/>
      <c r="EC84" s="143"/>
      <c r="EO84" s="144"/>
      <c r="EP84" s="144"/>
      <c r="EX84" s="144"/>
      <c r="EY84" s="144"/>
      <c r="FE84" s="145"/>
      <c r="FI84" s="146"/>
      <c r="FL84" s="153"/>
      <c r="FM84" s="154"/>
      <c r="FN84" s="154"/>
    </row>
    <row r="85" spans="2:170" ht="16" x14ac:dyDescent="0.2">
      <c r="B85" s="140"/>
      <c r="G85" s="142"/>
      <c r="J85" s="146"/>
      <c r="K85" s="146"/>
      <c r="L85" s="146"/>
      <c r="Y85" s="136"/>
      <c r="Z85" s="140"/>
      <c r="AB85" s="150"/>
      <c r="AC85" s="150"/>
      <c r="AD85" s="150"/>
      <c r="AE85" s="151"/>
      <c r="AF85" s="151"/>
      <c r="AG85" s="152"/>
      <c r="AH85" s="152"/>
      <c r="AK85" s="141"/>
      <c r="AL85" s="141"/>
      <c r="BJ85" s="139"/>
      <c r="BO85" s="139"/>
      <c r="BQ85" s="143"/>
      <c r="BS85" s="143"/>
      <c r="CB85" s="143"/>
      <c r="CJ85" s="142"/>
      <c r="CO85" s="143"/>
      <c r="CQ85" s="143"/>
      <c r="CR85" s="143"/>
      <c r="CS85" s="139"/>
      <c r="DI85" s="139"/>
      <c r="DW85" s="142"/>
      <c r="EC85" s="143"/>
      <c r="EO85" s="144"/>
      <c r="EP85" s="144"/>
      <c r="EX85" s="144"/>
      <c r="EY85" s="144"/>
      <c r="FE85" s="145"/>
      <c r="FI85" s="146"/>
      <c r="FL85" s="153"/>
      <c r="FM85" s="154"/>
      <c r="FN85" s="154"/>
    </row>
    <row r="86" spans="2:170" ht="16" x14ac:dyDescent="0.2">
      <c r="B86" s="140"/>
      <c r="G86" s="142"/>
      <c r="J86" s="146"/>
      <c r="K86" s="146"/>
      <c r="L86" s="146"/>
      <c r="Y86" s="136"/>
      <c r="Z86" s="140"/>
      <c r="AB86" s="150"/>
      <c r="AC86" s="150"/>
      <c r="AD86" s="150"/>
      <c r="AE86" s="151"/>
      <c r="AF86" s="151"/>
      <c r="AG86" s="152"/>
      <c r="AH86" s="152"/>
      <c r="AK86" s="141"/>
      <c r="AL86" s="141"/>
      <c r="BJ86" s="139"/>
      <c r="BO86" s="139"/>
      <c r="BQ86" s="143"/>
      <c r="BS86" s="143"/>
      <c r="CB86" s="143"/>
      <c r="CJ86" s="142"/>
      <c r="CO86" s="143"/>
      <c r="CQ86" s="143"/>
      <c r="CR86" s="143"/>
      <c r="CS86" s="139"/>
      <c r="DI86" s="139"/>
      <c r="DW86" s="142"/>
      <c r="EC86" s="143"/>
      <c r="EO86" s="144"/>
      <c r="EP86" s="144"/>
      <c r="EX86" s="144"/>
      <c r="EY86" s="144"/>
      <c r="FE86" s="145"/>
      <c r="FI86" s="146"/>
      <c r="FL86" s="153"/>
      <c r="FM86" s="154"/>
      <c r="FN86" s="154"/>
    </row>
    <row r="87" spans="2:170" ht="16" x14ac:dyDescent="0.2">
      <c r="B87" s="140"/>
      <c r="G87" s="142"/>
      <c r="J87" s="146"/>
      <c r="K87" s="146"/>
      <c r="L87" s="146"/>
      <c r="Y87" s="136"/>
      <c r="Z87" s="140"/>
      <c r="AB87" s="150"/>
      <c r="AC87" s="150"/>
      <c r="AD87" s="150"/>
      <c r="AE87" s="151"/>
      <c r="AF87" s="151"/>
      <c r="AG87" s="152"/>
      <c r="AH87" s="152"/>
      <c r="AK87" s="141"/>
      <c r="AL87" s="141"/>
      <c r="BJ87" s="139"/>
      <c r="BO87" s="139"/>
      <c r="BQ87" s="143"/>
      <c r="BS87" s="143"/>
      <c r="CB87" s="143"/>
      <c r="CJ87" s="142"/>
      <c r="CO87" s="143"/>
      <c r="CQ87" s="143"/>
      <c r="CR87" s="143"/>
      <c r="CS87" s="139"/>
      <c r="DI87" s="139"/>
      <c r="DW87" s="142"/>
      <c r="EC87" s="143"/>
      <c r="EO87" s="144"/>
      <c r="EP87" s="144"/>
      <c r="EX87" s="144"/>
      <c r="EY87" s="144"/>
      <c r="FE87" s="145"/>
      <c r="FI87" s="146"/>
      <c r="FL87" s="153"/>
      <c r="FM87" s="154"/>
      <c r="FN87" s="154"/>
    </row>
    <row r="88" spans="2:170" ht="16" x14ac:dyDescent="0.2">
      <c r="B88" s="140"/>
      <c r="G88" s="142"/>
      <c r="J88" s="146"/>
      <c r="K88" s="146"/>
      <c r="L88" s="146"/>
      <c r="Y88" s="136"/>
      <c r="Z88" s="140"/>
      <c r="AB88" s="150"/>
      <c r="AC88" s="150"/>
      <c r="AD88" s="150"/>
      <c r="AE88" s="151"/>
      <c r="AF88" s="151"/>
      <c r="AG88" s="152"/>
      <c r="AH88" s="152"/>
      <c r="AK88" s="141"/>
      <c r="AL88" s="141"/>
      <c r="BJ88" s="139"/>
      <c r="BO88" s="139"/>
      <c r="BQ88" s="143"/>
      <c r="BS88" s="143"/>
      <c r="CB88" s="143"/>
      <c r="CJ88" s="142"/>
      <c r="CO88" s="143"/>
      <c r="CQ88" s="143"/>
      <c r="CR88" s="143"/>
      <c r="CS88" s="139"/>
      <c r="DI88" s="139"/>
      <c r="DW88" s="142"/>
      <c r="EC88" s="143"/>
      <c r="EO88" s="144"/>
      <c r="EP88" s="144"/>
      <c r="EX88" s="144"/>
      <c r="EY88" s="144"/>
      <c r="FE88" s="145"/>
      <c r="FI88" s="146"/>
      <c r="FL88" s="153"/>
      <c r="FM88" s="154"/>
      <c r="FN88" s="154"/>
    </row>
    <row r="89" spans="2:170" ht="16" x14ac:dyDescent="0.2">
      <c r="B89" s="140"/>
      <c r="G89" s="142"/>
      <c r="J89" s="146"/>
      <c r="K89" s="146"/>
      <c r="L89" s="146"/>
      <c r="Y89" s="136"/>
      <c r="Z89" s="140"/>
      <c r="AB89" s="150"/>
      <c r="AC89" s="150"/>
      <c r="AD89" s="150"/>
      <c r="AE89" s="151"/>
      <c r="AF89" s="151"/>
      <c r="AG89" s="152"/>
      <c r="AH89" s="152"/>
      <c r="AK89" s="141"/>
      <c r="AL89" s="141"/>
      <c r="BJ89" s="139"/>
      <c r="BO89" s="139"/>
      <c r="BQ89" s="143"/>
      <c r="BS89" s="143"/>
      <c r="CB89" s="143"/>
      <c r="CJ89" s="142"/>
      <c r="CO89" s="143"/>
      <c r="CQ89" s="143"/>
      <c r="CR89" s="143"/>
      <c r="CS89" s="139"/>
      <c r="DI89" s="139"/>
      <c r="DW89" s="142"/>
      <c r="EC89" s="143"/>
      <c r="EO89" s="144"/>
      <c r="EP89" s="144"/>
      <c r="EX89" s="144"/>
      <c r="EY89" s="144"/>
      <c r="FE89" s="145"/>
      <c r="FI89" s="146"/>
      <c r="FL89" s="153"/>
      <c r="FM89" s="154"/>
      <c r="FN89" s="154"/>
    </row>
    <row r="90" spans="2:170" ht="16" x14ac:dyDescent="0.2">
      <c r="B90" s="140"/>
      <c r="G90" s="142"/>
      <c r="J90" s="146"/>
      <c r="K90" s="146"/>
      <c r="L90" s="146"/>
      <c r="Y90" s="136"/>
      <c r="Z90" s="140"/>
      <c r="AB90" s="150"/>
      <c r="AC90" s="150"/>
      <c r="AD90" s="150"/>
      <c r="AE90" s="151"/>
      <c r="AF90" s="151"/>
      <c r="AG90" s="152"/>
      <c r="AH90" s="152"/>
      <c r="AK90" s="141"/>
      <c r="AL90" s="141"/>
      <c r="BJ90" s="139"/>
      <c r="BO90" s="139"/>
      <c r="BQ90" s="143"/>
      <c r="BS90" s="143"/>
      <c r="CB90" s="143"/>
      <c r="CJ90" s="142"/>
      <c r="CO90" s="143"/>
      <c r="CQ90" s="143"/>
      <c r="CR90" s="143"/>
      <c r="CS90" s="139"/>
      <c r="DI90" s="139"/>
      <c r="DW90" s="142"/>
      <c r="EC90" s="143"/>
      <c r="EO90" s="144"/>
      <c r="EP90" s="144"/>
      <c r="EX90" s="144"/>
      <c r="EY90" s="144"/>
      <c r="FE90" s="145"/>
      <c r="FI90" s="146"/>
      <c r="FL90" s="153"/>
      <c r="FM90" s="154"/>
      <c r="FN90" s="154"/>
    </row>
    <row r="91" spans="2:170" ht="16" x14ac:dyDescent="0.2">
      <c r="B91" s="140"/>
      <c r="G91" s="142"/>
      <c r="J91" s="146"/>
      <c r="K91" s="146"/>
      <c r="L91" s="146"/>
      <c r="Y91" s="136"/>
      <c r="Z91" s="140"/>
      <c r="AB91" s="150"/>
      <c r="AC91" s="150"/>
      <c r="AD91" s="150"/>
      <c r="AE91" s="151"/>
      <c r="AF91" s="151"/>
      <c r="AG91" s="152"/>
      <c r="AH91" s="152"/>
      <c r="AK91" s="141"/>
      <c r="AL91" s="141"/>
      <c r="BJ91" s="139"/>
      <c r="BO91" s="139"/>
      <c r="BQ91" s="143"/>
      <c r="BS91" s="143"/>
      <c r="CB91" s="143"/>
      <c r="CJ91" s="142"/>
      <c r="CO91" s="143"/>
      <c r="CQ91" s="143"/>
      <c r="CR91" s="143"/>
      <c r="CS91" s="139"/>
      <c r="DI91" s="139"/>
      <c r="DW91" s="142"/>
      <c r="EC91" s="143"/>
      <c r="EO91" s="144"/>
      <c r="EP91" s="144"/>
      <c r="EX91" s="144"/>
      <c r="EY91" s="144"/>
      <c r="FE91" s="145"/>
      <c r="FI91" s="146"/>
      <c r="FL91" s="153"/>
      <c r="FM91" s="154"/>
      <c r="FN91" s="154"/>
    </row>
    <row r="92" spans="2:170" ht="16" x14ac:dyDescent="0.2">
      <c r="B92" s="140"/>
      <c r="G92" s="142"/>
      <c r="J92" s="146"/>
      <c r="K92" s="146"/>
      <c r="L92" s="146"/>
      <c r="Y92" s="136"/>
      <c r="Z92" s="140"/>
      <c r="AB92" s="150"/>
      <c r="AC92" s="150"/>
      <c r="AD92" s="150"/>
      <c r="AE92" s="151"/>
      <c r="AF92" s="151"/>
      <c r="AG92" s="152"/>
      <c r="AH92" s="152"/>
      <c r="AK92" s="141"/>
      <c r="AL92" s="141"/>
      <c r="BJ92" s="139"/>
      <c r="BO92" s="139"/>
      <c r="BQ92" s="143"/>
      <c r="BS92" s="143"/>
      <c r="CB92" s="143"/>
      <c r="CJ92" s="142"/>
      <c r="CO92" s="143"/>
      <c r="CQ92" s="143"/>
      <c r="CR92" s="143"/>
      <c r="CS92" s="139"/>
      <c r="DI92" s="139"/>
      <c r="DW92" s="142"/>
      <c r="EC92" s="143"/>
      <c r="EO92" s="144"/>
      <c r="EP92" s="144"/>
      <c r="EX92" s="144"/>
      <c r="EY92" s="144"/>
      <c r="FE92" s="145"/>
      <c r="FI92" s="146"/>
      <c r="FL92" s="153"/>
      <c r="FM92" s="154"/>
      <c r="FN92" s="154"/>
    </row>
    <row r="93" spans="2:170" ht="16" x14ac:dyDescent="0.2">
      <c r="B93" s="140"/>
      <c r="G93" s="142"/>
      <c r="J93" s="146"/>
      <c r="K93" s="146"/>
      <c r="L93" s="146"/>
      <c r="Y93" s="136"/>
      <c r="Z93" s="140"/>
      <c r="AB93" s="150"/>
      <c r="AC93" s="150"/>
      <c r="AD93" s="150"/>
      <c r="AE93" s="151"/>
      <c r="AF93" s="151"/>
      <c r="AG93" s="152"/>
      <c r="AH93" s="152"/>
      <c r="AK93" s="141"/>
      <c r="AL93" s="141"/>
      <c r="BJ93" s="139"/>
      <c r="BO93" s="139"/>
      <c r="BQ93" s="143"/>
      <c r="BS93" s="143"/>
      <c r="CB93" s="143"/>
      <c r="CJ93" s="142"/>
      <c r="CO93" s="143"/>
      <c r="CQ93" s="143"/>
      <c r="CR93" s="143"/>
      <c r="CS93" s="139"/>
      <c r="DI93" s="139"/>
      <c r="DW93" s="142"/>
      <c r="EC93" s="143"/>
      <c r="EO93" s="144"/>
      <c r="EP93" s="144"/>
      <c r="EX93" s="144"/>
      <c r="EY93" s="144"/>
      <c r="FE93" s="145"/>
      <c r="FI93" s="146"/>
      <c r="FL93" s="153"/>
      <c r="FM93" s="154"/>
      <c r="FN93" s="154"/>
    </row>
    <row r="94" spans="2:170" ht="16" x14ac:dyDescent="0.2">
      <c r="B94" s="140"/>
      <c r="G94" s="142"/>
      <c r="J94" s="146"/>
      <c r="K94" s="146"/>
      <c r="L94" s="146"/>
      <c r="Y94" s="136"/>
      <c r="Z94" s="140"/>
      <c r="AB94" s="150"/>
      <c r="AC94" s="150"/>
      <c r="AD94" s="150"/>
      <c r="AE94" s="151"/>
      <c r="AF94" s="151"/>
      <c r="AG94" s="152"/>
      <c r="AH94" s="152"/>
      <c r="AK94" s="141"/>
      <c r="AL94" s="141"/>
      <c r="BJ94" s="139"/>
      <c r="BO94" s="139"/>
      <c r="BQ94" s="143"/>
      <c r="BS94" s="143"/>
      <c r="CB94" s="143"/>
      <c r="CJ94" s="142"/>
      <c r="CO94" s="143"/>
      <c r="CQ94" s="143"/>
      <c r="CR94" s="143"/>
      <c r="CS94" s="139"/>
      <c r="DI94" s="139"/>
      <c r="DW94" s="142"/>
      <c r="EC94" s="143"/>
      <c r="EO94" s="144"/>
      <c r="EP94" s="144"/>
      <c r="EX94" s="144"/>
      <c r="EY94" s="144"/>
      <c r="FE94" s="145"/>
      <c r="FI94" s="146"/>
      <c r="FL94" s="153"/>
      <c r="FM94" s="154"/>
      <c r="FN94" s="154"/>
    </row>
    <row r="95" spans="2:170" ht="16" x14ac:dyDescent="0.2">
      <c r="B95" s="140"/>
      <c r="G95" s="142"/>
      <c r="J95" s="146"/>
      <c r="K95" s="146"/>
      <c r="L95" s="146"/>
      <c r="Y95" s="136"/>
      <c r="Z95" s="140"/>
      <c r="AB95" s="150"/>
      <c r="AC95" s="150"/>
      <c r="AD95" s="150"/>
      <c r="AE95" s="151"/>
      <c r="AF95" s="151"/>
      <c r="AG95" s="152"/>
      <c r="AH95" s="152"/>
      <c r="AK95" s="141"/>
      <c r="AL95" s="141"/>
      <c r="BJ95" s="139"/>
      <c r="BO95" s="139"/>
      <c r="BQ95" s="143"/>
      <c r="BS95" s="143"/>
      <c r="CB95" s="143"/>
      <c r="CJ95" s="142"/>
      <c r="CO95" s="143"/>
      <c r="CQ95" s="143"/>
      <c r="CR95" s="143"/>
      <c r="CS95" s="139"/>
      <c r="DI95" s="139"/>
      <c r="DW95" s="142"/>
      <c r="EC95" s="143"/>
      <c r="EO95" s="144"/>
      <c r="EP95" s="144"/>
      <c r="EX95" s="144"/>
      <c r="EY95" s="144"/>
      <c r="FE95" s="145"/>
      <c r="FI95" s="146"/>
      <c r="FL95" s="153"/>
      <c r="FM95" s="154"/>
      <c r="FN95" s="154"/>
    </row>
    <row r="96" spans="2:170" ht="16" x14ac:dyDescent="0.2">
      <c r="B96" s="140"/>
      <c r="G96" s="142"/>
      <c r="J96" s="146"/>
      <c r="K96" s="146"/>
      <c r="L96" s="146"/>
      <c r="Y96" s="136"/>
      <c r="Z96" s="140"/>
      <c r="AB96" s="150"/>
      <c r="AC96" s="150"/>
      <c r="AD96" s="150"/>
      <c r="AE96" s="151"/>
      <c r="AF96" s="151"/>
      <c r="AG96" s="152"/>
      <c r="AH96" s="152"/>
      <c r="AK96" s="141"/>
      <c r="AL96" s="141"/>
      <c r="BJ96" s="139"/>
      <c r="BO96" s="139"/>
      <c r="BQ96" s="143"/>
      <c r="BS96" s="143"/>
      <c r="CB96" s="143"/>
      <c r="CJ96" s="142"/>
      <c r="CO96" s="143"/>
      <c r="CQ96" s="143"/>
      <c r="CR96" s="143"/>
      <c r="CS96" s="139"/>
      <c r="DI96" s="139"/>
      <c r="DW96" s="142"/>
      <c r="EC96" s="143"/>
      <c r="EO96" s="144"/>
      <c r="EP96" s="144"/>
      <c r="EX96" s="144"/>
      <c r="EY96" s="144"/>
      <c r="FE96" s="145"/>
      <c r="FI96" s="146"/>
      <c r="FL96" s="153"/>
      <c r="FM96" s="154"/>
      <c r="FN96" s="154"/>
    </row>
    <row r="97" spans="2:170" ht="16" x14ac:dyDescent="0.2">
      <c r="B97" s="140"/>
      <c r="G97" s="142"/>
      <c r="J97" s="146"/>
      <c r="K97" s="146"/>
      <c r="L97" s="146"/>
      <c r="Y97" s="136"/>
      <c r="Z97" s="140"/>
      <c r="AB97" s="155"/>
      <c r="AC97" s="155"/>
      <c r="AD97" s="155"/>
      <c r="AE97" s="156"/>
      <c r="AF97" s="156"/>
      <c r="AG97" s="157"/>
      <c r="AH97" s="157"/>
      <c r="AK97" s="141"/>
      <c r="AL97" s="141"/>
      <c r="BJ97" s="139"/>
      <c r="BO97" s="139"/>
      <c r="BQ97" s="143"/>
      <c r="BS97" s="143"/>
      <c r="CB97" s="143"/>
      <c r="CJ97" s="142"/>
      <c r="CO97" s="143"/>
      <c r="CQ97" s="143"/>
      <c r="CR97" s="143"/>
      <c r="CS97" s="139"/>
      <c r="DI97" s="139"/>
      <c r="DW97" s="142"/>
      <c r="EC97" s="143"/>
      <c r="EO97" s="144"/>
      <c r="EP97" s="144"/>
      <c r="EX97" s="144"/>
      <c r="EY97" s="144"/>
      <c r="FE97" s="145"/>
      <c r="FI97" s="146"/>
      <c r="FL97" s="153"/>
      <c r="FM97" s="154"/>
      <c r="FN97" s="154"/>
    </row>
    <row r="98" spans="2:170" ht="16" x14ac:dyDescent="0.2">
      <c r="B98" s="140"/>
      <c r="G98" s="142"/>
      <c r="J98" s="146"/>
      <c r="K98" s="146"/>
      <c r="L98" s="146"/>
      <c r="Y98" s="136"/>
      <c r="Z98" s="140"/>
      <c r="AB98" s="150"/>
      <c r="AC98" s="150"/>
      <c r="AD98" s="150"/>
      <c r="AE98" s="151"/>
      <c r="AF98" s="151"/>
      <c r="AG98" s="152"/>
      <c r="AH98" s="152"/>
      <c r="AK98" s="141"/>
      <c r="AL98" s="141"/>
      <c r="BJ98" s="139"/>
      <c r="BO98" s="139"/>
      <c r="BQ98" s="143"/>
      <c r="BS98" s="143"/>
      <c r="CB98" s="143"/>
      <c r="CJ98" s="142"/>
      <c r="CO98" s="143"/>
      <c r="CQ98" s="143"/>
      <c r="CR98" s="143"/>
      <c r="CS98" s="139"/>
      <c r="DI98" s="139"/>
      <c r="DW98" s="142"/>
      <c r="EC98" s="143"/>
      <c r="EO98" s="144"/>
      <c r="EP98" s="144"/>
      <c r="EX98" s="144"/>
      <c r="EY98" s="144"/>
      <c r="FE98" s="145"/>
      <c r="FI98" s="146"/>
      <c r="FL98" s="153"/>
      <c r="FM98" s="154"/>
      <c r="FN98" s="154"/>
    </row>
    <row r="99" spans="2:170" ht="16" x14ac:dyDescent="0.2">
      <c r="B99" s="140"/>
      <c r="G99" s="142"/>
      <c r="J99" s="146"/>
      <c r="K99" s="146"/>
      <c r="L99" s="146"/>
      <c r="Y99" s="136"/>
      <c r="Z99" s="140"/>
      <c r="AB99" s="155"/>
      <c r="AC99" s="155"/>
      <c r="AD99" s="155"/>
      <c r="AE99" s="156"/>
      <c r="AF99" s="156"/>
      <c r="AG99" s="157"/>
      <c r="AH99" s="157"/>
      <c r="AK99" s="141"/>
      <c r="AL99" s="141"/>
      <c r="BJ99" s="139"/>
      <c r="BO99" s="139"/>
      <c r="BQ99" s="143"/>
      <c r="BS99" s="143"/>
      <c r="CB99" s="143"/>
      <c r="CJ99" s="142"/>
      <c r="CO99" s="143"/>
      <c r="CQ99" s="143"/>
      <c r="CR99" s="143"/>
      <c r="CS99" s="139"/>
      <c r="DI99" s="139"/>
      <c r="DW99" s="142"/>
      <c r="EC99" s="143"/>
      <c r="EO99" s="144"/>
      <c r="EP99" s="144"/>
      <c r="EX99" s="144"/>
      <c r="EY99" s="144"/>
      <c r="FE99" s="145"/>
      <c r="FI99" s="146"/>
      <c r="FL99" s="153"/>
      <c r="FM99" s="154"/>
      <c r="FN99" s="154"/>
    </row>
    <row r="100" spans="2:170" ht="16" x14ac:dyDescent="0.2">
      <c r="B100" s="140"/>
      <c r="G100" s="142"/>
      <c r="J100" s="146"/>
      <c r="K100" s="146"/>
      <c r="L100" s="146"/>
      <c r="Y100" s="136"/>
      <c r="Z100" s="140"/>
      <c r="AB100" s="150"/>
      <c r="AC100" s="150"/>
      <c r="AD100" s="150"/>
      <c r="AE100" s="151"/>
      <c r="AF100" s="151"/>
      <c r="AG100" s="152"/>
      <c r="AH100" s="152"/>
      <c r="AK100" s="141"/>
      <c r="AL100" s="141"/>
      <c r="BJ100" s="139"/>
      <c r="BO100" s="139"/>
      <c r="BQ100" s="143"/>
      <c r="BS100" s="143"/>
      <c r="CB100" s="143"/>
      <c r="CJ100" s="142"/>
      <c r="CO100" s="143"/>
      <c r="CQ100" s="143"/>
      <c r="CR100" s="143"/>
      <c r="CS100" s="139"/>
      <c r="DI100" s="139"/>
      <c r="DW100" s="142"/>
      <c r="EC100" s="143"/>
      <c r="EO100" s="144"/>
      <c r="EP100" s="144"/>
      <c r="EX100" s="144"/>
      <c r="EY100" s="144"/>
      <c r="FE100" s="145"/>
      <c r="FI100" s="146"/>
      <c r="FL100" s="153"/>
      <c r="FM100" s="154"/>
      <c r="FN100" s="154"/>
    </row>
    <row r="101" spans="2:170" ht="16" x14ac:dyDescent="0.2">
      <c r="B101" s="140"/>
      <c r="G101" s="142"/>
      <c r="J101" s="146"/>
      <c r="K101" s="146"/>
      <c r="L101" s="146"/>
      <c r="Y101" s="136"/>
      <c r="Z101" s="140"/>
      <c r="AB101" s="155"/>
      <c r="AC101" s="155"/>
      <c r="AD101" s="155"/>
      <c r="AE101" s="156"/>
      <c r="AF101" s="156"/>
      <c r="AG101" s="157"/>
      <c r="AH101" s="157"/>
      <c r="AK101" s="141"/>
      <c r="AL101" s="141"/>
      <c r="BJ101" s="139"/>
      <c r="BO101" s="139"/>
      <c r="BQ101" s="143"/>
      <c r="BS101" s="143"/>
      <c r="CB101" s="143"/>
      <c r="CJ101" s="142"/>
      <c r="CO101" s="143"/>
      <c r="CQ101" s="143"/>
      <c r="CR101" s="143"/>
      <c r="CS101" s="139"/>
      <c r="DI101" s="139"/>
      <c r="DW101" s="142"/>
      <c r="EC101" s="143"/>
      <c r="EO101" s="144"/>
      <c r="EP101" s="144"/>
      <c r="EX101" s="144"/>
      <c r="EY101" s="144"/>
      <c r="FE101" s="145"/>
      <c r="FI101" s="146"/>
      <c r="FL101" s="153"/>
      <c r="FM101" s="154"/>
      <c r="FN101" s="154"/>
    </row>
    <row r="102" spans="2:170" ht="16" x14ac:dyDescent="0.2">
      <c r="B102" s="140"/>
      <c r="G102" s="142"/>
      <c r="J102" s="146"/>
      <c r="K102" s="146"/>
      <c r="L102" s="146"/>
      <c r="Y102" s="136"/>
      <c r="Z102" s="140"/>
      <c r="AB102" s="150"/>
      <c r="AC102" s="150"/>
      <c r="AD102" s="150"/>
      <c r="AE102" s="151"/>
      <c r="AF102" s="151"/>
      <c r="AG102" s="152"/>
      <c r="AH102" s="152"/>
      <c r="AK102" s="141"/>
      <c r="AL102" s="141"/>
      <c r="BJ102" s="139"/>
      <c r="BO102" s="139"/>
      <c r="BQ102" s="143"/>
      <c r="BS102" s="143"/>
      <c r="CB102" s="143"/>
      <c r="CJ102" s="142"/>
      <c r="CO102" s="143"/>
      <c r="CQ102" s="143"/>
      <c r="CR102" s="143"/>
      <c r="CS102" s="139"/>
      <c r="DI102" s="139"/>
      <c r="DW102" s="142"/>
      <c r="EC102" s="143"/>
      <c r="EO102" s="144"/>
      <c r="EP102" s="144"/>
      <c r="EX102" s="144"/>
      <c r="EY102" s="144"/>
      <c r="FE102" s="145"/>
      <c r="FI102" s="146"/>
      <c r="FL102" s="153"/>
      <c r="FM102" s="154"/>
      <c r="FN102" s="154"/>
    </row>
    <row r="103" spans="2:170" ht="16" x14ac:dyDescent="0.2">
      <c r="B103" s="140"/>
      <c r="G103" s="142"/>
      <c r="J103" s="146"/>
      <c r="K103" s="146"/>
      <c r="L103" s="146"/>
      <c r="Y103" s="136"/>
      <c r="Z103" s="140"/>
      <c r="AB103" s="150"/>
      <c r="AC103" s="150"/>
      <c r="AD103" s="150"/>
      <c r="AE103" s="151"/>
      <c r="AF103" s="151"/>
      <c r="AG103" s="152"/>
      <c r="AH103" s="152"/>
      <c r="AK103" s="141"/>
      <c r="AL103" s="141"/>
      <c r="BJ103" s="139"/>
      <c r="BO103" s="139"/>
      <c r="BQ103" s="143"/>
      <c r="BS103" s="143"/>
      <c r="CB103" s="143"/>
      <c r="CJ103" s="142"/>
      <c r="CO103" s="143"/>
      <c r="CQ103" s="143"/>
      <c r="CR103" s="143"/>
      <c r="CS103" s="139"/>
      <c r="DI103" s="139"/>
      <c r="DW103" s="142"/>
      <c r="EC103" s="143"/>
      <c r="EO103" s="144"/>
      <c r="EP103" s="144"/>
      <c r="EX103" s="144"/>
      <c r="EY103" s="144"/>
      <c r="FE103" s="145"/>
      <c r="FI103" s="146"/>
      <c r="FL103" s="153"/>
      <c r="FM103" s="154"/>
      <c r="FN103" s="154"/>
    </row>
    <row r="104" spans="2:170" ht="16" x14ac:dyDescent="0.2">
      <c r="B104" s="140"/>
      <c r="G104" s="142"/>
      <c r="J104" s="146"/>
      <c r="K104" s="146"/>
      <c r="L104" s="146"/>
      <c r="Y104" s="136"/>
      <c r="Z104" s="140"/>
      <c r="AB104" s="155"/>
      <c r="AC104" s="155"/>
      <c r="AD104" s="155"/>
      <c r="AE104" s="156"/>
      <c r="AF104" s="156"/>
      <c r="AG104" s="157"/>
      <c r="AH104" s="157"/>
      <c r="AK104" s="141"/>
      <c r="AL104" s="141"/>
      <c r="BJ104" s="139"/>
      <c r="BO104" s="139"/>
      <c r="BQ104" s="143"/>
      <c r="BS104" s="143"/>
      <c r="CB104" s="143"/>
      <c r="CJ104" s="142"/>
      <c r="CO104" s="143"/>
      <c r="CQ104" s="143"/>
      <c r="CR104" s="143"/>
      <c r="CS104" s="139"/>
      <c r="DI104" s="139"/>
      <c r="DW104" s="142"/>
      <c r="EC104" s="143"/>
      <c r="EO104" s="144"/>
      <c r="EP104" s="144"/>
      <c r="EX104" s="144"/>
      <c r="EY104" s="144"/>
      <c r="FE104" s="145"/>
      <c r="FI104" s="146"/>
      <c r="FL104" s="153"/>
      <c r="FM104" s="154"/>
      <c r="FN104" s="154"/>
    </row>
    <row r="105" spans="2:170" ht="16" x14ac:dyDescent="0.2">
      <c r="B105" s="140"/>
      <c r="G105" s="142"/>
      <c r="J105" s="146"/>
      <c r="K105" s="146"/>
      <c r="L105" s="146"/>
      <c r="Y105" s="136"/>
      <c r="Z105" s="140"/>
      <c r="AB105" s="155"/>
      <c r="AC105" s="155"/>
      <c r="AD105" s="155"/>
      <c r="AE105" s="156"/>
      <c r="AF105" s="156"/>
      <c r="AG105" s="157"/>
      <c r="AH105" s="157"/>
      <c r="AK105" s="141"/>
      <c r="AL105" s="141"/>
      <c r="BJ105" s="139"/>
      <c r="BO105" s="139"/>
      <c r="BQ105" s="143"/>
      <c r="BS105" s="143"/>
      <c r="CB105" s="143"/>
      <c r="CJ105" s="142"/>
      <c r="CO105" s="143"/>
      <c r="CQ105" s="143"/>
      <c r="CR105" s="143"/>
      <c r="CS105" s="139"/>
      <c r="DI105" s="139"/>
      <c r="DW105" s="142"/>
      <c r="EC105" s="143"/>
      <c r="EO105" s="144"/>
      <c r="EP105" s="144"/>
      <c r="EX105" s="144"/>
      <c r="EY105" s="144"/>
      <c r="FE105" s="145"/>
      <c r="FI105" s="146"/>
      <c r="FL105" s="153"/>
      <c r="FM105" s="154"/>
      <c r="FN105" s="154"/>
    </row>
    <row r="106" spans="2:170" ht="16" x14ac:dyDescent="0.2">
      <c r="B106" s="140"/>
      <c r="G106" s="142"/>
      <c r="J106" s="146"/>
      <c r="K106" s="146"/>
      <c r="L106" s="146"/>
      <c r="Y106" s="136"/>
      <c r="Z106" s="140"/>
      <c r="AB106" s="150"/>
      <c r="AC106" s="150"/>
      <c r="AD106" s="150"/>
      <c r="AE106" s="151"/>
      <c r="AF106" s="151"/>
      <c r="AG106" s="152"/>
      <c r="AH106" s="152"/>
      <c r="AK106" s="141"/>
      <c r="AL106" s="141"/>
      <c r="BJ106" s="139"/>
      <c r="BO106" s="139"/>
      <c r="BQ106" s="143"/>
      <c r="BS106" s="143"/>
      <c r="CB106" s="143"/>
      <c r="CJ106" s="142"/>
      <c r="CO106" s="143"/>
      <c r="CQ106" s="143"/>
      <c r="CR106" s="143"/>
      <c r="CS106" s="139"/>
      <c r="DI106" s="139"/>
      <c r="DW106" s="142"/>
      <c r="EC106" s="143"/>
      <c r="EO106" s="144"/>
      <c r="EP106" s="144"/>
      <c r="EX106" s="144"/>
      <c r="EY106" s="144"/>
      <c r="FE106" s="145"/>
      <c r="FI106" s="146"/>
      <c r="FL106" s="153"/>
      <c r="FM106" s="154"/>
      <c r="FN106" s="154"/>
    </row>
    <row r="107" spans="2:170" ht="16" x14ac:dyDescent="0.2">
      <c r="B107" s="140"/>
      <c r="G107" s="142"/>
      <c r="J107" s="146"/>
      <c r="K107" s="146"/>
      <c r="L107" s="146"/>
      <c r="Y107" s="136"/>
      <c r="Z107" s="140"/>
      <c r="AB107" s="155"/>
      <c r="AC107" s="155"/>
      <c r="AD107" s="155"/>
      <c r="AE107" s="156"/>
      <c r="AF107" s="156"/>
      <c r="AG107" s="157"/>
      <c r="AH107" s="157"/>
      <c r="AK107" s="141"/>
      <c r="AL107" s="141"/>
      <c r="BJ107" s="139"/>
      <c r="BO107" s="139"/>
      <c r="BQ107" s="143"/>
      <c r="BS107" s="143"/>
      <c r="CB107" s="143"/>
      <c r="CJ107" s="142"/>
      <c r="CO107" s="143"/>
      <c r="CQ107" s="143"/>
      <c r="CR107" s="143"/>
      <c r="CS107" s="139"/>
      <c r="DI107" s="139"/>
      <c r="DW107" s="142"/>
      <c r="EC107" s="143"/>
      <c r="EO107" s="144"/>
      <c r="EP107" s="144"/>
      <c r="EX107" s="144"/>
      <c r="EY107" s="144"/>
      <c r="FE107" s="145"/>
      <c r="FI107" s="146"/>
      <c r="FL107" s="153"/>
      <c r="FM107" s="154"/>
      <c r="FN107" s="154"/>
    </row>
    <row r="108" spans="2:170" ht="16" x14ac:dyDescent="0.2">
      <c r="B108" s="140"/>
      <c r="G108" s="142"/>
      <c r="J108" s="146"/>
      <c r="K108" s="146"/>
      <c r="L108" s="146"/>
      <c r="Y108" s="136"/>
      <c r="Z108" s="140"/>
      <c r="AB108" s="150"/>
      <c r="AC108" s="150"/>
      <c r="AD108" s="150"/>
      <c r="AE108" s="151"/>
      <c r="AF108" s="151"/>
      <c r="AG108" s="152"/>
      <c r="AH108" s="152"/>
      <c r="AK108" s="141"/>
      <c r="AL108" s="141"/>
      <c r="BJ108" s="139"/>
      <c r="BO108" s="139"/>
      <c r="BQ108" s="143"/>
      <c r="BS108" s="143"/>
      <c r="CB108" s="143"/>
      <c r="CJ108" s="142"/>
      <c r="CO108" s="143"/>
      <c r="CQ108" s="143"/>
      <c r="CR108" s="143"/>
      <c r="CS108" s="139"/>
      <c r="DI108" s="139"/>
      <c r="DW108" s="142"/>
      <c r="EC108" s="143"/>
      <c r="EO108" s="144"/>
      <c r="EP108" s="144"/>
      <c r="EX108" s="144"/>
      <c r="EY108" s="144"/>
      <c r="FE108" s="145"/>
      <c r="FI108" s="146"/>
      <c r="FL108" s="153"/>
      <c r="FM108" s="154"/>
      <c r="FN108" s="154"/>
    </row>
    <row r="109" spans="2:170" ht="16" x14ac:dyDescent="0.2">
      <c r="B109" s="140"/>
      <c r="G109" s="142"/>
      <c r="J109" s="146"/>
      <c r="K109" s="146"/>
      <c r="L109" s="146"/>
      <c r="Y109" s="136"/>
      <c r="Z109" s="140"/>
      <c r="AB109" s="155"/>
      <c r="AC109" s="155"/>
      <c r="AD109" s="155"/>
      <c r="AE109" s="156"/>
      <c r="AF109" s="156"/>
      <c r="AG109" s="157"/>
      <c r="AH109" s="157"/>
      <c r="AK109" s="141"/>
      <c r="AL109" s="141"/>
      <c r="BJ109" s="139"/>
      <c r="BO109" s="139"/>
      <c r="BQ109" s="143"/>
      <c r="BS109" s="143"/>
      <c r="CB109" s="143"/>
      <c r="CJ109" s="142"/>
      <c r="CO109" s="143"/>
      <c r="CQ109" s="143"/>
      <c r="CR109" s="143"/>
      <c r="CS109" s="139"/>
      <c r="DI109" s="139"/>
      <c r="DW109" s="142"/>
      <c r="EC109" s="143"/>
      <c r="EO109" s="144"/>
      <c r="EP109" s="144"/>
      <c r="EX109" s="144"/>
      <c r="EY109" s="144"/>
      <c r="FE109" s="145"/>
      <c r="FI109" s="146"/>
      <c r="FL109" s="153"/>
      <c r="FM109" s="154"/>
      <c r="FN109" s="154"/>
    </row>
    <row r="110" spans="2:170" ht="16" x14ac:dyDescent="0.2">
      <c r="B110" s="140"/>
      <c r="G110" s="142"/>
      <c r="J110" s="146"/>
      <c r="K110" s="146"/>
      <c r="L110" s="146"/>
      <c r="Y110" s="136"/>
      <c r="Z110" s="140"/>
      <c r="AB110" s="150"/>
      <c r="AC110" s="150"/>
      <c r="AD110" s="150"/>
      <c r="AE110" s="151"/>
      <c r="AF110" s="151"/>
      <c r="AG110" s="152"/>
      <c r="AH110" s="152"/>
      <c r="AK110" s="141"/>
      <c r="AL110" s="141"/>
      <c r="BJ110" s="139"/>
      <c r="BO110" s="139"/>
      <c r="BQ110" s="143"/>
      <c r="BS110" s="143"/>
      <c r="CB110" s="143"/>
      <c r="CJ110" s="142"/>
      <c r="CO110" s="143"/>
      <c r="CQ110" s="143"/>
      <c r="CR110" s="143"/>
      <c r="CS110" s="139"/>
      <c r="DI110" s="139"/>
      <c r="DW110" s="142"/>
      <c r="EC110" s="143"/>
      <c r="EO110" s="144"/>
      <c r="EP110" s="144"/>
      <c r="EX110" s="144"/>
      <c r="EY110" s="144"/>
      <c r="FE110" s="145"/>
      <c r="FI110" s="146"/>
      <c r="FL110" s="153"/>
      <c r="FM110" s="154"/>
      <c r="FN110" s="154"/>
    </row>
    <row r="111" spans="2:170" ht="16" x14ac:dyDescent="0.2">
      <c r="B111" s="140"/>
      <c r="G111" s="142"/>
      <c r="J111" s="146"/>
      <c r="K111" s="146"/>
      <c r="L111" s="146"/>
      <c r="Y111" s="136"/>
      <c r="Z111" s="140"/>
      <c r="AB111" s="150"/>
      <c r="AC111" s="150"/>
      <c r="AD111" s="150"/>
      <c r="AE111" s="151"/>
      <c r="AF111" s="151"/>
      <c r="AG111" s="152"/>
      <c r="AH111" s="152"/>
      <c r="AK111" s="141"/>
      <c r="AL111" s="141"/>
      <c r="BJ111" s="139"/>
      <c r="BO111" s="139"/>
      <c r="BQ111" s="143"/>
      <c r="BS111" s="143"/>
      <c r="CB111" s="143"/>
      <c r="CJ111" s="142"/>
      <c r="CO111" s="143"/>
      <c r="CQ111" s="143"/>
      <c r="CR111" s="143"/>
      <c r="CS111" s="139"/>
      <c r="DI111" s="139"/>
      <c r="DW111" s="142"/>
      <c r="EC111" s="143"/>
      <c r="EO111" s="144"/>
      <c r="EP111" s="144"/>
      <c r="EX111" s="144"/>
      <c r="EY111" s="144"/>
      <c r="FE111" s="145"/>
      <c r="FI111" s="146"/>
      <c r="FL111" s="153"/>
      <c r="FM111" s="154"/>
      <c r="FN111" s="154"/>
    </row>
    <row r="112" spans="2:170" ht="16" x14ac:dyDescent="0.2">
      <c r="B112" s="140"/>
      <c r="G112" s="142"/>
      <c r="J112" s="146"/>
      <c r="K112" s="146"/>
      <c r="L112" s="146"/>
      <c r="Y112" s="136"/>
      <c r="Z112" s="140"/>
      <c r="AB112" s="155"/>
      <c r="AC112" s="155"/>
      <c r="AD112" s="155"/>
      <c r="AE112" s="156"/>
      <c r="AF112" s="156"/>
      <c r="AG112" s="157"/>
      <c r="AH112" s="157"/>
      <c r="AK112" s="141"/>
      <c r="AL112" s="141"/>
      <c r="BJ112" s="139"/>
      <c r="BO112" s="139"/>
      <c r="BQ112" s="143"/>
      <c r="BS112" s="143"/>
      <c r="CB112" s="143"/>
      <c r="CJ112" s="142"/>
      <c r="CO112" s="143"/>
      <c r="CQ112" s="143"/>
      <c r="CR112" s="143"/>
      <c r="CS112" s="139"/>
      <c r="DI112" s="139"/>
      <c r="DW112" s="142"/>
      <c r="EC112" s="143"/>
      <c r="EO112" s="144"/>
      <c r="EP112" s="144"/>
      <c r="EX112" s="144"/>
      <c r="EY112" s="144"/>
      <c r="FE112" s="145"/>
      <c r="FI112" s="146"/>
      <c r="FL112" s="153"/>
      <c r="FM112" s="154"/>
      <c r="FN112" s="154"/>
    </row>
    <row r="113" spans="2:170" ht="16" x14ac:dyDescent="0.2">
      <c r="B113" s="140"/>
      <c r="G113" s="142"/>
      <c r="J113" s="146"/>
      <c r="K113" s="146"/>
      <c r="L113" s="146"/>
      <c r="Y113" s="136"/>
      <c r="Z113" s="140"/>
      <c r="AB113" s="150"/>
      <c r="AC113" s="150"/>
      <c r="AD113" s="150"/>
      <c r="AE113" s="151"/>
      <c r="AF113" s="151"/>
      <c r="AG113" s="152"/>
      <c r="AH113" s="152"/>
      <c r="AK113" s="141"/>
      <c r="AL113" s="141"/>
      <c r="BJ113" s="139"/>
      <c r="BO113" s="139"/>
      <c r="BQ113" s="143"/>
      <c r="BS113" s="143"/>
      <c r="CB113" s="143"/>
      <c r="CJ113" s="142"/>
      <c r="CO113" s="143"/>
      <c r="CQ113" s="143"/>
      <c r="CR113" s="143"/>
      <c r="CS113" s="139"/>
      <c r="DI113" s="139"/>
      <c r="DW113" s="142"/>
      <c r="EC113" s="143"/>
      <c r="EO113" s="144"/>
      <c r="EP113" s="144"/>
      <c r="EX113" s="144"/>
      <c r="EY113" s="144"/>
      <c r="FE113" s="145"/>
      <c r="FI113" s="146"/>
      <c r="FL113" s="153"/>
      <c r="FM113" s="146"/>
      <c r="FN113" s="146"/>
    </row>
  </sheetData>
  <mergeCells count="1">
    <mergeCell ref="S2:W2"/>
  </mergeCells>
  <hyperlinks>
    <hyperlink ref="Y5" r:id="rId1" display="http://www.pnas.org/cgi/doi/10.1073/pnas.1905989116" xr:uid="{7661D267-7564-DB40-94C5-534D811CD74B}"/>
    <hyperlink ref="Y4" r:id="rId2" display="http://www.pnas.org/cgi/doi/10.1073/pnas.1905989116" xr:uid="{DE35F63E-A402-7B45-BF3A-4CFC824420C6}"/>
    <hyperlink ref="Y4:Y5" r:id="rId3" display="http://www.pnas.org/cgi/doi/10.1073/pnas.1905989116" xr:uid="{DEC7CE08-5444-F54B-9F81-B82B75BF27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2023-06-12T17:32:30Z</dcterms:modified>
</cp:coreProperties>
</file>