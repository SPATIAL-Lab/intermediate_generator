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7EA5F213-4FBD-AC44-AEB7-252DC1CEEE49}" xr6:coauthVersionLast="47" xr6:coauthVersionMax="47" xr10:uidLastSave="{00000000-0000-0000-0000-000000000000}"/>
  <bookViews>
    <workbookView xWindow="780" yWindow="500" windowWidth="25960" windowHeight="159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K83" i="1" l="1"/>
  <c r="L83" i="1"/>
  <c r="K84" i="1"/>
  <c r="L84" i="1"/>
  <c r="K85" i="1"/>
  <c r="L85" i="1"/>
  <c r="K78" i="1"/>
  <c r="L78" i="1"/>
  <c r="K79" i="1"/>
  <c r="L79" i="1"/>
  <c r="K80" i="1"/>
  <c r="L80" i="1"/>
  <c r="K81" i="1"/>
  <c r="L81" i="1"/>
  <c r="K82" i="1"/>
  <c r="L82" i="1"/>
  <c r="F6" i="1"/>
  <c r="H6" i="1"/>
  <c r="I6" i="1"/>
  <c r="J6" i="1"/>
  <c r="K6" i="1"/>
  <c r="L6" i="1"/>
  <c r="F7" i="1"/>
  <c r="H7" i="1"/>
  <c r="I7" i="1"/>
  <c r="J7" i="1"/>
  <c r="K7" i="1"/>
  <c r="L7" i="1"/>
  <c r="F8" i="1"/>
  <c r="H8" i="1"/>
  <c r="I8" i="1"/>
  <c r="J8" i="1"/>
  <c r="K8" i="1"/>
  <c r="L8" i="1"/>
  <c r="F9" i="1"/>
  <c r="H9" i="1"/>
  <c r="I9" i="1"/>
  <c r="J9" i="1"/>
  <c r="K9" i="1"/>
  <c r="L9" i="1"/>
  <c r="F10" i="1"/>
  <c r="H10" i="1"/>
  <c r="I10" i="1"/>
  <c r="J10" i="1"/>
  <c r="K10" i="1"/>
  <c r="L10" i="1"/>
  <c r="F11" i="1"/>
  <c r="H11" i="1"/>
  <c r="I11" i="1"/>
  <c r="J11" i="1"/>
  <c r="K11" i="1"/>
  <c r="L11" i="1"/>
  <c r="F12" i="1"/>
  <c r="H12" i="1"/>
  <c r="I12" i="1"/>
  <c r="J12" i="1"/>
  <c r="K12" i="1"/>
  <c r="L12" i="1"/>
  <c r="F13" i="1"/>
  <c r="H13" i="1"/>
  <c r="I13" i="1"/>
  <c r="J13" i="1"/>
  <c r="K13" i="1"/>
  <c r="L13" i="1"/>
  <c r="F14" i="1"/>
  <c r="H14" i="1"/>
  <c r="I14" i="1"/>
  <c r="J14" i="1"/>
  <c r="K14" i="1"/>
  <c r="L14" i="1"/>
  <c r="F15" i="1"/>
  <c r="H15" i="1"/>
  <c r="I15" i="1"/>
  <c r="J15" i="1"/>
  <c r="K15" i="1"/>
  <c r="L15" i="1"/>
  <c r="F16" i="1"/>
  <c r="H16" i="1"/>
  <c r="I16" i="1"/>
  <c r="J16" i="1"/>
  <c r="K16" i="1"/>
  <c r="L16" i="1"/>
  <c r="F17" i="1"/>
  <c r="H17" i="1"/>
  <c r="I17" i="1"/>
  <c r="J17" i="1"/>
  <c r="K17" i="1"/>
  <c r="L17" i="1"/>
  <c r="F18" i="1"/>
  <c r="H18" i="1"/>
  <c r="I18" i="1"/>
  <c r="J18" i="1"/>
  <c r="K18" i="1"/>
  <c r="L18" i="1"/>
  <c r="F19" i="1"/>
  <c r="H19" i="1"/>
  <c r="I19" i="1"/>
  <c r="J19" i="1"/>
  <c r="K19" i="1"/>
  <c r="L19" i="1"/>
  <c r="F20" i="1"/>
  <c r="H20" i="1"/>
  <c r="I20" i="1"/>
  <c r="J20" i="1"/>
  <c r="K20" i="1"/>
  <c r="L20" i="1"/>
  <c r="F21" i="1"/>
  <c r="H21" i="1"/>
  <c r="I21" i="1"/>
  <c r="J21" i="1"/>
  <c r="K21" i="1"/>
  <c r="L21" i="1"/>
  <c r="F22" i="1"/>
  <c r="H22" i="1"/>
  <c r="I22" i="1"/>
  <c r="J22" i="1"/>
  <c r="K22" i="1"/>
  <c r="L22" i="1"/>
  <c r="F23" i="1"/>
  <c r="H23" i="1"/>
  <c r="I23" i="1"/>
  <c r="J23" i="1"/>
  <c r="K23" i="1"/>
  <c r="L23" i="1"/>
  <c r="F24" i="1"/>
  <c r="H24" i="1"/>
  <c r="I24" i="1"/>
  <c r="J24" i="1"/>
  <c r="K24" i="1"/>
  <c r="L24" i="1"/>
  <c r="F25" i="1"/>
  <c r="H25" i="1"/>
  <c r="I25" i="1"/>
  <c r="J25" i="1"/>
  <c r="K25" i="1"/>
  <c r="L25" i="1"/>
  <c r="F26" i="1"/>
  <c r="H26" i="1"/>
  <c r="I26" i="1"/>
  <c r="J26" i="1"/>
  <c r="K26" i="1"/>
  <c r="L26" i="1"/>
  <c r="F27" i="1"/>
  <c r="H27" i="1"/>
  <c r="I27" i="1"/>
  <c r="J27" i="1"/>
  <c r="K27" i="1"/>
  <c r="L27" i="1"/>
  <c r="F28" i="1"/>
  <c r="H28" i="1"/>
  <c r="I28" i="1"/>
  <c r="J28" i="1"/>
  <c r="K28" i="1"/>
  <c r="L28" i="1"/>
  <c r="F29" i="1"/>
  <c r="H29" i="1"/>
  <c r="I29" i="1"/>
  <c r="J29" i="1"/>
  <c r="K29" i="1"/>
  <c r="L29" i="1"/>
  <c r="F30" i="1"/>
  <c r="H30" i="1"/>
  <c r="I30" i="1"/>
  <c r="J30" i="1"/>
  <c r="K30" i="1"/>
  <c r="L30" i="1"/>
  <c r="F31" i="1"/>
  <c r="H31" i="1"/>
  <c r="I31" i="1"/>
  <c r="J31" i="1"/>
  <c r="K31" i="1"/>
  <c r="L31" i="1"/>
  <c r="F32" i="1"/>
  <c r="H32" i="1"/>
  <c r="I32" i="1"/>
  <c r="J32" i="1"/>
  <c r="K32" i="1"/>
  <c r="L32" i="1"/>
  <c r="F33" i="1"/>
  <c r="H33" i="1"/>
  <c r="I33" i="1"/>
  <c r="J33" i="1"/>
  <c r="K33" i="1"/>
  <c r="L33" i="1"/>
  <c r="F34" i="1"/>
  <c r="H34" i="1"/>
  <c r="I34" i="1"/>
  <c r="J34" i="1"/>
  <c r="K34" i="1"/>
  <c r="L34" i="1"/>
  <c r="F35" i="1"/>
  <c r="H35" i="1"/>
  <c r="I35" i="1"/>
  <c r="J35" i="1"/>
  <c r="K35" i="1"/>
  <c r="L35" i="1"/>
  <c r="F36" i="1"/>
  <c r="H36" i="1"/>
  <c r="I36" i="1"/>
  <c r="J36" i="1"/>
  <c r="K36" i="1"/>
  <c r="L36" i="1"/>
  <c r="F37" i="1"/>
  <c r="H37" i="1"/>
  <c r="I37" i="1"/>
  <c r="J37" i="1"/>
  <c r="K37" i="1"/>
  <c r="L37" i="1"/>
  <c r="F38" i="1"/>
  <c r="H38" i="1"/>
  <c r="I38" i="1"/>
  <c r="J38" i="1"/>
  <c r="K38" i="1"/>
  <c r="L38" i="1"/>
  <c r="F39" i="1"/>
  <c r="H39" i="1"/>
  <c r="I39" i="1"/>
  <c r="J39" i="1"/>
  <c r="K39" i="1"/>
  <c r="L39" i="1"/>
  <c r="F40" i="1"/>
  <c r="H40" i="1"/>
  <c r="I40" i="1"/>
  <c r="J40" i="1"/>
  <c r="K40" i="1"/>
  <c r="L40" i="1"/>
  <c r="F41" i="1"/>
  <c r="H41" i="1"/>
  <c r="I41" i="1"/>
  <c r="J41" i="1"/>
  <c r="K41" i="1"/>
  <c r="L41" i="1"/>
  <c r="F42" i="1"/>
  <c r="H42" i="1"/>
  <c r="I42" i="1"/>
  <c r="J42" i="1"/>
  <c r="K42" i="1"/>
  <c r="L42" i="1"/>
  <c r="F43" i="1"/>
  <c r="H43" i="1"/>
  <c r="I43" i="1"/>
  <c r="J43" i="1"/>
  <c r="K43" i="1"/>
  <c r="L43" i="1"/>
  <c r="F44" i="1"/>
  <c r="H44" i="1"/>
  <c r="I44" i="1"/>
  <c r="J44" i="1"/>
  <c r="K44" i="1"/>
  <c r="L44" i="1"/>
  <c r="F45" i="1"/>
  <c r="H45" i="1"/>
  <c r="I45" i="1"/>
  <c r="J45" i="1"/>
  <c r="K45" i="1"/>
  <c r="L45" i="1"/>
  <c r="F46" i="1"/>
  <c r="H46" i="1"/>
  <c r="I46" i="1"/>
  <c r="J46" i="1"/>
  <c r="K46" i="1"/>
  <c r="L46" i="1"/>
  <c r="F47" i="1"/>
  <c r="H47" i="1"/>
  <c r="I47" i="1"/>
  <c r="J47" i="1"/>
  <c r="K47" i="1"/>
  <c r="L47" i="1"/>
  <c r="F48" i="1"/>
  <c r="H48" i="1"/>
  <c r="I48" i="1"/>
  <c r="J48" i="1"/>
  <c r="K48" i="1"/>
  <c r="L48" i="1"/>
  <c r="F49" i="1"/>
  <c r="H49" i="1"/>
  <c r="I49" i="1"/>
  <c r="J49" i="1"/>
  <c r="K49" i="1"/>
  <c r="L49" i="1"/>
  <c r="F50" i="1"/>
  <c r="H50" i="1"/>
  <c r="I50" i="1"/>
  <c r="J50" i="1"/>
  <c r="K50" i="1"/>
  <c r="L50" i="1"/>
  <c r="F51" i="1"/>
  <c r="H51" i="1"/>
  <c r="I51" i="1"/>
  <c r="J51" i="1"/>
  <c r="K51" i="1"/>
  <c r="L51" i="1"/>
  <c r="F52" i="1"/>
  <c r="H52" i="1"/>
  <c r="I52" i="1"/>
  <c r="J52" i="1"/>
  <c r="K52" i="1"/>
  <c r="L52" i="1"/>
  <c r="F53" i="1"/>
  <c r="H53" i="1"/>
  <c r="I53" i="1"/>
  <c r="J53" i="1"/>
  <c r="K53" i="1"/>
  <c r="L53" i="1"/>
  <c r="F54" i="1"/>
  <c r="H54" i="1"/>
  <c r="I54" i="1"/>
  <c r="J54" i="1"/>
  <c r="K54" i="1"/>
  <c r="L54" i="1"/>
  <c r="F55" i="1"/>
  <c r="H55" i="1"/>
  <c r="I55" i="1"/>
  <c r="J55" i="1"/>
  <c r="K55" i="1"/>
  <c r="L55" i="1"/>
  <c r="F56" i="1"/>
  <c r="H56" i="1"/>
  <c r="I56" i="1"/>
  <c r="J56" i="1"/>
  <c r="K56" i="1"/>
  <c r="L56" i="1"/>
  <c r="F57" i="1"/>
  <c r="H57" i="1"/>
  <c r="I57" i="1"/>
  <c r="J57" i="1"/>
  <c r="K57" i="1"/>
  <c r="L57" i="1"/>
  <c r="F58" i="1"/>
  <c r="H58" i="1"/>
  <c r="I58" i="1"/>
  <c r="J58" i="1"/>
  <c r="K58" i="1"/>
  <c r="L58" i="1"/>
  <c r="F59" i="1"/>
  <c r="H59" i="1"/>
  <c r="I59" i="1"/>
  <c r="J59" i="1"/>
  <c r="K59" i="1"/>
  <c r="L59" i="1"/>
  <c r="F60" i="1"/>
  <c r="H60" i="1"/>
  <c r="I60" i="1"/>
  <c r="J60" i="1"/>
  <c r="K60" i="1"/>
  <c r="L60" i="1"/>
  <c r="F61" i="1"/>
  <c r="H61" i="1"/>
  <c r="I61" i="1"/>
  <c r="J61" i="1"/>
  <c r="K61" i="1"/>
  <c r="L61" i="1"/>
  <c r="F62" i="1"/>
  <c r="H62" i="1"/>
  <c r="I62" i="1"/>
  <c r="J62" i="1"/>
  <c r="K62" i="1"/>
  <c r="L62" i="1"/>
  <c r="F63" i="1"/>
  <c r="H63" i="1"/>
  <c r="I63" i="1"/>
  <c r="J63" i="1"/>
  <c r="K63" i="1"/>
  <c r="L63" i="1"/>
  <c r="F64" i="1"/>
  <c r="H64" i="1"/>
  <c r="I64" i="1"/>
  <c r="J64" i="1"/>
  <c r="K64" i="1"/>
  <c r="L64" i="1"/>
  <c r="F65" i="1"/>
  <c r="H65" i="1"/>
  <c r="I65" i="1"/>
  <c r="J65" i="1"/>
  <c r="K65" i="1"/>
  <c r="L65" i="1"/>
  <c r="F66" i="1"/>
  <c r="H66" i="1"/>
  <c r="I66" i="1"/>
  <c r="J66" i="1"/>
  <c r="K66" i="1"/>
  <c r="L66" i="1"/>
  <c r="F67" i="1"/>
  <c r="H67" i="1"/>
  <c r="I67" i="1"/>
  <c r="J67" i="1"/>
  <c r="K67" i="1"/>
  <c r="L67" i="1"/>
  <c r="F68" i="1"/>
  <c r="H68" i="1"/>
  <c r="I68" i="1"/>
  <c r="J68" i="1"/>
  <c r="K68" i="1"/>
  <c r="L68" i="1"/>
  <c r="F69" i="1"/>
  <c r="H69" i="1"/>
  <c r="I69" i="1"/>
  <c r="J69" i="1"/>
  <c r="K69" i="1"/>
  <c r="L69" i="1"/>
  <c r="F70" i="1"/>
  <c r="H70" i="1"/>
  <c r="I70" i="1"/>
  <c r="J70" i="1"/>
  <c r="K70" i="1"/>
  <c r="L70" i="1"/>
  <c r="F71" i="1"/>
  <c r="H71" i="1"/>
  <c r="I71" i="1"/>
  <c r="J71" i="1"/>
  <c r="K71" i="1"/>
  <c r="L71" i="1"/>
  <c r="F72" i="1"/>
  <c r="H72" i="1"/>
  <c r="I72" i="1"/>
  <c r="J72" i="1"/>
  <c r="K72" i="1"/>
  <c r="L72" i="1"/>
  <c r="F73" i="1"/>
  <c r="H73" i="1"/>
  <c r="I73" i="1"/>
  <c r="J73" i="1"/>
  <c r="K73" i="1"/>
  <c r="L73" i="1"/>
  <c r="F74" i="1"/>
  <c r="H74" i="1"/>
  <c r="I74" i="1"/>
  <c r="J74" i="1"/>
  <c r="K74" i="1"/>
  <c r="L74" i="1"/>
  <c r="F75" i="1"/>
  <c r="H75" i="1"/>
  <c r="I75" i="1"/>
  <c r="J75" i="1"/>
  <c r="K75" i="1"/>
  <c r="L75" i="1"/>
  <c r="F76" i="1"/>
  <c r="H76" i="1"/>
  <c r="I76" i="1"/>
  <c r="J76" i="1"/>
  <c r="K76" i="1"/>
  <c r="L76" i="1"/>
  <c r="F77" i="1"/>
  <c r="H77" i="1"/>
  <c r="I77" i="1"/>
  <c r="J77" i="1"/>
  <c r="K77" i="1"/>
  <c r="L77" i="1"/>
  <c r="F78" i="1"/>
  <c r="G78" i="1"/>
  <c r="H78" i="1"/>
  <c r="I78" i="1"/>
  <c r="J78" i="1"/>
  <c r="F79" i="1"/>
  <c r="G79" i="1"/>
  <c r="H79" i="1"/>
  <c r="I79" i="1"/>
  <c r="J79" i="1"/>
  <c r="F80" i="1"/>
  <c r="G80" i="1"/>
  <c r="H80" i="1"/>
  <c r="I80" i="1"/>
  <c r="J80" i="1"/>
  <c r="F81" i="1"/>
  <c r="G81" i="1"/>
  <c r="H81" i="1"/>
  <c r="I81" i="1"/>
  <c r="J81" i="1"/>
  <c r="F82" i="1"/>
  <c r="G82" i="1"/>
  <c r="H82" i="1"/>
  <c r="I82" i="1"/>
  <c r="J82" i="1"/>
  <c r="F83" i="1"/>
  <c r="G83" i="1"/>
  <c r="H83" i="1"/>
  <c r="I83" i="1"/>
  <c r="J83" i="1"/>
  <c r="F84" i="1"/>
  <c r="G84" i="1"/>
  <c r="H84" i="1"/>
  <c r="I84" i="1"/>
  <c r="J84" i="1"/>
  <c r="F85" i="1"/>
  <c r="G85" i="1"/>
  <c r="H85" i="1"/>
  <c r="I85" i="1"/>
  <c r="J85" i="1"/>
  <c r="L5" i="1"/>
  <c r="K5" i="1"/>
  <c r="J5" i="1"/>
  <c r="I5" i="1"/>
  <c r="H5" i="1"/>
  <c r="F5" i="1"/>
  <c r="FI85" i="1"/>
  <c r="CB85" i="1"/>
  <c r="FI84" i="1"/>
  <c r="CB84" i="1"/>
  <c r="FI83" i="1"/>
  <c r="CB83" i="1"/>
  <c r="FI82" i="1"/>
  <c r="CB82" i="1"/>
  <c r="FI81" i="1"/>
  <c r="CB81" i="1"/>
  <c r="FI80" i="1"/>
  <c r="CB80" i="1"/>
  <c r="FI79" i="1"/>
  <c r="CB79" i="1"/>
  <c r="FI78" i="1"/>
  <c r="CB78" i="1"/>
  <c r="CR77" i="1"/>
  <c r="CQ77" i="1"/>
  <c r="CB77" i="1"/>
  <c r="CR76" i="1"/>
  <c r="CQ76" i="1"/>
  <c r="CB76" i="1"/>
  <c r="CR75" i="1"/>
  <c r="CQ75" i="1"/>
  <c r="CB75" i="1"/>
  <c r="CR74" i="1"/>
  <c r="CQ74" i="1"/>
  <c r="CB74" i="1"/>
  <c r="CR73" i="1"/>
  <c r="CQ73" i="1"/>
  <c r="CB73" i="1"/>
  <c r="CR72" i="1"/>
  <c r="CQ72" i="1"/>
  <c r="CB72" i="1"/>
  <c r="CR71" i="1"/>
  <c r="CQ71" i="1"/>
  <c r="CB71" i="1"/>
  <c r="CR70" i="1"/>
  <c r="CQ70" i="1"/>
  <c r="CB70" i="1"/>
  <c r="CR69" i="1"/>
  <c r="CQ69" i="1"/>
  <c r="CB69" i="1"/>
  <c r="CR68" i="1"/>
  <c r="CQ68" i="1"/>
  <c r="CB68" i="1"/>
  <c r="CR67" i="1"/>
  <c r="CQ67" i="1"/>
  <c r="CB67" i="1"/>
  <c r="CR66" i="1"/>
  <c r="CQ66" i="1"/>
  <c r="CB66" i="1"/>
  <c r="CR65" i="1"/>
  <c r="CQ65" i="1"/>
  <c r="CB65" i="1"/>
  <c r="CR64" i="1"/>
  <c r="CQ64" i="1"/>
  <c r="CB64" i="1"/>
  <c r="CR63" i="1"/>
  <c r="CQ63" i="1"/>
  <c r="CB63" i="1"/>
  <c r="CR62" i="1"/>
  <c r="CQ62" i="1"/>
  <c r="CB62" i="1"/>
  <c r="CR61" i="1"/>
  <c r="CQ61" i="1"/>
  <c r="CB61" i="1"/>
  <c r="CR60" i="1"/>
  <c r="CQ60" i="1"/>
  <c r="CB60" i="1"/>
  <c r="CR59" i="1"/>
  <c r="CQ59" i="1"/>
  <c r="CB59" i="1"/>
  <c r="CR58" i="1"/>
  <c r="CQ58" i="1"/>
  <c r="CB58" i="1"/>
  <c r="CR57" i="1"/>
  <c r="CQ57" i="1"/>
  <c r="CB57" i="1"/>
  <c r="CR56" i="1"/>
  <c r="CQ56" i="1"/>
  <c r="CB56" i="1"/>
  <c r="CR55" i="1"/>
  <c r="CQ55" i="1"/>
  <c r="CB55" i="1"/>
  <c r="CR54" i="1"/>
  <c r="CQ54" i="1"/>
  <c r="CB54" i="1"/>
  <c r="CR53" i="1"/>
  <c r="CQ53" i="1"/>
  <c r="CB53" i="1"/>
  <c r="CR52" i="1"/>
  <c r="CQ52" i="1"/>
  <c r="CB52" i="1"/>
  <c r="CR51" i="1"/>
  <c r="CQ51" i="1"/>
  <c r="CB51" i="1"/>
  <c r="CR50" i="1"/>
  <c r="CQ50" i="1"/>
  <c r="CB50" i="1"/>
  <c r="CR49" i="1"/>
  <c r="CQ49" i="1"/>
  <c r="CB49" i="1"/>
  <c r="CR48" i="1"/>
  <c r="CQ48" i="1"/>
  <c r="CB48" i="1"/>
  <c r="CR47" i="1"/>
  <c r="CQ47" i="1"/>
  <c r="CB47" i="1"/>
  <c r="CR46" i="1"/>
  <c r="CQ46" i="1"/>
  <c r="CB46" i="1"/>
  <c r="CR45" i="1"/>
  <c r="CQ45" i="1"/>
  <c r="CB45" i="1"/>
  <c r="CR44" i="1"/>
  <c r="CQ44" i="1"/>
  <c r="CB44" i="1"/>
  <c r="CR43" i="1"/>
  <c r="CQ43" i="1"/>
  <c r="CB43" i="1"/>
  <c r="CR42" i="1"/>
  <c r="CQ42" i="1"/>
  <c r="CB42" i="1"/>
  <c r="CR41" i="1"/>
  <c r="CQ41" i="1"/>
  <c r="CB41" i="1"/>
  <c r="CR40" i="1"/>
  <c r="CQ40" i="1"/>
  <c r="CB40" i="1"/>
  <c r="CR39" i="1"/>
  <c r="CQ39" i="1"/>
  <c r="CB39" i="1"/>
  <c r="CR38" i="1"/>
  <c r="CQ38" i="1"/>
  <c r="CB38" i="1"/>
  <c r="CR37" i="1"/>
  <c r="CQ37" i="1"/>
  <c r="CB37" i="1"/>
  <c r="CR36" i="1"/>
  <c r="CQ36" i="1"/>
  <c r="CB36" i="1"/>
  <c r="CR35" i="1"/>
  <c r="CQ35" i="1"/>
  <c r="CB35" i="1"/>
  <c r="CR34" i="1"/>
  <c r="CQ34" i="1"/>
  <c r="CB34" i="1"/>
  <c r="CR33" i="1"/>
  <c r="CQ33" i="1"/>
  <c r="CB33" i="1"/>
  <c r="CR32" i="1"/>
  <c r="CQ32" i="1"/>
  <c r="CB32" i="1"/>
  <c r="CR31" i="1"/>
  <c r="CQ31" i="1"/>
  <c r="CB31" i="1"/>
  <c r="CR30" i="1"/>
  <c r="CQ30" i="1"/>
  <c r="CB30" i="1"/>
  <c r="CR29" i="1"/>
  <c r="CQ29" i="1"/>
  <c r="CB29" i="1"/>
  <c r="CR28" i="1"/>
  <c r="CQ28" i="1"/>
  <c r="CB28" i="1"/>
  <c r="CR27" i="1"/>
  <c r="CQ27" i="1"/>
  <c r="CB27" i="1"/>
  <c r="CR26" i="1"/>
  <c r="CQ26" i="1"/>
  <c r="CB26" i="1"/>
  <c r="CR25" i="1"/>
  <c r="CQ25" i="1"/>
  <c r="CB25" i="1"/>
  <c r="CR24" i="1"/>
  <c r="CQ24" i="1"/>
  <c r="CB24" i="1"/>
  <c r="CR23" i="1"/>
  <c r="CQ23" i="1"/>
  <c r="CB23" i="1"/>
  <c r="CR22" i="1"/>
  <c r="CQ22" i="1"/>
  <c r="CB22" i="1"/>
  <c r="CR21" i="1"/>
  <c r="CQ21" i="1"/>
  <c r="CB21" i="1"/>
  <c r="CR20" i="1"/>
  <c r="CQ20" i="1"/>
  <c r="CB20" i="1"/>
  <c r="CR19" i="1"/>
  <c r="CQ19" i="1"/>
  <c r="CB19" i="1"/>
  <c r="CR18" i="1"/>
  <c r="CQ18" i="1"/>
  <c r="CB18" i="1"/>
  <c r="CR17" i="1"/>
  <c r="CQ17" i="1"/>
  <c r="CB17" i="1"/>
  <c r="CR16" i="1"/>
  <c r="CQ16" i="1"/>
  <c r="CB16" i="1"/>
  <c r="CR15" i="1"/>
  <c r="CQ15" i="1"/>
  <c r="CB15" i="1"/>
  <c r="CR14" i="1"/>
  <c r="CQ14" i="1"/>
  <c r="CB14" i="1"/>
  <c r="CR13" i="1"/>
  <c r="CQ13" i="1"/>
  <c r="CB13" i="1"/>
  <c r="CR12" i="1"/>
  <c r="CQ12" i="1"/>
  <c r="CB12" i="1"/>
  <c r="CR11" i="1"/>
  <c r="CQ11" i="1"/>
  <c r="CB11" i="1"/>
  <c r="CR10" i="1"/>
  <c r="CQ10" i="1"/>
  <c r="CB10" i="1"/>
  <c r="CR9" i="1"/>
  <c r="CQ9" i="1"/>
  <c r="CB9" i="1"/>
  <c r="CR8" i="1"/>
  <c r="CQ8" i="1"/>
  <c r="CB8" i="1"/>
  <c r="CR7" i="1"/>
  <c r="CQ7" i="1"/>
  <c r="CB7" i="1"/>
  <c r="FI6" i="1"/>
  <c r="CR6" i="1"/>
  <c r="CQ6" i="1"/>
  <c r="CB6" i="1"/>
  <c r="FI5" i="1"/>
  <c r="CR5" i="1"/>
  <c r="CQ5" i="1"/>
  <c r="CB5" i="1"/>
  <c r="FI4" i="1"/>
  <c r="CR4" i="1"/>
  <c r="CQ4" i="1"/>
  <c r="CB4" i="1"/>
  <c r="I4" i="1"/>
  <c r="H4" i="1"/>
  <c r="K4" i="1"/>
  <c r="L4" i="1"/>
  <c r="J4" i="1"/>
  <c r="F4" i="1"/>
</calcChain>
</file>

<file path=xl/sharedStrings.xml><?xml version="1.0" encoding="utf-8"?>
<sst xmlns="http://schemas.openxmlformats.org/spreadsheetml/2006/main" count="10376" uniqueCount="265">
  <si>
    <t>name of person entering product data</t>
  </si>
  <si>
    <t>email of person entering product data</t>
  </si>
  <si>
    <t>proxy</t>
  </si>
  <si>
    <t>first_author_last_name</t>
  </si>
  <si>
    <t>publication_year</t>
  </si>
  <si>
    <t>doi</t>
  </si>
  <si>
    <t>age_ka</t>
  </si>
  <si>
    <t>Age_uncertainty_pos_ka</t>
  </si>
  <si>
    <t>Age_uncertainty_neg_ka</t>
  </si>
  <si>
    <t>specify reason for quarantine</t>
  </si>
  <si>
    <t>specify reason for age revision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</si>
  <si>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</si>
  <si>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</si>
  <si>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</si>
  <si>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</si>
  <si>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</si>
  <si>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</si>
  <si>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</si>
  <si>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</si>
  <si>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</si>
  <si>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</si>
  <si>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</si>
  <si>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</si>
  <si>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</si>
  <si>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</si>
  <si>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</si>
  <si>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</si>
  <si>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</si>
  <si>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</si>
  <si>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</si>
  <si>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</si>
  <si>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</si>
  <si>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</si>
  <si>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</si>
  <si>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</si>
  <si>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</si>
  <si>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</si>
  <si>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</si>
  <si>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</si>
  <si>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</si>
  <si>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</si>
  <si>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</si>
  <si>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</si>
  <si>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</si>
  <si>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</si>
  <si>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</si>
  <si>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</si>
  <si>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</si>
  <si>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</si>
  <si>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</si>
  <si>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</si>
  <si>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</si>
  <si>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</si>
  <si>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</si>
  <si>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</si>
  <si>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</si>
  <si>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</si>
  <si>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</si>
  <si>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</si>
  <si>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</si>
  <si>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</si>
  <si>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</si>
  <si>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</si>
  <si>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charset val="2"/>
      </rPr>
      <t>s</t>
    </r>
    <r>
      <rPr>
        <sz val="11"/>
        <color theme="1"/>
        <rFont val="Calibri"/>
        <family val="2"/>
        <scheme val="minor"/>
      </rPr>
      <t xml:space="preserve"> Age uncertainty pos (ka)</t>
    </r>
  </si>
  <si>
    <r>
      <t>2</t>
    </r>
    <r>
      <rPr>
        <sz val="12"/>
        <color theme="1"/>
        <rFont val="Symbol"/>
        <charset val="2"/>
      </rPr>
      <t>s</t>
    </r>
    <r>
      <rPr>
        <sz val="11"/>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</si>
  <si>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</si>
  <si>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</si>
  <si>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</si>
  <si>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</si>
  <si>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</si>
  <si>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</si>
  <si>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</si>
  <si>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</si>
  <si>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</si>
  <si>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</si>
  <si>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</si>
  <si>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n of replicate measurements</t>
  </si>
  <si>
    <t>2se of replicates ( [ 2* (sd/sqrt(n))] )</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</si>
  <si>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</si>
  <si>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</si>
  <si>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</si>
  <si>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</si>
  <si>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</si>
  <si>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</si>
  <si>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</si>
  <si>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</si>
  <si>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</si>
  <si>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</si>
  <si>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</si>
  <si>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</si>
  <si>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r>
      <t>2</t>
    </r>
    <r>
      <rPr>
        <sz val="12"/>
        <color rgb="FF000000"/>
        <rFont val="Symbol"/>
        <charset val="2"/>
      </rPr>
      <t>s</t>
    </r>
    <r>
      <rPr>
        <sz val="12"/>
        <color rgb="FF000000"/>
        <rFont val="Verdana"/>
        <family val="2"/>
      </rPr>
      <t xml:space="preserve"> uncertainty</t>
    </r>
  </si>
  <si>
    <t>temperature (°C)</t>
  </si>
  <si>
    <r>
      <t>2</t>
    </r>
    <r>
      <rPr>
        <sz val="12"/>
        <color theme="1"/>
        <rFont val="Symbol"/>
        <charset val="2"/>
      </rPr>
      <t>s</t>
    </r>
    <r>
      <rPr>
        <sz val="11"/>
        <color theme="1"/>
        <rFont val="Calibri"/>
        <family val="2"/>
        <scheme val="minor"/>
      </rPr>
      <t xml:space="preserve"> temperature pos (°C)</t>
    </r>
  </si>
  <si>
    <r>
      <t>2</t>
    </r>
    <r>
      <rPr>
        <sz val="12"/>
        <color theme="1"/>
        <rFont val="Symbol"/>
        <charset val="2"/>
      </rPr>
      <t>s</t>
    </r>
    <r>
      <rPr>
        <sz val="11"/>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</si>
  <si>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</si>
  <si>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</si>
  <si>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charset val="2"/>
      </rPr>
      <t>s</t>
    </r>
    <r>
      <rPr>
        <sz val="11"/>
        <color theme="1"/>
        <rFont val="Calibri"/>
        <family val="2"/>
        <scheme val="minor"/>
      </rPr>
      <t xml:space="preserve"> Mg uncertainty pos (mmol/mol)</t>
    </r>
  </si>
  <si>
    <r>
      <t>2</t>
    </r>
    <r>
      <rPr>
        <sz val="12"/>
        <color theme="1"/>
        <rFont val="Symbol"/>
        <charset val="2"/>
      </rPr>
      <t>s</t>
    </r>
    <r>
      <rPr>
        <sz val="11"/>
        <color theme="1"/>
        <rFont val="Calibri"/>
        <family val="2"/>
        <scheme val="minor"/>
      </rPr>
      <t xml:space="preserve"> Mg/Ca uncertainty neg (mmol/mol)</t>
    </r>
  </si>
  <si>
    <t>temperature calibration equation</t>
  </si>
  <si>
    <t>reference for temperature calibration equation</t>
  </si>
  <si>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</si>
  <si>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</si>
  <si>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</si>
  <si>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</si>
  <si>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</si>
  <si>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t>2</t>
    </r>
    <r>
      <rPr>
        <sz val="12"/>
        <color rgb="FF000000"/>
        <rFont val="Symbol"/>
        <charset val="2"/>
      </rPr>
      <t>s</t>
    </r>
    <r>
      <rPr>
        <sz val="12"/>
        <color rgb="FF000000"/>
        <rFont val="Verdana"/>
        <family val="2"/>
      </rPr>
      <t xml:space="preserve"> uncertainty </t>
    </r>
  </si>
  <si>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</si>
  <si>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</si>
  <si>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</si>
  <si>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</si>
  <si>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</si>
  <si>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</si>
  <si>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</si>
  <si>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</si>
  <si>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</si>
  <si>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</si>
  <si>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</si>
  <si>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</si>
  <si>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</si>
  <si>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</si>
  <si>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</si>
  <si>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</si>
  <si>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</si>
  <si>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charset val="2"/>
      </rPr>
      <t>a</t>
    </r>
    <r>
      <rPr>
        <vertAlign val="subscript"/>
        <sz val="12"/>
        <color rgb="FF000000"/>
        <rFont val="Verdana"/>
        <family val="2"/>
      </rPr>
      <t>B3-B4</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</si>
  <si>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</si>
  <si>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</si>
  <si>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</si>
  <si>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</si>
  <si>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</si>
  <si>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</si>
  <si>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</si>
  <si>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</si>
  <si>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</si>
  <si>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</si>
  <si>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</si>
  <si>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</si>
  <si>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central value (µmol/kg)</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</si>
  <si>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</si>
  <si>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</si>
  <si>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t>pH scale reported (e.g., total scale, seawater scale)</t>
  </si>
  <si>
    <r>
      <t>2</t>
    </r>
    <r>
      <rPr>
        <sz val="12"/>
        <color theme="1"/>
        <rFont val="Symbol"/>
        <charset val="2"/>
      </rPr>
      <t>s</t>
    </r>
    <r>
      <rPr>
        <sz val="11"/>
        <color theme="1"/>
        <rFont val="Calibri"/>
        <family val="2"/>
        <scheme val="minor"/>
      </rPr>
      <t xml:space="preserve"> uncertainty pos</t>
    </r>
  </si>
  <si>
    <r>
      <t>2</t>
    </r>
    <r>
      <rPr>
        <sz val="12"/>
        <color theme="1"/>
        <rFont val="Symbol"/>
        <charset val="2"/>
      </rPr>
      <t>s</t>
    </r>
    <r>
      <rPr>
        <sz val="11"/>
        <color theme="1"/>
        <rFont val="Calibri"/>
        <family val="2"/>
        <scheme val="minor"/>
      </rPr>
      <t xml:space="preserve"> uncertainty neg</t>
    </r>
  </si>
  <si>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</si>
  <si>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</si>
  <si>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</si>
  <si>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</si>
  <si>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charset val="2"/>
      </rPr>
      <t>s</t>
    </r>
    <r>
      <rPr>
        <sz val="11"/>
        <color theme="1"/>
        <rFont val="Calibri"/>
        <family val="2"/>
        <scheme val="minor"/>
      </rPr>
      <t xml:space="preserve"> pCO2 uncertainty pos</t>
    </r>
  </si>
  <si>
    <r>
      <t>2</t>
    </r>
    <r>
      <rPr>
        <sz val="12"/>
        <color theme="1"/>
        <rFont val="Symbol"/>
        <charset val="2"/>
      </rPr>
      <t>s</t>
    </r>
    <r>
      <rPr>
        <sz val="11"/>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</si>
  <si>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</si>
  <si>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</si>
  <si>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</si>
  <si>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</si>
  <si>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</si>
  <si>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t>DIC (µmol/kg, if not used as an input parameter</t>
  </si>
  <si>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</si>
  <si>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</si>
  <si>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rPr>
        <sz val="12"/>
        <rFont val="Symbol"/>
        <charset val="2"/>
      </rPr>
      <t>W</t>
    </r>
    <r>
      <rPr>
        <vertAlign val="subscript"/>
        <sz val="12"/>
        <rFont val="Verdana"/>
        <family val="2"/>
      </rPr>
      <t>calcite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</si>
  <si>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</si>
  <si>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</si>
  <si>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rPr>
        <sz val="12"/>
        <rFont val="Symbol"/>
        <charset val="2"/>
      </rPr>
      <t>W</t>
    </r>
    <r>
      <rPr>
        <vertAlign val="subscript"/>
        <sz val="12"/>
        <rFont val="Verdana"/>
        <family val="2"/>
      </rPr>
      <t>aragonite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</si>
  <si>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</si>
  <si>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Additional Notes</t>
  </si>
  <si>
    <r>
      <t>2</t>
    </r>
    <r>
      <rPr>
        <sz val="12"/>
        <color theme="1"/>
        <rFont val="Symbol"/>
        <charset val="2"/>
      </rPr>
      <t>s</t>
    </r>
    <r>
      <rPr>
        <sz val="11"/>
        <color theme="1"/>
        <rFont val="Calibri"/>
        <family val="2"/>
        <scheme val="minor"/>
      </rPr>
      <t xml:space="preserve"> uncertainty pos (µmol/kg)</t>
    </r>
  </si>
  <si>
    <r>
      <t>2</t>
    </r>
    <r>
      <rPr>
        <sz val="12"/>
        <color theme="1"/>
        <rFont val="Symbol"/>
        <charset val="2"/>
      </rPr>
      <t>s</t>
    </r>
    <r>
      <rPr>
        <sz val="11"/>
        <color theme="1"/>
        <rFont val="Calibri"/>
        <family val="2"/>
        <scheme val="minor"/>
      </rPr>
      <t xml:space="preserve"> uncertainty neg (µmol/kg)</t>
    </r>
  </si>
  <si>
    <r>
      <t>Mg/Ca</t>
    </r>
    <r>
      <rPr>
        <vertAlign val="subscript"/>
        <sz val="12"/>
        <rFont val="Verdana"/>
        <family val="2"/>
      </rPr>
      <t xml:space="preserve">sw </t>
    </r>
    <r>
      <rPr>
        <sz val="12"/>
        <rFont val="Verdana"/>
        <family val="2"/>
      </rPr>
      <t xml:space="preserve">correction  reference </t>
    </r>
  </si>
  <si>
    <r>
      <t>Mg/Ca</t>
    </r>
    <r>
      <rPr>
        <vertAlign val="subscript"/>
        <sz val="12"/>
        <rFont val="Verdana"/>
        <family val="2"/>
      </rPr>
      <t xml:space="preserve">sw </t>
    </r>
    <r>
      <rPr>
        <sz val="12"/>
        <rFont val="Verdana"/>
        <family val="2"/>
      </rPr>
      <t>correction</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</si>
  <si>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</si>
  <si>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NA</t>
  </si>
  <si>
    <t>boron isotopes</t>
  </si>
  <si>
    <r>
      <t>Martínez-Botí, M. A., G. L. Foster, T. B. Chalk, E. J. Rohling, P. F. Sexton, D. J. Lunt, R. D. Pancost, M. P. S. Badger and D. N. Schmidt (2015). "Plio-Pleistocene climate sensitivity evaluated using high-resolution CO</t>
    </r>
    <r>
      <rPr>
        <vertAlign val="subscript"/>
        <sz val="12"/>
        <color theme="1"/>
        <rFont val="Calibri"/>
        <family val="2"/>
        <scheme val="minor"/>
      </rPr>
      <t>2</t>
    </r>
    <r>
      <rPr>
        <sz val="11"/>
        <color theme="1"/>
        <rFont val="Calibri"/>
        <family val="2"/>
        <scheme val="minor"/>
      </rPr>
      <t xml:space="preserve"> records." </t>
    </r>
    <r>
      <rPr>
        <u/>
        <sz val="12"/>
        <color theme="1"/>
        <rFont val="Calibri"/>
        <family val="2"/>
        <scheme val="minor"/>
      </rPr>
      <t>Nature</t>
    </r>
    <r>
      <rPr>
        <sz val="11"/>
        <color theme="1"/>
        <rFont val="Calibri"/>
        <family val="2"/>
        <scheme val="minor"/>
      </rPr>
      <t xml:space="preserve"> </t>
    </r>
    <r>
      <rPr>
        <b/>
        <sz val="12"/>
        <color theme="1"/>
        <rFont val="Calibri"/>
        <family val="2"/>
        <scheme val="minor"/>
      </rPr>
      <t>518</t>
    </r>
    <r>
      <rPr>
        <sz val="11"/>
        <color theme="1"/>
        <rFont val="Calibri"/>
        <family val="2"/>
        <scheme val="minor"/>
      </rPr>
      <t>(7537): 49-54.</t>
    </r>
  </si>
  <si>
    <t>10.1038/nature14145</t>
  </si>
  <si>
    <t>ODP 999</t>
  </si>
  <si>
    <t>A</t>
  </si>
  <si>
    <t>Carribbean</t>
  </si>
  <si>
    <t>set value</t>
  </si>
  <si>
    <t xml:space="preserve">Globigerinoides ruber white </t>
  </si>
  <si>
    <t>300-355</t>
  </si>
  <si>
    <t>90-200</t>
  </si>
  <si>
    <t>0.9-2</t>
  </si>
  <si>
    <t>Barker et al., 2003</t>
  </si>
  <si>
    <t>ion exchange chromatography</t>
  </si>
  <si>
    <t>MC-ICPMS</t>
  </si>
  <si>
    <t xml:space="preserve">NA  </t>
  </si>
  <si>
    <t>normal distribution - standard deviation</t>
  </si>
  <si>
    <t xml:space="preserve">normal distribution </t>
  </si>
  <si>
    <t>normal distribution</t>
  </si>
  <si>
    <t>Henehan et al. 2010</t>
  </si>
  <si>
    <t>shell size corrected</t>
  </si>
  <si>
    <t>Monte Carlo</t>
  </si>
  <si>
    <t>mixed layer</t>
  </si>
  <si>
    <t>not applied</t>
  </si>
  <si>
    <t>normal distri</t>
  </si>
  <si>
    <t>T=(ln(Mg/Ca)test/(0.38/(Mg/Ca)sw^H))/0.09+0.61*depth (with H=0.41)</t>
  </si>
  <si>
    <t>Evans and Muller, 2012; Delaney et al., 1988</t>
  </si>
  <si>
    <t>Fantle and DePaolo, 2006</t>
  </si>
  <si>
    <t>Dekens et al., 2002</t>
  </si>
  <si>
    <t>assumed constant</t>
  </si>
  <si>
    <t>set salinity value- uncertainty on B/Salinity relationship not included</t>
  </si>
  <si>
    <t>Lee et al 2010</t>
  </si>
  <si>
    <t>linear between modern (Foster et al., 2010) and Miocene (Foster et al., 2012)</t>
  </si>
  <si>
    <t>Dickson 1987</t>
  </si>
  <si>
    <t xml:space="preserve">None applied, surface pressure </t>
  </si>
  <si>
    <t>normal</t>
  </si>
  <si>
    <t>Klochko et al. (2006)</t>
  </si>
  <si>
    <t>seacarb package in R</t>
  </si>
  <si>
    <t>Henry's law, as of Weiss 1974, Zeebe Wolf-Gladrow 1998</t>
  </si>
  <si>
    <t>Lueker et al. 2000</t>
  </si>
  <si>
    <t>Total Alkalinity</t>
  </si>
  <si>
    <t xml:space="preserve">modern </t>
  </si>
  <si>
    <t>Foster, 2005</t>
  </si>
  <si>
    <t>set value (flat/uniform)</t>
  </si>
  <si>
    <t>total scale</t>
  </si>
  <si>
    <t>modern kept constant</t>
  </si>
  <si>
    <t xml:space="preserve">Monte Carlo </t>
  </si>
  <si>
    <t>T, S, ALK, [B]T,K0, K1, K2, Kb d11B analysis, d11Bsw, calibration uncertainty</t>
  </si>
  <si>
    <t xml:space="preserve">NA </t>
  </si>
  <si>
    <t>Henehan et al. 2011</t>
  </si>
  <si>
    <t>Dickson 1988</t>
  </si>
  <si>
    <t>Henry's law, as of Weiss 1974, Zeebe Wolf-Gladrow 1999</t>
  </si>
  <si>
    <t>Foster, 2006</t>
  </si>
  <si>
    <t>Henehan et al. 2012</t>
  </si>
  <si>
    <t>Dickson 1989</t>
  </si>
  <si>
    <t>Henry's law, as of Weiss 1974, Zeebe Wolf-Gladrow 2000</t>
  </si>
  <si>
    <t>Foster, 2007</t>
  </si>
  <si>
    <t>Henehan et al. 2013</t>
  </si>
  <si>
    <t>Dickson 1990</t>
  </si>
  <si>
    <t>Henry's law, as of Weiss 1974, Zeebe Wolf-Gladrow 2001</t>
  </si>
  <si>
    <t>Foster, 2008</t>
  </si>
  <si>
    <t>ODP 662</t>
  </si>
  <si>
    <t xml:space="preserve"> East equatorial Atlantic</t>
  </si>
  <si>
    <t>Herbert et al (2010) Tropical ocean temperatures over the past 3.5 million years. Science 328, 1530–1534</t>
  </si>
  <si>
    <t>no, data from Herbert et al. 2010</t>
  </si>
  <si>
    <t>no, data from Herbert et al. 2011</t>
  </si>
  <si>
    <t>no, data from Herbert et al. 2012</t>
  </si>
  <si>
    <t>no, data from Herbert et al. 2013</t>
  </si>
  <si>
    <t>no, data from Herbert et al. 2014</t>
  </si>
  <si>
    <t>no, data from Herbert et al. 2015</t>
  </si>
  <si>
    <t>no, data from Herbert et al. 2016</t>
  </si>
  <si>
    <t>no, data from Herbert et al. 2017</t>
  </si>
  <si>
    <t>Martínez-Boti</t>
  </si>
  <si>
    <t>Bärbel Hönisch, Elwyn De La Vega</t>
  </si>
  <si>
    <t>hoenisch@ldeo.columbia.edu, elwyn.de-la-vega@soton.ac.uk</t>
  </si>
  <si>
    <t>notes about uncertainty estimate: e.g., included calibration slope and intercept</t>
  </si>
  <si>
    <t>tuned to LR04, incl. age uncertainties</t>
  </si>
  <si>
    <t>added age uncertainty based on LR04</t>
  </si>
  <si>
    <t>newer calculations published</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</si>
  <si>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</si>
  <si>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</si>
  <si>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</si>
  <si>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</si>
  <si>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</si>
  <si>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</si>
  <si>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</si>
  <si>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</si>
  <si>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</si>
  <si>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</si>
  <si>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CO2_uncertainty_neg_ppm</t>
  </si>
  <si>
    <t>10.1016/j.epsl.2018.06.017</t>
  </si>
  <si>
    <t>CC</t>
  </si>
  <si>
    <t>10.1038/s41598-020-67154-8</t>
  </si>
  <si>
    <t>added age uncertainty based on LR04, used revised age model of de la Vega et al. 2020</t>
  </si>
  <si>
    <t>added age uncertainty based on LR04, recalculated age following updated age model of de la Vega et al. 2020</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</si>
  <si>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</si>
  <si>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</si>
  <si>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all known sources of error have been quantified and/or sensitivity of the CO2 estimate to those sources is small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</si>
</sst>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37" x14ac:knownFonts="1">
    <font>
      <sz val="11"/>
      <color theme="1"/>
      <name val="Calibri"/>
      <family val="2"/>
      <scheme val="minor"/>
    </font>
    <font>
      <sz val="12"/>
      <color rgb="FF000000"/>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theme="1"/>
      <name val="Symbol"/>
      <charset val="2"/>
    </font>
    <font>
      <sz val="12"/>
      <name val="Verdana"/>
      <family val="2"/>
      <charset val="2"/>
    </font>
    <font>
      <vertAlign val="superscript"/>
      <sz val="12"/>
      <color theme="1"/>
      <name val="Verdana"/>
      <family val="2"/>
    </font>
    <font>
      <sz val="12"/>
      <color rgb="FF000000"/>
      <name val="Symbol"/>
      <charset val="2"/>
    </font>
    <font>
      <vertAlign val="subscript"/>
      <sz val="12"/>
      <color theme="1"/>
      <name val="Verdana"/>
      <family val="2"/>
    </font>
    <font>
      <vertAlign val="subscript"/>
      <sz val="12"/>
      <name val="Verdana"/>
      <family val="2"/>
    </font>
    <font>
      <vertAlign val="subscript"/>
      <sz val="12"/>
      <color rgb="FF000000"/>
      <name val="Verdana"/>
      <family val="2"/>
    </font>
    <font>
      <u/>
      <sz val="11"/>
      <color theme="10"/>
      <name val="Calibri"/>
      <family val="2"/>
      <scheme val="minor"/>
    </font>
    <font>
      <sz val="12"/>
      <name val="Calibri"/>
      <family val="2"/>
      <scheme val="minor"/>
    </font>
    <font>
      <sz val="10"/>
      <name val="Verdana"/>
      <family val="2"/>
    </font>
    <font>
      <b/>
      <sz val="12"/>
      <color theme="1"/>
      <name val="Calibri"/>
      <family val="2"/>
      <scheme val="minor"/>
    </font>
    <font>
      <vertAlign val="subscript"/>
      <sz val="12"/>
      <color theme="1"/>
      <name val="Calibri"/>
      <family val="2"/>
      <scheme val="minor"/>
    </font>
    <font>
      <u/>
      <sz val="12"/>
      <color theme="1"/>
      <name val="Calibri"/>
      <family val="2"/>
      <scheme val="minor"/>
    </font>
    <font>
      <sz val="12"/>
      <name val="Arial"/>
      <family val="2"/>
    </font>
    <font>
      <sz val="12"/>
      <color theme="1"/>
      <name val="Arial"/>
      <family val="2"/>
    </font>
    <font>
      <sz val="8"/>
      <name val="Calibri"/>
      <family val="2"/>
      <scheme val="minor"/>
    </font>
    <font>
      <sz val="12"/>
      <color theme="1"/>
      <name val="Corbel"/>
    </font>
    <font>
      <sz val="13"/>
      <color rgb="FF000000"/>
      <name val="Helvetica"/>
      <family val="2"/>
    </font>
  </fonts>
  <fills count="17">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A9D08D"/>
        <bgColor indexed="64"/>
      </patternFill>
    </fill>
    <fill>
      <patternFill patternType="solid">
        <fgColor rgb="FFCEFDCC"/>
        <bgColor indexed="64"/>
      </patternFill>
    </fill>
    <fill>
      <patternFill patternType="solid">
        <fgColor rgb="FFCDFDCC"/>
        <bgColor rgb="FF000000"/>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s>
  <borders count="17">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
      <left style="thin">
        <color indexed="64"/>
      </left>
      <right style="thin">
        <color indexed="64"/>
      </right>
      <top/>
      <bottom/>
      <diagonal/>
    </border>
  </borders>
  <cellStyleXfs count="3">
    <xf numFmtId="0" fontId="0" fillId="0" borderId="0"/>
    <xf numFmtId="0" fontId="26" fillId="0" borderId="0" applyNumberFormat="0" applyFill="0" applyBorder="0" applyAlignment="0" applyProtection="0"/>
    <xf numFmtId="0" fontId="28" fillId="0" borderId="0"/>
  </cellStyleXfs>
  <cellXfs count="179">
    <xf numFmtId="0" fontId="0" fillId="0" borderId="0" xfId="0"/>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1" fillId="0" borderId="1" xfId="0" applyFont="1" applyBorder="1" applyAlignment="1">
      <alignment wrapText="1"/>
    </xf>
    <xf numFmtId="0" fontId="1" fillId="0" borderId="2" xfId="0" applyFont="1" applyBorder="1" applyAlignment="1">
      <alignment wrapText="1"/>
    </xf>
    <xf numFmtId="0" fontId="1"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0" fillId="0" borderId="2" xfId="0" applyBorder="1" applyAlignment="1">
      <alignment vertical="top"/>
    </xf>
    <xf numFmtId="0" fontId="2" fillId="2" borderId="1" xfId="0" applyFont="1" applyFill="1" applyBorder="1"/>
    <xf numFmtId="0" fontId="2" fillId="2" borderId="2" xfId="0" applyFont="1" applyFill="1" applyBorder="1"/>
    <xf numFmtId="0" fontId="0" fillId="2" borderId="2" xfId="0" applyFill="1" applyBorder="1"/>
    <xf numFmtId="0" fontId="0" fillId="2" borderId="3" xfId="0" applyFill="1" applyBorder="1"/>
    <xf numFmtId="0" fontId="2" fillId="3" borderId="6" xfId="0" applyFont="1" applyFill="1" applyBorder="1" applyAlignment="1">
      <alignment horizontal="left" vertical="center"/>
    </xf>
    <xf numFmtId="0" fontId="2" fillId="3" borderId="7" xfId="0" applyFont="1" applyFill="1" applyBorder="1" applyAlignment="1">
      <alignment wrapText="1"/>
    </xf>
    <xf numFmtId="0" fontId="2" fillId="3" borderId="7" xfId="0" applyFont="1" applyFill="1" applyBorder="1"/>
    <xf numFmtId="0" fontId="0" fillId="3" borderId="7" xfId="0" applyFill="1" applyBorder="1"/>
    <xf numFmtId="0" fontId="3" fillId="3" borderId="6" xfId="0" applyFont="1" applyFill="1" applyBorder="1"/>
    <xf numFmtId="0" fontId="2" fillId="4" borderId="6" xfId="0" applyFont="1" applyFill="1" applyBorder="1"/>
    <xf numFmtId="0" fontId="0" fillId="4" borderId="7" xfId="0" applyFill="1" applyBorder="1"/>
    <xf numFmtId="0" fontId="0" fillId="4" borderId="1" xfId="0" applyFill="1" applyBorder="1"/>
    <xf numFmtId="0" fontId="0" fillId="4" borderId="2" xfId="0" applyFill="1" applyBorder="1"/>
    <xf numFmtId="0" fontId="2" fillId="4" borderId="2" xfId="0" applyFont="1" applyFill="1" applyBorder="1"/>
    <xf numFmtId="0" fontId="2" fillId="4" borderId="3" xfId="0" applyFont="1" applyFill="1" applyBorder="1"/>
    <xf numFmtId="0" fontId="2" fillId="5" borderId="1" xfId="0" applyFont="1" applyFill="1" applyBorder="1"/>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4" fillId="5" borderId="7" xfId="0" applyFont="1" applyFill="1" applyBorder="1" applyAlignment="1">
      <alignment horizontal="left" vertical="center"/>
    </xf>
    <xf numFmtId="0" fontId="3" fillId="5" borderId="7" xfId="0" applyFont="1" applyFill="1" applyBorder="1" applyAlignment="1">
      <alignment horizontal="center" vertical="center" wrapText="1"/>
    </xf>
    <xf numFmtId="0" fontId="2" fillId="6" borderId="1" xfId="0" applyFont="1" applyFill="1" applyBorder="1"/>
    <xf numFmtId="0" fontId="2" fillId="7" borderId="2" xfId="0" applyFont="1" applyFill="1" applyBorder="1"/>
    <xf numFmtId="0" fontId="2" fillId="7" borderId="3" xfId="0" applyFont="1" applyFill="1" applyBorder="1"/>
    <xf numFmtId="0" fontId="2" fillId="6" borderId="2" xfId="0" applyFont="1" applyFill="1" applyBorder="1"/>
    <xf numFmtId="0" fontId="2" fillId="6" borderId="3" xfId="0" applyFont="1" applyFill="1" applyBorder="1"/>
    <xf numFmtId="0" fontId="0" fillId="6" borderId="2" xfId="0" applyFill="1" applyBorder="1"/>
    <xf numFmtId="0" fontId="0" fillId="6" borderId="6" xfId="0" applyFill="1" applyBorder="1"/>
    <xf numFmtId="0" fontId="2" fillId="7" borderId="1" xfId="0" applyFont="1" applyFill="1" applyBorder="1"/>
    <xf numFmtId="0" fontId="2" fillId="7" borderId="7" xfId="0" applyFont="1" applyFill="1" applyBorder="1"/>
    <xf numFmtId="0" fontId="2" fillId="8" borderId="6" xfId="0" applyFont="1" applyFill="1" applyBorder="1"/>
    <xf numFmtId="0" fontId="2" fillId="8" borderId="7" xfId="0" applyFont="1" applyFill="1" applyBorder="1"/>
    <xf numFmtId="0" fontId="2" fillId="8" borderId="2" xfId="0" applyFont="1" applyFill="1" applyBorder="1"/>
    <xf numFmtId="0" fontId="2" fillId="9" borderId="1" xfId="0" applyFont="1" applyFill="1" applyBorder="1"/>
    <xf numFmtId="0" fontId="2" fillId="9" borderId="2" xfId="0" applyFont="1" applyFill="1" applyBorder="1"/>
    <xf numFmtId="0" fontId="0" fillId="9" borderId="2" xfId="0" applyFill="1" applyBorder="1"/>
    <xf numFmtId="0" fontId="0" fillId="0" borderId="4" xfId="0" applyBorder="1" applyAlignment="1">
      <alignment vertical="top"/>
    </xf>
    <xf numFmtId="0" fontId="0" fillId="0" borderId="8" xfId="0" applyBorder="1"/>
    <xf numFmtId="0" fontId="2" fillId="2" borderId="4" xfId="0" applyFont="1" applyFill="1" applyBorder="1"/>
    <xf numFmtId="0" fontId="0" fillId="2" borderId="4" xfId="0" applyFill="1" applyBorder="1"/>
    <xf numFmtId="0" fontId="0" fillId="2" borderId="8" xfId="0" applyFill="1" applyBorder="1"/>
    <xf numFmtId="0" fontId="2" fillId="3" borderId="6" xfId="0" applyFont="1" applyFill="1" applyBorder="1" applyAlignment="1">
      <alignment horizontal="center" vertical="center"/>
    </xf>
    <xf numFmtId="0" fontId="3" fillId="4" borderId="1" xfId="0" applyFont="1" applyFill="1" applyBorder="1" applyAlignment="1">
      <alignment horizontal="left" vertical="center"/>
    </xf>
    <xf numFmtId="0" fontId="3" fillId="4" borderId="2" xfId="0" applyFont="1" applyFill="1" applyBorder="1" applyAlignment="1">
      <alignment horizontal="left" vertical="center"/>
    </xf>
    <xf numFmtId="0" fontId="12" fillId="5" borderId="0" xfId="0" applyFont="1" applyFill="1" applyBorder="1"/>
    <xf numFmtId="0" fontId="3" fillId="5" borderId="0" xfId="0" applyFont="1" applyFill="1" applyBorder="1" applyAlignment="1">
      <alignment horizontal="center" vertical="center" wrapText="1"/>
    </xf>
    <xf numFmtId="0" fontId="4" fillId="5" borderId="9" xfId="0" applyFont="1" applyFill="1" applyBorder="1" applyAlignment="1">
      <alignment horizontal="left" vertical="center"/>
    </xf>
    <xf numFmtId="0" fontId="4" fillId="5" borderId="4" xfId="0" applyFont="1" applyFill="1" applyBorder="1" applyAlignment="1">
      <alignment horizontal="left" vertical="center"/>
    </xf>
    <xf numFmtId="0" fontId="3" fillId="5" borderId="4"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4" fillId="5" borderId="2" xfId="0" applyFont="1" applyFill="1" applyBorder="1" applyAlignment="1">
      <alignment horizontal="left" vertical="center"/>
    </xf>
    <xf numFmtId="0" fontId="2" fillId="7" borderId="6" xfId="0" applyFont="1" applyFill="1" applyBorder="1"/>
    <xf numFmtId="0" fontId="2" fillId="7" borderId="0" xfId="0" applyFont="1" applyFill="1" applyBorder="1"/>
    <xf numFmtId="0" fontId="2" fillId="7" borderId="10" xfId="0" applyFont="1" applyFill="1" applyBorder="1"/>
    <xf numFmtId="0" fontId="2" fillId="6" borderId="11" xfId="0" applyFont="1" applyFill="1" applyBorder="1"/>
    <xf numFmtId="0" fontId="2" fillId="6" borderId="0" xfId="0" applyFont="1" applyFill="1" applyBorder="1"/>
    <xf numFmtId="0" fontId="4" fillId="6" borderId="11" xfId="0" applyFont="1" applyFill="1" applyBorder="1" applyAlignment="1">
      <alignment horizontal="left" vertical="center"/>
    </xf>
    <xf numFmtId="0" fontId="0" fillId="6" borderId="0" xfId="0" applyFill="1"/>
    <xf numFmtId="0" fontId="4" fillId="7" borderId="6" xfId="0" applyFont="1" applyFill="1" applyBorder="1" applyAlignment="1">
      <alignment horizontal="left" vertical="center"/>
    </xf>
    <xf numFmtId="0" fontId="3" fillId="7" borderId="7" xfId="0" applyFont="1" applyFill="1" applyBorder="1" applyAlignment="1">
      <alignment horizontal="left" vertical="center"/>
    </xf>
    <xf numFmtId="0" fontId="3" fillId="7" borderId="12" xfId="0" applyFont="1" applyFill="1" applyBorder="1" applyAlignment="1">
      <alignment horizontal="left" vertical="center"/>
    </xf>
    <xf numFmtId="0" fontId="2" fillId="7" borderId="12" xfId="0" applyFont="1" applyFill="1" applyBorder="1"/>
    <xf numFmtId="0" fontId="12" fillId="7" borderId="6" xfId="0" applyFont="1" applyFill="1" applyBorder="1"/>
    <xf numFmtId="0" fontId="4" fillId="7" borderId="0" xfId="0" applyFont="1" applyFill="1" applyBorder="1" applyAlignment="1">
      <alignment horizontal="left" vertical="center"/>
    </xf>
    <xf numFmtId="0" fontId="3" fillId="7" borderId="0" xfId="0" applyFont="1" applyFill="1" applyBorder="1" applyAlignment="1">
      <alignment horizontal="left" vertical="center"/>
    </xf>
    <xf numFmtId="0" fontId="2" fillId="6" borderId="6" xfId="0" applyFont="1" applyFill="1" applyBorder="1"/>
    <xf numFmtId="0" fontId="2" fillId="6" borderId="10" xfId="0" applyFont="1" applyFill="1" applyBorder="1"/>
    <xf numFmtId="0" fontId="4" fillId="7" borderId="11" xfId="0" applyFont="1" applyFill="1" applyBorder="1" applyAlignment="1">
      <alignment horizontal="center" vertical="center" wrapText="1"/>
    </xf>
    <xf numFmtId="0" fontId="3" fillId="7" borderId="0" xfId="0" applyFont="1" applyFill="1" applyBorder="1" applyAlignment="1">
      <alignment horizontal="center" vertical="center" wrapText="1"/>
    </xf>
    <xf numFmtId="0" fontId="2" fillId="7" borderId="11" xfId="0" applyFont="1" applyFill="1" applyBorder="1"/>
    <xf numFmtId="0" fontId="2" fillId="8" borderId="1" xfId="0" applyFont="1" applyFill="1" applyBorder="1"/>
    <xf numFmtId="0" fontId="2" fillId="8" borderId="0" xfId="0" applyFont="1" applyFill="1" applyBorder="1"/>
    <xf numFmtId="0" fontId="2" fillId="8" borderId="4" xfId="0" applyFont="1" applyFill="1" applyBorder="1"/>
    <xf numFmtId="0" fontId="2" fillId="2" borderId="9" xfId="0" applyFont="1" applyFill="1" applyBorder="1"/>
    <xf numFmtId="0" fontId="0" fillId="0" borderId="13" xfId="0" applyBorder="1"/>
    <xf numFmtId="0" fontId="17" fillId="10" borderId="14" xfId="0" applyFont="1" applyFill="1" applyBorder="1" applyAlignment="1">
      <alignment horizontal="center" vertical="center" wrapText="1"/>
    </xf>
    <xf numFmtId="0" fontId="17" fillId="10" borderId="1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0" fillId="11" borderId="2" xfId="0" quotePrefix="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18" fillId="6" borderId="3" xfId="0" applyFont="1" applyFill="1" applyBorder="1" applyAlignment="1">
      <alignment horizontal="center" vertical="center" wrapText="1"/>
    </xf>
    <xf numFmtId="0" fontId="17" fillId="6" borderId="2"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2" borderId="3" xfId="0" quotePrefix="1" applyFill="1" applyBorder="1" applyAlignment="1">
      <alignment horizontal="center" vertical="center" wrapText="1"/>
    </xf>
    <xf numFmtId="0" fontId="3" fillId="6" borderId="2"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17" fillId="7" borderId="2"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3" fillId="2" borderId="9" xfId="0" applyFont="1" applyFill="1" applyBorder="1" applyAlignment="1">
      <alignment horizontal="center" vertical="center" wrapText="1"/>
    </xf>
    <xf numFmtId="0" fontId="0" fillId="15" borderId="2" xfId="0" quotePrefix="1" applyFill="1" applyBorder="1" applyAlignment="1">
      <alignment horizontal="center" vertical="center" wrapText="1"/>
    </xf>
    <xf numFmtId="0" fontId="3" fillId="16" borderId="4" xfId="0" quotePrefix="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16" borderId="2" xfId="0" applyFont="1" applyFill="1" applyBorder="1" applyAlignment="1">
      <alignment horizontal="center" vertical="center" wrapText="1"/>
    </xf>
    <xf numFmtId="0" fontId="3" fillId="0" borderId="13" xfId="0" applyFont="1" applyBorder="1" applyAlignment="1">
      <alignment horizontal="center" vertical="center" wrapText="1"/>
    </xf>
    <xf numFmtId="0" fontId="0" fillId="0" borderId="0" xfId="0" applyFill="1" applyBorder="1"/>
    <xf numFmtId="0" fontId="3" fillId="8" borderId="1"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26" fillId="0" borderId="0" xfId="1"/>
    <xf numFmtId="0" fontId="0" fillId="0" borderId="0" xfId="0" applyFill="1"/>
    <xf numFmtId="165" fontId="0" fillId="0" borderId="0" xfId="0" applyNumberFormat="1"/>
    <xf numFmtId="2" fontId="0" fillId="0" borderId="0" xfId="0" applyNumberFormat="1" applyFill="1"/>
    <xf numFmtId="2" fontId="0" fillId="0" borderId="0" xfId="0" applyNumberFormat="1"/>
    <xf numFmtId="0" fontId="0" fillId="0" borderId="0" xfId="0" applyFill="1" applyAlignment="1">
      <alignment horizontal="center"/>
    </xf>
    <xf numFmtId="0" fontId="1" fillId="0" borderId="0" xfId="0" applyFont="1"/>
    <xf numFmtId="1" fontId="0" fillId="0" borderId="0" xfId="0" applyNumberFormat="1"/>
    <xf numFmtId="0" fontId="0" fillId="0" borderId="0" xfId="0" applyAlignment="1">
      <alignment horizontal="center"/>
    </xf>
    <xf numFmtId="0" fontId="0" fillId="0" borderId="0" xfId="0" applyAlignment="1">
      <alignment vertical="center"/>
    </xf>
    <xf numFmtId="0" fontId="32" fillId="0" borderId="0" xfId="0" applyFont="1" applyAlignment="1">
      <alignment horizontal="center"/>
    </xf>
    <xf numFmtId="2" fontId="0" fillId="0" borderId="0" xfId="0" applyNumberFormat="1" applyAlignment="1">
      <alignment horizontal="center"/>
    </xf>
    <xf numFmtId="0" fontId="0" fillId="0" borderId="0" xfId="0" applyAlignment="1">
      <alignment wrapText="1"/>
    </xf>
    <xf numFmtId="2" fontId="0" fillId="0" borderId="0" xfId="0" applyNumberFormat="1" applyAlignment="1">
      <alignment horizontal="left"/>
    </xf>
    <xf numFmtId="164" fontId="0" fillId="0" borderId="0" xfId="0" applyNumberFormat="1" applyAlignment="1">
      <alignment horizontal="center"/>
    </xf>
    <xf numFmtId="0" fontId="27" fillId="0" borderId="0" xfId="0" applyFont="1" applyAlignment="1">
      <alignment horizontal="center"/>
    </xf>
    <xf numFmtId="0" fontId="27" fillId="0" borderId="0" xfId="0" applyFont="1" applyAlignment="1">
      <alignment horizontal="left"/>
    </xf>
    <xf numFmtId="2" fontId="0" fillId="0" borderId="0" xfId="0" applyNumberFormat="1" applyFill="1" applyAlignment="1">
      <alignment horizontal="center"/>
    </xf>
    <xf numFmtId="1" fontId="0" fillId="0" borderId="0" xfId="0" applyNumberFormat="1" applyFill="1" applyAlignment="1">
      <alignment horizontal="center"/>
    </xf>
    <xf numFmtId="0" fontId="33" fillId="0" borderId="0" xfId="0" applyFont="1" applyAlignment="1">
      <alignment horizontal="center"/>
    </xf>
    <xf numFmtId="0" fontId="0" fillId="0" borderId="0" xfId="0" applyFont="1" applyFill="1" applyBorder="1"/>
    <xf numFmtId="165" fontId="0" fillId="0" borderId="0" xfId="0" applyNumberFormat="1" applyAlignment="1">
      <alignment horizontal="center"/>
    </xf>
    <xf numFmtId="1" fontId="0" fillId="0" borderId="0" xfId="0" applyNumberFormat="1" applyAlignment="1">
      <alignment horizontal="center"/>
    </xf>
    <xf numFmtId="2" fontId="33" fillId="0" borderId="0" xfId="0" applyNumberFormat="1" applyFont="1" applyAlignment="1">
      <alignment horizontal="center"/>
    </xf>
    <xf numFmtId="2" fontId="0" fillId="0" borderId="0" xfId="0" quotePrefix="1" applyNumberFormat="1" applyFill="1" applyBorder="1" applyAlignment="1">
      <alignment horizontal="center" vertical="center" wrapText="1"/>
    </xf>
    <xf numFmtId="2" fontId="0" fillId="0" borderId="0" xfId="0" applyNumberFormat="1" applyAlignment="1">
      <alignment horizontal="right"/>
    </xf>
    <xf numFmtId="0" fontId="1" fillId="0" borderId="0" xfId="0" applyFont="1" applyFill="1"/>
    <xf numFmtId="0" fontId="1" fillId="0" borderId="0" xfId="0" applyFont="1" applyFill="1" applyAlignment="1">
      <alignment horizontal="center"/>
    </xf>
    <xf numFmtId="0" fontId="1" fillId="0" borderId="0" xfId="0" applyFont="1" applyFill="1" applyAlignment="1">
      <alignment horizontal="left"/>
    </xf>
    <xf numFmtId="2" fontId="0" fillId="0" borderId="0" xfId="0" applyNumberFormat="1" applyAlignment="1">
      <alignment horizontal="center" vertical="center"/>
    </xf>
    <xf numFmtId="0" fontId="0" fillId="0" borderId="0" xfId="0" applyAlignment="1">
      <alignment horizontal="left"/>
    </xf>
    <xf numFmtId="0" fontId="27" fillId="0" borderId="0" xfId="0" applyFont="1" applyFill="1" applyAlignment="1">
      <alignment horizontal="center"/>
    </xf>
    <xf numFmtId="0" fontId="29" fillId="0" borderId="0" xfId="0" applyFont="1" applyFill="1" applyAlignment="1">
      <alignment horizontal="center"/>
    </xf>
    <xf numFmtId="0" fontId="35" fillId="0" borderId="0" xfId="0" applyFont="1"/>
    <xf numFmtId="0" fontId="0" fillId="0" borderId="16" xfId="0" applyBorder="1" applyAlignment="1">
      <alignment horizontal="center"/>
    </xf>
    <xf numFmtId="0" fontId="0" fillId="0" borderId="0" xfId="0" applyAlignment="1">
      <alignment horizontal="center"/>
    </xf>
    <xf numFmtId="0" fontId="0" fillId="0" borderId="2" xfId="0" applyBorder="1" applyAlignment="1">
      <alignment wrapText="1"/>
    </xf>
    <xf numFmtId="0" fontId="36" fillId="0" borderId="0" xfId="0" applyFont="1"/>
  </cellXfs>
  <cellStyles count="3">
    <cellStyle name="Hyperlink" xfId="1" builtinId="8"/>
    <cellStyle name="Normal" xfId="0" builtinId="0"/>
    <cellStyle name="Normal 2" xfId="2" xr:uid="{0EEDB2E9-9399-6C4A-8C8F-C8CB919A07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co2 sw</c:v>
          </c:tx>
          <c:spPr>
            <a:ln w="19050" cap="rnd">
              <a:noFill/>
              <a:round/>
            </a:ln>
            <a:effectLst/>
          </c:spPr>
          <c:marker>
            <c:symbol val="circle"/>
            <c:size val="5"/>
            <c:spPr>
              <a:solidFill>
                <a:schemeClr val="accent1"/>
              </a:solidFill>
              <a:ln w="9525">
                <a:solidFill>
                  <a:schemeClr val="accent1"/>
                </a:solidFill>
              </a:ln>
              <a:effectLst/>
            </c:spPr>
          </c:marker>
          <c:yVal>
            <c:numLit>
              <c:formatCode>General</c:formatCode>
              <c:ptCount val="71"/>
              <c:pt idx="0">
                <c:v>470.90078215328799</c:v>
              </c:pt>
              <c:pt idx="1">
                <c:v>435.50897655981402</c:v>
              </c:pt>
              <c:pt idx="2">
                <c:v>392.26089027376901</c:v>
              </c:pt>
              <c:pt idx="3">
                <c:v>398.045047877451</c:v>
              </c:pt>
              <c:pt idx="4">
                <c:v>298.500364404793</c:v>
              </c:pt>
              <c:pt idx="5">
                <c:v>353.102986195992</c:v>
              </c:pt>
              <c:pt idx="6">
                <c:v>341.225227028125</c:v>
              </c:pt>
              <c:pt idx="7">
                <c:v>361.326322315536</c:v>
              </c:pt>
              <c:pt idx="8">
                <c:v>377.62769462737702</c:v>
              </c:pt>
              <c:pt idx="9">
                <c:v>383.03461847224497</c:v>
              </c:pt>
              <c:pt idx="10">
                <c:v>266.96959183153297</c:v>
              </c:pt>
              <c:pt idx="11">
                <c:v>356.451094913063</c:v>
              </c:pt>
              <c:pt idx="12">
                <c:v>320.50714700684898</c:v>
              </c:pt>
              <c:pt idx="13">
                <c:v>350.81149666152999</c:v>
              </c:pt>
              <c:pt idx="14">
                <c:v>382.667928065289</c:v>
              </c:pt>
              <c:pt idx="15">
                <c:v>299.521083298034</c:v>
              </c:pt>
              <c:pt idx="16">
                <c:v>325.92913325198901</c:v>
              </c:pt>
              <c:pt idx="17">
                <c:v>265.921315066369</c:v>
              </c:pt>
              <c:pt idx="18">
                <c:v>302.85195584967698</c:v>
              </c:pt>
              <c:pt idx="19">
                <c:v>322.61459250283502</c:v>
              </c:pt>
              <c:pt idx="20">
                <c:v>283.66564077273</c:v>
              </c:pt>
              <c:pt idx="21">
                <c:v>343.77037349050102</c:v>
              </c:pt>
              <c:pt idx="22">
                <c:v>304.779060146007</c:v>
              </c:pt>
              <c:pt idx="23">
                <c:v>296.60348356145698</c:v>
              </c:pt>
              <c:pt idx="24">
                <c:v>255.409752036762</c:v>
              </c:pt>
              <c:pt idx="25">
                <c:v>340.02163467755202</c:v>
              </c:pt>
              <c:pt idx="26">
                <c:v>283.14235703188501</c:v>
              </c:pt>
              <c:pt idx="27">
                <c:v>359.75533454464397</c:v>
              </c:pt>
              <c:pt idx="28">
                <c:v>341.96855335584797</c:v>
              </c:pt>
              <c:pt idx="29">
                <c:v>379.16447907321401</c:v>
              </c:pt>
              <c:pt idx="30">
                <c:v>300.07774311078299</c:v>
              </c:pt>
              <c:pt idx="31">
                <c:v>302.28879872121001</c:v>
              </c:pt>
              <c:pt idx="32">
                <c:v>338.11605581875699</c:v>
              </c:pt>
              <c:pt idx="33">
                <c:v>382.39509727157798</c:v>
              </c:pt>
              <c:pt idx="34">
                <c:v>408.683385175392</c:v>
              </c:pt>
              <c:pt idx="35">
                <c:v>328.71190055559299</c:v>
              </c:pt>
              <c:pt idx="36">
                <c:v>465.89181653378398</c:v>
              </c:pt>
              <c:pt idx="37">
                <c:v>391.56552167107901</c:v>
              </c:pt>
              <c:pt idx="38">
                <c:v>398.16756706350799</c:v>
              </c:pt>
              <c:pt idx="39">
                <c:v>358.22498596652099</c:v>
              </c:pt>
              <c:pt idx="40">
                <c:v>378.80486321970102</c:v>
              </c:pt>
              <c:pt idx="41">
                <c:v>440.31100384131798</c:v>
              </c:pt>
              <c:pt idx="42">
                <c:v>366.53105939065603</c:v>
              </c:pt>
              <c:pt idx="43">
                <c:v>349.215501865688</c:v>
              </c:pt>
              <c:pt idx="44">
                <c:v>389.95837951399801</c:v>
              </c:pt>
              <c:pt idx="45">
                <c:v>377.95100904339199</c:v>
              </c:pt>
              <c:pt idx="46">
                <c:v>401.918887838052</c:v>
              </c:pt>
              <c:pt idx="47">
                <c:v>440.48208498677502</c:v>
              </c:pt>
              <c:pt idx="48">
                <c:v>439.02181594779398</c:v>
              </c:pt>
              <c:pt idx="49">
                <c:v>382.315391905887</c:v>
              </c:pt>
              <c:pt idx="50">
                <c:v>434.098099028148</c:v>
              </c:pt>
              <c:pt idx="51">
                <c:v>400.83358018496301</c:v>
              </c:pt>
              <c:pt idx="52">
                <c:v>355.19677467550503</c:v>
              </c:pt>
              <c:pt idx="53">
                <c:v>340.30767521218098</c:v>
              </c:pt>
              <c:pt idx="54">
                <c:v>412.55377622173899</c:v>
              </c:pt>
              <c:pt idx="55">
                <c:v>366.25334845839598</c:v>
              </c:pt>
              <c:pt idx="56">
                <c:v>354.873909519606</c:v>
              </c:pt>
              <c:pt idx="57">
                <c:v>424.17550432894097</c:v>
              </c:pt>
              <c:pt idx="58">
                <c:v>360.64626515835801</c:v>
              </c:pt>
              <c:pt idx="59">
                <c:v>472.65168540037001</c:v>
              </c:pt>
              <c:pt idx="60">
                <c:v>402.07301979576903</c:v>
              </c:pt>
              <c:pt idx="61">
                <c:v>304.44461302669202</c:v>
              </c:pt>
              <c:pt idx="62">
                <c:v>351.902805570449</c:v>
              </c:pt>
              <c:pt idx="63">
                <c:v>347.37900708607202</c:v>
              </c:pt>
              <c:pt idx="64">
                <c:v>396.84765705955698</c:v>
              </c:pt>
              <c:pt idx="65">
                <c:v>444.24042050583398</c:v>
              </c:pt>
              <c:pt idx="66">
                <c:v>375.45720409640398</c:v>
              </c:pt>
              <c:pt idx="67">
                <c:v>337.30111257034002</c:v>
              </c:pt>
              <c:pt idx="68">
                <c:v>368.82904691952899</c:v>
              </c:pt>
              <c:pt idx="69">
                <c:v>385.75081241135001</c:v>
              </c:pt>
              <c:pt idx="70">
                <c:v>334.369178345254</c:v>
              </c:pt>
            </c:numLit>
          </c:yVal>
          <c:smooth val="0"/>
          <c:extLst>
            <c:ext xmlns:c16="http://schemas.microsoft.com/office/drawing/2014/chart" uri="{C3380CC4-5D6E-409C-BE32-E72D297353CC}">
              <c16:uniqueId val="{00000000-662C-6648-913D-BD9800C58F60}"/>
            </c:ext>
          </c:extLst>
        </c:ser>
        <c:ser>
          <c:idx val="1"/>
          <c:order val="1"/>
          <c:tx>
            <c:v>co2 atm</c:v>
          </c:tx>
          <c:spPr>
            <a:ln w="25400" cap="rnd">
              <a:noFill/>
              <a:round/>
            </a:ln>
            <a:effectLst/>
          </c:spPr>
          <c:marker>
            <c:symbol val="circle"/>
            <c:size val="5"/>
            <c:spPr>
              <a:solidFill>
                <a:schemeClr val="accent2"/>
              </a:solidFill>
              <a:ln w="9525">
                <a:solidFill>
                  <a:schemeClr val="accent2"/>
                </a:solidFill>
              </a:ln>
              <a:effectLst/>
            </c:spPr>
          </c:marker>
          <c:yVal>
            <c:numLit>
              <c:formatCode>General</c:formatCode>
              <c:ptCount val="71"/>
              <c:pt idx="0">
                <c:v>449.90078215328799</c:v>
              </c:pt>
              <c:pt idx="1">
                <c:v>414.50897655981402</c:v>
              </c:pt>
              <c:pt idx="2">
                <c:v>371.26089027376901</c:v>
              </c:pt>
              <c:pt idx="3">
                <c:v>377.045047877451</c:v>
              </c:pt>
              <c:pt idx="4">
                <c:v>277.500364404793</c:v>
              </c:pt>
              <c:pt idx="5">
                <c:v>332.102986195992</c:v>
              </c:pt>
              <c:pt idx="6">
                <c:v>320.225227028125</c:v>
              </c:pt>
              <c:pt idx="7">
                <c:v>340.326322315536</c:v>
              </c:pt>
              <c:pt idx="8">
                <c:v>356.62769462737702</c:v>
              </c:pt>
              <c:pt idx="9">
                <c:v>362.03461847224497</c:v>
              </c:pt>
              <c:pt idx="10">
                <c:v>245.96959183153299</c:v>
              </c:pt>
              <c:pt idx="11">
                <c:v>335.451094913063</c:v>
              </c:pt>
              <c:pt idx="12">
                <c:v>299.50714700684898</c:v>
              </c:pt>
              <c:pt idx="13">
                <c:v>329.81149666152999</c:v>
              </c:pt>
              <c:pt idx="14">
                <c:v>361.667928065289</c:v>
              </c:pt>
              <c:pt idx="15">
                <c:v>278.521083298034</c:v>
              </c:pt>
              <c:pt idx="16">
                <c:v>304.92913325198901</c:v>
              </c:pt>
              <c:pt idx="17">
                <c:v>244.921315066369</c:v>
              </c:pt>
              <c:pt idx="18">
                <c:v>281.85195584967698</c:v>
              </c:pt>
              <c:pt idx="19">
                <c:v>301.61459250283502</c:v>
              </c:pt>
              <c:pt idx="20">
                <c:v>262.66564077273</c:v>
              </c:pt>
              <c:pt idx="21">
                <c:v>322.77037349050102</c:v>
              </c:pt>
              <c:pt idx="22">
                <c:v>283.779060146007</c:v>
              </c:pt>
              <c:pt idx="23">
                <c:v>275.60348356145698</c:v>
              </c:pt>
              <c:pt idx="24">
                <c:v>234.409752036762</c:v>
              </c:pt>
              <c:pt idx="25">
                <c:v>319.02163467755202</c:v>
              </c:pt>
              <c:pt idx="26">
                <c:v>262.14235703188501</c:v>
              </c:pt>
              <c:pt idx="27">
                <c:v>338.75533454464397</c:v>
              </c:pt>
              <c:pt idx="28">
                <c:v>320.96855335584797</c:v>
              </c:pt>
              <c:pt idx="29">
                <c:v>358.16447907321401</c:v>
              </c:pt>
              <c:pt idx="30">
                <c:v>279.07774311078299</c:v>
              </c:pt>
              <c:pt idx="31">
                <c:v>281.28879872121001</c:v>
              </c:pt>
              <c:pt idx="32">
                <c:v>317.11605581875699</c:v>
              </c:pt>
              <c:pt idx="33">
                <c:v>361.39509727157798</c:v>
              </c:pt>
              <c:pt idx="34">
                <c:v>387.683385175392</c:v>
              </c:pt>
              <c:pt idx="35">
                <c:v>307.71190055559299</c:v>
              </c:pt>
              <c:pt idx="36">
                <c:v>444.89181653378398</c:v>
              </c:pt>
              <c:pt idx="37">
                <c:v>370.56552167107901</c:v>
              </c:pt>
              <c:pt idx="38">
                <c:v>377.16756706350799</c:v>
              </c:pt>
              <c:pt idx="39">
                <c:v>337.22498596652099</c:v>
              </c:pt>
              <c:pt idx="40">
                <c:v>357.80486321970102</c:v>
              </c:pt>
              <c:pt idx="41">
                <c:v>419.31100384131798</c:v>
              </c:pt>
              <c:pt idx="42">
                <c:v>345.53105939065603</c:v>
              </c:pt>
              <c:pt idx="43">
                <c:v>328.215501865688</c:v>
              </c:pt>
              <c:pt idx="44">
                <c:v>368.95837951399801</c:v>
              </c:pt>
              <c:pt idx="45">
                <c:v>356.95100904339199</c:v>
              </c:pt>
              <c:pt idx="46">
                <c:v>380.918887838052</c:v>
              </c:pt>
              <c:pt idx="47">
                <c:v>419.48208498677502</c:v>
              </c:pt>
              <c:pt idx="48">
                <c:v>418.02181594779398</c:v>
              </c:pt>
              <c:pt idx="49">
                <c:v>361.315391905887</c:v>
              </c:pt>
              <c:pt idx="50">
                <c:v>413.098099028148</c:v>
              </c:pt>
              <c:pt idx="51">
                <c:v>379.83358018496301</c:v>
              </c:pt>
              <c:pt idx="52">
                <c:v>334.19677467550503</c:v>
              </c:pt>
              <c:pt idx="53">
                <c:v>319.30767521218098</c:v>
              </c:pt>
              <c:pt idx="54">
                <c:v>391.55377622173899</c:v>
              </c:pt>
              <c:pt idx="55">
                <c:v>345.25334845839598</c:v>
              </c:pt>
              <c:pt idx="56">
                <c:v>333.873909519606</c:v>
              </c:pt>
              <c:pt idx="57">
                <c:v>403.17550432894097</c:v>
              </c:pt>
              <c:pt idx="58">
                <c:v>339.64626515835801</c:v>
              </c:pt>
              <c:pt idx="59">
                <c:v>451.65168540037001</c:v>
              </c:pt>
              <c:pt idx="60">
                <c:v>381.07301979576903</c:v>
              </c:pt>
              <c:pt idx="61">
                <c:v>283.44461302669202</c:v>
              </c:pt>
              <c:pt idx="62">
                <c:v>330.902805570449</c:v>
              </c:pt>
              <c:pt idx="63">
                <c:v>326.37900708607202</c:v>
              </c:pt>
              <c:pt idx="64">
                <c:v>375.84765705955698</c:v>
              </c:pt>
              <c:pt idx="65">
                <c:v>423.24042050583398</c:v>
              </c:pt>
              <c:pt idx="66">
                <c:v>354.45720409640398</c:v>
              </c:pt>
              <c:pt idx="67">
                <c:v>316.30111257034002</c:v>
              </c:pt>
              <c:pt idx="68">
                <c:v>347.82904691952899</c:v>
              </c:pt>
              <c:pt idx="69">
                <c:v>364.75081241135001</c:v>
              </c:pt>
              <c:pt idx="70">
                <c:v>313.369178345254</c:v>
              </c:pt>
            </c:numLit>
          </c:yVal>
          <c:smooth val="0"/>
          <c:extLst>
            <c:ext xmlns:c16="http://schemas.microsoft.com/office/drawing/2014/chart" uri="{C3380CC4-5D6E-409C-BE32-E72D297353CC}">
              <c16:uniqueId val="{00000001-662C-6648-913D-BD9800C58F60}"/>
            </c:ext>
          </c:extLst>
        </c:ser>
        <c:dLbls>
          <c:showLegendKey val="0"/>
          <c:showVal val="0"/>
          <c:showCatName val="0"/>
          <c:showSerName val="0"/>
          <c:showPercent val="0"/>
          <c:showBubbleSize val="0"/>
        </c:dLbls>
        <c:axId val="926562815"/>
        <c:axId val="926564447"/>
      </c:scatterChart>
      <c:valAx>
        <c:axId val="92656281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564447"/>
        <c:crosses val="autoZero"/>
        <c:crossBetween val="midCat"/>
      </c:valAx>
      <c:valAx>
        <c:axId val="92656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56281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165</xdr:col>
      <xdr:colOff>1178276</xdr:colOff>
      <xdr:row>24</xdr:row>
      <xdr:rowOff>110067</xdr:rowOff>
    </xdr:from>
    <xdr:to>
      <xdr:col>173</xdr:col>
      <xdr:colOff>344714</xdr:colOff>
      <xdr:row>36</xdr:row>
      <xdr:rowOff>143934</xdr:rowOff>
    </xdr:to>
    <xdr:graphicFrame macro="">
      <xdr:nvGraphicFramePr>
        <xdr:cNvPr id="2" name="Chart 1">
          <a:extLst>
            <a:ext uri="{FF2B5EF4-FFF2-40B4-BE49-F238E27FC236}">
              <a16:creationId xmlns:a16="http://schemas.microsoft.com/office/drawing/2014/main" id="{FABB071C-4C85-C842-9D85-A6F859AD9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hoenisch@ldeo.columbia.edu" TargetMode="External"/><Relationship Id="rId21" Type="http://schemas.openxmlformats.org/officeDocument/2006/relationships/hyperlink" Target="mailto:hoenisch@ldeo.columbia.edu" TargetMode="External"/><Relationship Id="rId42" Type="http://schemas.openxmlformats.org/officeDocument/2006/relationships/hyperlink" Target="mailto:hoenisch@ldeo.columbia.edu" TargetMode="External"/><Relationship Id="rId47" Type="http://schemas.openxmlformats.org/officeDocument/2006/relationships/hyperlink" Target="mailto:hoenisch@ldeo.columbia.edu" TargetMode="External"/><Relationship Id="rId63" Type="http://schemas.openxmlformats.org/officeDocument/2006/relationships/hyperlink" Target="mailto:hoenisch@ldeo.columbia.edu" TargetMode="External"/><Relationship Id="rId68" Type="http://schemas.openxmlformats.org/officeDocument/2006/relationships/hyperlink" Target="mailto:hoenisch@ldeo.columbia.edu" TargetMode="External"/><Relationship Id="rId16" Type="http://schemas.openxmlformats.org/officeDocument/2006/relationships/hyperlink" Target="mailto:hoenisch@ldeo.columbia.edu" TargetMode="External"/><Relationship Id="rId11" Type="http://schemas.openxmlformats.org/officeDocument/2006/relationships/hyperlink" Target="mailto:hoenisch@ldeo.columbia.edu" TargetMode="External"/><Relationship Id="rId32" Type="http://schemas.openxmlformats.org/officeDocument/2006/relationships/hyperlink" Target="mailto:hoenisch@ldeo.columbia.edu" TargetMode="External"/><Relationship Id="rId37" Type="http://schemas.openxmlformats.org/officeDocument/2006/relationships/hyperlink" Target="mailto:hoenisch@ldeo.columbia.edu" TargetMode="External"/><Relationship Id="rId53" Type="http://schemas.openxmlformats.org/officeDocument/2006/relationships/hyperlink" Target="mailto:hoenisch@ldeo.columbia.edu" TargetMode="External"/><Relationship Id="rId58" Type="http://schemas.openxmlformats.org/officeDocument/2006/relationships/hyperlink" Target="mailto:hoenisch@ldeo.columbia.edu" TargetMode="External"/><Relationship Id="rId74" Type="http://schemas.openxmlformats.org/officeDocument/2006/relationships/hyperlink" Target="mailto:hoenisch@ldeo.columbia.edu" TargetMode="External"/><Relationship Id="rId79" Type="http://schemas.openxmlformats.org/officeDocument/2006/relationships/hyperlink" Target="mailto:hoenisch@ldeo.columbia.edu" TargetMode="External"/><Relationship Id="rId5" Type="http://schemas.openxmlformats.org/officeDocument/2006/relationships/hyperlink" Target="mailto:hoenisch@ldeo.columbia.edu" TargetMode="External"/><Relationship Id="rId61" Type="http://schemas.openxmlformats.org/officeDocument/2006/relationships/hyperlink" Target="mailto:hoenisch@ldeo.columbia.edu" TargetMode="External"/><Relationship Id="rId82" Type="http://schemas.openxmlformats.org/officeDocument/2006/relationships/hyperlink" Target="mailto:hoenisch@ldeo.columbia.edu" TargetMode="External"/><Relationship Id="rId19" Type="http://schemas.openxmlformats.org/officeDocument/2006/relationships/hyperlink" Target="mailto:hoenisch@ldeo.columbia.edu" TargetMode="External"/><Relationship Id="rId14" Type="http://schemas.openxmlformats.org/officeDocument/2006/relationships/hyperlink" Target="mailto:hoenisch@ldeo.columbia.edu" TargetMode="External"/><Relationship Id="rId22" Type="http://schemas.openxmlformats.org/officeDocument/2006/relationships/hyperlink" Target="mailto:hoenisch@ldeo.columbia.edu" TargetMode="External"/><Relationship Id="rId27" Type="http://schemas.openxmlformats.org/officeDocument/2006/relationships/hyperlink" Target="mailto:hoenisch@ldeo.columbia.edu" TargetMode="External"/><Relationship Id="rId30" Type="http://schemas.openxmlformats.org/officeDocument/2006/relationships/hyperlink" Target="mailto:hoenisch@ldeo.columbia.edu" TargetMode="External"/><Relationship Id="rId35" Type="http://schemas.openxmlformats.org/officeDocument/2006/relationships/hyperlink" Target="mailto:hoenisch@ldeo.columbia.edu" TargetMode="External"/><Relationship Id="rId43" Type="http://schemas.openxmlformats.org/officeDocument/2006/relationships/hyperlink" Target="mailto:hoenisch@ldeo.columbia.edu" TargetMode="External"/><Relationship Id="rId48" Type="http://schemas.openxmlformats.org/officeDocument/2006/relationships/hyperlink" Target="mailto:hoenisch@ldeo.columbia.edu" TargetMode="External"/><Relationship Id="rId56" Type="http://schemas.openxmlformats.org/officeDocument/2006/relationships/hyperlink" Target="mailto:hoenisch@ldeo.columbia.edu" TargetMode="External"/><Relationship Id="rId64" Type="http://schemas.openxmlformats.org/officeDocument/2006/relationships/hyperlink" Target="mailto:hoenisch@ldeo.columbia.edu" TargetMode="External"/><Relationship Id="rId69" Type="http://schemas.openxmlformats.org/officeDocument/2006/relationships/hyperlink" Target="mailto:hoenisch@ldeo.columbia.edu" TargetMode="External"/><Relationship Id="rId77" Type="http://schemas.openxmlformats.org/officeDocument/2006/relationships/hyperlink" Target="mailto:hoenisch@ldeo.columbia.edu" TargetMode="External"/><Relationship Id="rId8" Type="http://schemas.openxmlformats.org/officeDocument/2006/relationships/hyperlink" Target="mailto:hoenisch@ldeo.columbia.edu" TargetMode="External"/><Relationship Id="rId51" Type="http://schemas.openxmlformats.org/officeDocument/2006/relationships/hyperlink" Target="mailto:hoenisch@ldeo.columbia.edu" TargetMode="External"/><Relationship Id="rId72" Type="http://schemas.openxmlformats.org/officeDocument/2006/relationships/hyperlink" Target="mailto:hoenisch@ldeo.columbia.edu" TargetMode="External"/><Relationship Id="rId80" Type="http://schemas.openxmlformats.org/officeDocument/2006/relationships/hyperlink" Target="mailto:hoenisch@ldeo.columbia.edu" TargetMode="External"/><Relationship Id="rId3" Type="http://schemas.openxmlformats.org/officeDocument/2006/relationships/hyperlink" Target="mailto:hoenisch@ldeo.columbia.edu" TargetMode="External"/><Relationship Id="rId12" Type="http://schemas.openxmlformats.org/officeDocument/2006/relationships/hyperlink" Target="mailto:hoenisch@ldeo.columbia.edu" TargetMode="External"/><Relationship Id="rId17" Type="http://schemas.openxmlformats.org/officeDocument/2006/relationships/hyperlink" Target="mailto:hoenisch@ldeo.columbia.edu" TargetMode="External"/><Relationship Id="rId25" Type="http://schemas.openxmlformats.org/officeDocument/2006/relationships/hyperlink" Target="mailto:hoenisch@ldeo.columbia.edu" TargetMode="External"/><Relationship Id="rId33" Type="http://schemas.openxmlformats.org/officeDocument/2006/relationships/hyperlink" Target="mailto:hoenisch@ldeo.columbia.edu" TargetMode="External"/><Relationship Id="rId38" Type="http://schemas.openxmlformats.org/officeDocument/2006/relationships/hyperlink" Target="mailto:hoenisch@ldeo.columbia.edu" TargetMode="External"/><Relationship Id="rId46" Type="http://schemas.openxmlformats.org/officeDocument/2006/relationships/hyperlink" Target="mailto:hoenisch@ldeo.columbia.edu" TargetMode="External"/><Relationship Id="rId59" Type="http://schemas.openxmlformats.org/officeDocument/2006/relationships/hyperlink" Target="mailto:hoenisch@ldeo.columbia.edu" TargetMode="External"/><Relationship Id="rId67" Type="http://schemas.openxmlformats.org/officeDocument/2006/relationships/hyperlink" Target="mailto:hoenisch@ldeo.columbia.edu" TargetMode="External"/><Relationship Id="rId20" Type="http://schemas.openxmlformats.org/officeDocument/2006/relationships/hyperlink" Target="mailto:hoenisch@ldeo.columbia.edu" TargetMode="External"/><Relationship Id="rId41" Type="http://schemas.openxmlformats.org/officeDocument/2006/relationships/hyperlink" Target="mailto:hoenisch@ldeo.columbia.edu" TargetMode="External"/><Relationship Id="rId54" Type="http://schemas.openxmlformats.org/officeDocument/2006/relationships/hyperlink" Target="mailto:hoenisch@ldeo.columbia.edu" TargetMode="External"/><Relationship Id="rId62" Type="http://schemas.openxmlformats.org/officeDocument/2006/relationships/hyperlink" Target="mailto:hoenisch@ldeo.columbia.edu" TargetMode="External"/><Relationship Id="rId70" Type="http://schemas.openxmlformats.org/officeDocument/2006/relationships/hyperlink" Target="mailto:hoenisch@ldeo.columbia.edu" TargetMode="External"/><Relationship Id="rId75" Type="http://schemas.openxmlformats.org/officeDocument/2006/relationships/hyperlink" Target="mailto:hoenisch@ldeo.columbia.edu" TargetMode="External"/><Relationship Id="rId83" Type="http://schemas.openxmlformats.org/officeDocument/2006/relationships/drawing" Target="../drawings/drawing1.xml"/><Relationship Id="rId1" Type="http://schemas.openxmlformats.org/officeDocument/2006/relationships/hyperlink" Target="mailto:hoenisch@ldeo.columbia.edu" TargetMode="External"/><Relationship Id="rId6" Type="http://schemas.openxmlformats.org/officeDocument/2006/relationships/hyperlink" Target="mailto:hoenisch@ldeo.columbia.edu" TargetMode="External"/><Relationship Id="rId15" Type="http://schemas.openxmlformats.org/officeDocument/2006/relationships/hyperlink" Target="mailto:hoenisch@ldeo.columbia.edu" TargetMode="External"/><Relationship Id="rId23" Type="http://schemas.openxmlformats.org/officeDocument/2006/relationships/hyperlink" Target="mailto:hoenisch@ldeo.columbia.edu" TargetMode="External"/><Relationship Id="rId28" Type="http://schemas.openxmlformats.org/officeDocument/2006/relationships/hyperlink" Target="mailto:hoenisch@ldeo.columbia.edu" TargetMode="External"/><Relationship Id="rId36" Type="http://schemas.openxmlformats.org/officeDocument/2006/relationships/hyperlink" Target="mailto:hoenisch@ldeo.columbia.edu" TargetMode="External"/><Relationship Id="rId49" Type="http://schemas.openxmlformats.org/officeDocument/2006/relationships/hyperlink" Target="mailto:hoenisch@ldeo.columbia.edu" TargetMode="External"/><Relationship Id="rId57" Type="http://schemas.openxmlformats.org/officeDocument/2006/relationships/hyperlink" Target="mailto:hoenisch@ldeo.columbia.edu" TargetMode="External"/><Relationship Id="rId10" Type="http://schemas.openxmlformats.org/officeDocument/2006/relationships/hyperlink" Target="mailto:hoenisch@ldeo.columbia.edu" TargetMode="External"/><Relationship Id="rId31" Type="http://schemas.openxmlformats.org/officeDocument/2006/relationships/hyperlink" Target="mailto:hoenisch@ldeo.columbia.edu" TargetMode="External"/><Relationship Id="rId44" Type="http://schemas.openxmlformats.org/officeDocument/2006/relationships/hyperlink" Target="mailto:hoenisch@ldeo.columbia.edu" TargetMode="External"/><Relationship Id="rId52" Type="http://schemas.openxmlformats.org/officeDocument/2006/relationships/hyperlink" Target="mailto:hoenisch@ldeo.columbia.edu" TargetMode="External"/><Relationship Id="rId60" Type="http://schemas.openxmlformats.org/officeDocument/2006/relationships/hyperlink" Target="mailto:hoenisch@ldeo.columbia.edu" TargetMode="External"/><Relationship Id="rId65" Type="http://schemas.openxmlformats.org/officeDocument/2006/relationships/hyperlink" Target="mailto:hoenisch@ldeo.columbia.edu" TargetMode="External"/><Relationship Id="rId73" Type="http://schemas.openxmlformats.org/officeDocument/2006/relationships/hyperlink" Target="mailto:hoenisch@ldeo.columbia.edu" TargetMode="External"/><Relationship Id="rId78" Type="http://schemas.openxmlformats.org/officeDocument/2006/relationships/hyperlink" Target="mailto:hoenisch@ldeo.columbia.edu" TargetMode="External"/><Relationship Id="rId81" Type="http://schemas.openxmlformats.org/officeDocument/2006/relationships/hyperlink" Target="mailto:hoenisch@ldeo.columbia.edu" TargetMode="External"/><Relationship Id="rId4" Type="http://schemas.openxmlformats.org/officeDocument/2006/relationships/hyperlink" Target="mailto:hoenisch@ldeo.columbia.edu" TargetMode="External"/><Relationship Id="rId9" Type="http://schemas.openxmlformats.org/officeDocument/2006/relationships/hyperlink" Target="mailto:hoenisch@ldeo.columbia.edu" TargetMode="External"/><Relationship Id="rId13" Type="http://schemas.openxmlformats.org/officeDocument/2006/relationships/hyperlink" Target="mailto:hoenisch@ldeo.columbia.edu" TargetMode="External"/><Relationship Id="rId18" Type="http://schemas.openxmlformats.org/officeDocument/2006/relationships/hyperlink" Target="mailto:hoenisch@ldeo.columbia.edu" TargetMode="External"/><Relationship Id="rId39" Type="http://schemas.openxmlformats.org/officeDocument/2006/relationships/hyperlink" Target="mailto:hoenisch@ldeo.columbia.edu" TargetMode="External"/><Relationship Id="rId34" Type="http://schemas.openxmlformats.org/officeDocument/2006/relationships/hyperlink" Target="mailto:hoenisch@ldeo.columbia.edu" TargetMode="External"/><Relationship Id="rId50" Type="http://schemas.openxmlformats.org/officeDocument/2006/relationships/hyperlink" Target="mailto:hoenisch@ldeo.columbia.edu" TargetMode="External"/><Relationship Id="rId55" Type="http://schemas.openxmlformats.org/officeDocument/2006/relationships/hyperlink" Target="mailto:hoenisch@ldeo.columbia.edu" TargetMode="External"/><Relationship Id="rId76" Type="http://schemas.openxmlformats.org/officeDocument/2006/relationships/hyperlink" Target="mailto:hoenisch@ldeo.columbia.edu" TargetMode="External"/><Relationship Id="rId7" Type="http://schemas.openxmlformats.org/officeDocument/2006/relationships/hyperlink" Target="mailto:hoenisch@ldeo.columbia.edu" TargetMode="External"/><Relationship Id="rId71" Type="http://schemas.openxmlformats.org/officeDocument/2006/relationships/hyperlink" Target="mailto:hoenisch@ldeo.columbia.edu" TargetMode="External"/><Relationship Id="rId2" Type="http://schemas.openxmlformats.org/officeDocument/2006/relationships/hyperlink" Target="mailto:hoenisch@ldeo.columbia.edu" TargetMode="External"/><Relationship Id="rId29" Type="http://schemas.openxmlformats.org/officeDocument/2006/relationships/hyperlink" Target="mailto:hoenisch@ldeo.columbia.edu" TargetMode="External"/><Relationship Id="rId24" Type="http://schemas.openxmlformats.org/officeDocument/2006/relationships/hyperlink" Target="mailto:hoenisch@ldeo.columbia.edu" TargetMode="External"/><Relationship Id="rId40" Type="http://schemas.openxmlformats.org/officeDocument/2006/relationships/hyperlink" Target="mailto:hoenisch@ldeo.columbia.edu" TargetMode="External"/><Relationship Id="rId45" Type="http://schemas.openxmlformats.org/officeDocument/2006/relationships/hyperlink" Target="mailto:hoenisch@ldeo.columbia.edu" TargetMode="External"/><Relationship Id="rId66" Type="http://schemas.openxmlformats.org/officeDocument/2006/relationships/hyperlink" Target="mailto:hoenisch@ldeo.columbi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C85"/>
  <sheetViews>
    <sheetView tabSelected="1" topLeftCell="A73" zoomScale="70" zoomScaleNormal="70" workbookViewId="0">
      <selection activeCell="O94" sqref="O94"/>
    </sheetView>
  </sheetViews>
  <sheetFormatPr baseColWidth="10" defaultColWidth="8.83203125" defaultRowHeight="15" x14ac:dyDescent="0.2"/>
  <cols>
    <col min="3" max="3" width="12.83203125" customWidth="1"/>
    <col min="4" max="5" width="10.33203125" customWidth="1"/>
    <col min="8" max="8" width="12.33203125" customWidth="1"/>
    <col min="9" max="9" width="11.5" customWidth="1"/>
    <col min="10" max="10" width="12.5" customWidth="1"/>
    <col min="11" max="11" width="17.5" customWidth="1"/>
    <col min="12" max="12" width="11.83203125" customWidth="1"/>
    <col min="13" max="13" width="13.33203125" customWidth="1"/>
    <col min="14" max="14" width="11.33203125" customWidth="1"/>
    <col min="15" max="15" width="11" customWidth="1"/>
    <col min="16" max="16" width="11.83203125" customWidth="1"/>
    <col min="17" max="17" width="13.83203125" customWidth="1"/>
    <col min="18" max="18" width="12.6640625" customWidth="1"/>
    <col min="19" max="19" width="12.1640625" customWidth="1"/>
    <col min="20" max="20" width="13.1640625" customWidth="1"/>
    <col min="21" max="21" width="11.1640625" customWidth="1"/>
    <col min="22" max="22" width="15" customWidth="1"/>
    <col min="27" max="27" width="13.83203125" customWidth="1"/>
    <col min="40" max="40" width="18" customWidth="1"/>
    <col min="41" max="41" width="13.5" customWidth="1"/>
    <col min="42" max="42" width="12.33203125" customWidth="1"/>
    <col min="43" max="43" width="13.6640625" customWidth="1"/>
    <col min="44" max="44" width="14" customWidth="1"/>
    <col min="45" max="45" width="13" customWidth="1"/>
    <col min="46" max="46" width="13.83203125" customWidth="1"/>
    <col min="47" max="47" width="14.33203125" customWidth="1"/>
    <col min="48" max="49" width="14.1640625" customWidth="1"/>
    <col min="50" max="50" width="14.83203125" customWidth="1"/>
    <col min="51" max="51" width="15.33203125" customWidth="1"/>
    <col min="53" max="53" width="14.6640625" customWidth="1"/>
    <col min="54" max="54" width="11.5" customWidth="1"/>
    <col min="55" max="55" width="12.33203125" customWidth="1"/>
    <col min="56" max="56" width="12.83203125" customWidth="1"/>
    <col min="57" max="57" width="15.6640625" customWidth="1"/>
    <col min="58" max="58" width="15.1640625" customWidth="1"/>
    <col min="60" max="60" width="15" customWidth="1"/>
    <col min="61" max="61" width="13.6640625" customWidth="1"/>
    <col min="62" max="62" width="12.5" customWidth="1"/>
    <col min="63" max="63" width="11.83203125" customWidth="1"/>
    <col min="64" max="64" width="17.5" customWidth="1"/>
    <col min="65" max="66" width="15" customWidth="1"/>
    <col min="67" max="68" width="17.33203125" customWidth="1"/>
    <col min="69" max="69" width="14.1640625" customWidth="1"/>
    <col min="70" max="70" width="14.83203125" customWidth="1"/>
    <col min="71" max="71" width="19.6640625" customWidth="1"/>
    <col min="72" max="72" width="16.6640625" customWidth="1"/>
    <col min="73" max="73" width="17.33203125" customWidth="1"/>
    <col min="74" max="74" width="13.33203125" customWidth="1"/>
    <col min="75" max="76" width="14.1640625" customWidth="1"/>
    <col min="77" max="77" width="22.6640625" customWidth="1"/>
    <col min="78" max="78" width="15.33203125" customWidth="1"/>
    <col min="79" max="79" width="11.33203125" customWidth="1"/>
    <col min="80" max="80" width="15.1640625" customWidth="1"/>
    <col min="81" max="81" width="13.83203125" customWidth="1"/>
    <col min="82" max="82" width="14" customWidth="1"/>
    <col min="83" max="83" width="15.33203125" customWidth="1"/>
    <col min="84" max="84" width="12.83203125" customWidth="1"/>
    <col min="85" max="85" width="16" customWidth="1"/>
    <col min="86" max="86" width="15.83203125" customWidth="1"/>
    <col min="87" max="87" width="16.1640625" customWidth="1"/>
    <col min="88" max="88" width="15.83203125" customWidth="1"/>
    <col min="89" max="89" width="15.6640625" customWidth="1"/>
    <col min="90" max="90" width="16.5" customWidth="1"/>
    <col min="91" max="91" width="14" customWidth="1"/>
    <col min="92" max="92" width="15.1640625" customWidth="1"/>
    <col min="93" max="93" width="15.83203125" customWidth="1"/>
    <col min="94" max="94" width="16" customWidth="1"/>
    <col min="95" max="95" width="17.6640625" customWidth="1"/>
    <col min="96" max="96" width="17.5" customWidth="1"/>
    <col min="97" max="97" width="14.6640625" customWidth="1"/>
    <col min="98" max="98" width="17.83203125" customWidth="1"/>
    <col min="99" max="99" width="19.83203125" customWidth="1"/>
    <col min="100" max="100" width="14.5" customWidth="1"/>
    <col min="101" max="101" width="16" customWidth="1"/>
    <col min="102" max="103" width="16.6640625" customWidth="1"/>
    <col min="104" max="104" width="15.83203125" customWidth="1"/>
    <col min="105" max="105" width="16.33203125" customWidth="1"/>
    <col min="106" max="107" width="16.1640625" customWidth="1"/>
    <col min="108" max="108" width="18.33203125" customWidth="1"/>
    <col min="109" max="109" width="17" customWidth="1"/>
    <col min="110" max="110" width="16.1640625" customWidth="1"/>
    <col min="111" max="111" width="17.33203125" customWidth="1"/>
    <col min="112" max="112" width="13.83203125" customWidth="1"/>
    <col min="113" max="113" width="15.1640625" customWidth="1"/>
    <col min="114" max="114" width="14.33203125" customWidth="1"/>
    <col min="115" max="115" width="14" customWidth="1"/>
    <col min="116" max="116" width="15.6640625" customWidth="1"/>
    <col min="117" max="117" width="17.6640625" customWidth="1"/>
    <col min="118" max="118" width="13" customWidth="1"/>
    <col min="119" max="119" width="16" customWidth="1"/>
    <col min="120" max="120" width="13.1640625" customWidth="1"/>
    <col min="121" max="121" width="18.1640625" customWidth="1"/>
    <col min="122" max="122" width="16.1640625" customWidth="1"/>
    <col min="123" max="123" width="16.5" customWidth="1"/>
    <col min="124" max="124" width="16.6640625" customWidth="1"/>
    <col min="125" max="125" width="17.1640625" customWidth="1"/>
    <col min="126" max="126" width="13.5" customWidth="1"/>
    <col min="127" max="127" width="14" customWidth="1"/>
    <col min="128" max="128" width="13.1640625" customWidth="1"/>
    <col min="129" max="129" width="14.6640625" customWidth="1"/>
    <col min="130" max="130" width="12.33203125" customWidth="1"/>
    <col min="131" max="131" width="16.33203125" customWidth="1"/>
    <col min="132" max="132" width="13.1640625" customWidth="1"/>
    <col min="133" max="133" width="13.6640625" customWidth="1"/>
    <col min="134" max="134" width="12" customWidth="1"/>
    <col min="135" max="135" width="14.5" customWidth="1"/>
    <col min="136" max="136" width="13.33203125" customWidth="1"/>
    <col min="137" max="137" width="13.5" customWidth="1"/>
    <col min="138" max="138" width="10.5" customWidth="1"/>
    <col min="139" max="139" width="16.33203125" customWidth="1"/>
    <col min="140" max="140" width="16.83203125" customWidth="1"/>
    <col min="141" max="141" width="15.6640625" customWidth="1"/>
    <col min="142" max="142" width="19.5" customWidth="1"/>
    <col min="143" max="143" width="15.83203125" customWidth="1"/>
    <col min="144" max="144" width="12.6640625" customWidth="1"/>
    <col min="145" max="145" width="15.5" customWidth="1"/>
    <col min="146" max="146" width="13" customWidth="1"/>
    <col min="147" max="147" width="13.6640625" customWidth="1"/>
    <col min="148" max="148" width="15.1640625" customWidth="1"/>
    <col min="149" max="149" width="16.6640625" customWidth="1"/>
    <col min="150" max="150" width="15.5" customWidth="1"/>
    <col min="151" max="151" width="16.1640625" customWidth="1"/>
    <col min="152" max="152" width="15.6640625" customWidth="1"/>
    <col min="153" max="153" width="16.6640625" customWidth="1"/>
    <col min="154" max="154" width="12.6640625" customWidth="1"/>
    <col min="155" max="155" width="17.83203125" customWidth="1"/>
    <col min="156" max="156" width="16.83203125" customWidth="1"/>
    <col min="157" max="157" width="16.1640625" customWidth="1"/>
    <col min="158" max="158" width="17.6640625" customWidth="1"/>
    <col min="159" max="159" width="19.33203125" customWidth="1"/>
    <col min="160" max="160" width="13.6640625" customWidth="1"/>
    <col min="161" max="161" width="20.1640625" customWidth="1"/>
    <col min="162" max="162" width="13.33203125" customWidth="1"/>
    <col min="163" max="163" width="14.33203125" customWidth="1"/>
    <col min="164" max="164" width="14" customWidth="1"/>
    <col min="165" max="165" width="17.6640625" customWidth="1"/>
    <col min="166" max="166" width="15.6640625" customWidth="1"/>
    <col min="167" max="167" width="17" customWidth="1"/>
    <col min="169" max="169" width="14.33203125" customWidth="1"/>
    <col min="170" max="170" width="12.83203125" customWidth="1"/>
    <col min="171" max="171" width="15.5" customWidth="1"/>
    <col min="172" max="172" width="17.6640625" customWidth="1"/>
    <col min="173" max="173" width="15.83203125" customWidth="1"/>
    <col min="174" max="174" width="16.1640625" customWidth="1"/>
    <col min="175" max="175" width="19" customWidth="1"/>
    <col min="176" max="176" width="14" customWidth="1"/>
    <col min="177" max="177" width="17.83203125" customWidth="1"/>
    <col min="178" max="178" width="21.1640625" customWidth="1"/>
    <col min="179" max="179" width="21.5" customWidth="1"/>
    <col min="180" max="180" width="14.83203125" customWidth="1"/>
    <col min="181" max="181" width="13.33203125" customWidth="1"/>
    <col min="182" max="182" width="14.1640625" customWidth="1"/>
    <col min="183" max="183" width="14.6640625" customWidth="1"/>
    <col min="184" max="184" width="14.5" customWidth="1"/>
    <col min="185" max="185" width="14" customWidth="1"/>
    <col min="186" max="186" width="15" customWidth="1"/>
    <col min="187" max="187" width="15.33203125" customWidth="1"/>
    <col min="188" max="188" width="16.5" customWidth="1"/>
    <col min="189" max="189" width="19.33203125" customWidth="1"/>
    <col min="190" max="192" width="15" customWidth="1"/>
  </cols>
  <sheetData>
    <row r="1" spans="1:185" ht="18" x14ac:dyDescent="0.25">
      <c r="Y1" s="19"/>
      <c r="Z1" s="3"/>
      <c r="AA1" s="20" t="s">
        <v>11</v>
      </c>
      <c r="AB1" s="21"/>
      <c r="AC1" s="21"/>
      <c r="AD1" s="21"/>
      <c r="AE1" s="21"/>
      <c r="AF1" s="21"/>
      <c r="AG1" s="22"/>
      <c r="AH1" s="23"/>
      <c r="AI1" s="22"/>
      <c r="AJ1" s="21"/>
      <c r="AK1" s="21"/>
      <c r="AL1" s="21"/>
      <c r="AM1" s="21"/>
      <c r="AN1" s="21"/>
      <c r="AO1" s="21"/>
      <c r="AP1" s="21"/>
      <c r="AQ1" s="21"/>
      <c r="AR1" s="21"/>
      <c r="AS1" s="24" t="s">
        <v>12</v>
      </c>
      <c r="AT1" s="25"/>
      <c r="AU1" s="26"/>
      <c r="AV1" s="26"/>
      <c r="AW1" s="27"/>
      <c r="AX1" s="27"/>
      <c r="AY1" s="27"/>
      <c r="AZ1" s="28"/>
      <c r="BA1" s="27"/>
      <c r="BB1" s="27"/>
      <c r="BC1" s="27"/>
      <c r="BD1" s="27"/>
      <c r="BE1" s="27"/>
      <c r="BF1" s="27"/>
      <c r="BG1" s="29" t="s">
        <v>13</v>
      </c>
      <c r="BH1" s="30"/>
      <c r="BI1" s="30"/>
      <c r="BJ1" s="30"/>
      <c r="BK1" s="30"/>
      <c r="BL1" s="30"/>
      <c r="BM1" s="30"/>
      <c r="BN1" s="31"/>
      <c r="BO1" s="32"/>
      <c r="BP1" s="32"/>
      <c r="BQ1" s="32"/>
      <c r="BR1" s="33"/>
      <c r="BS1" s="34"/>
      <c r="BT1" s="35" t="s">
        <v>14</v>
      </c>
      <c r="BU1" s="36"/>
      <c r="BV1" s="36"/>
      <c r="BW1" s="36"/>
      <c r="BX1" s="36"/>
      <c r="BY1" s="36"/>
      <c r="BZ1" s="36"/>
      <c r="CA1" s="37"/>
      <c r="CB1" s="38" t="s">
        <v>15</v>
      </c>
      <c r="CC1" s="38"/>
      <c r="CD1" s="39"/>
      <c r="CE1" s="39"/>
      <c r="CF1" s="39"/>
      <c r="CG1" s="40" t="s">
        <v>16</v>
      </c>
      <c r="CH1" s="41"/>
      <c r="CI1" s="42"/>
      <c r="CJ1" s="40"/>
      <c r="CK1" s="43"/>
      <c r="CL1" s="43"/>
      <c r="CM1" s="44"/>
      <c r="CN1" s="40" t="s">
        <v>17</v>
      </c>
      <c r="CO1" s="45"/>
      <c r="CP1" s="43"/>
      <c r="CQ1" s="43"/>
      <c r="CR1" s="43"/>
      <c r="CS1" s="43"/>
      <c r="CT1" s="43"/>
      <c r="CU1" s="43"/>
      <c r="CV1" s="43"/>
      <c r="CW1" s="43"/>
      <c r="CX1" s="43"/>
      <c r="CY1" s="43"/>
      <c r="CZ1" s="40" t="s">
        <v>18</v>
      </c>
      <c r="DA1" s="43"/>
      <c r="DB1" s="43"/>
      <c r="DC1" s="43"/>
      <c r="DD1" s="43"/>
      <c r="DE1" s="43"/>
      <c r="DF1" s="44"/>
      <c r="DG1" s="41" t="s">
        <v>19</v>
      </c>
      <c r="DH1" s="41"/>
      <c r="DI1" s="41"/>
      <c r="DJ1" s="41"/>
      <c r="DK1" s="41"/>
      <c r="DL1" s="41"/>
      <c r="DM1" s="41"/>
      <c r="DN1" s="41"/>
      <c r="DO1" s="41"/>
      <c r="DP1" s="41"/>
      <c r="DQ1" s="41"/>
      <c r="DR1" s="41"/>
      <c r="DS1" s="41"/>
      <c r="DT1" s="41"/>
      <c r="DU1" s="41"/>
      <c r="DV1" s="41"/>
      <c r="DW1" s="41"/>
      <c r="DX1" s="41"/>
      <c r="DY1" s="41"/>
      <c r="DZ1" s="41"/>
      <c r="EA1" s="46"/>
      <c r="EB1" s="43"/>
      <c r="EC1" s="43"/>
      <c r="ED1" s="44"/>
      <c r="EE1" s="41"/>
      <c r="EF1" s="41"/>
      <c r="EG1" s="47" t="s">
        <v>20</v>
      </c>
      <c r="EH1" s="41"/>
      <c r="EI1" s="41"/>
      <c r="EJ1" s="41"/>
      <c r="EK1" s="41"/>
      <c r="EL1" s="42"/>
      <c r="EM1" s="47" t="s">
        <v>21</v>
      </c>
      <c r="EN1" s="41"/>
      <c r="EO1" s="41"/>
      <c r="EP1" s="41"/>
      <c r="EQ1" s="41"/>
      <c r="ER1" s="48"/>
      <c r="ES1" s="48"/>
      <c r="ET1" s="49" t="s">
        <v>22</v>
      </c>
      <c r="EU1" s="50"/>
      <c r="EV1" s="50"/>
      <c r="EW1" s="51"/>
      <c r="EX1" s="51"/>
      <c r="EY1" s="51"/>
      <c r="EZ1" s="51"/>
      <c r="FA1" s="51"/>
      <c r="FB1" s="51"/>
      <c r="FC1" s="51"/>
      <c r="FD1" s="51"/>
      <c r="FE1" s="52" t="s">
        <v>23</v>
      </c>
      <c r="FF1" s="53"/>
      <c r="FG1" s="53"/>
      <c r="FH1" s="53"/>
      <c r="FI1" s="54"/>
      <c r="FJ1" s="54"/>
      <c r="FK1" s="54"/>
      <c r="FL1" s="54"/>
      <c r="FM1" s="53"/>
      <c r="FN1" s="53"/>
      <c r="FO1" s="53"/>
      <c r="FP1" s="53"/>
      <c r="FQ1" s="52"/>
      <c r="FR1" s="53"/>
      <c r="FS1" s="53"/>
      <c r="FT1" s="53"/>
      <c r="FU1" s="53"/>
      <c r="FV1" s="53"/>
      <c r="FW1" s="21"/>
      <c r="FX1" s="21"/>
      <c r="FY1" s="21"/>
      <c r="FZ1" s="21"/>
      <c r="GA1" s="21"/>
      <c r="GB1" s="21"/>
      <c r="GC1" s="5"/>
    </row>
    <row r="2" spans="1:185" ht="20" x14ac:dyDescent="0.25">
      <c r="A2" s="1"/>
      <c r="B2" s="2"/>
      <c r="C2" s="2"/>
      <c r="D2" s="2"/>
      <c r="E2" s="2"/>
      <c r="F2" s="2"/>
      <c r="G2" s="2"/>
      <c r="H2" s="2"/>
      <c r="I2" s="2"/>
      <c r="J2" s="2"/>
      <c r="K2" s="2"/>
      <c r="L2" s="3"/>
      <c r="M2" s="4"/>
      <c r="N2" s="4"/>
      <c r="O2" s="4"/>
      <c r="P2" s="4"/>
      <c r="R2" s="5"/>
      <c r="S2" s="176"/>
      <c r="T2" s="176"/>
      <c r="U2" s="176"/>
      <c r="V2" s="176"/>
      <c r="W2" s="176"/>
      <c r="X2" s="5"/>
      <c r="Y2" s="55"/>
      <c r="Z2" s="56"/>
      <c r="AA2" s="57"/>
      <c r="AB2" s="57"/>
      <c r="AC2" s="57"/>
      <c r="AD2" s="57"/>
      <c r="AE2" s="57"/>
      <c r="AF2" s="57"/>
      <c r="AG2" s="58"/>
      <c r="AH2" s="59"/>
      <c r="AI2" s="58"/>
      <c r="AJ2" s="57"/>
      <c r="AK2" s="57"/>
      <c r="AL2" s="57"/>
      <c r="AM2" s="57"/>
      <c r="AN2" s="57"/>
      <c r="AO2" s="57"/>
      <c r="AP2" s="57"/>
      <c r="AQ2" s="57"/>
      <c r="AR2" s="57"/>
      <c r="AS2" s="60"/>
      <c r="AT2" s="25"/>
      <c r="AU2" s="26"/>
      <c r="AV2" s="26"/>
      <c r="AW2" s="27"/>
      <c r="AX2" s="27"/>
      <c r="AY2" s="27"/>
      <c r="AZ2" s="28" t="s">
        <v>24</v>
      </c>
      <c r="BA2" s="27"/>
      <c r="BB2" s="27"/>
      <c r="BC2" s="27"/>
      <c r="BD2" s="27"/>
      <c r="BE2" s="27"/>
      <c r="BF2" s="27"/>
      <c r="BG2" s="31"/>
      <c r="BH2" s="32"/>
      <c r="BI2" s="30"/>
      <c r="BJ2" s="30"/>
      <c r="BK2" s="30"/>
      <c r="BL2" s="30"/>
      <c r="BM2" s="32"/>
      <c r="BN2" s="61" t="s">
        <v>25</v>
      </c>
      <c r="BO2" s="62"/>
      <c r="BP2" s="62"/>
      <c r="BQ2" s="32"/>
      <c r="BR2" s="33"/>
      <c r="BS2" s="34"/>
      <c r="BT2" s="63" t="s">
        <v>26</v>
      </c>
      <c r="BU2" s="64"/>
      <c r="BV2" s="64"/>
      <c r="BW2" s="65" t="s">
        <v>27</v>
      </c>
      <c r="BX2" s="66"/>
      <c r="BY2" s="67"/>
      <c r="BZ2" s="67"/>
      <c r="CA2" s="68"/>
      <c r="CB2" s="69"/>
      <c r="CC2" s="69"/>
      <c r="CD2" s="36"/>
      <c r="CE2" s="36"/>
      <c r="CF2" s="36"/>
      <c r="CG2" s="70" t="s">
        <v>28</v>
      </c>
      <c r="CH2" s="71"/>
      <c r="CI2" s="72"/>
      <c r="CJ2" s="73" t="s">
        <v>29</v>
      </c>
      <c r="CK2" s="74"/>
      <c r="CL2" s="74"/>
      <c r="CM2" s="74"/>
      <c r="CN2" s="75" t="s">
        <v>30</v>
      </c>
      <c r="CO2" s="76"/>
      <c r="CP2" s="74"/>
      <c r="CQ2" s="74"/>
      <c r="CR2" s="74"/>
      <c r="CS2" s="74"/>
      <c r="CT2" s="74"/>
      <c r="CU2" s="74"/>
      <c r="CV2" s="74"/>
      <c r="CW2" s="74"/>
      <c r="CX2" s="74"/>
      <c r="CY2" s="74"/>
      <c r="CZ2" s="40" t="s">
        <v>31</v>
      </c>
      <c r="DA2" s="45"/>
      <c r="DB2" s="43"/>
      <c r="DC2" s="43"/>
      <c r="DD2" s="43"/>
      <c r="DE2" s="43"/>
      <c r="DF2" s="44"/>
      <c r="DG2" s="71" t="s">
        <v>32</v>
      </c>
      <c r="DH2" s="71"/>
      <c r="DI2" s="71"/>
      <c r="DJ2" s="71"/>
      <c r="DK2" s="77" t="s">
        <v>33</v>
      </c>
      <c r="DL2" s="78"/>
      <c r="DM2" s="78"/>
      <c r="DN2" s="79"/>
      <c r="DO2" s="77" t="s">
        <v>34</v>
      </c>
      <c r="DP2" s="48"/>
      <c r="DQ2" s="48"/>
      <c r="DR2" s="80"/>
      <c r="DS2" s="81" t="s">
        <v>35</v>
      </c>
      <c r="DT2" s="48"/>
      <c r="DU2" s="48"/>
      <c r="DV2" s="80"/>
      <c r="DW2" s="82" t="s">
        <v>36</v>
      </c>
      <c r="DX2" s="83"/>
      <c r="DY2" s="71"/>
      <c r="DZ2" s="71"/>
      <c r="EA2" s="84" t="s">
        <v>37</v>
      </c>
      <c r="EB2" s="74"/>
      <c r="EC2" s="74"/>
      <c r="ED2" s="85"/>
      <c r="EE2" s="71" t="s">
        <v>38</v>
      </c>
      <c r="EF2" s="71"/>
      <c r="EG2" s="86" t="s">
        <v>39</v>
      </c>
      <c r="EH2" s="87"/>
      <c r="EI2" s="87"/>
      <c r="EJ2" s="87"/>
      <c r="EK2" s="71"/>
      <c r="EL2" s="71"/>
      <c r="EM2" s="88"/>
      <c r="EN2" s="71"/>
      <c r="EO2" s="71"/>
      <c r="EP2" s="71"/>
      <c r="EQ2" s="48"/>
      <c r="ER2" s="70" t="s">
        <v>40</v>
      </c>
      <c r="ES2" s="48"/>
      <c r="ET2" s="89"/>
      <c r="EU2" s="51"/>
      <c r="EV2" s="51"/>
      <c r="EW2" s="90"/>
      <c r="EX2" s="90"/>
      <c r="EY2" s="90"/>
      <c r="EZ2" s="90"/>
      <c r="FA2" s="91"/>
      <c r="FB2" s="91"/>
      <c r="FC2" s="91"/>
      <c r="FD2" s="91"/>
      <c r="FE2" s="92"/>
      <c r="FF2" s="57"/>
      <c r="FG2" s="57"/>
      <c r="FH2" s="57"/>
      <c r="FI2" s="57"/>
      <c r="FJ2" s="57"/>
      <c r="FK2" s="57"/>
      <c r="FL2" s="57"/>
      <c r="FM2" s="57"/>
      <c r="FN2" s="57"/>
      <c r="FO2" s="57"/>
      <c r="FP2" s="57"/>
      <c r="FQ2" s="20"/>
      <c r="FR2" s="21"/>
      <c r="FS2" s="21"/>
      <c r="FT2" s="21"/>
      <c r="FU2" s="21"/>
      <c r="FV2" s="21"/>
      <c r="FW2" s="21"/>
      <c r="FX2" s="21"/>
      <c r="FY2" s="21"/>
      <c r="FZ2" s="21"/>
      <c r="GA2" s="21"/>
      <c r="GB2" s="57"/>
      <c r="GC2" s="93"/>
    </row>
    <row r="3" spans="1:185" ht="409.6" x14ac:dyDescent="0.2">
      <c r="A3" s="6" t="s">
        <v>0</v>
      </c>
      <c r="B3" s="7" t="s">
        <v>1</v>
      </c>
      <c r="C3" s="8" t="s">
        <v>2</v>
      </c>
      <c r="D3" s="9" t="s">
        <v>3</v>
      </c>
      <c r="E3" s="9" t="s">
        <v>4</v>
      </c>
      <c r="F3" s="10" t="s">
        <v>5</v>
      </c>
      <c r="G3" s="10" t="s">
        <v>6</v>
      </c>
      <c r="H3" s="11" t="s">
        <v>7</v>
      </c>
      <c r="I3" s="11" t="s">
        <v>8</v>
      </c>
      <c r="J3" s="9" t="s">
        <v>246</v>
      </c>
      <c r="K3" s="11" t="s">
        <v>247</v>
      </c>
      <c r="L3" s="12" t="s">
        <v>256</v>
      </c>
      <c r="M3" s="13" t="s">
        <v>248</v>
      </c>
      <c r="N3" s="177" t="s">
        <v>262</v>
      </c>
      <c r="O3" s="177" t="s">
        <v>263</v>
      </c>
      <c r="P3" s="13" t="s">
        <v>249</v>
      </c>
      <c r="Q3" s="14" t="s">
        <v>250</v>
      </c>
      <c r="R3" s="15" t="s">
        <v>251</v>
      </c>
      <c r="S3" s="16" t="s">
        <v>252</v>
      </c>
      <c r="T3" s="13" t="s">
        <v>253</v>
      </c>
      <c r="U3" s="13" t="s">
        <v>9</v>
      </c>
      <c r="V3" s="13" t="s">
        <v>254</v>
      </c>
      <c r="W3" s="17" t="s">
        <v>255</v>
      </c>
      <c r="X3" s="18" t="s">
        <v>10</v>
      </c>
      <c r="Y3" s="94" t="s">
        <v>41</v>
      </c>
      <c r="Z3" s="95" t="s">
        <v>42</v>
      </c>
      <c r="AA3" s="96" t="s">
        <v>43</v>
      </c>
      <c r="AB3" s="96" t="s">
        <v>44</v>
      </c>
      <c r="AC3" s="96" t="s">
        <v>45</v>
      </c>
      <c r="AD3" s="96" t="s">
        <v>46</v>
      </c>
      <c r="AE3" s="96" t="s">
        <v>47</v>
      </c>
      <c r="AF3" s="96" t="s">
        <v>48</v>
      </c>
      <c r="AG3" s="96" t="s">
        <v>49</v>
      </c>
      <c r="AH3" s="97" t="s">
        <v>50</v>
      </c>
      <c r="AI3" s="96" t="s">
        <v>51</v>
      </c>
      <c r="AJ3" s="96" t="s">
        <v>52</v>
      </c>
      <c r="AK3" s="96" t="s">
        <v>53</v>
      </c>
      <c r="AL3" s="96" t="s">
        <v>54</v>
      </c>
      <c r="AM3" s="96" t="s">
        <v>55</v>
      </c>
      <c r="AN3" s="96" t="s">
        <v>56</v>
      </c>
      <c r="AO3" s="96" t="s">
        <v>57</v>
      </c>
      <c r="AP3" s="96" t="s">
        <v>58</v>
      </c>
      <c r="AQ3" s="96" t="s">
        <v>59</v>
      </c>
      <c r="AR3" s="96" t="s">
        <v>60</v>
      </c>
      <c r="AS3" s="98" t="s">
        <v>61</v>
      </c>
      <c r="AT3" s="99" t="s">
        <v>62</v>
      </c>
      <c r="AU3" s="100" t="s">
        <v>63</v>
      </c>
      <c r="AV3" s="100" t="s">
        <v>64</v>
      </c>
      <c r="AW3" s="101" t="s">
        <v>65</v>
      </c>
      <c r="AX3" s="101" t="s">
        <v>66</v>
      </c>
      <c r="AY3" s="102" t="s">
        <v>67</v>
      </c>
      <c r="AZ3" s="98" t="s">
        <v>61</v>
      </c>
      <c r="BA3" s="99" t="s">
        <v>62</v>
      </c>
      <c r="BB3" s="100" t="s">
        <v>63</v>
      </c>
      <c r="BC3" s="100" t="s">
        <v>64</v>
      </c>
      <c r="BD3" s="101" t="s">
        <v>65</v>
      </c>
      <c r="BE3" s="101" t="s">
        <v>66</v>
      </c>
      <c r="BF3" s="101" t="s">
        <v>67</v>
      </c>
      <c r="BG3" s="103" t="s">
        <v>68</v>
      </c>
      <c r="BH3" s="104" t="s">
        <v>69</v>
      </c>
      <c r="BI3" s="104" t="s">
        <v>70</v>
      </c>
      <c r="BJ3" s="104" t="s">
        <v>71</v>
      </c>
      <c r="BK3" s="104" t="s">
        <v>72</v>
      </c>
      <c r="BL3" s="104" t="s">
        <v>73</v>
      </c>
      <c r="BM3" s="104" t="s">
        <v>74</v>
      </c>
      <c r="BN3" s="105" t="s">
        <v>75</v>
      </c>
      <c r="BO3" s="106" t="s">
        <v>76</v>
      </c>
      <c r="BP3" s="106" t="s">
        <v>77</v>
      </c>
      <c r="BQ3" s="107" t="s">
        <v>78</v>
      </c>
      <c r="BR3" s="108" t="s">
        <v>79</v>
      </c>
      <c r="BS3" s="108" t="s">
        <v>80</v>
      </c>
      <c r="BT3" s="109" t="s">
        <v>81</v>
      </c>
      <c r="BU3" s="110" t="s">
        <v>82</v>
      </c>
      <c r="BV3" s="111" t="s">
        <v>83</v>
      </c>
      <c r="BW3" s="112" t="s">
        <v>84</v>
      </c>
      <c r="BX3" s="113" t="s">
        <v>82</v>
      </c>
      <c r="BY3" s="114" t="s">
        <v>83</v>
      </c>
      <c r="BZ3" s="67" t="s">
        <v>85</v>
      </c>
      <c r="CA3" s="68" t="s">
        <v>86</v>
      </c>
      <c r="CB3" s="114" t="s">
        <v>87</v>
      </c>
      <c r="CC3" s="110" t="s">
        <v>82</v>
      </c>
      <c r="CD3" s="111" t="s">
        <v>83</v>
      </c>
      <c r="CE3" s="67" t="s">
        <v>242</v>
      </c>
      <c r="CF3" s="67" t="s">
        <v>88</v>
      </c>
      <c r="CG3" s="115" t="s">
        <v>89</v>
      </c>
      <c r="CH3" s="116" t="s">
        <v>62</v>
      </c>
      <c r="CI3" s="117" t="s">
        <v>90</v>
      </c>
      <c r="CJ3" s="118" t="s">
        <v>91</v>
      </c>
      <c r="CK3" s="116" t="s">
        <v>62</v>
      </c>
      <c r="CL3" s="119" t="s">
        <v>92</v>
      </c>
      <c r="CM3" s="120" t="s">
        <v>93</v>
      </c>
      <c r="CN3" s="121" t="s">
        <v>94</v>
      </c>
      <c r="CO3" s="118" t="s">
        <v>95</v>
      </c>
      <c r="CP3" s="116" t="s">
        <v>62</v>
      </c>
      <c r="CQ3" s="119" t="s">
        <v>96</v>
      </c>
      <c r="CR3" s="120" t="s">
        <v>97</v>
      </c>
      <c r="CS3" s="121" t="s">
        <v>98</v>
      </c>
      <c r="CT3" s="121" t="s">
        <v>99</v>
      </c>
      <c r="CU3" s="121" t="s">
        <v>165</v>
      </c>
      <c r="CV3" s="121" t="s">
        <v>164</v>
      </c>
      <c r="CW3" s="121" t="s">
        <v>100</v>
      </c>
      <c r="CX3" s="121" t="s">
        <v>101</v>
      </c>
      <c r="CY3" s="121" t="s">
        <v>102</v>
      </c>
      <c r="CZ3" s="122" t="s">
        <v>103</v>
      </c>
      <c r="DA3" s="118" t="s">
        <v>104</v>
      </c>
      <c r="DB3" s="116" t="s">
        <v>62</v>
      </c>
      <c r="DC3" s="116" t="s">
        <v>105</v>
      </c>
      <c r="DD3" s="121" t="s">
        <v>106</v>
      </c>
      <c r="DE3" s="121" t="s">
        <v>99</v>
      </c>
      <c r="DF3" s="121" t="s">
        <v>107</v>
      </c>
      <c r="DG3" s="115" t="s">
        <v>108</v>
      </c>
      <c r="DH3" s="116" t="s">
        <v>62</v>
      </c>
      <c r="DI3" s="116" t="s">
        <v>105</v>
      </c>
      <c r="DJ3" s="123" t="s">
        <v>109</v>
      </c>
      <c r="DK3" s="118" t="s">
        <v>110</v>
      </c>
      <c r="DL3" s="116" t="s">
        <v>62</v>
      </c>
      <c r="DM3" s="116" t="s">
        <v>105</v>
      </c>
      <c r="DN3" s="123" t="s">
        <v>111</v>
      </c>
      <c r="DO3" s="118" t="s">
        <v>112</v>
      </c>
      <c r="DP3" s="116" t="s">
        <v>62</v>
      </c>
      <c r="DQ3" s="116" t="s">
        <v>105</v>
      </c>
      <c r="DR3" s="123" t="s">
        <v>113</v>
      </c>
      <c r="DS3" s="118" t="s">
        <v>114</v>
      </c>
      <c r="DT3" s="116" t="s">
        <v>62</v>
      </c>
      <c r="DU3" s="116" t="s">
        <v>105</v>
      </c>
      <c r="DV3" s="123" t="s">
        <v>115</v>
      </c>
      <c r="DW3" s="118" t="s">
        <v>116</v>
      </c>
      <c r="DX3" s="116" t="s">
        <v>62</v>
      </c>
      <c r="DY3" s="116" t="s">
        <v>105</v>
      </c>
      <c r="DZ3" s="124" t="s">
        <v>117</v>
      </c>
      <c r="EA3" s="115" t="s">
        <v>118</v>
      </c>
      <c r="EB3" s="116" t="s">
        <v>62</v>
      </c>
      <c r="EC3" s="116" t="s">
        <v>105</v>
      </c>
      <c r="ED3" s="125" t="s">
        <v>119</v>
      </c>
      <c r="EE3" s="124" t="s">
        <v>120</v>
      </c>
      <c r="EF3" s="124" t="s">
        <v>121</v>
      </c>
      <c r="EG3" s="115" t="s">
        <v>122</v>
      </c>
      <c r="EH3" s="116" t="s">
        <v>62</v>
      </c>
      <c r="EI3" s="116" t="s">
        <v>105</v>
      </c>
      <c r="EJ3" s="116" t="s">
        <v>123</v>
      </c>
      <c r="EK3" s="124" t="s">
        <v>124</v>
      </c>
      <c r="EL3" s="123" t="s">
        <v>125</v>
      </c>
      <c r="EM3" s="121" t="s">
        <v>126</v>
      </c>
      <c r="EN3" s="124" t="s">
        <v>127</v>
      </c>
      <c r="EO3" s="124" t="s">
        <v>128</v>
      </c>
      <c r="EP3" s="124" t="s">
        <v>129</v>
      </c>
      <c r="EQ3" s="126" t="s">
        <v>130</v>
      </c>
      <c r="ER3" s="127" t="s">
        <v>131</v>
      </c>
      <c r="ES3" s="124" t="s">
        <v>132</v>
      </c>
      <c r="ET3" s="139" t="s">
        <v>133</v>
      </c>
      <c r="EU3" s="140" t="s">
        <v>134</v>
      </c>
      <c r="EV3" s="140" t="s">
        <v>135</v>
      </c>
      <c r="EW3" s="128" t="s">
        <v>136</v>
      </c>
      <c r="EX3" s="129" t="s">
        <v>62</v>
      </c>
      <c r="EY3" s="130" t="s">
        <v>162</v>
      </c>
      <c r="EZ3" s="131" t="s">
        <v>163</v>
      </c>
      <c r="FA3" s="128" t="s">
        <v>137</v>
      </c>
      <c r="FB3" s="129" t="s">
        <v>62</v>
      </c>
      <c r="FC3" s="130" t="s">
        <v>140</v>
      </c>
      <c r="FD3" s="131" t="s">
        <v>141</v>
      </c>
      <c r="FE3" s="132" t="s">
        <v>138</v>
      </c>
      <c r="FF3" s="96" t="s">
        <v>139</v>
      </c>
      <c r="FG3" s="133" t="s">
        <v>140</v>
      </c>
      <c r="FH3" s="133" t="s">
        <v>141</v>
      </c>
      <c r="FI3" s="96" t="s">
        <v>142</v>
      </c>
      <c r="FJ3" s="96" t="s">
        <v>143</v>
      </c>
      <c r="FK3" s="96" t="s">
        <v>144</v>
      </c>
      <c r="FL3" s="96" t="s">
        <v>145</v>
      </c>
      <c r="FM3" s="133" t="s">
        <v>146</v>
      </c>
      <c r="FN3" s="133" t="s">
        <v>147</v>
      </c>
      <c r="FO3" s="96" t="s">
        <v>148</v>
      </c>
      <c r="FP3" s="96" t="s">
        <v>149</v>
      </c>
      <c r="FQ3" s="132" t="s">
        <v>150</v>
      </c>
      <c r="FR3" s="134" t="s">
        <v>151</v>
      </c>
      <c r="FS3" s="134" t="s">
        <v>152</v>
      </c>
      <c r="FT3" s="96" t="s">
        <v>153</v>
      </c>
      <c r="FU3" s="134" t="s">
        <v>154</v>
      </c>
      <c r="FV3" s="134" t="s">
        <v>155</v>
      </c>
      <c r="FW3" s="135" t="s">
        <v>156</v>
      </c>
      <c r="FX3" s="135" t="s">
        <v>157</v>
      </c>
      <c r="FY3" s="135" t="s">
        <v>158</v>
      </c>
      <c r="FZ3" s="135" t="s">
        <v>159</v>
      </c>
      <c r="GA3" s="136" t="s">
        <v>160</v>
      </c>
      <c r="GB3" s="136" t="s">
        <v>166</v>
      </c>
      <c r="GC3" s="137" t="s">
        <v>161</v>
      </c>
    </row>
    <row r="4" spans="1:185" ht="18" x14ac:dyDescent="0.2">
      <c r="A4" t="s">
        <v>240</v>
      </c>
      <c r="B4" s="141" t="s">
        <v>241</v>
      </c>
      <c r="C4" s="138" t="s">
        <v>168</v>
      </c>
      <c r="D4" t="s">
        <v>239</v>
      </c>
      <c r="E4">
        <v>2015</v>
      </c>
      <c r="F4" t="str">
        <f>Z4</f>
        <v>10.1038/nature14145</v>
      </c>
      <c r="G4" s="175">
        <v>2340.14</v>
      </c>
      <c r="H4" s="142">
        <f t="shared" ref="H4:H35" si="0">AU4</f>
        <v>6</v>
      </c>
      <c r="I4" s="142">
        <f t="shared" ref="I4:I35" si="1">AV4</f>
        <v>6</v>
      </c>
      <c r="J4" s="148">
        <f t="shared" ref="J4:J35" si="2">FL4</f>
        <v>317.42002807805301</v>
      </c>
      <c r="K4" s="148">
        <f t="shared" ref="K4:K35" si="3">FM4</f>
        <v>69.572031291485018</v>
      </c>
      <c r="L4" s="148">
        <f t="shared" ref="L4:L35" si="4">FN4</f>
        <v>62.553009971295012</v>
      </c>
      <c r="M4" t="b">
        <v>1</v>
      </c>
      <c r="N4">
        <v>3</v>
      </c>
      <c r="O4" t="s">
        <v>245</v>
      </c>
      <c r="P4" s="174" t="s">
        <v>259</v>
      </c>
      <c r="Q4" t="b">
        <v>0</v>
      </c>
      <c r="R4" t="s">
        <v>167</v>
      </c>
      <c r="S4" t="b">
        <v>0</v>
      </c>
      <c r="T4" t="b">
        <v>0</v>
      </c>
      <c r="U4" t="s">
        <v>167</v>
      </c>
      <c r="V4" t="s">
        <v>167</v>
      </c>
      <c r="W4" t="b">
        <v>0</v>
      </c>
      <c r="X4" t="s">
        <v>260</v>
      </c>
      <c r="Y4" s="150" t="s">
        <v>169</v>
      </c>
      <c r="Z4" t="s">
        <v>170</v>
      </c>
      <c r="AA4" t="s">
        <v>171</v>
      </c>
      <c r="AB4" s="142" t="s">
        <v>172</v>
      </c>
      <c r="AC4" s="172">
        <v>9</v>
      </c>
      <c r="AD4" s="172">
        <v>2</v>
      </c>
      <c r="AE4" s="172">
        <v>89</v>
      </c>
      <c r="AF4" s="172">
        <v>91</v>
      </c>
      <c r="AG4" s="146" t="s">
        <v>167</v>
      </c>
      <c r="AH4" s="146" t="s">
        <v>167</v>
      </c>
      <c r="AI4" s="146" t="s">
        <v>167</v>
      </c>
      <c r="AJ4" t="s">
        <v>173</v>
      </c>
      <c r="AK4" s="151">
        <v>12.75</v>
      </c>
      <c r="AL4" s="151">
        <v>-78.73</v>
      </c>
      <c r="AM4" s="151">
        <v>12.75</v>
      </c>
      <c r="AN4" s="151">
        <v>-78.73</v>
      </c>
      <c r="AO4" s="151">
        <v>-2828</v>
      </c>
      <c r="AP4" s="151">
        <v>-2828</v>
      </c>
      <c r="AQ4" s="142" t="s">
        <v>167</v>
      </c>
      <c r="AR4" s="142" t="s">
        <v>167</v>
      </c>
      <c r="AS4" s="175">
        <v>2340.14</v>
      </c>
      <c r="AT4" s="153" t="s">
        <v>174</v>
      </c>
      <c r="AU4" s="142">
        <v>6</v>
      </c>
      <c r="AV4" s="142">
        <v>6</v>
      </c>
      <c r="AW4" s="149" t="s">
        <v>167</v>
      </c>
      <c r="AX4" s="171" t="s">
        <v>243</v>
      </c>
      <c r="AY4" s="146" t="s">
        <v>167</v>
      </c>
      <c r="AZ4" t="s">
        <v>167</v>
      </c>
      <c r="BA4" t="s">
        <v>167</v>
      </c>
      <c r="BB4" t="s">
        <v>167</v>
      </c>
      <c r="BC4" t="s">
        <v>167</v>
      </c>
      <c r="BD4" t="s">
        <v>167</v>
      </c>
      <c r="BE4" t="s">
        <v>167</v>
      </c>
      <c r="BF4" t="s">
        <v>167</v>
      </c>
      <c r="BG4" s="154" t="s">
        <v>175</v>
      </c>
      <c r="BH4" t="s">
        <v>176</v>
      </c>
      <c r="BI4" s="155" t="s">
        <v>177</v>
      </c>
      <c r="BJ4" s="156" t="s">
        <v>178</v>
      </c>
      <c r="BK4" s="156" t="s">
        <v>179</v>
      </c>
      <c r="BL4" s="156" t="s">
        <v>180</v>
      </c>
      <c r="BM4" s="157" t="s">
        <v>181</v>
      </c>
      <c r="BN4" s="142" t="s">
        <v>182</v>
      </c>
      <c r="BO4" s="142" t="s">
        <v>182</v>
      </c>
      <c r="BP4" s="142" t="s">
        <v>182</v>
      </c>
      <c r="BQ4" s="152">
        <v>20.233519999999999</v>
      </c>
      <c r="BR4" t="s">
        <v>183</v>
      </c>
      <c r="BS4" s="152">
        <v>9.9817040999999995E-2</v>
      </c>
      <c r="BT4">
        <v>0.6</v>
      </c>
      <c r="BU4" t="s">
        <v>184</v>
      </c>
      <c r="BV4" s="153">
        <v>0.08</v>
      </c>
      <c r="BW4">
        <v>8.8699999999999992</v>
      </c>
      <c r="BX4" t="s">
        <v>185</v>
      </c>
      <c r="BY4">
        <v>1.52</v>
      </c>
      <c r="BZ4" t="s">
        <v>186</v>
      </c>
      <c r="CA4" t="s">
        <v>187</v>
      </c>
      <c r="CB4" s="158">
        <f t="shared" ref="CB4:CB67" si="5">(BQ4-8.87)/0.6</f>
        <v>18.9392</v>
      </c>
      <c r="CC4" t="s">
        <v>184</v>
      </c>
      <c r="CD4" s="149" t="s">
        <v>167</v>
      </c>
      <c r="CE4" s="149" t="s">
        <v>167</v>
      </c>
      <c r="CF4" t="s">
        <v>188</v>
      </c>
      <c r="CG4" t="s">
        <v>189</v>
      </c>
      <c r="CH4" t="s">
        <v>190</v>
      </c>
      <c r="CI4" t="s">
        <v>190</v>
      </c>
      <c r="CJ4" s="152">
        <v>28.668089999999999</v>
      </c>
      <c r="CK4" t="s">
        <v>184</v>
      </c>
      <c r="CL4" s="159">
        <v>3</v>
      </c>
      <c r="CM4" s="159">
        <v>3</v>
      </c>
      <c r="CN4" s="152">
        <v>3.8548973369120243</v>
      </c>
      <c r="CO4" s="152">
        <v>3.8548973369120243</v>
      </c>
      <c r="CP4" t="s">
        <v>191</v>
      </c>
      <c r="CQ4" s="145">
        <f t="shared" ref="CQ4:CQ67" si="6">CO4*0.027</f>
        <v>0.10408222809662465</v>
      </c>
      <c r="CR4" s="145">
        <f t="shared" ref="CR4:CR67" si="7">CO4*0.027</f>
        <v>0.10408222809662465</v>
      </c>
      <c r="CS4" s="142" t="s">
        <v>192</v>
      </c>
      <c r="CT4" s="147" t="s">
        <v>193</v>
      </c>
      <c r="CU4" s="152">
        <v>3.9460031554816304</v>
      </c>
      <c r="CV4" s="152" t="s">
        <v>194</v>
      </c>
      <c r="CW4" t="s">
        <v>167</v>
      </c>
      <c r="CX4" t="s">
        <v>195</v>
      </c>
      <c r="CY4" t="s">
        <v>167</v>
      </c>
      <c r="CZ4" t="s">
        <v>167</v>
      </c>
      <c r="DA4" t="s">
        <v>167</v>
      </c>
      <c r="DB4" t="s">
        <v>167</v>
      </c>
      <c r="DC4" t="s">
        <v>167</v>
      </c>
      <c r="DD4" t="s">
        <v>167</v>
      </c>
      <c r="DE4" t="s">
        <v>167</v>
      </c>
      <c r="DF4" t="s">
        <v>167</v>
      </c>
      <c r="DG4" s="160">
        <v>35</v>
      </c>
      <c r="DH4" t="s">
        <v>174</v>
      </c>
      <c r="DI4">
        <v>3</v>
      </c>
      <c r="DJ4" s="161" t="s">
        <v>196</v>
      </c>
      <c r="DK4" s="146" t="s">
        <v>167</v>
      </c>
      <c r="DL4" s="146" t="s">
        <v>167</v>
      </c>
      <c r="DM4" s="146" t="s">
        <v>167</v>
      </c>
      <c r="DN4" s="146" t="s">
        <v>167</v>
      </c>
      <c r="DO4" s="146" t="s">
        <v>167</v>
      </c>
      <c r="DP4" s="146" t="s">
        <v>167</v>
      </c>
      <c r="DQ4" s="146" t="s">
        <v>167</v>
      </c>
      <c r="DR4" s="146" t="s">
        <v>167</v>
      </c>
      <c r="DS4" s="146" t="s">
        <v>167</v>
      </c>
      <c r="DT4" s="146" t="s">
        <v>167</v>
      </c>
      <c r="DU4" s="146" t="s">
        <v>167</v>
      </c>
      <c r="DV4" s="146" t="s">
        <v>167</v>
      </c>
      <c r="DW4" s="143">
        <v>432.56244218316402</v>
      </c>
      <c r="DX4" t="s">
        <v>197</v>
      </c>
      <c r="DY4" s="142">
        <v>37.1</v>
      </c>
      <c r="DZ4" t="s">
        <v>198</v>
      </c>
      <c r="EA4" s="152">
        <v>39.273388230000002</v>
      </c>
      <c r="EB4" s="149" t="s">
        <v>185</v>
      </c>
      <c r="EC4" s="162">
        <v>0.2</v>
      </c>
      <c r="ED4" t="s">
        <v>199</v>
      </c>
      <c r="EE4" t="s">
        <v>200</v>
      </c>
      <c r="EF4" t="s">
        <v>201</v>
      </c>
      <c r="EG4">
        <v>1.0271999999999999</v>
      </c>
      <c r="EH4" t="s">
        <v>202</v>
      </c>
      <c r="EI4">
        <v>5.9999999999999995E-4</v>
      </c>
      <c r="EJ4" t="s">
        <v>203</v>
      </c>
      <c r="EK4" t="s">
        <v>167</v>
      </c>
      <c r="EL4" t="s">
        <v>167</v>
      </c>
      <c r="EM4" t="s">
        <v>204</v>
      </c>
      <c r="EN4" t="s">
        <v>205</v>
      </c>
      <c r="EO4" t="s">
        <v>206</v>
      </c>
      <c r="EP4" t="s">
        <v>206</v>
      </c>
      <c r="EQ4" s="146" t="s">
        <v>167</v>
      </c>
      <c r="ER4" t="s">
        <v>167</v>
      </c>
      <c r="ES4" t="s">
        <v>167</v>
      </c>
      <c r="ET4" t="s">
        <v>207</v>
      </c>
      <c r="EU4" t="s">
        <v>208</v>
      </c>
      <c r="EV4" t="s">
        <v>209</v>
      </c>
      <c r="EW4" s="163">
        <v>2330</v>
      </c>
      <c r="EX4" t="s">
        <v>210</v>
      </c>
      <c r="EY4">
        <v>175</v>
      </c>
      <c r="EZ4">
        <v>175</v>
      </c>
      <c r="FA4" t="s">
        <v>167</v>
      </c>
      <c r="FB4" t="s">
        <v>167</v>
      </c>
      <c r="FC4" t="s">
        <v>167</v>
      </c>
      <c r="FD4" t="s">
        <v>167</v>
      </c>
      <c r="FE4" s="152">
        <v>8.1029309113426091</v>
      </c>
      <c r="FF4" s="164" t="s">
        <v>211</v>
      </c>
      <c r="FG4" s="152">
        <v>6.328949714208143E-2</v>
      </c>
      <c r="FH4" s="165">
        <v>6.2646160355619429E-2</v>
      </c>
      <c r="FI4" s="166">
        <f>FL4+FJ4</f>
        <v>338.42002807805301</v>
      </c>
      <c r="FJ4" s="149">
        <v>21</v>
      </c>
      <c r="FK4" s="149" t="s">
        <v>212</v>
      </c>
      <c r="FL4" s="152">
        <v>317.42002807805301</v>
      </c>
      <c r="FM4" s="165">
        <v>69.572031291485018</v>
      </c>
      <c r="FN4" s="165">
        <v>62.553009971295012</v>
      </c>
      <c r="FO4" s="144" t="s">
        <v>213</v>
      </c>
      <c r="FP4" s="144" t="s">
        <v>214</v>
      </c>
      <c r="FQ4" t="s">
        <v>215</v>
      </c>
      <c r="FR4" t="s">
        <v>215</v>
      </c>
      <c r="FS4" t="s">
        <v>215</v>
      </c>
      <c r="FT4" t="s">
        <v>215</v>
      </c>
      <c r="FU4" t="s">
        <v>215</v>
      </c>
      <c r="FV4" t="s">
        <v>215</v>
      </c>
      <c r="FW4" t="s">
        <v>215</v>
      </c>
      <c r="FX4" t="s">
        <v>215</v>
      </c>
      <c r="FY4" t="s">
        <v>215</v>
      </c>
      <c r="FZ4" t="s">
        <v>215</v>
      </c>
      <c r="GA4" t="s">
        <v>215</v>
      </c>
      <c r="GB4" t="s">
        <v>215</v>
      </c>
    </row>
    <row r="5" spans="1:185" ht="18" x14ac:dyDescent="0.2">
      <c r="A5" t="s">
        <v>240</v>
      </c>
      <c r="B5" s="141" t="s">
        <v>241</v>
      </c>
      <c r="C5" s="138" t="s">
        <v>168</v>
      </c>
      <c r="D5" t="s">
        <v>239</v>
      </c>
      <c r="E5">
        <v>2015</v>
      </c>
      <c r="F5" t="str">
        <f>Z5</f>
        <v>10.1038/nature14145</v>
      </c>
      <c r="G5" s="175">
        <v>2350.85</v>
      </c>
      <c r="H5" s="142">
        <f t="shared" si="0"/>
        <v>6</v>
      </c>
      <c r="I5" s="142">
        <f t="shared" si="1"/>
        <v>6</v>
      </c>
      <c r="J5" s="148">
        <f t="shared" si="2"/>
        <v>317.55961576854799</v>
      </c>
      <c r="K5" s="148">
        <f t="shared" si="3"/>
        <v>77.285741530737027</v>
      </c>
      <c r="L5" s="148">
        <f t="shared" si="4"/>
        <v>65.954993203860994</v>
      </c>
      <c r="M5" t="b">
        <v>1</v>
      </c>
      <c r="N5">
        <v>3</v>
      </c>
      <c r="O5" t="s">
        <v>245</v>
      </c>
      <c r="P5" s="174" t="s">
        <v>259</v>
      </c>
      <c r="Q5" t="b">
        <v>0</v>
      </c>
      <c r="R5" t="s">
        <v>167</v>
      </c>
      <c r="S5" t="b">
        <v>0</v>
      </c>
      <c r="T5" t="b">
        <v>0</v>
      </c>
      <c r="U5" t="s">
        <v>167</v>
      </c>
      <c r="V5" t="s">
        <v>167</v>
      </c>
      <c r="W5" t="b">
        <v>0</v>
      </c>
      <c r="X5" t="s">
        <v>260</v>
      </c>
      <c r="Y5" s="150" t="s">
        <v>169</v>
      </c>
      <c r="Z5" t="s">
        <v>170</v>
      </c>
      <c r="AA5" t="s">
        <v>171</v>
      </c>
      <c r="AB5" s="142" t="s">
        <v>172</v>
      </c>
      <c r="AC5" s="146">
        <v>9</v>
      </c>
      <c r="AD5" s="146">
        <v>2</v>
      </c>
      <c r="AE5" s="146">
        <v>120</v>
      </c>
      <c r="AF5" s="146">
        <v>122</v>
      </c>
      <c r="AG5" s="146" t="s">
        <v>167</v>
      </c>
      <c r="AH5" s="146" t="s">
        <v>167</v>
      </c>
      <c r="AI5" s="146" t="s">
        <v>167</v>
      </c>
      <c r="AJ5" t="s">
        <v>173</v>
      </c>
      <c r="AK5" s="151">
        <v>12.75</v>
      </c>
      <c r="AL5" s="151">
        <v>-78.73</v>
      </c>
      <c r="AM5" s="151">
        <v>12.75</v>
      </c>
      <c r="AN5" s="151">
        <v>-78.73</v>
      </c>
      <c r="AO5" s="151">
        <v>-2828</v>
      </c>
      <c r="AP5" s="151">
        <v>-2828</v>
      </c>
      <c r="AQ5" s="142" t="s">
        <v>167</v>
      </c>
      <c r="AR5" s="142" t="s">
        <v>167</v>
      </c>
      <c r="AS5" s="175">
        <v>2350.85</v>
      </c>
      <c r="AT5" s="153" t="s">
        <v>174</v>
      </c>
      <c r="AU5" s="142">
        <v>6</v>
      </c>
      <c r="AV5" s="142">
        <v>6</v>
      </c>
      <c r="AW5" s="149" t="s">
        <v>167</v>
      </c>
      <c r="AX5" s="171" t="s">
        <v>243</v>
      </c>
      <c r="AY5" s="146" t="s">
        <v>167</v>
      </c>
      <c r="AZ5" t="s">
        <v>167</v>
      </c>
      <c r="BA5" t="s">
        <v>167</v>
      </c>
      <c r="BB5" t="s">
        <v>167</v>
      </c>
      <c r="BC5" t="s">
        <v>167</v>
      </c>
      <c r="BD5" t="s">
        <v>167</v>
      </c>
      <c r="BE5" t="s">
        <v>167</v>
      </c>
      <c r="BF5" t="s">
        <v>167</v>
      </c>
      <c r="BG5" s="154" t="s">
        <v>175</v>
      </c>
      <c r="BH5" t="s">
        <v>176</v>
      </c>
      <c r="BI5" s="155" t="s">
        <v>177</v>
      </c>
      <c r="BJ5" s="155" t="s">
        <v>178</v>
      </c>
      <c r="BK5" s="156" t="s">
        <v>179</v>
      </c>
      <c r="BL5" s="156" t="s">
        <v>180</v>
      </c>
      <c r="BM5" t="s">
        <v>181</v>
      </c>
      <c r="BN5" s="142" t="s">
        <v>182</v>
      </c>
      <c r="BO5" s="142" t="s">
        <v>182</v>
      </c>
      <c r="BP5" s="142" t="s">
        <v>182</v>
      </c>
      <c r="BQ5" s="152">
        <v>20.20777</v>
      </c>
      <c r="BR5" t="s">
        <v>183</v>
      </c>
      <c r="BS5" s="152">
        <v>0.183769233</v>
      </c>
      <c r="BT5">
        <v>0.6</v>
      </c>
      <c r="BU5" t="s">
        <v>184</v>
      </c>
      <c r="BV5" s="153">
        <v>0.08</v>
      </c>
      <c r="BW5">
        <v>8.8699999999999992</v>
      </c>
      <c r="BX5" t="s">
        <v>185</v>
      </c>
      <c r="BY5">
        <v>1.52</v>
      </c>
      <c r="BZ5" t="s">
        <v>216</v>
      </c>
      <c r="CA5" t="s">
        <v>187</v>
      </c>
      <c r="CB5" s="158">
        <f t="shared" si="5"/>
        <v>18.896283333333336</v>
      </c>
      <c r="CC5" t="s">
        <v>184</v>
      </c>
      <c r="CD5" s="149" t="s">
        <v>167</v>
      </c>
      <c r="CE5" s="149" t="s">
        <v>167</v>
      </c>
      <c r="CF5" t="s">
        <v>188</v>
      </c>
      <c r="CG5" t="s">
        <v>189</v>
      </c>
      <c r="CH5" t="s">
        <v>190</v>
      </c>
      <c r="CI5" t="s">
        <v>190</v>
      </c>
      <c r="CJ5" s="152">
        <v>28.238969999999998</v>
      </c>
      <c r="CK5" t="s">
        <v>184</v>
      </c>
      <c r="CL5" s="159">
        <v>3</v>
      </c>
      <c r="CM5" s="159">
        <v>3</v>
      </c>
      <c r="CN5" s="152">
        <v>3.7137960560289218</v>
      </c>
      <c r="CO5" s="152">
        <v>3.7137960560289218</v>
      </c>
      <c r="CP5" t="s">
        <v>191</v>
      </c>
      <c r="CQ5" s="145">
        <f t="shared" si="6"/>
        <v>0.10027249351278089</v>
      </c>
      <c r="CR5" s="145">
        <f t="shared" si="7"/>
        <v>0.10027249351278089</v>
      </c>
      <c r="CS5" s="142" t="s">
        <v>192</v>
      </c>
      <c r="CT5" s="147" t="s">
        <v>193</v>
      </c>
      <c r="CU5" s="152">
        <v>3.9588337906225659</v>
      </c>
      <c r="CV5" s="152" t="s">
        <v>194</v>
      </c>
      <c r="CW5" t="s">
        <v>167</v>
      </c>
      <c r="CX5" t="s">
        <v>195</v>
      </c>
      <c r="CY5" t="s">
        <v>167</v>
      </c>
      <c r="CZ5" t="s">
        <v>167</v>
      </c>
      <c r="DA5" t="s">
        <v>167</v>
      </c>
      <c r="DB5" t="s">
        <v>167</v>
      </c>
      <c r="DC5" t="s">
        <v>167</v>
      </c>
      <c r="DD5" t="s">
        <v>167</v>
      </c>
      <c r="DE5" t="s">
        <v>167</v>
      </c>
      <c r="DF5" t="s">
        <v>167</v>
      </c>
      <c r="DG5" s="160">
        <v>35</v>
      </c>
      <c r="DH5" t="s">
        <v>174</v>
      </c>
      <c r="DI5">
        <v>3</v>
      </c>
      <c r="DJ5" s="161" t="s">
        <v>196</v>
      </c>
      <c r="DK5" s="146" t="s">
        <v>167</v>
      </c>
      <c r="DL5" s="146" t="s">
        <v>167</v>
      </c>
      <c r="DM5" s="146" t="s">
        <v>167</v>
      </c>
      <c r="DN5" s="146" t="s">
        <v>167</v>
      </c>
      <c r="DO5" s="146" t="s">
        <v>167</v>
      </c>
      <c r="DP5" s="146" t="s">
        <v>167</v>
      </c>
      <c r="DQ5" s="146" t="s">
        <v>167</v>
      </c>
      <c r="DR5" s="146" t="s">
        <v>167</v>
      </c>
      <c r="DS5" s="146" t="s">
        <v>167</v>
      </c>
      <c r="DT5" s="146" t="s">
        <v>167</v>
      </c>
      <c r="DU5" s="146" t="s">
        <v>167</v>
      </c>
      <c r="DV5" s="146" t="s">
        <v>167</v>
      </c>
      <c r="DW5" s="143">
        <v>432.56244218316402</v>
      </c>
      <c r="DX5" t="s">
        <v>197</v>
      </c>
      <c r="DY5" s="142">
        <v>37.1</v>
      </c>
      <c r="DZ5" t="s">
        <v>198</v>
      </c>
      <c r="EA5" s="152">
        <v>39.271948420000001</v>
      </c>
      <c r="EB5" s="149" t="s">
        <v>185</v>
      </c>
      <c r="EC5" s="162">
        <v>0.2</v>
      </c>
      <c r="ED5" t="s">
        <v>199</v>
      </c>
      <c r="EE5" t="s">
        <v>217</v>
      </c>
      <c r="EF5" t="s">
        <v>201</v>
      </c>
      <c r="EG5">
        <v>1.0271999999999999</v>
      </c>
      <c r="EH5" t="s">
        <v>202</v>
      </c>
      <c r="EI5">
        <v>5.9999999999999995E-4</v>
      </c>
      <c r="EJ5" t="s">
        <v>203</v>
      </c>
      <c r="EK5" t="s">
        <v>167</v>
      </c>
      <c r="EL5" t="s">
        <v>167</v>
      </c>
      <c r="EM5" t="s">
        <v>204</v>
      </c>
      <c r="EN5" t="s">
        <v>218</v>
      </c>
      <c r="EO5" t="s">
        <v>206</v>
      </c>
      <c r="EP5" t="s">
        <v>206</v>
      </c>
      <c r="EQ5" s="146" t="s">
        <v>167</v>
      </c>
      <c r="ER5" t="s">
        <v>167</v>
      </c>
      <c r="ES5" t="s">
        <v>167</v>
      </c>
      <c r="ET5" t="s">
        <v>207</v>
      </c>
      <c r="EU5" t="s">
        <v>208</v>
      </c>
      <c r="EV5" t="s">
        <v>219</v>
      </c>
      <c r="EW5" s="163">
        <v>2330</v>
      </c>
      <c r="EX5" t="s">
        <v>210</v>
      </c>
      <c r="EY5">
        <v>175</v>
      </c>
      <c r="EZ5">
        <v>175</v>
      </c>
      <c r="FA5" t="s">
        <v>167</v>
      </c>
      <c r="FB5" t="s">
        <v>167</v>
      </c>
      <c r="FC5" t="s">
        <v>167</v>
      </c>
      <c r="FD5" t="s">
        <v>167</v>
      </c>
      <c r="FE5" s="152">
        <v>8.1037542593182099</v>
      </c>
      <c r="FF5" s="164" t="s">
        <v>211</v>
      </c>
      <c r="FG5" s="152">
        <v>6.7879892728580415E-2</v>
      </c>
      <c r="FH5" s="165">
        <v>7.0095609220500066E-2</v>
      </c>
      <c r="FI5" s="166">
        <f t="shared" ref="FI5:FI6" si="8">FL5+FJ5</f>
        <v>338.55961576854799</v>
      </c>
      <c r="FJ5" s="149">
        <v>21</v>
      </c>
      <c r="FK5" s="149" t="s">
        <v>212</v>
      </c>
      <c r="FL5" s="152">
        <v>317.55961576854799</v>
      </c>
      <c r="FM5" s="165">
        <v>77.285741530737027</v>
      </c>
      <c r="FN5" s="165">
        <v>65.954993203860994</v>
      </c>
      <c r="FO5" s="144" t="s">
        <v>213</v>
      </c>
      <c r="FP5" s="144" t="s">
        <v>214</v>
      </c>
      <c r="FQ5" t="s">
        <v>215</v>
      </c>
      <c r="FR5" t="s">
        <v>215</v>
      </c>
      <c r="FS5" t="s">
        <v>215</v>
      </c>
      <c r="FT5" t="s">
        <v>215</v>
      </c>
      <c r="FU5" t="s">
        <v>215</v>
      </c>
      <c r="FV5" t="s">
        <v>215</v>
      </c>
      <c r="FW5" t="s">
        <v>215</v>
      </c>
      <c r="FX5" t="s">
        <v>215</v>
      </c>
      <c r="FY5" t="s">
        <v>215</v>
      </c>
      <c r="FZ5" t="s">
        <v>215</v>
      </c>
      <c r="GA5" t="s">
        <v>215</v>
      </c>
      <c r="GB5" t="s">
        <v>215</v>
      </c>
    </row>
    <row r="6" spans="1:185" ht="18" x14ac:dyDescent="0.2">
      <c r="A6" t="s">
        <v>240</v>
      </c>
      <c r="B6" s="141" t="s">
        <v>241</v>
      </c>
      <c r="C6" s="138" t="s">
        <v>168</v>
      </c>
      <c r="D6" t="s">
        <v>239</v>
      </c>
      <c r="E6">
        <v>2015</v>
      </c>
      <c r="F6" t="str">
        <f t="shared" ref="F6:F69" si="9">Z6</f>
        <v>10.1038/nature14145</v>
      </c>
      <c r="G6" s="175">
        <v>2358.08</v>
      </c>
      <c r="H6" s="142">
        <f t="shared" si="0"/>
        <v>6</v>
      </c>
      <c r="I6" s="142">
        <f t="shared" si="1"/>
        <v>6</v>
      </c>
      <c r="J6" s="148">
        <f t="shared" si="2"/>
        <v>305.94192148306399</v>
      </c>
      <c r="K6" s="148">
        <f t="shared" si="3"/>
        <v>69.280315247235023</v>
      </c>
      <c r="L6" s="148">
        <f t="shared" si="4"/>
        <v>60.297406745090996</v>
      </c>
      <c r="M6" t="b">
        <v>1</v>
      </c>
      <c r="N6">
        <v>3</v>
      </c>
      <c r="O6" t="s">
        <v>245</v>
      </c>
      <c r="P6" s="174" t="s">
        <v>259</v>
      </c>
      <c r="Q6" t="b">
        <v>0</v>
      </c>
      <c r="R6" t="s">
        <v>167</v>
      </c>
      <c r="S6" t="b">
        <v>0</v>
      </c>
      <c r="T6" t="b">
        <v>0</v>
      </c>
      <c r="U6" t="s">
        <v>167</v>
      </c>
      <c r="V6" t="s">
        <v>167</v>
      </c>
      <c r="W6" t="b">
        <v>0</v>
      </c>
      <c r="X6" t="s">
        <v>260</v>
      </c>
      <c r="Y6" s="150" t="s">
        <v>169</v>
      </c>
      <c r="Z6" t="s">
        <v>170</v>
      </c>
      <c r="AA6" t="s">
        <v>171</v>
      </c>
      <c r="AB6" s="142" t="s">
        <v>172</v>
      </c>
      <c r="AC6" s="146">
        <v>9</v>
      </c>
      <c r="AD6" s="146">
        <v>2</v>
      </c>
      <c r="AE6" s="146">
        <v>141</v>
      </c>
      <c r="AF6" s="146">
        <v>143</v>
      </c>
      <c r="AG6" s="146" t="s">
        <v>167</v>
      </c>
      <c r="AH6" s="146" t="s">
        <v>167</v>
      </c>
      <c r="AI6" s="146" t="s">
        <v>167</v>
      </c>
      <c r="AJ6" t="s">
        <v>173</v>
      </c>
      <c r="AK6" s="151">
        <v>12.75</v>
      </c>
      <c r="AL6" s="151">
        <v>-78.73</v>
      </c>
      <c r="AM6" s="151">
        <v>12.75</v>
      </c>
      <c r="AN6" s="151">
        <v>-78.73</v>
      </c>
      <c r="AO6" s="151">
        <v>-2828</v>
      </c>
      <c r="AP6" s="151">
        <v>-2828</v>
      </c>
      <c r="AQ6" s="142" t="s">
        <v>167</v>
      </c>
      <c r="AR6" s="142" t="s">
        <v>167</v>
      </c>
      <c r="AS6" s="175">
        <v>2358.08</v>
      </c>
      <c r="AT6" s="153" t="s">
        <v>174</v>
      </c>
      <c r="AU6" s="142">
        <v>6</v>
      </c>
      <c r="AV6" s="142">
        <v>6</v>
      </c>
      <c r="AW6" s="149" t="s">
        <v>167</v>
      </c>
      <c r="AX6" s="171" t="s">
        <v>243</v>
      </c>
      <c r="AY6" s="146" t="s">
        <v>167</v>
      </c>
      <c r="AZ6" t="s">
        <v>167</v>
      </c>
      <c r="BA6" t="s">
        <v>167</v>
      </c>
      <c r="BB6" t="s">
        <v>167</v>
      </c>
      <c r="BC6" t="s">
        <v>167</v>
      </c>
      <c r="BD6" t="s">
        <v>167</v>
      </c>
      <c r="BE6" t="s">
        <v>167</v>
      </c>
      <c r="BF6" t="s">
        <v>167</v>
      </c>
      <c r="BG6" s="154" t="s">
        <v>175</v>
      </c>
      <c r="BH6" t="s">
        <v>176</v>
      </c>
      <c r="BI6" s="155" t="s">
        <v>177</v>
      </c>
      <c r="BJ6" s="156" t="s">
        <v>178</v>
      </c>
      <c r="BK6" s="156" t="s">
        <v>179</v>
      </c>
      <c r="BL6" s="156" t="s">
        <v>180</v>
      </c>
      <c r="BM6" s="157" t="s">
        <v>181</v>
      </c>
      <c r="BN6" s="142" t="s">
        <v>182</v>
      </c>
      <c r="BO6" s="142" t="s">
        <v>182</v>
      </c>
      <c r="BP6" s="142" t="s">
        <v>182</v>
      </c>
      <c r="BQ6" s="152">
        <v>20.403469999999999</v>
      </c>
      <c r="BR6" t="s">
        <v>183</v>
      </c>
      <c r="BS6" s="152">
        <v>0.10803948300000001</v>
      </c>
      <c r="BT6">
        <v>0.6</v>
      </c>
      <c r="BU6" t="s">
        <v>184</v>
      </c>
      <c r="BV6" s="153">
        <v>0.08</v>
      </c>
      <c r="BW6">
        <v>8.8699999999999992</v>
      </c>
      <c r="BX6" t="s">
        <v>185</v>
      </c>
      <c r="BY6">
        <v>1.52</v>
      </c>
      <c r="BZ6" t="s">
        <v>220</v>
      </c>
      <c r="CA6" t="s">
        <v>187</v>
      </c>
      <c r="CB6" s="158">
        <f t="shared" si="5"/>
        <v>19.222449999999998</v>
      </c>
      <c r="CC6" t="s">
        <v>184</v>
      </c>
      <c r="CD6" s="149" t="s">
        <v>167</v>
      </c>
      <c r="CE6" s="149" t="s">
        <v>167</v>
      </c>
      <c r="CF6" t="s">
        <v>188</v>
      </c>
      <c r="CG6" t="s">
        <v>189</v>
      </c>
      <c r="CH6" t="s">
        <v>190</v>
      </c>
      <c r="CI6" t="s">
        <v>190</v>
      </c>
      <c r="CJ6" s="152">
        <v>29.890429999999999</v>
      </c>
      <c r="CK6" t="s">
        <v>184</v>
      </c>
      <c r="CL6" s="159">
        <v>3</v>
      </c>
      <c r="CM6" s="159">
        <v>3</v>
      </c>
      <c r="CN6" s="152">
        <v>4.3128162565531101</v>
      </c>
      <c r="CO6" s="152">
        <v>4.3128162565531101</v>
      </c>
      <c r="CP6" t="s">
        <v>191</v>
      </c>
      <c r="CQ6" s="145">
        <f t="shared" si="6"/>
        <v>0.11644603892693398</v>
      </c>
      <c r="CR6" s="145">
        <f t="shared" si="7"/>
        <v>0.11644603892693398</v>
      </c>
      <c r="CS6" s="142" t="s">
        <v>192</v>
      </c>
      <c r="CT6" s="147" t="s">
        <v>193</v>
      </c>
      <c r="CU6" s="152">
        <v>3.9675834431075159</v>
      </c>
      <c r="CV6" s="152" t="s">
        <v>194</v>
      </c>
      <c r="CW6" t="s">
        <v>167</v>
      </c>
      <c r="CX6" t="s">
        <v>195</v>
      </c>
      <c r="CY6" t="s">
        <v>167</v>
      </c>
      <c r="CZ6" t="s">
        <v>167</v>
      </c>
      <c r="DA6" t="s">
        <v>167</v>
      </c>
      <c r="DB6" t="s">
        <v>167</v>
      </c>
      <c r="DC6" t="s">
        <v>167</v>
      </c>
      <c r="DD6" t="s">
        <v>167</v>
      </c>
      <c r="DE6" t="s">
        <v>167</v>
      </c>
      <c r="DF6" t="s">
        <v>167</v>
      </c>
      <c r="DG6" s="160">
        <v>35</v>
      </c>
      <c r="DH6" t="s">
        <v>174</v>
      </c>
      <c r="DI6">
        <v>3</v>
      </c>
      <c r="DJ6" s="161" t="s">
        <v>196</v>
      </c>
      <c r="DK6" s="146" t="s">
        <v>167</v>
      </c>
      <c r="DL6" s="146" t="s">
        <v>167</v>
      </c>
      <c r="DM6" s="146" t="s">
        <v>167</v>
      </c>
      <c r="DN6" s="146" t="s">
        <v>167</v>
      </c>
      <c r="DO6" s="146" t="s">
        <v>167</v>
      </c>
      <c r="DP6" s="146" t="s">
        <v>167</v>
      </c>
      <c r="DQ6" s="146" t="s">
        <v>167</v>
      </c>
      <c r="DR6" s="146" t="s">
        <v>167</v>
      </c>
      <c r="DS6" s="146" t="s">
        <v>167</v>
      </c>
      <c r="DT6" s="146" t="s">
        <v>167</v>
      </c>
      <c r="DU6" s="146" t="s">
        <v>167</v>
      </c>
      <c r="DV6" s="146" t="s">
        <v>167</v>
      </c>
      <c r="DW6" s="143">
        <v>432.56244218316402</v>
      </c>
      <c r="DX6" t="s">
        <v>197</v>
      </c>
      <c r="DY6" s="142">
        <v>37.1</v>
      </c>
      <c r="DZ6" t="s">
        <v>198</v>
      </c>
      <c r="EA6" s="152">
        <v>39.271026460000002</v>
      </c>
      <c r="EB6" s="149" t="s">
        <v>185</v>
      </c>
      <c r="EC6" s="162">
        <v>0.2</v>
      </c>
      <c r="ED6" t="s">
        <v>199</v>
      </c>
      <c r="EE6" t="s">
        <v>221</v>
      </c>
      <c r="EF6" t="s">
        <v>201</v>
      </c>
      <c r="EG6">
        <v>1.0271999999999999</v>
      </c>
      <c r="EH6" t="s">
        <v>202</v>
      </c>
      <c r="EI6">
        <v>5.9999999999999995E-4</v>
      </c>
      <c r="EJ6" t="s">
        <v>203</v>
      </c>
      <c r="EK6" t="s">
        <v>167</v>
      </c>
      <c r="EL6" t="s">
        <v>167</v>
      </c>
      <c r="EM6" t="s">
        <v>204</v>
      </c>
      <c r="EN6" t="s">
        <v>222</v>
      </c>
      <c r="EO6" t="s">
        <v>206</v>
      </c>
      <c r="EP6" t="s">
        <v>206</v>
      </c>
      <c r="EQ6" s="146" t="s">
        <v>167</v>
      </c>
      <c r="ER6" t="s">
        <v>167</v>
      </c>
      <c r="ES6" t="s">
        <v>167</v>
      </c>
      <c r="ET6" t="s">
        <v>207</v>
      </c>
      <c r="EU6" t="s">
        <v>208</v>
      </c>
      <c r="EV6" t="s">
        <v>223</v>
      </c>
      <c r="EW6" s="163">
        <v>2330</v>
      </c>
      <c r="EX6" t="s">
        <v>210</v>
      </c>
      <c r="EY6">
        <v>175</v>
      </c>
      <c r="EZ6">
        <v>175</v>
      </c>
      <c r="FA6" t="s">
        <v>167</v>
      </c>
      <c r="FB6" t="s">
        <v>167</v>
      </c>
      <c r="FC6" t="s">
        <v>167</v>
      </c>
      <c r="FD6" t="s">
        <v>167</v>
      </c>
      <c r="FE6" s="152">
        <v>8.1128131103469308</v>
      </c>
      <c r="FF6" s="164" t="s">
        <v>211</v>
      </c>
      <c r="FG6" s="152">
        <v>6.427655106262975E-2</v>
      </c>
      <c r="FH6" s="165">
        <v>6.45352891960016E-2</v>
      </c>
      <c r="FI6" s="166">
        <f t="shared" si="8"/>
        <v>326.94192148306399</v>
      </c>
      <c r="FJ6" s="149">
        <v>21</v>
      </c>
      <c r="FK6" s="149" t="s">
        <v>212</v>
      </c>
      <c r="FL6" s="152">
        <v>305.94192148306399</v>
      </c>
      <c r="FM6" s="165">
        <v>69.280315247235023</v>
      </c>
      <c r="FN6" s="165">
        <v>60.297406745090996</v>
      </c>
      <c r="FO6" s="144" t="s">
        <v>213</v>
      </c>
      <c r="FP6" s="144" t="s">
        <v>214</v>
      </c>
      <c r="FQ6" t="s">
        <v>215</v>
      </c>
      <c r="FR6" t="s">
        <v>215</v>
      </c>
      <c r="FS6" t="s">
        <v>215</v>
      </c>
      <c r="FT6" t="s">
        <v>215</v>
      </c>
      <c r="FU6" t="s">
        <v>215</v>
      </c>
      <c r="FV6" t="s">
        <v>215</v>
      </c>
      <c r="FW6" t="s">
        <v>215</v>
      </c>
      <c r="FX6" t="s">
        <v>215</v>
      </c>
      <c r="FY6" t="s">
        <v>215</v>
      </c>
      <c r="FZ6" t="s">
        <v>215</v>
      </c>
      <c r="GA6" t="s">
        <v>215</v>
      </c>
      <c r="GB6" t="s">
        <v>215</v>
      </c>
    </row>
    <row r="7" spans="1:185" ht="18" x14ac:dyDescent="0.2">
      <c r="A7" t="s">
        <v>240</v>
      </c>
      <c r="B7" s="141" t="s">
        <v>241</v>
      </c>
      <c r="C7" s="138" t="s">
        <v>168</v>
      </c>
      <c r="D7" t="s">
        <v>239</v>
      </c>
      <c r="E7">
        <v>2015</v>
      </c>
      <c r="F7" t="str">
        <f t="shared" si="9"/>
        <v>10.1038/nature14145</v>
      </c>
      <c r="G7" s="175">
        <v>2368.61</v>
      </c>
      <c r="H7" s="142">
        <f t="shared" si="0"/>
        <v>6</v>
      </c>
      <c r="I7" s="142">
        <f t="shared" si="1"/>
        <v>6</v>
      </c>
      <c r="J7" s="148">
        <f t="shared" si="2"/>
        <v>449.90078215328799</v>
      </c>
      <c r="K7" s="148">
        <f t="shared" si="3"/>
        <v>109.25111500866501</v>
      </c>
      <c r="L7" s="148">
        <f t="shared" si="4"/>
        <v>93.141829053533002</v>
      </c>
      <c r="M7" t="b">
        <v>1</v>
      </c>
      <c r="N7">
        <v>3</v>
      </c>
      <c r="O7" s="142" t="s">
        <v>245</v>
      </c>
      <c r="P7" s="171" t="s">
        <v>257</v>
      </c>
      <c r="Q7" t="b">
        <v>0</v>
      </c>
      <c r="R7" t="s">
        <v>167</v>
      </c>
      <c r="S7" t="b">
        <v>0</v>
      </c>
      <c r="T7" t="b">
        <v>0</v>
      </c>
      <c r="U7" t="s">
        <v>167</v>
      </c>
      <c r="V7" t="s">
        <v>167</v>
      </c>
      <c r="W7" t="b">
        <v>1</v>
      </c>
      <c r="X7" t="s">
        <v>261</v>
      </c>
      <c r="Y7" s="150" t="s">
        <v>169</v>
      </c>
      <c r="Z7" t="s">
        <v>170</v>
      </c>
      <c r="AA7" t="s">
        <v>171</v>
      </c>
      <c r="AB7" s="142" t="s">
        <v>172</v>
      </c>
      <c r="AC7" s="172">
        <v>9</v>
      </c>
      <c r="AD7" s="146">
        <v>3</v>
      </c>
      <c r="AE7" s="146">
        <v>22</v>
      </c>
      <c r="AF7" s="146">
        <v>24</v>
      </c>
      <c r="AG7" s="146" t="s">
        <v>167</v>
      </c>
      <c r="AH7" s="146" t="s">
        <v>167</v>
      </c>
      <c r="AI7" s="146" t="s">
        <v>167</v>
      </c>
      <c r="AJ7" t="s">
        <v>173</v>
      </c>
      <c r="AK7" s="151">
        <v>12.75</v>
      </c>
      <c r="AL7" s="151">
        <v>-78.73</v>
      </c>
      <c r="AM7" s="151">
        <v>12.75</v>
      </c>
      <c r="AN7" s="151">
        <v>-78.73</v>
      </c>
      <c r="AO7" s="151">
        <v>-2828</v>
      </c>
      <c r="AP7" s="151">
        <v>-2828</v>
      </c>
      <c r="AQ7" s="142" t="s">
        <v>167</v>
      </c>
      <c r="AR7" s="142" t="s">
        <v>167</v>
      </c>
      <c r="AS7" s="175">
        <v>2368.61</v>
      </c>
      <c r="AT7" s="153" t="s">
        <v>174</v>
      </c>
      <c r="AU7" s="142">
        <v>6</v>
      </c>
      <c r="AV7" s="142">
        <v>6</v>
      </c>
      <c r="AW7" s="149" t="s">
        <v>167</v>
      </c>
      <c r="AX7" s="171" t="s">
        <v>243</v>
      </c>
      <c r="AY7" s="146" t="s">
        <v>167</v>
      </c>
      <c r="AZ7" t="s">
        <v>167</v>
      </c>
      <c r="BA7" t="s">
        <v>167</v>
      </c>
      <c r="BB7" t="s">
        <v>167</v>
      </c>
      <c r="BC7" t="s">
        <v>167</v>
      </c>
      <c r="BD7" t="s">
        <v>167</v>
      </c>
      <c r="BE7" t="s">
        <v>167</v>
      </c>
      <c r="BF7" t="s">
        <v>167</v>
      </c>
      <c r="BG7" s="154" t="s">
        <v>175</v>
      </c>
      <c r="BH7" t="s">
        <v>176</v>
      </c>
      <c r="BI7" s="155" t="s">
        <v>177</v>
      </c>
      <c r="BJ7" s="155" t="s">
        <v>178</v>
      </c>
      <c r="BK7" s="156" t="s">
        <v>179</v>
      </c>
      <c r="BL7" s="156" t="s">
        <v>180</v>
      </c>
      <c r="BM7" t="s">
        <v>181</v>
      </c>
      <c r="BN7" s="142" t="s">
        <v>182</v>
      </c>
      <c r="BO7" s="142" t="s">
        <v>182</v>
      </c>
      <c r="BP7" s="142" t="s">
        <v>182</v>
      </c>
      <c r="BQ7" s="152">
        <v>19.422000000000001</v>
      </c>
      <c r="BR7" t="s">
        <v>183</v>
      </c>
      <c r="BS7" s="152">
        <v>0.16367343200000001</v>
      </c>
      <c r="BT7">
        <v>0.6</v>
      </c>
      <c r="BU7" t="s">
        <v>184</v>
      </c>
      <c r="BV7" s="153">
        <v>0.08</v>
      </c>
      <c r="BW7">
        <v>8.8699999999999992</v>
      </c>
      <c r="BX7" t="s">
        <v>185</v>
      </c>
      <c r="BY7">
        <v>1.52</v>
      </c>
      <c r="BZ7" t="s">
        <v>224</v>
      </c>
      <c r="CA7" t="s">
        <v>187</v>
      </c>
      <c r="CB7" s="158">
        <f t="shared" si="5"/>
        <v>17.58666666666667</v>
      </c>
      <c r="CC7" t="s">
        <v>184</v>
      </c>
      <c r="CD7" s="149" t="s">
        <v>167</v>
      </c>
      <c r="CE7" s="149" t="s">
        <v>167</v>
      </c>
      <c r="CF7" t="s">
        <v>188</v>
      </c>
      <c r="CG7" t="s">
        <v>189</v>
      </c>
      <c r="CH7" t="s">
        <v>190</v>
      </c>
      <c r="CI7" t="s">
        <v>190</v>
      </c>
      <c r="CJ7" s="152">
        <v>27.795290000000001</v>
      </c>
      <c r="CK7" t="s">
        <v>184</v>
      </c>
      <c r="CL7" s="159">
        <v>3</v>
      </c>
      <c r="CM7" s="159">
        <v>3</v>
      </c>
      <c r="CN7" s="152">
        <v>3.5767629727231216</v>
      </c>
      <c r="CO7" s="152">
        <v>3.5767629727231216</v>
      </c>
      <c r="CP7" t="s">
        <v>191</v>
      </c>
      <c r="CQ7" s="145">
        <f t="shared" si="6"/>
        <v>9.657260026352428E-2</v>
      </c>
      <c r="CR7" s="145">
        <f t="shared" si="7"/>
        <v>9.657260026352428E-2</v>
      </c>
      <c r="CS7" s="142" t="s">
        <v>192</v>
      </c>
      <c r="CT7" s="147" t="s">
        <v>193</v>
      </c>
      <c r="CU7" s="152">
        <v>3.9814426461514936</v>
      </c>
      <c r="CV7" s="152" t="s">
        <v>194</v>
      </c>
      <c r="CW7" t="s">
        <v>167</v>
      </c>
      <c r="CX7" t="s">
        <v>195</v>
      </c>
      <c r="CY7" t="s">
        <v>167</v>
      </c>
      <c r="CZ7" t="s">
        <v>167</v>
      </c>
      <c r="DA7" t="s">
        <v>167</v>
      </c>
      <c r="DB7" t="s">
        <v>167</v>
      </c>
      <c r="DC7" t="s">
        <v>167</v>
      </c>
      <c r="DD7" t="s">
        <v>167</v>
      </c>
      <c r="DE7" t="s">
        <v>167</v>
      </c>
      <c r="DF7" t="s">
        <v>167</v>
      </c>
      <c r="DG7" s="160">
        <v>35</v>
      </c>
      <c r="DH7" t="s">
        <v>174</v>
      </c>
      <c r="DI7">
        <v>3</v>
      </c>
      <c r="DJ7" s="161" t="s">
        <v>196</v>
      </c>
      <c r="DK7" s="146" t="s">
        <v>167</v>
      </c>
      <c r="DL7" s="146" t="s">
        <v>167</v>
      </c>
      <c r="DM7" s="146" t="s">
        <v>167</v>
      </c>
      <c r="DN7" s="146" t="s">
        <v>167</v>
      </c>
      <c r="DO7" s="146" t="s">
        <v>167</v>
      </c>
      <c r="DP7" s="146" t="s">
        <v>167</v>
      </c>
      <c r="DQ7" s="146" t="s">
        <v>167</v>
      </c>
      <c r="DR7" s="146" t="s">
        <v>167</v>
      </c>
      <c r="DS7" s="146" t="s">
        <v>167</v>
      </c>
      <c r="DT7" s="146" t="s">
        <v>167</v>
      </c>
      <c r="DU7" s="146" t="s">
        <v>167</v>
      </c>
      <c r="DV7" s="146" t="s">
        <v>167</v>
      </c>
      <c r="DW7" s="143">
        <v>432.56244218316402</v>
      </c>
      <c r="DX7" t="s">
        <v>197</v>
      </c>
      <c r="DY7" s="142">
        <v>37.1</v>
      </c>
      <c r="DZ7" t="s">
        <v>198</v>
      </c>
      <c r="EA7" s="152">
        <v>39.269740419999998</v>
      </c>
      <c r="EB7" s="149" t="s">
        <v>185</v>
      </c>
      <c r="EC7" s="162">
        <v>0.2</v>
      </c>
      <c r="ED7" t="s">
        <v>199</v>
      </c>
      <c r="EE7" t="s">
        <v>225</v>
      </c>
      <c r="EF7" t="s">
        <v>201</v>
      </c>
      <c r="EG7">
        <v>1.0271999999999999</v>
      </c>
      <c r="EH7" t="s">
        <v>202</v>
      </c>
      <c r="EI7">
        <v>5.9999999999999995E-4</v>
      </c>
      <c r="EJ7" t="s">
        <v>203</v>
      </c>
      <c r="EK7" t="s">
        <v>167</v>
      </c>
      <c r="EL7" t="s">
        <v>167</v>
      </c>
      <c r="EM7" t="s">
        <v>204</v>
      </c>
      <c r="EN7" t="s">
        <v>226</v>
      </c>
      <c r="EO7" t="s">
        <v>206</v>
      </c>
      <c r="EP7" t="s">
        <v>206</v>
      </c>
      <c r="EQ7" s="146" t="s">
        <v>167</v>
      </c>
      <c r="ER7" t="s">
        <v>167</v>
      </c>
      <c r="ES7" t="s">
        <v>167</v>
      </c>
      <c r="ET7" t="s">
        <v>207</v>
      </c>
      <c r="EU7" t="s">
        <v>208</v>
      </c>
      <c r="EV7" t="s">
        <v>227</v>
      </c>
      <c r="EW7" s="163">
        <v>2330</v>
      </c>
      <c r="EX7" t="s">
        <v>210</v>
      </c>
      <c r="EY7">
        <v>175</v>
      </c>
      <c r="EZ7">
        <v>175</v>
      </c>
      <c r="FA7" t="s">
        <v>167</v>
      </c>
      <c r="FB7" t="s">
        <v>167</v>
      </c>
      <c r="FC7" t="s">
        <v>167</v>
      </c>
      <c r="FD7" t="s">
        <v>167</v>
      </c>
      <c r="FE7" s="152">
        <v>7.9889486752713301</v>
      </c>
      <c r="FF7" s="164" t="s">
        <v>211</v>
      </c>
      <c r="FG7" s="152">
        <v>7.0271047777569429E-2</v>
      </c>
      <c r="FH7" s="152">
        <v>7.3850358912100234E-2</v>
      </c>
      <c r="FI7" s="145">
        <v>470.90078215328799</v>
      </c>
      <c r="FJ7" s="149">
        <v>21</v>
      </c>
      <c r="FK7" s="149" t="s">
        <v>212</v>
      </c>
      <c r="FL7" s="152">
        <v>449.90078215328799</v>
      </c>
      <c r="FM7" s="152">
        <v>109.25111500866501</v>
      </c>
      <c r="FN7" s="152">
        <v>93.141829053533002</v>
      </c>
      <c r="FO7" s="144" t="s">
        <v>213</v>
      </c>
      <c r="FP7" s="144" t="s">
        <v>214</v>
      </c>
      <c r="FQ7" t="s">
        <v>215</v>
      </c>
      <c r="FR7" t="s">
        <v>215</v>
      </c>
      <c r="FS7" t="s">
        <v>215</v>
      </c>
      <c r="FT7" t="s">
        <v>215</v>
      </c>
      <c r="FU7" t="s">
        <v>215</v>
      </c>
      <c r="FV7" t="s">
        <v>215</v>
      </c>
      <c r="FW7" t="s">
        <v>215</v>
      </c>
      <c r="FX7" t="s">
        <v>215</v>
      </c>
      <c r="FY7" t="s">
        <v>215</v>
      </c>
      <c r="FZ7" t="s">
        <v>215</v>
      </c>
      <c r="GA7" t="s">
        <v>215</v>
      </c>
      <c r="GB7" t="s">
        <v>215</v>
      </c>
    </row>
    <row r="8" spans="1:185" ht="18" x14ac:dyDescent="0.2">
      <c r="A8" t="s">
        <v>240</v>
      </c>
      <c r="B8" s="141" t="s">
        <v>241</v>
      </c>
      <c r="C8" s="138" t="s">
        <v>168</v>
      </c>
      <c r="D8" t="s">
        <v>239</v>
      </c>
      <c r="E8">
        <v>2015</v>
      </c>
      <c r="F8" t="str">
        <f t="shared" si="9"/>
        <v>10.1038/nature14145</v>
      </c>
      <c r="G8" s="175">
        <v>2378.92</v>
      </c>
      <c r="H8" s="142">
        <f t="shared" si="0"/>
        <v>6</v>
      </c>
      <c r="I8" s="142">
        <f t="shared" si="1"/>
        <v>6</v>
      </c>
      <c r="J8" s="148">
        <f t="shared" si="2"/>
        <v>414.50897655981402</v>
      </c>
      <c r="K8" s="148">
        <f t="shared" si="3"/>
        <v>96.20760585473198</v>
      </c>
      <c r="L8" s="148">
        <f t="shared" si="4"/>
        <v>80.34220357359402</v>
      </c>
      <c r="M8" t="b">
        <v>1</v>
      </c>
      <c r="N8">
        <v>3</v>
      </c>
      <c r="O8" t="s">
        <v>245</v>
      </c>
      <c r="P8" s="174" t="s">
        <v>259</v>
      </c>
      <c r="Q8" t="b">
        <v>0</v>
      </c>
      <c r="R8" t="s">
        <v>167</v>
      </c>
      <c r="S8" t="b">
        <v>0</v>
      </c>
      <c r="T8" t="b">
        <v>0</v>
      </c>
      <c r="U8" t="s">
        <v>167</v>
      </c>
      <c r="V8" t="s">
        <v>167</v>
      </c>
      <c r="W8" t="b">
        <v>0</v>
      </c>
      <c r="X8" t="s">
        <v>260</v>
      </c>
      <c r="Y8" s="150" t="s">
        <v>169</v>
      </c>
      <c r="Z8" t="s">
        <v>170</v>
      </c>
      <c r="AA8" t="s">
        <v>171</v>
      </c>
      <c r="AB8" s="142" t="s">
        <v>172</v>
      </c>
      <c r="AC8" s="146">
        <v>9</v>
      </c>
      <c r="AD8" s="146">
        <v>3</v>
      </c>
      <c r="AE8" s="146">
        <v>51</v>
      </c>
      <c r="AF8" s="146">
        <v>53</v>
      </c>
      <c r="AG8" s="146" t="s">
        <v>167</v>
      </c>
      <c r="AH8" s="146" t="s">
        <v>167</v>
      </c>
      <c r="AI8" s="146" t="s">
        <v>167</v>
      </c>
      <c r="AJ8" t="s">
        <v>173</v>
      </c>
      <c r="AK8" s="151">
        <v>12.75</v>
      </c>
      <c r="AL8" s="151">
        <v>-78.73</v>
      </c>
      <c r="AM8" s="151">
        <v>12.75</v>
      </c>
      <c r="AN8" s="151">
        <v>-78.73</v>
      </c>
      <c r="AO8" s="151">
        <v>-2828</v>
      </c>
      <c r="AP8" s="151">
        <v>-2828</v>
      </c>
      <c r="AQ8" s="142" t="s">
        <v>167</v>
      </c>
      <c r="AR8" s="142" t="s">
        <v>167</v>
      </c>
      <c r="AS8" s="175">
        <v>2378.92</v>
      </c>
      <c r="AT8" s="153" t="s">
        <v>174</v>
      </c>
      <c r="AU8" s="142">
        <v>6</v>
      </c>
      <c r="AV8" s="142">
        <v>6</v>
      </c>
      <c r="AW8" s="149" t="s">
        <v>167</v>
      </c>
      <c r="AX8" s="171" t="s">
        <v>243</v>
      </c>
      <c r="AY8" s="146" t="s">
        <v>167</v>
      </c>
      <c r="AZ8" t="s">
        <v>167</v>
      </c>
      <c r="BA8" t="s">
        <v>167</v>
      </c>
      <c r="BB8" t="s">
        <v>167</v>
      </c>
      <c r="BC8" t="s">
        <v>167</v>
      </c>
      <c r="BD8" t="s">
        <v>167</v>
      </c>
      <c r="BE8" t="s">
        <v>167</v>
      </c>
      <c r="BF8" t="s">
        <v>167</v>
      </c>
      <c r="BG8" s="154" t="s">
        <v>175</v>
      </c>
      <c r="BH8" t="s">
        <v>176</v>
      </c>
      <c r="BI8" s="155" t="s">
        <v>177</v>
      </c>
      <c r="BJ8" s="156" t="s">
        <v>178</v>
      </c>
      <c r="BK8" s="156" t="s">
        <v>179</v>
      </c>
      <c r="BL8" s="156" t="s">
        <v>180</v>
      </c>
      <c r="BM8" s="157" t="s">
        <v>181</v>
      </c>
      <c r="BN8" s="142" t="s">
        <v>182</v>
      </c>
      <c r="BO8" s="142" t="s">
        <v>182</v>
      </c>
      <c r="BP8" s="142" t="s">
        <v>182</v>
      </c>
      <c r="BQ8" s="152">
        <v>19.651509999999998</v>
      </c>
      <c r="BR8" t="s">
        <v>183</v>
      </c>
      <c r="BS8" s="152">
        <v>0.123089033</v>
      </c>
      <c r="BT8">
        <v>0.6</v>
      </c>
      <c r="BU8" t="s">
        <v>184</v>
      </c>
      <c r="BV8" s="153">
        <v>0.08</v>
      </c>
      <c r="BW8">
        <v>8.8699999999999992</v>
      </c>
      <c r="BX8" t="s">
        <v>185</v>
      </c>
      <c r="BY8">
        <v>1.52</v>
      </c>
      <c r="BZ8" t="s">
        <v>224</v>
      </c>
      <c r="CA8" t="s">
        <v>187</v>
      </c>
      <c r="CB8" s="158">
        <f t="shared" si="5"/>
        <v>17.969183333333334</v>
      </c>
      <c r="CC8" t="s">
        <v>184</v>
      </c>
      <c r="CD8" s="149" t="s">
        <v>167</v>
      </c>
      <c r="CE8" s="149" t="s">
        <v>167</v>
      </c>
      <c r="CF8" t="s">
        <v>188</v>
      </c>
      <c r="CG8" t="s">
        <v>189</v>
      </c>
      <c r="CH8" t="s">
        <v>190</v>
      </c>
      <c r="CI8" t="s">
        <v>190</v>
      </c>
      <c r="CJ8" s="152">
        <v>28.651109999999999</v>
      </c>
      <c r="CK8" t="s">
        <v>184</v>
      </c>
      <c r="CL8" s="159">
        <v>3</v>
      </c>
      <c r="CM8" s="159">
        <v>3</v>
      </c>
      <c r="CN8" s="152">
        <v>3.8689611092297476</v>
      </c>
      <c r="CO8" s="152">
        <v>3.8689611092297476</v>
      </c>
      <c r="CP8" t="s">
        <v>191</v>
      </c>
      <c r="CQ8" s="145">
        <f t="shared" si="6"/>
        <v>0.10446194994920319</v>
      </c>
      <c r="CR8" s="145">
        <f t="shared" si="7"/>
        <v>0.10446194994920319</v>
      </c>
      <c r="CS8" s="142" t="s">
        <v>192</v>
      </c>
      <c r="CT8" s="147" t="s">
        <v>193</v>
      </c>
      <c r="CU8" s="152">
        <v>3.9960748557521235</v>
      </c>
      <c r="CV8" s="152" t="s">
        <v>194</v>
      </c>
      <c r="CW8" t="s">
        <v>167</v>
      </c>
      <c r="CX8" t="s">
        <v>195</v>
      </c>
      <c r="CY8" t="s">
        <v>167</v>
      </c>
      <c r="CZ8" t="s">
        <v>167</v>
      </c>
      <c r="DA8" t="s">
        <v>167</v>
      </c>
      <c r="DB8" t="s">
        <v>167</v>
      </c>
      <c r="DC8" t="s">
        <v>167</v>
      </c>
      <c r="DD8" t="s">
        <v>167</v>
      </c>
      <c r="DE8" t="s">
        <v>167</v>
      </c>
      <c r="DF8" t="s">
        <v>167</v>
      </c>
      <c r="DG8" s="160">
        <v>35</v>
      </c>
      <c r="DH8" t="s">
        <v>174</v>
      </c>
      <c r="DI8">
        <v>3</v>
      </c>
      <c r="DJ8" s="161" t="s">
        <v>196</v>
      </c>
      <c r="DK8" s="146" t="s">
        <v>167</v>
      </c>
      <c r="DL8" s="146" t="s">
        <v>167</v>
      </c>
      <c r="DM8" s="146" t="s">
        <v>167</v>
      </c>
      <c r="DN8" s="146" t="s">
        <v>167</v>
      </c>
      <c r="DO8" s="146" t="s">
        <v>167</v>
      </c>
      <c r="DP8" s="146" t="s">
        <v>167</v>
      </c>
      <c r="DQ8" s="146" t="s">
        <v>167</v>
      </c>
      <c r="DR8" s="146" t="s">
        <v>167</v>
      </c>
      <c r="DS8" s="146" t="s">
        <v>167</v>
      </c>
      <c r="DT8" s="146" t="s">
        <v>167</v>
      </c>
      <c r="DU8" s="146" t="s">
        <v>167</v>
      </c>
      <c r="DV8" s="146" t="s">
        <v>167</v>
      </c>
      <c r="DW8" s="143">
        <v>432.56244218316402</v>
      </c>
      <c r="DX8" t="s">
        <v>197</v>
      </c>
      <c r="DY8" s="142">
        <v>37.1</v>
      </c>
      <c r="DZ8" t="s">
        <v>198</v>
      </c>
      <c r="EA8" s="152">
        <v>39.268652439999997</v>
      </c>
      <c r="EB8" s="149" t="s">
        <v>185</v>
      </c>
      <c r="EC8" s="162">
        <v>0.2</v>
      </c>
      <c r="ED8" t="s">
        <v>199</v>
      </c>
      <c r="EE8" t="s">
        <v>225</v>
      </c>
      <c r="EF8" t="s">
        <v>201</v>
      </c>
      <c r="EG8">
        <v>1.0271999999999999</v>
      </c>
      <c r="EH8" t="s">
        <v>202</v>
      </c>
      <c r="EI8">
        <v>5.9999999999999995E-4</v>
      </c>
      <c r="EJ8" t="s">
        <v>203</v>
      </c>
      <c r="EK8" t="s">
        <v>167</v>
      </c>
      <c r="EL8" t="s">
        <v>167</v>
      </c>
      <c r="EM8" t="s">
        <v>204</v>
      </c>
      <c r="EN8" t="s">
        <v>226</v>
      </c>
      <c r="EO8" t="s">
        <v>206</v>
      </c>
      <c r="EP8" t="s">
        <v>206</v>
      </c>
      <c r="EQ8" s="146" t="s">
        <v>167</v>
      </c>
      <c r="ER8" t="s">
        <v>167</v>
      </c>
      <c r="ES8" t="s">
        <v>167</v>
      </c>
      <c r="ET8" t="s">
        <v>207</v>
      </c>
      <c r="EU8" t="s">
        <v>208</v>
      </c>
      <c r="EV8" t="s">
        <v>227</v>
      </c>
      <c r="EW8" s="163">
        <v>2330</v>
      </c>
      <c r="EX8" t="s">
        <v>210</v>
      </c>
      <c r="EY8">
        <v>175</v>
      </c>
      <c r="EZ8">
        <v>175</v>
      </c>
      <c r="FA8" t="s">
        <v>167</v>
      </c>
      <c r="FB8" t="s">
        <v>167</v>
      </c>
      <c r="FC8" t="s">
        <v>167</v>
      </c>
      <c r="FD8" t="s">
        <v>167</v>
      </c>
      <c r="FE8" s="152">
        <v>8.0160347349735606</v>
      </c>
      <c r="FF8" s="164" t="s">
        <v>211</v>
      </c>
      <c r="FG8" s="152">
        <v>6.7404628899129904E-2</v>
      </c>
      <c r="FH8" s="152">
        <v>6.8206239612880637E-2</v>
      </c>
      <c r="FI8" s="145">
        <v>435.50897655981402</v>
      </c>
      <c r="FJ8" s="149">
        <v>21</v>
      </c>
      <c r="FK8" s="149" t="s">
        <v>212</v>
      </c>
      <c r="FL8" s="152">
        <v>414.50897655981402</v>
      </c>
      <c r="FM8" s="152">
        <v>96.20760585473198</v>
      </c>
      <c r="FN8" s="152">
        <v>80.34220357359402</v>
      </c>
      <c r="FO8" s="144" t="s">
        <v>213</v>
      </c>
      <c r="FP8" s="144" t="s">
        <v>214</v>
      </c>
      <c r="FQ8" t="s">
        <v>215</v>
      </c>
      <c r="FR8" t="s">
        <v>215</v>
      </c>
      <c r="FS8" t="s">
        <v>215</v>
      </c>
      <c r="FT8" t="s">
        <v>215</v>
      </c>
      <c r="FU8" t="s">
        <v>215</v>
      </c>
      <c r="FV8" t="s">
        <v>215</v>
      </c>
      <c r="FW8" t="s">
        <v>215</v>
      </c>
      <c r="FX8" t="s">
        <v>215</v>
      </c>
      <c r="FY8" t="s">
        <v>215</v>
      </c>
      <c r="FZ8" t="s">
        <v>215</v>
      </c>
      <c r="GA8" t="s">
        <v>215</v>
      </c>
      <c r="GB8" t="s">
        <v>215</v>
      </c>
    </row>
    <row r="9" spans="1:185" ht="18" x14ac:dyDescent="0.2">
      <c r="A9" t="s">
        <v>240</v>
      </c>
      <c r="B9" s="141" t="s">
        <v>241</v>
      </c>
      <c r="C9" s="138" t="s">
        <v>168</v>
      </c>
      <c r="D9" t="s">
        <v>239</v>
      </c>
      <c r="E9">
        <v>2015</v>
      </c>
      <c r="F9" t="str">
        <f t="shared" si="9"/>
        <v>10.1038/nature14145</v>
      </c>
      <c r="G9" s="175">
        <v>2388.39</v>
      </c>
      <c r="H9" s="142">
        <f t="shared" si="0"/>
        <v>6</v>
      </c>
      <c r="I9" s="142">
        <f t="shared" si="1"/>
        <v>6</v>
      </c>
      <c r="J9" s="148">
        <f t="shared" si="2"/>
        <v>371.26089027376901</v>
      </c>
      <c r="K9" s="148">
        <f t="shared" si="3"/>
        <v>84.436772000593976</v>
      </c>
      <c r="L9" s="148">
        <f t="shared" si="4"/>
        <v>73.306328554425988</v>
      </c>
      <c r="M9" t="b">
        <v>1</v>
      </c>
      <c r="N9">
        <v>3</v>
      </c>
      <c r="O9" t="s">
        <v>245</v>
      </c>
      <c r="P9" s="174" t="s">
        <v>259</v>
      </c>
      <c r="Q9" t="b">
        <v>0</v>
      </c>
      <c r="R9" t="s">
        <v>167</v>
      </c>
      <c r="S9" t="b">
        <v>0</v>
      </c>
      <c r="T9" t="b">
        <v>0</v>
      </c>
      <c r="U9" t="s">
        <v>167</v>
      </c>
      <c r="V9" t="s">
        <v>167</v>
      </c>
      <c r="W9" t="b">
        <v>0</v>
      </c>
      <c r="X9" t="s">
        <v>260</v>
      </c>
      <c r="Y9" s="150" t="s">
        <v>169</v>
      </c>
      <c r="Z9" t="s">
        <v>170</v>
      </c>
      <c r="AA9" t="s">
        <v>171</v>
      </c>
      <c r="AB9" s="142" t="s">
        <v>172</v>
      </c>
      <c r="AC9" s="146">
        <v>9</v>
      </c>
      <c r="AD9" s="146">
        <v>3</v>
      </c>
      <c r="AE9" s="146">
        <v>78</v>
      </c>
      <c r="AF9" s="146">
        <v>80</v>
      </c>
      <c r="AG9" s="146" t="s">
        <v>167</v>
      </c>
      <c r="AH9" s="146" t="s">
        <v>167</v>
      </c>
      <c r="AI9" s="146" t="s">
        <v>167</v>
      </c>
      <c r="AJ9" t="s">
        <v>173</v>
      </c>
      <c r="AK9" s="151">
        <v>12.75</v>
      </c>
      <c r="AL9" s="151">
        <v>-78.73</v>
      </c>
      <c r="AM9" s="151">
        <v>12.75</v>
      </c>
      <c r="AN9" s="151">
        <v>-78.73</v>
      </c>
      <c r="AO9" s="151">
        <v>-2828</v>
      </c>
      <c r="AP9" s="151">
        <v>-2828</v>
      </c>
      <c r="AQ9" s="142" t="s">
        <v>167</v>
      </c>
      <c r="AR9" s="142" t="s">
        <v>167</v>
      </c>
      <c r="AS9" s="175">
        <v>2388.39</v>
      </c>
      <c r="AT9" s="153" t="s">
        <v>174</v>
      </c>
      <c r="AU9" s="142">
        <v>6</v>
      </c>
      <c r="AV9" s="142">
        <v>6</v>
      </c>
      <c r="AW9" s="149" t="s">
        <v>167</v>
      </c>
      <c r="AX9" s="171" t="s">
        <v>243</v>
      </c>
      <c r="AY9" s="146" t="s">
        <v>167</v>
      </c>
      <c r="AZ9" t="s">
        <v>167</v>
      </c>
      <c r="BA9" t="s">
        <v>167</v>
      </c>
      <c r="BB9" t="s">
        <v>167</v>
      </c>
      <c r="BC9" t="s">
        <v>167</v>
      </c>
      <c r="BD9" t="s">
        <v>167</v>
      </c>
      <c r="BE9" t="s">
        <v>167</v>
      </c>
      <c r="BF9" t="s">
        <v>167</v>
      </c>
      <c r="BG9" s="154" t="s">
        <v>175</v>
      </c>
      <c r="BH9" t="s">
        <v>176</v>
      </c>
      <c r="BI9" s="155" t="s">
        <v>177</v>
      </c>
      <c r="BJ9" s="155" t="s">
        <v>178</v>
      </c>
      <c r="BK9" s="156" t="s">
        <v>179</v>
      </c>
      <c r="BL9" s="156" t="s">
        <v>180</v>
      </c>
      <c r="BM9" t="s">
        <v>181</v>
      </c>
      <c r="BN9" s="142" t="s">
        <v>182</v>
      </c>
      <c r="BO9" s="142" t="s">
        <v>182</v>
      </c>
      <c r="BP9" s="142" t="s">
        <v>182</v>
      </c>
      <c r="BQ9" s="152">
        <v>19.890139999999999</v>
      </c>
      <c r="BR9" t="s">
        <v>183</v>
      </c>
      <c r="BS9" s="152">
        <v>0.12155007700000001</v>
      </c>
      <c r="BT9">
        <v>0.6</v>
      </c>
      <c r="BU9" t="s">
        <v>184</v>
      </c>
      <c r="BV9" s="153">
        <v>0.08</v>
      </c>
      <c r="BW9">
        <v>8.8699999999999992</v>
      </c>
      <c r="BX9" t="s">
        <v>185</v>
      </c>
      <c r="BY9">
        <v>1.52</v>
      </c>
      <c r="BZ9" t="s">
        <v>224</v>
      </c>
      <c r="CA9" t="s">
        <v>187</v>
      </c>
      <c r="CB9" s="158">
        <f t="shared" si="5"/>
        <v>18.366900000000001</v>
      </c>
      <c r="CC9" t="s">
        <v>184</v>
      </c>
      <c r="CD9" s="149" t="s">
        <v>167</v>
      </c>
      <c r="CE9" s="149" t="s">
        <v>167</v>
      </c>
      <c r="CF9" t="s">
        <v>188</v>
      </c>
      <c r="CG9" t="s">
        <v>189</v>
      </c>
      <c r="CH9" t="s">
        <v>190</v>
      </c>
      <c r="CI9" t="s">
        <v>190</v>
      </c>
      <c r="CJ9" s="152">
        <v>28.747229999999998</v>
      </c>
      <c r="CK9" t="s">
        <v>184</v>
      </c>
      <c r="CL9" s="159">
        <v>3</v>
      </c>
      <c r="CM9" s="159">
        <v>3</v>
      </c>
      <c r="CN9" s="152">
        <v>3.9079672925277102</v>
      </c>
      <c r="CO9" s="152">
        <v>3.9079672925277102</v>
      </c>
      <c r="CP9" t="s">
        <v>191</v>
      </c>
      <c r="CQ9" s="145">
        <f t="shared" si="6"/>
        <v>0.10551511689824818</v>
      </c>
      <c r="CR9" s="145">
        <f t="shared" si="7"/>
        <v>0.10551511689824818</v>
      </c>
      <c r="CS9" s="142" t="s">
        <v>192</v>
      </c>
      <c r="CT9" s="147" t="s">
        <v>193</v>
      </c>
      <c r="CU9" s="152">
        <v>4.0095530107622217</v>
      </c>
      <c r="CV9" s="152" t="s">
        <v>194</v>
      </c>
      <c r="CW9" t="s">
        <v>167</v>
      </c>
      <c r="CX9" t="s">
        <v>195</v>
      </c>
      <c r="CY9" t="s">
        <v>167</v>
      </c>
      <c r="CZ9" t="s">
        <v>167</v>
      </c>
      <c r="DA9" t="s">
        <v>167</v>
      </c>
      <c r="DB9" t="s">
        <v>167</v>
      </c>
      <c r="DC9" t="s">
        <v>167</v>
      </c>
      <c r="DD9" t="s">
        <v>167</v>
      </c>
      <c r="DE9" t="s">
        <v>167</v>
      </c>
      <c r="DF9" t="s">
        <v>167</v>
      </c>
      <c r="DG9" s="160">
        <v>35</v>
      </c>
      <c r="DH9" t="s">
        <v>174</v>
      </c>
      <c r="DI9">
        <v>3</v>
      </c>
      <c r="DJ9" s="161" t="s">
        <v>196</v>
      </c>
      <c r="DK9" s="146" t="s">
        <v>167</v>
      </c>
      <c r="DL9" s="146" t="s">
        <v>167</v>
      </c>
      <c r="DM9" s="146" t="s">
        <v>167</v>
      </c>
      <c r="DN9" s="146" t="s">
        <v>167</v>
      </c>
      <c r="DO9" s="146" t="s">
        <v>167</v>
      </c>
      <c r="DP9" s="146" t="s">
        <v>167</v>
      </c>
      <c r="DQ9" s="146" t="s">
        <v>167</v>
      </c>
      <c r="DR9" s="146" t="s">
        <v>167</v>
      </c>
      <c r="DS9" s="146" t="s">
        <v>167</v>
      </c>
      <c r="DT9" s="146" t="s">
        <v>167</v>
      </c>
      <c r="DU9" s="146" t="s">
        <v>167</v>
      </c>
      <c r="DV9" s="146" t="s">
        <v>167</v>
      </c>
      <c r="DW9" s="143">
        <v>432.56244218316402</v>
      </c>
      <c r="DX9" t="s">
        <v>197</v>
      </c>
      <c r="DY9" s="142">
        <v>37.1</v>
      </c>
      <c r="DZ9" t="s">
        <v>198</v>
      </c>
      <c r="EA9" s="152">
        <v>39.267403100000003</v>
      </c>
      <c r="EB9" s="149" t="s">
        <v>185</v>
      </c>
      <c r="EC9" s="162">
        <v>0.2</v>
      </c>
      <c r="ED9" t="s">
        <v>199</v>
      </c>
      <c r="EE9" t="s">
        <v>225</v>
      </c>
      <c r="EF9" t="s">
        <v>201</v>
      </c>
      <c r="EG9">
        <v>1.0271999999999999</v>
      </c>
      <c r="EH9" t="s">
        <v>202</v>
      </c>
      <c r="EI9">
        <v>5.9999999999999995E-4</v>
      </c>
      <c r="EJ9" t="s">
        <v>203</v>
      </c>
      <c r="EK9" t="s">
        <v>167</v>
      </c>
      <c r="EL9" t="s">
        <v>167</v>
      </c>
      <c r="EM9" t="s">
        <v>204</v>
      </c>
      <c r="EN9" t="s">
        <v>226</v>
      </c>
      <c r="EO9" t="s">
        <v>206</v>
      </c>
      <c r="EP9" t="s">
        <v>206</v>
      </c>
      <c r="EQ9" s="146" t="s">
        <v>167</v>
      </c>
      <c r="ER9" t="s">
        <v>167</v>
      </c>
      <c r="ES9" t="s">
        <v>167</v>
      </c>
      <c r="ET9" t="s">
        <v>207</v>
      </c>
      <c r="EU9" t="s">
        <v>208</v>
      </c>
      <c r="EV9" t="s">
        <v>227</v>
      </c>
      <c r="EW9" s="163">
        <v>2330</v>
      </c>
      <c r="EX9" t="s">
        <v>210</v>
      </c>
      <c r="EY9">
        <v>175</v>
      </c>
      <c r="EZ9">
        <v>175</v>
      </c>
      <c r="FA9" t="s">
        <v>167</v>
      </c>
      <c r="FB9" t="s">
        <v>167</v>
      </c>
      <c r="FC9" t="s">
        <v>167</v>
      </c>
      <c r="FD9" t="s">
        <v>167</v>
      </c>
      <c r="FE9" s="152">
        <v>8.0524011575864307</v>
      </c>
      <c r="FF9" s="164" t="s">
        <v>211</v>
      </c>
      <c r="FG9" s="152">
        <v>6.655852410797003E-2</v>
      </c>
      <c r="FH9" s="152">
        <v>6.601414483165069E-2</v>
      </c>
      <c r="FI9" s="145">
        <v>392.26089027376901</v>
      </c>
      <c r="FJ9" s="149">
        <v>21</v>
      </c>
      <c r="FK9" s="149" t="s">
        <v>212</v>
      </c>
      <c r="FL9" s="152">
        <v>371.26089027376901</v>
      </c>
      <c r="FM9" s="152">
        <v>84.436772000593976</v>
      </c>
      <c r="FN9" s="152">
        <v>73.306328554425988</v>
      </c>
      <c r="FO9" s="144" t="s">
        <v>213</v>
      </c>
      <c r="FP9" s="144" t="s">
        <v>214</v>
      </c>
      <c r="FQ9" t="s">
        <v>215</v>
      </c>
      <c r="FR9" t="s">
        <v>215</v>
      </c>
      <c r="FS9" t="s">
        <v>215</v>
      </c>
      <c r="FT9" t="s">
        <v>215</v>
      </c>
      <c r="FU9" t="s">
        <v>215</v>
      </c>
      <c r="FV9" t="s">
        <v>215</v>
      </c>
      <c r="FW9" t="s">
        <v>215</v>
      </c>
      <c r="FX9" t="s">
        <v>215</v>
      </c>
      <c r="FY9" t="s">
        <v>215</v>
      </c>
      <c r="FZ9" t="s">
        <v>215</v>
      </c>
      <c r="GA9" t="s">
        <v>215</v>
      </c>
      <c r="GB9" t="s">
        <v>215</v>
      </c>
    </row>
    <row r="10" spans="1:185" ht="18" x14ac:dyDescent="0.2">
      <c r="A10" t="s">
        <v>240</v>
      </c>
      <c r="B10" s="141" t="s">
        <v>241</v>
      </c>
      <c r="C10" s="138" t="s">
        <v>168</v>
      </c>
      <c r="D10" t="s">
        <v>239</v>
      </c>
      <c r="E10">
        <v>2015</v>
      </c>
      <c r="F10" t="str">
        <f t="shared" si="9"/>
        <v>10.1038/nature14145</v>
      </c>
      <c r="G10" s="175">
        <v>2396.71</v>
      </c>
      <c r="H10" s="142">
        <f t="shared" si="0"/>
        <v>6</v>
      </c>
      <c r="I10" s="142">
        <f t="shared" si="1"/>
        <v>6</v>
      </c>
      <c r="J10" s="148">
        <f t="shared" si="2"/>
        <v>377.045047877451</v>
      </c>
      <c r="K10" s="148">
        <f t="shared" si="3"/>
        <v>83.778996967981016</v>
      </c>
      <c r="L10" s="148">
        <f t="shared" si="4"/>
        <v>72.314892985352003</v>
      </c>
      <c r="M10" t="b">
        <v>1</v>
      </c>
      <c r="N10">
        <v>3</v>
      </c>
      <c r="O10" t="s">
        <v>245</v>
      </c>
      <c r="P10" s="174" t="s">
        <v>259</v>
      </c>
      <c r="Q10" t="b">
        <v>0</v>
      </c>
      <c r="R10" t="s">
        <v>167</v>
      </c>
      <c r="S10" t="b">
        <v>0</v>
      </c>
      <c r="T10" t="b">
        <v>0</v>
      </c>
      <c r="U10" t="s">
        <v>167</v>
      </c>
      <c r="V10" t="s">
        <v>167</v>
      </c>
      <c r="W10" t="b">
        <v>0</v>
      </c>
      <c r="X10" t="s">
        <v>260</v>
      </c>
      <c r="Y10" s="150" t="s">
        <v>169</v>
      </c>
      <c r="Z10" t="s">
        <v>170</v>
      </c>
      <c r="AA10" t="s">
        <v>171</v>
      </c>
      <c r="AB10" s="142" t="s">
        <v>172</v>
      </c>
      <c r="AC10" s="172">
        <v>9</v>
      </c>
      <c r="AD10" s="146">
        <v>3</v>
      </c>
      <c r="AE10" s="146">
        <v>102</v>
      </c>
      <c r="AF10" s="146">
        <v>104</v>
      </c>
      <c r="AG10" s="146" t="s">
        <v>167</v>
      </c>
      <c r="AH10" s="146" t="s">
        <v>167</v>
      </c>
      <c r="AI10" s="146" t="s">
        <v>167</v>
      </c>
      <c r="AJ10" t="s">
        <v>173</v>
      </c>
      <c r="AK10" s="151">
        <v>12.75</v>
      </c>
      <c r="AL10" s="151">
        <v>-78.73</v>
      </c>
      <c r="AM10" s="151">
        <v>12.75</v>
      </c>
      <c r="AN10" s="151">
        <v>-78.73</v>
      </c>
      <c r="AO10" s="151">
        <v>-2828</v>
      </c>
      <c r="AP10" s="151">
        <v>-2828</v>
      </c>
      <c r="AQ10" s="142" t="s">
        <v>167</v>
      </c>
      <c r="AR10" s="142" t="s">
        <v>167</v>
      </c>
      <c r="AS10" s="175">
        <v>2396.71</v>
      </c>
      <c r="AT10" s="153" t="s">
        <v>174</v>
      </c>
      <c r="AU10" s="142">
        <v>6</v>
      </c>
      <c r="AV10" s="142">
        <v>6</v>
      </c>
      <c r="AW10" s="149" t="s">
        <v>167</v>
      </c>
      <c r="AX10" s="171" t="s">
        <v>243</v>
      </c>
      <c r="AY10" s="146" t="s">
        <v>167</v>
      </c>
      <c r="AZ10" t="s">
        <v>167</v>
      </c>
      <c r="BA10" t="s">
        <v>167</v>
      </c>
      <c r="BB10" t="s">
        <v>167</v>
      </c>
      <c r="BC10" t="s">
        <v>167</v>
      </c>
      <c r="BD10" t="s">
        <v>167</v>
      </c>
      <c r="BE10" t="s">
        <v>167</v>
      </c>
      <c r="BF10" t="s">
        <v>167</v>
      </c>
      <c r="BG10" s="154" t="s">
        <v>175</v>
      </c>
      <c r="BH10" t="s">
        <v>176</v>
      </c>
      <c r="BI10" s="155" t="s">
        <v>177</v>
      </c>
      <c r="BJ10" s="156" t="s">
        <v>178</v>
      </c>
      <c r="BK10" s="156" t="s">
        <v>179</v>
      </c>
      <c r="BL10" s="156" t="s">
        <v>180</v>
      </c>
      <c r="BM10" s="157" t="s">
        <v>181</v>
      </c>
      <c r="BN10" s="142" t="s">
        <v>182</v>
      </c>
      <c r="BO10" s="142" t="s">
        <v>182</v>
      </c>
      <c r="BP10" s="142" t="s">
        <v>182</v>
      </c>
      <c r="BQ10" s="152">
        <v>19.83353</v>
      </c>
      <c r="BR10" t="s">
        <v>183</v>
      </c>
      <c r="BS10" s="152">
        <v>9.6840154999999997E-2</v>
      </c>
      <c r="BT10">
        <v>0.6</v>
      </c>
      <c r="BU10" t="s">
        <v>184</v>
      </c>
      <c r="BV10" s="153">
        <v>0.08</v>
      </c>
      <c r="BW10">
        <v>8.8699999999999992</v>
      </c>
      <c r="BX10" t="s">
        <v>185</v>
      </c>
      <c r="BY10">
        <v>1.52</v>
      </c>
      <c r="BZ10" t="s">
        <v>224</v>
      </c>
      <c r="CA10" t="s">
        <v>187</v>
      </c>
      <c r="CB10" s="158">
        <f t="shared" si="5"/>
        <v>18.272550000000003</v>
      </c>
      <c r="CC10" t="s">
        <v>184</v>
      </c>
      <c r="CD10" s="149" t="s">
        <v>167</v>
      </c>
      <c r="CE10" s="149" t="s">
        <v>167</v>
      </c>
      <c r="CF10" t="s">
        <v>188</v>
      </c>
      <c r="CG10" t="s">
        <v>189</v>
      </c>
      <c r="CH10" t="s">
        <v>190</v>
      </c>
      <c r="CI10" t="s">
        <v>190</v>
      </c>
      <c r="CJ10" s="152">
        <v>28.408709999999999</v>
      </c>
      <c r="CK10" t="s">
        <v>184</v>
      </c>
      <c r="CL10" s="159">
        <v>3</v>
      </c>
      <c r="CM10" s="159">
        <v>3</v>
      </c>
      <c r="CN10" s="152">
        <v>3.7953751685012476</v>
      </c>
      <c r="CO10" s="152">
        <v>3.7953751685012476</v>
      </c>
      <c r="CP10" t="s">
        <v>191</v>
      </c>
      <c r="CQ10" s="145">
        <f t="shared" si="6"/>
        <v>0.10247512954953368</v>
      </c>
      <c r="CR10" s="145">
        <f t="shared" si="7"/>
        <v>0.10247512954953368</v>
      </c>
      <c r="CS10" s="142" t="s">
        <v>192</v>
      </c>
      <c r="CT10" s="147" t="s">
        <v>193</v>
      </c>
      <c r="CU10" s="152">
        <v>4.0216262127630031</v>
      </c>
      <c r="CV10" s="152" t="s">
        <v>194</v>
      </c>
      <c r="CW10" t="s">
        <v>167</v>
      </c>
      <c r="CX10" t="s">
        <v>195</v>
      </c>
      <c r="CY10" t="s">
        <v>167</v>
      </c>
      <c r="CZ10" t="s">
        <v>167</v>
      </c>
      <c r="DA10" t="s">
        <v>167</v>
      </c>
      <c r="DB10" t="s">
        <v>167</v>
      </c>
      <c r="DC10" t="s">
        <v>167</v>
      </c>
      <c r="DD10" t="s">
        <v>167</v>
      </c>
      <c r="DE10" t="s">
        <v>167</v>
      </c>
      <c r="DF10" t="s">
        <v>167</v>
      </c>
      <c r="DG10" s="160">
        <v>35</v>
      </c>
      <c r="DH10" t="s">
        <v>174</v>
      </c>
      <c r="DI10">
        <v>3</v>
      </c>
      <c r="DJ10" s="161" t="s">
        <v>196</v>
      </c>
      <c r="DK10" s="146" t="s">
        <v>167</v>
      </c>
      <c r="DL10" s="146" t="s">
        <v>167</v>
      </c>
      <c r="DM10" s="146" t="s">
        <v>167</v>
      </c>
      <c r="DN10" s="146" t="s">
        <v>167</v>
      </c>
      <c r="DO10" s="146" t="s">
        <v>167</v>
      </c>
      <c r="DP10" s="146" t="s">
        <v>167</v>
      </c>
      <c r="DQ10" s="146" t="s">
        <v>167</v>
      </c>
      <c r="DR10" s="146" t="s">
        <v>167</v>
      </c>
      <c r="DS10" s="146" t="s">
        <v>167</v>
      </c>
      <c r="DT10" s="146" t="s">
        <v>167</v>
      </c>
      <c r="DU10" s="146" t="s">
        <v>167</v>
      </c>
      <c r="DV10" s="146" t="s">
        <v>167</v>
      </c>
      <c r="DW10" s="143">
        <v>432.56244218316402</v>
      </c>
      <c r="DX10" t="s">
        <v>197</v>
      </c>
      <c r="DY10" s="142">
        <v>37.1</v>
      </c>
      <c r="DZ10" t="s">
        <v>198</v>
      </c>
      <c r="EA10" s="152">
        <v>39.266287179999999</v>
      </c>
      <c r="EB10" s="149" t="s">
        <v>185</v>
      </c>
      <c r="EC10" s="162">
        <v>0.2</v>
      </c>
      <c r="ED10" t="s">
        <v>199</v>
      </c>
      <c r="EE10" t="s">
        <v>225</v>
      </c>
      <c r="EF10" t="s">
        <v>201</v>
      </c>
      <c r="EG10">
        <v>1.0271999999999999</v>
      </c>
      <c r="EH10" t="s">
        <v>202</v>
      </c>
      <c r="EI10">
        <v>5.9999999999999995E-4</v>
      </c>
      <c r="EJ10" t="s">
        <v>203</v>
      </c>
      <c r="EK10" t="s">
        <v>167</v>
      </c>
      <c r="EL10" t="s">
        <v>167</v>
      </c>
      <c r="EM10" t="s">
        <v>204</v>
      </c>
      <c r="EN10" t="s">
        <v>226</v>
      </c>
      <c r="EO10" t="s">
        <v>206</v>
      </c>
      <c r="EP10" t="s">
        <v>206</v>
      </c>
      <c r="EQ10" s="146" t="s">
        <v>167</v>
      </c>
      <c r="ER10" t="s">
        <v>167</v>
      </c>
      <c r="ES10" t="s">
        <v>167</v>
      </c>
      <c r="ET10" t="s">
        <v>207</v>
      </c>
      <c r="EU10" t="s">
        <v>208</v>
      </c>
      <c r="EV10" t="s">
        <v>227</v>
      </c>
      <c r="EW10" s="163">
        <v>2330</v>
      </c>
      <c r="EX10" t="s">
        <v>210</v>
      </c>
      <c r="EY10">
        <v>175</v>
      </c>
      <c r="EZ10">
        <v>175</v>
      </c>
      <c r="FA10" t="s">
        <v>167</v>
      </c>
      <c r="FB10" t="s">
        <v>167</v>
      </c>
      <c r="FC10" t="s">
        <v>167</v>
      </c>
      <c r="FD10" t="s">
        <v>167</v>
      </c>
      <c r="FE10" s="152">
        <v>8.0476728692872204</v>
      </c>
      <c r="FF10" s="164" t="s">
        <v>211</v>
      </c>
      <c r="FG10" s="152">
        <v>6.3757021149440263E-2</v>
      </c>
      <c r="FH10" s="152">
        <v>6.397497613128067E-2</v>
      </c>
      <c r="FI10" s="145">
        <v>398.045047877451</v>
      </c>
      <c r="FJ10" s="149">
        <v>21</v>
      </c>
      <c r="FK10" s="149" t="s">
        <v>212</v>
      </c>
      <c r="FL10" s="152">
        <v>377.045047877451</v>
      </c>
      <c r="FM10" s="152">
        <v>83.778996967981016</v>
      </c>
      <c r="FN10" s="152">
        <v>72.314892985352003</v>
      </c>
      <c r="FO10" s="144" t="s">
        <v>213</v>
      </c>
      <c r="FP10" s="144" t="s">
        <v>214</v>
      </c>
      <c r="FQ10" t="s">
        <v>215</v>
      </c>
      <c r="FR10" t="s">
        <v>215</v>
      </c>
      <c r="FS10" t="s">
        <v>215</v>
      </c>
      <c r="FT10" t="s">
        <v>215</v>
      </c>
      <c r="FU10" t="s">
        <v>215</v>
      </c>
      <c r="FV10" t="s">
        <v>215</v>
      </c>
      <c r="FW10" t="s">
        <v>215</v>
      </c>
      <c r="FX10" t="s">
        <v>215</v>
      </c>
      <c r="FY10" t="s">
        <v>215</v>
      </c>
      <c r="FZ10" t="s">
        <v>215</v>
      </c>
      <c r="GA10" t="s">
        <v>215</v>
      </c>
      <c r="GB10" t="s">
        <v>215</v>
      </c>
    </row>
    <row r="11" spans="1:185" ht="18" x14ac:dyDescent="0.2">
      <c r="A11" t="s">
        <v>240</v>
      </c>
      <c r="B11" s="141" t="s">
        <v>241</v>
      </c>
      <c r="C11" s="138" t="s">
        <v>168</v>
      </c>
      <c r="D11" t="s">
        <v>239</v>
      </c>
      <c r="E11">
        <v>2015</v>
      </c>
      <c r="F11" t="str">
        <f t="shared" si="9"/>
        <v>10.1038/nature14145</v>
      </c>
      <c r="G11" s="175">
        <v>2410.9299999999998</v>
      </c>
      <c r="H11" s="142">
        <f t="shared" si="0"/>
        <v>6</v>
      </c>
      <c r="I11" s="142">
        <f t="shared" si="1"/>
        <v>6</v>
      </c>
      <c r="J11" s="148">
        <f t="shared" si="2"/>
        <v>277.500364404793</v>
      </c>
      <c r="K11" s="148">
        <f t="shared" si="3"/>
        <v>61.686122734970013</v>
      </c>
      <c r="L11" s="148">
        <f t="shared" si="4"/>
        <v>54.135622830865998</v>
      </c>
      <c r="M11" t="b">
        <v>1</v>
      </c>
      <c r="N11">
        <v>3</v>
      </c>
      <c r="O11" t="s">
        <v>245</v>
      </c>
      <c r="P11" s="174" t="s">
        <v>259</v>
      </c>
      <c r="Q11" t="b">
        <v>0</v>
      </c>
      <c r="R11" t="s">
        <v>167</v>
      </c>
      <c r="S11" t="b">
        <v>0</v>
      </c>
      <c r="T11" t="b">
        <v>0</v>
      </c>
      <c r="U11" t="s">
        <v>167</v>
      </c>
      <c r="V11" t="s">
        <v>167</v>
      </c>
      <c r="W11" t="b">
        <v>0</v>
      </c>
      <c r="X11" t="s">
        <v>260</v>
      </c>
      <c r="Y11" s="150" t="s">
        <v>169</v>
      </c>
      <c r="Z11" t="s">
        <v>170</v>
      </c>
      <c r="AA11" t="s">
        <v>171</v>
      </c>
      <c r="AB11" s="142" t="s">
        <v>172</v>
      </c>
      <c r="AC11" s="146">
        <v>9</v>
      </c>
      <c r="AD11" s="146">
        <v>4</v>
      </c>
      <c r="AE11" s="146">
        <v>29</v>
      </c>
      <c r="AF11" s="146">
        <v>31</v>
      </c>
      <c r="AG11" s="146" t="s">
        <v>167</v>
      </c>
      <c r="AH11" s="146" t="s">
        <v>167</v>
      </c>
      <c r="AI11" s="146" t="s">
        <v>167</v>
      </c>
      <c r="AJ11" t="s">
        <v>173</v>
      </c>
      <c r="AK11" s="151">
        <v>12.75</v>
      </c>
      <c r="AL11" s="151">
        <v>-78.73</v>
      </c>
      <c r="AM11" s="151">
        <v>12.75</v>
      </c>
      <c r="AN11" s="151">
        <v>-78.73</v>
      </c>
      <c r="AO11" s="151">
        <v>-2828</v>
      </c>
      <c r="AP11" s="151">
        <v>-2828</v>
      </c>
      <c r="AQ11" s="142" t="s">
        <v>167</v>
      </c>
      <c r="AR11" s="142" t="s">
        <v>167</v>
      </c>
      <c r="AS11" s="175">
        <v>2410.9299999999998</v>
      </c>
      <c r="AT11" s="153" t="s">
        <v>174</v>
      </c>
      <c r="AU11" s="142">
        <v>6</v>
      </c>
      <c r="AV11" s="142">
        <v>6</v>
      </c>
      <c r="AW11" s="149" t="s">
        <v>167</v>
      </c>
      <c r="AX11" s="171" t="s">
        <v>243</v>
      </c>
      <c r="AY11" s="146" t="s">
        <v>167</v>
      </c>
      <c r="AZ11" t="s">
        <v>167</v>
      </c>
      <c r="BA11" t="s">
        <v>167</v>
      </c>
      <c r="BB11" t="s">
        <v>167</v>
      </c>
      <c r="BC11" t="s">
        <v>167</v>
      </c>
      <c r="BD11" t="s">
        <v>167</v>
      </c>
      <c r="BE11" t="s">
        <v>167</v>
      </c>
      <c r="BF11" t="s">
        <v>167</v>
      </c>
      <c r="BG11" s="154" t="s">
        <v>175</v>
      </c>
      <c r="BH11" t="s">
        <v>176</v>
      </c>
      <c r="BI11" s="155" t="s">
        <v>177</v>
      </c>
      <c r="BJ11" s="155" t="s">
        <v>178</v>
      </c>
      <c r="BK11" s="156" t="s">
        <v>179</v>
      </c>
      <c r="BL11" s="156" t="s">
        <v>180</v>
      </c>
      <c r="BM11" t="s">
        <v>181</v>
      </c>
      <c r="BN11" s="142" t="s">
        <v>182</v>
      </c>
      <c r="BO11" s="142" t="s">
        <v>182</v>
      </c>
      <c r="BP11" s="142" t="s">
        <v>182</v>
      </c>
      <c r="BQ11" s="152">
        <v>20.567969999999999</v>
      </c>
      <c r="BR11" t="s">
        <v>183</v>
      </c>
      <c r="BS11" s="152">
        <v>9.1897218000000003E-2</v>
      </c>
      <c r="BT11">
        <v>0.6</v>
      </c>
      <c r="BU11" t="s">
        <v>184</v>
      </c>
      <c r="BV11" s="153">
        <v>0.08</v>
      </c>
      <c r="BW11">
        <v>8.8699999999999992</v>
      </c>
      <c r="BX11" t="s">
        <v>185</v>
      </c>
      <c r="BY11">
        <v>1.52</v>
      </c>
      <c r="BZ11" t="s">
        <v>224</v>
      </c>
      <c r="CA11" t="s">
        <v>187</v>
      </c>
      <c r="CB11" s="158">
        <f t="shared" si="5"/>
        <v>19.496616666666668</v>
      </c>
      <c r="CC11" t="s">
        <v>184</v>
      </c>
      <c r="CD11" s="149" t="s">
        <v>167</v>
      </c>
      <c r="CE11" s="149" t="s">
        <v>167</v>
      </c>
      <c r="CF11" t="s">
        <v>188</v>
      </c>
      <c r="CG11" t="s">
        <v>189</v>
      </c>
      <c r="CH11" t="s">
        <v>190</v>
      </c>
      <c r="CI11" t="s">
        <v>190</v>
      </c>
      <c r="CJ11" s="152">
        <v>29.131129999999999</v>
      </c>
      <c r="CK11" t="s">
        <v>184</v>
      </c>
      <c r="CL11" s="159">
        <v>3</v>
      </c>
      <c r="CM11" s="159">
        <v>3</v>
      </c>
      <c r="CN11" s="152">
        <v>4.0642368266665896</v>
      </c>
      <c r="CO11" s="152">
        <v>4.0642368266665896</v>
      </c>
      <c r="CP11" t="s">
        <v>191</v>
      </c>
      <c r="CQ11" s="145">
        <f t="shared" si="6"/>
        <v>0.10973439431999792</v>
      </c>
      <c r="CR11" s="145">
        <f t="shared" si="7"/>
        <v>0.10973439431999792</v>
      </c>
      <c r="CS11" s="142" t="s">
        <v>192</v>
      </c>
      <c r="CT11" s="147" t="s">
        <v>193</v>
      </c>
      <c r="CU11" s="152">
        <v>4.0553614098052524</v>
      </c>
      <c r="CV11" s="152" t="s">
        <v>194</v>
      </c>
      <c r="CW11" t="s">
        <v>167</v>
      </c>
      <c r="CX11" t="s">
        <v>195</v>
      </c>
      <c r="CY11" t="s">
        <v>167</v>
      </c>
      <c r="CZ11" t="s">
        <v>167</v>
      </c>
      <c r="DA11" t="s">
        <v>167</v>
      </c>
      <c r="DB11" t="s">
        <v>167</v>
      </c>
      <c r="DC11" t="s">
        <v>167</v>
      </c>
      <c r="DD11" t="s">
        <v>167</v>
      </c>
      <c r="DE11" t="s">
        <v>167</v>
      </c>
      <c r="DF11" t="s">
        <v>167</v>
      </c>
      <c r="DG11" s="160">
        <v>35</v>
      </c>
      <c r="DH11" t="s">
        <v>174</v>
      </c>
      <c r="DI11">
        <v>3</v>
      </c>
      <c r="DJ11" s="161" t="s">
        <v>196</v>
      </c>
      <c r="DK11" s="146" t="s">
        <v>167</v>
      </c>
      <c r="DL11" s="146" t="s">
        <v>167</v>
      </c>
      <c r="DM11" s="146" t="s">
        <v>167</v>
      </c>
      <c r="DN11" s="146" t="s">
        <v>167</v>
      </c>
      <c r="DO11" s="146" t="s">
        <v>167</v>
      </c>
      <c r="DP11" s="146" t="s">
        <v>167</v>
      </c>
      <c r="DQ11" s="146" t="s">
        <v>167</v>
      </c>
      <c r="DR11" s="146" t="s">
        <v>167</v>
      </c>
      <c r="DS11" s="146" t="s">
        <v>167</v>
      </c>
      <c r="DT11" s="146" t="s">
        <v>167</v>
      </c>
      <c r="DU11" s="146" t="s">
        <v>167</v>
      </c>
      <c r="DV11" s="146" t="s">
        <v>167</v>
      </c>
      <c r="DW11" s="143">
        <v>432.56244218316402</v>
      </c>
      <c r="DX11" t="s">
        <v>197</v>
      </c>
      <c r="DY11" s="142">
        <v>37.1</v>
      </c>
      <c r="DZ11" t="s">
        <v>198</v>
      </c>
      <c r="EA11" s="152">
        <v>39.262983169999998</v>
      </c>
      <c r="EB11" s="149" t="s">
        <v>185</v>
      </c>
      <c r="EC11" s="162">
        <v>0.2</v>
      </c>
      <c r="ED11" t="s">
        <v>199</v>
      </c>
      <c r="EE11" t="s">
        <v>225</v>
      </c>
      <c r="EF11" t="s">
        <v>201</v>
      </c>
      <c r="EG11">
        <v>1.0271999999999999</v>
      </c>
      <c r="EH11" t="s">
        <v>202</v>
      </c>
      <c r="EI11">
        <v>5.9999999999999995E-4</v>
      </c>
      <c r="EJ11" t="s">
        <v>203</v>
      </c>
      <c r="EK11" t="s">
        <v>167</v>
      </c>
      <c r="EL11" t="s">
        <v>167</v>
      </c>
      <c r="EM11" t="s">
        <v>204</v>
      </c>
      <c r="EN11" t="s">
        <v>226</v>
      </c>
      <c r="EO11" t="s">
        <v>206</v>
      </c>
      <c r="EP11" t="s">
        <v>206</v>
      </c>
      <c r="EQ11" s="146" t="s">
        <v>167</v>
      </c>
      <c r="ER11" t="s">
        <v>167</v>
      </c>
      <c r="ES11" t="s">
        <v>167</v>
      </c>
      <c r="ET11" t="s">
        <v>207</v>
      </c>
      <c r="EU11" t="s">
        <v>208</v>
      </c>
      <c r="EV11" t="s">
        <v>227</v>
      </c>
      <c r="EW11" s="163">
        <v>2330</v>
      </c>
      <c r="EX11" t="s">
        <v>210</v>
      </c>
      <c r="EY11">
        <v>175</v>
      </c>
      <c r="EZ11">
        <v>175</v>
      </c>
      <c r="FA11" t="s">
        <v>167</v>
      </c>
      <c r="FB11" t="s">
        <v>167</v>
      </c>
      <c r="FC11" t="s">
        <v>167</v>
      </c>
      <c r="FD11" t="s">
        <v>167</v>
      </c>
      <c r="FE11" s="152">
        <v>8.1442245677130192</v>
      </c>
      <c r="FF11" s="164" t="s">
        <v>211</v>
      </c>
      <c r="FG11" s="152">
        <v>6.2443431845130348E-2</v>
      </c>
      <c r="FH11" s="152">
        <v>6.1648389052679775E-2</v>
      </c>
      <c r="FI11" s="145">
        <v>298.500364404793</v>
      </c>
      <c r="FJ11" s="149">
        <v>21</v>
      </c>
      <c r="FK11" s="149" t="s">
        <v>212</v>
      </c>
      <c r="FL11" s="152">
        <v>277.500364404793</v>
      </c>
      <c r="FM11" s="152">
        <v>61.686122734970013</v>
      </c>
      <c r="FN11" s="152">
        <v>54.135622830865998</v>
      </c>
      <c r="FO11" s="144" t="s">
        <v>213</v>
      </c>
      <c r="FP11" s="144" t="s">
        <v>214</v>
      </c>
      <c r="FQ11" t="s">
        <v>215</v>
      </c>
      <c r="FR11" t="s">
        <v>215</v>
      </c>
      <c r="FS11" t="s">
        <v>215</v>
      </c>
      <c r="FT11" t="s">
        <v>215</v>
      </c>
      <c r="FU11" t="s">
        <v>215</v>
      </c>
      <c r="FV11" t="s">
        <v>215</v>
      </c>
      <c r="FW11" t="s">
        <v>215</v>
      </c>
      <c r="FX11" t="s">
        <v>215</v>
      </c>
      <c r="FY11" t="s">
        <v>215</v>
      </c>
      <c r="FZ11" t="s">
        <v>215</v>
      </c>
      <c r="GA11" t="s">
        <v>215</v>
      </c>
      <c r="GB11" t="s">
        <v>215</v>
      </c>
    </row>
    <row r="12" spans="1:185" ht="18" x14ac:dyDescent="0.2">
      <c r="A12" t="s">
        <v>240</v>
      </c>
      <c r="B12" s="141" t="s">
        <v>241</v>
      </c>
      <c r="C12" s="138" t="s">
        <v>168</v>
      </c>
      <c r="D12" t="s">
        <v>239</v>
      </c>
      <c r="E12">
        <v>2015</v>
      </c>
      <c r="F12" t="str">
        <f t="shared" si="9"/>
        <v>10.1038/nature14145</v>
      </c>
      <c r="G12" s="175">
        <v>2426.63</v>
      </c>
      <c r="H12" s="142">
        <f t="shared" si="0"/>
        <v>6</v>
      </c>
      <c r="I12" s="142">
        <f t="shared" si="1"/>
        <v>6</v>
      </c>
      <c r="J12" s="148">
        <f t="shared" si="2"/>
        <v>332.102986195992</v>
      </c>
      <c r="K12" s="148">
        <f t="shared" si="3"/>
        <v>72.859380178411982</v>
      </c>
      <c r="L12" s="148">
        <f t="shared" si="4"/>
        <v>65.501739178894013</v>
      </c>
      <c r="M12" t="b">
        <v>1</v>
      </c>
      <c r="N12">
        <v>3</v>
      </c>
      <c r="O12" t="s">
        <v>245</v>
      </c>
      <c r="P12" s="174" t="s">
        <v>259</v>
      </c>
      <c r="Q12" t="b">
        <v>0</v>
      </c>
      <c r="R12" t="s">
        <v>167</v>
      </c>
      <c r="S12" t="b">
        <v>0</v>
      </c>
      <c r="T12" t="b">
        <v>0</v>
      </c>
      <c r="U12" t="s">
        <v>167</v>
      </c>
      <c r="V12" t="s">
        <v>167</v>
      </c>
      <c r="W12" t="b">
        <v>0</v>
      </c>
      <c r="X12" t="s">
        <v>260</v>
      </c>
      <c r="Y12" s="150" t="s">
        <v>169</v>
      </c>
      <c r="Z12" t="s">
        <v>170</v>
      </c>
      <c r="AA12" t="s">
        <v>171</v>
      </c>
      <c r="AB12" s="142" t="s">
        <v>172</v>
      </c>
      <c r="AC12" s="146">
        <v>9</v>
      </c>
      <c r="AD12" s="146">
        <v>4</v>
      </c>
      <c r="AE12" s="146">
        <v>96</v>
      </c>
      <c r="AF12" s="146">
        <v>98</v>
      </c>
      <c r="AG12" s="146" t="s">
        <v>167</v>
      </c>
      <c r="AH12" s="146" t="s">
        <v>167</v>
      </c>
      <c r="AI12" s="146" t="s">
        <v>167</v>
      </c>
      <c r="AJ12" t="s">
        <v>173</v>
      </c>
      <c r="AK12" s="151">
        <v>12.75</v>
      </c>
      <c r="AL12" s="151">
        <v>-78.73</v>
      </c>
      <c r="AM12" s="151">
        <v>12.75</v>
      </c>
      <c r="AN12" s="151">
        <v>-78.73</v>
      </c>
      <c r="AO12" s="151">
        <v>-2828</v>
      </c>
      <c r="AP12" s="151">
        <v>-2828</v>
      </c>
      <c r="AQ12" s="142" t="s">
        <v>167</v>
      </c>
      <c r="AR12" s="142" t="s">
        <v>167</v>
      </c>
      <c r="AS12" s="175">
        <v>2426.63</v>
      </c>
      <c r="AT12" s="153" t="s">
        <v>174</v>
      </c>
      <c r="AU12" s="142">
        <v>6</v>
      </c>
      <c r="AV12" s="142">
        <v>6</v>
      </c>
      <c r="AW12" s="149" t="s">
        <v>167</v>
      </c>
      <c r="AX12" s="171" t="s">
        <v>243</v>
      </c>
      <c r="AY12" s="146" t="s">
        <v>167</v>
      </c>
      <c r="AZ12" t="s">
        <v>167</v>
      </c>
      <c r="BA12" t="s">
        <v>167</v>
      </c>
      <c r="BB12" t="s">
        <v>167</v>
      </c>
      <c r="BC12" t="s">
        <v>167</v>
      </c>
      <c r="BD12" t="s">
        <v>167</v>
      </c>
      <c r="BE12" t="s">
        <v>167</v>
      </c>
      <c r="BF12" t="s">
        <v>167</v>
      </c>
      <c r="BG12" s="154" t="s">
        <v>175</v>
      </c>
      <c r="BH12" t="s">
        <v>176</v>
      </c>
      <c r="BI12" s="155" t="s">
        <v>177</v>
      </c>
      <c r="BJ12" s="156" t="s">
        <v>178</v>
      </c>
      <c r="BK12" s="156" t="s">
        <v>179</v>
      </c>
      <c r="BL12" s="156" t="s">
        <v>180</v>
      </c>
      <c r="BM12" s="157" t="s">
        <v>181</v>
      </c>
      <c r="BN12" s="142" t="s">
        <v>182</v>
      </c>
      <c r="BO12" s="142" t="s">
        <v>182</v>
      </c>
      <c r="BP12" s="142" t="s">
        <v>182</v>
      </c>
      <c r="BQ12" s="152">
        <v>20.10464</v>
      </c>
      <c r="BR12" t="s">
        <v>183</v>
      </c>
      <c r="BS12" s="152">
        <v>9.5025298999999994E-2</v>
      </c>
      <c r="BT12">
        <v>0.6</v>
      </c>
      <c r="BU12" t="s">
        <v>184</v>
      </c>
      <c r="BV12" s="153">
        <v>0.08</v>
      </c>
      <c r="BW12">
        <v>8.8699999999999992</v>
      </c>
      <c r="BX12" t="s">
        <v>185</v>
      </c>
      <c r="BY12">
        <v>1.52</v>
      </c>
      <c r="BZ12" t="s">
        <v>224</v>
      </c>
      <c r="CA12" t="s">
        <v>187</v>
      </c>
      <c r="CB12" s="158">
        <f t="shared" si="5"/>
        <v>18.724400000000003</v>
      </c>
      <c r="CC12" t="s">
        <v>184</v>
      </c>
      <c r="CD12" s="149" t="s">
        <v>167</v>
      </c>
      <c r="CE12" s="149" t="s">
        <v>167</v>
      </c>
      <c r="CF12" t="s">
        <v>188</v>
      </c>
      <c r="CG12" t="s">
        <v>189</v>
      </c>
      <c r="CH12" t="s">
        <v>190</v>
      </c>
      <c r="CI12" t="s">
        <v>190</v>
      </c>
      <c r="CJ12" s="152">
        <v>28.388940000000002</v>
      </c>
      <c r="CK12" t="s">
        <v>184</v>
      </c>
      <c r="CL12" s="159">
        <v>3</v>
      </c>
      <c r="CM12" s="159">
        <v>3</v>
      </c>
      <c r="CN12" s="152">
        <v>3.8103673764157837</v>
      </c>
      <c r="CO12" s="152">
        <v>3.8103673764157837</v>
      </c>
      <c r="CP12" t="s">
        <v>191</v>
      </c>
      <c r="CQ12" s="145">
        <f t="shared" si="6"/>
        <v>0.10287991916322616</v>
      </c>
      <c r="CR12" s="145">
        <f t="shared" si="7"/>
        <v>0.10287991916322616</v>
      </c>
      <c r="CS12" s="142" t="s">
        <v>192</v>
      </c>
      <c r="CT12" s="147" t="s">
        <v>193</v>
      </c>
      <c r="CU12" s="152">
        <v>4.0781423608236675</v>
      </c>
      <c r="CV12" s="152" t="s">
        <v>194</v>
      </c>
      <c r="CW12" t="s">
        <v>167</v>
      </c>
      <c r="CX12" t="s">
        <v>195</v>
      </c>
      <c r="CY12" t="s">
        <v>167</v>
      </c>
      <c r="CZ12" t="s">
        <v>167</v>
      </c>
      <c r="DA12" t="s">
        <v>167</v>
      </c>
      <c r="DB12" t="s">
        <v>167</v>
      </c>
      <c r="DC12" t="s">
        <v>167</v>
      </c>
      <c r="DD12" t="s">
        <v>167</v>
      </c>
      <c r="DE12" t="s">
        <v>167</v>
      </c>
      <c r="DF12" t="s">
        <v>167</v>
      </c>
      <c r="DG12" s="160">
        <v>35</v>
      </c>
      <c r="DH12" t="s">
        <v>174</v>
      </c>
      <c r="DI12">
        <v>3</v>
      </c>
      <c r="DJ12" s="161" t="s">
        <v>196</v>
      </c>
      <c r="DK12" s="146" t="s">
        <v>167</v>
      </c>
      <c r="DL12" s="146" t="s">
        <v>167</v>
      </c>
      <c r="DM12" s="146" t="s">
        <v>167</v>
      </c>
      <c r="DN12" s="146" t="s">
        <v>167</v>
      </c>
      <c r="DO12" s="146" t="s">
        <v>167</v>
      </c>
      <c r="DP12" s="146" t="s">
        <v>167</v>
      </c>
      <c r="DQ12" s="146" t="s">
        <v>167</v>
      </c>
      <c r="DR12" s="146" t="s">
        <v>167</v>
      </c>
      <c r="DS12" s="146" t="s">
        <v>167</v>
      </c>
      <c r="DT12" s="146" t="s">
        <v>167</v>
      </c>
      <c r="DU12" s="146" t="s">
        <v>167</v>
      </c>
      <c r="DV12" s="146" t="s">
        <v>167</v>
      </c>
      <c r="DW12" s="143">
        <v>432.56244218316402</v>
      </c>
      <c r="DX12" t="s">
        <v>197</v>
      </c>
      <c r="DY12" s="142">
        <v>37.1</v>
      </c>
      <c r="DZ12" t="s">
        <v>198</v>
      </c>
      <c r="EA12" s="152">
        <v>39.260497749999999</v>
      </c>
      <c r="EB12" s="149" t="s">
        <v>185</v>
      </c>
      <c r="EC12" s="162">
        <v>0.2</v>
      </c>
      <c r="ED12" t="s">
        <v>199</v>
      </c>
      <c r="EE12" t="s">
        <v>225</v>
      </c>
      <c r="EF12" t="s">
        <v>201</v>
      </c>
      <c r="EG12">
        <v>1.0271999999999999</v>
      </c>
      <c r="EH12" t="s">
        <v>202</v>
      </c>
      <c r="EI12">
        <v>5.9999999999999995E-4</v>
      </c>
      <c r="EJ12" t="s">
        <v>203</v>
      </c>
      <c r="EK12" t="s">
        <v>167</v>
      </c>
      <c r="EL12" t="s">
        <v>167</v>
      </c>
      <c r="EM12" t="s">
        <v>204</v>
      </c>
      <c r="EN12" t="s">
        <v>226</v>
      </c>
      <c r="EO12" t="s">
        <v>206</v>
      </c>
      <c r="EP12" t="s">
        <v>206</v>
      </c>
      <c r="EQ12" s="146" t="s">
        <v>167</v>
      </c>
      <c r="ER12" t="s">
        <v>167</v>
      </c>
      <c r="ES12" t="s">
        <v>167</v>
      </c>
      <c r="ET12" t="s">
        <v>207</v>
      </c>
      <c r="EU12" t="s">
        <v>208</v>
      </c>
      <c r="EV12" t="s">
        <v>227</v>
      </c>
      <c r="EW12" s="163">
        <v>2330</v>
      </c>
      <c r="EX12" t="s">
        <v>210</v>
      </c>
      <c r="EY12">
        <v>175</v>
      </c>
      <c r="EZ12">
        <v>175</v>
      </c>
      <c r="FA12" t="s">
        <v>167</v>
      </c>
      <c r="FB12" t="s">
        <v>167</v>
      </c>
      <c r="FC12" t="s">
        <v>167</v>
      </c>
      <c r="FD12" t="s">
        <v>167</v>
      </c>
      <c r="FE12" s="152">
        <v>8.0884931831771691</v>
      </c>
      <c r="FF12" s="164" t="s">
        <v>211</v>
      </c>
      <c r="FG12" s="152">
        <v>6.3815203987010349E-2</v>
      </c>
      <c r="FH12" s="152">
        <v>6.2408537887149507E-2</v>
      </c>
      <c r="FI12" s="145">
        <v>353.102986195992</v>
      </c>
      <c r="FJ12" s="149">
        <v>21</v>
      </c>
      <c r="FK12" s="149" t="s">
        <v>212</v>
      </c>
      <c r="FL12" s="152">
        <v>332.102986195992</v>
      </c>
      <c r="FM12" s="152">
        <v>72.859380178411982</v>
      </c>
      <c r="FN12" s="152">
        <v>65.501739178894013</v>
      </c>
      <c r="FO12" s="144" t="s">
        <v>213</v>
      </c>
      <c r="FP12" s="144" t="s">
        <v>214</v>
      </c>
      <c r="FQ12" t="s">
        <v>215</v>
      </c>
      <c r="FR12" t="s">
        <v>215</v>
      </c>
      <c r="FS12" t="s">
        <v>215</v>
      </c>
      <c r="FT12" t="s">
        <v>215</v>
      </c>
      <c r="FU12" t="s">
        <v>215</v>
      </c>
      <c r="FV12" t="s">
        <v>215</v>
      </c>
      <c r="FW12" t="s">
        <v>215</v>
      </c>
      <c r="FX12" t="s">
        <v>215</v>
      </c>
      <c r="FY12" t="s">
        <v>215</v>
      </c>
      <c r="FZ12" t="s">
        <v>215</v>
      </c>
      <c r="GA12" t="s">
        <v>215</v>
      </c>
      <c r="GB12" t="s">
        <v>215</v>
      </c>
    </row>
    <row r="13" spans="1:185" ht="18" x14ac:dyDescent="0.2">
      <c r="A13" t="s">
        <v>240</v>
      </c>
      <c r="B13" s="141" t="s">
        <v>241</v>
      </c>
      <c r="C13" s="138" t="s">
        <v>168</v>
      </c>
      <c r="D13" t="s">
        <v>239</v>
      </c>
      <c r="E13">
        <v>2015</v>
      </c>
      <c r="F13" t="str">
        <f t="shared" si="9"/>
        <v>10.1038/nature14145</v>
      </c>
      <c r="G13" s="175">
        <v>2454.5100000000002</v>
      </c>
      <c r="H13" s="142">
        <f t="shared" si="0"/>
        <v>6</v>
      </c>
      <c r="I13" s="142">
        <f t="shared" si="1"/>
        <v>6</v>
      </c>
      <c r="J13" s="148">
        <f t="shared" si="2"/>
        <v>320.225227028125</v>
      </c>
      <c r="K13" s="148">
        <f t="shared" si="3"/>
        <v>71.833495324378021</v>
      </c>
      <c r="L13" s="148">
        <f t="shared" si="4"/>
        <v>61.895138328738994</v>
      </c>
      <c r="M13" t="b">
        <v>1</v>
      </c>
      <c r="N13">
        <v>3</v>
      </c>
      <c r="O13" t="s">
        <v>245</v>
      </c>
      <c r="P13" s="174" t="s">
        <v>259</v>
      </c>
      <c r="Q13" t="b">
        <v>0</v>
      </c>
      <c r="R13" t="s">
        <v>167</v>
      </c>
      <c r="S13" t="b">
        <v>0</v>
      </c>
      <c r="T13" t="b">
        <v>0</v>
      </c>
      <c r="U13" t="s">
        <v>167</v>
      </c>
      <c r="V13" t="s">
        <v>167</v>
      </c>
      <c r="W13" t="b">
        <v>0</v>
      </c>
      <c r="X13" t="s">
        <v>260</v>
      </c>
      <c r="Y13" s="150" t="s">
        <v>169</v>
      </c>
      <c r="Z13" t="s">
        <v>170</v>
      </c>
      <c r="AA13" t="s">
        <v>171</v>
      </c>
      <c r="AB13" s="142" t="s">
        <v>172</v>
      </c>
      <c r="AC13" s="172">
        <v>9</v>
      </c>
      <c r="AD13" s="146">
        <v>5</v>
      </c>
      <c r="AE13" s="146">
        <v>45</v>
      </c>
      <c r="AF13" s="146">
        <v>47</v>
      </c>
      <c r="AG13" s="146" t="s">
        <v>167</v>
      </c>
      <c r="AH13" s="146" t="s">
        <v>167</v>
      </c>
      <c r="AI13" s="146" t="s">
        <v>167</v>
      </c>
      <c r="AJ13" t="s">
        <v>173</v>
      </c>
      <c r="AK13" s="151">
        <v>12.75</v>
      </c>
      <c r="AL13" s="151">
        <v>-78.73</v>
      </c>
      <c r="AM13" s="151">
        <v>12.75</v>
      </c>
      <c r="AN13" s="151">
        <v>-78.73</v>
      </c>
      <c r="AO13" s="151">
        <v>-2828</v>
      </c>
      <c r="AP13" s="151">
        <v>-2828</v>
      </c>
      <c r="AQ13" s="142" t="s">
        <v>167</v>
      </c>
      <c r="AR13" s="142" t="s">
        <v>167</v>
      </c>
      <c r="AS13" s="175">
        <v>2454.5100000000002</v>
      </c>
      <c r="AT13" s="153" t="s">
        <v>174</v>
      </c>
      <c r="AU13" s="142">
        <v>6</v>
      </c>
      <c r="AV13" s="142">
        <v>6</v>
      </c>
      <c r="AW13" s="149" t="s">
        <v>167</v>
      </c>
      <c r="AX13" s="171" t="s">
        <v>243</v>
      </c>
      <c r="AY13" s="146" t="s">
        <v>167</v>
      </c>
      <c r="AZ13" t="s">
        <v>167</v>
      </c>
      <c r="BA13" t="s">
        <v>167</v>
      </c>
      <c r="BB13" t="s">
        <v>167</v>
      </c>
      <c r="BC13" t="s">
        <v>167</v>
      </c>
      <c r="BD13" t="s">
        <v>167</v>
      </c>
      <c r="BE13" t="s">
        <v>167</v>
      </c>
      <c r="BF13" t="s">
        <v>167</v>
      </c>
      <c r="BG13" s="154" t="s">
        <v>175</v>
      </c>
      <c r="BH13" t="s">
        <v>176</v>
      </c>
      <c r="BI13" s="155" t="s">
        <v>177</v>
      </c>
      <c r="BJ13" s="155" t="s">
        <v>178</v>
      </c>
      <c r="BK13" s="156" t="s">
        <v>179</v>
      </c>
      <c r="BL13" s="156" t="s">
        <v>180</v>
      </c>
      <c r="BM13" t="s">
        <v>181</v>
      </c>
      <c r="BN13" s="142" t="s">
        <v>182</v>
      </c>
      <c r="BO13" s="142" t="s">
        <v>182</v>
      </c>
      <c r="BP13" s="142" t="s">
        <v>182</v>
      </c>
      <c r="BQ13" s="152">
        <v>20.195499999999999</v>
      </c>
      <c r="BR13" t="s">
        <v>183</v>
      </c>
      <c r="BS13" s="152">
        <v>9.0091598999999994E-2</v>
      </c>
      <c r="BT13">
        <v>0.6</v>
      </c>
      <c r="BU13" t="s">
        <v>184</v>
      </c>
      <c r="BV13" s="153">
        <v>0.08</v>
      </c>
      <c r="BW13">
        <v>8.8699999999999992</v>
      </c>
      <c r="BX13" t="s">
        <v>185</v>
      </c>
      <c r="BY13">
        <v>1.52</v>
      </c>
      <c r="BZ13" t="s">
        <v>224</v>
      </c>
      <c r="CA13" t="s">
        <v>187</v>
      </c>
      <c r="CB13" s="158">
        <f t="shared" si="5"/>
        <v>18.875833333333333</v>
      </c>
      <c r="CC13" t="s">
        <v>184</v>
      </c>
      <c r="CD13" s="149" t="s">
        <v>167</v>
      </c>
      <c r="CE13" s="149" t="s">
        <v>167</v>
      </c>
      <c r="CF13" t="s">
        <v>188</v>
      </c>
      <c r="CG13" t="s">
        <v>189</v>
      </c>
      <c r="CH13" t="s">
        <v>190</v>
      </c>
      <c r="CI13" t="s">
        <v>190</v>
      </c>
      <c r="CJ13" s="152">
        <v>28.463259999999998</v>
      </c>
      <c r="CK13" t="s">
        <v>184</v>
      </c>
      <c r="CL13" s="159">
        <v>3</v>
      </c>
      <c r="CM13" s="159">
        <v>3</v>
      </c>
      <c r="CN13" s="152">
        <v>3.8525992611583857</v>
      </c>
      <c r="CO13" s="152">
        <v>3.8525992611583857</v>
      </c>
      <c r="CP13" t="s">
        <v>191</v>
      </c>
      <c r="CQ13" s="145">
        <f t="shared" si="6"/>
        <v>0.10402018005127642</v>
      </c>
      <c r="CR13" s="145">
        <f t="shared" si="7"/>
        <v>0.10402018005127642</v>
      </c>
      <c r="CS13" s="142" t="s">
        <v>192</v>
      </c>
      <c r="CT13" s="147" t="s">
        <v>193</v>
      </c>
      <c r="CU13" s="152">
        <v>4.1214763877120735</v>
      </c>
      <c r="CV13" s="152" t="s">
        <v>194</v>
      </c>
      <c r="CW13" t="s">
        <v>167</v>
      </c>
      <c r="CX13" t="s">
        <v>195</v>
      </c>
      <c r="CY13" t="s">
        <v>167</v>
      </c>
      <c r="CZ13" t="s">
        <v>167</v>
      </c>
      <c r="DA13" t="s">
        <v>167</v>
      </c>
      <c r="DB13" t="s">
        <v>167</v>
      </c>
      <c r="DC13" t="s">
        <v>167</v>
      </c>
      <c r="DD13" t="s">
        <v>167</v>
      </c>
      <c r="DE13" t="s">
        <v>167</v>
      </c>
      <c r="DF13" t="s">
        <v>167</v>
      </c>
      <c r="DG13" s="160">
        <v>35</v>
      </c>
      <c r="DH13" t="s">
        <v>174</v>
      </c>
      <c r="DI13">
        <v>3</v>
      </c>
      <c r="DJ13" s="161" t="s">
        <v>196</v>
      </c>
      <c r="DK13" s="146" t="s">
        <v>167</v>
      </c>
      <c r="DL13" s="146" t="s">
        <v>167</v>
      </c>
      <c r="DM13" s="146" t="s">
        <v>167</v>
      </c>
      <c r="DN13" s="146" t="s">
        <v>167</v>
      </c>
      <c r="DO13" s="146" t="s">
        <v>167</v>
      </c>
      <c r="DP13" s="146" t="s">
        <v>167</v>
      </c>
      <c r="DQ13" s="146" t="s">
        <v>167</v>
      </c>
      <c r="DR13" s="146" t="s">
        <v>167</v>
      </c>
      <c r="DS13" s="146" t="s">
        <v>167</v>
      </c>
      <c r="DT13" s="146" t="s">
        <v>167</v>
      </c>
      <c r="DU13" s="146" t="s">
        <v>167</v>
      </c>
      <c r="DV13" s="146" t="s">
        <v>167</v>
      </c>
      <c r="DW13" s="143">
        <v>432.56244218316402</v>
      </c>
      <c r="DX13" t="s">
        <v>197</v>
      </c>
      <c r="DY13" s="142">
        <v>37.1</v>
      </c>
      <c r="DZ13" t="s">
        <v>198</v>
      </c>
      <c r="EA13" s="152">
        <v>39.256847739999998</v>
      </c>
      <c r="EB13" s="149" t="s">
        <v>185</v>
      </c>
      <c r="EC13" s="162">
        <v>0.2</v>
      </c>
      <c r="ED13" t="s">
        <v>199</v>
      </c>
      <c r="EE13" t="s">
        <v>225</v>
      </c>
      <c r="EF13" t="s">
        <v>201</v>
      </c>
      <c r="EG13">
        <v>1.0271999999999999</v>
      </c>
      <c r="EH13" t="s">
        <v>202</v>
      </c>
      <c r="EI13">
        <v>5.9999999999999995E-4</v>
      </c>
      <c r="EJ13" t="s">
        <v>203</v>
      </c>
      <c r="EK13" t="s">
        <v>167</v>
      </c>
      <c r="EL13" t="s">
        <v>167</v>
      </c>
      <c r="EM13" t="s">
        <v>204</v>
      </c>
      <c r="EN13" t="s">
        <v>226</v>
      </c>
      <c r="EO13" t="s">
        <v>206</v>
      </c>
      <c r="EP13" t="s">
        <v>206</v>
      </c>
      <c r="EQ13" s="146" t="s">
        <v>167</v>
      </c>
      <c r="ER13" t="s">
        <v>167</v>
      </c>
      <c r="ES13" t="s">
        <v>167</v>
      </c>
      <c r="ET13" t="s">
        <v>207</v>
      </c>
      <c r="EU13" t="s">
        <v>208</v>
      </c>
      <c r="EV13" t="s">
        <v>227</v>
      </c>
      <c r="EW13" s="163">
        <v>2330</v>
      </c>
      <c r="EX13" t="s">
        <v>210</v>
      </c>
      <c r="EY13">
        <v>175</v>
      </c>
      <c r="EZ13">
        <v>175</v>
      </c>
      <c r="FA13" t="s">
        <v>167</v>
      </c>
      <c r="FB13" t="s">
        <v>167</v>
      </c>
      <c r="FC13" t="s">
        <v>167</v>
      </c>
      <c r="FD13" t="s">
        <v>167</v>
      </c>
      <c r="FE13" s="152">
        <v>8.1003076352284697</v>
      </c>
      <c r="FF13" s="164" t="s">
        <v>211</v>
      </c>
      <c r="FG13" s="152">
        <v>6.2319442548020021E-2</v>
      </c>
      <c r="FH13" s="152">
        <v>6.3478201137359136E-2</v>
      </c>
      <c r="FI13" s="145">
        <v>341.225227028125</v>
      </c>
      <c r="FJ13" s="149">
        <v>21</v>
      </c>
      <c r="FK13" s="149" t="s">
        <v>212</v>
      </c>
      <c r="FL13" s="152">
        <v>320.225227028125</v>
      </c>
      <c r="FM13" s="152">
        <v>71.833495324378021</v>
      </c>
      <c r="FN13" s="152">
        <v>61.895138328738994</v>
      </c>
      <c r="FO13" s="144" t="s">
        <v>213</v>
      </c>
      <c r="FP13" s="144" t="s">
        <v>214</v>
      </c>
      <c r="FQ13" t="s">
        <v>215</v>
      </c>
      <c r="FR13" t="s">
        <v>215</v>
      </c>
      <c r="FS13" t="s">
        <v>215</v>
      </c>
      <c r="FT13" t="s">
        <v>215</v>
      </c>
      <c r="FU13" t="s">
        <v>215</v>
      </c>
      <c r="FV13" t="s">
        <v>215</v>
      </c>
      <c r="FW13" t="s">
        <v>215</v>
      </c>
      <c r="FX13" t="s">
        <v>215</v>
      </c>
      <c r="FY13" t="s">
        <v>215</v>
      </c>
      <c r="FZ13" t="s">
        <v>215</v>
      </c>
      <c r="GA13" t="s">
        <v>215</v>
      </c>
      <c r="GB13" t="s">
        <v>215</v>
      </c>
    </row>
    <row r="14" spans="1:185" ht="18" x14ac:dyDescent="0.2">
      <c r="A14" t="s">
        <v>240</v>
      </c>
      <c r="B14" s="141" t="s">
        <v>241</v>
      </c>
      <c r="C14" s="138" t="s">
        <v>168</v>
      </c>
      <c r="D14" t="s">
        <v>239</v>
      </c>
      <c r="E14">
        <v>2015</v>
      </c>
      <c r="F14" t="str">
        <f t="shared" si="9"/>
        <v>10.1038/nature14145</v>
      </c>
      <c r="G14" s="175">
        <v>2473.8200000000002</v>
      </c>
      <c r="H14" s="142">
        <f t="shared" si="0"/>
        <v>6</v>
      </c>
      <c r="I14" s="142">
        <f t="shared" si="1"/>
        <v>6</v>
      </c>
      <c r="J14" s="148">
        <f t="shared" si="2"/>
        <v>340.326322315536</v>
      </c>
      <c r="K14" s="148">
        <f t="shared" si="3"/>
        <v>75.205319599380971</v>
      </c>
      <c r="L14" s="148">
        <f t="shared" si="4"/>
        <v>66.632766726952013</v>
      </c>
      <c r="M14" t="b">
        <v>1</v>
      </c>
      <c r="N14">
        <v>3</v>
      </c>
      <c r="O14" t="s">
        <v>245</v>
      </c>
      <c r="P14" s="174" t="s">
        <v>259</v>
      </c>
      <c r="Q14" t="b">
        <v>0</v>
      </c>
      <c r="R14" t="s">
        <v>167</v>
      </c>
      <c r="S14" t="b">
        <v>0</v>
      </c>
      <c r="T14" t="b">
        <v>0</v>
      </c>
      <c r="U14" t="s">
        <v>167</v>
      </c>
      <c r="V14" t="s">
        <v>167</v>
      </c>
      <c r="W14" t="b">
        <v>0</v>
      </c>
      <c r="X14" t="s">
        <v>260</v>
      </c>
      <c r="Y14" s="150" t="s">
        <v>169</v>
      </c>
      <c r="Z14" t="s">
        <v>170</v>
      </c>
      <c r="AA14" t="s">
        <v>171</v>
      </c>
      <c r="AB14" s="142" t="s">
        <v>172</v>
      </c>
      <c r="AC14" s="146">
        <v>9</v>
      </c>
      <c r="AD14" s="146">
        <v>5</v>
      </c>
      <c r="AE14" s="146">
        <v>123</v>
      </c>
      <c r="AF14" s="146">
        <v>125</v>
      </c>
      <c r="AG14" s="146" t="s">
        <v>167</v>
      </c>
      <c r="AH14" s="146" t="s">
        <v>167</v>
      </c>
      <c r="AI14" s="146" t="s">
        <v>167</v>
      </c>
      <c r="AJ14" t="s">
        <v>173</v>
      </c>
      <c r="AK14" s="151">
        <v>12.75</v>
      </c>
      <c r="AL14" s="151">
        <v>-78.73</v>
      </c>
      <c r="AM14" s="151">
        <v>12.75</v>
      </c>
      <c r="AN14" s="151">
        <v>-78.73</v>
      </c>
      <c r="AO14" s="151">
        <v>-2828</v>
      </c>
      <c r="AP14" s="151">
        <v>-2828</v>
      </c>
      <c r="AQ14" s="142" t="s">
        <v>167</v>
      </c>
      <c r="AR14" s="142" t="s">
        <v>167</v>
      </c>
      <c r="AS14" s="175">
        <v>2473.8200000000002</v>
      </c>
      <c r="AT14" s="153" t="s">
        <v>174</v>
      </c>
      <c r="AU14" s="142">
        <v>6</v>
      </c>
      <c r="AV14" s="142">
        <v>6</v>
      </c>
      <c r="AW14" s="149" t="s">
        <v>167</v>
      </c>
      <c r="AX14" s="171" t="s">
        <v>243</v>
      </c>
      <c r="AY14" s="146" t="s">
        <v>167</v>
      </c>
      <c r="AZ14" t="s">
        <v>167</v>
      </c>
      <c r="BA14" t="s">
        <v>167</v>
      </c>
      <c r="BB14" t="s">
        <v>167</v>
      </c>
      <c r="BC14" t="s">
        <v>167</v>
      </c>
      <c r="BD14" t="s">
        <v>167</v>
      </c>
      <c r="BE14" t="s">
        <v>167</v>
      </c>
      <c r="BF14" t="s">
        <v>167</v>
      </c>
      <c r="BG14" s="154" t="s">
        <v>175</v>
      </c>
      <c r="BH14" t="s">
        <v>176</v>
      </c>
      <c r="BI14" s="155" t="s">
        <v>177</v>
      </c>
      <c r="BJ14" s="156" t="s">
        <v>178</v>
      </c>
      <c r="BK14" s="156" t="s">
        <v>179</v>
      </c>
      <c r="BL14" s="156" t="s">
        <v>180</v>
      </c>
      <c r="BM14" s="157" t="s">
        <v>181</v>
      </c>
      <c r="BN14" s="142" t="s">
        <v>182</v>
      </c>
      <c r="BO14" s="142" t="s">
        <v>182</v>
      </c>
      <c r="BP14" s="142" t="s">
        <v>182</v>
      </c>
      <c r="BQ14" s="152">
        <v>20.038689999999999</v>
      </c>
      <c r="BR14" t="s">
        <v>183</v>
      </c>
      <c r="BS14" s="152">
        <v>9.4145796000000004E-2</v>
      </c>
      <c r="BT14">
        <v>0.6</v>
      </c>
      <c r="BU14" t="s">
        <v>184</v>
      </c>
      <c r="BV14" s="153">
        <v>0.08</v>
      </c>
      <c r="BW14">
        <v>8.8699999999999992</v>
      </c>
      <c r="BX14" t="s">
        <v>185</v>
      </c>
      <c r="BY14">
        <v>1.52</v>
      </c>
      <c r="BZ14" t="s">
        <v>224</v>
      </c>
      <c r="CA14" t="s">
        <v>187</v>
      </c>
      <c r="CB14" s="158">
        <f t="shared" si="5"/>
        <v>18.614483333333332</v>
      </c>
      <c r="CC14" t="s">
        <v>184</v>
      </c>
      <c r="CD14" s="149" t="s">
        <v>167</v>
      </c>
      <c r="CE14" s="149" t="s">
        <v>167</v>
      </c>
      <c r="CF14" t="s">
        <v>188</v>
      </c>
      <c r="CG14" t="s">
        <v>189</v>
      </c>
      <c r="CH14" t="s">
        <v>190</v>
      </c>
      <c r="CI14" t="s">
        <v>190</v>
      </c>
      <c r="CJ14" s="152">
        <v>28.282969999999999</v>
      </c>
      <c r="CK14" t="s">
        <v>184</v>
      </c>
      <c r="CL14" s="159">
        <v>3</v>
      </c>
      <c r="CM14" s="159">
        <v>3</v>
      </c>
      <c r="CN14" s="152">
        <v>3.8071297729361122</v>
      </c>
      <c r="CO14" s="152">
        <v>3.8071297729361122</v>
      </c>
      <c r="CP14" t="s">
        <v>191</v>
      </c>
      <c r="CQ14" s="145">
        <f t="shared" si="6"/>
        <v>0.10279250386927503</v>
      </c>
      <c r="CR14" s="145">
        <f t="shared" si="7"/>
        <v>0.10279250386927503</v>
      </c>
      <c r="CS14" s="142" t="s">
        <v>192</v>
      </c>
      <c r="CT14" s="147" t="s">
        <v>193</v>
      </c>
      <c r="CU14" s="152">
        <v>4.1654737323437487</v>
      </c>
      <c r="CV14" s="152" t="s">
        <v>194</v>
      </c>
      <c r="CW14" t="s">
        <v>167</v>
      </c>
      <c r="CX14" t="s">
        <v>195</v>
      </c>
      <c r="CY14" t="s">
        <v>167</v>
      </c>
      <c r="CZ14" t="s">
        <v>167</v>
      </c>
      <c r="DA14" t="s">
        <v>167</v>
      </c>
      <c r="DB14" t="s">
        <v>167</v>
      </c>
      <c r="DC14" t="s">
        <v>167</v>
      </c>
      <c r="DD14" t="s">
        <v>167</v>
      </c>
      <c r="DE14" t="s">
        <v>167</v>
      </c>
      <c r="DF14" t="s">
        <v>167</v>
      </c>
      <c r="DG14" s="160">
        <v>35</v>
      </c>
      <c r="DH14" t="s">
        <v>174</v>
      </c>
      <c r="DI14">
        <v>3</v>
      </c>
      <c r="DJ14" s="161" t="s">
        <v>196</v>
      </c>
      <c r="DK14" s="146" t="s">
        <v>167</v>
      </c>
      <c r="DL14" s="146" t="s">
        <v>167</v>
      </c>
      <c r="DM14" s="146" t="s">
        <v>167</v>
      </c>
      <c r="DN14" s="146" t="s">
        <v>167</v>
      </c>
      <c r="DO14" s="146" t="s">
        <v>167</v>
      </c>
      <c r="DP14" s="146" t="s">
        <v>167</v>
      </c>
      <c r="DQ14" s="146" t="s">
        <v>167</v>
      </c>
      <c r="DR14" s="146" t="s">
        <v>167</v>
      </c>
      <c r="DS14" s="146" t="s">
        <v>167</v>
      </c>
      <c r="DT14" s="146" t="s">
        <v>167</v>
      </c>
      <c r="DU14" s="146" t="s">
        <v>167</v>
      </c>
      <c r="DV14" s="146" t="s">
        <v>167</v>
      </c>
      <c r="DW14" s="143">
        <v>432.56244218316402</v>
      </c>
      <c r="DX14" t="s">
        <v>197</v>
      </c>
      <c r="DY14" s="142">
        <v>37.1</v>
      </c>
      <c r="DZ14" t="s">
        <v>198</v>
      </c>
      <c r="EA14" s="152">
        <v>39.253712210000003</v>
      </c>
      <c r="EB14" s="149" t="s">
        <v>185</v>
      </c>
      <c r="EC14" s="162">
        <v>0.2</v>
      </c>
      <c r="ED14" t="s">
        <v>199</v>
      </c>
      <c r="EE14" t="s">
        <v>225</v>
      </c>
      <c r="EF14" t="s">
        <v>201</v>
      </c>
      <c r="EG14">
        <v>1.0271999999999999</v>
      </c>
      <c r="EH14" t="s">
        <v>202</v>
      </c>
      <c r="EI14">
        <v>5.9999999999999995E-4</v>
      </c>
      <c r="EJ14" t="s">
        <v>203</v>
      </c>
      <c r="EK14" t="s">
        <v>167</v>
      </c>
      <c r="EL14" t="s">
        <v>167</v>
      </c>
      <c r="EM14" t="s">
        <v>204</v>
      </c>
      <c r="EN14" t="s">
        <v>226</v>
      </c>
      <c r="EO14" t="s">
        <v>206</v>
      </c>
      <c r="EP14" t="s">
        <v>206</v>
      </c>
      <c r="EQ14" s="146" t="s">
        <v>167</v>
      </c>
      <c r="ER14" t="s">
        <v>167</v>
      </c>
      <c r="ES14" t="s">
        <v>167</v>
      </c>
      <c r="ET14" t="s">
        <v>207</v>
      </c>
      <c r="EU14" t="s">
        <v>208</v>
      </c>
      <c r="EV14" t="s">
        <v>227</v>
      </c>
      <c r="EW14" s="163">
        <v>2330</v>
      </c>
      <c r="EX14" t="s">
        <v>210</v>
      </c>
      <c r="EY14">
        <v>175</v>
      </c>
      <c r="EZ14">
        <v>175</v>
      </c>
      <c r="FA14" t="s">
        <v>167</v>
      </c>
      <c r="FB14" t="s">
        <v>167</v>
      </c>
      <c r="FC14" t="s">
        <v>167</v>
      </c>
      <c r="FD14" t="s">
        <v>167</v>
      </c>
      <c r="FE14" s="152">
        <v>8.0806406374746302</v>
      </c>
      <c r="FF14" s="164" t="s">
        <v>211</v>
      </c>
      <c r="FG14" s="152">
        <v>6.4095537228139321E-2</v>
      </c>
      <c r="FH14" s="152">
        <v>6.2052954448379438E-2</v>
      </c>
      <c r="FI14" s="145">
        <v>361.326322315536</v>
      </c>
      <c r="FJ14" s="149">
        <v>21</v>
      </c>
      <c r="FK14" s="149" t="s">
        <v>212</v>
      </c>
      <c r="FL14" s="152">
        <v>340.326322315536</v>
      </c>
      <c r="FM14" s="152">
        <v>75.205319599380971</v>
      </c>
      <c r="FN14" s="152">
        <v>66.632766726952013</v>
      </c>
      <c r="FO14" s="144" t="s">
        <v>213</v>
      </c>
      <c r="FP14" s="144" t="s">
        <v>214</v>
      </c>
      <c r="FQ14" t="s">
        <v>215</v>
      </c>
      <c r="FR14" t="s">
        <v>215</v>
      </c>
      <c r="FS14" t="s">
        <v>215</v>
      </c>
      <c r="FT14" t="s">
        <v>215</v>
      </c>
      <c r="FU14" t="s">
        <v>215</v>
      </c>
      <c r="FV14" t="s">
        <v>215</v>
      </c>
      <c r="FW14" t="s">
        <v>215</v>
      </c>
      <c r="FX14" t="s">
        <v>215</v>
      </c>
      <c r="FY14" t="s">
        <v>215</v>
      </c>
      <c r="FZ14" t="s">
        <v>215</v>
      </c>
      <c r="GA14" t="s">
        <v>215</v>
      </c>
      <c r="GB14" t="s">
        <v>215</v>
      </c>
    </row>
    <row r="15" spans="1:185" ht="18" x14ac:dyDescent="0.2">
      <c r="A15" t="s">
        <v>240</v>
      </c>
      <c r="B15" s="141" t="s">
        <v>241</v>
      </c>
      <c r="C15" s="138" t="s">
        <v>168</v>
      </c>
      <c r="D15" t="s">
        <v>239</v>
      </c>
      <c r="E15">
        <v>2015</v>
      </c>
      <c r="F15" t="str">
        <f t="shared" si="9"/>
        <v>10.1038/nature14145</v>
      </c>
      <c r="G15" s="175">
        <v>2497.34</v>
      </c>
      <c r="H15" s="142">
        <f t="shared" si="0"/>
        <v>6</v>
      </c>
      <c r="I15" s="142">
        <f t="shared" si="1"/>
        <v>6</v>
      </c>
      <c r="J15" s="148">
        <f t="shared" si="2"/>
        <v>356.62769462737702</v>
      </c>
      <c r="K15" s="148">
        <f t="shared" si="3"/>
        <v>80.166261055600955</v>
      </c>
      <c r="L15" s="148">
        <f t="shared" si="4"/>
        <v>68.927267669585035</v>
      </c>
      <c r="M15" t="b">
        <v>1</v>
      </c>
      <c r="N15">
        <v>3</v>
      </c>
      <c r="O15" t="s">
        <v>245</v>
      </c>
      <c r="P15" s="174" t="s">
        <v>259</v>
      </c>
      <c r="Q15" t="b">
        <v>0</v>
      </c>
      <c r="R15" t="s">
        <v>167</v>
      </c>
      <c r="S15" t="b">
        <v>0</v>
      </c>
      <c r="T15" t="b">
        <v>0</v>
      </c>
      <c r="U15" t="s">
        <v>167</v>
      </c>
      <c r="V15" t="s">
        <v>167</v>
      </c>
      <c r="W15" t="b">
        <v>0</v>
      </c>
      <c r="X15" t="s">
        <v>260</v>
      </c>
      <c r="Y15" s="150" t="s">
        <v>169</v>
      </c>
      <c r="Z15" t="s">
        <v>170</v>
      </c>
      <c r="AA15" t="s">
        <v>171</v>
      </c>
      <c r="AB15" s="142" t="s">
        <v>172</v>
      </c>
      <c r="AC15" s="146">
        <v>9</v>
      </c>
      <c r="AD15" s="146">
        <v>6</v>
      </c>
      <c r="AE15" s="146">
        <v>50</v>
      </c>
      <c r="AF15" s="146">
        <v>52</v>
      </c>
      <c r="AG15" s="146" t="s">
        <v>167</v>
      </c>
      <c r="AH15" s="146" t="s">
        <v>167</v>
      </c>
      <c r="AI15" s="146" t="s">
        <v>167</v>
      </c>
      <c r="AJ15" t="s">
        <v>173</v>
      </c>
      <c r="AK15" s="151">
        <v>12.75</v>
      </c>
      <c r="AL15" s="151">
        <v>-78.73</v>
      </c>
      <c r="AM15" s="151">
        <v>12.75</v>
      </c>
      <c r="AN15" s="151">
        <v>-78.73</v>
      </c>
      <c r="AO15" s="151">
        <v>-2828</v>
      </c>
      <c r="AP15" s="151">
        <v>-2828</v>
      </c>
      <c r="AQ15" s="142" t="s">
        <v>167</v>
      </c>
      <c r="AR15" s="142" t="s">
        <v>167</v>
      </c>
      <c r="AS15" s="175">
        <v>2497.34</v>
      </c>
      <c r="AT15" s="153" t="s">
        <v>174</v>
      </c>
      <c r="AU15" s="142">
        <v>6</v>
      </c>
      <c r="AV15" s="142">
        <v>6</v>
      </c>
      <c r="AW15" s="149" t="s">
        <v>167</v>
      </c>
      <c r="AX15" s="171" t="s">
        <v>243</v>
      </c>
      <c r="AY15" s="146" t="s">
        <v>167</v>
      </c>
      <c r="AZ15" t="s">
        <v>167</v>
      </c>
      <c r="BA15" t="s">
        <v>167</v>
      </c>
      <c r="BB15" t="s">
        <v>167</v>
      </c>
      <c r="BC15" t="s">
        <v>167</v>
      </c>
      <c r="BD15" t="s">
        <v>167</v>
      </c>
      <c r="BE15" t="s">
        <v>167</v>
      </c>
      <c r="BF15" t="s">
        <v>167</v>
      </c>
      <c r="BG15" s="154" t="s">
        <v>175</v>
      </c>
      <c r="BH15" t="s">
        <v>176</v>
      </c>
      <c r="BI15" s="155" t="s">
        <v>177</v>
      </c>
      <c r="BJ15" s="155" t="s">
        <v>178</v>
      </c>
      <c r="BK15" s="156" t="s">
        <v>179</v>
      </c>
      <c r="BL15" s="156" t="s">
        <v>180</v>
      </c>
      <c r="BM15" t="s">
        <v>181</v>
      </c>
      <c r="BN15" s="142" t="s">
        <v>182</v>
      </c>
      <c r="BO15" s="142" t="s">
        <v>182</v>
      </c>
      <c r="BP15" s="142" t="s">
        <v>182</v>
      </c>
      <c r="BQ15" s="152">
        <v>19.90691</v>
      </c>
      <c r="BR15" t="s">
        <v>183</v>
      </c>
      <c r="BS15" s="152">
        <v>0.107936428</v>
      </c>
      <c r="BT15">
        <v>0.6</v>
      </c>
      <c r="BU15" t="s">
        <v>184</v>
      </c>
      <c r="BV15" s="153">
        <v>0.08</v>
      </c>
      <c r="BW15">
        <v>8.8699999999999992</v>
      </c>
      <c r="BX15" t="s">
        <v>185</v>
      </c>
      <c r="BY15">
        <v>1.52</v>
      </c>
      <c r="BZ15" t="s">
        <v>224</v>
      </c>
      <c r="CA15" t="s">
        <v>187</v>
      </c>
      <c r="CB15" s="158">
        <f t="shared" si="5"/>
        <v>18.394850000000002</v>
      </c>
      <c r="CC15" t="s">
        <v>184</v>
      </c>
      <c r="CD15" s="149" t="s">
        <v>167</v>
      </c>
      <c r="CE15" s="149" t="s">
        <v>167</v>
      </c>
      <c r="CF15" t="s">
        <v>188</v>
      </c>
      <c r="CG15" t="s">
        <v>189</v>
      </c>
      <c r="CH15" t="s">
        <v>190</v>
      </c>
      <c r="CI15" t="s">
        <v>190</v>
      </c>
      <c r="CJ15" s="152">
        <v>27.914619999999999</v>
      </c>
      <c r="CK15" t="s">
        <v>184</v>
      </c>
      <c r="CL15" s="159">
        <v>3</v>
      </c>
      <c r="CM15" s="159">
        <v>3</v>
      </c>
      <c r="CN15" s="152">
        <v>3.6957618401084651</v>
      </c>
      <c r="CO15" s="152">
        <v>3.6957618401084651</v>
      </c>
      <c r="CP15" t="s">
        <v>191</v>
      </c>
      <c r="CQ15" s="145">
        <f t="shared" si="6"/>
        <v>9.9785569682928552E-2</v>
      </c>
      <c r="CR15" s="145">
        <f t="shared" si="7"/>
        <v>9.9785569682928552E-2</v>
      </c>
      <c r="CS15" s="142" t="s">
        <v>192</v>
      </c>
      <c r="CT15" s="147" t="s">
        <v>193</v>
      </c>
      <c r="CU15" s="152">
        <v>4.2008021598548906</v>
      </c>
      <c r="CV15" s="152" t="s">
        <v>194</v>
      </c>
      <c r="CW15" t="s">
        <v>167</v>
      </c>
      <c r="CX15" t="s">
        <v>195</v>
      </c>
      <c r="CY15" t="s">
        <v>167</v>
      </c>
      <c r="CZ15" t="s">
        <v>167</v>
      </c>
      <c r="DA15" t="s">
        <v>167</v>
      </c>
      <c r="DB15" t="s">
        <v>167</v>
      </c>
      <c r="DC15" t="s">
        <v>167</v>
      </c>
      <c r="DD15" t="s">
        <v>167</v>
      </c>
      <c r="DE15" t="s">
        <v>167</v>
      </c>
      <c r="DF15" t="s">
        <v>167</v>
      </c>
      <c r="DG15" s="160">
        <v>35</v>
      </c>
      <c r="DH15" t="s">
        <v>174</v>
      </c>
      <c r="DI15">
        <v>3</v>
      </c>
      <c r="DJ15" s="161" t="s">
        <v>196</v>
      </c>
      <c r="DK15" s="146" t="s">
        <v>167</v>
      </c>
      <c r="DL15" s="146" t="s">
        <v>167</v>
      </c>
      <c r="DM15" s="146" t="s">
        <v>167</v>
      </c>
      <c r="DN15" s="146" t="s">
        <v>167</v>
      </c>
      <c r="DO15" s="146" t="s">
        <v>167</v>
      </c>
      <c r="DP15" s="146" t="s">
        <v>167</v>
      </c>
      <c r="DQ15" s="146" t="s">
        <v>167</v>
      </c>
      <c r="DR15" s="146" t="s">
        <v>167</v>
      </c>
      <c r="DS15" s="146" t="s">
        <v>167</v>
      </c>
      <c r="DT15" s="146" t="s">
        <v>167</v>
      </c>
      <c r="DU15" s="146" t="s">
        <v>167</v>
      </c>
      <c r="DV15" s="146" t="s">
        <v>167</v>
      </c>
      <c r="DW15" s="143">
        <v>432.56244218316402</v>
      </c>
      <c r="DX15" t="s">
        <v>197</v>
      </c>
      <c r="DY15" s="142">
        <v>37.1</v>
      </c>
      <c r="DZ15" t="s">
        <v>198</v>
      </c>
      <c r="EA15" s="152">
        <v>39.250100789999998</v>
      </c>
      <c r="EB15" s="149" t="s">
        <v>185</v>
      </c>
      <c r="EC15" s="162">
        <v>0.2</v>
      </c>
      <c r="ED15" t="s">
        <v>199</v>
      </c>
      <c r="EE15" t="s">
        <v>225</v>
      </c>
      <c r="EF15" t="s">
        <v>201</v>
      </c>
      <c r="EG15">
        <v>1.0271999999999999</v>
      </c>
      <c r="EH15" t="s">
        <v>202</v>
      </c>
      <c r="EI15">
        <v>5.9999999999999995E-4</v>
      </c>
      <c r="EJ15" t="s">
        <v>203</v>
      </c>
      <c r="EK15" t="s">
        <v>167</v>
      </c>
      <c r="EL15" t="s">
        <v>167</v>
      </c>
      <c r="EM15" t="s">
        <v>204</v>
      </c>
      <c r="EN15" t="s">
        <v>226</v>
      </c>
      <c r="EO15" t="s">
        <v>206</v>
      </c>
      <c r="EP15" t="s">
        <v>206</v>
      </c>
      <c r="EQ15" s="146" t="s">
        <v>167</v>
      </c>
      <c r="ER15" t="s">
        <v>167</v>
      </c>
      <c r="ES15" t="s">
        <v>167</v>
      </c>
      <c r="ET15" t="s">
        <v>207</v>
      </c>
      <c r="EU15" t="s">
        <v>208</v>
      </c>
      <c r="EV15" t="s">
        <v>227</v>
      </c>
      <c r="EW15" s="163">
        <v>2330</v>
      </c>
      <c r="EX15" t="s">
        <v>210</v>
      </c>
      <c r="EY15">
        <v>175</v>
      </c>
      <c r="EZ15">
        <v>175</v>
      </c>
      <c r="FA15" t="s">
        <v>167</v>
      </c>
      <c r="FB15" t="s">
        <v>167</v>
      </c>
      <c r="FC15" t="s">
        <v>167</v>
      </c>
      <c r="FD15" t="s">
        <v>167</v>
      </c>
      <c r="FE15" s="152">
        <v>8.0660176743790508</v>
      </c>
      <c r="FF15" s="164" t="s">
        <v>211</v>
      </c>
      <c r="FG15" s="152">
        <v>6.4257907097658773E-2</v>
      </c>
      <c r="FH15" s="152">
        <v>6.4418018992251191E-2</v>
      </c>
      <c r="FI15" s="145">
        <v>377.62769462737702</v>
      </c>
      <c r="FJ15" s="149">
        <v>21</v>
      </c>
      <c r="FK15" s="149" t="s">
        <v>212</v>
      </c>
      <c r="FL15" s="152">
        <v>356.62769462737702</v>
      </c>
      <c r="FM15" s="152">
        <v>80.166261055600955</v>
      </c>
      <c r="FN15" s="152">
        <v>68.927267669585035</v>
      </c>
      <c r="FO15" s="144" t="s">
        <v>213</v>
      </c>
      <c r="FP15" s="144" t="s">
        <v>214</v>
      </c>
      <c r="FQ15" t="s">
        <v>215</v>
      </c>
      <c r="FR15" t="s">
        <v>215</v>
      </c>
      <c r="FS15" t="s">
        <v>215</v>
      </c>
      <c r="FT15" t="s">
        <v>215</v>
      </c>
      <c r="FU15" t="s">
        <v>215</v>
      </c>
      <c r="FV15" t="s">
        <v>215</v>
      </c>
      <c r="FW15" t="s">
        <v>215</v>
      </c>
      <c r="FX15" t="s">
        <v>215</v>
      </c>
      <c r="FY15" t="s">
        <v>215</v>
      </c>
      <c r="FZ15" t="s">
        <v>215</v>
      </c>
      <c r="GA15" t="s">
        <v>215</v>
      </c>
      <c r="GB15" t="s">
        <v>215</v>
      </c>
    </row>
    <row r="16" spans="1:185" ht="18" x14ac:dyDescent="0.2">
      <c r="A16" t="s">
        <v>240</v>
      </c>
      <c r="B16" s="141" t="s">
        <v>241</v>
      </c>
      <c r="C16" s="138" t="s">
        <v>168</v>
      </c>
      <c r="D16" t="s">
        <v>239</v>
      </c>
      <c r="E16">
        <v>2015</v>
      </c>
      <c r="F16" t="str">
        <f t="shared" si="9"/>
        <v>10.1038/nature14145</v>
      </c>
      <c r="G16" s="175">
        <v>2498.3000000000002</v>
      </c>
      <c r="H16" s="142">
        <f t="shared" si="0"/>
        <v>6</v>
      </c>
      <c r="I16" s="142">
        <f t="shared" si="1"/>
        <v>6</v>
      </c>
      <c r="J16" s="148">
        <f t="shared" si="2"/>
        <v>362.03461847224497</v>
      </c>
      <c r="K16" s="148">
        <f t="shared" si="3"/>
        <v>81.022411350223024</v>
      </c>
      <c r="L16" s="148">
        <f t="shared" si="4"/>
        <v>69.28969529185099</v>
      </c>
      <c r="M16" t="b">
        <v>1</v>
      </c>
      <c r="N16">
        <v>3</v>
      </c>
      <c r="O16" t="s">
        <v>245</v>
      </c>
      <c r="P16" s="174" t="s">
        <v>259</v>
      </c>
      <c r="Q16" t="b">
        <v>0</v>
      </c>
      <c r="R16" t="s">
        <v>167</v>
      </c>
      <c r="S16" t="b">
        <v>0</v>
      </c>
      <c r="T16" t="b">
        <v>0</v>
      </c>
      <c r="U16" t="s">
        <v>167</v>
      </c>
      <c r="V16" t="s">
        <v>167</v>
      </c>
      <c r="W16" t="b">
        <v>0</v>
      </c>
      <c r="X16" t="s">
        <v>260</v>
      </c>
      <c r="Y16" s="150" t="s">
        <v>169</v>
      </c>
      <c r="Z16" t="s">
        <v>170</v>
      </c>
      <c r="AA16" t="s">
        <v>171</v>
      </c>
      <c r="AB16" s="142" t="s">
        <v>172</v>
      </c>
      <c r="AC16" s="172">
        <v>9</v>
      </c>
      <c r="AD16" s="146">
        <v>6</v>
      </c>
      <c r="AE16" s="146">
        <v>53</v>
      </c>
      <c r="AF16" s="146">
        <v>55</v>
      </c>
      <c r="AG16" s="146" t="s">
        <v>167</v>
      </c>
      <c r="AH16" s="146" t="s">
        <v>167</v>
      </c>
      <c r="AI16" s="146" t="s">
        <v>167</v>
      </c>
      <c r="AJ16" t="s">
        <v>173</v>
      </c>
      <c r="AK16" s="151">
        <v>12.75</v>
      </c>
      <c r="AL16" s="151">
        <v>-78.73</v>
      </c>
      <c r="AM16" s="151">
        <v>12.75</v>
      </c>
      <c r="AN16" s="151">
        <v>-78.73</v>
      </c>
      <c r="AO16" s="151">
        <v>-2828</v>
      </c>
      <c r="AP16" s="151">
        <v>-2828</v>
      </c>
      <c r="AQ16" s="142" t="s">
        <v>167</v>
      </c>
      <c r="AR16" s="142" t="s">
        <v>167</v>
      </c>
      <c r="AS16" s="175">
        <v>2498.3000000000002</v>
      </c>
      <c r="AT16" s="153" t="s">
        <v>174</v>
      </c>
      <c r="AU16" s="142">
        <v>6</v>
      </c>
      <c r="AV16" s="142">
        <v>6</v>
      </c>
      <c r="AW16" s="149" t="s">
        <v>167</v>
      </c>
      <c r="AX16" s="171" t="s">
        <v>243</v>
      </c>
      <c r="AY16" s="146" t="s">
        <v>167</v>
      </c>
      <c r="AZ16" t="s">
        <v>167</v>
      </c>
      <c r="BA16" t="s">
        <v>167</v>
      </c>
      <c r="BB16" t="s">
        <v>167</v>
      </c>
      <c r="BC16" t="s">
        <v>167</v>
      </c>
      <c r="BD16" t="s">
        <v>167</v>
      </c>
      <c r="BE16" t="s">
        <v>167</v>
      </c>
      <c r="BF16" t="s">
        <v>167</v>
      </c>
      <c r="BG16" s="154" t="s">
        <v>175</v>
      </c>
      <c r="BH16" t="s">
        <v>176</v>
      </c>
      <c r="BI16" s="155" t="s">
        <v>177</v>
      </c>
      <c r="BJ16" s="156" t="s">
        <v>178</v>
      </c>
      <c r="BK16" s="156" t="s">
        <v>179</v>
      </c>
      <c r="BL16" s="156" t="s">
        <v>180</v>
      </c>
      <c r="BM16" s="157" t="s">
        <v>181</v>
      </c>
      <c r="BN16" s="142" t="s">
        <v>182</v>
      </c>
      <c r="BO16" s="142" t="s">
        <v>182</v>
      </c>
      <c r="BP16" s="142" t="s">
        <v>182</v>
      </c>
      <c r="BQ16" s="152">
        <v>19.875129999999999</v>
      </c>
      <c r="BR16" t="s">
        <v>183</v>
      </c>
      <c r="BS16" s="152">
        <v>9.3739923000000003E-2</v>
      </c>
      <c r="BT16">
        <v>0.6</v>
      </c>
      <c r="BU16" t="s">
        <v>184</v>
      </c>
      <c r="BV16" s="153">
        <v>0.08</v>
      </c>
      <c r="BW16">
        <v>8.8699999999999992</v>
      </c>
      <c r="BX16" t="s">
        <v>185</v>
      </c>
      <c r="BY16">
        <v>1.52</v>
      </c>
      <c r="BZ16" t="s">
        <v>224</v>
      </c>
      <c r="CA16" t="s">
        <v>187</v>
      </c>
      <c r="CB16" s="158">
        <f t="shared" si="5"/>
        <v>18.341883333333332</v>
      </c>
      <c r="CC16" t="s">
        <v>184</v>
      </c>
      <c r="CD16" s="149" t="s">
        <v>167</v>
      </c>
      <c r="CE16" s="149" t="s">
        <v>167</v>
      </c>
      <c r="CF16" t="s">
        <v>188</v>
      </c>
      <c r="CG16" t="s">
        <v>189</v>
      </c>
      <c r="CH16" t="s">
        <v>190</v>
      </c>
      <c r="CI16" t="s">
        <v>190</v>
      </c>
      <c r="CJ16" s="152">
        <v>27.895060000000001</v>
      </c>
      <c r="CK16" t="s">
        <v>184</v>
      </c>
      <c r="CL16" s="159">
        <v>3</v>
      </c>
      <c r="CM16" s="159">
        <v>3</v>
      </c>
      <c r="CN16" s="152">
        <v>3.6894503432609507</v>
      </c>
      <c r="CO16" s="152">
        <v>3.6894503432609507</v>
      </c>
      <c r="CP16" t="s">
        <v>191</v>
      </c>
      <c r="CQ16" s="145">
        <f t="shared" si="6"/>
        <v>9.9615159268045664E-2</v>
      </c>
      <c r="CR16" s="145">
        <f t="shared" si="7"/>
        <v>9.9615159268045664E-2</v>
      </c>
      <c r="CS16" s="142" t="s">
        <v>192</v>
      </c>
      <c r="CT16" s="147" t="s">
        <v>193</v>
      </c>
      <c r="CU16" s="152">
        <v>4.2013265140392164</v>
      </c>
      <c r="CV16" s="152" t="s">
        <v>194</v>
      </c>
      <c r="CW16" t="s">
        <v>167</v>
      </c>
      <c r="CX16" t="s">
        <v>195</v>
      </c>
      <c r="CY16" t="s">
        <v>167</v>
      </c>
      <c r="CZ16" t="s">
        <v>167</v>
      </c>
      <c r="DA16" t="s">
        <v>167</v>
      </c>
      <c r="DB16" t="s">
        <v>167</v>
      </c>
      <c r="DC16" t="s">
        <v>167</v>
      </c>
      <c r="DD16" t="s">
        <v>167</v>
      </c>
      <c r="DE16" t="s">
        <v>167</v>
      </c>
      <c r="DF16" t="s">
        <v>167</v>
      </c>
      <c r="DG16" s="160">
        <v>35</v>
      </c>
      <c r="DH16" t="s">
        <v>174</v>
      </c>
      <c r="DI16">
        <v>3</v>
      </c>
      <c r="DJ16" s="161" t="s">
        <v>196</v>
      </c>
      <c r="DK16" s="146" t="s">
        <v>167</v>
      </c>
      <c r="DL16" s="146" t="s">
        <v>167</v>
      </c>
      <c r="DM16" s="146" t="s">
        <v>167</v>
      </c>
      <c r="DN16" s="146" t="s">
        <v>167</v>
      </c>
      <c r="DO16" s="146" t="s">
        <v>167</v>
      </c>
      <c r="DP16" s="146" t="s">
        <v>167</v>
      </c>
      <c r="DQ16" s="146" t="s">
        <v>167</v>
      </c>
      <c r="DR16" s="146" t="s">
        <v>167</v>
      </c>
      <c r="DS16" s="146" t="s">
        <v>167</v>
      </c>
      <c r="DT16" s="146" t="s">
        <v>167</v>
      </c>
      <c r="DU16" s="146" t="s">
        <v>167</v>
      </c>
      <c r="DV16" s="146" t="s">
        <v>167</v>
      </c>
      <c r="DW16" s="143">
        <v>432.56244218316402</v>
      </c>
      <c r="DX16" t="s">
        <v>197</v>
      </c>
      <c r="DY16" s="142">
        <v>37.1</v>
      </c>
      <c r="DZ16" t="s">
        <v>198</v>
      </c>
      <c r="EA16" s="152">
        <v>39.250023390000003</v>
      </c>
      <c r="EB16" s="149" t="s">
        <v>185</v>
      </c>
      <c r="EC16" s="162">
        <v>0.2</v>
      </c>
      <c r="ED16" t="s">
        <v>199</v>
      </c>
      <c r="EE16" t="s">
        <v>225</v>
      </c>
      <c r="EF16" t="s">
        <v>201</v>
      </c>
      <c r="EG16">
        <v>1.0271999999999999</v>
      </c>
      <c r="EH16" t="s">
        <v>202</v>
      </c>
      <c r="EI16">
        <v>5.9999999999999995E-4</v>
      </c>
      <c r="EJ16" t="s">
        <v>203</v>
      </c>
      <c r="EK16" t="s">
        <v>167</v>
      </c>
      <c r="EL16" t="s">
        <v>167</v>
      </c>
      <c r="EM16" t="s">
        <v>204</v>
      </c>
      <c r="EN16" t="s">
        <v>226</v>
      </c>
      <c r="EO16" t="s">
        <v>206</v>
      </c>
      <c r="EP16" t="s">
        <v>206</v>
      </c>
      <c r="EQ16" s="146" t="s">
        <v>167</v>
      </c>
      <c r="ER16" t="s">
        <v>167</v>
      </c>
      <c r="ES16" t="s">
        <v>167</v>
      </c>
      <c r="ET16" t="s">
        <v>207</v>
      </c>
      <c r="EU16" t="s">
        <v>208</v>
      </c>
      <c r="EV16" t="s">
        <v>227</v>
      </c>
      <c r="EW16" s="163">
        <v>2330</v>
      </c>
      <c r="EX16" t="s">
        <v>210</v>
      </c>
      <c r="EY16">
        <v>175</v>
      </c>
      <c r="EZ16">
        <v>175</v>
      </c>
      <c r="FA16" t="s">
        <v>167</v>
      </c>
      <c r="FB16" t="s">
        <v>167</v>
      </c>
      <c r="FC16" t="s">
        <v>167</v>
      </c>
      <c r="FD16" t="s">
        <v>167</v>
      </c>
      <c r="FE16" s="152">
        <v>8.0614087709290292</v>
      </c>
      <c r="FF16" s="164" t="s">
        <v>211</v>
      </c>
      <c r="FG16" s="152">
        <v>6.4097286545560905E-2</v>
      </c>
      <c r="FH16" s="152">
        <v>6.4342817027819521E-2</v>
      </c>
      <c r="FI16" s="145">
        <v>383.03461847224497</v>
      </c>
      <c r="FJ16" s="149">
        <v>21</v>
      </c>
      <c r="FK16" s="149" t="s">
        <v>212</v>
      </c>
      <c r="FL16" s="152">
        <v>362.03461847224497</v>
      </c>
      <c r="FM16" s="152">
        <v>81.022411350223024</v>
      </c>
      <c r="FN16" s="152">
        <v>69.28969529185099</v>
      </c>
      <c r="FO16" s="144" t="s">
        <v>213</v>
      </c>
      <c r="FP16" s="144" t="s">
        <v>214</v>
      </c>
      <c r="FQ16" t="s">
        <v>215</v>
      </c>
      <c r="FR16" t="s">
        <v>215</v>
      </c>
      <c r="FS16" t="s">
        <v>215</v>
      </c>
      <c r="FT16" t="s">
        <v>215</v>
      </c>
      <c r="FU16" t="s">
        <v>215</v>
      </c>
      <c r="FV16" t="s">
        <v>215</v>
      </c>
      <c r="FW16" t="s">
        <v>215</v>
      </c>
      <c r="FX16" t="s">
        <v>215</v>
      </c>
      <c r="FY16" t="s">
        <v>215</v>
      </c>
      <c r="FZ16" t="s">
        <v>215</v>
      </c>
      <c r="GA16" t="s">
        <v>215</v>
      </c>
      <c r="GB16" t="s">
        <v>215</v>
      </c>
    </row>
    <row r="17" spans="1:184" ht="18" x14ac:dyDescent="0.2">
      <c r="A17" t="s">
        <v>240</v>
      </c>
      <c r="B17" s="141" t="s">
        <v>241</v>
      </c>
      <c r="C17" s="138" t="s">
        <v>168</v>
      </c>
      <c r="D17" t="s">
        <v>239</v>
      </c>
      <c r="E17">
        <v>2015</v>
      </c>
      <c r="F17" t="str">
        <f t="shared" si="9"/>
        <v>10.1038/nature14145</v>
      </c>
      <c r="G17" s="175">
        <v>2517.16</v>
      </c>
      <c r="H17" s="142">
        <f t="shared" si="0"/>
        <v>6</v>
      </c>
      <c r="I17" s="142">
        <f t="shared" si="1"/>
        <v>6</v>
      </c>
      <c r="J17" s="148">
        <f t="shared" si="2"/>
        <v>245.96959183153299</v>
      </c>
      <c r="K17" s="148">
        <f t="shared" si="3"/>
        <v>56.269757952499987</v>
      </c>
      <c r="L17" s="148">
        <f t="shared" si="4"/>
        <v>47.865121258732984</v>
      </c>
      <c r="M17" t="b">
        <v>1</v>
      </c>
      <c r="N17">
        <v>3</v>
      </c>
      <c r="O17" t="s">
        <v>245</v>
      </c>
      <c r="P17" s="174" t="s">
        <v>259</v>
      </c>
      <c r="Q17" t="b">
        <v>0</v>
      </c>
      <c r="R17" t="s">
        <v>167</v>
      </c>
      <c r="S17" t="b">
        <v>0</v>
      </c>
      <c r="T17" t="b">
        <v>0</v>
      </c>
      <c r="U17" t="s">
        <v>167</v>
      </c>
      <c r="V17" t="s">
        <v>167</v>
      </c>
      <c r="W17" t="b">
        <v>0</v>
      </c>
      <c r="X17" t="s">
        <v>260</v>
      </c>
      <c r="Y17" s="150" t="s">
        <v>169</v>
      </c>
      <c r="Z17" t="s">
        <v>170</v>
      </c>
      <c r="AA17" t="s">
        <v>171</v>
      </c>
      <c r="AB17" s="142" t="s">
        <v>172</v>
      </c>
      <c r="AC17" s="146">
        <v>9</v>
      </c>
      <c r="AD17" s="146">
        <v>6</v>
      </c>
      <c r="AE17" s="146">
        <v>112</v>
      </c>
      <c r="AF17" s="146">
        <v>114</v>
      </c>
      <c r="AG17" s="146" t="s">
        <v>167</v>
      </c>
      <c r="AH17" s="146" t="s">
        <v>167</v>
      </c>
      <c r="AI17" s="146" t="s">
        <v>167</v>
      </c>
      <c r="AJ17" t="s">
        <v>173</v>
      </c>
      <c r="AK17" s="151">
        <v>12.75</v>
      </c>
      <c r="AL17" s="151">
        <v>-78.73</v>
      </c>
      <c r="AM17" s="151">
        <v>12.75</v>
      </c>
      <c r="AN17" s="151">
        <v>-78.73</v>
      </c>
      <c r="AO17" s="151">
        <v>-2828</v>
      </c>
      <c r="AP17" s="151">
        <v>-2828</v>
      </c>
      <c r="AQ17" s="142" t="s">
        <v>167</v>
      </c>
      <c r="AR17" s="142" t="s">
        <v>167</v>
      </c>
      <c r="AS17" s="175">
        <v>2517.16</v>
      </c>
      <c r="AT17" s="153" t="s">
        <v>174</v>
      </c>
      <c r="AU17" s="142">
        <v>6</v>
      </c>
      <c r="AV17" s="142">
        <v>6</v>
      </c>
      <c r="AW17" s="149" t="s">
        <v>167</v>
      </c>
      <c r="AX17" s="171" t="s">
        <v>243</v>
      </c>
      <c r="AY17" s="146" t="s">
        <v>167</v>
      </c>
      <c r="AZ17" t="s">
        <v>167</v>
      </c>
      <c r="BA17" t="s">
        <v>167</v>
      </c>
      <c r="BB17" t="s">
        <v>167</v>
      </c>
      <c r="BC17" t="s">
        <v>167</v>
      </c>
      <c r="BD17" t="s">
        <v>167</v>
      </c>
      <c r="BE17" t="s">
        <v>167</v>
      </c>
      <c r="BF17" t="s">
        <v>167</v>
      </c>
      <c r="BG17" s="154" t="s">
        <v>175</v>
      </c>
      <c r="BH17" t="s">
        <v>176</v>
      </c>
      <c r="BI17" s="155" t="s">
        <v>177</v>
      </c>
      <c r="BJ17" s="155" t="s">
        <v>178</v>
      </c>
      <c r="BK17" s="156" t="s">
        <v>179</v>
      </c>
      <c r="BL17" s="156" t="s">
        <v>180</v>
      </c>
      <c r="BM17" t="s">
        <v>181</v>
      </c>
      <c r="BN17" s="142" t="s">
        <v>182</v>
      </c>
      <c r="BO17" s="142" t="s">
        <v>182</v>
      </c>
      <c r="BP17" s="142" t="s">
        <v>182</v>
      </c>
      <c r="BQ17" s="152">
        <v>20.705839999999998</v>
      </c>
      <c r="BR17" t="s">
        <v>183</v>
      </c>
      <c r="BS17" s="152">
        <v>8.5358745E-2</v>
      </c>
      <c r="BT17">
        <v>0.6</v>
      </c>
      <c r="BU17" t="s">
        <v>184</v>
      </c>
      <c r="BV17" s="153">
        <v>0.08</v>
      </c>
      <c r="BW17">
        <v>8.8699999999999992</v>
      </c>
      <c r="BX17" t="s">
        <v>185</v>
      </c>
      <c r="BY17">
        <v>1.52</v>
      </c>
      <c r="BZ17" t="s">
        <v>224</v>
      </c>
      <c r="CA17" t="s">
        <v>187</v>
      </c>
      <c r="CB17" s="158">
        <f t="shared" si="5"/>
        <v>19.726399999999998</v>
      </c>
      <c r="CC17" t="s">
        <v>184</v>
      </c>
      <c r="CD17" s="149" t="s">
        <v>167</v>
      </c>
      <c r="CE17" s="149" t="s">
        <v>167</v>
      </c>
      <c r="CF17" t="s">
        <v>188</v>
      </c>
      <c r="CG17" t="s">
        <v>189</v>
      </c>
      <c r="CH17" t="s">
        <v>190</v>
      </c>
      <c r="CI17" t="s">
        <v>190</v>
      </c>
      <c r="CJ17" s="152">
        <v>27.290320000000001</v>
      </c>
      <c r="CK17" t="s">
        <v>184</v>
      </c>
      <c r="CL17" s="159">
        <v>3</v>
      </c>
      <c r="CM17" s="159">
        <v>3</v>
      </c>
      <c r="CN17" s="152">
        <v>3.4929593825806515</v>
      </c>
      <c r="CO17" s="152">
        <v>3.4929593825806515</v>
      </c>
      <c r="CP17" t="s">
        <v>191</v>
      </c>
      <c r="CQ17" s="145">
        <f t="shared" si="6"/>
        <v>9.4309903329677591E-2</v>
      </c>
      <c r="CR17" s="145">
        <f t="shared" si="7"/>
        <v>9.4309903329677591E-2</v>
      </c>
      <c r="CS17" s="142" t="s">
        <v>192</v>
      </c>
      <c r="CT17" s="147" t="s">
        <v>193</v>
      </c>
      <c r="CU17" s="152">
        <v>4.1982376157761987</v>
      </c>
      <c r="CV17" s="152" t="s">
        <v>194</v>
      </c>
      <c r="CW17" t="s">
        <v>167</v>
      </c>
      <c r="CX17" t="s">
        <v>195</v>
      </c>
      <c r="CY17" t="s">
        <v>167</v>
      </c>
      <c r="CZ17" t="s">
        <v>167</v>
      </c>
      <c r="DA17" t="s">
        <v>167</v>
      </c>
      <c r="DB17" t="s">
        <v>167</v>
      </c>
      <c r="DC17" t="s">
        <v>167</v>
      </c>
      <c r="DD17" t="s">
        <v>167</v>
      </c>
      <c r="DE17" t="s">
        <v>167</v>
      </c>
      <c r="DF17" t="s">
        <v>167</v>
      </c>
      <c r="DG17" s="160">
        <v>35</v>
      </c>
      <c r="DH17" t="s">
        <v>174</v>
      </c>
      <c r="DI17">
        <v>3</v>
      </c>
      <c r="DJ17" s="161" t="s">
        <v>196</v>
      </c>
      <c r="DK17" s="146" t="s">
        <v>167</v>
      </c>
      <c r="DL17" s="146" t="s">
        <v>167</v>
      </c>
      <c r="DM17" s="146" t="s">
        <v>167</v>
      </c>
      <c r="DN17" s="146" t="s">
        <v>167</v>
      </c>
      <c r="DO17" s="146" t="s">
        <v>167</v>
      </c>
      <c r="DP17" s="146" t="s">
        <v>167</v>
      </c>
      <c r="DQ17" s="146" t="s">
        <v>167</v>
      </c>
      <c r="DR17" s="146" t="s">
        <v>167</v>
      </c>
      <c r="DS17" s="146" t="s">
        <v>167</v>
      </c>
      <c r="DT17" s="146" t="s">
        <v>167</v>
      </c>
      <c r="DU17" s="146" t="s">
        <v>167</v>
      </c>
      <c r="DV17" s="146" t="s">
        <v>167</v>
      </c>
      <c r="DW17" s="143">
        <v>432.56244218316402</v>
      </c>
      <c r="DX17" t="s">
        <v>197</v>
      </c>
      <c r="DY17" s="142">
        <v>37.1</v>
      </c>
      <c r="DZ17" t="s">
        <v>198</v>
      </c>
      <c r="EA17" s="152">
        <v>39.24736918</v>
      </c>
      <c r="EB17" s="149" t="s">
        <v>185</v>
      </c>
      <c r="EC17" s="162">
        <v>0.2</v>
      </c>
      <c r="ED17" t="s">
        <v>199</v>
      </c>
      <c r="EE17" t="s">
        <v>225</v>
      </c>
      <c r="EF17" t="s">
        <v>201</v>
      </c>
      <c r="EG17">
        <v>1.0271999999999999</v>
      </c>
      <c r="EH17" t="s">
        <v>202</v>
      </c>
      <c r="EI17">
        <v>5.9999999999999995E-4</v>
      </c>
      <c r="EJ17" t="s">
        <v>203</v>
      </c>
      <c r="EK17" t="s">
        <v>167</v>
      </c>
      <c r="EL17" t="s">
        <v>167</v>
      </c>
      <c r="EM17" t="s">
        <v>204</v>
      </c>
      <c r="EN17" t="s">
        <v>226</v>
      </c>
      <c r="EO17" t="s">
        <v>206</v>
      </c>
      <c r="EP17" t="s">
        <v>206</v>
      </c>
      <c r="EQ17" s="146" t="s">
        <v>167</v>
      </c>
      <c r="ER17" t="s">
        <v>167</v>
      </c>
      <c r="ES17" t="s">
        <v>167</v>
      </c>
      <c r="ET17" t="s">
        <v>207</v>
      </c>
      <c r="EU17" t="s">
        <v>208</v>
      </c>
      <c r="EV17" t="s">
        <v>227</v>
      </c>
      <c r="EW17" s="163">
        <v>2330</v>
      </c>
      <c r="EX17" t="s">
        <v>210</v>
      </c>
      <c r="EY17">
        <v>175</v>
      </c>
      <c r="EZ17">
        <v>175</v>
      </c>
      <c r="FA17" t="s">
        <v>167</v>
      </c>
      <c r="FB17" t="s">
        <v>167</v>
      </c>
      <c r="FC17" t="s">
        <v>167</v>
      </c>
      <c r="FD17" t="s">
        <v>167</v>
      </c>
      <c r="FE17" s="152">
        <v>8.1852891389021902</v>
      </c>
      <c r="FF17" s="164" t="s">
        <v>211</v>
      </c>
      <c r="FG17" s="152">
        <v>6.2129160895469937E-2</v>
      </c>
      <c r="FH17" s="152">
        <v>6.2195734285960924E-2</v>
      </c>
      <c r="FI17" s="145">
        <v>266.96959183153297</v>
      </c>
      <c r="FJ17" s="149">
        <v>21</v>
      </c>
      <c r="FK17" s="149" t="s">
        <v>212</v>
      </c>
      <c r="FL17" s="152">
        <v>245.96959183153299</v>
      </c>
      <c r="FM17" s="152">
        <v>56.269757952499987</v>
      </c>
      <c r="FN17" s="152">
        <v>47.865121258732984</v>
      </c>
      <c r="FO17" s="144" t="s">
        <v>213</v>
      </c>
      <c r="FP17" s="144" t="s">
        <v>214</v>
      </c>
      <c r="FQ17" t="s">
        <v>215</v>
      </c>
      <c r="FR17" t="s">
        <v>215</v>
      </c>
      <c r="FS17" t="s">
        <v>215</v>
      </c>
      <c r="FT17" t="s">
        <v>215</v>
      </c>
      <c r="FU17" t="s">
        <v>215</v>
      </c>
      <c r="FV17" t="s">
        <v>215</v>
      </c>
      <c r="FW17" t="s">
        <v>215</v>
      </c>
      <c r="FX17" t="s">
        <v>215</v>
      </c>
      <c r="FY17" t="s">
        <v>215</v>
      </c>
      <c r="FZ17" t="s">
        <v>215</v>
      </c>
      <c r="GA17" t="s">
        <v>215</v>
      </c>
      <c r="GB17" t="s">
        <v>215</v>
      </c>
    </row>
    <row r="18" spans="1:184" ht="18" x14ac:dyDescent="0.2">
      <c r="A18" t="s">
        <v>240</v>
      </c>
      <c r="B18" s="141" t="s">
        <v>241</v>
      </c>
      <c r="C18" s="138" t="s">
        <v>168</v>
      </c>
      <c r="D18" t="s">
        <v>239</v>
      </c>
      <c r="E18">
        <v>2015</v>
      </c>
      <c r="F18" t="str">
        <f t="shared" si="9"/>
        <v>10.1038/nature14145</v>
      </c>
      <c r="G18" s="175">
        <v>2540.44</v>
      </c>
      <c r="H18" s="142">
        <f t="shared" si="0"/>
        <v>6</v>
      </c>
      <c r="I18" s="142">
        <f t="shared" si="1"/>
        <v>6</v>
      </c>
      <c r="J18" s="148">
        <f t="shared" si="2"/>
        <v>335.451094913063</v>
      </c>
      <c r="K18" s="148">
        <f t="shared" si="3"/>
        <v>73.607254962213972</v>
      </c>
      <c r="L18" s="148">
        <f t="shared" si="4"/>
        <v>64.799168100468023</v>
      </c>
      <c r="M18" t="b">
        <v>1</v>
      </c>
      <c r="N18">
        <v>3</v>
      </c>
      <c r="O18" t="s">
        <v>245</v>
      </c>
      <c r="P18" s="174" t="s">
        <v>259</v>
      </c>
      <c r="Q18" t="b">
        <v>0</v>
      </c>
      <c r="R18" t="s">
        <v>167</v>
      </c>
      <c r="S18" t="b">
        <v>0</v>
      </c>
      <c r="T18" t="b">
        <v>0</v>
      </c>
      <c r="U18" t="s">
        <v>167</v>
      </c>
      <c r="V18" t="s">
        <v>167</v>
      </c>
      <c r="W18" t="b">
        <v>0</v>
      </c>
      <c r="X18" t="s">
        <v>260</v>
      </c>
      <c r="Y18" s="150" t="s">
        <v>169</v>
      </c>
      <c r="Z18" t="s">
        <v>170</v>
      </c>
      <c r="AA18" t="s">
        <v>171</v>
      </c>
      <c r="AB18" s="142" t="s">
        <v>172</v>
      </c>
      <c r="AC18" s="146">
        <v>9</v>
      </c>
      <c r="AD18" s="146">
        <v>7</v>
      </c>
      <c r="AE18" s="146">
        <v>37</v>
      </c>
      <c r="AF18" s="146">
        <v>39</v>
      </c>
      <c r="AG18" s="146" t="s">
        <v>167</v>
      </c>
      <c r="AH18" s="146" t="s">
        <v>167</v>
      </c>
      <c r="AI18" s="146" t="s">
        <v>167</v>
      </c>
      <c r="AJ18" t="s">
        <v>173</v>
      </c>
      <c r="AK18" s="151">
        <v>12.75</v>
      </c>
      <c r="AL18" s="151">
        <v>-78.73</v>
      </c>
      <c r="AM18" s="151">
        <v>12.75</v>
      </c>
      <c r="AN18" s="151">
        <v>-78.73</v>
      </c>
      <c r="AO18" s="151">
        <v>-2828</v>
      </c>
      <c r="AP18" s="151">
        <v>-2828</v>
      </c>
      <c r="AQ18" s="142" t="s">
        <v>167</v>
      </c>
      <c r="AR18" s="142" t="s">
        <v>167</v>
      </c>
      <c r="AS18" s="175">
        <v>2540.44</v>
      </c>
      <c r="AT18" s="153" t="s">
        <v>174</v>
      </c>
      <c r="AU18" s="142">
        <v>6</v>
      </c>
      <c r="AV18" s="142">
        <v>6</v>
      </c>
      <c r="AW18" s="149" t="s">
        <v>167</v>
      </c>
      <c r="AX18" s="171" t="s">
        <v>243</v>
      </c>
      <c r="AY18" s="146" t="s">
        <v>167</v>
      </c>
      <c r="AZ18" t="s">
        <v>167</v>
      </c>
      <c r="BA18" t="s">
        <v>167</v>
      </c>
      <c r="BB18" t="s">
        <v>167</v>
      </c>
      <c r="BC18" t="s">
        <v>167</v>
      </c>
      <c r="BD18" t="s">
        <v>167</v>
      </c>
      <c r="BE18" t="s">
        <v>167</v>
      </c>
      <c r="BF18" t="s">
        <v>167</v>
      </c>
      <c r="BG18" s="154" t="s">
        <v>175</v>
      </c>
      <c r="BH18" t="s">
        <v>176</v>
      </c>
      <c r="BI18" s="155" t="s">
        <v>177</v>
      </c>
      <c r="BJ18" s="156" t="s">
        <v>178</v>
      </c>
      <c r="BK18" s="156" t="s">
        <v>179</v>
      </c>
      <c r="BL18" s="156" t="s">
        <v>180</v>
      </c>
      <c r="BM18" s="157" t="s">
        <v>181</v>
      </c>
      <c r="BN18" s="142" t="s">
        <v>182</v>
      </c>
      <c r="BO18" s="142" t="s">
        <v>182</v>
      </c>
      <c r="BP18" s="142" t="s">
        <v>182</v>
      </c>
      <c r="BQ18" s="152">
        <v>19.996870000000001</v>
      </c>
      <c r="BR18" t="s">
        <v>183</v>
      </c>
      <c r="BS18" s="152">
        <v>9.0761997999999997E-2</v>
      </c>
      <c r="BT18">
        <v>0.6</v>
      </c>
      <c r="BU18" t="s">
        <v>184</v>
      </c>
      <c r="BV18" s="153">
        <v>0.08</v>
      </c>
      <c r="BW18">
        <v>8.8699999999999992</v>
      </c>
      <c r="BX18" t="s">
        <v>185</v>
      </c>
      <c r="BY18">
        <v>1.52</v>
      </c>
      <c r="BZ18" t="s">
        <v>224</v>
      </c>
      <c r="CA18" t="s">
        <v>187</v>
      </c>
      <c r="CB18" s="158">
        <f t="shared" si="5"/>
        <v>18.544783333333339</v>
      </c>
      <c r="CC18" t="s">
        <v>184</v>
      </c>
      <c r="CD18" s="149" t="s">
        <v>167</v>
      </c>
      <c r="CE18" s="149" t="s">
        <v>167</v>
      </c>
      <c r="CF18" t="s">
        <v>188</v>
      </c>
      <c r="CG18" t="s">
        <v>189</v>
      </c>
      <c r="CH18" t="s">
        <v>190</v>
      </c>
      <c r="CI18" t="s">
        <v>190</v>
      </c>
      <c r="CJ18" s="152">
        <v>27.26052</v>
      </c>
      <c r="CK18" t="s">
        <v>184</v>
      </c>
      <c r="CL18" s="159">
        <v>3</v>
      </c>
      <c r="CM18" s="159">
        <v>3</v>
      </c>
      <c r="CN18" s="152">
        <v>3.4779724263059086</v>
      </c>
      <c r="CO18" s="152">
        <v>3.4779724263059086</v>
      </c>
      <c r="CP18" t="s">
        <v>191</v>
      </c>
      <c r="CQ18" s="145">
        <f t="shared" si="6"/>
        <v>9.3905255510259536E-2</v>
      </c>
      <c r="CR18" s="145">
        <f t="shared" si="7"/>
        <v>9.3905255510259536E-2</v>
      </c>
      <c r="CS18" s="142" t="s">
        <v>192</v>
      </c>
      <c r="CT18" s="147" t="s">
        <v>193</v>
      </c>
      <c r="CU18" s="152">
        <v>4.1817041179124992</v>
      </c>
      <c r="CV18" s="152" t="s">
        <v>194</v>
      </c>
      <c r="CW18" t="s">
        <v>167</v>
      </c>
      <c r="CX18" t="s">
        <v>195</v>
      </c>
      <c r="CY18" t="s">
        <v>167</v>
      </c>
      <c r="CZ18" t="s">
        <v>167</v>
      </c>
      <c r="DA18" t="s">
        <v>167</v>
      </c>
      <c r="DB18" t="s">
        <v>167</v>
      </c>
      <c r="DC18" t="s">
        <v>167</v>
      </c>
      <c r="DD18" t="s">
        <v>167</v>
      </c>
      <c r="DE18" t="s">
        <v>167</v>
      </c>
      <c r="DF18" t="s">
        <v>167</v>
      </c>
      <c r="DG18" s="160">
        <v>35</v>
      </c>
      <c r="DH18" t="s">
        <v>174</v>
      </c>
      <c r="DI18">
        <v>3</v>
      </c>
      <c r="DJ18" s="161" t="s">
        <v>196</v>
      </c>
      <c r="DK18" s="146" t="s">
        <v>167</v>
      </c>
      <c r="DL18" s="146" t="s">
        <v>167</v>
      </c>
      <c r="DM18" s="146" t="s">
        <v>167</v>
      </c>
      <c r="DN18" s="146" t="s">
        <v>167</v>
      </c>
      <c r="DO18" s="146" t="s">
        <v>167</v>
      </c>
      <c r="DP18" s="146" t="s">
        <v>167</v>
      </c>
      <c r="DQ18" s="146" t="s">
        <v>167</v>
      </c>
      <c r="DR18" s="146" t="s">
        <v>167</v>
      </c>
      <c r="DS18" s="146" t="s">
        <v>167</v>
      </c>
      <c r="DT18" s="146" t="s">
        <v>167</v>
      </c>
      <c r="DU18" s="146" t="s">
        <v>167</v>
      </c>
      <c r="DV18" s="146" t="s">
        <v>167</v>
      </c>
      <c r="DW18" s="143">
        <v>432.56244218316402</v>
      </c>
      <c r="DX18" t="s">
        <v>197</v>
      </c>
      <c r="DY18" s="142">
        <v>37.1</v>
      </c>
      <c r="DZ18" t="s">
        <v>198</v>
      </c>
      <c r="EA18" s="152">
        <v>39.244346610000001</v>
      </c>
      <c r="EB18" s="149" t="s">
        <v>185</v>
      </c>
      <c r="EC18" s="162">
        <v>0.2</v>
      </c>
      <c r="ED18" t="s">
        <v>199</v>
      </c>
      <c r="EE18" t="s">
        <v>225</v>
      </c>
      <c r="EF18" t="s">
        <v>201</v>
      </c>
      <c r="EG18">
        <v>1.0271999999999999</v>
      </c>
      <c r="EH18" t="s">
        <v>202</v>
      </c>
      <c r="EI18">
        <v>5.9999999999999995E-4</v>
      </c>
      <c r="EJ18" t="s">
        <v>203</v>
      </c>
      <c r="EK18" t="s">
        <v>167</v>
      </c>
      <c r="EL18" t="s">
        <v>167</v>
      </c>
      <c r="EM18" t="s">
        <v>204</v>
      </c>
      <c r="EN18" t="s">
        <v>226</v>
      </c>
      <c r="EO18" t="s">
        <v>206</v>
      </c>
      <c r="EP18" t="s">
        <v>206</v>
      </c>
      <c r="EQ18" s="146" t="s">
        <v>167</v>
      </c>
      <c r="ER18" t="s">
        <v>167</v>
      </c>
      <c r="ES18" t="s">
        <v>167</v>
      </c>
      <c r="ET18" t="s">
        <v>207</v>
      </c>
      <c r="EU18" t="s">
        <v>208</v>
      </c>
      <c r="EV18" t="s">
        <v>227</v>
      </c>
      <c r="EW18" s="163">
        <v>2330</v>
      </c>
      <c r="EX18" t="s">
        <v>210</v>
      </c>
      <c r="EY18">
        <v>175</v>
      </c>
      <c r="EZ18">
        <v>175</v>
      </c>
      <c r="FA18" t="s">
        <v>167</v>
      </c>
      <c r="FB18" t="s">
        <v>167</v>
      </c>
      <c r="FC18" t="s">
        <v>167</v>
      </c>
      <c r="FD18" t="s">
        <v>167</v>
      </c>
      <c r="FE18" s="152">
        <v>8.0869876581568008</v>
      </c>
      <c r="FF18" s="164" t="s">
        <v>211</v>
      </c>
      <c r="FG18" s="152">
        <v>6.326031530158005E-2</v>
      </c>
      <c r="FH18" s="152">
        <v>6.4302664358001138E-2</v>
      </c>
      <c r="FI18" s="145">
        <v>356.451094913063</v>
      </c>
      <c r="FJ18" s="149">
        <v>21</v>
      </c>
      <c r="FK18" s="149" t="s">
        <v>212</v>
      </c>
      <c r="FL18" s="152">
        <v>335.451094913063</v>
      </c>
      <c r="FM18" s="152">
        <v>73.607254962213972</v>
      </c>
      <c r="FN18" s="152">
        <v>64.799168100468023</v>
      </c>
      <c r="FO18" s="144" t="s">
        <v>213</v>
      </c>
      <c r="FP18" s="144" t="s">
        <v>214</v>
      </c>
      <c r="FQ18" t="s">
        <v>215</v>
      </c>
      <c r="FR18" t="s">
        <v>215</v>
      </c>
      <c r="FS18" t="s">
        <v>215</v>
      </c>
      <c r="FT18" t="s">
        <v>215</v>
      </c>
      <c r="FU18" t="s">
        <v>215</v>
      </c>
      <c r="FV18" t="s">
        <v>215</v>
      </c>
      <c r="FW18" t="s">
        <v>215</v>
      </c>
      <c r="FX18" t="s">
        <v>215</v>
      </c>
      <c r="FY18" t="s">
        <v>215</v>
      </c>
      <c r="FZ18" t="s">
        <v>215</v>
      </c>
      <c r="GA18" t="s">
        <v>215</v>
      </c>
      <c r="GB18" t="s">
        <v>215</v>
      </c>
    </row>
    <row r="19" spans="1:184" ht="18" x14ac:dyDescent="0.2">
      <c r="A19" t="s">
        <v>240</v>
      </c>
      <c r="B19" s="141" t="s">
        <v>241</v>
      </c>
      <c r="C19" s="138" t="s">
        <v>168</v>
      </c>
      <c r="D19" t="s">
        <v>239</v>
      </c>
      <c r="E19">
        <v>2015</v>
      </c>
      <c r="F19" t="str">
        <f t="shared" si="9"/>
        <v>10.1038/nature14145</v>
      </c>
      <c r="G19" s="175">
        <v>2572.4</v>
      </c>
      <c r="H19" s="142">
        <f t="shared" si="0"/>
        <v>6</v>
      </c>
      <c r="I19" s="142">
        <f t="shared" si="1"/>
        <v>6</v>
      </c>
      <c r="J19" s="148">
        <f t="shared" si="2"/>
        <v>299.50714700684898</v>
      </c>
      <c r="K19" s="148">
        <f t="shared" si="3"/>
        <v>66.832888296893032</v>
      </c>
      <c r="L19" s="148">
        <f t="shared" si="4"/>
        <v>58.810277296625969</v>
      </c>
      <c r="M19" t="b">
        <v>1</v>
      </c>
      <c r="N19">
        <v>3</v>
      </c>
      <c r="O19" t="s">
        <v>245</v>
      </c>
      <c r="P19" s="174" t="s">
        <v>259</v>
      </c>
      <c r="Q19" t="b">
        <v>0</v>
      </c>
      <c r="R19" t="s">
        <v>167</v>
      </c>
      <c r="S19" t="b">
        <v>0</v>
      </c>
      <c r="T19" t="b">
        <v>0</v>
      </c>
      <c r="U19" t="s">
        <v>167</v>
      </c>
      <c r="V19" t="s">
        <v>167</v>
      </c>
      <c r="W19" t="b">
        <v>0</v>
      </c>
      <c r="X19" t="s">
        <v>260</v>
      </c>
      <c r="Y19" s="150" t="s">
        <v>169</v>
      </c>
      <c r="Z19" t="s">
        <v>170</v>
      </c>
      <c r="AA19" t="s">
        <v>171</v>
      </c>
      <c r="AB19" s="142" t="s">
        <v>172</v>
      </c>
      <c r="AC19" s="172">
        <v>9</v>
      </c>
      <c r="AD19" s="146" t="s">
        <v>258</v>
      </c>
      <c r="AE19" s="146">
        <v>23</v>
      </c>
      <c r="AF19" s="146">
        <v>25</v>
      </c>
      <c r="AG19" s="146" t="s">
        <v>167</v>
      </c>
      <c r="AH19" s="146" t="s">
        <v>167</v>
      </c>
      <c r="AI19" s="146" t="s">
        <v>167</v>
      </c>
      <c r="AJ19" t="s">
        <v>173</v>
      </c>
      <c r="AK19" s="151">
        <v>12.75</v>
      </c>
      <c r="AL19" s="151">
        <v>-78.73</v>
      </c>
      <c r="AM19" s="151">
        <v>12.75</v>
      </c>
      <c r="AN19" s="151">
        <v>-78.73</v>
      </c>
      <c r="AO19" s="151">
        <v>-2828</v>
      </c>
      <c r="AP19" s="151">
        <v>-2828</v>
      </c>
      <c r="AQ19" s="142" t="s">
        <v>167</v>
      </c>
      <c r="AR19" s="142" t="s">
        <v>167</v>
      </c>
      <c r="AS19" s="175">
        <v>2572.4</v>
      </c>
      <c r="AT19" s="153" t="s">
        <v>174</v>
      </c>
      <c r="AU19" s="142">
        <v>6</v>
      </c>
      <c r="AV19" s="142">
        <v>6</v>
      </c>
      <c r="AW19" s="149" t="s">
        <v>167</v>
      </c>
      <c r="AX19" s="171" t="s">
        <v>243</v>
      </c>
      <c r="AY19" s="146" t="s">
        <v>167</v>
      </c>
      <c r="AZ19" t="s">
        <v>167</v>
      </c>
      <c r="BA19" t="s">
        <v>167</v>
      </c>
      <c r="BB19" t="s">
        <v>167</v>
      </c>
      <c r="BC19" t="s">
        <v>167</v>
      </c>
      <c r="BD19" t="s">
        <v>167</v>
      </c>
      <c r="BE19" t="s">
        <v>167</v>
      </c>
      <c r="BF19" t="s">
        <v>167</v>
      </c>
      <c r="BG19" s="154" t="s">
        <v>175</v>
      </c>
      <c r="BH19" t="s">
        <v>176</v>
      </c>
      <c r="BI19" s="155" t="s">
        <v>177</v>
      </c>
      <c r="BJ19" s="155" t="s">
        <v>178</v>
      </c>
      <c r="BK19" s="156" t="s">
        <v>179</v>
      </c>
      <c r="BL19" s="156" t="s">
        <v>180</v>
      </c>
      <c r="BM19" t="s">
        <v>181</v>
      </c>
      <c r="BN19" s="142" t="s">
        <v>182</v>
      </c>
      <c r="BO19" s="142" t="s">
        <v>182</v>
      </c>
      <c r="BP19" s="142" t="s">
        <v>182</v>
      </c>
      <c r="BQ19" s="152">
        <v>20.316089999999999</v>
      </c>
      <c r="BR19" t="s">
        <v>183</v>
      </c>
      <c r="BS19" s="152">
        <v>0.100098414</v>
      </c>
      <c r="BT19">
        <v>0.6</v>
      </c>
      <c r="BU19" t="s">
        <v>184</v>
      </c>
      <c r="BV19" s="153">
        <v>0.08</v>
      </c>
      <c r="BW19">
        <v>8.8699999999999992</v>
      </c>
      <c r="BX19" t="s">
        <v>185</v>
      </c>
      <c r="BY19">
        <v>1.52</v>
      </c>
      <c r="BZ19" t="s">
        <v>224</v>
      </c>
      <c r="CA19" t="s">
        <v>187</v>
      </c>
      <c r="CB19" s="158">
        <f t="shared" si="5"/>
        <v>19.076816666666666</v>
      </c>
      <c r="CC19" t="s">
        <v>184</v>
      </c>
      <c r="CD19" s="149" t="s">
        <v>167</v>
      </c>
      <c r="CE19" s="149" t="s">
        <v>167</v>
      </c>
      <c r="CF19" t="s">
        <v>188</v>
      </c>
      <c r="CG19" t="s">
        <v>189</v>
      </c>
      <c r="CH19" t="s">
        <v>190</v>
      </c>
      <c r="CI19" t="s">
        <v>190</v>
      </c>
      <c r="CJ19" s="152">
        <v>28.244980000000002</v>
      </c>
      <c r="CK19" t="s">
        <v>184</v>
      </c>
      <c r="CL19" s="159">
        <v>3</v>
      </c>
      <c r="CM19" s="159">
        <v>3</v>
      </c>
      <c r="CN19" s="152">
        <v>3.7974470407174046</v>
      </c>
      <c r="CO19" s="152">
        <v>3.7974470407174046</v>
      </c>
      <c r="CP19" t="s">
        <v>191</v>
      </c>
      <c r="CQ19" s="145">
        <f t="shared" si="6"/>
        <v>0.10253107009936992</v>
      </c>
      <c r="CR19" s="145">
        <f t="shared" si="7"/>
        <v>0.10253107009936992</v>
      </c>
      <c r="CS19" s="142" t="s">
        <v>192</v>
      </c>
      <c r="CT19" s="147" t="s">
        <v>193</v>
      </c>
      <c r="CU19" s="152">
        <v>4.1743479579555931</v>
      </c>
      <c r="CV19" s="152" t="s">
        <v>194</v>
      </c>
      <c r="CW19" t="s">
        <v>167</v>
      </c>
      <c r="CX19" t="s">
        <v>195</v>
      </c>
      <c r="CY19" t="s">
        <v>167</v>
      </c>
      <c r="CZ19" t="s">
        <v>167</v>
      </c>
      <c r="DA19" t="s">
        <v>167</v>
      </c>
      <c r="DB19" t="s">
        <v>167</v>
      </c>
      <c r="DC19" t="s">
        <v>167</v>
      </c>
      <c r="DD19" t="s">
        <v>167</v>
      </c>
      <c r="DE19" t="s">
        <v>167</v>
      </c>
      <c r="DF19" t="s">
        <v>167</v>
      </c>
      <c r="DG19" s="160">
        <v>35</v>
      </c>
      <c r="DH19" t="s">
        <v>174</v>
      </c>
      <c r="DI19">
        <v>3</v>
      </c>
      <c r="DJ19" s="161" t="s">
        <v>196</v>
      </c>
      <c r="DK19" s="146" t="s">
        <v>167</v>
      </c>
      <c r="DL19" s="146" t="s">
        <v>167</v>
      </c>
      <c r="DM19" s="146" t="s">
        <v>167</v>
      </c>
      <c r="DN19" s="146" t="s">
        <v>167</v>
      </c>
      <c r="DO19" s="146" t="s">
        <v>167</v>
      </c>
      <c r="DP19" s="146" t="s">
        <v>167</v>
      </c>
      <c r="DQ19" s="146" t="s">
        <v>167</v>
      </c>
      <c r="DR19" s="146" t="s">
        <v>167</v>
      </c>
      <c r="DS19" s="146" t="s">
        <v>167</v>
      </c>
      <c r="DT19" s="146" t="s">
        <v>167</v>
      </c>
      <c r="DU19" s="146" t="s">
        <v>167</v>
      </c>
      <c r="DV19" s="146" t="s">
        <v>167</v>
      </c>
      <c r="DW19" s="143">
        <v>432.56244218316402</v>
      </c>
      <c r="DX19" t="s">
        <v>197</v>
      </c>
      <c r="DY19" s="142">
        <v>37.1</v>
      </c>
      <c r="DZ19" t="s">
        <v>198</v>
      </c>
      <c r="EA19" s="152">
        <v>39.241236020000002</v>
      </c>
      <c r="EB19" s="149" t="s">
        <v>185</v>
      </c>
      <c r="EC19" s="162">
        <v>0.2</v>
      </c>
      <c r="ED19" t="s">
        <v>199</v>
      </c>
      <c r="EE19" t="s">
        <v>225</v>
      </c>
      <c r="EF19" t="s">
        <v>201</v>
      </c>
      <c r="EG19">
        <v>1.0271999999999999</v>
      </c>
      <c r="EH19" t="s">
        <v>202</v>
      </c>
      <c r="EI19">
        <v>5.9999999999999995E-4</v>
      </c>
      <c r="EJ19" t="s">
        <v>203</v>
      </c>
      <c r="EK19" t="s">
        <v>167</v>
      </c>
      <c r="EL19" t="s">
        <v>167</v>
      </c>
      <c r="EM19" t="s">
        <v>204</v>
      </c>
      <c r="EN19" t="s">
        <v>226</v>
      </c>
      <c r="EO19" t="s">
        <v>206</v>
      </c>
      <c r="EP19" t="s">
        <v>206</v>
      </c>
      <c r="EQ19" s="146" t="s">
        <v>167</v>
      </c>
      <c r="ER19" t="s">
        <v>167</v>
      </c>
      <c r="ES19" t="s">
        <v>167</v>
      </c>
      <c r="ET19" t="s">
        <v>207</v>
      </c>
      <c r="EU19" t="s">
        <v>208</v>
      </c>
      <c r="EV19" t="s">
        <v>227</v>
      </c>
      <c r="EW19" s="163">
        <v>2330</v>
      </c>
      <c r="EX19" t="s">
        <v>210</v>
      </c>
      <c r="EY19">
        <v>175</v>
      </c>
      <c r="EZ19">
        <v>175</v>
      </c>
      <c r="FA19" t="s">
        <v>167</v>
      </c>
      <c r="FB19" t="s">
        <v>167</v>
      </c>
      <c r="FC19" t="s">
        <v>167</v>
      </c>
      <c r="FD19" t="s">
        <v>167</v>
      </c>
      <c r="FE19" s="152">
        <v>8.1218845588287198</v>
      </c>
      <c r="FF19" s="164" t="s">
        <v>211</v>
      </c>
      <c r="FG19" s="152">
        <v>6.3158752236809335E-2</v>
      </c>
      <c r="FH19" s="152">
        <v>6.2221346372449915E-2</v>
      </c>
      <c r="FI19" s="145">
        <v>320.50714700684898</v>
      </c>
      <c r="FJ19" s="149">
        <v>21</v>
      </c>
      <c r="FK19" s="149" t="s">
        <v>212</v>
      </c>
      <c r="FL19" s="152">
        <v>299.50714700684898</v>
      </c>
      <c r="FM19" s="152">
        <v>66.832888296893032</v>
      </c>
      <c r="FN19" s="152">
        <v>58.810277296625969</v>
      </c>
      <c r="FO19" s="144" t="s">
        <v>213</v>
      </c>
      <c r="FP19" s="144" t="s">
        <v>214</v>
      </c>
      <c r="FQ19" t="s">
        <v>215</v>
      </c>
      <c r="FR19" t="s">
        <v>215</v>
      </c>
      <c r="FS19" t="s">
        <v>215</v>
      </c>
      <c r="FT19" t="s">
        <v>215</v>
      </c>
      <c r="FU19" t="s">
        <v>215</v>
      </c>
      <c r="FV19" t="s">
        <v>215</v>
      </c>
      <c r="FW19" t="s">
        <v>215</v>
      </c>
      <c r="FX19" t="s">
        <v>215</v>
      </c>
      <c r="FY19" t="s">
        <v>215</v>
      </c>
      <c r="FZ19" t="s">
        <v>215</v>
      </c>
      <c r="GA19" t="s">
        <v>215</v>
      </c>
      <c r="GB19" t="s">
        <v>215</v>
      </c>
    </row>
    <row r="20" spans="1:184" ht="18" x14ac:dyDescent="0.2">
      <c r="A20" t="s">
        <v>240</v>
      </c>
      <c r="B20" s="141" t="s">
        <v>241</v>
      </c>
      <c r="C20" s="138" t="s">
        <v>168</v>
      </c>
      <c r="D20" t="s">
        <v>239</v>
      </c>
      <c r="E20">
        <v>2015</v>
      </c>
      <c r="F20" t="str">
        <f t="shared" si="9"/>
        <v>10.1038/nature14145</v>
      </c>
      <c r="G20" s="175">
        <v>2586.5</v>
      </c>
      <c r="H20" s="142">
        <f t="shared" si="0"/>
        <v>6</v>
      </c>
      <c r="I20" s="142">
        <f t="shared" si="1"/>
        <v>6</v>
      </c>
      <c r="J20" s="148">
        <f t="shared" si="2"/>
        <v>329.81149666152999</v>
      </c>
      <c r="K20" s="148">
        <f t="shared" si="3"/>
        <v>73.350513213861007</v>
      </c>
      <c r="L20" s="148">
        <f t="shared" si="4"/>
        <v>64.402467963913978</v>
      </c>
      <c r="M20" t="b">
        <v>1</v>
      </c>
      <c r="N20">
        <v>3</v>
      </c>
      <c r="O20" t="s">
        <v>245</v>
      </c>
      <c r="P20" s="174" t="s">
        <v>259</v>
      </c>
      <c r="Q20" t="b">
        <v>0</v>
      </c>
      <c r="R20" t="s">
        <v>167</v>
      </c>
      <c r="S20" t="b">
        <v>0</v>
      </c>
      <c r="T20" t="b">
        <v>0</v>
      </c>
      <c r="U20" t="s">
        <v>167</v>
      </c>
      <c r="V20" t="s">
        <v>167</v>
      </c>
      <c r="W20" t="b">
        <v>0</v>
      </c>
      <c r="X20" t="s">
        <v>260</v>
      </c>
      <c r="Y20" s="150" t="s">
        <v>169</v>
      </c>
      <c r="Z20" t="s">
        <v>170</v>
      </c>
      <c r="AA20" t="s">
        <v>171</v>
      </c>
      <c r="AB20" s="142" t="s">
        <v>172</v>
      </c>
      <c r="AC20" s="146">
        <v>10</v>
      </c>
      <c r="AD20" s="146">
        <v>1</v>
      </c>
      <c r="AE20" s="146">
        <v>52</v>
      </c>
      <c r="AF20" s="146">
        <v>54</v>
      </c>
      <c r="AG20" s="146" t="s">
        <v>167</v>
      </c>
      <c r="AH20" s="146" t="s">
        <v>167</v>
      </c>
      <c r="AI20" s="146" t="s">
        <v>167</v>
      </c>
      <c r="AJ20" t="s">
        <v>173</v>
      </c>
      <c r="AK20" s="151">
        <v>12.75</v>
      </c>
      <c r="AL20" s="151">
        <v>-78.73</v>
      </c>
      <c r="AM20" s="151">
        <v>12.75</v>
      </c>
      <c r="AN20" s="151">
        <v>-78.73</v>
      </c>
      <c r="AO20" s="151">
        <v>-2828</v>
      </c>
      <c r="AP20" s="151">
        <v>-2828</v>
      </c>
      <c r="AQ20" s="142" t="s">
        <v>167</v>
      </c>
      <c r="AR20" s="142" t="s">
        <v>167</v>
      </c>
      <c r="AS20" s="175">
        <v>2586.5</v>
      </c>
      <c r="AT20" s="153" t="s">
        <v>174</v>
      </c>
      <c r="AU20" s="142">
        <v>6</v>
      </c>
      <c r="AV20" s="142">
        <v>6</v>
      </c>
      <c r="AW20" s="149" t="s">
        <v>167</v>
      </c>
      <c r="AX20" s="171" t="s">
        <v>243</v>
      </c>
      <c r="AY20" s="146" t="s">
        <v>167</v>
      </c>
      <c r="AZ20" t="s">
        <v>167</v>
      </c>
      <c r="BA20" t="s">
        <v>167</v>
      </c>
      <c r="BB20" t="s">
        <v>167</v>
      </c>
      <c r="BC20" t="s">
        <v>167</v>
      </c>
      <c r="BD20" t="s">
        <v>167</v>
      </c>
      <c r="BE20" t="s">
        <v>167</v>
      </c>
      <c r="BF20" t="s">
        <v>167</v>
      </c>
      <c r="BG20" s="154" t="s">
        <v>175</v>
      </c>
      <c r="BH20" t="s">
        <v>176</v>
      </c>
      <c r="BI20" s="155" t="s">
        <v>177</v>
      </c>
      <c r="BJ20" s="156" t="s">
        <v>178</v>
      </c>
      <c r="BK20" s="156" t="s">
        <v>179</v>
      </c>
      <c r="BL20" s="156" t="s">
        <v>180</v>
      </c>
      <c r="BM20" s="157" t="s">
        <v>181</v>
      </c>
      <c r="BN20" s="142" t="s">
        <v>182</v>
      </c>
      <c r="BO20" s="142" t="s">
        <v>182</v>
      </c>
      <c r="BP20" s="142" t="s">
        <v>182</v>
      </c>
      <c r="BQ20" s="152">
        <v>20.03998</v>
      </c>
      <c r="BR20" t="s">
        <v>183</v>
      </c>
      <c r="BS20" s="152">
        <v>9.5873624000000005E-2</v>
      </c>
      <c r="BT20">
        <v>0.6</v>
      </c>
      <c r="BU20" t="s">
        <v>184</v>
      </c>
      <c r="BV20" s="153">
        <v>0.08</v>
      </c>
      <c r="BW20">
        <v>8.8699999999999992</v>
      </c>
      <c r="BX20" t="s">
        <v>185</v>
      </c>
      <c r="BY20">
        <v>1.52</v>
      </c>
      <c r="BZ20" t="s">
        <v>224</v>
      </c>
      <c r="CA20" t="s">
        <v>187</v>
      </c>
      <c r="CB20" s="158">
        <f t="shared" si="5"/>
        <v>18.616633333333336</v>
      </c>
      <c r="CC20" t="s">
        <v>184</v>
      </c>
      <c r="CD20" s="149" t="s">
        <v>167</v>
      </c>
      <c r="CE20" s="149" t="s">
        <v>167</v>
      </c>
      <c r="CF20" t="s">
        <v>188</v>
      </c>
      <c r="CG20" t="s">
        <v>189</v>
      </c>
      <c r="CH20" t="s">
        <v>190</v>
      </c>
      <c r="CI20" t="s">
        <v>190</v>
      </c>
      <c r="CJ20" s="152">
        <v>27.41564</v>
      </c>
      <c r="CK20" t="s">
        <v>184</v>
      </c>
      <c r="CL20" s="159">
        <v>3</v>
      </c>
      <c r="CM20" s="159">
        <v>3</v>
      </c>
      <c r="CN20" s="152">
        <v>3.5218685824195624</v>
      </c>
      <c r="CO20" s="152">
        <v>3.5218685824195624</v>
      </c>
      <c r="CP20" t="s">
        <v>191</v>
      </c>
      <c r="CQ20" s="145">
        <f t="shared" si="6"/>
        <v>9.5090451725328179E-2</v>
      </c>
      <c r="CR20" s="145">
        <f t="shared" si="7"/>
        <v>9.5090451725328179E-2</v>
      </c>
      <c r="CS20" s="142" t="s">
        <v>192</v>
      </c>
      <c r="CT20" s="147" t="s">
        <v>193</v>
      </c>
      <c r="CU20" s="152">
        <v>4.1672605067023945</v>
      </c>
      <c r="CV20" s="152" t="s">
        <v>194</v>
      </c>
      <c r="CW20" t="s">
        <v>167</v>
      </c>
      <c r="CX20" t="s">
        <v>195</v>
      </c>
      <c r="CY20" t="s">
        <v>167</v>
      </c>
      <c r="CZ20" t="s">
        <v>167</v>
      </c>
      <c r="DA20" t="s">
        <v>167</v>
      </c>
      <c r="DB20" t="s">
        <v>167</v>
      </c>
      <c r="DC20" t="s">
        <v>167</v>
      </c>
      <c r="DD20" t="s">
        <v>167</v>
      </c>
      <c r="DE20" t="s">
        <v>167</v>
      </c>
      <c r="DF20" t="s">
        <v>167</v>
      </c>
      <c r="DG20" s="160">
        <v>35</v>
      </c>
      <c r="DH20" t="s">
        <v>174</v>
      </c>
      <c r="DI20">
        <v>3</v>
      </c>
      <c r="DJ20" s="161" t="s">
        <v>196</v>
      </c>
      <c r="DK20" s="146" t="s">
        <v>167</v>
      </c>
      <c r="DL20" s="146" t="s">
        <v>167</v>
      </c>
      <c r="DM20" s="146" t="s">
        <v>167</v>
      </c>
      <c r="DN20" s="146" t="s">
        <v>167</v>
      </c>
      <c r="DO20" s="146" t="s">
        <v>167</v>
      </c>
      <c r="DP20" s="146" t="s">
        <v>167</v>
      </c>
      <c r="DQ20" s="146" t="s">
        <v>167</v>
      </c>
      <c r="DR20" s="146" t="s">
        <v>167</v>
      </c>
      <c r="DS20" s="146" t="s">
        <v>167</v>
      </c>
      <c r="DT20" s="146" t="s">
        <v>167</v>
      </c>
      <c r="DU20" s="146" t="s">
        <v>167</v>
      </c>
      <c r="DV20" s="146" t="s">
        <v>167</v>
      </c>
      <c r="DW20" s="143">
        <v>432.56244218316402</v>
      </c>
      <c r="DX20" t="s">
        <v>197</v>
      </c>
      <c r="DY20" s="142">
        <v>37.1</v>
      </c>
      <c r="DZ20" t="s">
        <v>198</v>
      </c>
      <c r="EA20" s="152">
        <v>39.2383661</v>
      </c>
      <c r="EB20" s="149" t="s">
        <v>185</v>
      </c>
      <c r="EC20" s="162">
        <v>0.2</v>
      </c>
      <c r="ED20" t="s">
        <v>199</v>
      </c>
      <c r="EE20" t="s">
        <v>225</v>
      </c>
      <c r="EF20" t="s">
        <v>201</v>
      </c>
      <c r="EG20">
        <v>1.0271999999999999</v>
      </c>
      <c r="EH20" t="s">
        <v>202</v>
      </c>
      <c r="EI20">
        <v>5.9999999999999995E-4</v>
      </c>
      <c r="EJ20" t="s">
        <v>203</v>
      </c>
      <c r="EK20" t="s">
        <v>167</v>
      </c>
      <c r="EL20" t="s">
        <v>167</v>
      </c>
      <c r="EM20" t="s">
        <v>204</v>
      </c>
      <c r="EN20" t="s">
        <v>226</v>
      </c>
      <c r="EO20" t="s">
        <v>206</v>
      </c>
      <c r="EP20" t="s">
        <v>206</v>
      </c>
      <c r="EQ20" s="146" t="s">
        <v>167</v>
      </c>
      <c r="ER20" t="s">
        <v>167</v>
      </c>
      <c r="ES20" t="s">
        <v>167</v>
      </c>
      <c r="ET20" t="s">
        <v>207</v>
      </c>
      <c r="EU20" t="s">
        <v>208</v>
      </c>
      <c r="EV20" t="s">
        <v>227</v>
      </c>
      <c r="EW20" s="163">
        <v>2330</v>
      </c>
      <c r="EX20" t="s">
        <v>210</v>
      </c>
      <c r="EY20">
        <v>175</v>
      </c>
      <c r="EZ20">
        <v>175</v>
      </c>
      <c r="FA20" t="s">
        <v>167</v>
      </c>
      <c r="FB20" t="s">
        <v>167</v>
      </c>
      <c r="FC20" t="s">
        <v>167</v>
      </c>
      <c r="FD20" t="s">
        <v>167</v>
      </c>
      <c r="FE20" s="152">
        <v>8.0921821422273794</v>
      </c>
      <c r="FF20" s="164" t="s">
        <v>211</v>
      </c>
      <c r="FG20" s="152">
        <v>6.5054535849681017E-2</v>
      </c>
      <c r="FH20" s="152">
        <v>6.5570487206629835E-2</v>
      </c>
      <c r="FI20" s="145">
        <v>350.81149666152999</v>
      </c>
      <c r="FJ20" s="149">
        <v>21</v>
      </c>
      <c r="FK20" s="149" t="s">
        <v>212</v>
      </c>
      <c r="FL20" s="152">
        <v>329.81149666152999</v>
      </c>
      <c r="FM20" s="152">
        <v>73.350513213861007</v>
      </c>
      <c r="FN20" s="152">
        <v>64.402467963913978</v>
      </c>
      <c r="FO20" s="144" t="s">
        <v>213</v>
      </c>
      <c r="FP20" s="144" t="s">
        <v>214</v>
      </c>
      <c r="FQ20" t="s">
        <v>215</v>
      </c>
      <c r="FR20" t="s">
        <v>215</v>
      </c>
      <c r="FS20" t="s">
        <v>215</v>
      </c>
      <c r="FT20" t="s">
        <v>215</v>
      </c>
      <c r="FU20" t="s">
        <v>215</v>
      </c>
      <c r="FV20" t="s">
        <v>215</v>
      </c>
      <c r="FW20" t="s">
        <v>215</v>
      </c>
      <c r="FX20" t="s">
        <v>215</v>
      </c>
      <c r="FY20" t="s">
        <v>215</v>
      </c>
      <c r="FZ20" t="s">
        <v>215</v>
      </c>
      <c r="GA20" t="s">
        <v>215</v>
      </c>
      <c r="GB20" t="s">
        <v>215</v>
      </c>
    </row>
    <row r="21" spans="1:184" ht="18" x14ac:dyDescent="0.2">
      <c r="A21" t="s">
        <v>240</v>
      </c>
      <c r="B21" s="141" t="s">
        <v>241</v>
      </c>
      <c r="C21" s="138" t="s">
        <v>168</v>
      </c>
      <c r="D21" t="s">
        <v>239</v>
      </c>
      <c r="E21">
        <v>2015</v>
      </c>
      <c r="F21" t="str">
        <f t="shared" si="9"/>
        <v>10.1038/nature14145</v>
      </c>
      <c r="G21" s="175">
        <v>2600.34</v>
      </c>
      <c r="H21" s="142">
        <f t="shared" si="0"/>
        <v>6</v>
      </c>
      <c r="I21" s="142">
        <f t="shared" si="1"/>
        <v>6</v>
      </c>
      <c r="J21" s="148">
        <f t="shared" si="2"/>
        <v>361.667928065289</v>
      </c>
      <c r="K21" s="148">
        <f t="shared" si="3"/>
        <v>81.90687218871102</v>
      </c>
      <c r="L21" s="148">
        <f t="shared" si="4"/>
        <v>70.448689297077976</v>
      </c>
      <c r="M21" t="b">
        <v>1</v>
      </c>
      <c r="N21">
        <v>3</v>
      </c>
      <c r="O21" t="s">
        <v>245</v>
      </c>
      <c r="P21" s="174" t="s">
        <v>259</v>
      </c>
      <c r="Q21" t="b">
        <v>0</v>
      </c>
      <c r="R21" t="s">
        <v>167</v>
      </c>
      <c r="S21" t="b">
        <v>0</v>
      </c>
      <c r="T21" t="b">
        <v>0</v>
      </c>
      <c r="U21" t="s">
        <v>167</v>
      </c>
      <c r="V21" t="s">
        <v>167</v>
      </c>
      <c r="W21" t="b">
        <v>0</v>
      </c>
      <c r="X21" t="s">
        <v>260</v>
      </c>
      <c r="Y21" s="150" t="s">
        <v>169</v>
      </c>
      <c r="Z21" t="s">
        <v>170</v>
      </c>
      <c r="AA21" t="s">
        <v>171</v>
      </c>
      <c r="AB21" s="142" t="s">
        <v>172</v>
      </c>
      <c r="AC21" s="146">
        <v>10</v>
      </c>
      <c r="AD21" s="146">
        <v>1</v>
      </c>
      <c r="AE21" s="146">
        <v>107</v>
      </c>
      <c r="AF21" s="146">
        <v>109</v>
      </c>
      <c r="AG21" s="146" t="s">
        <v>167</v>
      </c>
      <c r="AH21" s="146" t="s">
        <v>167</v>
      </c>
      <c r="AI21" s="146" t="s">
        <v>167</v>
      </c>
      <c r="AJ21" t="s">
        <v>173</v>
      </c>
      <c r="AK21" s="151">
        <v>12.75</v>
      </c>
      <c r="AL21" s="151">
        <v>-78.73</v>
      </c>
      <c r="AM21" s="151">
        <v>12.75</v>
      </c>
      <c r="AN21" s="151">
        <v>-78.73</v>
      </c>
      <c r="AO21" s="151">
        <v>-2828</v>
      </c>
      <c r="AP21" s="151">
        <v>-2828</v>
      </c>
      <c r="AQ21" s="142" t="s">
        <v>167</v>
      </c>
      <c r="AR21" s="142" t="s">
        <v>167</v>
      </c>
      <c r="AS21" s="175">
        <v>2600.34</v>
      </c>
      <c r="AT21" s="153" t="s">
        <v>174</v>
      </c>
      <c r="AU21" s="142">
        <v>6</v>
      </c>
      <c r="AV21" s="142">
        <v>6</v>
      </c>
      <c r="AW21" s="149" t="s">
        <v>167</v>
      </c>
      <c r="AX21" s="171" t="s">
        <v>243</v>
      </c>
      <c r="AY21" s="146" t="s">
        <v>167</v>
      </c>
      <c r="AZ21" t="s">
        <v>167</v>
      </c>
      <c r="BA21" t="s">
        <v>167</v>
      </c>
      <c r="BB21" t="s">
        <v>167</v>
      </c>
      <c r="BC21" t="s">
        <v>167</v>
      </c>
      <c r="BD21" t="s">
        <v>167</v>
      </c>
      <c r="BE21" t="s">
        <v>167</v>
      </c>
      <c r="BF21" t="s">
        <v>167</v>
      </c>
      <c r="BG21" s="154" t="s">
        <v>175</v>
      </c>
      <c r="BH21" t="s">
        <v>176</v>
      </c>
      <c r="BI21" s="155" t="s">
        <v>177</v>
      </c>
      <c r="BJ21" s="155" t="s">
        <v>178</v>
      </c>
      <c r="BK21" s="156" t="s">
        <v>179</v>
      </c>
      <c r="BL21" s="156" t="s">
        <v>180</v>
      </c>
      <c r="BM21" t="s">
        <v>181</v>
      </c>
      <c r="BN21" s="142" t="s">
        <v>182</v>
      </c>
      <c r="BO21" s="142" t="s">
        <v>182</v>
      </c>
      <c r="BP21" s="142" t="s">
        <v>182</v>
      </c>
      <c r="BQ21" s="152">
        <v>19.93046</v>
      </c>
      <c r="BR21" t="s">
        <v>183</v>
      </c>
      <c r="BS21" s="152">
        <v>0.13456475300000001</v>
      </c>
      <c r="BT21">
        <v>0.6</v>
      </c>
      <c r="BU21" t="s">
        <v>184</v>
      </c>
      <c r="BV21" s="153">
        <v>0.08</v>
      </c>
      <c r="BW21">
        <v>8.8699999999999992</v>
      </c>
      <c r="BX21" t="s">
        <v>185</v>
      </c>
      <c r="BY21">
        <v>1.52</v>
      </c>
      <c r="BZ21" t="s">
        <v>224</v>
      </c>
      <c r="CA21" t="s">
        <v>187</v>
      </c>
      <c r="CB21" s="158">
        <f t="shared" si="5"/>
        <v>18.434100000000001</v>
      </c>
      <c r="CC21" t="s">
        <v>184</v>
      </c>
      <c r="CD21" s="149" t="s">
        <v>167</v>
      </c>
      <c r="CE21" s="149" t="s">
        <v>167</v>
      </c>
      <c r="CF21" t="s">
        <v>188</v>
      </c>
      <c r="CG21" t="s">
        <v>189</v>
      </c>
      <c r="CH21" t="s">
        <v>190</v>
      </c>
      <c r="CI21" t="s">
        <v>190</v>
      </c>
      <c r="CJ21" s="152">
        <v>28.763670000000001</v>
      </c>
      <c r="CK21" t="s">
        <v>184</v>
      </c>
      <c r="CL21" s="159">
        <v>3</v>
      </c>
      <c r="CM21" s="159">
        <v>3</v>
      </c>
      <c r="CN21" s="152">
        <v>3.9737274169382664</v>
      </c>
      <c r="CO21" s="152">
        <v>3.9737274169382664</v>
      </c>
      <c r="CP21" t="s">
        <v>191</v>
      </c>
      <c r="CQ21" s="145">
        <f t="shared" si="6"/>
        <v>0.10729064025733319</v>
      </c>
      <c r="CR21" s="145">
        <f t="shared" si="7"/>
        <v>0.10729064025733319</v>
      </c>
      <c r="CS21" s="142" t="s">
        <v>192</v>
      </c>
      <c r="CT21" s="147" t="s">
        <v>193</v>
      </c>
      <c r="CU21" s="152">
        <v>4.1610666103842835</v>
      </c>
      <c r="CV21" s="152" t="s">
        <v>194</v>
      </c>
      <c r="CW21" t="s">
        <v>167</v>
      </c>
      <c r="CX21" t="s">
        <v>195</v>
      </c>
      <c r="CY21" t="s">
        <v>167</v>
      </c>
      <c r="CZ21" t="s">
        <v>167</v>
      </c>
      <c r="DA21" t="s">
        <v>167</v>
      </c>
      <c r="DB21" t="s">
        <v>167</v>
      </c>
      <c r="DC21" t="s">
        <v>167</v>
      </c>
      <c r="DD21" t="s">
        <v>167</v>
      </c>
      <c r="DE21" t="s">
        <v>167</v>
      </c>
      <c r="DF21" t="s">
        <v>167</v>
      </c>
      <c r="DG21" s="160">
        <v>35</v>
      </c>
      <c r="DH21" t="s">
        <v>174</v>
      </c>
      <c r="DI21">
        <v>3</v>
      </c>
      <c r="DJ21" s="161" t="s">
        <v>196</v>
      </c>
      <c r="DK21" s="146" t="s">
        <v>167</v>
      </c>
      <c r="DL21" s="146" t="s">
        <v>167</v>
      </c>
      <c r="DM21" s="146" t="s">
        <v>167</v>
      </c>
      <c r="DN21" s="146" t="s">
        <v>167</v>
      </c>
      <c r="DO21" s="146" t="s">
        <v>167</v>
      </c>
      <c r="DP21" s="146" t="s">
        <v>167</v>
      </c>
      <c r="DQ21" s="146" t="s">
        <v>167</v>
      </c>
      <c r="DR21" s="146" t="s">
        <v>167</v>
      </c>
      <c r="DS21" s="146" t="s">
        <v>167</v>
      </c>
      <c r="DT21" s="146" t="s">
        <v>167</v>
      </c>
      <c r="DU21" s="146" t="s">
        <v>167</v>
      </c>
      <c r="DV21" s="146" t="s">
        <v>167</v>
      </c>
      <c r="DW21" s="143">
        <v>432.56244218316402</v>
      </c>
      <c r="DX21" t="s">
        <v>197</v>
      </c>
      <c r="DY21" s="142">
        <v>37.1</v>
      </c>
      <c r="DZ21" t="s">
        <v>198</v>
      </c>
      <c r="EA21" s="152">
        <v>39.236233650000003</v>
      </c>
      <c r="EB21" s="149" t="s">
        <v>185</v>
      </c>
      <c r="EC21" s="162">
        <v>0.2</v>
      </c>
      <c r="ED21" t="s">
        <v>199</v>
      </c>
      <c r="EE21" t="s">
        <v>225</v>
      </c>
      <c r="EF21" t="s">
        <v>201</v>
      </c>
      <c r="EG21">
        <v>1.0271999999999999</v>
      </c>
      <c r="EH21" t="s">
        <v>202</v>
      </c>
      <c r="EI21">
        <v>5.9999999999999995E-4</v>
      </c>
      <c r="EJ21" t="s">
        <v>203</v>
      </c>
      <c r="EK21" t="s">
        <v>167</v>
      </c>
      <c r="EL21" t="s">
        <v>167</v>
      </c>
      <c r="EM21" t="s">
        <v>204</v>
      </c>
      <c r="EN21" t="s">
        <v>226</v>
      </c>
      <c r="EO21" t="s">
        <v>206</v>
      </c>
      <c r="EP21" t="s">
        <v>206</v>
      </c>
      <c r="EQ21" s="146" t="s">
        <v>167</v>
      </c>
      <c r="ER21" t="s">
        <v>167</v>
      </c>
      <c r="ES21" t="s">
        <v>167</v>
      </c>
      <c r="ET21" t="s">
        <v>207</v>
      </c>
      <c r="EU21" t="s">
        <v>208</v>
      </c>
      <c r="EV21" t="s">
        <v>227</v>
      </c>
      <c r="EW21" s="163">
        <v>2330</v>
      </c>
      <c r="EX21" t="s">
        <v>210</v>
      </c>
      <c r="EY21">
        <v>175</v>
      </c>
      <c r="EZ21">
        <v>175</v>
      </c>
      <c r="FA21" t="s">
        <v>167</v>
      </c>
      <c r="FB21" t="s">
        <v>167</v>
      </c>
      <c r="FC21" t="s">
        <v>167</v>
      </c>
      <c r="FD21" t="s">
        <v>167</v>
      </c>
      <c r="FE21" s="152">
        <v>8.0606521727980809</v>
      </c>
      <c r="FF21" s="164" t="s">
        <v>211</v>
      </c>
      <c r="FG21" s="152">
        <v>6.4483950679269597E-2</v>
      </c>
      <c r="FH21" s="152">
        <v>6.6470079733560894E-2</v>
      </c>
      <c r="FI21" s="145">
        <v>382.667928065289</v>
      </c>
      <c r="FJ21" s="149">
        <v>21</v>
      </c>
      <c r="FK21" s="149" t="s">
        <v>212</v>
      </c>
      <c r="FL21" s="152">
        <v>361.667928065289</v>
      </c>
      <c r="FM21" s="152">
        <v>81.90687218871102</v>
      </c>
      <c r="FN21" s="152">
        <v>70.448689297077976</v>
      </c>
      <c r="FO21" s="144" t="s">
        <v>213</v>
      </c>
      <c r="FP21" s="144" t="s">
        <v>214</v>
      </c>
      <c r="FQ21" t="s">
        <v>215</v>
      </c>
      <c r="FR21" t="s">
        <v>215</v>
      </c>
      <c r="FS21" t="s">
        <v>215</v>
      </c>
      <c r="FT21" t="s">
        <v>215</v>
      </c>
      <c r="FU21" t="s">
        <v>215</v>
      </c>
      <c r="FV21" t="s">
        <v>215</v>
      </c>
      <c r="FW21" t="s">
        <v>215</v>
      </c>
      <c r="FX21" t="s">
        <v>215</v>
      </c>
      <c r="FY21" t="s">
        <v>215</v>
      </c>
      <c r="FZ21" t="s">
        <v>215</v>
      </c>
      <c r="GA21" t="s">
        <v>215</v>
      </c>
      <c r="GB21" t="s">
        <v>215</v>
      </c>
    </row>
    <row r="22" spans="1:184" ht="18" x14ac:dyDescent="0.2">
      <c r="A22" t="s">
        <v>240</v>
      </c>
      <c r="B22" s="141" t="s">
        <v>241</v>
      </c>
      <c r="C22" s="138" t="s">
        <v>168</v>
      </c>
      <c r="D22" t="s">
        <v>239</v>
      </c>
      <c r="E22">
        <v>2015</v>
      </c>
      <c r="F22" t="str">
        <f t="shared" si="9"/>
        <v>10.1038/nature14145</v>
      </c>
      <c r="G22" s="175">
        <v>2618.69</v>
      </c>
      <c r="H22" s="142">
        <f t="shared" si="0"/>
        <v>6</v>
      </c>
      <c r="I22" s="142">
        <f t="shared" si="1"/>
        <v>6</v>
      </c>
      <c r="J22" s="148">
        <f t="shared" si="2"/>
        <v>278.521083298034</v>
      </c>
      <c r="K22" s="148">
        <f t="shared" si="3"/>
        <v>62.352023097971028</v>
      </c>
      <c r="L22" s="148">
        <f t="shared" si="4"/>
        <v>54.565996065012996</v>
      </c>
      <c r="M22" t="b">
        <v>1</v>
      </c>
      <c r="N22">
        <v>3</v>
      </c>
      <c r="O22" t="s">
        <v>245</v>
      </c>
      <c r="P22" s="174" t="s">
        <v>259</v>
      </c>
      <c r="Q22" t="b">
        <v>0</v>
      </c>
      <c r="R22" t="s">
        <v>167</v>
      </c>
      <c r="S22" t="b">
        <v>0</v>
      </c>
      <c r="T22" t="b">
        <v>0</v>
      </c>
      <c r="U22" t="s">
        <v>167</v>
      </c>
      <c r="V22" t="s">
        <v>167</v>
      </c>
      <c r="W22" t="b">
        <v>0</v>
      </c>
      <c r="X22" t="s">
        <v>260</v>
      </c>
      <c r="Y22" s="150" t="s">
        <v>169</v>
      </c>
      <c r="Z22" t="s">
        <v>170</v>
      </c>
      <c r="AA22" t="s">
        <v>171</v>
      </c>
      <c r="AB22" s="142" t="s">
        <v>172</v>
      </c>
      <c r="AC22" s="146">
        <v>10</v>
      </c>
      <c r="AD22" s="146">
        <v>2</v>
      </c>
      <c r="AE22" s="146">
        <v>21</v>
      </c>
      <c r="AF22" s="146">
        <v>23</v>
      </c>
      <c r="AG22" s="146" t="s">
        <v>167</v>
      </c>
      <c r="AH22" s="146" t="s">
        <v>167</v>
      </c>
      <c r="AI22" s="146" t="s">
        <v>167</v>
      </c>
      <c r="AJ22" t="s">
        <v>173</v>
      </c>
      <c r="AK22" s="151">
        <v>12.75</v>
      </c>
      <c r="AL22" s="151">
        <v>-78.73</v>
      </c>
      <c r="AM22" s="151">
        <v>12.75</v>
      </c>
      <c r="AN22" s="151">
        <v>-78.73</v>
      </c>
      <c r="AO22" s="151">
        <v>-2828</v>
      </c>
      <c r="AP22" s="151">
        <v>-2828</v>
      </c>
      <c r="AQ22" s="142" t="s">
        <v>167</v>
      </c>
      <c r="AR22" s="142" t="s">
        <v>167</v>
      </c>
      <c r="AS22" s="175">
        <v>2618.69</v>
      </c>
      <c r="AT22" s="153" t="s">
        <v>174</v>
      </c>
      <c r="AU22" s="142">
        <v>6</v>
      </c>
      <c r="AV22" s="142">
        <v>6</v>
      </c>
      <c r="AW22" s="149" t="s">
        <v>167</v>
      </c>
      <c r="AX22" s="171" t="s">
        <v>243</v>
      </c>
      <c r="AY22" s="146" t="s">
        <v>167</v>
      </c>
      <c r="AZ22" t="s">
        <v>167</v>
      </c>
      <c r="BA22" t="s">
        <v>167</v>
      </c>
      <c r="BB22" t="s">
        <v>167</v>
      </c>
      <c r="BC22" t="s">
        <v>167</v>
      </c>
      <c r="BD22" t="s">
        <v>167</v>
      </c>
      <c r="BE22" t="s">
        <v>167</v>
      </c>
      <c r="BF22" t="s">
        <v>167</v>
      </c>
      <c r="BG22" s="154" t="s">
        <v>175</v>
      </c>
      <c r="BH22" t="s">
        <v>176</v>
      </c>
      <c r="BI22" s="155" t="s">
        <v>177</v>
      </c>
      <c r="BJ22" s="156" t="s">
        <v>178</v>
      </c>
      <c r="BK22" s="156" t="s">
        <v>179</v>
      </c>
      <c r="BL22" s="156" t="s">
        <v>180</v>
      </c>
      <c r="BM22" s="157" t="s">
        <v>181</v>
      </c>
      <c r="BN22" s="142" t="s">
        <v>182</v>
      </c>
      <c r="BO22" s="142" t="s">
        <v>182</v>
      </c>
      <c r="BP22" s="142" t="s">
        <v>182</v>
      </c>
      <c r="BQ22" s="152">
        <v>20.4209</v>
      </c>
      <c r="BR22" t="s">
        <v>183</v>
      </c>
      <c r="BS22" s="152">
        <v>9.1060144999999995E-2</v>
      </c>
      <c r="BT22">
        <v>0.6</v>
      </c>
      <c r="BU22" t="s">
        <v>184</v>
      </c>
      <c r="BV22" s="153">
        <v>0.08</v>
      </c>
      <c r="BW22">
        <v>8.8699999999999992</v>
      </c>
      <c r="BX22" t="s">
        <v>185</v>
      </c>
      <c r="BY22">
        <v>1.52</v>
      </c>
      <c r="BZ22" t="s">
        <v>224</v>
      </c>
      <c r="CA22" t="s">
        <v>187</v>
      </c>
      <c r="CB22" s="158">
        <f t="shared" si="5"/>
        <v>19.2515</v>
      </c>
      <c r="CC22" t="s">
        <v>184</v>
      </c>
      <c r="CD22" s="149" t="s">
        <v>167</v>
      </c>
      <c r="CE22" s="149" t="s">
        <v>167</v>
      </c>
      <c r="CF22" t="s">
        <v>188</v>
      </c>
      <c r="CG22" t="s">
        <v>189</v>
      </c>
      <c r="CH22" t="s">
        <v>190</v>
      </c>
      <c r="CI22" t="s">
        <v>190</v>
      </c>
      <c r="CJ22" s="152">
        <v>27.460439999999998</v>
      </c>
      <c r="CK22" t="s">
        <v>184</v>
      </c>
      <c r="CL22" s="159">
        <v>3</v>
      </c>
      <c r="CM22" s="159">
        <v>3</v>
      </c>
      <c r="CN22" s="152">
        <v>3.5311065999738918</v>
      </c>
      <c r="CO22" s="152">
        <v>3.5311065999738918</v>
      </c>
      <c r="CP22" t="s">
        <v>191</v>
      </c>
      <c r="CQ22" s="145">
        <f t="shared" si="6"/>
        <v>9.5339878199295069E-2</v>
      </c>
      <c r="CR22" s="145">
        <f t="shared" si="7"/>
        <v>9.5339878199295069E-2</v>
      </c>
      <c r="CS22" s="142" t="s">
        <v>192</v>
      </c>
      <c r="CT22" s="147" t="s">
        <v>193</v>
      </c>
      <c r="CU22" s="152">
        <v>4.1529296041549486</v>
      </c>
      <c r="CV22" s="152" t="s">
        <v>194</v>
      </c>
      <c r="CW22" t="s">
        <v>167</v>
      </c>
      <c r="CX22" t="s">
        <v>195</v>
      </c>
      <c r="CY22" t="s">
        <v>167</v>
      </c>
      <c r="CZ22" t="s">
        <v>167</v>
      </c>
      <c r="DA22" t="s">
        <v>167</v>
      </c>
      <c r="DB22" t="s">
        <v>167</v>
      </c>
      <c r="DC22" t="s">
        <v>167</v>
      </c>
      <c r="DD22" t="s">
        <v>167</v>
      </c>
      <c r="DE22" t="s">
        <v>167</v>
      </c>
      <c r="DF22" t="s">
        <v>167</v>
      </c>
      <c r="DG22" s="160">
        <v>35</v>
      </c>
      <c r="DH22" t="s">
        <v>174</v>
      </c>
      <c r="DI22">
        <v>3</v>
      </c>
      <c r="DJ22" s="161" t="s">
        <v>196</v>
      </c>
      <c r="DK22" s="146" t="s">
        <v>167</v>
      </c>
      <c r="DL22" s="146" t="s">
        <v>167</v>
      </c>
      <c r="DM22" s="146" t="s">
        <v>167</v>
      </c>
      <c r="DN22" s="146" t="s">
        <v>167</v>
      </c>
      <c r="DO22" s="146" t="s">
        <v>167</v>
      </c>
      <c r="DP22" s="146" t="s">
        <v>167</v>
      </c>
      <c r="DQ22" s="146" t="s">
        <v>167</v>
      </c>
      <c r="DR22" s="146" t="s">
        <v>167</v>
      </c>
      <c r="DS22" s="146" t="s">
        <v>167</v>
      </c>
      <c r="DT22" s="146" t="s">
        <v>167</v>
      </c>
      <c r="DU22" s="146" t="s">
        <v>167</v>
      </c>
      <c r="DV22" s="146" t="s">
        <v>167</v>
      </c>
      <c r="DW22" s="143">
        <v>432.56244218316402</v>
      </c>
      <c r="DX22" t="s">
        <v>197</v>
      </c>
      <c r="DY22" s="142">
        <v>37.1</v>
      </c>
      <c r="DZ22" t="s">
        <v>198</v>
      </c>
      <c r="EA22" s="152">
        <v>39.233740509999997</v>
      </c>
      <c r="EB22" s="149" t="s">
        <v>185</v>
      </c>
      <c r="EC22" s="162">
        <v>0.2</v>
      </c>
      <c r="ED22" t="s">
        <v>199</v>
      </c>
      <c r="EE22" t="s">
        <v>225</v>
      </c>
      <c r="EF22" t="s">
        <v>201</v>
      </c>
      <c r="EG22">
        <v>1.0271999999999999</v>
      </c>
      <c r="EH22" t="s">
        <v>202</v>
      </c>
      <c r="EI22">
        <v>5.9999999999999995E-4</v>
      </c>
      <c r="EJ22" t="s">
        <v>203</v>
      </c>
      <c r="EK22" t="s">
        <v>167</v>
      </c>
      <c r="EL22" t="s">
        <v>167</v>
      </c>
      <c r="EM22" t="s">
        <v>204</v>
      </c>
      <c r="EN22" t="s">
        <v>226</v>
      </c>
      <c r="EO22" t="s">
        <v>206</v>
      </c>
      <c r="EP22" t="s">
        <v>206</v>
      </c>
      <c r="EQ22" s="146" t="s">
        <v>167</v>
      </c>
      <c r="ER22" t="s">
        <v>167</v>
      </c>
      <c r="ES22" t="s">
        <v>167</v>
      </c>
      <c r="ET22" t="s">
        <v>207</v>
      </c>
      <c r="EU22" t="s">
        <v>208</v>
      </c>
      <c r="EV22" t="s">
        <v>227</v>
      </c>
      <c r="EW22" s="163">
        <v>2330</v>
      </c>
      <c r="EX22" t="s">
        <v>210</v>
      </c>
      <c r="EY22">
        <v>175</v>
      </c>
      <c r="EZ22">
        <v>175</v>
      </c>
      <c r="FA22" t="s">
        <v>167</v>
      </c>
      <c r="FB22" t="s">
        <v>167</v>
      </c>
      <c r="FC22" t="s">
        <v>167</v>
      </c>
      <c r="FD22" t="s">
        <v>167</v>
      </c>
      <c r="FE22" s="152">
        <v>8.1455558968338604</v>
      </c>
      <c r="FF22" s="164" t="s">
        <v>211</v>
      </c>
      <c r="FG22" s="152">
        <v>6.2826227927939016E-2</v>
      </c>
      <c r="FH22" s="152">
        <v>6.1355948561161E-2</v>
      </c>
      <c r="FI22" s="145">
        <v>299.521083298034</v>
      </c>
      <c r="FJ22" s="149">
        <v>21</v>
      </c>
      <c r="FK22" s="149" t="s">
        <v>212</v>
      </c>
      <c r="FL22" s="152">
        <v>278.521083298034</v>
      </c>
      <c r="FM22" s="152">
        <v>62.352023097971028</v>
      </c>
      <c r="FN22" s="152">
        <v>54.565996065012996</v>
      </c>
      <c r="FO22" s="144" t="s">
        <v>213</v>
      </c>
      <c r="FP22" s="144" t="s">
        <v>214</v>
      </c>
      <c r="FQ22" t="s">
        <v>215</v>
      </c>
      <c r="FR22" t="s">
        <v>215</v>
      </c>
      <c r="FS22" t="s">
        <v>215</v>
      </c>
      <c r="FT22" t="s">
        <v>215</v>
      </c>
      <c r="FU22" t="s">
        <v>215</v>
      </c>
      <c r="FV22" t="s">
        <v>215</v>
      </c>
      <c r="FW22" t="s">
        <v>215</v>
      </c>
      <c r="FX22" t="s">
        <v>215</v>
      </c>
      <c r="FY22" t="s">
        <v>215</v>
      </c>
      <c r="FZ22" t="s">
        <v>215</v>
      </c>
      <c r="GA22" t="s">
        <v>215</v>
      </c>
      <c r="GB22" t="s">
        <v>215</v>
      </c>
    </row>
    <row r="23" spans="1:184" ht="18" x14ac:dyDescent="0.2">
      <c r="A23" t="s">
        <v>240</v>
      </c>
      <c r="B23" s="141" t="s">
        <v>241</v>
      </c>
      <c r="C23" s="138" t="s">
        <v>168</v>
      </c>
      <c r="D23" t="s">
        <v>239</v>
      </c>
      <c r="E23">
        <v>2015</v>
      </c>
      <c r="F23" t="str">
        <f t="shared" si="9"/>
        <v>10.1038/nature14145</v>
      </c>
      <c r="G23" s="175">
        <v>2626.86</v>
      </c>
      <c r="H23" s="142">
        <f t="shared" si="0"/>
        <v>6</v>
      </c>
      <c r="I23" s="142">
        <f t="shared" si="1"/>
        <v>6</v>
      </c>
      <c r="J23" s="148">
        <f t="shared" si="2"/>
        <v>304.92913325198901</v>
      </c>
      <c r="K23" s="148">
        <f t="shared" si="3"/>
        <v>70.032769788869984</v>
      </c>
      <c r="L23" s="148">
        <f t="shared" si="4"/>
        <v>58.911550294767011</v>
      </c>
      <c r="M23" t="b">
        <v>1</v>
      </c>
      <c r="N23">
        <v>3</v>
      </c>
      <c r="O23" t="s">
        <v>245</v>
      </c>
      <c r="P23" s="174" t="s">
        <v>259</v>
      </c>
      <c r="Q23" t="b">
        <v>0</v>
      </c>
      <c r="R23" t="s">
        <v>167</v>
      </c>
      <c r="S23" t="b">
        <v>0</v>
      </c>
      <c r="T23" t="b">
        <v>0</v>
      </c>
      <c r="U23" t="s">
        <v>167</v>
      </c>
      <c r="V23" t="s">
        <v>167</v>
      </c>
      <c r="W23" t="b">
        <v>0</v>
      </c>
      <c r="X23" t="s">
        <v>260</v>
      </c>
      <c r="Y23" s="150" t="s">
        <v>169</v>
      </c>
      <c r="Z23" t="s">
        <v>170</v>
      </c>
      <c r="AA23" t="s">
        <v>171</v>
      </c>
      <c r="AB23" s="142" t="s">
        <v>172</v>
      </c>
      <c r="AC23" s="146">
        <v>10</v>
      </c>
      <c r="AD23" s="146">
        <v>2</v>
      </c>
      <c r="AE23" s="146">
        <v>50</v>
      </c>
      <c r="AF23" s="146">
        <v>52</v>
      </c>
      <c r="AG23" s="146" t="s">
        <v>167</v>
      </c>
      <c r="AH23" s="146" t="s">
        <v>167</v>
      </c>
      <c r="AI23" s="146" t="s">
        <v>167</v>
      </c>
      <c r="AJ23" t="s">
        <v>173</v>
      </c>
      <c r="AK23" s="151">
        <v>12.75</v>
      </c>
      <c r="AL23" s="151">
        <v>-78.73</v>
      </c>
      <c r="AM23" s="151">
        <v>12.75</v>
      </c>
      <c r="AN23" s="151">
        <v>-78.73</v>
      </c>
      <c r="AO23" s="151">
        <v>-2828</v>
      </c>
      <c r="AP23" s="151">
        <v>-2828</v>
      </c>
      <c r="AQ23" s="142" t="s">
        <v>167</v>
      </c>
      <c r="AR23" s="142" t="s">
        <v>167</v>
      </c>
      <c r="AS23" s="175">
        <v>2626.86</v>
      </c>
      <c r="AT23" s="153" t="s">
        <v>174</v>
      </c>
      <c r="AU23" s="142">
        <v>6</v>
      </c>
      <c r="AV23" s="142">
        <v>6</v>
      </c>
      <c r="AW23" s="149" t="s">
        <v>167</v>
      </c>
      <c r="AX23" s="171" t="s">
        <v>243</v>
      </c>
      <c r="AY23" s="146" t="s">
        <v>167</v>
      </c>
      <c r="AZ23" t="s">
        <v>167</v>
      </c>
      <c r="BA23" t="s">
        <v>167</v>
      </c>
      <c r="BB23" t="s">
        <v>167</v>
      </c>
      <c r="BC23" t="s">
        <v>167</v>
      </c>
      <c r="BD23" t="s">
        <v>167</v>
      </c>
      <c r="BE23" t="s">
        <v>167</v>
      </c>
      <c r="BF23" t="s">
        <v>167</v>
      </c>
      <c r="BG23" s="154" t="s">
        <v>175</v>
      </c>
      <c r="BH23" t="s">
        <v>176</v>
      </c>
      <c r="BI23" s="155" t="s">
        <v>177</v>
      </c>
      <c r="BJ23" s="155" t="s">
        <v>178</v>
      </c>
      <c r="BK23" s="156" t="s">
        <v>179</v>
      </c>
      <c r="BL23" s="156" t="s">
        <v>180</v>
      </c>
      <c r="BM23" t="s">
        <v>181</v>
      </c>
      <c r="BN23" s="142" t="s">
        <v>182</v>
      </c>
      <c r="BO23" s="142" t="s">
        <v>182</v>
      </c>
      <c r="BP23" s="142" t="s">
        <v>182</v>
      </c>
      <c r="BQ23" s="152">
        <v>20.23123</v>
      </c>
      <c r="BR23" t="s">
        <v>183</v>
      </c>
      <c r="BS23" s="152">
        <v>0.10461555</v>
      </c>
      <c r="BT23">
        <v>0.6</v>
      </c>
      <c r="BU23" t="s">
        <v>184</v>
      </c>
      <c r="BV23" s="153">
        <v>0.08</v>
      </c>
      <c r="BW23">
        <v>8.8699999999999992</v>
      </c>
      <c r="BX23" t="s">
        <v>185</v>
      </c>
      <c r="BY23">
        <v>1.52</v>
      </c>
      <c r="BZ23" t="s">
        <v>224</v>
      </c>
      <c r="CA23" t="s">
        <v>187</v>
      </c>
      <c r="CB23" s="158">
        <f t="shared" si="5"/>
        <v>18.935383333333334</v>
      </c>
      <c r="CC23" t="s">
        <v>184</v>
      </c>
      <c r="CD23" s="149" t="s">
        <v>167</v>
      </c>
      <c r="CE23" s="149" t="s">
        <v>167</v>
      </c>
      <c r="CF23" t="s">
        <v>188</v>
      </c>
      <c r="CG23" t="s">
        <v>189</v>
      </c>
      <c r="CH23" t="s">
        <v>190</v>
      </c>
      <c r="CI23" t="s">
        <v>190</v>
      </c>
      <c r="CJ23" s="152">
        <v>27.679960000000001</v>
      </c>
      <c r="CK23" t="s">
        <v>184</v>
      </c>
      <c r="CL23" s="159">
        <v>3</v>
      </c>
      <c r="CM23" s="159">
        <v>3</v>
      </c>
      <c r="CN23" s="152">
        <v>3.6002217340636267</v>
      </c>
      <c r="CO23" s="152">
        <v>3.6002217340636267</v>
      </c>
      <c r="CP23" t="s">
        <v>191</v>
      </c>
      <c r="CQ23" s="145">
        <f t="shared" si="6"/>
        <v>9.7205986819717913E-2</v>
      </c>
      <c r="CR23" s="145">
        <f t="shared" si="7"/>
        <v>9.7205986819717913E-2</v>
      </c>
      <c r="CS23" s="142" t="s">
        <v>192</v>
      </c>
      <c r="CT23" s="147" t="s">
        <v>193</v>
      </c>
      <c r="CU23" s="152">
        <v>4.1491565100784182</v>
      </c>
      <c r="CV23" s="152" t="s">
        <v>194</v>
      </c>
      <c r="CW23" t="s">
        <v>167</v>
      </c>
      <c r="CX23" t="s">
        <v>195</v>
      </c>
      <c r="CY23" t="s">
        <v>167</v>
      </c>
      <c r="CZ23" t="s">
        <v>167</v>
      </c>
      <c r="DA23" t="s">
        <v>167</v>
      </c>
      <c r="DB23" t="s">
        <v>167</v>
      </c>
      <c r="DC23" t="s">
        <v>167</v>
      </c>
      <c r="DD23" t="s">
        <v>167</v>
      </c>
      <c r="DE23" t="s">
        <v>167</v>
      </c>
      <c r="DF23" t="s">
        <v>167</v>
      </c>
      <c r="DG23" s="160">
        <v>35</v>
      </c>
      <c r="DH23" t="s">
        <v>174</v>
      </c>
      <c r="DI23">
        <v>3</v>
      </c>
      <c r="DJ23" s="161" t="s">
        <v>196</v>
      </c>
      <c r="DK23" s="146" t="s">
        <v>167</v>
      </c>
      <c r="DL23" s="146" t="s">
        <v>167</v>
      </c>
      <c r="DM23" s="146" t="s">
        <v>167</v>
      </c>
      <c r="DN23" s="146" t="s">
        <v>167</v>
      </c>
      <c r="DO23" s="146" t="s">
        <v>167</v>
      </c>
      <c r="DP23" s="146" t="s">
        <v>167</v>
      </c>
      <c r="DQ23" s="146" t="s">
        <v>167</v>
      </c>
      <c r="DR23" s="146" t="s">
        <v>167</v>
      </c>
      <c r="DS23" s="146" t="s">
        <v>167</v>
      </c>
      <c r="DT23" s="146" t="s">
        <v>167</v>
      </c>
      <c r="DU23" s="146" t="s">
        <v>167</v>
      </c>
      <c r="DV23" s="146" t="s">
        <v>167</v>
      </c>
      <c r="DW23" s="143">
        <v>432.56244218316402</v>
      </c>
      <c r="DX23" t="s">
        <v>197</v>
      </c>
      <c r="DY23" s="142">
        <v>37.1</v>
      </c>
      <c r="DZ23" t="s">
        <v>198</v>
      </c>
      <c r="EA23" s="152">
        <v>39.232382149999999</v>
      </c>
      <c r="EB23" s="149" t="s">
        <v>185</v>
      </c>
      <c r="EC23" s="162">
        <v>0.2</v>
      </c>
      <c r="ED23" t="s">
        <v>199</v>
      </c>
      <c r="EE23" t="s">
        <v>225</v>
      </c>
      <c r="EF23" t="s">
        <v>201</v>
      </c>
      <c r="EG23">
        <v>1.0271999999999999</v>
      </c>
      <c r="EH23" t="s">
        <v>202</v>
      </c>
      <c r="EI23">
        <v>5.9999999999999995E-4</v>
      </c>
      <c r="EJ23" t="s">
        <v>203</v>
      </c>
      <c r="EK23" t="s">
        <v>167</v>
      </c>
      <c r="EL23" t="s">
        <v>167</v>
      </c>
      <c r="EM23" t="s">
        <v>204</v>
      </c>
      <c r="EN23" t="s">
        <v>226</v>
      </c>
      <c r="EO23" t="s">
        <v>206</v>
      </c>
      <c r="EP23" t="s">
        <v>206</v>
      </c>
      <c r="EQ23" s="146" t="s">
        <v>167</v>
      </c>
      <c r="ER23" t="s">
        <v>167</v>
      </c>
      <c r="ES23" t="s">
        <v>167</v>
      </c>
      <c r="ET23" t="s">
        <v>207</v>
      </c>
      <c r="EU23" t="s">
        <v>208</v>
      </c>
      <c r="EV23" t="s">
        <v>227</v>
      </c>
      <c r="EW23" s="163">
        <v>2330</v>
      </c>
      <c r="EX23" t="s">
        <v>210</v>
      </c>
      <c r="EY23">
        <v>175</v>
      </c>
      <c r="EZ23">
        <v>175</v>
      </c>
      <c r="FA23" t="s">
        <v>167</v>
      </c>
      <c r="FB23" t="s">
        <v>167</v>
      </c>
      <c r="FC23" t="s">
        <v>167</v>
      </c>
      <c r="FD23" t="s">
        <v>167</v>
      </c>
      <c r="FE23" s="152">
        <v>8.1171344795098808</v>
      </c>
      <c r="FF23" s="164" t="s">
        <v>211</v>
      </c>
      <c r="FG23" s="152">
        <v>6.2658926240040103E-2</v>
      </c>
      <c r="FH23" s="152">
        <v>6.3773267882771378E-2</v>
      </c>
      <c r="FI23" s="145">
        <v>325.92913325198901</v>
      </c>
      <c r="FJ23" s="149">
        <v>21</v>
      </c>
      <c r="FK23" s="149" t="s">
        <v>212</v>
      </c>
      <c r="FL23" s="152">
        <v>304.92913325198901</v>
      </c>
      <c r="FM23" s="152">
        <v>70.032769788869984</v>
      </c>
      <c r="FN23" s="152">
        <v>58.911550294767011</v>
      </c>
      <c r="FO23" s="144" t="s">
        <v>213</v>
      </c>
      <c r="FP23" s="144" t="s">
        <v>214</v>
      </c>
      <c r="FQ23" t="s">
        <v>215</v>
      </c>
      <c r="FR23" t="s">
        <v>215</v>
      </c>
      <c r="FS23" t="s">
        <v>215</v>
      </c>
      <c r="FT23" t="s">
        <v>215</v>
      </c>
      <c r="FU23" t="s">
        <v>215</v>
      </c>
      <c r="FV23" t="s">
        <v>215</v>
      </c>
      <c r="FW23" t="s">
        <v>215</v>
      </c>
      <c r="FX23" t="s">
        <v>215</v>
      </c>
      <c r="FY23" t="s">
        <v>215</v>
      </c>
      <c r="FZ23" t="s">
        <v>215</v>
      </c>
      <c r="GA23" t="s">
        <v>215</v>
      </c>
      <c r="GB23" t="s">
        <v>215</v>
      </c>
    </row>
    <row r="24" spans="1:184" ht="18" x14ac:dyDescent="0.2">
      <c r="A24" t="s">
        <v>240</v>
      </c>
      <c r="B24" s="141" t="s">
        <v>241</v>
      </c>
      <c r="C24" s="138" t="s">
        <v>168</v>
      </c>
      <c r="D24" t="s">
        <v>239</v>
      </c>
      <c r="E24">
        <v>2015</v>
      </c>
      <c r="F24" t="str">
        <f t="shared" si="9"/>
        <v>10.1038/nature14145</v>
      </c>
      <c r="G24" s="175">
        <v>2632.74</v>
      </c>
      <c r="H24" s="142">
        <f t="shared" si="0"/>
        <v>6</v>
      </c>
      <c r="I24" s="142">
        <f t="shared" si="1"/>
        <v>6</v>
      </c>
      <c r="J24" s="148">
        <f t="shared" si="2"/>
        <v>244.921315066369</v>
      </c>
      <c r="K24" s="148">
        <f t="shared" si="3"/>
        <v>56.439116786244995</v>
      </c>
      <c r="L24" s="148">
        <f t="shared" si="4"/>
        <v>49.096387663025013</v>
      </c>
      <c r="M24" t="b">
        <v>1</v>
      </c>
      <c r="N24">
        <v>3</v>
      </c>
      <c r="O24" t="s">
        <v>245</v>
      </c>
      <c r="P24" s="174" t="s">
        <v>259</v>
      </c>
      <c r="Q24" t="b">
        <v>0</v>
      </c>
      <c r="R24" t="s">
        <v>167</v>
      </c>
      <c r="S24" t="b">
        <v>0</v>
      </c>
      <c r="T24" t="b">
        <v>0</v>
      </c>
      <c r="U24" t="s">
        <v>167</v>
      </c>
      <c r="V24" t="s">
        <v>167</v>
      </c>
      <c r="W24" t="b">
        <v>0</v>
      </c>
      <c r="X24" t="s">
        <v>260</v>
      </c>
      <c r="Y24" s="150" t="s">
        <v>169</v>
      </c>
      <c r="Z24" t="s">
        <v>170</v>
      </c>
      <c r="AA24" t="s">
        <v>171</v>
      </c>
      <c r="AB24" s="142" t="s">
        <v>172</v>
      </c>
      <c r="AC24" s="146">
        <v>10</v>
      </c>
      <c r="AD24" s="146">
        <v>2</v>
      </c>
      <c r="AE24" s="146">
        <v>70</v>
      </c>
      <c r="AF24" s="146">
        <v>72</v>
      </c>
      <c r="AG24" s="146" t="s">
        <v>167</v>
      </c>
      <c r="AH24" s="146" t="s">
        <v>167</v>
      </c>
      <c r="AI24" s="146" t="s">
        <v>167</v>
      </c>
      <c r="AJ24" t="s">
        <v>173</v>
      </c>
      <c r="AK24" s="151">
        <v>12.75</v>
      </c>
      <c r="AL24" s="151">
        <v>-78.73</v>
      </c>
      <c r="AM24" s="151">
        <v>12.75</v>
      </c>
      <c r="AN24" s="151">
        <v>-78.73</v>
      </c>
      <c r="AO24" s="151">
        <v>-2828</v>
      </c>
      <c r="AP24" s="151">
        <v>-2828</v>
      </c>
      <c r="AQ24" s="142" t="s">
        <v>167</v>
      </c>
      <c r="AR24" s="142" t="s">
        <v>167</v>
      </c>
      <c r="AS24" s="175">
        <v>2632.74</v>
      </c>
      <c r="AT24" s="153" t="s">
        <v>174</v>
      </c>
      <c r="AU24" s="142">
        <v>6</v>
      </c>
      <c r="AV24" s="142">
        <v>6</v>
      </c>
      <c r="AW24" s="149" t="s">
        <v>167</v>
      </c>
      <c r="AX24" s="171" t="s">
        <v>243</v>
      </c>
      <c r="AY24" s="146" t="s">
        <v>167</v>
      </c>
      <c r="AZ24" t="s">
        <v>167</v>
      </c>
      <c r="BA24" t="s">
        <v>167</v>
      </c>
      <c r="BB24" t="s">
        <v>167</v>
      </c>
      <c r="BC24" t="s">
        <v>167</v>
      </c>
      <c r="BD24" t="s">
        <v>167</v>
      </c>
      <c r="BE24" t="s">
        <v>167</v>
      </c>
      <c r="BF24" t="s">
        <v>167</v>
      </c>
      <c r="BG24" s="154" t="s">
        <v>175</v>
      </c>
      <c r="BH24" t="s">
        <v>176</v>
      </c>
      <c r="BI24" s="155" t="s">
        <v>177</v>
      </c>
      <c r="BJ24" s="156" t="s">
        <v>178</v>
      </c>
      <c r="BK24" s="156" t="s">
        <v>179</v>
      </c>
      <c r="BL24" s="156" t="s">
        <v>180</v>
      </c>
      <c r="BM24" s="157" t="s">
        <v>181</v>
      </c>
      <c r="BN24" s="142" t="s">
        <v>182</v>
      </c>
      <c r="BO24" s="142" t="s">
        <v>182</v>
      </c>
      <c r="BP24" s="142" t="s">
        <v>182</v>
      </c>
      <c r="BQ24" s="152">
        <v>20.798290000000001</v>
      </c>
      <c r="BR24" t="s">
        <v>183</v>
      </c>
      <c r="BS24" s="152">
        <v>0.101870302</v>
      </c>
      <c r="BT24">
        <v>0.6</v>
      </c>
      <c r="BU24" t="s">
        <v>184</v>
      </c>
      <c r="BV24" s="153">
        <v>0.08</v>
      </c>
      <c r="BW24">
        <v>8.8699999999999992</v>
      </c>
      <c r="BX24" t="s">
        <v>185</v>
      </c>
      <c r="BY24">
        <v>1.52</v>
      </c>
      <c r="BZ24" t="s">
        <v>224</v>
      </c>
      <c r="CA24" t="s">
        <v>187</v>
      </c>
      <c r="CB24" s="158">
        <f t="shared" si="5"/>
        <v>19.880483333333338</v>
      </c>
      <c r="CC24" t="s">
        <v>184</v>
      </c>
      <c r="CD24" s="149" t="s">
        <v>167</v>
      </c>
      <c r="CE24" s="149" t="s">
        <v>167</v>
      </c>
      <c r="CF24" t="s">
        <v>188</v>
      </c>
      <c r="CG24" t="s">
        <v>189</v>
      </c>
      <c r="CH24" t="s">
        <v>190</v>
      </c>
      <c r="CI24" t="s">
        <v>190</v>
      </c>
      <c r="CJ24" s="152">
        <v>28.54806</v>
      </c>
      <c r="CK24" t="s">
        <v>184</v>
      </c>
      <c r="CL24" s="159">
        <v>3</v>
      </c>
      <c r="CM24" s="159">
        <v>3</v>
      </c>
      <c r="CN24" s="152">
        <v>3.891792889639659</v>
      </c>
      <c r="CO24" s="152">
        <v>3.891792889639659</v>
      </c>
      <c r="CP24" t="s">
        <v>191</v>
      </c>
      <c r="CQ24" s="145">
        <f t="shared" si="6"/>
        <v>0.1050784080202708</v>
      </c>
      <c r="CR24" s="145">
        <f t="shared" si="7"/>
        <v>0.1050784080202708</v>
      </c>
      <c r="CS24" s="142" t="s">
        <v>192</v>
      </c>
      <c r="CT24" s="147" t="s">
        <v>193</v>
      </c>
      <c r="CU24" s="152">
        <v>4.1465819193301208</v>
      </c>
      <c r="CV24" s="152" t="s">
        <v>194</v>
      </c>
      <c r="CW24" t="s">
        <v>167</v>
      </c>
      <c r="CX24" t="s">
        <v>195</v>
      </c>
      <c r="CY24" t="s">
        <v>167</v>
      </c>
      <c r="CZ24" t="s">
        <v>167</v>
      </c>
      <c r="DA24" t="s">
        <v>167</v>
      </c>
      <c r="DB24" t="s">
        <v>167</v>
      </c>
      <c r="DC24" t="s">
        <v>167</v>
      </c>
      <c r="DD24" t="s">
        <v>167</v>
      </c>
      <c r="DE24" t="s">
        <v>167</v>
      </c>
      <c r="DF24" t="s">
        <v>167</v>
      </c>
      <c r="DG24" s="160">
        <v>35</v>
      </c>
      <c r="DH24" t="s">
        <v>174</v>
      </c>
      <c r="DI24">
        <v>3</v>
      </c>
      <c r="DJ24" s="161" t="s">
        <v>196</v>
      </c>
      <c r="DK24" s="146" t="s">
        <v>167</v>
      </c>
      <c r="DL24" s="146" t="s">
        <v>167</v>
      </c>
      <c r="DM24" s="146" t="s">
        <v>167</v>
      </c>
      <c r="DN24" s="146" t="s">
        <v>167</v>
      </c>
      <c r="DO24" s="146" t="s">
        <v>167</v>
      </c>
      <c r="DP24" s="146" t="s">
        <v>167</v>
      </c>
      <c r="DQ24" s="146" t="s">
        <v>167</v>
      </c>
      <c r="DR24" s="146" t="s">
        <v>167</v>
      </c>
      <c r="DS24" s="146" t="s">
        <v>167</v>
      </c>
      <c r="DT24" s="146" t="s">
        <v>167</v>
      </c>
      <c r="DU24" s="146" t="s">
        <v>167</v>
      </c>
      <c r="DV24" s="146" t="s">
        <v>167</v>
      </c>
      <c r="DW24" s="143">
        <v>432.56244218316402</v>
      </c>
      <c r="DX24" t="s">
        <v>197</v>
      </c>
      <c r="DY24" s="142">
        <v>37.1</v>
      </c>
      <c r="DZ24" t="s">
        <v>198</v>
      </c>
      <c r="EA24" s="152">
        <v>39.231459540000003</v>
      </c>
      <c r="EB24" s="149" t="s">
        <v>185</v>
      </c>
      <c r="EC24" s="162">
        <v>0.2</v>
      </c>
      <c r="ED24" t="s">
        <v>199</v>
      </c>
      <c r="EE24" t="s">
        <v>225</v>
      </c>
      <c r="EF24" t="s">
        <v>201</v>
      </c>
      <c r="EG24">
        <v>1.0271999999999999</v>
      </c>
      <c r="EH24" t="s">
        <v>202</v>
      </c>
      <c r="EI24">
        <v>5.9999999999999995E-4</v>
      </c>
      <c r="EJ24" t="s">
        <v>203</v>
      </c>
      <c r="EK24" t="s">
        <v>167</v>
      </c>
      <c r="EL24" t="s">
        <v>167</v>
      </c>
      <c r="EM24" t="s">
        <v>204</v>
      </c>
      <c r="EN24" t="s">
        <v>226</v>
      </c>
      <c r="EO24" t="s">
        <v>206</v>
      </c>
      <c r="EP24" t="s">
        <v>206</v>
      </c>
      <c r="EQ24" s="146" t="s">
        <v>167</v>
      </c>
      <c r="ER24" t="s">
        <v>167</v>
      </c>
      <c r="ES24" t="s">
        <v>167</v>
      </c>
      <c r="ET24" t="s">
        <v>207</v>
      </c>
      <c r="EU24" t="s">
        <v>208</v>
      </c>
      <c r="EV24" t="s">
        <v>227</v>
      </c>
      <c r="EW24" s="163">
        <v>2330</v>
      </c>
      <c r="EX24" t="s">
        <v>210</v>
      </c>
      <c r="EY24">
        <v>175</v>
      </c>
      <c r="EZ24">
        <v>175</v>
      </c>
      <c r="FA24" t="s">
        <v>167</v>
      </c>
      <c r="FB24" t="s">
        <v>167</v>
      </c>
      <c r="FC24" t="s">
        <v>167</v>
      </c>
      <c r="FD24" t="s">
        <v>167</v>
      </c>
      <c r="FE24" s="152">
        <v>8.1840924527333403</v>
      </c>
      <c r="FF24" s="164" t="s">
        <v>211</v>
      </c>
      <c r="FG24" s="152">
        <v>6.1847586667798993E-2</v>
      </c>
      <c r="FH24" s="152">
        <v>6.3402325443309593E-2</v>
      </c>
      <c r="FI24" s="145">
        <v>265.921315066369</v>
      </c>
      <c r="FJ24" s="149">
        <v>21</v>
      </c>
      <c r="FK24" s="149" t="s">
        <v>212</v>
      </c>
      <c r="FL24" s="152">
        <v>244.921315066369</v>
      </c>
      <c r="FM24" s="152">
        <v>56.439116786244995</v>
      </c>
      <c r="FN24" s="152">
        <v>49.096387663025013</v>
      </c>
      <c r="FO24" s="144" t="s">
        <v>213</v>
      </c>
      <c r="FP24" s="144" t="s">
        <v>214</v>
      </c>
      <c r="FQ24" t="s">
        <v>215</v>
      </c>
      <c r="FR24" t="s">
        <v>215</v>
      </c>
      <c r="FS24" t="s">
        <v>215</v>
      </c>
      <c r="FT24" t="s">
        <v>215</v>
      </c>
      <c r="FU24" t="s">
        <v>215</v>
      </c>
      <c r="FV24" t="s">
        <v>215</v>
      </c>
      <c r="FW24" t="s">
        <v>215</v>
      </c>
      <c r="FX24" t="s">
        <v>215</v>
      </c>
      <c r="FY24" t="s">
        <v>215</v>
      </c>
      <c r="FZ24" t="s">
        <v>215</v>
      </c>
      <c r="GA24" t="s">
        <v>215</v>
      </c>
      <c r="GB24" t="s">
        <v>215</v>
      </c>
    </row>
    <row r="25" spans="1:184" ht="18" x14ac:dyDescent="0.2">
      <c r="A25" t="s">
        <v>240</v>
      </c>
      <c r="B25" s="141" t="s">
        <v>241</v>
      </c>
      <c r="C25" s="138" t="s">
        <v>168</v>
      </c>
      <c r="D25" t="s">
        <v>239</v>
      </c>
      <c r="E25">
        <v>2015</v>
      </c>
      <c r="F25" t="str">
        <f t="shared" si="9"/>
        <v>10.1038/nature14145</v>
      </c>
      <c r="G25" s="175">
        <v>2647.36</v>
      </c>
      <c r="H25" s="142">
        <f t="shared" si="0"/>
        <v>6</v>
      </c>
      <c r="I25" s="142">
        <f t="shared" si="1"/>
        <v>6</v>
      </c>
      <c r="J25" s="148">
        <f t="shared" si="2"/>
        <v>281.85195584967698</v>
      </c>
      <c r="K25" s="148">
        <f t="shared" si="3"/>
        <v>64.041124043442039</v>
      </c>
      <c r="L25" s="148">
        <f t="shared" si="4"/>
        <v>55.42898816883897</v>
      </c>
      <c r="M25" t="b">
        <v>1</v>
      </c>
      <c r="N25">
        <v>3</v>
      </c>
      <c r="O25" t="s">
        <v>245</v>
      </c>
      <c r="P25" s="174" t="s">
        <v>259</v>
      </c>
      <c r="Q25" t="b">
        <v>0</v>
      </c>
      <c r="R25" t="s">
        <v>167</v>
      </c>
      <c r="S25" t="b">
        <v>0</v>
      </c>
      <c r="T25" t="b">
        <v>0</v>
      </c>
      <c r="U25" t="s">
        <v>167</v>
      </c>
      <c r="V25" t="s">
        <v>167</v>
      </c>
      <c r="W25" t="b">
        <v>0</v>
      </c>
      <c r="X25" t="s">
        <v>260</v>
      </c>
      <c r="Y25" s="150" t="s">
        <v>169</v>
      </c>
      <c r="Z25" t="s">
        <v>170</v>
      </c>
      <c r="AA25" t="s">
        <v>171</v>
      </c>
      <c r="AB25" s="142" t="s">
        <v>172</v>
      </c>
      <c r="AC25" s="146">
        <v>10</v>
      </c>
      <c r="AD25" s="146">
        <v>2</v>
      </c>
      <c r="AE25" s="146">
        <v>121</v>
      </c>
      <c r="AF25" s="146">
        <v>123</v>
      </c>
      <c r="AG25" s="146" t="s">
        <v>167</v>
      </c>
      <c r="AH25" s="146" t="s">
        <v>167</v>
      </c>
      <c r="AI25" s="146" t="s">
        <v>167</v>
      </c>
      <c r="AJ25" t="s">
        <v>173</v>
      </c>
      <c r="AK25" s="151">
        <v>12.75</v>
      </c>
      <c r="AL25" s="151">
        <v>-78.73</v>
      </c>
      <c r="AM25" s="151">
        <v>12.75</v>
      </c>
      <c r="AN25" s="151">
        <v>-78.73</v>
      </c>
      <c r="AO25" s="151">
        <v>-2828</v>
      </c>
      <c r="AP25" s="151">
        <v>-2828</v>
      </c>
      <c r="AQ25" s="142" t="s">
        <v>167</v>
      </c>
      <c r="AR25" s="142" t="s">
        <v>167</v>
      </c>
      <c r="AS25" s="175">
        <v>2647.36</v>
      </c>
      <c r="AT25" s="153" t="s">
        <v>174</v>
      </c>
      <c r="AU25" s="142">
        <v>6</v>
      </c>
      <c r="AV25" s="142">
        <v>6</v>
      </c>
      <c r="AW25" s="149" t="s">
        <v>167</v>
      </c>
      <c r="AX25" s="171" t="s">
        <v>243</v>
      </c>
      <c r="AY25" s="146" t="s">
        <v>167</v>
      </c>
      <c r="AZ25" t="s">
        <v>167</v>
      </c>
      <c r="BA25" t="s">
        <v>167</v>
      </c>
      <c r="BB25" t="s">
        <v>167</v>
      </c>
      <c r="BC25" t="s">
        <v>167</v>
      </c>
      <c r="BD25" t="s">
        <v>167</v>
      </c>
      <c r="BE25" t="s">
        <v>167</v>
      </c>
      <c r="BF25" t="s">
        <v>167</v>
      </c>
      <c r="BG25" s="154" t="s">
        <v>175</v>
      </c>
      <c r="BH25" t="s">
        <v>176</v>
      </c>
      <c r="BI25" s="155" t="s">
        <v>177</v>
      </c>
      <c r="BJ25" s="155" t="s">
        <v>178</v>
      </c>
      <c r="BK25" s="156" t="s">
        <v>179</v>
      </c>
      <c r="BL25" s="156" t="s">
        <v>180</v>
      </c>
      <c r="BM25" t="s">
        <v>181</v>
      </c>
      <c r="BN25" s="142" t="s">
        <v>182</v>
      </c>
      <c r="BO25" s="142" t="s">
        <v>182</v>
      </c>
      <c r="BP25" s="142" t="s">
        <v>182</v>
      </c>
      <c r="BQ25" s="152">
        <v>20.425730000000001</v>
      </c>
      <c r="BR25" t="s">
        <v>183</v>
      </c>
      <c r="BS25" s="152">
        <v>9.3641294E-2</v>
      </c>
      <c r="BT25">
        <v>0.6</v>
      </c>
      <c r="BU25" t="s">
        <v>184</v>
      </c>
      <c r="BV25" s="153">
        <v>0.08</v>
      </c>
      <c r="BW25">
        <v>8.8699999999999992</v>
      </c>
      <c r="BX25" t="s">
        <v>185</v>
      </c>
      <c r="BY25">
        <v>1.52</v>
      </c>
      <c r="BZ25" t="s">
        <v>224</v>
      </c>
      <c r="CA25" t="s">
        <v>187</v>
      </c>
      <c r="CB25" s="158">
        <f t="shared" si="5"/>
        <v>19.259550000000004</v>
      </c>
      <c r="CC25" t="s">
        <v>184</v>
      </c>
      <c r="CD25" s="149" t="s">
        <v>167</v>
      </c>
      <c r="CE25" s="149" t="s">
        <v>167</v>
      </c>
      <c r="CF25" t="s">
        <v>188</v>
      </c>
      <c r="CG25" t="s">
        <v>189</v>
      </c>
      <c r="CH25" t="s">
        <v>190</v>
      </c>
      <c r="CI25" t="s">
        <v>190</v>
      </c>
      <c r="CJ25" s="152">
        <v>27.90812</v>
      </c>
      <c r="CK25" t="s">
        <v>184</v>
      </c>
      <c r="CL25" s="159">
        <v>3</v>
      </c>
      <c r="CM25" s="159">
        <v>3</v>
      </c>
      <c r="CN25" s="152">
        <v>3.6714242642324173</v>
      </c>
      <c r="CO25" s="152">
        <v>3.6714242642324173</v>
      </c>
      <c r="CP25" t="s">
        <v>191</v>
      </c>
      <c r="CQ25" s="145">
        <f t="shared" si="6"/>
        <v>9.9128455134275262E-2</v>
      </c>
      <c r="CR25" s="145">
        <f t="shared" si="7"/>
        <v>9.9128455134275262E-2</v>
      </c>
      <c r="CS25" s="142" t="s">
        <v>192</v>
      </c>
      <c r="CT25" s="147" t="s">
        <v>193</v>
      </c>
      <c r="CU25" s="152">
        <v>4.1395520574057487</v>
      </c>
      <c r="CV25" s="152" t="s">
        <v>194</v>
      </c>
      <c r="CW25" t="s">
        <v>167</v>
      </c>
      <c r="CX25" t="s">
        <v>195</v>
      </c>
      <c r="CY25" t="s">
        <v>167</v>
      </c>
      <c r="CZ25" t="s">
        <v>167</v>
      </c>
      <c r="DA25" t="s">
        <v>167</v>
      </c>
      <c r="DB25" t="s">
        <v>167</v>
      </c>
      <c r="DC25" t="s">
        <v>167</v>
      </c>
      <c r="DD25" t="s">
        <v>167</v>
      </c>
      <c r="DE25" t="s">
        <v>167</v>
      </c>
      <c r="DF25" t="s">
        <v>167</v>
      </c>
      <c r="DG25" s="160">
        <v>35</v>
      </c>
      <c r="DH25" t="s">
        <v>174</v>
      </c>
      <c r="DI25">
        <v>3</v>
      </c>
      <c r="DJ25" s="161" t="s">
        <v>196</v>
      </c>
      <c r="DK25" s="146" t="s">
        <v>167</v>
      </c>
      <c r="DL25" s="146" t="s">
        <v>167</v>
      </c>
      <c r="DM25" s="146" t="s">
        <v>167</v>
      </c>
      <c r="DN25" s="146" t="s">
        <v>167</v>
      </c>
      <c r="DO25" s="146" t="s">
        <v>167</v>
      </c>
      <c r="DP25" s="146" t="s">
        <v>167</v>
      </c>
      <c r="DQ25" s="146" t="s">
        <v>167</v>
      </c>
      <c r="DR25" s="146" t="s">
        <v>167</v>
      </c>
      <c r="DS25" s="146" t="s">
        <v>167</v>
      </c>
      <c r="DT25" s="146" t="s">
        <v>167</v>
      </c>
      <c r="DU25" s="146" t="s">
        <v>167</v>
      </c>
      <c r="DV25" s="146" t="s">
        <v>167</v>
      </c>
      <c r="DW25" s="143">
        <v>432.56244218316402</v>
      </c>
      <c r="DX25" t="s">
        <v>197</v>
      </c>
      <c r="DY25" s="142">
        <v>37.1</v>
      </c>
      <c r="DZ25" t="s">
        <v>198</v>
      </c>
      <c r="EA25" s="152">
        <v>39.2290809</v>
      </c>
      <c r="EB25" s="149" t="s">
        <v>185</v>
      </c>
      <c r="EC25" s="162">
        <v>0.2</v>
      </c>
      <c r="ED25" t="s">
        <v>199</v>
      </c>
      <c r="EE25" t="s">
        <v>225</v>
      </c>
      <c r="EF25" t="s">
        <v>201</v>
      </c>
      <c r="EG25">
        <v>1.0271999999999999</v>
      </c>
      <c r="EH25" t="s">
        <v>202</v>
      </c>
      <c r="EI25">
        <v>5.9999999999999995E-4</v>
      </c>
      <c r="EJ25" t="s">
        <v>203</v>
      </c>
      <c r="EK25" t="s">
        <v>167</v>
      </c>
      <c r="EL25" t="s">
        <v>167</v>
      </c>
      <c r="EM25" t="s">
        <v>204</v>
      </c>
      <c r="EN25" t="s">
        <v>226</v>
      </c>
      <c r="EO25" t="s">
        <v>206</v>
      </c>
      <c r="EP25" t="s">
        <v>206</v>
      </c>
      <c r="EQ25" s="146" t="s">
        <v>167</v>
      </c>
      <c r="ER25" t="s">
        <v>167</v>
      </c>
      <c r="ES25" t="s">
        <v>167</v>
      </c>
      <c r="ET25" t="s">
        <v>207</v>
      </c>
      <c r="EU25" t="s">
        <v>208</v>
      </c>
      <c r="EV25" t="s">
        <v>227</v>
      </c>
      <c r="EW25" s="163">
        <v>2330</v>
      </c>
      <c r="EX25" t="s">
        <v>210</v>
      </c>
      <c r="EY25">
        <v>175</v>
      </c>
      <c r="EZ25">
        <v>175</v>
      </c>
      <c r="FA25" t="s">
        <v>167</v>
      </c>
      <c r="FB25" t="s">
        <v>167</v>
      </c>
      <c r="FC25" t="s">
        <v>167</v>
      </c>
      <c r="FD25" t="s">
        <v>167</v>
      </c>
      <c r="FE25" s="152">
        <v>8.1415115898158898</v>
      </c>
      <c r="FF25" s="164" t="s">
        <v>211</v>
      </c>
      <c r="FG25" s="152">
        <v>6.2996400322930413E-2</v>
      </c>
      <c r="FH25" s="152">
        <v>6.410526851876952E-2</v>
      </c>
      <c r="FI25" s="145">
        <v>302.85195584967698</v>
      </c>
      <c r="FJ25" s="149">
        <v>21</v>
      </c>
      <c r="FK25" s="149" t="s">
        <v>212</v>
      </c>
      <c r="FL25" s="152">
        <v>281.85195584967698</v>
      </c>
      <c r="FM25" s="152">
        <v>64.041124043442039</v>
      </c>
      <c r="FN25" s="152">
        <v>55.42898816883897</v>
      </c>
      <c r="FO25" s="144" t="s">
        <v>213</v>
      </c>
      <c r="FP25" s="144" t="s">
        <v>214</v>
      </c>
      <c r="FQ25" t="s">
        <v>215</v>
      </c>
      <c r="FR25" t="s">
        <v>215</v>
      </c>
      <c r="FS25" t="s">
        <v>215</v>
      </c>
      <c r="FT25" t="s">
        <v>215</v>
      </c>
      <c r="FU25" t="s">
        <v>215</v>
      </c>
      <c r="FV25" t="s">
        <v>215</v>
      </c>
      <c r="FW25" t="s">
        <v>215</v>
      </c>
      <c r="FX25" t="s">
        <v>215</v>
      </c>
      <c r="FY25" t="s">
        <v>215</v>
      </c>
      <c r="FZ25" t="s">
        <v>215</v>
      </c>
      <c r="GA25" t="s">
        <v>215</v>
      </c>
      <c r="GB25" t="s">
        <v>215</v>
      </c>
    </row>
    <row r="26" spans="1:184" ht="18" x14ac:dyDescent="0.2">
      <c r="A26" t="s">
        <v>240</v>
      </c>
      <c r="B26" s="141" t="s">
        <v>241</v>
      </c>
      <c r="C26" s="138" t="s">
        <v>168</v>
      </c>
      <c r="D26" t="s">
        <v>239</v>
      </c>
      <c r="E26">
        <v>2015</v>
      </c>
      <c r="F26" t="str">
        <f t="shared" si="9"/>
        <v>10.1038/nature14145</v>
      </c>
      <c r="G26" s="175">
        <v>2661.38</v>
      </c>
      <c r="H26" s="142">
        <f t="shared" si="0"/>
        <v>6</v>
      </c>
      <c r="I26" s="142">
        <f t="shared" si="1"/>
        <v>6</v>
      </c>
      <c r="J26" s="148">
        <f t="shared" si="2"/>
        <v>301.61459250283502</v>
      </c>
      <c r="K26" s="148">
        <f t="shared" si="3"/>
        <v>68.879240575295967</v>
      </c>
      <c r="L26" s="148">
        <f t="shared" si="4"/>
        <v>58.835832285223034</v>
      </c>
      <c r="M26" t="b">
        <v>1</v>
      </c>
      <c r="N26">
        <v>3</v>
      </c>
      <c r="O26" t="s">
        <v>245</v>
      </c>
      <c r="P26" s="174" t="s">
        <v>259</v>
      </c>
      <c r="Q26" t="b">
        <v>0</v>
      </c>
      <c r="R26" t="s">
        <v>167</v>
      </c>
      <c r="S26" t="b">
        <v>0</v>
      </c>
      <c r="T26" t="b">
        <v>0</v>
      </c>
      <c r="U26" t="s">
        <v>167</v>
      </c>
      <c r="V26" t="s">
        <v>167</v>
      </c>
      <c r="W26" t="b">
        <v>0</v>
      </c>
      <c r="X26" t="s">
        <v>260</v>
      </c>
      <c r="Y26" s="150" t="s">
        <v>169</v>
      </c>
      <c r="Z26" t="s">
        <v>170</v>
      </c>
      <c r="AA26" t="s">
        <v>171</v>
      </c>
      <c r="AB26" s="142" t="s">
        <v>172</v>
      </c>
      <c r="AC26" s="146">
        <v>10</v>
      </c>
      <c r="AD26" s="146">
        <v>3</v>
      </c>
      <c r="AE26" s="146">
        <v>19</v>
      </c>
      <c r="AF26" s="146">
        <v>20</v>
      </c>
      <c r="AG26" s="146" t="s">
        <v>167</v>
      </c>
      <c r="AH26" s="146" t="s">
        <v>167</v>
      </c>
      <c r="AI26" s="146" t="s">
        <v>167</v>
      </c>
      <c r="AJ26" t="s">
        <v>173</v>
      </c>
      <c r="AK26" s="151">
        <v>12.75</v>
      </c>
      <c r="AL26" s="151">
        <v>-78.73</v>
      </c>
      <c r="AM26" s="151">
        <v>12.75</v>
      </c>
      <c r="AN26" s="151">
        <v>-78.73</v>
      </c>
      <c r="AO26" s="151">
        <v>-2828</v>
      </c>
      <c r="AP26" s="151">
        <v>-2828</v>
      </c>
      <c r="AQ26" s="142" t="s">
        <v>167</v>
      </c>
      <c r="AR26" s="142" t="s">
        <v>167</v>
      </c>
      <c r="AS26" s="175">
        <v>2661.38</v>
      </c>
      <c r="AT26" s="153" t="s">
        <v>174</v>
      </c>
      <c r="AU26" s="142">
        <v>6</v>
      </c>
      <c r="AV26" s="142">
        <v>6</v>
      </c>
      <c r="AW26" s="149" t="s">
        <v>167</v>
      </c>
      <c r="AX26" s="171" t="s">
        <v>243</v>
      </c>
      <c r="AY26" s="146" t="s">
        <v>167</v>
      </c>
      <c r="AZ26" t="s">
        <v>167</v>
      </c>
      <c r="BA26" t="s">
        <v>167</v>
      </c>
      <c r="BB26" t="s">
        <v>167</v>
      </c>
      <c r="BC26" t="s">
        <v>167</v>
      </c>
      <c r="BD26" t="s">
        <v>167</v>
      </c>
      <c r="BE26" t="s">
        <v>167</v>
      </c>
      <c r="BF26" t="s">
        <v>167</v>
      </c>
      <c r="BG26" s="154" t="s">
        <v>175</v>
      </c>
      <c r="BH26" t="s">
        <v>176</v>
      </c>
      <c r="BI26" s="155" t="s">
        <v>177</v>
      </c>
      <c r="BJ26" s="156" t="s">
        <v>178</v>
      </c>
      <c r="BK26" s="156" t="s">
        <v>179</v>
      </c>
      <c r="BL26" s="156" t="s">
        <v>180</v>
      </c>
      <c r="BM26" s="157" t="s">
        <v>181</v>
      </c>
      <c r="BN26" s="142" t="s">
        <v>182</v>
      </c>
      <c r="BO26" s="142" t="s">
        <v>182</v>
      </c>
      <c r="BP26" s="142" t="s">
        <v>182</v>
      </c>
      <c r="BQ26" s="152">
        <v>20.358799999999999</v>
      </c>
      <c r="BR26" t="s">
        <v>183</v>
      </c>
      <c r="BS26" s="152">
        <v>0.11260533</v>
      </c>
      <c r="BT26">
        <v>0.6</v>
      </c>
      <c r="BU26" t="s">
        <v>184</v>
      </c>
      <c r="BV26" s="153">
        <v>0.08</v>
      </c>
      <c r="BW26">
        <v>8.8699999999999992</v>
      </c>
      <c r="BX26" t="s">
        <v>185</v>
      </c>
      <c r="BY26">
        <v>1.52</v>
      </c>
      <c r="BZ26" t="s">
        <v>224</v>
      </c>
      <c r="CA26" t="s">
        <v>187</v>
      </c>
      <c r="CB26" s="158">
        <f t="shared" si="5"/>
        <v>19.148</v>
      </c>
      <c r="CC26" t="s">
        <v>184</v>
      </c>
      <c r="CD26" s="149" t="s">
        <v>167</v>
      </c>
      <c r="CE26" s="149" t="s">
        <v>167</v>
      </c>
      <c r="CF26" t="s">
        <v>188</v>
      </c>
      <c r="CG26" t="s">
        <v>189</v>
      </c>
      <c r="CH26" t="s">
        <v>190</v>
      </c>
      <c r="CI26" t="s">
        <v>190</v>
      </c>
      <c r="CJ26" s="152">
        <v>29.1904</v>
      </c>
      <c r="CK26" t="s">
        <v>184</v>
      </c>
      <c r="CL26" s="159">
        <v>3</v>
      </c>
      <c r="CM26" s="159">
        <v>3</v>
      </c>
      <c r="CN26" s="152">
        <v>4.1177685848099683</v>
      </c>
      <c r="CO26" s="152">
        <v>4.1177685848099683</v>
      </c>
      <c r="CP26" t="s">
        <v>191</v>
      </c>
      <c r="CQ26" s="145">
        <f t="shared" si="6"/>
        <v>0.11117975178986915</v>
      </c>
      <c r="CR26" s="145">
        <f t="shared" si="7"/>
        <v>0.11117975178986915</v>
      </c>
      <c r="CS26" s="142" t="s">
        <v>192</v>
      </c>
      <c r="CT26" s="147" t="s">
        <v>193</v>
      </c>
      <c r="CU26" s="152">
        <v>4.132758084586035</v>
      </c>
      <c r="CV26" s="152" t="s">
        <v>194</v>
      </c>
      <c r="CW26" t="s">
        <v>167</v>
      </c>
      <c r="CX26" t="s">
        <v>195</v>
      </c>
      <c r="CY26" t="s">
        <v>167</v>
      </c>
      <c r="CZ26" t="s">
        <v>167</v>
      </c>
      <c r="DA26" t="s">
        <v>167</v>
      </c>
      <c r="DB26" t="s">
        <v>167</v>
      </c>
      <c r="DC26" t="s">
        <v>167</v>
      </c>
      <c r="DD26" t="s">
        <v>167</v>
      </c>
      <c r="DE26" t="s">
        <v>167</v>
      </c>
      <c r="DF26" t="s">
        <v>167</v>
      </c>
      <c r="DG26" s="160">
        <v>35</v>
      </c>
      <c r="DH26" t="s">
        <v>174</v>
      </c>
      <c r="DI26">
        <v>3</v>
      </c>
      <c r="DJ26" s="161" t="s">
        <v>196</v>
      </c>
      <c r="DK26" s="146" t="s">
        <v>167</v>
      </c>
      <c r="DL26" s="146" t="s">
        <v>167</v>
      </c>
      <c r="DM26" s="146" t="s">
        <v>167</v>
      </c>
      <c r="DN26" s="146" t="s">
        <v>167</v>
      </c>
      <c r="DO26" s="146" t="s">
        <v>167</v>
      </c>
      <c r="DP26" s="146" t="s">
        <v>167</v>
      </c>
      <c r="DQ26" s="146" t="s">
        <v>167</v>
      </c>
      <c r="DR26" s="146" t="s">
        <v>167</v>
      </c>
      <c r="DS26" s="146" t="s">
        <v>167</v>
      </c>
      <c r="DT26" s="146" t="s">
        <v>167</v>
      </c>
      <c r="DU26" s="146" t="s">
        <v>167</v>
      </c>
      <c r="DV26" s="146" t="s">
        <v>167</v>
      </c>
      <c r="DW26" s="143">
        <v>432.56244218316402</v>
      </c>
      <c r="DX26" t="s">
        <v>197</v>
      </c>
      <c r="DY26" s="142">
        <v>37.1</v>
      </c>
      <c r="DZ26" t="s">
        <v>198</v>
      </c>
      <c r="EA26" s="152">
        <v>39.226896949999997</v>
      </c>
      <c r="EB26" s="149" t="s">
        <v>185</v>
      </c>
      <c r="EC26" s="162">
        <v>0.2</v>
      </c>
      <c r="ED26" t="s">
        <v>199</v>
      </c>
      <c r="EE26" t="s">
        <v>225</v>
      </c>
      <c r="EF26" t="s">
        <v>201</v>
      </c>
      <c r="EG26">
        <v>1.0271999999999999</v>
      </c>
      <c r="EH26" t="s">
        <v>202</v>
      </c>
      <c r="EI26">
        <v>5.9999999999999995E-4</v>
      </c>
      <c r="EJ26" t="s">
        <v>203</v>
      </c>
      <c r="EK26" t="s">
        <v>167</v>
      </c>
      <c r="EL26" t="s">
        <v>167</v>
      </c>
      <c r="EM26" t="s">
        <v>204</v>
      </c>
      <c r="EN26" t="s">
        <v>226</v>
      </c>
      <c r="EO26" t="s">
        <v>206</v>
      </c>
      <c r="EP26" t="s">
        <v>206</v>
      </c>
      <c r="EQ26" s="146" t="s">
        <v>167</v>
      </c>
      <c r="ER26" t="s">
        <v>167</v>
      </c>
      <c r="ES26" t="s">
        <v>167</v>
      </c>
      <c r="ET26" t="s">
        <v>207</v>
      </c>
      <c r="EU26" t="s">
        <v>208</v>
      </c>
      <c r="EV26" t="s">
        <v>227</v>
      </c>
      <c r="EW26" s="163">
        <v>2330</v>
      </c>
      <c r="EX26" t="s">
        <v>210</v>
      </c>
      <c r="EY26">
        <v>175</v>
      </c>
      <c r="EZ26">
        <v>175</v>
      </c>
      <c r="FA26" t="s">
        <v>167</v>
      </c>
      <c r="FB26" t="s">
        <v>167</v>
      </c>
      <c r="FC26" t="s">
        <v>167</v>
      </c>
      <c r="FD26" t="s">
        <v>167</v>
      </c>
      <c r="FE26" s="152">
        <v>8.1179716727085705</v>
      </c>
      <c r="FF26" s="164" t="s">
        <v>211</v>
      </c>
      <c r="FG26" s="152">
        <v>6.4078148365918963E-2</v>
      </c>
      <c r="FH26" s="152">
        <v>6.4068672278599692E-2</v>
      </c>
      <c r="FI26" s="145">
        <v>322.61459250283502</v>
      </c>
      <c r="FJ26" s="149">
        <v>21</v>
      </c>
      <c r="FK26" s="149" t="s">
        <v>212</v>
      </c>
      <c r="FL26" s="152">
        <v>301.61459250283502</v>
      </c>
      <c r="FM26" s="152">
        <v>68.879240575295967</v>
      </c>
      <c r="FN26" s="152">
        <v>58.835832285223034</v>
      </c>
      <c r="FO26" s="144" t="s">
        <v>213</v>
      </c>
      <c r="FP26" s="144" t="s">
        <v>214</v>
      </c>
      <c r="FQ26" t="s">
        <v>215</v>
      </c>
      <c r="FR26" t="s">
        <v>215</v>
      </c>
      <c r="FS26" t="s">
        <v>215</v>
      </c>
      <c r="FT26" t="s">
        <v>215</v>
      </c>
      <c r="FU26" t="s">
        <v>215</v>
      </c>
      <c r="FV26" t="s">
        <v>215</v>
      </c>
      <c r="FW26" t="s">
        <v>215</v>
      </c>
      <c r="FX26" t="s">
        <v>215</v>
      </c>
      <c r="FY26" t="s">
        <v>215</v>
      </c>
      <c r="FZ26" t="s">
        <v>215</v>
      </c>
      <c r="GA26" t="s">
        <v>215</v>
      </c>
      <c r="GB26" t="s">
        <v>215</v>
      </c>
    </row>
    <row r="27" spans="1:184" ht="18" x14ac:dyDescent="0.2">
      <c r="A27" t="s">
        <v>240</v>
      </c>
      <c r="B27" s="141" t="s">
        <v>241</v>
      </c>
      <c r="C27" s="138" t="s">
        <v>168</v>
      </c>
      <c r="D27" t="s">
        <v>239</v>
      </c>
      <c r="E27">
        <v>2015</v>
      </c>
      <c r="F27" t="str">
        <f t="shared" si="9"/>
        <v>10.1038/nature14145</v>
      </c>
      <c r="G27" s="175">
        <v>2671.05</v>
      </c>
      <c r="H27" s="142">
        <f t="shared" si="0"/>
        <v>6</v>
      </c>
      <c r="I27" s="142">
        <f t="shared" si="1"/>
        <v>6</v>
      </c>
      <c r="J27" s="148">
        <f t="shared" si="2"/>
        <v>262.66564077273</v>
      </c>
      <c r="K27" s="148">
        <f t="shared" si="3"/>
        <v>60.380959890798977</v>
      </c>
      <c r="L27" s="148">
        <f t="shared" si="4"/>
        <v>53.364140550596005</v>
      </c>
      <c r="M27" t="b">
        <v>1</v>
      </c>
      <c r="N27">
        <v>3</v>
      </c>
      <c r="O27" t="s">
        <v>245</v>
      </c>
      <c r="P27" s="174" t="s">
        <v>259</v>
      </c>
      <c r="Q27" t="b">
        <v>0</v>
      </c>
      <c r="R27" t="s">
        <v>167</v>
      </c>
      <c r="S27" t="b">
        <v>0</v>
      </c>
      <c r="T27" t="b">
        <v>0</v>
      </c>
      <c r="U27" t="s">
        <v>167</v>
      </c>
      <c r="V27" t="s">
        <v>167</v>
      </c>
      <c r="W27" t="b">
        <v>0</v>
      </c>
      <c r="X27" t="s">
        <v>260</v>
      </c>
      <c r="Y27" s="150" t="s">
        <v>169</v>
      </c>
      <c r="Z27" t="s">
        <v>170</v>
      </c>
      <c r="AA27" t="s">
        <v>171</v>
      </c>
      <c r="AB27" s="142" t="s">
        <v>172</v>
      </c>
      <c r="AC27" s="146">
        <v>10</v>
      </c>
      <c r="AD27" s="146">
        <v>3</v>
      </c>
      <c r="AE27" s="146">
        <v>50</v>
      </c>
      <c r="AF27" s="146">
        <v>52</v>
      </c>
      <c r="AG27" s="146" t="s">
        <v>167</v>
      </c>
      <c r="AH27" s="146" t="s">
        <v>167</v>
      </c>
      <c r="AI27" s="146" t="s">
        <v>167</v>
      </c>
      <c r="AJ27" t="s">
        <v>173</v>
      </c>
      <c r="AK27" s="151">
        <v>12.75</v>
      </c>
      <c r="AL27" s="151">
        <v>-78.73</v>
      </c>
      <c r="AM27" s="151">
        <v>12.75</v>
      </c>
      <c r="AN27" s="151">
        <v>-78.73</v>
      </c>
      <c r="AO27" s="151">
        <v>-2828</v>
      </c>
      <c r="AP27" s="151">
        <v>-2828</v>
      </c>
      <c r="AQ27" s="142" t="s">
        <v>167</v>
      </c>
      <c r="AR27" s="142" t="s">
        <v>167</v>
      </c>
      <c r="AS27" s="175">
        <v>2671.05</v>
      </c>
      <c r="AT27" s="153" t="s">
        <v>174</v>
      </c>
      <c r="AU27" s="142">
        <v>6</v>
      </c>
      <c r="AV27" s="142">
        <v>6</v>
      </c>
      <c r="AW27" s="149" t="s">
        <v>167</v>
      </c>
      <c r="AX27" s="171" t="s">
        <v>243</v>
      </c>
      <c r="AY27" s="146" t="s">
        <v>167</v>
      </c>
      <c r="AZ27" t="s">
        <v>167</v>
      </c>
      <c r="BA27" t="s">
        <v>167</v>
      </c>
      <c r="BB27" t="s">
        <v>167</v>
      </c>
      <c r="BC27" t="s">
        <v>167</v>
      </c>
      <c r="BD27" t="s">
        <v>167</v>
      </c>
      <c r="BE27" t="s">
        <v>167</v>
      </c>
      <c r="BF27" t="s">
        <v>167</v>
      </c>
      <c r="BG27" s="154" t="s">
        <v>175</v>
      </c>
      <c r="BH27" t="s">
        <v>176</v>
      </c>
      <c r="BI27" s="155" t="s">
        <v>177</v>
      </c>
      <c r="BJ27" s="155" t="s">
        <v>178</v>
      </c>
      <c r="BK27" s="156" t="s">
        <v>179</v>
      </c>
      <c r="BL27" s="156" t="s">
        <v>180</v>
      </c>
      <c r="BM27" t="s">
        <v>181</v>
      </c>
      <c r="BN27" s="142" t="s">
        <v>182</v>
      </c>
      <c r="BO27" s="142" t="s">
        <v>182</v>
      </c>
      <c r="BP27" s="142" t="s">
        <v>182</v>
      </c>
      <c r="BQ27" s="152">
        <v>20.575669999999999</v>
      </c>
      <c r="BR27" t="s">
        <v>183</v>
      </c>
      <c r="BS27" s="152">
        <v>0.10936436200000001</v>
      </c>
      <c r="BT27">
        <v>0.6</v>
      </c>
      <c r="BU27" t="s">
        <v>184</v>
      </c>
      <c r="BV27" s="153">
        <v>0.08</v>
      </c>
      <c r="BW27">
        <v>8.8699999999999992</v>
      </c>
      <c r="BX27" t="s">
        <v>185</v>
      </c>
      <c r="BY27">
        <v>1.52</v>
      </c>
      <c r="BZ27" t="s">
        <v>224</v>
      </c>
      <c r="CA27" t="s">
        <v>187</v>
      </c>
      <c r="CB27" s="158">
        <f t="shared" si="5"/>
        <v>19.509450000000001</v>
      </c>
      <c r="CC27" t="s">
        <v>184</v>
      </c>
      <c r="CD27" s="149" t="s">
        <v>167</v>
      </c>
      <c r="CE27" s="149" t="s">
        <v>167</v>
      </c>
      <c r="CF27" t="s">
        <v>188</v>
      </c>
      <c r="CG27" t="s">
        <v>189</v>
      </c>
      <c r="CH27" t="s">
        <v>190</v>
      </c>
      <c r="CI27" t="s">
        <v>190</v>
      </c>
      <c r="CJ27" s="152">
        <v>27.747160000000001</v>
      </c>
      <c r="CK27" t="s">
        <v>184</v>
      </c>
      <c r="CL27" s="159">
        <v>3</v>
      </c>
      <c r="CM27" s="159">
        <v>3</v>
      </c>
      <c r="CN27" s="152">
        <v>3.6149397366903968</v>
      </c>
      <c r="CO27" s="152">
        <v>3.6149397366903968</v>
      </c>
      <c r="CP27" t="s">
        <v>191</v>
      </c>
      <c r="CQ27" s="145">
        <f t="shared" si="6"/>
        <v>9.7603372890640708E-2</v>
      </c>
      <c r="CR27" s="145">
        <f t="shared" si="7"/>
        <v>9.7603372890640708E-2</v>
      </c>
      <c r="CS27" s="142" t="s">
        <v>192</v>
      </c>
      <c r="CT27" s="147" t="s">
        <v>193</v>
      </c>
      <c r="CU27" s="152">
        <v>4.1292857504069431</v>
      </c>
      <c r="CV27" s="152" t="s">
        <v>194</v>
      </c>
      <c r="CW27" t="s">
        <v>167</v>
      </c>
      <c r="CX27" t="s">
        <v>195</v>
      </c>
      <c r="CY27" t="s">
        <v>167</v>
      </c>
      <c r="CZ27" t="s">
        <v>167</v>
      </c>
      <c r="DA27" t="s">
        <v>167</v>
      </c>
      <c r="DB27" t="s">
        <v>167</v>
      </c>
      <c r="DC27" t="s">
        <v>167</v>
      </c>
      <c r="DD27" t="s">
        <v>167</v>
      </c>
      <c r="DE27" t="s">
        <v>167</v>
      </c>
      <c r="DF27" t="s">
        <v>167</v>
      </c>
      <c r="DG27" s="160">
        <v>35</v>
      </c>
      <c r="DH27" t="s">
        <v>174</v>
      </c>
      <c r="DI27">
        <v>3</v>
      </c>
      <c r="DJ27" s="161" t="s">
        <v>196</v>
      </c>
      <c r="DK27" s="146" t="s">
        <v>167</v>
      </c>
      <c r="DL27" s="146" t="s">
        <v>167</v>
      </c>
      <c r="DM27" s="146" t="s">
        <v>167</v>
      </c>
      <c r="DN27" s="146" t="s">
        <v>167</v>
      </c>
      <c r="DO27" s="146" t="s">
        <v>167</v>
      </c>
      <c r="DP27" s="146" t="s">
        <v>167</v>
      </c>
      <c r="DQ27" s="146" t="s">
        <v>167</v>
      </c>
      <c r="DR27" s="146" t="s">
        <v>167</v>
      </c>
      <c r="DS27" s="146" t="s">
        <v>167</v>
      </c>
      <c r="DT27" s="146" t="s">
        <v>167</v>
      </c>
      <c r="DU27" s="146" t="s">
        <v>167</v>
      </c>
      <c r="DV27" s="146" t="s">
        <v>167</v>
      </c>
      <c r="DW27" s="143">
        <v>432.56244218316402</v>
      </c>
      <c r="DX27" t="s">
        <v>197</v>
      </c>
      <c r="DY27" s="142">
        <v>37.1</v>
      </c>
      <c r="DZ27" t="s">
        <v>198</v>
      </c>
      <c r="EA27" s="152">
        <v>39.22564371</v>
      </c>
      <c r="EB27" s="149" t="s">
        <v>185</v>
      </c>
      <c r="EC27" s="162">
        <v>0.2</v>
      </c>
      <c r="ED27" t="s">
        <v>199</v>
      </c>
      <c r="EE27" t="s">
        <v>225</v>
      </c>
      <c r="EF27" t="s">
        <v>201</v>
      </c>
      <c r="EG27">
        <v>1.0271999999999999</v>
      </c>
      <c r="EH27" t="s">
        <v>202</v>
      </c>
      <c r="EI27">
        <v>5.9999999999999995E-4</v>
      </c>
      <c r="EJ27" t="s">
        <v>203</v>
      </c>
      <c r="EK27" t="s">
        <v>167</v>
      </c>
      <c r="EL27" t="s">
        <v>167</v>
      </c>
      <c r="EM27" t="s">
        <v>204</v>
      </c>
      <c r="EN27" t="s">
        <v>226</v>
      </c>
      <c r="EO27" t="s">
        <v>206</v>
      </c>
      <c r="EP27" t="s">
        <v>206</v>
      </c>
      <c r="EQ27" s="146" t="s">
        <v>167</v>
      </c>
      <c r="ER27" t="s">
        <v>167</v>
      </c>
      <c r="ES27" t="s">
        <v>167</v>
      </c>
      <c r="ET27" t="s">
        <v>207</v>
      </c>
      <c r="EU27" t="s">
        <v>208</v>
      </c>
      <c r="EV27" t="s">
        <v>227</v>
      </c>
      <c r="EW27" s="163">
        <v>2330</v>
      </c>
      <c r="EX27" t="s">
        <v>210</v>
      </c>
      <c r="EY27">
        <v>175</v>
      </c>
      <c r="EZ27">
        <v>175</v>
      </c>
      <c r="FA27" t="s">
        <v>167</v>
      </c>
      <c r="FB27" t="s">
        <v>167</v>
      </c>
      <c r="FC27" t="s">
        <v>167</v>
      </c>
      <c r="FD27" t="s">
        <v>167</v>
      </c>
      <c r="FE27" s="152">
        <v>8.1637998634546705</v>
      </c>
      <c r="FF27" s="164" t="s">
        <v>211</v>
      </c>
      <c r="FG27" s="152">
        <v>6.4553414548939259E-2</v>
      </c>
      <c r="FH27" s="152">
        <v>6.3014713195899574E-2</v>
      </c>
      <c r="FI27" s="145">
        <v>283.66564077273</v>
      </c>
      <c r="FJ27" s="149">
        <v>21</v>
      </c>
      <c r="FK27" s="149" t="s">
        <v>212</v>
      </c>
      <c r="FL27" s="152">
        <v>262.66564077273</v>
      </c>
      <c r="FM27" s="152">
        <v>60.380959890798977</v>
      </c>
      <c r="FN27" s="152">
        <v>53.364140550596005</v>
      </c>
      <c r="FO27" s="144" t="s">
        <v>213</v>
      </c>
      <c r="FP27" s="144" t="s">
        <v>214</v>
      </c>
      <c r="FQ27" t="s">
        <v>215</v>
      </c>
      <c r="FR27" t="s">
        <v>215</v>
      </c>
      <c r="FS27" t="s">
        <v>215</v>
      </c>
      <c r="FT27" t="s">
        <v>215</v>
      </c>
      <c r="FU27" t="s">
        <v>215</v>
      </c>
      <c r="FV27" t="s">
        <v>215</v>
      </c>
      <c r="FW27" t="s">
        <v>215</v>
      </c>
      <c r="FX27" t="s">
        <v>215</v>
      </c>
      <c r="FY27" t="s">
        <v>215</v>
      </c>
      <c r="FZ27" t="s">
        <v>215</v>
      </c>
      <c r="GA27" t="s">
        <v>215</v>
      </c>
      <c r="GB27" t="s">
        <v>215</v>
      </c>
    </row>
    <row r="28" spans="1:184" ht="18" x14ac:dyDescent="0.2">
      <c r="A28" t="s">
        <v>240</v>
      </c>
      <c r="B28" s="141" t="s">
        <v>241</v>
      </c>
      <c r="C28" s="138" t="s">
        <v>168</v>
      </c>
      <c r="D28" t="s">
        <v>239</v>
      </c>
      <c r="E28">
        <v>2015</v>
      </c>
      <c r="F28" t="str">
        <f t="shared" si="9"/>
        <v>10.1038/nature14145</v>
      </c>
      <c r="G28" s="175">
        <v>2679.21</v>
      </c>
      <c r="H28" s="142">
        <f t="shared" si="0"/>
        <v>6</v>
      </c>
      <c r="I28" s="142">
        <f t="shared" si="1"/>
        <v>6</v>
      </c>
      <c r="J28" s="148">
        <f t="shared" si="2"/>
        <v>322.77037349050102</v>
      </c>
      <c r="K28" s="148">
        <f t="shared" si="3"/>
        <v>72.178362588737969</v>
      </c>
      <c r="L28" s="148">
        <f t="shared" si="4"/>
        <v>61.332500244420032</v>
      </c>
      <c r="M28" t="b">
        <v>1</v>
      </c>
      <c r="N28">
        <v>3</v>
      </c>
      <c r="O28" t="s">
        <v>245</v>
      </c>
      <c r="P28" s="174" t="s">
        <v>259</v>
      </c>
      <c r="Q28" t="b">
        <v>0</v>
      </c>
      <c r="R28" t="s">
        <v>167</v>
      </c>
      <c r="S28" t="b">
        <v>0</v>
      </c>
      <c r="T28" t="b">
        <v>0</v>
      </c>
      <c r="U28" t="s">
        <v>167</v>
      </c>
      <c r="V28" t="s">
        <v>167</v>
      </c>
      <c r="W28" t="b">
        <v>0</v>
      </c>
      <c r="X28" t="s">
        <v>260</v>
      </c>
      <c r="Y28" s="150" t="s">
        <v>169</v>
      </c>
      <c r="Z28" t="s">
        <v>170</v>
      </c>
      <c r="AA28" t="s">
        <v>171</v>
      </c>
      <c r="AB28" s="142" t="s">
        <v>172</v>
      </c>
      <c r="AC28" s="173">
        <v>10</v>
      </c>
      <c r="AD28" s="173">
        <v>3</v>
      </c>
      <c r="AE28" s="173">
        <v>77</v>
      </c>
      <c r="AF28" s="173">
        <v>79</v>
      </c>
      <c r="AG28" s="146" t="s">
        <v>167</v>
      </c>
      <c r="AH28" s="146" t="s">
        <v>167</v>
      </c>
      <c r="AI28" s="146" t="s">
        <v>167</v>
      </c>
      <c r="AJ28" t="s">
        <v>173</v>
      </c>
      <c r="AK28" s="151">
        <v>12.75</v>
      </c>
      <c r="AL28" s="151">
        <v>-78.73</v>
      </c>
      <c r="AM28" s="151">
        <v>12.75</v>
      </c>
      <c r="AN28" s="151">
        <v>-78.73</v>
      </c>
      <c r="AO28" s="151">
        <v>-2828</v>
      </c>
      <c r="AP28" s="151">
        <v>-2828</v>
      </c>
      <c r="AQ28" s="142" t="s">
        <v>167</v>
      </c>
      <c r="AR28" s="142" t="s">
        <v>167</v>
      </c>
      <c r="AS28" s="175">
        <v>2679.21</v>
      </c>
      <c r="AT28" s="153" t="s">
        <v>174</v>
      </c>
      <c r="AU28" s="142">
        <v>6</v>
      </c>
      <c r="AV28" s="142">
        <v>6</v>
      </c>
      <c r="AW28" s="149" t="s">
        <v>167</v>
      </c>
      <c r="AX28" s="171" t="s">
        <v>243</v>
      </c>
      <c r="AY28" s="146" t="s">
        <v>167</v>
      </c>
      <c r="AZ28" t="s">
        <v>167</v>
      </c>
      <c r="BA28" t="s">
        <v>167</v>
      </c>
      <c r="BB28" t="s">
        <v>167</v>
      </c>
      <c r="BC28" t="s">
        <v>167</v>
      </c>
      <c r="BD28" t="s">
        <v>167</v>
      </c>
      <c r="BE28" t="s">
        <v>167</v>
      </c>
      <c r="BF28" t="s">
        <v>167</v>
      </c>
      <c r="BG28" s="154" t="s">
        <v>175</v>
      </c>
      <c r="BH28" t="s">
        <v>176</v>
      </c>
      <c r="BI28" s="155" t="s">
        <v>177</v>
      </c>
      <c r="BJ28" s="156" t="s">
        <v>178</v>
      </c>
      <c r="BK28" s="156" t="s">
        <v>179</v>
      </c>
      <c r="BL28" s="156" t="s">
        <v>180</v>
      </c>
      <c r="BM28" s="157" t="s">
        <v>181</v>
      </c>
      <c r="BN28" s="142" t="s">
        <v>182</v>
      </c>
      <c r="BO28" s="142" t="s">
        <v>182</v>
      </c>
      <c r="BP28" s="142" t="s">
        <v>182</v>
      </c>
      <c r="BQ28" s="152">
        <v>20.041049999999998</v>
      </c>
      <c r="BR28" t="s">
        <v>183</v>
      </c>
      <c r="BS28" s="152">
        <v>9.4179804000000006E-2</v>
      </c>
      <c r="BT28">
        <v>0.6</v>
      </c>
      <c r="BU28" t="s">
        <v>184</v>
      </c>
      <c r="BV28" s="153">
        <v>0.08</v>
      </c>
      <c r="BW28">
        <v>8.8699999999999992</v>
      </c>
      <c r="BX28" t="s">
        <v>185</v>
      </c>
      <c r="BY28">
        <v>1.52</v>
      </c>
      <c r="BZ28" t="s">
        <v>224</v>
      </c>
      <c r="CA28" t="s">
        <v>187</v>
      </c>
      <c r="CB28" s="158">
        <f t="shared" si="5"/>
        <v>18.618416666666665</v>
      </c>
      <c r="CC28" t="s">
        <v>184</v>
      </c>
      <c r="CD28" s="149" t="s">
        <v>167</v>
      </c>
      <c r="CE28" s="149" t="s">
        <v>167</v>
      </c>
      <c r="CF28" t="s">
        <v>188</v>
      </c>
      <c r="CG28" t="s">
        <v>189</v>
      </c>
      <c r="CH28" t="s">
        <v>190</v>
      </c>
      <c r="CI28" t="s">
        <v>190</v>
      </c>
      <c r="CJ28" s="152">
        <v>26.87623</v>
      </c>
      <c r="CK28" t="s">
        <v>184</v>
      </c>
      <c r="CL28" s="159">
        <v>3</v>
      </c>
      <c r="CM28" s="159">
        <v>3</v>
      </c>
      <c r="CN28" s="152">
        <v>3.3413842560206395</v>
      </c>
      <c r="CO28" s="152">
        <v>3.3413842560206395</v>
      </c>
      <c r="CP28" t="s">
        <v>191</v>
      </c>
      <c r="CQ28" s="145">
        <f t="shared" si="6"/>
        <v>9.0217374912557269E-2</v>
      </c>
      <c r="CR28" s="145">
        <f t="shared" si="7"/>
        <v>9.0217374912557269E-2</v>
      </c>
      <c r="CS28" s="142" t="s">
        <v>192</v>
      </c>
      <c r="CT28" s="147" t="s">
        <v>193</v>
      </c>
      <c r="CU28" s="152">
        <v>4.1262018619670426</v>
      </c>
      <c r="CV28" s="152" t="s">
        <v>194</v>
      </c>
      <c r="CW28" t="s">
        <v>167</v>
      </c>
      <c r="CX28" t="s">
        <v>195</v>
      </c>
      <c r="CY28" t="s">
        <v>167</v>
      </c>
      <c r="CZ28" t="s">
        <v>167</v>
      </c>
      <c r="DA28" t="s">
        <v>167</v>
      </c>
      <c r="DB28" t="s">
        <v>167</v>
      </c>
      <c r="DC28" t="s">
        <v>167</v>
      </c>
      <c r="DD28" t="s">
        <v>167</v>
      </c>
      <c r="DE28" t="s">
        <v>167</v>
      </c>
      <c r="DF28" t="s">
        <v>167</v>
      </c>
      <c r="DG28" s="160">
        <v>35</v>
      </c>
      <c r="DH28" t="s">
        <v>174</v>
      </c>
      <c r="DI28">
        <v>3</v>
      </c>
      <c r="DJ28" s="161" t="s">
        <v>196</v>
      </c>
      <c r="DK28" s="146" t="s">
        <v>167</v>
      </c>
      <c r="DL28" s="146" t="s">
        <v>167</v>
      </c>
      <c r="DM28" s="146" t="s">
        <v>167</v>
      </c>
      <c r="DN28" s="146" t="s">
        <v>167</v>
      </c>
      <c r="DO28" s="146" t="s">
        <v>167</v>
      </c>
      <c r="DP28" s="146" t="s">
        <v>167</v>
      </c>
      <c r="DQ28" s="146" t="s">
        <v>167</v>
      </c>
      <c r="DR28" s="146" t="s">
        <v>167</v>
      </c>
      <c r="DS28" s="146" t="s">
        <v>167</v>
      </c>
      <c r="DT28" s="146" t="s">
        <v>167</v>
      </c>
      <c r="DU28" s="146" t="s">
        <v>167</v>
      </c>
      <c r="DV28" s="146" t="s">
        <v>167</v>
      </c>
      <c r="DW28" s="143">
        <v>432.56244218316402</v>
      </c>
      <c r="DX28" t="s">
        <v>197</v>
      </c>
      <c r="DY28" s="142">
        <v>37.1</v>
      </c>
      <c r="DZ28" t="s">
        <v>198</v>
      </c>
      <c r="EA28" s="152">
        <v>39.224672239999997</v>
      </c>
      <c r="EB28" s="149" t="s">
        <v>185</v>
      </c>
      <c r="EC28" s="162">
        <v>0.2</v>
      </c>
      <c r="ED28" t="s">
        <v>199</v>
      </c>
      <c r="EE28" t="s">
        <v>225</v>
      </c>
      <c r="EF28" t="s">
        <v>201</v>
      </c>
      <c r="EG28">
        <v>1.0271999999999999</v>
      </c>
      <c r="EH28" t="s">
        <v>202</v>
      </c>
      <c r="EI28">
        <v>5.9999999999999995E-4</v>
      </c>
      <c r="EJ28" t="s">
        <v>203</v>
      </c>
      <c r="EK28" t="s">
        <v>167</v>
      </c>
      <c r="EL28" t="s">
        <v>167</v>
      </c>
      <c r="EM28" t="s">
        <v>204</v>
      </c>
      <c r="EN28" t="s">
        <v>226</v>
      </c>
      <c r="EO28" t="s">
        <v>206</v>
      </c>
      <c r="EP28" t="s">
        <v>206</v>
      </c>
      <c r="EQ28" s="146" t="s">
        <v>167</v>
      </c>
      <c r="ER28" t="s">
        <v>167</v>
      </c>
      <c r="ES28" t="s">
        <v>167</v>
      </c>
      <c r="ET28" t="s">
        <v>207</v>
      </c>
      <c r="EU28" t="s">
        <v>208</v>
      </c>
      <c r="EV28" t="s">
        <v>227</v>
      </c>
      <c r="EW28" s="163">
        <v>2330</v>
      </c>
      <c r="EX28" t="s">
        <v>210</v>
      </c>
      <c r="EY28">
        <v>175</v>
      </c>
      <c r="EZ28">
        <v>175</v>
      </c>
      <c r="FA28" t="s">
        <v>167</v>
      </c>
      <c r="FB28" t="s">
        <v>167</v>
      </c>
      <c r="FC28" t="s">
        <v>167</v>
      </c>
      <c r="FD28" t="s">
        <v>167</v>
      </c>
      <c r="FE28" s="152">
        <v>8.0998873677932597</v>
      </c>
      <c r="FF28" s="164" t="s">
        <v>211</v>
      </c>
      <c r="FG28" s="152">
        <v>6.2196023289740054E-2</v>
      </c>
      <c r="FH28" s="152">
        <v>6.2770947400149879E-2</v>
      </c>
      <c r="FI28" s="145">
        <v>343.77037349050102</v>
      </c>
      <c r="FJ28" s="149">
        <v>21</v>
      </c>
      <c r="FK28" s="149" t="s">
        <v>212</v>
      </c>
      <c r="FL28" s="152">
        <v>322.77037349050102</v>
      </c>
      <c r="FM28" s="152">
        <v>72.178362588737969</v>
      </c>
      <c r="FN28" s="152">
        <v>61.332500244420032</v>
      </c>
      <c r="FO28" s="144" t="s">
        <v>213</v>
      </c>
      <c r="FP28" s="144" t="s">
        <v>214</v>
      </c>
      <c r="FQ28" t="s">
        <v>215</v>
      </c>
      <c r="FR28" t="s">
        <v>215</v>
      </c>
      <c r="FS28" t="s">
        <v>215</v>
      </c>
      <c r="FT28" t="s">
        <v>215</v>
      </c>
      <c r="FU28" t="s">
        <v>215</v>
      </c>
      <c r="FV28" t="s">
        <v>215</v>
      </c>
      <c r="FW28" t="s">
        <v>215</v>
      </c>
      <c r="FX28" t="s">
        <v>215</v>
      </c>
      <c r="FY28" t="s">
        <v>215</v>
      </c>
      <c r="FZ28" t="s">
        <v>215</v>
      </c>
      <c r="GA28" t="s">
        <v>215</v>
      </c>
      <c r="GB28" t="s">
        <v>215</v>
      </c>
    </row>
    <row r="29" spans="1:184" ht="18" x14ac:dyDescent="0.2">
      <c r="A29" t="s">
        <v>240</v>
      </c>
      <c r="B29" s="141" t="s">
        <v>241</v>
      </c>
      <c r="C29" s="138" t="s">
        <v>168</v>
      </c>
      <c r="D29" t="s">
        <v>239</v>
      </c>
      <c r="E29">
        <v>2015</v>
      </c>
      <c r="F29" t="str">
        <f t="shared" si="9"/>
        <v>10.1038/nature14145</v>
      </c>
      <c r="G29" s="175">
        <v>2686.16</v>
      </c>
      <c r="H29" s="142">
        <f t="shared" si="0"/>
        <v>6</v>
      </c>
      <c r="I29" s="142">
        <f t="shared" si="1"/>
        <v>6</v>
      </c>
      <c r="J29" s="148">
        <f t="shared" si="2"/>
        <v>283.779060146007</v>
      </c>
      <c r="K29" s="148">
        <f t="shared" si="3"/>
        <v>64.462088856909986</v>
      </c>
      <c r="L29" s="148">
        <f t="shared" si="4"/>
        <v>55.824884866371008</v>
      </c>
      <c r="M29" t="b">
        <v>1</v>
      </c>
      <c r="N29">
        <v>3</v>
      </c>
      <c r="O29" t="s">
        <v>245</v>
      </c>
      <c r="P29" s="174" t="s">
        <v>259</v>
      </c>
      <c r="Q29" t="b">
        <v>0</v>
      </c>
      <c r="R29" t="s">
        <v>167</v>
      </c>
      <c r="S29" t="b">
        <v>0</v>
      </c>
      <c r="T29" t="b">
        <v>0</v>
      </c>
      <c r="U29" t="s">
        <v>167</v>
      </c>
      <c r="V29" t="s">
        <v>167</v>
      </c>
      <c r="W29" t="b">
        <v>0</v>
      </c>
      <c r="X29" t="s">
        <v>260</v>
      </c>
      <c r="Y29" s="150" t="s">
        <v>169</v>
      </c>
      <c r="Z29" t="s">
        <v>170</v>
      </c>
      <c r="AA29" t="s">
        <v>171</v>
      </c>
      <c r="AB29" s="142" t="s">
        <v>172</v>
      </c>
      <c r="AC29" s="146">
        <v>10</v>
      </c>
      <c r="AD29" s="146">
        <v>3</v>
      </c>
      <c r="AE29" s="146">
        <v>100</v>
      </c>
      <c r="AF29" s="146">
        <v>102</v>
      </c>
      <c r="AG29" s="146" t="s">
        <v>167</v>
      </c>
      <c r="AH29" s="146" t="s">
        <v>167</v>
      </c>
      <c r="AI29" s="146" t="s">
        <v>167</v>
      </c>
      <c r="AJ29" t="s">
        <v>173</v>
      </c>
      <c r="AK29" s="151">
        <v>12.75</v>
      </c>
      <c r="AL29" s="151">
        <v>-78.73</v>
      </c>
      <c r="AM29" s="151">
        <v>12.75</v>
      </c>
      <c r="AN29" s="151">
        <v>-78.73</v>
      </c>
      <c r="AO29" s="151">
        <v>-2828</v>
      </c>
      <c r="AP29" s="151">
        <v>-2828</v>
      </c>
      <c r="AQ29" s="142" t="s">
        <v>167</v>
      </c>
      <c r="AR29" s="142" t="s">
        <v>167</v>
      </c>
      <c r="AS29" s="175">
        <v>2686.16</v>
      </c>
      <c r="AT29" s="153" t="s">
        <v>174</v>
      </c>
      <c r="AU29" s="142">
        <v>6</v>
      </c>
      <c r="AV29" s="142">
        <v>6</v>
      </c>
      <c r="AW29" s="149" t="s">
        <v>167</v>
      </c>
      <c r="AX29" s="171" t="s">
        <v>243</v>
      </c>
      <c r="AY29" s="146" t="s">
        <v>167</v>
      </c>
      <c r="AZ29" t="s">
        <v>167</v>
      </c>
      <c r="BA29" t="s">
        <v>167</v>
      </c>
      <c r="BB29" t="s">
        <v>167</v>
      </c>
      <c r="BC29" t="s">
        <v>167</v>
      </c>
      <c r="BD29" t="s">
        <v>167</v>
      </c>
      <c r="BE29" t="s">
        <v>167</v>
      </c>
      <c r="BF29" t="s">
        <v>167</v>
      </c>
      <c r="BG29" s="154" t="s">
        <v>175</v>
      </c>
      <c r="BH29" t="s">
        <v>176</v>
      </c>
      <c r="BI29" s="155" t="s">
        <v>177</v>
      </c>
      <c r="BJ29" s="155" t="s">
        <v>178</v>
      </c>
      <c r="BK29" s="156" t="s">
        <v>179</v>
      </c>
      <c r="BL29" s="156" t="s">
        <v>180</v>
      </c>
      <c r="BM29" t="s">
        <v>181</v>
      </c>
      <c r="BN29" s="142" t="s">
        <v>182</v>
      </c>
      <c r="BO29" s="142" t="s">
        <v>182</v>
      </c>
      <c r="BP29" s="142" t="s">
        <v>182</v>
      </c>
      <c r="BQ29" s="152">
        <v>20.31268</v>
      </c>
      <c r="BR29" t="s">
        <v>183</v>
      </c>
      <c r="BS29" s="152">
        <v>0.100049095</v>
      </c>
      <c r="BT29">
        <v>0.6</v>
      </c>
      <c r="BU29" t="s">
        <v>184</v>
      </c>
      <c r="BV29" s="153">
        <v>0.08</v>
      </c>
      <c r="BW29">
        <v>8.8699999999999992</v>
      </c>
      <c r="BX29" t="s">
        <v>185</v>
      </c>
      <c r="BY29">
        <v>1.52</v>
      </c>
      <c r="BZ29" t="s">
        <v>224</v>
      </c>
      <c r="CA29" t="s">
        <v>187</v>
      </c>
      <c r="CB29" s="158">
        <f t="shared" si="5"/>
        <v>19.071133333333336</v>
      </c>
      <c r="CC29" t="s">
        <v>184</v>
      </c>
      <c r="CD29" s="149" t="s">
        <v>167</v>
      </c>
      <c r="CE29" s="149" t="s">
        <v>167</v>
      </c>
      <c r="CF29" t="s">
        <v>188</v>
      </c>
      <c r="CG29" t="s">
        <v>189</v>
      </c>
      <c r="CH29" t="s">
        <v>190</v>
      </c>
      <c r="CI29" t="s">
        <v>190</v>
      </c>
      <c r="CJ29" s="152">
        <v>26.66178</v>
      </c>
      <c r="CK29" t="s">
        <v>184</v>
      </c>
      <c r="CL29" s="159">
        <v>3</v>
      </c>
      <c r="CM29" s="159">
        <v>3</v>
      </c>
      <c r="CN29" s="152">
        <v>3.2766595106834946</v>
      </c>
      <c r="CO29" s="152">
        <v>3.2766595106834946</v>
      </c>
      <c r="CP29" t="s">
        <v>191</v>
      </c>
      <c r="CQ29" s="145">
        <f t="shared" si="6"/>
        <v>8.8469806788454355E-2</v>
      </c>
      <c r="CR29" s="145">
        <f t="shared" si="7"/>
        <v>8.8469806788454355E-2</v>
      </c>
      <c r="CS29" s="142" t="s">
        <v>192</v>
      </c>
      <c r="CT29" s="147" t="s">
        <v>193</v>
      </c>
      <c r="CU29" s="152">
        <v>4.1235839889786785</v>
      </c>
      <c r="CV29" s="152" t="s">
        <v>194</v>
      </c>
      <c r="CW29" t="s">
        <v>167</v>
      </c>
      <c r="CX29" t="s">
        <v>195</v>
      </c>
      <c r="CY29" t="s">
        <v>167</v>
      </c>
      <c r="CZ29" t="s">
        <v>167</v>
      </c>
      <c r="DA29" t="s">
        <v>167</v>
      </c>
      <c r="DB29" t="s">
        <v>167</v>
      </c>
      <c r="DC29" t="s">
        <v>167</v>
      </c>
      <c r="DD29" t="s">
        <v>167</v>
      </c>
      <c r="DE29" t="s">
        <v>167</v>
      </c>
      <c r="DF29" t="s">
        <v>167</v>
      </c>
      <c r="DG29" s="160">
        <v>35</v>
      </c>
      <c r="DH29" t="s">
        <v>174</v>
      </c>
      <c r="DI29">
        <v>3</v>
      </c>
      <c r="DJ29" s="161" t="s">
        <v>196</v>
      </c>
      <c r="DK29" s="146" t="s">
        <v>167</v>
      </c>
      <c r="DL29" s="146" t="s">
        <v>167</v>
      </c>
      <c r="DM29" s="146" t="s">
        <v>167</v>
      </c>
      <c r="DN29" s="146" t="s">
        <v>167</v>
      </c>
      <c r="DO29" s="146" t="s">
        <v>167</v>
      </c>
      <c r="DP29" s="146" t="s">
        <v>167</v>
      </c>
      <c r="DQ29" s="146" t="s">
        <v>167</v>
      </c>
      <c r="DR29" s="146" t="s">
        <v>167</v>
      </c>
      <c r="DS29" s="146" t="s">
        <v>167</v>
      </c>
      <c r="DT29" s="146" t="s">
        <v>167</v>
      </c>
      <c r="DU29" s="146" t="s">
        <v>167</v>
      </c>
      <c r="DV29" s="146" t="s">
        <v>167</v>
      </c>
      <c r="DW29" s="143">
        <v>432.56244218316402</v>
      </c>
      <c r="DX29" t="s">
        <v>197</v>
      </c>
      <c r="DY29" s="142">
        <v>37.1</v>
      </c>
      <c r="DZ29" t="s">
        <v>198</v>
      </c>
      <c r="EA29" s="152">
        <v>39.223818229999999</v>
      </c>
      <c r="EB29" s="149" t="s">
        <v>185</v>
      </c>
      <c r="EC29" s="162">
        <v>0.2</v>
      </c>
      <c r="ED29" t="s">
        <v>199</v>
      </c>
      <c r="EE29" t="s">
        <v>225</v>
      </c>
      <c r="EF29" t="s">
        <v>201</v>
      </c>
      <c r="EG29">
        <v>1.0271999999999999</v>
      </c>
      <c r="EH29" t="s">
        <v>202</v>
      </c>
      <c r="EI29">
        <v>5.9999999999999995E-4</v>
      </c>
      <c r="EJ29" t="s">
        <v>203</v>
      </c>
      <c r="EK29" t="s">
        <v>167</v>
      </c>
      <c r="EL29" t="s">
        <v>167</v>
      </c>
      <c r="EM29" t="s">
        <v>204</v>
      </c>
      <c r="EN29" t="s">
        <v>226</v>
      </c>
      <c r="EO29" t="s">
        <v>206</v>
      </c>
      <c r="EP29" t="s">
        <v>206</v>
      </c>
      <c r="EQ29" s="146" t="s">
        <v>167</v>
      </c>
      <c r="ER29" t="s">
        <v>167</v>
      </c>
      <c r="ES29" t="s">
        <v>167</v>
      </c>
      <c r="ET29" t="s">
        <v>207</v>
      </c>
      <c r="EU29" t="s">
        <v>208</v>
      </c>
      <c r="EV29" t="s">
        <v>227</v>
      </c>
      <c r="EW29" s="163">
        <v>2330</v>
      </c>
      <c r="EX29" t="s">
        <v>210</v>
      </c>
      <c r="EY29">
        <v>175</v>
      </c>
      <c r="EZ29">
        <v>175</v>
      </c>
      <c r="FA29" t="s">
        <v>167</v>
      </c>
      <c r="FB29" t="s">
        <v>167</v>
      </c>
      <c r="FC29" t="s">
        <v>167</v>
      </c>
      <c r="FD29" t="s">
        <v>167</v>
      </c>
      <c r="FE29" s="152">
        <v>8.1412170194906306</v>
      </c>
      <c r="FF29" s="164" t="s">
        <v>211</v>
      </c>
      <c r="FG29" s="152">
        <v>6.3073661934678782E-2</v>
      </c>
      <c r="FH29" s="152">
        <v>6.4142958834070285E-2</v>
      </c>
      <c r="FI29" s="145">
        <v>304.779060146007</v>
      </c>
      <c r="FJ29" s="149">
        <v>21</v>
      </c>
      <c r="FK29" s="149" t="s">
        <v>212</v>
      </c>
      <c r="FL29" s="152">
        <v>283.779060146007</v>
      </c>
      <c r="FM29" s="152">
        <v>64.462088856909986</v>
      </c>
      <c r="FN29" s="152">
        <v>55.824884866371008</v>
      </c>
      <c r="FO29" s="144" t="s">
        <v>213</v>
      </c>
      <c r="FP29" s="144" t="s">
        <v>214</v>
      </c>
      <c r="FQ29" t="s">
        <v>215</v>
      </c>
      <c r="FR29" t="s">
        <v>215</v>
      </c>
      <c r="FS29" t="s">
        <v>215</v>
      </c>
      <c r="FT29" t="s">
        <v>215</v>
      </c>
      <c r="FU29" t="s">
        <v>215</v>
      </c>
      <c r="FV29" t="s">
        <v>215</v>
      </c>
      <c r="FW29" t="s">
        <v>215</v>
      </c>
      <c r="FX29" t="s">
        <v>215</v>
      </c>
      <c r="FY29" t="s">
        <v>215</v>
      </c>
      <c r="FZ29" t="s">
        <v>215</v>
      </c>
      <c r="GA29" t="s">
        <v>215</v>
      </c>
      <c r="GB29" t="s">
        <v>215</v>
      </c>
    </row>
    <row r="30" spans="1:184" ht="18" x14ac:dyDescent="0.2">
      <c r="A30" t="s">
        <v>240</v>
      </c>
      <c r="B30" s="141" t="s">
        <v>241</v>
      </c>
      <c r="C30" s="138" t="s">
        <v>168</v>
      </c>
      <c r="D30" t="s">
        <v>239</v>
      </c>
      <c r="E30">
        <v>2015</v>
      </c>
      <c r="F30" t="str">
        <f t="shared" si="9"/>
        <v>10.1038/nature14145</v>
      </c>
      <c r="G30" s="175">
        <v>2698.25</v>
      </c>
      <c r="H30" s="142">
        <f t="shared" si="0"/>
        <v>6</v>
      </c>
      <c r="I30" s="142">
        <f t="shared" si="1"/>
        <v>6</v>
      </c>
      <c r="J30" s="148">
        <f t="shared" si="2"/>
        <v>275.60348356145698</v>
      </c>
      <c r="K30" s="148">
        <f t="shared" si="3"/>
        <v>61.164729919116041</v>
      </c>
      <c r="L30" s="148">
        <f t="shared" si="4"/>
        <v>54.642652867815997</v>
      </c>
      <c r="M30" t="b">
        <v>1</v>
      </c>
      <c r="N30">
        <v>3</v>
      </c>
      <c r="O30" t="s">
        <v>245</v>
      </c>
      <c r="P30" s="174" t="s">
        <v>259</v>
      </c>
      <c r="Q30" t="b">
        <v>0</v>
      </c>
      <c r="R30" t="s">
        <v>167</v>
      </c>
      <c r="S30" t="b">
        <v>0</v>
      </c>
      <c r="T30" t="b">
        <v>0</v>
      </c>
      <c r="U30" t="s">
        <v>167</v>
      </c>
      <c r="V30" t="s">
        <v>167</v>
      </c>
      <c r="W30" t="b">
        <v>0</v>
      </c>
      <c r="X30" t="s">
        <v>260</v>
      </c>
      <c r="Y30" s="150" t="s">
        <v>169</v>
      </c>
      <c r="Z30" t="s">
        <v>170</v>
      </c>
      <c r="AA30" t="s">
        <v>171</v>
      </c>
      <c r="AB30" s="142" t="s">
        <v>172</v>
      </c>
      <c r="AC30" s="146">
        <v>10</v>
      </c>
      <c r="AD30" s="146">
        <v>3</v>
      </c>
      <c r="AE30" s="146">
        <v>140</v>
      </c>
      <c r="AF30" s="146">
        <v>142</v>
      </c>
      <c r="AG30" s="146" t="s">
        <v>167</v>
      </c>
      <c r="AH30" s="146" t="s">
        <v>167</v>
      </c>
      <c r="AI30" s="146" t="s">
        <v>167</v>
      </c>
      <c r="AJ30" t="s">
        <v>173</v>
      </c>
      <c r="AK30" s="151">
        <v>12.75</v>
      </c>
      <c r="AL30" s="151">
        <v>-78.73</v>
      </c>
      <c r="AM30" s="151">
        <v>12.75</v>
      </c>
      <c r="AN30" s="151">
        <v>-78.73</v>
      </c>
      <c r="AO30" s="151">
        <v>-2828</v>
      </c>
      <c r="AP30" s="151">
        <v>-2828</v>
      </c>
      <c r="AQ30" s="142" t="s">
        <v>167</v>
      </c>
      <c r="AR30" s="142" t="s">
        <v>167</v>
      </c>
      <c r="AS30" s="175">
        <v>2698.25</v>
      </c>
      <c r="AT30" s="153" t="s">
        <v>174</v>
      </c>
      <c r="AU30" s="142">
        <v>6</v>
      </c>
      <c r="AV30" s="142">
        <v>6</v>
      </c>
      <c r="AW30" s="149" t="s">
        <v>167</v>
      </c>
      <c r="AX30" s="171" t="s">
        <v>243</v>
      </c>
      <c r="AY30" s="146" t="s">
        <v>167</v>
      </c>
      <c r="AZ30" t="s">
        <v>167</v>
      </c>
      <c r="BA30" t="s">
        <v>167</v>
      </c>
      <c r="BB30" t="s">
        <v>167</v>
      </c>
      <c r="BC30" t="s">
        <v>167</v>
      </c>
      <c r="BD30" t="s">
        <v>167</v>
      </c>
      <c r="BE30" t="s">
        <v>167</v>
      </c>
      <c r="BF30" t="s">
        <v>167</v>
      </c>
      <c r="BG30" s="154" t="s">
        <v>175</v>
      </c>
      <c r="BH30" t="s">
        <v>176</v>
      </c>
      <c r="BI30" s="155" t="s">
        <v>177</v>
      </c>
      <c r="BJ30" s="156" t="s">
        <v>178</v>
      </c>
      <c r="BK30" s="156" t="s">
        <v>179</v>
      </c>
      <c r="BL30" s="156" t="s">
        <v>180</v>
      </c>
      <c r="BM30" s="157" t="s">
        <v>181</v>
      </c>
      <c r="BN30" s="142" t="s">
        <v>182</v>
      </c>
      <c r="BO30" s="142" t="s">
        <v>182</v>
      </c>
      <c r="BP30" s="142" t="s">
        <v>182</v>
      </c>
      <c r="BQ30" s="152">
        <v>20.347470000000001</v>
      </c>
      <c r="BR30" t="s">
        <v>183</v>
      </c>
      <c r="BS30" s="152">
        <v>9.0696233000000001E-2</v>
      </c>
      <c r="BT30">
        <v>0.6</v>
      </c>
      <c r="BU30" t="s">
        <v>184</v>
      </c>
      <c r="BV30" s="153">
        <v>0.08</v>
      </c>
      <c r="BW30">
        <v>8.8699999999999992</v>
      </c>
      <c r="BX30" t="s">
        <v>185</v>
      </c>
      <c r="BY30">
        <v>1.52</v>
      </c>
      <c r="BZ30" t="s">
        <v>224</v>
      </c>
      <c r="CA30" t="s">
        <v>187</v>
      </c>
      <c r="CB30" s="158">
        <f t="shared" si="5"/>
        <v>19.129116666666672</v>
      </c>
      <c r="CC30" t="s">
        <v>184</v>
      </c>
      <c r="CD30" s="149" t="s">
        <v>167</v>
      </c>
      <c r="CE30" s="149" t="s">
        <v>167</v>
      </c>
      <c r="CF30" t="s">
        <v>188</v>
      </c>
      <c r="CG30" t="s">
        <v>189</v>
      </c>
      <c r="CH30" t="s">
        <v>190</v>
      </c>
      <c r="CI30" t="s">
        <v>190</v>
      </c>
      <c r="CJ30" s="152">
        <v>26.156130000000001</v>
      </c>
      <c r="CK30" t="s">
        <v>184</v>
      </c>
      <c r="CL30" s="159">
        <v>3</v>
      </c>
      <c r="CM30" s="159">
        <v>3</v>
      </c>
      <c r="CN30" s="152">
        <v>3.1297490837155149</v>
      </c>
      <c r="CO30" s="152">
        <v>3.1297490837155149</v>
      </c>
      <c r="CP30" t="s">
        <v>191</v>
      </c>
      <c r="CQ30" s="145">
        <f t="shared" si="6"/>
        <v>8.4503225260318907E-2</v>
      </c>
      <c r="CR30" s="145">
        <f t="shared" si="7"/>
        <v>8.4503225260318907E-2</v>
      </c>
      <c r="CS30" s="142" t="s">
        <v>192</v>
      </c>
      <c r="CT30" s="147" t="s">
        <v>193</v>
      </c>
      <c r="CU30" s="152">
        <v>4.1199334663857226</v>
      </c>
      <c r="CV30" s="152" t="s">
        <v>194</v>
      </c>
      <c r="CW30" t="s">
        <v>167</v>
      </c>
      <c r="CX30" t="s">
        <v>195</v>
      </c>
      <c r="CY30" t="s">
        <v>167</v>
      </c>
      <c r="CZ30" t="s">
        <v>167</v>
      </c>
      <c r="DA30" t="s">
        <v>167</v>
      </c>
      <c r="DB30" t="s">
        <v>167</v>
      </c>
      <c r="DC30" t="s">
        <v>167</v>
      </c>
      <c r="DD30" t="s">
        <v>167</v>
      </c>
      <c r="DE30" t="s">
        <v>167</v>
      </c>
      <c r="DF30" t="s">
        <v>167</v>
      </c>
      <c r="DG30" s="160">
        <v>35</v>
      </c>
      <c r="DH30" t="s">
        <v>174</v>
      </c>
      <c r="DI30">
        <v>3</v>
      </c>
      <c r="DJ30" s="161" t="s">
        <v>196</v>
      </c>
      <c r="DK30" s="146" t="s">
        <v>167</v>
      </c>
      <c r="DL30" s="146" t="s">
        <v>167</v>
      </c>
      <c r="DM30" s="146" t="s">
        <v>167</v>
      </c>
      <c r="DN30" s="146" t="s">
        <v>167</v>
      </c>
      <c r="DO30" s="146" t="s">
        <v>167</v>
      </c>
      <c r="DP30" s="146" t="s">
        <v>167</v>
      </c>
      <c r="DQ30" s="146" t="s">
        <v>167</v>
      </c>
      <c r="DR30" s="146" t="s">
        <v>167</v>
      </c>
      <c r="DS30" s="146" t="s">
        <v>167</v>
      </c>
      <c r="DT30" s="146" t="s">
        <v>167</v>
      </c>
      <c r="DU30" s="146" t="s">
        <v>167</v>
      </c>
      <c r="DV30" s="146" t="s">
        <v>167</v>
      </c>
      <c r="DW30" s="143">
        <v>432.56244218316402</v>
      </c>
      <c r="DX30" t="s">
        <v>197</v>
      </c>
      <c r="DY30" s="142">
        <v>37.1</v>
      </c>
      <c r="DZ30" t="s">
        <v>198</v>
      </c>
      <c r="EA30" s="152">
        <v>39.222343250000002</v>
      </c>
      <c r="EB30" s="149" t="s">
        <v>185</v>
      </c>
      <c r="EC30" s="162">
        <v>0.2</v>
      </c>
      <c r="ED30" t="s">
        <v>199</v>
      </c>
      <c r="EE30" t="s">
        <v>225</v>
      </c>
      <c r="EF30" t="s">
        <v>201</v>
      </c>
      <c r="EG30">
        <v>1.0271999999999999</v>
      </c>
      <c r="EH30" t="s">
        <v>202</v>
      </c>
      <c r="EI30">
        <v>5.9999999999999995E-4</v>
      </c>
      <c r="EJ30" t="s">
        <v>203</v>
      </c>
      <c r="EK30" t="s">
        <v>167</v>
      </c>
      <c r="EL30" t="s">
        <v>167</v>
      </c>
      <c r="EM30" t="s">
        <v>204</v>
      </c>
      <c r="EN30" t="s">
        <v>226</v>
      </c>
      <c r="EO30" t="s">
        <v>206</v>
      </c>
      <c r="EP30" t="s">
        <v>206</v>
      </c>
      <c r="EQ30" s="146" t="s">
        <v>167</v>
      </c>
      <c r="ER30" t="s">
        <v>167</v>
      </c>
      <c r="ES30" t="s">
        <v>167</v>
      </c>
      <c r="ET30" t="s">
        <v>207</v>
      </c>
      <c r="EU30" t="s">
        <v>208</v>
      </c>
      <c r="EV30" t="s">
        <v>227</v>
      </c>
      <c r="EW30" s="163">
        <v>2330</v>
      </c>
      <c r="EX30" t="s">
        <v>210</v>
      </c>
      <c r="EY30">
        <v>175</v>
      </c>
      <c r="EZ30">
        <v>175</v>
      </c>
      <c r="FA30" t="s">
        <v>167</v>
      </c>
      <c r="FB30" t="s">
        <v>167</v>
      </c>
      <c r="FC30" t="s">
        <v>167</v>
      </c>
      <c r="FD30" t="s">
        <v>167</v>
      </c>
      <c r="FE30" s="152">
        <v>8.1512210182900695</v>
      </c>
      <c r="FF30" s="164" t="s">
        <v>211</v>
      </c>
      <c r="FG30" s="152">
        <v>6.3361899109320774E-2</v>
      </c>
      <c r="FH30" s="152">
        <v>6.3274801188528684E-2</v>
      </c>
      <c r="FI30" s="145">
        <v>296.60348356145698</v>
      </c>
      <c r="FJ30" s="149">
        <v>21</v>
      </c>
      <c r="FK30" s="149" t="s">
        <v>212</v>
      </c>
      <c r="FL30" s="152">
        <v>275.60348356145698</v>
      </c>
      <c r="FM30" s="152">
        <v>61.164729919116041</v>
      </c>
      <c r="FN30" s="152">
        <v>54.642652867815997</v>
      </c>
      <c r="FO30" s="144" t="s">
        <v>213</v>
      </c>
      <c r="FP30" s="144" t="s">
        <v>214</v>
      </c>
      <c r="FQ30" t="s">
        <v>215</v>
      </c>
      <c r="FR30" t="s">
        <v>215</v>
      </c>
      <c r="FS30" t="s">
        <v>215</v>
      </c>
      <c r="FT30" t="s">
        <v>215</v>
      </c>
      <c r="FU30" t="s">
        <v>215</v>
      </c>
      <c r="FV30" t="s">
        <v>215</v>
      </c>
      <c r="FW30" t="s">
        <v>215</v>
      </c>
      <c r="FX30" t="s">
        <v>215</v>
      </c>
      <c r="FY30" t="s">
        <v>215</v>
      </c>
      <c r="FZ30" t="s">
        <v>215</v>
      </c>
      <c r="GA30" t="s">
        <v>215</v>
      </c>
      <c r="GB30" t="s">
        <v>215</v>
      </c>
    </row>
    <row r="31" spans="1:184" ht="18" x14ac:dyDescent="0.2">
      <c r="A31" t="s">
        <v>240</v>
      </c>
      <c r="B31" s="141" t="s">
        <v>241</v>
      </c>
      <c r="C31" s="138" t="s">
        <v>168</v>
      </c>
      <c r="D31" t="s">
        <v>239</v>
      </c>
      <c r="E31">
        <v>2015</v>
      </c>
      <c r="F31" t="str">
        <f t="shared" si="9"/>
        <v>10.1038/nature14145</v>
      </c>
      <c r="G31" s="175">
        <v>2705.51</v>
      </c>
      <c r="H31" s="142">
        <f t="shared" si="0"/>
        <v>6</v>
      </c>
      <c r="I31" s="142">
        <f t="shared" si="1"/>
        <v>6</v>
      </c>
      <c r="J31" s="148">
        <f t="shared" si="2"/>
        <v>234.409752036762</v>
      </c>
      <c r="K31" s="148">
        <f t="shared" si="3"/>
        <v>58.623452798504985</v>
      </c>
      <c r="L31" s="148">
        <f t="shared" si="4"/>
        <v>51.076655281308007</v>
      </c>
      <c r="M31" t="b">
        <v>1</v>
      </c>
      <c r="N31">
        <v>3</v>
      </c>
      <c r="O31" t="s">
        <v>245</v>
      </c>
      <c r="P31" s="174" t="s">
        <v>259</v>
      </c>
      <c r="Q31" t="b">
        <v>0</v>
      </c>
      <c r="R31" t="s">
        <v>167</v>
      </c>
      <c r="S31" t="b">
        <v>0</v>
      </c>
      <c r="T31" t="b">
        <v>0</v>
      </c>
      <c r="U31" t="s">
        <v>167</v>
      </c>
      <c r="V31" t="s">
        <v>167</v>
      </c>
      <c r="W31" t="b">
        <v>0</v>
      </c>
      <c r="X31" t="s">
        <v>260</v>
      </c>
      <c r="Y31" s="150" t="s">
        <v>169</v>
      </c>
      <c r="Z31" t="s">
        <v>170</v>
      </c>
      <c r="AA31" t="s">
        <v>171</v>
      </c>
      <c r="AB31" s="142" t="s">
        <v>172</v>
      </c>
      <c r="AC31" s="146">
        <v>10</v>
      </c>
      <c r="AD31" s="146">
        <v>4</v>
      </c>
      <c r="AE31" s="146">
        <v>14</v>
      </c>
      <c r="AF31" s="146">
        <v>16</v>
      </c>
      <c r="AG31" s="146" t="s">
        <v>167</v>
      </c>
      <c r="AH31" s="146" t="s">
        <v>167</v>
      </c>
      <c r="AI31" s="146" t="s">
        <v>167</v>
      </c>
      <c r="AJ31" t="s">
        <v>173</v>
      </c>
      <c r="AK31" s="151">
        <v>12.75</v>
      </c>
      <c r="AL31" s="151">
        <v>-78.73</v>
      </c>
      <c r="AM31" s="151">
        <v>12.75</v>
      </c>
      <c r="AN31" s="151">
        <v>-78.73</v>
      </c>
      <c r="AO31" s="151">
        <v>-2828</v>
      </c>
      <c r="AP31" s="151">
        <v>-2828</v>
      </c>
      <c r="AQ31" s="142" t="s">
        <v>167</v>
      </c>
      <c r="AR31" s="142" t="s">
        <v>167</v>
      </c>
      <c r="AS31" s="175">
        <v>2705.51</v>
      </c>
      <c r="AT31" s="153" t="s">
        <v>174</v>
      </c>
      <c r="AU31" s="142">
        <v>6</v>
      </c>
      <c r="AV31" s="142">
        <v>6</v>
      </c>
      <c r="AW31" s="149" t="s">
        <v>167</v>
      </c>
      <c r="AX31" s="171" t="s">
        <v>243</v>
      </c>
      <c r="AY31" s="146" t="s">
        <v>167</v>
      </c>
      <c r="AZ31" t="s">
        <v>167</v>
      </c>
      <c r="BA31" t="s">
        <v>167</v>
      </c>
      <c r="BB31" t="s">
        <v>167</v>
      </c>
      <c r="BC31" t="s">
        <v>167</v>
      </c>
      <c r="BD31" t="s">
        <v>167</v>
      </c>
      <c r="BE31" t="s">
        <v>167</v>
      </c>
      <c r="BF31" t="s">
        <v>167</v>
      </c>
      <c r="BG31" s="154" t="s">
        <v>175</v>
      </c>
      <c r="BH31" t="s">
        <v>176</v>
      </c>
      <c r="BI31" s="155" t="s">
        <v>177</v>
      </c>
      <c r="BJ31" s="155" t="s">
        <v>178</v>
      </c>
      <c r="BK31" s="156" t="s">
        <v>179</v>
      </c>
      <c r="BL31" s="156" t="s">
        <v>180</v>
      </c>
      <c r="BM31" t="s">
        <v>181</v>
      </c>
      <c r="BN31" s="142" t="s">
        <v>182</v>
      </c>
      <c r="BO31" s="142" t="s">
        <v>182</v>
      </c>
      <c r="BP31" s="142" t="s">
        <v>182</v>
      </c>
      <c r="BQ31" s="152">
        <v>20.745819999999998</v>
      </c>
      <c r="BR31" t="s">
        <v>183</v>
      </c>
      <c r="BS31" s="152">
        <v>0.21723298899999999</v>
      </c>
      <c r="BT31">
        <v>0.6</v>
      </c>
      <c r="BU31" t="s">
        <v>184</v>
      </c>
      <c r="BV31" s="153">
        <v>0.08</v>
      </c>
      <c r="BW31">
        <v>8.8699999999999992</v>
      </c>
      <c r="BX31" t="s">
        <v>185</v>
      </c>
      <c r="BY31">
        <v>1.52</v>
      </c>
      <c r="BZ31" t="s">
        <v>224</v>
      </c>
      <c r="CA31" t="s">
        <v>187</v>
      </c>
      <c r="CB31" s="158">
        <f t="shared" si="5"/>
        <v>19.793033333333334</v>
      </c>
      <c r="CC31" t="s">
        <v>184</v>
      </c>
      <c r="CD31" s="149" t="s">
        <v>167</v>
      </c>
      <c r="CE31" s="149" t="s">
        <v>167</v>
      </c>
      <c r="CF31" t="s">
        <v>188</v>
      </c>
      <c r="CG31" t="s">
        <v>189</v>
      </c>
      <c r="CH31" t="s">
        <v>190</v>
      </c>
      <c r="CI31" t="s">
        <v>190</v>
      </c>
      <c r="CJ31" s="152">
        <v>26.450230000000001</v>
      </c>
      <c r="CK31" t="s">
        <v>184</v>
      </c>
      <c r="CL31" s="159">
        <v>3</v>
      </c>
      <c r="CM31" s="159">
        <v>3</v>
      </c>
      <c r="CN31" s="152">
        <v>3.2130296454663103</v>
      </c>
      <c r="CO31" s="152">
        <v>3.2130296454663103</v>
      </c>
      <c r="CP31" t="s">
        <v>191</v>
      </c>
      <c r="CQ31" s="145">
        <f t="shared" si="6"/>
        <v>8.6751800427590384E-2</v>
      </c>
      <c r="CR31" s="145">
        <f t="shared" si="7"/>
        <v>8.6751800427590384E-2</v>
      </c>
      <c r="CS31" s="142" t="s">
        <v>192</v>
      </c>
      <c r="CT31" s="147" t="s">
        <v>193</v>
      </c>
      <c r="CU31" s="152">
        <v>4.1178486086019879</v>
      </c>
      <c r="CV31" s="152" t="s">
        <v>194</v>
      </c>
      <c r="CW31" t="s">
        <v>167</v>
      </c>
      <c r="CX31" t="s">
        <v>195</v>
      </c>
      <c r="CY31" t="s">
        <v>167</v>
      </c>
      <c r="CZ31" t="s">
        <v>167</v>
      </c>
      <c r="DA31" t="s">
        <v>167</v>
      </c>
      <c r="DB31" t="s">
        <v>167</v>
      </c>
      <c r="DC31" t="s">
        <v>167</v>
      </c>
      <c r="DD31" t="s">
        <v>167</v>
      </c>
      <c r="DE31" t="s">
        <v>167</v>
      </c>
      <c r="DF31" t="s">
        <v>167</v>
      </c>
      <c r="DG31" s="160">
        <v>35</v>
      </c>
      <c r="DH31" t="s">
        <v>174</v>
      </c>
      <c r="DI31">
        <v>3</v>
      </c>
      <c r="DJ31" s="161" t="s">
        <v>196</v>
      </c>
      <c r="DK31" s="146" t="s">
        <v>167</v>
      </c>
      <c r="DL31" s="146" t="s">
        <v>167</v>
      </c>
      <c r="DM31" s="146" t="s">
        <v>167</v>
      </c>
      <c r="DN31" s="146" t="s">
        <v>167</v>
      </c>
      <c r="DO31" s="146" t="s">
        <v>167</v>
      </c>
      <c r="DP31" s="146" t="s">
        <v>167</v>
      </c>
      <c r="DQ31" s="146" t="s">
        <v>167</v>
      </c>
      <c r="DR31" s="146" t="s">
        <v>167</v>
      </c>
      <c r="DS31" s="146" t="s">
        <v>167</v>
      </c>
      <c r="DT31" s="146" t="s">
        <v>167</v>
      </c>
      <c r="DU31" s="146" t="s">
        <v>167</v>
      </c>
      <c r="DV31" s="146" t="s">
        <v>167</v>
      </c>
      <c r="DW31" s="143">
        <v>432.56244218316402</v>
      </c>
      <c r="DX31" t="s">
        <v>197</v>
      </c>
      <c r="DY31" s="142">
        <v>37.1</v>
      </c>
      <c r="DZ31" t="s">
        <v>198</v>
      </c>
      <c r="EA31" s="152">
        <v>39.221488989999997</v>
      </c>
      <c r="EB31" s="149" t="s">
        <v>185</v>
      </c>
      <c r="EC31" s="162">
        <v>0.2</v>
      </c>
      <c r="ED31" t="s">
        <v>199</v>
      </c>
      <c r="EE31" t="s">
        <v>225</v>
      </c>
      <c r="EF31" t="s">
        <v>201</v>
      </c>
      <c r="EG31">
        <v>1.0271999999999999</v>
      </c>
      <c r="EH31" t="s">
        <v>202</v>
      </c>
      <c r="EI31">
        <v>5.9999999999999995E-4</v>
      </c>
      <c r="EJ31" t="s">
        <v>203</v>
      </c>
      <c r="EK31" t="s">
        <v>167</v>
      </c>
      <c r="EL31" t="s">
        <v>167</v>
      </c>
      <c r="EM31" t="s">
        <v>204</v>
      </c>
      <c r="EN31" t="s">
        <v>226</v>
      </c>
      <c r="EO31" t="s">
        <v>206</v>
      </c>
      <c r="EP31" t="s">
        <v>206</v>
      </c>
      <c r="EQ31" s="146" t="s">
        <v>167</v>
      </c>
      <c r="ER31" t="s">
        <v>167</v>
      </c>
      <c r="ES31" t="s">
        <v>167</v>
      </c>
      <c r="ET31" t="s">
        <v>207</v>
      </c>
      <c r="EU31" t="s">
        <v>208</v>
      </c>
      <c r="EV31" t="s">
        <v>227</v>
      </c>
      <c r="EW31" s="163">
        <v>2330</v>
      </c>
      <c r="EX31" t="s">
        <v>210</v>
      </c>
      <c r="EY31">
        <v>175</v>
      </c>
      <c r="EZ31">
        <v>175</v>
      </c>
      <c r="FA31" t="s">
        <v>167</v>
      </c>
      <c r="FB31" t="s">
        <v>167</v>
      </c>
      <c r="FC31" t="s">
        <v>167</v>
      </c>
      <c r="FD31" t="s">
        <v>167</v>
      </c>
      <c r="FE31" s="152">
        <v>8.20108304521756</v>
      </c>
      <c r="FF31" s="164" t="s">
        <v>211</v>
      </c>
      <c r="FG31" s="152">
        <v>7.0009394929119395E-2</v>
      </c>
      <c r="FH31" s="152">
        <v>6.916302341631031E-2</v>
      </c>
      <c r="FI31" s="145">
        <v>255.409752036762</v>
      </c>
      <c r="FJ31" s="149">
        <v>21</v>
      </c>
      <c r="FK31" s="149" t="s">
        <v>212</v>
      </c>
      <c r="FL31" s="152">
        <v>234.409752036762</v>
      </c>
      <c r="FM31" s="152">
        <v>58.623452798504985</v>
      </c>
      <c r="FN31" s="152">
        <v>51.076655281308007</v>
      </c>
      <c r="FO31" s="144" t="s">
        <v>213</v>
      </c>
      <c r="FP31" s="144" t="s">
        <v>214</v>
      </c>
      <c r="FQ31" t="s">
        <v>215</v>
      </c>
      <c r="FR31" t="s">
        <v>215</v>
      </c>
      <c r="FS31" t="s">
        <v>215</v>
      </c>
      <c r="FT31" t="s">
        <v>215</v>
      </c>
      <c r="FU31" t="s">
        <v>215</v>
      </c>
      <c r="FV31" t="s">
        <v>215</v>
      </c>
      <c r="FW31" t="s">
        <v>215</v>
      </c>
      <c r="FX31" t="s">
        <v>215</v>
      </c>
      <c r="FY31" t="s">
        <v>215</v>
      </c>
      <c r="FZ31" t="s">
        <v>215</v>
      </c>
      <c r="GA31" t="s">
        <v>215</v>
      </c>
      <c r="GB31" t="s">
        <v>215</v>
      </c>
    </row>
    <row r="32" spans="1:184" ht="18" x14ac:dyDescent="0.2">
      <c r="A32" t="s">
        <v>240</v>
      </c>
      <c r="B32" s="141" t="s">
        <v>241</v>
      </c>
      <c r="C32" s="138" t="s">
        <v>168</v>
      </c>
      <c r="D32" t="s">
        <v>239</v>
      </c>
      <c r="E32">
        <v>2015</v>
      </c>
      <c r="F32" t="str">
        <f t="shared" si="9"/>
        <v>10.1038/nature14145</v>
      </c>
      <c r="G32" s="175">
        <v>2710.04</v>
      </c>
      <c r="H32" s="142">
        <f t="shared" si="0"/>
        <v>6</v>
      </c>
      <c r="I32" s="142">
        <f t="shared" si="1"/>
        <v>6</v>
      </c>
      <c r="J32" s="148">
        <f t="shared" si="2"/>
        <v>319.02163467755202</v>
      </c>
      <c r="K32" s="148">
        <f t="shared" si="3"/>
        <v>73.602532606059981</v>
      </c>
      <c r="L32" s="148">
        <f t="shared" si="4"/>
        <v>62.045194604947028</v>
      </c>
      <c r="M32" t="b">
        <v>1</v>
      </c>
      <c r="N32">
        <v>3</v>
      </c>
      <c r="O32" t="s">
        <v>245</v>
      </c>
      <c r="P32" s="174" t="s">
        <v>259</v>
      </c>
      <c r="Q32" t="b">
        <v>0</v>
      </c>
      <c r="R32" t="s">
        <v>167</v>
      </c>
      <c r="S32" t="b">
        <v>0</v>
      </c>
      <c r="T32" t="b">
        <v>0</v>
      </c>
      <c r="U32" t="s">
        <v>167</v>
      </c>
      <c r="V32" t="s">
        <v>167</v>
      </c>
      <c r="W32" t="b">
        <v>0</v>
      </c>
      <c r="X32" t="s">
        <v>260</v>
      </c>
      <c r="Y32" s="150" t="s">
        <v>169</v>
      </c>
      <c r="Z32" t="s">
        <v>170</v>
      </c>
      <c r="AA32" t="s">
        <v>171</v>
      </c>
      <c r="AB32" s="142" t="s">
        <v>172</v>
      </c>
      <c r="AC32" s="146">
        <v>10</v>
      </c>
      <c r="AD32" s="146">
        <v>4</v>
      </c>
      <c r="AE32" s="146">
        <v>29</v>
      </c>
      <c r="AF32" s="146">
        <v>31</v>
      </c>
      <c r="AG32" s="146" t="s">
        <v>167</v>
      </c>
      <c r="AH32" s="146" t="s">
        <v>167</v>
      </c>
      <c r="AI32" s="146" t="s">
        <v>167</v>
      </c>
      <c r="AJ32" t="s">
        <v>173</v>
      </c>
      <c r="AK32" s="151">
        <v>12.75</v>
      </c>
      <c r="AL32" s="151">
        <v>-78.73</v>
      </c>
      <c r="AM32" s="151">
        <v>12.75</v>
      </c>
      <c r="AN32" s="151">
        <v>-78.73</v>
      </c>
      <c r="AO32" s="151">
        <v>-2828</v>
      </c>
      <c r="AP32" s="151">
        <v>-2828</v>
      </c>
      <c r="AQ32" s="142" t="s">
        <v>167</v>
      </c>
      <c r="AR32" s="142" t="s">
        <v>167</v>
      </c>
      <c r="AS32" s="175">
        <v>2710.04</v>
      </c>
      <c r="AT32" s="153" t="s">
        <v>174</v>
      </c>
      <c r="AU32" s="142">
        <v>6</v>
      </c>
      <c r="AV32" s="142">
        <v>6</v>
      </c>
      <c r="AW32" s="149" t="s">
        <v>167</v>
      </c>
      <c r="AX32" s="171" t="s">
        <v>243</v>
      </c>
      <c r="AY32" s="146" t="s">
        <v>167</v>
      </c>
      <c r="AZ32" t="s">
        <v>167</v>
      </c>
      <c r="BA32" t="s">
        <v>167</v>
      </c>
      <c r="BB32" t="s">
        <v>167</v>
      </c>
      <c r="BC32" t="s">
        <v>167</v>
      </c>
      <c r="BD32" t="s">
        <v>167</v>
      </c>
      <c r="BE32" t="s">
        <v>167</v>
      </c>
      <c r="BF32" t="s">
        <v>167</v>
      </c>
      <c r="BG32" s="154" t="s">
        <v>175</v>
      </c>
      <c r="BH32" t="s">
        <v>176</v>
      </c>
      <c r="BI32" s="155" t="s">
        <v>177</v>
      </c>
      <c r="BJ32" s="156" t="s">
        <v>178</v>
      </c>
      <c r="BK32" s="156" t="s">
        <v>179</v>
      </c>
      <c r="BL32" s="156" t="s">
        <v>180</v>
      </c>
      <c r="BM32" s="157" t="s">
        <v>181</v>
      </c>
      <c r="BN32" s="142" t="s">
        <v>182</v>
      </c>
      <c r="BO32" s="142" t="s">
        <v>182</v>
      </c>
      <c r="BP32" s="142" t="s">
        <v>182</v>
      </c>
      <c r="BQ32" s="152">
        <v>20.052980000000002</v>
      </c>
      <c r="BR32" t="s">
        <v>183</v>
      </c>
      <c r="BS32" s="152">
        <v>0.12726322400000001</v>
      </c>
      <c r="BT32">
        <v>0.6</v>
      </c>
      <c r="BU32" t="s">
        <v>184</v>
      </c>
      <c r="BV32" s="153">
        <v>0.08</v>
      </c>
      <c r="BW32">
        <v>8.8699999999999992</v>
      </c>
      <c r="BX32" t="s">
        <v>185</v>
      </c>
      <c r="BY32">
        <v>1.52</v>
      </c>
      <c r="BZ32" t="s">
        <v>224</v>
      </c>
      <c r="CA32" t="s">
        <v>187</v>
      </c>
      <c r="CB32" s="158">
        <f t="shared" si="5"/>
        <v>18.638300000000005</v>
      </c>
      <c r="CC32" t="s">
        <v>184</v>
      </c>
      <c r="CD32" s="149" t="s">
        <v>167</v>
      </c>
      <c r="CE32" s="149" t="s">
        <v>167</v>
      </c>
      <c r="CF32" t="s">
        <v>188</v>
      </c>
      <c r="CG32" t="s">
        <v>189</v>
      </c>
      <c r="CH32" t="s">
        <v>190</v>
      </c>
      <c r="CI32" t="s">
        <v>190</v>
      </c>
      <c r="CJ32" s="152">
        <v>26.62105</v>
      </c>
      <c r="CK32" t="s">
        <v>184</v>
      </c>
      <c r="CL32" s="159">
        <v>3</v>
      </c>
      <c r="CM32" s="159">
        <v>3</v>
      </c>
      <c r="CN32" s="152">
        <v>3.2624068047467349</v>
      </c>
      <c r="CO32" s="152">
        <v>3.2624068047467349</v>
      </c>
      <c r="CP32" t="s">
        <v>191</v>
      </c>
      <c r="CQ32" s="145">
        <f t="shared" si="6"/>
        <v>8.8084983728161842E-2</v>
      </c>
      <c r="CR32" s="145">
        <f t="shared" si="7"/>
        <v>8.8084983728161842E-2</v>
      </c>
      <c r="CS32" s="142" t="s">
        <v>192</v>
      </c>
      <c r="CT32" s="147" t="s">
        <v>193</v>
      </c>
      <c r="CU32" s="152">
        <v>4.1166144416506487</v>
      </c>
      <c r="CV32" s="152" t="s">
        <v>194</v>
      </c>
      <c r="CW32" t="s">
        <v>167</v>
      </c>
      <c r="CX32" t="s">
        <v>195</v>
      </c>
      <c r="CY32" t="s">
        <v>167</v>
      </c>
      <c r="CZ32" t="s">
        <v>167</v>
      </c>
      <c r="DA32" t="s">
        <v>167</v>
      </c>
      <c r="DB32" t="s">
        <v>167</v>
      </c>
      <c r="DC32" t="s">
        <v>167</v>
      </c>
      <c r="DD32" t="s">
        <v>167</v>
      </c>
      <c r="DE32" t="s">
        <v>167</v>
      </c>
      <c r="DF32" t="s">
        <v>167</v>
      </c>
      <c r="DG32" s="160">
        <v>35</v>
      </c>
      <c r="DH32" t="s">
        <v>174</v>
      </c>
      <c r="DI32">
        <v>3</v>
      </c>
      <c r="DJ32" s="161" t="s">
        <v>196</v>
      </c>
      <c r="DK32" s="146" t="s">
        <v>167</v>
      </c>
      <c r="DL32" s="146" t="s">
        <v>167</v>
      </c>
      <c r="DM32" s="146" t="s">
        <v>167</v>
      </c>
      <c r="DN32" s="146" t="s">
        <v>167</v>
      </c>
      <c r="DO32" s="146" t="s">
        <v>167</v>
      </c>
      <c r="DP32" s="146" t="s">
        <v>167</v>
      </c>
      <c r="DQ32" s="146" t="s">
        <v>167</v>
      </c>
      <c r="DR32" s="146" t="s">
        <v>167</v>
      </c>
      <c r="DS32" s="146" t="s">
        <v>167</v>
      </c>
      <c r="DT32" s="146" t="s">
        <v>167</v>
      </c>
      <c r="DU32" s="146" t="s">
        <v>167</v>
      </c>
      <c r="DV32" s="146" t="s">
        <v>167</v>
      </c>
      <c r="DW32" s="143">
        <v>432.56244218316402</v>
      </c>
      <c r="DX32" t="s">
        <v>197</v>
      </c>
      <c r="DY32" s="142">
        <v>37.1</v>
      </c>
      <c r="DZ32" t="s">
        <v>198</v>
      </c>
      <c r="EA32" s="152">
        <v>39.220906059999997</v>
      </c>
      <c r="EB32" s="149" t="s">
        <v>185</v>
      </c>
      <c r="EC32" s="162">
        <v>0.2</v>
      </c>
      <c r="ED32" t="s">
        <v>199</v>
      </c>
      <c r="EE32" t="s">
        <v>225</v>
      </c>
      <c r="EF32" t="s">
        <v>201</v>
      </c>
      <c r="EG32">
        <v>1.0271999999999999</v>
      </c>
      <c r="EH32" t="s">
        <v>202</v>
      </c>
      <c r="EI32">
        <v>5.9999999999999995E-4</v>
      </c>
      <c r="EJ32" t="s">
        <v>203</v>
      </c>
      <c r="EK32" t="s">
        <v>167</v>
      </c>
      <c r="EL32" t="s">
        <v>167</v>
      </c>
      <c r="EM32" t="s">
        <v>204</v>
      </c>
      <c r="EN32" t="s">
        <v>226</v>
      </c>
      <c r="EO32" t="s">
        <v>206</v>
      </c>
      <c r="EP32" t="s">
        <v>206</v>
      </c>
      <c r="EQ32" s="146" t="s">
        <v>167</v>
      </c>
      <c r="ER32" t="s">
        <v>167</v>
      </c>
      <c r="ES32" t="s">
        <v>167</v>
      </c>
      <c r="ET32" t="s">
        <v>207</v>
      </c>
      <c r="EU32" t="s">
        <v>208</v>
      </c>
      <c r="EV32" t="s">
        <v>227</v>
      </c>
      <c r="EW32" s="163">
        <v>2330</v>
      </c>
      <c r="EX32" t="s">
        <v>210</v>
      </c>
      <c r="EY32">
        <v>175</v>
      </c>
      <c r="EZ32">
        <v>175</v>
      </c>
      <c r="FA32" t="s">
        <v>167</v>
      </c>
      <c r="FB32" t="s">
        <v>167</v>
      </c>
      <c r="FC32" t="s">
        <v>167</v>
      </c>
      <c r="FD32" t="s">
        <v>167</v>
      </c>
      <c r="FE32" s="152">
        <v>8.1040378318870392</v>
      </c>
      <c r="FF32" s="164" t="s">
        <v>211</v>
      </c>
      <c r="FG32" s="152">
        <v>6.326652357154039E-2</v>
      </c>
      <c r="FH32" s="152">
        <v>6.541423313468897E-2</v>
      </c>
      <c r="FI32" s="145">
        <v>340.02163467755202</v>
      </c>
      <c r="FJ32" s="149">
        <v>21</v>
      </c>
      <c r="FK32" s="149" t="s">
        <v>212</v>
      </c>
      <c r="FL32" s="152">
        <v>319.02163467755202</v>
      </c>
      <c r="FM32" s="152">
        <v>73.602532606059981</v>
      </c>
      <c r="FN32" s="152">
        <v>62.045194604947028</v>
      </c>
      <c r="FO32" s="144" t="s">
        <v>213</v>
      </c>
      <c r="FP32" s="144" t="s">
        <v>214</v>
      </c>
      <c r="FQ32" t="s">
        <v>215</v>
      </c>
      <c r="FR32" t="s">
        <v>215</v>
      </c>
      <c r="FS32" t="s">
        <v>215</v>
      </c>
      <c r="FT32" t="s">
        <v>215</v>
      </c>
      <c r="FU32" t="s">
        <v>215</v>
      </c>
      <c r="FV32" t="s">
        <v>215</v>
      </c>
      <c r="FW32" t="s">
        <v>215</v>
      </c>
      <c r="FX32" t="s">
        <v>215</v>
      </c>
      <c r="FY32" t="s">
        <v>215</v>
      </c>
      <c r="FZ32" t="s">
        <v>215</v>
      </c>
      <c r="GA32" t="s">
        <v>215</v>
      </c>
      <c r="GB32" t="s">
        <v>215</v>
      </c>
    </row>
    <row r="33" spans="1:184" ht="18" x14ac:dyDescent="0.2">
      <c r="A33" t="s">
        <v>240</v>
      </c>
      <c r="B33" s="141" t="s">
        <v>241</v>
      </c>
      <c r="C33" s="138" t="s">
        <v>168</v>
      </c>
      <c r="D33" t="s">
        <v>239</v>
      </c>
      <c r="E33">
        <v>2015</v>
      </c>
      <c r="F33" t="str">
        <f t="shared" si="9"/>
        <v>10.1038/nature14145</v>
      </c>
      <c r="G33" s="175">
        <v>2716.09</v>
      </c>
      <c r="H33" s="142">
        <f t="shared" si="0"/>
        <v>6</v>
      </c>
      <c r="I33" s="142">
        <f t="shared" si="1"/>
        <v>6</v>
      </c>
      <c r="J33" s="148">
        <f t="shared" si="2"/>
        <v>262.14235703188501</v>
      </c>
      <c r="K33" s="148">
        <f t="shared" si="3"/>
        <v>60.528395916627005</v>
      </c>
      <c r="L33" s="148">
        <f t="shared" si="4"/>
        <v>52.455124474614024</v>
      </c>
      <c r="M33" t="b">
        <v>1</v>
      </c>
      <c r="N33">
        <v>3</v>
      </c>
      <c r="O33" t="s">
        <v>245</v>
      </c>
      <c r="P33" s="174" t="s">
        <v>259</v>
      </c>
      <c r="Q33" t="b">
        <v>0</v>
      </c>
      <c r="R33" t="s">
        <v>167</v>
      </c>
      <c r="S33" t="b">
        <v>0</v>
      </c>
      <c r="T33" t="b">
        <v>0</v>
      </c>
      <c r="U33" t="s">
        <v>167</v>
      </c>
      <c r="V33" t="s">
        <v>167</v>
      </c>
      <c r="W33" t="b">
        <v>0</v>
      </c>
      <c r="X33" t="s">
        <v>260</v>
      </c>
      <c r="Y33" s="150" t="s">
        <v>169</v>
      </c>
      <c r="Z33" t="s">
        <v>170</v>
      </c>
      <c r="AA33" t="s">
        <v>171</v>
      </c>
      <c r="AB33" s="142" t="s">
        <v>172</v>
      </c>
      <c r="AC33" s="146">
        <v>10</v>
      </c>
      <c r="AD33" s="146">
        <v>4</v>
      </c>
      <c r="AE33" s="146">
        <v>49</v>
      </c>
      <c r="AF33" s="146">
        <v>51</v>
      </c>
      <c r="AG33" s="146" t="s">
        <v>167</v>
      </c>
      <c r="AH33" s="146" t="s">
        <v>167</v>
      </c>
      <c r="AI33" s="146" t="s">
        <v>167</v>
      </c>
      <c r="AJ33" t="s">
        <v>173</v>
      </c>
      <c r="AK33" s="151">
        <v>12.75</v>
      </c>
      <c r="AL33" s="151">
        <v>-78.73</v>
      </c>
      <c r="AM33" s="151">
        <v>12.75</v>
      </c>
      <c r="AN33" s="151">
        <v>-78.73</v>
      </c>
      <c r="AO33" s="151">
        <v>-2828</v>
      </c>
      <c r="AP33" s="151">
        <v>-2828</v>
      </c>
      <c r="AQ33" s="142" t="s">
        <v>167</v>
      </c>
      <c r="AR33" s="142" t="s">
        <v>167</v>
      </c>
      <c r="AS33" s="175">
        <v>2716.09</v>
      </c>
      <c r="AT33" s="153" t="s">
        <v>174</v>
      </c>
      <c r="AU33" s="142">
        <v>6</v>
      </c>
      <c r="AV33" s="142">
        <v>6</v>
      </c>
      <c r="AW33" s="149" t="s">
        <v>167</v>
      </c>
      <c r="AX33" s="171" t="s">
        <v>243</v>
      </c>
      <c r="AY33" s="146" t="s">
        <v>167</v>
      </c>
      <c r="AZ33" t="s">
        <v>167</v>
      </c>
      <c r="BA33" t="s">
        <v>167</v>
      </c>
      <c r="BB33" t="s">
        <v>167</v>
      </c>
      <c r="BC33" t="s">
        <v>167</v>
      </c>
      <c r="BD33" t="s">
        <v>167</v>
      </c>
      <c r="BE33" t="s">
        <v>167</v>
      </c>
      <c r="BF33" t="s">
        <v>167</v>
      </c>
      <c r="BG33" s="154" t="s">
        <v>175</v>
      </c>
      <c r="BH33" t="s">
        <v>176</v>
      </c>
      <c r="BI33" s="155" t="s">
        <v>177</v>
      </c>
      <c r="BJ33" s="155" t="s">
        <v>178</v>
      </c>
      <c r="BK33" s="156" t="s">
        <v>179</v>
      </c>
      <c r="BL33" s="156" t="s">
        <v>180</v>
      </c>
      <c r="BM33" t="s">
        <v>181</v>
      </c>
      <c r="BN33" s="142" t="s">
        <v>182</v>
      </c>
      <c r="BO33" s="142" t="s">
        <v>182</v>
      </c>
      <c r="BP33" s="142" t="s">
        <v>182</v>
      </c>
      <c r="BQ33" s="152">
        <v>20.510300000000001</v>
      </c>
      <c r="BR33" t="s">
        <v>183</v>
      </c>
      <c r="BS33" s="152">
        <v>8.8837017000000004E-2</v>
      </c>
      <c r="BT33">
        <v>0.6</v>
      </c>
      <c r="BU33" t="s">
        <v>184</v>
      </c>
      <c r="BV33" s="153">
        <v>0.08</v>
      </c>
      <c r="BW33">
        <v>8.8699999999999992</v>
      </c>
      <c r="BX33" t="s">
        <v>185</v>
      </c>
      <c r="BY33">
        <v>1.52</v>
      </c>
      <c r="BZ33" t="s">
        <v>224</v>
      </c>
      <c r="CA33" t="s">
        <v>187</v>
      </c>
      <c r="CB33" s="158">
        <f t="shared" si="5"/>
        <v>19.400500000000005</v>
      </c>
      <c r="CC33" t="s">
        <v>184</v>
      </c>
      <c r="CD33" s="149" t="s">
        <v>167</v>
      </c>
      <c r="CE33" s="149" t="s">
        <v>167</v>
      </c>
      <c r="CF33" t="s">
        <v>188</v>
      </c>
      <c r="CG33" t="s">
        <v>189</v>
      </c>
      <c r="CH33" t="s">
        <v>190</v>
      </c>
      <c r="CI33" t="s">
        <v>190</v>
      </c>
      <c r="CJ33" s="152">
        <v>26.841180000000001</v>
      </c>
      <c r="CK33" t="s">
        <v>184</v>
      </c>
      <c r="CL33" s="159">
        <v>3</v>
      </c>
      <c r="CM33" s="159">
        <v>3</v>
      </c>
      <c r="CN33" s="152">
        <v>3.3272569976464914</v>
      </c>
      <c r="CO33" s="152">
        <v>3.3272569976464914</v>
      </c>
      <c r="CP33" t="s">
        <v>191</v>
      </c>
      <c r="CQ33" s="145">
        <f t="shared" si="6"/>
        <v>8.9835938936455265E-2</v>
      </c>
      <c r="CR33" s="145">
        <f t="shared" si="7"/>
        <v>8.9835938936455265E-2</v>
      </c>
      <c r="CS33" s="142" t="s">
        <v>192</v>
      </c>
      <c r="CT33" s="147" t="s">
        <v>193</v>
      </c>
      <c r="CU33" s="152">
        <v>4.1153227650666704</v>
      </c>
      <c r="CV33" s="152" t="s">
        <v>194</v>
      </c>
      <c r="CW33" t="s">
        <v>167</v>
      </c>
      <c r="CX33" t="s">
        <v>195</v>
      </c>
      <c r="CY33" t="s">
        <v>167</v>
      </c>
      <c r="CZ33" t="s">
        <v>167</v>
      </c>
      <c r="DA33" t="s">
        <v>167</v>
      </c>
      <c r="DB33" t="s">
        <v>167</v>
      </c>
      <c r="DC33" t="s">
        <v>167</v>
      </c>
      <c r="DD33" t="s">
        <v>167</v>
      </c>
      <c r="DE33" t="s">
        <v>167</v>
      </c>
      <c r="DF33" t="s">
        <v>167</v>
      </c>
      <c r="DG33" s="160">
        <v>35</v>
      </c>
      <c r="DH33" t="s">
        <v>174</v>
      </c>
      <c r="DI33">
        <v>3</v>
      </c>
      <c r="DJ33" s="161" t="s">
        <v>196</v>
      </c>
      <c r="DK33" s="146" t="s">
        <v>167</v>
      </c>
      <c r="DL33" s="146" t="s">
        <v>167</v>
      </c>
      <c r="DM33" s="146" t="s">
        <v>167</v>
      </c>
      <c r="DN33" s="146" t="s">
        <v>167</v>
      </c>
      <c r="DO33" s="146" t="s">
        <v>167</v>
      </c>
      <c r="DP33" s="146" t="s">
        <v>167</v>
      </c>
      <c r="DQ33" s="146" t="s">
        <v>167</v>
      </c>
      <c r="DR33" s="146" t="s">
        <v>167</v>
      </c>
      <c r="DS33" s="146" t="s">
        <v>167</v>
      </c>
      <c r="DT33" s="146" t="s">
        <v>167</v>
      </c>
      <c r="DU33" s="146" t="s">
        <v>167</v>
      </c>
      <c r="DV33" s="146" t="s">
        <v>167</v>
      </c>
      <c r="DW33" s="143">
        <v>432.56244218316402</v>
      </c>
      <c r="DX33" t="s">
        <v>197</v>
      </c>
      <c r="DY33" s="142">
        <v>37.1</v>
      </c>
      <c r="DZ33" t="s">
        <v>198</v>
      </c>
      <c r="EA33" s="152">
        <v>39.220168149999999</v>
      </c>
      <c r="EB33" s="149" t="s">
        <v>185</v>
      </c>
      <c r="EC33" s="162">
        <v>0.2</v>
      </c>
      <c r="ED33" t="s">
        <v>199</v>
      </c>
      <c r="EE33" t="s">
        <v>225</v>
      </c>
      <c r="EF33" t="s">
        <v>201</v>
      </c>
      <c r="EG33">
        <v>1.0271999999999999</v>
      </c>
      <c r="EH33" t="s">
        <v>202</v>
      </c>
      <c r="EI33">
        <v>5.9999999999999995E-4</v>
      </c>
      <c r="EJ33" t="s">
        <v>203</v>
      </c>
      <c r="EK33" t="s">
        <v>167</v>
      </c>
      <c r="EL33" t="s">
        <v>167</v>
      </c>
      <c r="EM33" t="s">
        <v>204</v>
      </c>
      <c r="EN33" t="s">
        <v>226</v>
      </c>
      <c r="EO33" t="s">
        <v>206</v>
      </c>
      <c r="EP33" t="s">
        <v>206</v>
      </c>
      <c r="EQ33" s="146" t="s">
        <v>167</v>
      </c>
      <c r="ER33" t="s">
        <v>167</v>
      </c>
      <c r="ES33" t="s">
        <v>167</v>
      </c>
      <c r="ET33" t="s">
        <v>207</v>
      </c>
      <c r="EU33" t="s">
        <v>208</v>
      </c>
      <c r="EV33" t="s">
        <v>227</v>
      </c>
      <c r="EW33" s="163">
        <v>2330</v>
      </c>
      <c r="EX33" t="s">
        <v>210</v>
      </c>
      <c r="EY33">
        <v>175</v>
      </c>
      <c r="EZ33">
        <v>175</v>
      </c>
      <c r="FA33" t="s">
        <v>167</v>
      </c>
      <c r="FB33" t="s">
        <v>167</v>
      </c>
      <c r="FC33" t="s">
        <v>167</v>
      </c>
      <c r="FD33" t="s">
        <v>167</v>
      </c>
      <c r="FE33" s="152">
        <v>8.1658640348774103</v>
      </c>
      <c r="FF33" s="164" t="s">
        <v>211</v>
      </c>
      <c r="FG33" s="152">
        <v>6.4616583357508972E-2</v>
      </c>
      <c r="FH33" s="152">
        <v>6.4327005550779859E-2</v>
      </c>
      <c r="FI33" s="145">
        <v>283.14235703188501</v>
      </c>
      <c r="FJ33" s="149">
        <v>21</v>
      </c>
      <c r="FK33" s="149" t="s">
        <v>212</v>
      </c>
      <c r="FL33" s="152">
        <v>262.14235703188501</v>
      </c>
      <c r="FM33" s="152">
        <v>60.528395916627005</v>
      </c>
      <c r="FN33" s="152">
        <v>52.455124474614024</v>
      </c>
      <c r="FO33" s="144" t="s">
        <v>213</v>
      </c>
      <c r="FP33" s="144" t="s">
        <v>214</v>
      </c>
      <c r="FQ33" t="s">
        <v>215</v>
      </c>
      <c r="FR33" t="s">
        <v>215</v>
      </c>
      <c r="FS33" t="s">
        <v>215</v>
      </c>
      <c r="FT33" t="s">
        <v>215</v>
      </c>
      <c r="FU33" t="s">
        <v>215</v>
      </c>
      <c r="FV33" t="s">
        <v>215</v>
      </c>
      <c r="FW33" t="s">
        <v>215</v>
      </c>
      <c r="FX33" t="s">
        <v>215</v>
      </c>
      <c r="FY33" t="s">
        <v>215</v>
      </c>
      <c r="FZ33" t="s">
        <v>215</v>
      </c>
      <c r="GA33" t="s">
        <v>215</v>
      </c>
      <c r="GB33" t="s">
        <v>215</v>
      </c>
    </row>
    <row r="34" spans="1:184" ht="18" x14ac:dyDescent="0.2">
      <c r="A34" t="s">
        <v>240</v>
      </c>
      <c r="B34" s="141" t="s">
        <v>241</v>
      </c>
      <c r="C34" s="138" t="s">
        <v>168</v>
      </c>
      <c r="D34" t="s">
        <v>239</v>
      </c>
      <c r="E34">
        <v>2015</v>
      </c>
      <c r="F34" t="str">
        <f t="shared" si="9"/>
        <v>10.1038/nature14145</v>
      </c>
      <c r="G34" s="175">
        <v>2744.51</v>
      </c>
      <c r="H34" s="142">
        <f t="shared" si="0"/>
        <v>6</v>
      </c>
      <c r="I34" s="142">
        <f t="shared" si="1"/>
        <v>6</v>
      </c>
      <c r="J34" s="148">
        <f t="shared" si="2"/>
        <v>338.75533454464397</v>
      </c>
      <c r="K34" s="148">
        <f t="shared" si="3"/>
        <v>75.910857782921028</v>
      </c>
      <c r="L34" s="148">
        <f t="shared" si="4"/>
        <v>66.665096928078981</v>
      </c>
      <c r="M34" t="b">
        <v>1</v>
      </c>
      <c r="N34">
        <v>3</v>
      </c>
      <c r="O34" t="s">
        <v>245</v>
      </c>
      <c r="P34" s="174" t="s">
        <v>259</v>
      </c>
      <c r="Q34" t="b">
        <v>0</v>
      </c>
      <c r="R34" t="s">
        <v>167</v>
      </c>
      <c r="S34" t="b">
        <v>0</v>
      </c>
      <c r="T34" t="b">
        <v>0</v>
      </c>
      <c r="U34" t="s">
        <v>167</v>
      </c>
      <c r="V34" t="s">
        <v>167</v>
      </c>
      <c r="W34" t="b">
        <v>0</v>
      </c>
      <c r="X34" t="s">
        <v>260</v>
      </c>
      <c r="Y34" s="150" t="s">
        <v>169</v>
      </c>
      <c r="Z34" t="s">
        <v>170</v>
      </c>
      <c r="AA34" t="s">
        <v>171</v>
      </c>
      <c r="AB34" s="142" t="s">
        <v>172</v>
      </c>
      <c r="AC34" s="146">
        <v>10</v>
      </c>
      <c r="AD34" s="146">
        <v>4</v>
      </c>
      <c r="AE34" s="146">
        <v>148</v>
      </c>
      <c r="AF34" s="146">
        <v>150</v>
      </c>
      <c r="AG34" s="146" t="s">
        <v>167</v>
      </c>
      <c r="AH34" s="146" t="s">
        <v>167</v>
      </c>
      <c r="AI34" s="146" t="s">
        <v>167</v>
      </c>
      <c r="AJ34" t="s">
        <v>173</v>
      </c>
      <c r="AK34" s="151">
        <v>12.75</v>
      </c>
      <c r="AL34" s="151">
        <v>-78.73</v>
      </c>
      <c r="AM34" s="151">
        <v>12.75</v>
      </c>
      <c r="AN34" s="151">
        <v>-78.73</v>
      </c>
      <c r="AO34" s="151">
        <v>-2828</v>
      </c>
      <c r="AP34" s="151">
        <v>-2828</v>
      </c>
      <c r="AQ34" s="142" t="s">
        <v>167</v>
      </c>
      <c r="AR34" s="142" t="s">
        <v>167</v>
      </c>
      <c r="AS34" s="175">
        <v>2744.51</v>
      </c>
      <c r="AT34" s="153" t="s">
        <v>174</v>
      </c>
      <c r="AU34" s="142">
        <v>6</v>
      </c>
      <c r="AV34" s="142">
        <v>6</v>
      </c>
      <c r="AW34" s="149" t="s">
        <v>167</v>
      </c>
      <c r="AX34" s="171" t="s">
        <v>243</v>
      </c>
      <c r="AY34" s="146" t="s">
        <v>167</v>
      </c>
      <c r="AZ34" t="s">
        <v>167</v>
      </c>
      <c r="BA34" t="s">
        <v>167</v>
      </c>
      <c r="BB34" t="s">
        <v>167</v>
      </c>
      <c r="BC34" t="s">
        <v>167</v>
      </c>
      <c r="BD34" t="s">
        <v>167</v>
      </c>
      <c r="BE34" t="s">
        <v>167</v>
      </c>
      <c r="BF34" t="s">
        <v>167</v>
      </c>
      <c r="BG34" s="154" t="s">
        <v>175</v>
      </c>
      <c r="BH34" t="s">
        <v>176</v>
      </c>
      <c r="BI34" s="155" t="s">
        <v>177</v>
      </c>
      <c r="BJ34" s="156" t="s">
        <v>178</v>
      </c>
      <c r="BK34" s="156" t="s">
        <v>179</v>
      </c>
      <c r="BL34" s="156" t="s">
        <v>180</v>
      </c>
      <c r="BM34" s="157" t="s">
        <v>181</v>
      </c>
      <c r="BN34" s="142" t="s">
        <v>182</v>
      </c>
      <c r="BO34" s="142" t="s">
        <v>182</v>
      </c>
      <c r="BP34" s="142" t="s">
        <v>182</v>
      </c>
      <c r="BQ34" s="152">
        <v>19.99044</v>
      </c>
      <c r="BR34" t="s">
        <v>183</v>
      </c>
      <c r="BS34" s="152">
        <v>9.4352038999999999E-2</v>
      </c>
      <c r="BT34">
        <v>0.6</v>
      </c>
      <c r="BU34" t="s">
        <v>184</v>
      </c>
      <c r="BV34" s="153">
        <v>0.08</v>
      </c>
      <c r="BW34">
        <v>8.8699999999999992</v>
      </c>
      <c r="BX34" t="s">
        <v>185</v>
      </c>
      <c r="BY34">
        <v>1.52</v>
      </c>
      <c r="BZ34" t="s">
        <v>224</v>
      </c>
      <c r="CA34" t="s">
        <v>187</v>
      </c>
      <c r="CB34" s="158">
        <f t="shared" si="5"/>
        <v>18.534066666666668</v>
      </c>
      <c r="CC34" t="s">
        <v>184</v>
      </c>
      <c r="CD34" s="149" t="s">
        <v>167</v>
      </c>
      <c r="CE34" s="149" t="s">
        <v>167</v>
      </c>
      <c r="CF34" t="s">
        <v>188</v>
      </c>
      <c r="CG34" t="s">
        <v>189</v>
      </c>
      <c r="CH34" t="s">
        <v>190</v>
      </c>
      <c r="CI34" t="s">
        <v>190</v>
      </c>
      <c r="CJ34" s="152">
        <v>27.741219999999998</v>
      </c>
      <c r="CK34" t="s">
        <v>184</v>
      </c>
      <c r="CL34" s="159">
        <v>3</v>
      </c>
      <c r="CM34" s="159">
        <v>3</v>
      </c>
      <c r="CN34" s="152">
        <v>3.6026084915859102</v>
      </c>
      <c r="CO34" s="152">
        <v>3.6026084915859102</v>
      </c>
      <c r="CP34" t="s">
        <v>191</v>
      </c>
      <c r="CQ34" s="145">
        <f t="shared" si="6"/>
        <v>9.7270429272819578E-2</v>
      </c>
      <c r="CR34" s="145">
        <f t="shared" si="7"/>
        <v>9.7270429272819578E-2</v>
      </c>
      <c r="CS34" s="142" t="s">
        <v>192</v>
      </c>
      <c r="CT34" s="147" t="s">
        <v>193</v>
      </c>
      <c r="CU34" s="152">
        <v>4.1003574588264211</v>
      </c>
      <c r="CV34" s="152" t="s">
        <v>194</v>
      </c>
      <c r="CW34" t="s">
        <v>167</v>
      </c>
      <c r="CX34" t="s">
        <v>195</v>
      </c>
      <c r="CY34" t="s">
        <v>167</v>
      </c>
      <c r="CZ34" t="s">
        <v>167</v>
      </c>
      <c r="DA34" t="s">
        <v>167</v>
      </c>
      <c r="DB34" t="s">
        <v>167</v>
      </c>
      <c r="DC34" t="s">
        <v>167</v>
      </c>
      <c r="DD34" t="s">
        <v>167</v>
      </c>
      <c r="DE34" t="s">
        <v>167</v>
      </c>
      <c r="DF34" t="s">
        <v>167</v>
      </c>
      <c r="DG34" s="160">
        <v>35</v>
      </c>
      <c r="DH34" t="s">
        <v>174</v>
      </c>
      <c r="DI34">
        <v>3</v>
      </c>
      <c r="DJ34" s="161" t="s">
        <v>196</v>
      </c>
      <c r="DK34" s="146" t="s">
        <v>167</v>
      </c>
      <c r="DL34" s="146" t="s">
        <v>167</v>
      </c>
      <c r="DM34" s="146" t="s">
        <v>167</v>
      </c>
      <c r="DN34" s="146" t="s">
        <v>167</v>
      </c>
      <c r="DO34" s="146" t="s">
        <v>167</v>
      </c>
      <c r="DP34" s="146" t="s">
        <v>167</v>
      </c>
      <c r="DQ34" s="146" t="s">
        <v>167</v>
      </c>
      <c r="DR34" s="146" t="s">
        <v>167</v>
      </c>
      <c r="DS34" s="146" t="s">
        <v>167</v>
      </c>
      <c r="DT34" s="146" t="s">
        <v>167</v>
      </c>
      <c r="DU34" s="146" t="s">
        <v>167</v>
      </c>
      <c r="DV34" s="146" t="s">
        <v>167</v>
      </c>
      <c r="DW34" s="143">
        <v>432.56244218316402</v>
      </c>
      <c r="DX34" t="s">
        <v>197</v>
      </c>
      <c r="DY34" s="142">
        <v>37.1</v>
      </c>
      <c r="DZ34" t="s">
        <v>198</v>
      </c>
      <c r="EA34" s="152">
        <v>39.216312739999999</v>
      </c>
      <c r="EB34" s="149" t="s">
        <v>185</v>
      </c>
      <c r="EC34" s="162">
        <v>0.2</v>
      </c>
      <c r="ED34" t="s">
        <v>199</v>
      </c>
      <c r="EE34" t="s">
        <v>225</v>
      </c>
      <c r="EF34" t="s">
        <v>201</v>
      </c>
      <c r="EG34">
        <v>1.0271999999999999</v>
      </c>
      <c r="EH34" t="s">
        <v>202</v>
      </c>
      <c r="EI34">
        <v>5.9999999999999995E-4</v>
      </c>
      <c r="EJ34" t="s">
        <v>203</v>
      </c>
      <c r="EK34" t="s">
        <v>167</v>
      </c>
      <c r="EL34" t="s">
        <v>167</v>
      </c>
      <c r="EM34" t="s">
        <v>204</v>
      </c>
      <c r="EN34" t="s">
        <v>226</v>
      </c>
      <c r="EO34" t="s">
        <v>206</v>
      </c>
      <c r="EP34" t="s">
        <v>206</v>
      </c>
      <c r="EQ34" s="146" t="s">
        <v>167</v>
      </c>
      <c r="ER34" t="s">
        <v>167</v>
      </c>
      <c r="ES34" t="s">
        <v>167</v>
      </c>
      <c r="ET34" t="s">
        <v>207</v>
      </c>
      <c r="EU34" t="s">
        <v>208</v>
      </c>
      <c r="EV34" t="s">
        <v>227</v>
      </c>
      <c r="EW34" s="163">
        <v>2330</v>
      </c>
      <c r="EX34" t="s">
        <v>210</v>
      </c>
      <c r="EY34">
        <v>175</v>
      </c>
      <c r="EZ34">
        <v>175</v>
      </c>
      <c r="FA34" t="s">
        <v>167</v>
      </c>
      <c r="FB34" t="s">
        <v>167</v>
      </c>
      <c r="FC34" t="s">
        <v>167</v>
      </c>
      <c r="FD34" t="s">
        <v>167</v>
      </c>
      <c r="FE34" s="152">
        <v>8.0829048147411697</v>
      </c>
      <c r="FF34" s="164" t="s">
        <v>211</v>
      </c>
      <c r="FG34" s="152">
        <v>6.3016727846180842E-2</v>
      </c>
      <c r="FH34" s="152">
        <v>6.4940486632549366E-2</v>
      </c>
      <c r="FI34" s="145">
        <v>359.75533454464397</v>
      </c>
      <c r="FJ34" s="149">
        <v>21</v>
      </c>
      <c r="FK34" s="149" t="s">
        <v>212</v>
      </c>
      <c r="FL34" s="152">
        <v>338.75533454464397</v>
      </c>
      <c r="FM34" s="152">
        <v>75.910857782921028</v>
      </c>
      <c r="FN34" s="152">
        <v>66.665096928078981</v>
      </c>
      <c r="FO34" s="144" t="s">
        <v>213</v>
      </c>
      <c r="FP34" s="144" t="s">
        <v>214</v>
      </c>
      <c r="FQ34" t="s">
        <v>215</v>
      </c>
      <c r="FR34" t="s">
        <v>215</v>
      </c>
      <c r="FS34" t="s">
        <v>215</v>
      </c>
      <c r="FT34" t="s">
        <v>215</v>
      </c>
      <c r="FU34" t="s">
        <v>215</v>
      </c>
      <c r="FV34" t="s">
        <v>215</v>
      </c>
      <c r="FW34" t="s">
        <v>215</v>
      </c>
      <c r="FX34" t="s">
        <v>215</v>
      </c>
      <c r="FY34" t="s">
        <v>215</v>
      </c>
      <c r="FZ34" t="s">
        <v>215</v>
      </c>
      <c r="GA34" t="s">
        <v>215</v>
      </c>
      <c r="GB34" t="s">
        <v>215</v>
      </c>
    </row>
    <row r="35" spans="1:184" ht="18" x14ac:dyDescent="0.2">
      <c r="A35" t="s">
        <v>240</v>
      </c>
      <c r="B35" s="141" t="s">
        <v>241</v>
      </c>
      <c r="C35" s="138" t="s">
        <v>168</v>
      </c>
      <c r="D35" t="s">
        <v>239</v>
      </c>
      <c r="E35">
        <v>2015</v>
      </c>
      <c r="F35" t="str">
        <f t="shared" si="9"/>
        <v>10.1038/nature14145</v>
      </c>
      <c r="G35" s="175">
        <v>2751.11</v>
      </c>
      <c r="H35" s="142">
        <f t="shared" si="0"/>
        <v>6</v>
      </c>
      <c r="I35" s="142">
        <f t="shared" si="1"/>
        <v>6</v>
      </c>
      <c r="J35" s="148">
        <f t="shared" si="2"/>
        <v>320.96855335584797</v>
      </c>
      <c r="K35" s="148">
        <f t="shared" si="3"/>
        <v>75.182843776253037</v>
      </c>
      <c r="L35" s="148">
        <f t="shared" si="4"/>
        <v>62.811353431036991</v>
      </c>
      <c r="M35" t="b">
        <v>1</v>
      </c>
      <c r="N35">
        <v>3</v>
      </c>
      <c r="O35" t="s">
        <v>245</v>
      </c>
      <c r="P35" s="174" t="s">
        <v>259</v>
      </c>
      <c r="Q35" t="b">
        <v>0</v>
      </c>
      <c r="R35" t="s">
        <v>167</v>
      </c>
      <c r="S35" t="b">
        <v>0</v>
      </c>
      <c r="T35" t="b">
        <v>0</v>
      </c>
      <c r="U35" t="s">
        <v>167</v>
      </c>
      <c r="V35" t="s">
        <v>167</v>
      </c>
      <c r="W35" t="b">
        <v>0</v>
      </c>
      <c r="X35" t="s">
        <v>260</v>
      </c>
      <c r="Y35" s="150" t="s">
        <v>169</v>
      </c>
      <c r="Z35" t="s">
        <v>170</v>
      </c>
      <c r="AA35" t="s">
        <v>171</v>
      </c>
      <c r="AB35" s="142" t="s">
        <v>172</v>
      </c>
      <c r="AC35" s="146">
        <v>10</v>
      </c>
      <c r="AD35" s="146">
        <v>5</v>
      </c>
      <c r="AE35" s="146">
        <v>22</v>
      </c>
      <c r="AF35" s="146">
        <v>24</v>
      </c>
      <c r="AG35" s="146" t="s">
        <v>167</v>
      </c>
      <c r="AH35" s="146" t="s">
        <v>167</v>
      </c>
      <c r="AI35" s="146" t="s">
        <v>167</v>
      </c>
      <c r="AJ35" t="s">
        <v>173</v>
      </c>
      <c r="AK35" s="151">
        <v>12.75</v>
      </c>
      <c r="AL35" s="151">
        <v>-78.73</v>
      </c>
      <c r="AM35" s="151">
        <v>12.75</v>
      </c>
      <c r="AN35" s="151">
        <v>-78.73</v>
      </c>
      <c r="AO35" s="151">
        <v>-2828</v>
      </c>
      <c r="AP35" s="151">
        <v>-2828</v>
      </c>
      <c r="AQ35" s="142" t="s">
        <v>167</v>
      </c>
      <c r="AR35" s="142" t="s">
        <v>167</v>
      </c>
      <c r="AS35" s="175">
        <v>2751.11</v>
      </c>
      <c r="AT35" s="153" t="s">
        <v>174</v>
      </c>
      <c r="AU35" s="142">
        <v>6</v>
      </c>
      <c r="AV35" s="142">
        <v>6</v>
      </c>
      <c r="AW35" s="149" t="s">
        <v>167</v>
      </c>
      <c r="AX35" s="171" t="s">
        <v>243</v>
      </c>
      <c r="AY35" s="146" t="s">
        <v>167</v>
      </c>
      <c r="AZ35" t="s">
        <v>167</v>
      </c>
      <c r="BA35" t="s">
        <v>167</v>
      </c>
      <c r="BB35" t="s">
        <v>167</v>
      </c>
      <c r="BC35" t="s">
        <v>167</v>
      </c>
      <c r="BD35" t="s">
        <v>167</v>
      </c>
      <c r="BE35" t="s">
        <v>167</v>
      </c>
      <c r="BF35" t="s">
        <v>167</v>
      </c>
      <c r="BG35" s="154" t="s">
        <v>175</v>
      </c>
      <c r="BH35" t="s">
        <v>176</v>
      </c>
      <c r="BI35" s="155" t="s">
        <v>177</v>
      </c>
      <c r="BJ35" s="155" t="s">
        <v>178</v>
      </c>
      <c r="BK35" s="156" t="s">
        <v>179</v>
      </c>
      <c r="BL35" s="156" t="s">
        <v>180</v>
      </c>
      <c r="BM35" t="s">
        <v>181</v>
      </c>
      <c r="BN35" s="142" t="s">
        <v>182</v>
      </c>
      <c r="BO35" s="142" t="s">
        <v>182</v>
      </c>
      <c r="BP35" s="142" t="s">
        <v>182</v>
      </c>
      <c r="BQ35" s="152">
        <v>20.11</v>
      </c>
      <c r="BR35" t="s">
        <v>183</v>
      </c>
      <c r="BS35" s="152">
        <v>0.14606470599999999</v>
      </c>
      <c r="BT35">
        <v>0.6</v>
      </c>
      <c r="BU35" t="s">
        <v>184</v>
      </c>
      <c r="BV35" s="153">
        <v>0.08</v>
      </c>
      <c r="BW35">
        <v>8.8699999999999992</v>
      </c>
      <c r="BX35" t="s">
        <v>185</v>
      </c>
      <c r="BY35">
        <v>1.52</v>
      </c>
      <c r="BZ35" t="s">
        <v>224</v>
      </c>
      <c r="CA35" t="s">
        <v>187</v>
      </c>
      <c r="CB35" s="158">
        <f t="shared" si="5"/>
        <v>18.733333333333334</v>
      </c>
      <c r="CC35" t="s">
        <v>184</v>
      </c>
      <c r="CD35" s="149" t="s">
        <v>167</v>
      </c>
      <c r="CE35" s="149" t="s">
        <v>167</v>
      </c>
      <c r="CF35" t="s">
        <v>188</v>
      </c>
      <c r="CG35" t="s">
        <v>189</v>
      </c>
      <c r="CH35" t="s">
        <v>190</v>
      </c>
      <c r="CI35" t="s">
        <v>190</v>
      </c>
      <c r="CJ35" s="152">
        <v>27.69333</v>
      </c>
      <c r="CK35" t="s">
        <v>184</v>
      </c>
      <c r="CL35" s="159">
        <v>3</v>
      </c>
      <c r="CM35" s="159">
        <v>3</v>
      </c>
      <c r="CN35" s="152">
        <v>3.5849970938460105</v>
      </c>
      <c r="CO35" s="152">
        <v>3.5849970938460105</v>
      </c>
      <c r="CP35" t="s">
        <v>191</v>
      </c>
      <c r="CQ35" s="145">
        <f t="shared" si="6"/>
        <v>9.6794921533842282E-2</v>
      </c>
      <c r="CR35" s="145">
        <f t="shared" si="7"/>
        <v>9.6794921533842282E-2</v>
      </c>
      <c r="CS35" s="142" t="s">
        <v>192</v>
      </c>
      <c r="CT35" s="147" t="s">
        <v>193</v>
      </c>
      <c r="CU35" s="152">
        <v>4.0944571866305104</v>
      </c>
      <c r="CV35" s="152" t="s">
        <v>194</v>
      </c>
      <c r="CW35" t="s">
        <v>167</v>
      </c>
      <c r="CX35" t="s">
        <v>195</v>
      </c>
      <c r="CY35" t="s">
        <v>167</v>
      </c>
      <c r="CZ35" t="s">
        <v>167</v>
      </c>
      <c r="DA35" t="s">
        <v>167</v>
      </c>
      <c r="DB35" t="s">
        <v>167</v>
      </c>
      <c r="DC35" t="s">
        <v>167</v>
      </c>
      <c r="DD35" t="s">
        <v>167</v>
      </c>
      <c r="DE35" t="s">
        <v>167</v>
      </c>
      <c r="DF35" t="s">
        <v>167</v>
      </c>
      <c r="DG35" s="160">
        <v>35</v>
      </c>
      <c r="DH35" t="s">
        <v>174</v>
      </c>
      <c r="DI35">
        <v>3</v>
      </c>
      <c r="DJ35" s="161" t="s">
        <v>196</v>
      </c>
      <c r="DK35" s="146" t="s">
        <v>167</v>
      </c>
      <c r="DL35" s="146" t="s">
        <v>167</v>
      </c>
      <c r="DM35" s="146" t="s">
        <v>167</v>
      </c>
      <c r="DN35" s="146" t="s">
        <v>167</v>
      </c>
      <c r="DO35" s="146" t="s">
        <v>167</v>
      </c>
      <c r="DP35" s="146" t="s">
        <v>167</v>
      </c>
      <c r="DQ35" s="146" t="s">
        <v>167</v>
      </c>
      <c r="DR35" s="146" t="s">
        <v>167</v>
      </c>
      <c r="DS35" s="146" t="s">
        <v>167</v>
      </c>
      <c r="DT35" s="146" t="s">
        <v>167</v>
      </c>
      <c r="DU35" s="146" t="s">
        <v>167</v>
      </c>
      <c r="DV35" s="146" t="s">
        <v>167</v>
      </c>
      <c r="DW35" s="143">
        <v>432.56244218316402</v>
      </c>
      <c r="DX35" t="s">
        <v>197</v>
      </c>
      <c r="DY35" s="142">
        <v>37.1</v>
      </c>
      <c r="DZ35" t="s">
        <v>198</v>
      </c>
      <c r="EA35" s="152">
        <v>39.214965479999996</v>
      </c>
      <c r="EB35" s="149" t="s">
        <v>185</v>
      </c>
      <c r="EC35" s="162">
        <v>0.2</v>
      </c>
      <c r="ED35" t="s">
        <v>199</v>
      </c>
      <c r="EE35" t="s">
        <v>225</v>
      </c>
      <c r="EF35" t="s">
        <v>201</v>
      </c>
      <c r="EG35">
        <v>1.0271999999999999</v>
      </c>
      <c r="EH35" t="s">
        <v>202</v>
      </c>
      <c r="EI35">
        <v>5.9999999999999995E-4</v>
      </c>
      <c r="EJ35" t="s">
        <v>203</v>
      </c>
      <c r="EK35" t="s">
        <v>167</v>
      </c>
      <c r="EL35" t="s">
        <v>167</v>
      </c>
      <c r="EM35" t="s">
        <v>204</v>
      </c>
      <c r="EN35" t="s">
        <v>226</v>
      </c>
      <c r="EO35" t="s">
        <v>206</v>
      </c>
      <c r="EP35" t="s">
        <v>206</v>
      </c>
      <c r="EQ35" s="146" t="s">
        <v>167</v>
      </c>
      <c r="ER35" t="s">
        <v>167</v>
      </c>
      <c r="ES35" t="s">
        <v>167</v>
      </c>
      <c r="ET35" t="s">
        <v>207</v>
      </c>
      <c r="EU35" t="s">
        <v>208</v>
      </c>
      <c r="EV35" t="s">
        <v>227</v>
      </c>
      <c r="EW35" s="163">
        <v>2330</v>
      </c>
      <c r="EX35" t="s">
        <v>210</v>
      </c>
      <c r="EY35">
        <v>175</v>
      </c>
      <c r="EZ35">
        <v>175</v>
      </c>
      <c r="FA35" t="s">
        <v>167</v>
      </c>
      <c r="FB35" t="s">
        <v>167</v>
      </c>
      <c r="FC35" t="s">
        <v>167</v>
      </c>
      <c r="FD35" t="s">
        <v>167</v>
      </c>
      <c r="FE35" s="152">
        <v>8.1006257060472908</v>
      </c>
      <c r="FF35" s="164" t="s">
        <v>211</v>
      </c>
      <c r="FG35" s="152">
        <v>6.4698540948549876E-2</v>
      </c>
      <c r="FH35" s="152">
        <v>6.5864273882970892E-2</v>
      </c>
      <c r="FI35" s="145">
        <v>341.96855335584797</v>
      </c>
      <c r="FJ35" s="149">
        <v>21</v>
      </c>
      <c r="FK35" s="149" t="s">
        <v>212</v>
      </c>
      <c r="FL35" s="152">
        <v>320.96855335584797</v>
      </c>
      <c r="FM35" s="152">
        <v>75.182843776253037</v>
      </c>
      <c r="FN35" s="152">
        <v>62.811353431036991</v>
      </c>
      <c r="FO35" s="144" t="s">
        <v>213</v>
      </c>
      <c r="FP35" s="144" t="s">
        <v>214</v>
      </c>
      <c r="FQ35" t="s">
        <v>215</v>
      </c>
      <c r="FR35" t="s">
        <v>215</v>
      </c>
      <c r="FS35" t="s">
        <v>215</v>
      </c>
      <c r="FT35" t="s">
        <v>215</v>
      </c>
      <c r="FU35" t="s">
        <v>215</v>
      </c>
      <c r="FV35" t="s">
        <v>215</v>
      </c>
      <c r="FW35" t="s">
        <v>215</v>
      </c>
      <c r="FX35" t="s">
        <v>215</v>
      </c>
      <c r="FY35" t="s">
        <v>215</v>
      </c>
      <c r="FZ35" t="s">
        <v>215</v>
      </c>
      <c r="GA35" t="s">
        <v>215</v>
      </c>
      <c r="GB35" t="s">
        <v>215</v>
      </c>
    </row>
    <row r="36" spans="1:184" ht="18" x14ac:dyDescent="0.2">
      <c r="A36" t="s">
        <v>240</v>
      </c>
      <c r="B36" s="141" t="s">
        <v>241</v>
      </c>
      <c r="C36" s="138" t="s">
        <v>168</v>
      </c>
      <c r="D36" t="s">
        <v>239</v>
      </c>
      <c r="E36">
        <v>2015</v>
      </c>
      <c r="F36" t="str">
        <f t="shared" si="9"/>
        <v>10.1038/nature14145</v>
      </c>
      <c r="G36" s="175">
        <v>2764.59</v>
      </c>
      <c r="H36" s="142">
        <f t="shared" ref="H36:H67" si="10">AU36</f>
        <v>6</v>
      </c>
      <c r="I36" s="142">
        <f t="shared" ref="I36:I67" si="11">AV36</f>
        <v>6</v>
      </c>
      <c r="J36" s="148">
        <f t="shared" ref="J36:J67" si="12">FL36</f>
        <v>358.16447907321401</v>
      </c>
      <c r="K36" s="148">
        <f t="shared" ref="K36:K67" si="13">FM36</f>
        <v>79.56791804505599</v>
      </c>
      <c r="L36" s="148">
        <f t="shared" ref="L36:L67" si="14">FN36</f>
        <v>70.538769125941997</v>
      </c>
      <c r="M36" t="b">
        <v>1</v>
      </c>
      <c r="N36">
        <v>3</v>
      </c>
      <c r="O36" t="s">
        <v>245</v>
      </c>
      <c r="P36" s="174" t="s">
        <v>259</v>
      </c>
      <c r="Q36" t="b">
        <v>0</v>
      </c>
      <c r="R36" t="s">
        <v>167</v>
      </c>
      <c r="S36" t="b">
        <v>0</v>
      </c>
      <c r="T36" t="b">
        <v>0</v>
      </c>
      <c r="U36" t="s">
        <v>167</v>
      </c>
      <c r="V36" t="s">
        <v>167</v>
      </c>
      <c r="W36" t="b">
        <v>0</v>
      </c>
      <c r="X36" t="s">
        <v>260</v>
      </c>
      <c r="Y36" s="150" t="s">
        <v>169</v>
      </c>
      <c r="Z36" t="s">
        <v>170</v>
      </c>
      <c r="AA36" t="s">
        <v>171</v>
      </c>
      <c r="AB36" s="142" t="s">
        <v>172</v>
      </c>
      <c r="AC36" s="146">
        <v>10</v>
      </c>
      <c r="AD36" s="146">
        <v>5</v>
      </c>
      <c r="AE36" s="146">
        <v>71</v>
      </c>
      <c r="AF36" s="146">
        <v>73</v>
      </c>
      <c r="AG36" s="146" t="s">
        <v>167</v>
      </c>
      <c r="AH36" s="146" t="s">
        <v>167</v>
      </c>
      <c r="AI36" s="146" t="s">
        <v>167</v>
      </c>
      <c r="AJ36" t="s">
        <v>173</v>
      </c>
      <c r="AK36" s="151">
        <v>12.75</v>
      </c>
      <c r="AL36" s="151">
        <v>-78.73</v>
      </c>
      <c r="AM36" s="151">
        <v>12.75</v>
      </c>
      <c r="AN36" s="151">
        <v>-78.73</v>
      </c>
      <c r="AO36" s="151">
        <v>-2828</v>
      </c>
      <c r="AP36" s="151">
        <v>-2828</v>
      </c>
      <c r="AQ36" s="142" t="s">
        <v>167</v>
      </c>
      <c r="AR36" s="142" t="s">
        <v>167</v>
      </c>
      <c r="AS36" s="175">
        <v>2764.59</v>
      </c>
      <c r="AT36" s="153" t="s">
        <v>174</v>
      </c>
      <c r="AU36" s="142">
        <v>6</v>
      </c>
      <c r="AV36" s="142">
        <v>6</v>
      </c>
      <c r="AW36" s="149" t="s">
        <v>167</v>
      </c>
      <c r="AX36" s="171" t="s">
        <v>243</v>
      </c>
      <c r="AY36" s="146" t="s">
        <v>167</v>
      </c>
      <c r="AZ36" t="s">
        <v>167</v>
      </c>
      <c r="BA36" t="s">
        <v>167</v>
      </c>
      <c r="BB36" t="s">
        <v>167</v>
      </c>
      <c r="BC36" t="s">
        <v>167</v>
      </c>
      <c r="BD36" t="s">
        <v>167</v>
      </c>
      <c r="BE36" t="s">
        <v>167</v>
      </c>
      <c r="BF36" t="s">
        <v>167</v>
      </c>
      <c r="BG36" s="154" t="s">
        <v>175</v>
      </c>
      <c r="BH36" t="s">
        <v>176</v>
      </c>
      <c r="BI36" s="155" t="s">
        <v>177</v>
      </c>
      <c r="BJ36" s="156" t="s">
        <v>178</v>
      </c>
      <c r="BK36" s="156" t="s">
        <v>179</v>
      </c>
      <c r="BL36" s="156" t="s">
        <v>180</v>
      </c>
      <c r="BM36" s="157" t="s">
        <v>181</v>
      </c>
      <c r="BN36" s="142" t="s">
        <v>182</v>
      </c>
      <c r="BO36" s="142" t="s">
        <v>182</v>
      </c>
      <c r="BP36" s="142" t="s">
        <v>182</v>
      </c>
      <c r="BQ36" s="152">
        <v>19.859529999999999</v>
      </c>
      <c r="BR36" t="s">
        <v>183</v>
      </c>
      <c r="BS36" s="152">
        <v>0.107019087</v>
      </c>
      <c r="BT36">
        <v>0.6</v>
      </c>
      <c r="BU36" t="s">
        <v>184</v>
      </c>
      <c r="BV36" s="153">
        <v>0.08</v>
      </c>
      <c r="BW36">
        <v>8.8699999999999992</v>
      </c>
      <c r="BX36" t="s">
        <v>185</v>
      </c>
      <c r="BY36">
        <v>1.52</v>
      </c>
      <c r="BZ36" t="s">
        <v>224</v>
      </c>
      <c r="CA36" t="s">
        <v>187</v>
      </c>
      <c r="CB36" s="158">
        <f t="shared" si="5"/>
        <v>18.315883333333336</v>
      </c>
      <c r="CC36" t="s">
        <v>184</v>
      </c>
      <c r="CD36" s="149" t="s">
        <v>167</v>
      </c>
      <c r="CE36" s="149" t="s">
        <v>167</v>
      </c>
      <c r="CF36" t="s">
        <v>188</v>
      </c>
      <c r="CG36" t="s">
        <v>189</v>
      </c>
      <c r="CH36" t="s">
        <v>190</v>
      </c>
      <c r="CI36" t="s">
        <v>190</v>
      </c>
      <c r="CJ36" s="152">
        <v>27.596889999999998</v>
      </c>
      <c r="CK36" t="s">
        <v>184</v>
      </c>
      <c r="CL36" s="159">
        <v>3</v>
      </c>
      <c r="CM36" s="159">
        <v>3</v>
      </c>
      <c r="CN36" s="152">
        <v>3.5477068173877262</v>
      </c>
      <c r="CO36" s="152">
        <v>3.5477068173877262</v>
      </c>
      <c r="CP36" t="s">
        <v>191</v>
      </c>
      <c r="CQ36" s="145">
        <f t="shared" si="6"/>
        <v>9.5788084069468607E-2</v>
      </c>
      <c r="CR36" s="145">
        <f t="shared" si="7"/>
        <v>9.5788084069468607E-2</v>
      </c>
      <c r="CS36" s="142" t="s">
        <v>192</v>
      </c>
      <c r="CT36" s="147" t="s">
        <v>193</v>
      </c>
      <c r="CU36" s="152">
        <v>4.0767532348534372</v>
      </c>
      <c r="CV36" s="152" t="s">
        <v>194</v>
      </c>
      <c r="CW36" t="s">
        <v>167</v>
      </c>
      <c r="CX36" t="s">
        <v>195</v>
      </c>
      <c r="CY36" t="s">
        <v>167</v>
      </c>
      <c r="CZ36" t="s">
        <v>167</v>
      </c>
      <c r="DA36" t="s">
        <v>167</v>
      </c>
      <c r="DB36" t="s">
        <v>167</v>
      </c>
      <c r="DC36" t="s">
        <v>167</v>
      </c>
      <c r="DD36" t="s">
        <v>167</v>
      </c>
      <c r="DE36" t="s">
        <v>167</v>
      </c>
      <c r="DF36" t="s">
        <v>167</v>
      </c>
      <c r="DG36" s="160">
        <v>35</v>
      </c>
      <c r="DH36" t="s">
        <v>174</v>
      </c>
      <c r="DI36">
        <v>3</v>
      </c>
      <c r="DJ36" s="161" t="s">
        <v>196</v>
      </c>
      <c r="DK36" s="146" t="s">
        <v>167</v>
      </c>
      <c r="DL36" s="146" t="s">
        <v>167</v>
      </c>
      <c r="DM36" s="146" t="s">
        <v>167</v>
      </c>
      <c r="DN36" s="146" t="s">
        <v>167</v>
      </c>
      <c r="DO36" s="146" t="s">
        <v>167</v>
      </c>
      <c r="DP36" s="146" t="s">
        <v>167</v>
      </c>
      <c r="DQ36" s="146" t="s">
        <v>167</v>
      </c>
      <c r="DR36" s="146" t="s">
        <v>167</v>
      </c>
      <c r="DS36" s="146" t="s">
        <v>167</v>
      </c>
      <c r="DT36" s="146" t="s">
        <v>167</v>
      </c>
      <c r="DU36" s="146" t="s">
        <v>167</v>
      </c>
      <c r="DV36" s="146" t="s">
        <v>167</v>
      </c>
      <c r="DW36" s="143">
        <v>432.56244218316402</v>
      </c>
      <c r="DX36" t="s">
        <v>197</v>
      </c>
      <c r="DY36" s="142">
        <v>37.1</v>
      </c>
      <c r="DZ36" t="s">
        <v>198</v>
      </c>
      <c r="EA36" s="152">
        <v>39.21291437</v>
      </c>
      <c r="EB36" s="149" t="s">
        <v>185</v>
      </c>
      <c r="EC36" s="162">
        <v>0.2</v>
      </c>
      <c r="ED36" t="s">
        <v>199</v>
      </c>
      <c r="EE36" t="s">
        <v>225</v>
      </c>
      <c r="EF36" t="s">
        <v>201</v>
      </c>
      <c r="EG36">
        <v>1.0271999999999999</v>
      </c>
      <c r="EH36" t="s">
        <v>202</v>
      </c>
      <c r="EI36">
        <v>5.9999999999999995E-4</v>
      </c>
      <c r="EJ36" t="s">
        <v>203</v>
      </c>
      <c r="EK36" t="s">
        <v>167</v>
      </c>
      <c r="EL36" t="s">
        <v>167</v>
      </c>
      <c r="EM36" t="s">
        <v>204</v>
      </c>
      <c r="EN36" t="s">
        <v>226</v>
      </c>
      <c r="EO36" t="s">
        <v>206</v>
      </c>
      <c r="EP36" t="s">
        <v>206</v>
      </c>
      <c r="EQ36" s="146" t="s">
        <v>167</v>
      </c>
      <c r="ER36" t="s">
        <v>167</v>
      </c>
      <c r="ES36" t="s">
        <v>167</v>
      </c>
      <c r="ET36" t="s">
        <v>207</v>
      </c>
      <c r="EU36" t="s">
        <v>208</v>
      </c>
      <c r="EV36" t="s">
        <v>227</v>
      </c>
      <c r="EW36" s="163">
        <v>2330</v>
      </c>
      <c r="EX36" t="s">
        <v>210</v>
      </c>
      <c r="EY36">
        <v>175</v>
      </c>
      <c r="EZ36">
        <v>175</v>
      </c>
      <c r="FA36" t="s">
        <v>167</v>
      </c>
      <c r="FB36" t="s">
        <v>167</v>
      </c>
      <c r="FC36" t="s">
        <v>167</v>
      </c>
      <c r="FD36" t="s">
        <v>167</v>
      </c>
      <c r="FE36" s="152">
        <v>8.0652693043544499</v>
      </c>
      <c r="FF36" s="164" t="s">
        <v>211</v>
      </c>
      <c r="FG36" s="152">
        <v>6.3524696629979616E-2</v>
      </c>
      <c r="FH36" s="152">
        <v>6.4425150157019218E-2</v>
      </c>
      <c r="FI36" s="145">
        <v>379.16447907321401</v>
      </c>
      <c r="FJ36" s="149">
        <v>21</v>
      </c>
      <c r="FK36" s="149" t="s">
        <v>212</v>
      </c>
      <c r="FL36" s="152">
        <v>358.16447907321401</v>
      </c>
      <c r="FM36" s="152">
        <v>79.56791804505599</v>
      </c>
      <c r="FN36" s="152">
        <v>70.538769125941997</v>
      </c>
      <c r="FO36" s="144" t="s">
        <v>213</v>
      </c>
      <c r="FP36" s="144" t="s">
        <v>214</v>
      </c>
      <c r="FQ36" t="s">
        <v>215</v>
      </c>
      <c r="FR36" t="s">
        <v>215</v>
      </c>
      <c r="FS36" t="s">
        <v>215</v>
      </c>
      <c r="FT36" t="s">
        <v>215</v>
      </c>
      <c r="FU36" t="s">
        <v>215</v>
      </c>
      <c r="FV36" t="s">
        <v>215</v>
      </c>
      <c r="FW36" t="s">
        <v>215</v>
      </c>
      <c r="FX36" t="s">
        <v>215</v>
      </c>
      <c r="FY36" t="s">
        <v>215</v>
      </c>
      <c r="FZ36" t="s">
        <v>215</v>
      </c>
      <c r="GA36" t="s">
        <v>215</v>
      </c>
      <c r="GB36" t="s">
        <v>215</v>
      </c>
    </row>
    <row r="37" spans="1:184" ht="18" x14ac:dyDescent="0.2">
      <c r="A37" t="s">
        <v>240</v>
      </c>
      <c r="B37" s="141" t="s">
        <v>241</v>
      </c>
      <c r="C37" s="138" t="s">
        <v>168</v>
      </c>
      <c r="D37" t="s">
        <v>239</v>
      </c>
      <c r="E37">
        <v>2015</v>
      </c>
      <c r="F37" t="str">
        <f t="shared" si="9"/>
        <v>10.1038/nature14145</v>
      </c>
      <c r="G37" s="175">
        <v>2778.07</v>
      </c>
      <c r="H37" s="142">
        <f t="shared" si="10"/>
        <v>6</v>
      </c>
      <c r="I37" s="142">
        <f t="shared" si="11"/>
        <v>6</v>
      </c>
      <c r="J37" s="148">
        <f t="shared" si="12"/>
        <v>279.07774311078299</v>
      </c>
      <c r="K37" s="148">
        <f t="shared" si="13"/>
        <v>63.094229940850028</v>
      </c>
      <c r="L37" s="148">
        <f t="shared" si="14"/>
        <v>55.447670436656978</v>
      </c>
      <c r="M37" t="b">
        <v>1</v>
      </c>
      <c r="N37">
        <v>3</v>
      </c>
      <c r="O37" t="s">
        <v>245</v>
      </c>
      <c r="P37" s="174" t="s">
        <v>259</v>
      </c>
      <c r="Q37" t="b">
        <v>0</v>
      </c>
      <c r="R37" t="s">
        <v>167</v>
      </c>
      <c r="S37" t="b">
        <v>0</v>
      </c>
      <c r="T37" t="b">
        <v>0</v>
      </c>
      <c r="U37" t="s">
        <v>167</v>
      </c>
      <c r="V37" t="s">
        <v>167</v>
      </c>
      <c r="W37" t="b">
        <v>0</v>
      </c>
      <c r="X37" t="s">
        <v>260</v>
      </c>
      <c r="Y37" s="150" t="s">
        <v>169</v>
      </c>
      <c r="Z37" t="s">
        <v>170</v>
      </c>
      <c r="AA37" t="s">
        <v>171</v>
      </c>
      <c r="AB37" s="142" t="s">
        <v>172</v>
      </c>
      <c r="AC37" s="146">
        <v>10</v>
      </c>
      <c r="AD37" s="146">
        <v>5</v>
      </c>
      <c r="AE37" s="146">
        <v>120</v>
      </c>
      <c r="AF37" s="146">
        <v>122</v>
      </c>
      <c r="AG37" s="146" t="s">
        <v>167</v>
      </c>
      <c r="AH37" s="146" t="s">
        <v>167</v>
      </c>
      <c r="AI37" s="146" t="s">
        <v>167</v>
      </c>
      <c r="AJ37" t="s">
        <v>173</v>
      </c>
      <c r="AK37" s="151">
        <v>12.75</v>
      </c>
      <c r="AL37" s="151">
        <v>-78.73</v>
      </c>
      <c r="AM37" s="151">
        <v>12.75</v>
      </c>
      <c r="AN37" s="151">
        <v>-78.73</v>
      </c>
      <c r="AO37" s="151">
        <v>-2828</v>
      </c>
      <c r="AP37" s="151">
        <v>-2828</v>
      </c>
      <c r="AQ37" s="142" t="s">
        <v>167</v>
      </c>
      <c r="AR37" s="142" t="s">
        <v>167</v>
      </c>
      <c r="AS37" s="175">
        <v>2778.07</v>
      </c>
      <c r="AT37" s="153" t="s">
        <v>174</v>
      </c>
      <c r="AU37" s="142">
        <v>6</v>
      </c>
      <c r="AV37" s="142">
        <v>6</v>
      </c>
      <c r="AW37" s="149" t="s">
        <v>167</v>
      </c>
      <c r="AX37" s="171" t="s">
        <v>243</v>
      </c>
      <c r="AY37" s="146" t="s">
        <v>167</v>
      </c>
      <c r="AZ37" t="s">
        <v>167</v>
      </c>
      <c r="BA37" t="s">
        <v>167</v>
      </c>
      <c r="BB37" t="s">
        <v>167</v>
      </c>
      <c r="BC37" t="s">
        <v>167</v>
      </c>
      <c r="BD37" t="s">
        <v>167</v>
      </c>
      <c r="BE37" t="s">
        <v>167</v>
      </c>
      <c r="BF37" t="s">
        <v>167</v>
      </c>
      <c r="BG37" s="154" t="s">
        <v>175</v>
      </c>
      <c r="BH37" t="s">
        <v>176</v>
      </c>
      <c r="BI37" s="155" t="s">
        <v>177</v>
      </c>
      <c r="BJ37" s="155" t="s">
        <v>178</v>
      </c>
      <c r="BK37" s="156" t="s">
        <v>179</v>
      </c>
      <c r="BL37" s="156" t="s">
        <v>180</v>
      </c>
      <c r="BM37" t="s">
        <v>181</v>
      </c>
      <c r="BN37" s="142" t="s">
        <v>182</v>
      </c>
      <c r="BO37" s="142" t="s">
        <v>182</v>
      </c>
      <c r="BP37" s="142" t="s">
        <v>182</v>
      </c>
      <c r="BQ37" s="152">
        <v>20.370550000000001</v>
      </c>
      <c r="BR37" t="s">
        <v>183</v>
      </c>
      <c r="BS37" s="152">
        <v>9.3124295999999995E-2</v>
      </c>
      <c r="BT37">
        <v>0.6</v>
      </c>
      <c r="BU37" t="s">
        <v>184</v>
      </c>
      <c r="BV37" s="153">
        <v>0.08</v>
      </c>
      <c r="BW37">
        <v>8.8699999999999992</v>
      </c>
      <c r="BX37" t="s">
        <v>185</v>
      </c>
      <c r="BY37">
        <v>1.52</v>
      </c>
      <c r="BZ37" t="s">
        <v>224</v>
      </c>
      <c r="CA37" t="s">
        <v>187</v>
      </c>
      <c r="CB37" s="158">
        <f t="shared" si="5"/>
        <v>19.167583333333337</v>
      </c>
      <c r="CC37" t="s">
        <v>184</v>
      </c>
      <c r="CD37" s="149" t="s">
        <v>167</v>
      </c>
      <c r="CE37" s="149" t="s">
        <v>167</v>
      </c>
      <c r="CF37" t="s">
        <v>188</v>
      </c>
      <c r="CG37" t="s">
        <v>189</v>
      </c>
      <c r="CH37" t="s">
        <v>190</v>
      </c>
      <c r="CI37" t="s">
        <v>190</v>
      </c>
      <c r="CJ37" s="152">
        <v>26.96087</v>
      </c>
      <c r="CK37" t="s">
        <v>184</v>
      </c>
      <c r="CL37" s="159">
        <v>3</v>
      </c>
      <c r="CM37" s="159">
        <v>3</v>
      </c>
      <c r="CN37" s="152">
        <v>3.3424264849756011</v>
      </c>
      <c r="CO37" s="152">
        <v>3.3424264849756011</v>
      </c>
      <c r="CP37" t="s">
        <v>191</v>
      </c>
      <c r="CQ37" s="145">
        <f t="shared" si="6"/>
        <v>9.0245515094341228E-2</v>
      </c>
      <c r="CR37" s="145">
        <f t="shared" si="7"/>
        <v>9.0245515094341228E-2</v>
      </c>
      <c r="CS37" s="142" t="s">
        <v>192</v>
      </c>
      <c r="CT37" s="147" t="s">
        <v>193</v>
      </c>
      <c r="CU37" s="152">
        <v>4.0533288269315797</v>
      </c>
      <c r="CV37" s="152" t="s">
        <v>194</v>
      </c>
      <c r="CW37" t="s">
        <v>167</v>
      </c>
      <c r="CX37" t="s">
        <v>195</v>
      </c>
      <c r="CY37" t="s">
        <v>167</v>
      </c>
      <c r="CZ37" t="s">
        <v>167</v>
      </c>
      <c r="DA37" t="s">
        <v>167</v>
      </c>
      <c r="DB37" t="s">
        <v>167</v>
      </c>
      <c r="DC37" t="s">
        <v>167</v>
      </c>
      <c r="DD37" t="s">
        <v>167</v>
      </c>
      <c r="DE37" t="s">
        <v>167</v>
      </c>
      <c r="DF37" t="s">
        <v>167</v>
      </c>
      <c r="DG37" s="160">
        <v>35</v>
      </c>
      <c r="DH37" t="s">
        <v>174</v>
      </c>
      <c r="DI37">
        <v>3</v>
      </c>
      <c r="DJ37" s="161" t="s">
        <v>196</v>
      </c>
      <c r="DK37" s="146" t="s">
        <v>167</v>
      </c>
      <c r="DL37" s="146" t="s">
        <v>167</v>
      </c>
      <c r="DM37" s="146" t="s">
        <v>167</v>
      </c>
      <c r="DN37" s="146" t="s">
        <v>167</v>
      </c>
      <c r="DO37" s="146" t="s">
        <v>167</v>
      </c>
      <c r="DP37" s="146" t="s">
        <v>167</v>
      </c>
      <c r="DQ37" s="146" t="s">
        <v>167</v>
      </c>
      <c r="DR37" s="146" t="s">
        <v>167</v>
      </c>
      <c r="DS37" s="146" t="s">
        <v>167</v>
      </c>
      <c r="DT37" s="146" t="s">
        <v>167</v>
      </c>
      <c r="DU37" s="146" t="s">
        <v>167</v>
      </c>
      <c r="DV37" s="146" t="s">
        <v>167</v>
      </c>
      <c r="DW37" s="143">
        <v>432.56244218316402</v>
      </c>
      <c r="DX37" t="s">
        <v>197</v>
      </c>
      <c r="DY37" s="142">
        <v>37.1</v>
      </c>
      <c r="DZ37" t="s">
        <v>198</v>
      </c>
      <c r="EA37" s="152">
        <v>39.210756600000003</v>
      </c>
      <c r="EB37" s="149" t="s">
        <v>185</v>
      </c>
      <c r="EC37" s="162">
        <v>0.2</v>
      </c>
      <c r="ED37" t="s">
        <v>199</v>
      </c>
      <c r="EE37" t="s">
        <v>225</v>
      </c>
      <c r="EF37" t="s">
        <v>201</v>
      </c>
      <c r="EG37">
        <v>1.0271999999999999</v>
      </c>
      <c r="EH37" t="s">
        <v>202</v>
      </c>
      <c r="EI37">
        <v>5.9999999999999995E-4</v>
      </c>
      <c r="EJ37" t="s">
        <v>203</v>
      </c>
      <c r="EK37" t="s">
        <v>167</v>
      </c>
      <c r="EL37" t="s">
        <v>167</v>
      </c>
      <c r="EM37" t="s">
        <v>204</v>
      </c>
      <c r="EN37" t="s">
        <v>226</v>
      </c>
      <c r="EO37" t="s">
        <v>206</v>
      </c>
      <c r="EP37" t="s">
        <v>206</v>
      </c>
      <c r="EQ37" s="146" t="s">
        <v>167</v>
      </c>
      <c r="ER37" t="s">
        <v>167</v>
      </c>
      <c r="ES37" t="s">
        <v>167</v>
      </c>
      <c r="ET37" t="s">
        <v>207</v>
      </c>
      <c r="EU37" t="s">
        <v>208</v>
      </c>
      <c r="EV37" t="s">
        <v>227</v>
      </c>
      <c r="EW37" s="163">
        <v>2330</v>
      </c>
      <c r="EX37" t="s">
        <v>210</v>
      </c>
      <c r="EY37">
        <v>175</v>
      </c>
      <c r="EZ37">
        <v>175</v>
      </c>
      <c r="FA37" t="s">
        <v>167</v>
      </c>
      <c r="FB37" t="s">
        <v>167</v>
      </c>
      <c r="FC37" t="s">
        <v>167</v>
      </c>
      <c r="FD37" t="s">
        <v>167</v>
      </c>
      <c r="FE37" s="152">
        <v>8.1460980046670102</v>
      </c>
      <c r="FF37" s="164" t="s">
        <v>211</v>
      </c>
      <c r="FG37" s="152">
        <v>6.4254682015169706E-2</v>
      </c>
      <c r="FH37" s="152">
        <v>6.323538094101977E-2</v>
      </c>
      <c r="FI37" s="145">
        <v>300.07774311078299</v>
      </c>
      <c r="FJ37" s="149">
        <v>21</v>
      </c>
      <c r="FK37" s="149" t="s">
        <v>212</v>
      </c>
      <c r="FL37" s="152">
        <v>279.07774311078299</v>
      </c>
      <c r="FM37" s="152">
        <v>63.094229940850028</v>
      </c>
      <c r="FN37" s="152">
        <v>55.447670436656978</v>
      </c>
      <c r="FO37" s="144" t="s">
        <v>213</v>
      </c>
      <c r="FP37" s="144" t="s">
        <v>214</v>
      </c>
      <c r="FQ37" t="s">
        <v>215</v>
      </c>
      <c r="FR37" t="s">
        <v>215</v>
      </c>
      <c r="FS37" t="s">
        <v>215</v>
      </c>
      <c r="FT37" t="s">
        <v>215</v>
      </c>
      <c r="FU37" t="s">
        <v>215</v>
      </c>
      <c r="FV37" t="s">
        <v>215</v>
      </c>
      <c r="FW37" t="s">
        <v>215</v>
      </c>
      <c r="FX37" t="s">
        <v>215</v>
      </c>
      <c r="FY37" t="s">
        <v>215</v>
      </c>
      <c r="FZ37" t="s">
        <v>215</v>
      </c>
      <c r="GA37" t="s">
        <v>215</v>
      </c>
      <c r="GB37" t="s">
        <v>215</v>
      </c>
    </row>
    <row r="38" spans="1:184" ht="18" x14ac:dyDescent="0.2">
      <c r="A38" t="s">
        <v>240</v>
      </c>
      <c r="B38" s="141" t="s">
        <v>241</v>
      </c>
      <c r="C38" s="138" t="s">
        <v>168</v>
      </c>
      <c r="D38" t="s">
        <v>239</v>
      </c>
      <c r="E38">
        <v>2015</v>
      </c>
      <c r="F38" t="str">
        <f t="shared" si="9"/>
        <v>10.1038/nature14145</v>
      </c>
      <c r="G38" s="175">
        <v>2799.52</v>
      </c>
      <c r="H38" s="142">
        <f t="shared" si="10"/>
        <v>6</v>
      </c>
      <c r="I38" s="142">
        <f t="shared" si="11"/>
        <v>6</v>
      </c>
      <c r="J38" s="148">
        <f t="shared" si="12"/>
        <v>281.28879872121001</v>
      </c>
      <c r="K38" s="148">
        <f t="shared" si="13"/>
        <v>64.187420774375994</v>
      </c>
      <c r="L38" s="148">
        <f t="shared" si="14"/>
        <v>55.264789755869003</v>
      </c>
      <c r="M38" t="b">
        <v>1</v>
      </c>
      <c r="N38">
        <v>3</v>
      </c>
      <c r="O38" t="s">
        <v>245</v>
      </c>
      <c r="P38" s="174" t="s">
        <v>259</v>
      </c>
      <c r="Q38" t="b">
        <v>0</v>
      </c>
      <c r="R38" t="s">
        <v>167</v>
      </c>
      <c r="S38" t="b">
        <v>0</v>
      </c>
      <c r="T38" t="b">
        <v>0</v>
      </c>
      <c r="U38" t="s">
        <v>167</v>
      </c>
      <c r="V38" t="s">
        <v>167</v>
      </c>
      <c r="W38" t="b">
        <v>0</v>
      </c>
      <c r="X38" t="s">
        <v>260</v>
      </c>
      <c r="Y38" s="150" t="s">
        <v>169</v>
      </c>
      <c r="Z38" t="s">
        <v>170</v>
      </c>
      <c r="AA38" t="s">
        <v>171</v>
      </c>
      <c r="AB38" s="142" t="s">
        <v>172</v>
      </c>
      <c r="AC38" s="146">
        <v>10</v>
      </c>
      <c r="AD38" s="146">
        <v>6</v>
      </c>
      <c r="AE38" s="146">
        <v>48</v>
      </c>
      <c r="AF38" s="146">
        <v>50</v>
      </c>
      <c r="AG38" s="146" t="s">
        <v>167</v>
      </c>
      <c r="AH38" s="146" t="s">
        <v>167</v>
      </c>
      <c r="AI38" s="146" t="s">
        <v>167</v>
      </c>
      <c r="AJ38" t="s">
        <v>173</v>
      </c>
      <c r="AK38" s="151">
        <v>12.75</v>
      </c>
      <c r="AL38" s="151">
        <v>-78.73</v>
      </c>
      <c r="AM38" s="151">
        <v>12.75</v>
      </c>
      <c r="AN38" s="151">
        <v>-78.73</v>
      </c>
      <c r="AO38" s="151">
        <v>-2828</v>
      </c>
      <c r="AP38" s="151">
        <v>-2828</v>
      </c>
      <c r="AQ38" s="142" t="s">
        <v>167</v>
      </c>
      <c r="AR38" s="142" t="s">
        <v>167</v>
      </c>
      <c r="AS38" s="175">
        <v>2799.52</v>
      </c>
      <c r="AT38" s="153" t="s">
        <v>174</v>
      </c>
      <c r="AU38" s="142">
        <v>6</v>
      </c>
      <c r="AV38" s="142">
        <v>6</v>
      </c>
      <c r="AW38" s="149" t="s">
        <v>167</v>
      </c>
      <c r="AX38" s="171" t="s">
        <v>243</v>
      </c>
      <c r="AY38" s="146" t="s">
        <v>167</v>
      </c>
      <c r="AZ38" t="s">
        <v>167</v>
      </c>
      <c r="BA38" t="s">
        <v>167</v>
      </c>
      <c r="BB38" t="s">
        <v>167</v>
      </c>
      <c r="BC38" t="s">
        <v>167</v>
      </c>
      <c r="BD38" t="s">
        <v>167</v>
      </c>
      <c r="BE38" t="s">
        <v>167</v>
      </c>
      <c r="BF38" t="s">
        <v>167</v>
      </c>
      <c r="BG38" s="154" t="s">
        <v>175</v>
      </c>
      <c r="BH38" t="s">
        <v>176</v>
      </c>
      <c r="BI38" s="155" t="s">
        <v>177</v>
      </c>
      <c r="BJ38" s="156" t="s">
        <v>178</v>
      </c>
      <c r="BK38" s="156" t="s">
        <v>179</v>
      </c>
      <c r="BL38" s="156" t="s">
        <v>180</v>
      </c>
      <c r="BM38" s="157" t="s">
        <v>181</v>
      </c>
      <c r="BN38" s="142" t="s">
        <v>182</v>
      </c>
      <c r="BO38" s="142" t="s">
        <v>182</v>
      </c>
      <c r="BP38" s="142" t="s">
        <v>182</v>
      </c>
      <c r="BQ38" s="152">
        <v>20.39716</v>
      </c>
      <c r="BR38" t="s">
        <v>183</v>
      </c>
      <c r="BS38" s="152">
        <v>0.108623541</v>
      </c>
      <c r="BT38">
        <v>0.6</v>
      </c>
      <c r="BU38" t="s">
        <v>184</v>
      </c>
      <c r="BV38" s="153">
        <v>0.08</v>
      </c>
      <c r="BW38">
        <v>8.8699999999999992</v>
      </c>
      <c r="BX38" t="s">
        <v>185</v>
      </c>
      <c r="BY38">
        <v>1.52</v>
      </c>
      <c r="BZ38" t="s">
        <v>224</v>
      </c>
      <c r="CA38" t="s">
        <v>187</v>
      </c>
      <c r="CB38" s="158">
        <f t="shared" si="5"/>
        <v>19.211933333333334</v>
      </c>
      <c r="CC38" t="s">
        <v>184</v>
      </c>
      <c r="CD38" s="149" t="s">
        <v>167</v>
      </c>
      <c r="CE38" s="149" t="s">
        <v>167</v>
      </c>
      <c r="CF38" t="s">
        <v>188</v>
      </c>
      <c r="CG38" t="s">
        <v>189</v>
      </c>
      <c r="CH38" t="s">
        <v>190</v>
      </c>
      <c r="CI38" t="s">
        <v>190</v>
      </c>
      <c r="CJ38" s="152">
        <v>27.57319</v>
      </c>
      <c r="CK38" t="s">
        <v>184</v>
      </c>
      <c r="CL38" s="159">
        <v>3</v>
      </c>
      <c r="CM38" s="159">
        <v>3</v>
      </c>
      <c r="CN38" s="152">
        <v>3.5178428908274295</v>
      </c>
      <c r="CO38" s="152">
        <v>3.5178428908274295</v>
      </c>
      <c r="CP38" t="s">
        <v>191</v>
      </c>
      <c r="CQ38" s="145">
        <f t="shared" si="6"/>
        <v>9.498175805234059E-2</v>
      </c>
      <c r="CR38" s="145">
        <f t="shared" si="7"/>
        <v>9.498175805234059E-2</v>
      </c>
      <c r="CS38" s="142" t="s">
        <v>192</v>
      </c>
      <c r="CT38" s="147" t="s">
        <v>193</v>
      </c>
      <c r="CU38" s="152">
        <v>4.0143891171480632</v>
      </c>
      <c r="CV38" s="152" t="s">
        <v>194</v>
      </c>
      <c r="CW38" t="s">
        <v>167</v>
      </c>
      <c r="CX38" t="s">
        <v>195</v>
      </c>
      <c r="CY38" t="s">
        <v>167</v>
      </c>
      <c r="CZ38" t="s">
        <v>167</v>
      </c>
      <c r="DA38" t="s">
        <v>167</v>
      </c>
      <c r="DB38" t="s">
        <v>167</v>
      </c>
      <c r="DC38" t="s">
        <v>167</v>
      </c>
      <c r="DD38" t="s">
        <v>167</v>
      </c>
      <c r="DE38" t="s">
        <v>167</v>
      </c>
      <c r="DF38" t="s">
        <v>167</v>
      </c>
      <c r="DG38" s="160">
        <v>35</v>
      </c>
      <c r="DH38" t="s">
        <v>174</v>
      </c>
      <c r="DI38">
        <v>3</v>
      </c>
      <c r="DJ38" s="161" t="s">
        <v>196</v>
      </c>
      <c r="DK38" s="146" t="s">
        <v>167</v>
      </c>
      <c r="DL38" s="146" t="s">
        <v>167</v>
      </c>
      <c r="DM38" s="146" t="s">
        <v>167</v>
      </c>
      <c r="DN38" s="146" t="s">
        <v>167</v>
      </c>
      <c r="DO38" s="146" t="s">
        <v>167</v>
      </c>
      <c r="DP38" s="146" t="s">
        <v>167</v>
      </c>
      <c r="DQ38" s="146" t="s">
        <v>167</v>
      </c>
      <c r="DR38" s="146" t="s">
        <v>167</v>
      </c>
      <c r="DS38" s="146" t="s">
        <v>167</v>
      </c>
      <c r="DT38" s="146" t="s">
        <v>167</v>
      </c>
      <c r="DU38" s="146" t="s">
        <v>167</v>
      </c>
      <c r="DV38" s="146" t="s">
        <v>167</v>
      </c>
      <c r="DW38" s="143">
        <v>432.56244218316402</v>
      </c>
      <c r="DX38" t="s">
        <v>197</v>
      </c>
      <c r="DY38" s="142">
        <v>37.1</v>
      </c>
      <c r="DZ38" t="s">
        <v>198</v>
      </c>
      <c r="EA38" s="152">
        <v>39.207882720000001</v>
      </c>
      <c r="EB38" s="149" t="s">
        <v>185</v>
      </c>
      <c r="EC38" s="162">
        <v>0.2</v>
      </c>
      <c r="ED38" t="s">
        <v>199</v>
      </c>
      <c r="EE38" t="s">
        <v>225</v>
      </c>
      <c r="EF38" t="s">
        <v>201</v>
      </c>
      <c r="EG38">
        <v>1.0271999999999999</v>
      </c>
      <c r="EH38" t="s">
        <v>202</v>
      </c>
      <c r="EI38">
        <v>5.9999999999999995E-4</v>
      </c>
      <c r="EJ38" t="s">
        <v>203</v>
      </c>
      <c r="EK38" t="s">
        <v>167</v>
      </c>
      <c r="EL38" t="s">
        <v>167</v>
      </c>
      <c r="EM38" t="s">
        <v>204</v>
      </c>
      <c r="EN38" t="s">
        <v>226</v>
      </c>
      <c r="EO38" t="s">
        <v>206</v>
      </c>
      <c r="EP38" t="s">
        <v>206</v>
      </c>
      <c r="EQ38" s="146" t="s">
        <v>167</v>
      </c>
      <c r="ER38" t="s">
        <v>167</v>
      </c>
      <c r="ES38" t="s">
        <v>167</v>
      </c>
      <c r="ET38" t="s">
        <v>207</v>
      </c>
      <c r="EU38" t="s">
        <v>208</v>
      </c>
      <c r="EV38" t="s">
        <v>227</v>
      </c>
      <c r="EW38" s="163">
        <v>2330</v>
      </c>
      <c r="EX38" t="s">
        <v>210</v>
      </c>
      <c r="EY38">
        <v>175</v>
      </c>
      <c r="EZ38">
        <v>175</v>
      </c>
      <c r="FA38" t="s">
        <v>167</v>
      </c>
      <c r="FB38" t="s">
        <v>167</v>
      </c>
      <c r="FC38" t="s">
        <v>167</v>
      </c>
      <c r="FD38" t="s">
        <v>167</v>
      </c>
      <c r="FE38" s="152">
        <v>8.1428786645573705</v>
      </c>
      <c r="FF38" s="164" t="s">
        <v>211</v>
      </c>
      <c r="FG38" s="152">
        <v>6.4070918489859352E-2</v>
      </c>
      <c r="FH38" s="152">
        <v>6.3321761291071255E-2</v>
      </c>
      <c r="FI38" s="145">
        <v>302.28879872121001</v>
      </c>
      <c r="FJ38" s="149">
        <v>21</v>
      </c>
      <c r="FK38" s="149" t="s">
        <v>212</v>
      </c>
      <c r="FL38" s="152">
        <v>281.28879872121001</v>
      </c>
      <c r="FM38" s="152">
        <v>64.187420774375994</v>
      </c>
      <c r="FN38" s="152">
        <v>55.264789755869003</v>
      </c>
      <c r="FO38" s="144" t="s">
        <v>213</v>
      </c>
      <c r="FP38" s="144" t="s">
        <v>214</v>
      </c>
      <c r="FQ38" t="s">
        <v>215</v>
      </c>
      <c r="FR38" t="s">
        <v>215</v>
      </c>
      <c r="FS38" t="s">
        <v>215</v>
      </c>
      <c r="FT38" t="s">
        <v>215</v>
      </c>
      <c r="FU38" t="s">
        <v>215</v>
      </c>
      <c r="FV38" t="s">
        <v>215</v>
      </c>
      <c r="FW38" t="s">
        <v>215</v>
      </c>
      <c r="FX38" t="s">
        <v>215</v>
      </c>
      <c r="FY38" t="s">
        <v>215</v>
      </c>
      <c r="FZ38" t="s">
        <v>215</v>
      </c>
      <c r="GA38" t="s">
        <v>215</v>
      </c>
      <c r="GB38" t="s">
        <v>215</v>
      </c>
    </row>
    <row r="39" spans="1:184" ht="18" x14ac:dyDescent="0.2">
      <c r="A39" t="s">
        <v>240</v>
      </c>
      <c r="B39" s="141" t="s">
        <v>241</v>
      </c>
      <c r="C39" s="138" t="s">
        <v>168</v>
      </c>
      <c r="D39" t="s">
        <v>239</v>
      </c>
      <c r="E39">
        <v>2015</v>
      </c>
      <c r="F39" t="str">
        <f t="shared" si="9"/>
        <v>10.1038/nature14145</v>
      </c>
      <c r="G39" s="175">
        <v>2821.86</v>
      </c>
      <c r="H39" s="142">
        <f t="shared" si="10"/>
        <v>6</v>
      </c>
      <c r="I39" s="142">
        <f t="shared" si="11"/>
        <v>6</v>
      </c>
      <c r="J39" s="148">
        <f t="shared" si="12"/>
        <v>317.11605581875699</v>
      </c>
      <c r="K39" s="148">
        <f t="shared" si="13"/>
        <v>72.021002881998015</v>
      </c>
      <c r="L39" s="148">
        <f t="shared" si="14"/>
        <v>62.652052585980982</v>
      </c>
      <c r="M39" t="b">
        <v>1</v>
      </c>
      <c r="N39">
        <v>3</v>
      </c>
      <c r="O39" t="s">
        <v>245</v>
      </c>
      <c r="P39" s="174" t="s">
        <v>259</v>
      </c>
      <c r="Q39" t="b">
        <v>0</v>
      </c>
      <c r="R39" t="s">
        <v>167</v>
      </c>
      <c r="S39" t="b">
        <v>0</v>
      </c>
      <c r="T39" t="b">
        <v>0</v>
      </c>
      <c r="U39" t="s">
        <v>167</v>
      </c>
      <c r="V39" t="s">
        <v>167</v>
      </c>
      <c r="W39" t="b">
        <v>0</v>
      </c>
      <c r="X39" t="s">
        <v>260</v>
      </c>
      <c r="Y39" s="150" t="s">
        <v>169</v>
      </c>
      <c r="Z39" t="s">
        <v>170</v>
      </c>
      <c r="AA39" t="s">
        <v>171</v>
      </c>
      <c r="AB39" s="142" t="s">
        <v>172</v>
      </c>
      <c r="AC39" s="146">
        <v>10</v>
      </c>
      <c r="AD39" s="146">
        <v>6</v>
      </c>
      <c r="AE39" s="146">
        <v>127</v>
      </c>
      <c r="AF39" s="146">
        <v>129</v>
      </c>
      <c r="AG39" s="146" t="s">
        <v>167</v>
      </c>
      <c r="AH39" s="146" t="s">
        <v>167</v>
      </c>
      <c r="AI39" s="146" t="s">
        <v>167</v>
      </c>
      <c r="AJ39" t="s">
        <v>173</v>
      </c>
      <c r="AK39" s="151">
        <v>12.75</v>
      </c>
      <c r="AL39" s="151">
        <v>-78.73</v>
      </c>
      <c r="AM39" s="151">
        <v>12.75</v>
      </c>
      <c r="AN39" s="151">
        <v>-78.73</v>
      </c>
      <c r="AO39" s="151">
        <v>-2828</v>
      </c>
      <c r="AP39" s="151">
        <v>-2828</v>
      </c>
      <c r="AQ39" s="142" t="s">
        <v>167</v>
      </c>
      <c r="AR39" s="142" t="s">
        <v>167</v>
      </c>
      <c r="AS39" s="175">
        <v>2821.86</v>
      </c>
      <c r="AT39" s="153" t="s">
        <v>174</v>
      </c>
      <c r="AU39" s="142">
        <v>6</v>
      </c>
      <c r="AV39" s="142">
        <v>6</v>
      </c>
      <c r="AW39" s="149" t="s">
        <v>167</v>
      </c>
      <c r="AX39" s="171" t="s">
        <v>243</v>
      </c>
      <c r="AY39" s="146" t="s">
        <v>167</v>
      </c>
      <c r="AZ39" t="s">
        <v>167</v>
      </c>
      <c r="BA39" t="s">
        <v>167</v>
      </c>
      <c r="BB39" t="s">
        <v>167</v>
      </c>
      <c r="BC39" t="s">
        <v>167</v>
      </c>
      <c r="BD39" t="s">
        <v>167</v>
      </c>
      <c r="BE39" t="s">
        <v>167</v>
      </c>
      <c r="BF39" t="s">
        <v>167</v>
      </c>
      <c r="BG39" s="154" t="s">
        <v>175</v>
      </c>
      <c r="BH39" t="s">
        <v>176</v>
      </c>
      <c r="BI39" s="155" t="s">
        <v>177</v>
      </c>
      <c r="BJ39" s="155" t="s">
        <v>178</v>
      </c>
      <c r="BK39" s="156" t="s">
        <v>179</v>
      </c>
      <c r="BL39" s="156" t="s">
        <v>180</v>
      </c>
      <c r="BM39" t="s">
        <v>181</v>
      </c>
      <c r="BN39" s="142" t="s">
        <v>182</v>
      </c>
      <c r="BO39" s="142" t="s">
        <v>182</v>
      </c>
      <c r="BP39" s="142" t="s">
        <v>182</v>
      </c>
      <c r="BQ39" s="152">
        <v>20.197900000000001</v>
      </c>
      <c r="BR39" t="s">
        <v>183</v>
      </c>
      <c r="BS39" s="152">
        <v>0.105442673</v>
      </c>
      <c r="BT39">
        <v>0.6</v>
      </c>
      <c r="BU39" t="s">
        <v>184</v>
      </c>
      <c r="BV39" s="153">
        <v>0.08</v>
      </c>
      <c r="BW39">
        <v>8.8699999999999992</v>
      </c>
      <c r="BX39" t="s">
        <v>185</v>
      </c>
      <c r="BY39">
        <v>1.52</v>
      </c>
      <c r="BZ39" t="s">
        <v>224</v>
      </c>
      <c r="CA39" t="s">
        <v>187</v>
      </c>
      <c r="CB39" s="158">
        <f t="shared" si="5"/>
        <v>18.879833333333337</v>
      </c>
      <c r="CC39" t="s">
        <v>184</v>
      </c>
      <c r="CD39" s="149" t="s">
        <v>167</v>
      </c>
      <c r="CE39" s="149" t="s">
        <v>167</v>
      </c>
      <c r="CF39" t="s">
        <v>188</v>
      </c>
      <c r="CG39" t="s">
        <v>189</v>
      </c>
      <c r="CH39" t="s">
        <v>190</v>
      </c>
      <c r="CI39" t="s">
        <v>190</v>
      </c>
      <c r="CJ39" s="152">
        <v>28.703800000000001</v>
      </c>
      <c r="CK39" t="s">
        <v>184</v>
      </c>
      <c r="CL39" s="159">
        <v>3</v>
      </c>
      <c r="CM39" s="159">
        <v>3</v>
      </c>
      <c r="CN39" s="152">
        <v>3.8730652235950234</v>
      </c>
      <c r="CO39" s="152">
        <v>3.8730652235950234</v>
      </c>
      <c r="CP39" t="s">
        <v>191</v>
      </c>
      <c r="CQ39" s="145">
        <f t="shared" si="6"/>
        <v>0.10457276103706563</v>
      </c>
      <c r="CR39" s="145">
        <f t="shared" si="7"/>
        <v>0.10457276103706563</v>
      </c>
      <c r="CS39" s="142" t="s">
        <v>192</v>
      </c>
      <c r="CT39" s="147" t="s">
        <v>193</v>
      </c>
      <c r="CU39" s="152">
        <v>3.9603499450977289</v>
      </c>
      <c r="CV39" s="152" t="s">
        <v>194</v>
      </c>
      <c r="CW39" t="s">
        <v>167</v>
      </c>
      <c r="CX39" t="s">
        <v>195</v>
      </c>
      <c r="CY39" t="s">
        <v>167</v>
      </c>
      <c r="CZ39" t="s">
        <v>167</v>
      </c>
      <c r="DA39" t="s">
        <v>167</v>
      </c>
      <c r="DB39" t="s">
        <v>167</v>
      </c>
      <c r="DC39" t="s">
        <v>167</v>
      </c>
      <c r="DD39" t="s">
        <v>167</v>
      </c>
      <c r="DE39" t="s">
        <v>167</v>
      </c>
      <c r="DF39" t="s">
        <v>167</v>
      </c>
      <c r="DG39" s="160">
        <v>35</v>
      </c>
      <c r="DH39" t="s">
        <v>174</v>
      </c>
      <c r="DI39">
        <v>3</v>
      </c>
      <c r="DJ39" s="161" t="s">
        <v>196</v>
      </c>
      <c r="DK39" s="146" t="s">
        <v>167</v>
      </c>
      <c r="DL39" s="146" t="s">
        <v>167</v>
      </c>
      <c r="DM39" s="146" t="s">
        <v>167</v>
      </c>
      <c r="DN39" s="146" t="s">
        <v>167</v>
      </c>
      <c r="DO39" s="146" t="s">
        <v>167</v>
      </c>
      <c r="DP39" s="146" t="s">
        <v>167</v>
      </c>
      <c r="DQ39" s="146" t="s">
        <v>167</v>
      </c>
      <c r="DR39" s="146" t="s">
        <v>167</v>
      </c>
      <c r="DS39" s="146" t="s">
        <v>167</v>
      </c>
      <c r="DT39" s="146" t="s">
        <v>167</v>
      </c>
      <c r="DU39" s="146" t="s">
        <v>167</v>
      </c>
      <c r="DV39" s="146" t="s">
        <v>167</v>
      </c>
      <c r="DW39" s="143">
        <v>432.56244218316402</v>
      </c>
      <c r="DX39" t="s">
        <v>197</v>
      </c>
      <c r="DY39" s="142">
        <v>37.1</v>
      </c>
      <c r="DZ39" t="s">
        <v>198</v>
      </c>
      <c r="EA39" s="152">
        <v>39.204835520000003</v>
      </c>
      <c r="EB39" s="149" t="s">
        <v>185</v>
      </c>
      <c r="EC39" s="162">
        <v>0.2</v>
      </c>
      <c r="ED39" t="s">
        <v>199</v>
      </c>
      <c r="EE39" t="s">
        <v>225</v>
      </c>
      <c r="EF39" t="s">
        <v>201</v>
      </c>
      <c r="EG39">
        <v>1.0271999999999999</v>
      </c>
      <c r="EH39" t="s">
        <v>202</v>
      </c>
      <c r="EI39">
        <v>5.9999999999999995E-4</v>
      </c>
      <c r="EJ39" t="s">
        <v>203</v>
      </c>
      <c r="EK39" t="s">
        <v>167</v>
      </c>
      <c r="EL39" t="s">
        <v>167</v>
      </c>
      <c r="EM39" t="s">
        <v>204</v>
      </c>
      <c r="EN39" t="s">
        <v>226</v>
      </c>
      <c r="EO39" t="s">
        <v>206</v>
      </c>
      <c r="EP39" t="s">
        <v>206</v>
      </c>
      <c r="EQ39" s="146" t="s">
        <v>167</v>
      </c>
      <c r="ER39" t="s">
        <v>167</v>
      </c>
      <c r="ES39" t="s">
        <v>167</v>
      </c>
      <c r="ET39" t="s">
        <v>207</v>
      </c>
      <c r="EU39" t="s">
        <v>208</v>
      </c>
      <c r="EV39" t="s">
        <v>227</v>
      </c>
      <c r="EW39" s="163">
        <v>2330</v>
      </c>
      <c r="EX39" t="s">
        <v>210</v>
      </c>
      <c r="EY39">
        <v>175</v>
      </c>
      <c r="EZ39">
        <v>175</v>
      </c>
      <c r="FA39" t="s">
        <v>167</v>
      </c>
      <c r="FB39" t="s">
        <v>167</v>
      </c>
      <c r="FC39" t="s">
        <v>167</v>
      </c>
      <c r="FD39" t="s">
        <v>167</v>
      </c>
      <c r="FE39" s="152">
        <v>8.1033473569402705</v>
      </c>
      <c r="FF39" s="164" t="s">
        <v>211</v>
      </c>
      <c r="FG39" s="152">
        <v>6.6201299155370208E-2</v>
      </c>
      <c r="FH39" s="152">
        <v>6.5741434958029643E-2</v>
      </c>
      <c r="FI39" s="145">
        <v>338.11605581875699</v>
      </c>
      <c r="FJ39" s="149">
        <v>21</v>
      </c>
      <c r="FK39" s="149" t="s">
        <v>212</v>
      </c>
      <c r="FL39" s="152">
        <v>317.11605581875699</v>
      </c>
      <c r="FM39" s="152">
        <v>72.021002881998015</v>
      </c>
      <c r="FN39" s="152">
        <v>62.652052585980982</v>
      </c>
      <c r="FO39" s="144" t="s">
        <v>213</v>
      </c>
      <c r="FP39" s="144" t="s">
        <v>214</v>
      </c>
      <c r="FQ39" t="s">
        <v>215</v>
      </c>
      <c r="FR39" t="s">
        <v>215</v>
      </c>
      <c r="FS39" t="s">
        <v>215</v>
      </c>
      <c r="FT39" t="s">
        <v>215</v>
      </c>
      <c r="FU39" t="s">
        <v>215</v>
      </c>
      <c r="FV39" t="s">
        <v>215</v>
      </c>
      <c r="FW39" t="s">
        <v>215</v>
      </c>
      <c r="FX39" t="s">
        <v>215</v>
      </c>
      <c r="FY39" t="s">
        <v>215</v>
      </c>
      <c r="FZ39" t="s">
        <v>215</v>
      </c>
      <c r="GA39" t="s">
        <v>215</v>
      </c>
      <c r="GB39" t="s">
        <v>215</v>
      </c>
    </row>
    <row r="40" spans="1:184" ht="18" x14ac:dyDescent="0.2">
      <c r="A40" t="s">
        <v>240</v>
      </c>
      <c r="B40" s="141" t="s">
        <v>241</v>
      </c>
      <c r="C40" s="138" t="s">
        <v>168</v>
      </c>
      <c r="D40" t="s">
        <v>239</v>
      </c>
      <c r="E40">
        <v>2015</v>
      </c>
      <c r="F40" t="str">
        <f t="shared" si="9"/>
        <v>10.1038/nature14145</v>
      </c>
      <c r="G40" s="175">
        <v>2823.45</v>
      </c>
      <c r="H40" s="142">
        <f t="shared" si="10"/>
        <v>6</v>
      </c>
      <c r="I40" s="142">
        <f t="shared" si="11"/>
        <v>6</v>
      </c>
      <c r="J40" s="148">
        <f t="shared" si="12"/>
        <v>361.39509727157798</v>
      </c>
      <c r="K40" s="148">
        <f t="shared" si="13"/>
        <v>91.927434482915999</v>
      </c>
      <c r="L40" s="148">
        <f t="shared" si="14"/>
        <v>77.928498947545961</v>
      </c>
      <c r="M40" t="b">
        <v>1</v>
      </c>
      <c r="N40">
        <v>3</v>
      </c>
      <c r="O40" t="s">
        <v>245</v>
      </c>
      <c r="P40" s="174" t="s">
        <v>259</v>
      </c>
      <c r="Q40" t="b">
        <v>0</v>
      </c>
      <c r="R40" t="s">
        <v>167</v>
      </c>
      <c r="S40" t="b">
        <v>0</v>
      </c>
      <c r="T40" t="b">
        <v>0</v>
      </c>
      <c r="U40" t="s">
        <v>167</v>
      </c>
      <c r="V40" t="s">
        <v>167</v>
      </c>
      <c r="W40" t="b">
        <v>0</v>
      </c>
      <c r="X40" t="s">
        <v>260</v>
      </c>
      <c r="Y40" s="150" t="s">
        <v>169</v>
      </c>
      <c r="Z40" t="s">
        <v>170</v>
      </c>
      <c r="AA40" t="s">
        <v>171</v>
      </c>
      <c r="AB40" s="142" t="s">
        <v>172</v>
      </c>
      <c r="AC40" s="146">
        <v>10</v>
      </c>
      <c r="AD40" s="146">
        <v>6</v>
      </c>
      <c r="AE40" s="146">
        <v>132</v>
      </c>
      <c r="AF40" s="146">
        <v>134</v>
      </c>
      <c r="AG40" s="146" t="s">
        <v>167</v>
      </c>
      <c r="AH40" s="146" t="s">
        <v>167</v>
      </c>
      <c r="AI40" s="146" t="s">
        <v>167</v>
      </c>
      <c r="AJ40" t="s">
        <v>173</v>
      </c>
      <c r="AK40" s="151">
        <v>12.75</v>
      </c>
      <c r="AL40" s="151">
        <v>-78.73</v>
      </c>
      <c r="AM40" s="151">
        <v>12.75</v>
      </c>
      <c r="AN40" s="151">
        <v>-78.73</v>
      </c>
      <c r="AO40" s="151">
        <v>-2828</v>
      </c>
      <c r="AP40" s="151">
        <v>-2828</v>
      </c>
      <c r="AQ40" s="142" t="s">
        <v>167</v>
      </c>
      <c r="AR40" s="142" t="s">
        <v>167</v>
      </c>
      <c r="AS40" s="175">
        <v>2823.45</v>
      </c>
      <c r="AT40" s="153" t="s">
        <v>174</v>
      </c>
      <c r="AU40" s="142">
        <v>6</v>
      </c>
      <c r="AV40" s="142">
        <v>6</v>
      </c>
      <c r="AW40" s="149" t="s">
        <v>167</v>
      </c>
      <c r="AX40" s="171" t="s">
        <v>243</v>
      </c>
      <c r="AY40" s="146" t="s">
        <v>167</v>
      </c>
      <c r="AZ40" t="s">
        <v>167</v>
      </c>
      <c r="BA40" t="s">
        <v>167</v>
      </c>
      <c r="BB40" t="s">
        <v>167</v>
      </c>
      <c r="BC40" t="s">
        <v>167</v>
      </c>
      <c r="BD40" t="s">
        <v>167</v>
      </c>
      <c r="BE40" t="s">
        <v>167</v>
      </c>
      <c r="BF40" t="s">
        <v>167</v>
      </c>
      <c r="BG40" s="154" t="s">
        <v>175</v>
      </c>
      <c r="BH40" t="s">
        <v>176</v>
      </c>
      <c r="BI40" s="155" t="s">
        <v>177</v>
      </c>
      <c r="BJ40" s="156" t="s">
        <v>178</v>
      </c>
      <c r="BK40" s="156" t="s">
        <v>179</v>
      </c>
      <c r="BL40" s="156" t="s">
        <v>180</v>
      </c>
      <c r="BM40" s="157" t="s">
        <v>181</v>
      </c>
      <c r="BN40" s="142" t="s">
        <v>182</v>
      </c>
      <c r="BO40" s="142" t="s">
        <v>182</v>
      </c>
      <c r="BP40" s="142" t="s">
        <v>182</v>
      </c>
      <c r="BQ40" s="152">
        <v>19.87284</v>
      </c>
      <c r="BR40" t="s">
        <v>183</v>
      </c>
      <c r="BS40" s="152">
        <v>0.24043832300000001</v>
      </c>
      <c r="BT40">
        <v>0.6</v>
      </c>
      <c r="BU40" t="s">
        <v>184</v>
      </c>
      <c r="BV40" s="153">
        <v>0.08</v>
      </c>
      <c r="BW40">
        <v>8.8699999999999992</v>
      </c>
      <c r="BX40" t="s">
        <v>185</v>
      </c>
      <c r="BY40">
        <v>1.52</v>
      </c>
      <c r="BZ40" t="s">
        <v>224</v>
      </c>
      <c r="CA40" t="s">
        <v>187</v>
      </c>
      <c r="CB40" s="158">
        <f t="shared" si="5"/>
        <v>18.33806666666667</v>
      </c>
      <c r="CC40" t="s">
        <v>184</v>
      </c>
      <c r="CD40" s="149" t="s">
        <v>167</v>
      </c>
      <c r="CE40" s="149" t="s">
        <v>167</v>
      </c>
      <c r="CF40" t="s">
        <v>188</v>
      </c>
      <c r="CG40" t="s">
        <v>189</v>
      </c>
      <c r="CH40" t="s">
        <v>190</v>
      </c>
      <c r="CI40" t="s">
        <v>190</v>
      </c>
      <c r="CJ40" s="152">
        <v>28.141539999999999</v>
      </c>
      <c r="CK40" t="s">
        <v>184</v>
      </c>
      <c r="CL40" s="159">
        <v>3</v>
      </c>
      <c r="CM40" s="159">
        <v>3</v>
      </c>
      <c r="CN40" s="152">
        <v>3.6809735306482367</v>
      </c>
      <c r="CO40" s="152">
        <v>3.6809735306482367</v>
      </c>
      <c r="CP40" t="s">
        <v>191</v>
      </c>
      <c r="CQ40" s="145">
        <f t="shared" si="6"/>
        <v>9.9386285327502391E-2</v>
      </c>
      <c r="CR40" s="145">
        <f t="shared" si="7"/>
        <v>9.9386285327502391E-2</v>
      </c>
      <c r="CS40" s="142" t="s">
        <v>192</v>
      </c>
      <c r="CT40" s="147" t="s">
        <v>193</v>
      </c>
      <c r="CU40" s="152">
        <v>3.9577854599347955</v>
      </c>
      <c r="CV40" s="152" t="s">
        <v>194</v>
      </c>
      <c r="CW40" t="s">
        <v>167</v>
      </c>
      <c r="CX40" t="s">
        <v>195</v>
      </c>
      <c r="CY40" t="s">
        <v>167</v>
      </c>
      <c r="CZ40" t="s">
        <v>167</v>
      </c>
      <c r="DA40" t="s">
        <v>167</v>
      </c>
      <c r="DB40" t="s">
        <v>167</v>
      </c>
      <c r="DC40" t="s">
        <v>167</v>
      </c>
      <c r="DD40" t="s">
        <v>167</v>
      </c>
      <c r="DE40" t="s">
        <v>167</v>
      </c>
      <c r="DF40" t="s">
        <v>167</v>
      </c>
      <c r="DG40" s="160">
        <v>35</v>
      </c>
      <c r="DH40" t="s">
        <v>174</v>
      </c>
      <c r="DI40">
        <v>3</v>
      </c>
      <c r="DJ40" s="161" t="s">
        <v>196</v>
      </c>
      <c r="DK40" s="146" t="s">
        <v>167</v>
      </c>
      <c r="DL40" s="146" t="s">
        <v>167</v>
      </c>
      <c r="DM40" s="146" t="s">
        <v>167</v>
      </c>
      <c r="DN40" s="146" t="s">
        <v>167</v>
      </c>
      <c r="DO40" s="146" t="s">
        <v>167</v>
      </c>
      <c r="DP40" s="146" t="s">
        <v>167</v>
      </c>
      <c r="DQ40" s="146" t="s">
        <v>167</v>
      </c>
      <c r="DR40" s="146" t="s">
        <v>167</v>
      </c>
      <c r="DS40" s="146" t="s">
        <v>167</v>
      </c>
      <c r="DT40" s="146" t="s">
        <v>167</v>
      </c>
      <c r="DU40" s="146" t="s">
        <v>167</v>
      </c>
      <c r="DV40" s="146" t="s">
        <v>167</v>
      </c>
      <c r="DW40" s="143">
        <v>432.56244218316402</v>
      </c>
      <c r="DX40" t="s">
        <v>197</v>
      </c>
      <c r="DY40" s="142">
        <v>37.1</v>
      </c>
      <c r="DZ40" t="s">
        <v>198</v>
      </c>
      <c r="EA40" s="152">
        <v>39.20374236</v>
      </c>
      <c r="EB40" s="149" t="s">
        <v>185</v>
      </c>
      <c r="EC40" s="162">
        <v>0.2</v>
      </c>
      <c r="ED40" t="s">
        <v>199</v>
      </c>
      <c r="EE40" t="s">
        <v>225</v>
      </c>
      <c r="EF40" t="s">
        <v>201</v>
      </c>
      <c r="EG40">
        <v>1.0271999999999999</v>
      </c>
      <c r="EH40" t="s">
        <v>202</v>
      </c>
      <c r="EI40">
        <v>5.9999999999999995E-4</v>
      </c>
      <c r="EJ40" t="s">
        <v>203</v>
      </c>
      <c r="EK40" t="s">
        <v>167</v>
      </c>
      <c r="EL40" t="s">
        <v>167</v>
      </c>
      <c r="EM40" t="s">
        <v>204</v>
      </c>
      <c r="EN40" t="s">
        <v>226</v>
      </c>
      <c r="EO40" t="s">
        <v>206</v>
      </c>
      <c r="EP40" t="s">
        <v>206</v>
      </c>
      <c r="EQ40" s="146" t="s">
        <v>167</v>
      </c>
      <c r="ER40" t="s">
        <v>167</v>
      </c>
      <c r="ES40" t="s">
        <v>167</v>
      </c>
      <c r="ET40" t="s">
        <v>207</v>
      </c>
      <c r="EU40" t="s">
        <v>208</v>
      </c>
      <c r="EV40" t="s">
        <v>227</v>
      </c>
      <c r="EW40" s="163">
        <v>2330</v>
      </c>
      <c r="EX40" t="s">
        <v>210</v>
      </c>
      <c r="EY40">
        <v>175</v>
      </c>
      <c r="EZ40">
        <v>175</v>
      </c>
      <c r="FA40" t="s">
        <v>167</v>
      </c>
      <c r="FB40" t="s">
        <v>167</v>
      </c>
      <c r="FC40" t="s">
        <v>167</v>
      </c>
      <c r="FD40" t="s">
        <v>167</v>
      </c>
      <c r="FE40" s="152">
        <v>8.0622320763686908</v>
      </c>
      <c r="FF40" s="164" t="s">
        <v>211</v>
      </c>
      <c r="FG40" s="152">
        <v>7.2569164699489264E-2</v>
      </c>
      <c r="FH40" s="152">
        <v>7.4111753152720894E-2</v>
      </c>
      <c r="FI40" s="145">
        <v>382.39509727157798</v>
      </c>
      <c r="FJ40" s="149">
        <v>21</v>
      </c>
      <c r="FK40" s="149" t="s">
        <v>212</v>
      </c>
      <c r="FL40" s="152">
        <v>361.39509727157798</v>
      </c>
      <c r="FM40" s="152">
        <v>91.927434482915999</v>
      </c>
      <c r="FN40" s="152">
        <v>77.928498947545961</v>
      </c>
      <c r="FO40" s="144" t="s">
        <v>213</v>
      </c>
      <c r="FP40" s="144" t="s">
        <v>214</v>
      </c>
      <c r="FQ40" t="s">
        <v>215</v>
      </c>
      <c r="FR40" t="s">
        <v>215</v>
      </c>
      <c r="FS40" t="s">
        <v>215</v>
      </c>
      <c r="FT40" t="s">
        <v>215</v>
      </c>
      <c r="FU40" t="s">
        <v>215</v>
      </c>
      <c r="FV40" t="s">
        <v>215</v>
      </c>
      <c r="FW40" t="s">
        <v>215</v>
      </c>
      <c r="FX40" t="s">
        <v>215</v>
      </c>
      <c r="FY40" t="s">
        <v>215</v>
      </c>
      <c r="FZ40" t="s">
        <v>215</v>
      </c>
      <c r="GA40" t="s">
        <v>215</v>
      </c>
      <c r="GB40" t="s">
        <v>215</v>
      </c>
    </row>
    <row r="41" spans="1:184" ht="18" x14ac:dyDescent="0.2">
      <c r="A41" t="s">
        <v>240</v>
      </c>
      <c r="B41" s="141" t="s">
        <v>241</v>
      </c>
      <c r="C41" s="138" t="s">
        <v>168</v>
      </c>
      <c r="D41" t="s">
        <v>239</v>
      </c>
      <c r="E41">
        <v>2015</v>
      </c>
      <c r="F41" t="str">
        <f t="shared" si="9"/>
        <v>10.1038/nature14145</v>
      </c>
      <c r="G41" s="175">
        <v>2832.34</v>
      </c>
      <c r="H41" s="142">
        <f t="shared" si="10"/>
        <v>6</v>
      </c>
      <c r="I41" s="142">
        <f t="shared" si="11"/>
        <v>6</v>
      </c>
      <c r="J41" s="148">
        <f t="shared" si="12"/>
        <v>387.683385175392</v>
      </c>
      <c r="K41" s="148">
        <f t="shared" si="13"/>
        <v>87.267713109030979</v>
      </c>
      <c r="L41" s="148">
        <f t="shared" si="14"/>
        <v>73.912674160112999</v>
      </c>
      <c r="M41" t="b">
        <v>1</v>
      </c>
      <c r="N41">
        <v>3</v>
      </c>
      <c r="O41" t="s">
        <v>245</v>
      </c>
      <c r="P41" s="174" t="s">
        <v>259</v>
      </c>
      <c r="Q41" t="b">
        <v>0</v>
      </c>
      <c r="R41" t="s">
        <v>167</v>
      </c>
      <c r="S41" t="b">
        <v>0</v>
      </c>
      <c r="T41" t="b">
        <v>0</v>
      </c>
      <c r="U41" t="s">
        <v>167</v>
      </c>
      <c r="V41" t="s">
        <v>167</v>
      </c>
      <c r="W41" t="b">
        <v>0</v>
      </c>
      <c r="X41" t="s">
        <v>260</v>
      </c>
      <c r="Y41" s="150" t="s">
        <v>169</v>
      </c>
      <c r="Z41" t="s">
        <v>170</v>
      </c>
      <c r="AA41" t="s">
        <v>171</v>
      </c>
      <c r="AB41" s="142" t="s">
        <v>172</v>
      </c>
      <c r="AC41" s="173">
        <v>10</v>
      </c>
      <c r="AD41" s="173">
        <v>7</v>
      </c>
      <c r="AE41" s="173">
        <v>10</v>
      </c>
      <c r="AF41" s="173">
        <v>12</v>
      </c>
      <c r="AG41" s="146" t="s">
        <v>167</v>
      </c>
      <c r="AH41" s="146" t="s">
        <v>167</v>
      </c>
      <c r="AI41" s="146" t="s">
        <v>167</v>
      </c>
      <c r="AJ41" t="s">
        <v>173</v>
      </c>
      <c r="AK41" s="151">
        <v>12.75</v>
      </c>
      <c r="AL41" s="151">
        <v>-78.73</v>
      </c>
      <c r="AM41" s="151">
        <v>12.75</v>
      </c>
      <c r="AN41" s="151">
        <v>-78.73</v>
      </c>
      <c r="AO41" s="151">
        <v>-2828</v>
      </c>
      <c r="AP41" s="151">
        <v>-2828</v>
      </c>
      <c r="AQ41" s="142" t="s">
        <v>167</v>
      </c>
      <c r="AR41" s="142" t="s">
        <v>167</v>
      </c>
      <c r="AS41" s="175">
        <v>2832.34</v>
      </c>
      <c r="AT41" s="153" t="s">
        <v>174</v>
      </c>
      <c r="AU41" s="142">
        <v>6</v>
      </c>
      <c r="AV41" s="142">
        <v>6</v>
      </c>
      <c r="AW41" s="149" t="s">
        <v>167</v>
      </c>
      <c r="AX41" s="171" t="s">
        <v>243</v>
      </c>
      <c r="AY41" s="146" t="s">
        <v>167</v>
      </c>
      <c r="AZ41" t="s">
        <v>167</v>
      </c>
      <c r="BA41" t="s">
        <v>167</v>
      </c>
      <c r="BB41" t="s">
        <v>167</v>
      </c>
      <c r="BC41" t="s">
        <v>167</v>
      </c>
      <c r="BD41" t="s">
        <v>167</v>
      </c>
      <c r="BE41" t="s">
        <v>167</v>
      </c>
      <c r="BF41" t="s">
        <v>167</v>
      </c>
      <c r="BG41" s="154" t="s">
        <v>175</v>
      </c>
      <c r="BH41" t="s">
        <v>176</v>
      </c>
      <c r="BI41" s="155" t="s">
        <v>177</v>
      </c>
      <c r="BJ41" s="155" t="s">
        <v>178</v>
      </c>
      <c r="BK41" s="156" t="s">
        <v>179</v>
      </c>
      <c r="BL41" s="156" t="s">
        <v>180</v>
      </c>
      <c r="BM41" t="s">
        <v>181</v>
      </c>
      <c r="BN41" s="142" t="s">
        <v>182</v>
      </c>
      <c r="BO41" s="142" t="s">
        <v>182</v>
      </c>
      <c r="BP41" s="142" t="s">
        <v>182</v>
      </c>
      <c r="BQ41" s="152">
        <v>19.670649999999998</v>
      </c>
      <c r="BR41" t="s">
        <v>183</v>
      </c>
      <c r="BS41" s="152">
        <v>9.5088858999999998E-2</v>
      </c>
      <c r="BT41">
        <v>0.6</v>
      </c>
      <c r="BU41" t="s">
        <v>184</v>
      </c>
      <c r="BV41" s="153">
        <v>0.08</v>
      </c>
      <c r="BW41">
        <v>8.8699999999999992</v>
      </c>
      <c r="BX41" t="s">
        <v>185</v>
      </c>
      <c r="BY41">
        <v>1.52</v>
      </c>
      <c r="BZ41" t="s">
        <v>224</v>
      </c>
      <c r="CA41" t="s">
        <v>187</v>
      </c>
      <c r="CB41" s="158">
        <f t="shared" si="5"/>
        <v>18.001083333333334</v>
      </c>
      <c r="CC41" t="s">
        <v>184</v>
      </c>
      <c r="CD41" s="149" t="s">
        <v>167</v>
      </c>
      <c r="CE41" s="149" t="s">
        <v>167</v>
      </c>
      <c r="CF41" t="s">
        <v>188</v>
      </c>
      <c r="CG41" t="s">
        <v>189</v>
      </c>
      <c r="CH41" t="s">
        <v>190</v>
      </c>
      <c r="CI41" t="s">
        <v>190</v>
      </c>
      <c r="CJ41" s="152">
        <v>27.48629</v>
      </c>
      <c r="CK41" t="s">
        <v>184</v>
      </c>
      <c r="CL41" s="159">
        <v>3</v>
      </c>
      <c r="CM41" s="159">
        <v>3</v>
      </c>
      <c r="CN41" s="152">
        <v>3.4657869802559342</v>
      </c>
      <c r="CO41" s="152">
        <v>3.4657869802559342</v>
      </c>
      <c r="CP41" t="s">
        <v>191</v>
      </c>
      <c r="CQ41" s="145">
        <f t="shared" si="6"/>
        <v>9.357624846691022E-2</v>
      </c>
      <c r="CR41" s="145">
        <f t="shared" si="7"/>
        <v>9.357624846691022E-2</v>
      </c>
      <c r="CS41" s="142" t="s">
        <v>192</v>
      </c>
      <c r="CT41" s="147" t="s">
        <v>193</v>
      </c>
      <c r="CU41" s="152">
        <v>3.9455927354542331</v>
      </c>
      <c r="CV41" s="152" t="s">
        <v>194</v>
      </c>
      <c r="CW41" t="s">
        <v>167</v>
      </c>
      <c r="CX41" t="s">
        <v>195</v>
      </c>
      <c r="CY41" t="s">
        <v>167</v>
      </c>
      <c r="CZ41" t="s">
        <v>167</v>
      </c>
      <c r="DA41" t="s">
        <v>167</v>
      </c>
      <c r="DB41" t="s">
        <v>167</v>
      </c>
      <c r="DC41" t="s">
        <v>167</v>
      </c>
      <c r="DD41" t="s">
        <v>167</v>
      </c>
      <c r="DE41" t="s">
        <v>167</v>
      </c>
      <c r="DF41" t="s">
        <v>167</v>
      </c>
      <c r="DG41" s="160">
        <v>35</v>
      </c>
      <c r="DH41" t="s">
        <v>174</v>
      </c>
      <c r="DI41">
        <v>3</v>
      </c>
      <c r="DJ41" s="161" t="s">
        <v>196</v>
      </c>
      <c r="DK41" s="146" t="s">
        <v>167</v>
      </c>
      <c r="DL41" s="146" t="s">
        <v>167</v>
      </c>
      <c r="DM41" s="146" t="s">
        <v>167</v>
      </c>
      <c r="DN41" s="146" t="s">
        <v>167</v>
      </c>
      <c r="DO41" s="146" t="s">
        <v>167</v>
      </c>
      <c r="DP41" s="146" t="s">
        <v>167</v>
      </c>
      <c r="DQ41" s="146" t="s">
        <v>167</v>
      </c>
      <c r="DR41" s="146" t="s">
        <v>167</v>
      </c>
      <c r="DS41" s="146" t="s">
        <v>167</v>
      </c>
      <c r="DT41" s="146" t="s">
        <v>167</v>
      </c>
      <c r="DU41" s="146" t="s">
        <v>167</v>
      </c>
      <c r="DV41" s="146" t="s">
        <v>167</v>
      </c>
      <c r="DW41" s="143">
        <v>432.56244218316402</v>
      </c>
      <c r="DX41" t="s">
        <v>197</v>
      </c>
      <c r="DY41" s="142">
        <v>37.1</v>
      </c>
      <c r="DZ41" t="s">
        <v>198</v>
      </c>
      <c r="EA41" s="152">
        <v>39.202961389999999</v>
      </c>
      <c r="EB41" s="149" t="s">
        <v>185</v>
      </c>
      <c r="EC41" s="162">
        <v>0.2</v>
      </c>
      <c r="ED41" t="s">
        <v>199</v>
      </c>
      <c r="EE41" t="s">
        <v>225</v>
      </c>
      <c r="EF41" t="s">
        <v>201</v>
      </c>
      <c r="EG41">
        <v>1.0271999999999999</v>
      </c>
      <c r="EH41" t="s">
        <v>202</v>
      </c>
      <c r="EI41">
        <v>5.9999999999999995E-4</v>
      </c>
      <c r="EJ41" t="s">
        <v>203</v>
      </c>
      <c r="EK41" t="s">
        <v>167</v>
      </c>
      <c r="EL41" t="s">
        <v>167</v>
      </c>
      <c r="EM41" t="s">
        <v>204</v>
      </c>
      <c r="EN41" t="s">
        <v>226</v>
      </c>
      <c r="EO41" t="s">
        <v>206</v>
      </c>
      <c r="EP41" t="s">
        <v>206</v>
      </c>
      <c r="EQ41" s="146" t="s">
        <v>167</v>
      </c>
      <c r="ER41" t="s">
        <v>167</v>
      </c>
      <c r="ES41" t="s">
        <v>167</v>
      </c>
      <c r="ET41" t="s">
        <v>207</v>
      </c>
      <c r="EU41" t="s">
        <v>208</v>
      </c>
      <c r="EV41" t="s">
        <v>227</v>
      </c>
      <c r="EW41" s="163">
        <v>2330</v>
      </c>
      <c r="EX41" t="s">
        <v>210</v>
      </c>
      <c r="EY41">
        <v>175</v>
      </c>
      <c r="EZ41">
        <v>175</v>
      </c>
      <c r="FA41" t="s">
        <v>167</v>
      </c>
      <c r="FB41" t="s">
        <v>167</v>
      </c>
      <c r="FC41" t="s">
        <v>167</v>
      </c>
      <c r="FD41" t="s">
        <v>167</v>
      </c>
      <c r="FE41" s="152">
        <v>8.0392677891921505</v>
      </c>
      <c r="FF41" s="164" t="s">
        <v>211</v>
      </c>
      <c r="FG41" s="152">
        <v>6.4878386531740162E-2</v>
      </c>
      <c r="FH41" s="152">
        <v>6.5702934865140783E-2</v>
      </c>
      <c r="FI41" s="145">
        <v>408.683385175392</v>
      </c>
      <c r="FJ41" s="149">
        <v>21</v>
      </c>
      <c r="FK41" s="149" t="s">
        <v>212</v>
      </c>
      <c r="FL41" s="152">
        <v>387.683385175392</v>
      </c>
      <c r="FM41" s="152">
        <v>87.267713109030979</v>
      </c>
      <c r="FN41" s="152">
        <v>73.912674160112999</v>
      </c>
      <c r="FO41" s="144" t="s">
        <v>213</v>
      </c>
      <c r="FP41" s="144" t="s">
        <v>214</v>
      </c>
      <c r="FQ41" t="s">
        <v>215</v>
      </c>
      <c r="FR41" t="s">
        <v>215</v>
      </c>
      <c r="FS41" t="s">
        <v>215</v>
      </c>
      <c r="FT41" t="s">
        <v>215</v>
      </c>
      <c r="FU41" t="s">
        <v>215</v>
      </c>
      <c r="FV41" t="s">
        <v>215</v>
      </c>
      <c r="FW41" t="s">
        <v>215</v>
      </c>
      <c r="FX41" t="s">
        <v>215</v>
      </c>
      <c r="FY41" t="s">
        <v>215</v>
      </c>
      <c r="FZ41" t="s">
        <v>215</v>
      </c>
      <c r="GA41" t="s">
        <v>215</v>
      </c>
      <c r="GB41" t="s">
        <v>215</v>
      </c>
    </row>
    <row r="42" spans="1:184" ht="18" x14ac:dyDescent="0.2">
      <c r="A42" t="s">
        <v>240</v>
      </c>
      <c r="B42" s="141" t="s">
        <v>241</v>
      </c>
      <c r="C42" s="138" t="s">
        <v>168</v>
      </c>
      <c r="D42" t="s">
        <v>239</v>
      </c>
      <c r="E42">
        <v>2015</v>
      </c>
      <c r="F42" t="str">
        <f t="shared" si="9"/>
        <v>10.1038/nature14145</v>
      </c>
      <c r="G42" s="175">
        <v>2845.05</v>
      </c>
      <c r="H42" s="142">
        <f t="shared" si="10"/>
        <v>6</v>
      </c>
      <c r="I42" s="142">
        <f t="shared" si="11"/>
        <v>6</v>
      </c>
      <c r="J42" s="148">
        <f t="shared" si="12"/>
        <v>307.71190055559299</v>
      </c>
      <c r="K42" s="148">
        <f t="shared" si="13"/>
        <v>68.963122351056995</v>
      </c>
      <c r="L42" s="148">
        <f t="shared" si="14"/>
        <v>60.601372482999977</v>
      </c>
      <c r="M42" t="b">
        <v>1</v>
      </c>
      <c r="N42">
        <v>3</v>
      </c>
      <c r="O42" t="s">
        <v>245</v>
      </c>
      <c r="P42" s="174" t="s">
        <v>259</v>
      </c>
      <c r="Q42" t="b">
        <v>0</v>
      </c>
      <c r="R42" t="s">
        <v>167</v>
      </c>
      <c r="S42" t="b">
        <v>0</v>
      </c>
      <c r="T42" t="b">
        <v>0</v>
      </c>
      <c r="U42" t="s">
        <v>167</v>
      </c>
      <c r="V42" t="s">
        <v>167</v>
      </c>
      <c r="W42" t="b">
        <v>0</v>
      </c>
      <c r="X42" t="s">
        <v>260</v>
      </c>
      <c r="Y42" s="150" t="s">
        <v>169</v>
      </c>
      <c r="Z42" t="s">
        <v>170</v>
      </c>
      <c r="AA42" t="s">
        <v>171</v>
      </c>
      <c r="AB42" s="142" t="s">
        <v>172</v>
      </c>
      <c r="AC42" s="146">
        <v>10</v>
      </c>
      <c r="AD42" s="146">
        <v>7</v>
      </c>
      <c r="AE42" s="146">
        <v>50</v>
      </c>
      <c r="AF42" s="146">
        <v>52</v>
      </c>
      <c r="AG42" s="146" t="s">
        <v>167</v>
      </c>
      <c r="AH42" s="146" t="s">
        <v>167</v>
      </c>
      <c r="AI42" s="146" t="s">
        <v>167</v>
      </c>
      <c r="AJ42" t="s">
        <v>173</v>
      </c>
      <c r="AK42" s="151">
        <v>12.75</v>
      </c>
      <c r="AL42" s="151">
        <v>-78.73</v>
      </c>
      <c r="AM42" s="151">
        <v>12.75</v>
      </c>
      <c r="AN42" s="151">
        <v>-78.73</v>
      </c>
      <c r="AO42" s="151">
        <v>-2828</v>
      </c>
      <c r="AP42" s="151">
        <v>-2828</v>
      </c>
      <c r="AQ42" s="142" t="s">
        <v>167</v>
      </c>
      <c r="AR42" s="142" t="s">
        <v>167</v>
      </c>
      <c r="AS42" s="175">
        <v>2845.05</v>
      </c>
      <c r="AT42" s="153" t="s">
        <v>174</v>
      </c>
      <c r="AU42" s="142">
        <v>6</v>
      </c>
      <c r="AV42" s="142">
        <v>6</v>
      </c>
      <c r="AW42" s="149" t="s">
        <v>167</v>
      </c>
      <c r="AX42" s="171" t="s">
        <v>243</v>
      </c>
      <c r="AY42" s="146" t="s">
        <v>167</v>
      </c>
      <c r="AZ42" t="s">
        <v>167</v>
      </c>
      <c r="BA42" t="s">
        <v>167</v>
      </c>
      <c r="BB42" t="s">
        <v>167</v>
      </c>
      <c r="BC42" t="s">
        <v>167</v>
      </c>
      <c r="BD42" t="s">
        <v>167</v>
      </c>
      <c r="BE42" t="s">
        <v>167</v>
      </c>
      <c r="BF42" t="s">
        <v>167</v>
      </c>
      <c r="BG42" s="154" t="s">
        <v>175</v>
      </c>
      <c r="BH42" t="s">
        <v>176</v>
      </c>
      <c r="BI42" s="155" t="s">
        <v>177</v>
      </c>
      <c r="BJ42" s="156" t="s">
        <v>178</v>
      </c>
      <c r="BK42" s="156" t="s">
        <v>179</v>
      </c>
      <c r="BL42" s="156" t="s">
        <v>180</v>
      </c>
      <c r="BM42" s="157" t="s">
        <v>181</v>
      </c>
      <c r="BN42" s="142" t="s">
        <v>182</v>
      </c>
      <c r="BO42" s="142" t="s">
        <v>182</v>
      </c>
      <c r="BP42" s="142" t="s">
        <v>182</v>
      </c>
      <c r="BQ42" s="152">
        <v>20.160060000000001</v>
      </c>
      <c r="BR42" t="s">
        <v>183</v>
      </c>
      <c r="BS42" s="152">
        <v>0.111171903</v>
      </c>
      <c r="BT42">
        <v>0.6</v>
      </c>
      <c r="BU42" t="s">
        <v>184</v>
      </c>
      <c r="BV42" s="153">
        <v>0.08</v>
      </c>
      <c r="BW42">
        <v>8.8699999999999992</v>
      </c>
      <c r="BX42" t="s">
        <v>185</v>
      </c>
      <c r="BY42">
        <v>1.52</v>
      </c>
      <c r="BZ42" t="s">
        <v>224</v>
      </c>
      <c r="CA42" t="s">
        <v>187</v>
      </c>
      <c r="CB42" s="158">
        <f t="shared" si="5"/>
        <v>18.81676666666667</v>
      </c>
      <c r="CC42" t="s">
        <v>184</v>
      </c>
      <c r="CD42" s="149" t="s">
        <v>167</v>
      </c>
      <c r="CE42" s="149" t="s">
        <v>167</v>
      </c>
      <c r="CF42" t="s">
        <v>188</v>
      </c>
      <c r="CG42" t="s">
        <v>189</v>
      </c>
      <c r="CH42" t="s">
        <v>190</v>
      </c>
      <c r="CI42" t="s">
        <v>190</v>
      </c>
      <c r="CJ42" s="152">
        <v>27.170369999999998</v>
      </c>
      <c r="CK42" t="s">
        <v>184</v>
      </c>
      <c r="CL42" s="159">
        <v>3</v>
      </c>
      <c r="CM42" s="159">
        <v>3</v>
      </c>
      <c r="CN42" s="152">
        <v>3.3626617309197604</v>
      </c>
      <c r="CO42" s="152">
        <v>3.3626617309197604</v>
      </c>
      <c r="CP42" t="s">
        <v>191</v>
      </c>
      <c r="CQ42" s="145">
        <f t="shared" si="6"/>
        <v>9.0791866734833526E-2</v>
      </c>
      <c r="CR42" s="145">
        <f t="shared" si="7"/>
        <v>9.0791866734833526E-2</v>
      </c>
      <c r="CS42" s="142" t="s">
        <v>192</v>
      </c>
      <c r="CT42" s="147" t="s">
        <v>193</v>
      </c>
      <c r="CU42" s="152">
        <v>3.9285568723081332</v>
      </c>
      <c r="CV42" s="152" t="s">
        <v>194</v>
      </c>
      <c r="CW42" t="s">
        <v>167</v>
      </c>
      <c r="CX42" t="s">
        <v>195</v>
      </c>
      <c r="CY42" t="s">
        <v>167</v>
      </c>
      <c r="CZ42" t="s">
        <v>167</v>
      </c>
      <c r="DA42" t="s">
        <v>167</v>
      </c>
      <c r="DB42" t="s">
        <v>167</v>
      </c>
      <c r="DC42" t="s">
        <v>167</v>
      </c>
      <c r="DD42" t="s">
        <v>167</v>
      </c>
      <c r="DE42" t="s">
        <v>167</v>
      </c>
      <c r="DF42" t="s">
        <v>167</v>
      </c>
      <c r="DG42" s="160">
        <v>35</v>
      </c>
      <c r="DH42" t="s">
        <v>174</v>
      </c>
      <c r="DI42">
        <v>3</v>
      </c>
      <c r="DJ42" s="161" t="s">
        <v>196</v>
      </c>
      <c r="DK42" s="146" t="s">
        <v>167</v>
      </c>
      <c r="DL42" s="146" t="s">
        <v>167</v>
      </c>
      <c r="DM42" s="146" t="s">
        <v>167</v>
      </c>
      <c r="DN42" s="146" t="s">
        <v>167</v>
      </c>
      <c r="DO42" s="146" t="s">
        <v>167</v>
      </c>
      <c r="DP42" s="146" t="s">
        <v>167</v>
      </c>
      <c r="DQ42" s="146" t="s">
        <v>167</v>
      </c>
      <c r="DR42" s="146" t="s">
        <v>167</v>
      </c>
      <c r="DS42" s="146" t="s">
        <v>167</v>
      </c>
      <c r="DT42" s="146" t="s">
        <v>167</v>
      </c>
      <c r="DU42" s="146" t="s">
        <v>167</v>
      </c>
      <c r="DV42" s="146" t="s">
        <v>167</v>
      </c>
      <c r="DW42" s="143">
        <v>432.56244218316402</v>
      </c>
      <c r="DX42" t="s">
        <v>197</v>
      </c>
      <c r="DY42" s="142">
        <v>37.1</v>
      </c>
      <c r="DZ42" t="s">
        <v>198</v>
      </c>
      <c r="EA42" s="152">
        <v>39.200656039999998</v>
      </c>
      <c r="EB42" s="149" t="s">
        <v>185</v>
      </c>
      <c r="EC42" s="162">
        <v>0.2</v>
      </c>
      <c r="ED42" t="s">
        <v>199</v>
      </c>
      <c r="EE42" t="s">
        <v>225</v>
      </c>
      <c r="EF42" t="s">
        <v>201</v>
      </c>
      <c r="EG42">
        <v>1.0271999999999999</v>
      </c>
      <c r="EH42" t="s">
        <v>202</v>
      </c>
      <c r="EI42">
        <v>5.9999999999999995E-4</v>
      </c>
      <c r="EJ42" t="s">
        <v>203</v>
      </c>
      <c r="EK42" t="s">
        <v>167</v>
      </c>
      <c r="EL42" t="s">
        <v>167</v>
      </c>
      <c r="EM42" t="s">
        <v>204</v>
      </c>
      <c r="EN42" t="s">
        <v>226</v>
      </c>
      <c r="EO42" t="s">
        <v>206</v>
      </c>
      <c r="EP42" t="s">
        <v>206</v>
      </c>
      <c r="EQ42" s="146" t="s">
        <v>167</v>
      </c>
      <c r="ER42" t="s">
        <v>167</v>
      </c>
      <c r="ES42" t="s">
        <v>167</v>
      </c>
      <c r="ET42" t="s">
        <v>207</v>
      </c>
      <c r="EU42" t="s">
        <v>208</v>
      </c>
      <c r="EV42" t="s">
        <v>227</v>
      </c>
      <c r="EW42" s="163">
        <v>2330</v>
      </c>
      <c r="EX42" t="s">
        <v>210</v>
      </c>
      <c r="EY42">
        <v>175</v>
      </c>
      <c r="EZ42">
        <v>175</v>
      </c>
      <c r="FA42" t="s">
        <v>167</v>
      </c>
      <c r="FB42" t="s">
        <v>167</v>
      </c>
      <c r="FC42" t="s">
        <v>167</v>
      </c>
      <c r="FD42" t="s">
        <v>167</v>
      </c>
      <c r="FE42" s="152">
        <v>8.1149004899944099</v>
      </c>
      <c r="FF42" s="164" t="s">
        <v>211</v>
      </c>
      <c r="FG42" s="152">
        <v>6.4651369809579862E-2</v>
      </c>
      <c r="FH42" s="152">
        <v>6.4225141902120697E-2</v>
      </c>
      <c r="FI42" s="145">
        <v>328.71190055559299</v>
      </c>
      <c r="FJ42" s="149">
        <v>21</v>
      </c>
      <c r="FK42" s="149" t="s">
        <v>212</v>
      </c>
      <c r="FL42" s="152">
        <v>307.71190055559299</v>
      </c>
      <c r="FM42" s="152">
        <v>68.963122351056995</v>
      </c>
      <c r="FN42" s="152">
        <v>60.601372482999977</v>
      </c>
      <c r="FO42" s="144" t="s">
        <v>213</v>
      </c>
      <c r="FP42" s="144" t="s">
        <v>214</v>
      </c>
      <c r="FQ42" t="s">
        <v>215</v>
      </c>
      <c r="FR42" t="s">
        <v>215</v>
      </c>
      <c r="FS42" t="s">
        <v>215</v>
      </c>
      <c r="FT42" t="s">
        <v>215</v>
      </c>
      <c r="FU42" t="s">
        <v>215</v>
      </c>
      <c r="FV42" t="s">
        <v>215</v>
      </c>
      <c r="FW42" t="s">
        <v>215</v>
      </c>
      <c r="FX42" t="s">
        <v>215</v>
      </c>
      <c r="FY42" t="s">
        <v>215</v>
      </c>
      <c r="FZ42" t="s">
        <v>215</v>
      </c>
      <c r="GA42" t="s">
        <v>215</v>
      </c>
      <c r="GB42" t="s">
        <v>215</v>
      </c>
    </row>
    <row r="43" spans="1:184" ht="18" x14ac:dyDescent="0.2">
      <c r="A43" t="s">
        <v>240</v>
      </c>
      <c r="B43" s="141" t="s">
        <v>241</v>
      </c>
      <c r="C43" s="138" t="s">
        <v>168</v>
      </c>
      <c r="D43" t="s">
        <v>239</v>
      </c>
      <c r="E43">
        <v>2015</v>
      </c>
      <c r="F43" t="str">
        <f t="shared" si="9"/>
        <v>10.1038/nature14145</v>
      </c>
      <c r="G43" s="175">
        <v>2882.85</v>
      </c>
      <c r="H43" s="142">
        <f t="shared" si="10"/>
        <v>6</v>
      </c>
      <c r="I43" s="142">
        <f t="shared" si="11"/>
        <v>6</v>
      </c>
      <c r="J43" s="148">
        <f t="shared" si="12"/>
        <v>444.89181653378398</v>
      </c>
      <c r="K43" s="148">
        <f t="shared" si="13"/>
        <v>103.91479822632402</v>
      </c>
      <c r="L43" s="148">
        <f t="shared" si="14"/>
        <v>89.412766925418964</v>
      </c>
      <c r="M43" t="b">
        <v>1</v>
      </c>
      <c r="N43">
        <v>3</v>
      </c>
      <c r="O43" t="s">
        <v>245</v>
      </c>
      <c r="P43" s="174" t="s">
        <v>259</v>
      </c>
      <c r="Q43" t="b">
        <v>0</v>
      </c>
      <c r="R43" t="s">
        <v>167</v>
      </c>
      <c r="S43" t="b">
        <v>0</v>
      </c>
      <c r="T43" t="b">
        <v>0</v>
      </c>
      <c r="U43" t="s">
        <v>167</v>
      </c>
      <c r="V43" t="s">
        <v>167</v>
      </c>
      <c r="W43" t="b">
        <v>0</v>
      </c>
      <c r="X43" t="s">
        <v>260</v>
      </c>
      <c r="Y43" s="150" t="s">
        <v>169</v>
      </c>
      <c r="Z43" t="s">
        <v>170</v>
      </c>
      <c r="AA43" t="s">
        <v>171</v>
      </c>
      <c r="AB43" s="142" t="s">
        <v>172</v>
      </c>
      <c r="AC43" s="146">
        <v>10</v>
      </c>
      <c r="AD43" s="146" t="s">
        <v>258</v>
      </c>
      <c r="AE43" s="146">
        <v>19</v>
      </c>
      <c r="AF43" s="146">
        <v>21</v>
      </c>
      <c r="AG43" s="146" t="s">
        <v>167</v>
      </c>
      <c r="AH43" s="146" t="s">
        <v>167</v>
      </c>
      <c r="AI43" s="146" t="s">
        <v>167</v>
      </c>
      <c r="AJ43" t="s">
        <v>173</v>
      </c>
      <c r="AK43" s="151">
        <v>12.75</v>
      </c>
      <c r="AL43" s="151">
        <v>-78.73</v>
      </c>
      <c r="AM43" s="151">
        <v>12.75</v>
      </c>
      <c r="AN43" s="151">
        <v>-78.73</v>
      </c>
      <c r="AO43" s="151">
        <v>-2828</v>
      </c>
      <c r="AP43" s="151">
        <v>-2828</v>
      </c>
      <c r="AQ43" s="142" t="s">
        <v>167</v>
      </c>
      <c r="AR43" s="142" t="s">
        <v>167</v>
      </c>
      <c r="AS43" s="175">
        <v>2882.85</v>
      </c>
      <c r="AT43" s="153" t="s">
        <v>174</v>
      </c>
      <c r="AU43" s="142">
        <v>6</v>
      </c>
      <c r="AV43" s="142">
        <v>6</v>
      </c>
      <c r="AW43" s="149" t="s">
        <v>167</v>
      </c>
      <c r="AX43" s="171" t="s">
        <v>243</v>
      </c>
      <c r="AY43" s="146" t="s">
        <v>167</v>
      </c>
      <c r="AZ43" t="s">
        <v>167</v>
      </c>
      <c r="BA43" t="s">
        <v>167</v>
      </c>
      <c r="BB43" t="s">
        <v>167</v>
      </c>
      <c r="BC43" t="s">
        <v>167</v>
      </c>
      <c r="BD43" t="s">
        <v>167</v>
      </c>
      <c r="BE43" t="s">
        <v>167</v>
      </c>
      <c r="BF43" t="s">
        <v>167</v>
      </c>
      <c r="BG43" s="154" t="s">
        <v>175</v>
      </c>
      <c r="BH43" t="s">
        <v>176</v>
      </c>
      <c r="BI43" s="155" t="s">
        <v>177</v>
      </c>
      <c r="BJ43" s="155" t="s">
        <v>178</v>
      </c>
      <c r="BK43" s="156" t="s">
        <v>179</v>
      </c>
      <c r="BL43" s="156" t="s">
        <v>180</v>
      </c>
      <c r="BM43" t="s">
        <v>181</v>
      </c>
      <c r="BN43" s="142" t="s">
        <v>182</v>
      </c>
      <c r="BO43" s="142" t="s">
        <v>182</v>
      </c>
      <c r="BP43" s="142" t="s">
        <v>182</v>
      </c>
      <c r="BQ43" s="152">
        <v>19.312259999999998</v>
      </c>
      <c r="BR43" t="s">
        <v>183</v>
      </c>
      <c r="BS43" s="152">
        <v>9.9492488000000004E-2</v>
      </c>
      <c r="BT43">
        <v>0.6</v>
      </c>
      <c r="BU43" t="s">
        <v>184</v>
      </c>
      <c r="BV43" s="153">
        <v>0.08</v>
      </c>
      <c r="BW43">
        <v>8.8699999999999992</v>
      </c>
      <c r="BX43" t="s">
        <v>185</v>
      </c>
      <c r="BY43">
        <v>1.52</v>
      </c>
      <c r="BZ43" t="s">
        <v>224</v>
      </c>
      <c r="CA43" t="s">
        <v>187</v>
      </c>
      <c r="CB43" s="158">
        <f t="shared" si="5"/>
        <v>17.403766666666666</v>
      </c>
      <c r="CC43" t="s">
        <v>184</v>
      </c>
      <c r="CD43" s="149" t="s">
        <v>167</v>
      </c>
      <c r="CE43" s="149" t="s">
        <v>167</v>
      </c>
      <c r="CF43" t="s">
        <v>188</v>
      </c>
      <c r="CG43" t="s">
        <v>189</v>
      </c>
      <c r="CH43" t="s">
        <v>190</v>
      </c>
      <c r="CI43" t="s">
        <v>190</v>
      </c>
      <c r="CJ43" s="152">
        <v>26.396509999999999</v>
      </c>
      <c r="CK43" t="s">
        <v>184</v>
      </c>
      <c r="CL43" s="159">
        <v>3</v>
      </c>
      <c r="CM43" s="159">
        <v>3</v>
      </c>
      <c r="CN43" s="152">
        <v>3.1316012127254975</v>
      </c>
      <c r="CO43" s="152">
        <v>3.1316012127254975</v>
      </c>
      <c r="CP43" t="s">
        <v>191</v>
      </c>
      <c r="CQ43" s="145">
        <f t="shared" si="6"/>
        <v>8.4553232743588433E-2</v>
      </c>
      <c r="CR43" s="145">
        <f t="shared" si="7"/>
        <v>8.4553232743588433E-2</v>
      </c>
      <c r="CS43" s="142" t="s">
        <v>192</v>
      </c>
      <c r="CT43" s="147" t="s">
        <v>193</v>
      </c>
      <c r="CU43" s="152">
        <v>3.9138189721033454</v>
      </c>
      <c r="CV43" s="152" t="s">
        <v>194</v>
      </c>
      <c r="CW43" t="s">
        <v>167</v>
      </c>
      <c r="CX43" t="s">
        <v>195</v>
      </c>
      <c r="CY43" t="s">
        <v>167</v>
      </c>
      <c r="CZ43" t="s">
        <v>167</v>
      </c>
      <c r="DA43" t="s">
        <v>167</v>
      </c>
      <c r="DB43" t="s">
        <v>167</v>
      </c>
      <c r="DC43" t="s">
        <v>167</v>
      </c>
      <c r="DD43" t="s">
        <v>167</v>
      </c>
      <c r="DE43" t="s">
        <v>167</v>
      </c>
      <c r="DF43" t="s">
        <v>167</v>
      </c>
      <c r="DG43" s="160">
        <v>35</v>
      </c>
      <c r="DH43" t="s">
        <v>174</v>
      </c>
      <c r="DI43">
        <v>3</v>
      </c>
      <c r="DJ43" s="161" t="s">
        <v>196</v>
      </c>
      <c r="DK43" s="146" t="s">
        <v>167</v>
      </c>
      <c r="DL43" s="146" t="s">
        <v>167</v>
      </c>
      <c r="DM43" s="146" t="s">
        <v>167</v>
      </c>
      <c r="DN43" s="146" t="s">
        <v>167</v>
      </c>
      <c r="DO43" s="146" t="s">
        <v>167</v>
      </c>
      <c r="DP43" s="146" t="s">
        <v>167</v>
      </c>
      <c r="DQ43" s="146" t="s">
        <v>167</v>
      </c>
      <c r="DR43" s="146" t="s">
        <v>167</v>
      </c>
      <c r="DS43" s="146" t="s">
        <v>167</v>
      </c>
      <c r="DT43" s="146" t="s">
        <v>167</v>
      </c>
      <c r="DU43" s="146" t="s">
        <v>167</v>
      </c>
      <c r="DV43" s="146" t="s">
        <v>167</v>
      </c>
      <c r="DW43" s="143">
        <v>432.56244218316402</v>
      </c>
      <c r="DX43" t="s">
        <v>197</v>
      </c>
      <c r="DY43" s="142">
        <v>37.1</v>
      </c>
      <c r="DZ43" t="s">
        <v>198</v>
      </c>
      <c r="EA43" s="152">
        <v>39.198593350000003</v>
      </c>
      <c r="EB43" s="149" t="s">
        <v>185</v>
      </c>
      <c r="EC43" s="162">
        <v>0.2</v>
      </c>
      <c r="ED43" t="s">
        <v>199</v>
      </c>
      <c r="EE43" t="s">
        <v>225</v>
      </c>
      <c r="EF43" t="s">
        <v>201</v>
      </c>
      <c r="EG43">
        <v>1.0271999999999999</v>
      </c>
      <c r="EH43" t="s">
        <v>202</v>
      </c>
      <c r="EI43">
        <v>5.9999999999999995E-4</v>
      </c>
      <c r="EJ43" t="s">
        <v>203</v>
      </c>
      <c r="EK43" t="s">
        <v>167</v>
      </c>
      <c r="EL43" t="s">
        <v>167</v>
      </c>
      <c r="EM43" t="s">
        <v>204</v>
      </c>
      <c r="EN43" t="s">
        <v>226</v>
      </c>
      <c r="EO43" t="s">
        <v>206</v>
      </c>
      <c r="EP43" t="s">
        <v>206</v>
      </c>
      <c r="EQ43" s="146" t="s">
        <v>167</v>
      </c>
      <c r="ER43" t="s">
        <v>167</v>
      </c>
      <c r="ES43" t="s">
        <v>167</v>
      </c>
      <c r="ET43" t="s">
        <v>207</v>
      </c>
      <c r="EU43" t="s">
        <v>208</v>
      </c>
      <c r="EV43" t="s">
        <v>227</v>
      </c>
      <c r="EW43" s="163">
        <v>2330</v>
      </c>
      <c r="EX43" t="s">
        <v>210</v>
      </c>
      <c r="EY43">
        <v>175</v>
      </c>
      <c r="EZ43">
        <v>175</v>
      </c>
      <c r="FA43" t="s">
        <v>167</v>
      </c>
      <c r="FB43" t="s">
        <v>167</v>
      </c>
      <c r="FC43" t="s">
        <v>167</v>
      </c>
      <c r="FD43" t="s">
        <v>167</v>
      </c>
      <c r="FE43" s="152">
        <v>7.9939926176359801</v>
      </c>
      <c r="FF43" s="164" t="s">
        <v>211</v>
      </c>
      <c r="FG43" s="152">
        <v>6.808531120636907E-2</v>
      </c>
      <c r="FH43" s="152">
        <v>7.0913193397680097E-2</v>
      </c>
      <c r="FI43" s="145">
        <v>465.89181653378398</v>
      </c>
      <c r="FJ43" s="149">
        <v>21</v>
      </c>
      <c r="FK43" s="149" t="s">
        <v>212</v>
      </c>
      <c r="FL43" s="152">
        <v>444.89181653378398</v>
      </c>
      <c r="FM43" s="152">
        <v>103.91479822632402</v>
      </c>
      <c r="FN43" s="152">
        <v>89.412766925418964</v>
      </c>
      <c r="FO43" s="144" t="s">
        <v>213</v>
      </c>
      <c r="FP43" s="144" t="s">
        <v>214</v>
      </c>
      <c r="FQ43" t="s">
        <v>215</v>
      </c>
      <c r="FR43" t="s">
        <v>215</v>
      </c>
      <c r="FS43" t="s">
        <v>215</v>
      </c>
      <c r="FT43" t="s">
        <v>215</v>
      </c>
      <c r="FU43" t="s">
        <v>215</v>
      </c>
      <c r="FV43" t="s">
        <v>215</v>
      </c>
      <c r="FW43" t="s">
        <v>215</v>
      </c>
      <c r="FX43" t="s">
        <v>215</v>
      </c>
      <c r="FY43" t="s">
        <v>215</v>
      </c>
      <c r="FZ43" t="s">
        <v>215</v>
      </c>
      <c r="GA43" t="s">
        <v>215</v>
      </c>
      <c r="GB43" t="s">
        <v>215</v>
      </c>
    </row>
    <row r="44" spans="1:184" ht="18" x14ac:dyDescent="0.2">
      <c r="A44" t="s">
        <v>240</v>
      </c>
      <c r="B44" s="141" t="s">
        <v>241</v>
      </c>
      <c r="C44" s="138" t="s">
        <v>168</v>
      </c>
      <c r="D44" t="s">
        <v>239</v>
      </c>
      <c r="E44">
        <v>2015</v>
      </c>
      <c r="F44" t="str">
        <f t="shared" si="9"/>
        <v>10.1038/nature14145</v>
      </c>
      <c r="G44" s="175">
        <v>2916.2</v>
      </c>
      <c r="H44" s="142">
        <f t="shared" si="10"/>
        <v>6</v>
      </c>
      <c r="I44" s="142">
        <f t="shared" si="11"/>
        <v>6</v>
      </c>
      <c r="J44" s="148">
        <f t="shared" si="12"/>
        <v>370.56552167107901</v>
      </c>
      <c r="K44" s="148">
        <f t="shared" si="13"/>
        <v>82.513325910432002</v>
      </c>
      <c r="L44" s="148">
        <f t="shared" si="14"/>
        <v>70.870887170334015</v>
      </c>
      <c r="M44" t="b">
        <v>1</v>
      </c>
      <c r="N44">
        <v>3</v>
      </c>
      <c r="O44" t="s">
        <v>245</v>
      </c>
      <c r="P44" s="174" t="s">
        <v>259</v>
      </c>
      <c r="Q44" t="b">
        <v>0</v>
      </c>
      <c r="R44" t="s">
        <v>167</v>
      </c>
      <c r="S44" t="b">
        <v>0</v>
      </c>
      <c r="T44" t="b">
        <v>0</v>
      </c>
      <c r="U44" t="s">
        <v>167</v>
      </c>
      <c r="V44" t="s">
        <v>167</v>
      </c>
      <c r="W44" t="b">
        <v>0</v>
      </c>
      <c r="X44" t="s">
        <v>260</v>
      </c>
      <c r="Y44" s="150" t="s">
        <v>169</v>
      </c>
      <c r="Z44" t="s">
        <v>170</v>
      </c>
      <c r="AA44" t="s">
        <v>171</v>
      </c>
      <c r="AB44" s="142" t="s">
        <v>172</v>
      </c>
      <c r="AC44" s="146">
        <v>11</v>
      </c>
      <c r="AD44" s="146">
        <v>1</v>
      </c>
      <c r="AE44" s="146">
        <v>89</v>
      </c>
      <c r="AF44" s="146">
        <v>90</v>
      </c>
      <c r="AG44" s="146" t="s">
        <v>167</v>
      </c>
      <c r="AH44" s="146" t="s">
        <v>167</v>
      </c>
      <c r="AI44" s="146" t="s">
        <v>167</v>
      </c>
      <c r="AJ44" t="s">
        <v>173</v>
      </c>
      <c r="AK44" s="151">
        <v>12.75</v>
      </c>
      <c r="AL44" s="151">
        <v>-78.73</v>
      </c>
      <c r="AM44" s="151">
        <v>12.75</v>
      </c>
      <c r="AN44" s="151">
        <v>-78.73</v>
      </c>
      <c r="AO44" s="151">
        <v>-2828</v>
      </c>
      <c r="AP44" s="151">
        <v>-2828</v>
      </c>
      <c r="AQ44" s="142" t="s">
        <v>167</v>
      </c>
      <c r="AR44" s="142" t="s">
        <v>167</v>
      </c>
      <c r="AS44" s="175">
        <v>2916.2</v>
      </c>
      <c r="AT44" s="153" t="s">
        <v>174</v>
      </c>
      <c r="AU44" s="142">
        <v>6</v>
      </c>
      <c r="AV44" s="142">
        <v>6</v>
      </c>
      <c r="AW44" s="149" t="s">
        <v>167</v>
      </c>
      <c r="AX44" s="171" t="s">
        <v>243</v>
      </c>
      <c r="AY44" s="146" t="s">
        <v>167</v>
      </c>
      <c r="AZ44" t="s">
        <v>167</v>
      </c>
      <c r="BA44" t="s">
        <v>167</v>
      </c>
      <c r="BB44" t="s">
        <v>167</v>
      </c>
      <c r="BC44" t="s">
        <v>167</v>
      </c>
      <c r="BD44" t="s">
        <v>167</v>
      </c>
      <c r="BE44" t="s">
        <v>167</v>
      </c>
      <c r="BF44" t="s">
        <v>167</v>
      </c>
      <c r="BG44" s="154" t="s">
        <v>175</v>
      </c>
      <c r="BH44" t="s">
        <v>176</v>
      </c>
      <c r="BI44" s="155" t="s">
        <v>177</v>
      </c>
      <c r="BJ44" s="156" t="s">
        <v>178</v>
      </c>
      <c r="BK44" s="156" t="s">
        <v>179</v>
      </c>
      <c r="BL44" s="156" t="s">
        <v>180</v>
      </c>
      <c r="BM44" s="157" t="s">
        <v>181</v>
      </c>
      <c r="BN44" s="142" t="s">
        <v>182</v>
      </c>
      <c r="BO44" s="142" t="s">
        <v>182</v>
      </c>
      <c r="BP44" s="142" t="s">
        <v>182</v>
      </c>
      <c r="BQ44" s="152">
        <v>19.70327</v>
      </c>
      <c r="BR44" t="s">
        <v>183</v>
      </c>
      <c r="BS44" s="152">
        <v>9.6916661000000001E-2</v>
      </c>
      <c r="BT44">
        <v>0.6</v>
      </c>
      <c r="BU44" t="s">
        <v>184</v>
      </c>
      <c r="BV44" s="153">
        <v>0.08</v>
      </c>
      <c r="BW44">
        <v>8.8699999999999992</v>
      </c>
      <c r="BX44" t="s">
        <v>185</v>
      </c>
      <c r="BY44">
        <v>1.52</v>
      </c>
      <c r="BZ44" t="s">
        <v>224</v>
      </c>
      <c r="CA44" t="s">
        <v>187</v>
      </c>
      <c r="CB44" s="158">
        <f t="shared" si="5"/>
        <v>18.05545</v>
      </c>
      <c r="CC44" t="s">
        <v>184</v>
      </c>
      <c r="CD44" s="149" t="s">
        <v>167</v>
      </c>
      <c r="CE44" s="149" t="s">
        <v>167</v>
      </c>
      <c r="CF44" t="s">
        <v>188</v>
      </c>
      <c r="CG44" t="s">
        <v>189</v>
      </c>
      <c r="CH44" t="s">
        <v>190</v>
      </c>
      <c r="CI44" t="s">
        <v>190</v>
      </c>
      <c r="CJ44" s="152">
        <v>26.5868</v>
      </c>
      <c r="CK44" t="s">
        <v>184</v>
      </c>
      <c r="CL44" s="159">
        <v>3</v>
      </c>
      <c r="CM44" s="159">
        <v>3</v>
      </c>
      <c r="CN44" s="152">
        <v>3.1575565644298691</v>
      </c>
      <c r="CO44" s="152">
        <v>3.1575565644298691</v>
      </c>
      <c r="CP44" t="s">
        <v>191</v>
      </c>
      <c r="CQ44" s="145">
        <f t="shared" si="6"/>
        <v>8.525402723960647E-2</v>
      </c>
      <c r="CR44" s="145">
        <f t="shared" si="7"/>
        <v>8.525402723960647E-2</v>
      </c>
      <c r="CS44" s="142" t="s">
        <v>192</v>
      </c>
      <c r="CT44" s="147" t="s">
        <v>193</v>
      </c>
      <c r="CU44" s="152">
        <v>3.830036988183692</v>
      </c>
      <c r="CV44" s="152" t="s">
        <v>194</v>
      </c>
      <c r="CW44" t="s">
        <v>167</v>
      </c>
      <c r="CX44" t="s">
        <v>195</v>
      </c>
      <c r="CY44" t="s">
        <v>167</v>
      </c>
      <c r="CZ44" t="s">
        <v>167</v>
      </c>
      <c r="DA44" t="s">
        <v>167</v>
      </c>
      <c r="DB44" t="s">
        <v>167</v>
      </c>
      <c r="DC44" t="s">
        <v>167</v>
      </c>
      <c r="DD44" t="s">
        <v>167</v>
      </c>
      <c r="DE44" t="s">
        <v>167</v>
      </c>
      <c r="DF44" t="s">
        <v>167</v>
      </c>
      <c r="DG44" s="160">
        <v>35</v>
      </c>
      <c r="DH44" t="s">
        <v>174</v>
      </c>
      <c r="DI44">
        <v>3</v>
      </c>
      <c r="DJ44" s="161" t="s">
        <v>196</v>
      </c>
      <c r="DK44" s="146" t="s">
        <v>167</v>
      </c>
      <c r="DL44" s="146" t="s">
        <v>167</v>
      </c>
      <c r="DM44" s="146" t="s">
        <v>167</v>
      </c>
      <c r="DN44" s="146" t="s">
        <v>167</v>
      </c>
      <c r="DO44" s="146" t="s">
        <v>167</v>
      </c>
      <c r="DP44" s="146" t="s">
        <v>167</v>
      </c>
      <c r="DQ44" s="146" t="s">
        <v>167</v>
      </c>
      <c r="DR44" s="146" t="s">
        <v>167</v>
      </c>
      <c r="DS44" s="146" t="s">
        <v>167</v>
      </c>
      <c r="DT44" s="146" t="s">
        <v>167</v>
      </c>
      <c r="DU44" s="146" t="s">
        <v>167</v>
      </c>
      <c r="DV44" s="146" t="s">
        <v>167</v>
      </c>
      <c r="DW44" s="143">
        <v>432.56244218316402</v>
      </c>
      <c r="DX44" t="s">
        <v>197</v>
      </c>
      <c r="DY44" s="142">
        <v>37.1</v>
      </c>
      <c r="DZ44" t="s">
        <v>198</v>
      </c>
      <c r="EA44" s="152">
        <v>39.192786849999997</v>
      </c>
      <c r="EB44" s="149" t="s">
        <v>185</v>
      </c>
      <c r="EC44" s="162">
        <v>0.2</v>
      </c>
      <c r="ED44" t="s">
        <v>199</v>
      </c>
      <c r="EE44" t="s">
        <v>225</v>
      </c>
      <c r="EF44" t="s">
        <v>201</v>
      </c>
      <c r="EG44">
        <v>1.0271999999999999</v>
      </c>
      <c r="EH44" t="s">
        <v>202</v>
      </c>
      <c r="EI44">
        <v>5.9999999999999995E-4</v>
      </c>
      <c r="EJ44" t="s">
        <v>203</v>
      </c>
      <c r="EK44" t="s">
        <v>167</v>
      </c>
      <c r="EL44" t="s">
        <v>167</v>
      </c>
      <c r="EM44" t="s">
        <v>204</v>
      </c>
      <c r="EN44" t="s">
        <v>226</v>
      </c>
      <c r="EO44" t="s">
        <v>206</v>
      </c>
      <c r="EP44" t="s">
        <v>206</v>
      </c>
      <c r="EQ44" s="146" t="s">
        <v>167</v>
      </c>
      <c r="ER44" t="s">
        <v>167</v>
      </c>
      <c r="ES44" t="s">
        <v>167</v>
      </c>
      <c r="ET44" t="s">
        <v>207</v>
      </c>
      <c r="EU44" t="s">
        <v>208</v>
      </c>
      <c r="EV44" t="s">
        <v>227</v>
      </c>
      <c r="EW44" s="163">
        <v>2330</v>
      </c>
      <c r="EX44" t="s">
        <v>210</v>
      </c>
      <c r="EY44">
        <v>175</v>
      </c>
      <c r="EZ44">
        <v>175</v>
      </c>
      <c r="FA44" t="s">
        <v>167</v>
      </c>
      <c r="FB44" t="s">
        <v>167</v>
      </c>
      <c r="FC44" t="s">
        <v>167</v>
      </c>
      <c r="FD44" t="s">
        <v>167</v>
      </c>
      <c r="FE44" s="152">
        <v>8.0549825322883208</v>
      </c>
      <c r="FF44" s="164" t="s">
        <v>211</v>
      </c>
      <c r="FG44" s="152">
        <v>6.4979399252250047E-2</v>
      </c>
      <c r="FH44" s="152">
        <v>6.5471817388230491E-2</v>
      </c>
      <c r="FI44" s="145">
        <v>391.56552167107901</v>
      </c>
      <c r="FJ44" s="149">
        <v>21</v>
      </c>
      <c r="FK44" s="149" t="s">
        <v>212</v>
      </c>
      <c r="FL44" s="152">
        <v>370.56552167107901</v>
      </c>
      <c r="FM44" s="152">
        <v>82.513325910432002</v>
      </c>
      <c r="FN44" s="152">
        <v>70.870887170334015</v>
      </c>
      <c r="FO44" s="144" t="s">
        <v>213</v>
      </c>
      <c r="FP44" s="144" t="s">
        <v>214</v>
      </c>
      <c r="FQ44" t="s">
        <v>215</v>
      </c>
      <c r="FR44" t="s">
        <v>215</v>
      </c>
      <c r="FS44" t="s">
        <v>215</v>
      </c>
      <c r="FT44" t="s">
        <v>215</v>
      </c>
      <c r="FU44" t="s">
        <v>215</v>
      </c>
      <c r="FV44" t="s">
        <v>215</v>
      </c>
      <c r="FW44" t="s">
        <v>215</v>
      </c>
      <c r="FX44" t="s">
        <v>215</v>
      </c>
      <c r="FY44" t="s">
        <v>215</v>
      </c>
      <c r="FZ44" t="s">
        <v>215</v>
      </c>
      <c r="GA44" t="s">
        <v>215</v>
      </c>
      <c r="GB44" t="s">
        <v>215</v>
      </c>
    </row>
    <row r="45" spans="1:184" ht="18" x14ac:dyDescent="0.2">
      <c r="A45" t="s">
        <v>240</v>
      </c>
      <c r="B45" s="141" t="s">
        <v>241</v>
      </c>
      <c r="C45" s="138" t="s">
        <v>168</v>
      </c>
      <c r="D45" t="s">
        <v>239</v>
      </c>
      <c r="E45">
        <v>2015</v>
      </c>
      <c r="F45" t="str">
        <f t="shared" si="9"/>
        <v>10.1038/nature14145</v>
      </c>
      <c r="G45" s="175">
        <v>2927</v>
      </c>
      <c r="H45" s="142">
        <f t="shared" si="10"/>
        <v>6</v>
      </c>
      <c r="I45" s="142">
        <f t="shared" si="11"/>
        <v>6</v>
      </c>
      <c r="J45" s="148">
        <f t="shared" si="12"/>
        <v>377.16756706350799</v>
      </c>
      <c r="K45" s="148">
        <f t="shared" si="13"/>
        <v>84.241104126924029</v>
      </c>
      <c r="L45" s="148">
        <f t="shared" si="14"/>
        <v>72.856762354393993</v>
      </c>
      <c r="M45" t="b">
        <v>1</v>
      </c>
      <c r="N45">
        <v>3</v>
      </c>
      <c r="O45" t="s">
        <v>245</v>
      </c>
      <c r="P45" s="174" t="s">
        <v>259</v>
      </c>
      <c r="Q45" t="b">
        <v>0</v>
      </c>
      <c r="R45" t="s">
        <v>167</v>
      </c>
      <c r="S45" t="b">
        <v>0</v>
      </c>
      <c r="T45" t="b">
        <v>0</v>
      </c>
      <c r="U45" t="s">
        <v>167</v>
      </c>
      <c r="V45" t="s">
        <v>167</v>
      </c>
      <c r="W45" t="b">
        <v>0</v>
      </c>
      <c r="X45" t="s">
        <v>260</v>
      </c>
      <c r="Y45" s="150" t="s">
        <v>169</v>
      </c>
      <c r="Z45" t="s">
        <v>170</v>
      </c>
      <c r="AA45" t="s">
        <v>171</v>
      </c>
      <c r="AB45" s="142" t="s">
        <v>172</v>
      </c>
      <c r="AC45" s="173">
        <v>11</v>
      </c>
      <c r="AD45" s="173">
        <v>1</v>
      </c>
      <c r="AE45" s="173">
        <v>122</v>
      </c>
      <c r="AF45" s="173">
        <v>124</v>
      </c>
      <c r="AG45" s="146" t="s">
        <v>167</v>
      </c>
      <c r="AH45" s="146" t="s">
        <v>167</v>
      </c>
      <c r="AI45" s="146" t="s">
        <v>167</v>
      </c>
      <c r="AJ45" t="s">
        <v>173</v>
      </c>
      <c r="AK45" s="151">
        <v>12.75</v>
      </c>
      <c r="AL45" s="151">
        <v>-78.73</v>
      </c>
      <c r="AM45" s="151">
        <v>12.75</v>
      </c>
      <c r="AN45" s="151">
        <v>-78.73</v>
      </c>
      <c r="AO45" s="151">
        <v>-2828</v>
      </c>
      <c r="AP45" s="151">
        <v>-2828</v>
      </c>
      <c r="AQ45" s="142" t="s">
        <v>167</v>
      </c>
      <c r="AR45" s="142" t="s">
        <v>167</v>
      </c>
      <c r="AS45" s="175">
        <v>2927</v>
      </c>
      <c r="AT45" s="153" t="s">
        <v>174</v>
      </c>
      <c r="AU45" s="142">
        <v>6</v>
      </c>
      <c r="AV45" s="142">
        <v>6</v>
      </c>
      <c r="AW45" s="149" t="s">
        <v>167</v>
      </c>
      <c r="AX45" s="171" t="s">
        <v>243</v>
      </c>
      <c r="AY45" s="146" t="s">
        <v>167</v>
      </c>
      <c r="AZ45" t="s">
        <v>167</v>
      </c>
      <c r="BA45" t="s">
        <v>167</v>
      </c>
      <c r="BB45" t="s">
        <v>167</v>
      </c>
      <c r="BC45" t="s">
        <v>167</v>
      </c>
      <c r="BD45" t="s">
        <v>167</v>
      </c>
      <c r="BE45" t="s">
        <v>167</v>
      </c>
      <c r="BF45" t="s">
        <v>167</v>
      </c>
      <c r="BG45" s="154" t="s">
        <v>175</v>
      </c>
      <c r="BH45" t="s">
        <v>176</v>
      </c>
      <c r="BI45" s="155" t="s">
        <v>177</v>
      </c>
      <c r="BJ45" s="155" t="s">
        <v>178</v>
      </c>
      <c r="BK45" s="156" t="s">
        <v>179</v>
      </c>
      <c r="BL45" s="156" t="s">
        <v>180</v>
      </c>
      <c r="BM45" t="s">
        <v>181</v>
      </c>
      <c r="BN45" s="142" t="s">
        <v>182</v>
      </c>
      <c r="BO45" s="142" t="s">
        <v>182</v>
      </c>
      <c r="BP45" s="142" t="s">
        <v>182</v>
      </c>
      <c r="BQ45" s="152">
        <v>19.657440000000001</v>
      </c>
      <c r="BR45" t="s">
        <v>183</v>
      </c>
      <c r="BS45" s="152">
        <v>0.103841052</v>
      </c>
      <c r="BT45">
        <v>0.6</v>
      </c>
      <c r="BU45" t="s">
        <v>184</v>
      </c>
      <c r="BV45" s="153">
        <v>0.08</v>
      </c>
      <c r="BW45">
        <v>8.8699999999999992</v>
      </c>
      <c r="BX45" t="s">
        <v>185</v>
      </c>
      <c r="BY45">
        <v>1.52</v>
      </c>
      <c r="BZ45" t="s">
        <v>224</v>
      </c>
      <c r="CA45" t="s">
        <v>187</v>
      </c>
      <c r="CB45" s="158">
        <f t="shared" si="5"/>
        <v>17.979066666666672</v>
      </c>
      <c r="CC45" t="s">
        <v>184</v>
      </c>
      <c r="CD45" s="149" t="s">
        <v>167</v>
      </c>
      <c r="CE45" s="149" t="s">
        <v>167</v>
      </c>
      <c r="CF45" t="s">
        <v>188</v>
      </c>
      <c r="CG45" t="s">
        <v>189</v>
      </c>
      <c r="CH45" t="s">
        <v>190</v>
      </c>
      <c r="CI45" t="s">
        <v>190</v>
      </c>
      <c r="CJ45" s="152">
        <v>26.442979999999999</v>
      </c>
      <c r="CK45" t="s">
        <v>184</v>
      </c>
      <c r="CL45" s="159">
        <v>3</v>
      </c>
      <c r="CM45" s="159">
        <v>3</v>
      </c>
      <c r="CN45" s="152">
        <v>3.1112500060743207</v>
      </c>
      <c r="CO45" s="152">
        <v>3.1112500060743207</v>
      </c>
      <c r="CP45" t="s">
        <v>191</v>
      </c>
      <c r="CQ45" s="145">
        <f t="shared" si="6"/>
        <v>8.4003750164006658E-2</v>
      </c>
      <c r="CR45" s="145">
        <f t="shared" si="7"/>
        <v>8.4003750164006658E-2</v>
      </c>
      <c r="CS45" s="142" t="s">
        <v>192</v>
      </c>
      <c r="CT45" s="147" t="s">
        <v>193</v>
      </c>
      <c r="CU45" s="152">
        <v>3.8129789910111893</v>
      </c>
      <c r="CV45" s="152" t="s">
        <v>194</v>
      </c>
      <c r="CW45" t="s">
        <v>167</v>
      </c>
      <c r="CX45" t="s">
        <v>195</v>
      </c>
      <c r="CY45" t="s">
        <v>167</v>
      </c>
      <c r="CZ45" t="s">
        <v>167</v>
      </c>
      <c r="DA45" t="s">
        <v>167</v>
      </c>
      <c r="DB45" t="s">
        <v>167</v>
      </c>
      <c r="DC45" t="s">
        <v>167</v>
      </c>
      <c r="DD45" t="s">
        <v>167</v>
      </c>
      <c r="DE45" t="s">
        <v>167</v>
      </c>
      <c r="DF45" t="s">
        <v>167</v>
      </c>
      <c r="DG45" s="160">
        <v>35</v>
      </c>
      <c r="DH45" t="s">
        <v>174</v>
      </c>
      <c r="DI45">
        <v>3</v>
      </c>
      <c r="DJ45" s="161" t="s">
        <v>196</v>
      </c>
      <c r="DK45" s="146" t="s">
        <v>167</v>
      </c>
      <c r="DL45" s="146" t="s">
        <v>167</v>
      </c>
      <c r="DM45" s="146" t="s">
        <v>167</v>
      </c>
      <c r="DN45" s="146" t="s">
        <v>167</v>
      </c>
      <c r="DO45" s="146" t="s">
        <v>167</v>
      </c>
      <c r="DP45" s="146" t="s">
        <v>167</v>
      </c>
      <c r="DQ45" s="146" t="s">
        <v>167</v>
      </c>
      <c r="DR45" s="146" t="s">
        <v>167</v>
      </c>
      <c r="DS45" s="146" t="s">
        <v>167</v>
      </c>
      <c r="DT45" s="146" t="s">
        <v>167</v>
      </c>
      <c r="DU45" s="146" t="s">
        <v>167</v>
      </c>
      <c r="DV45" s="146" t="s">
        <v>167</v>
      </c>
      <c r="DW45" s="143">
        <v>432.56244218316402</v>
      </c>
      <c r="DX45" t="s">
        <v>197</v>
      </c>
      <c r="DY45" s="142">
        <v>37.1</v>
      </c>
      <c r="DZ45" t="s">
        <v>198</v>
      </c>
      <c r="EA45" s="152">
        <v>39.191233609999998</v>
      </c>
      <c r="EB45" s="149" t="s">
        <v>185</v>
      </c>
      <c r="EC45" s="162">
        <v>0.2</v>
      </c>
      <c r="ED45" t="s">
        <v>199</v>
      </c>
      <c r="EE45" t="s">
        <v>225</v>
      </c>
      <c r="EF45" t="s">
        <v>201</v>
      </c>
      <c r="EG45">
        <v>1.0271999999999999</v>
      </c>
      <c r="EH45" t="s">
        <v>202</v>
      </c>
      <c r="EI45">
        <v>5.9999999999999995E-4</v>
      </c>
      <c r="EJ45" t="s">
        <v>203</v>
      </c>
      <c r="EK45" t="s">
        <v>167</v>
      </c>
      <c r="EL45" t="s">
        <v>167</v>
      </c>
      <c r="EM45" t="s">
        <v>204</v>
      </c>
      <c r="EN45" t="s">
        <v>226</v>
      </c>
      <c r="EO45" t="s">
        <v>206</v>
      </c>
      <c r="EP45" t="s">
        <v>206</v>
      </c>
      <c r="EQ45" s="146" t="s">
        <v>167</v>
      </c>
      <c r="ER45" t="s">
        <v>167</v>
      </c>
      <c r="ES45" t="s">
        <v>167</v>
      </c>
      <c r="ET45" t="s">
        <v>207</v>
      </c>
      <c r="EU45" t="s">
        <v>208</v>
      </c>
      <c r="EV45" t="s">
        <v>227</v>
      </c>
      <c r="EW45" s="163">
        <v>2330</v>
      </c>
      <c r="EX45" t="s">
        <v>210</v>
      </c>
      <c r="EY45">
        <v>175</v>
      </c>
      <c r="EZ45">
        <v>175</v>
      </c>
      <c r="FA45" t="s">
        <v>167</v>
      </c>
      <c r="FB45" t="s">
        <v>167</v>
      </c>
      <c r="FC45" t="s">
        <v>167</v>
      </c>
      <c r="FD45" t="s">
        <v>167</v>
      </c>
      <c r="FE45" s="152">
        <v>8.0491848191185298</v>
      </c>
      <c r="FF45" s="164" t="s">
        <v>211</v>
      </c>
      <c r="FG45" s="152">
        <v>6.4539327106970745E-2</v>
      </c>
      <c r="FH45" s="152">
        <v>6.6510815157009517E-2</v>
      </c>
      <c r="FI45" s="145">
        <v>398.16756706350799</v>
      </c>
      <c r="FJ45" s="149">
        <v>21</v>
      </c>
      <c r="FK45" s="149" t="s">
        <v>212</v>
      </c>
      <c r="FL45" s="152">
        <v>377.16756706350799</v>
      </c>
      <c r="FM45" s="152">
        <v>84.241104126924029</v>
      </c>
      <c r="FN45" s="152">
        <v>72.856762354393993</v>
      </c>
      <c r="FO45" s="144" t="s">
        <v>213</v>
      </c>
      <c r="FP45" s="144" t="s">
        <v>214</v>
      </c>
      <c r="FQ45" t="s">
        <v>215</v>
      </c>
      <c r="FR45" t="s">
        <v>215</v>
      </c>
      <c r="FS45" t="s">
        <v>215</v>
      </c>
      <c r="FT45" t="s">
        <v>215</v>
      </c>
      <c r="FU45" t="s">
        <v>215</v>
      </c>
      <c r="FV45" t="s">
        <v>215</v>
      </c>
      <c r="FW45" t="s">
        <v>215</v>
      </c>
      <c r="FX45" t="s">
        <v>215</v>
      </c>
      <c r="FY45" t="s">
        <v>215</v>
      </c>
      <c r="FZ45" t="s">
        <v>215</v>
      </c>
      <c r="GA45" t="s">
        <v>215</v>
      </c>
      <c r="GB45" t="s">
        <v>215</v>
      </c>
    </row>
    <row r="46" spans="1:184" ht="18" x14ac:dyDescent="0.2">
      <c r="A46" t="s">
        <v>240</v>
      </c>
      <c r="B46" s="141" t="s">
        <v>241</v>
      </c>
      <c r="C46" s="138" t="s">
        <v>168</v>
      </c>
      <c r="D46" t="s">
        <v>239</v>
      </c>
      <c r="E46">
        <v>2015</v>
      </c>
      <c r="F46" t="str">
        <f t="shared" si="9"/>
        <v>10.1038/nature14145</v>
      </c>
      <c r="G46" s="175">
        <v>2942.97</v>
      </c>
      <c r="H46" s="142">
        <f t="shared" si="10"/>
        <v>6</v>
      </c>
      <c r="I46" s="142">
        <f t="shared" si="11"/>
        <v>6</v>
      </c>
      <c r="J46" s="148">
        <f t="shared" si="12"/>
        <v>337.22498596652099</v>
      </c>
      <c r="K46" s="148">
        <f t="shared" si="13"/>
        <v>74.707324437508987</v>
      </c>
      <c r="L46" s="148">
        <f t="shared" si="14"/>
        <v>64.501630415652983</v>
      </c>
      <c r="M46" t="b">
        <v>1</v>
      </c>
      <c r="N46">
        <v>3</v>
      </c>
      <c r="O46" t="s">
        <v>245</v>
      </c>
      <c r="P46" s="174" t="s">
        <v>259</v>
      </c>
      <c r="Q46" t="b">
        <v>0</v>
      </c>
      <c r="R46" t="s">
        <v>167</v>
      </c>
      <c r="S46" t="b">
        <v>0</v>
      </c>
      <c r="T46" t="b">
        <v>0</v>
      </c>
      <c r="U46" t="s">
        <v>167</v>
      </c>
      <c r="V46" t="s">
        <v>167</v>
      </c>
      <c r="W46" t="b">
        <v>0</v>
      </c>
      <c r="X46" t="s">
        <v>260</v>
      </c>
      <c r="Y46" s="150" t="s">
        <v>169</v>
      </c>
      <c r="Z46" t="s">
        <v>170</v>
      </c>
      <c r="AA46" t="s">
        <v>171</v>
      </c>
      <c r="AB46" s="142" t="s">
        <v>172</v>
      </c>
      <c r="AC46" s="146">
        <v>11</v>
      </c>
      <c r="AD46" s="146">
        <v>2</v>
      </c>
      <c r="AE46" s="146">
        <v>27</v>
      </c>
      <c r="AF46" s="146">
        <v>29</v>
      </c>
      <c r="AG46" s="146" t="s">
        <v>167</v>
      </c>
      <c r="AH46" s="146" t="s">
        <v>167</v>
      </c>
      <c r="AI46" s="146" t="s">
        <v>167</v>
      </c>
      <c r="AJ46" t="s">
        <v>173</v>
      </c>
      <c r="AK46" s="151">
        <v>12.75</v>
      </c>
      <c r="AL46" s="151">
        <v>-78.73</v>
      </c>
      <c r="AM46" s="151">
        <v>12.75</v>
      </c>
      <c r="AN46" s="151">
        <v>-78.73</v>
      </c>
      <c r="AO46" s="151">
        <v>-2828</v>
      </c>
      <c r="AP46" s="151">
        <v>-2828</v>
      </c>
      <c r="AQ46" s="142" t="s">
        <v>167</v>
      </c>
      <c r="AR46" s="142" t="s">
        <v>167</v>
      </c>
      <c r="AS46" s="175">
        <v>2942.97</v>
      </c>
      <c r="AT46" s="153" t="s">
        <v>174</v>
      </c>
      <c r="AU46" s="142">
        <v>6</v>
      </c>
      <c r="AV46" s="142">
        <v>6</v>
      </c>
      <c r="AW46" s="149" t="s">
        <v>167</v>
      </c>
      <c r="AX46" s="171" t="s">
        <v>243</v>
      </c>
      <c r="AY46" s="146" t="s">
        <v>167</v>
      </c>
      <c r="AZ46" t="s">
        <v>167</v>
      </c>
      <c r="BA46" t="s">
        <v>167</v>
      </c>
      <c r="BB46" t="s">
        <v>167</v>
      </c>
      <c r="BC46" t="s">
        <v>167</v>
      </c>
      <c r="BD46" t="s">
        <v>167</v>
      </c>
      <c r="BE46" t="s">
        <v>167</v>
      </c>
      <c r="BF46" t="s">
        <v>167</v>
      </c>
      <c r="BG46" s="154" t="s">
        <v>175</v>
      </c>
      <c r="BH46" t="s">
        <v>176</v>
      </c>
      <c r="BI46" s="155" t="s">
        <v>177</v>
      </c>
      <c r="BJ46" s="156" t="s">
        <v>178</v>
      </c>
      <c r="BK46" s="156" t="s">
        <v>179</v>
      </c>
      <c r="BL46" s="156" t="s">
        <v>180</v>
      </c>
      <c r="BM46" s="157" t="s">
        <v>181</v>
      </c>
      <c r="BN46" s="142" t="s">
        <v>182</v>
      </c>
      <c r="BO46" s="142" t="s">
        <v>182</v>
      </c>
      <c r="BP46" s="142" t="s">
        <v>182</v>
      </c>
      <c r="BQ46" s="152">
        <v>19.973500000000001</v>
      </c>
      <c r="BR46" t="s">
        <v>183</v>
      </c>
      <c r="BS46" s="152">
        <v>9.0771784999999994E-2</v>
      </c>
      <c r="BT46">
        <v>0.6</v>
      </c>
      <c r="BU46" t="s">
        <v>184</v>
      </c>
      <c r="BV46" s="153">
        <v>0.08</v>
      </c>
      <c r="BW46">
        <v>8.8699999999999992</v>
      </c>
      <c r="BX46" t="s">
        <v>185</v>
      </c>
      <c r="BY46">
        <v>1.52</v>
      </c>
      <c r="BZ46" t="s">
        <v>224</v>
      </c>
      <c r="CA46" t="s">
        <v>187</v>
      </c>
      <c r="CB46" s="158">
        <f t="shared" si="5"/>
        <v>18.505833333333339</v>
      </c>
      <c r="CC46" t="s">
        <v>184</v>
      </c>
      <c r="CD46" s="149" t="s">
        <v>167</v>
      </c>
      <c r="CE46" s="149" t="s">
        <v>167</v>
      </c>
      <c r="CF46" t="s">
        <v>188</v>
      </c>
      <c r="CG46" t="s">
        <v>189</v>
      </c>
      <c r="CH46" t="s">
        <v>190</v>
      </c>
      <c r="CI46" t="s">
        <v>190</v>
      </c>
      <c r="CJ46" s="152">
        <v>27.55518</v>
      </c>
      <c r="CK46" t="s">
        <v>184</v>
      </c>
      <c r="CL46" s="159">
        <v>3</v>
      </c>
      <c r="CM46" s="159">
        <v>3</v>
      </c>
      <c r="CN46" s="152">
        <v>3.4286473195322031</v>
      </c>
      <c r="CO46" s="152">
        <v>3.4286473195322031</v>
      </c>
      <c r="CP46" t="s">
        <v>191</v>
      </c>
      <c r="CQ46" s="145">
        <f t="shared" si="6"/>
        <v>9.2573477627369477E-2</v>
      </c>
      <c r="CR46" s="145">
        <f t="shared" si="7"/>
        <v>9.2573477627369477E-2</v>
      </c>
      <c r="CS46" s="142" t="s">
        <v>192</v>
      </c>
      <c r="CT46" s="147" t="s">
        <v>193</v>
      </c>
      <c r="CU46" s="152">
        <v>3.7855801811620364</v>
      </c>
      <c r="CV46" s="152" t="s">
        <v>194</v>
      </c>
      <c r="CW46" t="s">
        <v>167</v>
      </c>
      <c r="CX46" t="s">
        <v>195</v>
      </c>
      <c r="CY46" t="s">
        <v>167</v>
      </c>
      <c r="CZ46" t="s">
        <v>167</v>
      </c>
      <c r="DA46" t="s">
        <v>167</v>
      </c>
      <c r="DB46" t="s">
        <v>167</v>
      </c>
      <c r="DC46" t="s">
        <v>167</v>
      </c>
      <c r="DD46" t="s">
        <v>167</v>
      </c>
      <c r="DE46" t="s">
        <v>167</v>
      </c>
      <c r="DF46" t="s">
        <v>167</v>
      </c>
      <c r="DG46" s="160">
        <v>35</v>
      </c>
      <c r="DH46" t="s">
        <v>174</v>
      </c>
      <c r="DI46">
        <v>3</v>
      </c>
      <c r="DJ46" s="161" t="s">
        <v>196</v>
      </c>
      <c r="DK46" s="146" t="s">
        <v>167</v>
      </c>
      <c r="DL46" s="146" t="s">
        <v>167</v>
      </c>
      <c r="DM46" s="146" t="s">
        <v>167</v>
      </c>
      <c r="DN46" s="146" t="s">
        <v>167</v>
      </c>
      <c r="DO46" s="146" t="s">
        <v>167</v>
      </c>
      <c r="DP46" s="146" t="s">
        <v>167</v>
      </c>
      <c r="DQ46" s="146" t="s">
        <v>167</v>
      </c>
      <c r="DR46" s="146" t="s">
        <v>167</v>
      </c>
      <c r="DS46" s="146" t="s">
        <v>167</v>
      </c>
      <c r="DT46" s="146" t="s">
        <v>167</v>
      </c>
      <c r="DU46" s="146" t="s">
        <v>167</v>
      </c>
      <c r="DV46" s="146" t="s">
        <v>167</v>
      </c>
      <c r="DW46" s="143">
        <v>432.56244218316402</v>
      </c>
      <c r="DX46" t="s">
        <v>197</v>
      </c>
      <c r="DY46" s="142">
        <v>37.1</v>
      </c>
      <c r="DZ46" t="s">
        <v>198</v>
      </c>
      <c r="EA46" s="152">
        <v>39.188661590000002</v>
      </c>
      <c r="EB46" s="149" t="s">
        <v>185</v>
      </c>
      <c r="EC46" s="162">
        <v>0.2</v>
      </c>
      <c r="ED46" t="s">
        <v>199</v>
      </c>
      <c r="EE46" t="s">
        <v>225</v>
      </c>
      <c r="EF46" t="s">
        <v>201</v>
      </c>
      <c r="EG46">
        <v>1.0271999999999999</v>
      </c>
      <c r="EH46" t="s">
        <v>202</v>
      </c>
      <c r="EI46">
        <v>5.9999999999999995E-4</v>
      </c>
      <c r="EJ46" t="s">
        <v>203</v>
      </c>
      <c r="EK46" t="s">
        <v>167</v>
      </c>
      <c r="EL46" t="s">
        <v>167</v>
      </c>
      <c r="EM46" t="s">
        <v>204</v>
      </c>
      <c r="EN46" t="s">
        <v>226</v>
      </c>
      <c r="EO46" t="s">
        <v>206</v>
      </c>
      <c r="EP46" t="s">
        <v>206</v>
      </c>
      <c r="EQ46" s="146" t="s">
        <v>167</v>
      </c>
      <c r="ER46" t="s">
        <v>167</v>
      </c>
      <c r="ES46" t="s">
        <v>167</v>
      </c>
      <c r="ET46" t="s">
        <v>207</v>
      </c>
      <c r="EU46" t="s">
        <v>208</v>
      </c>
      <c r="EV46" t="s">
        <v>227</v>
      </c>
      <c r="EW46" s="163">
        <v>2330</v>
      </c>
      <c r="EX46" t="s">
        <v>210</v>
      </c>
      <c r="EY46">
        <v>175</v>
      </c>
      <c r="EZ46">
        <v>175</v>
      </c>
      <c r="FA46" t="s">
        <v>167</v>
      </c>
      <c r="FB46" t="s">
        <v>167</v>
      </c>
      <c r="FC46" t="s">
        <v>167</v>
      </c>
      <c r="FD46" t="s">
        <v>167</v>
      </c>
      <c r="FE46" s="152">
        <v>8.0848904849837506</v>
      </c>
      <c r="FF46" s="164" t="s">
        <v>211</v>
      </c>
      <c r="FG46" s="152">
        <v>6.447264289080934E-2</v>
      </c>
      <c r="FH46" s="152">
        <v>6.4904817137851012E-2</v>
      </c>
      <c r="FI46" s="145">
        <v>358.22498596652099</v>
      </c>
      <c r="FJ46" s="149">
        <v>21</v>
      </c>
      <c r="FK46" s="149" t="s">
        <v>212</v>
      </c>
      <c r="FL46" s="152">
        <v>337.22498596652099</v>
      </c>
      <c r="FM46" s="152">
        <v>74.707324437508987</v>
      </c>
      <c r="FN46" s="152">
        <v>64.501630415652983</v>
      </c>
      <c r="FO46" s="144" t="s">
        <v>213</v>
      </c>
      <c r="FP46" s="144" t="s">
        <v>214</v>
      </c>
      <c r="FQ46" t="s">
        <v>215</v>
      </c>
      <c r="FR46" t="s">
        <v>215</v>
      </c>
      <c r="FS46" t="s">
        <v>215</v>
      </c>
      <c r="FT46" t="s">
        <v>215</v>
      </c>
      <c r="FU46" t="s">
        <v>215</v>
      </c>
      <c r="FV46" t="s">
        <v>215</v>
      </c>
      <c r="FW46" t="s">
        <v>215</v>
      </c>
      <c r="FX46" t="s">
        <v>215</v>
      </c>
      <c r="FY46" t="s">
        <v>215</v>
      </c>
      <c r="FZ46" t="s">
        <v>215</v>
      </c>
      <c r="GA46" t="s">
        <v>215</v>
      </c>
      <c r="GB46" t="s">
        <v>215</v>
      </c>
    </row>
    <row r="47" spans="1:184" ht="18" x14ac:dyDescent="0.2">
      <c r="A47" t="s">
        <v>240</v>
      </c>
      <c r="B47" s="141" t="s">
        <v>241</v>
      </c>
      <c r="C47" s="138" t="s">
        <v>168</v>
      </c>
      <c r="D47" t="s">
        <v>239</v>
      </c>
      <c r="E47">
        <v>2015</v>
      </c>
      <c r="F47" t="str">
        <f t="shared" si="9"/>
        <v>10.1038/nature14145</v>
      </c>
      <c r="G47" s="175">
        <v>2950.22</v>
      </c>
      <c r="H47" s="142">
        <f t="shared" si="10"/>
        <v>6</v>
      </c>
      <c r="I47" s="142">
        <f t="shared" si="11"/>
        <v>6</v>
      </c>
      <c r="J47" s="148">
        <f t="shared" si="12"/>
        <v>357.80486321970102</v>
      </c>
      <c r="K47" s="148">
        <f t="shared" si="13"/>
        <v>81.735998737526984</v>
      </c>
      <c r="L47" s="148">
        <f t="shared" si="14"/>
        <v>70.393309466878009</v>
      </c>
      <c r="M47" t="b">
        <v>1</v>
      </c>
      <c r="N47">
        <v>3</v>
      </c>
      <c r="O47" t="s">
        <v>245</v>
      </c>
      <c r="P47" s="174" t="s">
        <v>259</v>
      </c>
      <c r="Q47" t="b">
        <v>0</v>
      </c>
      <c r="R47" t="s">
        <v>167</v>
      </c>
      <c r="S47" t="b">
        <v>0</v>
      </c>
      <c r="T47" t="b">
        <v>0</v>
      </c>
      <c r="U47" t="s">
        <v>167</v>
      </c>
      <c r="V47" t="s">
        <v>167</v>
      </c>
      <c r="W47" t="b">
        <v>0</v>
      </c>
      <c r="X47" t="s">
        <v>260</v>
      </c>
      <c r="Y47" s="150" t="s">
        <v>169</v>
      </c>
      <c r="Z47" t="s">
        <v>170</v>
      </c>
      <c r="AA47" t="s">
        <v>171</v>
      </c>
      <c r="AB47" s="142" t="s">
        <v>172</v>
      </c>
      <c r="AC47" s="146">
        <v>11</v>
      </c>
      <c r="AD47" s="146">
        <v>2</v>
      </c>
      <c r="AE47" s="146">
        <v>53</v>
      </c>
      <c r="AF47" s="146">
        <v>57</v>
      </c>
      <c r="AG47" s="146" t="s">
        <v>167</v>
      </c>
      <c r="AH47" s="146" t="s">
        <v>167</v>
      </c>
      <c r="AI47" s="146" t="s">
        <v>167</v>
      </c>
      <c r="AJ47" t="s">
        <v>173</v>
      </c>
      <c r="AK47" s="151">
        <v>12.75</v>
      </c>
      <c r="AL47" s="151">
        <v>-78.73</v>
      </c>
      <c r="AM47" s="151">
        <v>12.75</v>
      </c>
      <c r="AN47" s="151">
        <v>-78.73</v>
      </c>
      <c r="AO47" s="151">
        <v>-2828</v>
      </c>
      <c r="AP47" s="151">
        <v>-2828</v>
      </c>
      <c r="AQ47" s="142" t="s">
        <v>167</v>
      </c>
      <c r="AR47" s="142" t="s">
        <v>167</v>
      </c>
      <c r="AS47" s="175">
        <v>2950.22</v>
      </c>
      <c r="AT47" s="153" t="s">
        <v>174</v>
      </c>
      <c r="AU47" s="142">
        <v>6</v>
      </c>
      <c r="AV47" s="142">
        <v>6</v>
      </c>
      <c r="AW47" s="149" t="s">
        <v>167</v>
      </c>
      <c r="AX47" s="171" t="s">
        <v>243</v>
      </c>
      <c r="AY47" s="146" t="s">
        <v>167</v>
      </c>
      <c r="AZ47" t="s">
        <v>167</v>
      </c>
      <c r="BA47" t="s">
        <v>167</v>
      </c>
      <c r="BB47" t="s">
        <v>167</v>
      </c>
      <c r="BC47" t="s">
        <v>167</v>
      </c>
      <c r="BD47" t="s">
        <v>167</v>
      </c>
      <c r="BE47" t="s">
        <v>167</v>
      </c>
      <c r="BF47" t="s">
        <v>167</v>
      </c>
      <c r="BG47" s="154" t="s">
        <v>175</v>
      </c>
      <c r="BH47" t="s">
        <v>176</v>
      </c>
      <c r="BI47" s="155" t="s">
        <v>177</v>
      </c>
      <c r="BJ47" s="155" t="s">
        <v>178</v>
      </c>
      <c r="BK47" s="156" t="s">
        <v>179</v>
      </c>
      <c r="BL47" s="156" t="s">
        <v>180</v>
      </c>
      <c r="BM47" t="s">
        <v>181</v>
      </c>
      <c r="BN47" s="142" t="s">
        <v>182</v>
      </c>
      <c r="BO47" s="142" t="s">
        <v>182</v>
      </c>
      <c r="BP47" s="142" t="s">
        <v>182</v>
      </c>
      <c r="BQ47" s="152">
        <v>19.756710000000002</v>
      </c>
      <c r="BR47" t="s">
        <v>183</v>
      </c>
      <c r="BS47" s="152">
        <v>0.11186700199999999</v>
      </c>
      <c r="BT47">
        <v>0.6</v>
      </c>
      <c r="BU47" t="s">
        <v>184</v>
      </c>
      <c r="BV47" s="153">
        <v>0.08</v>
      </c>
      <c r="BW47">
        <v>8.8699999999999992</v>
      </c>
      <c r="BX47" t="s">
        <v>185</v>
      </c>
      <c r="BY47">
        <v>1.52</v>
      </c>
      <c r="BZ47" t="s">
        <v>224</v>
      </c>
      <c r="CA47" t="s">
        <v>187</v>
      </c>
      <c r="CB47" s="158">
        <f t="shared" si="5"/>
        <v>18.144516666666672</v>
      </c>
      <c r="CC47" t="s">
        <v>184</v>
      </c>
      <c r="CD47" s="149" t="s">
        <v>167</v>
      </c>
      <c r="CE47" s="149" t="s">
        <v>167</v>
      </c>
      <c r="CF47" t="s">
        <v>188</v>
      </c>
      <c r="CG47" t="s">
        <v>189</v>
      </c>
      <c r="CH47" t="s">
        <v>190</v>
      </c>
      <c r="CI47" t="s">
        <v>190</v>
      </c>
      <c r="CJ47" s="152">
        <v>26.314409999999999</v>
      </c>
      <c r="CK47" t="s">
        <v>184</v>
      </c>
      <c r="CL47" s="159">
        <v>3</v>
      </c>
      <c r="CM47" s="159">
        <v>3</v>
      </c>
      <c r="CN47" s="152">
        <v>3.0618668789723391</v>
      </c>
      <c r="CO47" s="152">
        <v>3.0618668789723391</v>
      </c>
      <c r="CP47" t="s">
        <v>191</v>
      </c>
      <c r="CQ47" s="145">
        <f t="shared" si="6"/>
        <v>8.2670405732253149E-2</v>
      </c>
      <c r="CR47" s="145">
        <f t="shared" si="7"/>
        <v>8.2670405732253149E-2</v>
      </c>
      <c r="CS47" s="142" t="s">
        <v>192</v>
      </c>
      <c r="CT47" s="147" t="s">
        <v>193</v>
      </c>
      <c r="CU47" s="152">
        <v>3.7720162013744121</v>
      </c>
      <c r="CV47" s="152" t="s">
        <v>194</v>
      </c>
      <c r="CW47" t="s">
        <v>167</v>
      </c>
      <c r="CX47" t="s">
        <v>195</v>
      </c>
      <c r="CY47" t="s">
        <v>167</v>
      </c>
      <c r="CZ47" t="s">
        <v>167</v>
      </c>
      <c r="DA47" t="s">
        <v>167</v>
      </c>
      <c r="DB47" t="s">
        <v>167</v>
      </c>
      <c r="DC47" t="s">
        <v>167</v>
      </c>
      <c r="DD47" t="s">
        <v>167</v>
      </c>
      <c r="DE47" t="s">
        <v>167</v>
      </c>
      <c r="DF47" t="s">
        <v>167</v>
      </c>
      <c r="DG47" s="160">
        <v>35</v>
      </c>
      <c r="DH47" t="s">
        <v>174</v>
      </c>
      <c r="DI47">
        <v>3</v>
      </c>
      <c r="DJ47" s="161" t="s">
        <v>196</v>
      </c>
      <c r="DK47" s="146" t="s">
        <v>167</v>
      </c>
      <c r="DL47" s="146" t="s">
        <v>167</v>
      </c>
      <c r="DM47" s="146" t="s">
        <v>167</v>
      </c>
      <c r="DN47" s="146" t="s">
        <v>167</v>
      </c>
      <c r="DO47" s="146" t="s">
        <v>167</v>
      </c>
      <c r="DP47" s="146" t="s">
        <v>167</v>
      </c>
      <c r="DQ47" s="146" t="s">
        <v>167</v>
      </c>
      <c r="DR47" s="146" t="s">
        <v>167</v>
      </c>
      <c r="DS47" s="146" t="s">
        <v>167</v>
      </c>
      <c r="DT47" s="146" t="s">
        <v>167</v>
      </c>
      <c r="DU47" s="146" t="s">
        <v>167</v>
      </c>
      <c r="DV47" s="146" t="s">
        <v>167</v>
      </c>
      <c r="DW47" s="143">
        <v>432.56244218316402</v>
      </c>
      <c r="DX47" t="s">
        <v>197</v>
      </c>
      <c r="DY47" s="142">
        <v>37.1</v>
      </c>
      <c r="DZ47" t="s">
        <v>198</v>
      </c>
      <c r="EA47" s="152">
        <v>39.187496179999997</v>
      </c>
      <c r="EB47" s="149" t="s">
        <v>185</v>
      </c>
      <c r="EC47" s="162">
        <v>0.2</v>
      </c>
      <c r="ED47" t="s">
        <v>199</v>
      </c>
      <c r="EE47" t="s">
        <v>225</v>
      </c>
      <c r="EF47" t="s">
        <v>201</v>
      </c>
      <c r="EG47">
        <v>1.0271999999999999</v>
      </c>
      <c r="EH47" t="s">
        <v>202</v>
      </c>
      <c r="EI47">
        <v>5.9999999999999995E-4</v>
      </c>
      <c r="EJ47" t="s">
        <v>203</v>
      </c>
      <c r="EK47" t="s">
        <v>167</v>
      </c>
      <c r="EL47" t="s">
        <v>167</v>
      </c>
      <c r="EM47" t="s">
        <v>204</v>
      </c>
      <c r="EN47" t="s">
        <v>226</v>
      </c>
      <c r="EO47" t="s">
        <v>206</v>
      </c>
      <c r="EP47" t="s">
        <v>206</v>
      </c>
      <c r="EQ47" s="146" t="s">
        <v>167</v>
      </c>
      <c r="ER47" t="s">
        <v>167</v>
      </c>
      <c r="ES47" t="s">
        <v>167</v>
      </c>
      <c r="ET47" t="s">
        <v>207</v>
      </c>
      <c r="EU47" t="s">
        <v>208</v>
      </c>
      <c r="EV47" t="s">
        <v>227</v>
      </c>
      <c r="EW47" s="163">
        <v>2330</v>
      </c>
      <c r="EX47" t="s">
        <v>210</v>
      </c>
      <c r="EY47">
        <v>175</v>
      </c>
      <c r="EZ47">
        <v>175</v>
      </c>
      <c r="FA47" t="s">
        <v>167</v>
      </c>
      <c r="FB47" t="s">
        <v>167</v>
      </c>
      <c r="FC47" t="s">
        <v>167</v>
      </c>
      <c r="FD47" t="s">
        <v>167</v>
      </c>
      <c r="FE47" s="152">
        <v>8.0669519332944493</v>
      </c>
      <c r="FF47" s="164" t="s">
        <v>211</v>
      </c>
      <c r="FG47" s="152">
        <v>6.4530767513410581E-2</v>
      </c>
      <c r="FH47" s="152">
        <v>6.6209836390958898E-2</v>
      </c>
      <c r="FI47" s="145">
        <v>378.80486321970102</v>
      </c>
      <c r="FJ47" s="149">
        <v>21</v>
      </c>
      <c r="FK47" s="149" t="s">
        <v>212</v>
      </c>
      <c r="FL47" s="152">
        <v>357.80486321970102</v>
      </c>
      <c r="FM47" s="152">
        <v>81.735998737526984</v>
      </c>
      <c r="FN47" s="152">
        <v>70.393309466878009</v>
      </c>
      <c r="FO47" s="144" t="s">
        <v>213</v>
      </c>
      <c r="FP47" s="144" t="s">
        <v>214</v>
      </c>
      <c r="FQ47" t="s">
        <v>215</v>
      </c>
      <c r="FR47" t="s">
        <v>215</v>
      </c>
      <c r="FS47" t="s">
        <v>215</v>
      </c>
      <c r="FT47" t="s">
        <v>215</v>
      </c>
      <c r="FU47" t="s">
        <v>215</v>
      </c>
      <c r="FV47" t="s">
        <v>215</v>
      </c>
      <c r="FW47" t="s">
        <v>215</v>
      </c>
      <c r="FX47" t="s">
        <v>215</v>
      </c>
      <c r="FY47" t="s">
        <v>215</v>
      </c>
      <c r="FZ47" t="s">
        <v>215</v>
      </c>
      <c r="GA47" t="s">
        <v>215</v>
      </c>
      <c r="GB47" t="s">
        <v>215</v>
      </c>
    </row>
    <row r="48" spans="1:184" ht="18" x14ac:dyDescent="0.2">
      <c r="A48" t="s">
        <v>240</v>
      </c>
      <c r="B48" s="141" t="s">
        <v>241</v>
      </c>
      <c r="C48" s="138" t="s">
        <v>168</v>
      </c>
      <c r="D48" t="s">
        <v>239</v>
      </c>
      <c r="E48">
        <v>2015</v>
      </c>
      <c r="F48" t="str">
        <f t="shared" si="9"/>
        <v>10.1038/nature14145</v>
      </c>
      <c r="G48" s="175">
        <v>2950.22</v>
      </c>
      <c r="H48" s="142">
        <f t="shared" si="10"/>
        <v>6</v>
      </c>
      <c r="I48" s="142">
        <f t="shared" si="11"/>
        <v>6</v>
      </c>
      <c r="J48" s="148">
        <f t="shared" si="12"/>
        <v>419.31100384131798</v>
      </c>
      <c r="K48" s="148">
        <f t="shared" si="13"/>
        <v>105.63052073997301</v>
      </c>
      <c r="L48" s="148">
        <f t="shared" si="14"/>
        <v>88.247716433217988</v>
      </c>
      <c r="M48" t="b">
        <v>1</v>
      </c>
      <c r="N48">
        <v>3</v>
      </c>
      <c r="O48" t="s">
        <v>245</v>
      </c>
      <c r="P48" s="174" t="s">
        <v>259</v>
      </c>
      <c r="Q48" t="b">
        <v>0</v>
      </c>
      <c r="R48" t="s">
        <v>167</v>
      </c>
      <c r="S48" t="b">
        <v>0</v>
      </c>
      <c r="T48" t="b">
        <v>0</v>
      </c>
      <c r="U48" t="s">
        <v>167</v>
      </c>
      <c r="V48" t="s">
        <v>167</v>
      </c>
      <c r="W48" t="b">
        <v>0</v>
      </c>
      <c r="X48" t="s">
        <v>260</v>
      </c>
      <c r="Y48" s="150" t="s">
        <v>169</v>
      </c>
      <c r="Z48" t="s">
        <v>170</v>
      </c>
      <c r="AA48" t="s">
        <v>171</v>
      </c>
      <c r="AB48" s="142" t="s">
        <v>172</v>
      </c>
      <c r="AC48" s="146">
        <v>11</v>
      </c>
      <c r="AD48" s="146">
        <v>2</v>
      </c>
      <c r="AE48" s="146">
        <v>55</v>
      </c>
      <c r="AF48" s="146">
        <v>57</v>
      </c>
      <c r="AG48" s="146" t="s">
        <v>167</v>
      </c>
      <c r="AH48" s="146" t="s">
        <v>167</v>
      </c>
      <c r="AI48" s="146" t="s">
        <v>167</v>
      </c>
      <c r="AJ48" t="s">
        <v>173</v>
      </c>
      <c r="AK48" s="151">
        <v>12.75</v>
      </c>
      <c r="AL48" s="151">
        <v>-78.73</v>
      </c>
      <c r="AM48" s="151">
        <v>12.75</v>
      </c>
      <c r="AN48" s="151">
        <v>-78.73</v>
      </c>
      <c r="AO48" s="151">
        <v>-2828</v>
      </c>
      <c r="AP48" s="151">
        <v>-2828</v>
      </c>
      <c r="AQ48" s="142" t="s">
        <v>167</v>
      </c>
      <c r="AR48" s="142" t="s">
        <v>167</v>
      </c>
      <c r="AS48" s="175">
        <v>2950.22</v>
      </c>
      <c r="AT48" s="153" t="s">
        <v>174</v>
      </c>
      <c r="AU48" s="142">
        <v>6</v>
      </c>
      <c r="AV48" s="142">
        <v>6</v>
      </c>
      <c r="AW48" s="149" t="s">
        <v>167</v>
      </c>
      <c r="AX48" s="171" t="s">
        <v>243</v>
      </c>
      <c r="AY48" s="146" t="s">
        <v>167</v>
      </c>
      <c r="AZ48" t="s">
        <v>167</v>
      </c>
      <c r="BA48" t="s">
        <v>167</v>
      </c>
      <c r="BB48" t="s">
        <v>167</v>
      </c>
      <c r="BC48" t="s">
        <v>167</v>
      </c>
      <c r="BD48" t="s">
        <v>167</v>
      </c>
      <c r="BE48" t="s">
        <v>167</v>
      </c>
      <c r="BF48" t="s">
        <v>167</v>
      </c>
      <c r="BG48" s="154" t="s">
        <v>175</v>
      </c>
      <c r="BH48" t="s">
        <v>176</v>
      </c>
      <c r="BI48" s="155" t="s">
        <v>177</v>
      </c>
      <c r="BJ48" s="156" t="s">
        <v>178</v>
      </c>
      <c r="BK48" s="156" t="s">
        <v>179</v>
      </c>
      <c r="BL48" s="156" t="s">
        <v>180</v>
      </c>
      <c r="BM48" s="157" t="s">
        <v>181</v>
      </c>
      <c r="BN48" s="142" t="s">
        <v>182</v>
      </c>
      <c r="BO48" s="142" t="s">
        <v>182</v>
      </c>
      <c r="BP48" s="142" t="s">
        <v>182</v>
      </c>
      <c r="BQ48" s="152">
        <v>19.46</v>
      </c>
      <c r="BR48" t="s">
        <v>183</v>
      </c>
      <c r="BS48" s="152">
        <v>0.200511776</v>
      </c>
      <c r="BT48">
        <v>0.6</v>
      </c>
      <c r="BU48" t="s">
        <v>184</v>
      </c>
      <c r="BV48" s="153">
        <v>0.08</v>
      </c>
      <c r="BW48">
        <v>8.8699999999999992</v>
      </c>
      <c r="BX48" t="s">
        <v>185</v>
      </c>
      <c r="BY48">
        <v>1.52</v>
      </c>
      <c r="BZ48" t="s">
        <v>224</v>
      </c>
      <c r="CA48" t="s">
        <v>187</v>
      </c>
      <c r="CB48" s="158">
        <f t="shared" si="5"/>
        <v>17.650000000000002</v>
      </c>
      <c r="CC48" t="s">
        <v>184</v>
      </c>
      <c r="CD48" s="149" t="s">
        <v>167</v>
      </c>
      <c r="CE48" s="149" t="s">
        <v>167</v>
      </c>
      <c r="CF48" t="s">
        <v>188</v>
      </c>
      <c r="CG48" t="s">
        <v>189</v>
      </c>
      <c r="CH48" t="s">
        <v>190</v>
      </c>
      <c r="CI48" t="s">
        <v>190</v>
      </c>
      <c r="CJ48" s="152">
        <v>26.887779999999999</v>
      </c>
      <c r="CK48" t="s">
        <v>184</v>
      </c>
      <c r="CL48" s="159">
        <v>3</v>
      </c>
      <c r="CM48" s="159">
        <v>3</v>
      </c>
      <c r="CN48" s="152">
        <v>3.2236599742960799</v>
      </c>
      <c r="CO48" s="152">
        <v>3.2236599742960799</v>
      </c>
      <c r="CP48" t="s">
        <v>191</v>
      </c>
      <c r="CQ48" s="145">
        <f t="shared" si="6"/>
        <v>8.703881930599415E-2</v>
      </c>
      <c r="CR48" s="145">
        <f t="shared" si="7"/>
        <v>8.703881930599415E-2</v>
      </c>
      <c r="CS48" s="142" t="s">
        <v>192</v>
      </c>
      <c r="CT48" s="147" t="s">
        <v>193</v>
      </c>
      <c r="CU48" s="152">
        <v>3.770997259394095</v>
      </c>
      <c r="CV48" s="152" t="s">
        <v>194</v>
      </c>
      <c r="CW48" t="s">
        <v>167</v>
      </c>
      <c r="CX48" t="s">
        <v>195</v>
      </c>
      <c r="CY48" t="s">
        <v>167</v>
      </c>
      <c r="CZ48" t="s">
        <v>167</v>
      </c>
      <c r="DA48" t="s">
        <v>167</v>
      </c>
      <c r="DB48" t="s">
        <v>167</v>
      </c>
      <c r="DC48" t="s">
        <v>167</v>
      </c>
      <c r="DD48" t="s">
        <v>167</v>
      </c>
      <c r="DE48" t="s">
        <v>167</v>
      </c>
      <c r="DF48" t="s">
        <v>167</v>
      </c>
      <c r="DG48" s="160">
        <v>35</v>
      </c>
      <c r="DH48" t="s">
        <v>174</v>
      </c>
      <c r="DI48">
        <v>3</v>
      </c>
      <c r="DJ48" s="161" t="s">
        <v>196</v>
      </c>
      <c r="DK48" s="146" t="s">
        <v>167</v>
      </c>
      <c r="DL48" s="146" t="s">
        <v>167</v>
      </c>
      <c r="DM48" s="146" t="s">
        <v>167</v>
      </c>
      <c r="DN48" s="146" t="s">
        <v>167</v>
      </c>
      <c r="DO48" s="146" t="s">
        <v>167</v>
      </c>
      <c r="DP48" s="146" t="s">
        <v>167</v>
      </c>
      <c r="DQ48" s="146" t="s">
        <v>167</v>
      </c>
      <c r="DR48" s="146" t="s">
        <v>167</v>
      </c>
      <c r="DS48" s="146" t="s">
        <v>167</v>
      </c>
      <c r="DT48" s="146" t="s">
        <v>167</v>
      </c>
      <c r="DU48" s="146" t="s">
        <v>167</v>
      </c>
      <c r="DV48" s="146" t="s">
        <v>167</v>
      </c>
      <c r="DW48" s="143">
        <v>432.56244218316402</v>
      </c>
      <c r="DX48" t="s">
        <v>197</v>
      </c>
      <c r="DY48" s="142">
        <v>37.1</v>
      </c>
      <c r="DZ48" t="s">
        <v>198</v>
      </c>
      <c r="EA48" s="152">
        <v>39.187023009999997</v>
      </c>
      <c r="EB48" s="149" t="s">
        <v>185</v>
      </c>
      <c r="EC48" s="162">
        <v>0.2</v>
      </c>
      <c r="ED48" t="s">
        <v>199</v>
      </c>
      <c r="EE48" t="s">
        <v>225</v>
      </c>
      <c r="EF48" t="s">
        <v>201</v>
      </c>
      <c r="EG48">
        <v>1.0271999999999999</v>
      </c>
      <c r="EH48" t="s">
        <v>202</v>
      </c>
      <c r="EI48">
        <v>5.9999999999999995E-4</v>
      </c>
      <c r="EJ48" t="s">
        <v>203</v>
      </c>
      <c r="EK48" t="s">
        <v>167</v>
      </c>
      <c r="EL48" t="s">
        <v>167</v>
      </c>
      <c r="EM48" t="s">
        <v>204</v>
      </c>
      <c r="EN48" t="s">
        <v>226</v>
      </c>
      <c r="EO48" t="s">
        <v>206</v>
      </c>
      <c r="EP48" t="s">
        <v>206</v>
      </c>
      <c r="EQ48" s="146" t="s">
        <v>167</v>
      </c>
      <c r="ER48" t="s">
        <v>167</v>
      </c>
      <c r="ES48" t="s">
        <v>167</v>
      </c>
      <c r="ET48" t="s">
        <v>207</v>
      </c>
      <c r="EU48" t="s">
        <v>208</v>
      </c>
      <c r="EV48" t="s">
        <v>227</v>
      </c>
      <c r="EW48" s="163">
        <v>2330</v>
      </c>
      <c r="EX48" t="s">
        <v>210</v>
      </c>
      <c r="EY48">
        <v>175</v>
      </c>
      <c r="EZ48">
        <v>175</v>
      </c>
      <c r="FA48" t="s">
        <v>167</v>
      </c>
      <c r="FB48" t="s">
        <v>167</v>
      </c>
      <c r="FC48" t="s">
        <v>167</v>
      </c>
      <c r="FD48" t="s">
        <v>167</v>
      </c>
      <c r="FE48" s="152">
        <v>8.0138008855184797</v>
      </c>
      <c r="FF48" s="164" t="s">
        <v>211</v>
      </c>
      <c r="FG48" s="152">
        <v>7.2673598746769486E-2</v>
      </c>
      <c r="FH48" s="152">
        <v>7.4419310820959872E-2</v>
      </c>
      <c r="FI48" s="145">
        <v>440.31100384131798</v>
      </c>
      <c r="FJ48" s="149">
        <v>21</v>
      </c>
      <c r="FK48" s="149" t="s">
        <v>212</v>
      </c>
      <c r="FL48" s="152">
        <v>419.31100384131798</v>
      </c>
      <c r="FM48" s="152">
        <v>105.63052073997301</v>
      </c>
      <c r="FN48" s="152">
        <v>88.247716433217988</v>
      </c>
      <c r="FO48" s="144" t="s">
        <v>213</v>
      </c>
      <c r="FP48" s="144" t="s">
        <v>214</v>
      </c>
      <c r="FQ48" t="s">
        <v>215</v>
      </c>
      <c r="FR48" t="s">
        <v>215</v>
      </c>
      <c r="FS48" t="s">
        <v>215</v>
      </c>
      <c r="FT48" t="s">
        <v>215</v>
      </c>
      <c r="FU48" t="s">
        <v>215</v>
      </c>
      <c r="FV48" t="s">
        <v>215</v>
      </c>
      <c r="FW48" t="s">
        <v>215</v>
      </c>
      <c r="FX48" t="s">
        <v>215</v>
      </c>
      <c r="FY48" t="s">
        <v>215</v>
      </c>
      <c r="FZ48" t="s">
        <v>215</v>
      </c>
      <c r="GA48" t="s">
        <v>215</v>
      </c>
      <c r="GB48" t="s">
        <v>215</v>
      </c>
    </row>
    <row r="49" spans="1:184" ht="18" x14ac:dyDescent="0.2">
      <c r="A49" t="s">
        <v>240</v>
      </c>
      <c r="B49" s="141" t="s">
        <v>241</v>
      </c>
      <c r="C49" s="138" t="s">
        <v>168</v>
      </c>
      <c r="D49" t="s">
        <v>239</v>
      </c>
      <c r="E49">
        <v>2015</v>
      </c>
      <c r="F49" t="str">
        <f t="shared" si="9"/>
        <v>10.1038/nature14145</v>
      </c>
      <c r="G49" s="175">
        <v>2956.69</v>
      </c>
      <c r="H49" s="142">
        <f t="shared" si="10"/>
        <v>6</v>
      </c>
      <c r="I49" s="142">
        <f t="shared" si="11"/>
        <v>6</v>
      </c>
      <c r="J49" s="148">
        <f t="shared" si="12"/>
        <v>345.53105939065603</v>
      </c>
      <c r="K49" s="148">
        <f t="shared" si="13"/>
        <v>75.089950941278971</v>
      </c>
      <c r="L49" s="148">
        <f t="shared" si="14"/>
        <v>66.540707023945004</v>
      </c>
      <c r="M49" t="b">
        <v>1</v>
      </c>
      <c r="N49">
        <v>3</v>
      </c>
      <c r="O49" t="s">
        <v>245</v>
      </c>
      <c r="P49" s="174" t="s">
        <v>259</v>
      </c>
      <c r="Q49" t="b">
        <v>0</v>
      </c>
      <c r="R49" t="s">
        <v>167</v>
      </c>
      <c r="S49" t="b">
        <v>0</v>
      </c>
      <c r="T49" t="b">
        <v>0</v>
      </c>
      <c r="U49" t="s">
        <v>167</v>
      </c>
      <c r="V49" t="s">
        <v>167</v>
      </c>
      <c r="W49" t="b">
        <v>0</v>
      </c>
      <c r="X49" t="s">
        <v>260</v>
      </c>
      <c r="Y49" s="150" t="s">
        <v>169</v>
      </c>
      <c r="Z49" t="s">
        <v>170</v>
      </c>
      <c r="AA49" t="s">
        <v>171</v>
      </c>
      <c r="AB49" s="142" t="s">
        <v>172</v>
      </c>
      <c r="AC49" s="146">
        <v>11</v>
      </c>
      <c r="AD49" s="146">
        <v>2</v>
      </c>
      <c r="AE49" s="146">
        <v>80</v>
      </c>
      <c r="AF49" s="146">
        <v>82</v>
      </c>
      <c r="AG49" s="146" t="s">
        <v>167</v>
      </c>
      <c r="AH49" s="146" t="s">
        <v>167</v>
      </c>
      <c r="AI49" s="146" t="s">
        <v>167</v>
      </c>
      <c r="AJ49" t="s">
        <v>173</v>
      </c>
      <c r="AK49" s="151">
        <v>12.75</v>
      </c>
      <c r="AL49" s="151">
        <v>-78.73</v>
      </c>
      <c r="AM49" s="151">
        <v>12.75</v>
      </c>
      <c r="AN49" s="151">
        <v>-78.73</v>
      </c>
      <c r="AO49" s="151">
        <v>-2828</v>
      </c>
      <c r="AP49" s="151">
        <v>-2828</v>
      </c>
      <c r="AQ49" s="142" t="s">
        <v>167</v>
      </c>
      <c r="AR49" s="142" t="s">
        <v>167</v>
      </c>
      <c r="AS49" s="175">
        <v>2956.69</v>
      </c>
      <c r="AT49" s="153" t="s">
        <v>174</v>
      </c>
      <c r="AU49" s="142">
        <v>6</v>
      </c>
      <c r="AV49" s="142">
        <v>6</v>
      </c>
      <c r="AW49" s="149" t="s">
        <v>167</v>
      </c>
      <c r="AX49" s="171" t="s">
        <v>243</v>
      </c>
      <c r="AY49" s="146" t="s">
        <v>167</v>
      </c>
      <c r="AZ49" t="s">
        <v>167</v>
      </c>
      <c r="BA49" t="s">
        <v>167</v>
      </c>
      <c r="BB49" t="s">
        <v>167</v>
      </c>
      <c r="BC49" t="s">
        <v>167</v>
      </c>
      <c r="BD49" t="s">
        <v>167</v>
      </c>
      <c r="BE49" t="s">
        <v>167</v>
      </c>
      <c r="BF49" t="s">
        <v>167</v>
      </c>
      <c r="BG49" s="154" t="s">
        <v>175</v>
      </c>
      <c r="BH49" t="s">
        <v>176</v>
      </c>
      <c r="BI49" s="155" t="s">
        <v>177</v>
      </c>
      <c r="BJ49" s="155" t="s">
        <v>178</v>
      </c>
      <c r="BK49" s="156" t="s">
        <v>179</v>
      </c>
      <c r="BL49" s="156" t="s">
        <v>180</v>
      </c>
      <c r="BM49" t="s">
        <v>181</v>
      </c>
      <c r="BN49" s="142" t="s">
        <v>182</v>
      </c>
      <c r="BO49" s="142" t="s">
        <v>182</v>
      </c>
      <c r="BP49" s="142" t="s">
        <v>182</v>
      </c>
      <c r="BQ49" s="152">
        <v>20.009589999999999</v>
      </c>
      <c r="BR49" t="s">
        <v>183</v>
      </c>
      <c r="BS49" s="152">
        <v>9.0781642999999995E-2</v>
      </c>
      <c r="BT49">
        <v>0.6</v>
      </c>
      <c r="BU49" t="s">
        <v>184</v>
      </c>
      <c r="BV49" s="153">
        <v>0.08</v>
      </c>
      <c r="BW49">
        <v>8.8699999999999992</v>
      </c>
      <c r="BX49" t="s">
        <v>185</v>
      </c>
      <c r="BY49">
        <v>1.52</v>
      </c>
      <c r="BZ49" t="s">
        <v>224</v>
      </c>
      <c r="CA49" t="s">
        <v>187</v>
      </c>
      <c r="CB49" s="158">
        <f t="shared" si="5"/>
        <v>18.565983333333335</v>
      </c>
      <c r="CC49" t="s">
        <v>184</v>
      </c>
      <c r="CD49" s="149" t="s">
        <v>167</v>
      </c>
      <c r="CE49" s="149" t="s">
        <v>167</v>
      </c>
      <c r="CF49" t="s">
        <v>188</v>
      </c>
      <c r="CG49" t="s">
        <v>189</v>
      </c>
      <c r="CH49" t="s">
        <v>190</v>
      </c>
      <c r="CI49" t="s">
        <v>190</v>
      </c>
      <c r="CJ49" s="152">
        <v>28.90682</v>
      </c>
      <c r="CK49" t="s">
        <v>184</v>
      </c>
      <c r="CL49" s="159">
        <v>3</v>
      </c>
      <c r="CM49" s="159">
        <v>3</v>
      </c>
      <c r="CN49" s="152">
        <v>3.8606210686464681</v>
      </c>
      <c r="CO49" s="152">
        <v>3.8606210686464681</v>
      </c>
      <c r="CP49" t="s">
        <v>191</v>
      </c>
      <c r="CQ49" s="145">
        <f t="shared" si="6"/>
        <v>0.10423676885345463</v>
      </c>
      <c r="CR49" s="145">
        <f t="shared" si="7"/>
        <v>0.10423676885345463</v>
      </c>
      <c r="CS49" s="142" t="s">
        <v>192</v>
      </c>
      <c r="CT49" s="147" t="s">
        <v>193</v>
      </c>
      <c r="CU49" s="152">
        <v>3.7581162175822662</v>
      </c>
      <c r="CV49" s="152" t="s">
        <v>194</v>
      </c>
      <c r="CW49" t="s">
        <v>167</v>
      </c>
      <c r="CX49" t="s">
        <v>195</v>
      </c>
      <c r="CY49" t="s">
        <v>167</v>
      </c>
      <c r="CZ49" t="s">
        <v>167</v>
      </c>
      <c r="DA49" t="s">
        <v>167</v>
      </c>
      <c r="DB49" t="s">
        <v>167</v>
      </c>
      <c r="DC49" t="s">
        <v>167</v>
      </c>
      <c r="DD49" t="s">
        <v>167</v>
      </c>
      <c r="DE49" t="s">
        <v>167</v>
      </c>
      <c r="DF49" t="s">
        <v>167</v>
      </c>
      <c r="DG49" s="160">
        <v>35</v>
      </c>
      <c r="DH49" t="s">
        <v>174</v>
      </c>
      <c r="DI49">
        <v>3</v>
      </c>
      <c r="DJ49" s="161" t="s">
        <v>196</v>
      </c>
      <c r="DK49" s="146" t="s">
        <v>167</v>
      </c>
      <c r="DL49" s="146" t="s">
        <v>167</v>
      </c>
      <c r="DM49" s="146" t="s">
        <v>167</v>
      </c>
      <c r="DN49" s="146" t="s">
        <v>167</v>
      </c>
      <c r="DO49" s="146" t="s">
        <v>167</v>
      </c>
      <c r="DP49" s="146" t="s">
        <v>167</v>
      </c>
      <c r="DQ49" s="146" t="s">
        <v>167</v>
      </c>
      <c r="DR49" s="146" t="s">
        <v>167</v>
      </c>
      <c r="DS49" s="146" t="s">
        <v>167</v>
      </c>
      <c r="DT49" s="146" t="s">
        <v>167</v>
      </c>
      <c r="DU49" s="146" t="s">
        <v>167</v>
      </c>
      <c r="DV49" s="146" t="s">
        <v>167</v>
      </c>
      <c r="DW49" s="143">
        <v>432.56244218316402</v>
      </c>
      <c r="DX49" t="s">
        <v>197</v>
      </c>
      <c r="DY49" s="142">
        <v>37.1</v>
      </c>
      <c r="DZ49" t="s">
        <v>198</v>
      </c>
      <c r="EA49" s="152">
        <v>39.186234470000002</v>
      </c>
      <c r="EB49" s="149" t="s">
        <v>185</v>
      </c>
      <c r="EC49" s="162">
        <v>0.2</v>
      </c>
      <c r="ED49" t="s">
        <v>199</v>
      </c>
      <c r="EE49" t="s">
        <v>225</v>
      </c>
      <c r="EF49" t="s">
        <v>201</v>
      </c>
      <c r="EG49">
        <v>1.0271999999999999</v>
      </c>
      <c r="EH49" t="s">
        <v>202</v>
      </c>
      <c r="EI49">
        <v>5.9999999999999995E-4</v>
      </c>
      <c r="EJ49" t="s">
        <v>203</v>
      </c>
      <c r="EK49" t="s">
        <v>167</v>
      </c>
      <c r="EL49" t="s">
        <v>167</v>
      </c>
      <c r="EM49" t="s">
        <v>204</v>
      </c>
      <c r="EN49" t="s">
        <v>226</v>
      </c>
      <c r="EO49" t="s">
        <v>206</v>
      </c>
      <c r="EP49" t="s">
        <v>206</v>
      </c>
      <c r="EQ49" s="146" t="s">
        <v>167</v>
      </c>
      <c r="ER49" t="s">
        <v>167</v>
      </c>
      <c r="ES49" t="s">
        <v>167</v>
      </c>
      <c r="ET49" t="s">
        <v>207</v>
      </c>
      <c r="EU49" t="s">
        <v>208</v>
      </c>
      <c r="EV49" t="s">
        <v>227</v>
      </c>
      <c r="EW49" s="163">
        <v>2330</v>
      </c>
      <c r="EX49" t="s">
        <v>210</v>
      </c>
      <c r="EY49">
        <v>175</v>
      </c>
      <c r="EZ49">
        <v>175</v>
      </c>
      <c r="FA49" t="s">
        <v>167</v>
      </c>
      <c r="FB49" t="s">
        <v>167</v>
      </c>
      <c r="FC49" t="s">
        <v>167</v>
      </c>
      <c r="FD49" t="s">
        <v>167</v>
      </c>
      <c r="FE49" s="152">
        <v>8.0751116491909105</v>
      </c>
      <c r="FF49" s="164" t="s">
        <v>211</v>
      </c>
      <c r="FG49" s="152">
        <v>6.2533085787739751E-2</v>
      </c>
      <c r="FH49" s="152">
        <v>6.2936628751870671E-2</v>
      </c>
      <c r="FI49" s="145">
        <v>366.53105939065603</v>
      </c>
      <c r="FJ49" s="149">
        <v>21</v>
      </c>
      <c r="FK49" s="149" t="s">
        <v>212</v>
      </c>
      <c r="FL49" s="152">
        <v>345.53105939065603</v>
      </c>
      <c r="FM49" s="152">
        <v>75.089950941278971</v>
      </c>
      <c r="FN49" s="152">
        <v>66.540707023945004</v>
      </c>
      <c r="FO49" s="144" t="s">
        <v>213</v>
      </c>
      <c r="FP49" s="144" t="s">
        <v>214</v>
      </c>
      <c r="FQ49" t="s">
        <v>215</v>
      </c>
      <c r="FR49" t="s">
        <v>215</v>
      </c>
      <c r="FS49" t="s">
        <v>215</v>
      </c>
      <c r="FT49" t="s">
        <v>215</v>
      </c>
      <c r="FU49" t="s">
        <v>215</v>
      </c>
      <c r="FV49" t="s">
        <v>215</v>
      </c>
      <c r="FW49" t="s">
        <v>215</v>
      </c>
      <c r="FX49" t="s">
        <v>215</v>
      </c>
      <c r="FY49" t="s">
        <v>215</v>
      </c>
      <c r="FZ49" t="s">
        <v>215</v>
      </c>
      <c r="GA49" t="s">
        <v>215</v>
      </c>
      <c r="GB49" t="s">
        <v>215</v>
      </c>
    </row>
    <row r="50" spans="1:184" ht="18" x14ac:dyDescent="0.2">
      <c r="A50" t="s">
        <v>240</v>
      </c>
      <c r="B50" s="141" t="s">
        <v>241</v>
      </c>
      <c r="C50" s="138" t="s">
        <v>168</v>
      </c>
      <c r="D50" t="s">
        <v>239</v>
      </c>
      <c r="E50">
        <v>2015</v>
      </c>
      <c r="F50" t="str">
        <f t="shared" si="9"/>
        <v>10.1038/nature14145</v>
      </c>
      <c r="G50" s="175">
        <v>2971.7</v>
      </c>
      <c r="H50" s="142">
        <f t="shared" si="10"/>
        <v>6</v>
      </c>
      <c r="I50" s="142">
        <f t="shared" si="11"/>
        <v>6</v>
      </c>
      <c r="J50" s="148">
        <f t="shared" si="12"/>
        <v>328.215501865688</v>
      </c>
      <c r="K50" s="148">
        <f t="shared" si="13"/>
        <v>74.227430687158005</v>
      </c>
      <c r="L50" s="148">
        <f t="shared" si="14"/>
        <v>62.82922720631899</v>
      </c>
      <c r="M50" t="b">
        <v>1</v>
      </c>
      <c r="N50">
        <v>3</v>
      </c>
      <c r="O50" t="s">
        <v>245</v>
      </c>
      <c r="P50" s="174" t="s">
        <v>259</v>
      </c>
      <c r="Q50" t="b">
        <v>0</v>
      </c>
      <c r="R50" t="s">
        <v>167</v>
      </c>
      <c r="S50" t="b">
        <v>0</v>
      </c>
      <c r="T50" t="b">
        <v>0</v>
      </c>
      <c r="U50" t="s">
        <v>167</v>
      </c>
      <c r="V50" t="s">
        <v>167</v>
      </c>
      <c r="W50" t="b">
        <v>0</v>
      </c>
      <c r="X50" t="s">
        <v>260</v>
      </c>
      <c r="Y50" s="150" t="s">
        <v>169</v>
      </c>
      <c r="Z50" t="s">
        <v>170</v>
      </c>
      <c r="AA50" t="s">
        <v>171</v>
      </c>
      <c r="AB50" s="142" t="s">
        <v>172</v>
      </c>
      <c r="AC50" s="146">
        <v>11</v>
      </c>
      <c r="AD50" s="146">
        <v>2</v>
      </c>
      <c r="AE50" s="146">
        <v>139</v>
      </c>
      <c r="AF50" s="146">
        <v>140</v>
      </c>
      <c r="AG50" s="146" t="s">
        <v>167</v>
      </c>
      <c r="AH50" s="146" t="s">
        <v>167</v>
      </c>
      <c r="AI50" s="146" t="s">
        <v>167</v>
      </c>
      <c r="AJ50" t="s">
        <v>173</v>
      </c>
      <c r="AK50" s="151">
        <v>12.75</v>
      </c>
      <c r="AL50" s="151">
        <v>-78.73</v>
      </c>
      <c r="AM50" s="151">
        <v>12.75</v>
      </c>
      <c r="AN50" s="151">
        <v>-78.73</v>
      </c>
      <c r="AO50" s="151">
        <v>-2828</v>
      </c>
      <c r="AP50" s="151">
        <v>-2828</v>
      </c>
      <c r="AQ50" s="142" t="s">
        <v>167</v>
      </c>
      <c r="AR50" s="142" t="s">
        <v>167</v>
      </c>
      <c r="AS50" s="175">
        <v>2971.7</v>
      </c>
      <c r="AT50" s="153" t="s">
        <v>174</v>
      </c>
      <c r="AU50" s="142">
        <v>6</v>
      </c>
      <c r="AV50" s="142">
        <v>6</v>
      </c>
      <c r="AW50" s="149" t="s">
        <v>167</v>
      </c>
      <c r="AX50" s="171" t="s">
        <v>243</v>
      </c>
      <c r="AY50" s="146" t="s">
        <v>167</v>
      </c>
      <c r="AZ50" t="s">
        <v>167</v>
      </c>
      <c r="BA50" t="s">
        <v>167</v>
      </c>
      <c r="BB50" t="s">
        <v>167</v>
      </c>
      <c r="BC50" t="s">
        <v>167</v>
      </c>
      <c r="BD50" t="s">
        <v>167</v>
      </c>
      <c r="BE50" t="s">
        <v>167</v>
      </c>
      <c r="BF50" t="s">
        <v>167</v>
      </c>
      <c r="BG50" s="154" t="s">
        <v>175</v>
      </c>
      <c r="BH50" t="s">
        <v>176</v>
      </c>
      <c r="BI50" s="155" t="s">
        <v>177</v>
      </c>
      <c r="BJ50" s="156" t="s">
        <v>178</v>
      </c>
      <c r="BK50" s="156" t="s">
        <v>179</v>
      </c>
      <c r="BL50" s="156" t="s">
        <v>180</v>
      </c>
      <c r="BM50" s="157" t="s">
        <v>181</v>
      </c>
      <c r="BN50" s="142" t="s">
        <v>182</v>
      </c>
      <c r="BO50" s="142" t="s">
        <v>182</v>
      </c>
      <c r="BP50" s="142" t="s">
        <v>182</v>
      </c>
      <c r="BQ50" s="152">
        <v>20.02403</v>
      </c>
      <c r="BR50" t="s">
        <v>183</v>
      </c>
      <c r="BS50" s="152">
        <v>8.8352811000000003E-2</v>
      </c>
      <c r="BT50">
        <v>0.6</v>
      </c>
      <c r="BU50" t="s">
        <v>184</v>
      </c>
      <c r="BV50" s="153">
        <v>0.08</v>
      </c>
      <c r="BW50">
        <v>8.8699999999999992</v>
      </c>
      <c r="BX50" t="s">
        <v>185</v>
      </c>
      <c r="BY50">
        <v>1.52</v>
      </c>
      <c r="BZ50" t="s">
        <v>224</v>
      </c>
      <c r="CA50" t="s">
        <v>187</v>
      </c>
      <c r="CB50" s="158">
        <f t="shared" si="5"/>
        <v>18.590050000000002</v>
      </c>
      <c r="CC50" t="s">
        <v>184</v>
      </c>
      <c r="CD50" s="149" t="s">
        <v>167</v>
      </c>
      <c r="CE50" s="149" t="s">
        <v>167</v>
      </c>
      <c r="CF50" t="s">
        <v>188</v>
      </c>
      <c r="CG50" t="s">
        <v>189</v>
      </c>
      <c r="CH50" t="s">
        <v>190</v>
      </c>
      <c r="CI50" t="s">
        <v>190</v>
      </c>
      <c r="CJ50" s="152">
        <v>27.52289</v>
      </c>
      <c r="CK50" t="s">
        <v>184</v>
      </c>
      <c r="CL50" s="159">
        <v>3</v>
      </c>
      <c r="CM50" s="159">
        <v>3</v>
      </c>
      <c r="CN50" s="152">
        <v>3.3979922890765417</v>
      </c>
      <c r="CO50" s="152">
        <v>3.3979922890765417</v>
      </c>
      <c r="CP50" t="s">
        <v>191</v>
      </c>
      <c r="CQ50" s="145">
        <f t="shared" si="6"/>
        <v>9.1745791805066632E-2</v>
      </c>
      <c r="CR50" s="145">
        <f t="shared" si="7"/>
        <v>9.1745791805066632E-2</v>
      </c>
      <c r="CS50" s="142" t="s">
        <v>192</v>
      </c>
      <c r="CT50" s="147" t="s">
        <v>193</v>
      </c>
      <c r="CU50" s="152">
        <v>3.7299028180666101</v>
      </c>
      <c r="CV50" s="152" t="s">
        <v>194</v>
      </c>
      <c r="CW50" t="s">
        <v>167</v>
      </c>
      <c r="CX50" t="s">
        <v>195</v>
      </c>
      <c r="CY50" t="s">
        <v>167</v>
      </c>
      <c r="CZ50" t="s">
        <v>167</v>
      </c>
      <c r="DA50" t="s">
        <v>167</v>
      </c>
      <c r="DB50" t="s">
        <v>167</v>
      </c>
      <c r="DC50" t="s">
        <v>167</v>
      </c>
      <c r="DD50" t="s">
        <v>167</v>
      </c>
      <c r="DE50" t="s">
        <v>167</v>
      </c>
      <c r="DF50" t="s">
        <v>167</v>
      </c>
      <c r="DG50" s="160">
        <v>35</v>
      </c>
      <c r="DH50" t="s">
        <v>174</v>
      </c>
      <c r="DI50">
        <v>3</v>
      </c>
      <c r="DJ50" s="161" t="s">
        <v>196</v>
      </c>
      <c r="DK50" s="146" t="s">
        <v>167</v>
      </c>
      <c r="DL50" s="146" t="s">
        <v>167</v>
      </c>
      <c r="DM50" s="146" t="s">
        <v>167</v>
      </c>
      <c r="DN50" s="146" t="s">
        <v>167</v>
      </c>
      <c r="DO50" s="146" t="s">
        <v>167</v>
      </c>
      <c r="DP50" s="146" t="s">
        <v>167</v>
      </c>
      <c r="DQ50" s="146" t="s">
        <v>167</v>
      </c>
      <c r="DR50" s="146" t="s">
        <v>167</v>
      </c>
      <c r="DS50" s="146" t="s">
        <v>167</v>
      </c>
      <c r="DT50" s="146" t="s">
        <v>167</v>
      </c>
      <c r="DU50" s="146" t="s">
        <v>167</v>
      </c>
      <c r="DV50" s="146" t="s">
        <v>167</v>
      </c>
      <c r="DW50" s="143">
        <v>432.56244218316402</v>
      </c>
      <c r="DX50" t="s">
        <v>197</v>
      </c>
      <c r="DY50" s="142">
        <v>37.1</v>
      </c>
      <c r="DZ50" t="s">
        <v>198</v>
      </c>
      <c r="EA50" s="152">
        <v>39.183836249999999</v>
      </c>
      <c r="EB50" s="149" t="s">
        <v>185</v>
      </c>
      <c r="EC50" s="162">
        <v>0.2</v>
      </c>
      <c r="ED50" t="s">
        <v>199</v>
      </c>
      <c r="EE50" t="s">
        <v>225</v>
      </c>
      <c r="EF50" t="s">
        <v>201</v>
      </c>
      <c r="EG50">
        <v>1.0271999999999999</v>
      </c>
      <c r="EH50" t="s">
        <v>202</v>
      </c>
      <c r="EI50">
        <v>5.9999999999999995E-4</v>
      </c>
      <c r="EJ50" t="s">
        <v>203</v>
      </c>
      <c r="EK50" t="s">
        <v>167</v>
      </c>
      <c r="EL50" t="s">
        <v>167</v>
      </c>
      <c r="EM50" t="s">
        <v>204</v>
      </c>
      <c r="EN50" t="s">
        <v>226</v>
      </c>
      <c r="EO50" t="s">
        <v>206</v>
      </c>
      <c r="EP50" t="s">
        <v>206</v>
      </c>
      <c r="EQ50" s="146" t="s">
        <v>167</v>
      </c>
      <c r="ER50" t="s">
        <v>167</v>
      </c>
      <c r="ES50" t="s">
        <v>167</v>
      </c>
      <c r="ET50" t="s">
        <v>207</v>
      </c>
      <c r="EU50" t="s">
        <v>208</v>
      </c>
      <c r="EV50" t="s">
        <v>227</v>
      </c>
      <c r="EW50" s="163">
        <v>2330</v>
      </c>
      <c r="EX50" t="s">
        <v>210</v>
      </c>
      <c r="EY50">
        <v>175</v>
      </c>
      <c r="EZ50">
        <v>175</v>
      </c>
      <c r="FA50" t="s">
        <v>167</v>
      </c>
      <c r="FB50" t="s">
        <v>167</v>
      </c>
      <c r="FC50" t="s">
        <v>167</v>
      </c>
      <c r="FD50" t="s">
        <v>167</v>
      </c>
      <c r="FE50" s="152">
        <v>8.0936998354908791</v>
      </c>
      <c r="FF50" s="164" t="s">
        <v>211</v>
      </c>
      <c r="FG50" s="152">
        <v>6.2661007228731691E-2</v>
      </c>
      <c r="FH50" s="152">
        <v>6.3550379977918681E-2</v>
      </c>
      <c r="FI50" s="145">
        <v>349.215501865688</v>
      </c>
      <c r="FJ50" s="149">
        <v>21</v>
      </c>
      <c r="FK50" s="149" t="s">
        <v>212</v>
      </c>
      <c r="FL50" s="152">
        <v>328.215501865688</v>
      </c>
      <c r="FM50" s="152">
        <v>74.227430687158005</v>
      </c>
      <c r="FN50" s="152">
        <v>62.82922720631899</v>
      </c>
      <c r="FO50" s="144" t="s">
        <v>213</v>
      </c>
      <c r="FP50" s="144" t="s">
        <v>214</v>
      </c>
      <c r="FQ50" t="s">
        <v>215</v>
      </c>
      <c r="FR50" t="s">
        <v>215</v>
      </c>
      <c r="FS50" t="s">
        <v>215</v>
      </c>
      <c r="FT50" t="s">
        <v>215</v>
      </c>
      <c r="FU50" t="s">
        <v>215</v>
      </c>
      <c r="FV50" t="s">
        <v>215</v>
      </c>
      <c r="FW50" t="s">
        <v>215</v>
      </c>
      <c r="FX50" t="s">
        <v>215</v>
      </c>
      <c r="FY50" t="s">
        <v>215</v>
      </c>
      <c r="FZ50" t="s">
        <v>215</v>
      </c>
      <c r="GA50" t="s">
        <v>215</v>
      </c>
      <c r="GB50" t="s">
        <v>215</v>
      </c>
    </row>
    <row r="51" spans="1:184" ht="18" x14ac:dyDescent="0.2">
      <c r="A51" t="s">
        <v>240</v>
      </c>
      <c r="B51" s="141" t="s">
        <v>241</v>
      </c>
      <c r="C51" s="138" t="s">
        <v>168</v>
      </c>
      <c r="D51" t="s">
        <v>239</v>
      </c>
      <c r="E51">
        <v>2015</v>
      </c>
      <c r="F51" t="str">
        <f t="shared" si="9"/>
        <v>10.1038/nature14145</v>
      </c>
      <c r="G51" s="175">
        <v>2998.11</v>
      </c>
      <c r="H51" s="142">
        <f t="shared" si="10"/>
        <v>15</v>
      </c>
      <c r="I51" s="142">
        <f t="shared" si="11"/>
        <v>15</v>
      </c>
      <c r="J51" s="148">
        <f t="shared" si="12"/>
        <v>368.95837951399801</v>
      </c>
      <c r="K51" s="148">
        <f t="shared" si="13"/>
        <v>84.078573073954999</v>
      </c>
      <c r="L51" s="148">
        <f t="shared" si="14"/>
        <v>71.524289677140985</v>
      </c>
      <c r="M51" t="b">
        <v>1</v>
      </c>
      <c r="N51">
        <v>3</v>
      </c>
      <c r="O51" t="s">
        <v>245</v>
      </c>
      <c r="P51" s="174" t="s">
        <v>259</v>
      </c>
      <c r="Q51" t="b">
        <v>0</v>
      </c>
      <c r="R51" t="s">
        <v>167</v>
      </c>
      <c r="S51" t="b">
        <v>0</v>
      </c>
      <c r="T51" t="b">
        <v>0</v>
      </c>
      <c r="U51" t="s">
        <v>167</v>
      </c>
      <c r="V51" t="s">
        <v>167</v>
      </c>
      <c r="W51" t="b">
        <v>0</v>
      </c>
      <c r="X51" t="s">
        <v>260</v>
      </c>
      <c r="Y51" s="150" t="s">
        <v>169</v>
      </c>
      <c r="Z51" t="s">
        <v>170</v>
      </c>
      <c r="AA51" t="s">
        <v>171</v>
      </c>
      <c r="AB51" s="142" t="s">
        <v>172</v>
      </c>
      <c r="AC51" s="146">
        <v>11</v>
      </c>
      <c r="AD51" s="146">
        <v>3</v>
      </c>
      <c r="AE51" s="146">
        <v>90</v>
      </c>
      <c r="AF51" s="146">
        <v>92</v>
      </c>
      <c r="AG51" s="146" t="s">
        <v>167</v>
      </c>
      <c r="AH51" s="146" t="s">
        <v>167</v>
      </c>
      <c r="AI51" s="146" t="s">
        <v>167</v>
      </c>
      <c r="AJ51" t="s">
        <v>173</v>
      </c>
      <c r="AK51" s="151">
        <v>12.75</v>
      </c>
      <c r="AL51" s="151">
        <v>-78.73</v>
      </c>
      <c r="AM51" s="151">
        <v>12.75</v>
      </c>
      <c r="AN51" s="151">
        <v>-78.73</v>
      </c>
      <c r="AO51" s="151">
        <v>-2828</v>
      </c>
      <c r="AP51" s="151">
        <v>-2828</v>
      </c>
      <c r="AQ51" s="142" t="s">
        <v>167</v>
      </c>
      <c r="AR51" s="142" t="s">
        <v>167</v>
      </c>
      <c r="AS51" s="175">
        <v>2998.11</v>
      </c>
      <c r="AT51" s="153" t="s">
        <v>174</v>
      </c>
      <c r="AU51" s="142">
        <v>15</v>
      </c>
      <c r="AV51" s="142">
        <v>15</v>
      </c>
      <c r="AW51" s="149" t="s">
        <v>167</v>
      </c>
      <c r="AX51" s="171" t="s">
        <v>243</v>
      </c>
      <c r="AY51" s="146" t="s">
        <v>167</v>
      </c>
      <c r="AZ51" t="s">
        <v>167</v>
      </c>
      <c r="BA51" t="s">
        <v>167</v>
      </c>
      <c r="BB51" t="s">
        <v>167</v>
      </c>
      <c r="BC51" t="s">
        <v>167</v>
      </c>
      <c r="BD51" t="s">
        <v>167</v>
      </c>
      <c r="BE51" t="s">
        <v>167</v>
      </c>
      <c r="BF51" t="s">
        <v>167</v>
      </c>
      <c r="BG51" s="154" t="s">
        <v>175</v>
      </c>
      <c r="BH51" t="s">
        <v>176</v>
      </c>
      <c r="BI51" s="155" t="s">
        <v>177</v>
      </c>
      <c r="BJ51" s="155" t="s">
        <v>178</v>
      </c>
      <c r="BK51" s="156" t="s">
        <v>179</v>
      </c>
      <c r="BL51" s="156" t="s">
        <v>180</v>
      </c>
      <c r="BM51" t="s">
        <v>181</v>
      </c>
      <c r="BN51" s="142" t="s">
        <v>182</v>
      </c>
      <c r="BO51" s="142" t="s">
        <v>182</v>
      </c>
      <c r="BP51" s="142" t="s">
        <v>182</v>
      </c>
      <c r="BQ51" s="152">
        <v>19.742699999999999</v>
      </c>
      <c r="BR51" t="s">
        <v>183</v>
      </c>
      <c r="BS51" s="152">
        <v>0.10188934500000001</v>
      </c>
      <c r="BT51">
        <v>0.6</v>
      </c>
      <c r="BU51" t="s">
        <v>184</v>
      </c>
      <c r="BV51" s="153">
        <v>0.08</v>
      </c>
      <c r="BW51">
        <v>8.8699999999999992</v>
      </c>
      <c r="BX51" t="s">
        <v>185</v>
      </c>
      <c r="BY51">
        <v>1.52</v>
      </c>
      <c r="BZ51" t="s">
        <v>224</v>
      </c>
      <c r="CA51" t="s">
        <v>187</v>
      </c>
      <c r="CB51" s="158">
        <f t="shared" si="5"/>
        <v>18.121166666666667</v>
      </c>
      <c r="CC51" t="s">
        <v>184</v>
      </c>
      <c r="CD51" s="149" t="s">
        <v>167</v>
      </c>
      <c r="CE51" s="149" t="s">
        <v>167</v>
      </c>
      <c r="CF51" t="s">
        <v>188</v>
      </c>
      <c r="CG51" t="s">
        <v>189</v>
      </c>
      <c r="CH51" t="s">
        <v>190</v>
      </c>
      <c r="CI51" t="s">
        <v>190</v>
      </c>
      <c r="CJ51" s="152">
        <v>27.160779999999999</v>
      </c>
      <c r="CK51" t="s">
        <v>184</v>
      </c>
      <c r="CL51" s="159">
        <v>3</v>
      </c>
      <c r="CM51" s="159">
        <v>3</v>
      </c>
      <c r="CN51" s="152">
        <v>3.2754998282475962</v>
      </c>
      <c r="CO51" s="152">
        <v>3.2754998282475962</v>
      </c>
      <c r="CP51" t="s">
        <v>191</v>
      </c>
      <c r="CQ51" s="145">
        <f t="shared" si="6"/>
        <v>8.8438495362685096E-2</v>
      </c>
      <c r="CR51" s="145">
        <f t="shared" si="7"/>
        <v>8.8438495362685096E-2</v>
      </c>
      <c r="CS51" s="142" t="s">
        <v>192</v>
      </c>
      <c r="CT51" s="147" t="s">
        <v>193</v>
      </c>
      <c r="CU51" s="152">
        <v>3.6925701104362649</v>
      </c>
      <c r="CV51" s="152" t="s">
        <v>194</v>
      </c>
      <c r="CW51" t="s">
        <v>167</v>
      </c>
      <c r="CX51" t="s">
        <v>195</v>
      </c>
      <c r="CY51" t="s">
        <v>167</v>
      </c>
      <c r="CZ51" t="s">
        <v>167</v>
      </c>
      <c r="DA51" t="s">
        <v>167</v>
      </c>
      <c r="DB51" t="s">
        <v>167</v>
      </c>
      <c r="DC51" t="s">
        <v>167</v>
      </c>
      <c r="DD51" t="s">
        <v>167</v>
      </c>
      <c r="DE51" t="s">
        <v>167</v>
      </c>
      <c r="DF51" t="s">
        <v>167</v>
      </c>
      <c r="DG51" s="160">
        <v>35</v>
      </c>
      <c r="DH51" t="s">
        <v>174</v>
      </c>
      <c r="DI51">
        <v>3</v>
      </c>
      <c r="DJ51" s="161" t="s">
        <v>196</v>
      </c>
      <c r="DK51" s="146" t="s">
        <v>167</v>
      </c>
      <c r="DL51" s="146" t="s">
        <v>167</v>
      </c>
      <c r="DM51" s="146" t="s">
        <v>167</v>
      </c>
      <c r="DN51" s="146" t="s">
        <v>167</v>
      </c>
      <c r="DO51" s="146" t="s">
        <v>167</v>
      </c>
      <c r="DP51" s="146" t="s">
        <v>167</v>
      </c>
      <c r="DQ51" s="146" t="s">
        <v>167</v>
      </c>
      <c r="DR51" s="146" t="s">
        <v>167</v>
      </c>
      <c r="DS51" s="146" t="s">
        <v>167</v>
      </c>
      <c r="DT51" s="146" t="s">
        <v>167</v>
      </c>
      <c r="DU51" s="146" t="s">
        <v>167</v>
      </c>
      <c r="DV51" s="146" t="s">
        <v>167</v>
      </c>
      <c r="DW51" s="143">
        <v>432.56244218316402</v>
      </c>
      <c r="DX51" t="s">
        <v>197</v>
      </c>
      <c r="DY51" s="142">
        <v>37.1</v>
      </c>
      <c r="DZ51" t="s">
        <v>198</v>
      </c>
      <c r="EA51" s="152">
        <v>39.180069799999998</v>
      </c>
      <c r="EB51" s="149" t="s">
        <v>185</v>
      </c>
      <c r="EC51" s="162">
        <v>0.2</v>
      </c>
      <c r="ED51" t="s">
        <v>199</v>
      </c>
      <c r="EE51" t="s">
        <v>225</v>
      </c>
      <c r="EF51" t="s">
        <v>201</v>
      </c>
      <c r="EG51">
        <v>1.0271999999999999</v>
      </c>
      <c r="EH51" t="s">
        <v>202</v>
      </c>
      <c r="EI51">
        <v>5.9999999999999995E-4</v>
      </c>
      <c r="EJ51" t="s">
        <v>203</v>
      </c>
      <c r="EK51" t="s">
        <v>167</v>
      </c>
      <c r="EL51" t="s">
        <v>167</v>
      </c>
      <c r="EM51" t="s">
        <v>204</v>
      </c>
      <c r="EN51" t="s">
        <v>226</v>
      </c>
      <c r="EO51" t="s">
        <v>206</v>
      </c>
      <c r="EP51" t="s">
        <v>206</v>
      </c>
      <c r="EQ51" s="146" t="s">
        <v>167</v>
      </c>
      <c r="ER51" t="s">
        <v>167</v>
      </c>
      <c r="ES51" t="s">
        <v>167</v>
      </c>
      <c r="ET51" t="s">
        <v>207</v>
      </c>
      <c r="EU51" t="s">
        <v>208</v>
      </c>
      <c r="EV51" t="s">
        <v>227</v>
      </c>
      <c r="EW51" s="163">
        <v>2330</v>
      </c>
      <c r="EX51" t="s">
        <v>210</v>
      </c>
      <c r="EY51">
        <v>175</v>
      </c>
      <c r="EZ51">
        <v>175</v>
      </c>
      <c r="FA51" t="s">
        <v>167</v>
      </c>
      <c r="FB51" t="s">
        <v>167</v>
      </c>
      <c r="FC51" t="s">
        <v>167</v>
      </c>
      <c r="FD51" t="s">
        <v>167</v>
      </c>
      <c r="FE51" s="152">
        <v>8.0558435366009995</v>
      </c>
      <c r="FF51" s="164" t="s">
        <v>211</v>
      </c>
      <c r="FG51" s="152">
        <v>6.4555020358040949E-2</v>
      </c>
      <c r="FH51" s="152">
        <v>6.4826547144009261E-2</v>
      </c>
      <c r="FI51" s="145">
        <v>389.95837951399801</v>
      </c>
      <c r="FJ51" s="149">
        <v>21</v>
      </c>
      <c r="FK51" s="149" t="s">
        <v>212</v>
      </c>
      <c r="FL51" s="152">
        <v>368.95837951399801</v>
      </c>
      <c r="FM51" s="152">
        <v>84.078573073954999</v>
      </c>
      <c r="FN51" s="152">
        <v>71.524289677140985</v>
      </c>
      <c r="FO51" s="144" t="s">
        <v>213</v>
      </c>
      <c r="FP51" s="144" t="s">
        <v>214</v>
      </c>
      <c r="FQ51" t="s">
        <v>215</v>
      </c>
      <c r="FR51" t="s">
        <v>215</v>
      </c>
      <c r="FS51" t="s">
        <v>215</v>
      </c>
      <c r="FT51" t="s">
        <v>215</v>
      </c>
      <c r="FU51" t="s">
        <v>215</v>
      </c>
      <c r="FV51" t="s">
        <v>215</v>
      </c>
      <c r="FW51" t="s">
        <v>215</v>
      </c>
      <c r="FX51" t="s">
        <v>215</v>
      </c>
      <c r="FY51" t="s">
        <v>215</v>
      </c>
      <c r="FZ51" t="s">
        <v>215</v>
      </c>
      <c r="GA51" t="s">
        <v>215</v>
      </c>
      <c r="GB51" t="s">
        <v>215</v>
      </c>
    </row>
    <row r="52" spans="1:184" ht="18" x14ac:dyDescent="0.2">
      <c r="A52" t="s">
        <v>240</v>
      </c>
      <c r="B52" s="141" t="s">
        <v>241</v>
      </c>
      <c r="C52" s="138" t="s">
        <v>168</v>
      </c>
      <c r="D52" t="s">
        <v>239</v>
      </c>
      <c r="E52">
        <v>2015</v>
      </c>
      <c r="F52" t="str">
        <f t="shared" si="9"/>
        <v>10.1038/nature14145</v>
      </c>
      <c r="G52" s="175">
        <v>3006.65</v>
      </c>
      <c r="H52" s="142">
        <f t="shared" si="10"/>
        <v>15</v>
      </c>
      <c r="I52" s="142">
        <f t="shared" si="11"/>
        <v>15</v>
      </c>
      <c r="J52" s="148">
        <f t="shared" si="12"/>
        <v>356.95100904339199</v>
      </c>
      <c r="K52" s="148">
        <f t="shared" si="13"/>
        <v>79.128188583215035</v>
      </c>
      <c r="L52" s="148">
        <f t="shared" si="14"/>
        <v>70.480251884398001</v>
      </c>
      <c r="M52" t="b">
        <v>1</v>
      </c>
      <c r="N52">
        <v>3</v>
      </c>
      <c r="O52" t="s">
        <v>245</v>
      </c>
      <c r="P52" s="174" t="s">
        <v>259</v>
      </c>
      <c r="Q52" t="b">
        <v>0</v>
      </c>
      <c r="R52" t="s">
        <v>167</v>
      </c>
      <c r="S52" t="b">
        <v>0</v>
      </c>
      <c r="T52" t="b">
        <v>0</v>
      </c>
      <c r="U52" t="s">
        <v>167</v>
      </c>
      <c r="V52" t="s">
        <v>167</v>
      </c>
      <c r="W52" t="b">
        <v>0</v>
      </c>
      <c r="X52" t="s">
        <v>260</v>
      </c>
      <c r="Y52" s="150" t="s">
        <v>169</v>
      </c>
      <c r="Z52" t="s">
        <v>170</v>
      </c>
      <c r="AA52" t="s">
        <v>171</v>
      </c>
      <c r="AB52" s="142" t="s">
        <v>172</v>
      </c>
      <c r="AC52" s="173">
        <v>11</v>
      </c>
      <c r="AD52" s="173">
        <v>3</v>
      </c>
      <c r="AE52" s="173">
        <v>123</v>
      </c>
      <c r="AF52" s="173">
        <v>125</v>
      </c>
      <c r="AG52" s="146" t="s">
        <v>167</v>
      </c>
      <c r="AH52" s="146" t="s">
        <v>167</v>
      </c>
      <c r="AI52" s="146" t="s">
        <v>167</v>
      </c>
      <c r="AJ52" t="s">
        <v>173</v>
      </c>
      <c r="AK52" s="151">
        <v>12.75</v>
      </c>
      <c r="AL52" s="151">
        <v>-78.73</v>
      </c>
      <c r="AM52" s="151">
        <v>12.75</v>
      </c>
      <c r="AN52" s="151">
        <v>-78.73</v>
      </c>
      <c r="AO52" s="151">
        <v>-2828</v>
      </c>
      <c r="AP52" s="151">
        <v>-2828</v>
      </c>
      <c r="AQ52" s="142" t="s">
        <v>167</v>
      </c>
      <c r="AR52" s="142" t="s">
        <v>167</v>
      </c>
      <c r="AS52" s="175">
        <v>3006.65</v>
      </c>
      <c r="AT52" s="153" t="s">
        <v>174</v>
      </c>
      <c r="AU52" s="142">
        <v>15</v>
      </c>
      <c r="AV52" s="142">
        <v>15</v>
      </c>
      <c r="AW52" s="149" t="s">
        <v>167</v>
      </c>
      <c r="AX52" s="171" t="s">
        <v>243</v>
      </c>
      <c r="AY52" s="146" t="s">
        <v>167</v>
      </c>
      <c r="AZ52" t="s">
        <v>167</v>
      </c>
      <c r="BA52" t="s">
        <v>167</v>
      </c>
      <c r="BB52" t="s">
        <v>167</v>
      </c>
      <c r="BC52" t="s">
        <v>167</v>
      </c>
      <c r="BD52" t="s">
        <v>167</v>
      </c>
      <c r="BE52" t="s">
        <v>167</v>
      </c>
      <c r="BF52" t="s">
        <v>167</v>
      </c>
      <c r="BG52" s="154" t="s">
        <v>175</v>
      </c>
      <c r="BH52" t="s">
        <v>176</v>
      </c>
      <c r="BI52" s="155" t="s">
        <v>177</v>
      </c>
      <c r="BJ52" s="156" t="s">
        <v>178</v>
      </c>
      <c r="BK52" s="156" t="s">
        <v>179</v>
      </c>
      <c r="BL52" s="156" t="s">
        <v>180</v>
      </c>
      <c r="BM52" s="157" t="s">
        <v>181</v>
      </c>
      <c r="BN52" s="142" t="s">
        <v>182</v>
      </c>
      <c r="BO52" s="142" t="s">
        <v>182</v>
      </c>
      <c r="BP52" s="142" t="s">
        <v>182</v>
      </c>
      <c r="BQ52" s="152">
        <v>19.7928</v>
      </c>
      <c r="BR52" t="s">
        <v>183</v>
      </c>
      <c r="BS52" s="152">
        <v>0.10640801499999999</v>
      </c>
      <c r="BT52">
        <v>0.6</v>
      </c>
      <c r="BU52" t="s">
        <v>184</v>
      </c>
      <c r="BV52" s="153">
        <v>0.08</v>
      </c>
      <c r="BW52">
        <v>8.8699999999999992</v>
      </c>
      <c r="BX52" t="s">
        <v>185</v>
      </c>
      <c r="BY52">
        <v>1.52</v>
      </c>
      <c r="BZ52" t="s">
        <v>224</v>
      </c>
      <c r="CA52" t="s">
        <v>187</v>
      </c>
      <c r="CB52" s="158">
        <f t="shared" si="5"/>
        <v>18.204666666666668</v>
      </c>
      <c r="CC52" t="s">
        <v>184</v>
      </c>
      <c r="CD52" s="149" t="s">
        <v>167</v>
      </c>
      <c r="CE52" s="149" t="s">
        <v>167</v>
      </c>
      <c r="CF52" t="s">
        <v>188</v>
      </c>
      <c r="CG52" t="s">
        <v>189</v>
      </c>
      <c r="CH52" t="s">
        <v>190</v>
      </c>
      <c r="CI52" t="s">
        <v>190</v>
      </c>
      <c r="CJ52" s="152">
        <v>26.847490000000001</v>
      </c>
      <c r="CK52" t="s">
        <v>184</v>
      </c>
      <c r="CL52" s="159">
        <v>3</v>
      </c>
      <c r="CM52" s="159">
        <v>3</v>
      </c>
      <c r="CN52" s="152">
        <v>3.1801489139419252</v>
      </c>
      <c r="CO52" s="152">
        <v>3.1801489139419252</v>
      </c>
      <c r="CP52" t="s">
        <v>191</v>
      </c>
      <c r="CQ52" s="145">
        <f t="shared" si="6"/>
        <v>8.5864020676431979E-2</v>
      </c>
      <c r="CR52" s="145">
        <f t="shared" si="7"/>
        <v>8.5864020676431979E-2</v>
      </c>
      <c r="CS52" s="142" t="s">
        <v>192</v>
      </c>
      <c r="CT52" s="147" t="s">
        <v>193</v>
      </c>
      <c r="CU52" s="152">
        <v>3.6804643829602885</v>
      </c>
      <c r="CV52" s="152" t="s">
        <v>194</v>
      </c>
      <c r="CW52" t="s">
        <v>167</v>
      </c>
      <c r="CX52" t="s">
        <v>195</v>
      </c>
      <c r="CY52" t="s">
        <v>167</v>
      </c>
      <c r="CZ52" t="s">
        <v>167</v>
      </c>
      <c r="DA52" t="s">
        <v>167</v>
      </c>
      <c r="DB52" t="s">
        <v>167</v>
      </c>
      <c r="DC52" t="s">
        <v>167</v>
      </c>
      <c r="DD52" t="s">
        <v>167</v>
      </c>
      <c r="DE52" t="s">
        <v>167</v>
      </c>
      <c r="DF52" t="s">
        <v>167</v>
      </c>
      <c r="DG52" s="160">
        <v>35</v>
      </c>
      <c r="DH52" t="s">
        <v>174</v>
      </c>
      <c r="DI52">
        <v>3</v>
      </c>
      <c r="DJ52" s="161" t="s">
        <v>196</v>
      </c>
      <c r="DK52" s="146" t="s">
        <v>167</v>
      </c>
      <c r="DL52" s="146" t="s">
        <v>167</v>
      </c>
      <c r="DM52" s="146" t="s">
        <v>167</v>
      </c>
      <c r="DN52" s="146" t="s">
        <v>167</v>
      </c>
      <c r="DO52" s="146" t="s">
        <v>167</v>
      </c>
      <c r="DP52" s="146" t="s">
        <v>167</v>
      </c>
      <c r="DQ52" s="146" t="s">
        <v>167</v>
      </c>
      <c r="DR52" s="146" t="s">
        <v>167</v>
      </c>
      <c r="DS52" s="146" t="s">
        <v>167</v>
      </c>
      <c r="DT52" s="146" t="s">
        <v>167</v>
      </c>
      <c r="DU52" s="146" t="s">
        <v>167</v>
      </c>
      <c r="DV52" s="146" t="s">
        <v>167</v>
      </c>
      <c r="DW52" s="143">
        <v>432.56244218316402</v>
      </c>
      <c r="DX52" t="s">
        <v>197</v>
      </c>
      <c r="DY52" s="142">
        <v>37.1</v>
      </c>
      <c r="DZ52" t="s">
        <v>198</v>
      </c>
      <c r="EA52" s="152">
        <v>39.178866339999999</v>
      </c>
      <c r="EB52" s="149" t="s">
        <v>185</v>
      </c>
      <c r="EC52" s="162">
        <v>0.2</v>
      </c>
      <c r="ED52" t="s">
        <v>199</v>
      </c>
      <c r="EE52" t="s">
        <v>225</v>
      </c>
      <c r="EF52" t="s">
        <v>201</v>
      </c>
      <c r="EG52">
        <v>1.0271999999999999</v>
      </c>
      <c r="EH52" t="s">
        <v>202</v>
      </c>
      <c r="EI52">
        <v>5.9999999999999995E-4</v>
      </c>
      <c r="EJ52" t="s">
        <v>203</v>
      </c>
      <c r="EK52" t="s">
        <v>167</v>
      </c>
      <c r="EL52" t="s">
        <v>167</v>
      </c>
      <c r="EM52" t="s">
        <v>204</v>
      </c>
      <c r="EN52" t="s">
        <v>226</v>
      </c>
      <c r="EO52" t="s">
        <v>206</v>
      </c>
      <c r="EP52" t="s">
        <v>206</v>
      </c>
      <c r="EQ52" s="146" t="s">
        <v>167</v>
      </c>
      <c r="ER52" t="s">
        <v>167</v>
      </c>
      <c r="ES52" t="s">
        <v>167</v>
      </c>
      <c r="ET52" t="s">
        <v>207</v>
      </c>
      <c r="EU52" t="s">
        <v>208</v>
      </c>
      <c r="EV52" t="s">
        <v>227</v>
      </c>
      <c r="EW52" s="163">
        <v>2330</v>
      </c>
      <c r="EX52" t="s">
        <v>210</v>
      </c>
      <c r="EY52">
        <v>175</v>
      </c>
      <c r="EZ52">
        <v>175</v>
      </c>
      <c r="FA52" t="s">
        <v>167</v>
      </c>
      <c r="FB52" t="s">
        <v>167</v>
      </c>
      <c r="FC52" t="s">
        <v>167</v>
      </c>
      <c r="FD52" t="s">
        <v>167</v>
      </c>
      <c r="FE52" s="152">
        <v>8.0670262522862206</v>
      </c>
      <c r="FF52" s="164" t="s">
        <v>211</v>
      </c>
      <c r="FG52" s="152">
        <v>6.472825810302929E-2</v>
      </c>
      <c r="FH52" s="152">
        <v>6.4974158205270527E-2</v>
      </c>
      <c r="FI52" s="145">
        <v>377.95100904339199</v>
      </c>
      <c r="FJ52" s="149">
        <v>21</v>
      </c>
      <c r="FK52" s="149" t="s">
        <v>212</v>
      </c>
      <c r="FL52" s="152">
        <v>356.95100904339199</v>
      </c>
      <c r="FM52" s="152">
        <v>79.128188583215035</v>
      </c>
      <c r="FN52" s="152">
        <v>70.480251884398001</v>
      </c>
      <c r="FO52" s="144" t="s">
        <v>213</v>
      </c>
      <c r="FP52" s="144" t="s">
        <v>214</v>
      </c>
      <c r="FQ52" t="s">
        <v>215</v>
      </c>
      <c r="FR52" t="s">
        <v>215</v>
      </c>
      <c r="FS52" t="s">
        <v>215</v>
      </c>
      <c r="FT52" t="s">
        <v>215</v>
      </c>
      <c r="FU52" t="s">
        <v>215</v>
      </c>
      <c r="FV52" t="s">
        <v>215</v>
      </c>
      <c r="FW52" t="s">
        <v>215</v>
      </c>
      <c r="FX52" t="s">
        <v>215</v>
      </c>
      <c r="FY52" t="s">
        <v>215</v>
      </c>
      <c r="FZ52" t="s">
        <v>215</v>
      </c>
      <c r="GA52" t="s">
        <v>215</v>
      </c>
      <c r="GB52" t="s">
        <v>215</v>
      </c>
    </row>
    <row r="53" spans="1:184" ht="18" x14ac:dyDescent="0.2">
      <c r="A53" t="s">
        <v>240</v>
      </c>
      <c r="B53" s="141" t="s">
        <v>241</v>
      </c>
      <c r="C53" s="138" t="s">
        <v>168</v>
      </c>
      <c r="D53" t="s">
        <v>239</v>
      </c>
      <c r="E53">
        <v>2015</v>
      </c>
      <c r="F53" t="str">
        <f t="shared" si="9"/>
        <v>10.1038/nature14145</v>
      </c>
      <c r="G53" s="175">
        <v>3023.22</v>
      </c>
      <c r="H53" s="142">
        <f t="shared" si="10"/>
        <v>15</v>
      </c>
      <c r="I53" s="142">
        <f t="shared" si="11"/>
        <v>15</v>
      </c>
      <c r="J53" s="148">
        <f t="shared" si="12"/>
        <v>380.918887838052</v>
      </c>
      <c r="K53" s="148">
        <f t="shared" si="13"/>
        <v>85.975700230316988</v>
      </c>
      <c r="L53" s="148">
        <f t="shared" si="14"/>
        <v>74.397271888355021</v>
      </c>
      <c r="M53" t="b">
        <v>1</v>
      </c>
      <c r="N53">
        <v>3</v>
      </c>
      <c r="O53" t="s">
        <v>245</v>
      </c>
      <c r="P53" s="174" t="s">
        <v>259</v>
      </c>
      <c r="Q53" t="b">
        <v>0</v>
      </c>
      <c r="R53" t="s">
        <v>167</v>
      </c>
      <c r="S53" t="b">
        <v>0</v>
      </c>
      <c r="T53" t="b">
        <v>0</v>
      </c>
      <c r="U53" t="s">
        <v>167</v>
      </c>
      <c r="V53" t="s">
        <v>167</v>
      </c>
      <c r="W53" t="b">
        <v>0</v>
      </c>
      <c r="X53" t="s">
        <v>260</v>
      </c>
      <c r="Y53" s="150" t="s">
        <v>169</v>
      </c>
      <c r="Z53" t="s">
        <v>170</v>
      </c>
      <c r="AA53" t="s">
        <v>171</v>
      </c>
      <c r="AB53" s="142" t="s">
        <v>172</v>
      </c>
      <c r="AC53" s="146">
        <v>11</v>
      </c>
      <c r="AD53" s="146">
        <v>4</v>
      </c>
      <c r="AE53" s="146">
        <v>37</v>
      </c>
      <c r="AF53" s="146">
        <v>39</v>
      </c>
      <c r="AG53" s="146" t="s">
        <v>167</v>
      </c>
      <c r="AH53" s="146" t="s">
        <v>167</v>
      </c>
      <c r="AI53" s="146" t="s">
        <v>167</v>
      </c>
      <c r="AJ53" t="s">
        <v>173</v>
      </c>
      <c r="AK53" s="151">
        <v>12.75</v>
      </c>
      <c r="AL53" s="151">
        <v>-78.73</v>
      </c>
      <c r="AM53" s="151">
        <v>12.75</v>
      </c>
      <c r="AN53" s="151">
        <v>-78.73</v>
      </c>
      <c r="AO53" s="151">
        <v>-2828</v>
      </c>
      <c r="AP53" s="151">
        <v>-2828</v>
      </c>
      <c r="AQ53" s="142" t="s">
        <v>167</v>
      </c>
      <c r="AR53" s="142" t="s">
        <v>167</v>
      </c>
      <c r="AS53" s="175">
        <v>3023.22</v>
      </c>
      <c r="AT53" s="153" t="s">
        <v>174</v>
      </c>
      <c r="AU53" s="142">
        <v>15</v>
      </c>
      <c r="AV53" s="142">
        <v>15</v>
      </c>
      <c r="AW53" s="149" t="s">
        <v>167</v>
      </c>
      <c r="AX53" s="171" t="s">
        <v>243</v>
      </c>
      <c r="AY53" s="146" t="s">
        <v>167</v>
      </c>
      <c r="AZ53" t="s">
        <v>167</v>
      </c>
      <c r="BA53" t="s">
        <v>167</v>
      </c>
      <c r="BB53" t="s">
        <v>167</v>
      </c>
      <c r="BC53" t="s">
        <v>167</v>
      </c>
      <c r="BD53" t="s">
        <v>167</v>
      </c>
      <c r="BE53" t="s">
        <v>167</v>
      </c>
      <c r="BF53" t="s">
        <v>167</v>
      </c>
      <c r="BG53" s="154" t="s">
        <v>175</v>
      </c>
      <c r="BH53" t="s">
        <v>176</v>
      </c>
      <c r="BI53" s="155" t="s">
        <v>177</v>
      </c>
      <c r="BJ53" s="155" t="s">
        <v>178</v>
      </c>
      <c r="BK53" s="156" t="s">
        <v>179</v>
      </c>
      <c r="BL53" s="156" t="s">
        <v>180</v>
      </c>
      <c r="BM53" t="s">
        <v>181</v>
      </c>
      <c r="BN53" s="142" t="s">
        <v>182</v>
      </c>
      <c r="BO53" s="142" t="s">
        <v>182</v>
      </c>
      <c r="BP53" s="142" t="s">
        <v>182</v>
      </c>
      <c r="BQ53" s="152">
        <v>19.65352</v>
      </c>
      <c r="BR53" t="s">
        <v>183</v>
      </c>
      <c r="BS53" s="152">
        <v>9.5820127000000005E-2</v>
      </c>
      <c r="BT53">
        <v>0.6</v>
      </c>
      <c r="BU53" t="s">
        <v>184</v>
      </c>
      <c r="BV53" s="153">
        <v>0.08</v>
      </c>
      <c r="BW53">
        <v>8.8699999999999992</v>
      </c>
      <c r="BX53" t="s">
        <v>185</v>
      </c>
      <c r="BY53">
        <v>1.52</v>
      </c>
      <c r="BZ53" t="s">
        <v>224</v>
      </c>
      <c r="CA53" t="s">
        <v>187</v>
      </c>
      <c r="CB53" s="158">
        <f t="shared" si="5"/>
        <v>17.972533333333335</v>
      </c>
      <c r="CC53" t="s">
        <v>184</v>
      </c>
      <c r="CD53" s="149" t="s">
        <v>167</v>
      </c>
      <c r="CE53" s="149" t="s">
        <v>167</v>
      </c>
      <c r="CF53" t="s">
        <v>188</v>
      </c>
      <c r="CG53" t="s">
        <v>189</v>
      </c>
      <c r="CH53" t="s">
        <v>190</v>
      </c>
      <c r="CI53" t="s">
        <v>190</v>
      </c>
      <c r="CJ53" s="152">
        <v>26.892430000000001</v>
      </c>
      <c r="CK53" t="s">
        <v>184</v>
      </c>
      <c r="CL53" s="159">
        <v>3</v>
      </c>
      <c r="CM53" s="159">
        <v>3</v>
      </c>
      <c r="CN53" s="152">
        <v>3.1843857901523953</v>
      </c>
      <c r="CO53" s="152">
        <v>3.1843857901523953</v>
      </c>
      <c r="CP53" t="s">
        <v>191</v>
      </c>
      <c r="CQ53" s="145">
        <f t="shared" si="6"/>
        <v>8.5978416334114668E-2</v>
      </c>
      <c r="CR53" s="145">
        <f t="shared" si="7"/>
        <v>8.5978416334114668E-2</v>
      </c>
      <c r="CS53" s="142" t="s">
        <v>192</v>
      </c>
      <c r="CT53" s="147" t="s">
        <v>193</v>
      </c>
      <c r="CU53" s="152">
        <v>3.6561891127216248</v>
      </c>
      <c r="CV53" s="152" t="s">
        <v>194</v>
      </c>
      <c r="CW53" t="s">
        <v>167</v>
      </c>
      <c r="CX53" t="s">
        <v>195</v>
      </c>
      <c r="CY53" t="s">
        <v>167</v>
      </c>
      <c r="CZ53" t="s">
        <v>167</v>
      </c>
      <c r="DA53" t="s">
        <v>167</v>
      </c>
      <c r="DB53" t="s">
        <v>167</v>
      </c>
      <c r="DC53" t="s">
        <v>167</v>
      </c>
      <c r="DD53" t="s">
        <v>167</v>
      </c>
      <c r="DE53" t="s">
        <v>167</v>
      </c>
      <c r="DF53" t="s">
        <v>167</v>
      </c>
      <c r="DG53" s="160">
        <v>35</v>
      </c>
      <c r="DH53" t="s">
        <v>174</v>
      </c>
      <c r="DI53">
        <v>3</v>
      </c>
      <c r="DJ53" s="161" t="s">
        <v>196</v>
      </c>
      <c r="DK53" s="146" t="s">
        <v>167</v>
      </c>
      <c r="DL53" s="146" t="s">
        <v>167</v>
      </c>
      <c r="DM53" s="146" t="s">
        <v>167</v>
      </c>
      <c r="DN53" s="146" t="s">
        <v>167</v>
      </c>
      <c r="DO53" s="146" t="s">
        <v>167</v>
      </c>
      <c r="DP53" s="146" t="s">
        <v>167</v>
      </c>
      <c r="DQ53" s="146" t="s">
        <v>167</v>
      </c>
      <c r="DR53" s="146" t="s">
        <v>167</v>
      </c>
      <c r="DS53" s="146" t="s">
        <v>167</v>
      </c>
      <c r="DT53" s="146" t="s">
        <v>167</v>
      </c>
      <c r="DU53" s="146" t="s">
        <v>167</v>
      </c>
      <c r="DV53" s="146" t="s">
        <v>167</v>
      </c>
      <c r="DW53" s="143">
        <v>432.56244218316402</v>
      </c>
      <c r="DX53" t="s">
        <v>197</v>
      </c>
      <c r="DY53" s="142">
        <v>37.1</v>
      </c>
      <c r="DZ53" t="s">
        <v>198</v>
      </c>
      <c r="EA53" s="152">
        <v>39.176497869999999</v>
      </c>
      <c r="EB53" s="149" t="s">
        <v>185</v>
      </c>
      <c r="EC53" s="162">
        <v>0.2</v>
      </c>
      <c r="ED53" t="s">
        <v>199</v>
      </c>
      <c r="EE53" t="s">
        <v>225</v>
      </c>
      <c r="EF53" t="s">
        <v>201</v>
      </c>
      <c r="EG53">
        <v>1.0271999999999999</v>
      </c>
      <c r="EH53" t="s">
        <v>202</v>
      </c>
      <c r="EI53">
        <v>5.9999999999999995E-4</v>
      </c>
      <c r="EJ53" t="s">
        <v>203</v>
      </c>
      <c r="EK53" t="s">
        <v>167</v>
      </c>
      <c r="EL53" t="s">
        <v>167</v>
      </c>
      <c r="EM53" t="s">
        <v>204</v>
      </c>
      <c r="EN53" t="s">
        <v>226</v>
      </c>
      <c r="EO53" t="s">
        <v>206</v>
      </c>
      <c r="EP53" t="s">
        <v>206</v>
      </c>
      <c r="EQ53" s="146" t="s">
        <v>167</v>
      </c>
      <c r="ER53" t="s">
        <v>167</v>
      </c>
      <c r="ES53" t="s">
        <v>167</v>
      </c>
      <c r="ET53" t="s">
        <v>207</v>
      </c>
      <c r="EU53" t="s">
        <v>208</v>
      </c>
      <c r="EV53" t="s">
        <v>227</v>
      </c>
      <c r="EW53" s="163">
        <v>2330</v>
      </c>
      <c r="EX53" t="s">
        <v>210</v>
      </c>
      <c r="EY53">
        <v>175</v>
      </c>
      <c r="EZ53">
        <v>175</v>
      </c>
      <c r="FA53" t="s">
        <v>167</v>
      </c>
      <c r="FB53" t="s">
        <v>167</v>
      </c>
      <c r="FC53" t="s">
        <v>167</v>
      </c>
      <c r="FD53" t="s">
        <v>167</v>
      </c>
      <c r="FE53" s="152">
        <v>8.0456656747126498</v>
      </c>
      <c r="FF53" s="164" t="s">
        <v>211</v>
      </c>
      <c r="FG53" s="152">
        <v>6.4284318140590102E-2</v>
      </c>
      <c r="FH53" s="152">
        <v>6.5708320844339418E-2</v>
      </c>
      <c r="FI53" s="145">
        <v>401.918887838052</v>
      </c>
      <c r="FJ53" s="149">
        <v>21</v>
      </c>
      <c r="FK53" s="149" t="s">
        <v>212</v>
      </c>
      <c r="FL53" s="152">
        <v>380.918887838052</v>
      </c>
      <c r="FM53" s="152">
        <v>85.975700230316988</v>
      </c>
      <c r="FN53" s="152">
        <v>74.397271888355021</v>
      </c>
      <c r="FO53" s="144" t="s">
        <v>213</v>
      </c>
      <c r="FP53" s="144" t="s">
        <v>214</v>
      </c>
      <c r="FQ53" t="s">
        <v>215</v>
      </c>
      <c r="FR53" t="s">
        <v>215</v>
      </c>
      <c r="FS53" t="s">
        <v>215</v>
      </c>
      <c r="FT53" t="s">
        <v>215</v>
      </c>
      <c r="FU53" t="s">
        <v>215</v>
      </c>
      <c r="FV53" t="s">
        <v>215</v>
      </c>
      <c r="FW53" t="s">
        <v>215</v>
      </c>
      <c r="FX53" t="s">
        <v>215</v>
      </c>
      <c r="FY53" t="s">
        <v>215</v>
      </c>
      <c r="FZ53" t="s">
        <v>215</v>
      </c>
      <c r="GA53" t="s">
        <v>215</v>
      </c>
      <c r="GB53" t="s">
        <v>215</v>
      </c>
    </row>
    <row r="54" spans="1:184" ht="18" x14ac:dyDescent="0.2">
      <c r="A54" t="s">
        <v>240</v>
      </c>
      <c r="B54" s="141" t="s">
        <v>241</v>
      </c>
      <c r="C54" s="138" t="s">
        <v>168</v>
      </c>
      <c r="D54" t="s">
        <v>239</v>
      </c>
      <c r="E54">
        <v>2015</v>
      </c>
      <c r="F54" t="str">
        <f t="shared" si="9"/>
        <v>10.1038/nature14145</v>
      </c>
      <c r="G54" s="175">
        <v>3041.93</v>
      </c>
      <c r="H54" s="142">
        <f t="shared" si="10"/>
        <v>15</v>
      </c>
      <c r="I54" s="142">
        <f t="shared" si="11"/>
        <v>15</v>
      </c>
      <c r="J54" s="148">
        <f t="shared" si="12"/>
        <v>419.48208498677502</v>
      </c>
      <c r="K54" s="148">
        <f t="shared" si="13"/>
        <v>98.212039464943018</v>
      </c>
      <c r="L54" s="148">
        <f t="shared" si="14"/>
        <v>83.399291735307031</v>
      </c>
      <c r="M54" t="b">
        <v>1</v>
      </c>
      <c r="N54">
        <v>3</v>
      </c>
      <c r="O54" t="s">
        <v>245</v>
      </c>
      <c r="P54" s="174" t="s">
        <v>259</v>
      </c>
      <c r="Q54" t="b">
        <v>0</v>
      </c>
      <c r="R54" t="s">
        <v>167</v>
      </c>
      <c r="S54" t="b">
        <v>0</v>
      </c>
      <c r="T54" t="b">
        <v>0</v>
      </c>
      <c r="U54" t="s">
        <v>167</v>
      </c>
      <c r="V54" t="s">
        <v>167</v>
      </c>
      <c r="W54" t="b">
        <v>0</v>
      </c>
      <c r="X54" t="s">
        <v>260</v>
      </c>
      <c r="Y54" s="150" t="s">
        <v>169</v>
      </c>
      <c r="Z54" t="s">
        <v>170</v>
      </c>
      <c r="AA54" t="s">
        <v>171</v>
      </c>
      <c r="AB54" s="142" t="s">
        <v>172</v>
      </c>
      <c r="AC54" s="146">
        <v>11</v>
      </c>
      <c r="AD54" s="146">
        <v>4</v>
      </c>
      <c r="AE54" s="146">
        <v>93</v>
      </c>
      <c r="AF54" s="146">
        <v>95</v>
      </c>
      <c r="AG54" s="146" t="s">
        <v>167</v>
      </c>
      <c r="AH54" s="146" t="s">
        <v>167</v>
      </c>
      <c r="AI54" s="146" t="s">
        <v>167</v>
      </c>
      <c r="AJ54" t="s">
        <v>173</v>
      </c>
      <c r="AK54" s="151">
        <v>12.75</v>
      </c>
      <c r="AL54" s="151">
        <v>-78.73</v>
      </c>
      <c r="AM54" s="151">
        <v>12.75</v>
      </c>
      <c r="AN54" s="151">
        <v>-78.73</v>
      </c>
      <c r="AO54" s="151">
        <v>-2828</v>
      </c>
      <c r="AP54" s="151">
        <v>-2828</v>
      </c>
      <c r="AQ54" s="142" t="s">
        <v>167</v>
      </c>
      <c r="AR54" s="142" t="s">
        <v>167</v>
      </c>
      <c r="AS54" s="175">
        <v>3041.93</v>
      </c>
      <c r="AT54" s="153" t="s">
        <v>174</v>
      </c>
      <c r="AU54" s="142">
        <v>15</v>
      </c>
      <c r="AV54" s="142">
        <v>15</v>
      </c>
      <c r="AW54" s="149" t="s">
        <v>167</v>
      </c>
      <c r="AX54" s="171" t="s">
        <v>243</v>
      </c>
      <c r="AY54" s="146" t="s">
        <v>167</v>
      </c>
      <c r="AZ54" t="s">
        <v>167</v>
      </c>
      <c r="BA54" t="s">
        <v>167</v>
      </c>
      <c r="BB54" t="s">
        <v>167</v>
      </c>
      <c r="BC54" t="s">
        <v>167</v>
      </c>
      <c r="BD54" t="s">
        <v>167</v>
      </c>
      <c r="BE54" t="s">
        <v>167</v>
      </c>
      <c r="BF54" t="s">
        <v>167</v>
      </c>
      <c r="BG54" s="154" t="s">
        <v>175</v>
      </c>
      <c r="BH54" t="s">
        <v>176</v>
      </c>
      <c r="BI54" s="155" t="s">
        <v>177</v>
      </c>
      <c r="BJ54" s="156" t="s">
        <v>178</v>
      </c>
      <c r="BK54" s="156" t="s">
        <v>179</v>
      </c>
      <c r="BL54" s="156" t="s">
        <v>180</v>
      </c>
      <c r="BM54" s="157" t="s">
        <v>181</v>
      </c>
      <c r="BN54" s="142" t="s">
        <v>182</v>
      </c>
      <c r="BO54" s="142" t="s">
        <v>182</v>
      </c>
      <c r="BP54" s="142" t="s">
        <v>182</v>
      </c>
      <c r="BQ54" s="152">
        <v>19.459389999999999</v>
      </c>
      <c r="BR54" t="s">
        <v>183</v>
      </c>
      <c r="BS54" s="152">
        <v>0.12713133400000001</v>
      </c>
      <c r="BT54">
        <v>0.6</v>
      </c>
      <c r="BU54" t="s">
        <v>184</v>
      </c>
      <c r="BV54" s="153">
        <v>0.08</v>
      </c>
      <c r="BW54">
        <v>8.8699999999999992</v>
      </c>
      <c r="BX54" t="s">
        <v>185</v>
      </c>
      <c r="BY54">
        <v>1.52</v>
      </c>
      <c r="BZ54" t="s">
        <v>224</v>
      </c>
      <c r="CA54" t="s">
        <v>187</v>
      </c>
      <c r="CB54" s="158">
        <f t="shared" si="5"/>
        <v>17.648983333333334</v>
      </c>
      <c r="CC54" t="s">
        <v>184</v>
      </c>
      <c r="CD54" s="149" t="s">
        <v>167</v>
      </c>
      <c r="CE54" s="149" t="s">
        <v>167</v>
      </c>
      <c r="CF54" t="s">
        <v>188</v>
      </c>
      <c r="CG54" t="s">
        <v>189</v>
      </c>
      <c r="CH54" t="s">
        <v>190</v>
      </c>
      <c r="CI54" t="s">
        <v>190</v>
      </c>
      <c r="CJ54" s="152">
        <v>27.030349999999999</v>
      </c>
      <c r="CK54" t="s">
        <v>184</v>
      </c>
      <c r="CL54" s="159">
        <v>3</v>
      </c>
      <c r="CM54" s="159">
        <v>3</v>
      </c>
      <c r="CN54" s="152">
        <v>3.2161903083087262</v>
      </c>
      <c r="CO54" s="152">
        <v>3.2161903083087262</v>
      </c>
      <c r="CP54" t="s">
        <v>191</v>
      </c>
      <c r="CQ54" s="145">
        <f t="shared" si="6"/>
        <v>8.6837138324335608E-2</v>
      </c>
      <c r="CR54" s="145">
        <f t="shared" si="7"/>
        <v>8.6837138324335608E-2</v>
      </c>
      <c r="CS54" s="142" t="s">
        <v>192</v>
      </c>
      <c r="CT54" s="147" t="s">
        <v>193</v>
      </c>
      <c r="CU54" s="152">
        <v>3.6341873491874939</v>
      </c>
      <c r="CV54" s="152" t="s">
        <v>194</v>
      </c>
      <c r="CW54" t="s">
        <v>167</v>
      </c>
      <c r="CX54" t="s">
        <v>195</v>
      </c>
      <c r="CY54" t="s">
        <v>167</v>
      </c>
      <c r="CZ54" t="s">
        <v>167</v>
      </c>
      <c r="DA54" t="s">
        <v>167</v>
      </c>
      <c r="DB54" t="s">
        <v>167</v>
      </c>
      <c r="DC54" t="s">
        <v>167</v>
      </c>
      <c r="DD54" t="s">
        <v>167</v>
      </c>
      <c r="DE54" t="s">
        <v>167</v>
      </c>
      <c r="DF54" t="s">
        <v>167</v>
      </c>
      <c r="DG54" s="160">
        <v>35</v>
      </c>
      <c r="DH54" t="s">
        <v>174</v>
      </c>
      <c r="DI54">
        <v>3</v>
      </c>
      <c r="DJ54" s="161" t="s">
        <v>196</v>
      </c>
      <c r="DK54" s="146" t="s">
        <v>167</v>
      </c>
      <c r="DL54" s="146" t="s">
        <v>167</v>
      </c>
      <c r="DM54" s="146" t="s">
        <v>167</v>
      </c>
      <c r="DN54" s="146" t="s">
        <v>167</v>
      </c>
      <c r="DO54" s="146" t="s">
        <v>167</v>
      </c>
      <c r="DP54" s="146" t="s">
        <v>167</v>
      </c>
      <c r="DQ54" s="146" t="s">
        <v>167</v>
      </c>
      <c r="DR54" s="146" t="s">
        <v>167</v>
      </c>
      <c r="DS54" s="146" t="s">
        <v>167</v>
      </c>
      <c r="DT54" s="146" t="s">
        <v>167</v>
      </c>
      <c r="DU54" s="146" t="s">
        <v>167</v>
      </c>
      <c r="DV54" s="146" t="s">
        <v>167</v>
      </c>
      <c r="DW54" s="143">
        <v>432.56244218316402</v>
      </c>
      <c r="DX54" t="s">
        <v>197</v>
      </c>
      <c r="DY54" s="142">
        <v>37.1</v>
      </c>
      <c r="DZ54" t="s">
        <v>198</v>
      </c>
      <c r="EA54" s="152">
        <v>39.174439939999999</v>
      </c>
      <c r="EB54" s="149" t="s">
        <v>185</v>
      </c>
      <c r="EC54" s="162">
        <v>0.2</v>
      </c>
      <c r="ED54" t="s">
        <v>199</v>
      </c>
      <c r="EE54" t="s">
        <v>225</v>
      </c>
      <c r="EF54" t="s">
        <v>201</v>
      </c>
      <c r="EG54">
        <v>1.0271999999999999</v>
      </c>
      <c r="EH54" t="s">
        <v>202</v>
      </c>
      <c r="EI54">
        <v>5.9999999999999995E-4</v>
      </c>
      <c r="EJ54" t="s">
        <v>203</v>
      </c>
      <c r="EK54" t="s">
        <v>167</v>
      </c>
      <c r="EL54" t="s">
        <v>167</v>
      </c>
      <c r="EM54" t="s">
        <v>204</v>
      </c>
      <c r="EN54" t="s">
        <v>226</v>
      </c>
      <c r="EO54" t="s">
        <v>206</v>
      </c>
      <c r="EP54" t="s">
        <v>206</v>
      </c>
      <c r="EQ54" s="146" t="s">
        <v>167</v>
      </c>
      <c r="ER54" t="s">
        <v>167</v>
      </c>
      <c r="ES54" t="s">
        <v>167</v>
      </c>
      <c r="ET54" t="s">
        <v>207</v>
      </c>
      <c r="EU54" t="s">
        <v>208</v>
      </c>
      <c r="EV54" t="s">
        <v>227</v>
      </c>
      <c r="EW54" s="163">
        <v>2330</v>
      </c>
      <c r="EX54" t="s">
        <v>210</v>
      </c>
      <c r="EY54">
        <v>175</v>
      </c>
      <c r="EZ54">
        <v>175</v>
      </c>
      <c r="FA54" t="s">
        <v>167</v>
      </c>
      <c r="FB54" t="s">
        <v>167</v>
      </c>
      <c r="FC54" t="s">
        <v>167</v>
      </c>
      <c r="FD54" t="s">
        <v>167</v>
      </c>
      <c r="FE54" s="152">
        <v>8.0133033661306001</v>
      </c>
      <c r="FF54" s="164" t="s">
        <v>211</v>
      </c>
      <c r="FG54" s="152">
        <v>6.7541799873160002E-2</v>
      </c>
      <c r="FH54" s="152">
        <v>6.7915027766829894E-2</v>
      </c>
      <c r="FI54" s="145">
        <v>440.48208498677502</v>
      </c>
      <c r="FJ54" s="149">
        <v>21</v>
      </c>
      <c r="FK54" s="149" t="s">
        <v>212</v>
      </c>
      <c r="FL54" s="152">
        <v>419.48208498677502</v>
      </c>
      <c r="FM54" s="152">
        <v>98.212039464943018</v>
      </c>
      <c r="FN54" s="152">
        <v>83.399291735307031</v>
      </c>
      <c r="FO54" s="144" t="s">
        <v>213</v>
      </c>
      <c r="FP54" s="144" t="s">
        <v>214</v>
      </c>
      <c r="FQ54" t="s">
        <v>215</v>
      </c>
      <c r="FR54" t="s">
        <v>215</v>
      </c>
      <c r="FS54" t="s">
        <v>215</v>
      </c>
      <c r="FT54" t="s">
        <v>215</v>
      </c>
      <c r="FU54" t="s">
        <v>215</v>
      </c>
      <c r="FV54" t="s">
        <v>215</v>
      </c>
      <c r="FW54" t="s">
        <v>215</v>
      </c>
      <c r="FX54" t="s">
        <v>215</v>
      </c>
      <c r="FY54" t="s">
        <v>215</v>
      </c>
      <c r="FZ54" t="s">
        <v>215</v>
      </c>
      <c r="GA54" t="s">
        <v>215</v>
      </c>
      <c r="GB54" t="s">
        <v>215</v>
      </c>
    </row>
    <row r="55" spans="1:184" ht="18" x14ac:dyDescent="0.2">
      <c r="A55" t="s">
        <v>240</v>
      </c>
      <c r="B55" s="141" t="s">
        <v>241</v>
      </c>
      <c r="C55" s="138" t="s">
        <v>168</v>
      </c>
      <c r="D55" t="s">
        <v>239</v>
      </c>
      <c r="E55">
        <v>2015</v>
      </c>
      <c r="F55" t="str">
        <f t="shared" si="9"/>
        <v>10.1038/nature14145</v>
      </c>
      <c r="G55" s="175">
        <v>3051.27</v>
      </c>
      <c r="H55" s="142">
        <f t="shared" si="10"/>
        <v>15</v>
      </c>
      <c r="I55" s="142">
        <f t="shared" si="11"/>
        <v>15</v>
      </c>
      <c r="J55" s="148">
        <f t="shared" si="12"/>
        <v>418.02181594779398</v>
      </c>
      <c r="K55" s="148">
        <f t="shared" si="13"/>
        <v>94.110963874934043</v>
      </c>
      <c r="L55" s="148">
        <f t="shared" si="14"/>
        <v>80.076414750173001</v>
      </c>
      <c r="M55" t="b">
        <v>1</v>
      </c>
      <c r="N55">
        <v>3</v>
      </c>
      <c r="O55" t="s">
        <v>245</v>
      </c>
      <c r="P55" s="174" t="s">
        <v>259</v>
      </c>
      <c r="Q55" t="b">
        <v>0</v>
      </c>
      <c r="R55" t="s">
        <v>167</v>
      </c>
      <c r="S55" t="b">
        <v>0</v>
      </c>
      <c r="T55" t="b">
        <v>0</v>
      </c>
      <c r="U55" t="s">
        <v>167</v>
      </c>
      <c r="V55" t="s">
        <v>167</v>
      </c>
      <c r="W55" t="b">
        <v>0</v>
      </c>
      <c r="X55" t="s">
        <v>260</v>
      </c>
      <c r="Y55" s="150" t="s">
        <v>169</v>
      </c>
      <c r="Z55" t="s">
        <v>170</v>
      </c>
      <c r="AA55" t="s">
        <v>171</v>
      </c>
      <c r="AB55" s="142" t="s">
        <v>172</v>
      </c>
      <c r="AC55" s="146">
        <v>11</v>
      </c>
      <c r="AD55" s="146">
        <v>4</v>
      </c>
      <c r="AE55" s="146">
        <v>120</v>
      </c>
      <c r="AF55" s="146">
        <v>122</v>
      </c>
      <c r="AG55" s="146" t="s">
        <v>167</v>
      </c>
      <c r="AH55" s="146" t="s">
        <v>167</v>
      </c>
      <c r="AI55" s="146" t="s">
        <v>167</v>
      </c>
      <c r="AJ55" t="s">
        <v>173</v>
      </c>
      <c r="AK55" s="151">
        <v>12.75</v>
      </c>
      <c r="AL55" s="151">
        <v>-78.73</v>
      </c>
      <c r="AM55" s="151">
        <v>12.75</v>
      </c>
      <c r="AN55" s="151">
        <v>-78.73</v>
      </c>
      <c r="AO55" s="151">
        <v>-2828</v>
      </c>
      <c r="AP55" s="151">
        <v>-2828</v>
      </c>
      <c r="AQ55" s="142" t="s">
        <v>167</v>
      </c>
      <c r="AR55" s="142" t="s">
        <v>167</v>
      </c>
      <c r="AS55" s="175">
        <v>3051.27</v>
      </c>
      <c r="AT55" s="153" t="s">
        <v>174</v>
      </c>
      <c r="AU55" s="142">
        <v>15</v>
      </c>
      <c r="AV55" s="142">
        <v>15</v>
      </c>
      <c r="AW55" s="149" t="s">
        <v>167</v>
      </c>
      <c r="AX55" s="171" t="s">
        <v>243</v>
      </c>
      <c r="AY55" s="146" t="s">
        <v>167</v>
      </c>
      <c r="AZ55" t="s">
        <v>167</v>
      </c>
      <c r="BA55" t="s">
        <v>167</v>
      </c>
      <c r="BB55" t="s">
        <v>167</v>
      </c>
      <c r="BC55" t="s">
        <v>167</v>
      </c>
      <c r="BD55" t="s">
        <v>167</v>
      </c>
      <c r="BE55" t="s">
        <v>167</v>
      </c>
      <c r="BF55" t="s">
        <v>167</v>
      </c>
      <c r="BG55" s="154" t="s">
        <v>175</v>
      </c>
      <c r="BH55" t="s">
        <v>176</v>
      </c>
      <c r="BI55" s="155" t="s">
        <v>177</v>
      </c>
      <c r="BJ55" s="155" t="s">
        <v>178</v>
      </c>
      <c r="BK55" s="156" t="s">
        <v>179</v>
      </c>
      <c r="BL55" s="156" t="s">
        <v>180</v>
      </c>
      <c r="BM55" t="s">
        <v>181</v>
      </c>
      <c r="BN55" s="142" t="s">
        <v>182</v>
      </c>
      <c r="BO55" s="142" t="s">
        <v>182</v>
      </c>
      <c r="BP55" s="142" t="s">
        <v>182</v>
      </c>
      <c r="BQ55" s="152">
        <v>19.581440000000001</v>
      </c>
      <c r="BR55" t="s">
        <v>183</v>
      </c>
      <c r="BS55" s="152">
        <v>9.3808649999999993E-2</v>
      </c>
      <c r="BT55">
        <v>0.6</v>
      </c>
      <c r="BU55" t="s">
        <v>184</v>
      </c>
      <c r="BV55" s="153">
        <v>0.08</v>
      </c>
      <c r="BW55">
        <v>8.8699999999999992</v>
      </c>
      <c r="BX55" t="s">
        <v>185</v>
      </c>
      <c r="BY55">
        <v>1.52</v>
      </c>
      <c r="BZ55" t="s">
        <v>224</v>
      </c>
      <c r="CA55" t="s">
        <v>187</v>
      </c>
      <c r="CB55" s="158">
        <f t="shared" si="5"/>
        <v>17.852400000000003</v>
      </c>
      <c r="CC55" t="s">
        <v>184</v>
      </c>
      <c r="CD55" s="149" t="s">
        <v>167</v>
      </c>
      <c r="CE55" s="149" t="s">
        <v>167</v>
      </c>
      <c r="CF55" t="s">
        <v>188</v>
      </c>
      <c r="CG55" t="s">
        <v>189</v>
      </c>
      <c r="CH55" t="s">
        <v>190</v>
      </c>
      <c r="CI55" t="s">
        <v>190</v>
      </c>
      <c r="CJ55" s="152">
        <v>28.746739999999999</v>
      </c>
      <c r="CK55" t="s">
        <v>184</v>
      </c>
      <c r="CL55" s="159">
        <v>3</v>
      </c>
      <c r="CM55" s="159">
        <v>3</v>
      </c>
      <c r="CN55" s="152">
        <v>3.7488706538751901</v>
      </c>
      <c r="CO55" s="152">
        <v>3.7488706538751901</v>
      </c>
      <c r="CP55" t="s">
        <v>191</v>
      </c>
      <c r="CQ55" s="145">
        <f t="shared" si="6"/>
        <v>0.10121950765463013</v>
      </c>
      <c r="CR55" s="145">
        <f t="shared" si="7"/>
        <v>0.10121950765463013</v>
      </c>
      <c r="CS55" s="142" t="s">
        <v>192</v>
      </c>
      <c r="CT55" s="147" t="s">
        <v>193</v>
      </c>
      <c r="CU55" s="152">
        <v>3.623407267914363</v>
      </c>
      <c r="CV55" s="152" t="s">
        <v>194</v>
      </c>
      <c r="CW55" t="s">
        <v>167</v>
      </c>
      <c r="CX55" t="s">
        <v>195</v>
      </c>
      <c r="CY55" t="s">
        <v>167</v>
      </c>
      <c r="CZ55" t="s">
        <v>167</v>
      </c>
      <c r="DA55" t="s">
        <v>167</v>
      </c>
      <c r="DB55" t="s">
        <v>167</v>
      </c>
      <c r="DC55" t="s">
        <v>167</v>
      </c>
      <c r="DD55" t="s">
        <v>167</v>
      </c>
      <c r="DE55" t="s">
        <v>167</v>
      </c>
      <c r="DF55" t="s">
        <v>167</v>
      </c>
      <c r="DG55" s="160">
        <v>35</v>
      </c>
      <c r="DH55" t="s">
        <v>174</v>
      </c>
      <c r="DI55">
        <v>3</v>
      </c>
      <c r="DJ55" s="161" t="s">
        <v>196</v>
      </c>
      <c r="DK55" s="146" t="s">
        <v>167</v>
      </c>
      <c r="DL55" s="146" t="s">
        <v>167</v>
      </c>
      <c r="DM55" s="146" t="s">
        <v>167</v>
      </c>
      <c r="DN55" s="146" t="s">
        <v>167</v>
      </c>
      <c r="DO55" s="146" t="s">
        <v>167</v>
      </c>
      <c r="DP55" s="146" t="s">
        <v>167</v>
      </c>
      <c r="DQ55" s="146" t="s">
        <v>167</v>
      </c>
      <c r="DR55" s="146" t="s">
        <v>167</v>
      </c>
      <c r="DS55" s="146" t="s">
        <v>167</v>
      </c>
      <c r="DT55" s="146" t="s">
        <v>167</v>
      </c>
      <c r="DU55" s="146" t="s">
        <v>167</v>
      </c>
      <c r="DV55" s="146" t="s">
        <v>167</v>
      </c>
      <c r="DW55" s="143">
        <v>432.56244218316402</v>
      </c>
      <c r="DX55" t="s">
        <v>197</v>
      </c>
      <c r="DY55" s="142">
        <v>37.1</v>
      </c>
      <c r="DZ55" t="s">
        <v>198</v>
      </c>
      <c r="EA55" s="152">
        <v>39.173430719999999</v>
      </c>
      <c r="EB55" s="149" t="s">
        <v>185</v>
      </c>
      <c r="EC55" s="162">
        <v>0.2</v>
      </c>
      <c r="ED55" t="s">
        <v>199</v>
      </c>
      <c r="EE55" t="s">
        <v>225</v>
      </c>
      <c r="EF55" t="s">
        <v>201</v>
      </c>
      <c r="EG55">
        <v>1.0271999999999999</v>
      </c>
      <c r="EH55" t="s">
        <v>202</v>
      </c>
      <c r="EI55">
        <v>5.9999999999999995E-4</v>
      </c>
      <c r="EJ55" t="s">
        <v>203</v>
      </c>
      <c r="EK55" t="s">
        <v>167</v>
      </c>
      <c r="EL55" t="s">
        <v>167</v>
      </c>
      <c r="EM55" t="s">
        <v>204</v>
      </c>
      <c r="EN55" t="s">
        <v>226</v>
      </c>
      <c r="EO55" t="s">
        <v>206</v>
      </c>
      <c r="EP55" t="s">
        <v>206</v>
      </c>
      <c r="EQ55" s="146" t="s">
        <v>167</v>
      </c>
      <c r="ER55" t="s">
        <v>167</v>
      </c>
      <c r="ES55" t="s">
        <v>167</v>
      </c>
      <c r="ET55" t="s">
        <v>207</v>
      </c>
      <c r="EU55" t="s">
        <v>208</v>
      </c>
      <c r="EV55" t="s">
        <v>227</v>
      </c>
      <c r="EW55" s="163">
        <v>2330</v>
      </c>
      <c r="EX55" t="s">
        <v>210</v>
      </c>
      <c r="EY55">
        <v>175</v>
      </c>
      <c r="EZ55">
        <v>175</v>
      </c>
      <c r="FA55" t="s">
        <v>167</v>
      </c>
      <c r="FB55" t="s">
        <v>167</v>
      </c>
      <c r="FC55" t="s">
        <v>167</v>
      </c>
      <c r="FD55" t="s">
        <v>167</v>
      </c>
      <c r="FE55" s="152">
        <v>8.0127763680181801</v>
      </c>
      <c r="FF55" s="164" t="s">
        <v>211</v>
      </c>
      <c r="FG55" s="152">
        <v>6.3737828337220748E-2</v>
      </c>
      <c r="FH55" s="152">
        <v>6.6151627235830013E-2</v>
      </c>
      <c r="FI55" s="145">
        <v>439.02181594779398</v>
      </c>
      <c r="FJ55" s="149">
        <v>21</v>
      </c>
      <c r="FK55" s="149" t="s">
        <v>212</v>
      </c>
      <c r="FL55" s="152">
        <v>418.02181594779398</v>
      </c>
      <c r="FM55" s="152">
        <v>94.110963874934043</v>
      </c>
      <c r="FN55" s="152">
        <v>80.076414750173001</v>
      </c>
      <c r="FO55" s="144" t="s">
        <v>213</v>
      </c>
      <c r="FP55" s="144" t="s">
        <v>214</v>
      </c>
      <c r="FQ55" t="s">
        <v>215</v>
      </c>
      <c r="FR55" t="s">
        <v>215</v>
      </c>
      <c r="FS55" t="s">
        <v>215</v>
      </c>
      <c r="FT55" t="s">
        <v>215</v>
      </c>
      <c r="FU55" t="s">
        <v>215</v>
      </c>
      <c r="FV55" t="s">
        <v>215</v>
      </c>
      <c r="FW55" t="s">
        <v>215</v>
      </c>
      <c r="FX55" t="s">
        <v>215</v>
      </c>
      <c r="FY55" t="s">
        <v>215</v>
      </c>
      <c r="FZ55" t="s">
        <v>215</v>
      </c>
      <c r="GA55" t="s">
        <v>215</v>
      </c>
      <c r="GB55" t="s">
        <v>215</v>
      </c>
    </row>
    <row r="56" spans="1:184" ht="18" x14ac:dyDescent="0.2">
      <c r="A56" t="s">
        <v>240</v>
      </c>
      <c r="B56" s="141" t="s">
        <v>241</v>
      </c>
      <c r="C56" s="138" t="s">
        <v>168</v>
      </c>
      <c r="D56" t="s">
        <v>239</v>
      </c>
      <c r="E56">
        <v>2015</v>
      </c>
      <c r="F56" t="str">
        <f t="shared" si="9"/>
        <v>10.1038/nature14145</v>
      </c>
      <c r="G56" s="175">
        <v>3060.8</v>
      </c>
      <c r="H56" s="142">
        <f t="shared" si="10"/>
        <v>15</v>
      </c>
      <c r="I56" s="142">
        <f t="shared" si="11"/>
        <v>15</v>
      </c>
      <c r="J56" s="148">
        <f t="shared" si="12"/>
        <v>361.315391905887</v>
      </c>
      <c r="K56" s="148">
        <f t="shared" si="13"/>
        <v>83.245262861694016</v>
      </c>
      <c r="L56" s="148">
        <f t="shared" si="14"/>
        <v>73.093702386770985</v>
      </c>
      <c r="M56" t="b">
        <v>1</v>
      </c>
      <c r="N56">
        <v>3</v>
      </c>
      <c r="O56" t="s">
        <v>245</v>
      </c>
      <c r="P56" s="174" t="s">
        <v>259</v>
      </c>
      <c r="Q56" t="b">
        <v>0</v>
      </c>
      <c r="R56" t="s">
        <v>167</v>
      </c>
      <c r="S56" t="b">
        <v>0</v>
      </c>
      <c r="T56" t="b">
        <v>0</v>
      </c>
      <c r="U56" t="s">
        <v>167</v>
      </c>
      <c r="V56" t="s">
        <v>167</v>
      </c>
      <c r="W56" t="b">
        <v>0</v>
      </c>
      <c r="X56" t="s">
        <v>260</v>
      </c>
      <c r="Y56" s="150" t="s">
        <v>169</v>
      </c>
      <c r="Z56" t="s">
        <v>170</v>
      </c>
      <c r="AA56" t="s">
        <v>171</v>
      </c>
      <c r="AB56" s="142" t="s">
        <v>172</v>
      </c>
      <c r="AC56" s="146">
        <v>11</v>
      </c>
      <c r="AD56" s="146">
        <v>5</v>
      </c>
      <c r="AE56" s="146">
        <v>2</v>
      </c>
      <c r="AF56" s="146">
        <v>4</v>
      </c>
      <c r="AG56" s="146" t="s">
        <v>167</v>
      </c>
      <c r="AH56" s="146" t="s">
        <v>167</v>
      </c>
      <c r="AI56" s="146" t="s">
        <v>167</v>
      </c>
      <c r="AJ56" t="s">
        <v>173</v>
      </c>
      <c r="AK56" s="151">
        <v>12.75</v>
      </c>
      <c r="AL56" s="151">
        <v>-78.73</v>
      </c>
      <c r="AM56" s="151">
        <v>12.75</v>
      </c>
      <c r="AN56" s="151">
        <v>-78.73</v>
      </c>
      <c r="AO56" s="151">
        <v>-2828</v>
      </c>
      <c r="AP56" s="151">
        <v>-2828</v>
      </c>
      <c r="AQ56" s="142" t="s">
        <v>167</v>
      </c>
      <c r="AR56" s="142" t="s">
        <v>167</v>
      </c>
      <c r="AS56" s="175">
        <v>3060.8</v>
      </c>
      <c r="AT56" s="153" t="s">
        <v>174</v>
      </c>
      <c r="AU56" s="142">
        <v>15</v>
      </c>
      <c r="AV56" s="142">
        <v>15</v>
      </c>
      <c r="AW56" s="149" t="s">
        <v>167</v>
      </c>
      <c r="AX56" s="171" t="s">
        <v>243</v>
      </c>
      <c r="AY56" s="146" t="s">
        <v>167</v>
      </c>
      <c r="AZ56" t="s">
        <v>167</v>
      </c>
      <c r="BA56" t="s">
        <v>167</v>
      </c>
      <c r="BB56" t="s">
        <v>167</v>
      </c>
      <c r="BC56" t="s">
        <v>167</v>
      </c>
      <c r="BD56" t="s">
        <v>167</v>
      </c>
      <c r="BE56" t="s">
        <v>167</v>
      </c>
      <c r="BF56" t="s">
        <v>167</v>
      </c>
      <c r="BG56" s="154" t="s">
        <v>175</v>
      </c>
      <c r="BH56" t="s">
        <v>176</v>
      </c>
      <c r="BI56" s="155" t="s">
        <v>177</v>
      </c>
      <c r="BJ56" s="156" t="s">
        <v>178</v>
      </c>
      <c r="BK56" s="156" t="s">
        <v>179</v>
      </c>
      <c r="BL56" s="156" t="s">
        <v>180</v>
      </c>
      <c r="BM56" s="157" t="s">
        <v>181</v>
      </c>
      <c r="BN56" s="142" t="s">
        <v>182</v>
      </c>
      <c r="BO56" s="142" t="s">
        <v>182</v>
      </c>
      <c r="BP56" s="142" t="s">
        <v>182</v>
      </c>
      <c r="BQ56" s="152">
        <v>19.83933</v>
      </c>
      <c r="BR56" t="s">
        <v>183</v>
      </c>
      <c r="BS56" s="152">
        <v>0.150337269</v>
      </c>
      <c r="BT56">
        <v>0.6</v>
      </c>
      <c r="BU56" t="s">
        <v>184</v>
      </c>
      <c r="BV56" s="153">
        <v>0.08</v>
      </c>
      <c r="BW56">
        <v>8.8699999999999992</v>
      </c>
      <c r="BX56" t="s">
        <v>185</v>
      </c>
      <c r="BY56">
        <v>1.52</v>
      </c>
      <c r="BZ56" t="s">
        <v>224</v>
      </c>
      <c r="CA56" t="s">
        <v>187</v>
      </c>
      <c r="CB56" s="158">
        <f t="shared" si="5"/>
        <v>18.28221666666667</v>
      </c>
      <c r="CC56" t="s">
        <v>184</v>
      </c>
      <c r="CD56" s="149" t="s">
        <v>167</v>
      </c>
      <c r="CE56" s="149" t="s">
        <v>167</v>
      </c>
      <c r="CF56" t="s">
        <v>188</v>
      </c>
      <c r="CG56" t="s">
        <v>189</v>
      </c>
      <c r="CH56" t="s">
        <v>190</v>
      </c>
      <c r="CI56" t="s">
        <v>190</v>
      </c>
      <c r="CJ56" s="152">
        <v>27.875610000000002</v>
      </c>
      <c r="CK56" t="s">
        <v>184</v>
      </c>
      <c r="CL56" s="159">
        <v>3</v>
      </c>
      <c r="CM56" s="159">
        <v>3</v>
      </c>
      <c r="CN56" s="152">
        <v>3.4609632352074677</v>
      </c>
      <c r="CO56" s="152">
        <v>3.4609632352074677</v>
      </c>
      <c r="CP56" t="s">
        <v>191</v>
      </c>
      <c r="CQ56" s="145">
        <f t="shared" si="6"/>
        <v>9.3446007350601629E-2</v>
      </c>
      <c r="CR56" s="145">
        <f t="shared" si="7"/>
        <v>9.3446007350601629E-2</v>
      </c>
      <c r="CS56" s="142" t="s">
        <v>192</v>
      </c>
      <c r="CT56" s="147" t="s">
        <v>193</v>
      </c>
      <c r="CU56" s="152">
        <v>3.6101223442032326</v>
      </c>
      <c r="CV56" s="152" t="s">
        <v>194</v>
      </c>
      <c r="CW56" t="s">
        <v>167</v>
      </c>
      <c r="CX56" t="s">
        <v>195</v>
      </c>
      <c r="CY56" t="s">
        <v>167</v>
      </c>
      <c r="CZ56" t="s">
        <v>167</v>
      </c>
      <c r="DA56" t="s">
        <v>167</v>
      </c>
      <c r="DB56" t="s">
        <v>167</v>
      </c>
      <c r="DC56" t="s">
        <v>167</v>
      </c>
      <c r="DD56" t="s">
        <v>167</v>
      </c>
      <c r="DE56" t="s">
        <v>167</v>
      </c>
      <c r="DF56" t="s">
        <v>167</v>
      </c>
      <c r="DG56" s="160">
        <v>35</v>
      </c>
      <c r="DH56" t="s">
        <v>174</v>
      </c>
      <c r="DI56">
        <v>3</v>
      </c>
      <c r="DJ56" s="161" t="s">
        <v>196</v>
      </c>
      <c r="DK56" s="146" t="s">
        <v>167</v>
      </c>
      <c r="DL56" s="146" t="s">
        <v>167</v>
      </c>
      <c r="DM56" s="146" t="s">
        <v>167</v>
      </c>
      <c r="DN56" s="146" t="s">
        <v>167</v>
      </c>
      <c r="DO56" s="146" t="s">
        <v>167</v>
      </c>
      <c r="DP56" s="146" t="s">
        <v>167</v>
      </c>
      <c r="DQ56" s="146" t="s">
        <v>167</v>
      </c>
      <c r="DR56" s="146" t="s">
        <v>167</v>
      </c>
      <c r="DS56" s="146" t="s">
        <v>167</v>
      </c>
      <c r="DT56" s="146" t="s">
        <v>167</v>
      </c>
      <c r="DU56" s="146" t="s">
        <v>167</v>
      </c>
      <c r="DV56" s="146" t="s">
        <v>167</v>
      </c>
      <c r="DW56" s="143">
        <v>432.56244218316402</v>
      </c>
      <c r="DX56" t="s">
        <v>197</v>
      </c>
      <c r="DY56" s="142">
        <v>37.1</v>
      </c>
      <c r="DZ56" t="s">
        <v>198</v>
      </c>
      <c r="EA56" s="152">
        <v>39.172226469999998</v>
      </c>
      <c r="EB56" s="149" t="s">
        <v>185</v>
      </c>
      <c r="EC56" s="162">
        <v>0.2</v>
      </c>
      <c r="ED56" t="s">
        <v>199</v>
      </c>
      <c r="EE56" t="s">
        <v>225</v>
      </c>
      <c r="EF56" t="s">
        <v>201</v>
      </c>
      <c r="EG56">
        <v>1.0271999999999999</v>
      </c>
      <c r="EH56" t="s">
        <v>202</v>
      </c>
      <c r="EI56">
        <v>5.9999999999999995E-4</v>
      </c>
      <c r="EJ56" t="s">
        <v>203</v>
      </c>
      <c r="EK56" t="s">
        <v>167</v>
      </c>
      <c r="EL56" t="s">
        <v>167</v>
      </c>
      <c r="EM56" t="s">
        <v>204</v>
      </c>
      <c r="EN56" t="s">
        <v>226</v>
      </c>
      <c r="EO56" t="s">
        <v>206</v>
      </c>
      <c r="EP56" t="s">
        <v>206</v>
      </c>
      <c r="EQ56" s="146" t="s">
        <v>167</v>
      </c>
      <c r="ER56" t="s">
        <v>167</v>
      </c>
      <c r="ES56" t="s">
        <v>167</v>
      </c>
      <c r="ET56" t="s">
        <v>207</v>
      </c>
      <c r="EU56" t="s">
        <v>208</v>
      </c>
      <c r="EV56" t="s">
        <v>227</v>
      </c>
      <c r="EW56" s="163">
        <v>2330</v>
      </c>
      <c r="EX56" t="s">
        <v>210</v>
      </c>
      <c r="EY56">
        <v>175</v>
      </c>
      <c r="EZ56">
        <v>175</v>
      </c>
      <c r="FA56" t="s">
        <v>167</v>
      </c>
      <c r="FB56" t="s">
        <v>167</v>
      </c>
      <c r="FC56" t="s">
        <v>167</v>
      </c>
      <c r="FD56" t="s">
        <v>167</v>
      </c>
      <c r="FE56" s="152">
        <v>8.0618959624255595</v>
      </c>
      <c r="FF56" s="164" t="s">
        <v>211</v>
      </c>
      <c r="FG56" s="152">
        <v>6.6622222814400445E-2</v>
      </c>
      <c r="FH56" s="152">
        <v>6.6452285723189064E-2</v>
      </c>
      <c r="FI56" s="145">
        <v>382.315391905887</v>
      </c>
      <c r="FJ56" s="149">
        <v>21</v>
      </c>
      <c r="FK56" s="149" t="s">
        <v>212</v>
      </c>
      <c r="FL56" s="152">
        <v>361.315391905887</v>
      </c>
      <c r="FM56" s="152">
        <v>83.245262861694016</v>
      </c>
      <c r="FN56" s="152">
        <v>73.093702386770985</v>
      </c>
      <c r="FO56" s="144" t="s">
        <v>213</v>
      </c>
      <c r="FP56" s="144" t="s">
        <v>214</v>
      </c>
      <c r="FQ56" t="s">
        <v>215</v>
      </c>
      <c r="FR56" t="s">
        <v>215</v>
      </c>
      <c r="FS56" t="s">
        <v>215</v>
      </c>
      <c r="FT56" t="s">
        <v>215</v>
      </c>
      <c r="FU56" t="s">
        <v>215</v>
      </c>
      <c r="FV56" t="s">
        <v>215</v>
      </c>
      <c r="FW56" t="s">
        <v>215</v>
      </c>
      <c r="FX56" t="s">
        <v>215</v>
      </c>
      <c r="FY56" t="s">
        <v>215</v>
      </c>
      <c r="FZ56" t="s">
        <v>215</v>
      </c>
      <c r="GA56" t="s">
        <v>215</v>
      </c>
      <c r="GB56" t="s">
        <v>215</v>
      </c>
    </row>
    <row r="57" spans="1:184" ht="18" x14ac:dyDescent="0.2">
      <c r="A57" t="s">
        <v>240</v>
      </c>
      <c r="B57" s="141" t="s">
        <v>241</v>
      </c>
      <c r="C57" s="138" t="s">
        <v>168</v>
      </c>
      <c r="D57" t="s">
        <v>239</v>
      </c>
      <c r="E57">
        <v>2015</v>
      </c>
      <c r="F57" t="str">
        <f t="shared" si="9"/>
        <v>10.1038/nature14145</v>
      </c>
      <c r="G57" s="175">
        <v>3064.67</v>
      </c>
      <c r="H57" s="142">
        <f t="shared" si="10"/>
        <v>15</v>
      </c>
      <c r="I57" s="142">
        <f t="shared" si="11"/>
        <v>15</v>
      </c>
      <c r="J57" s="148">
        <f t="shared" si="12"/>
        <v>413.098099028148</v>
      </c>
      <c r="K57" s="148">
        <f t="shared" si="13"/>
        <v>94.649046109315975</v>
      </c>
      <c r="L57" s="148">
        <f t="shared" si="14"/>
        <v>81.836032830841987</v>
      </c>
      <c r="M57" t="b">
        <v>1</v>
      </c>
      <c r="N57">
        <v>3</v>
      </c>
      <c r="O57" t="s">
        <v>245</v>
      </c>
      <c r="P57" s="174" t="s">
        <v>259</v>
      </c>
      <c r="Q57" t="b">
        <v>0</v>
      </c>
      <c r="R57" t="s">
        <v>167</v>
      </c>
      <c r="S57" t="b">
        <v>0</v>
      </c>
      <c r="T57" t="b">
        <v>0</v>
      </c>
      <c r="U57" t="s">
        <v>167</v>
      </c>
      <c r="V57" t="s">
        <v>167</v>
      </c>
      <c r="W57" t="b">
        <v>0</v>
      </c>
      <c r="X57" t="s">
        <v>260</v>
      </c>
      <c r="Y57" s="150" t="s">
        <v>169</v>
      </c>
      <c r="Z57" t="s">
        <v>170</v>
      </c>
      <c r="AA57" t="s">
        <v>171</v>
      </c>
      <c r="AB57" s="142" t="s">
        <v>172</v>
      </c>
      <c r="AC57" s="146">
        <v>11</v>
      </c>
      <c r="AD57" s="146">
        <v>5</v>
      </c>
      <c r="AE57" s="146">
        <v>16</v>
      </c>
      <c r="AF57" s="146">
        <v>18</v>
      </c>
      <c r="AG57" s="146" t="s">
        <v>167</v>
      </c>
      <c r="AH57" s="146" t="s">
        <v>167</v>
      </c>
      <c r="AI57" s="146" t="s">
        <v>167</v>
      </c>
      <c r="AJ57" t="s">
        <v>173</v>
      </c>
      <c r="AK57" s="151">
        <v>12.75</v>
      </c>
      <c r="AL57" s="151">
        <v>-78.73</v>
      </c>
      <c r="AM57" s="151">
        <v>12.75</v>
      </c>
      <c r="AN57" s="151">
        <v>-78.73</v>
      </c>
      <c r="AO57" s="151">
        <v>-2828</v>
      </c>
      <c r="AP57" s="151">
        <v>-2828</v>
      </c>
      <c r="AQ57" s="142" t="s">
        <v>167</v>
      </c>
      <c r="AR57" s="142" t="s">
        <v>167</v>
      </c>
      <c r="AS57" s="175">
        <v>3064.67</v>
      </c>
      <c r="AT57" s="153" t="s">
        <v>174</v>
      </c>
      <c r="AU57" s="142">
        <v>15</v>
      </c>
      <c r="AV57" s="142">
        <v>15</v>
      </c>
      <c r="AW57" s="149" t="s">
        <v>167</v>
      </c>
      <c r="AX57" s="171" t="s">
        <v>243</v>
      </c>
      <c r="AY57" s="146" t="s">
        <v>167</v>
      </c>
      <c r="AZ57" t="s">
        <v>167</v>
      </c>
      <c r="BA57" t="s">
        <v>167</v>
      </c>
      <c r="BB57" t="s">
        <v>167</v>
      </c>
      <c r="BC57" t="s">
        <v>167</v>
      </c>
      <c r="BD57" t="s">
        <v>167</v>
      </c>
      <c r="BE57" t="s">
        <v>167</v>
      </c>
      <c r="BF57" t="s">
        <v>167</v>
      </c>
      <c r="BG57" s="154" t="s">
        <v>175</v>
      </c>
      <c r="BH57" t="s">
        <v>176</v>
      </c>
      <c r="BI57" s="155" t="s">
        <v>177</v>
      </c>
      <c r="BJ57" s="155" t="s">
        <v>178</v>
      </c>
      <c r="BK57" s="156" t="s">
        <v>179</v>
      </c>
      <c r="BL57" s="156" t="s">
        <v>180</v>
      </c>
      <c r="BM57" t="s">
        <v>181</v>
      </c>
      <c r="BN57" s="142" t="s">
        <v>182</v>
      </c>
      <c r="BO57" s="142" t="s">
        <v>182</v>
      </c>
      <c r="BP57" s="142" t="s">
        <v>182</v>
      </c>
      <c r="BQ57" s="152">
        <v>19.522780000000001</v>
      </c>
      <c r="BR57" t="s">
        <v>183</v>
      </c>
      <c r="BS57" s="152">
        <v>0.114770092</v>
      </c>
      <c r="BT57">
        <v>0.6</v>
      </c>
      <c r="BU57" t="s">
        <v>184</v>
      </c>
      <c r="BV57" s="153">
        <v>0.08</v>
      </c>
      <c r="BW57">
        <v>8.8699999999999992</v>
      </c>
      <c r="BX57" t="s">
        <v>185</v>
      </c>
      <c r="BY57">
        <v>1.52</v>
      </c>
      <c r="BZ57" t="s">
        <v>224</v>
      </c>
      <c r="CA57" t="s">
        <v>187</v>
      </c>
      <c r="CB57" s="158">
        <f t="shared" si="5"/>
        <v>17.754633333333338</v>
      </c>
      <c r="CC57" t="s">
        <v>184</v>
      </c>
      <c r="CD57" s="149" t="s">
        <v>167</v>
      </c>
      <c r="CE57" s="149" t="s">
        <v>167</v>
      </c>
      <c r="CF57" t="s">
        <v>188</v>
      </c>
      <c r="CG57" t="s">
        <v>189</v>
      </c>
      <c r="CH57" t="s">
        <v>190</v>
      </c>
      <c r="CI57" t="s">
        <v>190</v>
      </c>
      <c r="CJ57" s="152">
        <v>27.52</v>
      </c>
      <c r="CK57" t="s">
        <v>184</v>
      </c>
      <c r="CL57" s="159">
        <v>3</v>
      </c>
      <c r="CM57" s="159">
        <v>3</v>
      </c>
      <c r="CN57" s="152">
        <v>3.3497333239082376</v>
      </c>
      <c r="CO57" s="152">
        <v>3.3497333239082376</v>
      </c>
      <c r="CP57" t="s">
        <v>191</v>
      </c>
      <c r="CQ57" s="145">
        <f t="shared" si="6"/>
        <v>9.0442799745522412E-2</v>
      </c>
      <c r="CR57" s="145">
        <f t="shared" si="7"/>
        <v>9.0442799745522412E-2</v>
      </c>
      <c r="CS57" s="142" t="s">
        <v>192</v>
      </c>
      <c r="CT57" s="147" t="s">
        <v>193</v>
      </c>
      <c r="CU57" s="152">
        <v>3.6043041380295855</v>
      </c>
      <c r="CV57" s="152" t="s">
        <v>194</v>
      </c>
      <c r="CW57" t="s">
        <v>167</v>
      </c>
      <c r="CX57" t="s">
        <v>195</v>
      </c>
      <c r="CY57" t="s">
        <v>167</v>
      </c>
      <c r="CZ57" t="s">
        <v>167</v>
      </c>
      <c r="DA57" t="s">
        <v>167</v>
      </c>
      <c r="DB57" t="s">
        <v>167</v>
      </c>
      <c r="DC57" t="s">
        <v>167</v>
      </c>
      <c r="DD57" t="s">
        <v>167</v>
      </c>
      <c r="DE57" t="s">
        <v>167</v>
      </c>
      <c r="DF57" t="s">
        <v>167</v>
      </c>
      <c r="DG57" s="160">
        <v>35</v>
      </c>
      <c r="DH57" t="s">
        <v>174</v>
      </c>
      <c r="DI57">
        <v>3</v>
      </c>
      <c r="DJ57" s="161" t="s">
        <v>196</v>
      </c>
      <c r="DK57" s="146" t="s">
        <v>167</v>
      </c>
      <c r="DL57" s="146" t="s">
        <v>167</v>
      </c>
      <c r="DM57" s="146" t="s">
        <v>167</v>
      </c>
      <c r="DN57" s="146" t="s">
        <v>167</v>
      </c>
      <c r="DO57" s="146" t="s">
        <v>167</v>
      </c>
      <c r="DP57" s="146" t="s">
        <v>167</v>
      </c>
      <c r="DQ57" s="146" t="s">
        <v>167</v>
      </c>
      <c r="DR57" s="146" t="s">
        <v>167</v>
      </c>
      <c r="DS57" s="146" t="s">
        <v>167</v>
      </c>
      <c r="DT57" s="146" t="s">
        <v>167</v>
      </c>
      <c r="DU57" s="146" t="s">
        <v>167</v>
      </c>
      <c r="DV57" s="146" t="s">
        <v>167</v>
      </c>
      <c r="DW57" s="143">
        <v>432.56244218316402</v>
      </c>
      <c r="DX57" t="s">
        <v>197</v>
      </c>
      <c r="DY57" s="142">
        <v>37.1</v>
      </c>
      <c r="DZ57" t="s">
        <v>198</v>
      </c>
      <c r="EA57" s="152">
        <v>39.171378109999999</v>
      </c>
      <c r="EB57" s="149" t="s">
        <v>185</v>
      </c>
      <c r="EC57" s="162">
        <v>0.2</v>
      </c>
      <c r="ED57" t="s">
        <v>199</v>
      </c>
      <c r="EE57" t="s">
        <v>225</v>
      </c>
      <c r="EF57" t="s">
        <v>201</v>
      </c>
      <c r="EG57">
        <v>1.0271999999999999</v>
      </c>
      <c r="EH57" t="s">
        <v>202</v>
      </c>
      <c r="EI57">
        <v>5.9999999999999995E-4</v>
      </c>
      <c r="EJ57" t="s">
        <v>203</v>
      </c>
      <c r="EK57" t="s">
        <v>167</v>
      </c>
      <c r="EL57" t="s">
        <v>167</v>
      </c>
      <c r="EM57" t="s">
        <v>204</v>
      </c>
      <c r="EN57" t="s">
        <v>226</v>
      </c>
      <c r="EO57" t="s">
        <v>206</v>
      </c>
      <c r="EP57" t="s">
        <v>206</v>
      </c>
      <c r="EQ57" s="146" t="s">
        <v>167</v>
      </c>
      <c r="ER57" t="s">
        <v>167</v>
      </c>
      <c r="ES57" t="s">
        <v>167</v>
      </c>
      <c r="ET57" t="s">
        <v>207</v>
      </c>
      <c r="EU57" t="s">
        <v>208</v>
      </c>
      <c r="EV57" t="s">
        <v>227</v>
      </c>
      <c r="EW57" s="163">
        <v>2330</v>
      </c>
      <c r="EX57" t="s">
        <v>210</v>
      </c>
      <c r="EY57">
        <v>175</v>
      </c>
      <c r="EZ57">
        <v>175</v>
      </c>
      <c r="FA57" t="s">
        <v>167</v>
      </c>
      <c r="FB57" t="s">
        <v>167</v>
      </c>
      <c r="FC57" t="s">
        <v>167</v>
      </c>
      <c r="FD57" t="s">
        <v>167</v>
      </c>
      <c r="FE57" s="152">
        <v>8.0179670174863098</v>
      </c>
      <c r="FF57" s="164" t="s">
        <v>211</v>
      </c>
      <c r="FG57" s="152">
        <v>6.649388887912977E-2</v>
      </c>
      <c r="FH57" s="152">
        <v>6.7616182604779418E-2</v>
      </c>
      <c r="FI57" s="145">
        <v>434.098099028148</v>
      </c>
      <c r="FJ57" s="149">
        <v>21</v>
      </c>
      <c r="FK57" s="149" t="s">
        <v>212</v>
      </c>
      <c r="FL57" s="152">
        <v>413.098099028148</v>
      </c>
      <c r="FM57" s="152">
        <v>94.649046109315975</v>
      </c>
      <c r="FN57" s="152">
        <v>81.836032830841987</v>
      </c>
      <c r="FO57" s="144" t="s">
        <v>213</v>
      </c>
      <c r="FP57" s="144" t="s">
        <v>214</v>
      </c>
      <c r="FQ57" t="s">
        <v>215</v>
      </c>
      <c r="FR57" t="s">
        <v>215</v>
      </c>
      <c r="FS57" t="s">
        <v>215</v>
      </c>
      <c r="FT57" t="s">
        <v>215</v>
      </c>
      <c r="FU57" t="s">
        <v>215</v>
      </c>
      <c r="FV57" t="s">
        <v>215</v>
      </c>
      <c r="FW57" t="s">
        <v>215</v>
      </c>
      <c r="FX57" t="s">
        <v>215</v>
      </c>
      <c r="FY57" t="s">
        <v>215</v>
      </c>
      <c r="FZ57" t="s">
        <v>215</v>
      </c>
      <c r="GA57" t="s">
        <v>215</v>
      </c>
      <c r="GB57" t="s">
        <v>215</v>
      </c>
    </row>
    <row r="58" spans="1:184" ht="18" x14ac:dyDescent="0.2">
      <c r="A58" t="s">
        <v>240</v>
      </c>
      <c r="B58" s="141" t="s">
        <v>241</v>
      </c>
      <c r="C58" s="138" t="s">
        <v>168</v>
      </c>
      <c r="D58" t="s">
        <v>239</v>
      </c>
      <c r="E58">
        <v>2015</v>
      </c>
      <c r="F58" t="str">
        <f t="shared" si="9"/>
        <v>10.1038/nature14145</v>
      </c>
      <c r="G58" s="175">
        <v>3067.99</v>
      </c>
      <c r="H58" s="142">
        <f t="shared" si="10"/>
        <v>15</v>
      </c>
      <c r="I58" s="142">
        <f t="shared" si="11"/>
        <v>15</v>
      </c>
      <c r="J58" s="148">
        <f t="shared" si="12"/>
        <v>379.83358018496301</v>
      </c>
      <c r="K58" s="148">
        <f t="shared" si="13"/>
        <v>86.485455406184997</v>
      </c>
      <c r="L58" s="148">
        <f t="shared" si="14"/>
        <v>74.895650652098027</v>
      </c>
      <c r="M58" t="b">
        <v>1</v>
      </c>
      <c r="N58">
        <v>3</v>
      </c>
      <c r="O58" t="s">
        <v>245</v>
      </c>
      <c r="P58" s="174" t="s">
        <v>259</v>
      </c>
      <c r="Q58" t="b">
        <v>0</v>
      </c>
      <c r="R58" t="s">
        <v>167</v>
      </c>
      <c r="S58" t="b">
        <v>0</v>
      </c>
      <c r="T58" t="b">
        <v>0</v>
      </c>
      <c r="U58" t="s">
        <v>167</v>
      </c>
      <c r="V58" t="s">
        <v>167</v>
      </c>
      <c r="W58" t="b">
        <v>0</v>
      </c>
      <c r="X58" t="s">
        <v>260</v>
      </c>
      <c r="Y58" s="150" t="s">
        <v>169</v>
      </c>
      <c r="Z58" t="s">
        <v>170</v>
      </c>
      <c r="AA58" t="s">
        <v>171</v>
      </c>
      <c r="AB58" s="142" t="s">
        <v>172</v>
      </c>
      <c r="AC58" s="146">
        <v>11</v>
      </c>
      <c r="AD58" s="146">
        <v>5</v>
      </c>
      <c r="AE58" s="146">
        <v>28</v>
      </c>
      <c r="AF58" s="146">
        <v>30</v>
      </c>
      <c r="AG58" s="146" t="s">
        <v>167</v>
      </c>
      <c r="AH58" s="146" t="s">
        <v>167</v>
      </c>
      <c r="AI58" s="146" t="s">
        <v>167</v>
      </c>
      <c r="AJ58" t="s">
        <v>173</v>
      </c>
      <c r="AK58" s="151">
        <v>12.75</v>
      </c>
      <c r="AL58" s="151">
        <v>-78.73</v>
      </c>
      <c r="AM58" s="151">
        <v>12.75</v>
      </c>
      <c r="AN58" s="151">
        <v>-78.73</v>
      </c>
      <c r="AO58" s="151">
        <v>-2828</v>
      </c>
      <c r="AP58" s="151">
        <v>-2828</v>
      </c>
      <c r="AQ58" s="142" t="s">
        <v>167</v>
      </c>
      <c r="AR58" s="142" t="s">
        <v>167</v>
      </c>
      <c r="AS58" s="175">
        <v>3067.99</v>
      </c>
      <c r="AT58" s="153" t="s">
        <v>174</v>
      </c>
      <c r="AU58" s="142">
        <v>15</v>
      </c>
      <c r="AV58" s="142">
        <v>15</v>
      </c>
      <c r="AW58" s="149" t="s">
        <v>167</v>
      </c>
      <c r="AX58" s="171" t="s">
        <v>243</v>
      </c>
      <c r="AY58" s="146" t="s">
        <v>167</v>
      </c>
      <c r="AZ58" t="s">
        <v>167</v>
      </c>
      <c r="BA58" t="s">
        <v>167</v>
      </c>
      <c r="BB58" t="s">
        <v>167</v>
      </c>
      <c r="BC58" t="s">
        <v>167</v>
      </c>
      <c r="BD58" t="s">
        <v>167</v>
      </c>
      <c r="BE58" t="s">
        <v>167</v>
      </c>
      <c r="BF58" t="s">
        <v>167</v>
      </c>
      <c r="BG58" s="154" t="s">
        <v>175</v>
      </c>
      <c r="BH58" t="s">
        <v>176</v>
      </c>
      <c r="BI58" s="155" t="s">
        <v>177</v>
      </c>
      <c r="BJ58" s="156" t="s">
        <v>178</v>
      </c>
      <c r="BK58" s="156" t="s">
        <v>179</v>
      </c>
      <c r="BL58" s="156" t="s">
        <v>180</v>
      </c>
      <c r="BM58" s="157" t="s">
        <v>181</v>
      </c>
      <c r="BN58" s="142" t="s">
        <v>182</v>
      </c>
      <c r="BO58" s="142" t="s">
        <v>182</v>
      </c>
      <c r="BP58" s="142" t="s">
        <v>182</v>
      </c>
      <c r="BQ58" s="152">
        <v>19.6676</v>
      </c>
      <c r="BR58" t="s">
        <v>183</v>
      </c>
      <c r="BS58" s="152">
        <v>0.113555926</v>
      </c>
      <c r="BT58">
        <v>0.6</v>
      </c>
      <c r="BU58" t="s">
        <v>184</v>
      </c>
      <c r="BV58" s="153">
        <v>0.08</v>
      </c>
      <c r="BW58">
        <v>8.8699999999999992</v>
      </c>
      <c r="BX58" t="s">
        <v>185</v>
      </c>
      <c r="BY58">
        <v>1.52</v>
      </c>
      <c r="BZ58" t="s">
        <v>224</v>
      </c>
      <c r="CA58" t="s">
        <v>187</v>
      </c>
      <c r="CB58" s="158">
        <f t="shared" si="5"/>
        <v>17.996000000000002</v>
      </c>
      <c r="CC58" t="s">
        <v>184</v>
      </c>
      <c r="CD58" s="149" t="s">
        <v>167</v>
      </c>
      <c r="CE58" s="149" t="s">
        <v>167</v>
      </c>
      <c r="CF58" t="s">
        <v>188</v>
      </c>
      <c r="CG58" t="s">
        <v>189</v>
      </c>
      <c r="CH58" t="s">
        <v>190</v>
      </c>
      <c r="CI58" t="s">
        <v>190</v>
      </c>
      <c r="CJ58" s="152">
        <v>27.04336</v>
      </c>
      <c r="CK58" t="s">
        <v>184</v>
      </c>
      <c r="CL58" s="159">
        <v>3</v>
      </c>
      <c r="CM58" s="159">
        <v>3</v>
      </c>
      <c r="CN58" s="152">
        <v>3.2071428815076004</v>
      </c>
      <c r="CO58" s="152">
        <v>3.2071428815076004</v>
      </c>
      <c r="CP58" t="s">
        <v>191</v>
      </c>
      <c r="CQ58" s="145">
        <f t="shared" si="6"/>
        <v>8.6592857800705206E-2</v>
      </c>
      <c r="CR58" s="145">
        <f t="shared" si="7"/>
        <v>8.6592857800705206E-2</v>
      </c>
      <c r="CS58" s="142" t="s">
        <v>192</v>
      </c>
      <c r="CT58" s="147" t="s">
        <v>193</v>
      </c>
      <c r="CU58" s="152">
        <v>3.5990100093583464</v>
      </c>
      <c r="CV58" s="152" t="s">
        <v>194</v>
      </c>
      <c r="CW58" t="s">
        <v>167</v>
      </c>
      <c r="CX58" t="s">
        <v>195</v>
      </c>
      <c r="CY58" t="s">
        <v>167</v>
      </c>
      <c r="CZ58" t="s">
        <v>167</v>
      </c>
      <c r="DA58" t="s">
        <v>167</v>
      </c>
      <c r="DB58" t="s">
        <v>167</v>
      </c>
      <c r="DC58" t="s">
        <v>167</v>
      </c>
      <c r="DD58" t="s">
        <v>167</v>
      </c>
      <c r="DE58" t="s">
        <v>167</v>
      </c>
      <c r="DF58" t="s">
        <v>167</v>
      </c>
      <c r="DG58" s="160">
        <v>35</v>
      </c>
      <c r="DH58" t="s">
        <v>174</v>
      </c>
      <c r="DI58">
        <v>3</v>
      </c>
      <c r="DJ58" s="161" t="s">
        <v>196</v>
      </c>
      <c r="DK58" s="146" t="s">
        <v>167</v>
      </c>
      <c r="DL58" s="146" t="s">
        <v>167</v>
      </c>
      <c r="DM58" s="146" t="s">
        <v>167</v>
      </c>
      <c r="DN58" s="146" t="s">
        <v>167</v>
      </c>
      <c r="DO58" s="146" t="s">
        <v>167</v>
      </c>
      <c r="DP58" s="146" t="s">
        <v>167</v>
      </c>
      <c r="DQ58" s="146" t="s">
        <v>167</v>
      </c>
      <c r="DR58" s="146" t="s">
        <v>167</v>
      </c>
      <c r="DS58" s="146" t="s">
        <v>167</v>
      </c>
      <c r="DT58" s="146" t="s">
        <v>167</v>
      </c>
      <c r="DU58" s="146" t="s">
        <v>167</v>
      </c>
      <c r="DV58" s="146" t="s">
        <v>167</v>
      </c>
      <c r="DW58" s="143">
        <v>432.56244218316402</v>
      </c>
      <c r="DX58" t="s">
        <v>197</v>
      </c>
      <c r="DY58" s="142">
        <v>37.1</v>
      </c>
      <c r="DZ58" t="s">
        <v>198</v>
      </c>
      <c r="EA58" s="152">
        <v>39.171294570000001</v>
      </c>
      <c r="EB58" s="149" t="s">
        <v>185</v>
      </c>
      <c r="EC58" s="162">
        <v>0.2</v>
      </c>
      <c r="ED58" t="s">
        <v>199</v>
      </c>
      <c r="EE58" t="s">
        <v>225</v>
      </c>
      <c r="EF58" t="s">
        <v>201</v>
      </c>
      <c r="EG58">
        <v>1.0271999999999999</v>
      </c>
      <c r="EH58" t="s">
        <v>202</v>
      </c>
      <c r="EI58">
        <v>5.9999999999999995E-4</v>
      </c>
      <c r="EJ58" t="s">
        <v>203</v>
      </c>
      <c r="EK58" t="s">
        <v>167</v>
      </c>
      <c r="EL58" t="s">
        <v>167</v>
      </c>
      <c r="EM58" t="s">
        <v>204</v>
      </c>
      <c r="EN58" t="s">
        <v>226</v>
      </c>
      <c r="EO58" t="s">
        <v>206</v>
      </c>
      <c r="EP58" t="s">
        <v>206</v>
      </c>
      <c r="EQ58" s="146" t="s">
        <v>167</v>
      </c>
      <c r="ER58" t="s">
        <v>167</v>
      </c>
      <c r="ES58" t="s">
        <v>167</v>
      </c>
      <c r="ET58" t="s">
        <v>207</v>
      </c>
      <c r="EU58" t="s">
        <v>208</v>
      </c>
      <c r="EV58" t="s">
        <v>227</v>
      </c>
      <c r="EW58" s="163">
        <v>2330</v>
      </c>
      <c r="EX58" t="s">
        <v>210</v>
      </c>
      <c r="EY58">
        <v>175</v>
      </c>
      <c r="EZ58">
        <v>175</v>
      </c>
      <c r="FA58" t="s">
        <v>167</v>
      </c>
      <c r="FB58" t="s">
        <v>167</v>
      </c>
      <c r="FC58" t="s">
        <v>167</v>
      </c>
      <c r="FD58" t="s">
        <v>167</v>
      </c>
      <c r="FE58" s="152">
        <v>8.0460742344515808</v>
      </c>
      <c r="FF58" s="164" t="s">
        <v>211</v>
      </c>
      <c r="FG58" s="152">
        <v>6.4916760567699683E-2</v>
      </c>
      <c r="FH58" s="152">
        <v>6.6685761259750898E-2</v>
      </c>
      <c r="FI58" s="145">
        <v>400.83358018496301</v>
      </c>
      <c r="FJ58" s="149">
        <v>21</v>
      </c>
      <c r="FK58" s="149" t="s">
        <v>212</v>
      </c>
      <c r="FL58" s="152">
        <v>379.83358018496301</v>
      </c>
      <c r="FM58" s="152">
        <v>86.485455406184997</v>
      </c>
      <c r="FN58" s="152">
        <v>74.895650652098027</v>
      </c>
      <c r="FO58" s="144" t="s">
        <v>213</v>
      </c>
      <c r="FP58" s="144" t="s">
        <v>214</v>
      </c>
      <c r="FQ58" t="s">
        <v>215</v>
      </c>
      <c r="FR58" t="s">
        <v>215</v>
      </c>
      <c r="FS58" t="s">
        <v>215</v>
      </c>
      <c r="FT58" t="s">
        <v>215</v>
      </c>
      <c r="FU58" t="s">
        <v>215</v>
      </c>
      <c r="FV58" t="s">
        <v>215</v>
      </c>
      <c r="FW58" t="s">
        <v>215</v>
      </c>
      <c r="FX58" t="s">
        <v>215</v>
      </c>
      <c r="FY58" t="s">
        <v>215</v>
      </c>
      <c r="FZ58" t="s">
        <v>215</v>
      </c>
      <c r="GA58" t="s">
        <v>215</v>
      </c>
      <c r="GB58" t="s">
        <v>215</v>
      </c>
    </row>
    <row r="59" spans="1:184" ht="18" x14ac:dyDescent="0.2">
      <c r="A59" t="s">
        <v>240</v>
      </c>
      <c r="B59" s="141" t="s">
        <v>241</v>
      </c>
      <c r="C59" s="138" t="s">
        <v>168</v>
      </c>
      <c r="D59" t="s">
        <v>239</v>
      </c>
      <c r="E59">
        <v>2015</v>
      </c>
      <c r="F59" t="str">
        <f t="shared" si="9"/>
        <v>10.1038/nature14145</v>
      </c>
      <c r="G59" s="175">
        <v>3091.2</v>
      </c>
      <c r="H59" s="142">
        <f t="shared" si="10"/>
        <v>15</v>
      </c>
      <c r="I59" s="142">
        <f t="shared" si="11"/>
        <v>15</v>
      </c>
      <c r="J59" s="148">
        <f t="shared" si="12"/>
        <v>334.19677467550503</v>
      </c>
      <c r="K59" s="148">
        <f t="shared" si="13"/>
        <v>74.057556044031969</v>
      </c>
      <c r="L59" s="148">
        <f t="shared" si="14"/>
        <v>63.918527699288006</v>
      </c>
      <c r="M59" t="b">
        <v>1</v>
      </c>
      <c r="N59">
        <v>3</v>
      </c>
      <c r="O59" t="s">
        <v>245</v>
      </c>
      <c r="P59" s="174" t="s">
        <v>259</v>
      </c>
      <c r="Q59" t="b">
        <v>0</v>
      </c>
      <c r="R59" t="s">
        <v>167</v>
      </c>
      <c r="S59" t="b">
        <v>0</v>
      </c>
      <c r="T59" t="b">
        <v>0</v>
      </c>
      <c r="U59" t="s">
        <v>167</v>
      </c>
      <c r="V59" t="s">
        <v>167</v>
      </c>
      <c r="W59" t="b">
        <v>0</v>
      </c>
      <c r="X59" t="s">
        <v>260</v>
      </c>
      <c r="Y59" s="150" t="s">
        <v>169</v>
      </c>
      <c r="Z59" t="s">
        <v>170</v>
      </c>
      <c r="AA59" t="s">
        <v>171</v>
      </c>
      <c r="AB59" s="142" t="s">
        <v>172</v>
      </c>
      <c r="AC59" s="146">
        <v>11</v>
      </c>
      <c r="AD59" s="146">
        <v>5</v>
      </c>
      <c r="AE59" s="146">
        <v>112</v>
      </c>
      <c r="AF59" s="146">
        <v>114</v>
      </c>
      <c r="AG59" s="146" t="s">
        <v>167</v>
      </c>
      <c r="AH59" s="146" t="s">
        <v>167</v>
      </c>
      <c r="AI59" s="146" t="s">
        <v>167</v>
      </c>
      <c r="AJ59" t="s">
        <v>173</v>
      </c>
      <c r="AK59" s="151">
        <v>12.75</v>
      </c>
      <c r="AL59" s="151">
        <v>-78.73</v>
      </c>
      <c r="AM59" s="151">
        <v>12.75</v>
      </c>
      <c r="AN59" s="151">
        <v>-78.73</v>
      </c>
      <c r="AO59" s="151">
        <v>-2828</v>
      </c>
      <c r="AP59" s="151">
        <v>-2828</v>
      </c>
      <c r="AQ59" s="142" t="s">
        <v>167</v>
      </c>
      <c r="AR59" s="142" t="s">
        <v>167</v>
      </c>
      <c r="AS59" s="175">
        <v>3091.2</v>
      </c>
      <c r="AT59" s="153" t="s">
        <v>174</v>
      </c>
      <c r="AU59" s="142">
        <v>15</v>
      </c>
      <c r="AV59" s="142">
        <v>15</v>
      </c>
      <c r="AW59" s="149" t="s">
        <v>167</v>
      </c>
      <c r="AX59" s="171" t="s">
        <v>243</v>
      </c>
      <c r="AY59" s="146" t="s">
        <v>167</v>
      </c>
      <c r="AZ59" t="s">
        <v>167</v>
      </c>
      <c r="BA59" t="s">
        <v>167</v>
      </c>
      <c r="BB59" t="s">
        <v>167</v>
      </c>
      <c r="BC59" t="s">
        <v>167</v>
      </c>
      <c r="BD59" t="s">
        <v>167</v>
      </c>
      <c r="BE59" t="s">
        <v>167</v>
      </c>
      <c r="BF59" t="s">
        <v>167</v>
      </c>
      <c r="BG59" s="154" t="s">
        <v>175</v>
      </c>
      <c r="BH59" t="s">
        <v>176</v>
      </c>
      <c r="BI59" s="155" t="s">
        <v>177</v>
      </c>
      <c r="BJ59" s="155" t="s">
        <v>178</v>
      </c>
      <c r="BK59" s="156" t="s">
        <v>179</v>
      </c>
      <c r="BL59" s="156" t="s">
        <v>180</v>
      </c>
      <c r="BM59" t="s">
        <v>181</v>
      </c>
      <c r="BN59" s="142" t="s">
        <v>182</v>
      </c>
      <c r="BO59" s="142" t="s">
        <v>182</v>
      </c>
      <c r="BP59" s="142" t="s">
        <v>182</v>
      </c>
      <c r="BQ59" s="152">
        <v>20.033519999999999</v>
      </c>
      <c r="BR59" t="s">
        <v>183</v>
      </c>
      <c r="BS59" s="152">
        <v>0.108315068</v>
      </c>
      <c r="BT59">
        <v>0.6</v>
      </c>
      <c r="BU59" t="s">
        <v>184</v>
      </c>
      <c r="BV59" s="153">
        <v>0.08</v>
      </c>
      <c r="BW59">
        <v>8.8699999999999992</v>
      </c>
      <c r="BX59" t="s">
        <v>185</v>
      </c>
      <c r="BY59">
        <v>1.52</v>
      </c>
      <c r="BZ59" t="s">
        <v>224</v>
      </c>
      <c r="CA59" t="s">
        <v>187</v>
      </c>
      <c r="CB59" s="158">
        <f t="shared" si="5"/>
        <v>18.605866666666667</v>
      </c>
      <c r="CC59" t="s">
        <v>184</v>
      </c>
      <c r="CD59" s="149" t="s">
        <v>167</v>
      </c>
      <c r="CE59" s="149" t="s">
        <v>167</v>
      </c>
      <c r="CF59" t="s">
        <v>188</v>
      </c>
      <c r="CG59" t="s">
        <v>189</v>
      </c>
      <c r="CH59" t="s">
        <v>190</v>
      </c>
      <c r="CI59" t="s">
        <v>190</v>
      </c>
      <c r="CJ59" s="152">
        <v>28.26849</v>
      </c>
      <c r="CK59" t="s">
        <v>184</v>
      </c>
      <c r="CL59" s="159">
        <v>3</v>
      </c>
      <c r="CM59" s="159">
        <v>3</v>
      </c>
      <c r="CN59" s="152">
        <v>3.5661056276710639</v>
      </c>
      <c r="CO59" s="152">
        <v>3.5661056276710639</v>
      </c>
      <c r="CP59" t="s">
        <v>191</v>
      </c>
      <c r="CQ59" s="145">
        <f t="shared" si="6"/>
        <v>9.6284851947118721E-2</v>
      </c>
      <c r="CR59" s="145">
        <f t="shared" si="7"/>
        <v>9.6284851947118721E-2</v>
      </c>
      <c r="CS59" s="142" t="s">
        <v>192</v>
      </c>
      <c r="CT59" s="147" t="s">
        <v>193</v>
      </c>
      <c r="CU59" s="152">
        <v>3.5626080544314624</v>
      </c>
      <c r="CV59" s="152" t="s">
        <v>194</v>
      </c>
      <c r="CW59" t="s">
        <v>167</v>
      </c>
      <c r="CX59" t="s">
        <v>195</v>
      </c>
      <c r="CY59" t="s">
        <v>167</v>
      </c>
      <c r="CZ59" t="s">
        <v>167</v>
      </c>
      <c r="DA59" t="s">
        <v>167</v>
      </c>
      <c r="DB59" t="s">
        <v>167</v>
      </c>
      <c r="DC59" t="s">
        <v>167</v>
      </c>
      <c r="DD59" t="s">
        <v>167</v>
      </c>
      <c r="DE59" t="s">
        <v>167</v>
      </c>
      <c r="DF59" t="s">
        <v>167</v>
      </c>
      <c r="DG59" s="160">
        <v>35</v>
      </c>
      <c r="DH59" t="s">
        <v>174</v>
      </c>
      <c r="DI59">
        <v>3</v>
      </c>
      <c r="DJ59" s="161" t="s">
        <v>196</v>
      </c>
      <c r="DK59" s="146" t="s">
        <v>167</v>
      </c>
      <c r="DL59" s="146" t="s">
        <v>167</v>
      </c>
      <c r="DM59" s="146" t="s">
        <v>167</v>
      </c>
      <c r="DN59" s="146" t="s">
        <v>167</v>
      </c>
      <c r="DO59" s="146" t="s">
        <v>167</v>
      </c>
      <c r="DP59" s="146" t="s">
        <v>167</v>
      </c>
      <c r="DQ59" s="146" t="s">
        <v>167</v>
      </c>
      <c r="DR59" s="146" t="s">
        <v>167</v>
      </c>
      <c r="DS59" s="146" t="s">
        <v>167</v>
      </c>
      <c r="DT59" s="146" t="s">
        <v>167</v>
      </c>
      <c r="DU59" s="146" t="s">
        <v>167</v>
      </c>
      <c r="DV59" s="146" t="s">
        <v>167</v>
      </c>
      <c r="DW59" s="143">
        <v>432.56244218316402</v>
      </c>
      <c r="DX59" t="s">
        <v>197</v>
      </c>
      <c r="DY59" s="142">
        <v>37.1</v>
      </c>
      <c r="DZ59" t="s">
        <v>198</v>
      </c>
      <c r="EA59" s="152">
        <v>39.167604040000001</v>
      </c>
      <c r="EB59" s="149" t="s">
        <v>185</v>
      </c>
      <c r="EC59" s="162">
        <v>0.2</v>
      </c>
      <c r="ED59" t="s">
        <v>199</v>
      </c>
      <c r="EE59" t="s">
        <v>225</v>
      </c>
      <c r="EF59" t="s">
        <v>201</v>
      </c>
      <c r="EG59">
        <v>1.0271999999999999</v>
      </c>
      <c r="EH59" t="s">
        <v>202</v>
      </c>
      <c r="EI59">
        <v>5.9999999999999995E-4</v>
      </c>
      <c r="EJ59" t="s">
        <v>203</v>
      </c>
      <c r="EK59" t="s">
        <v>167</v>
      </c>
      <c r="EL59" t="s">
        <v>167</v>
      </c>
      <c r="EM59" t="s">
        <v>204</v>
      </c>
      <c r="EN59" t="s">
        <v>226</v>
      </c>
      <c r="EO59" t="s">
        <v>206</v>
      </c>
      <c r="EP59" t="s">
        <v>206</v>
      </c>
      <c r="EQ59" s="146" t="s">
        <v>167</v>
      </c>
      <c r="ER59" t="s">
        <v>167</v>
      </c>
      <c r="ES59" t="s">
        <v>167</v>
      </c>
      <c r="ET59" t="s">
        <v>207</v>
      </c>
      <c r="EU59" t="s">
        <v>208</v>
      </c>
      <c r="EV59" t="s">
        <v>227</v>
      </c>
      <c r="EW59" s="163">
        <v>2330</v>
      </c>
      <c r="EX59" t="s">
        <v>210</v>
      </c>
      <c r="EY59">
        <v>175</v>
      </c>
      <c r="EZ59">
        <v>175</v>
      </c>
      <c r="FA59" t="s">
        <v>167</v>
      </c>
      <c r="FB59" t="s">
        <v>167</v>
      </c>
      <c r="FC59" t="s">
        <v>167</v>
      </c>
      <c r="FD59" t="s">
        <v>167</v>
      </c>
      <c r="FE59" s="152">
        <v>8.0869230501732101</v>
      </c>
      <c r="FF59" s="164" t="s">
        <v>211</v>
      </c>
      <c r="FG59" s="152">
        <v>6.4981330194379794E-2</v>
      </c>
      <c r="FH59" s="152">
        <v>6.3342801275439342E-2</v>
      </c>
      <c r="FI59" s="145">
        <v>355.19677467550503</v>
      </c>
      <c r="FJ59" s="149">
        <v>21</v>
      </c>
      <c r="FK59" s="149" t="s">
        <v>212</v>
      </c>
      <c r="FL59" s="152">
        <v>334.19677467550503</v>
      </c>
      <c r="FM59" s="152">
        <v>74.057556044031969</v>
      </c>
      <c r="FN59" s="152">
        <v>63.918527699288006</v>
      </c>
      <c r="FO59" s="144" t="s">
        <v>213</v>
      </c>
      <c r="FP59" s="144" t="s">
        <v>214</v>
      </c>
      <c r="FQ59" t="s">
        <v>215</v>
      </c>
      <c r="FR59" t="s">
        <v>215</v>
      </c>
      <c r="FS59" t="s">
        <v>215</v>
      </c>
      <c r="FT59" t="s">
        <v>215</v>
      </c>
      <c r="FU59" t="s">
        <v>215</v>
      </c>
      <c r="FV59" t="s">
        <v>215</v>
      </c>
      <c r="FW59" t="s">
        <v>215</v>
      </c>
      <c r="FX59" t="s">
        <v>215</v>
      </c>
      <c r="FY59" t="s">
        <v>215</v>
      </c>
      <c r="FZ59" t="s">
        <v>215</v>
      </c>
      <c r="GA59" t="s">
        <v>215</v>
      </c>
      <c r="GB59" t="s">
        <v>215</v>
      </c>
    </row>
    <row r="60" spans="1:184" ht="18" x14ac:dyDescent="0.2">
      <c r="A60" t="s">
        <v>240</v>
      </c>
      <c r="B60" s="141" t="s">
        <v>241</v>
      </c>
      <c r="C60" s="138" t="s">
        <v>168</v>
      </c>
      <c r="D60" t="s">
        <v>239</v>
      </c>
      <c r="E60">
        <v>2015</v>
      </c>
      <c r="F60" t="str">
        <f t="shared" si="9"/>
        <v>10.1038/nature14145</v>
      </c>
      <c r="G60" s="175">
        <v>3099.49</v>
      </c>
      <c r="H60" s="142">
        <f t="shared" si="10"/>
        <v>15</v>
      </c>
      <c r="I60" s="142">
        <f t="shared" si="11"/>
        <v>15</v>
      </c>
      <c r="J60" s="148">
        <f t="shared" si="12"/>
        <v>319.30767521218098</v>
      </c>
      <c r="K60" s="148">
        <f t="shared" si="13"/>
        <v>73.343410636235035</v>
      </c>
      <c r="L60" s="148">
        <f t="shared" si="14"/>
        <v>62.018006589734</v>
      </c>
      <c r="M60" t="b">
        <v>1</v>
      </c>
      <c r="N60">
        <v>3</v>
      </c>
      <c r="O60" t="s">
        <v>245</v>
      </c>
      <c r="P60" s="174" t="s">
        <v>259</v>
      </c>
      <c r="Q60" t="b">
        <v>0</v>
      </c>
      <c r="R60" t="s">
        <v>167</v>
      </c>
      <c r="S60" t="b">
        <v>0</v>
      </c>
      <c r="T60" t="b">
        <v>0</v>
      </c>
      <c r="U60" t="s">
        <v>167</v>
      </c>
      <c r="V60" t="s">
        <v>167</v>
      </c>
      <c r="W60" t="b">
        <v>0</v>
      </c>
      <c r="X60" t="s">
        <v>260</v>
      </c>
      <c r="Y60" s="150" t="s">
        <v>169</v>
      </c>
      <c r="Z60" t="s">
        <v>170</v>
      </c>
      <c r="AA60" t="s">
        <v>171</v>
      </c>
      <c r="AB60" s="142" t="s">
        <v>172</v>
      </c>
      <c r="AC60" s="146">
        <v>11</v>
      </c>
      <c r="AD60" s="146">
        <v>5</v>
      </c>
      <c r="AE60" s="146">
        <v>142</v>
      </c>
      <c r="AF60" s="146">
        <v>144</v>
      </c>
      <c r="AG60" s="146" t="s">
        <v>167</v>
      </c>
      <c r="AH60" s="146" t="s">
        <v>167</v>
      </c>
      <c r="AI60" s="146" t="s">
        <v>167</v>
      </c>
      <c r="AJ60" t="s">
        <v>173</v>
      </c>
      <c r="AK60" s="151">
        <v>12.75</v>
      </c>
      <c r="AL60" s="151">
        <v>-78.73</v>
      </c>
      <c r="AM60" s="151">
        <v>12.75</v>
      </c>
      <c r="AN60" s="151">
        <v>-78.73</v>
      </c>
      <c r="AO60" s="151">
        <v>-2828</v>
      </c>
      <c r="AP60" s="151">
        <v>-2828</v>
      </c>
      <c r="AQ60" s="142" t="s">
        <v>167</v>
      </c>
      <c r="AR60" s="142" t="s">
        <v>167</v>
      </c>
      <c r="AS60" s="175">
        <v>3099.49</v>
      </c>
      <c r="AT60" s="153" t="s">
        <v>174</v>
      </c>
      <c r="AU60" s="142">
        <v>15</v>
      </c>
      <c r="AV60" s="142">
        <v>15</v>
      </c>
      <c r="AW60" s="149" t="s">
        <v>167</v>
      </c>
      <c r="AX60" s="171" t="s">
        <v>243</v>
      </c>
      <c r="AY60" s="146" t="s">
        <v>167</v>
      </c>
      <c r="AZ60" t="s">
        <v>167</v>
      </c>
      <c r="BA60" t="s">
        <v>167</v>
      </c>
      <c r="BB60" t="s">
        <v>167</v>
      </c>
      <c r="BC60" t="s">
        <v>167</v>
      </c>
      <c r="BD60" t="s">
        <v>167</v>
      </c>
      <c r="BE60" t="s">
        <v>167</v>
      </c>
      <c r="BF60" t="s">
        <v>167</v>
      </c>
      <c r="BG60" s="154" t="s">
        <v>175</v>
      </c>
      <c r="BH60" t="s">
        <v>176</v>
      </c>
      <c r="BI60" s="155" t="s">
        <v>177</v>
      </c>
      <c r="BJ60" s="156" t="s">
        <v>178</v>
      </c>
      <c r="BK60" s="156" t="s">
        <v>179</v>
      </c>
      <c r="BL60" s="156" t="s">
        <v>180</v>
      </c>
      <c r="BM60" s="157" t="s">
        <v>181</v>
      </c>
      <c r="BN60" s="142" t="s">
        <v>182</v>
      </c>
      <c r="BO60" s="142" t="s">
        <v>182</v>
      </c>
      <c r="BP60" s="142" t="s">
        <v>182</v>
      </c>
      <c r="BQ60" s="152">
        <v>20.10444</v>
      </c>
      <c r="BR60" t="s">
        <v>183</v>
      </c>
      <c r="BS60" s="152">
        <v>0.10635955900000001</v>
      </c>
      <c r="BT60">
        <v>0.6</v>
      </c>
      <c r="BU60" t="s">
        <v>184</v>
      </c>
      <c r="BV60" s="153">
        <v>0.08</v>
      </c>
      <c r="BW60">
        <v>8.8699999999999992</v>
      </c>
      <c r="BX60" t="s">
        <v>185</v>
      </c>
      <c r="BY60">
        <v>1.52</v>
      </c>
      <c r="BZ60" t="s">
        <v>224</v>
      </c>
      <c r="CA60" t="s">
        <v>187</v>
      </c>
      <c r="CB60" s="158">
        <f t="shared" si="5"/>
        <v>18.724066666666669</v>
      </c>
      <c r="CC60" t="s">
        <v>184</v>
      </c>
      <c r="CD60" s="149" t="s">
        <v>167</v>
      </c>
      <c r="CE60" s="149" t="s">
        <v>167</v>
      </c>
      <c r="CF60" t="s">
        <v>188</v>
      </c>
      <c r="CG60" t="s">
        <v>189</v>
      </c>
      <c r="CH60" t="s">
        <v>190</v>
      </c>
      <c r="CI60" t="s">
        <v>190</v>
      </c>
      <c r="CJ60" s="152">
        <v>27.929300000000001</v>
      </c>
      <c r="CK60" t="s">
        <v>184</v>
      </c>
      <c r="CL60" s="159">
        <v>3</v>
      </c>
      <c r="CM60" s="159">
        <v>3</v>
      </c>
      <c r="CN60" s="152">
        <v>3.4536460145750554</v>
      </c>
      <c r="CO60" s="152">
        <v>3.4536460145750554</v>
      </c>
      <c r="CP60" t="s">
        <v>191</v>
      </c>
      <c r="CQ60" s="145">
        <f t="shared" si="6"/>
        <v>9.324844239352649E-2</v>
      </c>
      <c r="CR60" s="145">
        <f t="shared" si="7"/>
        <v>9.324844239352649E-2</v>
      </c>
      <c r="CS60" s="142" t="s">
        <v>192</v>
      </c>
      <c r="CT60" s="147" t="s">
        <v>193</v>
      </c>
      <c r="CU60" s="152">
        <v>3.5494546481648559</v>
      </c>
      <c r="CV60" s="152" t="s">
        <v>194</v>
      </c>
      <c r="CW60" t="s">
        <v>167</v>
      </c>
      <c r="CX60" t="s">
        <v>195</v>
      </c>
      <c r="CY60" t="s">
        <v>167</v>
      </c>
      <c r="CZ60" t="s">
        <v>167</v>
      </c>
      <c r="DA60" t="s">
        <v>167</v>
      </c>
      <c r="DB60" t="s">
        <v>167</v>
      </c>
      <c r="DC60" t="s">
        <v>167</v>
      </c>
      <c r="DD60" t="s">
        <v>167</v>
      </c>
      <c r="DE60" t="s">
        <v>167</v>
      </c>
      <c r="DF60" t="s">
        <v>167</v>
      </c>
      <c r="DG60" s="160">
        <v>35</v>
      </c>
      <c r="DH60" t="s">
        <v>174</v>
      </c>
      <c r="DI60">
        <v>3</v>
      </c>
      <c r="DJ60" s="161" t="s">
        <v>196</v>
      </c>
      <c r="DK60" s="146" t="s">
        <v>167</v>
      </c>
      <c r="DL60" s="146" t="s">
        <v>167</v>
      </c>
      <c r="DM60" s="146" t="s">
        <v>167</v>
      </c>
      <c r="DN60" s="146" t="s">
        <v>167</v>
      </c>
      <c r="DO60" s="146" t="s">
        <v>167</v>
      </c>
      <c r="DP60" s="146" t="s">
        <v>167</v>
      </c>
      <c r="DQ60" s="146" t="s">
        <v>167</v>
      </c>
      <c r="DR60" s="146" t="s">
        <v>167</v>
      </c>
      <c r="DS60" s="146" t="s">
        <v>167</v>
      </c>
      <c r="DT60" s="146" t="s">
        <v>167</v>
      </c>
      <c r="DU60" s="146" t="s">
        <v>167</v>
      </c>
      <c r="DV60" s="146" t="s">
        <v>167</v>
      </c>
      <c r="DW60" s="143">
        <v>432.56244218316402</v>
      </c>
      <c r="DX60" t="s">
        <v>197</v>
      </c>
      <c r="DY60" s="142">
        <v>37.1</v>
      </c>
      <c r="DZ60" t="s">
        <v>198</v>
      </c>
      <c r="EA60" s="152">
        <v>39.166196669999998</v>
      </c>
      <c r="EB60" s="149" t="s">
        <v>185</v>
      </c>
      <c r="EC60" s="162">
        <v>0.2</v>
      </c>
      <c r="ED60" t="s">
        <v>199</v>
      </c>
      <c r="EE60" t="s">
        <v>225</v>
      </c>
      <c r="EF60" t="s">
        <v>201</v>
      </c>
      <c r="EG60">
        <v>1.0271999999999999</v>
      </c>
      <c r="EH60" t="s">
        <v>202</v>
      </c>
      <c r="EI60">
        <v>5.9999999999999995E-4</v>
      </c>
      <c r="EJ60" t="s">
        <v>203</v>
      </c>
      <c r="EK60" t="s">
        <v>167</v>
      </c>
      <c r="EL60" t="s">
        <v>167</v>
      </c>
      <c r="EM60" t="s">
        <v>204</v>
      </c>
      <c r="EN60" t="s">
        <v>226</v>
      </c>
      <c r="EO60" t="s">
        <v>206</v>
      </c>
      <c r="EP60" t="s">
        <v>206</v>
      </c>
      <c r="EQ60" s="146" t="s">
        <v>167</v>
      </c>
      <c r="ER60" t="s">
        <v>167</v>
      </c>
      <c r="ES60" t="s">
        <v>167</v>
      </c>
      <c r="ET60" t="s">
        <v>207</v>
      </c>
      <c r="EU60" t="s">
        <v>208</v>
      </c>
      <c r="EV60" t="s">
        <v>227</v>
      </c>
      <c r="EW60" s="163">
        <v>2330</v>
      </c>
      <c r="EX60" t="s">
        <v>210</v>
      </c>
      <c r="EY60">
        <v>175</v>
      </c>
      <c r="EZ60">
        <v>175</v>
      </c>
      <c r="FA60" t="s">
        <v>167</v>
      </c>
      <c r="FB60" t="s">
        <v>167</v>
      </c>
      <c r="FC60" t="s">
        <v>167</v>
      </c>
      <c r="FD60" t="s">
        <v>167</v>
      </c>
      <c r="FE60" s="152">
        <v>8.1017627702584605</v>
      </c>
      <c r="FF60" s="164" t="s">
        <v>211</v>
      </c>
      <c r="FG60" s="152">
        <v>6.2858591952819509E-2</v>
      </c>
      <c r="FH60" s="152">
        <v>6.5605084471160424E-2</v>
      </c>
      <c r="FI60" s="145">
        <v>340.30767521218098</v>
      </c>
      <c r="FJ60" s="149">
        <v>21</v>
      </c>
      <c r="FK60" s="149" t="s">
        <v>212</v>
      </c>
      <c r="FL60" s="152">
        <v>319.30767521218098</v>
      </c>
      <c r="FM60" s="152">
        <v>73.343410636235035</v>
      </c>
      <c r="FN60" s="152">
        <v>62.018006589734</v>
      </c>
      <c r="FO60" s="144" t="s">
        <v>213</v>
      </c>
      <c r="FP60" s="144" t="s">
        <v>214</v>
      </c>
      <c r="FQ60" t="s">
        <v>215</v>
      </c>
      <c r="FR60" t="s">
        <v>215</v>
      </c>
      <c r="FS60" t="s">
        <v>215</v>
      </c>
      <c r="FT60" t="s">
        <v>215</v>
      </c>
      <c r="FU60" t="s">
        <v>215</v>
      </c>
      <c r="FV60" t="s">
        <v>215</v>
      </c>
      <c r="FW60" t="s">
        <v>215</v>
      </c>
      <c r="FX60" t="s">
        <v>215</v>
      </c>
      <c r="FY60" t="s">
        <v>215</v>
      </c>
      <c r="FZ60" t="s">
        <v>215</v>
      </c>
      <c r="GA60" t="s">
        <v>215</v>
      </c>
      <c r="GB60" t="s">
        <v>215</v>
      </c>
    </row>
    <row r="61" spans="1:184" ht="18" x14ac:dyDescent="0.2">
      <c r="A61" t="s">
        <v>240</v>
      </c>
      <c r="B61" s="141" t="s">
        <v>241</v>
      </c>
      <c r="C61" s="138" t="s">
        <v>168</v>
      </c>
      <c r="D61" t="s">
        <v>239</v>
      </c>
      <c r="E61">
        <v>2015</v>
      </c>
      <c r="F61" t="str">
        <f t="shared" si="9"/>
        <v>10.1038/nature14145</v>
      </c>
      <c r="G61" s="175">
        <v>3112.2</v>
      </c>
      <c r="H61" s="142">
        <f t="shared" si="10"/>
        <v>15</v>
      </c>
      <c r="I61" s="142">
        <f t="shared" si="11"/>
        <v>15</v>
      </c>
      <c r="J61" s="148">
        <f t="shared" si="12"/>
        <v>391.55377622173899</v>
      </c>
      <c r="K61" s="148">
        <f t="shared" si="13"/>
        <v>87.936237289319024</v>
      </c>
      <c r="L61" s="148">
        <f t="shared" si="14"/>
        <v>76.19520949012599</v>
      </c>
      <c r="M61" t="b">
        <v>1</v>
      </c>
      <c r="N61">
        <v>3</v>
      </c>
      <c r="O61" t="s">
        <v>245</v>
      </c>
      <c r="P61" s="174" t="s">
        <v>259</v>
      </c>
      <c r="Q61" t="b">
        <v>0</v>
      </c>
      <c r="R61" t="s">
        <v>167</v>
      </c>
      <c r="S61" t="b">
        <v>0</v>
      </c>
      <c r="T61" t="b">
        <v>0</v>
      </c>
      <c r="U61" t="s">
        <v>167</v>
      </c>
      <c r="V61" t="s">
        <v>167</v>
      </c>
      <c r="W61" t="b">
        <v>0</v>
      </c>
      <c r="X61" t="s">
        <v>260</v>
      </c>
      <c r="Y61" s="150" t="s">
        <v>169</v>
      </c>
      <c r="Z61" t="s">
        <v>170</v>
      </c>
      <c r="AA61" t="s">
        <v>171</v>
      </c>
      <c r="AB61" s="142" t="s">
        <v>172</v>
      </c>
      <c r="AC61" s="146">
        <v>11</v>
      </c>
      <c r="AD61" s="146">
        <v>6</v>
      </c>
      <c r="AE61" s="146">
        <v>38</v>
      </c>
      <c r="AF61" s="146">
        <v>40</v>
      </c>
      <c r="AG61" s="146" t="s">
        <v>167</v>
      </c>
      <c r="AH61" s="146" t="s">
        <v>167</v>
      </c>
      <c r="AI61" s="146" t="s">
        <v>167</v>
      </c>
      <c r="AJ61" t="s">
        <v>173</v>
      </c>
      <c r="AK61" s="151">
        <v>12.75</v>
      </c>
      <c r="AL61" s="151">
        <v>-78.73</v>
      </c>
      <c r="AM61" s="151">
        <v>12.75</v>
      </c>
      <c r="AN61" s="151">
        <v>-78.73</v>
      </c>
      <c r="AO61" s="151">
        <v>-2828</v>
      </c>
      <c r="AP61" s="151">
        <v>-2828</v>
      </c>
      <c r="AQ61" s="142" t="s">
        <v>167</v>
      </c>
      <c r="AR61" s="142" t="s">
        <v>167</v>
      </c>
      <c r="AS61" s="175">
        <v>3112.2</v>
      </c>
      <c r="AT61" s="153" t="s">
        <v>174</v>
      </c>
      <c r="AU61" s="142">
        <v>15</v>
      </c>
      <c r="AV61" s="142">
        <v>15</v>
      </c>
      <c r="AW61" s="149" t="s">
        <v>167</v>
      </c>
      <c r="AX61" s="171" t="s">
        <v>243</v>
      </c>
      <c r="AY61" s="146" t="s">
        <v>167</v>
      </c>
      <c r="AZ61" t="s">
        <v>167</v>
      </c>
      <c r="BA61" t="s">
        <v>167</v>
      </c>
      <c r="BB61" t="s">
        <v>167</v>
      </c>
      <c r="BC61" t="s">
        <v>167</v>
      </c>
      <c r="BD61" t="s">
        <v>167</v>
      </c>
      <c r="BE61" t="s">
        <v>167</v>
      </c>
      <c r="BF61" t="s">
        <v>167</v>
      </c>
      <c r="BG61" s="154" t="s">
        <v>175</v>
      </c>
      <c r="BH61" t="s">
        <v>176</v>
      </c>
      <c r="BI61" s="155" t="s">
        <v>177</v>
      </c>
      <c r="BJ61" s="155" t="s">
        <v>178</v>
      </c>
      <c r="BK61" s="156" t="s">
        <v>179</v>
      </c>
      <c r="BL61" s="156" t="s">
        <v>180</v>
      </c>
      <c r="BM61" t="s">
        <v>181</v>
      </c>
      <c r="BN61" s="142" t="s">
        <v>182</v>
      </c>
      <c r="BO61" s="142" t="s">
        <v>182</v>
      </c>
      <c r="BP61" s="142" t="s">
        <v>182</v>
      </c>
      <c r="BQ61" s="152">
        <v>19.609580000000001</v>
      </c>
      <c r="BR61" t="s">
        <v>183</v>
      </c>
      <c r="BS61" s="152">
        <v>9.9925189999999997E-2</v>
      </c>
      <c r="BT61">
        <v>0.6</v>
      </c>
      <c r="BU61" t="s">
        <v>184</v>
      </c>
      <c r="BV61" s="153">
        <v>0.08</v>
      </c>
      <c r="BW61">
        <v>8.8699999999999992</v>
      </c>
      <c r="BX61" t="s">
        <v>185</v>
      </c>
      <c r="BY61">
        <v>1.52</v>
      </c>
      <c r="BZ61" t="s">
        <v>224</v>
      </c>
      <c r="CA61" t="s">
        <v>187</v>
      </c>
      <c r="CB61" s="158">
        <f t="shared" si="5"/>
        <v>17.899300000000004</v>
      </c>
      <c r="CC61" t="s">
        <v>184</v>
      </c>
      <c r="CD61" s="149" t="s">
        <v>167</v>
      </c>
      <c r="CE61" s="149" t="s">
        <v>167</v>
      </c>
      <c r="CF61" t="s">
        <v>188</v>
      </c>
      <c r="CG61" t="s">
        <v>189</v>
      </c>
      <c r="CH61" t="s">
        <v>190</v>
      </c>
      <c r="CI61" t="s">
        <v>190</v>
      </c>
      <c r="CJ61" s="152">
        <v>27.226880000000001</v>
      </c>
      <c r="CK61" t="s">
        <v>184</v>
      </c>
      <c r="CL61" s="159">
        <v>3</v>
      </c>
      <c r="CM61" s="159">
        <v>3</v>
      </c>
      <c r="CN61" s="152">
        <v>3.2344019495229932</v>
      </c>
      <c r="CO61" s="152">
        <v>3.2344019495229932</v>
      </c>
      <c r="CP61" t="s">
        <v>191</v>
      </c>
      <c r="CQ61" s="145">
        <f t="shared" si="6"/>
        <v>8.7328852637120813E-2</v>
      </c>
      <c r="CR61" s="145">
        <f t="shared" si="7"/>
        <v>8.7328852637120813E-2</v>
      </c>
      <c r="CS61" s="142" t="s">
        <v>192</v>
      </c>
      <c r="CT61" s="147" t="s">
        <v>193</v>
      </c>
      <c r="CU61" s="152">
        <v>3.5290079035579227</v>
      </c>
      <c r="CV61" s="152" t="s">
        <v>194</v>
      </c>
      <c r="CW61" t="s">
        <v>167</v>
      </c>
      <c r="CX61" t="s">
        <v>195</v>
      </c>
      <c r="CY61" t="s">
        <v>167</v>
      </c>
      <c r="CZ61" t="s">
        <v>167</v>
      </c>
      <c r="DA61" t="s">
        <v>167</v>
      </c>
      <c r="DB61" t="s">
        <v>167</v>
      </c>
      <c r="DC61" t="s">
        <v>167</v>
      </c>
      <c r="DD61" t="s">
        <v>167</v>
      </c>
      <c r="DE61" t="s">
        <v>167</v>
      </c>
      <c r="DF61" t="s">
        <v>167</v>
      </c>
      <c r="DG61" s="160">
        <v>35</v>
      </c>
      <c r="DH61" t="s">
        <v>174</v>
      </c>
      <c r="DI61">
        <v>3</v>
      </c>
      <c r="DJ61" s="161" t="s">
        <v>196</v>
      </c>
      <c r="DK61" s="146" t="s">
        <v>167</v>
      </c>
      <c r="DL61" s="146" t="s">
        <v>167</v>
      </c>
      <c r="DM61" s="146" t="s">
        <v>167</v>
      </c>
      <c r="DN61" s="146" t="s">
        <v>167</v>
      </c>
      <c r="DO61" s="146" t="s">
        <v>167</v>
      </c>
      <c r="DP61" s="146" t="s">
        <v>167</v>
      </c>
      <c r="DQ61" s="146" t="s">
        <v>167</v>
      </c>
      <c r="DR61" s="146" t="s">
        <v>167</v>
      </c>
      <c r="DS61" s="146" t="s">
        <v>167</v>
      </c>
      <c r="DT61" s="146" t="s">
        <v>167</v>
      </c>
      <c r="DU61" s="146" t="s">
        <v>167</v>
      </c>
      <c r="DV61" s="146" t="s">
        <v>167</v>
      </c>
      <c r="DW61" s="143">
        <v>432.56244218316402</v>
      </c>
      <c r="DX61" t="s">
        <v>197</v>
      </c>
      <c r="DY61" s="142">
        <v>37.1</v>
      </c>
      <c r="DZ61" t="s">
        <v>198</v>
      </c>
      <c r="EA61" s="152">
        <v>39.164060079999999</v>
      </c>
      <c r="EB61" s="149" t="s">
        <v>185</v>
      </c>
      <c r="EC61" s="162">
        <v>0.2</v>
      </c>
      <c r="ED61" t="s">
        <v>199</v>
      </c>
      <c r="EE61" t="s">
        <v>225</v>
      </c>
      <c r="EF61" t="s">
        <v>201</v>
      </c>
      <c r="EG61">
        <v>1.0271999999999999</v>
      </c>
      <c r="EH61" t="s">
        <v>202</v>
      </c>
      <c r="EI61">
        <v>5.9999999999999995E-4</v>
      </c>
      <c r="EJ61" t="s">
        <v>203</v>
      </c>
      <c r="EK61" t="s">
        <v>167</v>
      </c>
      <c r="EL61" t="s">
        <v>167</v>
      </c>
      <c r="EM61" t="s">
        <v>204</v>
      </c>
      <c r="EN61" t="s">
        <v>226</v>
      </c>
      <c r="EO61" t="s">
        <v>206</v>
      </c>
      <c r="EP61" t="s">
        <v>206</v>
      </c>
      <c r="EQ61" s="146" t="s">
        <v>167</v>
      </c>
      <c r="ER61" t="s">
        <v>167</v>
      </c>
      <c r="ES61" t="s">
        <v>167</v>
      </c>
      <c r="ET61" t="s">
        <v>207</v>
      </c>
      <c r="EU61" t="s">
        <v>208</v>
      </c>
      <c r="EV61" t="s">
        <v>227</v>
      </c>
      <c r="EW61" s="163">
        <v>2330</v>
      </c>
      <c r="EX61" t="s">
        <v>210</v>
      </c>
      <c r="EY61">
        <v>175</v>
      </c>
      <c r="EZ61">
        <v>175</v>
      </c>
      <c r="FA61" t="s">
        <v>167</v>
      </c>
      <c r="FB61" t="s">
        <v>167</v>
      </c>
      <c r="FC61" t="s">
        <v>167</v>
      </c>
      <c r="FD61" t="s">
        <v>167</v>
      </c>
      <c r="FE61" s="152">
        <v>8.0362383691170205</v>
      </c>
      <c r="FF61" s="164" t="s">
        <v>211</v>
      </c>
      <c r="FG61" s="152">
        <v>6.7200070402488876E-2</v>
      </c>
      <c r="FH61" s="152">
        <v>6.6547903075470316E-2</v>
      </c>
      <c r="FI61" s="145">
        <v>412.55377622173899</v>
      </c>
      <c r="FJ61" s="149">
        <v>21</v>
      </c>
      <c r="FK61" s="149" t="s">
        <v>212</v>
      </c>
      <c r="FL61" s="152">
        <v>391.55377622173899</v>
      </c>
      <c r="FM61" s="152">
        <v>87.936237289319024</v>
      </c>
      <c r="FN61" s="152">
        <v>76.19520949012599</v>
      </c>
      <c r="FO61" s="144" t="s">
        <v>213</v>
      </c>
      <c r="FP61" s="144" t="s">
        <v>214</v>
      </c>
      <c r="FQ61" t="s">
        <v>215</v>
      </c>
      <c r="FR61" t="s">
        <v>215</v>
      </c>
      <c r="FS61" t="s">
        <v>215</v>
      </c>
      <c r="FT61" t="s">
        <v>215</v>
      </c>
      <c r="FU61" t="s">
        <v>215</v>
      </c>
      <c r="FV61" t="s">
        <v>215</v>
      </c>
      <c r="FW61" t="s">
        <v>215</v>
      </c>
      <c r="FX61" t="s">
        <v>215</v>
      </c>
      <c r="FY61" t="s">
        <v>215</v>
      </c>
      <c r="FZ61" t="s">
        <v>215</v>
      </c>
      <c r="GA61" t="s">
        <v>215</v>
      </c>
      <c r="GB61" t="s">
        <v>215</v>
      </c>
    </row>
    <row r="62" spans="1:184" ht="18" x14ac:dyDescent="0.2">
      <c r="A62" t="s">
        <v>240</v>
      </c>
      <c r="B62" s="141" t="s">
        <v>241</v>
      </c>
      <c r="C62" s="138" t="s">
        <v>168</v>
      </c>
      <c r="D62" t="s">
        <v>239</v>
      </c>
      <c r="E62">
        <v>2015</v>
      </c>
      <c r="F62" t="str">
        <f t="shared" si="9"/>
        <v>10.1038/nature14145</v>
      </c>
      <c r="G62" s="175">
        <v>3134.59</v>
      </c>
      <c r="H62" s="142">
        <f t="shared" si="10"/>
        <v>15</v>
      </c>
      <c r="I62" s="142">
        <f t="shared" si="11"/>
        <v>15</v>
      </c>
      <c r="J62" s="148">
        <f t="shared" si="12"/>
        <v>345.25334845839598</v>
      </c>
      <c r="K62" s="148">
        <f t="shared" si="13"/>
        <v>78.534190252963015</v>
      </c>
      <c r="L62" s="148">
        <f t="shared" si="14"/>
        <v>68.136654431814975</v>
      </c>
      <c r="M62" t="b">
        <v>1</v>
      </c>
      <c r="N62">
        <v>3</v>
      </c>
      <c r="O62" t="s">
        <v>245</v>
      </c>
      <c r="P62" s="174" t="s">
        <v>259</v>
      </c>
      <c r="Q62" t="b">
        <v>0</v>
      </c>
      <c r="R62" t="s">
        <v>167</v>
      </c>
      <c r="S62" t="b">
        <v>0</v>
      </c>
      <c r="T62" t="b">
        <v>0</v>
      </c>
      <c r="U62" t="s">
        <v>167</v>
      </c>
      <c r="V62" t="s">
        <v>167</v>
      </c>
      <c r="W62" t="b">
        <v>0</v>
      </c>
      <c r="X62" t="s">
        <v>260</v>
      </c>
      <c r="Y62" s="150" t="s">
        <v>169</v>
      </c>
      <c r="Z62" t="s">
        <v>170</v>
      </c>
      <c r="AA62" t="s">
        <v>171</v>
      </c>
      <c r="AB62" s="142" t="s">
        <v>172</v>
      </c>
      <c r="AC62" s="146">
        <v>11</v>
      </c>
      <c r="AD62" s="146">
        <v>6</v>
      </c>
      <c r="AE62" s="146">
        <v>99</v>
      </c>
      <c r="AF62" s="146">
        <v>101</v>
      </c>
      <c r="AG62" s="146" t="s">
        <v>167</v>
      </c>
      <c r="AH62" s="146" t="s">
        <v>167</v>
      </c>
      <c r="AI62" s="146" t="s">
        <v>167</v>
      </c>
      <c r="AJ62" t="s">
        <v>173</v>
      </c>
      <c r="AK62" s="151">
        <v>12.75</v>
      </c>
      <c r="AL62" s="151">
        <v>-78.73</v>
      </c>
      <c r="AM62" s="151">
        <v>12.75</v>
      </c>
      <c r="AN62" s="151">
        <v>-78.73</v>
      </c>
      <c r="AO62" s="151">
        <v>-2828</v>
      </c>
      <c r="AP62" s="151">
        <v>-2828</v>
      </c>
      <c r="AQ62" s="142" t="s">
        <v>167</v>
      </c>
      <c r="AR62" s="142" t="s">
        <v>167</v>
      </c>
      <c r="AS62" s="175">
        <v>3134.59</v>
      </c>
      <c r="AT62" s="153" t="s">
        <v>174</v>
      </c>
      <c r="AU62" s="142">
        <v>15</v>
      </c>
      <c r="AV62" s="142">
        <v>15</v>
      </c>
      <c r="AW62" s="149" t="s">
        <v>167</v>
      </c>
      <c r="AX62" s="171" t="s">
        <v>243</v>
      </c>
      <c r="AY62" s="146" t="s">
        <v>167</v>
      </c>
      <c r="AZ62" t="s">
        <v>167</v>
      </c>
      <c r="BA62" t="s">
        <v>167</v>
      </c>
      <c r="BB62" t="s">
        <v>167</v>
      </c>
      <c r="BC62" t="s">
        <v>167</v>
      </c>
      <c r="BD62" t="s">
        <v>167</v>
      </c>
      <c r="BE62" t="s">
        <v>167</v>
      </c>
      <c r="BF62" t="s">
        <v>167</v>
      </c>
      <c r="BG62" s="154" t="s">
        <v>175</v>
      </c>
      <c r="BH62" t="s">
        <v>176</v>
      </c>
      <c r="BI62" s="155" t="s">
        <v>177</v>
      </c>
      <c r="BJ62" s="156" t="s">
        <v>178</v>
      </c>
      <c r="BK62" s="156" t="s">
        <v>179</v>
      </c>
      <c r="BL62" s="156" t="s">
        <v>180</v>
      </c>
      <c r="BM62" s="157" t="s">
        <v>181</v>
      </c>
      <c r="BN62" s="142" t="s">
        <v>182</v>
      </c>
      <c r="BO62" s="142" t="s">
        <v>182</v>
      </c>
      <c r="BP62" s="142" t="s">
        <v>182</v>
      </c>
      <c r="BQ62" s="152">
        <v>19.804919999999999</v>
      </c>
      <c r="BR62" t="s">
        <v>183</v>
      </c>
      <c r="BS62" s="152">
        <v>0.130653451</v>
      </c>
      <c r="BT62">
        <v>0.6</v>
      </c>
      <c r="BU62" t="s">
        <v>184</v>
      </c>
      <c r="BV62" s="153">
        <v>0.08</v>
      </c>
      <c r="BW62">
        <v>8.8699999999999992</v>
      </c>
      <c r="BX62" t="s">
        <v>185</v>
      </c>
      <c r="BY62">
        <v>1.52</v>
      </c>
      <c r="BZ62" t="s">
        <v>224</v>
      </c>
      <c r="CA62" t="s">
        <v>187</v>
      </c>
      <c r="CB62" s="158">
        <f t="shared" si="5"/>
        <v>18.224866666666667</v>
      </c>
      <c r="CC62" t="s">
        <v>184</v>
      </c>
      <c r="CD62" s="149" t="s">
        <v>167</v>
      </c>
      <c r="CE62" s="149" t="s">
        <v>167</v>
      </c>
      <c r="CF62" t="s">
        <v>188</v>
      </c>
      <c r="CG62" t="s">
        <v>189</v>
      </c>
      <c r="CH62" t="s">
        <v>190</v>
      </c>
      <c r="CI62" t="s">
        <v>190</v>
      </c>
      <c r="CJ62" s="152">
        <v>26.10661</v>
      </c>
      <c r="CK62" t="s">
        <v>184</v>
      </c>
      <c r="CL62" s="159">
        <v>3</v>
      </c>
      <c r="CM62" s="159">
        <v>3</v>
      </c>
      <c r="CN62" s="152">
        <v>2.9149039740697438</v>
      </c>
      <c r="CO62" s="152">
        <v>2.9149039740697438</v>
      </c>
      <c r="CP62" t="s">
        <v>191</v>
      </c>
      <c r="CQ62" s="145">
        <f t="shared" si="6"/>
        <v>7.8702407299883079E-2</v>
      </c>
      <c r="CR62" s="145">
        <f t="shared" si="7"/>
        <v>7.8702407299883079E-2</v>
      </c>
      <c r="CS62" s="142" t="s">
        <v>192</v>
      </c>
      <c r="CT62" s="147" t="s">
        <v>193</v>
      </c>
      <c r="CU62" s="152">
        <v>3.5017179794542934</v>
      </c>
      <c r="CV62" s="152" t="s">
        <v>194</v>
      </c>
      <c r="CW62" t="s">
        <v>167</v>
      </c>
      <c r="CX62" t="s">
        <v>195</v>
      </c>
      <c r="CY62" t="s">
        <v>167</v>
      </c>
      <c r="CZ62" t="s">
        <v>167</v>
      </c>
      <c r="DA62" t="s">
        <v>167</v>
      </c>
      <c r="DB62" t="s">
        <v>167</v>
      </c>
      <c r="DC62" t="s">
        <v>167</v>
      </c>
      <c r="DD62" t="s">
        <v>167</v>
      </c>
      <c r="DE62" t="s">
        <v>167</v>
      </c>
      <c r="DF62" t="s">
        <v>167</v>
      </c>
      <c r="DG62" s="160">
        <v>35</v>
      </c>
      <c r="DH62" t="s">
        <v>174</v>
      </c>
      <c r="DI62">
        <v>3</v>
      </c>
      <c r="DJ62" s="161" t="s">
        <v>196</v>
      </c>
      <c r="DK62" s="146" t="s">
        <v>167</v>
      </c>
      <c r="DL62" s="146" t="s">
        <v>167</v>
      </c>
      <c r="DM62" s="146" t="s">
        <v>167</v>
      </c>
      <c r="DN62" s="146" t="s">
        <v>167</v>
      </c>
      <c r="DO62" s="146" t="s">
        <v>167</v>
      </c>
      <c r="DP62" s="146" t="s">
        <v>167</v>
      </c>
      <c r="DQ62" s="146" t="s">
        <v>167</v>
      </c>
      <c r="DR62" s="146" t="s">
        <v>167</v>
      </c>
      <c r="DS62" s="146" t="s">
        <v>167</v>
      </c>
      <c r="DT62" s="146" t="s">
        <v>167</v>
      </c>
      <c r="DU62" s="146" t="s">
        <v>167</v>
      </c>
      <c r="DV62" s="146" t="s">
        <v>167</v>
      </c>
      <c r="DW62" s="143">
        <v>432.56244218316402</v>
      </c>
      <c r="DX62" t="s">
        <v>197</v>
      </c>
      <c r="DY62" s="142">
        <v>37.1</v>
      </c>
      <c r="DZ62" t="s">
        <v>198</v>
      </c>
      <c r="EA62" s="152">
        <v>39.161245010000002</v>
      </c>
      <c r="EB62" s="149" t="s">
        <v>185</v>
      </c>
      <c r="EC62" s="162">
        <v>0.2</v>
      </c>
      <c r="ED62" t="s">
        <v>199</v>
      </c>
      <c r="EE62" t="s">
        <v>225</v>
      </c>
      <c r="EF62" t="s">
        <v>201</v>
      </c>
      <c r="EG62">
        <v>1.0271999999999999</v>
      </c>
      <c r="EH62" t="s">
        <v>202</v>
      </c>
      <c r="EI62">
        <v>5.9999999999999995E-4</v>
      </c>
      <c r="EJ62" t="s">
        <v>203</v>
      </c>
      <c r="EK62" t="s">
        <v>167</v>
      </c>
      <c r="EL62" t="s">
        <v>167</v>
      </c>
      <c r="EM62" t="s">
        <v>204</v>
      </c>
      <c r="EN62" t="s">
        <v>226</v>
      </c>
      <c r="EO62" t="s">
        <v>206</v>
      </c>
      <c r="EP62" t="s">
        <v>206</v>
      </c>
      <c r="EQ62" s="146" t="s">
        <v>167</v>
      </c>
      <c r="ER62" t="s">
        <v>167</v>
      </c>
      <c r="ES62" t="s">
        <v>167</v>
      </c>
      <c r="ET62" t="s">
        <v>207</v>
      </c>
      <c r="EU62" t="s">
        <v>208</v>
      </c>
      <c r="EV62" t="s">
        <v>227</v>
      </c>
      <c r="EW62" s="163">
        <v>2330</v>
      </c>
      <c r="EX62" t="s">
        <v>210</v>
      </c>
      <c r="EY62">
        <v>175</v>
      </c>
      <c r="EZ62">
        <v>175</v>
      </c>
      <c r="FA62" t="s">
        <v>167</v>
      </c>
      <c r="FB62" t="s">
        <v>167</v>
      </c>
      <c r="FC62" t="s">
        <v>167</v>
      </c>
      <c r="FD62" t="s">
        <v>167</v>
      </c>
      <c r="FE62" s="152">
        <v>8.0788344584892098</v>
      </c>
      <c r="FF62" s="164" t="s">
        <v>211</v>
      </c>
      <c r="FG62" s="152">
        <v>6.6389681308169912E-2</v>
      </c>
      <c r="FH62" s="152">
        <v>6.6640700895868932E-2</v>
      </c>
      <c r="FI62" s="145">
        <v>366.25334845839598</v>
      </c>
      <c r="FJ62" s="149">
        <v>21</v>
      </c>
      <c r="FK62" s="149" t="s">
        <v>212</v>
      </c>
      <c r="FL62" s="152">
        <v>345.25334845839598</v>
      </c>
      <c r="FM62" s="152">
        <v>78.534190252963015</v>
      </c>
      <c r="FN62" s="152">
        <v>68.136654431814975</v>
      </c>
      <c r="FO62" s="144" t="s">
        <v>213</v>
      </c>
      <c r="FP62" s="144" t="s">
        <v>214</v>
      </c>
      <c r="FQ62" t="s">
        <v>215</v>
      </c>
      <c r="FR62" t="s">
        <v>215</v>
      </c>
      <c r="FS62" t="s">
        <v>215</v>
      </c>
      <c r="FT62" t="s">
        <v>215</v>
      </c>
      <c r="FU62" t="s">
        <v>215</v>
      </c>
      <c r="FV62" t="s">
        <v>215</v>
      </c>
      <c r="FW62" t="s">
        <v>215</v>
      </c>
      <c r="FX62" t="s">
        <v>215</v>
      </c>
      <c r="FY62" t="s">
        <v>215</v>
      </c>
      <c r="FZ62" t="s">
        <v>215</v>
      </c>
      <c r="GA62" t="s">
        <v>215</v>
      </c>
      <c r="GB62" t="s">
        <v>215</v>
      </c>
    </row>
    <row r="63" spans="1:184" ht="18" x14ac:dyDescent="0.2">
      <c r="A63" t="s">
        <v>240</v>
      </c>
      <c r="B63" s="141" t="s">
        <v>241</v>
      </c>
      <c r="C63" s="138" t="s">
        <v>168</v>
      </c>
      <c r="D63" t="s">
        <v>239</v>
      </c>
      <c r="E63">
        <v>2015</v>
      </c>
      <c r="F63" t="str">
        <f t="shared" si="9"/>
        <v>10.1038/nature14145</v>
      </c>
      <c r="G63" s="175">
        <v>3146.71</v>
      </c>
      <c r="H63" s="142">
        <f t="shared" si="10"/>
        <v>15</v>
      </c>
      <c r="I63" s="142">
        <f t="shared" si="11"/>
        <v>15</v>
      </c>
      <c r="J63" s="148">
        <f t="shared" si="12"/>
        <v>333.873909519606</v>
      </c>
      <c r="K63" s="148">
        <f t="shared" si="13"/>
        <v>79.043389235383017</v>
      </c>
      <c r="L63" s="148">
        <f t="shared" si="14"/>
        <v>66.056181311514024</v>
      </c>
      <c r="M63" t="b">
        <v>1</v>
      </c>
      <c r="N63">
        <v>3</v>
      </c>
      <c r="O63" t="s">
        <v>245</v>
      </c>
      <c r="P63" s="174" t="s">
        <v>259</v>
      </c>
      <c r="Q63" t="b">
        <v>0</v>
      </c>
      <c r="R63" t="s">
        <v>167</v>
      </c>
      <c r="S63" t="b">
        <v>0</v>
      </c>
      <c r="T63" t="b">
        <v>0</v>
      </c>
      <c r="U63" t="s">
        <v>167</v>
      </c>
      <c r="V63" t="s">
        <v>167</v>
      </c>
      <c r="W63" t="b">
        <v>0</v>
      </c>
      <c r="X63" t="s">
        <v>260</v>
      </c>
      <c r="Y63" s="150" t="s">
        <v>169</v>
      </c>
      <c r="Z63" t="s">
        <v>170</v>
      </c>
      <c r="AA63" t="s">
        <v>171</v>
      </c>
      <c r="AB63" s="142" t="s">
        <v>172</v>
      </c>
      <c r="AC63" s="146">
        <v>11</v>
      </c>
      <c r="AD63" s="146">
        <v>6</v>
      </c>
      <c r="AE63" s="146">
        <v>127</v>
      </c>
      <c r="AF63" s="146">
        <v>129</v>
      </c>
      <c r="AG63" s="146" t="s">
        <v>167</v>
      </c>
      <c r="AH63" s="146" t="s">
        <v>167</v>
      </c>
      <c r="AI63" s="146" t="s">
        <v>167</v>
      </c>
      <c r="AJ63" t="s">
        <v>173</v>
      </c>
      <c r="AK63" s="151">
        <v>12.75</v>
      </c>
      <c r="AL63" s="151">
        <v>-78.73</v>
      </c>
      <c r="AM63" s="151">
        <v>12.75</v>
      </c>
      <c r="AN63" s="151">
        <v>-78.73</v>
      </c>
      <c r="AO63" s="151">
        <v>-2828</v>
      </c>
      <c r="AP63" s="151">
        <v>-2828</v>
      </c>
      <c r="AQ63" s="142" t="s">
        <v>167</v>
      </c>
      <c r="AR63" s="142" t="s">
        <v>167</v>
      </c>
      <c r="AS63" s="175">
        <v>3146.71</v>
      </c>
      <c r="AT63" s="153" t="s">
        <v>174</v>
      </c>
      <c r="AU63" s="142">
        <v>15</v>
      </c>
      <c r="AV63" s="142">
        <v>15</v>
      </c>
      <c r="AW63" s="149" t="s">
        <v>167</v>
      </c>
      <c r="AX63" s="171" t="s">
        <v>243</v>
      </c>
      <c r="AY63" s="146" t="s">
        <v>167</v>
      </c>
      <c r="AZ63" t="s">
        <v>167</v>
      </c>
      <c r="BA63" t="s">
        <v>167</v>
      </c>
      <c r="BB63" t="s">
        <v>167</v>
      </c>
      <c r="BC63" t="s">
        <v>167</v>
      </c>
      <c r="BD63" t="s">
        <v>167</v>
      </c>
      <c r="BE63" t="s">
        <v>167</v>
      </c>
      <c r="BF63" t="s">
        <v>167</v>
      </c>
      <c r="BG63" s="154" t="s">
        <v>175</v>
      </c>
      <c r="BH63" t="s">
        <v>176</v>
      </c>
      <c r="BI63" s="155" t="s">
        <v>177</v>
      </c>
      <c r="BJ63" s="155" t="s">
        <v>178</v>
      </c>
      <c r="BK63" s="156" t="s">
        <v>179</v>
      </c>
      <c r="BL63" s="156" t="s">
        <v>180</v>
      </c>
      <c r="BM63" t="s">
        <v>181</v>
      </c>
      <c r="BN63" s="142" t="s">
        <v>182</v>
      </c>
      <c r="BO63" s="142" t="s">
        <v>182</v>
      </c>
      <c r="BP63" s="142" t="s">
        <v>182</v>
      </c>
      <c r="BQ63" s="152">
        <v>19.950839999999999</v>
      </c>
      <c r="BR63" t="s">
        <v>183</v>
      </c>
      <c r="BS63" s="152">
        <v>0.14869110199999999</v>
      </c>
      <c r="BT63">
        <v>0.6</v>
      </c>
      <c r="BU63" t="s">
        <v>184</v>
      </c>
      <c r="BV63" s="153">
        <v>0.08</v>
      </c>
      <c r="BW63">
        <v>8.8699999999999992</v>
      </c>
      <c r="BX63" t="s">
        <v>185</v>
      </c>
      <c r="BY63">
        <v>1.52</v>
      </c>
      <c r="BZ63" t="s">
        <v>224</v>
      </c>
      <c r="CA63" t="s">
        <v>187</v>
      </c>
      <c r="CB63" s="158">
        <f t="shared" si="5"/>
        <v>18.468066666666669</v>
      </c>
      <c r="CC63" t="s">
        <v>184</v>
      </c>
      <c r="CD63" s="149" t="s">
        <v>167</v>
      </c>
      <c r="CE63" s="149" t="s">
        <v>167</v>
      </c>
      <c r="CF63" t="s">
        <v>188</v>
      </c>
      <c r="CG63" t="s">
        <v>189</v>
      </c>
      <c r="CH63" t="s">
        <v>190</v>
      </c>
      <c r="CI63" t="s">
        <v>190</v>
      </c>
      <c r="CJ63" s="152">
        <v>27.155629999999999</v>
      </c>
      <c r="CK63" t="s">
        <v>184</v>
      </c>
      <c r="CL63" s="159">
        <v>3</v>
      </c>
      <c r="CM63" s="159">
        <v>3</v>
      </c>
      <c r="CN63" s="152">
        <v>3.1981570354880278</v>
      </c>
      <c r="CO63" s="152">
        <v>3.1981570354880278</v>
      </c>
      <c r="CP63" t="s">
        <v>191</v>
      </c>
      <c r="CQ63" s="145">
        <f t="shared" si="6"/>
        <v>8.6350239958176755E-2</v>
      </c>
      <c r="CR63" s="145">
        <f t="shared" si="7"/>
        <v>8.6350239958176755E-2</v>
      </c>
      <c r="CS63" s="142" t="s">
        <v>192</v>
      </c>
      <c r="CT63" s="147" t="s">
        <v>193</v>
      </c>
      <c r="CU63" s="152">
        <v>3.4874502109809429</v>
      </c>
      <c r="CV63" s="152" t="s">
        <v>194</v>
      </c>
      <c r="CW63" t="s">
        <v>167</v>
      </c>
      <c r="CX63" t="s">
        <v>195</v>
      </c>
      <c r="CY63" t="s">
        <v>167</v>
      </c>
      <c r="CZ63" t="s">
        <v>167</v>
      </c>
      <c r="DA63" t="s">
        <v>167</v>
      </c>
      <c r="DB63" t="s">
        <v>167</v>
      </c>
      <c r="DC63" t="s">
        <v>167</v>
      </c>
      <c r="DD63" t="s">
        <v>167</v>
      </c>
      <c r="DE63" t="s">
        <v>167</v>
      </c>
      <c r="DF63" t="s">
        <v>167</v>
      </c>
      <c r="DG63" s="160">
        <v>35</v>
      </c>
      <c r="DH63" t="s">
        <v>174</v>
      </c>
      <c r="DI63">
        <v>3</v>
      </c>
      <c r="DJ63" s="161" t="s">
        <v>196</v>
      </c>
      <c r="DK63" s="146" t="s">
        <v>167</v>
      </c>
      <c r="DL63" s="146" t="s">
        <v>167</v>
      </c>
      <c r="DM63" s="146" t="s">
        <v>167</v>
      </c>
      <c r="DN63" s="146" t="s">
        <v>167</v>
      </c>
      <c r="DO63" s="146" t="s">
        <v>167</v>
      </c>
      <c r="DP63" s="146" t="s">
        <v>167</v>
      </c>
      <c r="DQ63" s="146" t="s">
        <v>167</v>
      </c>
      <c r="DR63" s="146" t="s">
        <v>167</v>
      </c>
      <c r="DS63" s="146" t="s">
        <v>167</v>
      </c>
      <c r="DT63" s="146" t="s">
        <v>167</v>
      </c>
      <c r="DU63" s="146" t="s">
        <v>167</v>
      </c>
      <c r="DV63" s="146" t="s">
        <v>167</v>
      </c>
      <c r="DW63" s="143">
        <v>432.56244218316402</v>
      </c>
      <c r="DX63" t="s">
        <v>197</v>
      </c>
      <c r="DY63" s="142">
        <v>37.1</v>
      </c>
      <c r="DZ63" t="s">
        <v>198</v>
      </c>
      <c r="EA63" s="152">
        <v>39.159936600000002</v>
      </c>
      <c r="EB63" s="149" t="s">
        <v>185</v>
      </c>
      <c r="EC63" s="162">
        <v>0.2</v>
      </c>
      <c r="ED63" t="s">
        <v>199</v>
      </c>
      <c r="EE63" t="s">
        <v>225</v>
      </c>
      <c r="EF63" t="s">
        <v>201</v>
      </c>
      <c r="EG63">
        <v>1.0271999999999999</v>
      </c>
      <c r="EH63" t="s">
        <v>202</v>
      </c>
      <c r="EI63">
        <v>5.9999999999999995E-4</v>
      </c>
      <c r="EJ63" t="s">
        <v>203</v>
      </c>
      <c r="EK63" t="s">
        <v>167</v>
      </c>
      <c r="EL63" t="s">
        <v>167</v>
      </c>
      <c r="EM63" t="s">
        <v>204</v>
      </c>
      <c r="EN63" t="s">
        <v>226</v>
      </c>
      <c r="EO63" t="s">
        <v>206</v>
      </c>
      <c r="EP63" t="s">
        <v>206</v>
      </c>
      <c r="EQ63" s="146" t="s">
        <v>167</v>
      </c>
      <c r="ER63" t="s">
        <v>167</v>
      </c>
      <c r="ES63" t="s">
        <v>167</v>
      </c>
      <c r="ET63" t="s">
        <v>207</v>
      </c>
      <c r="EU63" t="s">
        <v>208</v>
      </c>
      <c r="EV63" t="s">
        <v>227</v>
      </c>
      <c r="EW63" s="163">
        <v>2330</v>
      </c>
      <c r="EX63" t="s">
        <v>210</v>
      </c>
      <c r="EY63">
        <v>175</v>
      </c>
      <c r="EZ63">
        <v>175</v>
      </c>
      <c r="FA63" t="s">
        <v>167</v>
      </c>
      <c r="FB63" t="s">
        <v>167</v>
      </c>
      <c r="FC63" t="s">
        <v>167</v>
      </c>
      <c r="FD63" t="s">
        <v>167</v>
      </c>
      <c r="FE63" s="152">
        <v>8.0886175687762094</v>
      </c>
      <c r="FF63" s="164" t="s">
        <v>211</v>
      </c>
      <c r="FG63" s="152">
        <v>6.4629018492590617E-2</v>
      </c>
      <c r="FH63" s="152">
        <v>6.693459949570979E-2</v>
      </c>
      <c r="FI63" s="145">
        <v>354.873909519606</v>
      </c>
      <c r="FJ63" s="149">
        <v>21</v>
      </c>
      <c r="FK63" s="149" t="s">
        <v>212</v>
      </c>
      <c r="FL63" s="152">
        <v>333.873909519606</v>
      </c>
      <c r="FM63" s="152">
        <v>79.043389235383017</v>
      </c>
      <c r="FN63" s="152">
        <v>66.056181311514024</v>
      </c>
      <c r="FO63" s="144" t="s">
        <v>213</v>
      </c>
      <c r="FP63" s="144" t="s">
        <v>214</v>
      </c>
      <c r="FQ63" t="s">
        <v>215</v>
      </c>
      <c r="FR63" t="s">
        <v>215</v>
      </c>
      <c r="FS63" t="s">
        <v>215</v>
      </c>
      <c r="FT63" t="s">
        <v>215</v>
      </c>
      <c r="FU63" t="s">
        <v>215</v>
      </c>
      <c r="FV63" t="s">
        <v>215</v>
      </c>
      <c r="FW63" t="s">
        <v>215</v>
      </c>
      <c r="FX63" t="s">
        <v>215</v>
      </c>
      <c r="FY63" t="s">
        <v>215</v>
      </c>
      <c r="FZ63" t="s">
        <v>215</v>
      </c>
      <c r="GA63" t="s">
        <v>215</v>
      </c>
      <c r="GB63" t="s">
        <v>215</v>
      </c>
    </row>
    <row r="64" spans="1:184" ht="18" x14ac:dyDescent="0.2">
      <c r="A64" t="s">
        <v>240</v>
      </c>
      <c r="B64" s="141" t="s">
        <v>241</v>
      </c>
      <c r="C64" s="138" t="s">
        <v>168</v>
      </c>
      <c r="D64" t="s">
        <v>239</v>
      </c>
      <c r="E64">
        <v>2015</v>
      </c>
      <c r="F64" t="str">
        <f t="shared" si="9"/>
        <v>10.1038/nature14145</v>
      </c>
      <c r="G64" s="175">
        <v>3151.75</v>
      </c>
      <c r="H64" s="142">
        <f t="shared" si="10"/>
        <v>15</v>
      </c>
      <c r="I64" s="142">
        <f t="shared" si="11"/>
        <v>15</v>
      </c>
      <c r="J64" s="148">
        <f t="shared" si="12"/>
        <v>403.17550432894097</v>
      </c>
      <c r="K64" s="148">
        <f t="shared" si="13"/>
        <v>125.17671653848402</v>
      </c>
      <c r="L64" s="148">
        <f t="shared" si="14"/>
        <v>100.50483670449898</v>
      </c>
      <c r="M64" t="b">
        <v>1</v>
      </c>
      <c r="N64">
        <v>3</v>
      </c>
      <c r="O64" t="s">
        <v>245</v>
      </c>
      <c r="P64" s="174" t="s">
        <v>259</v>
      </c>
      <c r="Q64" t="b">
        <v>0</v>
      </c>
      <c r="R64" t="s">
        <v>167</v>
      </c>
      <c r="S64" t="b">
        <v>0</v>
      </c>
      <c r="T64" t="b">
        <v>0</v>
      </c>
      <c r="U64" t="s">
        <v>167</v>
      </c>
      <c r="V64" t="s">
        <v>167</v>
      </c>
      <c r="W64" t="b">
        <v>0</v>
      </c>
      <c r="X64" t="s">
        <v>260</v>
      </c>
      <c r="Y64" s="150" t="s">
        <v>169</v>
      </c>
      <c r="Z64" t="s">
        <v>170</v>
      </c>
      <c r="AA64" t="s">
        <v>171</v>
      </c>
      <c r="AB64" s="142" t="s">
        <v>172</v>
      </c>
      <c r="AC64" s="146">
        <v>11</v>
      </c>
      <c r="AD64" s="146">
        <v>7</v>
      </c>
      <c r="AE64" s="146">
        <v>0</v>
      </c>
      <c r="AF64" s="146">
        <v>2</v>
      </c>
      <c r="AG64" s="146" t="s">
        <v>167</v>
      </c>
      <c r="AH64" s="146" t="s">
        <v>167</v>
      </c>
      <c r="AI64" s="146" t="s">
        <v>167</v>
      </c>
      <c r="AJ64" t="s">
        <v>173</v>
      </c>
      <c r="AK64" s="151">
        <v>12.75</v>
      </c>
      <c r="AL64" s="151">
        <v>-78.73</v>
      </c>
      <c r="AM64" s="151">
        <v>12.75</v>
      </c>
      <c r="AN64" s="151">
        <v>-78.73</v>
      </c>
      <c r="AO64" s="151">
        <v>-2828</v>
      </c>
      <c r="AP64" s="151">
        <v>-2828</v>
      </c>
      <c r="AQ64" s="142" t="s">
        <v>167</v>
      </c>
      <c r="AR64" s="142" t="s">
        <v>167</v>
      </c>
      <c r="AS64" s="175">
        <v>3151.75</v>
      </c>
      <c r="AT64" s="153" t="s">
        <v>174</v>
      </c>
      <c r="AU64" s="142">
        <v>15</v>
      </c>
      <c r="AV64" s="142">
        <v>15</v>
      </c>
      <c r="AW64" s="149" t="s">
        <v>167</v>
      </c>
      <c r="AX64" s="171" t="s">
        <v>243</v>
      </c>
      <c r="AY64" s="146" t="s">
        <v>167</v>
      </c>
      <c r="AZ64" t="s">
        <v>167</v>
      </c>
      <c r="BA64" t="s">
        <v>167</v>
      </c>
      <c r="BB64" t="s">
        <v>167</v>
      </c>
      <c r="BC64" t="s">
        <v>167</v>
      </c>
      <c r="BD64" t="s">
        <v>167</v>
      </c>
      <c r="BE64" t="s">
        <v>167</v>
      </c>
      <c r="BF64" t="s">
        <v>167</v>
      </c>
      <c r="BG64" s="154" t="s">
        <v>175</v>
      </c>
      <c r="BH64" t="s">
        <v>176</v>
      </c>
      <c r="BI64" s="155" t="s">
        <v>177</v>
      </c>
      <c r="BJ64" s="156" t="s">
        <v>178</v>
      </c>
      <c r="BK64" s="156" t="s">
        <v>179</v>
      </c>
      <c r="BL64" s="156" t="s">
        <v>180</v>
      </c>
      <c r="BM64" s="157" t="s">
        <v>181</v>
      </c>
      <c r="BN64" s="142" t="s">
        <v>182</v>
      </c>
      <c r="BO64" s="142" t="s">
        <v>182</v>
      </c>
      <c r="BP64" s="142" t="s">
        <v>182</v>
      </c>
      <c r="BQ64" s="152">
        <v>19.507429999999999</v>
      </c>
      <c r="BR64" t="s">
        <v>183</v>
      </c>
      <c r="BS64" s="152">
        <v>0.33308674599999999</v>
      </c>
      <c r="BT64">
        <v>0.6</v>
      </c>
      <c r="BU64" t="s">
        <v>184</v>
      </c>
      <c r="BV64" s="153">
        <v>0.08</v>
      </c>
      <c r="BW64">
        <v>8.8699999999999992</v>
      </c>
      <c r="BX64" t="s">
        <v>185</v>
      </c>
      <c r="BY64">
        <v>1.52</v>
      </c>
      <c r="BZ64" t="s">
        <v>224</v>
      </c>
      <c r="CA64" t="s">
        <v>187</v>
      </c>
      <c r="CB64" s="158">
        <f t="shared" si="5"/>
        <v>17.729050000000001</v>
      </c>
      <c r="CC64" t="s">
        <v>184</v>
      </c>
      <c r="CD64" s="149" t="s">
        <v>167</v>
      </c>
      <c r="CE64" s="149" t="s">
        <v>167</v>
      </c>
      <c r="CF64" t="s">
        <v>188</v>
      </c>
      <c r="CG64" t="s">
        <v>189</v>
      </c>
      <c r="CH64" t="s">
        <v>190</v>
      </c>
      <c r="CI64" t="s">
        <v>190</v>
      </c>
      <c r="CJ64" s="152">
        <v>26.41761</v>
      </c>
      <c r="CK64" t="s">
        <v>184</v>
      </c>
      <c r="CL64" s="159">
        <v>3</v>
      </c>
      <c r="CM64" s="159">
        <v>3</v>
      </c>
      <c r="CN64" s="152">
        <v>2.9882947033878104</v>
      </c>
      <c r="CO64" s="152">
        <v>2.9882947033878104</v>
      </c>
      <c r="CP64" t="s">
        <v>191</v>
      </c>
      <c r="CQ64" s="145">
        <f t="shared" si="6"/>
        <v>8.0683956991470879E-2</v>
      </c>
      <c r="CR64" s="145">
        <f t="shared" si="7"/>
        <v>8.0683956991470879E-2</v>
      </c>
      <c r="CS64" s="142" t="s">
        <v>192</v>
      </c>
      <c r="CT64" s="147" t="s">
        <v>193</v>
      </c>
      <c r="CU64" s="152">
        <v>3.4751381082141903</v>
      </c>
      <c r="CV64" s="152" t="s">
        <v>194</v>
      </c>
      <c r="CW64" t="s">
        <v>167</v>
      </c>
      <c r="CX64" t="s">
        <v>195</v>
      </c>
      <c r="CY64" t="s">
        <v>167</v>
      </c>
      <c r="CZ64" t="s">
        <v>167</v>
      </c>
      <c r="DA64" t="s">
        <v>167</v>
      </c>
      <c r="DB64" t="s">
        <v>167</v>
      </c>
      <c r="DC64" t="s">
        <v>167</v>
      </c>
      <c r="DD64" t="s">
        <v>167</v>
      </c>
      <c r="DE64" t="s">
        <v>167</v>
      </c>
      <c r="DF64" t="s">
        <v>167</v>
      </c>
      <c r="DG64" s="160">
        <v>35</v>
      </c>
      <c r="DH64" t="s">
        <v>174</v>
      </c>
      <c r="DI64">
        <v>3</v>
      </c>
      <c r="DJ64" s="161" t="s">
        <v>196</v>
      </c>
      <c r="DK64" s="146" t="s">
        <v>167</v>
      </c>
      <c r="DL64" s="146" t="s">
        <v>167</v>
      </c>
      <c r="DM64" s="146" t="s">
        <v>167</v>
      </c>
      <c r="DN64" s="146" t="s">
        <v>167</v>
      </c>
      <c r="DO64" s="146" t="s">
        <v>167</v>
      </c>
      <c r="DP64" s="146" t="s">
        <v>167</v>
      </c>
      <c r="DQ64" s="146" t="s">
        <v>167</v>
      </c>
      <c r="DR64" s="146" t="s">
        <v>167</v>
      </c>
      <c r="DS64" s="146" t="s">
        <v>167</v>
      </c>
      <c r="DT64" s="146" t="s">
        <v>167</v>
      </c>
      <c r="DU64" s="146" t="s">
        <v>167</v>
      </c>
      <c r="DV64" s="146" t="s">
        <v>167</v>
      </c>
      <c r="DW64" s="143">
        <v>432.56244218316402</v>
      </c>
      <c r="DX64" t="s">
        <v>197</v>
      </c>
      <c r="DY64" s="142">
        <v>37.1</v>
      </c>
      <c r="DZ64" t="s">
        <v>198</v>
      </c>
      <c r="EA64" s="152">
        <v>39.158868380000001</v>
      </c>
      <c r="EB64" s="149" t="s">
        <v>185</v>
      </c>
      <c r="EC64" s="162">
        <v>0.2</v>
      </c>
      <c r="ED64" t="s">
        <v>199</v>
      </c>
      <c r="EE64" t="s">
        <v>225</v>
      </c>
      <c r="EF64" t="s">
        <v>201</v>
      </c>
      <c r="EG64">
        <v>1.0271999999999999</v>
      </c>
      <c r="EH64" t="s">
        <v>202</v>
      </c>
      <c r="EI64">
        <v>5.9999999999999995E-4</v>
      </c>
      <c r="EJ64" t="s">
        <v>203</v>
      </c>
      <c r="EK64" t="s">
        <v>167</v>
      </c>
      <c r="EL64" t="s">
        <v>167</v>
      </c>
      <c r="EM64" t="s">
        <v>204</v>
      </c>
      <c r="EN64" t="s">
        <v>226</v>
      </c>
      <c r="EO64" t="s">
        <v>206</v>
      </c>
      <c r="EP64" t="s">
        <v>206</v>
      </c>
      <c r="EQ64" s="146" t="s">
        <v>167</v>
      </c>
      <c r="ER64" t="s">
        <v>167</v>
      </c>
      <c r="ES64" t="s">
        <v>167</v>
      </c>
      <c r="ET64" t="s">
        <v>207</v>
      </c>
      <c r="EU64" t="s">
        <v>208</v>
      </c>
      <c r="EV64" t="s">
        <v>227</v>
      </c>
      <c r="EW64" s="163">
        <v>2330</v>
      </c>
      <c r="EX64" t="s">
        <v>210</v>
      </c>
      <c r="EY64">
        <v>175</v>
      </c>
      <c r="EZ64">
        <v>175</v>
      </c>
      <c r="FA64" t="s">
        <v>167</v>
      </c>
      <c r="FB64" t="s">
        <v>167</v>
      </c>
      <c r="FC64" t="s">
        <v>167</v>
      </c>
      <c r="FD64" t="s">
        <v>167</v>
      </c>
      <c r="FE64" s="152">
        <v>8.0284479042834906</v>
      </c>
      <c r="FF64" s="164" t="s">
        <v>211</v>
      </c>
      <c r="FG64" s="152">
        <v>8.6231847716589982E-2</v>
      </c>
      <c r="FH64" s="152">
        <v>9.2143438215511075E-2</v>
      </c>
      <c r="FI64" s="145">
        <v>424.17550432894097</v>
      </c>
      <c r="FJ64" s="149">
        <v>21</v>
      </c>
      <c r="FK64" s="149" t="s">
        <v>212</v>
      </c>
      <c r="FL64" s="152">
        <v>403.17550432894097</v>
      </c>
      <c r="FM64" s="152">
        <v>125.17671653848402</v>
      </c>
      <c r="FN64" s="152">
        <v>100.50483670449898</v>
      </c>
      <c r="FO64" s="144" t="s">
        <v>213</v>
      </c>
      <c r="FP64" s="144" t="s">
        <v>214</v>
      </c>
      <c r="FQ64" t="s">
        <v>215</v>
      </c>
      <c r="FR64" t="s">
        <v>215</v>
      </c>
      <c r="FS64" t="s">
        <v>215</v>
      </c>
      <c r="FT64" t="s">
        <v>215</v>
      </c>
      <c r="FU64" t="s">
        <v>215</v>
      </c>
      <c r="FV64" t="s">
        <v>215</v>
      </c>
      <c r="FW64" t="s">
        <v>215</v>
      </c>
      <c r="FX64" t="s">
        <v>215</v>
      </c>
      <c r="FY64" t="s">
        <v>215</v>
      </c>
      <c r="FZ64" t="s">
        <v>215</v>
      </c>
      <c r="GA64" t="s">
        <v>215</v>
      </c>
      <c r="GB64" t="s">
        <v>215</v>
      </c>
    </row>
    <row r="65" spans="1:184" ht="18" x14ac:dyDescent="0.2">
      <c r="A65" t="s">
        <v>240</v>
      </c>
      <c r="B65" s="141" t="s">
        <v>241</v>
      </c>
      <c r="C65" s="138" t="s">
        <v>168</v>
      </c>
      <c r="D65" t="s">
        <v>239</v>
      </c>
      <c r="E65">
        <v>2015</v>
      </c>
      <c r="F65" t="str">
        <f t="shared" si="9"/>
        <v>10.1038/nature14145</v>
      </c>
      <c r="G65" s="175">
        <v>3154.35</v>
      </c>
      <c r="H65" s="142">
        <f t="shared" si="10"/>
        <v>15</v>
      </c>
      <c r="I65" s="142">
        <f t="shared" si="11"/>
        <v>15</v>
      </c>
      <c r="J65" s="148">
        <f t="shared" si="12"/>
        <v>339.64626515835801</v>
      </c>
      <c r="K65" s="148">
        <f t="shared" si="13"/>
        <v>76.439030395686984</v>
      </c>
      <c r="L65" s="148">
        <f t="shared" si="14"/>
        <v>67.894034531428986</v>
      </c>
      <c r="M65" t="b">
        <v>1</v>
      </c>
      <c r="N65">
        <v>3</v>
      </c>
      <c r="O65" t="s">
        <v>245</v>
      </c>
      <c r="P65" s="174" t="s">
        <v>259</v>
      </c>
      <c r="Q65" t="b">
        <v>0</v>
      </c>
      <c r="R65" t="s">
        <v>167</v>
      </c>
      <c r="S65" t="b">
        <v>0</v>
      </c>
      <c r="T65" t="b">
        <v>0</v>
      </c>
      <c r="U65" t="s">
        <v>167</v>
      </c>
      <c r="V65" t="s">
        <v>167</v>
      </c>
      <c r="W65" t="b">
        <v>0</v>
      </c>
      <c r="X65" t="s">
        <v>260</v>
      </c>
      <c r="Y65" s="150" t="s">
        <v>169</v>
      </c>
      <c r="Z65" t="s">
        <v>170</v>
      </c>
      <c r="AA65" t="s">
        <v>171</v>
      </c>
      <c r="AB65" s="142" t="s">
        <v>172</v>
      </c>
      <c r="AC65" s="146">
        <v>11</v>
      </c>
      <c r="AD65" s="146">
        <v>7</v>
      </c>
      <c r="AE65" s="146">
        <v>16</v>
      </c>
      <c r="AF65" s="146">
        <v>18</v>
      </c>
      <c r="AG65" s="146" t="s">
        <v>167</v>
      </c>
      <c r="AH65" s="146" t="s">
        <v>167</v>
      </c>
      <c r="AI65" s="146" t="s">
        <v>167</v>
      </c>
      <c r="AJ65" t="s">
        <v>173</v>
      </c>
      <c r="AK65" s="151">
        <v>12.75</v>
      </c>
      <c r="AL65" s="151">
        <v>-78.73</v>
      </c>
      <c r="AM65" s="151">
        <v>12.75</v>
      </c>
      <c r="AN65" s="151">
        <v>-78.73</v>
      </c>
      <c r="AO65" s="151">
        <v>-2828</v>
      </c>
      <c r="AP65" s="151">
        <v>-2828</v>
      </c>
      <c r="AQ65" s="142" t="s">
        <v>167</v>
      </c>
      <c r="AR65" s="142" t="s">
        <v>167</v>
      </c>
      <c r="AS65" s="175">
        <v>3154.35</v>
      </c>
      <c r="AT65" s="153" t="s">
        <v>174</v>
      </c>
      <c r="AU65" s="142">
        <v>15</v>
      </c>
      <c r="AV65" s="142">
        <v>15</v>
      </c>
      <c r="AW65" s="149" t="s">
        <v>167</v>
      </c>
      <c r="AX65" s="171" t="s">
        <v>243</v>
      </c>
      <c r="AY65" s="146" t="s">
        <v>167</v>
      </c>
      <c r="AZ65" t="s">
        <v>167</v>
      </c>
      <c r="BA65" t="s">
        <v>167</v>
      </c>
      <c r="BB65" t="s">
        <v>167</v>
      </c>
      <c r="BC65" t="s">
        <v>167</v>
      </c>
      <c r="BD65" t="s">
        <v>167</v>
      </c>
      <c r="BE65" t="s">
        <v>167</v>
      </c>
      <c r="BF65" t="s">
        <v>167</v>
      </c>
      <c r="BG65" s="154" t="s">
        <v>175</v>
      </c>
      <c r="BH65" t="s">
        <v>176</v>
      </c>
      <c r="BI65" s="155" t="s">
        <v>177</v>
      </c>
      <c r="BJ65" s="155" t="s">
        <v>178</v>
      </c>
      <c r="BK65" s="156" t="s">
        <v>179</v>
      </c>
      <c r="BL65" s="156" t="s">
        <v>180</v>
      </c>
      <c r="BM65" t="s">
        <v>181</v>
      </c>
      <c r="BN65" s="142" t="s">
        <v>182</v>
      </c>
      <c r="BO65" s="142" t="s">
        <v>182</v>
      </c>
      <c r="BP65" s="142" t="s">
        <v>182</v>
      </c>
      <c r="BQ65" s="152">
        <v>19.93</v>
      </c>
      <c r="BR65" t="s">
        <v>183</v>
      </c>
      <c r="BS65" s="152">
        <v>0.11328068600000001</v>
      </c>
      <c r="BT65">
        <v>0.6</v>
      </c>
      <c r="BU65" t="s">
        <v>184</v>
      </c>
      <c r="BV65" s="153">
        <v>0.08</v>
      </c>
      <c r="BW65">
        <v>8.8699999999999992</v>
      </c>
      <c r="BX65" t="s">
        <v>185</v>
      </c>
      <c r="BY65">
        <v>1.52</v>
      </c>
      <c r="BZ65" t="s">
        <v>224</v>
      </c>
      <c r="CA65" t="s">
        <v>187</v>
      </c>
      <c r="CB65" s="158">
        <f t="shared" si="5"/>
        <v>18.433333333333334</v>
      </c>
      <c r="CC65" t="s">
        <v>184</v>
      </c>
      <c r="CD65" s="149" t="s">
        <v>167</v>
      </c>
      <c r="CE65" s="149" t="s">
        <v>167</v>
      </c>
      <c r="CF65" t="s">
        <v>188</v>
      </c>
      <c r="CG65" t="s">
        <v>189</v>
      </c>
      <c r="CH65" t="s">
        <v>190</v>
      </c>
      <c r="CI65" t="s">
        <v>190</v>
      </c>
      <c r="CJ65" s="152">
        <v>27.442219999999999</v>
      </c>
      <c r="CK65" t="s">
        <v>184</v>
      </c>
      <c r="CL65" s="159">
        <v>3</v>
      </c>
      <c r="CM65" s="159">
        <v>3</v>
      </c>
      <c r="CN65" s="152">
        <v>3.2737021241846032</v>
      </c>
      <c r="CO65" s="152">
        <v>3.2737021241846032</v>
      </c>
      <c r="CP65" t="s">
        <v>191</v>
      </c>
      <c r="CQ65" s="145">
        <f t="shared" si="6"/>
        <v>8.8389957352984286E-2</v>
      </c>
      <c r="CR65" s="145">
        <f t="shared" si="7"/>
        <v>8.8389957352984286E-2</v>
      </c>
      <c r="CS65" s="142" t="s">
        <v>192</v>
      </c>
      <c r="CT65" s="147" t="s">
        <v>193</v>
      </c>
      <c r="CU65" s="152">
        <v>3.4667037845893023</v>
      </c>
      <c r="CV65" s="152" t="s">
        <v>194</v>
      </c>
      <c r="CW65" t="s">
        <v>167</v>
      </c>
      <c r="CX65" t="s">
        <v>195</v>
      </c>
      <c r="CY65" t="s">
        <v>167</v>
      </c>
      <c r="CZ65" t="s">
        <v>167</v>
      </c>
      <c r="DA65" t="s">
        <v>167</v>
      </c>
      <c r="DB65" t="s">
        <v>167</v>
      </c>
      <c r="DC65" t="s">
        <v>167</v>
      </c>
      <c r="DD65" t="s">
        <v>167</v>
      </c>
      <c r="DE65" t="s">
        <v>167</v>
      </c>
      <c r="DF65" t="s">
        <v>167</v>
      </c>
      <c r="DG65" s="160">
        <v>35</v>
      </c>
      <c r="DH65" t="s">
        <v>174</v>
      </c>
      <c r="DI65">
        <v>3</v>
      </c>
      <c r="DJ65" s="161" t="s">
        <v>196</v>
      </c>
      <c r="DK65" s="146" t="s">
        <v>167</v>
      </c>
      <c r="DL65" s="146" t="s">
        <v>167</v>
      </c>
      <c r="DM65" s="146" t="s">
        <v>167</v>
      </c>
      <c r="DN65" s="146" t="s">
        <v>167</v>
      </c>
      <c r="DO65" s="146" t="s">
        <v>167</v>
      </c>
      <c r="DP65" s="146" t="s">
        <v>167</v>
      </c>
      <c r="DQ65" s="146" t="s">
        <v>167</v>
      </c>
      <c r="DR65" s="146" t="s">
        <v>167</v>
      </c>
      <c r="DS65" s="146" t="s">
        <v>167</v>
      </c>
      <c r="DT65" s="146" t="s">
        <v>167</v>
      </c>
      <c r="DU65" s="146" t="s">
        <v>167</v>
      </c>
      <c r="DV65" s="146" t="s">
        <v>167</v>
      </c>
      <c r="DW65" s="143">
        <v>432.56244218316402</v>
      </c>
      <c r="DX65" t="s">
        <v>197</v>
      </c>
      <c r="DY65" s="142">
        <v>37.1</v>
      </c>
      <c r="DZ65" t="s">
        <v>198</v>
      </c>
      <c r="EA65" s="152">
        <v>39.158087430000002</v>
      </c>
      <c r="EB65" s="149" t="s">
        <v>185</v>
      </c>
      <c r="EC65" s="162">
        <v>0.2</v>
      </c>
      <c r="ED65" t="s">
        <v>199</v>
      </c>
      <c r="EE65" t="s">
        <v>225</v>
      </c>
      <c r="EF65" t="s">
        <v>201</v>
      </c>
      <c r="EG65">
        <v>1.0271999999999999</v>
      </c>
      <c r="EH65" t="s">
        <v>202</v>
      </c>
      <c r="EI65">
        <v>5.9999999999999995E-4</v>
      </c>
      <c r="EJ65" t="s">
        <v>203</v>
      </c>
      <c r="EK65" t="s">
        <v>167</v>
      </c>
      <c r="EL65" t="s">
        <v>167</v>
      </c>
      <c r="EM65" t="s">
        <v>204</v>
      </c>
      <c r="EN65" t="s">
        <v>226</v>
      </c>
      <c r="EO65" t="s">
        <v>206</v>
      </c>
      <c r="EP65" t="s">
        <v>206</v>
      </c>
      <c r="EQ65" s="146" t="s">
        <v>167</v>
      </c>
      <c r="ER65" t="s">
        <v>167</v>
      </c>
      <c r="ES65" t="s">
        <v>167</v>
      </c>
      <c r="ET65" t="s">
        <v>207</v>
      </c>
      <c r="EU65" t="s">
        <v>208</v>
      </c>
      <c r="EV65" t="s">
        <v>227</v>
      </c>
      <c r="EW65" s="163">
        <v>2330</v>
      </c>
      <c r="EX65" t="s">
        <v>210</v>
      </c>
      <c r="EY65">
        <v>175</v>
      </c>
      <c r="EZ65">
        <v>175</v>
      </c>
      <c r="FA65" t="s">
        <v>167</v>
      </c>
      <c r="FB65" t="s">
        <v>167</v>
      </c>
      <c r="FC65" t="s">
        <v>167</v>
      </c>
      <c r="FD65" t="s">
        <v>167</v>
      </c>
      <c r="FE65" s="152">
        <v>8.0823451674312192</v>
      </c>
      <c r="FF65" s="164" t="s">
        <v>211</v>
      </c>
      <c r="FG65" s="152">
        <v>6.5871076686111252E-2</v>
      </c>
      <c r="FH65" s="152">
        <v>6.5680550632828627E-2</v>
      </c>
      <c r="FI65" s="145">
        <v>360.64626515835801</v>
      </c>
      <c r="FJ65" s="149">
        <v>21</v>
      </c>
      <c r="FK65" s="149" t="s">
        <v>212</v>
      </c>
      <c r="FL65" s="152">
        <v>339.64626515835801</v>
      </c>
      <c r="FM65" s="152">
        <v>76.439030395686984</v>
      </c>
      <c r="FN65" s="152">
        <v>67.894034531428986</v>
      </c>
      <c r="FO65" s="144" t="s">
        <v>213</v>
      </c>
      <c r="FP65" s="144" t="s">
        <v>214</v>
      </c>
      <c r="FQ65" t="s">
        <v>215</v>
      </c>
      <c r="FR65" t="s">
        <v>215</v>
      </c>
      <c r="FS65" t="s">
        <v>215</v>
      </c>
      <c r="FT65" t="s">
        <v>215</v>
      </c>
      <c r="FU65" t="s">
        <v>215</v>
      </c>
      <c r="FV65" t="s">
        <v>215</v>
      </c>
      <c r="FW65" t="s">
        <v>215</v>
      </c>
      <c r="FX65" t="s">
        <v>215</v>
      </c>
      <c r="FY65" t="s">
        <v>215</v>
      </c>
      <c r="FZ65" t="s">
        <v>215</v>
      </c>
      <c r="GA65" t="s">
        <v>215</v>
      </c>
      <c r="GB65" t="s">
        <v>215</v>
      </c>
    </row>
    <row r="66" spans="1:184" ht="18" x14ac:dyDescent="0.2">
      <c r="A66" t="s">
        <v>240</v>
      </c>
      <c r="B66" s="141" t="s">
        <v>241</v>
      </c>
      <c r="C66" s="138" t="s">
        <v>168</v>
      </c>
      <c r="D66" t="s">
        <v>239</v>
      </c>
      <c r="E66">
        <v>2015</v>
      </c>
      <c r="F66" t="str">
        <f t="shared" si="9"/>
        <v>10.1038/nature14145</v>
      </c>
      <c r="G66" s="175">
        <v>3160.38</v>
      </c>
      <c r="H66" s="142">
        <f t="shared" si="10"/>
        <v>15</v>
      </c>
      <c r="I66" s="142">
        <f t="shared" si="11"/>
        <v>15</v>
      </c>
      <c r="J66" s="148">
        <f t="shared" si="12"/>
        <v>451.65168540037001</v>
      </c>
      <c r="K66" s="148">
        <f t="shared" si="13"/>
        <v>102.0160338714</v>
      </c>
      <c r="L66" s="148">
        <f t="shared" si="14"/>
        <v>86.950981100511001</v>
      </c>
      <c r="M66" t="b">
        <v>1</v>
      </c>
      <c r="N66">
        <v>3</v>
      </c>
      <c r="O66" t="s">
        <v>245</v>
      </c>
      <c r="P66" s="174" t="s">
        <v>259</v>
      </c>
      <c r="Q66" t="b">
        <v>0</v>
      </c>
      <c r="R66" t="s">
        <v>167</v>
      </c>
      <c r="S66" t="b">
        <v>0</v>
      </c>
      <c r="T66" t="b">
        <v>0</v>
      </c>
      <c r="U66" t="s">
        <v>167</v>
      </c>
      <c r="V66" t="s">
        <v>167</v>
      </c>
      <c r="W66" t="b">
        <v>0</v>
      </c>
      <c r="X66" t="s">
        <v>260</v>
      </c>
      <c r="Y66" s="150" t="s">
        <v>169</v>
      </c>
      <c r="Z66" t="s">
        <v>170</v>
      </c>
      <c r="AA66" t="s">
        <v>171</v>
      </c>
      <c r="AB66" s="142" t="s">
        <v>172</v>
      </c>
      <c r="AC66" s="146">
        <v>11</v>
      </c>
      <c r="AD66" s="146">
        <v>7</v>
      </c>
      <c r="AE66" s="146">
        <v>53</v>
      </c>
      <c r="AF66" s="146">
        <v>55</v>
      </c>
      <c r="AG66" s="146" t="s">
        <v>167</v>
      </c>
      <c r="AH66" s="146" t="s">
        <v>167</v>
      </c>
      <c r="AI66" s="146" t="s">
        <v>167</v>
      </c>
      <c r="AJ66" t="s">
        <v>173</v>
      </c>
      <c r="AK66" s="151">
        <v>12.75</v>
      </c>
      <c r="AL66" s="151">
        <v>-78.73</v>
      </c>
      <c r="AM66" s="151">
        <v>12.75</v>
      </c>
      <c r="AN66" s="151">
        <v>-78.73</v>
      </c>
      <c r="AO66" s="151">
        <v>-2828</v>
      </c>
      <c r="AP66" s="151">
        <v>-2828</v>
      </c>
      <c r="AQ66" s="142" t="s">
        <v>167</v>
      </c>
      <c r="AR66" s="142" t="s">
        <v>167</v>
      </c>
      <c r="AS66" s="175">
        <v>3160.38</v>
      </c>
      <c r="AT66" s="153" t="s">
        <v>174</v>
      </c>
      <c r="AU66" s="142">
        <v>15</v>
      </c>
      <c r="AV66" s="142">
        <v>15</v>
      </c>
      <c r="AW66" s="149" t="s">
        <v>167</v>
      </c>
      <c r="AX66" s="171" t="s">
        <v>243</v>
      </c>
      <c r="AY66" s="146" t="s">
        <v>167</v>
      </c>
      <c r="AZ66" t="s">
        <v>167</v>
      </c>
      <c r="BA66" t="s">
        <v>167</v>
      </c>
      <c r="BB66" t="s">
        <v>167</v>
      </c>
      <c r="BC66" t="s">
        <v>167</v>
      </c>
      <c r="BD66" t="s">
        <v>167</v>
      </c>
      <c r="BE66" t="s">
        <v>167</v>
      </c>
      <c r="BF66" t="s">
        <v>167</v>
      </c>
      <c r="BG66" s="154" t="s">
        <v>175</v>
      </c>
      <c r="BH66" t="s">
        <v>176</v>
      </c>
      <c r="BI66" s="155" t="s">
        <v>177</v>
      </c>
      <c r="BJ66" s="156" t="s">
        <v>178</v>
      </c>
      <c r="BK66" s="156" t="s">
        <v>179</v>
      </c>
      <c r="BL66" s="156" t="s">
        <v>180</v>
      </c>
      <c r="BM66" s="157" t="s">
        <v>181</v>
      </c>
      <c r="BN66" s="142" t="s">
        <v>182</v>
      </c>
      <c r="BO66" s="142" t="s">
        <v>182</v>
      </c>
      <c r="BP66" s="142" t="s">
        <v>182</v>
      </c>
      <c r="BQ66" s="152">
        <v>19.406479999999998</v>
      </c>
      <c r="BR66" t="s">
        <v>183</v>
      </c>
      <c r="BS66" s="152">
        <v>0.11233689600000001</v>
      </c>
      <c r="BT66">
        <v>0.6</v>
      </c>
      <c r="BU66" t="s">
        <v>184</v>
      </c>
      <c r="BV66" s="153">
        <v>0.08</v>
      </c>
      <c r="BW66">
        <v>8.8699999999999992</v>
      </c>
      <c r="BX66" t="s">
        <v>185</v>
      </c>
      <c r="BY66">
        <v>1.52</v>
      </c>
      <c r="BZ66" t="s">
        <v>224</v>
      </c>
      <c r="CA66" t="s">
        <v>187</v>
      </c>
      <c r="CB66" s="158">
        <f t="shared" si="5"/>
        <v>17.5608</v>
      </c>
      <c r="CC66" t="s">
        <v>184</v>
      </c>
      <c r="CD66" s="149" t="s">
        <v>167</v>
      </c>
      <c r="CE66" s="149" t="s">
        <v>167</v>
      </c>
      <c r="CF66" t="s">
        <v>188</v>
      </c>
      <c r="CG66" t="s">
        <v>189</v>
      </c>
      <c r="CH66" t="s">
        <v>190</v>
      </c>
      <c r="CI66" t="s">
        <v>190</v>
      </c>
      <c r="CJ66" s="152">
        <v>28.721</v>
      </c>
      <c r="CK66" t="s">
        <v>184</v>
      </c>
      <c r="CL66" s="159">
        <v>3</v>
      </c>
      <c r="CM66" s="159">
        <v>3</v>
      </c>
      <c r="CN66" s="152">
        <v>3.6648180164556474</v>
      </c>
      <c r="CO66" s="152">
        <v>3.6648180164556474</v>
      </c>
      <c r="CP66" t="s">
        <v>191</v>
      </c>
      <c r="CQ66" s="145">
        <f t="shared" si="6"/>
        <v>9.8950086444302476E-2</v>
      </c>
      <c r="CR66" s="145">
        <f t="shared" si="7"/>
        <v>9.8950086444302476E-2</v>
      </c>
      <c r="CS66" s="142" t="s">
        <v>192</v>
      </c>
      <c r="CT66" s="147" t="s">
        <v>193</v>
      </c>
      <c r="CU66" s="152">
        <v>3.4478741459311948</v>
      </c>
      <c r="CV66" s="152" t="s">
        <v>194</v>
      </c>
      <c r="CW66" t="s">
        <v>167</v>
      </c>
      <c r="CX66" t="s">
        <v>195</v>
      </c>
      <c r="CY66" t="s">
        <v>167</v>
      </c>
      <c r="CZ66" t="s">
        <v>167</v>
      </c>
      <c r="DA66" t="s">
        <v>167</v>
      </c>
      <c r="DB66" t="s">
        <v>167</v>
      </c>
      <c r="DC66" t="s">
        <v>167</v>
      </c>
      <c r="DD66" t="s">
        <v>167</v>
      </c>
      <c r="DE66" t="s">
        <v>167</v>
      </c>
      <c r="DF66" t="s">
        <v>167</v>
      </c>
      <c r="DG66" s="160">
        <v>35</v>
      </c>
      <c r="DH66" t="s">
        <v>174</v>
      </c>
      <c r="DI66">
        <v>3</v>
      </c>
      <c r="DJ66" s="161" t="s">
        <v>196</v>
      </c>
      <c r="DK66" s="146" t="s">
        <v>167</v>
      </c>
      <c r="DL66" s="146" t="s">
        <v>167</v>
      </c>
      <c r="DM66" s="146" t="s">
        <v>167</v>
      </c>
      <c r="DN66" s="146" t="s">
        <v>167</v>
      </c>
      <c r="DO66" s="146" t="s">
        <v>167</v>
      </c>
      <c r="DP66" s="146" t="s">
        <v>167</v>
      </c>
      <c r="DQ66" s="146" t="s">
        <v>167</v>
      </c>
      <c r="DR66" s="146" t="s">
        <v>167</v>
      </c>
      <c r="DS66" s="146" t="s">
        <v>167</v>
      </c>
      <c r="DT66" s="146" t="s">
        <v>167</v>
      </c>
      <c r="DU66" s="146" t="s">
        <v>167</v>
      </c>
      <c r="DV66" s="146" t="s">
        <v>167</v>
      </c>
      <c r="DW66" s="143">
        <v>432.56244218316402</v>
      </c>
      <c r="DX66" t="s">
        <v>197</v>
      </c>
      <c r="DY66" s="142">
        <v>37.1</v>
      </c>
      <c r="DZ66" t="s">
        <v>198</v>
      </c>
      <c r="EA66" s="152">
        <v>39.156416550000003</v>
      </c>
      <c r="EB66" s="149" t="s">
        <v>185</v>
      </c>
      <c r="EC66" s="162">
        <v>0.2</v>
      </c>
      <c r="ED66" t="s">
        <v>199</v>
      </c>
      <c r="EE66" t="s">
        <v>225</v>
      </c>
      <c r="EF66" t="s">
        <v>201</v>
      </c>
      <c r="EG66">
        <v>1.0271999999999999</v>
      </c>
      <c r="EH66" t="s">
        <v>202</v>
      </c>
      <c r="EI66">
        <v>5.9999999999999995E-4</v>
      </c>
      <c r="EJ66" t="s">
        <v>203</v>
      </c>
      <c r="EK66" t="s">
        <v>167</v>
      </c>
      <c r="EL66" t="s">
        <v>167</v>
      </c>
      <c r="EM66" t="s">
        <v>204</v>
      </c>
      <c r="EN66" t="s">
        <v>226</v>
      </c>
      <c r="EO66" t="s">
        <v>206</v>
      </c>
      <c r="EP66" t="s">
        <v>206</v>
      </c>
      <c r="EQ66" s="146" t="s">
        <v>167</v>
      </c>
      <c r="ER66" t="s">
        <v>167</v>
      </c>
      <c r="ES66" t="s">
        <v>167</v>
      </c>
      <c r="ET66" t="s">
        <v>207</v>
      </c>
      <c r="EU66" t="s">
        <v>208</v>
      </c>
      <c r="EV66" t="s">
        <v>227</v>
      </c>
      <c r="EW66" s="163">
        <v>2330</v>
      </c>
      <c r="EX66" t="s">
        <v>210</v>
      </c>
      <c r="EY66">
        <v>175</v>
      </c>
      <c r="EZ66">
        <v>175</v>
      </c>
      <c r="FA66" t="s">
        <v>167</v>
      </c>
      <c r="FB66" t="s">
        <v>167</v>
      </c>
      <c r="FC66" t="s">
        <v>167</v>
      </c>
      <c r="FD66" t="s">
        <v>167</v>
      </c>
      <c r="FE66" s="152">
        <v>7.9867582345965999</v>
      </c>
      <c r="FF66" s="164" t="s">
        <v>211</v>
      </c>
      <c r="FG66" s="152">
        <v>6.6506427852630168E-2</v>
      </c>
      <c r="FH66" s="152">
        <v>6.8585727505030114E-2</v>
      </c>
      <c r="FI66" s="145">
        <v>472.65168540037001</v>
      </c>
      <c r="FJ66" s="149">
        <v>21</v>
      </c>
      <c r="FK66" s="149" t="s">
        <v>212</v>
      </c>
      <c r="FL66" s="152">
        <v>451.65168540037001</v>
      </c>
      <c r="FM66" s="152">
        <v>102.0160338714</v>
      </c>
      <c r="FN66" s="152">
        <v>86.950981100511001</v>
      </c>
      <c r="FO66" s="144" t="s">
        <v>213</v>
      </c>
      <c r="FP66" s="144" t="s">
        <v>214</v>
      </c>
      <c r="FQ66" t="s">
        <v>215</v>
      </c>
      <c r="FR66" t="s">
        <v>215</v>
      </c>
      <c r="FS66" t="s">
        <v>215</v>
      </c>
      <c r="FT66" t="s">
        <v>215</v>
      </c>
      <c r="FU66" t="s">
        <v>215</v>
      </c>
      <c r="FV66" t="s">
        <v>215</v>
      </c>
      <c r="FW66" t="s">
        <v>215</v>
      </c>
      <c r="FX66" t="s">
        <v>215</v>
      </c>
      <c r="FY66" t="s">
        <v>215</v>
      </c>
      <c r="FZ66" t="s">
        <v>215</v>
      </c>
      <c r="GA66" t="s">
        <v>215</v>
      </c>
      <c r="GB66" t="s">
        <v>215</v>
      </c>
    </row>
    <row r="67" spans="1:184" ht="18" x14ac:dyDescent="0.2">
      <c r="A67" t="s">
        <v>240</v>
      </c>
      <c r="B67" s="141" t="s">
        <v>241</v>
      </c>
      <c r="C67" s="138" t="s">
        <v>168</v>
      </c>
      <c r="D67" t="s">
        <v>239</v>
      </c>
      <c r="E67">
        <v>2015</v>
      </c>
      <c r="F67" t="str">
        <f t="shared" si="9"/>
        <v>10.1038/nature14145</v>
      </c>
      <c r="G67" s="175">
        <v>3176.65</v>
      </c>
      <c r="H67" s="142">
        <f t="shared" si="10"/>
        <v>15</v>
      </c>
      <c r="I67" s="142">
        <f t="shared" si="11"/>
        <v>15</v>
      </c>
      <c r="J67" s="148">
        <f t="shared" si="12"/>
        <v>381.07301979576903</v>
      </c>
      <c r="K67" s="148">
        <f t="shared" si="13"/>
        <v>85.656852309900955</v>
      </c>
      <c r="L67" s="148">
        <f t="shared" si="14"/>
        <v>72.328034744414026</v>
      </c>
      <c r="M67" t="b">
        <v>1</v>
      </c>
      <c r="N67">
        <v>3</v>
      </c>
      <c r="O67" t="s">
        <v>245</v>
      </c>
      <c r="P67" s="174" t="s">
        <v>259</v>
      </c>
      <c r="Q67" t="b">
        <v>0</v>
      </c>
      <c r="R67" t="s">
        <v>167</v>
      </c>
      <c r="S67" t="b">
        <v>0</v>
      </c>
      <c r="T67" t="b">
        <v>0</v>
      </c>
      <c r="U67" t="s">
        <v>167</v>
      </c>
      <c r="V67" t="s">
        <v>167</v>
      </c>
      <c r="W67" t="b">
        <v>0</v>
      </c>
      <c r="X67" t="s">
        <v>260</v>
      </c>
      <c r="Y67" s="150" t="s">
        <v>169</v>
      </c>
      <c r="Z67" t="s">
        <v>170</v>
      </c>
      <c r="AA67" t="s">
        <v>171</v>
      </c>
      <c r="AB67" s="142" t="s">
        <v>172</v>
      </c>
      <c r="AC67" s="146">
        <v>11</v>
      </c>
      <c r="AD67" s="146" t="s">
        <v>258</v>
      </c>
      <c r="AE67" s="146">
        <v>3</v>
      </c>
      <c r="AF67" s="146">
        <v>5</v>
      </c>
      <c r="AG67" s="146" t="s">
        <v>167</v>
      </c>
      <c r="AH67" s="146" t="s">
        <v>167</v>
      </c>
      <c r="AI67" s="146" t="s">
        <v>167</v>
      </c>
      <c r="AJ67" t="s">
        <v>173</v>
      </c>
      <c r="AK67" s="151">
        <v>12.75</v>
      </c>
      <c r="AL67" s="151">
        <v>-78.73</v>
      </c>
      <c r="AM67" s="151">
        <v>12.75</v>
      </c>
      <c r="AN67" s="151">
        <v>-78.73</v>
      </c>
      <c r="AO67" s="151">
        <v>-2828</v>
      </c>
      <c r="AP67" s="151">
        <v>-2828</v>
      </c>
      <c r="AQ67" s="142" t="s">
        <v>167</v>
      </c>
      <c r="AR67" s="142" t="s">
        <v>167</v>
      </c>
      <c r="AS67" s="175">
        <v>3176.65</v>
      </c>
      <c r="AT67" s="153" t="s">
        <v>174</v>
      </c>
      <c r="AU67" s="142">
        <v>15</v>
      </c>
      <c r="AV67" s="142">
        <v>15</v>
      </c>
      <c r="AW67" s="149" t="s">
        <v>167</v>
      </c>
      <c r="AX67" s="171" t="s">
        <v>243</v>
      </c>
      <c r="AY67" s="146" t="s">
        <v>167</v>
      </c>
      <c r="AZ67" t="s">
        <v>167</v>
      </c>
      <c r="BA67" t="s">
        <v>167</v>
      </c>
      <c r="BB67" t="s">
        <v>167</v>
      </c>
      <c r="BC67" t="s">
        <v>167</v>
      </c>
      <c r="BD67" t="s">
        <v>167</v>
      </c>
      <c r="BE67" t="s">
        <v>167</v>
      </c>
      <c r="BF67" t="s">
        <v>167</v>
      </c>
      <c r="BG67" s="154" t="s">
        <v>175</v>
      </c>
      <c r="BH67" t="s">
        <v>176</v>
      </c>
      <c r="BI67" s="155" t="s">
        <v>177</v>
      </c>
      <c r="BJ67" s="155" t="s">
        <v>178</v>
      </c>
      <c r="BK67" s="156" t="s">
        <v>179</v>
      </c>
      <c r="BL67" s="156" t="s">
        <v>180</v>
      </c>
      <c r="BM67" t="s">
        <v>181</v>
      </c>
      <c r="BN67" s="142" t="s">
        <v>182</v>
      </c>
      <c r="BO67" s="142" t="s">
        <v>182</v>
      </c>
      <c r="BP67" s="142" t="s">
        <v>182</v>
      </c>
      <c r="BQ67" s="152">
        <v>19.746120000000001</v>
      </c>
      <c r="BR67" t="s">
        <v>183</v>
      </c>
      <c r="BS67" s="152">
        <v>9.3528344999999999E-2</v>
      </c>
      <c r="BT67">
        <v>0.6</v>
      </c>
      <c r="BU67" t="s">
        <v>184</v>
      </c>
      <c r="BV67" s="153">
        <v>0.08</v>
      </c>
      <c r="BW67">
        <v>8.8699999999999992</v>
      </c>
      <c r="BX67" t="s">
        <v>185</v>
      </c>
      <c r="BY67">
        <v>1.52</v>
      </c>
      <c r="BZ67" t="s">
        <v>224</v>
      </c>
      <c r="CA67" t="s">
        <v>187</v>
      </c>
      <c r="CB67" s="158">
        <f t="shared" si="5"/>
        <v>18.126866666666672</v>
      </c>
      <c r="CC67" t="s">
        <v>184</v>
      </c>
      <c r="CD67" s="149" t="s">
        <v>167</v>
      </c>
      <c r="CE67" s="149" t="s">
        <v>167</v>
      </c>
      <c r="CF67" t="s">
        <v>188</v>
      </c>
      <c r="CG67" t="s">
        <v>189</v>
      </c>
      <c r="CH67" t="s">
        <v>190</v>
      </c>
      <c r="CI67" t="s">
        <v>190</v>
      </c>
      <c r="CJ67" s="152">
        <v>28.44828</v>
      </c>
      <c r="CK67" t="s">
        <v>184</v>
      </c>
      <c r="CL67" s="159">
        <v>3</v>
      </c>
      <c r="CM67" s="159">
        <v>3</v>
      </c>
      <c r="CN67" s="152">
        <v>3.5711636470697048</v>
      </c>
      <c r="CO67" s="152">
        <v>3.5711636470697048</v>
      </c>
      <c r="CP67" t="s">
        <v>191</v>
      </c>
      <c r="CQ67" s="145">
        <f t="shared" si="6"/>
        <v>9.6421418470882023E-2</v>
      </c>
      <c r="CR67" s="145">
        <f t="shared" si="7"/>
        <v>9.6421418470882023E-2</v>
      </c>
      <c r="CS67" s="142" t="s">
        <v>192</v>
      </c>
      <c r="CT67" s="147" t="s">
        <v>193</v>
      </c>
      <c r="CU67" s="152">
        <v>3.4366038841407245</v>
      </c>
      <c r="CV67" s="152" t="s">
        <v>194</v>
      </c>
      <c r="CW67" t="s">
        <v>167</v>
      </c>
      <c r="CX67" t="s">
        <v>195</v>
      </c>
      <c r="CY67" t="s">
        <v>167</v>
      </c>
      <c r="CZ67" t="s">
        <v>167</v>
      </c>
      <c r="DA67" t="s">
        <v>167</v>
      </c>
      <c r="DB67" t="s">
        <v>167</v>
      </c>
      <c r="DC67" t="s">
        <v>167</v>
      </c>
      <c r="DD67" t="s">
        <v>167</v>
      </c>
      <c r="DE67" t="s">
        <v>167</v>
      </c>
      <c r="DF67" t="s">
        <v>167</v>
      </c>
      <c r="DG67" s="160">
        <v>35</v>
      </c>
      <c r="DH67" t="s">
        <v>174</v>
      </c>
      <c r="DI67">
        <v>3</v>
      </c>
      <c r="DJ67" s="161" t="s">
        <v>196</v>
      </c>
      <c r="DK67" s="146" t="s">
        <v>167</v>
      </c>
      <c r="DL67" s="146" t="s">
        <v>167</v>
      </c>
      <c r="DM67" s="146" t="s">
        <v>167</v>
      </c>
      <c r="DN67" s="146" t="s">
        <v>167</v>
      </c>
      <c r="DO67" s="146" t="s">
        <v>167</v>
      </c>
      <c r="DP67" s="146" t="s">
        <v>167</v>
      </c>
      <c r="DQ67" s="146" t="s">
        <v>167</v>
      </c>
      <c r="DR67" s="146" t="s">
        <v>167</v>
      </c>
      <c r="DS67" s="146" t="s">
        <v>167</v>
      </c>
      <c r="DT67" s="146" t="s">
        <v>167</v>
      </c>
      <c r="DU67" s="146" t="s">
        <v>167</v>
      </c>
      <c r="DV67" s="146" t="s">
        <v>167</v>
      </c>
      <c r="DW67" s="143">
        <v>432.56244218316402</v>
      </c>
      <c r="DX67" t="s">
        <v>197</v>
      </c>
      <c r="DY67" s="142">
        <v>37.1</v>
      </c>
      <c r="DZ67" t="s">
        <v>198</v>
      </c>
      <c r="EA67" s="152">
        <v>39.155242620000003</v>
      </c>
      <c r="EB67" s="149" t="s">
        <v>185</v>
      </c>
      <c r="EC67" s="162">
        <v>0.2</v>
      </c>
      <c r="ED67" t="s">
        <v>199</v>
      </c>
      <c r="EE67" t="s">
        <v>225</v>
      </c>
      <c r="EF67" t="s">
        <v>201</v>
      </c>
      <c r="EG67">
        <v>1.0271999999999999</v>
      </c>
      <c r="EH67" t="s">
        <v>202</v>
      </c>
      <c r="EI67">
        <v>5.9999999999999995E-4</v>
      </c>
      <c r="EJ67" t="s">
        <v>203</v>
      </c>
      <c r="EK67" t="s">
        <v>167</v>
      </c>
      <c r="EL67" t="s">
        <v>167</v>
      </c>
      <c r="EM67" t="s">
        <v>204</v>
      </c>
      <c r="EN67" t="s">
        <v>226</v>
      </c>
      <c r="EO67" t="s">
        <v>206</v>
      </c>
      <c r="EP67" t="s">
        <v>206</v>
      </c>
      <c r="EQ67" s="146" t="s">
        <v>167</v>
      </c>
      <c r="ER67" t="s">
        <v>167</v>
      </c>
      <c r="ES67" t="s">
        <v>167</v>
      </c>
      <c r="ET67" t="s">
        <v>207</v>
      </c>
      <c r="EU67" t="s">
        <v>208</v>
      </c>
      <c r="EV67" t="s">
        <v>227</v>
      </c>
      <c r="EW67" s="163">
        <v>2330</v>
      </c>
      <c r="EX67" t="s">
        <v>210</v>
      </c>
      <c r="EY67">
        <v>175</v>
      </c>
      <c r="EZ67">
        <v>175</v>
      </c>
      <c r="FA67" t="s">
        <v>167</v>
      </c>
      <c r="FB67" t="s">
        <v>167</v>
      </c>
      <c r="FC67" t="s">
        <v>167</v>
      </c>
      <c r="FD67" t="s">
        <v>167</v>
      </c>
      <c r="FE67" s="152">
        <v>8.0438540263816893</v>
      </c>
      <c r="FF67" s="164" t="s">
        <v>211</v>
      </c>
      <c r="FG67" s="152">
        <v>6.3712075039660476E-2</v>
      </c>
      <c r="FH67" s="152">
        <v>6.436043488445975E-2</v>
      </c>
      <c r="FI67" s="145">
        <v>402.07301979576903</v>
      </c>
      <c r="FJ67" s="149">
        <v>21</v>
      </c>
      <c r="FK67" s="149" t="s">
        <v>212</v>
      </c>
      <c r="FL67" s="152">
        <v>381.07301979576903</v>
      </c>
      <c r="FM67" s="152">
        <v>85.656852309900955</v>
      </c>
      <c r="FN67" s="152">
        <v>72.328034744414026</v>
      </c>
      <c r="FO67" s="144" t="s">
        <v>213</v>
      </c>
      <c r="FP67" s="144" t="s">
        <v>214</v>
      </c>
      <c r="FQ67" t="s">
        <v>215</v>
      </c>
      <c r="FR67" t="s">
        <v>215</v>
      </c>
      <c r="FS67" t="s">
        <v>215</v>
      </c>
      <c r="FT67" t="s">
        <v>215</v>
      </c>
      <c r="FU67" t="s">
        <v>215</v>
      </c>
      <c r="FV67" t="s">
        <v>215</v>
      </c>
      <c r="FW67" t="s">
        <v>215</v>
      </c>
      <c r="FX67" t="s">
        <v>215</v>
      </c>
      <c r="FY67" t="s">
        <v>215</v>
      </c>
      <c r="FZ67" t="s">
        <v>215</v>
      </c>
      <c r="GA67" t="s">
        <v>215</v>
      </c>
      <c r="GB67" t="s">
        <v>215</v>
      </c>
    </row>
    <row r="68" spans="1:184" ht="18" x14ac:dyDescent="0.2">
      <c r="A68" t="s">
        <v>240</v>
      </c>
      <c r="B68" s="141" t="s">
        <v>241</v>
      </c>
      <c r="C68" s="138" t="s">
        <v>168</v>
      </c>
      <c r="D68" t="s">
        <v>239</v>
      </c>
      <c r="E68">
        <v>2015</v>
      </c>
      <c r="F68" t="str">
        <f t="shared" si="9"/>
        <v>10.1038/nature14145</v>
      </c>
      <c r="G68" s="175">
        <v>3180.88</v>
      </c>
      <c r="H68" s="142">
        <f t="shared" ref="H68:H77" si="15">AU68</f>
        <v>15</v>
      </c>
      <c r="I68" s="142">
        <f t="shared" ref="I68:I77" si="16">AV68</f>
        <v>15</v>
      </c>
      <c r="J68" s="148">
        <f t="shared" ref="J68:J77" si="17">FL68</f>
        <v>283.44461302669202</v>
      </c>
      <c r="K68" s="148">
        <f t="shared" ref="K68:K77" si="18">FM68</f>
        <v>63.112620174581991</v>
      </c>
      <c r="L68" s="148">
        <f t="shared" ref="L68:L77" si="19">FN68</f>
        <v>55.063535706950034</v>
      </c>
      <c r="M68" t="b">
        <v>1</v>
      </c>
      <c r="N68">
        <v>3</v>
      </c>
      <c r="O68" t="s">
        <v>245</v>
      </c>
      <c r="P68" s="174" t="s">
        <v>259</v>
      </c>
      <c r="Q68" t="b">
        <v>0</v>
      </c>
      <c r="R68" t="s">
        <v>167</v>
      </c>
      <c r="S68" t="b">
        <v>0</v>
      </c>
      <c r="T68" t="b">
        <v>0</v>
      </c>
      <c r="U68" t="s">
        <v>167</v>
      </c>
      <c r="V68" t="s">
        <v>167</v>
      </c>
      <c r="W68" t="b">
        <v>0</v>
      </c>
      <c r="X68" t="s">
        <v>260</v>
      </c>
      <c r="Y68" s="150" t="s">
        <v>169</v>
      </c>
      <c r="Z68" t="s">
        <v>170</v>
      </c>
      <c r="AA68" t="s">
        <v>171</v>
      </c>
      <c r="AB68" s="142" t="s">
        <v>172</v>
      </c>
      <c r="AC68" s="146">
        <v>12</v>
      </c>
      <c r="AD68" s="146">
        <v>1</v>
      </c>
      <c r="AE68" s="146">
        <v>4</v>
      </c>
      <c r="AF68" s="146">
        <v>6</v>
      </c>
      <c r="AG68" s="146" t="s">
        <v>167</v>
      </c>
      <c r="AH68" s="146" t="s">
        <v>167</v>
      </c>
      <c r="AI68" s="146" t="s">
        <v>167</v>
      </c>
      <c r="AJ68" t="s">
        <v>173</v>
      </c>
      <c r="AK68" s="151">
        <v>12.75</v>
      </c>
      <c r="AL68" s="151">
        <v>-78.73</v>
      </c>
      <c r="AM68" s="151">
        <v>12.75</v>
      </c>
      <c r="AN68" s="151">
        <v>-78.73</v>
      </c>
      <c r="AO68" s="151">
        <v>-2828</v>
      </c>
      <c r="AP68" s="151">
        <v>-2828</v>
      </c>
      <c r="AQ68" s="142" t="s">
        <v>167</v>
      </c>
      <c r="AR68" s="142" t="s">
        <v>167</v>
      </c>
      <c r="AS68" s="175">
        <v>3180.88</v>
      </c>
      <c r="AT68" s="153" t="s">
        <v>174</v>
      </c>
      <c r="AU68" s="142">
        <v>15</v>
      </c>
      <c r="AV68" s="142">
        <v>15</v>
      </c>
      <c r="AW68" s="149" t="s">
        <v>167</v>
      </c>
      <c r="AX68" s="171" t="s">
        <v>243</v>
      </c>
      <c r="AY68" s="146" t="s">
        <v>167</v>
      </c>
      <c r="AZ68" t="s">
        <v>167</v>
      </c>
      <c r="BA68" t="s">
        <v>167</v>
      </c>
      <c r="BB68" t="s">
        <v>167</v>
      </c>
      <c r="BC68" t="s">
        <v>167</v>
      </c>
      <c r="BD68" t="s">
        <v>167</v>
      </c>
      <c r="BE68" t="s">
        <v>167</v>
      </c>
      <c r="BF68" t="s">
        <v>167</v>
      </c>
      <c r="BG68" s="154" t="s">
        <v>175</v>
      </c>
      <c r="BH68" t="s">
        <v>176</v>
      </c>
      <c r="BI68" s="155" t="s">
        <v>177</v>
      </c>
      <c r="BJ68" s="156" t="s">
        <v>178</v>
      </c>
      <c r="BK68" s="156" t="s">
        <v>179</v>
      </c>
      <c r="BL68" s="156" t="s">
        <v>180</v>
      </c>
      <c r="BM68" s="157" t="s">
        <v>181</v>
      </c>
      <c r="BN68" s="142" t="s">
        <v>182</v>
      </c>
      <c r="BO68" s="142" t="s">
        <v>182</v>
      </c>
      <c r="BP68" s="142" t="s">
        <v>182</v>
      </c>
      <c r="BQ68" s="152">
        <v>20.463830000000002</v>
      </c>
      <c r="BR68" t="s">
        <v>183</v>
      </c>
      <c r="BS68" s="152">
        <v>9.8452018000000002E-2</v>
      </c>
      <c r="BT68">
        <v>0.6</v>
      </c>
      <c r="BU68" t="s">
        <v>184</v>
      </c>
      <c r="BV68" s="153">
        <v>0.08</v>
      </c>
      <c r="BW68">
        <v>8.8699999999999992</v>
      </c>
      <c r="BX68" t="s">
        <v>185</v>
      </c>
      <c r="BY68">
        <v>1.52</v>
      </c>
      <c r="BZ68" t="s">
        <v>224</v>
      </c>
      <c r="CA68" t="s">
        <v>187</v>
      </c>
      <c r="CB68" s="158">
        <f t="shared" ref="CB68:CB84" si="20">(BQ68-8.87)/0.6</f>
        <v>19.323050000000006</v>
      </c>
      <c r="CC68" t="s">
        <v>184</v>
      </c>
      <c r="CD68" s="149" t="s">
        <v>167</v>
      </c>
      <c r="CE68" s="149" t="s">
        <v>167</v>
      </c>
      <c r="CF68" t="s">
        <v>188</v>
      </c>
      <c r="CG68" t="s">
        <v>189</v>
      </c>
      <c r="CH68" t="s">
        <v>190</v>
      </c>
      <c r="CI68" t="s">
        <v>190</v>
      </c>
      <c r="CJ68" s="152">
        <v>29.18675</v>
      </c>
      <c r="CK68" t="s">
        <v>184</v>
      </c>
      <c r="CL68" s="159">
        <v>3</v>
      </c>
      <c r="CM68" s="159">
        <v>3</v>
      </c>
      <c r="CN68" s="152">
        <v>3.8107467853136208</v>
      </c>
      <c r="CO68" s="152">
        <v>3.8107467853136208</v>
      </c>
      <c r="CP68" t="s">
        <v>191</v>
      </c>
      <c r="CQ68" s="145">
        <f t="shared" ref="CQ68:CQ77" si="21">CO68*0.027</f>
        <v>0.10289016320346776</v>
      </c>
      <c r="CR68" s="145">
        <f t="shared" ref="CR68:CR77" si="22">CO68*0.027</f>
        <v>0.10289016320346776</v>
      </c>
      <c r="CS68" s="142" t="s">
        <v>192</v>
      </c>
      <c r="CT68" s="147" t="s">
        <v>193</v>
      </c>
      <c r="CU68" s="152">
        <v>3.4238149265347264</v>
      </c>
      <c r="CV68" s="152" t="s">
        <v>194</v>
      </c>
      <c r="CW68" t="s">
        <v>167</v>
      </c>
      <c r="CX68" t="s">
        <v>195</v>
      </c>
      <c r="CY68" t="s">
        <v>167</v>
      </c>
      <c r="CZ68" t="s">
        <v>167</v>
      </c>
      <c r="DA68" t="s">
        <v>167</v>
      </c>
      <c r="DB68" t="s">
        <v>167</v>
      </c>
      <c r="DC68" t="s">
        <v>167</v>
      </c>
      <c r="DD68" t="s">
        <v>167</v>
      </c>
      <c r="DE68" t="s">
        <v>167</v>
      </c>
      <c r="DF68" t="s">
        <v>167</v>
      </c>
      <c r="DG68" s="160">
        <v>35</v>
      </c>
      <c r="DH68" t="s">
        <v>174</v>
      </c>
      <c r="DI68">
        <v>3</v>
      </c>
      <c r="DJ68" s="161" t="s">
        <v>196</v>
      </c>
      <c r="DK68" s="146" t="s">
        <v>167</v>
      </c>
      <c r="DL68" s="146" t="s">
        <v>167</v>
      </c>
      <c r="DM68" s="146" t="s">
        <v>167</v>
      </c>
      <c r="DN68" s="146" t="s">
        <v>167</v>
      </c>
      <c r="DO68" s="146" t="s">
        <v>167</v>
      </c>
      <c r="DP68" s="146" t="s">
        <v>167</v>
      </c>
      <c r="DQ68" s="146" t="s">
        <v>167</v>
      </c>
      <c r="DR68" s="146" t="s">
        <v>167</v>
      </c>
      <c r="DS68" s="146" t="s">
        <v>167</v>
      </c>
      <c r="DT68" s="146" t="s">
        <v>167</v>
      </c>
      <c r="DU68" s="146" t="s">
        <v>167</v>
      </c>
      <c r="DV68" s="146" t="s">
        <v>167</v>
      </c>
      <c r="DW68" s="143">
        <v>432.56244218316402</v>
      </c>
      <c r="DX68" t="s">
        <v>197</v>
      </c>
      <c r="DY68" s="142">
        <v>37.1</v>
      </c>
      <c r="DZ68" t="s">
        <v>198</v>
      </c>
      <c r="EA68" s="152">
        <v>39.15372593</v>
      </c>
      <c r="EB68" s="149" t="s">
        <v>185</v>
      </c>
      <c r="EC68" s="162">
        <v>0.2</v>
      </c>
      <c r="ED68" t="s">
        <v>199</v>
      </c>
      <c r="EE68" t="s">
        <v>225</v>
      </c>
      <c r="EF68" t="s">
        <v>201</v>
      </c>
      <c r="EG68">
        <v>1.0271999999999999</v>
      </c>
      <c r="EH68" t="s">
        <v>202</v>
      </c>
      <c r="EI68">
        <v>5.9999999999999995E-4</v>
      </c>
      <c r="EJ68" t="s">
        <v>203</v>
      </c>
      <c r="EK68" t="s">
        <v>167</v>
      </c>
      <c r="EL68" t="s">
        <v>167</v>
      </c>
      <c r="EM68" t="s">
        <v>204</v>
      </c>
      <c r="EN68" t="s">
        <v>226</v>
      </c>
      <c r="EO68" t="s">
        <v>206</v>
      </c>
      <c r="EP68" t="s">
        <v>206</v>
      </c>
      <c r="EQ68" s="146" t="s">
        <v>167</v>
      </c>
      <c r="ER68" t="s">
        <v>167</v>
      </c>
      <c r="ES68" t="s">
        <v>167</v>
      </c>
      <c r="ET68" t="s">
        <v>207</v>
      </c>
      <c r="EU68" t="s">
        <v>208</v>
      </c>
      <c r="EV68" t="s">
        <v>227</v>
      </c>
      <c r="EW68" s="163">
        <v>2330</v>
      </c>
      <c r="EX68" t="s">
        <v>210</v>
      </c>
      <c r="EY68">
        <v>175</v>
      </c>
      <c r="EZ68">
        <v>175</v>
      </c>
      <c r="FA68" t="s">
        <v>167</v>
      </c>
      <c r="FB68" t="s">
        <v>167</v>
      </c>
      <c r="FC68" t="s">
        <v>167</v>
      </c>
      <c r="FD68" t="s">
        <v>167</v>
      </c>
      <c r="FE68" s="152">
        <v>8.1380526468239403</v>
      </c>
      <c r="FF68" s="164" t="s">
        <v>211</v>
      </c>
      <c r="FG68" s="152">
        <v>6.3300318464250438E-2</v>
      </c>
      <c r="FH68" s="152">
        <v>6.2070951868090418E-2</v>
      </c>
      <c r="FI68" s="145">
        <v>304.44461302669202</v>
      </c>
      <c r="FJ68" s="149">
        <v>21</v>
      </c>
      <c r="FK68" s="149" t="s">
        <v>212</v>
      </c>
      <c r="FL68" s="152">
        <v>283.44461302669202</v>
      </c>
      <c r="FM68" s="152">
        <v>63.112620174581991</v>
      </c>
      <c r="FN68" s="152">
        <v>55.063535706950034</v>
      </c>
      <c r="FO68" s="144" t="s">
        <v>213</v>
      </c>
      <c r="FP68" s="144" t="s">
        <v>214</v>
      </c>
      <c r="FQ68" t="s">
        <v>215</v>
      </c>
      <c r="FR68" t="s">
        <v>215</v>
      </c>
      <c r="FS68" t="s">
        <v>215</v>
      </c>
      <c r="FT68" t="s">
        <v>215</v>
      </c>
      <c r="FU68" t="s">
        <v>215</v>
      </c>
      <c r="FV68" t="s">
        <v>215</v>
      </c>
      <c r="FW68" t="s">
        <v>215</v>
      </c>
      <c r="FX68" t="s">
        <v>215</v>
      </c>
      <c r="FY68" t="s">
        <v>215</v>
      </c>
      <c r="FZ68" t="s">
        <v>215</v>
      </c>
      <c r="GA68" t="s">
        <v>215</v>
      </c>
      <c r="GB68" t="s">
        <v>215</v>
      </c>
    </row>
    <row r="69" spans="1:184" ht="18" x14ac:dyDescent="0.2">
      <c r="A69" t="s">
        <v>240</v>
      </c>
      <c r="B69" s="141" t="s">
        <v>241</v>
      </c>
      <c r="C69" s="138" t="s">
        <v>168</v>
      </c>
      <c r="D69" t="s">
        <v>239</v>
      </c>
      <c r="E69">
        <v>2015</v>
      </c>
      <c r="F69" t="str">
        <f t="shared" si="9"/>
        <v>10.1038/nature14145</v>
      </c>
      <c r="G69" s="175">
        <v>3184.78</v>
      </c>
      <c r="H69" s="142">
        <f t="shared" si="15"/>
        <v>15</v>
      </c>
      <c r="I69" s="142">
        <f t="shared" si="16"/>
        <v>15</v>
      </c>
      <c r="J69" s="148">
        <f t="shared" si="17"/>
        <v>330.902805570449</v>
      </c>
      <c r="K69" s="148">
        <f t="shared" si="18"/>
        <v>74.052015070313018</v>
      </c>
      <c r="L69" s="148">
        <f t="shared" si="19"/>
        <v>63.522036601196987</v>
      </c>
      <c r="M69" t="b">
        <v>1</v>
      </c>
      <c r="N69">
        <v>3</v>
      </c>
      <c r="O69" t="s">
        <v>245</v>
      </c>
      <c r="P69" s="174" t="s">
        <v>259</v>
      </c>
      <c r="Q69" t="b">
        <v>0</v>
      </c>
      <c r="R69" t="s">
        <v>167</v>
      </c>
      <c r="S69" t="b">
        <v>0</v>
      </c>
      <c r="T69" t="b">
        <v>0</v>
      </c>
      <c r="U69" t="s">
        <v>167</v>
      </c>
      <c r="V69" t="s">
        <v>167</v>
      </c>
      <c r="W69" t="b">
        <v>0</v>
      </c>
      <c r="X69" t="s">
        <v>260</v>
      </c>
      <c r="Y69" s="150" t="s">
        <v>169</v>
      </c>
      <c r="Z69" t="s">
        <v>170</v>
      </c>
      <c r="AA69" t="s">
        <v>171</v>
      </c>
      <c r="AB69" s="142" t="s">
        <v>172</v>
      </c>
      <c r="AC69" s="146">
        <v>12</v>
      </c>
      <c r="AD69" s="146">
        <v>1</v>
      </c>
      <c r="AE69" s="146">
        <v>29</v>
      </c>
      <c r="AF69" s="146">
        <v>30</v>
      </c>
      <c r="AG69" s="146" t="s">
        <v>167</v>
      </c>
      <c r="AH69" s="146" t="s">
        <v>167</v>
      </c>
      <c r="AI69" s="146" t="s">
        <v>167</v>
      </c>
      <c r="AJ69" t="s">
        <v>173</v>
      </c>
      <c r="AK69" s="151">
        <v>12.75</v>
      </c>
      <c r="AL69" s="151">
        <v>-78.73</v>
      </c>
      <c r="AM69" s="151">
        <v>12.75</v>
      </c>
      <c r="AN69" s="151">
        <v>-78.73</v>
      </c>
      <c r="AO69" s="151">
        <v>-2828</v>
      </c>
      <c r="AP69" s="151">
        <v>-2828</v>
      </c>
      <c r="AQ69" s="142" t="s">
        <v>167</v>
      </c>
      <c r="AR69" s="142" t="s">
        <v>167</v>
      </c>
      <c r="AS69" s="175">
        <v>3184.78</v>
      </c>
      <c r="AT69" s="153" t="s">
        <v>174</v>
      </c>
      <c r="AU69" s="142">
        <v>15</v>
      </c>
      <c r="AV69" s="142">
        <v>15</v>
      </c>
      <c r="AW69" s="149" t="s">
        <v>167</v>
      </c>
      <c r="AX69" s="171" t="s">
        <v>243</v>
      </c>
      <c r="AY69" s="146" t="s">
        <v>167</v>
      </c>
      <c r="AZ69" t="s">
        <v>167</v>
      </c>
      <c r="BA69" t="s">
        <v>167</v>
      </c>
      <c r="BB69" t="s">
        <v>167</v>
      </c>
      <c r="BC69" t="s">
        <v>167</v>
      </c>
      <c r="BD69" t="s">
        <v>167</v>
      </c>
      <c r="BE69" t="s">
        <v>167</v>
      </c>
      <c r="BF69" t="s">
        <v>167</v>
      </c>
      <c r="BG69" s="154" t="s">
        <v>175</v>
      </c>
      <c r="BH69" t="s">
        <v>176</v>
      </c>
      <c r="BI69" s="155" t="s">
        <v>177</v>
      </c>
      <c r="BJ69" s="155" t="s">
        <v>178</v>
      </c>
      <c r="BK69" s="156" t="s">
        <v>179</v>
      </c>
      <c r="BL69" s="156" t="s">
        <v>180</v>
      </c>
      <c r="BM69" t="s">
        <v>181</v>
      </c>
      <c r="BN69" s="142" t="s">
        <v>182</v>
      </c>
      <c r="BO69" s="142" t="s">
        <v>182</v>
      </c>
      <c r="BP69" s="142" t="s">
        <v>182</v>
      </c>
      <c r="BQ69" s="152">
        <v>20.061399999999999</v>
      </c>
      <c r="BR69" t="s">
        <v>183</v>
      </c>
      <c r="BS69" s="152">
        <v>0.116816926</v>
      </c>
      <c r="BT69">
        <v>0.6</v>
      </c>
      <c r="BU69" t="s">
        <v>184</v>
      </c>
      <c r="BV69" s="153">
        <v>0.08</v>
      </c>
      <c r="BW69">
        <v>8.8699999999999992</v>
      </c>
      <c r="BX69" t="s">
        <v>185</v>
      </c>
      <c r="BY69">
        <v>1.52</v>
      </c>
      <c r="BZ69" t="s">
        <v>224</v>
      </c>
      <c r="CA69" t="s">
        <v>187</v>
      </c>
      <c r="CB69" s="158">
        <f t="shared" si="20"/>
        <v>18.652333333333335</v>
      </c>
      <c r="CC69" t="s">
        <v>184</v>
      </c>
      <c r="CD69" s="149" t="s">
        <v>167</v>
      </c>
      <c r="CE69" s="149" t="s">
        <v>167</v>
      </c>
      <c r="CF69" t="s">
        <v>188</v>
      </c>
      <c r="CG69" t="s">
        <v>189</v>
      </c>
      <c r="CH69" t="s">
        <v>190</v>
      </c>
      <c r="CI69" t="s">
        <v>190</v>
      </c>
      <c r="CJ69" s="152">
        <v>28.499939999999999</v>
      </c>
      <c r="CK69" t="s">
        <v>184</v>
      </c>
      <c r="CL69" s="159">
        <v>3</v>
      </c>
      <c r="CM69" s="159">
        <v>3</v>
      </c>
      <c r="CN69" s="152">
        <v>3.5767851230305161</v>
      </c>
      <c r="CO69" s="152">
        <v>3.5767851230305161</v>
      </c>
      <c r="CP69" t="s">
        <v>191</v>
      </c>
      <c r="CQ69" s="145">
        <f t="shared" si="21"/>
        <v>9.6573198321823928E-2</v>
      </c>
      <c r="CR69" s="145">
        <f t="shared" si="22"/>
        <v>9.6573198321823928E-2</v>
      </c>
      <c r="CS69" s="142" t="s">
        <v>192</v>
      </c>
      <c r="CT69" s="147" t="s">
        <v>193</v>
      </c>
      <c r="CU69" s="152">
        <v>3.4109132260437143</v>
      </c>
      <c r="CV69" s="152" t="s">
        <v>194</v>
      </c>
      <c r="CW69" t="s">
        <v>167</v>
      </c>
      <c r="CX69" t="s">
        <v>195</v>
      </c>
      <c r="CY69" t="s">
        <v>167</v>
      </c>
      <c r="CZ69" t="s">
        <v>167</v>
      </c>
      <c r="DA69" t="s">
        <v>167</v>
      </c>
      <c r="DB69" t="s">
        <v>167</v>
      </c>
      <c r="DC69" t="s">
        <v>167</v>
      </c>
      <c r="DD69" t="s">
        <v>167</v>
      </c>
      <c r="DE69" t="s">
        <v>167</v>
      </c>
      <c r="DF69" t="s">
        <v>167</v>
      </c>
      <c r="DG69" s="160">
        <v>35</v>
      </c>
      <c r="DH69" t="s">
        <v>174</v>
      </c>
      <c r="DI69">
        <v>3</v>
      </c>
      <c r="DJ69" s="161" t="s">
        <v>196</v>
      </c>
      <c r="DK69" s="146" t="s">
        <v>167</v>
      </c>
      <c r="DL69" s="146" t="s">
        <v>167</v>
      </c>
      <c r="DM69" s="146" t="s">
        <v>167</v>
      </c>
      <c r="DN69" s="146" t="s">
        <v>167</v>
      </c>
      <c r="DO69" s="146" t="s">
        <v>167</v>
      </c>
      <c r="DP69" s="146" t="s">
        <v>167</v>
      </c>
      <c r="DQ69" s="146" t="s">
        <v>167</v>
      </c>
      <c r="DR69" s="146" t="s">
        <v>167</v>
      </c>
      <c r="DS69" s="146" t="s">
        <v>167</v>
      </c>
      <c r="DT69" s="146" t="s">
        <v>167</v>
      </c>
      <c r="DU69" s="146" t="s">
        <v>167</v>
      </c>
      <c r="DV69" s="146" t="s">
        <v>167</v>
      </c>
      <c r="DW69" s="143">
        <v>432.56244218316402</v>
      </c>
      <c r="DX69" t="s">
        <v>197</v>
      </c>
      <c r="DY69" s="142">
        <v>37.1</v>
      </c>
      <c r="DZ69" t="s">
        <v>198</v>
      </c>
      <c r="EA69" s="152">
        <v>39.152330569999997</v>
      </c>
      <c r="EB69" s="149" t="s">
        <v>185</v>
      </c>
      <c r="EC69" s="162">
        <v>0.2</v>
      </c>
      <c r="ED69" t="s">
        <v>199</v>
      </c>
      <c r="EE69" t="s">
        <v>225</v>
      </c>
      <c r="EF69" t="s">
        <v>201</v>
      </c>
      <c r="EG69">
        <v>1.0271999999999999</v>
      </c>
      <c r="EH69" t="s">
        <v>202</v>
      </c>
      <c r="EI69">
        <v>5.9999999999999995E-4</v>
      </c>
      <c r="EJ69" t="s">
        <v>203</v>
      </c>
      <c r="EK69" t="s">
        <v>167</v>
      </c>
      <c r="EL69" t="s">
        <v>167</v>
      </c>
      <c r="EM69" t="s">
        <v>204</v>
      </c>
      <c r="EN69" t="s">
        <v>226</v>
      </c>
      <c r="EO69" t="s">
        <v>206</v>
      </c>
      <c r="EP69" t="s">
        <v>206</v>
      </c>
      <c r="EQ69" s="146" t="s">
        <v>167</v>
      </c>
      <c r="ER69" t="s">
        <v>167</v>
      </c>
      <c r="ES69" t="s">
        <v>167</v>
      </c>
      <c r="ET69" t="s">
        <v>207</v>
      </c>
      <c r="EU69" t="s">
        <v>208</v>
      </c>
      <c r="EV69" t="s">
        <v>227</v>
      </c>
      <c r="EW69" s="163">
        <v>2330</v>
      </c>
      <c r="EX69" t="s">
        <v>210</v>
      </c>
      <c r="EY69">
        <v>175</v>
      </c>
      <c r="EZ69">
        <v>175</v>
      </c>
      <c r="FA69" t="s">
        <v>167</v>
      </c>
      <c r="FB69" t="s">
        <v>167</v>
      </c>
      <c r="FC69" t="s">
        <v>167</v>
      </c>
      <c r="FD69" t="s">
        <v>167</v>
      </c>
      <c r="FE69" s="152">
        <v>8.08979612539766</v>
      </c>
      <c r="FF69" s="164" t="s">
        <v>211</v>
      </c>
      <c r="FG69" s="152">
        <v>6.3805907596009348E-2</v>
      </c>
      <c r="FH69" s="152">
        <v>6.491101742708949E-2</v>
      </c>
      <c r="FI69" s="145">
        <v>351.902805570449</v>
      </c>
      <c r="FJ69" s="149">
        <v>21</v>
      </c>
      <c r="FK69" s="149" t="s">
        <v>212</v>
      </c>
      <c r="FL69" s="152">
        <v>330.902805570449</v>
      </c>
      <c r="FM69" s="152">
        <v>74.052015070313018</v>
      </c>
      <c r="FN69" s="152">
        <v>63.522036601196987</v>
      </c>
      <c r="FO69" s="144" t="s">
        <v>213</v>
      </c>
      <c r="FP69" s="144" t="s">
        <v>214</v>
      </c>
      <c r="FQ69" t="s">
        <v>215</v>
      </c>
      <c r="FR69" t="s">
        <v>215</v>
      </c>
      <c r="FS69" t="s">
        <v>215</v>
      </c>
      <c r="FT69" t="s">
        <v>215</v>
      </c>
      <c r="FU69" t="s">
        <v>215</v>
      </c>
      <c r="FV69" t="s">
        <v>215</v>
      </c>
      <c r="FW69" t="s">
        <v>215</v>
      </c>
      <c r="FX69" t="s">
        <v>215</v>
      </c>
      <c r="FY69" t="s">
        <v>215</v>
      </c>
      <c r="FZ69" t="s">
        <v>215</v>
      </c>
      <c r="GA69" t="s">
        <v>215</v>
      </c>
      <c r="GB69" t="s">
        <v>215</v>
      </c>
    </row>
    <row r="70" spans="1:184" ht="18" x14ac:dyDescent="0.2">
      <c r="A70" t="s">
        <v>240</v>
      </c>
      <c r="B70" s="141" t="s">
        <v>241</v>
      </c>
      <c r="C70" s="138" t="s">
        <v>168</v>
      </c>
      <c r="D70" t="s">
        <v>239</v>
      </c>
      <c r="E70">
        <v>2015</v>
      </c>
      <c r="F70" t="str">
        <f t="shared" ref="F70:F85" si="23">Z70</f>
        <v>10.1038/nature14145</v>
      </c>
      <c r="G70" s="175">
        <v>3192.03</v>
      </c>
      <c r="H70" s="142">
        <f t="shared" si="15"/>
        <v>15</v>
      </c>
      <c r="I70" s="142">
        <f t="shared" si="16"/>
        <v>15</v>
      </c>
      <c r="J70" s="148">
        <f t="shared" si="17"/>
        <v>326.37900708607202</v>
      </c>
      <c r="K70" s="148">
        <f t="shared" si="18"/>
        <v>73.596368624784986</v>
      </c>
      <c r="L70" s="148">
        <f t="shared" si="19"/>
        <v>63.068132754594046</v>
      </c>
      <c r="M70" t="b">
        <v>1</v>
      </c>
      <c r="N70">
        <v>3</v>
      </c>
      <c r="O70" t="s">
        <v>245</v>
      </c>
      <c r="P70" s="174" t="s">
        <v>259</v>
      </c>
      <c r="Q70" t="b">
        <v>0</v>
      </c>
      <c r="R70" t="s">
        <v>167</v>
      </c>
      <c r="S70" t="b">
        <v>0</v>
      </c>
      <c r="T70" t="b">
        <v>0</v>
      </c>
      <c r="U70" t="s">
        <v>167</v>
      </c>
      <c r="V70" t="s">
        <v>167</v>
      </c>
      <c r="W70" t="b">
        <v>0</v>
      </c>
      <c r="X70" t="s">
        <v>260</v>
      </c>
      <c r="Y70" s="150" t="s">
        <v>169</v>
      </c>
      <c r="Z70" t="s">
        <v>170</v>
      </c>
      <c r="AA70" t="s">
        <v>171</v>
      </c>
      <c r="AB70" s="142" t="s">
        <v>172</v>
      </c>
      <c r="AC70" s="146">
        <v>12</v>
      </c>
      <c r="AD70" s="146">
        <v>1</v>
      </c>
      <c r="AE70" s="146">
        <v>57</v>
      </c>
      <c r="AF70" s="146">
        <v>59</v>
      </c>
      <c r="AG70" s="146" t="s">
        <v>167</v>
      </c>
      <c r="AH70" s="146" t="s">
        <v>167</v>
      </c>
      <c r="AI70" s="146" t="s">
        <v>167</v>
      </c>
      <c r="AJ70" t="s">
        <v>173</v>
      </c>
      <c r="AK70" s="151">
        <v>12.75</v>
      </c>
      <c r="AL70" s="151">
        <v>-78.73</v>
      </c>
      <c r="AM70" s="151">
        <v>12.75</v>
      </c>
      <c r="AN70" s="151">
        <v>-78.73</v>
      </c>
      <c r="AO70" s="151">
        <v>-2828</v>
      </c>
      <c r="AP70" s="151">
        <v>-2828</v>
      </c>
      <c r="AQ70" s="142" t="s">
        <v>167</v>
      </c>
      <c r="AR70" s="142" t="s">
        <v>167</v>
      </c>
      <c r="AS70" s="175">
        <v>3192.03</v>
      </c>
      <c r="AT70" s="153" t="s">
        <v>174</v>
      </c>
      <c r="AU70" s="142">
        <v>15</v>
      </c>
      <c r="AV70" s="142">
        <v>15</v>
      </c>
      <c r="AW70" s="149" t="s">
        <v>167</v>
      </c>
      <c r="AX70" s="171" t="s">
        <v>243</v>
      </c>
      <c r="AY70" s="146" t="s">
        <v>167</v>
      </c>
      <c r="AZ70" t="s">
        <v>167</v>
      </c>
      <c r="BA70" t="s">
        <v>167</v>
      </c>
      <c r="BB70" t="s">
        <v>167</v>
      </c>
      <c r="BC70" t="s">
        <v>167</v>
      </c>
      <c r="BD70" t="s">
        <v>167</v>
      </c>
      <c r="BE70" t="s">
        <v>167</v>
      </c>
      <c r="BF70" t="s">
        <v>167</v>
      </c>
      <c r="BG70" s="154" t="s">
        <v>175</v>
      </c>
      <c r="BH70" t="s">
        <v>176</v>
      </c>
      <c r="BI70" s="155" t="s">
        <v>177</v>
      </c>
      <c r="BJ70" s="156" t="s">
        <v>178</v>
      </c>
      <c r="BK70" s="156" t="s">
        <v>179</v>
      </c>
      <c r="BL70" s="156" t="s">
        <v>180</v>
      </c>
      <c r="BM70" s="157" t="s">
        <v>181</v>
      </c>
      <c r="BN70" s="142" t="s">
        <v>182</v>
      </c>
      <c r="BO70" s="142" t="s">
        <v>182</v>
      </c>
      <c r="BP70" s="142" t="s">
        <v>182</v>
      </c>
      <c r="BQ70" s="152">
        <v>20.123249999999999</v>
      </c>
      <c r="BR70" t="s">
        <v>183</v>
      </c>
      <c r="BS70" s="152">
        <v>0.14652628000000001</v>
      </c>
      <c r="BT70">
        <v>0.6</v>
      </c>
      <c r="BU70" t="s">
        <v>184</v>
      </c>
      <c r="BV70" s="153">
        <v>0.08</v>
      </c>
      <c r="BW70">
        <v>8.8699999999999992</v>
      </c>
      <c r="BX70" t="s">
        <v>185</v>
      </c>
      <c r="BY70">
        <v>1.52</v>
      </c>
      <c r="BZ70" t="s">
        <v>224</v>
      </c>
      <c r="CA70" t="s">
        <v>187</v>
      </c>
      <c r="CB70" s="158">
        <f t="shared" si="20"/>
        <v>18.755416666666665</v>
      </c>
      <c r="CC70" t="s">
        <v>184</v>
      </c>
      <c r="CD70" s="149" t="s">
        <v>167</v>
      </c>
      <c r="CE70" s="149" t="s">
        <v>167</v>
      </c>
      <c r="CF70" t="s">
        <v>188</v>
      </c>
      <c r="CG70" t="s">
        <v>189</v>
      </c>
      <c r="CH70" t="s">
        <v>190</v>
      </c>
      <c r="CI70" t="s">
        <v>190</v>
      </c>
      <c r="CJ70" s="152">
        <v>28.98817</v>
      </c>
      <c r="CK70" t="s">
        <v>184</v>
      </c>
      <c r="CL70" s="159">
        <v>3</v>
      </c>
      <c r="CM70" s="159">
        <v>3</v>
      </c>
      <c r="CN70" s="152">
        <v>3.7310169501453525</v>
      </c>
      <c r="CO70" s="152">
        <v>3.7310169501453525</v>
      </c>
      <c r="CP70" t="s">
        <v>191</v>
      </c>
      <c r="CQ70" s="145">
        <f t="shared" si="21"/>
        <v>0.10073745765392451</v>
      </c>
      <c r="CR70" s="145">
        <f t="shared" si="22"/>
        <v>0.10073745765392451</v>
      </c>
      <c r="CS70" s="142" t="s">
        <v>192</v>
      </c>
      <c r="CT70" s="147" t="s">
        <v>193</v>
      </c>
      <c r="CU70" s="152">
        <v>3.3965987981582644</v>
      </c>
      <c r="CV70" s="152" t="s">
        <v>194</v>
      </c>
      <c r="CW70" t="s">
        <v>167</v>
      </c>
      <c r="CX70" t="s">
        <v>195</v>
      </c>
      <c r="CY70" t="s">
        <v>167</v>
      </c>
      <c r="CZ70" t="s">
        <v>167</v>
      </c>
      <c r="DA70" t="s">
        <v>167</v>
      </c>
      <c r="DB70" t="s">
        <v>167</v>
      </c>
      <c r="DC70" t="s">
        <v>167</v>
      </c>
      <c r="DD70" t="s">
        <v>167</v>
      </c>
      <c r="DE70" t="s">
        <v>167</v>
      </c>
      <c r="DF70" t="s">
        <v>167</v>
      </c>
      <c r="DG70" s="160">
        <v>35</v>
      </c>
      <c r="DH70" t="s">
        <v>174</v>
      </c>
      <c r="DI70">
        <v>3</v>
      </c>
      <c r="DJ70" s="161" t="s">
        <v>196</v>
      </c>
      <c r="DK70" s="146" t="s">
        <v>167</v>
      </c>
      <c r="DL70" s="146" t="s">
        <v>167</v>
      </c>
      <c r="DM70" s="146" t="s">
        <v>167</v>
      </c>
      <c r="DN70" s="146" t="s">
        <v>167</v>
      </c>
      <c r="DO70" s="146" t="s">
        <v>167</v>
      </c>
      <c r="DP70" s="146" t="s">
        <v>167</v>
      </c>
      <c r="DQ70" s="146" t="s">
        <v>167</v>
      </c>
      <c r="DR70" s="146" t="s">
        <v>167</v>
      </c>
      <c r="DS70" s="146" t="s">
        <v>167</v>
      </c>
      <c r="DT70" s="146" t="s">
        <v>167</v>
      </c>
      <c r="DU70" s="146" t="s">
        <v>167</v>
      </c>
      <c r="DV70" s="146" t="s">
        <v>167</v>
      </c>
      <c r="DW70" s="143">
        <v>432.56244218316402</v>
      </c>
      <c r="DX70" t="s">
        <v>197</v>
      </c>
      <c r="DY70" s="142">
        <v>37.1</v>
      </c>
      <c r="DZ70" t="s">
        <v>198</v>
      </c>
      <c r="EA70" s="152">
        <v>39.150692560000003</v>
      </c>
      <c r="EB70" s="149" t="s">
        <v>185</v>
      </c>
      <c r="EC70" s="162">
        <v>0.2</v>
      </c>
      <c r="ED70" t="s">
        <v>199</v>
      </c>
      <c r="EE70" t="s">
        <v>225</v>
      </c>
      <c r="EF70" t="s">
        <v>201</v>
      </c>
      <c r="EG70">
        <v>1.0271999999999999</v>
      </c>
      <c r="EH70" t="s">
        <v>202</v>
      </c>
      <c r="EI70">
        <v>5.9999999999999995E-4</v>
      </c>
      <c r="EJ70" t="s">
        <v>203</v>
      </c>
      <c r="EK70" t="s">
        <v>167</v>
      </c>
      <c r="EL70" t="s">
        <v>167</v>
      </c>
      <c r="EM70" t="s">
        <v>204</v>
      </c>
      <c r="EN70" t="s">
        <v>226</v>
      </c>
      <c r="EO70" t="s">
        <v>206</v>
      </c>
      <c r="EP70" t="s">
        <v>206</v>
      </c>
      <c r="EQ70" s="146" t="s">
        <v>167</v>
      </c>
      <c r="ER70" t="s">
        <v>167</v>
      </c>
      <c r="ES70" t="s">
        <v>167</v>
      </c>
      <c r="ET70" t="s">
        <v>207</v>
      </c>
      <c r="EU70" t="s">
        <v>208</v>
      </c>
      <c r="EV70" t="s">
        <v>227</v>
      </c>
      <c r="EW70" s="163">
        <v>2330</v>
      </c>
      <c r="EX70" t="s">
        <v>210</v>
      </c>
      <c r="EY70">
        <v>175</v>
      </c>
      <c r="EZ70">
        <v>175</v>
      </c>
      <c r="FA70" t="s">
        <v>167</v>
      </c>
      <c r="FB70" t="s">
        <v>167</v>
      </c>
      <c r="FC70" t="s">
        <v>167</v>
      </c>
      <c r="FD70" t="s">
        <v>167</v>
      </c>
      <c r="FE70" s="152">
        <v>8.0937024448033092</v>
      </c>
      <c r="FF70" s="164" t="s">
        <v>211</v>
      </c>
      <c r="FG70" s="152">
        <v>6.4431054030780643E-2</v>
      </c>
      <c r="FH70" s="152">
        <v>6.5251379639779117E-2</v>
      </c>
      <c r="FI70" s="145">
        <v>347.37900708607202</v>
      </c>
      <c r="FJ70" s="149">
        <v>21</v>
      </c>
      <c r="FK70" s="149" t="s">
        <v>212</v>
      </c>
      <c r="FL70" s="152">
        <v>326.37900708607202</v>
      </c>
      <c r="FM70" s="152">
        <v>73.596368624784986</v>
      </c>
      <c r="FN70" s="152">
        <v>63.068132754594046</v>
      </c>
      <c r="FO70" s="144" t="s">
        <v>213</v>
      </c>
      <c r="FP70" s="144" t="s">
        <v>214</v>
      </c>
      <c r="FQ70" t="s">
        <v>215</v>
      </c>
      <c r="FR70" t="s">
        <v>215</v>
      </c>
      <c r="FS70" t="s">
        <v>215</v>
      </c>
      <c r="FT70" t="s">
        <v>215</v>
      </c>
      <c r="FU70" t="s">
        <v>215</v>
      </c>
      <c r="FV70" t="s">
        <v>215</v>
      </c>
      <c r="FW70" t="s">
        <v>215</v>
      </c>
      <c r="FX70" t="s">
        <v>215</v>
      </c>
      <c r="FY70" t="s">
        <v>215</v>
      </c>
      <c r="FZ70" t="s">
        <v>215</v>
      </c>
      <c r="GA70" t="s">
        <v>215</v>
      </c>
      <c r="GB70" t="s">
        <v>215</v>
      </c>
    </row>
    <row r="71" spans="1:184" ht="18" x14ac:dyDescent="0.2">
      <c r="A71" t="s">
        <v>240</v>
      </c>
      <c r="B71" s="141" t="s">
        <v>241</v>
      </c>
      <c r="C71" s="138" t="s">
        <v>168</v>
      </c>
      <c r="D71" t="s">
        <v>239</v>
      </c>
      <c r="E71">
        <v>2015</v>
      </c>
      <c r="F71" t="str">
        <f t="shared" si="23"/>
        <v>10.1038/nature14145</v>
      </c>
      <c r="G71" s="175">
        <v>3204.69</v>
      </c>
      <c r="H71" s="142">
        <f t="shared" si="15"/>
        <v>15</v>
      </c>
      <c r="I71" s="142">
        <f t="shared" si="16"/>
        <v>15</v>
      </c>
      <c r="J71" s="148">
        <f t="shared" si="17"/>
        <v>375.84765705955698</v>
      </c>
      <c r="K71" s="148">
        <f t="shared" si="18"/>
        <v>85.212616657898025</v>
      </c>
      <c r="L71" s="148">
        <f t="shared" si="19"/>
        <v>73.158550301221965</v>
      </c>
      <c r="M71" t="b">
        <v>1</v>
      </c>
      <c r="N71">
        <v>3</v>
      </c>
      <c r="O71" t="s">
        <v>245</v>
      </c>
      <c r="P71" s="174" t="s">
        <v>259</v>
      </c>
      <c r="Q71" t="b">
        <v>0</v>
      </c>
      <c r="R71" t="s">
        <v>167</v>
      </c>
      <c r="S71" t="b">
        <v>0</v>
      </c>
      <c r="T71" t="b">
        <v>0</v>
      </c>
      <c r="U71" t="s">
        <v>167</v>
      </c>
      <c r="V71" t="s">
        <v>167</v>
      </c>
      <c r="W71" t="b">
        <v>0</v>
      </c>
      <c r="X71" t="s">
        <v>260</v>
      </c>
      <c r="Y71" s="150" t="s">
        <v>169</v>
      </c>
      <c r="Z71" t="s">
        <v>170</v>
      </c>
      <c r="AA71" t="s">
        <v>171</v>
      </c>
      <c r="AB71" s="142" t="s">
        <v>172</v>
      </c>
      <c r="AC71" s="146">
        <v>12</v>
      </c>
      <c r="AD71" s="146">
        <v>1</v>
      </c>
      <c r="AE71" s="146">
        <v>99</v>
      </c>
      <c r="AF71" s="146">
        <v>101</v>
      </c>
      <c r="AG71" s="146" t="s">
        <v>167</v>
      </c>
      <c r="AH71" s="146" t="s">
        <v>167</v>
      </c>
      <c r="AI71" s="146" t="s">
        <v>167</v>
      </c>
      <c r="AJ71" t="s">
        <v>173</v>
      </c>
      <c r="AK71" s="151">
        <v>12.75</v>
      </c>
      <c r="AL71" s="151">
        <v>-78.73</v>
      </c>
      <c r="AM71" s="151">
        <v>12.75</v>
      </c>
      <c r="AN71" s="151">
        <v>-78.73</v>
      </c>
      <c r="AO71" s="151">
        <v>-2828</v>
      </c>
      <c r="AP71" s="151">
        <v>-2828</v>
      </c>
      <c r="AQ71" s="142" t="s">
        <v>167</v>
      </c>
      <c r="AR71" s="142" t="s">
        <v>167</v>
      </c>
      <c r="AS71" s="175">
        <v>3204.69</v>
      </c>
      <c r="AT71" s="153" t="s">
        <v>174</v>
      </c>
      <c r="AU71" s="142">
        <v>15</v>
      </c>
      <c r="AV71" s="142">
        <v>15</v>
      </c>
      <c r="AW71" s="149" t="s">
        <v>167</v>
      </c>
      <c r="AX71" s="171" t="s">
        <v>243</v>
      </c>
      <c r="AY71" s="146" t="s">
        <v>167</v>
      </c>
      <c r="AZ71" t="s">
        <v>167</v>
      </c>
      <c r="BA71" t="s">
        <v>167</v>
      </c>
      <c r="BB71" t="s">
        <v>167</v>
      </c>
      <c r="BC71" t="s">
        <v>167</v>
      </c>
      <c r="BD71" t="s">
        <v>167</v>
      </c>
      <c r="BE71" t="s">
        <v>167</v>
      </c>
      <c r="BF71" t="s">
        <v>167</v>
      </c>
      <c r="BG71" s="154" t="s">
        <v>175</v>
      </c>
      <c r="BH71" t="s">
        <v>176</v>
      </c>
      <c r="BI71" s="155" t="s">
        <v>177</v>
      </c>
      <c r="BJ71" s="155" t="s">
        <v>178</v>
      </c>
      <c r="BK71" s="156" t="s">
        <v>179</v>
      </c>
      <c r="BL71" s="156" t="s">
        <v>180</v>
      </c>
      <c r="BM71" t="s">
        <v>181</v>
      </c>
      <c r="BN71" s="142" t="s">
        <v>182</v>
      </c>
      <c r="BO71" s="142" t="s">
        <v>182</v>
      </c>
      <c r="BP71" s="142" t="s">
        <v>182</v>
      </c>
      <c r="BQ71" s="152">
        <v>19.766449999999999</v>
      </c>
      <c r="BR71" t="s">
        <v>183</v>
      </c>
      <c r="BS71" s="152">
        <v>0.12743700699999999</v>
      </c>
      <c r="BT71">
        <v>0.6</v>
      </c>
      <c r="BU71" t="s">
        <v>184</v>
      </c>
      <c r="BV71" s="153">
        <v>0.08</v>
      </c>
      <c r="BW71">
        <v>8.8699999999999992</v>
      </c>
      <c r="BX71" t="s">
        <v>185</v>
      </c>
      <c r="BY71">
        <v>1.52</v>
      </c>
      <c r="BZ71" t="s">
        <v>224</v>
      </c>
      <c r="CA71" t="s">
        <v>187</v>
      </c>
      <c r="CB71" s="158">
        <f t="shared" si="20"/>
        <v>18.16075</v>
      </c>
      <c r="CC71" t="s">
        <v>184</v>
      </c>
      <c r="CD71" s="149" t="s">
        <v>167</v>
      </c>
      <c r="CE71" s="149" t="s">
        <v>167</v>
      </c>
      <c r="CF71" t="s">
        <v>188</v>
      </c>
      <c r="CG71" t="s">
        <v>189</v>
      </c>
      <c r="CH71" t="s">
        <v>190</v>
      </c>
      <c r="CI71" t="s">
        <v>190</v>
      </c>
      <c r="CJ71" s="152">
        <v>28.33708</v>
      </c>
      <c r="CK71" t="s">
        <v>184</v>
      </c>
      <c r="CL71" s="159">
        <v>3</v>
      </c>
      <c r="CM71" s="159">
        <v>3</v>
      </c>
      <c r="CN71" s="152">
        <v>3.5100362069016069</v>
      </c>
      <c r="CO71" s="152">
        <v>3.5100362069016069</v>
      </c>
      <c r="CP71" t="s">
        <v>191</v>
      </c>
      <c r="CQ71" s="145">
        <f t="shared" si="21"/>
        <v>9.4770977586343383E-2</v>
      </c>
      <c r="CR71" s="145">
        <f t="shared" si="22"/>
        <v>9.4770977586343383E-2</v>
      </c>
      <c r="CS71" s="142" t="s">
        <v>192</v>
      </c>
      <c r="CT71" s="147" t="s">
        <v>193</v>
      </c>
      <c r="CU71" s="152">
        <v>3.3763099951750268</v>
      </c>
      <c r="CV71" s="152" t="s">
        <v>194</v>
      </c>
      <c r="CW71" t="s">
        <v>167</v>
      </c>
      <c r="CX71" t="s">
        <v>195</v>
      </c>
      <c r="CY71" t="s">
        <v>167</v>
      </c>
      <c r="CZ71" t="s">
        <v>167</v>
      </c>
      <c r="DA71" t="s">
        <v>167</v>
      </c>
      <c r="DB71" t="s">
        <v>167</v>
      </c>
      <c r="DC71" t="s">
        <v>167</v>
      </c>
      <c r="DD71" t="s">
        <v>167</v>
      </c>
      <c r="DE71" t="s">
        <v>167</v>
      </c>
      <c r="DF71" t="s">
        <v>167</v>
      </c>
      <c r="DG71" s="160">
        <v>35</v>
      </c>
      <c r="DH71" t="s">
        <v>174</v>
      </c>
      <c r="DI71">
        <v>3</v>
      </c>
      <c r="DJ71" s="161" t="s">
        <v>196</v>
      </c>
      <c r="DK71" s="146" t="s">
        <v>167</v>
      </c>
      <c r="DL71" s="146" t="s">
        <v>167</v>
      </c>
      <c r="DM71" s="146" t="s">
        <v>167</v>
      </c>
      <c r="DN71" s="146" t="s">
        <v>167</v>
      </c>
      <c r="DO71" s="146" t="s">
        <v>167</v>
      </c>
      <c r="DP71" s="146" t="s">
        <v>167</v>
      </c>
      <c r="DQ71" s="146" t="s">
        <v>167</v>
      </c>
      <c r="DR71" s="146" t="s">
        <v>167</v>
      </c>
      <c r="DS71" s="146" t="s">
        <v>167</v>
      </c>
      <c r="DT71" s="146" t="s">
        <v>167</v>
      </c>
      <c r="DU71" s="146" t="s">
        <v>167</v>
      </c>
      <c r="DV71" s="146" t="s">
        <v>167</v>
      </c>
      <c r="DW71" s="143">
        <v>432.56244218316402</v>
      </c>
      <c r="DX71" t="s">
        <v>197</v>
      </c>
      <c r="DY71" s="142">
        <v>37.1</v>
      </c>
      <c r="DZ71" t="s">
        <v>198</v>
      </c>
      <c r="EA71" s="152">
        <v>39.148326539999999</v>
      </c>
      <c r="EB71" s="149" t="s">
        <v>185</v>
      </c>
      <c r="EC71" s="162">
        <v>0.2</v>
      </c>
      <c r="ED71" t="s">
        <v>199</v>
      </c>
      <c r="EE71" t="s">
        <v>225</v>
      </c>
      <c r="EF71" t="s">
        <v>201</v>
      </c>
      <c r="EG71">
        <v>1.0271999999999999</v>
      </c>
      <c r="EH71" t="s">
        <v>202</v>
      </c>
      <c r="EI71">
        <v>5.9999999999999995E-4</v>
      </c>
      <c r="EJ71" t="s">
        <v>203</v>
      </c>
      <c r="EK71" t="s">
        <v>167</v>
      </c>
      <c r="EL71" t="s">
        <v>167</v>
      </c>
      <c r="EM71" t="s">
        <v>204</v>
      </c>
      <c r="EN71" t="s">
        <v>226</v>
      </c>
      <c r="EO71" t="s">
        <v>206</v>
      </c>
      <c r="EP71" t="s">
        <v>206</v>
      </c>
      <c r="EQ71" s="146" t="s">
        <v>167</v>
      </c>
      <c r="ER71" t="s">
        <v>167</v>
      </c>
      <c r="ES71" t="s">
        <v>167</v>
      </c>
      <c r="ET71" t="s">
        <v>207</v>
      </c>
      <c r="EU71" t="s">
        <v>208</v>
      </c>
      <c r="EV71" t="s">
        <v>227</v>
      </c>
      <c r="EW71" s="163">
        <v>2330</v>
      </c>
      <c r="EX71" t="s">
        <v>210</v>
      </c>
      <c r="EY71">
        <v>175</v>
      </c>
      <c r="EZ71">
        <v>175</v>
      </c>
      <c r="FA71" t="s">
        <v>167</v>
      </c>
      <c r="FB71" t="s">
        <v>167</v>
      </c>
      <c r="FC71" t="s">
        <v>167</v>
      </c>
      <c r="FD71" t="s">
        <v>167</v>
      </c>
      <c r="FE71" s="152">
        <v>8.0486629416490594</v>
      </c>
      <c r="FF71" s="164" t="s">
        <v>211</v>
      </c>
      <c r="FG71" s="152">
        <v>6.5687996687620043E-2</v>
      </c>
      <c r="FH71" s="152">
        <v>6.5673266759969096E-2</v>
      </c>
      <c r="FI71" s="145">
        <v>396.84765705955698</v>
      </c>
      <c r="FJ71" s="149">
        <v>21</v>
      </c>
      <c r="FK71" s="149" t="s">
        <v>212</v>
      </c>
      <c r="FL71" s="152">
        <v>375.84765705955698</v>
      </c>
      <c r="FM71" s="152">
        <v>85.212616657898025</v>
      </c>
      <c r="FN71" s="152">
        <v>73.158550301221965</v>
      </c>
      <c r="FO71" s="144" t="s">
        <v>213</v>
      </c>
      <c r="FP71" s="144" t="s">
        <v>214</v>
      </c>
      <c r="FQ71" t="s">
        <v>215</v>
      </c>
      <c r="FR71" t="s">
        <v>215</v>
      </c>
      <c r="FS71" t="s">
        <v>215</v>
      </c>
      <c r="FT71" t="s">
        <v>215</v>
      </c>
      <c r="FU71" t="s">
        <v>215</v>
      </c>
      <c r="FV71" t="s">
        <v>215</v>
      </c>
      <c r="FW71" t="s">
        <v>215</v>
      </c>
      <c r="FX71" t="s">
        <v>215</v>
      </c>
      <c r="FY71" t="s">
        <v>215</v>
      </c>
      <c r="FZ71" t="s">
        <v>215</v>
      </c>
      <c r="GA71" t="s">
        <v>215</v>
      </c>
      <c r="GB71" t="s">
        <v>215</v>
      </c>
    </row>
    <row r="72" spans="1:184" ht="18" x14ac:dyDescent="0.2">
      <c r="A72" t="s">
        <v>240</v>
      </c>
      <c r="B72" s="141" t="s">
        <v>241</v>
      </c>
      <c r="C72" s="138" t="s">
        <v>168</v>
      </c>
      <c r="D72" t="s">
        <v>239</v>
      </c>
      <c r="E72">
        <v>2015</v>
      </c>
      <c r="F72" t="str">
        <f t="shared" si="23"/>
        <v>10.1038/nature14145</v>
      </c>
      <c r="G72" s="175">
        <v>3217.95</v>
      </c>
      <c r="H72" s="142">
        <f t="shared" si="15"/>
        <v>15</v>
      </c>
      <c r="I72" s="142">
        <f t="shared" si="16"/>
        <v>15</v>
      </c>
      <c r="J72" s="148">
        <f t="shared" si="17"/>
        <v>423.24042050583398</v>
      </c>
      <c r="K72" s="148">
        <f t="shared" si="18"/>
        <v>112.74940063385702</v>
      </c>
      <c r="L72" s="148">
        <f t="shared" si="19"/>
        <v>94.07907151779898</v>
      </c>
      <c r="M72" t="b">
        <v>1</v>
      </c>
      <c r="N72">
        <v>3</v>
      </c>
      <c r="O72" t="s">
        <v>245</v>
      </c>
      <c r="P72" s="174" t="s">
        <v>259</v>
      </c>
      <c r="Q72" t="b">
        <v>0</v>
      </c>
      <c r="R72" t="s">
        <v>167</v>
      </c>
      <c r="S72" t="b">
        <v>0</v>
      </c>
      <c r="T72" t="b">
        <v>0</v>
      </c>
      <c r="U72" t="s">
        <v>167</v>
      </c>
      <c r="V72" t="s">
        <v>167</v>
      </c>
      <c r="W72" t="b">
        <v>0</v>
      </c>
      <c r="X72" t="s">
        <v>260</v>
      </c>
      <c r="Y72" s="150" t="s">
        <v>169</v>
      </c>
      <c r="Z72" t="s">
        <v>170</v>
      </c>
      <c r="AA72" t="s">
        <v>171</v>
      </c>
      <c r="AB72" s="142" t="s">
        <v>172</v>
      </c>
      <c r="AC72" s="146">
        <v>12</v>
      </c>
      <c r="AD72" s="146">
        <v>1</v>
      </c>
      <c r="AE72" s="146">
        <v>143</v>
      </c>
      <c r="AF72" s="146">
        <v>145</v>
      </c>
      <c r="AG72" s="146" t="s">
        <v>167</v>
      </c>
      <c r="AH72" s="146" t="s">
        <v>167</v>
      </c>
      <c r="AI72" s="146" t="s">
        <v>167</v>
      </c>
      <c r="AJ72" t="s">
        <v>173</v>
      </c>
      <c r="AK72" s="151">
        <v>12.75</v>
      </c>
      <c r="AL72" s="151">
        <v>-78.73</v>
      </c>
      <c r="AM72" s="151">
        <v>12.75</v>
      </c>
      <c r="AN72" s="151">
        <v>-78.73</v>
      </c>
      <c r="AO72" s="151">
        <v>-2828</v>
      </c>
      <c r="AP72" s="151">
        <v>-2828</v>
      </c>
      <c r="AQ72" s="142" t="s">
        <v>167</v>
      </c>
      <c r="AR72" s="142" t="s">
        <v>167</v>
      </c>
      <c r="AS72" s="175">
        <v>3217.95</v>
      </c>
      <c r="AT72" s="153" t="s">
        <v>174</v>
      </c>
      <c r="AU72" s="142">
        <v>15</v>
      </c>
      <c r="AV72" s="142">
        <v>15</v>
      </c>
      <c r="AW72" s="149" t="s">
        <v>167</v>
      </c>
      <c r="AX72" s="171" t="s">
        <v>243</v>
      </c>
      <c r="AY72" s="146" t="s">
        <v>167</v>
      </c>
      <c r="AZ72" t="s">
        <v>167</v>
      </c>
      <c r="BA72" t="s">
        <v>167</v>
      </c>
      <c r="BB72" t="s">
        <v>167</v>
      </c>
      <c r="BC72" t="s">
        <v>167</v>
      </c>
      <c r="BD72" t="s">
        <v>167</v>
      </c>
      <c r="BE72" t="s">
        <v>167</v>
      </c>
      <c r="BF72" t="s">
        <v>167</v>
      </c>
      <c r="BG72" s="154" t="s">
        <v>175</v>
      </c>
      <c r="BH72" t="s">
        <v>176</v>
      </c>
      <c r="BI72" s="155" t="s">
        <v>177</v>
      </c>
      <c r="BJ72" s="156" t="s">
        <v>178</v>
      </c>
      <c r="BK72" s="156" t="s">
        <v>179</v>
      </c>
      <c r="BL72" s="156" t="s">
        <v>180</v>
      </c>
      <c r="BM72" s="157" t="s">
        <v>181</v>
      </c>
      <c r="BN72" s="142" t="s">
        <v>182</v>
      </c>
      <c r="BO72" s="142" t="s">
        <v>182</v>
      </c>
      <c r="BP72" s="142" t="s">
        <v>182</v>
      </c>
      <c r="BQ72" s="152">
        <v>19.47</v>
      </c>
      <c r="BR72" t="s">
        <v>183</v>
      </c>
      <c r="BS72" s="152">
        <v>0.245767399</v>
      </c>
      <c r="BT72">
        <v>0.6</v>
      </c>
      <c r="BU72" t="s">
        <v>184</v>
      </c>
      <c r="BV72" s="153">
        <v>0.08</v>
      </c>
      <c r="BW72">
        <v>8.8699999999999992</v>
      </c>
      <c r="BX72" t="s">
        <v>185</v>
      </c>
      <c r="BY72">
        <v>1.52</v>
      </c>
      <c r="BZ72" t="s">
        <v>224</v>
      </c>
      <c r="CA72" t="s">
        <v>187</v>
      </c>
      <c r="CB72" s="158">
        <f t="shared" si="20"/>
        <v>17.666666666666668</v>
      </c>
      <c r="CC72" t="s">
        <v>184</v>
      </c>
      <c r="CD72" s="149" t="s">
        <v>167</v>
      </c>
      <c r="CE72" s="149" t="s">
        <v>167</v>
      </c>
      <c r="CF72" t="s">
        <v>188</v>
      </c>
      <c r="CG72" t="s">
        <v>189</v>
      </c>
      <c r="CH72" t="s">
        <v>190</v>
      </c>
      <c r="CI72" t="s">
        <v>190</v>
      </c>
      <c r="CJ72" s="152">
        <v>27.686669999999999</v>
      </c>
      <c r="CK72" t="s">
        <v>184</v>
      </c>
      <c r="CL72" s="159">
        <v>3</v>
      </c>
      <c r="CM72" s="159">
        <v>3</v>
      </c>
      <c r="CN72" s="152">
        <v>3.3023552160333618</v>
      </c>
      <c r="CO72" s="152">
        <v>3.3023552160333618</v>
      </c>
      <c r="CP72" t="s">
        <v>191</v>
      </c>
      <c r="CQ72" s="145">
        <f t="shared" si="21"/>
        <v>8.9163590832900763E-2</v>
      </c>
      <c r="CR72" s="145">
        <f t="shared" si="22"/>
        <v>8.9163590832900763E-2</v>
      </c>
      <c r="CS72" s="142" t="s">
        <v>192</v>
      </c>
      <c r="CT72" s="147" t="s">
        <v>193</v>
      </c>
      <c r="CU72" s="152">
        <v>3.3561656912692652</v>
      </c>
      <c r="CV72" s="152" t="s">
        <v>194</v>
      </c>
      <c r="CW72" t="s">
        <v>167</v>
      </c>
      <c r="CX72" t="s">
        <v>195</v>
      </c>
      <c r="CY72" t="s">
        <v>167</v>
      </c>
      <c r="CZ72" t="s">
        <v>167</v>
      </c>
      <c r="DA72" t="s">
        <v>167</v>
      </c>
      <c r="DB72" t="s">
        <v>167</v>
      </c>
      <c r="DC72" t="s">
        <v>167</v>
      </c>
      <c r="DD72" t="s">
        <v>167</v>
      </c>
      <c r="DE72" t="s">
        <v>167</v>
      </c>
      <c r="DF72" t="s">
        <v>167</v>
      </c>
      <c r="DG72" s="160">
        <v>35</v>
      </c>
      <c r="DH72" t="s">
        <v>174</v>
      </c>
      <c r="DI72">
        <v>3</v>
      </c>
      <c r="DJ72" s="161" t="s">
        <v>196</v>
      </c>
      <c r="DK72" s="146" t="s">
        <v>167</v>
      </c>
      <c r="DL72" s="146" t="s">
        <v>167</v>
      </c>
      <c r="DM72" s="146" t="s">
        <v>167</v>
      </c>
      <c r="DN72" s="146" t="s">
        <v>167</v>
      </c>
      <c r="DO72" s="146" t="s">
        <v>167</v>
      </c>
      <c r="DP72" s="146" t="s">
        <v>167</v>
      </c>
      <c r="DQ72" s="146" t="s">
        <v>167</v>
      </c>
      <c r="DR72" s="146" t="s">
        <v>167</v>
      </c>
      <c r="DS72" s="146" t="s">
        <v>167</v>
      </c>
      <c r="DT72" s="146" t="s">
        <v>167</v>
      </c>
      <c r="DU72" s="146" t="s">
        <v>167</v>
      </c>
      <c r="DV72" s="146" t="s">
        <v>167</v>
      </c>
      <c r="DW72" s="143">
        <v>432.56244218316402</v>
      </c>
      <c r="DX72" t="s">
        <v>197</v>
      </c>
      <c r="DY72" s="142">
        <v>37.1</v>
      </c>
      <c r="DZ72" t="s">
        <v>198</v>
      </c>
      <c r="EA72" s="152">
        <v>39.14619442</v>
      </c>
      <c r="EB72" s="149" t="s">
        <v>185</v>
      </c>
      <c r="EC72" s="162">
        <v>0.2</v>
      </c>
      <c r="ED72" t="s">
        <v>199</v>
      </c>
      <c r="EE72" t="s">
        <v>225</v>
      </c>
      <c r="EF72" t="s">
        <v>201</v>
      </c>
      <c r="EG72">
        <v>1.0271999999999999</v>
      </c>
      <c r="EH72" t="s">
        <v>202</v>
      </c>
      <c r="EI72">
        <v>5.9999999999999995E-4</v>
      </c>
      <c r="EJ72" t="s">
        <v>203</v>
      </c>
      <c r="EK72" t="s">
        <v>167</v>
      </c>
      <c r="EL72" t="s">
        <v>167</v>
      </c>
      <c r="EM72" t="s">
        <v>204</v>
      </c>
      <c r="EN72" t="s">
        <v>226</v>
      </c>
      <c r="EO72" t="s">
        <v>206</v>
      </c>
      <c r="EP72" t="s">
        <v>206</v>
      </c>
      <c r="EQ72" s="146" t="s">
        <v>167</v>
      </c>
      <c r="ER72" t="s">
        <v>167</v>
      </c>
      <c r="ES72" t="s">
        <v>167</v>
      </c>
      <c r="ET72" t="s">
        <v>207</v>
      </c>
      <c r="EU72" t="s">
        <v>208</v>
      </c>
      <c r="EV72" t="s">
        <v>227</v>
      </c>
      <c r="EW72" s="163">
        <v>2330</v>
      </c>
      <c r="EX72" t="s">
        <v>210</v>
      </c>
      <c r="EY72">
        <v>175</v>
      </c>
      <c r="EZ72">
        <v>175</v>
      </c>
      <c r="FA72" t="s">
        <v>167</v>
      </c>
      <c r="FB72" t="s">
        <v>167</v>
      </c>
      <c r="FC72" t="s">
        <v>167</v>
      </c>
      <c r="FD72" t="s">
        <v>167</v>
      </c>
      <c r="FE72" s="152">
        <v>8.0104194644359303</v>
      </c>
      <c r="FF72" s="164" t="s">
        <v>211</v>
      </c>
      <c r="FG72" s="152">
        <v>7.8420678342089545E-2</v>
      </c>
      <c r="FH72" s="152">
        <v>7.9659166590570152E-2</v>
      </c>
      <c r="FI72" s="145">
        <v>444.24042050583398</v>
      </c>
      <c r="FJ72" s="149">
        <v>21</v>
      </c>
      <c r="FK72" s="149" t="s">
        <v>212</v>
      </c>
      <c r="FL72" s="152">
        <v>423.24042050583398</v>
      </c>
      <c r="FM72" s="152">
        <v>112.74940063385702</v>
      </c>
      <c r="FN72" s="152">
        <v>94.07907151779898</v>
      </c>
      <c r="FO72" s="144" t="s">
        <v>213</v>
      </c>
      <c r="FP72" s="144" t="s">
        <v>214</v>
      </c>
      <c r="FQ72" t="s">
        <v>215</v>
      </c>
      <c r="FR72" t="s">
        <v>215</v>
      </c>
      <c r="FS72" t="s">
        <v>215</v>
      </c>
      <c r="FT72" t="s">
        <v>215</v>
      </c>
      <c r="FU72" t="s">
        <v>215</v>
      </c>
      <c r="FV72" t="s">
        <v>215</v>
      </c>
      <c r="FW72" t="s">
        <v>215</v>
      </c>
      <c r="FX72" t="s">
        <v>215</v>
      </c>
      <c r="FY72" t="s">
        <v>215</v>
      </c>
      <c r="FZ72" t="s">
        <v>215</v>
      </c>
      <c r="GA72" t="s">
        <v>215</v>
      </c>
      <c r="GB72" t="s">
        <v>215</v>
      </c>
    </row>
    <row r="73" spans="1:184" ht="18" x14ac:dyDescent="0.2">
      <c r="A73" t="s">
        <v>240</v>
      </c>
      <c r="B73" s="141" t="s">
        <v>241</v>
      </c>
      <c r="C73" s="138" t="s">
        <v>168</v>
      </c>
      <c r="D73" t="s">
        <v>239</v>
      </c>
      <c r="E73">
        <v>2015</v>
      </c>
      <c r="F73" t="str">
        <f t="shared" si="23"/>
        <v>10.1038/nature14145</v>
      </c>
      <c r="G73" s="175">
        <v>3220.67</v>
      </c>
      <c r="H73" s="142">
        <f t="shared" si="15"/>
        <v>15</v>
      </c>
      <c r="I73" s="142">
        <f t="shared" si="16"/>
        <v>15</v>
      </c>
      <c r="J73" s="148">
        <f t="shared" si="17"/>
        <v>354.45720409640398</v>
      </c>
      <c r="K73" s="148">
        <f t="shared" si="18"/>
        <v>79.309896762442008</v>
      </c>
      <c r="L73" s="148">
        <f t="shared" si="19"/>
        <v>70.037326514946983</v>
      </c>
      <c r="M73" t="b">
        <v>1</v>
      </c>
      <c r="N73">
        <v>3</v>
      </c>
      <c r="O73" t="s">
        <v>245</v>
      </c>
      <c r="P73" s="174" t="s">
        <v>259</v>
      </c>
      <c r="Q73" t="b">
        <v>0</v>
      </c>
      <c r="R73" t="s">
        <v>167</v>
      </c>
      <c r="S73" t="b">
        <v>0</v>
      </c>
      <c r="T73" t="b">
        <v>0</v>
      </c>
      <c r="U73" t="s">
        <v>167</v>
      </c>
      <c r="V73" t="s">
        <v>167</v>
      </c>
      <c r="W73" t="b">
        <v>0</v>
      </c>
      <c r="X73" t="s">
        <v>260</v>
      </c>
      <c r="Y73" s="150" t="s">
        <v>169</v>
      </c>
      <c r="Z73" t="s">
        <v>170</v>
      </c>
      <c r="AA73" t="s">
        <v>171</v>
      </c>
      <c r="AB73" s="142" t="s">
        <v>172</v>
      </c>
      <c r="AC73" s="146">
        <v>12</v>
      </c>
      <c r="AD73" s="146">
        <v>2</v>
      </c>
      <c r="AE73" s="146">
        <v>2</v>
      </c>
      <c r="AF73" s="146">
        <v>4</v>
      </c>
      <c r="AG73" s="146" t="s">
        <v>167</v>
      </c>
      <c r="AH73" s="146" t="s">
        <v>167</v>
      </c>
      <c r="AI73" s="146" t="s">
        <v>167</v>
      </c>
      <c r="AJ73" t="s">
        <v>173</v>
      </c>
      <c r="AK73" s="151">
        <v>12.75</v>
      </c>
      <c r="AL73" s="151">
        <v>-78.73</v>
      </c>
      <c r="AM73" s="151">
        <v>12.75</v>
      </c>
      <c r="AN73" s="151">
        <v>-78.73</v>
      </c>
      <c r="AO73" s="151">
        <v>-2828</v>
      </c>
      <c r="AP73" s="151">
        <v>-2828</v>
      </c>
      <c r="AQ73" s="142" t="s">
        <v>167</v>
      </c>
      <c r="AR73" s="142" t="s">
        <v>167</v>
      </c>
      <c r="AS73" s="175">
        <v>3220.67</v>
      </c>
      <c r="AT73" s="153" t="s">
        <v>174</v>
      </c>
      <c r="AU73" s="142">
        <v>15</v>
      </c>
      <c r="AV73" s="142">
        <v>15</v>
      </c>
      <c r="AW73" s="149" t="s">
        <v>167</v>
      </c>
      <c r="AX73" s="171" t="s">
        <v>243</v>
      </c>
      <c r="AY73" s="146" t="s">
        <v>167</v>
      </c>
      <c r="AZ73" t="s">
        <v>167</v>
      </c>
      <c r="BA73" t="s">
        <v>167</v>
      </c>
      <c r="BB73" t="s">
        <v>167</v>
      </c>
      <c r="BC73" t="s">
        <v>167</v>
      </c>
      <c r="BD73" t="s">
        <v>167</v>
      </c>
      <c r="BE73" t="s">
        <v>167</v>
      </c>
      <c r="BF73" t="s">
        <v>167</v>
      </c>
      <c r="BG73" s="154" t="s">
        <v>175</v>
      </c>
      <c r="BH73" t="s">
        <v>176</v>
      </c>
      <c r="BI73" s="155" t="s">
        <v>177</v>
      </c>
      <c r="BJ73" s="155" t="s">
        <v>178</v>
      </c>
      <c r="BK73" s="156" t="s">
        <v>179</v>
      </c>
      <c r="BL73" s="156" t="s">
        <v>180</v>
      </c>
      <c r="BM73" t="s">
        <v>181</v>
      </c>
      <c r="BN73" s="142" t="s">
        <v>182</v>
      </c>
      <c r="BO73" s="142" t="s">
        <v>182</v>
      </c>
      <c r="BP73" s="142" t="s">
        <v>182</v>
      </c>
      <c r="BQ73" s="152">
        <v>19.8293</v>
      </c>
      <c r="BR73" t="s">
        <v>183</v>
      </c>
      <c r="BS73" s="152">
        <v>0.110349244</v>
      </c>
      <c r="BT73">
        <v>0.6</v>
      </c>
      <c r="BU73" t="s">
        <v>184</v>
      </c>
      <c r="BV73" s="153">
        <v>0.08</v>
      </c>
      <c r="BW73">
        <v>8.8699999999999992</v>
      </c>
      <c r="BX73" t="s">
        <v>185</v>
      </c>
      <c r="BY73">
        <v>1.52</v>
      </c>
      <c r="BZ73" t="s">
        <v>224</v>
      </c>
      <c r="CA73" t="s">
        <v>187</v>
      </c>
      <c r="CB73" s="158">
        <f t="shared" si="20"/>
        <v>18.265500000000003</v>
      </c>
      <c r="CC73" t="s">
        <v>184</v>
      </c>
      <c r="CD73" s="149" t="s">
        <v>167</v>
      </c>
      <c r="CE73" s="149" t="s">
        <v>167</v>
      </c>
      <c r="CF73" t="s">
        <v>188</v>
      </c>
      <c r="CG73" t="s">
        <v>189</v>
      </c>
      <c r="CH73" t="s">
        <v>190</v>
      </c>
      <c r="CI73" t="s">
        <v>190</v>
      </c>
      <c r="CJ73" s="152">
        <v>27.3582</v>
      </c>
      <c r="CK73" t="s">
        <v>184</v>
      </c>
      <c r="CL73" s="159">
        <v>3</v>
      </c>
      <c r="CM73" s="159">
        <v>3</v>
      </c>
      <c r="CN73" s="152">
        <v>3.2045987890238949</v>
      </c>
      <c r="CO73" s="152">
        <v>3.2045987890238949</v>
      </c>
      <c r="CP73" t="s">
        <v>191</v>
      </c>
      <c r="CQ73" s="145">
        <f t="shared" si="21"/>
        <v>8.6524167303645164E-2</v>
      </c>
      <c r="CR73" s="145">
        <f t="shared" si="22"/>
        <v>8.6524167303645164E-2</v>
      </c>
      <c r="CS73" s="142" t="s">
        <v>192</v>
      </c>
      <c r="CT73" s="147" t="s">
        <v>193</v>
      </c>
      <c r="CU73" s="152">
        <v>3.3521839096653645</v>
      </c>
      <c r="CV73" s="152" t="s">
        <v>194</v>
      </c>
      <c r="CW73" t="s">
        <v>167</v>
      </c>
      <c r="CX73" t="s">
        <v>195</v>
      </c>
      <c r="CY73" t="s">
        <v>167</v>
      </c>
      <c r="CZ73" t="s">
        <v>167</v>
      </c>
      <c r="DA73" t="s">
        <v>167</v>
      </c>
      <c r="DB73" t="s">
        <v>167</v>
      </c>
      <c r="DC73" t="s">
        <v>167</v>
      </c>
      <c r="DD73" t="s">
        <v>167</v>
      </c>
      <c r="DE73" t="s">
        <v>167</v>
      </c>
      <c r="DF73" t="s">
        <v>167</v>
      </c>
      <c r="DG73" s="160">
        <v>35</v>
      </c>
      <c r="DH73" t="s">
        <v>174</v>
      </c>
      <c r="DI73">
        <v>3</v>
      </c>
      <c r="DJ73" s="161" t="s">
        <v>196</v>
      </c>
      <c r="DK73" s="146" t="s">
        <v>167</v>
      </c>
      <c r="DL73" s="146" t="s">
        <v>167</v>
      </c>
      <c r="DM73" s="146" t="s">
        <v>167</v>
      </c>
      <c r="DN73" s="146" t="s">
        <v>167</v>
      </c>
      <c r="DO73" s="146" t="s">
        <v>167</v>
      </c>
      <c r="DP73" s="146" t="s">
        <v>167</v>
      </c>
      <c r="DQ73" s="146" t="s">
        <v>167</v>
      </c>
      <c r="DR73" s="146" t="s">
        <v>167</v>
      </c>
      <c r="DS73" s="146" t="s">
        <v>167</v>
      </c>
      <c r="DT73" s="146" t="s">
        <v>167</v>
      </c>
      <c r="DU73" s="146" t="s">
        <v>167</v>
      </c>
      <c r="DV73" s="146" t="s">
        <v>167</v>
      </c>
      <c r="DW73" s="143">
        <v>432.56244218316402</v>
      </c>
      <c r="DX73" t="s">
        <v>197</v>
      </c>
      <c r="DY73" s="142">
        <v>37.1</v>
      </c>
      <c r="DZ73" t="s">
        <v>198</v>
      </c>
      <c r="EA73" s="152">
        <v>39.145778499999999</v>
      </c>
      <c r="EB73" s="149" t="s">
        <v>185</v>
      </c>
      <c r="EC73" s="162">
        <v>0.2</v>
      </c>
      <c r="ED73" t="s">
        <v>199</v>
      </c>
      <c r="EE73" t="s">
        <v>225</v>
      </c>
      <c r="EF73" t="s">
        <v>201</v>
      </c>
      <c r="EG73">
        <v>1.0271999999999999</v>
      </c>
      <c r="EH73" t="s">
        <v>202</v>
      </c>
      <c r="EI73">
        <v>5.9999999999999995E-4</v>
      </c>
      <c r="EJ73" t="s">
        <v>203</v>
      </c>
      <c r="EK73" t="s">
        <v>167</v>
      </c>
      <c r="EL73" t="s">
        <v>167</v>
      </c>
      <c r="EM73" t="s">
        <v>204</v>
      </c>
      <c r="EN73" t="s">
        <v>226</v>
      </c>
      <c r="EO73" t="s">
        <v>206</v>
      </c>
      <c r="EP73" t="s">
        <v>206</v>
      </c>
      <c r="EQ73" s="146" t="s">
        <v>167</v>
      </c>
      <c r="ER73" t="s">
        <v>167</v>
      </c>
      <c r="ES73" t="s">
        <v>167</v>
      </c>
      <c r="ET73" t="s">
        <v>207</v>
      </c>
      <c r="EU73" t="s">
        <v>208</v>
      </c>
      <c r="EV73" t="s">
        <v>227</v>
      </c>
      <c r="EW73" s="163">
        <v>2330</v>
      </c>
      <c r="EX73" t="s">
        <v>210</v>
      </c>
      <c r="EY73">
        <v>175</v>
      </c>
      <c r="EZ73">
        <v>175</v>
      </c>
      <c r="FA73" t="s">
        <v>167</v>
      </c>
      <c r="FB73" t="s">
        <v>167</v>
      </c>
      <c r="FC73" t="s">
        <v>167</v>
      </c>
      <c r="FD73" t="s">
        <v>167</v>
      </c>
      <c r="FE73" s="152">
        <v>8.0690456269913895</v>
      </c>
      <c r="FF73" s="164" t="s">
        <v>211</v>
      </c>
      <c r="FG73" s="152">
        <v>6.6041685221840396E-2</v>
      </c>
      <c r="FH73" s="152">
        <v>6.5422132811230327E-2</v>
      </c>
      <c r="FI73" s="145">
        <v>375.45720409640398</v>
      </c>
      <c r="FJ73" s="149">
        <v>21</v>
      </c>
      <c r="FK73" s="149" t="s">
        <v>212</v>
      </c>
      <c r="FL73" s="152">
        <v>354.45720409640398</v>
      </c>
      <c r="FM73" s="152">
        <v>79.309896762442008</v>
      </c>
      <c r="FN73" s="152">
        <v>70.037326514946983</v>
      </c>
      <c r="FO73" s="144" t="s">
        <v>213</v>
      </c>
      <c r="FP73" s="144" t="s">
        <v>214</v>
      </c>
      <c r="FQ73" t="s">
        <v>215</v>
      </c>
      <c r="FR73" t="s">
        <v>215</v>
      </c>
      <c r="FS73" t="s">
        <v>215</v>
      </c>
      <c r="FT73" t="s">
        <v>215</v>
      </c>
      <c r="FU73" t="s">
        <v>215</v>
      </c>
      <c r="FV73" t="s">
        <v>215</v>
      </c>
      <c r="FW73" t="s">
        <v>215</v>
      </c>
      <c r="FX73" t="s">
        <v>215</v>
      </c>
      <c r="FY73" t="s">
        <v>215</v>
      </c>
      <c r="FZ73" t="s">
        <v>215</v>
      </c>
      <c r="GA73" t="s">
        <v>215</v>
      </c>
      <c r="GB73" t="s">
        <v>215</v>
      </c>
    </row>
    <row r="74" spans="1:184" ht="18" x14ac:dyDescent="0.2">
      <c r="A74" t="s">
        <v>240</v>
      </c>
      <c r="B74" s="141" t="s">
        <v>241</v>
      </c>
      <c r="C74" s="138" t="s">
        <v>168</v>
      </c>
      <c r="D74" t="s">
        <v>239</v>
      </c>
      <c r="E74">
        <v>2015</v>
      </c>
      <c r="F74" t="str">
        <f t="shared" si="23"/>
        <v>10.1038/nature14145</v>
      </c>
      <c r="G74" s="175">
        <v>3223.08</v>
      </c>
      <c r="H74" s="142">
        <f t="shared" si="15"/>
        <v>15</v>
      </c>
      <c r="I74" s="142">
        <f t="shared" si="16"/>
        <v>15</v>
      </c>
      <c r="J74" s="148">
        <f t="shared" si="17"/>
        <v>316.30111257034002</v>
      </c>
      <c r="K74" s="148">
        <f t="shared" si="18"/>
        <v>70.745626686302955</v>
      </c>
      <c r="L74" s="148">
        <f t="shared" si="19"/>
        <v>60.642096330450016</v>
      </c>
      <c r="M74" t="b">
        <v>1</v>
      </c>
      <c r="N74">
        <v>3</v>
      </c>
      <c r="O74" t="s">
        <v>245</v>
      </c>
      <c r="P74" s="174" t="s">
        <v>259</v>
      </c>
      <c r="Q74" t="b">
        <v>0</v>
      </c>
      <c r="R74" t="s">
        <v>167</v>
      </c>
      <c r="S74" t="b">
        <v>0</v>
      </c>
      <c r="T74" t="b">
        <v>0</v>
      </c>
      <c r="U74" t="s">
        <v>167</v>
      </c>
      <c r="V74" t="s">
        <v>167</v>
      </c>
      <c r="W74" t="b">
        <v>0</v>
      </c>
      <c r="X74" t="s">
        <v>260</v>
      </c>
      <c r="Y74" s="150" t="s">
        <v>169</v>
      </c>
      <c r="Z74" t="s">
        <v>170</v>
      </c>
      <c r="AA74" t="s">
        <v>171</v>
      </c>
      <c r="AB74" s="142" t="s">
        <v>172</v>
      </c>
      <c r="AC74" s="146">
        <v>12</v>
      </c>
      <c r="AD74" s="146">
        <v>2</v>
      </c>
      <c r="AE74" s="146">
        <v>10</v>
      </c>
      <c r="AF74" s="146">
        <v>12</v>
      </c>
      <c r="AG74" s="146" t="s">
        <v>167</v>
      </c>
      <c r="AH74" s="146" t="s">
        <v>167</v>
      </c>
      <c r="AI74" s="146" t="s">
        <v>167</v>
      </c>
      <c r="AJ74" t="s">
        <v>173</v>
      </c>
      <c r="AK74" s="151">
        <v>12.75</v>
      </c>
      <c r="AL74" s="151">
        <v>-78.73</v>
      </c>
      <c r="AM74" s="151">
        <v>12.75</v>
      </c>
      <c r="AN74" s="151">
        <v>-78.73</v>
      </c>
      <c r="AO74" s="151">
        <v>-2828</v>
      </c>
      <c r="AP74" s="151">
        <v>-2828</v>
      </c>
      <c r="AQ74" s="142" t="s">
        <v>167</v>
      </c>
      <c r="AR74" s="142" t="s">
        <v>167</v>
      </c>
      <c r="AS74" s="175">
        <v>3223.08</v>
      </c>
      <c r="AT74" s="153" t="s">
        <v>174</v>
      </c>
      <c r="AU74" s="142">
        <v>15</v>
      </c>
      <c r="AV74" s="142">
        <v>15</v>
      </c>
      <c r="AW74" s="149" t="s">
        <v>167</v>
      </c>
      <c r="AX74" s="171" t="s">
        <v>243</v>
      </c>
      <c r="AY74" s="146" t="s">
        <v>167</v>
      </c>
      <c r="AZ74" t="s">
        <v>167</v>
      </c>
      <c r="BA74" t="s">
        <v>167</v>
      </c>
      <c r="BB74" t="s">
        <v>167</v>
      </c>
      <c r="BC74" t="s">
        <v>167</v>
      </c>
      <c r="BD74" t="s">
        <v>167</v>
      </c>
      <c r="BE74" t="s">
        <v>167</v>
      </c>
      <c r="BF74" t="s">
        <v>167</v>
      </c>
      <c r="BG74" s="154" t="s">
        <v>175</v>
      </c>
      <c r="BH74" t="s">
        <v>176</v>
      </c>
      <c r="BI74" s="155" t="s">
        <v>177</v>
      </c>
      <c r="BJ74" s="156" t="s">
        <v>178</v>
      </c>
      <c r="BK74" s="156" t="s">
        <v>179</v>
      </c>
      <c r="BL74" s="156" t="s">
        <v>180</v>
      </c>
      <c r="BM74" s="157" t="s">
        <v>181</v>
      </c>
      <c r="BN74" s="142" t="s">
        <v>182</v>
      </c>
      <c r="BO74" s="142" t="s">
        <v>182</v>
      </c>
      <c r="BP74" s="142" t="s">
        <v>182</v>
      </c>
      <c r="BQ74" s="152">
        <v>20.1553</v>
      </c>
      <c r="BR74" t="s">
        <v>183</v>
      </c>
      <c r="BS74" s="152">
        <v>9.6271975999999995E-2</v>
      </c>
      <c r="BT74">
        <v>0.6</v>
      </c>
      <c r="BU74" t="s">
        <v>184</v>
      </c>
      <c r="BV74" s="153">
        <v>0.08</v>
      </c>
      <c r="BW74">
        <v>8.8699999999999992</v>
      </c>
      <c r="BX74" t="s">
        <v>185</v>
      </c>
      <c r="BY74">
        <v>1.52</v>
      </c>
      <c r="BZ74" t="s">
        <v>224</v>
      </c>
      <c r="CA74" t="s">
        <v>187</v>
      </c>
      <c r="CB74" s="158">
        <f t="shared" si="20"/>
        <v>18.808833333333336</v>
      </c>
      <c r="CC74" t="s">
        <v>184</v>
      </c>
      <c r="CD74" s="149" t="s">
        <v>167</v>
      </c>
      <c r="CE74" s="149" t="s">
        <v>167</v>
      </c>
      <c r="CF74" t="s">
        <v>188</v>
      </c>
      <c r="CG74" t="s">
        <v>189</v>
      </c>
      <c r="CH74" t="s">
        <v>190</v>
      </c>
      <c r="CI74" t="s">
        <v>190</v>
      </c>
      <c r="CJ74" s="152">
        <v>28.506129999999999</v>
      </c>
      <c r="CK74" t="s">
        <v>184</v>
      </c>
      <c r="CL74" s="159">
        <v>3</v>
      </c>
      <c r="CM74" s="159">
        <v>3</v>
      </c>
      <c r="CN74" s="152">
        <v>3.5517439268834692</v>
      </c>
      <c r="CO74" s="152">
        <v>3.5517439268834692</v>
      </c>
      <c r="CP74" t="s">
        <v>191</v>
      </c>
      <c r="CQ74" s="145">
        <f t="shared" si="21"/>
        <v>9.5897086025853673E-2</v>
      </c>
      <c r="CR74" s="145">
        <f t="shared" si="22"/>
        <v>9.5897086025853673E-2</v>
      </c>
      <c r="CS74" s="142" t="s">
        <v>192</v>
      </c>
      <c r="CT74" s="147" t="s">
        <v>193</v>
      </c>
      <c r="CU74" s="152">
        <v>3.348409761208722</v>
      </c>
      <c r="CV74" s="152" t="s">
        <v>194</v>
      </c>
      <c r="CW74" t="s">
        <v>167</v>
      </c>
      <c r="CX74" t="s">
        <v>195</v>
      </c>
      <c r="CY74" t="s">
        <v>167</v>
      </c>
      <c r="CZ74" t="s">
        <v>167</v>
      </c>
      <c r="DA74" t="s">
        <v>167</v>
      </c>
      <c r="DB74" t="s">
        <v>167</v>
      </c>
      <c r="DC74" t="s">
        <v>167</v>
      </c>
      <c r="DD74" t="s">
        <v>167</v>
      </c>
      <c r="DE74" t="s">
        <v>167</v>
      </c>
      <c r="DF74" t="s">
        <v>167</v>
      </c>
      <c r="DG74" s="160">
        <v>35</v>
      </c>
      <c r="DH74" t="s">
        <v>174</v>
      </c>
      <c r="DI74">
        <v>3</v>
      </c>
      <c r="DJ74" s="161" t="s">
        <v>196</v>
      </c>
      <c r="DK74" s="146" t="s">
        <v>167</v>
      </c>
      <c r="DL74" s="146" t="s">
        <v>167</v>
      </c>
      <c r="DM74" s="146" t="s">
        <v>167</v>
      </c>
      <c r="DN74" s="146" t="s">
        <v>167</v>
      </c>
      <c r="DO74" s="146" t="s">
        <v>167</v>
      </c>
      <c r="DP74" s="146" t="s">
        <v>167</v>
      </c>
      <c r="DQ74" s="146" t="s">
        <v>167</v>
      </c>
      <c r="DR74" s="146" t="s">
        <v>167</v>
      </c>
      <c r="DS74" s="146" t="s">
        <v>167</v>
      </c>
      <c r="DT74" s="146" t="s">
        <v>167</v>
      </c>
      <c r="DU74" s="146" t="s">
        <v>167</v>
      </c>
      <c r="DV74" s="146" t="s">
        <v>167</v>
      </c>
      <c r="DW74" s="143">
        <v>432.56244218316402</v>
      </c>
      <c r="DX74" t="s">
        <v>197</v>
      </c>
      <c r="DY74" s="142">
        <v>37.1</v>
      </c>
      <c r="DZ74" t="s">
        <v>198</v>
      </c>
      <c r="EA74" s="152">
        <v>39.14485612</v>
      </c>
      <c r="EB74" s="149" t="s">
        <v>185</v>
      </c>
      <c r="EC74" s="162">
        <v>0.2</v>
      </c>
      <c r="ED74" t="s">
        <v>199</v>
      </c>
      <c r="EE74" t="s">
        <v>225</v>
      </c>
      <c r="EF74" t="s">
        <v>201</v>
      </c>
      <c r="EG74">
        <v>1.0271999999999999</v>
      </c>
      <c r="EH74" t="s">
        <v>202</v>
      </c>
      <c r="EI74">
        <v>5.9999999999999995E-4</v>
      </c>
      <c r="EJ74" t="s">
        <v>203</v>
      </c>
      <c r="EK74" t="s">
        <v>167</v>
      </c>
      <c r="EL74" t="s">
        <v>167</v>
      </c>
      <c r="EM74" t="s">
        <v>204</v>
      </c>
      <c r="EN74" t="s">
        <v>226</v>
      </c>
      <c r="EO74" t="s">
        <v>206</v>
      </c>
      <c r="EP74" t="s">
        <v>206</v>
      </c>
      <c r="EQ74" s="146" t="s">
        <v>167</v>
      </c>
      <c r="ER74" t="s">
        <v>167</v>
      </c>
      <c r="ES74" t="s">
        <v>167</v>
      </c>
      <c r="ET74" t="s">
        <v>207</v>
      </c>
      <c r="EU74" t="s">
        <v>208</v>
      </c>
      <c r="EV74" t="s">
        <v>227</v>
      </c>
      <c r="EW74" s="163">
        <v>2330</v>
      </c>
      <c r="EX74" t="s">
        <v>210</v>
      </c>
      <c r="EY74">
        <v>175</v>
      </c>
      <c r="EZ74">
        <v>175</v>
      </c>
      <c r="FA74" t="s">
        <v>167</v>
      </c>
      <c r="FB74" t="s">
        <v>167</v>
      </c>
      <c r="FC74" t="s">
        <v>167</v>
      </c>
      <c r="FD74" t="s">
        <v>167</v>
      </c>
      <c r="FE74" s="152">
        <v>8.1037319246391597</v>
      </c>
      <c r="FF74" s="164" t="s">
        <v>211</v>
      </c>
      <c r="FG74" s="152">
        <v>6.2283312286730563E-2</v>
      </c>
      <c r="FH74" s="152">
        <v>6.3797359565459288E-2</v>
      </c>
      <c r="FI74" s="145">
        <v>337.30111257034002</v>
      </c>
      <c r="FJ74" s="149">
        <v>21</v>
      </c>
      <c r="FK74" s="149" t="s">
        <v>212</v>
      </c>
      <c r="FL74" s="152">
        <v>316.30111257034002</v>
      </c>
      <c r="FM74" s="152">
        <v>70.745626686302955</v>
      </c>
      <c r="FN74" s="152">
        <v>60.642096330450016</v>
      </c>
      <c r="FO74" s="144" t="s">
        <v>213</v>
      </c>
      <c r="FP74" s="144" t="s">
        <v>214</v>
      </c>
      <c r="FQ74" t="s">
        <v>215</v>
      </c>
      <c r="FR74" t="s">
        <v>215</v>
      </c>
      <c r="FS74" t="s">
        <v>215</v>
      </c>
      <c r="FT74" t="s">
        <v>215</v>
      </c>
      <c r="FU74" t="s">
        <v>215</v>
      </c>
      <c r="FV74" t="s">
        <v>215</v>
      </c>
      <c r="FW74" t="s">
        <v>215</v>
      </c>
      <c r="FX74" t="s">
        <v>215</v>
      </c>
      <c r="FY74" t="s">
        <v>215</v>
      </c>
      <c r="FZ74" t="s">
        <v>215</v>
      </c>
      <c r="GA74" t="s">
        <v>215</v>
      </c>
      <c r="GB74" t="s">
        <v>215</v>
      </c>
    </row>
    <row r="75" spans="1:184" ht="18" x14ac:dyDescent="0.2">
      <c r="A75" t="s">
        <v>240</v>
      </c>
      <c r="B75" s="141" t="s">
        <v>241</v>
      </c>
      <c r="C75" s="138" t="s">
        <v>168</v>
      </c>
      <c r="D75" t="s">
        <v>239</v>
      </c>
      <c r="E75">
        <v>2015</v>
      </c>
      <c r="F75" t="str">
        <f t="shared" si="23"/>
        <v>10.1038/nature14145</v>
      </c>
      <c r="G75" s="175">
        <v>3235.13</v>
      </c>
      <c r="H75" s="142">
        <f t="shared" si="15"/>
        <v>15</v>
      </c>
      <c r="I75" s="142">
        <f t="shared" si="16"/>
        <v>15</v>
      </c>
      <c r="J75" s="148">
        <f t="shared" si="17"/>
        <v>347.82904691952899</v>
      </c>
      <c r="K75" s="148">
        <f t="shared" si="18"/>
        <v>81.320029397281985</v>
      </c>
      <c r="L75" s="148">
        <f t="shared" si="19"/>
        <v>70.827284467840002</v>
      </c>
      <c r="M75" t="b">
        <v>1</v>
      </c>
      <c r="N75">
        <v>3</v>
      </c>
      <c r="O75" t="s">
        <v>245</v>
      </c>
      <c r="P75" s="174" t="s">
        <v>259</v>
      </c>
      <c r="Q75" t="b">
        <v>0</v>
      </c>
      <c r="R75" t="s">
        <v>167</v>
      </c>
      <c r="S75" t="b">
        <v>0</v>
      </c>
      <c r="T75" t="b">
        <v>0</v>
      </c>
      <c r="U75" t="s">
        <v>167</v>
      </c>
      <c r="V75" t="s">
        <v>167</v>
      </c>
      <c r="W75" t="b">
        <v>0</v>
      </c>
      <c r="X75" t="s">
        <v>260</v>
      </c>
      <c r="Y75" s="150" t="s">
        <v>169</v>
      </c>
      <c r="Z75" t="s">
        <v>170</v>
      </c>
      <c r="AA75" t="s">
        <v>171</v>
      </c>
      <c r="AB75" s="142" t="s">
        <v>172</v>
      </c>
      <c r="AC75" s="146">
        <v>12</v>
      </c>
      <c r="AD75" s="146">
        <v>2</v>
      </c>
      <c r="AE75" s="146">
        <v>50</v>
      </c>
      <c r="AF75" s="146">
        <v>52</v>
      </c>
      <c r="AG75" s="146" t="s">
        <v>167</v>
      </c>
      <c r="AH75" s="146" t="s">
        <v>167</v>
      </c>
      <c r="AI75" s="146" t="s">
        <v>167</v>
      </c>
      <c r="AJ75" t="s">
        <v>173</v>
      </c>
      <c r="AK75" s="151">
        <v>12.75</v>
      </c>
      <c r="AL75" s="151">
        <v>-78.73</v>
      </c>
      <c r="AM75" s="151">
        <v>12.75</v>
      </c>
      <c r="AN75" s="151">
        <v>-78.73</v>
      </c>
      <c r="AO75" s="151">
        <v>-2828</v>
      </c>
      <c r="AP75" s="151">
        <v>-2828</v>
      </c>
      <c r="AQ75" s="142" t="s">
        <v>167</v>
      </c>
      <c r="AR75" s="142" t="s">
        <v>167</v>
      </c>
      <c r="AS75" s="175">
        <v>3235.13</v>
      </c>
      <c r="AT75" s="153" t="s">
        <v>174</v>
      </c>
      <c r="AU75" s="142">
        <v>15</v>
      </c>
      <c r="AV75" s="142">
        <v>15</v>
      </c>
      <c r="AW75" s="149" t="s">
        <v>167</v>
      </c>
      <c r="AX75" s="171" t="s">
        <v>243</v>
      </c>
      <c r="AY75" s="146" t="s">
        <v>167</v>
      </c>
      <c r="AZ75" t="s">
        <v>167</v>
      </c>
      <c r="BA75" t="s">
        <v>167</v>
      </c>
      <c r="BB75" t="s">
        <v>167</v>
      </c>
      <c r="BC75" t="s">
        <v>167</v>
      </c>
      <c r="BD75" t="s">
        <v>167</v>
      </c>
      <c r="BE75" t="s">
        <v>167</v>
      </c>
      <c r="BF75" t="s">
        <v>167</v>
      </c>
      <c r="BG75" s="154" t="s">
        <v>175</v>
      </c>
      <c r="BH75" t="s">
        <v>176</v>
      </c>
      <c r="BI75" s="155" t="s">
        <v>177</v>
      </c>
      <c r="BJ75" s="155" t="s">
        <v>178</v>
      </c>
      <c r="BK75" s="156" t="s">
        <v>179</v>
      </c>
      <c r="BL75" s="156" t="s">
        <v>180</v>
      </c>
      <c r="BM75" t="s">
        <v>181</v>
      </c>
      <c r="BN75" s="142" t="s">
        <v>182</v>
      </c>
      <c r="BO75" s="142" t="s">
        <v>182</v>
      </c>
      <c r="BP75" s="142" t="s">
        <v>182</v>
      </c>
      <c r="BQ75" s="152">
        <v>19.89508</v>
      </c>
      <c r="BR75" t="s">
        <v>183</v>
      </c>
      <c r="BS75" s="152">
        <v>0.18737314299999999</v>
      </c>
      <c r="BT75">
        <v>0.6</v>
      </c>
      <c r="BU75" t="s">
        <v>184</v>
      </c>
      <c r="BV75" s="153">
        <v>0.08</v>
      </c>
      <c r="BW75">
        <v>8.8699999999999992</v>
      </c>
      <c r="BX75" t="s">
        <v>185</v>
      </c>
      <c r="BY75">
        <v>1.52</v>
      </c>
      <c r="BZ75" t="s">
        <v>224</v>
      </c>
      <c r="CA75" t="s">
        <v>187</v>
      </c>
      <c r="CB75" s="158">
        <f t="shared" si="20"/>
        <v>18.375133333333334</v>
      </c>
      <c r="CC75" t="s">
        <v>184</v>
      </c>
      <c r="CD75" s="149" t="s">
        <v>167</v>
      </c>
      <c r="CE75" s="149" t="s">
        <v>167</v>
      </c>
      <c r="CF75" t="s">
        <v>188</v>
      </c>
      <c r="CG75" t="s">
        <v>189</v>
      </c>
      <c r="CH75" t="s">
        <v>190</v>
      </c>
      <c r="CI75" t="s">
        <v>190</v>
      </c>
      <c r="CJ75" s="152">
        <v>27.81399</v>
      </c>
      <c r="CK75" t="s">
        <v>184</v>
      </c>
      <c r="CL75" s="159">
        <v>3</v>
      </c>
      <c r="CM75" s="159">
        <v>3</v>
      </c>
      <c r="CN75" s="152">
        <v>3.3299406619826772</v>
      </c>
      <c r="CO75" s="152">
        <v>3.3299406619826772</v>
      </c>
      <c r="CP75" t="s">
        <v>191</v>
      </c>
      <c r="CQ75" s="145">
        <f t="shared" si="21"/>
        <v>8.9908397873532289E-2</v>
      </c>
      <c r="CR75" s="145">
        <f t="shared" si="22"/>
        <v>8.9908397873532289E-2</v>
      </c>
      <c r="CS75" s="142" t="s">
        <v>192</v>
      </c>
      <c r="CT75" s="147" t="s">
        <v>193</v>
      </c>
      <c r="CU75" s="152">
        <v>3.3305586701305776</v>
      </c>
      <c r="CV75" s="152" t="s">
        <v>194</v>
      </c>
      <c r="CW75" t="s">
        <v>167</v>
      </c>
      <c r="CX75" t="s">
        <v>195</v>
      </c>
      <c r="CY75" t="s">
        <v>167</v>
      </c>
      <c r="CZ75" t="s">
        <v>167</v>
      </c>
      <c r="DA75" t="s">
        <v>167</v>
      </c>
      <c r="DB75" t="s">
        <v>167</v>
      </c>
      <c r="DC75" t="s">
        <v>167</v>
      </c>
      <c r="DD75" t="s">
        <v>167</v>
      </c>
      <c r="DE75" t="s">
        <v>167</v>
      </c>
      <c r="DF75" t="s">
        <v>167</v>
      </c>
      <c r="DG75" s="160">
        <v>35</v>
      </c>
      <c r="DH75" t="s">
        <v>174</v>
      </c>
      <c r="DI75">
        <v>3</v>
      </c>
      <c r="DJ75" s="161" t="s">
        <v>196</v>
      </c>
      <c r="DK75" s="146" t="s">
        <v>167</v>
      </c>
      <c r="DL75" s="146" t="s">
        <v>167</v>
      </c>
      <c r="DM75" s="146" t="s">
        <v>167</v>
      </c>
      <c r="DN75" s="146" t="s">
        <v>167</v>
      </c>
      <c r="DO75" s="146" t="s">
        <v>167</v>
      </c>
      <c r="DP75" s="146" t="s">
        <v>167</v>
      </c>
      <c r="DQ75" s="146" t="s">
        <v>167</v>
      </c>
      <c r="DR75" s="146" t="s">
        <v>167</v>
      </c>
      <c r="DS75" s="146" t="s">
        <v>167</v>
      </c>
      <c r="DT75" s="146" t="s">
        <v>167</v>
      </c>
      <c r="DU75" s="146" t="s">
        <v>167</v>
      </c>
      <c r="DV75" s="146" t="s">
        <v>167</v>
      </c>
      <c r="DW75" s="143">
        <v>432.56244218316402</v>
      </c>
      <c r="DX75" t="s">
        <v>197</v>
      </c>
      <c r="DY75" s="142">
        <v>37.1</v>
      </c>
      <c r="DZ75" t="s">
        <v>198</v>
      </c>
      <c r="EA75" s="152">
        <v>39.14315569</v>
      </c>
      <c r="EB75" s="149" t="s">
        <v>185</v>
      </c>
      <c r="EC75" s="162">
        <v>0.2</v>
      </c>
      <c r="ED75" t="s">
        <v>199</v>
      </c>
      <c r="EE75" t="s">
        <v>225</v>
      </c>
      <c r="EF75" t="s">
        <v>201</v>
      </c>
      <c r="EG75">
        <v>1.0271999999999999</v>
      </c>
      <c r="EH75" t="s">
        <v>202</v>
      </c>
      <c r="EI75">
        <v>5.9999999999999995E-4</v>
      </c>
      <c r="EJ75" t="s">
        <v>203</v>
      </c>
      <c r="EK75" t="s">
        <v>167</v>
      </c>
      <c r="EL75" t="s">
        <v>167</v>
      </c>
      <c r="EM75" t="s">
        <v>204</v>
      </c>
      <c r="EN75" t="s">
        <v>226</v>
      </c>
      <c r="EO75" t="s">
        <v>206</v>
      </c>
      <c r="EP75" t="s">
        <v>206</v>
      </c>
      <c r="EQ75" s="146" t="s">
        <v>167</v>
      </c>
      <c r="ER75" t="s">
        <v>167</v>
      </c>
      <c r="ES75" t="s">
        <v>167</v>
      </c>
      <c r="ET75" t="s">
        <v>207</v>
      </c>
      <c r="EU75" t="s">
        <v>208</v>
      </c>
      <c r="EV75" t="s">
        <v>227</v>
      </c>
      <c r="EW75" s="163">
        <v>2330</v>
      </c>
      <c r="EX75" t="s">
        <v>210</v>
      </c>
      <c r="EY75">
        <v>175</v>
      </c>
      <c r="EZ75">
        <v>175</v>
      </c>
      <c r="FA75" t="s">
        <v>167</v>
      </c>
      <c r="FB75" t="s">
        <v>167</v>
      </c>
      <c r="FC75" t="s">
        <v>167</v>
      </c>
      <c r="FD75" t="s">
        <v>167</v>
      </c>
      <c r="FE75" s="152">
        <v>8.0745719408323708</v>
      </c>
      <c r="FF75" s="164" t="s">
        <v>211</v>
      </c>
      <c r="FG75" s="152">
        <v>6.9377915045869543E-2</v>
      </c>
      <c r="FH75" s="152">
        <v>6.7886106223500775E-2</v>
      </c>
      <c r="FI75" s="145">
        <v>368.82904691952899</v>
      </c>
      <c r="FJ75" s="149">
        <v>21</v>
      </c>
      <c r="FK75" s="149" t="s">
        <v>212</v>
      </c>
      <c r="FL75" s="152">
        <v>347.82904691952899</v>
      </c>
      <c r="FM75" s="152">
        <v>81.320029397281985</v>
      </c>
      <c r="FN75" s="152">
        <v>70.827284467840002</v>
      </c>
      <c r="FO75" s="144" t="s">
        <v>213</v>
      </c>
      <c r="FP75" s="144" t="s">
        <v>214</v>
      </c>
      <c r="FQ75" t="s">
        <v>215</v>
      </c>
      <c r="FR75" t="s">
        <v>215</v>
      </c>
      <c r="FS75" t="s">
        <v>215</v>
      </c>
      <c r="FT75" t="s">
        <v>215</v>
      </c>
      <c r="FU75" t="s">
        <v>215</v>
      </c>
      <c r="FV75" t="s">
        <v>215</v>
      </c>
      <c r="FW75" t="s">
        <v>215</v>
      </c>
      <c r="FX75" t="s">
        <v>215</v>
      </c>
      <c r="FY75" t="s">
        <v>215</v>
      </c>
      <c r="FZ75" t="s">
        <v>215</v>
      </c>
      <c r="GA75" t="s">
        <v>215</v>
      </c>
      <c r="GB75" t="s">
        <v>215</v>
      </c>
    </row>
    <row r="76" spans="1:184" ht="18" x14ac:dyDescent="0.2">
      <c r="A76" t="s">
        <v>240</v>
      </c>
      <c r="B76" s="141" t="s">
        <v>241</v>
      </c>
      <c r="C76" s="138" t="s">
        <v>168</v>
      </c>
      <c r="D76" t="s">
        <v>239</v>
      </c>
      <c r="E76">
        <v>2015</v>
      </c>
      <c r="F76" t="str">
        <f t="shared" si="23"/>
        <v>10.1038/nature14145</v>
      </c>
      <c r="G76" s="175">
        <v>3252.14</v>
      </c>
      <c r="H76" s="142">
        <f t="shared" si="15"/>
        <v>15</v>
      </c>
      <c r="I76" s="142">
        <f t="shared" si="16"/>
        <v>15</v>
      </c>
      <c r="J76" s="148">
        <f t="shared" si="17"/>
        <v>364.75081241135001</v>
      </c>
      <c r="K76" s="148">
        <f t="shared" si="18"/>
        <v>91.23493844265397</v>
      </c>
      <c r="L76" s="148">
        <f t="shared" si="19"/>
        <v>77.277357856542039</v>
      </c>
      <c r="M76" t="b">
        <v>1</v>
      </c>
      <c r="N76">
        <v>3</v>
      </c>
      <c r="O76" t="s">
        <v>245</v>
      </c>
      <c r="P76" s="174" t="s">
        <v>259</v>
      </c>
      <c r="Q76" t="b">
        <v>0</v>
      </c>
      <c r="R76" t="s">
        <v>167</v>
      </c>
      <c r="S76" t="b">
        <v>0</v>
      </c>
      <c r="T76" t="b">
        <v>0</v>
      </c>
      <c r="U76" t="s">
        <v>167</v>
      </c>
      <c r="V76" t="s">
        <v>167</v>
      </c>
      <c r="W76" t="b">
        <v>0</v>
      </c>
      <c r="X76" t="s">
        <v>260</v>
      </c>
      <c r="Y76" s="150" t="s">
        <v>169</v>
      </c>
      <c r="Z76" t="s">
        <v>170</v>
      </c>
      <c r="AA76" t="s">
        <v>171</v>
      </c>
      <c r="AB76" s="142" t="s">
        <v>172</v>
      </c>
      <c r="AC76" s="146">
        <v>12</v>
      </c>
      <c r="AD76" s="146">
        <v>2</v>
      </c>
      <c r="AE76" s="146">
        <v>80</v>
      </c>
      <c r="AF76" s="146">
        <v>82</v>
      </c>
      <c r="AG76" s="146" t="s">
        <v>167</v>
      </c>
      <c r="AH76" s="146" t="s">
        <v>167</v>
      </c>
      <c r="AI76" s="146" t="s">
        <v>167</v>
      </c>
      <c r="AJ76" t="s">
        <v>173</v>
      </c>
      <c r="AK76" s="151">
        <v>12.75</v>
      </c>
      <c r="AL76" s="151">
        <v>-78.73</v>
      </c>
      <c r="AM76" s="151">
        <v>12.75</v>
      </c>
      <c r="AN76" s="151">
        <v>-78.73</v>
      </c>
      <c r="AO76" s="151">
        <v>-2828</v>
      </c>
      <c r="AP76" s="151">
        <v>-2828</v>
      </c>
      <c r="AQ76" s="142" t="s">
        <v>167</v>
      </c>
      <c r="AR76" s="142" t="s">
        <v>167</v>
      </c>
      <c r="AS76" s="175">
        <v>3252.14</v>
      </c>
      <c r="AT76" s="153" t="s">
        <v>174</v>
      </c>
      <c r="AU76" s="142">
        <v>15</v>
      </c>
      <c r="AV76" s="142">
        <v>15</v>
      </c>
      <c r="AW76" s="149" t="s">
        <v>167</v>
      </c>
      <c r="AX76" s="171" t="s">
        <v>243</v>
      </c>
      <c r="AY76" s="146" t="s">
        <v>167</v>
      </c>
      <c r="AZ76" t="s">
        <v>167</v>
      </c>
      <c r="BA76" t="s">
        <v>167</v>
      </c>
      <c r="BB76" t="s">
        <v>167</v>
      </c>
      <c r="BC76" t="s">
        <v>167</v>
      </c>
      <c r="BD76" t="s">
        <v>167</v>
      </c>
      <c r="BE76" t="s">
        <v>167</v>
      </c>
      <c r="BF76" t="s">
        <v>167</v>
      </c>
      <c r="BG76" s="154" t="s">
        <v>175</v>
      </c>
      <c r="BH76" t="s">
        <v>176</v>
      </c>
      <c r="BI76" s="155" t="s">
        <v>177</v>
      </c>
      <c r="BJ76" s="156" t="s">
        <v>178</v>
      </c>
      <c r="BK76" s="156" t="s">
        <v>179</v>
      </c>
      <c r="BL76" s="156" t="s">
        <v>180</v>
      </c>
      <c r="BM76" s="157" t="s">
        <v>181</v>
      </c>
      <c r="BN76" s="142" t="s">
        <v>182</v>
      </c>
      <c r="BO76" s="142" t="s">
        <v>182</v>
      </c>
      <c r="BP76" s="142" t="s">
        <v>182</v>
      </c>
      <c r="BQ76" s="152">
        <v>19.917110000000001</v>
      </c>
      <c r="BR76" t="s">
        <v>183</v>
      </c>
      <c r="BS76" s="152">
        <v>0.22504139200000001</v>
      </c>
      <c r="BT76">
        <v>0.6</v>
      </c>
      <c r="BU76" t="s">
        <v>184</v>
      </c>
      <c r="BV76" s="153">
        <v>0.08</v>
      </c>
      <c r="BW76">
        <v>8.8699999999999992</v>
      </c>
      <c r="BX76" t="s">
        <v>185</v>
      </c>
      <c r="BY76">
        <v>1.52</v>
      </c>
      <c r="BZ76" t="s">
        <v>224</v>
      </c>
      <c r="CA76" t="s">
        <v>187</v>
      </c>
      <c r="CB76" s="158">
        <f t="shared" si="20"/>
        <v>18.411850000000005</v>
      </c>
      <c r="CC76" t="s">
        <v>184</v>
      </c>
      <c r="CD76" s="149" t="s">
        <v>167</v>
      </c>
      <c r="CE76" s="149" t="s">
        <v>167</v>
      </c>
      <c r="CF76" t="s">
        <v>188</v>
      </c>
      <c r="CG76" t="s">
        <v>189</v>
      </c>
      <c r="CH76" t="s">
        <v>190</v>
      </c>
      <c r="CI76" t="s">
        <v>190</v>
      </c>
      <c r="CJ76" s="152">
        <v>29.60303</v>
      </c>
      <c r="CK76" t="s">
        <v>184</v>
      </c>
      <c r="CL76" s="159">
        <v>3</v>
      </c>
      <c r="CM76" s="159">
        <v>3</v>
      </c>
      <c r="CN76" s="152">
        <v>3.9051541571056134</v>
      </c>
      <c r="CO76" s="152">
        <v>3.9051541571056134</v>
      </c>
      <c r="CP76" t="s">
        <v>191</v>
      </c>
      <c r="CQ76" s="145">
        <f t="shared" si="21"/>
        <v>0.10543916224185156</v>
      </c>
      <c r="CR76" s="145">
        <f t="shared" si="22"/>
        <v>0.10543916224185156</v>
      </c>
      <c r="CS76" s="142" t="s">
        <v>192</v>
      </c>
      <c r="CT76" s="147" t="s">
        <v>193</v>
      </c>
      <c r="CU76" s="152">
        <v>3.3170136502765937</v>
      </c>
      <c r="CV76" s="152" t="s">
        <v>194</v>
      </c>
      <c r="CW76" t="s">
        <v>167</v>
      </c>
      <c r="CX76" t="s">
        <v>195</v>
      </c>
      <c r="CY76" t="s">
        <v>167</v>
      </c>
      <c r="CZ76" t="s">
        <v>167</v>
      </c>
      <c r="DA76" t="s">
        <v>167</v>
      </c>
      <c r="DB76" t="s">
        <v>167</v>
      </c>
      <c r="DC76" t="s">
        <v>167</v>
      </c>
      <c r="DD76" t="s">
        <v>167</v>
      </c>
      <c r="DE76" t="s">
        <v>167</v>
      </c>
      <c r="DF76" t="s">
        <v>167</v>
      </c>
      <c r="DG76" s="160">
        <v>35</v>
      </c>
      <c r="DH76" t="s">
        <v>174</v>
      </c>
      <c r="DI76">
        <v>3</v>
      </c>
      <c r="DJ76" s="161" t="s">
        <v>196</v>
      </c>
      <c r="DK76" s="146" t="s">
        <v>167</v>
      </c>
      <c r="DL76" s="146" t="s">
        <v>167</v>
      </c>
      <c r="DM76" s="146" t="s">
        <v>167</v>
      </c>
      <c r="DN76" s="146" t="s">
        <v>167</v>
      </c>
      <c r="DO76" s="146" t="s">
        <v>167</v>
      </c>
      <c r="DP76" s="146" t="s">
        <v>167</v>
      </c>
      <c r="DQ76" s="146" t="s">
        <v>167</v>
      </c>
      <c r="DR76" s="146" t="s">
        <v>167</v>
      </c>
      <c r="DS76" s="146" t="s">
        <v>167</v>
      </c>
      <c r="DT76" s="146" t="s">
        <v>167</v>
      </c>
      <c r="DU76" s="146" t="s">
        <v>167</v>
      </c>
      <c r="DV76" s="146" t="s">
        <v>167</v>
      </c>
      <c r="DW76" s="143">
        <v>432.56244218316402</v>
      </c>
      <c r="DX76" t="s">
        <v>197</v>
      </c>
      <c r="DY76" s="142">
        <v>37.1</v>
      </c>
      <c r="DZ76" t="s">
        <v>198</v>
      </c>
      <c r="EA76" s="152">
        <v>39.14206952</v>
      </c>
      <c r="EB76" s="149" t="s">
        <v>185</v>
      </c>
      <c r="EC76" s="162">
        <v>0.2</v>
      </c>
      <c r="ED76" t="s">
        <v>199</v>
      </c>
      <c r="EE76" t="s">
        <v>225</v>
      </c>
      <c r="EF76" t="s">
        <v>201</v>
      </c>
      <c r="EG76">
        <v>1.0271999999999999</v>
      </c>
      <c r="EH76" t="s">
        <v>202</v>
      </c>
      <c r="EI76">
        <v>5.9999999999999995E-4</v>
      </c>
      <c r="EJ76" t="s">
        <v>203</v>
      </c>
      <c r="EK76" t="s">
        <v>167</v>
      </c>
      <c r="EL76" t="s">
        <v>167</v>
      </c>
      <c r="EM76" t="s">
        <v>204</v>
      </c>
      <c r="EN76" t="s">
        <v>226</v>
      </c>
      <c r="EO76" t="s">
        <v>206</v>
      </c>
      <c r="EP76" t="s">
        <v>206</v>
      </c>
      <c r="EQ76" s="146" t="s">
        <v>167</v>
      </c>
      <c r="ER76" t="s">
        <v>167</v>
      </c>
      <c r="ES76" t="s">
        <v>167</v>
      </c>
      <c r="ET76" t="s">
        <v>207</v>
      </c>
      <c r="EU76" t="s">
        <v>208</v>
      </c>
      <c r="EV76" t="s">
        <v>227</v>
      </c>
      <c r="EW76" s="163">
        <v>2330</v>
      </c>
      <c r="EX76" t="s">
        <v>210</v>
      </c>
      <c r="EY76">
        <v>175</v>
      </c>
      <c r="EZ76">
        <v>175</v>
      </c>
      <c r="FA76" t="s">
        <v>167</v>
      </c>
      <c r="FB76" t="s">
        <v>167</v>
      </c>
      <c r="FC76" t="s">
        <v>167</v>
      </c>
      <c r="FD76" t="s">
        <v>167</v>
      </c>
      <c r="FE76" s="152">
        <v>8.0570580199988893</v>
      </c>
      <c r="FF76" s="164" t="s">
        <v>211</v>
      </c>
      <c r="FG76" s="152">
        <v>7.0739562748951101E-2</v>
      </c>
      <c r="FH76" s="152">
        <v>7.3227874721268904E-2</v>
      </c>
      <c r="FI76" s="145">
        <v>385.75081241135001</v>
      </c>
      <c r="FJ76" s="149">
        <v>21</v>
      </c>
      <c r="FK76" s="149" t="s">
        <v>212</v>
      </c>
      <c r="FL76" s="152">
        <v>364.75081241135001</v>
      </c>
      <c r="FM76" s="152">
        <v>91.23493844265397</v>
      </c>
      <c r="FN76" s="152">
        <v>77.277357856542039</v>
      </c>
      <c r="FO76" s="144" t="s">
        <v>213</v>
      </c>
      <c r="FP76" s="144" t="s">
        <v>214</v>
      </c>
      <c r="FQ76" t="s">
        <v>215</v>
      </c>
      <c r="FR76" t="s">
        <v>215</v>
      </c>
      <c r="FS76" t="s">
        <v>215</v>
      </c>
      <c r="FT76" t="s">
        <v>215</v>
      </c>
      <c r="FU76" t="s">
        <v>215</v>
      </c>
      <c r="FV76" t="s">
        <v>215</v>
      </c>
      <c r="FW76" t="s">
        <v>215</v>
      </c>
      <c r="FX76" t="s">
        <v>215</v>
      </c>
      <c r="FY76" t="s">
        <v>215</v>
      </c>
      <c r="FZ76" t="s">
        <v>215</v>
      </c>
      <c r="GA76" t="s">
        <v>215</v>
      </c>
      <c r="GB76" t="s">
        <v>215</v>
      </c>
    </row>
    <row r="77" spans="1:184" ht="18" x14ac:dyDescent="0.2">
      <c r="A77" t="s">
        <v>240</v>
      </c>
      <c r="B77" s="141" t="s">
        <v>241</v>
      </c>
      <c r="C77" s="138" t="s">
        <v>168</v>
      </c>
      <c r="D77" t="s">
        <v>239</v>
      </c>
      <c r="E77">
        <v>2015</v>
      </c>
      <c r="F77" t="str">
        <f t="shared" si="23"/>
        <v>10.1038/nature14145</v>
      </c>
      <c r="G77" s="175">
        <v>3272.06</v>
      </c>
      <c r="H77" s="142">
        <f t="shared" si="15"/>
        <v>15</v>
      </c>
      <c r="I77" s="142">
        <f t="shared" si="16"/>
        <v>15</v>
      </c>
      <c r="J77" s="148">
        <f t="shared" si="17"/>
        <v>313.369178345254</v>
      </c>
      <c r="K77" s="148">
        <f t="shared" si="18"/>
        <v>69.742510123838997</v>
      </c>
      <c r="L77" s="148">
        <f t="shared" si="19"/>
        <v>62.159491756805011</v>
      </c>
      <c r="M77" t="b">
        <v>1</v>
      </c>
      <c r="N77">
        <v>3</v>
      </c>
      <c r="O77" t="s">
        <v>245</v>
      </c>
      <c r="P77" s="174" t="s">
        <v>259</v>
      </c>
      <c r="Q77" t="b">
        <v>0</v>
      </c>
      <c r="R77" t="s">
        <v>167</v>
      </c>
      <c r="S77" t="b">
        <v>0</v>
      </c>
      <c r="T77" t="b">
        <v>0</v>
      </c>
      <c r="U77" t="s">
        <v>167</v>
      </c>
      <c r="V77" t="s">
        <v>167</v>
      </c>
      <c r="W77" t="b">
        <v>0</v>
      </c>
      <c r="X77" t="s">
        <v>260</v>
      </c>
      <c r="Y77" s="150" t="s">
        <v>169</v>
      </c>
      <c r="Z77" t="s">
        <v>170</v>
      </c>
      <c r="AA77" t="s">
        <v>171</v>
      </c>
      <c r="AB77" s="142" t="s">
        <v>172</v>
      </c>
      <c r="AC77" s="146">
        <v>12</v>
      </c>
      <c r="AD77" s="146">
        <v>2</v>
      </c>
      <c r="AE77" s="146">
        <v>110</v>
      </c>
      <c r="AF77" s="146">
        <v>112</v>
      </c>
      <c r="AG77" s="146" t="s">
        <v>167</v>
      </c>
      <c r="AH77" s="146" t="s">
        <v>167</v>
      </c>
      <c r="AI77" s="146" t="s">
        <v>167</v>
      </c>
      <c r="AJ77" t="s">
        <v>173</v>
      </c>
      <c r="AK77" s="151">
        <v>12.75</v>
      </c>
      <c r="AL77" s="151">
        <v>-78.73</v>
      </c>
      <c r="AM77" s="151">
        <v>12.75</v>
      </c>
      <c r="AN77" s="151">
        <v>-78.73</v>
      </c>
      <c r="AO77" s="151">
        <v>-2828</v>
      </c>
      <c r="AP77" s="151">
        <v>-2828</v>
      </c>
      <c r="AQ77" s="142" t="s">
        <v>167</v>
      </c>
      <c r="AR77" s="142" t="s">
        <v>167</v>
      </c>
      <c r="AS77" s="175">
        <v>3272.06</v>
      </c>
      <c r="AT77" s="153" t="s">
        <v>174</v>
      </c>
      <c r="AU77" s="142">
        <v>15</v>
      </c>
      <c r="AV77" s="142">
        <v>15</v>
      </c>
      <c r="AW77" s="149" t="s">
        <v>167</v>
      </c>
      <c r="AX77" s="171" t="s">
        <v>243</v>
      </c>
      <c r="AY77" s="146" t="s">
        <v>167</v>
      </c>
      <c r="AZ77" t="s">
        <v>167</v>
      </c>
      <c r="BA77" t="s">
        <v>167</v>
      </c>
      <c r="BB77" t="s">
        <v>167</v>
      </c>
      <c r="BC77" t="s">
        <v>167</v>
      </c>
      <c r="BD77" t="s">
        <v>167</v>
      </c>
      <c r="BE77" t="s">
        <v>167</v>
      </c>
      <c r="BF77" t="s">
        <v>167</v>
      </c>
      <c r="BG77" s="154" t="s">
        <v>175</v>
      </c>
      <c r="BH77" t="s">
        <v>176</v>
      </c>
      <c r="BI77" s="155" t="s">
        <v>177</v>
      </c>
      <c r="BJ77" s="155" t="s">
        <v>178</v>
      </c>
      <c r="BK77" s="156" t="s">
        <v>179</v>
      </c>
      <c r="BL77" s="156" t="s">
        <v>180</v>
      </c>
      <c r="BM77" t="s">
        <v>181</v>
      </c>
      <c r="BN77" s="142" t="s">
        <v>182</v>
      </c>
      <c r="BO77" s="142" t="s">
        <v>182</v>
      </c>
      <c r="BP77" s="142" t="s">
        <v>182</v>
      </c>
      <c r="BQ77" s="152">
        <v>20.148430000000001</v>
      </c>
      <c r="BR77" t="s">
        <v>183</v>
      </c>
      <c r="BS77" s="152">
        <v>0.116103674</v>
      </c>
      <c r="BT77">
        <v>0.6</v>
      </c>
      <c r="BU77" t="s">
        <v>184</v>
      </c>
      <c r="BV77" s="153">
        <v>0.08</v>
      </c>
      <c r="BW77">
        <v>8.8699999999999992</v>
      </c>
      <c r="BX77" t="s">
        <v>185</v>
      </c>
      <c r="BY77">
        <v>1.52</v>
      </c>
      <c r="BZ77" t="s">
        <v>224</v>
      </c>
      <c r="CA77" t="s">
        <v>187</v>
      </c>
      <c r="CB77" s="158">
        <f t="shared" si="20"/>
        <v>18.797383333333336</v>
      </c>
      <c r="CC77" t="s">
        <v>184</v>
      </c>
      <c r="CD77" s="149" t="s">
        <v>167</v>
      </c>
      <c r="CE77" s="149" t="s">
        <v>167</v>
      </c>
      <c r="CF77" t="s">
        <v>188</v>
      </c>
      <c r="CG77" t="s">
        <v>189</v>
      </c>
      <c r="CH77" t="s">
        <v>190</v>
      </c>
      <c r="CI77" t="s">
        <v>190</v>
      </c>
      <c r="CJ77" s="152">
        <v>28.11833</v>
      </c>
      <c r="CK77" t="s">
        <v>184</v>
      </c>
      <c r="CL77" s="159">
        <v>3</v>
      </c>
      <c r="CM77" s="159">
        <v>3</v>
      </c>
      <c r="CN77" s="152">
        <v>3.4110842585776457</v>
      </c>
      <c r="CO77" s="152">
        <v>3.4110842585776457</v>
      </c>
      <c r="CP77" t="s">
        <v>191</v>
      </c>
      <c r="CQ77" s="145">
        <f t="shared" si="21"/>
        <v>9.2099274981596438E-2</v>
      </c>
      <c r="CR77" s="145">
        <f t="shared" si="22"/>
        <v>9.2099274981596438E-2</v>
      </c>
      <c r="CS77" s="142" t="s">
        <v>192</v>
      </c>
      <c r="CT77" s="147" t="s">
        <v>193</v>
      </c>
      <c r="CU77" s="152">
        <v>3.3037394278028405</v>
      </c>
      <c r="CV77" s="152" t="s">
        <v>194</v>
      </c>
      <c r="CW77" t="s">
        <v>167</v>
      </c>
      <c r="CX77" t="s">
        <v>195</v>
      </c>
      <c r="CY77" t="s">
        <v>167</v>
      </c>
      <c r="CZ77" t="s">
        <v>167</v>
      </c>
      <c r="DA77" t="s">
        <v>167</v>
      </c>
      <c r="DB77" t="s">
        <v>167</v>
      </c>
      <c r="DC77" t="s">
        <v>167</v>
      </c>
      <c r="DD77" t="s">
        <v>167</v>
      </c>
      <c r="DE77" t="s">
        <v>167</v>
      </c>
      <c r="DF77" t="s">
        <v>167</v>
      </c>
      <c r="DG77" s="160">
        <v>35</v>
      </c>
      <c r="DH77" t="s">
        <v>174</v>
      </c>
      <c r="DI77">
        <v>3</v>
      </c>
      <c r="DJ77" s="161" t="s">
        <v>196</v>
      </c>
      <c r="DK77" s="146" t="s">
        <v>167</v>
      </c>
      <c r="DL77" s="146" t="s">
        <v>167</v>
      </c>
      <c r="DM77" s="146" t="s">
        <v>167</v>
      </c>
      <c r="DN77" s="146" t="s">
        <v>167</v>
      </c>
      <c r="DO77" s="146" t="s">
        <v>167</v>
      </c>
      <c r="DP77" s="146" t="s">
        <v>167</v>
      </c>
      <c r="DQ77" s="146" t="s">
        <v>167</v>
      </c>
      <c r="DR77" s="146" t="s">
        <v>167</v>
      </c>
      <c r="DS77" s="146" t="s">
        <v>167</v>
      </c>
      <c r="DT77" s="146" t="s">
        <v>167</v>
      </c>
      <c r="DU77" s="146" t="s">
        <v>167</v>
      </c>
      <c r="DV77" s="146" t="s">
        <v>167</v>
      </c>
      <c r="DW77" s="143">
        <v>432.56244218316402</v>
      </c>
      <c r="DX77" t="s">
        <v>197</v>
      </c>
      <c r="DY77" s="142">
        <v>37.1</v>
      </c>
      <c r="DZ77" t="s">
        <v>198</v>
      </c>
      <c r="EA77" s="152">
        <v>39.140980839999997</v>
      </c>
      <c r="EB77" s="149" t="s">
        <v>185</v>
      </c>
      <c r="EC77" s="162">
        <v>0.2</v>
      </c>
      <c r="ED77" t="s">
        <v>199</v>
      </c>
      <c r="EE77" t="s">
        <v>225</v>
      </c>
      <c r="EF77" t="s">
        <v>201</v>
      </c>
      <c r="EG77">
        <v>1.0271999999999999</v>
      </c>
      <c r="EH77" t="s">
        <v>202</v>
      </c>
      <c r="EI77">
        <v>5.9999999999999995E-4</v>
      </c>
      <c r="EJ77" t="s">
        <v>203</v>
      </c>
      <c r="EK77" t="s">
        <v>167</v>
      </c>
      <c r="EL77" t="s">
        <v>167</v>
      </c>
      <c r="EM77" t="s">
        <v>204</v>
      </c>
      <c r="EN77" t="s">
        <v>226</v>
      </c>
      <c r="EO77" t="s">
        <v>206</v>
      </c>
      <c r="EP77" t="s">
        <v>206</v>
      </c>
      <c r="EQ77" s="146" t="s">
        <v>167</v>
      </c>
      <c r="ER77" t="s">
        <v>167</v>
      </c>
      <c r="ES77" t="s">
        <v>167</v>
      </c>
      <c r="ET77" t="s">
        <v>207</v>
      </c>
      <c r="EU77" t="s">
        <v>208</v>
      </c>
      <c r="EV77" t="s">
        <v>227</v>
      </c>
      <c r="EW77" s="163">
        <v>2330</v>
      </c>
      <c r="EX77" t="s">
        <v>210</v>
      </c>
      <c r="EY77">
        <v>175</v>
      </c>
      <c r="EZ77">
        <v>175</v>
      </c>
      <c r="FA77" t="s">
        <v>167</v>
      </c>
      <c r="FB77" t="s">
        <v>167</v>
      </c>
      <c r="FC77" t="s">
        <v>167</v>
      </c>
      <c r="FD77" t="s">
        <v>167</v>
      </c>
      <c r="FE77" s="152">
        <v>8.1077628966538295</v>
      </c>
      <c r="FF77" s="164" t="s">
        <v>211</v>
      </c>
      <c r="FG77" s="152">
        <v>6.4214799327221073E-2</v>
      </c>
      <c r="FH77" s="152">
        <v>6.3449479386669339E-2</v>
      </c>
      <c r="FI77" s="145">
        <v>334.369178345254</v>
      </c>
      <c r="FJ77" s="149">
        <v>21</v>
      </c>
      <c r="FK77" s="149" t="s">
        <v>212</v>
      </c>
      <c r="FL77" s="152">
        <v>313.369178345254</v>
      </c>
      <c r="FM77" s="152">
        <v>69.742510123838997</v>
      </c>
      <c r="FN77" s="152">
        <v>62.159491756805011</v>
      </c>
      <c r="FO77" s="144" t="s">
        <v>213</v>
      </c>
      <c r="FP77" s="144" t="s">
        <v>214</v>
      </c>
      <c r="FQ77" t="s">
        <v>215</v>
      </c>
      <c r="FR77" t="s">
        <v>215</v>
      </c>
      <c r="FS77" t="s">
        <v>215</v>
      </c>
      <c r="FT77" t="s">
        <v>215</v>
      </c>
      <c r="FU77" t="s">
        <v>215</v>
      </c>
      <c r="FV77" t="s">
        <v>215</v>
      </c>
      <c r="FW77" t="s">
        <v>215</v>
      </c>
      <c r="FX77" t="s">
        <v>215</v>
      </c>
      <c r="FY77" t="s">
        <v>215</v>
      </c>
      <c r="FZ77" t="s">
        <v>215</v>
      </c>
      <c r="GA77" t="s">
        <v>215</v>
      </c>
      <c r="GB77" t="s">
        <v>215</v>
      </c>
    </row>
    <row r="78" spans="1:184" ht="18" x14ac:dyDescent="0.2">
      <c r="A78" t="s">
        <v>240</v>
      </c>
      <c r="B78" s="141" t="s">
        <v>241</v>
      </c>
      <c r="C78" s="138" t="s">
        <v>168</v>
      </c>
      <c r="D78" t="s">
        <v>239</v>
      </c>
      <c r="E78">
        <v>2015</v>
      </c>
      <c r="F78" t="str">
        <f t="shared" si="23"/>
        <v>10.1038/nature14145</v>
      </c>
      <c r="G78" s="143">
        <f t="shared" ref="G78:G85" si="24">AS78</f>
        <v>2347.234375</v>
      </c>
      <c r="H78" s="142">
        <f t="shared" ref="H78:I85" si="25">AU78</f>
        <v>6</v>
      </c>
      <c r="I78" s="142">
        <f t="shared" si="25"/>
        <v>6</v>
      </c>
      <c r="J78" s="148">
        <f t="shared" ref="J78:L85" si="26">FL78</f>
        <v>369.10265539945601</v>
      </c>
      <c r="K78" s="148">
        <f t="shared" si="26"/>
        <v>85.200087998365973</v>
      </c>
      <c r="L78" s="148">
        <f t="shared" si="26"/>
        <v>73.040639961098009</v>
      </c>
      <c r="M78" t="b">
        <v>1</v>
      </c>
      <c r="N78">
        <v>1</v>
      </c>
      <c r="O78" s="178" t="s">
        <v>264</v>
      </c>
      <c r="P78" s="142" t="s">
        <v>167</v>
      </c>
      <c r="Q78" t="b">
        <v>0</v>
      </c>
      <c r="R78" t="s">
        <v>167</v>
      </c>
      <c r="S78" t="b">
        <v>0</v>
      </c>
      <c r="T78" t="b">
        <v>0</v>
      </c>
      <c r="U78" t="s">
        <v>167</v>
      </c>
      <c r="V78" t="s">
        <v>167</v>
      </c>
      <c r="W78" t="b">
        <v>0</v>
      </c>
      <c r="X78" t="s">
        <v>244</v>
      </c>
      <c r="Y78" s="150" t="s">
        <v>169</v>
      </c>
      <c r="Z78" t="s">
        <v>170</v>
      </c>
      <c r="AA78" t="s">
        <v>228</v>
      </c>
      <c r="AB78" s="149" t="s">
        <v>167</v>
      </c>
      <c r="AC78" s="149" t="s">
        <v>167</v>
      </c>
      <c r="AD78" s="149" t="s">
        <v>167</v>
      </c>
      <c r="AE78" s="149" t="s">
        <v>167</v>
      </c>
      <c r="AF78" s="149" t="s">
        <v>167</v>
      </c>
      <c r="AG78" s="149" t="s">
        <v>167</v>
      </c>
      <c r="AH78" s="146" t="s">
        <v>167</v>
      </c>
      <c r="AI78" s="146" t="s">
        <v>167</v>
      </c>
      <c r="AJ78" t="s">
        <v>229</v>
      </c>
      <c r="AK78" s="151">
        <v>-1.394722</v>
      </c>
      <c r="AL78" s="151">
        <v>-11.74306</v>
      </c>
      <c r="AM78" s="151">
        <v>-1.394722</v>
      </c>
      <c r="AN78" s="151">
        <v>-11.74306</v>
      </c>
      <c r="AO78" s="151">
        <v>-3821</v>
      </c>
      <c r="AP78" s="151">
        <v>-3821</v>
      </c>
      <c r="AQ78" s="142" t="s">
        <v>167</v>
      </c>
      <c r="AR78" s="142" t="s">
        <v>167</v>
      </c>
      <c r="AS78" s="152">
        <v>2347.234375</v>
      </c>
      <c r="AT78" s="153" t="s">
        <v>174</v>
      </c>
      <c r="AU78" s="142">
        <v>6</v>
      </c>
      <c r="AV78" s="142">
        <v>6</v>
      </c>
      <c r="AW78" s="149" t="s">
        <v>167</v>
      </c>
      <c r="AX78" s="171" t="s">
        <v>243</v>
      </c>
      <c r="AY78" s="146" t="s">
        <v>167</v>
      </c>
      <c r="AZ78" t="s">
        <v>167</v>
      </c>
      <c r="BA78" t="s">
        <v>167</v>
      </c>
      <c r="BB78" t="s">
        <v>167</v>
      </c>
      <c r="BC78" t="s">
        <v>167</v>
      </c>
      <c r="BD78" t="s">
        <v>167</v>
      </c>
      <c r="BE78" t="s">
        <v>167</v>
      </c>
      <c r="BF78" t="s">
        <v>167</v>
      </c>
      <c r="BG78" s="154" t="s">
        <v>175</v>
      </c>
      <c r="BH78" t="s">
        <v>176</v>
      </c>
      <c r="BI78" s="155" t="s">
        <v>177</v>
      </c>
      <c r="BJ78" s="156" t="s">
        <v>178</v>
      </c>
      <c r="BK78" s="156" t="s">
        <v>179</v>
      </c>
      <c r="BL78" s="156" t="s">
        <v>180</v>
      </c>
      <c r="BM78" t="s">
        <v>181</v>
      </c>
      <c r="BN78" s="142" t="s">
        <v>182</v>
      </c>
      <c r="BO78" s="142" t="s">
        <v>182</v>
      </c>
      <c r="BP78" s="142" t="s">
        <v>182</v>
      </c>
      <c r="BQ78" s="152">
        <v>19.79990497</v>
      </c>
      <c r="BR78" t="s">
        <v>183</v>
      </c>
      <c r="BS78" s="152">
        <v>0.128363914</v>
      </c>
      <c r="BT78">
        <v>0.6</v>
      </c>
      <c r="BU78" t="s">
        <v>184</v>
      </c>
      <c r="BV78" s="153">
        <v>0.08</v>
      </c>
      <c r="BW78">
        <v>8.8699999999999992</v>
      </c>
      <c r="BX78" t="s">
        <v>185</v>
      </c>
      <c r="BY78">
        <v>1.52</v>
      </c>
      <c r="BZ78" t="s">
        <v>224</v>
      </c>
      <c r="CA78" t="s">
        <v>187</v>
      </c>
      <c r="CB78" s="158">
        <f t="shared" si="20"/>
        <v>18.216508283333336</v>
      </c>
      <c r="CC78" t="s">
        <v>184</v>
      </c>
      <c r="CD78" s="149" t="s">
        <v>167</v>
      </c>
      <c r="CE78" s="149" t="s">
        <v>167</v>
      </c>
      <c r="CF78" t="s">
        <v>188</v>
      </c>
      <c r="CG78" t="s">
        <v>189</v>
      </c>
      <c r="CH78" t="s">
        <v>190</v>
      </c>
      <c r="CI78" t="s">
        <v>190</v>
      </c>
      <c r="CJ78" s="152">
        <v>27.336175000000004</v>
      </c>
      <c r="CK78" t="s">
        <v>184</v>
      </c>
      <c r="CL78" s="159">
        <v>3</v>
      </c>
      <c r="CM78" s="159">
        <v>3</v>
      </c>
      <c r="CN78" s="146" t="s">
        <v>167</v>
      </c>
      <c r="CO78" s="146" t="s">
        <v>167</v>
      </c>
      <c r="CP78" s="146" t="s">
        <v>167</v>
      </c>
      <c r="CQ78" s="146" t="s">
        <v>167</v>
      </c>
      <c r="CR78" s="146" t="s">
        <v>167</v>
      </c>
      <c r="CS78" s="146" t="s">
        <v>167</v>
      </c>
      <c r="CT78" s="167" t="s">
        <v>167</v>
      </c>
      <c r="CU78" s="168" t="s">
        <v>167</v>
      </c>
      <c r="CV78" s="152" t="s">
        <v>167</v>
      </c>
      <c r="CW78" s="142" t="s">
        <v>167</v>
      </c>
      <c r="CX78" s="146" t="s">
        <v>167</v>
      </c>
      <c r="CY78" t="s">
        <v>167</v>
      </c>
      <c r="CZ78" t="s">
        <v>167</v>
      </c>
      <c r="DA78" t="s">
        <v>167</v>
      </c>
      <c r="DB78" t="s">
        <v>167</v>
      </c>
      <c r="DC78" t="s">
        <v>167</v>
      </c>
      <c r="DD78" t="s">
        <v>167</v>
      </c>
      <c r="DE78" s="169" t="s">
        <v>230</v>
      </c>
      <c r="DF78" t="s">
        <v>231</v>
      </c>
      <c r="DG78" s="160">
        <v>35</v>
      </c>
      <c r="DH78" t="s">
        <v>174</v>
      </c>
      <c r="DI78">
        <v>3</v>
      </c>
      <c r="DJ78" s="161" t="s">
        <v>196</v>
      </c>
      <c r="DK78" s="146" t="s">
        <v>167</v>
      </c>
      <c r="DL78" s="146" t="s">
        <v>167</v>
      </c>
      <c r="DM78" s="146" t="s">
        <v>167</v>
      </c>
      <c r="DN78" s="146" t="s">
        <v>167</v>
      </c>
      <c r="DO78" s="146" t="s">
        <v>167</v>
      </c>
      <c r="DP78" s="146" t="s">
        <v>167</v>
      </c>
      <c r="DQ78" s="146" t="s">
        <v>167</v>
      </c>
      <c r="DR78" s="146" t="s">
        <v>167</v>
      </c>
      <c r="DS78" s="146" t="s">
        <v>167</v>
      </c>
      <c r="DT78" s="146" t="s">
        <v>167</v>
      </c>
      <c r="DU78" s="146" t="s">
        <v>167</v>
      </c>
      <c r="DV78" s="146" t="s">
        <v>167</v>
      </c>
      <c r="DW78" s="143">
        <v>432.56244218316402</v>
      </c>
      <c r="DX78" t="s">
        <v>197</v>
      </c>
      <c r="DY78" s="142">
        <v>37.1</v>
      </c>
      <c r="DZ78" t="s">
        <v>198</v>
      </c>
      <c r="EA78" s="152">
        <v>39.267321109999997</v>
      </c>
      <c r="EB78" s="149" t="s">
        <v>185</v>
      </c>
      <c r="EC78" s="162">
        <v>0.2</v>
      </c>
      <c r="ED78" t="s">
        <v>199</v>
      </c>
      <c r="EE78" t="s">
        <v>225</v>
      </c>
      <c r="EF78" t="s">
        <v>201</v>
      </c>
      <c r="EG78">
        <v>1.0271999999999999</v>
      </c>
      <c r="EH78" t="s">
        <v>202</v>
      </c>
      <c r="EI78">
        <v>5.9999999999999995E-4</v>
      </c>
      <c r="EJ78" t="s">
        <v>203</v>
      </c>
      <c r="EK78" t="s">
        <v>167</v>
      </c>
      <c r="EL78" t="s">
        <v>167</v>
      </c>
      <c r="EM78" t="s">
        <v>204</v>
      </c>
      <c r="EN78" t="s">
        <v>226</v>
      </c>
      <c r="EO78" t="s">
        <v>206</v>
      </c>
      <c r="EP78" t="s">
        <v>206</v>
      </c>
      <c r="EQ78" s="146" t="s">
        <v>167</v>
      </c>
      <c r="ER78" t="s">
        <v>167</v>
      </c>
      <c r="ES78" t="s">
        <v>167</v>
      </c>
      <c r="ET78" t="s">
        <v>207</v>
      </c>
      <c r="EU78" t="s">
        <v>208</v>
      </c>
      <c r="EV78" t="s">
        <v>227</v>
      </c>
      <c r="EW78" s="163">
        <v>2330</v>
      </c>
      <c r="EX78" t="s">
        <v>210</v>
      </c>
      <c r="EY78">
        <v>175</v>
      </c>
      <c r="EZ78">
        <v>175</v>
      </c>
      <c r="FA78" t="s">
        <v>167</v>
      </c>
      <c r="FB78" t="s">
        <v>167</v>
      </c>
      <c r="FC78" t="s">
        <v>167</v>
      </c>
      <c r="FD78" t="s">
        <v>167</v>
      </c>
      <c r="FE78" s="152">
        <v>8.0556035879183394</v>
      </c>
      <c r="FF78" s="164" t="s">
        <v>211</v>
      </c>
      <c r="FG78" s="170">
        <v>6.6929899877069765E-2</v>
      </c>
      <c r="FH78" s="170">
        <v>6.4418642360660527E-2</v>
      </c>
      <c r="FI78" s="144">
        <f>FL78+29</f>
        <v>398.10265539945601</v>
      </c>
      <c r="FJ78" s="146">
        <v>29</v>
      </c>
      <c r="FK78" s="149" t="s">
        <v>212</v>
      </c>
      <c r="FL78" s="152">
        <v>369.10265539945601</v>
      </c>
      <c r="FM78" s="158">
        <v>85.200087998365973</v>
      </c>
      <c r="FN78" s="158">
        <v>73.040639961098009</v>
      </c>
      <c r="FO78" s="144" t="s">
        <v>213</v>
      </c>
      <c r="FP78" s="144" t="s">
        <v>214</v>
      </c>
      <c r="FQ78" t="s">
        <v>215</v>
      </c>
      <c r="FR78" t="s">
        <v>215</v>
      </c>
      <c r="FS78" t="s">
        <v>215</v>
      </c>
      <c r="FT78" t="s">
        <v>215</v>
      </c>
      <c r="FU78" t="s">
        <v>215</v>
      </c>
      <c r="FV78" t="s">
        <v>215</v>
      </c>
      <c r="FW78" t="s">
        <v>215</v>
      </c>
      <c r="FX78" t="s">
        <v>215</v>
      </c>
      <c r="FY78" t="s">
        <v>215</v>
      </c>
      <c r="FZ78" t="s">
        <v>215</v>
      </c>
      <c r="GA78" t="s">
        <v>215</v>
      </c>
      <c r="GB78" t="s">
        <v>215</v>
      </c>
    </row>
    <row r="79" spans="1:184" ht="18" x14ac:dyDescent="0.2">
      <c r="A79" t="s">
        <v>240</v>
      </c>
      <c r="B79" s="141" t="s">
        <v>241</v>
      </c>
      <c r="C79" s="138" t="s">
        <v>168</v>
      </c>
      <c r="D79" t="s">
        <v>239</v>
      </c>
      <c r="E79">
        <v>2015</v>
      </c>
      <c r="F79" t="str">
        <f t="shared" si="23"/>
        <v>10.1038/nature14145</v>
      </c>
      <c r="G79" s="143">
        <f t="shared" si="24"/>
        <v>2417.172607</v>
      </c>
      <c r="H79" s="142">
        <f t="shared" si="25"/>
        <v>6</v>
      </c>
      <c r="I79" s="142">
        <f t="shared" si="25"/>
        <v>6</v>
      </c>
      <c r="J79" s="148">
        <f t="shared" si="26"/>
        <v>441.67906805667502</v>
      </c>
      <c r="K79" s="148">
        <f t="shared" si="26"/>
        <v>115.132802754804</v>
      </c>
      <c r="L79" s="148">
        <f t="shared" si="26"/>
        <v>94.286291658333027</v>
      </c>
      <c r="M79" t="b">
        <v>1</v>
      </c>
      <c r="N79">
        <v>1</v>
      </c>
      <c r="O79" s="178" t="s">
        <v>264</v>
      </c>
      <c r="P79" s="142" t="s">
        <v>167</v>
      </c>
      <c r="Q79" t="b">
        <v>0</v>
      </c>
      <c r="R79" t="s">
        <v>167</v>
      </c>
      <c r="S79" t="b">
        <v>0</v>
      </c>
      <c r="T79" t="b">
        <v>0</v>
      </c>
      <c r="U79" t="s">
        <v>167</v>
      </c>
      <c r="V79" t="s">
        <v>167</v>
      </c>
      <c r="W79" t="b">
        <v>0</v>
      </c>
      <c r="X79" t="s">
        <v>244</v>
      </c>
      <c r="Y79" s="150" t="s">
        <v>169</v>
      </c>
      <c r="Z79" t="s">
        <v>170</v>
      </c>
      <c r="AA79" t="s">
        <v>228</v>
      </c>
      <c r="AB79" s="149" t="s">
        <v>167</v>
      </c>
      <c r="AC79" s="149" t="s">
        <v>167</v>
      </c>
      <c r="AD79" s="149" t="s">
        <v>167</v>
      </c>
      <c r="AE79" s="149" t="s">
        <v>167</v>
      </c>
      <c r="AF79" s="149" t="s">
        <v>167</v>
      </c>
      <c r="AG79" s="149" t="s">
        <v>167</v>
      </c>
      <c r="AH79" s="146" t="s">
        <v>167</v>
      </c>
      <c r="AI79" s="146" t="s">
        <v>167</v>
      </c>
      <c r="AJ79" t="s">
        <v>229</v>
      </c>
      <c r="AK79" s="151">
        <v>-1.394722</v>
      </c>
      <c r="AL79" s="151">
        <v>-11.74306</v>
      </c>
      <c r="AM79" s="151">
        <v>-1.394722</v>
      </c>
      <c r="AN79" s="151">
        <v>-11.74306</v>
      </c>
      <c r="AO79" s="151">
        <v>-3821</v>
      </c>
      <c r="AP79" s="151">
        <v>-3821</v>
      </c>
      <c r="AQ79" s="142" t="s">
        <v>167</v>
      </c>
      <c r="AR79" s="142" t="s">
        <v>167</v>
      </c>
      <c r="AS79" s="152">
        <v>2417.172607</v>
      </c>
      <c r="AT79" s="153" t="s">
        <v>174</v>
      </c>
      <c r="AU79" s="142">
        <v>6</v>
      </c>
      <c r="AV79" s="142">
        <v>6</v>
      </c>
      <c r="AW79" s="149" t="s">
        <v>167</v>
      </c>
      <c r="AX79" s="171" t="s">
        <v>243</v>
      </c>
      <c r="AY79" s="146" t="s">
        <v>167</v>
      </c>
      <c r="AZ79" t="s">
        <v>167</v>
      </c>
      <c r="BA79" t="s">
        <v>167</v>
      </c>
      <c r="BB79" t="s">
        <v>167</v>
      </c>
      <c r="BC79" t="s">
        <v>167</v>
      </c>
      <c r="BD79" t="s">
        <v>167</v>
      </c>
      <c r="BE79" t="s">
        <v>167</v>
      </c>
      <c r="BF79" t="s">
        <v>167</v>
      </c>
      <c r="BG79" s="154" t="s">
        <v>175</v>
      </c>
      <c r="BH79" t="s">
        <v>176</v>
      </c>
      <c r="BI79" s="155" t="s">
        <v>177</v>
      </c>
      <c r="BJ79" s="155" t="s">
        <v>178</v>
      </c>
      <c r="BK79" s="156" t="s">
        <v>179</v>
      </c>
      <c r="BL79" s="156" t="s">
        <v>180</v>
      </c>
      <c r="BM79" t="s">
        <v>181</v>
      </c>
      <c r="BN79" s="142" t="s">
        <v>182</v>
      </c>
      <c r="BO79" s="142" t="s">
        <v>182</v>
      </c>
      <c r="BP79" s="142" t="s">
        <v>182</v>
      </c>
      <c r="BQ79" s="152">
        <v>19.39170408</v>
      </c>
      <c r="BR79" t="s">
        <v>183</v>
      </c>
      <c r="BS79" s="152">
        <v>0.205909335</v>
      </c>
      <c r="BT79">
        <v>0.6</v>
      </c>
      <c r="BU79" t="s">
        <v>184</v>
      </c>
      <c r="BV79" s="153">
        <v>0.08</v>
      </c>
      <c r="BW79">
        <v>8.8699999999999992</v>
      </c>
      <c r="BX79" t="s">
        <v>185</v>
      </c>
      <c r="BY79">
        <v>1.52</v>
      </c>
      <c r="BZ79" t="s">
        <v>224</v>
      </c>
      <c r="CA79" t="s">
        <v>187</v>
      </c>
      <c r="CB79" s="158">
        <f t="shared" si="20"/>
        <v>17.536173466666668</v>
      </c>
      <c r="CC79" t="s">
        <v>184</v>
      </c>
      <c r="CD79" s="149" t="s">
        <v>167</v>
      </c>
      <c r="CE79" s="149" t="s">
        <v>167</v>
      </c>
      <c r="CF79" t="s">
        <v>188</v>
      </c>
      <c r="CG79" t="s">
        <v>189</v>
      </c>
      <c r="CH79" t="s">
        <v>190</v>
      </c>
      <c r="CI79" t="s">
        <v>190</v>
      </c>
      <c r="CJ79" s="152">
        <v>26.95354273448276</v>
      </c>
      <c r="CK79" t="s">
        <v>184</v>
      </c>
      <c r="CL79" s="159">
        <v>3</v>
      </c>
      <c r="CM79" s="159">
        <v>3</v>
      </c>
      <c r="CN79" s="146" t="s">
        <v>167</v>
      </c>
      <c r="CO79" s="146" t="s">
        <v>167</v>
      </c>
      <c r="CP79" s="146" t="s">
        <v>167</v>
      </c>
      <c r="CQ79" s="146" t="s">
        <v>167</v>
      </c>
      <c r="CR79" s="146" t="s">
        <v>167</v>
      </c>
      <c r="CS79" s="146" t="s">
        <v>167</v>
      </c>
      <c r="CT79" s="167" t="s">
        <v>167</v>
      </c>
      <c r="CU79" s="168" t="s">
        <v>167</v>
      </c>
      <c r="CV79" s="152" t="s">
        <v>167</v>
      </c>
      <c r="CW79" s="142" t="s">
        <v>167</v>
      </c>
      <c r="CX79" s="146" t="s">
        <v>167</v>
      </c>
      <c r="CY79" t="s">
        <v>167</v>
      </c>
      <c r="CZ79" t="s">
        <v>167</v>
      </c>
      <c r="DA79" t="s">
        <v>167</v>
      </c>
      <c r="DB79" t="s">
        <v>167</v>
      </c>
      <c r="DC79" t="s">
        <v>167</v>
      </c>
      <c r="DD79" t="s">
        <v>167</v>
      </c>
      <c r="DE79" s="169" t="s">
        <v>230</v>
      </c>
      <c r="DF79" t="s">
        <v>232</v>
      </c>
      <c r="DG79" s="160">
        <v>35</v>
      </c>
      <c r="DH79" t="s">
        <v>174</v>
      </c>
      <c r="DI79">
        <v>3</v>
      </c>
      <c r="DJ79" s="161" t="s">
        <v>196</v>
      </c>
      <c r="DK79" s="146" t="s">
        <v>167</v>
      </c>
      <c r="DL79" s="146" t="s">
        <v>167</v>
      </c>
      <c r="DM79" s="146" t="s">
        <v>167</v>
      </c>
      <c r="DN79" s="146" t="s">
        <v>167</v>
      </c>
      <c r="DO79" s="146" t="s">
        <v>167</v>
      </c>
      <c r="DP79" s="146" t="s">
        <v>167</v>
      </c>
      <c r="DQ79" s="146" t="s">
        <v>167</v>
      </c>
      <c r="DR79" s="146" t="s">
        <v>167</v>
      </c>
      <c r="DS79" s="146" t="s">
        <v>167</v>
      </c>
      <c r="DT79" s="146" t="s">
        <v>167</v>
      </c>
      <c r="DU79" s="146" t="s">
        <v>167</v>
      </c>
      <c r="DV79" s="146" t="s">
        <v>167</v>
      </c>
      <c r="DW79" s="143">
        <v>432.56244218316402</v>
      </c>
      <c r="DX79" t="s">
        <v>197</v>
      </c>
      <c r="DY79" s="142">
        <v>37.1</v>
      </c>
      <c r="DZ79" t="s">
        <v>198</v>
      </c>
      <c r="EA79" s="152">
        <v>39.257408609999999</v>
      </c>
      <c r="EB79" s="149" t="s">
        <v>185</v>
      </c>
      <c r="EC79" s="162">
        <v>0.2</v>
      </c>
      <c r="ED79" t="s">
        <v>199</v>
      </c>
      <c r="EE79" t="s">
        <v>225</v>
      </c>
      <c r="EF79" t="s">
        <v>201</v>
      </c>
      <c r="EG79">
        <v>1.0271999999999999</v>
      </c>
      <c r="EH79" t="s">
        <v>202</v>
      </c>
      <c r="EI79">
        <v>5.9999999999999995E-4</v>
      </c>
      <c r="EJ79" t="s">
        <v>203</v>
      </c>
      <c r="EK79" t="s">
        <v>167</v>
      </c>
      <c r="EL79" t="s">
        <v>167</v>
      </c>
      <c r="EM79" t="s">
        <v>204</v>
      </c>
      <c r="EN79" t="s">
        <v>226</v>
      </c>
      <c r="EO79" t="s">
        <v>206</v>
      </c>
      <c r="EP79" t="s">
        <v>206</v>
      </c>
      <c r="EQ79" s="146" t="s">
        <v>167</v>
      </c>
      <c r="ER79" t="s">
        <v>167</v>
      </c>
      <c r="ES79" t="s">
        <v>167</v>
      </c>
      <c r="ET79" t="s">
        <v>207</v>
      </c>
      <c r="EU79" t="s">
        <v>208</v>
      </c>
      <c r="EV79" t="s">
        <v>227</v>
      </c>
      <c r="EW79" s="163">
        <v>2330</v>
      </c>
      <c r="EX79" t="s">
        <v>210</v>
      </c>
      <c r="EY79">
        <v>175</v>
      </c>
      <c r="EZ79">
        <v>175</v>
      </c>
      <c r="FA79" t="s">
        <v>167</v>
      </c>
      <c r="FB79" t="s">
        <v>167</v>
      </c>
      <c r="FC79" t="s">
        <v>167</v>
      </c>
      <c r="FD79" t="s">
        <v>167</v>
      </c>
      <c r="FE79" s="152">
        <v>7.9960444307132699</v>
      </c>
      <c r="FF79" s="164" t="s">
        <v>211</v>
      </c>
      <c r="FG79" s="170">
        <v>7.7662240154260154E-2</v>
      </c>
      <c r="FH79" s="170">
        <v>7.3359963422450214E-2</v>
      </c>
      <c r="FI79" s="144">
        <f t="shared" ref="FI79:FI85" si="27">FL79+29</f>
        <v>470.67906805667502</v>
      </c>
      <c r="FJ79" s="146">
        <v>29</v>
      </c>
      <c r="FK79" s="149" t="s">
        <v>212</v>
      </c>
      <c r="FL79" s="152">
        <v>441.67906805667502</v>
      </c>
      <c r="FM79" s="158">
        <v>115.132802754804</v>
      </c>
      <c r="FN79" s="158">
        <v>94.286291658333027</v>
      </c>
      <c r="FO79" s="144" t="s">
        <v>213</v>
      </c>
      <c r="FP79" s="144" t="s">
        <v>214</v>
      </c>
      <c r="FQ79" t="s">
        <v>215</v>
      </c>
      <c r="FR79" t="s">
        <v>215</v>
      </c>
      <c r="FS79" t="s">
        <v>215</v>
      </c>
      <c r="FT79" t="s">
        <v>215</v>
      </c>
      <c r="FU79" t="s">
        <v>215</v>
      </c>
      <c r="FV79" t="s">
        <v>215</v>
      </c>
      <c r="FW79" t="s">
        <v>215</v>
      </c>
      <c r="FX79" t="s">
        <v>215</v>
      </c>
      <c r="FY79" t="s">
        <v>215</v>
      </c>
      <c r="FZ79" t="s">
        <v>215</v>
      </c>
      <c r="GA79" t="s">
        <v>215</v>
      </c>
      <c r="GB79" t="s">
        <v>215</v>
      </c>
    </row>
    <row r="80" spans="1:184" ht="18" x14ac:dyDescent="0.2">
      <c r="A80" t="s">
        <v>240</v>
      </c>
      <c r="B80" s="141" t="s">
        <v>241</v>
      </c>
      <c r="C80" s="138" t="s">
        <v>168</v>
      </c>
      <c r="D80" t="s">
        <v>239</v>
      </c>
      <c r="E80">
        <v>2015</v>
      </c>
      <c r="F80" t="str">
        <f t="shared" si="23"/>
        <v>10.1038/nature14145</v>
      </c>
      <c r="G80" s="143">
        <f t="shared" si="24"/>
        <v>2498.358643</v>
      </c>
      <c r="H80" s="142">
        <f t="shared" si="25"/>
        <v>6</v>
      </c>
      <c r="I80" s="142">
        <f t="shared" si="25"/>
        <v>6</v>
      </c>
      <c r="J80" s="148">
        <f t="shared" si="26"/>
        <v>422.788592701065</v>
      </c>
      <c r="K80" s="148">
        <f t="shared" si="26"/>
        <v>97.962707919242007</v>
      </c>
      <c r="L80" s="148">
        <f t="shared" si="26"/>
        <v>84.966022438585981</v>
      </c>
      <c r="M80" t="b">
        <v>1</v>
      </c>
      <c r="N80">
        <v>1</v>
      </c>
      <c r="O80" s="178" t="s">
        <v>264</v>
      </c>
      <c r="P80" s="142" t="s">
        <v>167</v>
      </c>
      <c r="Q80" t="b">
        <v>0</v>
      </c>
      <c r="R80" t="s">
        <v>167</v>
      </c>
      <c r="S80" t="b">
        <v>0</v>
      </c>
      <c r="T80" t="b">
        <v>0</v>
      </c>
      <c r="U80" t="s">
        <v>167</v>
      </c>
      <c r="V80" t="s">
        <v>167</v>
      </c>
      <c r="W80" t="b">
        <v>0</v>
      </c>
      <c r="X80" t="s">
        <v>244</v>
      </c>
      <c r="Y80" s="150" t="s">
        <v>169</v>
      </c>
      <c r="Z80" t="s">
        <v>170</v>
      </c>
      <c r="AA80" t="s">
        <v>228</v>
      </c>
      <c r="AB80" s="149" t="s">
        <v>167</v>
      </c>
      <c r="AC80" s="149" t="s">
        <v>167</v>
      </c>
      <c r="AD80" s="149" t="s">
        <v>167</v>
      </c>
      <c r="AE80" s="149" t="s">
        <v>167</v>
      </c>
      <c r="AF80" s="149" t="s">
        <v>167</v>
      </c>
      <c r="AG80" s="149" t="s">
        <v>167</v>
      </c>
      <c r="AH80" s="146" t="s">
        <v>167</v>
      </c>
      <c r="AI80" s="146" t="s">
        <v>167</v>
      </c>
      <c r="AJ80" t="s">
        <v>229</v>
      </c>
      <c r="AK80" s="151">
        <v>-1.394722</v>
      </c>
      <c r="AL80" s="151">
        <v>-11.74306</v>
      </c>
      <c r="AM80" s="151">
        <v>-1.394722</v>
      </c>
      <c r="AN80" s="151">
        <v>-11.74306</v>
      </c>
      <c r="AO80" s="151">
        <v>-3821</v>
      </c>
      <c r="AP80" s="151">
        <v>-3821</v>
      </c>
      <c r="AQ80" s="142" t="s">
        <v>167</v>
      </c>
      <c r="AR80" s="142" t="s">
        <v>167</v>
      </c>
      <c r="AS80" s="152">
        <v>2498.358643</v>
      </c>
      <c r="AT80" s="153" t="s">
        <v>174</v>
      </c>
      <c r="AU80" s="142">
        <v>6</v>
      </c>
      <c r="AV80" s="142">
        <v>6</v>
      </c>
      <c r="AW80" s="149" t="s">
        <v>167</v>
      </c>
      <c r="AX80" s="171" t="s">
        <v>243</v>
      </c>
      <c r="AY80" s="146" t="s">
        <v>167</v>
      </c>
      <c r="AZ80" t="s">
        <v>167</v>
      </c>
      <c r="BA80" t="s">
        <v>167</v>
      </c>
      <c r="BB80" t="s">
        <v>167</v>
      </c>
      <c r="BC80" t="s">
        <v>167</v>
      </c>
      <c r="BD80" t="s">
        <v>167</v>
      </c>
      <c r="BE80" t="s">
        <v>167</v>
      </c>
      <c r="BF80" t="s">
        <v>167</v>
      </c>
      <c r="BG80" s="154" t="s">
        <v>175</v>
      </c>
      <c r="BH80" t="s">
        <v>176</v>
      </c>
      <c r="BI80" s="155" t="s">
        <v>177</v>
      </c>
      <c r="BJ80" s="156" t="s">
        <v>178</v>
      </c>
      <c r="BK80" s="156" t="s">
        <v>179</v>
      </c>
      <c r="BL80" s="156" t="s">
        <v>180</v>
      </c>
      <c r="BM80" t="s">
        <v>181</v>
      </c>
      <c r="BN80" s="142" t="s">
        <v>182</v>
      </c>
      <c r="BO80" s="142" t="s">
        <v>182</v>
      </c>
      <c r="BP80" s="142" t="s">
        <v>182</v>
      </c>
      <c r="BQ80" s="152">
        <v>19.4612479</v>
      </c>
      <c r="BR80" t="s">
        <v>183</v>
      </c>
      <c r="BS80" s="152">
        <v>0.12697467400000001</v>
      </c>
      <c r="BT80">
        <v>0.6</v>
      </c>
      <c r="BU80" t="s">
        <v>184</v>
      </c>
      <c r="BV80" s="153">
        <v>0.08</v>
      </c>
      <c r="BW80">
        <v>8.8699999999999992</v>
      </c>
      <c r="BX80" t="s">
        <v>185</v>
      </c>
      <c r="BY80">
        <v>1.52</v>
      </c>
      <c r="BZ80" t="s">
        <v>224</v>
      </c>
      <c r="CA80" t="s">
        <v>187</v>
      </c>
      <c r="CB80" s="158">
        <f t="shared" si="20"/>
        <v>17.652079833333335</v>
      </c>
      <c r="CC80" t="s">
        <v>184</v>
      </c>
      <c r="CD80" s="149" t="s">
        <v>167</v>
      </c>
      <c r="CE80" s="149" t="s">
        <v>167</v>
      </c>
      <c r="CF80" t="s">
        <v>188</v>
      </c>
      <c r="CG80" t="s">
        <v>189</v>
      </c>
      <c r="CH80" t="s">
        <v>190</v>
      </c>
      <c r="CI80" t="s">
        <v>190</v>
      </c>
      <c r="CJ80" s="152">
        <v>26.680380240373388</v>
      </c>
      <c r="CK80" t="s">
        <v>184</v>
      </c>
      <c r="CL80" s="159">
        <v>3</v>
      </c>
      <c r="CM80" s="159">
        <v>3</v>
      </c>
      <c r="CN80" s="146" t="s">
        <v>167</v>
      </c>
      <c r="CO80" s="146" t="s">
        <v>167</v>
      </c>
      <c r="CP80" s="146" t="s">
        <v>167</v>
      </c>
      <c r="CQ80" s="146" t="s">
        <v>167</v>
      </c>
      <c r="CR80" s="146" t="s">
        <v>167</v>
      </c>
      <c r="CS80" s="146" t="s">
        <v>167</v>
      </c>
      <c r="CT80" s="167" t="s">
        <v>167</v>
      </c>
      <c r="CU80" s="168" t="s">
        <v>167</v>
      </c>
      <c r="CV80" s="152" t="s">
        <v>167</v>
      </c>
      <c r="CW80" s="142" t="s">
        <v>167</v>
      </c>
      <c r="CX80" s="146" t="s">
        <v>167</v>
      </c>
      <c r="CY80" t="s">
        <v>167</v>
      </c>
      <c r="CZ80" t="s">
        <v>167</v>
      </c>
      <c r="DA80" t="s">
        <v>167</v>
      </c>
      <c r="DB80" t="s">
        <v>167</v>
      </c>
      <c r="DC80" t="s">
        <v>167</v>
      </c>
      <c r="DD80" t="s">
        <v>167</v>
      </c>
      <c r="DE80" s="169" t="s">
        <v>230</v>
      </c>
      <c r="DF80" t="s">
        <v>233</v>
      </c>
      <c r="DG80" s="160">
        <v>35</v>
      </c>
      <c r="DH80" t="s">
        <v>174</v>
      </c>
      <c r="DI80">
        <v>3</v>
      </c>
      <c r="DJ80" s="161" t="s">
        <v>196</v>
      </c>
      <c r="DK80" s="146" t="s">
        <v>167</v>
      </c>
      <c r="DL80" s="146" t="s">
        <v>167</v>
      </c>
      <c r="DM80" s="146" t="s">
        <v>167</v>
      </c>
      <c r="DN80" s="146" t="s">
        <v>167</v>
      </c>
      <c r="DO80" s="146" t="s">
        <v>167</v>
      </c>
      <c r="DP80" s="146" t="s">
        <v>167</v>
      </c>
      <c r="DQ80" s="146" t="s">
        <v>167</v>
      </c>
      <c r="DR80" s="146" t="s">
        <v>167</v>
      </c>
      <c r="DS80" s="146" t="s">
        <v>167</v>
      </c>
      <c r="DT80" s="146" t="s">
        <v>167</v>
      </c>
      <c r="DU80" s="146" t="s">
        <v>167</v>
      </c>
      <c r="DV80" s="146" t="s">
        <v>167</v>
      </c>
      <c r="DW80" s="143">
        <v>432.56244218316402</v>
      </c>
      <c r="DX80" t="s">
        <v>197</v>
      </c>
      <c r="DY80" s="142">
        <v>37.1</v>
      </c>
      <c r="DZ80" t="s">
        <v>198</v>
      </c>
      <c r="EA80" s="152">
        <v>39.245901920000001</v>
      </c>
      <c r="EB80" s="149" t="s">
        <v>185</v>
      </c>
      <c r="EC80" s="162">
        <v>0.2</v>
      </c>
      <c r="ED80" t="s">
        <v>199</v>
      </c>
      <c r="EE80" t="s">
        <v>225</v>
      </c>
      <c r="EF80" t="s">
        <v>201</v>
      </c>
      <c r="EG80">
        <v>1.0271999999999999</v>
      </c>
      <c r="EH80" t="s">
        <v>202</v>
      </c>
      <c r="EI80">
        <v>5.9999999999999995E-4</v>
      </c>
      <c r="EJ80" t="s">
        <v>203</v>
      </c>
      <c r="EK80" t="s">
        <v>167</v>
      </c>
      <c r="EL80" t="s">
        <v>167</v>
      </c>
      <c r="EM80" t="s">
        <v>204</v>
      </c>
      <c r="EN80" t="s">
        <v>226</v>
      </c>
      <c r="EO80" t="s">
        <v>206</v>
      </c>
      <c r="EP80" t="s">
        <v>206</v>
      </c>
      <c r="EQ80" s="146" t="s">
        <v>167</v>
      </c>
      <c r="ER80" t="s">
        <v>167</v>
      </c>
      <c r="ES80" t="s">
        <v>167</v>
      </c>
      <c r="ET80" t="s">
        <v>207</v>
      </c>
      <c r="EU80" t="s">
        <v>208</v>
      </c>
      <c r="EV80" t="s">
        <v>227</v>
      </c>
      <c r="EW80" s="163">
        <v>2330</v>
      </c>
      <c r="EX80" t="s">
        <v>210</v>
      </c>
      <c r="EY80">
        <v>175</v>
      </c>
      <c r="EZ80">
        <v>175</v>
      </c>
      <c r="FA80" t="s">
        <v>167</v>
      </c>
      <c r="FB80" t="s">
        <v>167</v>
      </c>
      <c r="FC80" t="s">
        <v>167</v>
      </c>
      <c r="FD80" t="s">
        <v>167</v>
      </c>
      <c r="FE80" s="152">
        <v>8.0108312118442093</v>
      </c>
      <c r="FF80" s="164" t="s">
        <v>211</v>
      </c>
      <c r="FG80" s="170">
        <v>6.9939552860959431E-2</v>
      </c>
      <c r="FH80" s="170">
        <v>6.8166249002031165E-2</v>
      </c>
      <c r="FI80" s="144">
        <f t="shared" si="27"/>
        <v>451.788592701065</v>
      </c>
      <c r="FJ80" s="146">
        <v>29</v>
      </c>
      <c r="FK80" s="149" t="s">
        <v>212</v>
      </c>
      <c r="FL80" s="152">
        <v>422.788592701065</v>
      </c>
      <c r="FM80" s="158">
        <v>97.962707919242007</v>
      </c>
      <c r="FN80" s="158">
        <v>84.966022438585981</v>
      </c>
      <c r="FO80" s="144" t="s">
        <v>213</v>
      </c>
      <c r="FP80" s="144" t="s">
        <v>214</v>
      </c>
      <c r="FQ80" t="s">
        <v>215</v>
      </c>
      <c r="FR80" t="s">
        <v>215</v>
      </c>
      <c r="FS80" t="s">
        <v>215</v>
      </c>
      <c r="FT80" t="s">
        <v>215</v>
      </c>
      <c r="FU80" t="s">
        <v>215</v>
      </c>
      <c r="FV80" t="s">
        <v>215</v>
      </c>
      <c r="FW80" t="s">
        <v>215</v>
      </c>
      <c r="FX80" t="s">
        <v>215</v>
      </c>
      <c r="FY80" t="s">
        <v>215</v>
      </c>
      <c r="FZ80" t="s">
        <v>215</v>
      </c>
      <c r="GA80" t="s">
        <v>215</v>
      </c>
      <c r="GB80" t="s">
        <v>215</v>
      </c>
    </row>
    <row r="81" spans="1:184" ht="18" x14ac:dyDescent="0.2">
      <c r="A81" t="s">
        <v>240</v>
      </c>
      <c r="B81" s="141" t="s">
        <v>241</v>
      </c>
      <c r="C81" s="138" t="s">
        <v>168</v>
      </c>
      <c r="D81" t="s">
        <v>239</v>
      </c>
      <c r="E81">
        <v>2015</v>
      </c>
      <c r="F81" t="str">
        <f t="shared" si="23"/>
        <v>10.1038/nature14145</v>
      </c>
      <c r="G81" s="143">
        <f t="shared" si="24"/>
        <v>2626.1445309999999</v>
      </c>
      <c r="H81" s="142">
        <f t="shared" si="25"/>
        <v>6</v>
      </c>
      <c r="I81" s="142">
        <f t="shared" si="25"/>
        <v>6</v>
      </c>
      <c r="J81" s="148">
        <f t="shared" si="26"/>
        <v>401.925265560215</v>
      </c>
      <c r="K81" s="148">
        <f t="shared" si="26"/>
        <v>96.273266553235999</v>
      </c>
      <c r="L81" s="148">
        <f t="shared" si="26"/>
        <v>79.142738067669995</v>
      </c>
      <c r="M81" t="b">
        <v>1</v>
      </c>
      <c r="N81">
        <v>1</v>
      </c>
      <c r="O81" s="178" t="s">
        <v>264</v>
      </c>
      <c r="P81" s="142" t="s">
        <v>167</v>
      </c>
      <c r="Q81" t="b">
        <v>0</v>
      </c>
      <c r="R81" t="s">
        <v>167</v>
      </c>
      <c r="S81" t="b">
        <v>0</v>
      </c>
      <c r="T81" t="b">
        <v>0</v>
      </c>
      <c r="U81" t="s">
        <v>167</v>
      </c>
      <c r="V81" t="s">
        <v>167</v>
      </c>
      <c r="W81" t="b">
        <v>0</v>
      </c>
      <c r="X81" t="s">
        <v>244</v>
      </c>
      <c r="Y81" s="150" t="s">
        <v>169</v>
      </c>
      <c r="Z81" t="s">
        <v>170</v>
      </c>
      <c r="AA81" t="s">
        <v>228</v>
      </c>
      <c r="AB81" s="149" t="s">
        <v>167</v>
      </c>
      <c r="AC81" s="149" t="s">
        <v>167</v>
      </c>
      <c r="AD81" s="149" t="s">
        <v>167</v>
      </c>
      <c r="AE81" s="149" t="s">
        <v>167</v>
      </c>
      <c r="AF81" s="149" t="s">
        <v>167</v>
      </c>
      <c r="AG81" s="149" t="s">
        <v>167</v>
      </c>
      <c r="AH81" s="146" t="s">
        <v>167</v>
      </c>
      <c r="AI81" s="146" t="s">
        <v>167</v>
      </c>
      <c r="AJ81" t="s">
        <v>229</v>
      </c>
      <c r="AK81" s="151">
        <v>-1.394722</v>
      </c>
      <c r="AL81" s="151">
        <v>-11.74306</v>
      </c>
      <c r="AM81" s="151">
        <v>-1.394722</v>
      </c>
      <c r="AN81" s="151">
        <v>-11.74306</v>
      </c>
      <c r="AO81" s="151">
        <v>-3821</v>
      </c>
      <c r="AP81" s="151">
        <v>-3821</v>
      </c>
      <c r="AQ81" s="142" t="s">
        <v>167</v>
      </c>
      <c r="AR81" s="142" t="s">
        <v>167</v>
      </c>
      <c r="AS81" s="152">
        <v>2626.1445309999999</v>
      </c>
      <c r="AT81" s="153" t="s">
        <v>174</v>
      </c>
      <c r="AU81" s="142">
        <v>6</v>
      </c>
      <c r="AV81" s="142">
        <v>6</v>
      </c>
      <c r="AW81" s="149" t="s">
        <v>167</v>
      </c>
      <c r="AX81" s="171" t="s">
        <v>243</v>
      </c>
      <c r="AY81" s="146" t="s">
        <v>167</v>
      </c>
      <c r="AZ81" t="s">
        <v>167</v>
      </c>
      <c r="BA81" t="s">
        <v>167</v>
      </c>
      <c r="BB81" t="s">
        <v>167</v>
      </c>
      <c r="BC81" t="s">
        <v>167</v>
      </c>
      <c r="BD81" t="s">
        <v>167</v>
      </c>
      <c r="BE81" t="s">
        <v>167</v>
      </c>
      <c r="BF81" t="s">
        <v>167</v>
      </c>
      <c r="BG81" s="154" t="s">
        <v>175</v>
      </c>
      <c r="BH81" t="s">
        <v>176</v>
      </c>
      <c r="BI81" s="155" t="s">
        <v>177</v>
      </c>
      <c r="BJ81" s="155" t="s">
        <v>178</v>
      </c>
      <c r="BK81" s="156" t="s">
        <v>179</v>
      </c>
      <c r="BL81" s="156" t="s">
        <v>180</v>
      </c>
      <c r="BM81" t="s">
        <v>181</v>
      </c>
      <c r="BN81" s="142" t="s">
        <v>182</v>
      </c>
      <c r="BO81" s="142" t="s">
        <v>182</v>
      </c>
      <c r="BP81" s="142" t="s">
        <v>182</v>
      </c>
      <c r="BQ81" s="152">
        <v>19.543103649999999</v>
      </c>
      <c r="BR81" t="s">
        <v>183</v>
      </c>
      <c r="BS81" s="152">
        <v>0.14246539</v>
      </c>
      <c r="BT81">
        <v>0.6</v>
      </c>
      <c r="BU81" t="s">
        <v>184</v>
      </c>
      <c r="BV81" s="153">
        <v>0.08</v>
      </c>
      <c r="BW81">
        <v>8.8699999999999992</v>
      </c>
      <c r="BX81" t="s">
        <v>185</v>
      </c>
      <c r="BY81">
        <v>1.52</v>
      </c>
      <c r="BZ81" t="s">
        <v>224</v>
      </c>
      <c r="CA81" t="s">
        <v>187</v>
      </c>
      <c r="CB81" s="158">
        <f t="shared" si="20"/>
        <v>17.788506083333335</v>
      </c>
      <c r="CC81" t="s">
        <v>184</v>
      </c>
      <c r="CD81" s="149" t="s">
        <v>167</v>
      </c>
      <c r="CE81" s="149" t="s">
        <v>167</v>
      </c>
      <c r="CF81" t="s">
        <v>188</v>
      </c>
      <c r="CG81" t="s">
        <v>189</v>
      </c>
      <c r="CH81" t="s">
        <v>190</v>
      </c>
      <c r="CI81" t="s">
        <v>190</v>
      </c>
      <c r="CJ81" s="152">
        <v>26.492778594339622</v>
      </c>
      <c r="CK81" t="s">
        <v>184</v>
      </c>
      <c r="CL81" s="159">
        <v>3</v>
      </c>
      <c r="CM81" s="159">
        <v>3</v>
      </c>
      <c r="CN81" s="146" t="s">
        <v>167</v>
      </c>
      <c r="CO81" s="146" t="s">
        <v>167</v>
      </c>
      <c r="CP81" s="146" t="s">
        <v>167</v>
      </c>
      <c r="CQ81" s="146" t="s">
        <v>167</v>
      </c>
      <c r="CR81" s="146" t="s">
        <v>167</v>
      </c>
      <c r="CS81" s="146" t="s">
        <v>167</v>
      </c>
      <c r="CT81" s="167" t="s">
        <v>167</v>
      </c>
      <c r="CU81" s="168" t="s">
        <v>167</v>
      </c>
      <c r="CV81" s="152" t="s">
        <v>167</v>
      </c>
      <c r="CW81" s="142" t="s">
        <v>167</v>
      </c>
      <c r="CX81" s="146" t="s">
        <v>167</v>
      </c>
      <c r="CY81" t="s">
        <v>167</v>
      </c>
      <c r="CZ81" t="s">
        <v>167</v>
      </c>
      <c r="DA81" t="s">
        <v>167</v>
      </c>
      <c r="DB81" t="s">
        <v>167</v>
      </c>
      <c r="DC81" t="s">
        <v>167</v>
      </c>
      <c r="DD81" t="s">
        <v>167</v>
      </c>
      <c r="DE81" s="169" t="s">
        <v>230</v>
      </c>
      <c r="DF81" t="s">
        <v>234</v>
      </c>
      <c r="DG81" s="160">
        <v>35</v>
      </c>
      <c r="DH81" t="s">
        <v>174</v>
      </c>
      <c r="DI81">
        <v>3</v>
      </c>
      <c r="DJ81" s="161" t="s">
        <v>196</v>
      </c>
      <c r="DK81" s="146" t="s">
        <v>167</v>
      </c>
      <c r="DL81" s="146" t="s">
        <v>167</v>
      </c>
      <c r="DM81" s="146" t="s">
        <v>167</v>
      </c>
      <c r="DN81" s="146" t="s">
        <v>167</v>
      </c>
      <c r="DO81" s="146" t="s">
        <v>167</v>
      </c>
      <c r="DP81" s="146" t="s">
        <v>167</v>
      </c>
      <c r="DQ81" s="146" t="s">
        <v>167</v>
      </c>
      <c r="DR81" s="146" t="s">
        <v>167</v>
      </c>
      <c r="DS81" s="146" t="s">
        <v>167</v>
      </c>
      <c r="DT81" s="146" t="s">
        <v>167</v>
      </c>
      <c r="DU81" s="146" t="s">
        <v>167</v>
      </c>
      <c r="DV81" s="146" t="s">
        <v>167</v>
      </c>
      <c r="DW81" s="143">
        <v>432.56244218316402</v>
      </c>
      <c r="DX81" t="s">
        <v>197</v>
      </c>
      <c r="DY81" s="142">
        <v>37.1</v>
      </c>
      <c r="DZ81" t="s">
        <v>198</v>
      </c>
      <c r="EA81" s="152">
        <v>39.227790540000001</v>
      </c>
      <c r="EB81" s="149" t="s">
        <v>185</v>
      </c>
      <c r="EC81" s="162">
        <v>0.2</v>
      </c>
      <c r="ED81" t="s">
        <v>199</v>
      </c>
      <c r="EE81" t="s">
        <v>225</v>
      </c>
      <c r="EF81" t="s">
        <v>201</v>
      </c>
      <c r="EG81">
        <v>1.0271999999999999</v>
      </c>
      <c r="EH81" t="s">
        <v>202</v>
      </c>
      <c r="EI81">
        <v>5.9999999999999995E-4</v>
      </c>
      <c r="EJ81" t="s">
        <v>203</v>
      </c>
      <c r="EK81" t="s">
        <v>167</v>
      </c>
      <c r="EL81" t="s">
        <v>167</v>
      </c>
      <c r="EM81" t="s">
        <v>204</v>
      </c>
      <c r="EN81" t="s">
        <v>226</v>
      </c>
      <c r="EO81" t="s">
        <v>206</v>
      </c>
      <c r="EP81" t="s">
        <v>206</v>
      </c>
      <c r="EQ81" s="146" t="s">
        <v>167</v>
      </c>
      <c r="ER81" t="s">
        <v>167</v>
      </c>
      <c r="ES81" t="s">
        <v>167</v>
      </c>
      <c r="ET81" t="s">
        <v>207</v>
      </c>
      <c r="EU81" t="s">
        <v>208</v>
      </c>
      <c r="EV81" t="s">
        <v>227</v>
      </c>
      <c r="EW81" s="163">
        <v>2330</v>
      </c>
      <c r="EX81" t="s">
        <v>210</v>
      </c>
      <c r="EY81">
        <v>175</v>
      </c>
      <c r="EZ81">
        <v>175</v>
      </c>
      <c r="FA81" t="s">
        <v>167</v>
      </c>
      <c r="FB81" t="s">
        <v>167</v>
      </c>
      <c r="FC81" t="s">
        <v>167</v>
      </c>
      <c r="FD81" t="s">
        <v>167</v>
      </c>
      <c r="FE81" s="152">
        <v>8.0279294332926199</v>
      </c>
      <c r="FF81" s="164" t="s">
        <v>211</v>
      </c>
      <c r="FG81" s="170">
        <v>7.1150313257430042E-2</v>
      </c>
      <c r="FH81" s="170">
        <v>6.8944610647669435E-2</v>
      </c>
      <c r="FI81" s="144">
        <f t="shared" si="27"/>
        <v>430.925265560215</v>
      </c>
      <c r="FJ81" s="146">
        <v>29</v>
      </c>
      <c r="FK81" s="149" t="s">
        <v>212</v>
      </c>
      <c r="FL81" s="152">
        <v>401.925265560215</v>
      </c>
      <c r="FM81" s="158">
        <v>96.273266553235999</v>
      </c>
      <c r="FN81" s="158">
        <v>79.142738067669995</v>
      </c>
      <c r="FO81" s="144" t="s">
        <v>213</v>
      </c>
      <c r="FP81" s="144" t="s">
        <v>214</v>
      </c>
      <c r="FQ81" t="s">
        <v>215</v>
      </c>
      <c r="FR81" t="s">
        <v>215</v>
      </c>
      <c r="FS81" t="s">
        <v>215</v>
      </c>
      <c r="FT81" t="s">
        <v>215</v>
      </c>
      <c r="FU81" t="s">
        <v>215</v>
      </c>
      <c r="FV81" t="s">
        <v>215</v>
      </c>
      <c r="FW81" t="s">
        <v>215</v>
      </c>
      <c r="FX81" t="s">
        <v>215</v>
      </c>
      <c r="FY81" t="s">
        <v>215</v>
      </c>
      <c r="FZ81" t="s">
        <v>215</v>
      </c>
      <c r="GA81" t="s">
        <v>215</v>
      </c>
      <c r="GB81" t="s">
        <v>215</v>
      </c>
    </row>
    <row r="82" spans="1:184" ht="18" x14ac:dyDescent="0.2">
      <c r="A82" t="s">
        <v>240</v>
      </c>
      <c r="B82" s="141" t="s">
        <v>241</v>
      </c>
      <c r="C82" s="138" t="s">
        <v>168</v>
      </c>
      <c r="D82" t="s">
        <v>239</v>
      </c>
      <c r="E82">
        <v>2015</v>
      </c>
      <c r="F82" t="str">
        <f t="shared" si="23"/>
        <v>10.1038/nature14145</v>
      </c>
      <c r="G82" s="143">
        <f t="shared" si="24"/>
        <v>2750.5686040000001</v>
      </c>
      <c r="H82" s="142">
        <f t="shared" si="25"/>
        <v>6</v>
      </c>
      <c r="I82" s="142">
        <f t="shared" si="25"/>
        <v>6</v>
      </c>
      <c r="J82" s="148">
        <f t="shared" si="26"/>
        <v>376.30382933961403</v>
      </c>
      <c r="K82" s="148">
        <f t="shared" si="26"/>
        <v>92.124635527582996</v>
      </c>
      <c r="L82" s="148">
        <f t="shared" si="26"/>
        <v>77.939455064808044</v>
      </c>
      <c r="M82" t="b">
        <v>1</v>
      </c>
      <c r="N82">
        <v>1</v>
      </c>
      <c r="O82" s="178" t="s">
        <v>264</v>
      </c>
      <c r="P82" s="142" t="s">
        <v>167</v>
      </c>
      <c r="Q82" t="b">
        <v>0</v>
      </c>
      <c r="R82" t="s">
        <v>167</v>
      </c>
      <c r="S82" t="b">
        <v>0</v>
      </c>
      <c r="T82" t="b">
        <v>0</v>
      </c>
      <c r="U82" t="s">
        <v>167</v>
      </c>
      <c r="V82" t="s">
        <v>167</v>
      </c>
      <c r="W82" t="b">
        <v>0</v>
      </c>
      <c r="X82" t="s">
        <v>244</v>
      </c>
      <c r="Y82" s="150" t="s">
        <v>169</v>
      </c>
      <c r="Z82" t="s">
        <v>170</v>
      </c>
      <c r="AA82" t="s">
        <v>228</v>
      </c>
      <c r="AB82" s="149" t="s">
        <v>167</v>
      </c>
      <c r="AC82" s="149" t="s">
        <v>167</v>
      </c>
      <c r="AD82" s="149" t="s">
        <v>167</v>
      </c>
      <c r="AE82" s="149" t="s">
        <v>167</v>
      </c>
      <c r="AF82" s="149" t="s">
        <v>167</v>
      </c>
      <c r="AG82" s="149" t="s">
        <v>167</v>
      </c>
      <c r="AH82" s="146" t="s">
        <v>167</v>
      </c>
      <c r="AI82" s="146" t="s">
        <v>167</v>
      </c>
      <c r="AJ82" t="s">
        <v>229</v>
      </c>
      <c r="AK82" s="151">
        <v>-1.394722</v>
      </c>
      <c r="AL82" s="151">
        <v>-11.74306</v>
      </c>
      <c r="AM82" s="151">
        <v>-1.394722</v>
      </c>
      <c r="AN82" s="151">
        <v>-11.74306</v>
      </c>
      <c r="AO82" s="151">
        <v>-3821</v>
      </c>
      <c r="AP82" s="151">
        <v>-3821</v>
      </c>
      <c r="AQ82" s="142" t="s">
        <v>167</v>
      </c>
      <c r="AR82" s="142" t="s">
        <v>167</v>
      </c>
      <c r="AS82" s="152">
        <v>2750.5686040000001</v>
      </c>
      <c r="AT82" s="153" t="s">
        <v>174</v>
      </c>
      <c r="AU82" s="142">
        <v>6</v>
      </c>
      <c r="AV82" s="142">
        <v>6</v>
      </c>
      <c r="AW82" s="149" t="s">
        <v>167</v>
      </c>
      <c r="AX82" s="171" t="s">
        <v>243</v>
      </c>
      <c r="AY82" s="146" t="s">
        <v>167</v>
      </c>
      <c r="AZ82" t="s">
        <v>167</v>
      </c>
      <c r="BA82" t="s">
        <v>167</v>
      </c>
      <c r="BB82" t="s">
        <v>167</v>
      </c>
      <c r="BC82" t="s">
        <v>167</v>
      </c>
      <c r="BD82" t="s">
        <v>167</v>
      </c>
      <c r="BE82" t="s">
        <v>167</v>
      </c>
      <c r="BF82" t="s">
        <v>167</v>
      </c>
      <c r="BG82" s="154" t="s">
        <v>175</v>
      </c>
      <c r="BH82" t="s">
        <v>176</v>
      </c>
      <c r="BI82" s="155" t="s">
        <v>177</v>
      </c>
      <c r="BJ82" s="156" t="s">
        <v>178</v>
      </c>
      <c r="BK82" s="156" t="s">
        <v>179</v>
      </c>
      <c r="BL82" s="156" t="s">
        <v>180</v>
      </c>
      <c r="BM82" t="s">
        <v>181</v>
      </c>
      <c r="BN82" s="142" t="s">
        <v>182</v>
      </c>
      <c r="BO82" s="142" t="s">
        <v>182</v>
      </c>
      <c r="BP82" s="142" t="s">
        <v>182</v>
      </c>
      <c r="BQ82" s="152">
        <v>19.70604062</v>
      </c>
      <c r="BR82" t="s">
        <v>183</v>
      </c>
      <c r="BS82" s="152">
        <v>0.175761576</v>
      </c>
      <c r="BT82">
        <v>0.6</v>
      </c>
      <c r="BU82" t="s">
        <v>184</v>
      </c>
      <c r="BV82" s="153">
        <v>0.08</v>
      </c>
      <c r="BW82">
        <v>8.8699999999999992</v>
      </c>
      <c r="BX82" t="s">
        <v>185</v>
      </c>
      <c r="BY82">
        <v>1.52</v>
      </c>
      <c r="BZ82" t="s">
        <v>224</v>
      </c>
      <c r="CA82" t="s">
        <v>187</v>
      </c>
      <c r="CB82" s="158">
        <f t="shared" si="20"/>
        <v>18.060067700000001</v>
      </c>
      <c r="CC82" t="s">
        <v>184</v>
      </c>
      <c r="CD82" s="149" t="s">
        <v>167</v>
      </c>
      <c r="CE82" s="149" t="s">
        <v>167</v>
      </c>
      <c r="CF82" t="s">
        <v>188</v>
      </c>
      <c r="CG82" t="s">
        <v>189</v>
      </c>
      <c r="CH82" t="s">
        <v>190</v>
      </c>
      <c r="CI82" t="s">
        <v>190</v>
      </c>
      <c r="CJ82" s="152">
        <v>26.888414564885494</v>
      </c>
      <c r="CK82" t="s">
        <v>184</v>
      </c>
      <c r="CL82" s="159">
        <v>3</v>
      </c>
      <c r="CM82" s="159">
        <v>3</v>
      </c>
      <c r="CN82" s="146" t="s">
        <v>167</v>
      </c>
      <c r="CO82" s="146" t="s">
        <v>167</v>
      </c>
      <c r="CP82" s="146" t="s">
        <v>167</v>
      </c>
      <c r="CQ82" s="146" t="s">
        <v>167</v>
      </c>
      <c r="CR82" s="146" t="s">
        <v>167</v>
      </c>
      <c r="CS82" s="146" t="s">
        <v>167</v>
      </c>
      <c r="CT82" s="167" t="s">
        <v>167</v>
      </c>
      <c r="CU82" s="168" t="s">
        <v>167</v>
      </c>
      <c r="CV82" s="152" t="s">
        <v>167</v>
      </c>
      <c r="CW82" s="142" t="s">
        <v>167</v>
      </c>
      <c r="CX82" s="146" t="s">
        <v>167</v>
      </c>
      <c r="CY82" t="s">
        <v>167</v>
      </c>
      <c r="CZ82" t="s">
        <v>167</v>
      </c>
      <c r="DA82" t="s">
        <v>167</v>
      </c>
      <c r="DB82" t="s">
        <v>167</v>
      </c>
      <c r="DC82" t="s">
        <v>167</v>
      </c>
      <c r="DD82" t="s">
        <v>167</v>
      </c>
      <c r="DE82" s="169" t="s">
        <v>230</v>
      </c>
      <c r="DF82" t="s">
        <v>235</v>
      </c>
      <c r="DG82" s="160">
        <v>35</v>
      </c>
      <c r="DH82" t="s">
        <v>174</v>
      </c>
      <c r="DI82">
        <v>3</v>
      </c>
      <c r="DJ82" s="161" t="s">
        <v>196</v>
      </c>
      <c r="DK82" s="146" t="s">
        <v>167</v>
      </c>
      <c r="DL82" s="146" t="s">
        <v>167</v>
      </c>
      <c r="DM82" s="146" t="s">
        <v>167</v>
      </c>
      <c r="DN82" s="146" t="s">
        <v>167</v>
      </c>
      <c r="DO82" s="146" t="s">
        <v>167</v>
      </c>
      <c r="DP82" s="146" t="s">
        <v>167</v>
      </c>
      <c r="DQ82" s="146" t="s">
        <v>167</v>
      </c>
      <c r="DR82" s="146" t="s">
        <v>167</v>
      </c>
      <c r="DS82" s="146" t="s">
        <v>167</v>
      </c>
      <c r="DT82" s="146" t="s">
        <v>167</v>
      </c>
      <c r="DU82" s="146" t="s">
        <v>167</v>
      </c>
      <c r="DV82" s="146" t="s">
        <v>167</v>
      </c>
      <c r="DW82" s="143">
        <v>432.56244218316402</v>
      </c>
      <c r="DX82" t="s">
        <v>197</v>
      </c>
      <c r="DY82" s="142">
        <v>37.1</v>
      </c>
      <c r="DZ82" t="s">
        <v>198</v>
      </c>
      <c r="EA82" s="152">
        <v>39.210155630000003</v>
      </c>
      <c r="EB82" s="149" t="s">
        <v>185</v>
      </c>
      <c r="EC82" s="162">
        <v>0.2</v>
      </c>
      <c r="ED82" t="s">
        <v>199</v>
      </c>
      <c r="EE82" t="s">
        <v>225</v>
      </c>
      <c r="EF82" t="s">
        <v>201</v>
      </c>
      <c r="EG82">
        <v>1.0271999999999999</v>
      </c>
      <c r="EH82" t="s">
        <v>202</v>
      </c>
      <c r="EI82">
        <v>5.9999999999999995E-4</v>
      </c>
      <c r="EJ82" t="s">
        <v>203</v>
      </c>
      <c r="EK82" t="s">
        <v>167</v>
      </c>
      <c r="EL82" t="s">
        <v>167</v>
      </c>
      <c r="EM82" t="s">
        <v>204</v>
      </c>
      <c r="EN82" t="s">
        <v>226</v>
      </c>
      <c r="EO82" t="s">
        <v>206</v>
      </c>
      <c r="EP82" t="s">
        <v>206</v>
      </c>
      <c r="EQ82" s="146" t="s">
        <v>167</v>
      </c>
      <c r="ER82" t="s">
        <v>167</v>
      </c>
      <c r="ES82" t="s">
        <v>167</v>
      </c>
      <c r="ET82" t="s">
        <v>207</v>
      </c>
      <c r="EU82" t="s">
        <v>208</v>
      </c>
      <c r="EV82" t="s">
        <v>227</v>
      </c>
      <c r="EW82" s="163">
        <v>2330</v>
      </c>
      <c r="EX82" t="s">
        <v>210</v>
      </c>
      <c r="EY82">
        <v>175</v>
      </c>
      <c r="EZ82">
        <v>175</v>
      </c>
      <c r="FA82" t="s">
        <v>167</v>
      </c>
      <c r="FB82" t="s">
        <v>167</v>
      </c>
      <c r="FC82" t="s">
        <v>167</v>
      </c>
      <c r="FD82" t="s">
        <v>167</v>
      </c>
      <c r="FE82" s="152">
        <v>8.0498975159270003</v>
      </c>
      <c r="FF82" s="164" t="s">
        <v>211</v>
      </c>
      <c r="FG82" s="170">
        <v>7.2330222375089903E-2</v>
      </c>
      <c r="FH82" s="170">
        <v>6.9233537407539458E-2</v>
      </c>
      <c r="FI82" s="144">
        <f t="shared" si="27"/>
        <v>405.30382933961403</v>
      </c>
      <c r="FJ82" s="146">
        <v>29</v>
      </c>
      <c r="FK82" s="149" t="s">
        <v>212</v>
      </c>
      <c r="FL82" s="152">
        <v>376.30382933961403</v>
      </c>
      <c r="FM82" s="158">
        <v>92.124635527582996</v>
      </c>
      <c r="FN82" s="158">
        <v>77.939455064808044</v>
      </c>
      <c r="FO82" s="144" t="s">
        <v>213</v>
      </c>
      <c r="FP82" s="144" t="s">
        <v>214</v>
      </c>
      <c r="FQ82" t="s">
        <v>215</v>
      </c>
      <c r="FR82" t="s">
        <v>215</v>
      </c>
      <c r="FS82" t="s">
        <v>215</v>
      </c>
      <c r="FT82" t="s">
        <v>215</v>
      </c>
      <c r="FU82" t="s">
        <v>215</v>
      </c>
      <c r="FV82" t="s">
        <v>215</v>
      </c>
      <c r="FW82" t="s">
        <v>215</v>
      </c>
      <c r="FX82" t="s">
        <v>215</v>
      </c>
      <c r="FY82" t="s">
        <v>215</v>
      </c>
      <c r="FZ82" t="s">
        <v>215</v>
      </c>
      <c r="GA82" t="s">
        <v>215</v>
      </c>
      <c r="GB82" t="s">
        <v>215</v>
      </c>
    </row>
    <row r="83" spans="1:184" ht="18" x14ac:dyDescent="0.2">
      <c r="A83" t="s">
        <v>240</v>
      </c>
      <c r="B83" s="141" t="s">
        <v>241</v>
      </c>
      <c r="C83" s="138" t="s">
        <v>168</v>
      </c>
      <c r="D83" t="s">
        <v>239</v>
      </c>
      <c r="E83">
        <v>2015</v>
      </c>
      <c r="F83" t="str">
        <f t="shared" si="23"/>
        <v>10.1038/nature14145</v>
      </c>
      <c r="G83" s="143">
        <f t="shared" si="24"/>
        <v>2828.2758789999998</v>
      </c>
      <c r="H83" s="142">
        <f t="shared" si="25"/>
        <v>6</v>
      </c>
      <c r="I83" s="142">
        <f t="shared" si="25"/>
        <v>6</v>
      </c>
      <c r="J83" s="148">
        <f t="shared" si="26"/>
        <v>352.052923691731</v>
      </c>
      <c r="K83" s="148">
        <f t="shared" si="26"/>
        <v>82.534938994390984</v>
      </c>
      <c r="L83" s="148">
        <f t="shared" si="26"/>
        <v>69.91786962763797</v>
      </c>
      <c r="M83" t="b">
        <v>1</v>
      </c>
      <c r="N83">
        <v>1</v>
      </c>
      <c r="O83" s="178" t="s">
        <v>264</v>
      </c>
      <c r="P83" s="142" t="s">
        <v>167</v>
      </c>
      <c r="Q83" t="b">
        <v>0</v>
      </c>
      <c r="R83" t="s">
        <v>167</v>
      </c>
      <c r="S83" t="b">
        <v>0</v>
      </c>
      <c r="T83" t="b">
        <v>0</v>
      </c>
      <c r="U83" t="s">
        <v>167</v>
      </c>
      <c r="V83" t="s">
        <v>167</v>
      </c>
      <c r="W83" t="b">
        <v>0</v>
      </c>
      <c r="X83" t="s">
        <v>244</v>
      </c>
      <c r="Y83" s="150" t="s">
        <v>169</v>
      </c>
      <c r="Z83" t="s">
        <v>170</v>
      </c>
      <c r="AA83" t="s">
        <v>228</v>
      </c>
      <c r="AB83" s="149" t="s">
        <v>167</v>
      </c>
      <c r="AC83" s="149" t="s">
        <v>167</v>
      </c>
      <c r="AD83" s="149" t="s">
        <v>167</v>
      </c>
      <c r="AE83" s="149" t="s">
        <v>167</v>
      </c>
      <c r="AF83" s="149" t="s">
        <v>167</v>
      </c>
      <c r="AG83" s="149" t="s">
        <v>167</v>
      </c>
      <c r="AH83" s="146" t="s">
        <v>167</v>
      </c>
      <c r="AI83" s="146" t="s">
        <v>167</v>
      </c>
      <c r="AJ83" t="s">
        <v>229</v>
      </c>
      <c r="AK83" s="151">
        <v>-1.394722</v>
      </c>
      <c r="AL83" s="151">
        <v>-11.74306</v>
      </c>
      <c r="AM83" s="151">
        <v>-1.394722</v>
      </c>
      <c r="AN83" s="151">
        <v>-11.74306</v>
      </c>
      <c r="AO83" s="151">
        <v>-3821</v>
      </c>
      <c r="AP83" s="151">
        <v>-3821</v>
      </c>
      <c r="AQ83" s="142" t="s">
        <v>167</v>
      </c>
      <c r="AR83" s="142" t="s">
        <v>167</v>
      </c>
      <c r="AS83" s="152">
        <v>2828.2758789999998</v>
      </c>
      <c r="AT83" s="153" t="s">
        <v>174</v>
      </c>
      <c r="AU83" s="142">
        <v>6</v>
      </c>
      <c r="AV83" s="142">
        <v>6</v>
      </c>
      <c r="AW83" s="149" t="s">
        <v>167</v>
      </c>
      <c r="AX83" s="171" t="s">
        <v>243</v>
      </c>
      <c r="AY83" s="146" t="s">
        <v>167</v>
      </c>
      <c r="AZ83" t="s">
        <v>167</v>
      </c>
      <c r="BA83" t="s">
        <v>167</v>
      </c>
      <c r="BB83" t="s">
        <v>167</v>
      </c>
      <c r="BC83" t="s">
        <v>167</v>
      </c>
      <c r="BD83" t="s">
        <v>167</v>
      </c>
      <c r="BE83" t="s">
        <v>167</v>
      </c>
      <c r="BF83" t="s">
        <v>167</v>
      </c>
      <c r="BG83" s="154" t="s">
        <v>175</v>
      </c>
      <c r="BH83" t="s">
        <v>176</v>
      </c>
      <c r="BI83" s="155" t="s">
        <v>177</v>
      </c>
      <c r="BJ83" s="155" t="s">
        <v>178</v>
      </c>
      <c r="BK83" s="156" t="s">
        <v>179</v>
      </c>
      <c r="BL83" s="156" t="s">
        <v>180</v>
      </c>
      <c r="BM83" t="s">
        <v>181</v>
      </c>
      <c r="BN83" s="142" t="s">
        <v>182</v>
      </c>
      <c r="BO83" s="142" t="s">
        <v>182</v>
      </c>
      <c r="BP83" s="142" t="s">
        <v>182</v>
      </c>
      <c r="BQ83" s="152">
        <v>19.765591749999999</v>
      </c>
      <c r="BR83" t="s">
        <v>183</v>
      </c>
      <c r="BS83" s="152">
        <v>0.141604016</v>
      </c>
      <c r="BT83">
        <v>0.6</v>
      </c>
      <c r="BU83" t="s">
        <v>184</v>
      </c>
      <c r="BV83" s="153">
        <v>0.08</v>
      </c>
      <c r="BW83">
        <v>8.8699999999999992</v>
      </c>
      <c r="BX83" t="s">
        <v>185</v>
      </c>
      <c r="BY83">
        <v>1.52</v>
      </c>
      <c r="BZ83" t="s">
        <v>224</v>
      </c>
      <c r="CA83" t="s">
        <v>187</v>
      </c>
      <c r="CB83" s="158">
        <f t="shared" si="20"/>
        <v>18.159319583333332</v>
      </c>
      <c r="CC83" t="s">
        <v>184</v>
      </c>
      <c r="CD83" s="149" t="s">
        <v>167</v>
      </c>
      <c r="CE83" s="149" t="s">
        <v>167</v>
      </c>
      <c r="CF83" t="s">
        <v>188</v>
      </c>
      <c r="CG83" t="s">
        <v>189</v>
      </c>
      <c r="CH83" t="s">
        <v>190</v>
      </c>
      <c r="CI83" t="s">
        <v>190</v>
      </c>
      <c r="CJ83" s="152">
        <v>25.927814443137198</v>
      </c>
      <c r="CK83" t="s">
        <v>184</v>
      </c>
      <c r="CL83" s="159">
        <v>3</v>
      </c>
      <c r="CM83" s="159">
        <v>3</v>
      </c>
      <c r="CN83" s="146" t="s">
        <v>167</v>
      </c>
      <c r="CO83" s="146" t="s">
        <v>167</v>
      </c>
      <c r="CP83" s="146" t="s">
        <v>167</v>
      </c>
      <c r="CQ83" s="146" t="s">
        <v>167</v>
      </c>
      <c r="CR83" s="146" t="s">
        <v>167</v>
      </c>
      <c r="CS83" s="146" t="s">
        <v>167</v>
      </c>
      <c r="CT83" s="167" t="s">
        <v>167</v>
      </c>
      <c r="CU83" s="168" t="s">
        <v>167</v>
      </c>
      <c r="CV83" s="152" t="s">
        <v>167</v>
      </c>
      <c r="CW83" s="142" t="s">
        <v>167</v>
      </c>
      <c r="CX83" s="146" t="s">
        <v>167</v>
      </c>
      <c r="CY83" t="s">
        <v>167</v>
      </c>
      <c r="CZ83" t="s">
        <v>167</v>
      </c>
      <c r="DA83" t="s">
        <v>167</v>
      </c>
      <c r="DB83" t="s">
        <v>167</v>
      </c>
      <c r="DC83" t="s">
        <v>167</v>
      </c>
      <c r="DD83" t="s">
        <v>167</v>
      </c>
      <c r="DE83" s="169" t="s">
        <v>230</v>
      </c>
      <c r="DF83" t="s">
        <v>236</v>
      </c>
      <c r="DG83" s="160">
        <v>35</v>
      </c>
      <c r="DH83" t="s">
        <v>174</v>
      </c>
      <c r="DI83">
        <v>3</v>
      </c>
      <c r="DJ83" s="161" t="s">
        <v>196</v>
      </c>
      <c r="DK83" s="146" t="s">
        <v>167</v>
      </c>
      <c r="DL83" s="146" t="s">
        <v>167</v>
      </c>
      <c r="DM83" s="146" t="s">
        <v>167</v>
      </c>
      <c r="DN83" s="146" t="s">
        <v>167</v>
      </c>
      <c r="DO83" s="146" t="s">
        <v>167</v>
      </c>
      <c r="DP83" s="146" t="s">
        <v>167</v>
      </c>
      <c r="DQ83" s="146" t="s">
        <v>167</v>
      </c>
      <c r="DR83" s="146" t="s">
        <v>167</v>
      </c>
      <c r="DS83" s="146" t="s">
        <v>167</v>
      </c>
      <c r="DT83" s="146" t="s">
        <v>167</v>
      </c>
      <c r="DU83" s="146" t="s">
        <v>167</v>
      </c>
      <c r="DV83" s="146" t="s">
        <v>167</v>
      </c>
      <c r="DW83" s="143">
        <v>432.56244218316402</v>
      </c>
      <c r="DX83" t="s">
        <v>197</v>
      </c>
      <c r="DY83" s="142">
        <v>37.1</v>
      </c>
      <c r="DZ83" t="s">
        <v>198</v>
      </c>
      <c r="EA83" s="152">
        <v>39.199142000000002</v>
      </c>
      <c r="EB83" s="149" t="s">
        <v>185</v>
      </c>
      <c r="EC83" s="162">
        <v>0.2</v>
      </c>
      <c r="ED83" t="s">
        <v>199</v>
      </c>
      <c r="EE83" t="s">
        <v>225</v>
      </c>
      <c r="EF83" t="s">
        <v>201</v>
      </c>
      <c r="EG83">
        <v>1.0271999999999999</v>
      </c>
      <c r="EH83" t="s">
        <v>202</v>
      </c>
      <c r="EI83">
        <v>5.9999999999999995E-4</v>
      </c>
      <c r="EJ83" t="s">
        <v>203</v>
      </c>
      <c r="EK83" t="s">
        <v>167</v>
      </c>
      <c r="EL83" t="s">
        <v>167</v>
      </c>
      <c r="EM83" t="s">
        <v>204</v>
      </c>
      <c r="EN83" t="s">
        <v>226</v>
      </c>
      <c r="EO83" t="s">
        <v>206</v>
      </c>
      <c r="EP83" t="s">
        <v>206</v>
      </c>
      <c r="EQ83" s="146" t="s">
        <v>167</v>
      </c>
      <c r="ER83" t="s">
        <v>167</v>
      </c>
      <c r="ES83" t="s">
        <v>167</v>
      </c>
      <c r="ET83" t="s">
        <v>207</v>
      </c>
      <c r="EU83" t="s">
        <v>208</v>
      </c>
      <c r="EV83" t="s">
        <v>227</v>
      </c>
      <c r="EW83" s="163">
        <v>2330</v>
      </c>
      <c r="EX83" t="s">
        <v>210</v>
      </c>
      <c r="EY83">
        <v>175</v>
      </c>
      <c r="EZ83">
        <v>175</v>
      </c>
      <c r="FA83" t="s">
        <v>167</v>
      </c>
      <c r="FB83" t="s">
        <v>167</v>
      </c>
      <c r="FC83" t="s">
        <v>167</v>
      </c>
      <c r="FD83" t="s">
        <v>167</v>
      </c>
      <c r="FE83" s="152">
        <v>8.0724874469436596</v>
      </c>
      <c r="FF83" s="164" t="s">
        <v>211</v>
      </c>
      <c r="FG83" s="170">
        <v>6.7701083959809338E-2</v>
      </c>
      <c r="FH83" s="170">
        <v>6.6024113452749944E-2</v>
      </c>
      <c r="FI83" s="144">
        <f t="shared" si="27"/>
        <v>381.052923691731</v>
      </c>
      <c r="FJ83" s="146">
        <v>29</v>
      </c>
      <c r="FK83" s="149" t="s">
        <v>212</v>
      </c>
      <c r="FL83" s="152">
        <v>352.052923691731</v>
      </c>
      <c r="FM83" s="158">
        <v>82.534938994390984</v>
      </c>
      <c r="FN83" s="158">
        <v>69.91786962763797</v>
      </c>
      <c r="FO83" s="144" t="s">
        <v>213</v>
      </c>
      <c r="FP83" s="144" t="s">
        <v>214</v>
      </c>
      <c r="FQ83" t="s">
        <v>215</v>
      </c>
      <c r="FR83" t="s">
        <v>215</v>
      </c>
      <c r="FS83" t="s">
        <v>215</v>
      </c>
      <c r="FT83" t="s">
        <v>215</v>
      </c>
      <c r="FU83" t="s">
        <v>215</v>
      </c>
      <c r="FV83" t="s">
        <v>215</v>
      </c>
      <c r="FW83" t="s">
        <v>215</v>
      </c>
      <c r="FX83" t="s">
        <v>215</v>
      </c>
      <c r="FY83" t="s">
        <v>215</v>
      </c>
      <c r="FZ83" t="s">
        <v>215</v>
      </c>
      <c r="GA83" t="s">
        <v>215</v>
      </c>
      <c r="GB83" t="s">
        <v>215</v>
      </c>
    </row>
    <row r="84" spans="1:184" ht="18" x14ac:dyDescent="0.2">
      <c r="A84" t="s">
        <v>240</v>
      </c>
      <c r="B84" s="141" t="s">
        <v>241</v>
      </c>
      <c r="C84" s="138" t="s">
        <v>168</v>
      </c>
      <c r="D84" t="s">
        <v>239</v>
      </c>
      <c r="E84">
        <v>2015</v>
      </c>
      <c r="F84" t="str">
        <f t="shared" si="23"/>
        <v>10.1038/nature14145</v>
      </c>
      <c r="G84" s="143">
        <f t="shared" si="24"/>
        <v>3160.107422</v>
      </c>
      <c r="H84" s="142">
        <f t="shared" si="25"/>
        <v>15</v>
      </c>
      <c r="I84" s="142">
        <f t="shared" si="25"/>
        <v>15</v>
      </c>
      <c r="J84" s="148">
        <f t="shared" si="26"/>
        <v>525.25733655511397</v>
      </c>
      <c r="K84" s="148">
        <f t="shared" si="26"/>
        <v>126.968923173147</v>
      </c>
      <c r="L84" s="148">
        <f t="shared" si="26"/>
        <v>106.60977183014296</v>
      </c>
      <c r="M84" t="b">
        <v>1</v>
      </c>
      <c r="N84">
        <v>1</v>
      </c>
      <c r="O84" s="178" t="s">
        <v>264</v>
      </c>
      <c r="P84" s="142" t="s">
        <v>167</v>
      </c>
      <c r="Q84" t="b">
        <v>0</v>
      </c>
      <c r="R84" t="s">
        <v>167</v>
      </c>
      <c r="S84" t="b">
        <v>0</v>
      </c>
      <c r="T84" t="b">
        <v>0</v>
      </c>
      <c r="U84" t="s">
        <v>167</v>
      </c>
      <c r="V84" t="s">
        <v>167</v>
      </c>
      <c r="W84" t="b">
        <v>0</v>
      </c>
      <c r="X84" t="s">
        <v>244</v>
      </c>
      <c r="Y84" s="150" t="s">
        <v>169</v>
      </c>
      <c r="Z84" t="s">
        <v>170</v>
      </c>
      <c r="AA84" t="s">
        <v>228</v>
      </c>
      <c r="AB84" s="149" t="s">
        <v>167</v>
      </c>
      <c r="AC84" s="149" t="s">
        <v>167</v>
      </c>
      <c r="AD84" s="149" t="s">
        <v>167</v>
      </c>
      <c r="AE84" s="149" t="s">
        <v>167</v>
      </c>
      <c r="AF84" s="149" t="s">
        <v>167</v>
      </c>
      <c r="AG84" s="149" t="s">
        <v>167</v>
      </c>
      <c r="AH84" s="146" t="s">
        <v>167</v>
      </c>
      <c r="AI84" s="146" t="s">
        <v>167</v>
      </c>
      <c r="AJ84" t="s">
        <v>229</v>
      </c>
      <c r="AK84" s="151">
        <v>-1.394722</v>
      </c>
      <c r="AL84" s="151">
        <v>-11.74306</v>
      </c>
      <c r="AM84" s="151">
        <v>-1.394722</v>
      </c>
      <c r="AN84" s="151">
        <v>-11.74306</v>
      </c>
      <c r="AO84" s="151">
        <v>-3821</v>
      </c>
      <c r="AP84" s="151">
        <v>-3821</v>
      </c>
      <c r="AQ84" s="142" t="s">
        <v>167</v>
      </c>
      <c r="AR84" s="142" t="s">
        <v>167</v>
      </c>
      <c r="AS84" s="152">
        <v>3160.107422</v>
      </c>
      <c r="AT84" s="153" t="s">
        <v>174</v>
      </c>
      <c r="AU84" s="142">
        <v>15</v>
      </c>
      <c r="AV84" s="142">
        <v>15</v>
      </c>
      <c r="AW84" s="149" t="s">
        <v>167</v>
      </c>
      <c r="AX84" s="171" t="s">
        <v>243</v>
      </c>
      <c r="AY84" s="146" t="s">
        <v>167</v>
      </c>
      <c r="AZ84" t="s">
        <v>167</v>
      </c>
      <c r="BA84" t="s">
        <v>167</v>
      </c>
      <c r="BB84" t="s">
        <v>167</v>
      </c>
      <c r="BC84" t="s">
        <v>167</v>
      </c>
      <c r="BD84" t="s">
        <v>167</v>
      </c>
      <c r="BE84" t="s">
        <v>167</v>
      </c>
      <c r="BF84" t="s">
        <v>167</v>
      </c>
      <c r="BG84" s="154" t="s">
        <v>175</v>
      </c>
      <c r="BH84" t="s">
        <v>176</v>
      </c>
      <c r="BI84" s="155" t="s">
        <v>177</v>
      </c>
      <c r="BJ84" s="156" t="s">
        <v>178</v>
      </c>
      <c r="BK84" s="156" t="s">
        <v>179</v>
      </c>
      <c r="BL84" s="156" t="s">
        <v>180</v>
      </c>
      <c r="BM84" t="s">
        <v>181</v>
      </c>
      <c r="BN84" s="142" t="s">
        <v>182</v>
      </c>
      <c r="BO84" s="142" t="s">
        <v>182</v>
      </c>
      <c r="BP84" s="142" t="s">
        <v>182</v>
      </c>
      <c r="BQ84" s="152">
        <v>18.992928110000001</v>
      </c>
      <c r="BR84" t="s">
        <v>183</v>
      </c>
      <c r="BS84" s="152">
        <v>0.131848045</v>
      </c>
      <c r="BT84">
        <v>0.6</v>
      </c>
      <c r="BU84" t="s">
        <v>184</v>
      </c>
      <c r="BV84" s="153">
        <v>0.08</v>
      </c>
      <c r="BW84">
        <v>8.8699999999999992</v>
      </c>
      <c r="BX84" t="s">
        <v>185</v>
      </c>
      <c r="BY84">
        <v>1.52</v>
      </c>
      <c r="BZ84" t="s">
        <v>224</v>
      </c>
      <c r="CA84" t="s">
        <v>187</v>
      </c>
      <c r="CB84" s="158">
        <f t="shared" si="20"/>
        <v>16.871546850000005</v>
      </c>
      <c r="CC84" t="s">
        <v>184</v>
      </c>
      <c r="CD84" s="149" t="s">
        <v>167</v>
      </c>
      <c r="CE84" s="149" t="s">
        <v>167</v>
      </c>
      <c r="CF84" t="s">
        <v>188</v>
      </c>
      <c r="CG84" t="s">
        <v>189</v>
      </c>
      <c r="CH84" t="s">
        <v>190</v>
      </c>
      <c r="CI84" t="s">
        <v>190</v>
      </c>
      <c r="CJ84" s="152">
        <v>27.01421667326732</v>
      </c>
      <c r="CK84" t="s">
        <v>184</v>
      </c>
      <c r="CL84" s="159">
        <v>3</v>
      </c>
      <c r="CM84" s="159">
        <v>3</v>
      </c>
      <c r="CN84" s="146" t="s">
        <v>167</v>
      </c>
      <c r="CO84" s="146" t="s">
        <v>167</v>
      </c>
      <c r="CP84" s="146" t="s">
        <v>167</v>
      </c>
      <c r="CQ84" s="146" t="s">
        <v>167</v>
      </c>
      <c r="CR84" s="146" t="s">
        <v>167</v>
      </c>
      <c r="CS84" s="146" t="s">
        <v>167</v>
      </c>
      <c r="CT84" s="167" t="s">
        <v>167</v>
      </c>
      <c r="CU84" s="168" t="s">
        <v>167</v>
      </c>
      <c r="CV84" s="152" t="s">
        <v>167</v>
      </c>
      <c r="CW84" s="142" t="s">
        <v>167</v>
      </c>
      <c r="CX84" s="146" t="s">
        <v>167</v>
      </c>
      <c r="CY84" t="s">
        <v>167</v>
      </c>
      <c r="CZ84" t="s">
        <v>167</v>
      </c>
      <c r="DA84" t="s">
        <v>167</v>
      </c>
      <c r="DB84" t="s">
        <v>167</v>
      </c>
      <c r="DC84" t="s">
        <v>167</v>
      </c>
      <c r="DD84" t="s">
        <v>167</v>
      </c>
      <c r="DE84" s="169" t="s">
        <v>230</v>
      </c>
      <c r="DF84" t="s">
        <v>237</v>
      </c>
      <c r="DG84" s="160">
        <v>35</v>
      </c>
      <c r="DH84" t="s">
        <v>174</v>
      </c>
      <c r="DI84">
        <v>3</v>
      </c>
      <c r="DJ84" s="161" t="s">
        <v>196</v>
      </c>
      <c r="DK84" s="146" t="s">
        <v>167</v>
      </c>
      <c r="DL84" s="146" t="s">
        <v>167</v>
      </c>
      <c r="DM84" s="146" t="s">
        <v>167</v>
      </c>
      <c r="DN84" s="146" t="s">
        <v>167</v>
      </c>
      <c r="DO84" s="146" t="s">
        <v>167</v>
      </c>
      <c r="DP84" s="146" t="s">
        <v>167</v>
      </c>
      <c r="DQ84" s="146" t="s">
        <v>167</v>
      </c>
      <c r="DR84" s="146" t="s">
        <v>167</v>
      </c>
      <c r="DS84" s="146" t="s">
        <v>167</v>
      </c>
      <c r="DT84" s="146" t="s">
        <v>167</v>
      </c>
      <c r="DU84" s="146" t="s">
        <v>167</v>
      </c>
      <c r="DV84" s="146" t="s">
        <v>167</v>
      </c>
      <c r="DW84" s="143">
        <v>432.56244218316402</v>
      </c>
      <c r="DX84" t="s">
        <v>197</v>
      </c>
      <c r="DY84" s="142">
        <v>37.1</v>
      </c>
      <c r="DZ84" t="s">
        <v>198</v>
      </c>
      <c r="EA84" s="152">
        <v>39.152110759999999</v>
      </c>
      <c r="EB84" s="149" t="s">
        <v>185</v>
      </c>
      <c r="EC84" s="162">
        <v>0.2</v>
      </c>
      <c r="ED84" t="s">
        <v>199</v>
      </c>
      <c r="EE84" t="s">
        <v>225</v>
      </c>
      <c r="EF84" t="s">
        <v>201</v>
      </c>
      <c r="EG84">
        <v>1.0271999999999999</v>
      </c>
      <c r="EH84" t="s">
        <v>202</v>
      </c>
      <c r="EI84">
        <v>5.9999999999999995E-4</v>
      </c>
      <c r="EJ84" t="s">
        <v>203</v>
      </c>
      <c r="EK84" t="s">
        <v>167</v>
      </c>
      <c r="EL84" t="s">
        <v>167</v>
      </c>
      <c r="EM84" t="s">
        <v>204</v>
      </c>
      <c r="EN84" t="s">
        <v>226</v>
      </c>
      <c r="EO84" t="s">
        <v>206</v>
      </c>
      <c r="EP84" t="s">
        <v>206</v>
      </c>
      <c r="EQ84" s="146" t="s">
        <v>167</v>
      </c>
      <c r="ER84" t="s">
        <v>167</v>
      </c>
      <c r="ES84" t="s">
        <v>167</v>
      </c>
      <c r="ET84" t="s">
        <v>207</v>
      </c>
      <c r="EU84" t="s">
        <v>208</v>
      </c>
      <c r="EV84" t="s">
        <v>227</v>
      </c>
      <c r="EW84" s="163">
        <v>2330</v>
      </c>
      <c r="EX84" t="s">
        <v>210</v>
      </c>
      <c r="EY84">
        <v>175</v>
      </c>
      <c r="EZ84">
        <v>175</v>
      </c>
      <c r="FA84" t="s">
        <v>167</v>
      </c>
      <c r="FB84" t="s">
        <v>167</v>
      </c>
      <c r="FC84" t="s">
        <v>167</v>
      </c>
      <c r="FD84" t="s">
        <v>167</v>
      </c>
      <c r="FE84" s="152">
        <v>7.9359140448780403</v>
      </c>
      <c r="FF84" s="164" t="s">
        <v>211</v>
      </c>
      <c r="FG84" s="170">
        <v>7.5157681810370747E-2</v>
      </c>
      <c r="FH84" s="170">
        <v>7.2297747777779087E-2</v>
      </c>
      <c r="FI84" s="144">
        <f t="shared" si="27"/>
        <v>554.25733655511397</v>
      </c>
      <c r="FJ84" s="146">
        <v>29</v>
      </c>
      <c r="FK84" s="149" t="s">
        <v>212</v>
      </c>
      <c r="FL84" s="152">
        <v>525.25733655511397</v>
      </c>
      <c r="FM84" s="158">
        <v>126.968923173147</v>
      </c>
      <c r="FN84" s="158">
        <v>106.60977183014296</v>
      </c>
      <c r="FO84" s="144" t="s">
        <v>213</v>
      </c>
      <c r="FP84" s="144" t="s">
        <v>214</v>
      </c>
      <c r="FQ84" t="s">
        <v>215</v>
      </c>
      <c r="FR84" t="s">
        <v>215</v>
      </c>
      <c r="FS84" t="s">
        <v>215</v>
      </c>
      <c r="FT84" t="s">
        <v>215</v>
      </c>
      <c r="FU84" t="s">
        <v>215</v>
      </c>
      <c r="FV84" t="s">
        <v>215</v>
      </c>
      <c r="FW84" t="s">
        <v>215</v>
      </c>
      <c r="FX84" t="s">
        <v>215</v>
      </c>
      <c r="FY84" t="s">
        <v>215</v>
      </c>
      <c r="FZ84" t="s">
        <v>215</v>
      </c>
      <c r="GA84" t="s">
        <v>215</v>
      </c>
      <c r="GB84" t="s">
        <v>215</v>
      </c>
    </row>
    <row r="85" spans="1:184" ht="18" x14ac:dyDescent="0.2">
      <c r="A85" t="s">
        <v>240</v>
      </c>
      <c r="B85" s="141" t="s">
        <v>241</v>
      </c>
      <c r="C85" s="138" t="s">
        <v>168</v>
      </c>
      <c r="D85" t="s">
        <v>239</v>
      </c>
      <c r="E85">
        <v>2015</v>
      </c>
      <c r="F85" t="str">
        <f t="shared" si="23"/>
        <v>10.1038/nature14145</v>
      </c>
      <c r="G85" s="143">
        <f t="shared" si="24"/>
        <v>3244.9020999999998</v>
      </c>
      <c r="H85" s="142">
        <f t="shared" si="25"/>
        <v>15</v>
      </c>
      <c r="I85" s="142">
        <f t="shared" si="25"/>
        <v>15</v>
      </c>
      <c r="J85" s="148">
        <f t="shared" si="26"/>
        <v>441.18393483077</v>
      </c>
      <c r="K85" s="148">
        <f t="shared" si="26"/>
        <v>112.41287725041502</v>
      </c>
      <c r="L85" s="148">
        <f t="shared" si="26"/>
        <v>94.111464382077997</v>
      </c>
      <c r="M85" t="b">
        <v>1</v>
      </c>
      <c r="N85">
        <v>1</v>
      </c>
      <c r="O85" s="178" t="s">
        <v>264</v>
      </c>
      <c r="P85" s="142" t="s">
        <v>167</v>
      </c>
      <c r="Q85" t="b">
        <v>0</v>
      </c>
      <c r="R85" t="s">
        <v>167</v>
      </c>
      <c r="S85" t="b">
        <v>0</v>
      </c>
      <c r="T85" t="b">
        <v>0</v>
      </c>
      <c r="U85" t="s">
        <v>167</v>
      </c>
      <c r="V85" t="s">
        <v>167</v>
      </c>
      <c r="W85" t="b">
        <v>0</v>
      </c>
      <c r="X85" t="s">
        <v>244</v>
      </c>
      <c r="Y85" s="150" t="s">
        <v>169</v>
      </c>
      <c r="Z85" t="s">
        <v>170</v>
      </c>
      <c r="AA85" t="s">
        <v>228</v>
      </c>
      <c r="AB85" s="149" t="s">
        <v>167</v>
      </c>
      <c r="AC85" s="149" t="s">
        <v>167</v>
      </c>
      <c r="AD85" s="149" t="s">
        <v>167</v>
      </c>
      <c r="AE85" s="149" t="s">
        <v>167</v>
      </c>
      <c r="AF85" s="149" t="s">
        <v>167</v>
      </c>
      <c r="AG85" s="149" t="s">
        <v>167</v>
      </c>
      <c r="AH85" s="146" t="s">
        <v>167</v>
      </c>
      <c r="AI85" s="146" t="s">
        <v>167</v>
      </c>
      <c r="AJ85" t="s">
        <v>229</v>
      </c>
      <c r="AK85" s="151">
        <v>-1.394722</v>
      </c>
      <c r="AL85" s="151">
        <v>-11.74306</v>
      </c>
      <c r="AM85" s="151">
        <v>-1.394722</v>
      </c>
      <c r="AN85" s="151">
        <v>-11.74306</v>
      </c>
      <c r="AO85" s="151">
        <v>-3821</v>
      </c>
      <c r="AP85" s="151">
        <v>-3821</v>
      </c>
      <c r="AQ85" s="142" t="s">
        <v>167</v>
      </c>
      <c r="AR85" s="142" t="s">
        <v>167</v>
      </c>
      <c r="AS85" s="152">
        <v>3244.9020999999998</v>
      </c>
      <c r="AT85" s="153" t="s">
        <v>174</v>
      </c>
      <c r="AU85" s="142">
        <v>15</v>
      </c>
      <c r="AV85" s="142">
        <v>15</v>
      </c>
      <c r="AW85" s="149" t="s">
        <v>167</v>
      </c>
      <c r="AX85" s="171" t="s">
        <v>243</v>
      </c>
      <c r="AY85" s="146" t="s">
        <v>167</v>
      </c>
      <c r="AZ85" t="s">
        <v>167</v>
      </c>
      <c r="BA85" t="s">
        <v>167</v>
      </c>
      <c r="BB85" t="s">
        <v>167</v>
      </c>
      <c r="BC85" t="s">
        <v>167</v>
      </c>
      <c r="BD85" t="s">
        <v>167</v>
      </c>
      <c r="BE85" t="s">
        <v>167</v>
      </c>
      <c r="BF85" t="s">
        <v>167</v>
      </c>
      <c r="BG85" s="154" t="s">
        <v>175</v>
      </c>
      <c r="BH85" t="s">
        <v>176</v>
      </c>
      <c r="BI85" s="155" t="s">
        <v>177</v>
      </c>
      <c r="BJ85" s="155" t="s">
        <v>178</v>
      </c>
      <c r="BK85" s="156" t="s">
        <v>179</v>
      </c>
      <c r="BL85" s="156" t="s">
        <v>180</v>
      </c>
      <c r="BM85" t="s">
        <v>181</v>
      </c>
      <c r="BN85" s="142" t="s">
        <v>182</v>
      </c>
      <c r="BO85" s="142" t="s">
        <v>182</v>
      </c>
      <c r="BP85" s="142" t="s">
        <v>182</v>
      </c>
      <c r="BQ85" s="152">
        <v>19.294907739999999</v>
      </c>
      <c r="BR85" t="s">
        <v>183</v>
      </c>
      <c r="BS85" s="152">
        <v>0.19767660400000001</v>
      </c>
      <c r="BT85">
        <v>0.6</v>
      </c>
      <c r="BU85" t="s">
        <v>184</v>
      </c>
      <c r="BV85" s="153">
        <v>0.08</v>
      </c>
      <c r="BW85">
        <v>8.8699999999999992</v>
      </c>
      <c r="BX85" t="s">
        <v>185</v>
      </c>
      <c r="BY85">
        <v>1.52</v>
      </c>
      <c r="BZ85" t="s">
        <v>224</v>
      </c>
      <c r="CA85" t="s">
        <v>187</v>
      </c>
      <c r="CB85" s="158">
        <f>(BQ85-8.87)/0.6</f>
        <v>17.374846233333333</v>
      </c>
      <c r="CC85" t="s">
        <v>184</v>
      </c>
      <c r="CD85" s="149" t="s">
        <v>167</v>
      </c>
      <c r="CE85" s="149" t="s">
        <v>167</v>
      </c>
      <c r="CF85" t="s">
        <v>188</v>
      </c>
      <c r="CG85" t="s">
        <v>189</v>
      </c>
      <c r="CH85" t="s">
        <v>190</v>
      </c>
      <c r="CI85" t="s">
        <v>190</v>
      </c>
      <c r="CJ85" s="152">
        <v>26.397646710526327</v>
      </c>
      <c r="CK85" t="s">
        <v>184</v>
      </c>
      <c r="CL85" s="159">
        <v>3</v>
      </c>
      <c r="CM85" s="159">
        <v>3</v>
      </c>
      <c r="CN85" s="146" t="s">
        <v>167</v>
      </c>
      <c r="CO85" s="146" t="s">
        <v>167</v>
      </c>
      <c r="CP85" s="146" t="s">
        <v>167</v>
      </c>
      <c r="CQ85" s="146" t="s">
        <v>167</v>
      </c>
      <c r="CR85" s="146" t="s">
        <v>167</v>
      </c>
      <c r="CS85" s="146" t="s">
        <v>167</v>
      </c>
      <c r="CT85" s="167" t="s">
        <v>167</v>
      </c>
      <c r="CU85" s="168" t="s">
        <v>167</v>
      </c>
      <c r="CV85" s="152" t="s">
        <v>167</v>
      </c>
      <c r="CW85" s="142" t="s">
        <v>167</v>
      </c>
      <c r="CX85" s="146" t="s">
        <v>167</v>
      </c>
      <c r="CY85" t="s">
        <v>167</v>
      </c>
      <c r="CZ85" t="s">
        <v>167</v>
      </c>
      <c r="DA85" t="s">
        <v>167</v>
      </c>
      <c r="DB85" t="s">
        <v>167</v>
      </c>
      <c r="DC85" t="s">
        <v>167</v>
      </c>
      <c r="DD85" t="s">
        <v>167</v>
      </c>
      <c r="DE85" s="169" t="s">
        <v>230</v>
      </c>
      <c r="DF85" t="s">
        <v>238</v>
      </c>
      <c r="DG85" s="160">
        <v>35</v>
      </c>
      <c r="DH85" t="s">
        <v>174</v>
      </c>
      <c r="DI85">
        <v>3</v>
      </c>
      <c r="DJ85" s="161" t="s">
        <v>196</v>
      </c>
      <c r="DK85" s="146" t="s">
        <v>167</v>
      </c>
      <c r="DL85" s="146" t="s">
        <v>167</v>
      </c>
      <c r="DM85" s="146" t="s">
        <v>167</v>
      </c>
      <c r="DN85" s="146" t="s">
        <v>167</v>
      </c>
      <c r="DO85" s="146" t="s">
        <v>167</v>
      </c>
      <c r="DP85" s="146" t="s">
        <v>167</v>
      </c>
      <c r="DQ85" s="146" t="s">
        <v>167</v>
      </c>
      <c r="DR85" s="146" t="s">
        <v>167</v>
      </c>
      <c r="DS85" s="146" t="s">
        <v>167</v>
      </c>
      <c r="DT85" s="146" t="s">
        <v>167</v>
      </c>
      <c r="DU85" s="146" t="s">
        <v>167</v>
      </c>
      <c r="DV85" s="146" t="s">
        <v>167</v>
      </c>
      <c r="DW85" s="143">
        <v>432.56244218316402</v>
      </c>
      <c r="DX85" t="s">
        <v>197</v>
      </c>
      <c r="DY85" s="142">
        <v>37.1</v>
      </c>
      <c r="DZ85" t="s">
        <v>198</v>
      </c>
      <c r="EA85" s="152">
        <v>39.140092619999997</v>
      </c>
      <c r="EB85" s="149" t="s">
        <v>185</v>
      </c>
      <c r="EC85" s="162">
        <v>0.2</v>
      </c>
      <c r="ED85" t="s">
        <v>199</v>
      </c>
      <c r="EE85" t="s">
        <v>225</v>
      </c>
      <c r="EF85" t="s">
        <v>201</v>
      </c>
      <c r="EG85">
        <v>1.0271999999999999</v>
      </c>
      <c r="EH85" t="s">
        <v>202</v>
      </c>
      <c r="EI85">
        <v>5.9999999999999995E-4</v>
      </c>
      <c r="EJ85" t="s">
        <v>203</v>
      </c>
      <c r="EK85" t="s">
        <v>167</v>
      </c>
      <c r="EL85" t="s">
        <v>167</v>
      </c>
      <c r="EM85" t="s">
        <v>204</v>
      </c>
      <c r="EN85" t="s">
        <v>226</v>
      </c>
      <c r="EO85" t="s">
        <v>206</v>
      </c>
      <c r="EP85" t="s">
        <v>206</v>
      </c>
      <c r="EQ85" s="146" t="s">
        <v>167</v>
      </c>
      <c r="ER85" t="s">
        <v>167</v>
      </c>
      <c r="ES85" t="s">
        <v>167</v>
      </c>
      <c r="ET85" t="s">
        <v>207</v>
      </c>
      <c r="EU85" t="s">
        <v>208</v>
      </c>
      <c r="EV85" t="s">
        <v>227</v>
      </c>
      <c r="EW85" s="163">
        <v>2330</v>
      </c>
      <c r="EX85" t="s">
        <v>210</v>
      </c>
      <c r="EY85">
        <v>175</v>
      </c>
      <c r="EZ85">
        <v>175</v>
      </c>
      <c r="FA85" t="s">
        <v>167</v>
      </c>
      <c r="FB85" t="s">
        <v>167</v>
      </c>
      <c r="FC85" t="s">
        <v>167</v>
      </c>
      <c r="FD85" t="s">
        <v>167</v>
      </c>
      <c r="FE85" s="152">
        <v>7.9967067666861498</v>
      </c>
      <c r="FF85" s="164" t="s">
        <v>211</v>
      </c>
      <c r="FG85" s="170">
        <v>7.7391297287920047E-2</v>
      </c>
      <c r="FH85" s="170">
        <v>7.4741426647050524E-2</v>
      </c>
      <c r="FI85" s="144">
        <f t="shared" si="27"/>
        <v>470.18393483077</v>
      </c>
      <c r="FJ85" s="146">
        <v>29</v>
      </c>
      <c r="FK85" s="149" t="s">
        <v>212</v>
      </c>
      <c r="FL85" s="152">
        <v>441.18393483077</v>
      </c>
      <c r="FM85" s="158">
        <v>112.41287725041502</v>
      </c>
      <c r="FN85" s="158">
        <v>94.111464382077997</v>
      </c>
      <c r="FO85" s="144" t="s">
        <v>213</v>
      </c>
      <c r="FP85" s="144" t="s">
        <v>214</v>
      </c>
      <c r="FQ85" t="s">
        <v>215</v>
      </c>
      <c r="FR85" t="s">
        <v>215</v>
      </c>
      <c r="FS85" t="s">
        <v>215</v>
      </c>
      <c r="FT85" t="s">
        <v>215</v>
      </c>
      <c r="FU85" t="s">
        <v>215</v>
      </c>
      <c r="FV85" t="s">
        <v>215</v>
      </c>
      <c r="FW85" t="s">
        <v>215</v>
      </c>
      <c r="FX85" t="s">
        <v>215</v>
      </c>
      <c r="FY85" t="s">
        <v>215</v>
      </c>
      <c r="FZ85" t="s">
        <v>215</v>
      </c>
      <c r="GA85" t="s">
        <v>215</v>
      </c>
      <c r="GB85" t="s">
        <v>215</v>
      </c>
    </row>
  </sheetData>
  <mergeCells count="1">
    <mergeCell ref="S2:W2"/>
  </mergeCells>
  <phoneticPr fontId="34" type="noConversion"/>
  <hyperlinks>
    <hyperlink ref="B4" r:id="rId1" display="hoenisch@ldeo.columbia.edu" xr:uid="{14D602F5-1BD1-BA43-B5B0-B18312C3C480}"/>
    <hyperlink ref="B5" r:id="rId2" display="hoenisch@ldeo.columbia.edu" xr:uid="{090963A9-4141-3B45-B3AB-9832C45ED6D5}"/>
    <hyperlink ref="B6" r:id="rId3" display="hoenisch@ldeo.columbia.edu" xr:uid="{F13FD8D7-6115-C14B-8CE3-05CDC57A98C4}"/>
    <hyperlink ref="B8" r:id="rId4" display="hoenisch@ldeo.columbia.edu" xr:uid="{10F6AA39-4151-AD41-8737-22E8A2A03835}"/>
    <hyperlink ref="B10" r:id="rId5" display="hoenisch@ldeo.columbia.edu" xr:uid="{F5341516-A9E8-4B41-AA87-E00EA4A38C34}"/>
    <hyperlink ref="B12" r:id="rId6" display="hoenisch@ldeo.columbia.edu" xr:uid="{C4BCED77-E61A-FB47-92B8-4A17E821C667}"/>
    <hyperlink ref="B14" r:id="rId7" display="hoenisch@ldeo.columbia.edu" xr:uid="{505E6276-97C3-1D43-8F22-D076F3108E5C}"/>
    <hyperlink ref="B16" r:id="rId8" display="hoenisch@ldeo.columbia.edu" xr:uid="{9C49177F-9047-7D45-992A-4EAA1CDBC479}"/>
    <hyperlink ref="B18" r:id="rId9" display="hoenisch@ldeo.columbia.edu" xr:uid="{395E9C36-4EB9-2048-BFF2-4AA806F4E7F3}"/>
    <hyperlink ref="B20" r:id="rId10" display="hoenisch@ldeo.columbia.edu" xr:uid="{F61F7271-2ADC-4E45-AA6D-3922FC363B43}"/>
    <hyperlink ref="B22" r:id="rId11" display="hoenisch@ldeo.columbia.edu" xr:uid="{29B88468-5D46-F14D-A26A-36B2771355C3}"/>
    <hyperlink ref="B24" r:id="rId12" display="hoenisch@ldeo.columbia.edu" xr:uid="{C82A45E9-C1C1-F94F-B140-3969F3D8B78E}"/>
    <hyperlink ref="B26" r:id="rId13" display="hoenisch@ldeo.columbia.edu" xr:uid="{AAB2E137-9EA7-6A40-BF73-9DCCA2295BE3}"/>
    <hyperlink ref="B28" r:id="rId14" display="hoenisch@ldeo.columbia.edu" xr:uid="{58D9DB9D-DEA3-1943-BA7D-446F303D265D}"/>
    <hyperlink ref="B30" r:id="rId15" display="hoenisch@ldeo.columbia.edu" xr:uid="{F2D82C65-2A9A-8140-8FA3-67D08069F9D8}"/>
    <hyperlink ref="B32" r:id="rId16" display="hoenisch@ldeo.columbia.edu" xr:uid="{E8508B22-A6C3-6D40-8BDB-9E6290BD6EEE}"/>
    <hyperlink ref="B34" r:id="rId17" display="hoenisch@ldeo.columbia.edu" xr:uid="{B0EDE021-4C18-004E-859C-8CD8DE5809C5}"/>
    <hyperlink ref="B36" r:id="rId18" display="hoenisch@ldeo.columbia.edu" xr:uid="{2282335A-0385-4E4E-95BE-A80BFC6A1F0D}"/>
    <hyperlink ref="B38" r:id="rId19" display="hoenisch@ldeo.columbia.edu" xr:uid="{FA445602-8A8E-0343-AFCB-79B0F1C4AD35}"/>
    <hyperlink ref="B40" r:id="rId20" display="hoenisch@ldeo.columbia.edu" xr:uid="{48B2581E-A1B4-0C46-BC8C-3CAC6149CADF}"/>
    <hyperlink ref="B42" r:id="rId21" display="hoenisch@ldeo.columbia.edu" xr:uid="{24B43182-F22A-1D4D-AE87-3EB4FEBD38D9}"/>
    <hyperlink ref="B44" r:id="rId22" display="hoenisch@ldeo.columbia.edu" xr:uid="{1BA5231D-51D8-DF4D-AFC0-7B88ACC9B019}"/>
    <hyperlink ref="B46" r:id="rId23" display="hoenisch@ldeo.columbia.edu" xr:uid="{659B7637-574E-8E4E-AF9B-112B98D68A45}"/>
    <hyperlink ref="B48" r:id="rId24" display="hoenisch@ldeo.columbia.edu" xr:uid="{188513FF-9B32-4B4B-B8E4-7314260AFC3D}"/>
    <hyperlink ref="B50" r:id="rId25" display="hoenisch@ldeo.columbia.edu" xr:uid="{C6F01B76-7190-1642-9CA5-ED27952B5310}"/>
    <hyperlink ref="B52" r:id="rId26" display="hoenisch@ldeo.columbia.edu" xr:uid="{0BE32500-285B-E248-A250-3FBE200FF05A}"/>
    <hyperlink ref="B54" r:id="rId27" display="hoenisch@ldeo.columbia.edu" xr:uid="{5A4F4BAA-70BC-134F-84CB-3D58F14E72C7}"/>
    <hyperlink ref="B56" r:id="rId28" display="hoenisch@ldeo.columbia.edu" xr:uid="{53C39F67-3DA1-4B45-ADE9-271365EE012C}"/>
    <hyperlink ref="B58" r:id="rId29" display="hoenisch@ldeo.columbia.edu" xr:uid="{7F4D15F7-192A-D047-9AAC-7B239E06A4C5}"/>
    <hyperlink ref="B60" r:id="rId30" display="hoenisch@ldeo.columbia.edu" xr:uid="{0D65E86F-E495-DB41-8B83-E86182CD8E77}"/>
    <hyperlink ref="B62" r:id="rId31" display="hoenisch@ldeo.columbia.edu" xr:uid="{A1D4610F-496F-B348-B5D4-6E9923D96893}"/>
    <hyperlink ref="B64" r:id="rId32" display="hoenisch@ldeo.columbia.edu" xr:uid="{99CA1F0E-B55F-A94E-B54C-1ABFDB63DE35}"/>
    <hyperlink ref="B66" r:id="rId33" display="hoenisch@ldeo.columbia.edu" xr:uid="{868F0FC0-D2FF-8048-B0CE-B2742C14E1E3}"/>
    <hyperlink ref="B68" r:id="rId34" display="hoenisch@ldeo.columbia.edu" xr:uid="{4A12AD62-8CE0-FD41-A13B-D85C475526DA}"/>
    <hyperlink ref="B70" r:id="rId35" display="hoenisch@ldeo.columbia.edu" xr:uid="{D65D6E48-160B-9948-BA5E-339D54BBE193}"/>
    <hyperlink ref="B72" r:id="rId36" display="hoenisch@ldeo.columbia.edu" xr:uid="{911D26EF-6A66-3D40-A3CE-A08508C120B9}"/>
    <hyperlink ref="B74" r:id="rId37" display="hoenisch@ldeo.columbia.edu" xr:uid="{A3113082-3BB0-3D41-B223-14F85560B34F}"/>
    <hyperlink ref="B76" r:id="rId38" display="hoenisch@ldeo.columbia.edu" xr:uid="{734D8983-6920-5848-8D8D-43C64853A1D9}"/>
    <hyperlink ref="B78" r:id="rId39" display="hoenisch@ldeo.columbia.edu" xr:uid="{0D28C8FF-07F3-5A41-ADD9-65D380D05A38}"/>
    <hyperlink ref="B80" r:id="rId40" display="hoenisch@ldeo.columbia.edu" xr:uid="{2F71F09C-776E-B847-9A94-88FD18C5C38B}"/>
    <hyperlink ref="B82" r:id="rId41" display="hoenisch@ldeo.columbia.edu" xr:uid="{8D307C2A-FE5E-8841-84C9-B258BA26DD36}"/>
    <hyperlink ref="B84" r:id="rId42" display="hoenisch@ldeo.columbia.edu" xr:uid="{78225F58-9961-3242-8490-CEACC55571CD}"/>
    <hyperlink ref="B7" r:id="rId43" display="hoenisch@ldeo.columbia.edu" xr:uid="{E0FD1745-9A8B-4E4B-A8EE-EE8931311680}"/>
    <hyperlink ref="B9" r:id="rId44" display="hoenisch@ldeo.columbia.edu" xr:uid="{3EE12506-6E13-DE46-B895-D917AE23CDF4}"/>
    <hyperlink ref="B11" r:id="rId45" display="hoenisch@ldeo.columbia.edu" xr:uid="{53FD9031-6518-1041-81CB-B14A9489A410}"/>
    <hyperlink ref="B13" r:id="rId46" display="hoenisch@ldeo.columbia.edu" xr:uid="{791F7F93-5F03-DE42-927F-00749A5D82B0}"/>
    <hyperlink ref="B15" r:id="rId47" display="hoenisch@ldeo.columbia.edu" xr:uid="{CB4B8831-318F-BE45-9C15-FBEEAE69CD57}"/>
    <hyperlink ref="B17" r:id="rId48" display="hoenisch@ldeo.columbia.edu" xr:uid="{DB826463-F97C-EB49-9035-56E5236A3627}"/>
    <hyperlink ref="B19" r:id="rId49" display="hoenisch@ldeo.columbia.edu" xr:uid="{6852C526-A34A-114E-9285-B6DD82F48CBD}"/>
    <hyperlink ref="B21" r:id="rId50" display="hoenisch@ldeo.columbia.edu" xr:uid="{26EACC70-2926-F84D-8EB8-AB9359177385}"/>
    <hyperlink ref="B23" r:id="rId51" display="hoenisch@ldeo.columbia.edu" xr:uid="{C662AAC1-C394-0B40-9000-D4600C0AC5BD}"/>
    <hyperlink ref="B25" r:id="rId52" display="hoenisch@ldeo.columbia.edu" xr:uid="{7BB6F4C3-4837-5546-B465-F8982DAE7475}"/>
    <hyperlink ref="B27" r:id="rId53" display="hoenisch@ldeo.columbia.edu" xr:uid="{43C739AC-15FC-584B-9A41-B2656ED34240}"/>
    <hyperlink ref="B29" r:id="rId54" display="hoenisch@ldeo.columbia.edu" xr:uid="{49F771A0-8FF3-9946-914F-885BA67CD693}"/>
    <hyperlink ref="B31" r:id="rId55" display="hoenisch@ldeo.columbia.edu" xr:uid="{CA95605A-F42C-8A42-BD23-697628A5EF92}"/>
    <hyperlink ref="B33" r:id="rId56" display="hoenisch@ldeo.columbia.edu" xr:uid="{6BE5EDC8-F374-6847-B94D-868DF7858D82}"/>
    <hyperlink ref="B35" r:id="rId57" display="hoenisch@ldeo.columbia.edu" xr:uid="{B4108D5C-507E-2D46-A0FB-E25BDB27F5E1}"/>
    <hyperlink ref="B37" r:id="rId58" display="hoenisch@ldeo.columbia.edu" xr:uid="{C24AAAC1-CA29-A848-B7F5-7D4721F99830}"/>
    <hyperlink ref="B39" r:id="rId59" display="hoenisch@ldeo.columbia.edu" xr:uid="{B94FE0E9-5268-0042-9FB8-5CE547951804}"/>
    <hyperlink ref="B41" r:id="rId60" display="hoenisch@ldeo.columbia.edu" xr:uid="{12156EA3-68C2-874D-8C4D-A24D2B1F4F18}"/>
    <hyperlink ref="B43" r:id="rId61" display="hoenisch@ldeo.columbia.edu" xr:uid="{27A8CD2D-0FDD-0C48-A97E-2CF4A50EF2E8}"/>
    <hyperlink ref="B45" r:id="rId62" display="hoenisch@ldeo.columbia.edu" xr:uid="{FE9CFB08-DF5A-C649-A233-9E3E3888BBEB}"/>
    <hyperlink ref="B47" r:id="rId63" display="hoenisch@ldeo.columbia.edu" xr:uid="{843D2B38-AA7D-144D-BC1A-DF3CD1BD21B6}"/>
    <hyperlink ref="B49" r:id="rId64" display="hoenisch@ldeo.columbia.edu" xr:uid="{74551976-28D2-BF4D-AB17-2625B42A1156}"/>
    <hyperlink ref="B51" r:id="rId65" display="hoenisch@ldeo.columbia.edu" xr:uid="{728B0358-19F6-1E41-B52D-80F3E3CF9C0B}"/>
    <hyperlink ref="B53" r:id="rId66" display="hoenisch@ldeo.columbia.edu" xr:uid="{3C79B19F-F197-5540-B75D-11E6376FE484}"/>
    <hyperlink ref="B55" r:id="rId67" display="hoenisch@ldeo.columbia.edu" xr:uid="{639A4CEA-6C42-494D-B026-CD55941F3E40}"/>
    <hyperlink ref="B57" r:id="rId68" display="hoenisch@ldeo.columbia.edu" xr:uid="{AE318E11-0829-5847-B173-99B2AF336C6C}"/>
    <hyperlink ref="B59" r:id="rId69" display="hoenisch@ldeo.columbia.edu" xr:uid="{687FCA50-105F-634F-9ACA-76898B2A1996}"/>
    <hyperlink ref="B61" r:id="rId70" display="hoenisch@ldeo.columbia.edu" xr:uid="{3BD27542-82B5-7348-A98C-C3562D20E16E}"/>
    <hyperlink ref="B63" r:id="rId71" display="hoenisch@ldeo.columbia.edu" xr:uid="{71CACB53-C5CB-E642-BA23-24753BDD011C}"/>
    <hyperlink ref="B65" r:id="rId72" display="hoenisch@ldeo.columbia.edu" xr:uid="{1F193A64-C1F0-624C-8FEB-E448E7023787}"/>
    <hyperlink ref="B67" r:id="rId73" display="hoenisch@ldeo.columbia.edu" xr:uid="{6FB7C21E-ABC7-3F4B-A864-03F387632068}"/>
    <hyperlink ref="B69" r:id="rId74" display="hoenisch@ldeo.columbia.edu" xr:uid="{2D17664A-5C36-BD49-83CA-B45FF4B0B1C9}"/>
    <hyperlink ref="B71" r:id="rId75" display="hoenisch@ldeo.columbia.edu" xr:uid="{C06D3252-ADE0-C540-B497-3346919C97D7}"/>
    <hyperlink ref="B73" r:id="rId76" display="hoenisch@ldeo.columbia.edu" xr:uid="{8E5317EF-B05A-EF43-9589-600B018E51C0}"/>
    <hyperlink ref="B75" r:id="rId77" display="hoenisch@ldeo.columbia.edu" xr:uid="{A7D6E109-5335-584C-A4C3-ACE6FF6F2CC5}"/>
    <hyperlink ref="B77" r:id="rId78" display="hoenisch@ldeo.columbia.edu" xr:uid="{474E5688-2153-DC4C-96DA-2C9AE00098C3}"/>
    <hyperlink ref="B79" r:id="rId79" display="hoenisch@ldeo.columbia.edu" xr:uid="{A7D78A4D-2DEC-974F-BC29-30E7198E909B}"/>
    <hyperlink ref="B81" r:id="rId80" display="hoenisch@ldeo.columbia.edu" xr:uid="{30F99BF8-21C0-5A4A-A912-B1B794C57868}"/>
    <hyperlink ref="B83" r:id="rId81" display="hoenisch@ldeo.columbia.edu" xr:uid="{D55C0E24-84CE-8A40-9D3B-38C4D21B3E9C}"/>
    <hyperlink ref="B85" r:id="rId82" display="hoenisch@ldeo.columbia.edu" xr:uid="{9CC24158-1C44-6D4B-B36F-EC2D08773397}"/>
  </hyperlinks>
  <pageMargins left="0.7" right="0.7" top="0.75" bottom="0.75" header="0.3" footer="0.3"/>
  <drawing r:id="rId8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Royer</dc:creator>
  <cp:lastModifiedBy>Bärbel Hönisch</cp:lastModifiedBy>
  <dcterms:created xsi:type="dcterms:W3CDTF">2019-02-20T15:43:35Z</dcterms:created>
  <dcterms:modified xsi:type="dcterms:W3CDTF">2022-03-17T18:06:13Z</dcterms:modified>
</cp:coreProperties>
</file>