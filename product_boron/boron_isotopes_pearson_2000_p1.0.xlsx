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7BAD49D-06F5-C448-BEAE-A8C30A516961}" xr6:coauthVersionLast="47" xr6:coauthVersionMax="47" xr10:uidLastSave="{00000000-0000-0000-0000-000000000000}"/>
  <bookViews>
    <workbookView xWindow="1840" yWindow="24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H24" i="1"/>
  <c r="I24" i="1"/>
  <c r="J24" i="1"/>
  <c r="K24" i="1"/>
  <c r="L24" i="1"/>
  <c r="F25" i="1"/>
  <c r="G25" i="1"/>
  <c r="H25" i="1"/>
  <c r="I25" i="1"/>
  <c r="J25" i="1"/>
  <c r="K25" i="1"/>
  <c r="L25" i="1"/>
  <c r="F26" i="1"/>
  <c r="G26" i="1"/>
  <c r="H26" i="1"/>
  <c r="I26" i="1"/>
  <c r="J26" i="1"/>
  <c r="K26" i="1"/>
  <c r="L26" i="1"/>
  <c r="F27" i="1"/>
  <c r="G27" i="1"/>
  <c r="H27" i="1"/>
  <c r="I27" i="1"/>
  <c r="J27" i="1"/>
  <c r="K27" i="1"/>
  <c r="L27" i="1"/>
  <c r="F28" i="1"/>
  <c r="G28" i="1"/>
  <c r="H28" i="1"/>
  <c r="I28" i="1"/>
  <c r="J28" i="1"/>
  <c r="K28" i="1"/>
  <c r="L28" i="1"/>
  <c r="F29" i="1"/>
  <c r="G29" i="1"/>
  <c r="H29" i="1"/>
  <c r="I29" i="1"/>
  <c r="J29" i="1"/>
  <c r="K29" i="1"/>
  <c r="L29" i="1"/>
  <c r="F30" i="1"/>
  <c r="G30" i="1"/>
  <c r="H30" i="1"/>
  <c r="I30" i="1"/>
  <c r="J30" i="1"/>
  <c r="K30" i="1"/>
  <c r="L30" i="1"/>
  <c r="F31" i="1"/>
  <c r="G31" i="1"/>
  <c r="H31" i="1"/>
  <c r="I31" i="1"/>
  <c r="J31" i="1"/>
  <c r="K31" i="1"/>
  <c r="L31" i="1"/>
  <c r="F32" i="1"/>
  <c r="G32" i="1"/>
  <c r="H32" i="1"/>
  <c r="I32" i="1"/>
  <c r="J32" i="1"/>
  <c r="K32" i="1"/>
  <c r="L32" i="1"/>
  <c r="F33" i="1"/>
  <c r="G33" i="1"/>
  <c r="H33" i="1"/>
  <c r="I33" i="1"/>
  <c r="J33" i="1"/>
  <c r="K33" i="1"/>
  <c r="L33" i="1"/>
  <c r="F34" i="1"/>
  <c r="G34" i="1"/>
  <c r="H34" i="1"/>
  <c r="I34" i="1"/>
  <c r="J34" i="1"/>
  <c r="K34" i="1"/>
  <c r="L34" i="1"/>
  <c r="F35" i="1"/>
  <c r="G35" i="1"/>
  <c r="H35" i="1"/>
  <c r="I35" i="1"/>
  <c r="J35" i="1"/>
  <c r="K35" i="1"/>
  <c r="L35" i="1"/>
  <c r="F36" i="1"/>
  <c r="G36" i="1"/>
  <c r="H36" i="1"/>
  <c r="I36" i="1"/>
  <c r="J36" i="1"/>
  <c r="K36" i="1"/>
  <c r="L36" i="1"/>
  <c r="F37" i="1"/>
  <c r="G37" i="1"/>
  <c r="H37" i="1"/>
  <c r="I37" i="1"/>
  <c r="J37" i="1"/>
  <c r="K37" i="1"/>
  <c r="L37" i="1"/>
  <c r="F38" i="1"/>
  <c r="G38" i="1"/>
  <c r="H38" i="1"/>
  <c r="I38" i="1"/>
  <c r="J38" i="1"/>
  <c r="K38" i="1"/>
  <c r="L38" i="1"/>
  <c r="L5" i="1"/>
  <c r="K5" i="1"/>
  <c r="J5" i="1"/>
  <c r="I5" i="1"/>
  <c r="H5" i="1"/>
  <c r="G5" i="1"/>
  <c r="F5" i="1"/>
  <c r="I4" i="1" l="1"/>
  <c r="H4" i="1"/>
  <c r="G4" i="1"/>
  <c r="K4" i="1"/>
  <c r="L4" i="1"/>
  <c r="J4" i="1"/>
  <c r="F4" i="1"/>
</calcChain>
</file>

<file path=xl/sharedStrings.xml><?xml version="1.0" encoding="utf-8"?>
<sst xmlns="http://schemas.openxmlformats.org/spreadsheetml/2006/main" count="5176" uniqueCount="223">
  <si>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</si>
  <si>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</si>
  <si>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</si>
  <si>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</si>
  <si>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</si>
  <si>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</si>
  <si>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</si>
  <si>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</si>
  <si>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</si>
  <si>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</si>
  <si>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</si>
  <si>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</si>
  <si>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</si>
  <si>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</si>
  <si>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</si>
  <si>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</si>
  <si>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</si>
  <si>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</si>
  <si>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</si>
  <si>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</si>
  <si>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</si>
  <si>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</si>
  <si>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</si>
  <si>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</si>
  <si>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</si>
  <si>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</si>
  <si>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</si>
  <si>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</si>
  <si>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</si>
  <si>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</si>
  <si>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</si>
  <si>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</si>
  <si>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</si>
  <si>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</si>
  <si>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</si>
  <si>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</si>
  <si>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</si>
  <si>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</si>
  <si>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</si>
  <si>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</si>
  <si>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</si>
  <si>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</si>
  <si>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</si>
  <si>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</si>
  <si>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</si>
  <si>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</si>
  <si>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</si>
  <si>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</si>
  <si>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</si>
  <si>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</si>
  <si>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</si>
  <si>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</si>
  <si>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</si>
  <si>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</si>
  <si>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</si>
  <si>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</si>
  <si>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</si>
  <si>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</si>
  <si>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</si>
  <si>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</si>
  <si>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</si>
  <si>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</si>
  <si>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</si>
  <si>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</si>
  <si>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</si>
  <si>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</si>
  <si>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</si>
  <si>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</si>
  <si>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</si>
  <si>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</si>
  <si>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</si>
  <si>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</si>
  <si>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</si>
  <si>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</si>
  <si>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</si>
  <si>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</si>
  <si>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</si>
  <si>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</si>
  <si>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</si>
  <si>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</si>
  <si>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</si>
  <si>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</si>
  <si>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</si>
  <si>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</si>
  <si>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</si>
  <si>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</si>
  <si>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</si>
  <si>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</si>
  <si>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</si>
  <si>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</si>
  <si>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</si>
  <si>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</si>
  <si>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</si>
  <si>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</si>
  <si>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</si>
  <si>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</si>
  <si>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</si>
  <si>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</si>
  <si>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</si>
  <si>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</si>
  <si>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</si>
  <si>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</si>
  <si>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</si>
  <si>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</si>
  <si>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</si>
  <si>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</si>
  <si>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</si>
  <si>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</si>
  <si>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</si>
  <si>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</si>
  <si>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</si>
  <si>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</si>
  <si>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</si>
  <si>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</si>
  <si>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</si>
  <si>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</si>
  <si>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</si>
  <si>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</si>
  <si>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</si>
  <si>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</si>
  <si>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</si>
  <si>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</si>
  <si>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</si>
  <si>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</si>
  <si>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</si>
  <si>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</si>
  <si>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</si>
  <si>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</si>
  <si>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</si>
  <si>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</si>
  <si>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</si>
  <si>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</si>
  <si>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</si>
  <si>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</si>
  <si>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</si>
  <si>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</si>
  <si>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</si>
  <si>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</si>
  <si>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</si>
  <si>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</si>
  <si>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</si>
  <si>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</si>
  <si>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</si>
  <si>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</si>
  <si>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</si>
  <si>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</si>
  <si>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</si>
  <si>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</si>
  <si>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</si>
  <si>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</si>
  <si>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</si>
  <si>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</si>
  <si>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</si>
  <si>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</si>
  <si>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</si>
  <si>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</si>
  <si>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</si>
  <si>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</si>
  <si>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</si>
  <si>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</si>
  <si>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</si>
  <si>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</si>
  <si>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</si>
  <si>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</si>
  <si>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</si>
  <si>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</si>
  <si>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</si>
  <si>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</si>
  <si>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</si>
  <si>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Pearson, P.N. and M.R. Palmer (2000) Atmospheric carbon dioxide concentrations over the past 60 million years, Nature, 406, 695-699.</t>
  </si>
  <si>
    <t>10.1038/35021000</t>
  </si>
  <si>
    <t>A</t>
  </si>
  <si>
    <t>western Pacific</t>
  </si>
  <si>
    <t>Used Douwe J.J. van Hinsbergen, Lennart V. de Groot, Sebastiaan J. van Schaik, Wim Spakman, Peter K. Bijl, Appy Sluijs, Cor G. Langereis, and Henk Brinkhuis:
A Paleolatitude Calculator for Paleoclimate Studies (model version 2.1), PLOS ONE, 2015</t>
  </si>
  <si>
    <t>Set Range</t>
  </si>
  <si>
    <t>Berggren, W. A., Kent, D. V., Swisher, C. C. &amp; Aubry, M.-P. A revised Cenozoic geochronology and chronostratigraphy. 129±212 (Special Publication 54, Society of Economic Paleontologists and Mineralogists, 1995).</t>
  </si>
  <si>
    <t>biostratigraphic data from Pearson 1993</t>
  </si>
  <si>
    <t xml:space="preserve">Pearson, P. N. Planktonic foraminifer biostratigraphy and the development of pelagic caps on guyots in the Marshall Islands group. Proc. ODP Sci. Res. IRRD 21±59 (1995). </t>
  </si>
  <si>
    <t>various</t>
  </si>
  <si>
    <t>&gt;100</t>
  </si>
  <si>
    <t>"methods similar to Sanyal"</t>
  </si>
  <si>
    <t>none</t>
  </si>
  <si>
    <t xml:space="preserve">N-TIMS, stable ratio </t>
  </si>
  <si>
    <t xml:space="preserve">analytical error', given as 2sigma. </t>
  </si>
  <si>
    <t>Use Kakihana 'Slope', assume no vital effect</t>
  </si>
  <si>
    <t>None Applied</t>
  </si>
  <si>
    <t>only analytical, propagates nothing ese</t>
  </si>
  <si>
    <t>No error propagation, just analytical</t>
  </si>
  <si>
    <t>Same paper</t>
  </si>
  <si>
    <t>Kakihana &amp; Kotaka (1977)</t>
  </si>
  <si>
    <t>Not applied</t>
  </si>
  <si>
    <t>CO2SYS</t>
  </si>
  <si>
    <t>alkalinity</t>
  </si>
  <si>
    <t>model, see original publication</t>
  </si>
  <si>
    <t>only measurement error on d11B of CaCO3</t>
  </si>
  <si>
    <t>G. trilobus</t>
  </si>
  <si>
    <t>500-600</t>
  </si>
  <si>
    <t>C</t>
  </si>
  <si>
    <t>300-425</t>
  </si>
  <si>
    <t>A. topilensis</t>
  </si>
  <si>
    <t>A. praetopilensis</t>
  </si>
  <si>
    <t>M. caucasica</t>
  </si>
  <si>
    <t>425-500</t>
  </si>
  <si>
    <t>M. marginodentata</t>
  </si>
  <si>
    <t>M. velascoensis</t>
  </si>
  <si>
    <t>Pearson</t>
  </si>
  <si>
    <t>Bärbel Hönisch, Michael Henehan</t>
  </si>
  <si>
    <t>hoenisch@ldeo.columbia.edu, henehan@gfz-potsdam.de</t>
  </si>
  <si>
    <t>notes about uncertainty estimate: e.g., included calibration slope and intercept</t>
  </si>
  <si>
    <t>used mixed species and size fractions for reconstruction, insufficient cleaning</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</si>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</sst>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2"/>
      <color rgb="FF222222"/>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8" fillId="0" borderId="0"/>
  </cellStyleXfs>
  <cellXfs count="157">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27" fillId="0" borderId="0" xfId="1"/>
    <xf numFmtId="164" fontId="0" fillId="0" borderId="0" xfId="0" applyNumberFormat="1"/>
    <xf numFmtId="2" fontId="0" fillId="0" borderId="0" xfId="0" applyNumberFormat="1"/>
    <xf numFmtId="1" fontId="0" fillId="0" borderId="0" xfId="0" applyNumberFormat="1"/>
    <xf numFmtId="0" fontId="0" fillId="0" borderId="0" xfId="0" applyFill="1" applyAlignment="1">
      <alignment horizontal="left"/>
    </xf>
    <xf numFmtId="0" fontId="29" fillId="0" borderId="0" xfId="0" applyFont="1"/>
    <xf numFmtId="0" fontId="0" fillId="0" borderId="0" xfId="0" applyAlignment="1"/>
    <xf numFmtId="49" fontId="0" fillId="0" borderId="0" xfId="0" applyNumberFormat="1"/>
    <xf numFmtId="0" fontId="0" fillId="0" borderId="0" xfId="0" quotePrefix="1"/>
    <xf numFmtId="3"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xf>
    <xf numFmtId="0" fontId="1" fillId="0" borderId="0" xfId="0" applyFont="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26"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8"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38"/>
  <sheetViews>
    <sheetView tabSelected="1" topLeftCell="J1" workbookViewId="0">
      <selection activeCell="N3" sqref="N3:O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55"/>
      <c r="T2" s="155"/>
      <c r="U2" s="155"/>
      <c r="V2" s="155"/>
      <c r="W2" s="155"/>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210</v>
      </c>
      <c r="K3" s="11" t="s">
        <v>211</v>
      </c>
      <c r="L3" s="12" t="s">
        <v>220</v>
      </c>
      <c r="M3" s="13" t="s">
        <v>212</v>
      </c>
      <c r="N3" s="156" t="s">
        <v>221</v>
      </c>
      <c r="O3" s="156" t="s">
        <v>222</v>
      </c>
      <c r="P3" s="13" t="s">
        <v>213</v>
      </c>
      <c r="Q3" s="14" t="s">
        <v>214</v>
      </c>
      <c r="R3" s="15" t="s">
        <v>215</v>
      </c>
      <c r="S3" s="16" t="s">
        <v>216</v>
      </c>
      <c r="T3" s="13" t="s">
        <v>217</v>
      </c>
      <c r="U3" s="13" t="s">
        <v>9</v>
      </c>
      <c r="V3" s="13" t="s">
        <v>218</v>
      </c>
      <c r="W3" s="17" t="s">
        <v>219</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208</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x14ac:dyDescent="0.2">
      <c r="A4" t="s">
        <v>206</v>
      </c>
      <c r="B4" s="142" t="s">
        <v>207</v>
      </c>
      <c r="C4" s="138" t="s">
        <v>168</v>
      </c>
      <c r="D4" t="s">
        <v>205</v>
      </c>
      <c r="E4" s="146">
        <v>2000</v>
      </c>
      <c r="F4" t="str">
        <f>Z4</f>
        <v>10.1038/35021000</v>
      </c>
      <c r="G4" s="143">
        <f>AS4</f>
        <v>85</v>
      </c>
      <c r="H4">
        <f>AU4</f>
        <v>25</v>
      </c>
      <c r="I4">
        <f>AV4</f>
        <v>25</v>
      </c>
      <c r="J4" s="145">
        <f>FL4</f>
        <v>341</v>
      </c>
      <c r="K4" s="145">
        <f t="shared" ref="K4:L4" si="0">FM4</f>
        <v>86</v>
      </c>
      <c r="L4" s="145">
        <f t="shared" si="0"/>
        <v>57</v>
      </c>
      <c r="M4" t="b">
        <v>1</v>
      </c>
      <c r="N4">
        <v>3</v>
      </c>
      <c r="O4" t="s">
        <v>209</v>
      </c>
      <c r="P4" s="154" t="s">
        <v>167</v>
      </c>
      <c r="Q4" t="b">
        <v>0</v>
      </c>
      <c r="R4" t="s">
        <v>167</v>
      </c>
      <c r="S4" t="b">
        <v>1</v>
      </c>
      <c r="T4" t="b">
        <v>0</v>
      </c>
      <c r="U4" t="s">
        <v>167</v>
      </c>
      <c r="V4" t="s">
        <v>167</v>
      </c>
      <c r="W4" t="b">
        <v>0</v>
      </c>
      <c r="X4" t="s">
        <v>167</v>
      </c>
      <c r="Y4" s="139" t="s">
        <v>169</v>
      </c>
      <c r="Z4" s="147" t="s">
        <v>170</v>
      </c>
      <c r="AA4">
        <v>871</v>
      </c>
      <c r="AB4" t="s">
        <v>171</v>
      </c>
      <c r="AC4">
        <v>1</v>
      </c>
      <c r="AD4">
        <v>1</v>
      </c>
      <c r="AE4">
        <v>124</v>
      </c>
      <c r="AF4">
        <v>126</v>
      </c>
      <c r="AG4" t="s">
        <v>167</v>
      </c>
      <c r="AH4" t="s">
        <v>167</v>
      </c>
      <c r="AI4" t="s">
        <v>167</v>
      </c>
      <c r="AJ4" t="s">
        <v>172</v>
      </c>
      <c r="AK4">
        <v>5.6716666699999996</v>
      </c>
      <c r="AL4">
        <v>172.51611111</v>
      </c>
      <c r="AM4">
        <v>5.7</v>
      </c>
      <c r="AN4">
        <v>172.5</v>
      </c>
      <c r="AO4">
        <v>-1254</v>
      </c>
      <c r="AP4" t="s">
        <v>167</v>
      </c>
      <c r="AQ4" s="148" t="s">
        <v>173</v>
      </c>
      <c r="AR4" t="s">
        <v>167</v>
      </c>
      <c r="AS4">
        <v>85</v>
      </c>
      <c r="AT4" t="s">
        <v>174</v>
      </c>
      <c r="AU4">
        <v>25</v>
      </c>
      <c r="AV4">
        <v>25</v>
      </c>
      <c r="AW4" s="149" t="s">
        <v>175</v>
      </c>
      <c r="AX4" t="s">
        <v>176</v>
      </c>
      <c r="AY4" t="s">
        <v>177</v>
      </c>
      <c r="AZ4" t="s">
        <v>167</v>
      </c>
      <c r="BA4" t="s">
        <v>167</v>
      </c>
      <c r="BB4" t="s">
        <v>167</v>
      </c>
      <c r="BC4" t="s">
        <v>167</v>
      </c>
      <c r="BD4" t="s">
        <v>167</v>
      </c>
      <c r="BE4" t="s">
        <v>167</v>
      </c>
      <c r="BF4" t="s">
        <v>167</v>
      </c>
      <c r="BG4" t="s">
        <v>178</v>
      </c>
      <c r="BH4" t="s">
        <v>167</v>
      </c>
      <c r="BI4" t="s">
        <v>179</v>
      </c>
      <c r="BJ4" t="s">
        <v>167</v>
      </c>
      <c r="BK4" t="s">
        <v>180</v>
      </c>
      <c r="BL4" t="s">
        <v>181</v>
      </c>
      <c r="BM4" t="s">
        <v>182</v>
      </c>
      <c r="BN4" t="s">
        <v>167</v>
      </c>
      <c r="BO4" t="s">
        <v>167</v>
      </c>
      <c r="BP4" t="s">
        <v>167</v>
      </c>
      <c r="BQ4">
        <v>24.9</v>
      </c>
      <c r="BR4" s="150" t="s">
        <v>183</v>
      </c>
      <c r="BS4">
        <v>0.4</v>
      </c>
      <c r="BT4" t="s">
        <v>184</v>
      </c>
      <c r="BU4" t="s">
        <v>185</v>
      </c>
      <c r="BV4" t="s">
        <v>185</v>
      </c>
      <c r="BW4" t="s">
        <v>167</v>
      </c>
      <c r="BX4" t="s">
        <v>167</v>
      </c>
      <c r="BY4" t="s">
        <v>167</v>
      </c>
      <c r="BZ4" t="s">
        <v>167</v>
      </c>
      <c r="CA4" t="s">
        <v>167</v>
      </c>
      <c r="CB4" s="144">
        <v>24.9</v>
      </c>
      <c r="CC4" s="150" t="s">
        <v>183</v>
      </c>
      <c r="CD4">
        <v>0.4</v>
      </c>
      <c r="CE4" t="s">
        <v>186</v>
      </c>
      <c r="CF4" t="s">
        <v>187</v>
      </c>
      <c r="CG4" t="s">
        <v>167</v>
      </c>
      <c r="CH4" t="s">
        <v>167</v>
      </c>
      <c r="CI4" t="s">
        <v>167</v>
      </c>
      <c r="CJ4">
        <v>27</v>
      </c>
      <c r="CK4" t="s">
        <v>167</v>
      </c>
      <c r="CL4" t="s">
        <v>167</v>
      </c>
      <c r="CM4" t="s">
        <v>167</v>
      </c>
      <c r="CN4" t="s">
        <v>167</v>
      </c>
      <c r="CO4" t="s">
        <v>167</v>
      </c>
      <c r="CP4" t="s">
        <v>167</v>
      </c>
      <c r="CQ4" t="s">
        <v>167</v>
      </c>
      <c r="CR4" t="s">
        <v>167</v>
      </c>
      <c r="CS4" t="s">
        <v>167</v>
      </c>
      <c r="CT4" t="s">
        <v>167</v>
      </c>
      <c r="CU4" t="s">
        <v>167</v>
      </c>
      <c r="CV4" t="s">
        <v>167</v>
      </c>
      <c r="CW4" t="s">
        <v>167</v>
      </c>
      <c r="CX4" t="s">
        <v>167</v>
      </c>
      <c r="CY4" t="s">
        <v>167</v>
      </c>
      <c r="CZ4" t="s">
        <v>167</v>
      </c>
      <c r="DA4" t="s">
        <v>167</v>
      </c>
      <c r="DB4" t="s">
        <v>167</v>
      </c>
      <c r="DC4" t="s">
        <v>167</v>
      </c>
      <c r="DD4" t="s">
        <v>167</v>
      </c>
      <c r="DE4" t="s">
        <v>167</v>
      </c>
      <c r="DF4" t="s">
        <v>167</v>
      </c>
      <c r="DG4" t="s">
        <v>167</v>
      </c>
      <c r="DH4" t="s">
        <v>167</v>
      </c>
      <c r="DI4" t="s">
        <v>167</v>
      </c>
      <c r="DJ4" t="s">
        <v>167</v>
      </c>
      <c r="DK4" t="s">
        <v>167</v>
      </c>
      <c r="DL4" t="s">
        <v>167</v>
      </c>
      <c r="DM4" t="s">
        <v>167</v>
      </c>
      <c r="DN4" t="s">
        <v>167</v>
      </c>
      <c r="DO4" t="s">
        <v>167</v>
      </c>
      <c r="DP4" t="s">
        <v>167</v>
      </c>
      <c r="DQ4" t="s">
        <v>167</v>
      </c>
      <c r="DR4" t="s">
        <v>167</v>
      </c>
      <c r="DS4" t="s">
        <v>167</v>
      </c>
      <c r="DT4" t="s">
        <v>167</v>
      </c>
      <c r="DU4" t="s">
        <v>167</v>
      </c>
      <c r="DV4" t="s">
        <v>167</v>
      </c>
      <c r="DW4" t="s">
        <v>167</v>
      </c>
      <c r="DX4" t="s">
        <v>167</v>
      </c>
      <c r="DY4" t="s">
        <v>167</v>
      </c>
      <c r="DZ4" t="s">
        <v>167</v>
      </c>
      <c r="EA4">
        <v>39.1</v>
      </c>
      <c r="EB4" t="s">
        <v>167</v>
      </c>
      <c r="EC4" t="s">
        <v>167</v>
      </c>
      <c r="ED4" t="s">
        <v>188</v>
      </c>
      <c r="EE4" t="s">
        <v>167</v>
      </c>
      <c r="EF4" t="s">
        <v>167</v>
      </c>
      <c r="EG4">
        <v>1.0194000000000001</v>
      </c>
      <c r="EH4" t="s">
        <v>167</v>
      </c>
      <c r="EI4" t="s">
        <v>167</v>
      </c>
      <c r="EJ4" t="s">
        <v>189</v>
      </c>
      <c r="EK4" t="s">
        <v>190</v>
      </c>
      <c r="EL4" t="s">
        <v>190</v>
      </c>
      <c r="EM4" t="s">
        <v>191</v>
      </c>
      <c r="EN4" t="s">
        <v>167</v>
      </c>
      <c r="EO4" t="s">
        <v>167</v>
      </c>
      <c r="EP4" t="s">
        <v>167</v>
      </c>
      <c r="EQ4" t="s">
        <v>167</v>
      </c>
      <c r="ER4" t="s">
        <v>167</v>
      </c>
      <c r="ES4" t="s">
        <v>167</v>
      </c>
      <c r="ET4" t="s">
        <v>192</v>
      </c>
      <c r="EU4" t="s">
        <v>193</v>
      </c>
      <c r="EV4" t="s">
        <v>167</v>
      </c>
      <c r="EW4">
        <v>2335</v>
      </c>
      <c r="EX4" t="s">
        <v>167</v>
      </c>
      <c r="EY4" s="151">
        <v>165</v>
      </c>
      <c r="EZ4" s="151">
        <v>110</v>
      </c>
      <c r="FA4" t="s">
        <v>167</v>
      </c>
      <c r="FB4" t="s">
        <v>167</v>
      </c>
      <c r="FC4" t="s">
        <v>167</v>
      </c>
      <c r="FD4" t="s">
        <v>167</v>
      </c>
      <c r="FE4">
        <v>8.1</v>
      </c>
      <c r="FF4" t="s">
        <v>167</v>
      </c>
      <c r="FG4">
        <v>4.7000000000000597E-2</v>
      </c>
      <c r="FH4">
        <v>4.8999999999999488E-2</v>
      </c>
      <c r="FI4">
        <v>341</v>
      </c>
      <c r="FJ4" t="s">
        <v>167</v>
      </c>
      <c r="FK4" t="s">
        <v>190</v>
      </c>
      <c r="FL4">
        <v>341</v>
      </c>
      <c r="FM4">
        <v>86</v>
      </c>
      <c r="FN4">
        <v>57</v>
      </c>
      <c r="FO4" t="s">
        <v>167</v>
      </c>
      <c r="FP4" t="s">
        <v>194</v>
      </c>
      <c r="FQ4" t="s">
        <v>167</v>
      </c>
      <c r="FR4" t="s">
        <v>167</v>
      </c>
      <c r="FS4" t="s">
        <v>167</v>
      </c>
      <c r="FT4" t="s">
        <v>167</v>
      </c>
      <c r="FU4" t="s">
        <v>167</v>
      </c>
      <c r="FV4" t="s">
        <v>167</v>
      </c>
      <c r="FW4" t="s">
        <v>167</v>
      </c>
      <c r="FX4" t="s">
        <v>167</v>
      </c>
      <c r="FY4" t="s">
        <v>167</v>
      </c>
      <c r="FZ4" t="s">
        <v>167</v>
      </c>
      <c r="GA4" t="s">
        <v>167</v>
      </c>
      <c r="GB4" t="s">
        <v>167</v>
      </c>
      <c r="GC4" t="s">
        <v>167</v>
      </c>
    </row>
    <row r="5" spans="1:185" ht="16" x14ac:dyDescent="0.2">
      <c r="A5" t="s">
        <v>206</v>
      </c>
      <c r="B5" s="142" t="s">
        <v>207</v>
      </c>
      <c r="C5" s="138" t="s">
        <v>168</v>
      </c>
      <c r="D5" t="s">
        <v>205</v>
      </c>
      <c r="E5" s="146">
        <v>2000</v>
      </c>
      <c r="F5" t="str">
        <f>Z5</f>
        <v>10.1038/35021000</v>
      </c>
      <c r="G5" s="143">
        <f>AS5</f>
        <v>980</v>
      </c>
      <c r="H5">
        <f>AU5</f>
        <v>390</v>
      </c>
      <c r="I5">
        <f>AV5</f>
        <v>510</v>
      </c>
      <c r="J5" s="145">
        <f>FL5</f>
        <v>311</v>
      </c>
      <c r="K5" s="145">
        <f t="shared" ref="K5:K6" si="1">FM5</f>
        <v>17</v>
      </c>
      <c r="L5" s="145">
        <f t="shared" ref="L5:L6" si="2">FN5</f>
        <v>15</v>
      </c>
      <c r="M5" t="b">
        <v>1</v>
      </c>
      <c r="N5">
        <v>3</v>
      </c>
      <c r="O5" t="s">
        <v>209</v>
      </c>
      <c r="P5" s="154" t="s">
        <v>167</v>
      </c>
      <c r="Q5" t="b">
        <v>0</v>
      </c>
      <c r="R5" t="s">
        <v>167</v>
      </c>
      <c r="S5" t="b">
        <v>1</v>
      </c>
      <c r="T5" t="b">
        <v>0</v>
      </c>
      <c r="U5" t="s">
        <v>167</v>
      </c>
      <c r="V5" t="s">
        <v>167</v>
      </c>
      <c r="W5" t="b">
        <v>0</v>
      </c>
      <c r="X5" t="s">
        <v>167</v>
      </c>
      <c r="Y5" s="139" t="s">
        <v>169</v>
      </c>
      <c r="Z5" s="147" t="s">
        <v>170</v>
      </c>
      <c r="AA5">
        <v>871</v>
      </c>
      <c r="AB5" t="s">
        <v>171</v>
      </c>
      <c r="AC5">
        <v>2</v>
      </c>
      <c r="AD5">
        <v>2</v>
      </c>
      <c r="AE5">
        <v>59</v>
      </c>
      <c r="AF5">
        <v>61</v>
      </c>
      <c r="AG5" t="s">
        <v>167</v>
      </c>
      <c r="AH5" t="s">
        <v>167</v>
      </c>
      <c r="AI5" t="s">
        <v>167</v>
      </c>
      <c r="AJ5" t="s">
        <v>172</v>
      </c>
      <c r="AK5">
        <v>5.6716666699999996</v>
      </c>
      <c r="AL5">
        <v>172.51611111</v>
      </c>
      <c r="AM5">
        <v>5.7</v>
      </c>
      <c r="AN5">
        <v>172.5</v>
      </c>
      <c r="AO5">
        <v>-1254</v>
      </c>
      <c r="AP5" t="s">
        <v>167</v>
      </c>
      <c r="AQ5" s="148" t="s">
        <v>173</v>
      </c>
      <c r="AR5" t="s">
        <v>167</v>
      </c>
      <c r="AS5">
        <v>980</v>
      </c>
      <c r="AT5" t="s">
        <v>174</v>
      </c>
      <c r="AU5">
        <v>390</v>
      </c>
      <c r="AV5">
        <v>510</v>
      </c>
      <c r="AW5" s="149" t="s">
        <v>175</v>
      </c>
      <c r="AX5" t="s">
        <v>176</v>
      </c>
      <c r="AY5" t="s">
        <v>177</v>
      </c>
      <c r="AZ5" t="s">
        <v>167</v>
      </c>
      <c r="BA5" t="s">
        <v>167</v>
      </c>
      <c r="BB5" t="s">
        <v>167</v>
      </c>
      <c r="BC5" t="s">
        <v>167</v>
      </c>
      <c r="BD5" t="s">
        <v>167</v>
      </c>
      <c r="BE5" t="s">
        <v>167</v>
      </c>
      <c r="BF5" t="s">
        <v>167</v>
      </c>
      <c r="BG5" t="s">
        <v>195</v>
      </c>
      <c r="BH5" t="s">
        <v>196</v>
      </c>
      <c r="BI5" t="s">
        <v>179</v>
      </c>
      <c r="BJ5" t="s">
        <v>167</v>
      </c>
      <c r="BK5" t="s">
        <v>180</v>
      </c>
      <c r="BL5" t="s">
        <v>181</v>
      </c>
      <c r="BM5" t="s">
        <v>182</v>
      </c>
      <c r="BN5" t="s">
        <v>167</v>
      </c>
      <c r="BO5" t="s">
        <v>167</v>
      </c>
      <c r="BP5" t="s">
        <v>167</v>
      </c>
      <c r="BQ5">
        <v>25.1</v>
      </c>
      <c r="BR5" s="150" t="s">
        <v>183</v>
      </c>
      <c r="BS5">
        <v>0.1</v>
      </c>
      <c r="BT5" t="s">
        <v>184</v>
      </c>
      <c r="BU5" t="s">
        <v>185</v>
      </c>
      <c r="BV5" t="s">
        <v>185</v>
      </c>
      <c r="BW5" t="s">
        <v>167</v>
      </c>
      <c r="BX5" t="s">
        <v>167</v>
      </c>
      <c r="BY5" t="s">
        <v>167</v>
      </c>
      <c r="BZ5" t="s">
        <v>167</v>
      </c>
      <c r="CA5" t="s">
        <v>167</v>
      </c>
      <c r="CB5" s="144">
        <v>25.1</v>
      </c>
      <c r="CC5" s="150" t="s">
        <v>183</v>
      </c>
      <c r="CD5">
        <v>0.1</v>
      </c>
      <c r="CE5" t="s">
        <v>186</v>
      </c>
      <c r="CF5" t="s">
        <v>187</v>
      </c>
      <c r="CG5" t="s">
        <v>167</v>
      </c>
      <c r="CH5" t="s">
        <v>167</v>
      </c>
      <c r="CI5" t="s">
        <v>167</v>
      </c>
      <c r="CJ5">
        <v>27</v>
      </c>
      <c r="CK5" t="s">
        <v>167</v>
      </c>
      <c r="CL5" t="s">
        <v>167</v>
      </c>
      <c r="CM5" t="s">
        <v>167</v>
      </c>
      <c r="CN5" t="s">
        <v>167</v>
      </c>
      <c r="CO5" t="s">
        <v>167</v>
      </c>
      <c r="CP5" t="s">
        <v>167</v>
      </c>
      <c r="CQ5" t="s">
        <v>167</v>
      </c>
      <c r="CR5" t="s">
        <v>167</v>
      </c>
      <c r="CS5" t="s">
        <v>167</v>
      </c>
      <c r="CT5" t="s">
        <v>167</v>
      </c>
      <c r="CU5" t="s">
        <v>167</v>
      </c>
      <c r="CV5" t="s">
        <v>167</v>
      </c>
      <c r="CW5" t="s">
        <v>167</v>
      </c>
      <c r="CX5" t="s">
        <v>167</v>
      </c>
      <c r="CY5" t="s">
        <v>167</v>
      </c>
      <c r="CZ5" t="s">
        <v>167</v>
      </c>
      <c r="DA5" t="s">
        <v>167</v>
      </c>
      <c r="DB5" t="s">
        <v>167</v>
      </c>
      <c r="DC5" t="s">
        <v>167</v>
      </c>
      <c r="DD5" t="s">
        <v>167</v>
      </c>
      <c r="DE5" t="s">
        <v>167</v>
      </c>
      <c r="DF5" t="s">
        <v>167</v>
      </c>
      <c r="DG5" t="s">
        <v>167</v>
      </c>
      <c r="DH5" t="s">
        <v>167</v>
      </c>
      <c r="DI5" t="s">
        <v>167</v>
      </c>
      <c r="DJ5" t="s">
        <v>167</v>
      </c>
      <c r="DK5" t="s">
        <v>167</v>
      </c>
      <c r="DL5" t="s">
        <v>167</v>
      </c>
      <c r="DM5" t="s">
        <v>167</v>
      </c>
      <c r="DN5" t="s">
        <v>167</v>
      </c>
      <c r="DO5" t="s">
        <v>167</v>
      </c>
      <c r="DP5" t="s">
        <v>167</v>
      </c>
      <c r="DQ5" t="s">
        <v>167</v>
      </c>
      <c r="DR5" t="s">
        <v>167</v>
      </c>
      <c r="DS5" t="s">
        <v>167</v>
      </c>
      <c r="DT5" t="s">
        <v>167</v>
      </c>
      <c r="DU5" t="s">
        <v>167</v>
      </c>
      <c r="DV5" t="s">
        <v>167</v>
      </c>
      <c r="DW5" t="s">
        <v>167</v>
      </c>
      <c r="DX5" t="s">
        <v>167</v>
      </c>
      <c r="DY5" t="s">
        <v>167</v>
      </c>
      <c r="DZ5" t="s">
        <v>167</v>
      </c>
      <c r="EA5">
        <v>39.1</v>
      </c>
      <c r="EB5" t="s">
        <v>167</v>
      </c>
      <c r="EC5" t="s">
        <v>167</v>
      </c>
      <c r="ED5" t="s">
        <v>188</v>
      </c>
      <c r="EE5" t="s">
        <v>167</v>
      </c>
      <c r="EF5" t="s">
        <v>167</v>
      </c>
      <c r="EG5">
        <v>1.0194000000000001</v>
      </c>
      <c r="EH5" t="s">
        <v>167</v>
      </c>
      <c r="EI5" t="s">
        <v>167</v>
      </c>
      <c r="EJ5" t="s">
        <v>189</v>
      </c>
      <c r="EK5" t="s">
        <v>190</v>
      </c>
      <c r="EL5" t="s">
        <v>190</v>
      </c>
      <c r="EM5" t="s">
        <v>191</v>
      </c>
      <c r="EN5" t="s">
        <v>167</v>
      </c>
      <c r="EO5" t="s">
        <v>167</v>
      </c>
      <c r="EP5" t="s">
        <v>167</v>
      </c>
      <c r="EQ5" t="s">
        <v>167</v>
      </c>
      <c r="ER5" t="s">
        <v>167</v>
      </c>
      <c r="ES5" t="s">
        <v>167</v>
      </c>
      <c r="ET5" t="s">
        <v>192</v>
      </c>
      <c r="EU5" t="s">
        <v>193</v>
      </c>
      <c r="EV5" t="s">
        <v>167</v>
      </c>
      <c r="EW5">
        <v>2260</v>
      </c>
      <c r="EX5" t="s">
        <v>167</v>
      </c>
      <c r="EY5" s="152">
        <v>40</v>
      </c>
      <c r="EZ5" s="152">
        <v>35</v>
      </c>
      <c r="FA5" t="s">
        <v>167</v>
      </c>
      <c r="FB5" t="s">
        <v>167</v>
      </c>
      <c r="FC5" t="s">
        <v>167</v>
      </c>
      <c r="FD5" t="s">
        <v>167</v>
      </c>
      <c r="FE5">
        <v>8.1199999999999992</v>
      </c>
      <c r="FF5" t="s">
        <v>167</v>
      </c>
      <c r="FG5">
        <v>1.1000000000001009E-2</v>
      </c>
      <c r="FH5">
        <v>1.1999999999998678E-2</v>
      </c>
      <c r="FI5">
        <v>311</v>
      </c>
      <c r="FJ5" t="s">
        <v>167</v>
      </c>
      <c r="FK5" t="s">
        <v>190</v>
      </c>
      <c r="FL5">
        <v>311</v>
      </c>
      <c r="FM5">
        <v>17</v>
      </c>
      <c r="FN5">
        <v>15</v>
      </c>
      <c r="FO5" t="s">
        <v>167</v>
      </c>
      <c r="FP5" t="s">
        <v>194</v>
      </c>
      <c r="FQ5" t="s">
        <v>167</v>
      </c>
      <c r="FR5" t="s">
        <v>167</v>
      </c>
      <c r="FS5" t="s">
        <v>167</v>
      </c>
      <c r="FT5" t="s">
        <v>167</v>
      </c>
      <c r="FU5" t="s">
        <v>167</v>
      </c>
      <c r="FV5" t="s">
        <v>167</v>
      </c>
      <c r="FW5" t="s">
        <v>167</v>
      </c>
      <c r="FX5" t="s">
        <v>167</v>
      </c>
      <c r="FY5" t="s">
        <v>167</v>
      </c>
      <c r="FZ5" t="s">
        <v>167</v>
      </c>
      <c r="GA5" t="s">
        <v>167</v>
      </c>
      <c r="GB5" t="s">
        <v>167</v>
      </c>
      <c r="GC5" t="s">
        <v>167</v>
      </c>
    </row>
    <row r="6" spans="1:185" ht="16" x14ac:dyDescent="0.2">
      <c r="A6" t="s">
        <v>206</v>
      </c>
      <c r="B6" s="142" t="s">
        <v>207</v>
      </c>
      <c r="C6" s="138" t="s">
        <v>168</v>
      </c>
      <c r="D6" t="s">
        <v>205</v>
      </c>
      <c r="E6" s="146">
        <v>2000</v>
      </c>
      <c r="F6" t="str">
        <f t="shared" ref="F6:F38" si="3">Z6</f>
        <v>10.1038/35021000</v>
      </c>
      <c r="G6" s="143">
        <f t="shared" ref="G6:G38" si="4">AS6</f>
        <v>1490</v>
      </c>
      <c r="H6">
        <f t="shared" ref="H6:H38" si="5">AU6</f>
        <v>190</v>
      </c>
      <c r="I6">
        <f t="shared" ref="I6:I38" si="6">AV6</f>
        <v>40</v>
      </c>
      <c r="J6" s="145">
        <f t="shared" ref="J6:J38" si="7">FL6</f>
        <v>295</v>
      </c>
      <c r="K6" s="145">
        <f t="shared" si="1"/>
        <v>47</v>
      </c>
      <c r="L6" s="145">
        <f t="shared" si="2"/>
        <v>40</v>
      </c>
      <c r="M6" t="b">
        <v>1</v>
      </c>
      <c r="N6">
        <v>3</v>
      </c>
      <c r="O6" t="s">
        <v>209</v>
      </c>
      <c r="P6" s="154" t="s">
        <v>167</v>
      </c>
      <c r="Q6" t="b">
        <v>0</v>
      </c>
      <c r="R6" t="s">
        <v>167</v>
      </c>
      <c r="S6" t="b">
        <v>1</v>
      </c>
      <c r="T6" t="b">
        <v>0</v>
      </c>
      <c r="U6" t="s">
        <v>167</v>
      </c>
      <c r="V6" t="s">
        <v>167</v>
      </c>
      <c r="W6" t="b">
        <v>0</v>
      </c>
      <c r="X6" t="s">
        <v>167</v>
      </c>
      <c r="Y6" s="139" t="s">
        <v>169</v>
      </c>
      <c r="Z6" s="147" t="s">
        <v>170</v>
      </c>
      <c r="AA6">
        <v>871</v>
      </c>
      <c r="AB6" t="s">
        <v>171</v>
      </c>
      <c r="AC6">
        <v>2</v>
      </c>
      <c r="AD6">
        <v>6</v>
      </c>
      <c r="AE6">
        <v>59</v>
      </c>
      <c r="AF6">
        <v>61</v>
      </c>
      <c r="AG6" t="s">
        <v>167</v>
      </c>
      <c r="AH6" t="s">
        <v>167</v>
      </c>
      <c r="AI6" t="s">
        <v>167</v>
      </c>
      <c r="AJ6" t="s">
        <v>172</v>
      </c>
      <c r="AK6">
        <v>5.6716666699999996</v>
      </c>
      <c r="AL6">
        <v>172.51611111</v>
      </c>
      <c r="AM6">
        <v>5.7</v>
      </c>
      <c r="AN6">
        <v>172.5</v>
      </c>
      <c r="AO6">
        <v>-1254</v>
      </c>
      <c r="AP6" t="s">
        <v>167</v>
      </c>
      <c r="AQ6" s="148" t="s">
        <v>173</v>
      </c>
      <c r="AR6" t="s">
        <v>167</v>
      </c>
      <c r="AS6">
        <v>1490</v>
      </c>
      <c r="AT6" t="s">
        <v>174</v>
      </c>
      <c r="AU6">
        <v>190</v>
      </c>
      <c r="AV6">
        <v>40</v>
      </c>
      <c r="AW6" s="149" t="s">
        <v>175</v>
      </c>
      <c r="AX6" t="s">
        <v>176</v>
      </c>
      <c r="AY6" t="s">
        <v>177</v>
      </c>
      <c r="AZ6" t="s">
        <v>167</v>
      </c>
      <c r="BA6" t="s">
        <v>167</v>
      </c>
      <c r="BB6" t="s">
        <v>167</v>
      </c>
      <c r="BC6" t="s">
        <v>167</v>
      </c>
      <c r="BD6" t="s">
        <v>167</v>
      </c>
      <c r="BE6" t="s">
        <v>167</v>
      </c>
      <c r="BF6" t="s">
        <v>167</v>
      </c>
      <c r="BG6" t="s">
        <v>195</v>
      </c>
      <c r="BH6" t="s">
        <v>196</v>
      </c>
      <c r="BI6" t="s">
        <v>179</v>
      </c>
      <c r="BJ6" t="s">
        <v>167</v>
      </c>
      <c r="BK6" t="s">
        <v>180</v>
      </c>
      <c r="BL6" t="s">
        <v>181</v>
      </c>
      <c r="BM6" t="s">
        <v>182</v>
      </c>
      <c r="BN6" t="s">
        <v>167</v>
      </c>
      <c r="BO6" t="s">
        <v>167</v>
      </c>
      <c r="BP6" t="s">
        <v>167</v>
      </c>
      <c r="BQ6">
        <v>25.2</v>
      </c>
      <c r="BR6" s="150" t="s">
        <v>183</v>
      </c>
      <c r="BS6">
        <v>0.3</v>
      </c>
      <c r="BT6" t="s">
        <v>184</v>
      </c>
      <c r="BU6" t="s">
        <v>185</v>
      </c>
      <c r="BV6" t="s">
        <v>185</v>
      </c>
      <c r="BW6" t="s">
        <v>167</v>
      </c>
      <c r="BX6" t="s">
        <v>167</v>
      </c>
      <c r="BY6" t="s">
        <v>167</v>
      </c>
      <c r="BZ6" t="s">
        <v>167</v>
      </c>
      <c r="CA6" t="s">
        <v>167</v>
      </c>
      <c r="CB6" s="144">
        <v>25.2</v>
      </c>
      <c r="CC6" s="150" t="s">
        <v>183</v>
      </c>
      <c r="CD6">
        <v>0.3</v>
      </c>
      <c r="CE6" t="s">
        <v>186</v>
      </c>
      <c r="CF6" t="s">
        <v>187</v>
      </c>
      <c r="CG6" t="s">
        <v>167</v>
      </c>
      <c r="CH6" t="s">
        <v>167</v>
      </c>
      <c r="CI6" t="s">
        <v>167</v>
      </c>
      <c r="CJ6">
        <v>27</v>
      </c>
      <c r="CK6" t="s">
        <v>167</v>
      </c>
      <c r="CL6" t="s">
        <v>167</v>
      </c>
      <c r="CM6" t="s">
        <v>167</v>
      </c>
      <c r="CN6" t="s">
        <v>167</v>
      </c>
      <c r="CO6" t="s">
        <v>167</v>
      </c>
      <c r="CP6" t="s">
        <v>167</v>
      </c>
      <c r="CQ6" t="s">
        <v>167</v>
      </c>
      <c r="CR6" t="s">
        <v>167</v>
      </c>
      <c r="CS6" t="s">
        <v>167</v>
      </c>
      <c r="CT6" t="s">
        <v>167</v>
      </c>
      <c r="CU6" t="s">
        <v>167</v>
      </c>
      <c r="CV6" t="s">
        <v>167</v>
      </c>
      <c r="CW6" t="s">
        <v>167</v>
      </c>
      <c r="CX6" t="s">
        <v>167</v>
      </c>
      <c r="CY6" t="s">
        <v>167</v>
      </c>
      <c r="CZ6" t="s">
        <v>167</v>
      </c>
      <c r="DA6" t="s">
        <v>167</v>
      </c>
      <c r="DB6" t="s">
        <v>167</v>
      </c>
      <c r="DC6" t="s">
        <v>167</v>
      </c>
      <c r="DD6" t="s">
        <v>167</v>
      </c>
      <c r="DE6" t="s">
        <v>167</v>
      </c>
      <c r="DF6" t="s">
        <v>167</v>
      </c>
      <c r="DG6" t="s">
        <v>167</v>
      </c>
      <c r="DH6" t="s">
        <v>167</v>
      </c>
      <c r="DI6" t="s">
        <v>167</v>
      </c>
      <c r="DJ6" t="s">
        <v>167</v>
      </c>
      <c r="DK6" t="s">
        <v>167</v>
      </c>
      <c r="DL6" t="s">
        <v>167</v>
      </c>
      <c r="DM6" t="s">
        <v>167</v>
      </c>
      <c r="DN6" t="s">
        <v>167</v>
      </c>
      <c r="DO6" t="s">
        <v>167</v>
      </c>
      <c r="DP6" t="s">
        <v>167</v>
      </c>
      <c r="DQ6" t="s">
        <v>167</v>
      </c>
      <c r="DR6" t="s">
        <v>167</v>
      </c>
      <c r="DS6" t="s">
        <v>167</v>
      </c>
      <c r="DT6" t="s">
        <v>167</v>
      </c>
      <c r="DU6" t="s">
        <v>167</v>
      </c>
      <c r="DV6" t="s">
        <v>167</v>
      </c>
      <c r="DW6" t="s">
        <v>167</v>
      </c>
      <c r="DX6" t="s">
        <v>167</v>
      </c>
      <c r="DY6" t="s">
        <v>167</v>
      </c>
      <c r="DZ6" t="s">
        <v>167</v>
      </c>
      <c r="EA6">
        <v>39.1</v>
      </c>
      <c r="EB6" t="s">
        <v>167</v>
      </c>
      <c r="EC6" t="s">
        <v>167</v>
      </c>
      <c r="ED6" t="s">
        <v>188</v>
      </c>
      <c r="EE6" t="s">
        <v>167</v>
      </c>
      <c r="EF6" t="s">
        <v>167</v>
      </c>
      <c r="EG6">
        <v>1.0194000000000001</v>
      </c>
      <c r="EH6" t="s">
        <v>167</v>
      </c>
      <c r="EI6" t="s">
        <v>167</v>
      </c>
      <c r="EJ6" t="s">
        <v>189</v>
      </c>
      <c r="EK6" t="s">
        <v>190</v>
      </c>
      <c r="EL6" t="s">
        <v>190</v>
      </c>
      <c r="EM6" t="s">
        <v>191</v>
      </c>
      <c r="EN6" t="s">
        <v>167</v>
      </c>
      <c r="EO6" t="s">
        <v>167</v>
      </c>
      <c r="EP6" t="s">
        <v>167</v>
      </c>
      <c r="EQ6" t="s">
        <v>167</v>
      </c>
      <c r="ER6" t="s">
        <v>167</v>
      </c>
      <c r="ES6" t="s">
        <v>167</v>
      </c>
      <c r="ET6" t="s">
        <v>192</v>
      </c>
      <c r="EU6" t="s">
        <v>193</v>
      </c>
      <c r="EV6" t="s">
        <v>167</v>
      </c>
      <c r="EW6">
        <v>2220</v>
      </c>
      <c r="EX6" t="s">
        <v>167</v>
      </c>
      <c r="EY6" s="152">
        <v>85</v>
      </c>
      <c r="EZ6" s="152">
        <v>70</v>
      </c>
      <c r="FA6" t="s">
        <v>167</v>
      </c>
      <c r="FB6" t="s">
        <v>167</v>
      </c>
      <c r="FC6" t="s">
        <v>167</v>
      </c>
      <c r="FD6" t="s">
        <v>167</v>
      </c>
      <c r="FE6">
        <v>8.1300000000000008</v>
      </c>
      <c r="FF6" t="s">
        <v>167</v>
      </c>
      <c r="FG6">
        <v>3.399999999999892E-2</v>
      </c>
      <c r="FH6">
        <v>3.5000000000000142E-2</v>
      </c>
      <c r="FI6">
        <v>295</v>
      </c>
      <c r="FJ6" t="s">
        <v>167</v>
      </c>
      <c r="FK6" t="s">
        <v>190</v>
      </c>
      <c r="FL6">
        <v>295</v>
      </c>
      <c r="FM6">
        <v>47</v>
      </c>
      <c r="FN6">
        <v>40</v>
      </c>
      <c r="FO6" t="s">
        <v>167</v>
      </c>
      <c r="FP6" t="s">
        <v>194</v>
      </c>
      <c r="FQ6" t="s">
        <v>167</v>
      </c>
      <c r="FR6" t="s">
        <v>167</v>
      </c>
      <c r="FS6" t="s">
        <v>167</v>
      </c>
      <c r="FT6" t="s">
        <v>167</v>
      </c>
      <c r="FU6" t="s">
        <v>167</v>
      </c>
      <c r="FV6" t="s">
        <v>167</v>
      </c>
      <c r="FW6" t="s">
        <v>167</v>
      </c>
      <c r="FX6" t="s">
        <v>167</v>
      </c>
      <c r="FY6" t="s">
        <v>167</v>
      </c>
      <c r="FZ6" t="s">
        <v>167</v>
      </c>
      <c r="GA6" t="s">
        <v>167</v>
      </c>
      <c r="GB6" t="s">
        <v>167</v>
      </c>
      <c r="GC6" t="s">
        <v>167</v>
      </c>
    </row>
    <row r="7" spans="1:185" ht="16" x14ac:dyDescent="0.2">
      <c r="A7" t="s">
        <v>206</v>
      </c>
      <c r="B7" s="142" t="s">
        <v>207</v>
      </c>
      <c r="C7" s="138" t="s">
        <v>168</v>
      </c>
      <c r="D7" t="s">
        <v>205</v>
      </c>
      <c r="E7" s="146">
        <v>2000</v>
      </c>
      <c r="F7" t="str">
        <f t="shared" si="3"/>
        <v>10.1038/35021000</v>
      </c>
      <c r="G7" s="143">
        <f t="shared" si="4"/>
        <v>3000</v>
      </c>
      <c r="H7">
        <f t="shared" si="5"/>
        <v>100</v>
      </c>
      <c r="I7">
        <f t="shared" si="6"/>
        <v>100</v>
      </c>
      <c r="J7" s="145">
        <f t="shared" si="7"/>
        <v>208</v>
      </c>
      <c r="K7" s="145">
        <f t="shared" ref="K7:K38" si="8">FM7</f>
        <v>45</v>
      </c>
      <c r="L7" s="145">
        <f t="shared" ref="L7:L38" si="9">FN7</f>
        <v>35</v>
      </c>
      <c r="M7" t="b">
        <v>1</v>
      </c>
      <c r="N7">
        <v>3</v>
      </c>
      <c r="O7" t="s">
        <v>209</v>
      </c>
      <c r="P7" s="154" t="s">
        <v>167</v>
      </c>
      <c r="Q7" t="b">
        <v>0</v>
      </c>
      <c r="R7" t="s">
        <v>167</v>
      </c>
      <c r="S7" t="b">
        <v>1</v>
      </c>
      <c r="T7" t="b">
        <v>0</v>
      </c>
      <c r="U7" t="s">
        <v>167</v>
      </c>
      <c r="V7" t="s">
        <v>167</v>
      </c>
      <c r="W7" t="b">
        <v>0</v>
      </c>
      <c r="X7" t="s">
        <v>167</v>
      </c>
      <c r="Y7" s="139" t="s">
        <v>169</v>
      </c>
      <c r="Z7" s="147" t="s">
        <v>170</v>
      </c>
      <c r="AA7">
        <v>871</v>
      </c>
      <c r="AB7" t="s">
        <v>171</v>
      </c>
      <c r="AC7">
        <v>3</v>
      </c>
      <c r="AD7">
        <v>2</v>
      </c>
      <c r="AE7">
        <v>123</v>
      </c>
      <c r="AF7">
        <v>125</v>
      </c>
      <c r="AG7" t="s">
        <v>167</v>
      </c>
      <c r="AH7" t="s">
        <v>167</v>
      </c>
      <c r="AI7" t="s">
        <v>167</v>
      </c>
      <c r="AJ7" t="s">
        <v>172</v>
      </c>
      <c r="AK7">
        <v>5.6716666699999996</v>
      </c>
      <c r="AL7">
        <v>172.51611111</v>
      </c>
      <c r="AM7">
        <v>5.7</v>
      </c>
      <c r="AN7">
        <v>172.5</v>
      </c>
      <c r="AO7">
        <v>-1254</v>
      </c>
      <c r="AP7" t="s">
        <v>167</v>
      </c>
      <c r="AQ7" s="148" t="s">
        <v>173</v>
      </c>
      <c r="AR7" t="s">
        <v>167</v>
      </c>
      <c r="AS7">
        <v>3000</v>
      </c>
      <c r="AT7" t="s">
        <v>174</v>
      </c>
      <c r="AU7">
        <v>100</v>
      </c>
      <c r="AV7">
        <v>100</v>
      </c>
      <c r="AW7" s="149" t="s">
        <v>175</v>
      </c>
      <c r="AX7" t="s">
        <v>176</v>
      </c>
      <c r="AY7" t="s">
        <v>177</v>
      </c>
      <c r="AZ7" t="s">
        <v>167</v>
      </c>
      <c r="BA7" t="s">
        <v>167</v>
      </c>
      <c r="BB7" t="s">
        <v>167</v>
      </c>
      <c r="BC7" t="s">
        <v>167</v>
      </c>
      <c r="BD7" t="s">
        <v>167</v>
      </c>
      <c r="BE7" t="s">
        <v>167</v>
      </c>
      <c r="BF7" t="s">
        <v>167</v>
      </c>
      <c r="BG7" t="s">
        <v>178</v>
      </c>
      <c r="BH7" t="s">
        <v>167</v>
      </c>
      <c r="BI7" t="s">
        <v>179</v>
      </c>
      <c r="BJ7" t="s">
        <v>167</v>
      </c>
      <c r="BK7" t="s">
        <v>180</v>
      </c>
      <c r="BL7" t="s">
        <v>181</v>
      </c>
      <c r="BM7" t="s">
        <v>182</v>
      </c>
      <c r="BN7" t="s">
        <v>167</v>
      </c>
      <c r="BO7" t="s">
        <v>167</v>
      </c>
      <c r="BP7" t="s">
        <v>167</v>
      </c>
      <c r="BQ7">
        <v>25.9</v>
      </c>
      <c r="BR7" s="150" t="s">
        <v>183</v>
      </c>
      <c r="BS7">
        <v>0.4</v>
      </c>
      <c r="BT7" t="s">
        <v>184</v>
      </c>
      <c r="BU7" t="s">
        <v>185</v>
      </c>
      <c r="BV7" t="s">
        <v>185</v>
      </c>
      <c r="BW7" t="s">
        <v>167</v>
      </c>
      <c r="BX7" t="s">
        <v>167</v>
      </c>
      <c r="BY7" t="s">
        <v>167</v>
      </c>
      <c r="BZ7" t="s">
        <v>167</v>
      </c>
      <c r="CA7" t="s">
        <v>167</v>
      </c>
      <c r="CB7" s="144">
        <v>25.9</v>
      </c>
      <c r="CC7" s="150" t="s">
        <v>183</v>
      </c>
      <c r="CD7">
        <v>0.4</v>
      </c>
      <c r="CE7" t="s">
        <v>186</v>
      </c>
      <c r="CF7" t="s">
        <v>187</v>
      </c>
      <c r="CG7" t="s">
        <v>167</v>
      </c>
      <c r="CH7" t="s">
        <v>167</v>
      </c>
      <c r="CI7" t="s">
        <v>167</v>
      </c>
      <c r="CJ7">
        <v>27</v>
      </c>
      <c r="CK7" t="s">
        <v>167</v>
      </c>
      <c r="CL7" t="s">
        <v>167</v>
      </c>
      <c r="CM7" t="s">
        <v>167</v>
      </c>
      <c r="CN7" t="s">
        <v>167</v>
      </c>
      <c r="CO7" t="s">
        <v>167</v>
      </c>
      <c r="CP7" t="s">
        <v>167</v>
      </c>
      <c r="CQ7" t="s">
        <v>167</v>
      </c>
      <c r="CR7" t="s">
        <v>167</v>
      </c>
      <c r="CS7" t="s">
        <v>167</v>
      </c>
      <c r="CT7" t="s">
        <v>167</v>
      </c>
      <c r="CU7" t="s">
        <v>167</v>
      </c>
      <c r="CV7" t="s">
        <v>167</v>
      </c>
      <c r="CW7" t="s">
        <v>167</v>
      </c>
      <c r="CX7" t="s">
        <v>167</v>
      </c>
      <c r="CY7" t="s">
        <v>167</v>
      </c>
      <c r="CZ7" t="s">
        <v>167</v>
      </c>
      <c r="DA7" t="s">
        <v>167</v>
      </c>
      <c r="DB7" t="s">
        <v>167</v>
      </c>
      <c r="DC7" t="s">
        <v>167</v>
      </c>
      <c r="DD7" t="s">
        <v>167</v>
      </c>
      <c r="DE7" t="s">
        <v>167</v>
      </c>
      <c r="DF7" t="s">
        <v>167</v>
      </c>
      <c r="DG7" t="s">
        <v>167</v>
      </c>
      <c r="DH7" t="s">
        <v>167</v>
      </c>
      <c r="DI7" t="s">
        <v>167</v>
      </c>
      <c r="DJ7" t="s">
        <v>167</v>
      </c>
      <c r="DK7" t="s">
        <v>167</v>
      </c>
      <c r="DL7" t="s">
        <v>167</v>
      </c>
      <c r="DM7" t="s">
        <v>167</v>
      </c>
      <c r="DN7" t="s">
        <v>167</v>
      </c>
      <c r="DO7" t="s">
        <v>167</v>
      </c>
      <c r="DP7" t="s">
        <v>167</v>
      </c>
      <c r="DQ7" t="s">
        <v>167</v>
      </c>
      <c r="DR7" t="s">
        <v>167</v>
      </c>
      <c r="DS7" t="s">
        <v>167</v>
      </c>
      <c r="DT7" t="s">
        <v>167</v>
      </c>
      <c r="DU7" t="s">
        <v>167</v>
      </c>
      <c r="DV7" t="s">
        <v>167</v>
      </c>
      <c r="DW7" t="s">
        <v>167</v>
      </c>
      <c r="DX7" t="s">
        <v>167</v>
      </c>
      <c r="DY7" t="s">
        <v>167</v>
      </c>
      <c r="DZ7" t="s">
        <v>167</v>
      </c>
      <c r="EA7">
        <v>39.1</v>
      </c>
      <c r="EB7" t="s">
        <v>167</v>
      </c>
      <c r="EC7" t="s">
        <v>167</v>
      </c>
      <c r="ED7" t="s">
        <v>188</v>
      </c>
      <c r="EE7" t="s">
        <v>167</v>
      </c>
      <c r="EF7" t="s">
        <v>167</v>
      </c>
      <c r="EG7">
        <v>1.0194000000000001</v>
      </c>
      <c r="EH7" t="s">
        <v>167</v>
      </c>
      <c r="EI7" t="s">
        <v>167</v>
      </c>
      <c r="EJ7" t="s">
        <v>189</v>
      </c>
      <c r="EK7" t="s">
        <v>190</v>
      </c>
      <c r="EL7" t="s">
        <v>190</v>
      </c>
      <c r="EM7" t="s">
        <v>191</v>
      </c>
      <c r="EN7" t="s">
        <v>167</v>
      </c>
      <c r="EO7" t="s">
        <v>167</v>
      </c>
      <c r="EP7" t="s">
        <v>167</v>
      </c>
      <c r="EQ7" t="s">
        <v>167</v>
      </c>
      <c r="ER7" t="s">
        <v>167</v>
      </c>
      <c r="ES7" t="s">
        <v>167</v>
      </c>
      <c r="ET7" t="s">
        <v>192</v>
      </c>
      <c r="EU7" t="s">
        <v>193</v>
      </c>
      <c r="EV7" t="s">
        <v>167</v>
      </c>
      <c r="EW7">
        <v>2010</v>
      </c>
      <c r="EX7" t="s">
        <v>167</v>
      </c>
      <c r="EY7" s="151">
        <v>115</v>
      </c>
      <c r="EZ7" s="151">
        <v>110</v>
      </c>
      <c r="FA7" t="s">
        <v>167</v>
      </c>
      <c r="FB7" t="s">
        <v>167</v>
      </c>
      <c r="FC7" t="s">
        <v>167</v>
      </c>
      <c r="FD7" t="s">
        <v>167</v>
      </c>
      <c r="FE7">
        <v>8.2100000000000009</v>
      </c>
      <c r="FF7" t="s">
        <v>167</v>
      </c>
      <c r="FG7">
        <v>4.1999999999999815E-2</v>
      </c>
      <c r="FH7">
        <v>4.4000000000000483E-2</v>
      </c>
      <c r="FI7">
        <v>208</v>
      </c>
      <c r="FJ7" t="s">
        <v>167</v>
      </c>
      <c r="FK7" t="s">
        <v>190</v>
      </c>
      <c r="FL7">
        <v>208</v>
      </c>
      <c r="FM7">
        <v>45</v>
      </c>
      <c r="FN7">
        <v>35</v>
      </c>
      <c r="FO7" t="s">
        <v>167</v>
      </c>
      <c r="FP7" t="s">
        <v>194</v>
      </c>
      <c r="FQ7" t="s">
        <v>167</v>
      </c>
      <c r="FR7" t="s">
        <v>167</v>
      </c>
      <c r="FS7" t="s">
        <v>167</v>
      </c>
      <c r="FT7" t="s">
        <v>167</v>
      </c>
      <c r="FU7" t="s">
        <v>167</v>
      </c>
      <c r="FV7" t="s">
        <v>167</v>
      </c>
      <c r="FW7" t="s">
        <v>167</v>
      </c>
      <c r="FX7" t="s">
        <v>167</v>
      </c>
      <c r="FY7" t="s">
        <v>167</v>
      </c>
      <c r="FZ7" t="s">
        <v>167</v>
      </c>
      <c r="GA7" t="s">
        <v>167</v>
      </c>
      <c r="GB7" t="s">
        <v>167</v>
      </c>
      <c r="GC7" t="s">
        <v>167</v>
      </c>
    </row>
    <row r="8" spans="1:185" ht="16" x14ac:dyDescent="0.2">
      <c r="A8" t="s">
        <v>206</v>
      </c>
      <c r="B8" s="142" t="s">
        <v>207</v>
      </c>
      <c r="C8" s="138" t="s">
        <v>168</v>
      </c>
      <c r="D8" t="s">
        <v>205</v>
      </c>
      <c r="E8" s="146">
        <v>2000</v>
      </c>
      <c r="F8" t="str">
        <f t="shared" si="3"/>
        <v>10.1038/35021000</v>
      </c>
      <c r="G8" s="143">
        <f t="shared" si="4"/>
        <v>3310</v>
      </c>
      <c r="H8">
        <f t="shared" si="5"/>
        <v>190</v>
      </c>
      <c r="I8">
        <f t="shared" si="6"/>
        <v>210</v>
      </c>
      <c r="J8" s="145">
        <f t="shared" si="7"/>
        <v>248</v>
      </c>
      <c r="K8" s="145">
        <f t="shared" si="8"/>
        <v>15</v>
      </c>
      <c r="L8" s="145">
        <f t="shared" si="9"/>
        <v>9</v>
      </c>
      <c r="M8" t="b">
        <v>1</v>
      </c>
      <c r="N8">
        <v>3</v>
      </c>
      <c r="O8" t="s">
        <v>209</v>
      </c>
      <c r="P8" s="154" t="s">
        <v>167</v>
      </c>
      <c r="Q8" t="b">
        <v>0</v>
      </c>
      <c r="R8" t="s">
        <v>167</v>
      </c>
      <c r="S8" t="b">
        <v>1</v>
      </c>
      <c r="T8" t="b">
        <v>0</v>
      </c>
      <c r="U8" t="s">
        <v>167</v>
      </c>
      <c r="V8" t="s">
        <v>167</v>
      </c>
      <c r="W8" t="b">
        <v>0</v>
      </c>
      <c r="X8" t="s">
        <v>167</v>
      </c>
      <c r="Y8" s="139" t="s">
        <v>169</v>
      </c>
      <c r="Z8" s="147" t="s">
        <v>170</v>
      </c>
      <c r="AA8">
        <v>872</v>
      </c>
      <c r="AB8" t="s">
        <v>197</v>
      </c>
      <c r="AC8">
        <v>3</v>
      </c>
      <c r="AD8">
        <v>2</v>
      </c>
      <c r="AE8">
        <v>59</v>
      </c>
      <c r="AF8">
        <v>61</v>
      </c>
      <c r="AG8" t="s">
        <v>167</v>
      </c>
      <c r="AH8" t="s">
        <v>167</v>
      </c>
      <c r="AI8" t="s">
        <v>167</v>
      </c>
      <c r="AJ8" t="s">
        <v>172</v>
      </c>
      <c r="AK8">
        <v>5.6716666699999996</v>
      </c>
      <c r="AL8">
        <v>172.51611111</v>
      </c>
      <c r="AM8">
        <v>5.7</v>
      </c>
      <c r="AN8">
        <v>172.5</v>
      </c>
      <c r="AO8">
        <v>-1254</v>
      </c>
      <c r="AP8" t="s">
        <v>167</v>
      </c>
      <c r="AQ8" s="148" t="s">
        <v>173</v>
      </c>
      <c r="AR8" t="s">
        <v>167</v>
      </c>
      <c r="AS8">
        <v>3310</v>
      </c>
      <c r="AT8" t="s">
        <v>174</v>
      </c>
      <c r="AU8">
        <v>190</v>
      </c>
      <c r="AV8">
        <v>210</v>
      </c>
      <c r="AW8" s="149" t="s">
        <v>175</v>
      </c>
      <c r="AX8" t="s">
        <v>176</v>
      </c>
      <c r="AY8" t="s">
        <v>177</v>
      </c>
      <c r="AZ8" t="s">
        <v>167</v>
      </c>
      <c r="BA8" t="s">
        <v>167</v>
      </c>
      <c r="BB8" t="s">
        <v>167</v>
      </c>
      <c r="BC8" t="s">
        <v>167</v>
      </c>
      <c r="BD8" t="s">
        <v>167</v>
      </c>
      <c r="BE8" t="s">
        <v>167</v>
      </c>
      <c r="BF8" t="s">
        <v>167</v>
      </c>
      <c r="BG8" t="s">
        <v>195</v>
      </c>
      <c r="BH8" t="s">
        <v>196</v>
      </c>
      <c r="BI8" t="s">
        <v>179</v>
      </c>
      <c r="BJ8" t="s">
        <v>167</v>
      </c>
      <c r="BK8" t="s">
        <v>180</v>
      </c>
      <c r="BL8" t="s">
        <v>181</v>
      </c>
      <c r="BM8" t="s">
        <v>182</v>
      </c>
      <c r="BN8" t="s">
        <v>167</v>
      </c>
      <c r="BO8" t="s">
        <v>167</v>
      </c>
      <c r="BP8" t="s">
        <v>167</v>
      </c>
      <c r="BQ8">
        <v>25.5</v>
      </c>
      <c r="BR8" s="150" t="s">
        <v>183</v>
      </c>
      <c r="BS8">
        <v>0.1</v>
      </c>
      <c r="BT8" t="s">
        <v>184</v>
      </c>
      <c r="BU8" t="s">
        <v>185</v>
      </c>
      <c r="BV8" t="s">
        <v>185</v>
      </c>
      <c r="BW8" t="s">
        <v>167</v>
      </c>
      <c r="BX8" t="s">
        <v>167</v>
      </c>
      <c r="BY8" t="s">
        <v>167</v>
      </c>
      <c r="BZ8" t="s">
        <v>167</v>
      </c>
      <c r="CA8" t="s">
        <v>167</v>
      </c>
      <c r="CB8" s="144">
        <v>25.5</v>
      </c>
      <c r="CC8" s="150" t="s">
        <v>183</v>
      </c>
      <c r="CD8">
        <v>0.1</v>
      </c>
      <c r="CE8" t="s">
        <v>186</v>
      </c>
      <c r="CF8" t="s">
        <v>187</v>
      </c>
      <c r="CG8" t="s">
        <v>167</v>
      </c>
      <c r="CH8" t="s">
        <v>167</v>
      </c>
      <c r="CI8" t="s">
        <v>167</v>
      </c>
      <c r="CJ8">
        <v>27</v>
      </c>
      <c r="CK8" t="s">
        <v>167</v>
      </c>
      <c r="CL8" t="s">
        <v>167</v>
      </c>
      <c r="CM8" t="s">
        <v>167</v>
      </c>
      <c r="CN8" t="s">
        <v>167</v>
      </c>
      <c r="CO8" t="s">
        <v>167</v>
      </c>
      <c r="CP8" t="s">
        <v>167</v>
      </c>
      <c r="CQ8" t="s">
        <v>167</v>
      </c>
      <c r="CR8" t="s">
        <v>167</v>
      </c>
      <c r="CS8" t="s">
        <v>167</v>
      </c>
      <c r="CT8" t="s">
        <v>167</v>
      </c>
      <c r="CU8" t="s">
        <v>167</v>
      </c>
      <c r="CV8" t="s">
        <v>167</v>
      </c>
      <c r="CW8" t="s">
        <v>167</v>
      </c>
      <c r="CX8" t="s">
        <v>167</v>
      </c>
      <c r="CY8" t="s">
        <v>167</v>
      </c>
      <c r="CZ8" t="s">
        <v>167</v>
      </c>
      <c r="DA8" t="s">
        <v>167</v>
      </c>
      <c r="DB8" t="s">
        <v>167</v>
      </c>
      <c r="DC8" t="s">
        <v>167</v>
      </c>
      <c r="DD8" t="s">
        <v>167</v>
      </c>
      <c r="DE8" t="s">
        <v>167</v>
      </c>
      <c r="DF8" t="s">
        <v>167</v>
      </c>
      <c r="DG8" t="s">
        <v>167</v>
      </c>
      <c r="DH8" t="s">
        <v>167</v>
      </c>
      <c r="DI8" t="s">
        <v>167</v>
      </c>
      <c r="DJ8" t="s">
        <v>167</v>
      </c>
      <c r="DK8" t="s">
        <v>167</v>
      </c>
      <c r="DL8" t="s">
        <v>167</v>
      </c>
      <c r="DM8" t="s">
        <v>167</v>
      </c>
      <c r="DN8" t="s">
        <v>167</v>
      </c>
      <c r="DO8" t="s">
        <v>167</v>
      </c>
      <c r="DP8" t="s">
        <v>167</v>
      </c>
      <c r="DQ8" t="s">
        <v>167</v>
      </c>
      <c r="DR8" t="s">
        <v>167</v>
      </c>
      <c r="DS8" t="s">
        <v>167</v>
      </c>
      <c r="DT8" t="s">
        <v>167</v>
      </c>
      <c r="DU8" t="s">
        <v>167</v>
      </c>
      <c r="DV8" t="s">
        <v>167</v>
      </c>
      <c r="DW8" t="s">
        <v>167</v>
      </c>
      <c r="DX8" t="s">
        <v>167</v>
      </c>
      <c r="DY8" t="s">
        <v>167</v>
      </c>
      <c r="DZ8" t="s">
        <v>167</v>
      </c>
      <c r="EA8">
        <v>39.03</v>
      </c>
      <c r="EB8" t="s">
        <v>167</v>
      </c>
      <c r="EC8" t="s">
        <v>167</v>
      </c>
      <c r="ED8" t="s">
        <v>188</v>
      </c>
      <c r="EE8" t="s">
        <v>167</v>
      </c>
      <c r="EF8" t="s">
        <v>167</v>
      </c>
      <c r="EG8">
        <v>1.0194000000000001</v>
      </c>
      <c r="EH8" t="s">
        <v>167</v>
      </c>
      <c r="EI8" t="s">
        <v>167</v>
      </c>
      <c r="EJ8" t="s">
        <v>189</v>
      </c>
      <c r="EK8" t="s">
        <v>190</v>
      </c>
      <c r="EL8" t="s">
        <v>190</v>
      </c>
      <c r="EM8" t="s">
        <v>191</v>
      </c>
      <c r="EN8" t="s">
        <v>167</v>
      </c>
      <c r="EO8" t="s">
        <v>167</v>
      </c>
      <c r="EP8" t="s">
        <v>167</v>
      </c>
      <c r="EQ8" t="s">
        <v>167</v>
      </c>
      <c r="ER8" t="s">
        <v>167</v>
      </c>
      <c r="ES8" t="s">
        <v>167</v>
      </c>
      <c r="ET8" t="s">
        <v>192</v>
      </c>
      <c r="EU8" t="s">
        <v>193</v>
      </c>
      <c r="EV8" t="s">
        <v>167</v>
      </c>
      <c r="EW8">
        <v>2110</v>
      </c>
      <c r="EX8" t="s">
        <v>167</v>
      </c>
      <c r="EY8" s="152">
        <v>25</v>
      </c>
      <c r="EZ8" s="152">
        <v>15</v>
      </c>
      <c r="FA8" t="s">
        <v>167</v>
      </c>
      <c r="FB8" t="s">
        <v>167</v>
      </c>
      <c r="FC8" t="s">
        <v>167</v>
      </c>
      <c r="FD8" t="s">
        <v>167</v>
      </c>
      <c r="FE8">
        <v>8.17</v>
      </c>
      <c r="FF8" t="s">
        <v>167</v>
      </c>
      <c r="FG8">
        <v>1.0999999999999233E-2</v>
      </c>
      <c r="FH8">
        <v>1.0999999999999233E-2</v>
      </c>
      <c r="FI8">
        <v>248</v>
      </c>
      <c r="FJ8" t="s">
        <v>167</v>
      </c>
      <c r="FK8" t="s">
        <v>190</v>
      </c>
      <c r="FL8">
        <v>248</v>
      </c>
      <c r="FM8">
        <v>15</v>
      </c>
      <c r="FN8">
        <v>9</v>
      </c>
      <c r="FO8" t="s">
        <v>167</v>
      </c>
      <c r="FP8" t="s">
        <v>194</v>
      </c>
      <c r="FQ8" t="s">
        <v>167</v>
      </c>
      <c r="FR8" t="s">
        <v>167</v>
      </c>
      <c r="FS8" t="s">
        <v>167</v>
      </c>
      <c r="FT8" t="s">
        <v>167</v>
      </c>
      <c r="FU8" t="s">
        <v>167</v>
      </c>
      <c r="FV8" t="s">
        <v>167</v>
      </c>
      <c r="FW8" t="s">
        <v>167</v>
      </c>
      <c r="FX8" t="s">
        <v>167</v>
      </c>
      <c r="FY8" t="s">
        <v>167</v>
      </c>
      <c r="FZ8" t="s">
        <v>167</v>
      </c>
      <c r="GA8" t="s">
        <v>167</v>
      </c>
      <c r="GB8" t="s">
        <v>167</v>
      </c>
      <c r="GC8" t="s">
        <v>167</v>
      </c>
    </row>
    <row r="9" spans="1:185" ht="16" x14ac:dyDescent="0.2">
      <c r="A9" t="s">
        <v>206</v>
      </c>
      <c r="B9" s="142" t="s">
        <v>207</v>
      </c>
      <c r="C9" s="138" t="s">
        <v>168</v>
      </c>
      <c r="D9" t="s">
        <v>205</v>
      </c>
      <c r="E9" s="146">
        <v>2000</v>
      </c>
      <c r="F9" t="str">
        <f t="shared" si="3"/>
        <v>10.1038/35021000</v>
      </c>
      <c r="G9" s="143">
        <f t="shared" si="4"/>
        <v>3870</v>
      </c>
      <c r="H9">
        <f t="shared" si="5"/>
        <v>30</v>
      </c>
      <c r="I9">
        <f t="shared" si="6"/>
        <v>70</v>
      </c>
      <c r="J9" s="145">
        <f t="shared" si="7"/>
        <v>281</v>
      </c>
      <c r="K9" s="145">
        <f t="shared" si="8"/>
        <v>29</v>
      </c>
      <c r="L9" s="145">
        <f t="shared" si="9"/>
        <v>26</v>
      </c>
      <c r="M9" t="b">
        <v>1</v>
      </c>
      <c r="N9">
        <v>3</v>
      </c>
      <c r="O9" t="s">
        <v>209</v>
      </c>
      <c r="P9" s="154" t="s">
        <v>167</v>
      </c>
      <c r="Q9" t="b">
        <v>0</v>
      </c>
      <c r="R9" t="s">
        <v>167</v>
      </c>
      <c r="S9" t="b">
        <v>1</v>
      </c>
      <c r="T9" t="b">
        <v>0</v>
      </c>
      <c r="U9" t="s">
        <v>167</v>
      </c>
      <c r="V9" t="s">
        <v>167</v>
      </c>
      <c r="W9" t="b">
        <v>0</v>
      </c>
      <c r="X9" t="s">
        <v>167</v>
      </c>
      <c r="Y9" s="139" t="s">
        <v>169</v>
      </c>
      <c r="Z9" s="147" t="s">
        <v>170</v>
      </c>
      <c r="AA9">
        <v>872</v>
      </c>
      <c r="AB9" t="s">
        <v>197</v>
      </c>
      <c r="AC9">
        <v>3</v>
      </c>
      <c r="AD9">
        <v>5</v>
      </c>
      <c r="AE9">
        <v>118</v>
      </c>
      <c r="AF9">
        <v>120</v>
      </c>
      <c r="AG9" t="s">
        <v>167</v>
      </c>
      <c r="AH9" t="s">
        <v>167</v>
      </c>
      <c r="AI9" t="s">
        <v>167</v>
      </c>
      <c r="AJ9" t="s">
        <v>172</v>
      </c>
      <c r="AK9">
        <v>5.6716666699999996</v>
      </c>
      <c r="AL9">
        <v>172.51611111</v>
      </c>
      <c r="AM9">
        <v>5.7</v>
      </c>
      <c r="AN9">
        <v>172.5</v>
      </c>
      <c r="AO9">
        <v>-1254</v>
      </c>
      <c r="AP9" t="s">
        <v>167</v>
      </c>
      <c r="AQ9" s="148" t="s">
        <v>173</v>
      </c>
      <c r="AR9" t="s">
        <v>167</v>
      </c>
      <c r="AS9">
        <v>3870</v>
      </c>
      <c r="AT9" t="s">
        <v>174</v>
      </c>
      <c r="AU9">
        <v>30</v>
      </c>
      <c r="AV9">
        <v>70</v>
      </c>
      <c r="AW9" s="149" t="s">
        <v>175</v>
      </c>
      <c r="AX9" t="s">
        <v>176</v>
      </c>
      <c r="AY9" t="s">
        <v>177</v>
      </c>
      <c r="AZ9" t="s">
        <v>167</v>
      </c>
      <c r="BA9" t="s">
        <v>167</v>
      </c>
      <c r="BB9" t="s">
        <v>167</v>
      </c>
      <c r="BC9" t="s">
        <v>167</v>
      </c>
      <c r="BD9" t="s">
        <v>167</v>
      </c>
      <c r="BE9" t="s">
        <v>167</v>
      </c>
      <c r="BF9" t="s">
        <v>167</v>
      </c>
      <c r="BG9" t="s">
        <v>195</v>
      </c>
      <c r="BH9" t="s">
        <v>196</v>
      </c>
      <c r="BI9" t="s">
        <v>179</v>
      </c>
      <c r="BJ9" t="s">
        <v>167</v>
      </c>
      <c r="BK9" t="s">
        <v>180</v>
      </c>
      <c r="BL9" t="s">
        <v>181</v>
      </c>
      <c r="BM9" t="s">
        <v>182</v>
      </c>
      <c r="BN9" t="s">
        <v>167</v>
      </c>
      <c r="BO9" t="s">
        <v>167</v>
      </c>
      <c r="BP9" t="s">
        <v>167</v>
      </c>
      <c r="BQ9">
        <v>25.1</v>
      </c>
      <c r="BR9" s="150" t="s">
        <v>183</v>
      </c>
      <c r="BS9">
        <v>0.2</v>
      </c>
      <c r="BT9" t="s">
        <v>184</v>
      </c>
      <c r="BU9" t="s">
        <v>185</v>
      </c>
      <c r="BV9" t="s">
        <v>185</v>
      </c>
      <c r="BW9" t="s">
        <v>167</v>
      </c>
      <c r="BX9" t="s">
        <v>167</v>
      </c>
      <c r="BY9" t="s">
        <v>167</v>
      </c>
      <c r="BZ9" t="s">
        <v>167</v>
      </c>
      <c r="CA9" t="s">
        <v>167</v>
      </c>
      <c r="CB9" s="144">
        <v>25.1</v>
      </c>
      <c r="CC9" s="150" t="s">
        <v>183</v>
      </c>
      <c r="CD9">
        <v>0.2</v>
      </c>
      <c r="CE9" t="s">
        <v>186</v>
      </c>
      <c r="CF9" t="s">
        <v>187</v>
      </c>
      <c r="CG9" t="s">
        <v>167</v>
      </c>
      <c r="CH9" t="s">
        <v>167</v>
      </c>
      <c r="CI9" t="s">
        <v>167</v>
      </c>
      <c r="CJ9">
        <v>27</v>
      </c>
      <c r="CK9" t="s">
        <v>167</v>
      </c>
      <c r="CL9" t="s">
        <v>167</v>
      </c>
      <c r="CM9" t="s">
        <v>167</v>
      </c>
      <c r="CN9" t="s">
        <v>167</v>
      </c>
      <c r="CO9" t="s">
        <v>167</v>
      </c>
      <c r="CP9" t="s">
        <v>167</v>
      </c>
      <c r="CQ9" t="s">
        <v>167</v>
      </c>
      <c r="CR9" t="s">
        <v>167</v>
      </c>
      <c r="CS9" t="s">
        <v>167</v>
      </c>
      <c r="CT9" t="s">
        <v>167</v>
      </c>
      <c r="CU9" t="s">
        <v>167</v>
      </c>
      <c r="CV9" t="s">
        <v>167</v>
      </c>
      <c r="CW9" t="s">
        <v>167</v>
      </c>
      <c r="CX9" t="s">
        <v>167</v>
      </c>
      <c r="CY9" t="s">
        <v>167</v>
      </c>
      <c r="CZ9" t="s">
        <v>167</v>
      </c>
      <c r="DA9" t="s">
        <v>167</v>
      </c>
      <c r="DB9" t="s">
        <v>167</v>
      </c>
      <c r="DC9" t="s">
        <v>167</v>
      </c>
      <c r="DD9" t="s">
        <v>167</v>
      </c>
      <c r="DE9" t="s">
        <v>167</v>
      </c>
      <c r="DF9" t="s">
        <v>167</v>
      </c>
      <c r="DG9" t="s">
        <v>167</v>
      </c>
      <c r="DH9" t="s">
        <v>167</v>
      </c>
      <c r="DI9" t="s">
        <v>167</v>
      </c>
      <c r="DJ9" t="s">
        <v>167</v>
      </c>
      <c r="DK9" t="s">
        <v>167</v>
      </c>
      <c r="DL9" t="s">
        <v>167</v>
      </c>
      <c r="DM9" t="s">
        <v>167</v>
      </c>
      <c r="DN9" t="s">
        <v>167</v>
      </c>
      <c r="DO9" t="s">
        <v>167</v>
      </c>
      <c r="DP9" t="s">
        <v>167</v>
      </c>
      <c r="DQ9" t="s">
        <v>167</v>
      </c>
      <c r="DR9" t="s">
        <v>167</v>
      </c>
      <c r="DS9" t="s">
        <v>167</v>
      </c>
      <c r="DT9" t="s">
        <v>167</v>
      </c>
      <c r="DU9" t="s">
        <v>167</v>
      </c>
      <c r="DV9" t="s">
        <v>167</v>
      </c>
      <c r="DW9" t="s">
        <v>167</v>
      </c>
      <c r="DX9" t="s">
        <v>167</v>
      </c>
      <c r="DY9" t="s">
        <v>167</v>
      </c>
      <c r="DZ9" t="s">
        <v>167</v>
      </c>
      <c r="EA9">
        <v>38.909999999999997</v>
      </c>
      <c r="EB9" t="s">
        <v>167</v>
      </c>
      <c r="EC9" t="s">
        <v>167</v>
      </c>
      <c r="ED9" t="s">
        <v>188</v>
      </c>
      <c r="EE9" t="s">
        <v>167</v>
      </c>
      <c r="EF9" t="s">
        <v>167</v>
      </c>
      <c r="EG9">
        <v>1.0194000000000001</v>
      </c>
      <c r="EH9" t="s">
        <v>167</v>
      </c>
      <c r="EI9" t="s">
        <v>167</v>
      </c>
      <c r="EJ9" t="s">
        <v>189</v>
      </c>
      <c r="EK9" t="s">
        <v>190</v>
      </c>
      <c r="EL9" t="s">
        <v>190</v>
      </c>
      <c r="EM9" t="s">
        <v>191</v>
      </c>
      <c r="EN9" t="s">
        <v>167</v>
      </c>
      <c r="EO9" t="s">
        <v>167</v>
      </c>
      <c r="EP9" t="s">
        <v>167</v>
      </c>
      <c r="EQ9" t="s">
        <v>167</v>
      </c>
      <c r="ER9" t="s">
        <v>167</v>
      </c>
      <c r="ES9" t="s">
        <v>167</v>
      </c>
      <c r="ET9" t="s">
        <v>192</v>
      </c>
      <c r="EU9" t="s">
        <v>193</v>
      </c>
      <c r="EV9" t="s">
        <v>167</v>
      </c>
      <c r="EW9">
        <v>2180</v>
      </c>
      <c r="EX9" t="s">
        <v>167</v>
      </c>
      <c r="EY9" s="152">
        <v>65</v>
      </c>
      <c r="EZ9" s="152">
        <v>60</v>
      </c>
      <c r="FA9" t="s">
        <v>167</v>
      </c>
      <c r="FB9" t="s">
        <v>167</v>
      </c>
      <c r="FC9" t="s">
        <v>167</v>
      </c>
      <c r="FD9" t="s">
        <v>167</v>
      </c>
      <c r="FE9">
        <v>8.14</v>
      </c>
      <c r="FF9" t="s">
        <v>167</v>
      </c>
      <c r="FG9">
        <v>2.2000000000000242E-2</v>
      </c>
      <c r="FH9">
        <v>2.3999999999999133E-2</v>
      </c>
      <c r="FI9">
        <v>281</v>
      </c>
      <c r="FJ9" t="s">
        <v>167</v>
      </c>
      <c r="FK9" t="s">
        <v>190</v>
      </c>
      <c r="FL9">
        <v>281</v>
      </c>
      <c r="FM9">
        <v>29</v>
      </c>
      <c r="FN9">
        <v>26</v>
      </c>
      <c r="FO9" t="s">
        <v>167</v>
      </c>
      <c r="FP9" t="s">
        <v>194</v>
      </c>
      <c r="FQ9" t="s">
        <v>167</v>
      </c>
      <c r="FR9" t="s">
        <v>167</v>
      </c>
      <c r="FS9" t="s">
        <v>167</v>
      </c>
      <c r="FT9" t="s">
        <v>167</v>
      </c>
      <c r="FU9" t="s">
        <v>167</v>
      </c>
      <c r="FV9" t="s">
        <v>167</v>
      </c>
      <c r="FW9" t="s">
        <v>167</v>
      </c>
      <c r="FX9" t="s">
        <v>167</v>
      </c>
      <c r="FY9" t="s">
        <v>167</v>
      </c>
      <c r="FZ9" t="s">
        <v>167</v>
      </c>
      <c r="GA9" t="s">
        <v>167</v>
      </c>
      <c r="GB9" t="s">
        <v>167</v>
      </c>
      <c r="GC9" t="s">
        <v>167</v>
      </c>
    </row>
    <row r="10" spans="1:185" ht="16" x14ac:dyDescent="0.2">
      <c r="A10" t="s">
        <v>206</v>
      </c>
      <c r="B10" s="142" t="s">
        <v>207</v>
      </c>
      <c r="C10" s="138" t="s">
        <v>168</v>
      </c>
      <c r="D10" t="s">
        <v>205</v>
      </c>
      <c r="E10" s="146">
        <v>2000</v>
      </c>
      <c r="F10" t="str">
        <f t="shared" si="3"/>
        <v>10.1038/35021000</v>
      </c>
      <c r="G10" s="143">
        <f t="shared" si="4"/>
        <v>6000</v>
      </c>
      <c r="H10">
        <f t="shared" si="5"/>
        <v>1100</v>
      </c>
      <c r="I10">
        <f t="shared" si="6"/>
        <v>200</v>
      </c>
      <c r="J10" s="145">
        <f t="shared" si="7"/>
        <v>268</v>
      </c>
      <c r="K10" s="145">
        <f t="shared" si="8"/>
        <v>9</v>
      </c>
      <c r="L10" s="145">
        <f t="shared" si="9"/>
        <v>8</v>
      </c>
      <c r="M10" t="b">
        <v>1</v>
      </c>
      <c r="N10">
        <v>3</v>
      </c>
      <c r="O10" t="s">
        <v>209</v>
      </c>
      <c r="P10" s="154" t="s">
        <v>167</v>
      </c>
      <c r="Q10" t="b">
        <v>0</v>
      </c>
      <c r="R10" t="s">
        <v>167</v>
      </c>
      <c r="S10" t="b">
        <v>1</v>
      </c>
      <c r="T10" t="b">
        <v>0</v>
      </c>
      <c r="U10" t="s">
        <v>167</v>
      </c>
      <c r="V10" t="s">
        <v>167</v>
      </c>
      <c r="W10" t="b">
        <v>0</v>
      </c>
      <c r="X10" t="s">
        <v>167</v>
      </c>
      <c r="Y10" s="139" t="s">
        <v>169</v>
      </c>
      <c r="Z10" s="147" t="s">
        <v>170</v>
      </c>
      <c r="AA10">
        <v>871</v>
      </c>
      <c r="AB10" t="s">
        <v>171</v>
      </c>
      <c r="AC10">
        <v>3</v>
      </c>
      <c r="AD10">
        <v>5</v>
      </c>
      <c r="AE10">
        <v>60</v>
      </c>
      <c r="AF10">
        <v>62</v>
      </c>
      <c r="AG10" t="s">
        <v>167</v>
      </c>
      <c r="AH10" t="s">
        <v>167</v>
      </c>
      <c r="AI10" t="s">
        <v>167</v>
      </c>
      <c r="AJ10" t="s">
        <v>172</v>
      </c>
      <c r="AK10">
        <v>5.6716666699999996</v>
      </c>
      <c r="AL10">
        <v>172.51611111</v>
      </c>
      <c r="AM10">
        <v>5.7</v>
      </c>
      <c r="AN10">
        <v>172.5</v>
      </c>
      <c r="AO10">
        <v>-1254</v>
      </c>
      <c r="AP10" t="s">
        <v>167</v>
      </c>
      <c r="AQ10" s="148" t="s">
        <v>173</v>
      </c>
      <c r="AR10" t="s">
        <v>167</v>
      </c>
      <c r="AS10">
        <v>6000</v>
      </c>
      <c r="AT10" t="s">
        <v>174</v>
      </c>
      <c r="AU10">
        <v>1100</v>
      </c>
      <c r="AV10">
        <v>200</v>
      </c>
      <c r="AW10" s="149" t="s">
        <v>175</v>
      </c>
      <c r="AX10" t="s">
        <v>176</v>
      </c>
      <c r="AY10" t="s">
        <v>177</v>
      </c>
      <c r="AZ10" t="s">
        <v>167</v>
      </c>
      <c r="BA10" t="s">
        <v>167</v>
      </c>
      <c r="BB10" t="s">
        <v>167</v>
      </c>
      <c r="BC10" t="s">
        <v>167</v>
      </c>
      <c r="BD10" t="s">
        <v>167</v>
      </c>
      <c r="BE10" t="s">
        <v>167</v>
      </c>
      <c r="BF10" t="s">
        <v>167</v>
      </c>
      <c r="BG10" t="s">
        <v>195</v>
      </c>
      <c r="BH10" t="s">
        <v>196</v>
      </c>
      <c r="BI10" t="s">
        <v>179</v>
      </c>
      <c r="BJ10" t="s">
        <v>167</v>
      </c>
      <c r="BK10" t="s">
        <v>180</v>
      </c>
      <c r="BL10" t="s">
        <v>181</v>
      </c>
      <c r="BM10" t="s">
        <v>182</v>
      </c>
      <c r="BN10" t="s">
        <v>167</v>
      </c>
      <c r="BO10" t="s">
        <v>167</v>
      </c>
      <c r="BP10" t="s">
        <v>167</v>
      </c>
      <c r="BQ10">
        <v>24.9</v>
      </c>
      <c r="BR10" s="150" t="s">
        <v>183</v>
      </c>
      <c r="BS10">
        <v>0.1</v>
      </c>
      <c r="BT10" t="s">
        <v>184</v>
      </c>
      <c r="BU10" t="s">
        <v>185</v>
      </c>
      <c r="BV10" t="s">
        <v>185</v>
      </c>
      <c r="BW10" t="s">
        <v>167</v>
      </c>
      <c r="BX10" t="s">
        <v>167</v>
      </c>
      <c r="BY10" t="s">
        <v>167</v>
      </c>
      <c r="BZ10" t="s">
        <v>167</v>
      </c>
      <c r="CA10" t="s">
        <v>167</v>
      </c>
      <c r="CB10" s="144">
        <v>24.9</v>
      </c>
      <c r="CC10" s="150" t="s">
        <v>183</v>
      </c>
      <c r="CD10">
        <v>0.1</v>
      </c>
      <c r="CE10" t="s">
        <v>186</v>
      </c>
      <c r="CF10" t="s">
        <v>187</v>
      </c>
      <c r="CG10" t="s">
        <v>167</v>
      </c>
      <c r="CH10" t="s">
        <v>167</v>
      </c>
      <c r="CI10" t="s">
        <v>167</v>
      </c>
      <c r="CJ10">
        <v>27</v>
      </c>
      <c r="CK10" t="s">
        <v>167</v>
      </c>
      <c r="CL10" t="s">
        <v>167</v>
      </c>
      <c r="CM10" t="s">
        <v>167</v>
      </c>
      <c r="CN10" t="s">
        <v>167</v>
      </c>
      <c r="CO10" t="s">
        <v>167</v>
      </c>
      <c r="CP10" t="s">
        <v>167</v>
      </c>
      <c r="CQ10" t="s">
        <v>167</v>
      </c>
      <c r="CR10" t="s">
        <v>167</v>
      </c>
      <c r="CS10" t="s">
        <v>167</v>
      </c>
      <c r="CT10" t="s">
        <v>167</v>
      </c>
      <c r="CU10" t="s">
        <v>167</v>
      </c>
      <c r="CV10" t="s">
        <v>167</v>
      </c>
      <c r="CW10" t="s">
        <v>167</v>
      </c>
      <c r="CX10" t="s">
        <v>167</v>
      </c>
      <c r="CY10" t="s">
        <v>167</v>
      </c>
      <c r="CZ10" t="s">
        <v>167</v>
      </c>
      <c r="DA10" t="s">
        <v>167</v>
      </c>
      <c r="DB10" t="s">
        <v>167</v>
      </c>
      <c r="DC10" t="s">
        <v>167</v>
      </c>
      <c r="DD10" t="s">
        <v>167</v>
      </c>
      <c r="DE10" t="s">
        <v>167</v>
      </c>
      <c r="DF10" t="s">
        <v>167</v>
      </c>
      <c r="DG10" t="s">
        <v>167</v>
      </c>
      <c r="DH10" t="s">
        <v>167</v>
      </c>
      <c r="DI10" t="s">
        <v>167</v>
      </c>
      <c r="DJ10" t="s">
        <v>167</v>
      </c>
      <c r="DK10" t="s">
        <v>167</v>
      </c>
      <c r="DL10" t="s">
        <v>167</v>
      </c>
      <c r="DM10" t="s">
        <v>167</v>
      </c>
      <c r="DN10" t="s">
        <v>167</v>
      </c>
      <c r="DO10" t="s">
        <v>167</v>
      </c>
      <c r="DP10" t="s">
        <v>167</v>
      </c>
      <c r="DQ10" t="s">
        <v>167</v>
      </c>
      <c r="DR10" t="s">
        <v>167</v>
      </c>
      <c r="DS10" t="s">
        <v>167</v>
      </c>
      <c r="DT10" t="s">
        <v>167</v>
      </c>
      <c r="DU10" t="s">
        <v>167</v>
      </c>
      <c r="DV10" t="s">
        <v>167</v>
      </c>
      <c r="DW10" t="s">
        <v>167</v>
      </c>
      <c r="DX10" t="s">
        <v>167</v>
      </c>
      <c r="DY10" t="s">
        <v>167</v>
      </c>
      <c r="DZ10" t="s">
        <v>167</v>
      </c>
      <c r="EA10">
        <v>38.590000000000003</v>
      </c>
      <c r="EB10" t="s">
        <v>167</v>
      </c>
      <c r="EC10" t="s">
        <v>167</v>
      </c>
      <c r="ED10" t="s">
        <v>188</v>
      </c>
      <c r="EE10" t="s">
        <v>167</v>
      </c>
      <c r="EF10" t="s">
        <v>167</v>
      </c>
      <c r="EG10">
        <v>1.0194000000000001</v>
      </c>
      <c r="EH10" t="s">
        <v>167</v>
      </c>
      <c r="EI10" t="s">
        <v>167</v>
      </c>
      <c r="EJ10" t="s">
        <v>189</v>
      </c>
      <c r="EK10" t="s">
        <v>190</v>
      </c>
      <c r="EL10" t="s">
        <v>190</v>
      </c>
      <c r="EM10" t="s">
        <v>191</v>
      </c>
      <c r="EN10" t="s">
        <v>167</v>
      </c>
      <c r="EO10" t="s">
        <v>167</v>
      </c>
      <c r="EP10" t="s">
        <v>167</v>
      </c>
      <c r="EQ10" t="s">
        <v>167</v>
      </c>
      <c r="ER10" t="s">
        <v>167</v>
      </c>
      <c r="ES10" t="s">
        <v>167</v>
      </c>
      <c r="ET10" t="s">
        <v>192</v>
      </c>
      <c r="EU10" t="s">
        <v>193</v>
      </c>
      <c r="EV10" t="s">
        <v>167</v>
      </c>
      <c r="EW10">
        <v>2150</v>
      </c>
      <c r="EX10" t="s">
        <v>167</v>
      </c>
      <c r="EY10" s="152">
        <v>20</v>
      </c>
      <c r="EZ10" s="152">
        <v>15</v>
      </c>
      <c r="FA10" t="s">
        <v>167</v>
      </c>
      <c r="FB10" t="s">
        <v>167</v>
      </c>
      <c r="FC10" t="s">
        <v>167</v>
      </c>
      <c r="FD10" t="s">
        <v>167</v>
      </c>
      <c r="FE10">
        <v>8.15</v>
      </c>
      <c r="FF10" t="s">
        <v>167</v>
      </c>
      <c r="FG10">
        <v>1.2000000000000455E-2</v>
      </c>
      <c r="FH10">
        <v>9.9999999999997868E-3</v>
      </c>
      <c r="FI10">
        <v>268</v>
      </c>
      <c r="FJ10" t="s">
        <v>167</v>
      </c>
      <c r="FK10" t="s">
        <v>190</v>
      </c>
      <c r="FL10">
        <v>268</v>
      </c>
      <c r="FM10">
        <v>9</v>
      </c>
      <c r="FN10">
        <v>8</v>
      </c>
      <c r="FO10" t="s">
        <v>167</v>
      </c>
      <c r="FP10" t="s">
        <v>194</v>
      </c>
      <c r="FQ10" t="s">
        <v>167</v>
      </c>
      <c r="FR10" t="s">
        <v>167</v>
      </c>
      <c r="FS10" t="s">
        <v>167</v>
      </c>
      <c r="FT10" t="s">
        <v>167</v>
      </c>
      <c r="FU10" t="s">
        <v>167</v>
      </c>
      <c r="FV10" t="s">
        <v>167</v>
      </c>
      <c r="FW10" t="s">
        <v>167</v>
      </c>
      <c r="FX10" t="s">
        <v>167</v>
      </c>
      <c r="FY10" t="s">
        <v>167</v>
      </c>
      <c r="FZ10" t="s">
        <v>167</v>
      </c>
      <c r="GA10" t="s">
        <v>167</v>
      </c>
      <c r="GB10" t="s">
        <v>167</v>
      </c>
      <c r="GC10" t="s">
        <v>167</v>
      </c>
    </row>
    <row r="11" spans="1:185" ht="16" x14ac:dyDescent="0.2">
      <c r="A11" t="s">
        <v>206</v>
      </c>
      <c r="B11" s="142" t="s">
        <v>207</v>
      </c>
      <c r="C11" s="138" t="s">
        <v>168</v>
      </c>
      <c r="D11" t="s">
        <v>205</v>
      </c>
      <c r="E11" s="146">
        <v>2000</v>
      </c>
      <c r="F11" t="str">
        <f t="shared" si="3"/>
        <v>10.1038/35021000</v>
      </c>
      <c r="G11" s="143">
        <f t="shared" si="4"/>
        <v>6200</v>
      </c>
      <c r="H11">
        <f t="shared" si="5"/>
        <v>900</v>
      </c>
      <c r="I11">
        <f t="shared" si="6"/>
        <v>400</v>
      </c>
      <c r="J11" s="145">
        <f t="shared" si="7"/>
        <v>305</v>
      </c>
      <c r="K11" s="145">
        <f t="shared" si="8"/>
        <v>46</v>
      </c>
      <c r="L11" s="145">
        <f t="shared" si="9"/>
        <v>40</v>
      </c>
      <c r="M11" t="b">
        <v>1</v>
      </c>
      <c r="N11">
        <v>3</v>
      </c>
      <c r="O11" t="s">
        <v>209</v>
      </c>
      <c r="P11" s="154" t="s">
        <v>167</v>
      </c>
      <c r="Q11" t="b">
        <v>0</v>
      </c>
      <c r="R11" t="s">
        <v>167</v>
      </c>
      <c r="S11" t="b">
        <v>1</v>
      </c>
      <c r="T11" t="b">
        <v>0</v>
      </c>
      <c r="U11" t="s">
        <v>167</v>
      </c>
      <c r="V11" t="s">
        <v>167</v>
      </c>
      <c r="W11" t="b">
        <v>0</v>
      </c>
      <c r="X11" t="s">
        <v>167</v>
      </c>
      <c r="Y11" s="139" t="s">
        <v>169</v>
      </c>
      <c r="Z11" s="147" t="s">
        <v>170</v>
      </c>
      <c r="AA11">
        <v>871</v>
      </c>
      <c r="AB11" t="s">
        <v>171</v>
      </c>
      <c r="AC11">
        <v>3</v>
      </c>
      <c r="AD11">
        <v>5</v>
      </c>
      <c r="AE11">
        <v>123</v>
      </c>
      <c r="AF11">
        <v>125</v>
      </c>
      <c r="AG11" t="s">
        <v>167</v>
      </c>
      <c r="AH11" t="s">
        <v>167</v>
      </c>
      <c r="AI11" t="s">
        <v>167</v>
      </c>
      <c r="AJ11" t="s">
        <v>172</v>
      </c>
      <c r="AK11">
        <v>5.6716666699999996</v>
      </c>
      <c r="AL11">
        <v>172.51611111</v>
      </c>
      <c r="AM11">
        <v>5.7</v>
      </c>
      <c r="AN11">
        <v>172.5</v>
      </c>
      <c r="AO11">
        <v>-1254</v>
      </c>
      <c r="AP11" t="s">
        <v>167</v>
      </c>
      <c r="AQ11" s="148" t="s">
        <v>173</v>
      </c>
      <c r="AR11" t="s">
        <v>167</v>
      </c>
      <c r="AS11">
        <v>6200</v>
      </c>
      <c r="AT11" t="s">
        <v>174</v>
      </c>
      <c r="AU11">
        <v>900</v>
      </c>
      <c r="AV11">
        <v>400</v>
      </c>
      <c r="AW11" s="149" t="s">
        <v>175</v>
      </c>
      <c r="AX11" t="s">
        <v>176</v>
      </c>
      <c r="AY11" t="s">
        <v>177</v>
      </c>
      <c r="AZ11" t="s">
        <v>167</v>
      </c>
      <c r="BA11" t="s">
        <v>167</v>
      </c>
      <c r="BB11" t="s">
        <v>167</v>
      </c>
      <c r="BC11" t="s">
        <v>167</v>
      </c>
      <c r="BD11" t="s">
        <v>167</v>
      </c>
      <c r="BE11" t="s">
        <v>167</v>
      </c>
      <c r="BF11" t="s">
        <v>167</v>
      </c>
      <c r="BG11" t="s">
        <v>178</v>
      </c>
      <c r="BH11" t="s">
        <v>167</v>
      </c>
      <c r="BI11" t="s">
        <v>179</v>
      </c>
      <c r="BJ11" t="s">
        <v>167</v>
      </c>
      <c r="BK11" t="s">
        <v>180</v>
      </c>
      <c r="BL11" t="s">
        <v>181</v>
      </c>
      <c r="BM11" t="s">
        <v>182</v>
      </c>
      <c r="BN11" t="s">
        <v>167</v>
      </c>
      <c r="BO11" t="s">
        <v>167</v>
      </c>
      <c r="BP11" t="s">
        <v>167</v>
      </c>
      <c r="BQ11">
        <v>24.5</v>
      </c>
      <c r="BR11" s="150" t="s">
        <v>183</v>
      </c>
      <c r="BS11">
        <v>0.3</v>
      </c>
      <c r="BT11" t="s">
        <v>184</v>
      </c>
      <c r="BU11" t="s">
        <v>185</v>
      </c>
      <c r="BV11" t="s">
        <v>185</v>
      </c>
      <c r="BW11" t="s">
        <v>167</v>
      </c>
      <c r="BX11" t="s">
        <v>167</v>
      </c>
      <c r="BY11" t="s">
        <v>167</v>
      </c>
      <c r="BZ11" t="s">
        <v>167</v>
      </c>
      <c r="CA11" t="s">
        <v>167</v>
      </c>
      <c r="CB11" s="144">
        <v>24.5</v>
      </c>
      <c r="CC11" s="150" t="s">
        <v>183</v>
      </c>
      <c r="CD11">
        <v>0.3</v>
      </c>
      <c r="CE11" t="s">
        <v>186</v>
      </c>
      <c r="CF11" t="s">
        <v>187</v>
      </c>
      <c r="CG11" t="s">
        <v>167</v>
      </c>
      <c r="CH11" t="s">
        <v>167</v>
      </c>
      <c r="CI11" t="s">
        <v>167</v>
      </c>
      <c r="CJ11">
        <v>27</v>
      </c>
      <c r="CK11" t="s">
        <v>167</v>
      </c>
      <c r="CL11" t="s">
        <v>167</v>
      </c>
      <c r="CM11" t="s">
        <v>167</v>
      </c>
      <c r="CN11" t="s">
        <v>167</v>
      </c>
      <c r="CO11" t="s">
        <v>167</v>
      </c>
      <c r="CP11" t="s">
        <v>167</v>
      </c>
      <c r="CQ11" t="s">
        <v>167</v>
      </c>
      <c r="CR11" t="s">
        <v>167</v>
      </c>
      <c r="CS11" t="s">
        <v>167</v>
      </c>
      <c r="CT11" t="s">
        <v>167</v>
      </c>
      <c r="CU11" t="s">
        <v>167</v>
      </c>
      <c r="CV11" t="s">
        <v>167</v>
      </c>
      <c r="CW11" t="s">
        <v>167</v>
      </c>
      <c r="CX11" t="s">
        <v>167</v>
      </c>
      <c r="CY11" t="s">
        <v>167</v>
      </c>
      <c r="CZ11" t="s">
        <v>167</v>
      </c>
      <c r="DA11" t="s">
        <v>167</v>
      </c>
      <c r="DB11" t="s">
        <v>167</v>
      </c>
      <c r="DC11" t="s">
        <v>167</v>
      </c>
      <c r="DD11" t="s">
        <v>167</v>
      </c>
      <c r="DE11" t="s">
        <v>167</v>
      </c>
      <c r="DF11" t="s">
        <v>167</v>
      </c>
      <c r="DG11" t="s">
        <v>167</v>
      </c>
      <c r="DH11" t="s">
        <v>167</v>
      </c>
      <c r="DI11" t="s">
        <v>167</v>
      </c>
      <c r="DJ11" t="s">
        <v>167</v>
      </c>
      <c r="DK11" t="s">
        <v>167</v>
      </c>
      <c r="DL11" t="s">
        <v>167</v>
      </c>
      <c r="DM11" t="s">
        <v>167</v>
      </c>
      <c r="DN11" t="s">
        <v>167</v>
      </c>
      <c r="DO11" t="s">
        <v>167</v>
      </c>
      <c r="DP11" t="s">
        <v>167</v>
      </c>
      <c r="DQ11" t="s">
        <v>167</v>
      </c>
      <c r="DR11" t="s">
        <v>167</v>
      </c>
      <c r="DS11" t="s">
        <v>167</v>
      </c>
      <c r="DT11" t="s">
        <v>167</v>
      </c>
      <c r="DU11" t="s">
        <v>167</v>
      </c>
      <c r="DV11" t="s">
        <v>167</v>
      </c>
      <c r="DW11" t="s">
        <v>167</v>
      </c>
      <c r="DX11" t="s">
        <v>167</v>
      </c>
      <c r="DY11" t="s">
        <v>167</v>
      </c>
      <c r="DZ11" t="s">
        <v>167</v>
      </c>
      <c r="EA11">
        <v>38.53</v>
      </c>
      <c r="EB11" t="s">
        <v>167</v>
      </c>
      <c r="EC11" t="s">
        <v>167</v>
      </c>
      <c r="ED11" t="s">
        <v>188</v>
      </c>
      <c r="EE11" t="s">
        <v>167</v>
      </c>
      <c r="EF11" t="s">
        <v>167</v>
      </c>
      <c r="EG11">
        <v>1.0194000000000001</v>
      </c>
      <c r="EH11" t="s">
        <v>167</v>
      </c>
      <c r="EI11" t="s">
        <v>167</v>
      </c>
      <c r="EJ11" t="s">
        <v>189</v>
      </c>
      <c r="EK11" t="s">
        <v>190</v>
      </c>
      <c r="EL11" t="s">
        <v>190</v>
      </c>
      <c r="EM11" t="s">
        <v>191</v>
      </c>
      <c r="EN11" t="s">
        <v>167</v>
      </c>
      <c r="EO11" t="s">
        <v>167</v>
      </c>
      <c r="EP11" t="s">
        <v>167</v>
      </c>
      <c r="EQ11" t="s">
        <v>167</v>
      </c>
      <c r="ER11" t="s">
        <v>167</v>
      </c>
      <c r="ES11" t="s">
        <v>167</v>
      </c>
      <c r="ET11" t="s">
        <v>192</v>
      </c>
      <c r="EU11" t="s">
        <v>193</v>
      </c>
      <c r="EV11" t="s">
        <v>167</v>
      </c>
      <c r="EW11">
        <v>2225</v>
      </c>
      <c r="EX11" t="s">
        <v>167</v>
      </c>
      <c r="EY11" s="152">
        <v>70</v>
      </c>
      <c r="EZ11" s="152">
        <v>65</v>
      </c>
      <c r="FA11" t="s">
        <v>167</v>
      </c>
      <c r="FB11" t="s">
        <v>167</v>
      </c>
      <c r="FC11" t="s">
        <v>167</v>
      </c>
      <c r="FD11" t="s">
        <v>167</v>
      </c>
      <c r="FE11">
        <v>8.1199999999999992</v>
      </c>
      <c r="FF11" t="s">
        <v>167</v>
      </c>
      <c r="FG11">
        <v>3.5000000000000142E-2</v>
      </c>
      <c r="FH11">
        <v>3.5999999999999588E-2</v>
      </c>
      <c r="FI11">
        <v>305</v>
      </c>
      <c r="FJ11" t="s">
        <v>167</v>
      </c>
      <c r="FK11" t="s">
        <v>190</v>
      </c>
      <c r="FL11">
        <v>305</v>
      </c>
      <c r="FM11">
        <v>46</v>
      </c>
      <c r="FN11">
        <v>40</v>
      </c>
      <c r="FO11" t="s">
        <v>167</v>
      </c>
      <c r="FP11" t="s">
        <v>194</v>
      </c>
      <c r="FQ11" t="s">
        <v>167</v>
      </c>
      <c r="FR11" t="s">
        <v>167</v>
      </c>
      <c r="FS11" t="s">
        <v>167</v>
      </c>
      <c r="FT11" t="s">
        <v>167</v>
      </c>
      <c r="FU11" t="s">
        <v>167</v>
      </c>
      <c r="FV11" t="s">
        <v>167</v>
      </c>
      <c r="FW11" t="s">
        <v>167</v>
      </c>
      <c r="FX11" t="s">
        <v>167</v>
      </c>
      <c r="FY11" t="s">
        <v>167</v>
      </c>
      <c r="FZ11" t="s">
        <v>167</v>
      </c>
      <c r="GA11" t="s">
        <v>167</v>
      </c>
      <c r="GB11" t="s">
        <v>167</v>
      </c>
      <c r="GC11" t="s">
        <v>167</v>
      </c>
    </row>
    <row r="12" spans="1:185" ht="16" x14ac:dyDescent="0.2">
      <c r="A12" t="s">
        <v>206</v>
      </c>
      <c r="B12" s="142" t="s">
        <v>207</v>
      </c>
      <c r="C12" s="138" t="s">
        <v>168</v>
      </c>
      <c r="D12" t="s">
        <v>205</v>
      </c>
      <c r="E12" s="146">
        <v>2000</v>
      </c>
      <c r="F12" t="str">
        <f t="shared" si="3"/>
        <v>10.1038/35021000</v>
      </c>
      <c r="G12" s="143">
        <f t="shared" si="4"/>
        <v>9020</v>
      </c>
      <c r="H12">
        <f t="shared" si="5"/>
        <v>1180</v>
      </c>
      <c r="I12">
        <f t="shared" si="6"/>
        <v>1920</v>
      </c>
      <c r="J12" s="145">
        <f t="shared" si="7"/>
        <v>212</v>
      </c>
      <c r="K12" s="145">
        <f t="shared" si="8"/>
        <v>9</v>
      </c>
      <c r="L12" s="145">
        <f t="shared" si="9"/>
        <v>8</v>
      </c>
      <c r="M12" t="b">
        <v>1</v>
      </c>
      <c r="N12">
        <v>3</v>
      </c>
      <c r="O12" t="s">
        <v>209</v>
      </c>
      <c r="P12" s="154" t="s">
        <v>167</v>
      </c>
      <c r="Q12" t="b">
        <v>0</v>
      </c>
      <c r="R12" t="s">
        <v>167</v>
      </c>
      <c r="S12" t="b">
        <v>1</v>
      </c>
      <c r="T12" t="b">
        <v>0</v>
      </c>
      <c r="U12" t="s">
        <v>167</v>
      </c>
      <c r="V12" t="s">
        <v>167</v>
      </c>
      <c r="W12" t="b">
        <v>0</v>
      </c>
      <c r="X12" t="s">
        <v>167</v>
      </c>
      <c r="Y12" s="139" t="s">
        <v>169</v>
      </c>
      <c r="Z12" s="147" t="s">
        <v>170</v>
      </c>
      <c r="AA12">
        <v>872</v>
      </c>
      <c r="AB12" t="s">
        <v>197</v>
      </c>
      <c r="AC12">
        <v>5</v>
      </c>
      <c r="AD12">
        <v>2</v>
      </c>
      <c r="AE12">
        <v>14</v>
      </c>
      <c r="AF12">
        <v>16</v>
      </c>
      <c r="AG12" t="s">
        <v>167</v>
      </c>
      <c r="AH12" t="s">
        <v>167</v>
      </c>
      <c r="AI12" t="s">
        <v>167</v>
      </c>
      <c r="AJ12" t="s">
        <v>172</v>
      </c>
      <c r="AK12">
        <v>10.10055556</v>
      </c>
      <c r="AL12">
        <v>162.86722222</v>
      </c>
      <c r="AM12">
        <v>5.7</v>
      </c>
      <c r="AN12">
        <v>172.5</v>
      </c>
      <c r="AO12">
        <v>-1083.5999999999999</v>
      </c>
      <c r="AP12" t="s">
        <v>167</v>
      </c>
      <c r="AQ12" s="148" t="s">
        <v>173</v>
      </c>
      <c r="AR12" t="s">
        <v>167</v>
      </c>
      <c r="AS12">
        <v>9020</v>
      </c>
      <c r="AT12" t="s">
        <v>174</v>
      </c>
      <c r="AU12">
        <v>1180</v>
      </c>
      <c r="AV12">
        <v>1920</v>
      </c>
      <c r="AW12" s="149" t="s">
        <v>175</v>
      </c>
      <c r="AX12" t="s">
        <v>176</v>
      </c>
      <c r="AY12" t="s">
        <v>177</v>
      </c>
      <c r="AZ12" t="s">
        <v>167</v>
      </c>
      <c r="BA12" t="s">
        <v>167</v>
      </c>
      <c r="BB12" t="s">
        <v>167</v>
      </c>
      <c r="BC12" t="s">
        <v>167</v>
      </c>
      <c r="BD12" t="s">
        <v>167</v>
      </c>
      <c r="BE12" t="s">
        <v>167</v>
      </c>
      <c r="BF12" t="s">
        <v>167</v>
      </c>
      <c r="BG12" t="s">
        <v>195</v>
      </c>
      <c r="BH12" t="s">
        <v>196</v>
      </c>
      <c r="BI12" t="s">
        <v>179</v>
      </c>
      <c r="BJ12" t="s">
        <v>167</v>
      </c>
      <c r="BK12" t="s">
        <v>180</v>
      </c>
      <c r="BL12" t="s">
        <v>181</v>
      </c>
      <c r="BM12" t="s">
        <v>182</v>
      </c>
      <c r="BN12" t="s">
        <v>167</v>
      </c>
      <c r="BO12" t="s">
        <v>167</v>
      </c>
      <c r="BP12" t="s">
        <v>167</v>
      </c>
      <c r="BQ12">
        <v>25</v>
      </c>
      <c r="BR12" s="150" t="s">
        <v>183</v>
      </c>
      <c r="BS12">
        <v>0.1</v>
      </c>
      <c r="BT12" t="s">
        <v>184</v>
      </c>
      <c r="BU12" t="s">
        <v>185</v>
      </c>
      <c r="BV12" t="s">
        <v>185</v>
      </c>
      <c r="BW12" t="s">
        <v>167</v>
      </c>
      <c r="BX12" t="s">
        <v>167</v>
      </c>
      <c r="BY12" t="s">
        <v>167</v>
      </c>
      <c r="BZ12" t="s">
        <v>167</v>
      </c>
      <c r="CA12" t="s">
        <v>167</v>
      </c>
      <c r="CB12" s="144">
        <v>25</v>
      </c>
      <c r="CC12" s="150" t="s">
        <v>183</v>
      </c>
      <c r="CD12">
        <v>0.1</v>
      </c>
      <c r="CE12" t="s">
        <v>186</v>
      </c>
      <c r="CF12" t="s">
        <v>187</v>
      </c>
      <c r="CG12" t="s">
        <v>167</v>
      </c>
      <c r="CH12" t="s">
        <v>167</v>
      </c>
      <c r="CI12" t="s">
        <v>167</v>
      </c>
      <c r="CJ12">
        <v>27</v>
      </c>
      <c r="CK12" t="s">
        <v>167</v>
      </c>
      <c r="CL12" t="s">
        <v>167</v>
      </c>
      <c r="CM12" t="s">
        <v>167</v>
      </c>
      <c r="CN12" t="s">
        <v>167</v>
      </c>
      <c r="CO12" t="s">
        <v>167</v>
      </c>
      <c r="CP12" t="s">
        <v>167</v>
      </c>
      <c r="CQ12" t="s">
        <v>167</v>
      </c>
      <c r="CR12" t="s">
        <v>167</v>
      </c>
      <c r="CS12" t="s">
        <v>167</v>
      </c>
      <c r="CT12" t="s">
        <v>167</v>
      </c>
      <c r="CU12" t="s">
        <v>167</v>
      </c>
      <c r="CV12" t="s">
        <v>167</v>
      </c>
      <c r="CW12" t="s">
        <v>167</v>
      </c>
      <c r="CX12" t="s">
        <v>167</v>
      </c>
      <c r="CY12" t="s">
        <v>167</v>
      </c>
      <c r="CZ12" t="s">
        <v>167</v>
      </c>
      <c r="DA12" t="s">
        <v>167</v>
      </c>
      <c r="DB12" t="s">
        <v>167</v>
      </c>
      <c r="DC12" t="s">
        <v>167</v>
      </c>
      <c r="DD12" t="s">
        <v>167</v>
      </c>
      <c r="DE12" t="s">
        <v>167</v>
      </c>
      <c r="DF12" t="s">
        <v>167</v>
      </c>
      <c r="DG12" t="s">
        <v>167</v>
      </c>
      <c r="DH12" t="s">
        <v>167</v>
      </c>
      <c r="DI12" t="s">
        <v>167</v>
      </c>
      <c r="DJ12" t="s">
        <v>167</v>
      </c>
      <c r="DK12" t="s">
        <v>167</v>
      </c>
      <c r="DL12" t="s">
        <v>167</v>
      </c>
      <c r="DM12" t="s">
        <v>167</v>
      </c>
      <c r="DN12" t="s">
        <v>167</v>
      </c>
      <c r="DO12" t="s">
        <v>167</v>
      </c>
      <c r="DP12" t="s">
        <v>167</v>
      </c>
      <c r="DQ12" t="s">
        <v>167</v>
      </c>
      <c r="DR12" t="s">
        <v>167</v>
      </c>
      <c r="DS12" t="s">
        <v>167</v>
      </c>
      <c r="DT12" t="s">
        <v>167</v>
      </c>
      <c r="DU12" t="s">
        <v>167</v>
      </c>
      <c r="DV12" t="s">
        <v>167</v>
      </c>
      <c r="DW12" t="s">
        <v>167</v>
      </c>
      <c r="DX12" t="s">
        <v>167</v>
      </c>
      <c r="DY12" t="s">
        <v>167</v>
      </c>
      <c r="DZ12" t="s">
        <v>167</v>
      </c>
      <c r="EA12">
        <v>38.299999999999997</v>
      </c>
      <c r="EB12" t="s">
        <v>167</v>
      </c>
      <c r="EC12" t="s">
        <v>167</v>
      </c>
      <c r="ED12" t="s">
        <v>188</v>
      </c>
      <c r="EE12" t="s">
        <v>167</v>
      </c>
      <c r="EF12" t="s">
        <v>167</v>
      </c>
      <c r="EG12">
        <v>1.0194000000000001</v>
      </c>
      <c r="EH12" t="s">
        <v>167</v>
      </c>
      <c r="EI12" t="s">
        <v>167</v>
      </c>
      <c r="EJ12" t="s">
        <v>189</v>
      </c>
      <c r="EK12" t="s">
        <v>190</v>
      </c>
      <c r="EL12" t="s">
        <v>190</v>
      </c>
      <c r="EM12" t="s">
        <v>191</v>
      </c>
      <c r="EN12" t="s">
        <v>167</v>
      </c>
      <c r="EO12" t="s">
        <v>167</v>
      </c>
      <c r="EP12" t="s">
        <v>167</v>
      </c>
      <c r="EQ12" t="s">
        <v>167</v>
      </c>
      <c r="ER12" t="s">
        <v>167</v>
      </c>
      <c r="ES12" t="s">
        <v>167</v>
      </c>
      <c r="ET12" t="s">
        <v>192</v>
      </c>
      <c r="EU12" t="s">
        <v>193</v>
      </c>
      <c r="EV12" t="s">
        <v>167</v>
      </c>
      <c r="EW12">
        <v>2000</v>
      </c>
      <c r="EX12" t="s">
        <v>167</v>
      </c>
      <c r="EY12" s="152">
        <v>20</v>
      </c>
      <c r="EZ12" s="152">
        <v>15</v>
      </c>
      <c r="FA12" t="s">
        <v>167</v>
      </c>
      <c r="FB12" t="s">
        <v>167</v>
      </c>
      <c r="FC12" t="s">
        <v>167</v>
      </c>
      <c r="FD12" t="s">
        <v>167</v>
      </c>
      <c r="FE12">
        <v>8.1999999999999993</v>
      </c>
      <c r="FF12" t="s">
        <v>167</v>
      </c>
      <c r="FG12">
        <v>1.0999999999999233E-2</v>
      </c>
      <c r="FH12">
        <v>1.1000000000001009E-2</v>
      </c>
      <c r="FI12">
        <v>212</v>
      </c>
      <c r="FJ12" t="s">
        <v>167</v>
      </c>
      <c r="FK12" t="s">
        <v>190</v>
      </c>
      <c r="FL12">
        <v>212</v>
      </c>
      <c r="FM12">
        <v>9</v>
      </c>
      <c r="FN12">
        <v>8</v>
      </c>
      <c r="FO12" t="s">
        <v>167</v>
      </c>
      <c r="FP12" t="s">
        <v>194</v>
      </c>
      <c r="FQ12" t="s">
        <v>167</v>
      </c>
      <c r="FR12" t="s">
        <v>167</v>
      </c>
      <c r="FS12" t="s">
        <v>167</v>
      </c>
      <c r="FT12" t="s">
        <v>167</v>
      </c>
      <c r="FU12" t="s">
        <v>167</v>
      </c>
      <c r="FV12" t="s">
        <v>167</v>
      </c>
      <c r="FW12" t="s">
        <v>167</v>
      </c>
      <c r="FX12" t="s">
        <v>167</v>
      </c>
      <c r="FY12" t="s">
        <v>167</v>
      </c>
      <c r="FZ12" t="s">
        <v>167</v>
      </c>
      <c r="GA12" t="s">
        <v>167</v>
      </c>
      <c r="GB12" t="s">
        <v>167</v>
      </c>
      <c r="GC12" t="s">
        <v>167</v>
      </c>
    </row>
    <row r="13" spans="1:185" ht="16" x14ac:dyDescent="0.2">
      <c r="A13" t="s">
        <v>206</v>
      </c>
      <c r="B13" s="142" t="s">
        <v>207</v>
      </c>
      <c r="C13" s="138" t="s">
        <v>168</v>
      </c>
      <c r="D13" t="s">
        <v>205</v>
      </c>
      <c r="E13" s="146">
        <v>2000</v>
      </c>
      <c r="F13" t="str">
        <f t="shared" si="3"/>
        <v>10.1038/35021000</v>
      </c>
      <c r="G13" s="143">
        <f t="shared" si="4"/>
        <v>10390</v>
      </c>
      <c r="H13">
        <f t="shared" si="5"/>
        <v>10</v>
      </c>
      <c r="I13">
        <f t="shared" si="6"/>
        <v>190</v>
      </c>
      <c r="J13" s="145">
        <f t="shared" si="7"/>
        <v>236</v>
      </c>
      <c r="K13" s="145">
        <f t="shared" si="8"/>
        <v>23</v>
      </c>
      <c r="L13" s="145">
        <f t="shared" si="9"/>
        <v>21</v>
      </c>
      <c r="M13" t="b">
        <v>1</v>
      </c>
      <c r="N13">
        <v>3</v>
      </c>
      <c r="O13" t="s">
        <v>209</v>
      </c>
      <c r="P13" s="154" t="s">
        <v>167</v>
      </c>
      <c r="Q13" t="b">
        <v>0</v>
      </c>
      <c r="R13" t="s">
        <v>167</v>
      </c>
      <c r="S13" t="b">
        <v>1</v>
      </c>
      <c r="T13" t="b">
        <v>0</v>
      </c>
      <c r="U13" t="s">
        <v>167</v>
      </c>
      <c r="V13" t="s">
        <v>167</v>
      </c>
      <c r="W13" t="b">
        <v>0</v>
      </c>
      <c r="X13" t="s">
        <v>167</v>
      </c>
      <c r="Y13" s="139" t="s">
        <v>169</v>
      </c>
      <c r="Z13" s="147" t="s">
        <v>170</v>
      </c>
      <c r="AA13">
        <v>872</v>
      </c>
      <c r="AB13" t="s">
        <v>197</v>
      </c>
      <c r="AC13">
        <v>5</v>
      </c>
      <c r="AD13">
        <v>6</v>
      </c>
      <c r="AE13">
        <v>59</v>
      </c>
      <c r="AF13">
        <v>61</v>
      </c>
      <c r="AG13" t="s">
        <v>167</v>
      </c>
      <c r="AH13" t="s">
        <v>167</v>
      </c>
      <c r="AI13" t="s">
        <v>167</v>
      </c>
      <c r="AJ13" t="s">
        <v>172</v>
      </c>
      <c r="AK13">
        <v>10.10055556</v>
      </c>
      <c r="AL13">
        <v>162.86722222</v>
      </c>
      <c r="AM13">
        <v>5</v>
      </c>
      <c r="AN13" t="s">
        <v>167</v>
      </c>
      <c r="AO13">
        <v>-1083.5999999999999</v>
      </c>
      <c r="AP13" t="s">
        <v>167</v>
      </c>
      <c r="AQ13" s="148" t="s">
        <v>173</v>
      </c>
      <c r="AR13" t="s">
        <v>167</v>
      </c>
      <c r="AS13">
        <v>10390</v>
      </c>
      <c r="AT13" t="s">
        <v>174</v>
      </c>
      <c r="AU13">
        <v>10</v>
      </c>
      <c r="AV13">
        <v>190</v>
      </c>
      <c r="AW13" s="149" t="s">
        <v>175</v>
      </c>
      <c r="AX13" t="s">
        <v>176</v>
      </c>
      <c r="AY13" t="s">
        <v>177</v>
      </c>
      <c r="AZ13" t="s">
        <v>167</v>
      </c>
      <c r="BA13" t="s">
        <v>167</v>
      </c>
      <c r="BB13" t="s">
        <v>167</v>
      </c>
      <c r="BC13" t="s">
        <v>167</v>
      </c>
      <c r="BD13" t="s">
        <v>167</v>
      </c>
      <c r="BE13" t="s">
        <v>167</v>
      </c>
      <c r="BF13" t="s">
        <v>167</v>
      </c>
      <c r="BG13" t="s">
        <v>195</v>
      </c>
      <c r="BH13" t="s">
        <v>196</v>
      </c>
      <c r="BI13" t="s">
        <v>179</v>
      </c>
      <c r="BJ13" t="s">
        <v>167</v>
      </c>
      <c r="BK13" t="s">
        <v>180</v>
      </c>
      <c r="BL13" t="s">
        <v>181</v>
      </c>
      <c r="BM13" t="s">
        <v>182</v>
      </c>
      <c r="BN13" t="s">
        <v>167</v>
      </c>
      <c r="BO13" t="s">
        <v>167</v>
      </c>
      <c r="BP13" t="s">
        <v>167</v>
      </c>
      <c r="BQ13">
        <v>24.5</v>
      </c>
      <c r="BR13" s="150" t="s">
        <v>183</v>
      </c>
      <c r="BS13">
        <v>0.2</v>
      </c>
      <c r="BT13" t="s">
        <v>184</v>
      </c>
      <c r="BU13" t="s">
        <v>185</v>
      </c>
      <c r="BV13" t="s">
        <v>185</v>
      </c>
      <c r="BW13" t="s">
        <v>167</v>
      </c>
      <c r="BX13" t="s">
        <v>167</v>
      </c>
      <c r="BY13" t="s">
        <v>167</v>
      </c>
      <c r="BZ13" t="s">
        <v>167</v>
      </c>
      <c r="CA13" t="s">
        <v>167</v>
      </c>
      <c r="CB13" s="144">
        <v>24.5</v>
      </c>
      <c r="CC13" s="150" t="s">
        <v>183</v>
      </c>
      <c r="CD13">
        <v>0.2</v>
      </c>
      <c r="CE13" t="s">
        <v>186</v>
      </c>
      <c r="CF13" t="s">
        <v>187</v>
      </c>
      <c r="CG13" t="s">
        <v>167</v>
      </c>
      <c r="CH13" t="s">
        <v>167</v>
      </c>
      <c r="CI13" t="s">
        <v>167</v>
      </c>
      <c r="CJ13">
        <v>27</v>
      </c>
      <c r="CK13" t="s">
        <v>167</v>
      </c>
      <c r="CL13" t="s">
        <v>167</v>
      </c>
      <c r="CM13" t="s">
        <v>167</v>
      </c>
      <c r="CN13" t="s">
        <v>167</v>
      </c>
      <c r="CO13" t="s">
        <v>167</v>
      </c>
      <c r="CP13" t="s">
        <v>167</v>
      </c>
      <c r="CQ13" t="s">
        <v>167</v>
      </c>
      <c r="CR13" t="s">
        <v>167</v>
      </c>
      <c r="CS13" t="s">
        <v>167</v>
      </c>
      <c r="CT13" t="s">
        <v>167</v>
      </c>
      <c r="CU13" t="s">
        <v>167</v>
      </c>
      <c r="CV13" t="s">
        <v>167</v>
      </c>
      <c r="CW13" t="s">
        <v>167</v>
      </c>
      <c r="CX13" t="s">
        <v>167</v>
      </c>
      <c r="CY13" t="s">
        <v>167</v>
      </c>
      <c r="CZ13" t="s">
        <v>167</v>
      </c>
      <c r="DA13" t="s">
        <v>167</v>
      </c>
      <c r="DB13" t="s">
        <v>167</v>
      </c>
      <c r="DC13" t="s">
        <v>167</v>
      </c>
      <c r="DD13" t="s">
        <v>167</v>
      </c>
      <c r="DE13" t="s">
        <v>167</v>
      </c>
      <c r="DF13" t="s">
        <v>167</v>
      </c>
      <c r="DG13" t="s">
        <v>167</v>
      </c>
      <c r="DH13" t="s">
        <v>167</v>
      </c>
      <c r="DI13" t="s">
        <v>167</v>
      </c>
      <c r="DJ13" t="s">
        <v>167</v>
      </c>
      <c r="DK13" t="s">
        <v>167</v>
      </c>
      <c r="DL13" t="s">
        <v>167</v>
      </c>
      <c r="DM13" t="s">
        <v>167</v>
      </c>
      <c r="DN13" t="s">
        <v>167</v>
      </c>
      <c r="DO13" t="s">
        <v>167</v>
      </c>
      <c r="DP13" t="s">
        <v>167</v>
      </c>
      <c r="DQ13" t="s">
        <v>167</v>
      </c>
      <c r="DR13" t="s">
        <v>167</v>
      </c>
      <c r="DS13" t="s">
        <v>167</v>
      </c>
      <c r="DT13" t="s">
        <v>167</v>
      </c>
      <c r="DU13" t="s">
        <v>167</v>
      </c>
      <c r="DV13" t="s">
        <v>167</v>
      </c>
      <c r="DW13" t="s">
        <v>167</v>
      </c>
      <c r="DX13" t="s">
        <v>167</v>
      </c>
      <c r="DY13" t="s">
        <v>167</v>
      </c>
      <c r="DZ13" t="s">
        <v>167</v>
      </c>
      <c r="EA13">
        <v>37.99</v>
      </c>
      <c r="EB13" t="s">
        <v>167</v>
      </c>
      <c r="EC13" t="s">
        <v>167</v>
      </c>
      <c r="ED13" t="s">
        <v>188</v>
      </c>
      <c r="EE13" t="s">
        <v>167</v>
      </c>
      <c r="EF13" t="s">
        <v>167</v>
      </c>
      <c r="EG13">
        <v>1.0194000000000001</v>
      </c>
      <c r="EH13" t="s">
        <v>167</v>
      </c>
      <c r="EI13" t="s">
        <v>167</v>
      </c>
      <c r="EJ13" t="s">
        <v>189</v>
      </c>
      <c r="EK13" t="s">
        <v>190</v>
      </c>
      <c r="EL13" t="s">
        <v>190</v>
      </c>
      <c r="EM13" t="s">
        <v>191</v>
      </c>
      <c r="EN13" t="s">
        <v>167</v>
      </c>
      <c r="EO13" t="s">
        <v>167</v>
      </c>
      <c r="EP13" t="s">
        <v>167</v>
      </c>
      <c r="EQ13" t="s">
        <v>167</v>
      </c>
      <c r="ER13" t="s">
        <v>167</v>
      </c>
      <c r="ES13" t="s">
        <v>167</v>
      </c>
      <c r="ET13" t="s">
        <v>192</v>
      </c>
      <c r="EU13" t="s">
        <v>193</v>
      </c>
      <c r="EV13" t="s">
        <v>167</v>
      </c>
      <c r="EW13">
        <v>2080</v>
      </c>
      <c r="EX13" t="s">
        <v>167</v>
      </c>
      <c r="EY13" s="152">
        <v>50</v>
      </c>
      <c r="EZ13" s="152">
        <v>45</v>
      </c>
      <c r="FA13" t="s">
        <v>167</v>
      </c>
      <c r="FB13" t="s">
        <v>167</v>
      </c>
      <c r="FC13" t="s">
        <v>167</v>
      </c>
      <c r="FD13" t="s">
        <v>167</v>
      </c>
      <c r="FE13">
        <v>8.18</v>
      </c>
      <c r="FF13" t="s">
        <v>167</v>
      </c>
      <c r="FG13">
        <v>2.2000000000000242E-2</v>
      </c>
      <c r="FH13">
        <v>2.2000000000000242E-2</v>
      </c>
      <c r="FI13">
        <v>236</v>
      </c>
      <c r="FJ13" t="s">
        <v>167</v>
      </c>
      <c r="FK13" t="s">
        <v>190</v>
      </c>
      <c r="FL13">
        <v>236</v>
      </c>
      <c r="FM13">
        <v>23</v>
      </c>
      <c r="FN13">
        <v>21</v>
      </c>
      <c r="FO13" t="s">
        <v>167</v>
      </c>
      <c r="FP13" t="s">
        <v>194</v>
      </c>
      <c r="FQ13" t="s">
        <v>167</v>
      </c>
      <c r="FR13" t="s">
        <v>167</v>
      </c>
      <c r="FS13" t="s">
        <v>167</v>
      </c>
      <c r="FT13" t="s">
        <v>167</v>
      </c>
      <c r="FU13" t="s">
        <v>167</v>
      </c>
      <c r="FV13" t="s">
        <v>167</v>
      </c>
      <c r="FW13" t="s">
        <v>167</v>
      </c>
      <c r="FX13" t="s">
        <v>167</v>
      </c>
      <c r="FY13" t="s">
        <v>167</v>
      </c>
      <c r="FZ13" t="s">
        <v>167</v>
      </c>
      <c r="GA13" t="s">
        <v>167</v>
      </c>
      <c r="GB13" t="s">
        <v>167</v>
      </c>
      <c r="GC13" t="s">
        <v>167</v>
      </c>
    </row>
    <row r="14" spans="1:185" ht="16" x14ac:dyDescent="0.2">
      <c r="A14" t="s">
        <v>206</v>
      </c>
      <c r="B14" s="142" t="s">
        <v>207</v>
      </c>
      <c r="C14" s="138" t="s">
        <v>168</v>
      </c>
      <c r="D14" t="s">
        <v>205</v>
      </c>
      <c r="E14" s="146">
        <v>2000</v>
      </c>
      <c r="F14" t="str">
        <f t="shared" si="3"/>
        <v>10.1038/35021000</v>
      </c>
      <c r="G14" s="143">
        <f t="shared" si="4"/>
        <v>11400</v>
      </c>
      <c r="H14">
        <f t="shared" si="5"/>
        <v>100</v>
      </c>
      <c r="I14">
        <f t="shared" si="6"/>
        <v>100</v>
      </c>
      <c r="J14" s="145">
        <f t="shared" si="7"/>
        <v>226</v>
      </c>
      <c r="K14" s="145">
        <f t="shared" si="8"/>
        <v>46</v>
      </c>
      <c r="L14" s="145">
        <f t="shared" si="9"/>
        <v>39</v>
      </c>
      <c r="M14" t="b">
        <v>1</v>
      </c>
      <c r="N14">
        <v>3</v>
      </c>
      <c r="O14" t="s">
        <v>209</v>
      </c>
      <c r="P14" s="154" t="s">
        <v>167</v>
      </c>
      <c r="Q14" t="b">
        <v>0</v>
      </c>
      <c r="R14" t="s">
        <v>167</v>
      </c>
      <c r="S14" t="b">
        <v>1</v>
      </c>
      <c r="T14" t="b">
        <v>0</v>
      </c>
      <c r="U14" t="s">
        <v>167</v>
      </c>
      <c r="V14" t="s">
        <v>167</v>
      </c>
      <c r="W14" t="b">
        <v>0</v>
      </c>
      <c r="X14" t="s">
        <v>167</v>
      </c>
      <c r="Y14" s="139" t="s">
        <v>169</v>
      </c>
      <c r="Z14" s="147" t="s">
        <v>170</v>
      </c>
      <c r="AA14">
        <v>872</v>
      </c>
      <c r="AB14" t="s">
        <v>197</v>
      </c>
      <c r="AC14">
        <v>6</v>
      </c>
      <c r="AD14">
        <v>5</v>
      </c>
      <c r="AE14">
        <v>20</v>
      </c>
      <c r="AF14">
        <v>22</v>
      </c>
      <c r="AG14" t="s">
        <v>167</v>
      </c>
      <c r="AH14" t="s">
        <v>167</v>
      </c>
      <c r="AI14" t="s">
        <v>167</v>
      </c>
      <c r="AJ14" t="s">
        <v>172</v>
      </c>
      <c r="AK14">
        <v>10.10055556</v>
      </c>
      <c r="AL14">
        <v>162.86722222</v>
      </c>
      <c r="AM14">
        <v>5</v>
      </c>
      <c r="AN14" t="s">
        <v>167</v>
      </c>
      <c r="AO14">
        <v>-1083.5999999999999</v>
      </c>
      <c r="AP14" t="s">
        <v>167</v>
      </c>
      <c r="AQ14" s="148" t="s">
        <v>173</v>
      </c>
      <c r="AR14" t="s">
        <v>167</v>
      </c>
      <c r="AS14">
        <v>11400</v>
      </c>
      <c r="AT14" t="s">
        <v>174</v>
      </c>
      <c r="AU14">
        <v>100</v>
      </c>
      <c r="AV14">
        <v>100</v>
      </c>
      <c r="AW14" s="149" t="s">
        <v>175</v>
      </c>
      <c r="AX14" t="s">
        <v>176</v>
      </c>
      <c r="AY14" t="s">
        <v>177</v>
      </c>
      <c r="AZ14" t="s">
        <v>167</v>
      </c>
      <c r="BA14" t="s">
        <v>167</v>
      </c>
      <c r="BB14" t="s">
        <v>167</v>
      </c>
      <c r="BC14" t="s">
        <v>167</v>
      </c>
      <c r="BD14" t="s">
        <v>167</v>
      </c>
      <c r="BE14" t="s">
        <v>167</v>
      </c>
      <c r="BF14" t="s">
        <v>167</v>
      </c>
      <c r="BG14" t="s">
        <v>195</v>
      </c>
      <c r="BH14" t="s">
        <v>196</v>
      </c>
      <c r="BI14" t="s">
        <v>179</v>
      </c>
      <c r="BJ14" t="s">
        <v>167</v>
      </c>
      <c r="BK14" t="s">
        <v>180</v>
      </c>
      <c r="BL14" t="s">
        <v>181</v>
      </c>
      <c r="BM14" t="s">
        <v>182</v>
      </c>
      <c r="BN14" t="s">
        <v>167</v>
      </c>
      <c r="BO14" t="s">
        <v>167</v>
      </c>
      <c r="BP14" t="s">
        <v>167</v>
      </c>
      <c r="BQ14">
        <v>24.4</v>
      </c>
      <c r="BR14" s="150" t="s">
        <v>183</v>
      </c>
      <c r="BS14">
        <v>0.4</v>
      </c>
      <c r="BT14" t="s">
        <v>184</v>
      </c>
      <c r="BU14" t="s">
        <v>185</v>
      </c>
      <c r="BV14" t="s">
        <v>185</v>
      </c>
      <c r="BW14" t="s">
        <v>167</v>
      </c>
      <c r="BX14" t="s">
        <v>167</v>
      </c>
      <c r="BY14" t="s">
        <v>167</v>
      </c>
      <c r="BZ14" t="s">
        <v>167</v>
      </c>
      <c r="CA14" t="s">
        <v>167</v>
      </c>
      <c r="CB14" s="144">
        <v>24.4</v>
      </c>
      <c r="CC14" s="150" t="s">
        <v>183</v>
      </c>
      <c r="CD14">
        <v>0.4</v>
      </c>
      <c r="CE14" t="s">
        <v>186</v>
      </c>
      <c r="CF14" t="s">
        <v>187</v>
      </c>
      <c r="CG14" t="s">
        <v>167</v>
      </c>
      <c r="CH14" t="s">
        <v>167</v>
      </c>
      <c r="CI14" t="s">
        <v>167</v>
      </c>
      <c r="CJ14">
        <v>27</v>
      </c>
      <c r="CK14" t="s">
        <v>167</v>
      </c>
      <c r="CL14" t="s">
        <v>167</v>
      </c>
      <c r="CM14" t="s">
        <v>167</v>
      </c>
      <c r="CN14" t="s">
        <v>167</v>
      </c>
      <c r="CO14" t="s">
        <v>167</v>
      </c>
      <c r="CP14" t="s">
        <v>167</v>
      </c>
      <c r="CQ14" t="s">
        <v>167</v>
      </c>
      <c r="CR14" t="s">
        <v>167</v>
      </c>
      <c r="CS14" t="s">
        <v>167</v>
      </c>
      <c r="CT14" t="s">
        <v>167</v>
      </c>
      <c r="CU14" t="s">
        <v>167</v>
      </c>
      <c r="CV14" t="s">
        <v>167</v>
      </c>
      <c r="CW14" t="s">
        <v>167</v>
      </c>
      <c r="CX14" t="s">
        <v>167</v>
      </c>
      <c r="CY14" t="s">
        <v>167</v>
      </c>
      <c r="CZ14" t="s">
        <v>167</v>
      </c>
      <c r="DA14" t="s">
        <v>167</v>
      </c>
      <c r="DB14" t="s">
        <v>167</v>
      </c>
      <c r="DC14" t="s">
        <v>167</v>
      </c>
      <c r="DD14" t="s">
        <v>167</v>
      </c>
      <c r="DE14" t="s">
        <v>167</v>
      </c>
      <c r="DF14" t="s">
        <v>167</v>
      </c>
      <c r="DG14" t="s">
        <v>167</v>
      </c>
      <c r="DH14" t="s">
        <v>167</v>
      </c>
      <c r="DI14" t="s">
        <v>167</v>
      </c>
      <c r="DJ14" t="s">
        <v>167</v>
      </c>
      <c r="DK14" t="s">
        <v>167</v>
      </c>
      <c r="DL14" t="s">
        <v>167</v>
      </c>
      <c r="DM14" t="s">
        <v>167</v>
      </c>
      <c r="DN14" t="s">
        <v>167</v>
      </c>
      <c r="DO14" t="s">
        <v>167</v>
      </c>
      <c r="DP14" t="s">
        <v>167</v>
      </c>
      <c r="DQ14" t="s">
        <v>167</v>
      </c>
      <c r="DR14" t="s">
        <v>167</v>
      </c>
      <c r="DS14" t="s">
        <v>167</v>
      </c>
      <c r="DT14" t="s">
        <v>167</v>
      </c>
      <c r="DU14" t="s">
        <v>167</v>
      </c>
      <c r="DV14" t="s">
        <v>167</v>
      </c>
      <c r="DW14" t="s">
        <v>167</v>
      </c>
      <c r="DX14" t="s">
        <v>167</v>
      </c>
      <c r="DY14" t="s">
        <v>167</v>
      </c>
      <c r="DZ14" t="s">
        <v>167</v>
      </c>
      <c r="EA14">
        <v>37.79</v>
      </c>
      <c r="EB14" t="s">
        <v>167</v>
      </c>
      <c r="EC14" t="s">
        <v>167</v>
      </c>
      <c r="ED14" t="s">
        <v>188</v>
      </c>
      <c r="EE14" t="s">
        <v>167</v>
      </c>
      <c r="EF14" t="s">
        <v>167</v>
      </c>
      <c r="EG14">
        <v>1.0194000000000001</v>
      </c>
      <c r="EH14" t="s">
        <v>167</v>
      </c>
      <c r="EI14" t="s">
        <v>167</v>
      </c>
      <c r="EJ14" t="s">
        <v>189</v>
      </c>
      <c r="EK14" t="s">
        <v>190</v>
      </c>
      <c r="EL14" t="s">
        <v>190</v>
      </c>
      <c r="EM14" t="s">
        <v>191</v>
      </c>
      <c r="EN14" t="s">
        <v>167</v>
      </c>
      <c r="EO14" t="s">
        <v>167</v>
      </c>
      <c r="EP14" t="s">
        <v>167</v>
      </c>
      <c r="EQ14" t="s">
        <v>167</v>
      </c>
      <c r="ER14" t="s">
        <v>167</v>
      </c>
      <c r="ES14" t="s">
        <v>167</v>
      </c>
      <c r="ET14" t="s">
        <v>192</v>
      </c>
      <c r="EU14" t="s">
        <v>193</v>
      </c>
      <c r="EV14" t="s">
        <v>167</v>
      </c>
      <c r="EW14">
        <v>2050</v>
      </c>
      <c r="EX14" t="s">
        <v>167</v>
      </c>
      <c r="EY14" s="152">
        <v>100</v>
      </c>
      <c r="EZ14" s="152">
        <v>90</v>
      </c>
      <c r="FA14" t="s">
        <v>167</v>
      </c>
      <c r="FB14" t="s">
        <v>167</v>
      </c>
      <c r="FC14" t="s">
        <v>167</v>
      </c>
      <c r="FD14" t="s">
        <v>167</v>
      </c>
      <c r="FE14">
        <v>8.19</v>
      </c>
      <c r="FF14" t="s">
        <v>167</v>
      </c>
      <c r="FG14">
        <v>4.2999999999999261E-2</v>
      </c>
      <c r="FH14">
        <v>4.4000000000000483E-2</v>
      </c>
      <c r="FI14">
        <v>226</v>
      </c>
      <c r="FJ14" t="s">
        <v>167</v>
      </c>
      <c r="FK14" t="s">
        <v>190</v>
      </c>
      <c r="FL14">
        <v>226</v>
      </c>
      <c r="FM14">
        <v>46</v>
      </c>
      <c r="FN14">
        <v>39</v>
      </c>
      <c r="FO14" t="s">
        <v>167</v>
      </c>
      <c r="FP14" t="s">
        <v>194</v>
      </c>
      <c r="FQ14" t="s">
        <v>167</v>
      </c>
      <c r="FR14" t="s">
        <v>167</v>
      </c>
      <c r="FS14" t="s">
        <v>167</v>
      </c>
      <c r="FT14" t="s">
        <v>167</v>
      </c>
      <c r="FU14" t="s">
        <v>167</v>
      </c>
      <c r="FV14" t="s">
        <v>167</v>
      </c>
      <c r="FW14" t="s">
        <v>167</v>
      </c>
      <c r="FX14" t="s">
        <v>167</v>
      </c>
      <c r="FY14" t="s">
        <v>167</v>
      </c>
      <c r="FZ14" t="s">
        <v>167</v>
      </c>
      <c r="GA14" t="s">
        <v>167</v>
      </c>
      <c r="GB14" t="s">
        <v>167</v>
      </c>
      <c r="GC14" t="s">
        <v>167</v>
      </c>
    </row>
    <row r="15" spans="1:185" ht="16" x14ac:dyDescent="0.2">
      <c r="A15" t="s">
        <v>206</v>
      </c>
      <c r="B15" s="142" t="s">
        <v>207</v>
      </c>
      <c r="C15" s="138" t="s">
        <v>168</v>
      </c>
      <c r="D15" t="s">
        <v>205</v>
      </c>
      <c r="E15" s="146">
        <v>2000</v>
      </c>
      <c r="F15" t="str">
        <f t="shared" si="3"/>
        <v>10.1038/35021000</v>
      </c>
      <c r="G15" s="143">
        <f t="shared" si="4"/>
        <v>11810</v>
      </c>
      <c r="H15">
        <f t="shared" si="5"/>
        <v>790</v>
      </c>
      <c r="I15">
        <f t="shared" si="6"/>
        <v>310</v>
      </c>
      <c r="J15" s="145">
        <f t="shared" si="7"/>
        <v>260</v>
      </c>
      <c r="K15" s="145">
        <f t="shared" si="8"/>
        <v>32</v>
      </c>
      <c r="L15" s="145">
        <f t="shared" si="9"/>
        <v>22</v>
      </c>
      <c r="M15" t="b">
        <v>1</v>
      </c>
      <c r="N15">
        <v>3</v>
      </c>
      <c r="O15" t="s">
        <v>209</v>
      </c>
      <c r="P15" s="154" t="s">
        <v>167</v>
      </c>
      <c r="Q15" t="b">
        <v>0</v>
      </c>
      <c r="R15" t="s">
        <v>167</v>
      </c>
      <c r="S15" t="b">
        <v>1</v>
      </c>
      <c r="T15" t="b">
        <v>0</v>
      </c>
      <c r="U15" t="s">
        <v>167</v>
      </c>
      <c r="V15" t="s">
        <v>167</v>
      </c>
      <c r="W15" t="b">
        <v>0</v>
      </c>
      <c r="X15" t="s">
        <v>167</v>
      </c>
      <c r="Y15" s="139" t="s">
        <v>169</v>
      </c>
      <c r="Z15" s="147" t="s">
        <v>170</v>
      </c>
      <c r="AA15">
        <v>871</v>
      </c>
      <c r="AB15" t="s">
        <v>171</v>
      </c>
      <c r="AC15">
        <v>4</v>
      </c>
      <c r="AD15">
        <v>5</v>
      </c>
      <c r="AE15">
        <v>59</v>
      </c>
      <c r="AF15">
        <v>61</v>
      </c>
      <c r="AG15" t="s">
        <v>167</v>
      </c>
      <c r="AH15" t="s">
        <v>167</v>
      </c>
      <c r="AI15" t="s">
        <v>167</v>
      </c>
      <c r="AJ15" t="s">
        <v>172</v>
      </c>
      <c r="AK15">
        <v>5.6716666699999996</v>
      </c>
      <c r="AL15">
        <v>172.51611111</v>
      </c>
      <c r="AM15">
        <v>5</v>
      </c>
      <c r="AN15" t="s">
        <v>167</v>
      </c>
      <c r="AO15">
        <v>-1254</v>
      </c>
      <c r="AP15" t="s">
        <v>167</v>
      </c>
      <c r="AQ15" s="148" t="s">
        <v>173</v>
      </c>
      <c r="AR15" t="s">
        <v>167</v>
      </c>
      <c r="AS15">
        <v>11810</v>
      </c>
      <c r="AT15" t="s">
        <v>174</v>
      </c>
      <c r="AU15">
        <v>790</v>
      </c>
      <c r="AV15">
        <v>310</v>
      </c>
      <c r="AW15" s="149" t="s">
        <v>175</v>
      </c>
      <c r="AX15" t="s">
        <v>176</v>
      </c>
      <c r="AY15" t="s">
        <v>177</v>
      </c>
      <c r="AZ15" t="s">
        <v>167</v>
      </c>
      <c r="BA15" t="s">
        <v>167</v>
      </c>
      <c r="BB15" t="s">
        <v>167</v>
      </c>
      <c r="BC15" t="s">
        <v>167</v>
      </c>
      <c r="BD15" t="s">
        <v>167</v>
      </c>
      <c r="BE15" t="s">
        <v>167</v>
      </c>
      <c r="BF15" t="s">
        <v>167</v>
      </c>
      <c r="BG15" t="s">
        <v>178</v>
      </c>
      <c r="BH15" t="s">
        <v>167</v>
      </c>
      <c r="BI15" t="s">
        <v>179</v>
      </c>
      <c r="BJ15" t="s">
        <v>167</v>
      </c>
      <c r="BK15" t="s">
        <v>180</v>
      </c>
      <c r="BL15" t="s">
        <v>181</v>
      </c>
      <c r="BM15" t="s">
        <v>182</v>
      </c>
      <c r="BN15" t="s">
        <v>167</v>
      </c>
      <c r="BO15" t="s">
        <v>167</v>
      </c>
      <c r="BP15" t="s">
        <v>167</v>
      </c>
      <c r="BQ15">
        <v>24.1</v>
      </c>
      <c r="BR15" s="150" t="s">
        <v>183</v>
      </c>
      <c r="BS15">
        <v>0.3</v>
      </c>
      <c r="BT15" t="s">
        <v>184</v>
      </c>
      <c r="BU15" t="s">
        <v>185</v>
      </c>
      <c r="BV15" t="s">
        <v>185</v>
      </c>
      <c r="BW15" t="s">
        <v>167</v>
      </c>
      <c r="BX15" t="s">
        <v>167</v>
      </c>
      <c r="BY15" t="s">
        <v>167</v>
      </c>
      <c r="BZ15" t="s">
        <v>167</v>
      </c>
      <c r="CA15" t="s">
        <v>167</v>
      </c>
      <c r="CB15" s="144">
        <v>24.1</v>
      </c>
      <c r="CC15" s="150" t="s">
        <v>183</v>
      </c>
      <c r="CD15">
        <v>0.3</v>
      </c>
      <c r="CE15" t="s">
        <v>186</v>
      </c>
      <c r="CF15" t="s">
        <v>187</v>
      </c>
      <c r="CG15" t="s">
        <v>167</v>
      </c>
      <c r="CH15" t="s">
        <v>167</v>
      </c>
      <c r="CI15" t="s">
        <v>167</v>
      </c>
      <c r="CJ15">
        <v>27</v>
      </c>
      <c r="CK15" t="s">
        <v>167</v>
      </c>
      <c r="CL15" t="s">
        <v>167</v>
      </c>
      <c r="CM15" t="s">
        <v>167</v>
      </c>
      <c r="CN15" t="s">
        <v>167</v>
      </c>
      <c r="CO15" t="s">
        <v>167</v>
      </c>
      <c r="CP15" t="s">
        <v>167</v>
      </c>
      <c r="CQ15" t="s">
        <v>167</v>
      </c>
      <c r="CR15" t="s">
        <v>167</v>
      </c>
      <c r="CS15" t="s">
        <v>167</v>
      </c>
      <c r="CT15" t="s">
        <v>167</v>
      </c>
      <c r="CU15" t="s">
        <v>167</v>
      </c>
      <c r="CV15" t="s">
        <v>167</v>
      </c>
      <c r="CW15" t="s">
        <v>167</v>
      </c>
      <c r="CX15" t="s">
        <v>167</v>
      </c>
      <c r="CY15" t="s">
        <v>167</v>
      </c>
      <c r="CZ15" t="s">
        <v>167</v>
      </c>
      <c r="DA15" t="s">
        <v>167</v>
      </c>
      <c r="DB15" t="s">
        <v>167</v>
      </c>
      <c r="DC15" t="s">
        <v>167</v>
      </c>
      <c r="DD15" t="s">
        <v>167</v>
      </c>
      <c r="DE15" t="s">
        <v>167</v>
      </c>
      <c r="DF15" t="s">
        <v>167</v>
      </c>
      <c r="DG15" t="s">
        <v>167</v>
      </c>
      <c r="DH15" t="s">
        <v>167</v>
      </c>
      <c r="DI15" t="s">
        <v>167</v>
      </c>
      <c r="DJ15" t="s">
        <v>167</v>
      </c>
      <c r="DK15" t="s">
        <v>167</v>
      </c>
      <c r="DL15" t="s">
        <v>167</v>
      </c>
      <c r="DM15" t="s">
        <v>167</v>
      </c>
      <c r="DN15" t="s">
        <v>167</v>
      </c>
      <c r="DO15" t="s">
        <v>167</v>
      </c>
      <c r="DP15" t="s">
        <v>167</v>
      </c>
      <c r="DQ15" t="s">
        <v>167</v>
      </c>
      <c r="DR15" t="s">
        <v>167</v>
      </c>
      <c r="DS15" t="s">
        <v>167</v>
      </c>
      <c r="DT15" t="s">
        <v>167</v>
      </c>
      <c r="DU15" t="s">
        <v>167</v>
      </c>
      <c r="DV15" t="s">
        <v>167</v>
      </c>
      <c r="DW15" t="s">
        <v>167</v>
      </c>
      <c r="DX15" t="s">
        <v>167</v>
      </c>
      <c r="DY15" t="s">
        <v>167</v>
      </c>
      <c r="DZ15" t="s">
        <v>167</v>
      </c>
      <c r="EA15">
        <v>37.700000000000003</v>
      </c>
      <c r="EB15" t="s">
        <v>167</v>
      </c>
      <c r="EC15" t="s">
        <v>167</v>
      </c>
      <c r="ED15" t="s">
        <v>188</v>
      </c>
      <c r="EE15" t="s">
        <v>167</v>
      </c>
      <c r="EF15" t="s">
        <v>167</v>
      </c>
      <c r="EG15">
        <v>1.0194000000000001</v>
      </c>
      <c r="EH15" t="s">
        <v>167</v>
      </c>
      <c r="EI15" t="s">
        <v>167</v>
      </c>
      <c r="EJ15" t="s">
        <v>189</v>
      </c>
      <c r="EK15" t="s">
        <v>190</v>
      </c>
      <c r="EL15" t="s">
        <v>190</v>
      </c>
      <c r="EM15" t="s">
        <v>191</v>
      </c>
      <c r="EN15" t="s">
        <v>167</v>
      </c>
      <c r="EO15" t="s">
        <v>167</v>
      </c>
      <c r="EP15" t="s">
        <v>167</v>
      </c>
      <c r="EQ15" t="s">
        <v>167</v>
      </c>
      <c r="ER15" t="s">
        <v>167</v>
      </c>
      <c r="ES15" t="s">
        <v>167</v>
      </c>
      <c r="ET15" t="s">
        <v>192</v>
      </c>
      <c r="EU15" t="s">
        <v>193</v>
      </c>
      <c r="EV15" t="s">
        <v>167</v>
      </c>
      <c r="EW15">
        <v>2150</v>
      </c>
      <c r="EX15" t="s">
        <v>167</v>
      </c>
      <c r="EY15" s="151">
        <v>115</v>
      </c>
      <c r="EZ15" s="151">
        <v>130</v>
      </c>
      <c r="FA15" t="s">
        <v>167</v>
      </c>
      <c r="FB15" t="s">
        <v>167</v>
      </c>
      <c r="FC15" t="s">
        <v>167</v>
      </c>
      <c r="FD15" t="s">
        <v>167</v>
      </c>
      <c r="FE15">
        <v>8.16</v>
      </c>
      <c r="FF15" t="s">
        <v>167</v>
      </c>
      <c r="FG15">
        <v>3.4000000000000696E-2</v>
      </c>
      <c r="FH15">
        <v>3.2999999999999474E-2</v>
      </c>
      <c r="FI15">
        <v>260</v>
      </c>
      <c r="FJ15" t="s">
        <v>167</v>
      </c>
      <c r="FK15" t="s">
        <v>190</v>
      </c>
      <c r="FL15">
        <v>260</v>
      </c>
      <c r="FM15">
        <v>32</v>
      </c>
      <c r="FN15">
        <v>22</v>
      </c>
      <c r="FO15" t="s">
        <v>167</v>
      </c>
      <c r="FP15" t="s">
        <v>194</v>
      </c>
      <c r="FQ15" t="s">
        <v>167</v>
      </c>
      <c r="FR15" t="s">
        <v>167</v>
      </c>
      <c r="FS15" t="s">
        <v>167</v>
      </c>
      <c r="FT15" t="s">
        <v>167</v>
      </c>
      <c r="FU15" t="s">
        <v>167</v>
      </c>
      <c r="FV15" t="s">
        <v>167</v>
      </c>
      <c r="FW15" t="s">
        <v>167</v>
      </c>
      <c r="FX15" t="s">
        <v>167</v>
      </c>
      <c r="FY15" t="s">
        <v>167</v>
      </c>
      <c r="FZ15" t="s">
        <v>167</v>
      </c>
      <c r="GA15" t="s">
        <v>167</v>
      </c>
      <c r="GB15" t="s">
        <v>167</v>
      </c>
      <c r="GC15" t="s">
        <v>167</v>
      </c>
    </row>
    <row r="16" spans="1:185" ht="16" x14ac:dyDescent="0.2">
      <c r="A16" t="s">
        <v>206</v>
      </c>
      <c r="B16" s="142" t="s">
        <v>207</v>
      </c>
      <c r="C16" s="138" t="s">
        <v>168</v>
      </c>
      <c r="D16" t="s">
        <v>205</v>
      </c>
      <c r="E16" s="146">
        <v>2000</v>
      </c>
      <c r="F16" t="str">
        <f t="shared" si="3"/>
        <v>10.1038/35021000</v>
      </c>
      <c r="G16" s="143">
        <f t="shared" si="4"/>
        <v>13060</v>
      </c>
      <c r="H16">
        <f t="shared" si="5"/>
        <v>40</v>
      </c>
      <c r="I16">
        <f t="shared" si="6"/>
        <v>460</v>
      </c>
      <c r="J16" s="145">
        <f t="shared" si="7"/>
        <v>222</v>
      </c>
      <c r="K16" s="145">
        <f t="shared" si="8"/>
        <v>46</v>
      </c>
      <c r="L16" s="145">
        <f t="shared" si="9"/>
        <v>39</v>
      </c>
      <c r="M16" t="b">
        <v>1</v>
      </c>
      <c r="N16">
        <v>3</v>
      </c>
      <c r="O16" t="s">
        <v>209</v>
      </c>
      <c r="P16" s="154" t="s">
        <v>167</v>
      </c>
      <c r="Q16" t="b">
        <v>0</v>
      </c>
      <c r="R16" t="s">
        <v>167</v>
      </c>
      <c r="S16" t="b">
        <v>1</v>
      </c>
      <c r="T16" t="b">
        <v>0</v>
      </c>
      <c r="U16" t="s">
        <v>167</v>
      </c>
      <c r="V16" t="s">
        <v>167</v>
      </c>
      <c r="W16" t="b">
        <v>0</v>
      </c>
      <c r="X16" t="s">
        <v>167</v>
      </c>
      <c r="Y16" s="139" t="s">
        <v>169</v>
      </c>
      <c r="Z16" s="147" t="s">
        <v>170</v>
      </c>
      <c r="AA16">
        <v>871</v>
      </c>
      <c r="AB16" t="s">
        <v>171</v>
      </c>
      <c r="AC16">
        <v>6</v>
      </c>
      <c r="AD16">
        <v>6</v>
      </c>
      <c r="AE16">
        <v>60</v>
      </c>
      <c r="AF16">
        <v>62</v>
      </c>
      <c r="AG16" t="s">
        <v>167</v>
      </c>
      <c r="AH16" t="s">
        <v>167</v>
      </c>
      <c r="AI16" t="s">
        <v>167</v>
      </c>
      <c r="AJ16" t="s">
        <v>172</v>
      </c>
      <c r="AK16">
        <v>5.6716666699999996</v>
      </c>
      <c r="AL16">
        <v>172.51611111</v>
      </c>
      <c r="AM16">
        <v>5</v>
      </c>
      <c r="AN16" t="s">
        <v>167</v>
      </c>
      <c r="AO16">
        <v>-1254</v>
      </c>
      <c r="AP16" t="s">
        <v>167</v>
      </c>
      <c r="AQ16" s="148" t="s">
        <v>173</v>
      </c>
      <c r="AR16" t="s">
        <v>167</v>
      </c>
      <c r="AS16">
        <v>13060</v>
      </c>
      <c r="AT16" t="s">
        <v>174</v>
      </c>
      <c r="AU16">
        <v>40</v>
      </c>
      <c r="AV16">
        <v>460</v>
      </c>
      <c r="AW16" s="149" t="s">
        <v>175</v>
      </c>
      <c r="AX16" t="s">
        <v>176</v>
      </c>
      <c r="AY16" t="s">
        <v>177</v>
      </c>
      <c r="AZ16" t="s">
        <v>167</v>
      </c>
      <c r="BA16" t="s">
        <v>167</v>
      </c>
      <c r="BB16" t="s">
        <v>167</v>
      </c>
      <c r="BC16" t="s">
        <v>167</v>
      </c>
      <c r="BD16" t="s">
        <v>167</v>
      </c>
      <c r="BE16" t="s">
        <v>167</v>
      </c>
      <c r="BF16" t="s">
        <v>167</v>
      </c>
      <c r="BG16" t="s">
        <v>195</v>
      </c>
      <c r="BH16" t="s">
        <v>198</v>
      </c>
      <c r="BI16" t="s">
        <v>179</v>
      </c>
      <c r="BJ16" t="s">
        <v>167</v>
      </c>
      <c r="BK16" t="s">
        <v>180</v>
      </c>
      <c r="BL16" t="s">
        <v>181</v>
      </c>
      <c r="BM16" t="s">
        <v>182</v>
      </c>
      <c r="BN16" t="s">
        <v>167</v>
      </c>
      <c r="BO16" t="s">
        <v>167</v>
      </c>
      <c r="BP16" t="s">
        <v>167</v>
      </c>
      <c r="BQ16">
        <v>24.4</v>
      </c>
      <c r="BR16" s="150" t="s">
        <v>183</v>
      </c>
      <c r="BS16">
        <v>0.4</v>
      </c>
      <c r="BT16" t="s">
        <v>184</v>
      </c>
      <c r="BU16" t="s">
        <v>185</v>
      </c>
      <c r="BV16" t="s">
        <v>185</v>
      </c>
      <c r="BW16" t="s">
        <v>167</v>
      </c>
      <c r="BX16" t="s">
        <v>167</v>
      </c>
      <c r="BY16" t="s">
        <v>167</v>
      </c>
      <c r="BZ16" t="s">
        <v>167</v>
      </c>
      <c r="CA16" t="s">
        <v>167</v>
      </c>
      <c r="CB16" s="144">
        <v>24.4</v>
      </c>
      <c r="CC16" s="150" t="s">
        <v>183</v>
      </c>
      <c r="CD16">
        <v>0.4</v>
      </c>
      <c r="CE16" t="s">
        <v>186</v>
      </c>
      <c r="CF16" t="s">
        <v>187</v>
      </c>
      <c r="CG16" t="s">
        <v>167</v>
      </c>
      <c r="CH16" t="s">
        <v>167</v>
      </c>
      <c r="CI16" t="s">
        <v>167</v>
      </c>
      <c r="CJ16">
        <v>27</v>
      </c>
      <c r="CK16" t="s">
        <v>167</v>
      </c>
      <c r="CL16" t="s">
        <v>167</v>
      </c>
      <c r="CM16" t="s">
        <v>167</v>
      </c>
      <c r="CN16" t="s">
        <v>167</v>
      </c>
      <c r="CO16" t="s">
        <v>167</v>
      </c>
      <c r="CP16" t="s">
        <v>167</v>
      </c>
      <c r="CQ16" t="s">
        <v>167</v>
      </c>
      <c r="CR16" t="s">
        <v>167</v>
      </c>
      <c r="CS16" t="s">
        <v>167</v>
      </c>
      <c r="CT16" t="s">
        <v>167</v>
      </c>
      <c r="CU16" t="s">
        <v>167</v>
      </c>
      <c r="CV16" t="s">
        <v>167</v>
      </c>
      <c r="CW16" t="s">
        <v>167</v>
      </c>
      <c r="CX16" t="s">
        <v>167</v>
      </c>
      <c r="CY16" t="s">
        <v>167</v>
      </c>
      <c r="CZ16" t="s">
        <v>167</v>
      </c>
      <c r="DA16" t="s">
        <v>167</v>
      </c>
      <c r="DB16" t="s">
        <v>167</v>
      </c>
      <c r="DC16" t="s">
        <v>167</v>
      </c>
      <c r="DD16" t="s">
        <v>167</v>
      </c>
      <c r="DE16" t="s">
        <v>167</v>
      </c>
      <c r="DF16" t="s">
        <v>167</v>
      </c>
      <c r="DG16" t="s">
        <v>167</v>
      </c>
      <c r="DH16" t="s">
        <v>167</v>
      </c>
      <c r="DI16" t="s">
        <v>167</v>
      </c>
      <c r="DJ16" t="s">
        <v>167</v>
      </c>
      <c r="DK16" t="s">
        <v>167</v>
      </c>
      <c r="DL16" t="s">
        <v>167</v>
      </c>
      <c r="DM16" t="s">
        <v>167</v>
      </c>
      <c r="DN16" t="s">
        <v>167</v>
      </c>
      <c r="DO16" t="s">
        <v>167</v>
      </c>
      <c r="DP16" t="s">
        <v>167</v>
      </c>
      <c r="DQ16" t="s">
        <v>167</v>
      </c>
      <c r="DR16" t="s">
        <v>167</v>
      </c>
      <c r="DS16" t="s">
        <v>167</v>
      </c>
      <c r="DT16" t="s">
        <v>167</v>
      </c>
      <c r="DU16" t="s">
        <v>167</v>
      </c>
      <c r="DV16" t="s">
        <v>167</v>
      </c>
      <c r="DW16" t="s">
        <v>167</v>
      </c>
      <c r="DX16" t="s">
        <v>167</v>
      </c>
      <c r="DY16" t="s">
        <v>167</v>
      </c>
      <c r="DZ16" t="s">
        <v>167</v>
      </c>
      <c r="EA16">
        <v>37.700000000000003</v>
      </c>
      <c r="EB16" t="s">
        <v>167</v>
      </c>
      <c r="EC16" t="s">
        <v>167</v>
      </c>
      <c r="ED16" t="s">
        <v>188</v>
      </c>
      <c r="EE16" t="s">
        <v>167</v>
      </c>
      <c r="EF16" t="s">
        <v>167</v>
      </c>
      <c r="EG16">
        <v>1.0194000000000001</v>
      </c>
      <c r="EH16" t="s">
        <v>167</v>
      </c>
      <c r="EI16" t="s">
        <v>167</v>
      </c>
      <c r="EJ16" t="s">
        <v>189</v>
      </c>
      <c r="EK16" t="s">
        <v>190</v>
      </c>
      <c r="EL16" t="s">
        <v>190</v>
      </c>
      <c r="EM16" t="s">
        <v>191</v>
      </c>
      <c r="EN16" t="s">
        <v>167</v>
      </c>
      <c r="EO16" t="s">
        <v>167</v>
      </c>
      <c r="EP16" t="s">
        <v>167</v>
      </c>
      <c r="EQ16" t="s">
        <v>167</v>
      </c>
      <c r="ER16" t="s">
        <v>167</v>
      </c>
      <c r="ES16" t="s">
        <v>167</v>
      </c>
      <c r="ET16" t="s">
        <v>192</v>
      </c>
      <c r="EU16" t="s">
        <v>193</v>
      </c>
      <c r="EV16" t="s">
        <v>167</v>
      </c>
      <c r="EW16">
        <v>2075</v>
      </c>
      <c r="EX16" t="s">
        <v>167</v>
      </c>
      <c r="EY16" s="152">
        <v>60</v>
      </c>
      <c r="EZ16" s="152">
        <v>45</v>
      </c>
      <c r="FA16" t="s">
        <v>167</v>
      </c>
      <c r="FB16" t="s">
        <v>167</v>
      </c>
      <c r="FC16" t="s">
        <v>167</v>
      </c>
      <c r="FD16" t="s">
        <v>167</v>
      </c>
      <c r="FE16">
        <v>8.1999999999999993</v>
      </c>
      <c r="FF16" t="s">
        <v>167</v>
      </c>
      <c r="FG16">
        <v>4.1999999999999815E-2</v>
      </c>
      <c r="FH16">
        <v>4.4000000000000483E-2</v>
      </c>
      <c r="FI16">
        <v>222</v>
      </c>
      <c r="FJ16" t="s">
        <v>167</v>
      </c>
      <c r="FK16" t="s">
        <v>190</v>
      </c>
      <c r="FL16">
        <v>222</v>
      </c>
      <c r="FM16">
        <v>46</v>
      </c>
      <c r="FN16">
        <v>39</v>
      </c>
      <c r="FO16" t="s">
        <v>167</v>
      </c>
      <c r="FP16" t="s">
        <v>194</v>
      </c>
      <c r="FQ16" t="s">
        <v>167</v>
      </c>
      <c r="FR16" t="s">
        <v>167</v>
      </c>
      <c r="FS16" t="s">
        <v>167</v>
      </c>
      <c r="FT16" t="s">
        <v>167</v>
      </c>
      <c r="FU16" t="s">
        <v>167</v>
      </c>
      <c r="FV16" t="s">
        <v>167</v>
      </c>
      <c r="FW16" t="s">
        <v>167</v>
      </c>
      <c r="FX16" t="s">
        <v>167</v>
      </c>
      <c r="FY16" t="s">
        <v>167</v>
      </c>
      <c r="FZ16" t="s">
        <v>167</v>
      </c>
      <c r="GA16" t="s">
        <v>167</v>
      </c>
      <c r="GB16" t="s">
        <v>167</v>
      </c>
      <c r="GC16" t="s">
        <v>167</v>
      </c>
    </row>
    <row r="17" spans="1:185" ht="16" x14ac:dyDescent="0.2">
      <c r="A17" t="s">
        <v>206</v>
      </c>
      <c r="B17" s="142" t="s">
        <v>207</v>
      </c>
      <c r="C17" s="138" t="s">
        <v>168</v>
      </c>
      <c r="D17" t="s">
        <v>205</v>
      </c>
      <c r="E17" s="146">
        <v>2000</v>
      </c>
      <c r="F17" t="str">
        <f t="shared" si="3"/>
        <v>10.1038/35021000</v>
      </c>
      <c r="G17" s="143">
        <f t="shared" si="4"/>
        <v>14730</v>
      </c>
      <c r="H17">
        <f t="shared" si="5"/>
        <v>170</v>
      </c>
      <c r="I17">
        <f t="shared" si="6"/>
        <v>130</v>
      </c>
      <c r="J17" s="145">
        <f t="shared" si="7"/>
        <v>137</v>
      </c>
      <c r="K17" s="145">
        <f t="shared" si="8"/>
        <v>33</v>
      </c>
      <c r="L17" s="145">
        <f t="shared" si="9"/>
        <v>25</v>
      </c>
      <c r="M17" t="b">
        <v>1</v>
      </c>
      <c r="N17">
        <v>3</v>
      </c>
      <c r="O17" t="s">
        <v>209</v>
      </c>
      <c r="P17" s="154" t="s">
        <v>167</v>
      </c>
      <c r="Q17" t="b">
        <v>0</v>
      </c>
      <c r="R17" t="s">
        <v>167</v>
      </c>
      <c r="S17" t="b">
        <v>1</v>
      </c>
      <c r="T17" t="b">
        <v>0</v>
      </c>
      <c r="U17" t="s">
        <v>167</v>
      </c>
      <c r="V17" t="s">
        <v>167</v>
      </c>
      <c r="W17" t="b">
        <v>0</v>
      </c>
      <c r="X17" t="s">
        <v>167</v>
      </c>
      <c r="Y17" s="139" t="s">
        <v>169</v>
      </c>
      <c r="Z17" s="147" t="s">
        <v>170</v>
      </c>
      <c r="AA17">
        <v>871</v>
      </c>
      <c r="AB17" t="s">
        <v>171</v>
      </c>
      <c r="AC17">
        <v>7</v>
      </c>
      <c r="AD17">
        <v>2</v>
      </c>
      <c r="AE17">
        <v>124</v>
      </c>
      <c r="AF17">
        <v>126</v>
      </c>
      <c r="AG17" t="s">
        <v>167</v>
      </c>
      <c r="AH17" t="s">
        <v>167</v>
      </c>
      <c r="AI17" t="s">
        <v>167</v>
      </c>
      <c r="AJ17" t="s">
        <v>172</v>
      </c>
      <c r="AK17">
        <v>5.6716666699999996</v>
      </c>
      <c r="AL17">
        <v>172.51611111</v>
      </c>
      <c r="AM17">
        <v>5</v>
      </c>
      <c r="AN17" t="s">
        <v>167</v>
      </c>
      <c r="AO17">
        <v>-1254</v>
      </c>
      <c r="AP17" t="s">
        <v>167</v>
      </c>
      <c r="AQ17" s="148" t="s">
        <v>173</v>
      </c>
      <c r="AR17" t="s">
        <v>167</v>
      </c>
      <c r="AS17">
        <v>14730</v>
      </c>
      <c r="AT17" t="s">
        <v>174</v>
      </c>
      <c r="AU17">
        <v>170</v>
      </c>
      <c r="AV17">
        <v>130</v>
      </c>
      <c r="AW17" s="149" t="s">
        <v>175</v>
      </c>
      <c r="AX17" t="s">
        <v>176</v>
      </c>
      <c r="AY17" t="s">
        <v>177</v>
      </c>
      <c r="AZ17" t="s">
        <v>167</v>
      </c>
      <c r="BA17" t="s">
        <v>167</v>
      </c>
      <c r="BB17" t="s">
        <v>167</v>
      </c>
      <c r="BC17" t="s">
        <v>167</v>
      </c>
      <c r="BD17" t="s">
        <v>167</v>
      </c>
      <c r="BE17" t="s">
        <v>167</v>
      </c>
      <c r="BF17" t="s">
        <v>167</v>
      </c>
      <c r="BG17" t="s">
        <v>195</v>
      </c>
      <c r="BH17" t="s">
        <v>198</v>
      </c>
      <c r="BI17" t="s">
        <v>179</v>
      </c>
      <c r="BJ17" t="s">
        <v>167</v>
      </c>
      <c r="BK17" t="s">
        <v>180</v>
      </c>
      <c r="BL17" t="s">
        <v>181</v>
      </c>
      <c r="BM17" t="s">
        <v>182</v>
      </c>
      <c r="BN17" t="s">
        <v>167</v>
      </c>
      <c r="BO17" t="s">
        <v>167</v>
      </c>
      <c r="BP17" t="s">
        <v>167</v>
      </c>
      <c r="BQ17">
        <v>25.5</v>
      </c>
      <c r="BR17" s="150" t="s">
        <v>183</v>
      </c>
      <c r="BS17">
        <v>0.4</v>
      </c>
      <c r="BT17" t="s">
        <v>184</v>
      </c>
      <c r="BU17" t="s">
        <v>185</v>
      </c>
      <c r="BV17" t="s">
        <v>185</v>
      </c>
      <c r="BW17" t="s">
        <v>167</v>
      </c>
      <c r="BX17" t="s">
        <v>167</v>
      </c>
      <c r="BY17" t="s">
        <v>167</v>
      </c>
      <c r="BZ17" t="s">
        <v>167</v>
      </c>
      <c r="CA17" t="s">
        <v>167</v>
      </c>
      <c r="CB17" s="144">
        <v>25.5</v>
      </c>
      <c r="CC17" s="150" t="s">
        <v>183</v>
      </c>
      <c r="CD17">
        <v>0.4</v>
      </c>
      <c r="CE17" t="s">
        <v>186</v>
      </c>
      <c r="CF17" t="s">
        <v>187</v>
      </c>
      <c r="CG17" t="s">
        <v>167</v>
      </c>
      <c r="CH17" t="s">
        <v>167</v>
      </c>
      <c r="CI17" t="s">
        <v>167</v>
      </c>
      <c r="CJ17">
        <v>27</v>
      </c>
      <c r="CK17" t="s">
        <v>167</v>
      </c>
      <c r="CL17" t="s">
        <v>167</v>
      </c>
      <c r="CM17" t="s">
        <v>167</v>
      </c>
      <c r="CN17" t="s">
        <v>167</v>
      </c>
      <c r="CO17" t="s">
        <v>167</v>
      </c>
      <c r="CP17" t="s">
        <v>167</v>
      </c>
      <c r="CQ17" t="s">
        <v>167</v>
      </c>
      <c r="CR17" t="s">
        <v>167</v>
      </c>
      <c r="CS17" t="s">
        <v>167</v>
      </c>
      <c r="CT17" t="s">
        <v>167</v>
      </c>
      <c r="CU17" t="s">
        <v>167</v>
      </c>
      <c r="CV17" t="s">
        <v>167</v>
      </c>
      <c r="CW17" t="s">
        <v>167</v>
      </c>
      <c r="CX17" t="s">
        <v>167</v>
      </c>
      <c r="CY17" t="s">
        <v>167</v>
      </c>
      <c r="CZ17" t="s">
        <v>167</v>
      </c>
      <c r="DA17" t="s">
        <v>167</v>
      </c>
      <c r="DB17" t="s">
        <v>167</v>
      </c>
      <c r="DC17" t="s">
        <v>167</v>
      </c>
      <c r="DD17" t="s">
        <v>167</v>
      </c>
      <c r="DE17" t="s">
        <v>167</v>
      </c>
      <c r="DF17" t="s">
        <v>167</v>
      </c>
      <c r="DG17" t="s">
        <v>167</v>
      </c>
      <c r="DH17" t="s">
        <v>167</v>
      </c>
      <c r="DI17" t="s">
        <v>167</v>
      </c>
      <c r="DJ17" t="s">
        <v>167</v>
      </c>
      <c r="DK17" t="s">
        <v>167</v>
      </c>
      <c r="DL17" t="s">
        <v>167</v>
      </c>
      <c r="DM17" t="s">
        <v>167</v>
      </c>
      <c r="DN17" t="s">
        <v>167</v>
      </c>
      <c r="DO17" t="s">
        <v>167</v>
      </c>
      <c r="DP17" t="s">
        <v>167</v>
      </c>
      <c r="DQ17" t="s">
        <v>167</v>
      </c>
      <c r="DR17" t="s">
        <v>167</v>
      </c>
      <c r="DS17" t="s">
        <v>167</v>
      </c>
      <c r="DT17" t="s">
        <v>167</v>
      </c>
      <c r="DU17" t="s">
        <v>167</v>
      </c>
      <c r="DV17" t="s">
        <v>167</v>
      </c>
      <c r="DW17" t="s">
        <v>167</v>
      </c>
      <c r="DX17" t="s">
        <v>167</v>
      </c>
      <c r="DY17" t="s">
        <v>167</v>
      </c>
      <c r="DZ17" t="s">
        <v>167</v>
      </c>
      <c r="EA17">
        <v>37.700000000000003</v>
      </c>
      <c r="EB17" t="s">
        <v>167</v>
      </c>
      <c r="EC17" t="s">
        <v>167</v>
      </c>
      <c r="ED17" t="s">
        <v>188</v>
      </c>
      <c r="EE17" t="s">
        <v>167</v>
      </c>
      <c r="EF17" t="s">
        <v>167</v>
      </c>
      <c r="EG17">
        <v>1.0194000000000001</v>
      </c>
      <c r="EH17" t="s">
        <v>167</v>
      </c>
      <c r="EI17" t="s">
        <v>167</v>
      </c>
      <c r="EJ17" t="s">
        <v>189</v>
      </c>
      <c r="EK17" t="s">
        <v>190</v>
      </c>
      <c r="EL17" t="s">
        <v>190</v>
      </c>
      <c r="EM17" t="s">
        <v>191</v>
      </c>
      <c r="EN17" t="s">
        <v>167</v>
      </c>
      <c r="EO17" t="s">
        <v>167</v>
      </c>
      <c r="EP17" t="s">
        <v>167</v>
      </c>
      <c r="EQ17" t="s">
        <v>167</v>
      </c>
      <c r="ER17" t="s">
        <v>167</v>
      </c>
      <c r="ES17" t="s">
        <v>167</v>
      </c>
      <c r="ET17" t="s">
        <v>192</v>
      </c>
      <c r="EU17" t="s">
        <v>193</v>
      </c>
      <c r="EV17" t="s">
        <v>167</v>
      </c>
      <c r="EW17">
        <v>1830</v>
      </c>
      <c r="EX17" t="s">
        <v>167</v>
      </c>
      <c r="EY17" s="152">
        <v>80</v>
      </c>
      <c r="EZ17" s="152">
        <v>70</v>
      </c>
      <c r="FA17" t="s">
        <v>167</v>
      </c>
      <c r="FB17" t="s">
        <v>167</v>
      </c>
      <c r="FC17" t="s">
        <v>167</v>
      </c>
      <c r="FD17" t="s">
        <v>167</v>
      </c>
      <c r="FE17">
        <v>8.31</v>
      </c>
      <c r="FF17" t="s">
        <v>167</v>
      </c>
      <c r="FG17">
        <v>3.8999999999999702E-2</v>
      </c>
      <c r="FH17">
        <v>3.9999999999999147E-2</v>
      </c>
      <c r="FI17">
        <v>137</v>
      </c>
      <c r="FJ17" t="s">
        <v>167</v>
      </c>
      <c r="FK17" t="s">
        <v>190</v>
      </c>
      <c r="FL17">
        <v>137</v>
      </c>
      <c r="FM17">
        <v>33</v>
      </c>
      <c r="FN17">
        <v>25</v>
      </c>
      <c r="FO17" t="s">
        <v>167</v>
      </c>
      <c r="FP17" t="s">
        <v>194</v>
      </c>
      <c r="FQ17" t="s">
        <v>167</v>
      </c>
      <c r="FR17" t="s">
        <v>167</v>
      </c>
      <c r="FS17" t="s">
        <v>167</v>
      </c>
      <c r="FT17" t="s">
        <v>167</v>
      </c>
      <c r="FU17" t="s">
        <v>167</v>
      </c>
      <c r="FV17" t="s">
        <v>167</v>
      </c>
      <c r="FW17" t="s">
        <v>167</v>
      </c>
      <c r="FX17" t="s">
        <v>167</v>
      </c>
      <c r="FY17" t="s">
        <v>167</v>
      </c>
      <c r="FZ17" t="s">
        <v>167</v>
      </c>
      <c r="GA17" t="s">
        <v>167</v>
      </c>
      <c r="GB17" t="s">
        <v>167</v>
      </c>
      <c r="GC17" t="s">
        <v>167</v>
      </c>
    </row>
    <row r="18" spans="1:185" ht="16" x14ac:dyDescent="0.2">
      <c r="A18" t="s">
        <v>206</v>
      </c>
      <c r="B18" s="142" t="s">
        <v>207</v>
      </c>
      <c r="C18" s="138" t="s">
        <v>168</v>
      </c>
      <c r="D18" t="s">
        <v>205</v>
      </c>
      <c r="E18" s="146">
        <v>2000</v>
      </c>
      <c r="F18" t="str">
        <f t="shared" si="3"/>
        <v>10.1038/35021000</v>
      </c>
      <c r="G18" s="143">
        <f t="shared" si="4"/>
        <v>14960</v>
      </c>
      <c r="H18">
        <f t="shared" si="5"/>
        <v>240</v>
      </c>
      <c r="I18">
        <f t="shared" si="6"/>
        <v>60</v>
      </c>
      <c r="J18" s="145">
        <f t="shared" si="7"/>
        <v>170</v>
      </c>
      <c r="K18" s="145">
        <f t="shared" si="8"/>
        <v>12</v>
      </c>
      <c r="L18" s="145">
        <f t="shared" si="9"/>
        <v>11</v>
      </c>
      <c r="M18" t="b">
        <v>1</v>
      </c>
      <c r="N18">
        <v>3</v>
      </c>
      <c r="O18" t="s">
        <v>209</v>
      </c>
      <c r="P18" s="154" t="s">
        <v>167</v>
      </c>
      <c r="Q18" t="b">
        <v>0</v>
      </c>
      <c r="R18" t="s">
        <v>167</v>
      </c>
      <c r="S18" t="b">
        <v>1</v>
      </c>
      <c r="T18" t="b">
        <v>0</v>
      </c>
      <c r="U18" t="s">
        <v>167</v>
      </c>
      <c r="V18" t="s">
        <v>167</v>
      </c>
      <c r="W18" t="b">
        <v>0</v>
      </c>
      <c r="X18" t="s">
        <v>167</v>
      </c>
      <c r="Y18" s="139" t="s">
        <v>169</v>
      </c>
      <c r="Z18" s="147" t="s">
        <v>170</v>
      </c>
      <c r="AA18">
        <v>871</v>
      </c>
      <c r="AB18" t="s">
        <v>171</v>
      </c>
      <c r="AC18">
        <v>7</v>
      </c>
      <c r="AD18">
        <v>5</v>
      </c>
      <c r="AE18">
        <v>59</v>
      </c>
      <c r="AF18">
        <v>61</v>
      </c>
      <c r="AG18" t="s">
        <v>167</v>
      </c>
      <c r="AH18" t="s">
        <v>167</v>
      </c>
      <c r="AI18" t="s">
        <v>167</v>
      </c>
      <c r="AJ18" t="s">
        <v>172</v>
      </c>
      <c r="AK18">
        <v>5.6716666699999996</v>
      </c>
      <c r="AL18">
        <v>172.51611111</v>
      </c>
      <c r="AM18">
        <v>5</v>
      </c>
      <c r="AN18" t="s">
        <v>167</v>
      </c>
      <c r="AO18">
        <v>-1254</v>
      </c>
      <c r="AP18" t="s">
        <v>167</v>
      </c>
      <c r="AQ18" s="148" t="s">
        <v>173</v>
      </c>
      <c r="AR18" t="s">
        <v>167</v>
      </c>
      <c r="AS18">
        <v>14960</v>
      </c>
      <c r="AT18" t="s">
        <v>174</v>
      </c>
      <c r="AU18">
        <v>240</v>
      </c>
      <c r="AV18">
        <v>60</v>
      </c>
      <c r="AW18" s="149" t="s">
        <v>175</v>
      </c>
      <c r="AX18" t="s">
        <v>176</v>
      </c>
      <c r="AY18" t="s">
        <v>177</v>
      </c>
      <c r="AZ18" t="s">
        <v>167</v>
      </c>
      <c r="BA18" t="s">
        <v>167</v>
      </c>
      <c r="BB18" t="s">
        <v>167</v>
      </c>
      <c r="BC18" t="s">
        <v>167</v>
      </c>
      <c r="BD18" t="s">
        <v>167</v>
      </c>
      <c r="BE18" t="s">
        <v>167</v>
      </c>
      <c r="BF18" t="s">
        <v>167</v>
      </c>
      <c r="BG18" t="s">
        <v>195</v>
      </c>
      <c r="BH18" t="s">
        <v>198</v>
      </c>
      <c r="BI18" t="s">
        <v>179</v>
      </c>
      <c r="BJ18" t="s">
        <v>167</v>
      </c>
      <c r="BK18" t="s">
        <v>180</v>
      </c>
      <c r="BL18" t="s">
        <v>181</v>
      </c>
      <c r="BM18" t="s">
        <v>182</v>
      </c>
      <c r="BN18" t="s">
        <v>167</v>
      </c>
      <c r="BO18" t="s">
        <v>167</v>
      </c>
      <c r="BP18" t="s">
        <v>167</v>
      </c>
      <c r="BQ18">
        <v>25</v>
      </c>
      <c r="BR18" s="150" t="s">
        <v>183</v>
      </c>
      <c r="BS18">
        <v>0.2</v>
      </c>
      <c r="BT18" t="s">
        <v>184</v>
      </c>
      <c r="BU18" t="s">
        <v>185</v>
      </c>
      <c r="BV18" t="s">
        <v>185</v>
      </c>
      <c r="BW18" t="s">
        <v>167</v>
      </c>
      <c r="BX18" t="s">
        <v>167</v>
      </c>
      <c r="BY18" t="s">
        <v>167</v>
      </c>
      <c r="BZ18" t="s">
        <v>167</v>
      </c>
      <c r="CA18" t="s">
        <v>167</v>
      </c>
      <c r="CB18" s="144">
        <v>25</v>
      </c>
      <c r="CC18" s="150" t="s">
        <v>183</v>
      </c>
      <c r="CD18">
        <v>0.2</v>
      </c>
      <c r="CE18" t="s">
        <v>186</v>
      </c>
      <c r="CF18" t="s">
        <v>187</v>
      </c>
      <c r="CG18" t="s">
        <v>167</v>
      </c>
      <c r="CH18" t="s">
        <v>167</v>
      </c>
      <c r="CI18" t="s">
        <v>167</v>
      </c>
      <c r="CJ18">
        <v>27</v>
      </c>
      <c r="CK18" t="s">
        <v>167</v>
      </c>
      <c r="CL18" t="s">
        <v>167</v>
      </c>
      <c r="CM18" t="s">
        <v>167</v>
      </c>
      <c r="CN18" t="s">
        <v>167</v>
      </c>
      <c r="CO18" t="s">
        <v>167</v>
      </c>
      <c r="CP18" t="s">
        <v>167</v>
      </c>
      <c r="CQ18" t="s">
        <v>167</v>
      </c>
      <c r="CR18" t="s">
        <v>167</v>
      </c>
      <c r="CS18" t="s">
        <v>167</v>
      </c>
      <c r="CT18" t="s">
        <v>167</v>
      </c>
      <c r="CU18" t="s">
        <v>167</v>
      </c>
      <c r="CV18" t="s">
        <v>167</v>
      </c>
      <c r="CW18" t="s">
        <v>167</v>
      </c>
      <c r="CX18" t="s">
        <v>167</v>
      </c>
      <c r="CY18" t="s">
        <v>167</v>
      </c>
      <c r="CZ18" t="s">
        <v>167</v>
      </c>
      <c r="DA18" t="s">
        <v>167</v>
      </c>
      <c r="DB18" t="s">
        <v>167</v>
      </c>
      <c r="DC18" t="s">
        <v>167</v>
      </c>
      <c r="DD18" t="s">
        <v>167</v>
      </c>
      <c r="DE18" t="s">
        <v>167</v>
      </c>
      <c r="DF18" t="s">
        <v>167</v>
      </c>
      <c r="DG18" t="s">
        <v>167</v>
      </c>
      <c r="DH18" t="s">
        <v>167</v>
      </c>
      <c r="DI18" t="s">
        <v>167</v>
      </c>
      <c r="DJ18" t="s">
        <v>167</v>
      </c>
      <c r="DK18" t="s">
        <v>167</v>
      </c>
      <c r="DL18" t="s">
        <v>167</v>
      </c>
      <c r="DM18" t="s">
        <v>167</v>
      </c>
      <c r="DN18" t="s">
        <v>167</v>
      </c>
      <c r="DO18" t="s">
        <v>167</v>
      </c>
      <c r="DP18" t="s">
        <v>167</v>
      </c>
      <c r="DQ18" t="s">
        <v>167</v>
      </c>
      <c r="DR18" t="s">
        <v>167</v>
      </c>
      <c r="DS18" t="s">
        <v>167</v>
      </c>
      <c r="DT18" t="s">
        <v>167</v>
      </c>
      <c r="DU18" t="s">
        <v>167</v>
      </c>
      <c r="DV18" t="s">
        <v>167</v>
      </c>
      <c r="DW18" t="s">
        <v>167</v>
      </c>
      <c r="DX18" t="s">
        <v>167</v>
      </c>
      <c r="DY18" t="s">
        <v>167</v>
      </c>
      <c r="DZ18" t="s">
        <v>167</v>
      </c>
      <c r="EA18">
        <v>37.700000000000003</v>
      </c>
      <c r="EB18" t="s">
        <v>167</v>
      </c>
      <c r="EC18" t="s">
        <v>167</v>
      </c>
      <c r="ED18" t="s">
        <v>188</v>
      </c>
      <c r="EE18" t="s">
        <v>167</v>
      </c>
      <c r="EF18" t="s">
        <v>167</v>
      </c>
      <c r="EG18">
        <v>1.0194000000000001</v>
      </c>
      <c r="EH18" t="s">
        <v>167</v>
      </c>
      <c r="EI18" t="s">
        <v>167</v>
      </c>
      <c r="EJ18" t="s">
        <v>189</v>
      </c>
      <c r="EK18" t="s">
        <v>190</v>
      </c>
      <c r="EL18" t="s">
        <v>190</v>
      </c>
      <c r="EM18" t="s">
        <v>191</v>
      </c>
      <c r="EN18" t="s">
        <v>167</v>
      </c>
      <c r="EO18" t="s">
        <v>167</v>
      </c>
      <c r="EP18" t="s">
        <v>167</v>
      </c>
      <c r="EQ18" t="s">
        <v>167</v>
      </c>
      <c r="ER18" t="s">
        <v>167</v>
      </c>
      <c r="ES18" t="s">
        <v>167</v>
      </c>
      <c r="ET18" t="s">
        <v>192</v>
      </c>
      <c r="EU18" t="s">
        <v>193</v>
      </c>
      <c r="EV18" t="s">
        <v>167</v>
      </c>
      <c r="EW18">
        <v>1940</v>
      </c>
      <c r="EX18" t="s">
        <v>167</v>
      </c>
      <c r="EY18" s="152">
        <v>10</v>
      </c>
      <c r="EZ18" s="152">
        <v>10</v>
      </c>
      <c r="FA18" t="s">
        <v>167</v>
      </c>
      <c r="FB18" t="s">
        <v>167</v>
      </c>
      <c r="FC18" t="s">
        <v>167</v>
      </c>
      <c r="FD18" t="s">
        <v>167</v>
      </c>
      <c r="FE18">
        <v>8.26</v>
      </c>
      <c r="FF18" t="s">
        <v>167</v>
      </c>
      <c r="FG18">
        <v>2.000000000000135E-2</v>
      </c>
      <c r="FH18">
        <v>2.0999999999999019E-2</v>
      </c>
      <c r="FI18">
        <v>170</v>
      </c>
      <c r="FJ18" t="s">
        <v>167</v>
      </c>
      <c r="FK18" t="s">
        <v>190</v>
      </c>
      <c r="FL18">
        <v>170</v>
      </c>
      <c r="FM18">
        <v>12</v>
      </c>
      <c r="FN18">
        <v>11</v>
      </c>
      <c r="FO18" t="s">
        <v>167</v>
      </c>
      <c r="FP18" t="s">
        <v>194</v>
      </c>
      <c r="FQ18" t="s">
        <v>167</v>
      </c>
      <c r="FR18" t="s">
        <v>167</v>
      </c>
      <c r="FS18" t="s">
        <v>167</v>
      </c>
      <c r="FT18" t="s">
        <v>167</v>
      </c>
      <c r="FU18" t="s">
        <v>167</v>
      </c>
      <c r="FV18" t="s">
        <v>167</v>
      </c>
      <c r="FW18" t="s">
        <v>167</v>
      </c>
      <c r="FX18" t="s">
        <v>167</v>
      </c>
      <c r="FY18" t="s">
        <v>167</v>
      </c>
      <c r="FZ18" t="s">
        <v>167</v>
      </c>
      <c r="GA18" t="s">
        <v>167</v>
      </c>
      <c r="GB18" t="s">
        <v>167</v>
      </c>
      <c r="GC18" t="s">
        <v>167</v>
      </c>
    </row>
    <row r="19" spans="1:185" ht="16" x14ac:dyDescent="0.2">
      <c r="A19" t="s">
        <v>206</v>
      </c>
      <c r="B19" s="142" t="s">
        <v>207</v>
      </c>
      <c r="C19" s="138" t="s">
        <v>168</v>
      </c>
      <c r="D19" t="s">
        <v>205</v>
      </c>
      <c r="E19" s="146">
        <v>2000</v>
      </c>
      <c r="F19" t="str">
        <f t="shared" si="3"/>
        <v>10.1038/35021000</v>
      </c>
      <c r="G19" s="143">
        <f t="shared" si="4"/>
        <v>16230</v>
      </c>
      <c r="H19">
        <f t="shared" si="5"/>
        <v>70</v>
      </c>
      <c r="I19">
        <f t="shared" si="6"/>
        <v>30</v>
      </c>
      <c r="J19" s="145">
        <f t="shared" si="7"/>
        <v>303</v>
      </c>
      <c r="K19" s="145">
        <f t="shared" si="8"/>
        <v>62</v>
      </c>
      <c r="L19" s="145">
        <f t="shared" si="9"/>
        <v>56</v>
      </c>
      <c r="M19" t="b">
        <v>1</v>
      </c>
      <c r="N19">
        <v>3</v>
      </c>
      <c r="O19" t="s">
        <v>209</v>
      </c>
      <c r="P19" s="154" t="s">
        <v>167</v>
      </c>
      <c r="Q19" t="b">
        <v>0</v>
      </c>
      <c r="R19" t="s">
        <v>167</v>
      </c>
      <c r="S19" t="b">
        <v>1</v>
      </c>
      <c r="T19" t="b">
        <v>0</v>
      </c>
      <c r="U19" t="s">
        <v>167</v>
      </c>
      <c r="V19" t="s">
        <v>167</v>
      </c>
      <c r="W19" t="b">
        <v>0</v>
      </c>
      <c r="X19" t="s">
        <v>167</v>
      </c>
      <c r="Y19" s="139" t="s">
        <v>169</v>
      </c>
      <c r="Z19" s="147" t="s">
        <v>170</v>
      </c>
      <c r="AA19">
        <v>871</v>
      </c>
      <c r="AB19" t="s">
        <v>171</v>
      </c>
      <c r="AC19">
        <v>8</v>
      </c>
      <c r="AD19">
        <v>2</v>
      </c>
      <c r="AE19">
        <v>59</v>
      </c>
      <c r="AF19">
        <v>63</v>
      </c>
      <c r="AG19" t="s">
        <v>167</v>
      </c>
      <c r="AH19" t="s">
        <v>167</v>
      </c>
      <c r="AI19" t="s">
        <v>167</v>
      </c>
      <c r="AJ19" t="s">
        <v>172</v>
      </c>
      <c r="AK19">
        <v>5.6716666699999996</v>
      </c>
      <c r="AL19">
        <v>172.51611111</v>
      </c>
      <c r="AM19">
        <v>5</v>
      </c>
      <c r="AN19" t="s">
        <v>167</v>
      </c>
      <c r="AO19">
        <v>-1254</v>
      </c>
      <c r="AP19" t="s">
        <v>167</v>
      </c>
      <c r="AQ19" s="148" t="s">
        <v>173</v>
      </c>
      <c r="AR19" t="s">
        <v>167</v>
      </c>
      <c r="AS19">
        <v>16230</v>
      </c>
      <c r="AT19" t="s">
        <v>174</v>
      </c>
      <c r="AU19">
        <v>70</v>
      </c>
      <c r="AV19">
        <v>30</v>
      </c>
      <c r="AW19" s="149" t="s">
        <v>175</v>
      </c>
      <c r="AX19" t="s">
        <v>176</v>
      </c>
      <c r="AY19" t="s">
        <v>177</v>
      </c>
      <c r="AZ19" t="s">
        <v>167</v>
      </c>
      <c r="BA19" t="s">
        <v>167</v>
      </c>
      <c r="BB19" t="s">
        <v>167</v>
      </c>
      <c r="BC19" t="s">
        <v>167</v>
      </c>
      <c r="BD19" t="s">
        <v>167</v>
      </c>
      <c r="BE19" t="s">
        <v>167</v>
      </c>
      <c r="BF19" t="s">
        <v>167</v>
      </c>
      <c r="BG19" t="s">
        <v>178</v>
      </c>
      <c r="BH19" t="s">
        <v>167</v>
      </c>
      <c r="BI19" t="s">
        <v>179</v>
      </c>
      <c r="BJ19" t="s">
        <v>167</v>
      </c>
      <c r="BK19" t="s">
        <v>180</v>
      </c>
      <c r="BL19" t="s">
        <v>181</v>
      </c>
      <c r="BM19" t="s">
        <v>182</v>
      </c>
      <c r="BN19" t="s">
        <v>167</v>
      </c>
      <c r="BO19" t="s">
        <v>167</v>
      </c>
      <c r="BP19" t="s">
        <v>167</v>
      </c>
      <c r="BQ19">
        <v>23.7</v>
      </c>
      <c r="BR19" s="150" t="s">
        <v>183</v>
      </c>
      <c r="BS19">
        <v>0.4</v>
      </c>
      <c r="BT19" t="s">
        <v>184</v>
      </c>
      <c r="BU19" t="s">
        <v>185</v>
      </c>
      <c r="BV19" t="s">
        <v>185</v>
      </c>
      <c r="BW19" t="s">
        <v>167</v>
      </c>
      <c r="BX19" t="s">
        <v>167</v>
      </c>
      <c r="BY19" t="s">
        <v>167</v>
      </c>
      <c r="BZ19" t="s">
        <v>167</v>
      </c>
      <c r="CA19" t="s">
        <v>167</v>
      </c>
      <c r="CB19" s="144">
        <v>23.7</v>
      </c>
      <c r="CC19" s="150" t="s">
        <v>183</v>
      </c>
      <c r="CD19">
        <v>0.4</v>
      </c>
      <c r="CE19" t="s">
        <v>186</v>
      </c>
      <c r="CF19" t="s">
        <v>187</v>
      </c>
      <c r="CG19" t="s">
        <v>167</v>
      </c>
      <c r="CH19" t="s">
        <v>167</v>
      </c>
      <c r="CI19" t="s">
        <v>167</v>
      </c>
      <c r="CJ19">
        <v>27</v>
      </c>
      <c r="CK19" t="s">
        <v>167</v>
      </c>
      <c r="CL19" t="s">
        <v>167</v>
      </c>
      <c r="CM19" t="s">
        <v>167</v>
      </c>
      <c r="CN19" t="s">
        <v>167</v>
      </c>
      <c r="CO19" t="s">
        <v>167</v>
      </c>
      <c r="CP19" t="s">
        <v>167</v>
      </c>
      <c r="CQ19" t="s">
        <v>167</v>
      </c>
      <c r="CR19" t="s">
        <v>167</v>
      </c>
      <c r="CS19" t="s">
        <v>167</v>
      </c>
      <c r="CT19" t="s">
        <v>167</v>
      </c>
      <c r="CU19" t="s">
        <v>167</v>
      </c>
      <c r="CV19" t="s">
        <v>167</v>
      </c>
      <c r="CW19" t="s">
        <v>167</v>
      </c>
      <c r="CX19" t="s">
        <v>167</v>
      </c>
      <c r="CY19" t="s">
        <v>167</v>
      </c>
      <c r="CZ19" t="s">
        <v>167</v>
      </c>
      <c r="DA19" t="s">
        <v>167</v>
      </c>
      <c r="DB19" t="s">
        <v>167</v>
      </c>
      <c r="DC19" t="s">
        <v>167</v>
      </c>
      <c r="DD19" t="s">
        <v>167</v>
      </c>
      <c r="DE19" t="s">
        <v>167</v>
      </c>
      <c r="DF19" t="s">
        <v>167</v>
      </c>
      <c r="DG19" t="s">
        <v>167</v>
      </c>
      <c r="DH19" t="s">
        <v>167</v>
      </c>
      <c r="DI19" t="s">
        <v>167</v>
      </c>
      <c r="DJ19" t="s">
        <v>167</v>
      </c>
      <c r="DK19" t="s">
        <v>167</v>
      </c>
      <c r="DL19" t="s">
        <v>167</v>
      </c>
      <c r="DM19" t="s">
        <v>167</v>
      </c>
      <c r="DN19" t="s">
        <v>167</v>
      </c>
      <c r="DO19" t="s">
        <v>167</v>
      </c>
      <c r="DP19" t="s">
        <v>167</v>
      </c>
      <c r="DQ19" t="s">
        <v>167</v>
      </c>
      <c r="DR19" t="s">
        <v>167</v>
      </c>
      <c r="DS19" t="s">
        <v>167</v>
      </c>
      <c r="DT19" t="s">
        <v>167</v>
      </c>
      <c r="DU19" t="s">
        <v>167</v>
      </c>
      <c r="DV19" t="s">
        <v>167</v>
      </c>
      <c r="DW19" t="s">
        <v>167</v>
      </c>
      <c r="DX19" t="s">
        <v>167</v>
      </c>
      <c r="DY19" t="s">
        <v>167</v>
      </c>
      <c r="DZ19" t="s">
        <v>167</v>
      </c>
      <c r="EA19">
        <v>37.700000000000003</v>
      </c>
      <c r="EB19" t="s">
        <v>167</v>
      </c>
      <c r="EC19" t="s">
        <v>167</v>
      </c>
      <c r="ED19" t="s">
        <v>188</v>
      </c>
      <c r="EE19" t="s">
        <v>167</v>
      </c>
      <c r="EF19" t="s">
        <v>167</v>
      </c>
      <c r="EG19">
        <v>1.0194000000000001</v>
      </c>
      <c r="EH19" t="s">
        <v>167</v>
      </c>
      <c r="EI19" t="s">
        <v>167</v>
      </c>
      <c r="EJ19" t="s">
        <v>189</v>
      </c>
      <c r="EK19" t="s">
        <v>190</v>
      </c>
      <c r="EL19" t="s">
        <v>190</v>
      </c>
      <c r="EM19" t="s">
        <v>191</v>
      </c>
      <c r="EN19" t="s">
        <v>167</v>
      </c>
      <c r="EO19" t="s">
        <v>167</v>
      </c>
      <c r="EP19" t="s">
        <v>167</v>
      </c>
      <c r="EQ19" t="s">
        <v>167</v>
      </c>
      <c r="ER19" t="s">
        <v>167</v>
      </c>
      <c r="ES19" t="s">
        <v>167</v>
      </c>
      <c r="ET19" t="s">
        <v>192</v>
      </c>
      <c r="EU19" t="s">
        <v>193</v>
      </c>
      <c r="EV19" t="s">
        <v>167</v>
      </c>
      <c r="EW19">
        <v>2210</v>
      </c>
      <c r="EX19" t="s">
        <v>167</v>
      </c>
      <c r="EY19" s="152">
        <v>75</v>
      </c>
      <c r="EZ19" s="152">
        <v>70</v>
      </c>
      <c r="FA19" t="s">
        <v>167</v>
      </c>
      <c r="FB19" t="s">
        <v>167</v>
      </c>
      <c r="FC19" t="s">
        <v>167</v>
      </c>
      <c r="FD19" t="s">
        <v>167</v>
      </c>
      <c r="FE19">
        <v>8.14</v>
      </c>
      <c r="FF19" t="s">
        <v>167</v>
      </c>
      <c r="FG19">
        <v>4.4999999999999929E-2</v>
      </c>
      <c r="FH19">
        <v>4.8000000000000043E-2</v>
      </c>
      <c r="FI19">
        <v>303</v>
      </c>
      <c r="FJ19" t="s">
        <v>167</v>
      </c>
      <c r="FK19" t="s">
        <v>190</v>
      </c>
      <c r="FL19">
        <v>303</v>
      </c>
      <c r="FM19">
        <v>62</v>
      </c>
      <c r="FN19">
        <v>56</v>
      </c>
      <c r="FO19" t="s">
        <v>167</v>
      </c>
      <c r="FP19" t="s">
        <v>194</v>
      </c>
      <c r="FQ19" t="s">
        <v>167</v>
      </c>
      <c r="FR19" t="s">
        <v>167</v>
      </c>
      <c r="FS19" t="s">
        <v>167</v>
      </c>
      <c r="FT19" t="s">
        <v>167</v>
      </c>
      <c r="FU19" t="s">
        <v>167</v>
      </c>
      <c r="FV19" t="s">
        <v>167</v>
      </c>
      <c r="FW19" t="s">
        <v>167</v>
      </c>
      <c r="FX19" t="s">
        <v>167</v>
      </c>
      <c r="FY19" t="s">
        <v>167</v>
      </c>
      <c r="FZ19" t="s">
        <v>167</v>
      </c>
      <c r="GA19" t="s">
        <v>167</v>
      </c>
      <c r="GB19" t="s">
        <v>167</v>
      </c>
      <c r="GC19" t="s">
        <v>167</v>
      </c>
    </row>
    <row r="20" spans="1:185" ht="16" x14ac:dyDescent="0.2">
      <c r="A20" t="s">
        <v>206</v>
      </c>
      <c r="B20" s="142" t="s">
        <v>207</v>
      </c>
      <c r="C20" s="138" t="s">
        <v>168</v>
      </c>
      <c r="D20" t="s">
        <v>205</v>
      </c>
      <c r="E20" s="146">
        <v>2000</v>
      </c>
      <c r="F20" t="str">
        <f t="shared" si="3"/>
        <v>10.1038/35021000</v>
      </c>
      <c r="G20" s="143">
        <f t="shared" si="4"/>
        <v>16700</v>
      </c>
      <c r="H20">
        <f t="shared" si="5"/>
        <v>2300</v>
      </c>
      <c r="I20">
        <f t="shared" si="6"/>
        <v>100</v>
      </c>
      <c r="J20" s="145">
        <f t="shared" si="7"/>
        <v>236</v>
      </c>
      <c r="K20" s="145">
        <f t="shared" si="8"/>
        <v>34</v>
      </c>
      <c r="L20" s="145">
        <f t="shared" si="9"/>
        <v>28</v>
      </c>
      <c r="M20" t="b">
        <v>1</v>
      </c>
      <c r="N20">
        <v>3</v>
      </c>
      <c r="O20" t="s">
        <v>209</v>
      </c>
      <c r="P20" s="154" t="s">
        <v>167</v>
      </c>
      <c r="Q20" t="b">
        <v>0</v>
      </c>
      <c r="R20" t="s">
        <v>167</v>
      </c>
      <c r="S20" t="b">
        <v>1</v>
      </c>
      <c r="T20" t="b">
        <v>0</v>
      </c>
      <c r="U20" t="s">
        <v>167</v>
      </c>
      <c r="V20" t="s">
        <v>167</v>
      </c>
      <c r="W20" t="b">
        <v>0</v>
      </c>
      <c r="X20" t="s">
        <v>167</v>
      </c>
      <c r="Y20" s="139" t="s">
        <v>169</v>
      </c>
      <c r="Z20" s="147" t="s">
        <v>170</v>
      </c>
      <c r="AA20">
        <v>872</v>
      </c>
      <c r="AB20" t="s">
        <v>197</v>
      </c>
      <c r="AC20">
        <v>11</v>
      </c>
      <c r="AD20">
        <v>1</v>
      </c>
      <c r="AE20">
        <v>20</v>
      </c>
      <c r="AF20">
        <v>22</v>
      </c>
      <c r="AG20" t="s">
        <v>167</v>
      </c>
      <c r="AH20" t="s">
        <v>167</v>
      </c>
      <c r="AI20" t="s">
        <v>167</v>
      </c>
      <c r="AJ20" t="s">
        <v>172</v>
      </c>
      <c r="AK20">
        <v>10.10055556</v>
      </c>
      <c r="AL20">
        <v>162.86722222</v>
      </c>
      <c r="AM20">
        <v>5</v>
      </c>
      <c r="AN20" t="s">
        <v>167</v>
      </c>
      <c r="AO20">
        <v>-1083.5999999999999</v>
      </c>
      <c r="AP20" t="s">
        <v>167</v>
      </c>
      <c r="AQ20" s="148" t="s">
        <v>173</v>
      </c>
      <c r="AR20" t="s">
        <v>167</v>
      </c>
      <c r="AS20">
        <v>16700</v>
      </c>
      <c r="AT20" t="s">
        <v>174</v>
      </c>
      <c r="AU20">
        <v>2300</v>
      </c>
      <c r="AV20">
        <v>100</v>
      </c>
      <c r="AW20" s="149" t="s">
        <v>175</v>
      </c>
      <c r="AX20" t="s">
        <v>176</v>
      </c>
      <c r="AY20" t="s">
        <v>177</v>
      </c>
      <c r="AZ20" t="s">
        <v>167</v>
      </c>
      <c r="BA20" t="s">
        <v>167</v>
      </c>
      <c r="BB20" t="s">
        <v>167</v>
      </c>
      <c r="BC20" t="s">
        <v>167</v>
      </c>
      <c r="BD20" t="s">
        <v>167</v>
      </c>
      <c r="BE20" t="s">
        <v>167</v>
      </c>
      <c r="BF20" t="s">
        <v>167</v>
      </c>
      <c r="BG20" t="s">
        <v>195</v>
      </c>
      <c r="BH20" t="s">
        <v>198</v>
      </c>
      <c r="BI20" t="s">
        <v>179</v>
      </c>
      <c r="BJ20" t="s">
        <v>167</v>
      </c>
      <c r="BK20" t="s">
        <v>180</v>
      </c>
      <c r="BL20" t="s">
        <v>181</v>
      </c>
      <c r="BM20" t="s">
        <v>182</v>
      </c>
      <c r="BN20" t="s">
        <v>167</v>
      </c>
      <c r="BO20" t="s">
        <v>167</v>
      </c>
      <c r="BP20" t="s">
        <v>167</v>
      </c>
      <c r="BQ20">
        <v>24.3</v>
      </c>
      <c r="BR20" s="150" t="s">
        <v>183</v>
      </c>
      <c r="BS20">
        <v>0.3</v>
      </c>
      <c r="BT20" t="s">
        <v>184</v>
      </c>
      <c r="BU20" t="s">
        <v>185</v>
      </c>
      <c r="BV20" t="s">
        <v>185</v>
      </c>
      <c r="BW20" t="s">
        <v>167</v>
      </c>
      <c r="BX20" t="s">
        <v>167</v>
      </c>
      <c r="BY20" t="s">
        <v>167</v>
      </c>
      <c r="BZ20" t="s">
        <v>167</v>
      </c>
      <c r="CA20" t="s">
        <v>167</v>
      </c>
      <c r="CB20" s="144">
        <v>24.3</v>
      </c>
      <c r="CC20" s="150" t="s">
        <v>183</v>
      </c>
      <c r="CD20">
        <v>0.3</v>
      </c>
      <c r="CE20" t="s">
        <v>186</v>
      </c>
      <c r="CF20" t="s">
        <v>187</v>
      </c>
      <c r="CG20" t="s">
        <v>167</v>
      </c>
      <c r="CH20" t="s">
        <v>167</v>
      </c>
      <c r="CI20" t="s">
        <v>167</v>
      </c>
      <c r="CJ20">
        <v>27</v>
      </c>
      <c r="CK20" t="s">
        <v>167</v>
      </c>
      <c r="CL20" t="s">
        <v>167</v>
      </c>
      <c r="CM20" t="s">
        <v>167</v>
      </c>
      <c r="CN20" t="s">
        <v>167</v>
      </c>
      <c r="CO20" t="s">
        <v>167</v>
      </c>
      <c r="CP20" t="s">
        <v>167</v>
      </c>
      <c r="CQ20" t="s">
        <v>167</v>
      </c>
      <c r="CR20" t="s">
        <v>167</v>
      </c>
      <c r="CS20" t="s">
        <v>167</v>
      </c>
      <c r="CT20" t="s">
        <v>167</v>
      </c>
      <c r="CU20" t="s">
        <v>167</v>
      </c>
      <c r="CV20" t="s">
        <v>167</v>
      </c>
      <c r="CW20" t="s">
        <v>167</v>
      </c>
      <c r="CX20" t="s">
        <v>167</v>
      </c>
      <c r="CY20" t="s">
        <v>167</v>
      </c>
      <c r="CZ20" t="s">
        <v>167</v>
      </c>
      <c r="DA20" t="s">
        <v>167</v>
      </c>
      <c r="DB20" t="s">
        <v>167</v>
      </c>
      <c r="DC20" t="s">
        <v>167</v>
      </c>
      <c r="DD20" t="s">
        <v>167</v>
      </c>
      <c r="DE20" t="s">
        <v>167</v>
      </c>
      <c r="DF20" t="s">
        <v>167</v>
      </c>
      <c r="DG20" t="s">
        <v>167</v>
      </c>
      <c r="DH20" t="s">
        <v>167</v>
      </c>
      <c r="DI20" t="s">
        <v>167</v>
      </c>
      <c r="DJ20" t="s">
        <v>167</v>
      </c>
      <c r="DK20" t="s">
        <v>167</v>
      </c>
      <c r="DL20" t="s">
        <v>167</v>
      </c>
      <c r="DM20" t="s">
        <v>167</v>
      </c>
      <c r="DN20" t="s">
        <v>167</v>
      </c>
      <c r="DO20" t="s">
        <v>167</v>
      </c>
      <c r="DP20" t="s">
        <v>167</v>
      </c>
      <c r="DQ20" t="s">
        <v>167</v>
      </c>
      <c r="DR20" t="s">
        <v>167</v>
      </c>
      <c r="DS20" t="s">
        <v>167</v>
      </c>
      <c r="DT20" t="s">
        <v>167</v>
      </c>
      <c r="DU20" t="s">
        <v>167</v>
      </c>
      <c r="DV20" t="s">
        <v>167</v>
      </c>
      <c r="DW20" t="s">
        <v>167</v>
      </c>
      <c r="DX20" t="s">
        <v>167</v>
      </c>
      <c r="DY20" t="s">
        <v>167</v>
      </c>
      <c r="DZ20" t="s">
        <v>167</v>
      </c>
      <c r="EA20">
        <v>37.75</v>
      </c>
      <c r="EB20" t="s">
        <v>167</v>
      </c>
      <c r="EC20" t="s">
        <v>167</v>
      </c>
      <c r="ED20" t="s">
        <v>188</v>
      </c>
      <c r="EE20" t="s">
        <v>167</v>
      </c>
      <c r="EF20" t="s">
        <v>167</v>
      </c>
      <c r="EG20">
        <v>1.0194000000000001</v>
      </c>
      <c r="EH20" t="s">
        <v>167</v>
      </c>
      <c r="EI20" t="s">
        <v>167</v>
      </c>
      <c r="EJ20" t="s">
        <v>189</v>
      </c>
      <c r="EK20" t="s">
        <v>190</v>
      </c>
      <c r="EL20" t="s">
        <v>190</v>
      </c>
      <c r="EM20" t="s">
        <v>191</v>
      </c>
      <c r="EN20" t="s">
        <v>167</v>
      </c>
      <c r="EO20" t="s">
        <v>167</v>
      </c>
      <c r="EP20" t="s">
        <v>167</v>
      </c>
      <c r="EQ20" t="s">
        <v>167</v>
      </c>
      <c r="ER20" t="s">
        <v>167</v>
      </c>
      <c r="ES20" t="s">
        <v>167</v>
      </c>
      <c r="ET20" t="s">
        <v>192</v>
      </c>
      <c r="EU20" t="s">
        <v>193</v>
      </c>
      <c r="EV20" t="s">
        <v>167</v>
      </c>
      <c r="EW20">
        <v>2075</v>
      </c>
      <c r="EX20" t="s">
        <v>167</v>
      </c>
      <c r="EY20" s="152">
        <v>40</v>
      </c>
      <c r="EZ20" s="152">
        <v>35</v>
      </c>
      <c r="FA20" t="s">
        <v>167</v>
      </c>
      <c r="FB20" t="s">
        <v>167</v>
      </c>
      <c r="FC20" t="s">
        <v>167</v>
      </c>
      <c r="FD20" t="s">
        <v>167</v>
      </c>
      <c r="FE20">
        <v>8.18</v>
      </c>
      <c r="FF20" t="s">
        <v>167</v>
      </c>
      <c r="FG20">
        <v>3.2000000000000028E-2</v>
      </c>
      <c r="FH20">
        <v>3.4000000000000696E-2</v>
      </c>
      <c r="FI20">
        <v>236</v>
      </c>
      <c r="FJ20" t="s">
        <v>167</v>
      </c>
      <c r="FK20" t="s">
        <v>190</v>
      </c>
      <c r="FL20">
        <v>236</v>
      </c>
      <c r="FM20">
        <v>34</v>
      </c>
      <c r="FN20">
        <v>28</v>
      </c>
      <c r="FO20" t="s">
        <v>167</v>
      </c>
      <c r="FP20" t="s">
        <v>194</v>
      </c>
      <c r="FQ20" t="s">
        <v>167</v>
      </c>
      <c r="FR20" t="s">
        <v>167</v>
      </c>
      <c r="FS20" t="s">
        <v>167</v>
      </c>
      <c r="FT20" t="s">
        <v>167</v>
      </c>
      <c r="FU20" t="s">
        <v>167</v>
      </c>
      <c r="FV20" t="s">
        <v>167</v>
      </c>
      <c r="FW20" t="s">
        <v>167</v>
      </c>
      <c r="FX20" t="s">
        <v>167</v>
      </c>
      <c r="FY20" t="s">
        <v>167</v>
      </c>
      <c r="FZ20" t="s">
        <v>167</v>
      </c>
      <c r="GA20" t="s">
        <v>167</v>
      </c>
      <c r="GB20" t="s">
        <v>167</v>
      </c>
      <c r="GC20" t="s">
        <v>167</v>
      </c>
    </row>
    <row r="21" spans="1:185" ht="16" x14ac:dyDescent="0.2">
      <c r="A21" t="s">
        <v>206</v>
      </c>
      <c r="B21" s="142" t="s">
        <v>207</v>
      </c>
      <c r="C21" s="138" t="s">
        <v>168</v>
      </c>
      <c r="D21" t="s">
        <v>205</v>
      </c>
      <c r="E21" s="146">
        <v>2000</v>
      </c>
      <c r="F21" t="str">
        <f t="shared" si="3"/>
        <v>10.1038/35021000</v>
      </c>
      <c r="G21" s="143">
        <f t="shared" si="4"/>
        <v>18380</v>
      </c>
      <c r="H21">
        <f t="shared" si="5"/>
        <v>620</v>
      </c>
      <c r="I21">
        <f t="shared" si="6"/>
        <v>1780</v>
      </c>
      <c r="J21" s="145">
        <f t="shared" si="7"/>
        <v>217</v>
      </c>
      <c r="K21" s="145">
        <f t="shared" si="8"/>
        <v>6</v>
      </c>
      <c r="L21" s="145">
        <f t="shared" si="9"/>
        <v>6</v>
      </c>
      <c r="M21" t="b">
        <v>1</v>
      </c>
      <c r="N21">
        <v>3</v>
      </c>
      <c r="O21" t="s">
        <v>209</v>
      </c>
      <c r="P21" s="154" t="s">
        <v>167</v>
      </c>
      <c r="Q21" t="b">
        <v>0</v>
      </c>
      <c r="R21" t="s">
        <v>167</v>
      </c>
      <c r="S21" t="b">
        <v>1</v>
      </c>
      <c r="T21" t="b">
        <v>0</v>
      </c>
      <c r="U21" t="s">
        <v>167</v>
      </c>
      <c r="V21" t="s">
        <v>167</v>
      </c>
      <c r="W21" t="b">
        <v>0</v>
      </c>
      <c r="X21" t="s">
        <v>167</v>
      </c>
      <c r="Y21" s="139" t="s">
        <v>169</v>
      </c>
      <c r="Z21" s="147" t="s">
        <v>170</v>
      </c>
      <c r="AA21">
        <v>872</v>
      </c>
      <c r="AB21" t="s">
        <v>197</v>
      </c>
      <c r="AC21">
        <v>11</v>
      </c>
      <c r="AD21">
        <v>6</v>
      </c>
      <c r="AE21">
        <v>20</v>
      </c>
      <c r="AF21">
        <v>22</v>
      </c>
      <c r="AG21" t="s">
        <v>167</v>
      </c>
      <c r="AH21" t="s">
        <v>167</v>
      </c>
      <c r="AI21" t="s">
        <v>167</v>
      </c>
      <c r="AJ21" t="s">
        <v>172</v>
      </c>
      <c r="AK21">
        <v>10.10055556</v>
      </c>
      <c r="AL21">
        <v>162.86722222</v>
      </c>
      <c r="AM21">
        <v>5</v>
      </c>
      <c r="AN21" t="s">
        <v>167</v>
      </c>
      <c r="AO21">
        <v>-1083.5999999999999</v>
      </c>
      <c r="AP21" t="s">
        <v>167</v>
      </c>
      <c r="AQ21" s="148" t="s">
        <v>173</v>
      </c>
      <c r="AR21" t="s">
        <v>167</v>
      </c>
      <c r="AS21">
        <v>18380</v>
      </c>
      <c r="AT21" t="s">
        <v>174</v>
      </c>
      <c r="AU21">
        <v>620</v>
      </c>
      <c r="AV21">
        <v>1780</v>
      </c>
      <c r="AW21" s="149" t="s">
        <v>175</v>
      </c>
      <c r="AX21" t="s">
        <v>176</v>
      </c>
      <c r="AY21" t="s">
        <v>177</v>
      </c>
      <c r="AZ21" t="s">
        <v>167</v>
      </c>
      <c r="BA21" t="s">
        <v>167</v>
      </c>
      <c r="BB21" t="s">
        <v>167</v>
      </c>
      <c r="BC21" t="s">
        <v>167</v>
      </c>
      <c r="BD21" t="s">
        <v>167</v>
      </c>
      <c r="BE21" t="s">
        <v>167</v>
      </c>
      <c r="BF21" t="s">
        <v>167</v>
      </c>
      <c r="BG21" t="s">
        <v>195</v>
      </c>
      <c r="BH21" t="s">
        <v>198</v>
      </c>
      <c r="BI21" t="s">
        <v>179</v>
      </c>
      <c r="BJ21" t="s">
        <v>167</v>
      </c>
      <c r="BK21" t="s">
        <v>180</v>
      </c>
      <c r="BL21" t="s">
        <v>181</v>
      </c>
      <c r="BM21" t="s">
        <v>182</v>
      </c>
      <c r="BN21" t="s">
        <v>167</v>
      </c>
      <c r="BO21" t="s">
        <v>167</v>
      </c>
      <c r="BP21" t="s">
        <v>167</v>
      </c>
      <c r="BQ21">
        <v>24.6</v>
      </c>
      <c r="BR21" s="150" t="s">
        <v>183</v>
      </c>
      <c r="BS21">
        <v>0.1</v>
      </c>
      <c r="BT21" t="s">
        <v>184</v>
      </c>
      <c r="BU21" t="s">
        <v>185</v>
      </c>
      <c r="BV21" t="s">
        <v>185</v>
      </c>
      <c r="BW21" t="s">
        <v>167</v>
      </c>
      <c r="BX21" t="s">
        <v>167</v>
      </c>
      <c r="BY21" t="s">
        <v>167</v>
      </c>
      <c r="BZ21" t="s">
        <v>167</v>
      </c>
      <c r="CA21" t="s">
        <v>167</v>
      </c>
      <c r="CB21" s="144">
        <v>24.6</v>
      </c>
      <c r="CC21" s="150" t="s">
        <v>183</v>
      </c>
      <c r="CD21">
        <v>0.1</v>
      </c>
      <c r="CE21" t="s">
        <v>186</v>
      </c>
      <c r="CF21" t="s">
        <v>187</v>
      </c>
      <c r="CG21" t="s">
        <v>167</v>
      </c>
      <c r="CH21" t="s">
        <v>167</v>
      </c>
      <c r="CI21" t="s">
        <v>167</v>
      </c>
      <c r="CJ21">
        <v>27</v>
      </c>
      <c r="CK21" t="s">
        <v>167</v>
      </c>
      <c r="CL21" t="s">
        <v>167</v>
      </c>
      <c r="CM21" t="s">
        <v>167</v>
      </c>
      <c r="CN21" t="s">
        <v>167</v>
      </c>
      <c r="CO21" t="s">
        <v>167</v>
      </c>
      <c r="CP21" t="s">
        <v>167</v>
      </c>
      <c r="CQ21" t="s">
        <v>167</v>
      </c>
      <c r="CR21" t="s">
        <v>167</v>
      </c>
      <c r="CS21" t="s">
        <v>167</v>
      </c>
      <c r="CT21" t="s">
        <v>167</v>
      </c>
      <c r="CU21" t="s">
        <v>167</v>
      </c>
      <c r="CV21" t="s">
        <v>167</v>
      </c>
      <c r="CW21" t="s">
        <v>167</v>
      </c>
      <c r="CX21" t="s">
        <v>167</v>
      </c>
      <c r="CY21" t="s">
        <v>167</v>
      </c>
      <c r="CZ21" t="s">
        <v>167</v>
      </c>
      <c r="DA21" t="s">
        <v>167</v>
      </c>
      <c r="DB21" t="s">
        <v>167</v>
      </c>
      <c r="DC21" t="s">
        <v>167</v>
      </c>
      <c r="DD21" t="s">
        <v>167</v>
      </c>
      <c r="DE21" t="s">
        <v>167</v>
      </c>
      <c r="DF21" t="s">
        <v>167</v>
      </c>
      <c r="DG21" t="s">
        <v>167</v>
      </c>
      <c r="DH21" t="s">
        <v>167</v>
      </c>
      <c r="DI21" t="s">
        <v>167</v>
      </c>
      <c r="DJ21" t="s">
        <v>167</v>
      </c>
      <c r="DK21" t="s">
        <v>167</v>
      </c>
      <c r="DL21" t="s">
        <v>167</v>
      </c>
      <c r="DM21" t="s">
        <v>167</v>
      </c>
      <c r="DN21" t="s">
        <v>167</v>
      </c>
      <c r="DO21" t="s">
        <v>167</v>
      </c>
      <c r="DP21" t="s">
        <v>167</v>
      </c>
      <c r="DQ21" t="s">
        <v>167</v>
      </c>
      <c r="DR21" t="s">
        <v>167</v>
      </c>
      <c r="DS21" t="s">
        <v>167</v>
      </c>
      <c r="DT21" t="s">
        <v>167</v>
      </c>
      <c r="DU21" t="s">
        <v>167</v>
      </c>
      <c r="DV21" t="s">
        <v>167</v>
      </c>
      <c r="DW21" t="s">
        <v>167</v>
      </c>
      <c r="DX21" t="s">
        <v>167</v>
      </c>
      <c r="DY21" t="s">
        <v>167</v>
      </c>
      <c r="DZ21" t="s">
        <v>167</v>
      </c>
      <c r="EA21">
        <v>37.840000000000003</v>
      </c>
      <c r="EB21" t="s">
        <v>167</v>
      </c>
      <c r="EC21" t="s">
        <v>167</v>
      </c>
      <c r="ED21" t="s">
        <v>188</v>
      </c>
      <c r="EE21" t="s">
        <v>167</v>
      </c>
      <c r="EF21" t="s">
        <v>167</v>
      </c>
      <c r="EG21">
        <v>1.0194000000000001</v>
      </c>
      <c r="EH21" t="s">
        <v>167</v>
      </c>
      <c r="EI21" t="s">
        <v>167</v>
      </c>
      <c r="EJ21" t="s">
        <v>189</v>
      </c>
      <c r="EK21" t="s">
        <v>190</v>
      </c>
      <c r="EL21" t="s">
        <v>190</v>
      </c>
      <c r="EM21" t="s">
        <v>191</v>
      </c>
      <c r="EN21" t="s">
        <v>167</v>
      </c>
      <c r="EO21" t="s">
        <v>167</v>
      </c>
      <c r="EP21" t="s">
        <v>167</v>
      </c>
      <c r="EQ21" t="s">
        <v>167</v>
      </c>
      <c r="ER21" t="s">
        <v>167</v>
      </c>
      <c r="ES21" t="s">
        <v>167</v>
      </c>
      <c r="ET21" t="s">
        <v>192</v>
      </c>
      <c r="EU21" t="s">
        <v>193</v>
      </c>
      <c r="EV21" t="s">
        <v>167</v>
      </c>
      <c r="EW21">
        <v>2035</v>
      </c>
      <c r="EX21" t="s">
        <v>167</v>
      </c>
      <c r="EY21" s="152">
        <v>20</v>
      </c>
      <c r="EZ21" s="152">
        <v>15</v>
      </c>
      <c r="FA21" t="s">
        <v>167</v>
      </c>
      <c r="FB21" t="s">
        <v>167</v>
      </c>
      <c r="FC21" t="s">
        <v>167</v>
      </c>
      <c r="FD21" t="s">
        <v>167</v>
      </c>
      <c r="FE21">
        <v>8.1999999999999993</v>
      </c>
      <c r="FF21" t="s">
        <v>167</v>
      </c>
      <c r="FG21">
        <v>1.0999999999999233E-2</v>
      </c>
      <c r="FH21">
        <v>9.9999999999997868E-3</v>
      </c>
      <c r="FI21">
        <v>217</v>
      </c>
      <c r="FJ21" t="s">
        <v>167</v>
      </c>
      <c r="FK21" t="s">
        <v>190</v>
      </c>
      <c r="FL21">
        <v>217</v>
      </c>
      <c r="FM21">
        <v>6</v>
      </c>
      <c r="FN21">
        <v>6</v>
      </c>
      <c r="FO21" t="s">
        <v>167</v>
      </c>
      <c r="FP21" t="s">
        <v>194</v>
      </c>
      <c r="FQ21" t="s">
        <v>167</v>
      </c>
      <c r="FR21" t="s">
        <v>167</v>
      </c>
      <c r="FS21" t="s">
        <v>167</v>
      </c>
      <c r="FT21" t="s">
        <v>167</v>
      </c>
      <c r="FU21" t="s">
        <v>167</v>
      </c>
      <c r="FV21" t="s">
        <v>167</v>
      </c>
      <c r="FW21" t="s">
        <v>167</v>
      </c>
      <c r="FX21" t="s">
        <v>167</v>
      </c>
      <c r="FY21" t="s">
        <v>167</v>
      </c>
      <c r="FZ21" t="s">
        <v>167</v>
      </c>
      <c r="GA21" t="s">
        <v>167</v>
      </c>
      <c r="GB21" t="s">
        <v>167</v>
      </c>
      <c r="GC21" t="s">
        <v>167</v>
      </c>
    </row>
    <row r="22" spans="1:185" ht="16" x14ac:dyDescent="0.2">
      <c r="A22" t="s">
        <v>206</v>
      </c>
      <c r="B22" s="142" t="s">
        <v>207</v>
      </c>
      <c r="C22" s="138" t="s">
        <v>168</v>
      </c>
      <c r="D22" t="s">
        <v>205</v>
      </c>
      <c r="E22" s="146">
        <v>2000</v>
      </c>
      <c r="F22" t="str">
        <f t="shared" si="3"/>
        <v>10.1038/35021000</v>
      </c>
      <c r="G22" s="143">
        <f t="shared" si="4"/>
        <v>19850</v>
      </c>
      <c r="H22">
        <f t="shared" si="5"/>
        <v>1950</v>
      </c>
      <c r="I22">
        <f t="shared" si="6"/>
        <v>850</v>
      </c>
      <c r="J22" s="145">
        <f t="shared" si="7"/>
        <v>217</v>
      </c>
      <c r="K22" s="145">
        <f t="shared" si="8"/>
        <v>44</v>
      </c>
      <c r="L22" s="145">
        <f t="shared" si="9"/>
        <v>39</v>
      </c>
      <c r="M22" t="b">
        <v>1</v>
      </c>
      <c r="N22">
        <v>3</v>
      </c>
      <c r="O22" t="s">
        <v>209</v>
      </c>
      <c r="P22" s="154" t="s">
        <v>167</v>
      </c>
      <c r="Q22" t="b">
        <v>0</v>
      </c>
      <c r="R22" t="s">
        <v>167</v>
      </c>
      <c r="S22" t="b">
        <v>1</v>
      </c>
      <c r="T22" t="b">
        <v>0</v>
      </c>
      <c r="U22" t="s">
        <v>167</v>
      </c>
      <c r="V22" t="s">
        <v>167</v>
      </c>
      <c r="W22" t="b">
        <v>0</v>
      </c>
      <c r="X22" t="s">
        <v>167</v>
      </c>
      <c r="Y22" s="139" t="s">
        <v>169</v>
      </c>
      <c r="Z22" s="147" t="s">
        <v>170</v>
      </c>
      <c r="AA22">
        <v>872</v>
      </c>
      <c r="AB22" t="s">
        <v>197</v>
      </c>
      <c r="AC22">
        <v>12</v>
      </c>
      <c r="AD22">
        <v>2</v>
      </c>
      <c r="AE22">
        <v>78</v>
      </c>
      <c r="AF22">
        <v>80</v>
      </c>
      <c r="AG22" t="s">
        <v>167</v>
      </c>
      <c r="AH22" t="s">
        <v>167</v>
      </c>
      <c r="AI22" t="s">
        <v>167</v>
      </c>
      <c r="AJ22" t="s">
        <v>172</v>
      </c>
      <c r="AK22">
        <v>10.10055556</v>
      </c>
      <c r="AL22">
        <v>162.86722222</v>
      </c>
      <c r="AM22">
        <v>5</v>
      </c>
      <c r="AN22" t="s">
        <v>167</v>
      </c>
      <c r="AO22">
        <v>-1083.5999999999999</v>
      </c>
      <c r="AP22" t="s">
        <v>167</v>
      </c>
      <c r="AQ22" s="148" t="s">
        <v>173</v>
      </c>
      <c r="AR22" t="s">
        <v>167</v>
      </c>
      <c r="AS22">
        <v>19850</v>
      </c>
      <c r="AT22" t="s">
        <v>174</v>
      </c>
      <c r="AU22">
        <v>1950</v>
      </c>
      <c r="AV22" s="152">
        <v>850</v>
      </c>
      <c r="AW22" s="149" t="s">
        <v>175</v>
      </c>
      <c r="AX22" t="s">
        <v>176</v>
      </c>
      <c r="AY22" t="s">
        <v>177</v>
      </c>
      <c r="AZ22" t="s">
        <v>167</v>
      </c>
      <c r="BA22" t="s">
        <v>167</v>
      </c>
      <c r="BB22" t="s">
        <v>167</v>
      </c>
      <c r="BC22" t="s">
        <v>167</v>
      </c>
      <c r="BD22" t="s">
        <v>167</v>
      </c>
      <c r="BE22" t="s">
        <v>167</v>
      </c>
      <c r="BF22" t="s">
        <v>167</v>
      </c>
      <c r="BG22" t="s">
        <v>195</v>
      </c>
      <c r="BH22" t="s">
        <v>198</v>
      </c>
      <c r="BI22" t="s">
        <v>179</v>
      </c>
      <c r="BJ22" t="s">
        <v>167</v>
      </c>
      <c r="BK22" t="s">
        <v>180</v>
      </c>
      <c r="BL22" t="s">
        <v>181</v>
      </c>
      <c r="BM22" t="s">
        <v>182</v>
      </c>
      <c r="BN22" t="s">
        <v>167</v>
      </c>
      <c r="BO22" t="s">
        <v>167</v>
      </c>
      <c r="BP22" t="s">
        <v>167</v>
      </c>
      <c r="BQ22">
        <v>24.7</v>
      </c>
      <c r="BR22" s="150" t="s">
        <v>183</v>
      </c>
      <c r="BS22">
        <v>0.4</v>
      </c>
      <c r="BT22" t="s">
        <v>184</v>
      </c>
      <c r="BU22" t="s">
        <v>185</v>
      </c>
      <c r="BV22" t="s">
        <v>185</v>
      </c>
      <c r="BW22" t="s">
        <v>167</v>
      </c>
      <c r="BX22" t="s">
        <v>167</v>
      </c>
      <c r="BY22" t="s">
        <v>167</v>
      </c>
      <c r="BZ22" t="s">
        <v>167</v>
      </c>
      <c r="CA22" t="s">
        <v>167</v>
      </c>
      <c r="CB22" s="144">
        <v>24.7</v>
      </c>
      <c r="CC22" s="150" t="s">
        <v>183</v>
      </c>
      <c r="CD22">
        <v>0.4</v>
      </c>
      <c r="CE22" t="s">
        <v>186</v>
      </c>
      <c r="CF22" t="s">
        <v>187</v>
      </c>
      <c r="CG22" t="s">
        <v>167</v>
      </c>
      <c r="CH22" t="s">
        <v>167</v>
      </c>
      <c r="CI22" t="s">
        <v>167</v>
      </c>
      <c r="CJ22">
        <v>27</v>
      </c>
      <c r="CK22" t="s">
        <v>167</v>
      </c>
      <c r="CL22" t="s">
        <v>167</v>
      </c>
      <c r="CM22" t="s">
        <v>167</v>
      </c>
      <c r="CN22" t="s">
        <v>167</v>
      </c>
      <c r="CO22" t="s">
        <v>167</v>
      </c>
      <c r="CP22" t="s">
        <v>167</v>
      </c>
      <c r="CQ22" t="s">
        <v>167</v>
      </c>
      <c r="CR22" t="s">
        <v>167</v>
      </c>
      <c r="CS22" t="s">
        <v>167</v>
      </c>
      <c r="CT22" t="s">
        <v>167</v>
      </c>
      <c r="CU22" t="s">
        <v>167</v>
      </c>
      <c r="CV22" t="s">
        <v>167</v>
      </c>
      <c r="CW22" t="s">
        <v>167</v>
      </c>
      <c r="CX22" t="s">
        <v>167</v>
      </c>
      <c r="CY22" t="s">
        <v>167</v>
      </c>
      <c r="CZ22" t="s">
        <v>167</v>
      </c>
      <c r="DA22" t="s">
        <v>167</v>
      </c>
      <c r="DB22" t="s">
        <v>167</v>
      </c>
      <c r="DC22" t="s">
        <v>167</v>
      </c>
      <c r="DD22" t="s">
        <v>167</v>
      </c>
      <c r="DE22" t="s">
        <v>167</v>
      </c>
      <c r="DF22" t="s">
        <v>167</v>
      </c>
      <c r="DG22" t="s">
        <v>167</v>
      </c>
      <c r="DH22" t="s">
        <v>167</v>
      </c>
      <c r="DI22" t="s">
        <v>167</v>
      </c>
      <c r="DJ22" t="s">
        <v>167</v>
      </c>
      <c r="DK22" t="s">
        <v>167</v>
      </c>
      <c r="DL22" t="s">
        <v>167</v>
      </c>
      <c r="DM22" t="s">
        <v>167</v>
      </c>
      <c r="DN22" t="s">
        <v>167</v>
      </c>
      <c r="DO22" t="s">
        <v>167</v>
      </c>
      <c r="DP22" t="s">
        <v>167</v>
      </c>
      <c r="DQ22" t="s">
        <v>167</v>
      </c>
      <c r="DR22" t="s">
        <v>167</v>
      </c>
      <c r="DS22" t="s">
        <v>167</v>
      </c>
      <c r="DT22" t="s">
        <v>167</v>
      </c>
      <c r="DU22" t="s">
        <v>167</v>
      </c>
      <c r="DV22" t="s">
        <v>167</v>
      </c>
      <c r="DW22" t="s">
        <v>167</v>
      </c>
      <c r="DX22" t="s">
        <v>167</v>
      </c>
      <c r="DY22" t="s">
        <v>167</v>
      </c>
      <c r="DZ22" t="s">
        <v>167</v>
      </c>
      <c r="EA22">
        <v>37.97</v>
      </c>
      <c r="EB22" t="s">
        <v>167</v>
      </c>
      <c r="EC22" t="s">
        <v>167</v>
      </c>
      <c r="ED22" t="s">
        <v>188</v>
      </c>
      <c r="EE22" t="s">
        <v>167</v>
      </c>
      <c r="EF22" t="s">
        <v>167</v>
      </c>
      <c r="EG22">
        <v>1.0194000000000001</v>
      </c>
      <c r="EH22" t="s">
        <v>167</v>
      </c>
      <c r="EI22" t="s">
        <v>167</v>
      </c>
      <c r="EJ22" t="s">
        <v>189</v>
      </c>
      <c r="EK22" t="s">
        <v>190</v>
      </c>
      <c r="EL22" t="s">
        <v>190</v>
      </c>
      <c r="EM22" t="s">
        <v>191</v>
      </c>
      <c r="EN22" t="s">
        <v>167</v>
      </c>
      <c r="EO22" t="s">
        <v>167</v>
      </c>
      <c r="EP22" t="s">
        <v>167</v>
      </c>
      <c r="EQ22" t="s">
        <v>167</v>
      </c>
      <c r="ER22" t="s">
        <v>167</v>
      </c>
      <c r="ES22" t="s">
        <v>167</v>
      </c>
      <c r="ET22" t="s">
        <v>192</v>
      </c>
      <c r="EU22" t="s">
        <v>193</v>
      </c>
      <c r="EV22" t="s">
        <v>167</v>
      </c>
      <c r="EW22">
        <v>2035</v>
      </c>
      <c r="EX22" t="s">
        <v>167</v>
      </c>
      <c r="EY22" s="152">
        <v>75</v>
      </c>
      <c r="EZ22" s="152">
        <v>65</v>
      </c>
      <c r="FA22" t="s">
        <v>167</v>
      </c>
      <c r="FB22" t="s">
        <v>167</v>
      </c>
      <c r="FC22" t="s">
        <v>167</v>
      </c>
      <c r="FD22" t="s">
        <v>167</v>
      </c>
      <c r="FE22">
        <v>8.1999999999999993</v>
      </c>
      <c r="FF22" t="s">
        <v>167</v>
      </c>
      <c r="FG22">
        <v>4.1999999999999815E-2</v>
      </c>
      <c r="FH22">
        <v>4.4000000000000483E-2</v>
      </c>
      <c r="FI22">
        <v>217</v>
      </c>
      <c r="FJ22" t="s">
        <v>167</v>
      </c>
      <c r="FK22" t="s">
        <v>190</v>
      </c>
      <c r="FL22">
        <v>217</v>
      </c>
      <c r="FM22">
        <v>44</v>
      </c>
      <c r="FN22">
        <v>39</v>
      </c>
      <c r="FO22" t="s">
        <v>167</v>
      </c>
      <c r="FP22" t="s">
        <v>194</v>
      </c>
      <c r="FQ22" t="s">
        <v>167</v>
      </c>
      <c r="FR22" t="s">
        <v>167</v>
      </c>
      <c r="FS22" t="s">
        <v>167</v>
      </c>
      <c r="FT22" t="s">
        <v>167</v>
      </c>
      <c r="FU22" t="s">
        <v>167</v>
      </c>
      <c r="FV22" t="s">
        <v>167</v>
      </c>
      <c r="FW22" t="s">
        <v>167</v>
      </c>
      <c r="FX22" t="s">
        <v>167</v>
      </c>
      <c r="FY22" t="s">
        <v>167</v>
      </c>
      <c r="FZ22" t="s">
        <v>167</v>
      </c>
      <c r="GA22" t="s">
        <v>167</v>
      </c>
      <c r="GB22" t="s">
        <v>167</v>
      </c>
      <c r="GC22" t="s">
        <v>167</v>
      </c>
    </row>
    <row r="23" spans="1:185" ht="16" x14ac:dyDescent="0.2">
      <c r="A23" t="s">
        <v>206</v>
      </c>
      <c r="B23" s="142" t="s">
        <v>207</v>
      </c>
      <c r="C23" s="138" t="s">
        <v>168</v>
      </c>
      <c r="D23" t="s">
        <v>205</v>
      </c>
      <c r="E23" s="146">
        <v>2000</v>
      </c>
      <c r="F23" t="str">
        <f t="shared" si="3"/>
        <v>10.1038/35021000</v>
      </c>
      <c r="G23" s="143">
        <f t="shared" si="4"/>
        <v>21700</v>
      </c>
      <c r="H23">
        <f t="shared" si="5"/>
        <v>100</v>
      </c>
      <c r="I23">
        <f t="shared" si="6"/>
        <v>2700</v>
      </c>
      <c r="J23" s="145">
        <f t="shared" si="7"/>
        <v>226</v>
      </c>
      <c r="K23" s="145">
        <f t="shared" si="8"/>
        <v>41</v>
      </c>
      <c r="L23" s="145">
        <f t="shared" si="9"/>
        <v>37</v>
      </c>
      <c r="M23" t="b">
        <v>1</v>
      </c>
      <c r="N23">
        <v>3</v>
      </c>
      <c r="O23" t="s">
        <v>209</v>
      </c>
      <c r="P23" s="154" t="s">
        <v>167</v>
      </c>
      <c r="Q23" t="b">
        <v>0</v>
      </c>
      <c r="R23" t="s">
        <v>167</v>
      </c>
      <c r="S23" t="b">
        <v>1</v>
      </c>
      <c r="T23" t="b">
        <v>0</v>
      </c>
      <c r="U23" t="s">
        <v>167</v>
      </c>
      <c r="V23" t="s">
        <v>167</v>
      </c>
      <c r="W23" t="b">
        <v>0</v>
      </c>
      <c r="X23" t="s">
        <v>167</v>
      </c>
      <c r="Y23" s="139" t="s">
        <v>169</v>
      </c>
      <c r="Z23" s="147" t="s">
        <v>170</v>
      </c>
      <c r="AA23">
        <v>872</v>
      </c>
      <c r="AB23" t="s">
        <v>197</v>
      </c>
      <c r="AC23">
        <v>13</v>
      </c>
      <c r="AD23">
        <v>3</v>
      </c>
      <c r="AE23">
        <v>20</v>
      </c>
      <c r="AF23">
        <v>22</v>
      </c>
      <c r="AG23" t="s">
        <v>167</v>
      </c>
      <c r="AH23" t="s">
        <v>167</v>
      </c>
      <c r="AI23" t="s">
        <v>167</v>
      </c>
      <c r="AJ23" t="s">
        <v>172</v>
      </c>
      <c r="AK23">
        <v>10.10055556</v>
      </c>
      <c r="AL23">
        <v>162.86722222</v>
      </c>
      <c r="AM23">
        <v>4.5999999999999996</v>
      </c>
      <c r="AN23" t="s">
        <v>167</v>
      </c>
      <c r="AO23">
        <v>-1083.5999999999999</v>
      </c>
      <c r="AP23" t="s">
        <v>167</v>
      </c>
      <c r="AQ23" s="148" t="s">
        <v>173</v>
      </c>
      <c r="AR23" t="s">
        <v>167</v>
      </c>
      <c r="AS23">
        <v>21700</v>
      </c>
      <c r="AT23" t="s">
        <v>174</v>
      </c>
      <c r="AU23">
        <v>100</v>
      </c>
      <c r="AV23" s="152">
        <v>2700</v>
      </c>
      <c r="AW23" s="149" t="s">
        <v>175</v>
      </c>
      <c r="AX23" t="s">
        <v>176</v>
      </c>
      <c r="AY23" t="s">
        <v>177</v>
      </c>
      <c r="AZ23" t="s">
        <v>167</v>
      </c>
      <c r="BA23" t="s">
        <v>167</v>
      </c>
      <c r="BB23" t="s">
        <v>167</v>
      </c>
      <c r="BC23" t="s">
        <v>167</v>
      </c>
      <c r="BD23" t="s">
        <v>167</v>
      </c>
      <c r="BE23" t="s">
        <v>167</v>
      </c>
      <c r="BF23" t="s">
        <v>167</v>
      </c>
      <c r="BG23" t="s">
        <v>195</v>
      </c>
      <c r="BH23" t="s">
        <v>198</v>
      </c>
      <c r="BI23" t="s">
        <v>179</v>
      </c>
      <c r="BJ23" t="s">
        <v>167</v>
      </c>
      <c r="BK23" t="s">
        <v>180</v>
      </c>
      <c r="BL23" t="s">
        <v>181</v>
      </c>
      <c r="BM23" t="s">
        <v>182</v>
      </c>
      <c r="BN23" t="s">
        <v>167</v>
      </c>
      <c r="BO23" t="s">
        <v>167</v>
      </c>
      <c r="BP23" t="s">
        <v>167</v>
      </c>
      <c r="BQ23">
        <v>24.7</v>
      </c>
      <c r="BR23" s="150" t="s">
        <v>183</v>
      </c>
      <c r="BS23">
        <v>0.4</v>
      </c>
      <c r="BT23" t="s">
        <v>184</v>
      </c>
      <c r="BU23" t="s">
        <v>185</v>
      </c>
      <c r="BV23" t="s">
        <v>185</v>
      </c>
      <c r="BW23" t="s">
        <v>167</v>
      </c>
      <c r="BX23" t="s">
        <v>167</v>
      </c>
      <c r="BY23" t="s">
        <v>167</v>
      </c>
      <c r="BZ23" t="s">
        <v>167</v>
      </c>
      <c r="CA23" t="s">
        <v>167</v>
      </c>
      <c r="CB23" s="144">
        <v>24.7</v>
      </c>
      <c r="CC23" s="150" t="s">
        <v>183</v>
      </c>
      <c r="CD23">
        <v>0.4</v>
      </c>
      <c r="CE23" t="s">
        <v>186</v>
      </c>
      <c r="CF23" t="s">
        <v>187</v>
      </c>
      <c r="CG23" t="s">
        <v>167</v>
      </c>
      <c r="CH23" t="s">
        <v>167</v>
      </c>
      <c r="CI23" t="s">
        <v>167</v>
      </c>
      <c r="CJ23">
        <v>27</v>
      </c>
      <c r="CK23" t="s">
        <v>167</v>
      </c>
      <c r="CL23" t="s">
        <v>167</v>
      </c>
      <c r="CM23" t="s">
        <v>167</v>
      </c>
      <c r="CN23" t="s">
        <v>167</v>
      </c>
      <c r="CO23" t="s">
        <v>167</v>
      </c>
      <c r="CP23" t="s">
        <v>167</v>
      </c>
      <c r="CQ23" t="s">
        <v>167</v>
      </c>
      <c r="CR23" t="s">
        <v>167</v>
      </c>
      <c r="CS23" t="s">
        <v>167</v>
      </c>
      <c r="CT23" t="s">
        <v>167</v>
      </c>
      <c r="CU23" t="s">
        <v>167</v>
      </c>
      <c r="CV23" t="s">
        <v>167</v>
      </c>
      <c r="CW23" t="s">
        <v>167</v>
      </c>
      <c r="CX23" t="s">
        <v>167</v>
      </c>
      <c r="CY23" t="s">
        <v>167</v>
      </c>
      <c r="CZ23" t="s">
        <v>167</v>
      </c>
      <c r="DA23" t="s">
        <v>167</v>
      </c>
      <c r="DB23" t="s">
        <v>167</v>
      </c>
      <c r="DC23" t="s">
        <v>167</v>
      </c>
      <c r="DD23" t="s">
        <v>167</v>
      </c>
      <c r="DE23" t="s">
        <v>167</v>
      </c>
      <c r="DF23" t="s">
        <v>167</v>
      </c>
      <c r="DG23" t="s">
        <v>167</v>
      </c>
      <c r="DH23" t="s">
        <v>167</v>
      </c>
      <c r="DI23" t="s">
        <v>167</v>
      </c>
      <c r="DJ23" t="s">
        <v>167</v>
      </c>
      <c r="DK23" t="s">
        <v>167</v>
      </c>
      <c r="DL23" t="s">
        <v>167</v>
      </c>
      <c r="DM23" t="s">
        <v>167</v>
      </c>
      <c r="DN23" t="s">
        <v>167</v>
      </c>
      <c r="DO23" t="s">
        <v>167</v>
      </c>
      <c r="DP23" t="s">
        <v>167</v>
      </c>
      <c r="DQ23" t="s">
        <v>167</v>
      </c>
      <c r="DR23" t="s">
        <v>167</v>
      </c>
      <c r="DS23" t="s">
        <v>167</v>
      </c>
      <c r="DT23" t="s">
        <v>167</v>
      </c>
      <c r="DU23" t="s">
        <v>167</v>
      </c>
      <c r="DV23" t="s">
        <v>167</v>
      </c>
      <c r="DW23" t="s">
        <v>167</v>
      </c>
      <c r="DX23" t="s">
        <v>167</v>
      </c>
      <c r="DY23" t="s">
        <v>167</v>
      </c>
      <c r="DZ23" t="s">
        <v>167</v>
      </c>
      <c r="EA23">
        <v>38.03</v>
      </c>
      <c r="EB23" t="s">
        <v>167</v>
      </c>
      <c r="EC23" t="s">
        <v>167</v>
      </c>
      <c r="ED23" t="s">
        <v>188</v>
      </c>
      <c r="EE23" t="s">
        <v>167</v>
      </c>
      <c r="EF23" t="s">
        <v>167</v>
      </c>
      <c r="EG23">
        <v>1.0194000000000001</v>
      </c>
      <c r="EH23" t="s">
        <v>167</v>
      </c>
      <c r="EI23" t="s">
        <v>167</v>
      </c>
      <c r="EJ23" t="s">
        <v>189</v>
      </c>
      <c r="EK23" t="s">
        <v>190</v>
      </c>
      <c r="EL23" t="s">
        <v>190</v>
      </c>
      <c r="EM23" t="s">
        <v>191</v>
      </c>
      <c r="EN23" t="s">
        <v>167</v>
      </c>
      <c r="EO23" t="s">
        <v>167</v>
      </c>
      <c r="EP23" t="s">
        <v>167</v>
      </c>
      <c r="EQ23" t="s">
        <v>167</v>
      </c>
      <c r="ER23" t="s">
        <v>167</v>
      </c>
      <c r="ES23" t="s">
        <v>167</v>
      </c>
      <c r="ET23" t="s">
        <v>192</v>
      </c>
      <c r="EU23" t="s">
        <v>193</v>
      </c>
      <c r="EV23" t="s">
        <v>167</v>
      </c>
      <c r="EW23">
        <v>2050</v>
      </c>
      <c r="EX23" t="s">
        <v>167</v>
      </c>
      <c r="EY23" s="152">
        <v>75</v>
      </c>
      <c r="EZ23" s="152">
        <v>70</v>
      </c>
      <c r="FA23" t="s">
        <v>167</v>
      </c>
      <c r="FB23" t="s">
        <v>167</v>
      </c>
      <c r="FC23" t="s">
        <v>167</v>
      </c>
      <c r="FD23" t="s">
        <v>167</v>
      </c>
      <c r="FE23">
        <v>8.19</v>
      </c>
      <c r="FF23" t="s">
        <v>167</v>
      </c>
      <c r="FG23">
        <v>4.2999999999999261E-2</v>
      </c>
      <c r="FH23">
        <v>4.3000000000001037E-2</v>
      </c>
      <c r="FI23">
        <v>226</v>
      </c>
      <c r="FJ23" t="s">
        <v>167</v>
      </c>
      <c r="FK23" t="s">
        <v>190</v>
      </c>
      <c r="FL23">
        <v>226</v>
      </c>
      <c r="FM23">
        <v>41</v>
      </c>
      <c r="FN23">
        <v>37</v>
      </c>
      <c r="FO23" t="s">
        <v>167</v>
      </c>
      <c r="FP23" t="s">
        <v>194</v>
      </c>
      <c r="FQ23" t="s">
        <v>167</v>
      </c>
      <c r="FR23" t="s">
        <v>167</v>
      </c>
      <c r="FS23" t="s">
        <v>167</v>
      </c>
      <c r="FT23" t="s">
        <v>167</v>
      </c>
      <c r="FU23" t="s">
        <v>167</v>
      </c>
      <c r="FV23" t="s">
        <v>167</v>
      </c>
      <c r="FW23" t="s">
        <v>167</v>
      </c>
      <c r="FX23" t="s">
        <v>167</v>
      </c>
      <c r="FY23" t="s">
        <v>167</v>
      </c>
      <c r="FZ23" t="s">
        <v>167</v>
      </c>
      <c r="GA23" t="s">
        <v>167</v>
      </c>
      <c r="GB23" t="s">
        <v>167</v>
      </c>
      <c r="GC23" t="s">
        <v>167</v>
      </c>
    </row>
    <row r="24" spans="1:185" ht="16" x14ac:dyDescent="0.2">
      <c r="A24" t="s">
        <v>206</v>
      </c>
      <c r="B24" s="142" t="s">
        <v>207</v>
      </c>
      <c r="C24" s="138" t="s">
        <v>168</v>
      </c>
      <c r="D24" t="s">
        <v>205</v>
      </c>
      <c r="E24" s="146">
        <v>2000</v>
      </c>
      <c r="F24" t="str">
        <f t="shared" si="3"/>
        <v>10.1038/35021000</v>
      </c>
      <c r="G24" s="143">
        <f t="shared" si="4"/>
        <v>23000</v>
      </c>
      <c r="H24">
        <f t="shared" si="5"/>
        <v>200</v>
      </c>
      <c r="I24">
        <f t="shared" si="6"/>
        <v>200</v>
      </c>
      <c r="J24" s="145">
        <f t="shared" si="7"/>
        <v>278</v>
      </c>
      <c r="K24" s="145">
        <f t="shared" si="8"/>
        <v>15</v>
      </c>
      <c r="L24" s="145">
        <f t="shared" si="9"/>
        <v>13</v>
      </c>
      <c r="M24" t="b">
        <v>1</v>
      </c>
      <c r="N24">
        <v>3</v>
      </c>
      <c r="O24" t="s">
        <v>209</v>
      </c>
      <c r="P24" s="154" t="s">
        <v>167</v>
      </c>
      <c r="Q24" t="b">
        <v>0</v>
      </c>
      <c r="R24" t="s">
        <v>167</v>
      </c>
      <c r="S24" t="b">
        <v>1</v>
      </c>
      <c r="T24" t="b">
        <v>0</v>
      </c>
      <c r="U24" t="s">
        <v>167</v>
      </c>
      <c r="V24" t="s">
        <v>167</v>
      </c>
      <c r="W24" t="b">
        <v>0</v>
      </c>
      <c r="X24" t="s">
        <v>167</v>
      </c>
      <c r="Y24" s="139" t="s">
        <v>169</v>
      </c>
      <c r="Z24" s="147" t="s">
        <v>170</v>
      </c>
      <c r="AA24">
        <v>872</v>
      </c>
      <c r="AB24" t="s">
        <v>197</v>
      </c>
      <c r="AC24">
        <v>13</v>
      </c>
      <c r="AD24">
        <v>5</v>
      </c>
      <c r="AE24">
        <v>20</v>
      </c>
      <c r="AF24">
        <v>22</v>
      </c>
      <c r="AG24" t="s">
        <v>167</v>
      </c>
      <c r="AH24" t="s">
        <v>167</v>
      </c>
      <c r="AI24" t="s">
        <v>167</v>
      </c>
      <c r="AJ24" t="s">
        <v>172</v>
      </c>
      <c r="AK24">
        <v>10.10055556</v>
      </c>
      <c r="AL24">
        <v>162.86722222</v>
      </c>
      <c r="AM24">
        <v>4.5999999999999996</v>
      </c>
      <c r="AN24" t="s">
        <v>167</v>
      </c>
      <c r="AO24">
        <v>-1083.5999999999999</v>
      </c>
      <c r="AP24" t="s">
        <v>167</v>
      </c>
      <c r="AQ24" s="148" t="s">
        <v>173</v>
      </c>
      <c r="AR24" t="s">
        <v>167</v>
      </c>
      <c r="AS24">
        <v>23000</v>
      </c>
      <c r="AT24" t="s">
        <v>174</v>
      </c>
      <c r="AU24">
        <v>200</v>
      </c>
      <c r="AV24" s="153">
        <v>200</v>
      </c>
      <c r="AW24" s="149" t="s">
        <v>175</v>
      </c>
      <c r="AX24" t="s">
        <v>176</v>
      </c>
      <c r="AY24" t="s">
        <v>177</v>
      </c>
      <c r="AZ24" t="s">
        <v>167</v>
      </c>
      <c r="BA24" t="s">
        <v>167</v>
      </c>
      <c r="BB24" t="s">
        <v>167</v>
      </c>
      <c r="BC24" t="s">
        <v>167</v>
      </c>
      <c r="BD24" t="s">
        <v>167</v>
      </c>
      <c r="BE24" t="s">
        <v>167</v>
      </c>
      <c r="BF24" t="s">
        <v>167</v>
      </c>
      <c r="BG24" t="s">
        <v>195</v>
      </c>
      <c r="BH24" t="s">
        <v>198</v>
      </c>
      <c r="BI24" t="s">
        <v>179</v>
      </c>
      <c r="BJ24" t="s">
        <v>167</v>
      </c>
      <c r="BK24" t="s">
        <v>180</v>
      </c>
      <c r="BL24" t="s">
        <v>181</v>
      </c>
      <c r="BM24" t="s">
        <v>182</v>
      </c>
      <c r="BN24" t="s">
        <v>167</v>
      </c>
      <c r="BO24" t="s">
        <v>167</v>
      </c>
      <c r="BP24" t="s">
        <v>167</v>
      </c>
      <c r="BQ24">
        <v>24.3</v>
      </c>
      <c r="BR24" s="150" t="s">
        <v>183</v>
      </c>
      <c r="BS24">
        <v>0.1</v>
      </c>
      <c r="BT24" t="s">
        <v>184</v>
      </c>
      <c r="BU24" t="s">
        <v>185</v>
      </c>
      <c r="BV24" t="s">
        <v>185</v>
      </c>
      <c r="BW24" t="s">
        <v>167</v>
      </c>
      <c r="BX24" t="s">
        <v>167</v>
      </c>
      <c r="BY24" t="s">
        <v>167</v>
      </c>
      <c r="BZ24" t="s">
        <v>167</v>
      </c>
      <c r="CA24" t="s">
        <v>167</v>
      </c>
      <c r="CB24" s="144">
        <v>24.3</v>
      </c>
      <c r="CC24" s="150" t="s">
        <v>183</v>
      </c>
      <c r="CD24">
        <v>0.1</v>
      </c>
      <c r="CE24" t="s">
        <v>186</v>
      </c>
      <c r="CF24" t="s">
        <v>187</v>
      </c>
      <c r="CG24" t="s">
        <v>167</v>
      </c>
      <c r="CH24" t="s">
        <v>167</v>
      </c>
      <c r="CI24" t="s">
        <v>167</v>
      </c>
      <c r="CJ24">
        <v>27</v>
      </c>
      <c r="CK24" t="s">
        <v>167</v>
      </c>
      <c r="CL24" t="s">
        <v>167</v>
      </c>
      <c r="CM24" t="s">
        <v>167</v>
      </c>
      <c r="CN24" t="s">
        <v>167</v>
      </c>
      <c r="CO24" t="s">
        <v>167</v>
      </c>
      <c r="CP24" t="s">
        <v>167</v>
      </c>
      <c r="CQ24" t="s">
        <v>167</v>
      </c>
      <c r="CR24" t="s">
        <v>167</v>
      </c>
      <c r="CS24" t="s">
        <v>167</v>
      </c>
      <c r="CT24" t="s">
        <v>167</v>
      </c>
      <c r="CU24" t="s">
        <v>167</v>
      </c>
      <c r="CV24" t="s">
        <v>167</v>
      </c>
      <c r="CW24" t="s">
        <v>167</v>
      </c>
      <c r="CX24" t="s">
        <v>167</v>
      </c>
      <c r="CY24" t="s">
        <v>167</v>
      </c>
      <c r="CZ24" t="s">
        <v>167</v>
      </c>
      <c r="DA24" t="s">
        <v>167</v>
      </c>
      <c r="DB24" t="s">
        <v>167</v>
      </c>
      <c r="DC24" t="s">
        <v>167</v>
      </c>
      <c r="DD24" t="s">
        <v>167</v>
      </c>
      <c r="DE24" t="s">
        <v>167</v>
      </c>
      <c r="DF24" t="s">
        <v>167</v>
      </c>
      <c r="DG24" t="s">
        <v>167</v>
      </c>
      <c r="DH24" t="s">
        <v>167</v>
      </c>
      <c r="DI24" t="s">
        <v>167</v>
      </c>
      <c r="DJ24" t="s">
        <v>167</v>
      </c>
      <c r="DK24" t="s">
        <v>167</v>
      </c>
      <c r="DL24" t="s">
        <v>167</v>
      </c>
      <c r="DM24" t="s">
        <v>167</v>
      </c>
      <c r="DN24" t="s">
        <v>167</v>
      </c>
      <c r="DO24" t="s">
        <v>167</v>
      </c>
      <c r="DP24" t="s">
        <v>167</v>
      </c>
      <c r="DQ24" t="s">
        <v>167</v>
      </c>
      <c r="DR24" t="s">
        <v>167</v>
      </c>
      <c r="DS24" t="s">
        <v>167</v>
      </c>
      <c r="DT24" t="s">
        <v>167</v>
      </c>
      <c r="DU24" t="s">
        <v>167</v>
      </c>
      <c r="DV24" t="s">
        <v>167</v>
      </c>
      <c r="DW24" t="s">
        <v>167</v>
      </c>
      <c r="DX24" t="s">
        <v>167</v>
      </c>
      <c r="DY24" t="s">
        <v>167</v>
      </c>
      <c r="DZ24" t="s">
        <v>167</v>
      </c>
      <c r="EA24">
        <v>38.119999999999997</v>
      </c>
      <c r="EB24" t="s">
        <v>167</v>
      </c>
      <c r="EC24" t="s">
        <v>167</v>
      </c>
      <c r="ED24" t="s">
        <v>188</v>
      </c>
      <c r="EE24" t="s">
        <v>167</v>
      </c>
      <c r="EF24" t="s">
        <v>167</v>
      </c>
      <c r="EG24">
        <v>1.0194000000000001</v>
      </c>
      <c r="EH24" t="s">
        <v>167</v>
      </c>
      <c r="EI24" t="s">
        <v>167</v>
      </c>
      <c r="EJ24" t="s">
        <v>189</v>
      </c>
      <c r="EK24" t="s">
        <v>190</v>
      </c>
      <c r="EL24" t="s">
        <v>190</v>
      </c>
      <c r="EM24" t="s">
        <v>191</v>
      </c>
      <c r="EN24" t="s">
        <v>167</v>
      </c>
      <c r="EO24" t="s">
        <v>167</v>
      </c>
      <c r="EP24" t="s">
        <v>167</v>
      </c>
      <c r="EQ24" t="s">
        <v>167</v>
      </c>
      <c r="ER24" t="s">
        <v>167</v>
      </c>
      <c r="ES24" t="s">
        <v>167</v>
      </c>
      <c r="ET24" t="s">
        <v>192</v>
      </c>
      <c r="EU24" t="s">
        <v>193</v>
      </c>
      <c r="EV24" t="s">
        <v>167</v>
      </c>
      <c r="EW24">
        <v>2150</v>
      </c>
      <c r="EX24" t="s">
        <v>167</v>
      </c>
      <c r="EY24" s="152">
        <v>25</v>
      </c>
      <c r="EZ24" s="152">
        <v>25</v>
      </c>
      <c r="FA24" t="s">
        <v>167</v>
      </c>
      <c r="FB24" t="s">
        <v>167</v>
      </c>
      <c r="FC24" t="s">
        <v>167</v>
      </c>
      <c r="FD24" t="s">
        <v>167</v>
      </c>
      <c r="FE24">
        <v>8.1199999999999992</v>
      </c>
      <c r="FF24" t="s">
        <v>167</v>
      </c>
      <c r="FG24">
        <v>1.1999999999998678E-2</v>
      </c>
      <c r="FH24">
        <v>1.1000000000001009E-2</v>
      </c>
      <c r="FI24">
        <v>278</v>
      </c>
      <c r="FJ24" t="s">
        <v>167</v>
      </c>
      <c r="FK24" t="s">
        <v>190</v>
      </c>
      <c r="FL24">
        <v>278</v>
      </c>
      <c r="FM24">
        <v>15</v>
      </c>
      <c r="FN24">
        <v>13</v>
      </c>
      <c r="FO24" t="s">
        <v>167</v>
      </c>
      <c r="FP24" t="s">
        <v>194</v>
      </c>
      <c r="FQ24" t="s">
        <v>167</v>
      </c>
      <c r="FR24" t="s">
        <v>167</v>
      </c>
      <c r="FS24" t="s">
        <v>167</v>
      </c>
      <c r="FT24" t="s">
        <v>167</v>
      </c>
      <c r="FU24" t="s">
        <v>167</v>
      </c>
      <c r="FV24" t="s">
        <v>167</v>
      </c>
      <c r="FW24" t="s">
        <v>167</v>
      </c>
      <c r="FX24" t="s">
        <v>167</v>
      </c>
      <c r="FY24" t="s">
        <v>167</v>
      </c>
      <c r="FZ24" t="s">
        <v>167</v>
      </c>
      <c r="GA24" t="s">
        <v>167</v>
      </c>
      <c r="GB24" t="s">
        <v>167</v>
      </c>
      <c r="GC24" t="s">
        <v>167</v>
      </c>
    </row>
    <row r="25" spans="1:185" ht="16" x14ac:dyDescent="0.2">
      <c r="A25" t="s">
        <v>206</v>
      </c>
      <c r="B25" s="142" t="s">
        <v>207</v>
      </c>
      <c r="C25" s="138" t="s">
        <v>168</v>
      </c>
      <c r="D25" t="s">
        <v>205</v>
      </c>
      <c r="E25" s="146">
        <v>2000</v>
      </c>
      <c r="F25" t="str">
        <f t="shared" si="3"/>
        <v>10.1038/35021000</v>
      </c>
      <c r="G25" s="143">
        <f t="shared" si="4"/>
        <v>23510</v>
      </c>
      <c r="H25">
        <f t="shared" si="5"/>
        <v>190</v>
      </c>
      <c r="I25">
        <f t="shared" si="6"/>
        <v>310</v>
      </c>
      <c r="J25" s="145">
        <f t="shared" si="7"/>
        <v>435</v>
      </c>
      <c r="K25" s="145">
        <f t="shared" si="8"/>
        <v>52</v>
      </c>
      <c r="L25" s="145">
        <f t="shared" si="9"/>
        <v>43</v>
      </c>
      <c r="M25" t="b">
        <v>1</v>
      </c>
      <c r="N25">
        <v>3</v>
      </c>
      <c r="O25" t="s">
        <v>209</v>
      </c>
      <c r="P25" s="154" t="s">
        <v>167</v>
      </c>
      <c r="Q25" t="b">
        <v>0</v>
      </c>
      <c r="R25" t="s">
        <v>167</v>
      </c>
      <c r="S25" t="b">
        <v>1</v>
      </c>
      <c r="T25" t="b">
        <v>0</v>
      </c>
      <c r="U25" t="s">
        <v>167</v>
      </c>
      <c r="V25" t="s">
        <v>167</v>
      </c>
      <c r="W25" t="b">
        <v>0</v>
      </c>
      <c r="X25" t="s">
        <v>167</v>
      </c>
      <c r="Y25" s="139" t="s">
        <v>169</v>
      </c>
      <c r="Z25" s="147" t="s">
        <v>170</v>
      </c>
      <c r="AA25">
        <v>872</v>
      </c>
      <c r="AB25" t="s">
        <v>197</v>
      </c>
      <c r="AC25">
        <v>14</v>
      </c>
      <c r="AD25">
        <v>4</v>
      </c>
      <c r="AE25">
        <v>20</v>
      </c>
      <c r="AF25">
        <v>22</v>
      </c>
      <c r="AG25" t="s">
        <v>167</v>
      </c>
      <c r="AH25" t="s">
        <v>167</v>
      </c>
      <c r="AI25" t="s">
        <v>167</v>
      </c>
      <c r="AJ25" t="s">
        <v>172</v>
      </c>
      <c r="AK25">
        <v>10.10055556</v>
      </c>
      <c r="AL25">
        <v>162.86722222</v>
      </c>
      <c r="AM25">
        <v>4.5999999999999996</v>
      </c>
      <c r="AN25" t="s">
        <v>167</v>
      </c>
      <c r="AO25">
        <v>-1083.5999999999999</v>
      </c>
      <c r="AP25" t="s">
        <v>167</v>
      </c>
      <c r="AQ25" s="148" t="s">
        <v>173</v>
      </c>
      <c r="AR25" t="s">
        <v>167</v>
      </c>
      <c r="AS25">
        <v>23510</v>
      </c>
      <c r="AT25" t="s">
        <v>174</v>
      </c>
      <c r="AU25">
        <v>190</v>
      </c>
      <c r="AV25" s="153">
        <v>310</v>
      </c>
      <c r="AW25" s="149" t="s">
        <v>175</v>
      </c>
      <c r="AX25" t="s">
        <v>176</v>
      </c>
      <c r="AY25" t="s">
        <v>177</v>
      </c>
      <c r="AZ25" t="s">
        <v>167</v>
      </c>
      <c r="BA25" t="s">
        <v>167</v>
      </c>
      <c r="BB25" t="s">
        <v>167</v>
      </c>
      <c r="BC25" t="s">
        <v>167</v>
      </c>
      <c r="BD25" t="s">
        <v>167</v>
      </c>
      <c r="BE25" t="s">
        <v>167</v>
      </c>
      <c r="BF25" t="s">
        <v>167</v>
      </c>
      <c r="BG25" t="s">
        <v>195</v>
      </c>
      <c r="BH25" t="s">
        <v>198</v>
      </c>
      <c r="BI25" t="s">
        <v>179</v>
      </c>
      <c r="BJ25" t="s">
        <v>167</v>
      </c>
      <c r="BK25" t="s">
        <v>180</v>
      </c>
      <c r="BL25" t="s">
        <v>181</v>
      </c>
      <c r="BM25" t="s">
        <v>182</v>
      </c>
      <c r="BN25" t="s">
        <v>167</v>
      </c>
      <c r="BO25" t="s">
        <v>167</v>
      </c>
      <c r="BP25" t="s">
        <v>167</v>
      </c>
      <c r="BQ25">
        <v>23.5</v>
      </c>
      <c r="BR25" s="150" t="s">
        <v>183</v>
      </c>
      <c r="BS25">
        <v>0.2</v>
      </c>
      <c r="BT25" t="s">
        <v>184</v>
      </c>
      <c r="BU25" t="s">
        <v>185</v>
      </c>
      <c r="BV25" t="s">
        <v>185</v>
      </c>
      <c r="BW25" t="s">
        <v>167</v>
      </c>
      <c r="BX25" t="s">
        <v>167</v>
      </c>
      <c r="BY25" t="s">
        <v>167</v>
      </c>
      <c r="BZ25" t="s">
        <v>167</v>
      </c>
      <c r="CA25" t="s">
        <v>167</v>
      </c>
      <c r="CB25" s="144">
        <v>23.5</v>
      </c>
      <c r="CC25" s="150" t="s">
        <v>183</v>
      </c>
      <c r="CD25">
        <v>0.2</v>
      </c>
      <c r="CE25" t="s">
        <v>186</v>
      </c>
      <c r="CF25" t="s">
        <v>187</v>
      </c>
      <c r="CG25" t="s">
        <v>167</v>
      </c>
      <c r="CH25" t="s">
        <v>167</v>
      </c>
      <c r="CI25" t="s">
        <v>167</v>
      </c>
      <c r="CJ25">
        <v>27</v>
      </c>
      <c r="CK25" t="s">
        <v>167</v>
      </c>
      <c r="CL25" t="s">
        <v>167</v>
      </c>
      <c r="CM25" t="s">
        <v>167</v>
      </c>
      <c r="CN25" t="s">
        <v>167</v>
      </c>
      <c r="CO25" t="s">
        <v>167</v>
      </c>
      <c r="CP25" t="s">
        <v>167</v>
      </c>
      <c r="CQ25" t="s">
        <v>167</v>
      </c>
      <c r="CR25" t="s">
        <v>167</v>
      </c>
      <c r="CS25" t="s">
        <v>167</v>
      </c>
      <c r="CT25" t="s">
        <v>167</v>
      </c>
      <c r="CU25" t="s">
        <v>167</v>
      </c>
      <c r="CV25" t="s">
        <v>167</v>
      </c>
      <c r="CW25" t="s">
        <v>167</v>
      </c>
      <c r="CX25" t="s">
        <v>167</v>
      </c>
      <c r="CY25" t="s">
        <v>167</v>
      </c>
      <c r="CZ25" t="s">
        <v>167</v>
      </c>
      <c r="DA25" t="s">
        <v>167</v>
      </c>
      <c r="DB25" t="s">
        <v>167</v>
      </c>
      <c r="DC25" t="s">
        <v>167</v>
      </c>
      <c r="DD25" t="s">
        <v>167</v>
      </c>
      <c r="DE25" t="s">
        <v>167</v>
      </c>
      <c r="DF25" t="s">
        <v>167</v>
      </c>
      <c r="DG25" t="s">
        <v>167</v>
      </c>
      <c r="DH25" t="s">
        <v>167</v>
      </c>
      <c r="DI25" t="s">
        <v>167</v>
      </c>
      <c r="DJ25" t="s">
        <v>167</v>
      </c>
      <c r="DK25" t="s">
        <v>167</v>
      </c>
      <c r="DL25" t="s">
        <v>167</v>
      </c>
      <c r="DM25" t="s">
        <v>167</v>
      </c>
      <c r="DN25" t="s">
        <v>167</v>
      </c>
      <c r="DO25" t="s">
        <v>167</v>
      </c>
      <c r="DP25" t="s">
        <v>167</v>
      </c>
      <c r="DQ25" t="s">
        <v>167</v>
      </c>
      <c r="DR25" t="s">
        <v>167</v>
      </c>
      <c r="DS25" t="s">
        <v>167</v>
      </c>
      <c r="DT25" t="s">
        <v>167</v>
      </c>
      <c r="DU25" t="s">
        <v>167</v>
      </c>
      <c r="DV25" t="s">
        <v>167</v>
      </c>
      <c r="DW25" t="s">
        <v>167</v>
      </c>
      <c r="DX25" t="s">
        <v>167</v>
      </c>
      <c r="DY25" t="s">
        <v>167</v>
      </c>
      <c r="DZ25" t="s">
        <v>167</v>
      </c>
      <c r="EA25">
        <v>38.19</v>
      </c>
      <c r="EB25" t="s">
        <v>167</v>
      </c>
      <c r="EC25" t="s">
        <v>167</v>
      </c>
      <c r="ED25" t="s">
        <v>188</v>
      </c>
      <c r="EE25" t="s">
        <v>167</v>
      </c>
      <c r="EF25" t="s">
        <v>167</v>
      </c>
      <c r="EG25">
        <v>1.0194000000000001</v>
      </c>
      <c r="EH25" t="s">
        <v>167</v>
      </c>
      <c r="EI25" t="s">
        <v>167</v>
      </c>
      <c r="EJ25" t="s">
        <v>189</v>
      </c>
      <c r="EK25" t="s">
        <v>190</v>
      </c>
      <c r="EL25" t="s">
        <v>190</v>
      </c>
      <c r="EM25" t="s">
        <v>191</v>
      </c>
      <c r="EN25" t="s">
        <v>167</v>
      </c>
      <c r="EO25" t="s">
        <v>167</v>
      </c>
      <c r="EP25" t="s">
        <v>167</v>
      </c>
      <c r="EQ25" t="s">
        <v>167</v>
      </c>
      <c r="ER25" t="s">
        <v>167</v>
      </c>
      <c r="ES25" t="s">
        <v>167</v>
      </c>
      <c r="ET25" t="s">
        <v>192</v>
      </c>
      <c r="EU25" t="s">
        <v>193</v>
      </c>
      <c r="EV25" t="s">
        <v>167</v>
      </c>
      <c r="EW25">
        <v>2500</v>
      </c>
      <c r="EX25" t="s">
        <v>167</v>
      </c>
      <c r="EY25" s="152">
        <v>75</v>
      </c>
      <c r="EZ25" s="152">
        <v>70</v>
      </c>
      <c r="FA25" t="s">
        <v>167</v>
      </c>
      <c r="FB25" t="s">
        <v>167</v>
      </c>
      <c r="FC25" t="s">
        <v>167</v>
      </c>
      <c r="FD25" t="s">
        <v>167</v>
      </c>
      <c r="FE25">
        <v>8.0399999999999991</v>
      </c>
      <c r="FF25" t="s">
        <v>167</v>
      </c>
      <c r="FG25">
        <v>2.5000000000000355E-2</v>
      </c>
      <c r="FH25">
        <v>2.6999999999999247E-2</v>
      </c>
      <c r="FI25">
        <v>435</v>
      </c>
      <c r="FJ25" t="s">
        <v>167</v>
      </c>
      <c r="FK25" t="s">
        <v>190</v>
      </c>
      <c r="FL25">
        <v>435</v>
      </c>
      <c r="FM25">
        <v>52</v>
      </c>
      <c r="FN25">
        <v>43</v>
      </c>
      <c r="FO25" t="s">
        <v>167</v>
      </c>
      <c r="FP25" t="s">
        <v>194</v>
      </c>
      <c r="FQ25" t="s">
        <v>167</v>
      </c>
      <c r="FR25" t="s">
        <v>167</v>
      </c>
      <c r="FS25" t="s">
        <v>167</v>
      </c>
      <c r="FT25" t="s">
        <v>167</v>
      </c>
      <c r="FU25" t="s">
        <v>167</v>
      </c>
      <c r="FV25" t="s">
        <v>167</v>
      </c>
      <c r="FW25" t="s">
        <v>167</v>
      </c>
      <c r="FX25" t="s">
        <v>167</v>
      </c>
      <c r="FY25" t="s">
        <v>167</v>
      </c>
      <c r="FZ25" t="s">
        <v>167</v>
      </c>
      <c r="GA25" t="s">
        <v>167</v>
      </c>
      <c r="GB25" t="s">
        <v>167</v>
      </c>
      <c r="GC25" t="s">
        <v>167</v>
      </c>
    </row>
    <row r="26" spans="1:185" ht="16" x14ac:dyDescent="0.2">
      <c r="A26" t="s">
        <v>206</v>
      </c>
      <c r="B26" s="142" t="s">
        <v>207</v>
      </c>
      <c r="C26" s="138" t="s">
        <v>168</v>
      </c>
      <c r="D26" t="s">
        <v>205</v>
      </c>
      <c r="E26" s="146">
        <v>2000</v>
      </c>
      <c r="F26" t="str">
        <f t="shared" si="3"/>
        <v>10.1038/35021000</v>
      </c>
      <c r="G26" s="143">
        <f t="shared" si="4"/>
        <v>40120</v>
      </c>
      <c r="H26">
        <f t="shared" si="5"/>
        <v>380</v>
      </c>
      <c r="I26">
        <f t="shared" si="6"/>
        <v>20</v>
      </c>
      <c r="J26" s="145">
        <f t="shared" si="7"/>
        <v>1004</v>
      </c>
      <c r="K26" s="145">
        <f t="shared" si="8"/>
        <v>423</v>
      </c>
      <c r="L26" s="145">
        <f t="shared" si="9"/>
        <v>275</v>
      </c>
      <c r="M26" t="b">
        <v>1</v>
      </c>
      <c r="N26">
        <v>3</v>
      </c>
      <c r="O26" t="s">
        <v>209</v>
      </c>
      <c r="P26" s="154" t="s">
        <v>167</v>
      </c>
      <c r="Q26" t="b">
        <v>0</v>
      </c>
      <c r="R26" t="s">
        <v>167</v>
      </c>
      <c r="S26" t="b">
        <v>1</v>
      </c>
      <c r="T26" t="b">
        <v>0</v>
      </c>
      <c r="U26" t="s">
        <v>167</v>
      </c>
      <c r="V26" t="s">
        <v>167</v>
      </c>
      <c r="W26" t="b">
        <v>0</v>
      </c>
      <c r="X26" t="s">
        <v>167</v>
      </c>
      <c r="Y26" s="139" t="s">
        <v>169</v>
      </c>
      <c r="Z26" s="147" t="s">
        <v>170</v>
      </c>
      <c r="AA26">
        <v>865</v>
      </c>
      <c r="AB26" t="s">
        <v>197</v>
      </c>
      <c r="AC26">
        <v>5</v>
      </c>
      <c r="AD26">
        <v>1</v>
      </c>
      <c r="AE26">
        <v>110</v>
      </c>
      <c r="AF26">
        <v>112</v>
      </c>
      <c r="AG26" t="s">
        <v>167</v>
      </c>
      <c r="AH26" t="s">
        <v>167</v>
      </c>
      <c r="AI26" t="s">
        <v>167</v>
      </c>
      <c r="AJ26" t="s">
        <v>172</v>
      </c>
      <c r="AK26">
        <v>18.551388889999998</v>
      </c>
      <c r="AL26">
        <v>-179.64416667</v>
      </c>
      <c r="AM26">
        <v>0</v>
      </c>
      <c r="AN26" t="s">
        <v>167</v>
      </c>
      <c r="AO26">
        <v>-1517.4</v>
      </c>
      <c r="AP26" t="s">
        <v>167</v>
      </c>
      <c r="AQ26" s="148" t="s">
        <v>173</v>
      </c>
      <c r="AR26" t="s">
        <v>167</v>
      </c>
      <c r="AS26">
        <v>40120</v>
      </c>
      <c r="AT26" t="s">
        <v>174</v>
      </c>
      <c r="AU26">
        <v>380</v>
      </c>
      <c r="AV26" s="153">
        <v>20</v>
      </c>
      <c r="AW26" s="149" t="s">
        <v>175</v>
      </c>
      <c r="AX26" t="s">
        <v>176</v>
      </c>
      <c r="AY26" t="s">
        <v>177</v>
      </c>
      <c r="AZ26" t="s">
        <v>167</v>
      </c>
      <c r="BA26" t="s">
        <v>167</v>
      </c>
      <c r="BB26" t="s">
        <v>167</v>
      </c>
      <c r="BC26" t="s">
        <v>167</v>
      </c>
      <c r="BD26" t="s">
        <v>167</v>
      </c>
      <c r="BE26" t="s">
        <v>167</v>
      </c>
      <c r="BF26" t="s">
        <v>167</v>
      </c>
      <c r="BG26" t="s">
        <v>199</v>
      </c>
      <c r="BH26" t="s">
        <v>198</v>
      </c>
      <c r="BI26" t="s">
        <v>179</v>
      </c>
      <c r="BJ26" t="s">
        <v>167</v>
      </c>
      <c r="BK26" t="s">
        <v>180</v>
      </c>
      <c r="BL26" t="s">
        <v>181</v>
      </c>
      <c r="BM26" t="s">
        <v>182</v>
      </c>
      <c r="BN26" t="s">
        <v>167</v>
      </c>
      <c r="BO26" t="s">
        <v>167</v>
      </c>
      <c r="BP26" t="s">
        <v>167</v>
      </c>
      <c r="BQ26">
        <v>23</v>
      </c>
      <c r="BR26" s="150" t="s">
        <v>183</v>
      </c>
      <c r="BS26">
        <v>0.5</v>
      </c>
      <c r="BT26" t="s">
        <v>184</v>
      </c>
      <c r="BU26" t="s">
        <v>185</v>
      </c>
      <c r="BV26" t="s">
        <v>185</v>
      </c>
      <c r="BW26" t="s">
        <v>167</v>
      </c>
      <c r="BX26" t="s">
        <v>167</v>
      </c>
      <c r="BY26" t="s">
        <v>167</v>
      </c>
      <c r="BZ26" t="s">
        <v>167</v>
      </c>
      <c r="CA26" t="s">
        <v>167</v>
      </c>
      <c r="CB26" s="144">
        <v>23</v>
      </c>
      <c r="CC26" s="150" t="s">
        <v>183</v>
      </c>
      <c r="CD26">
        <v>0.5</v>
      </c>
      <c r="CE26" t="s">
        <v>186</v>
      </c>
      <c r="CF26" t="s">
        <v>187</v>
      </c>
      <c r="CG26" t="s">
        <v>167</v>
      </c>
      <c r="CH26" t="s">
        <v>167</v>
      </c>
      <c r="CI26" t="s">
        <v>167</v>
      </c>
      <c r="CJ26">
        <v>27</v>
      </c>
      <c r="CK26" t="s">
        <v>167</v>
      </c>
      <c r="CL26" t="s">
        <v>167</v>
      </c>
      <c r="CM26" t="s">
        <v>167</v>
      </c>
      <c r="CN26" t="s">
        <v>167</v>
      </c>
      <c r="CO26" t="s">
        <v>167</v>
      </c>
      <c r="CP26" t="s">
        <v>167</v>
      </c>
      <c r="CQ26" t="s">
        <v>167</v>
      </c>
      <c r="CR26" t="s">
        <v>167</v>
      </c>
      <c r="CS26" t="s">
        <v>167</v>
      </c>
      <c r="CT26" t="s">
        <v>167</v>
      </c>
      <c r="CU26" t="s">
        <v>167</v>
      </c>
      <c r="CV26" t="s">
        <v>167</v>
      </c>
      <c r="CW26" t="s">
        <v>167</v>
      </c>
      <c r="CX26" t="s">
        <v>167</v>
      </c>
      <c r="CY26" t="s">
        <v>167</v>
      </c>
      <c r="CZ26" t="s">
        <v>167</v>
      </c>
      <c r="DA26" t="s">
        <v>167</v>
      </c>
      <c r="DB26" t="s">
        <v>167</v>
      </c>
      <c r="DC26" t="s">
        <v>167</v>
      </c>
      <c r="DD26" t="s">
        <v>167</v>
      </c>
      <c r="DE26" t="s">
        <v>167</v>
      </c>
      <c r="DF26" t="s">
        <v>167</v>
      </c>
      <c r="DG26" t="s">
        <v>167</v>
      </c>
      <c r="DH26" t="s">
        <v>167</v>
      </c>
      <c r="DI26" t="s">
        <v>167</v>
      </c>
      <c r="DJ26" t="s">
        <v>167</v>
      </c>
      <c r="DK26" t="s">
        <v>167</v>
      </c>
      <c r="DL26" t="s">
        <v>167</v>
      </c>
      <c r="DM26" t="s">
        <v>167</v>
      </c>
      <c r="DN26" t="s">
        <v>167</v>
      </c>
      <c r="DO26" t="s">
        <v>167</v>
      </c>
      <c r="DP26" t="s">
        <v>167</v>
      </c>
      <c r="DQ26" t="s">
        <v>167</v>
      </c>
      <c r="DR26" t="s">
        <v>167</v>
      </c>
      <c r="DS26" t="s">
        <v>167</v>
      </c>
      <c r="DT26" t="s">
        <v>167</v>
      </c>
      <c r="DU26" t="s">
        <v>167</v>
      </c>
      <c r="DV26" t="s">
        <v>167</v>
      </c>
      <c r="DW26" t="s">
        <v>167</v>
      </c>
      <c r="DX26" t="s">
        <v>167</v>
      </c>
      <c r="DY26" t="s">
        <v>167</v>
      </c>
      <c r="DZ26" t="s">
        <v>167</v>
      </c>
      <c r="EA26">
        <v>39.24</v>
      </c>
      <c r="EB26" t="s">
        <v>167</v>
      </c>
      <c r="EC26" t="s">
        <v>167</v>
      </c>
      <c r="ED26" t="s">
        <v>188</v>
      </c>
      <c r="EE26" t="s">
        <v>167</v>
      </c>
      <c r="EF26" t="s">
        <v>167</v>
      </c>
      <c r="EG26">
        <v>1.0194000000000001</v>
      </c>
      <c r="EH26" t="s">
        <v>167</v>
      </c>
      <c r="EI26" t="s">
        <v>167</v>
      </c>
      <c r="EJ26" t="s">
        <v>189</v>
      </c>
      <c r="EK26" t="s">
        <v>190</v>
      </c>
      <c r="EL26" t="s">
        <v>190</v>
      </c>
      <c r="EM26" t="s">
        <v>191</v>
      </c>
      <c r="EN26" t="s">
        <v>167</v>
      </c>
      <c r="EO26" t="s">
        <v>167</v>
      </c>
      <c r="EP26" t="s">
        <v>167</v>
      </c>
      <c r="EQ26" t="s">
        <v>167</v>
      </c>
      <c r="ER26" t="s">
        <v>167</v>
      </c>
      <c r="ES26" t="s">
        <v>167</v>
      </c>
      <c r="ET26" t="s">
        <v>192</v>
      </c>
      <c r="EU26" t="s">
        <v>193</v>
      </c>
      <c r="EV26" t="s">
        <v>167</v>
      </c>
      <c r="EW26">
        <v>2950</v>
      </c>
      <c r="EX26" t="s">
        <v>167</v>
      </c>
      <c r="EY26" s="151">
        <v>300</v>
      </c>
      <c r="EZ26" s="151">
        <v>250</v>
      </c>
      <c r="FA26" t="s">
        <v>167</v>
      </c>
      <c r="FB26" t="s">
        <v>167</v>
      </c>
      <c r="FC26" t="s">
        <v>167</v>
      </c>
      <c r="FD26" t="s">
        <v>167</v>
      </c>
      <c r="FE26">
        <v>7.8</v>
      </c>
      <c r="FF26" t="s">
        <v>167</v>
      </c>
      <c r="FG26">
        <v>8.4000000000000519E-2</v>
      </c>
      <c r="FH26">
        <v>9.6999999999999531E-2</v>
      </c>
      <c r="FI26">
        <v>1004</v>
      </c>
      <c r="FJ26" t="s">
        <v>167</v>
      </c>
      <c r="FK26" t="s">
        <v>190</v>
      </c>
      <c r="FL26">
        <v>1004</v>
      </c>
      <c r="FM26">
        <v>423</v>
      </c>
      <c r="FN26">
        <v>275</v>
      </c>
      <c r="FO26" t="s">
        <v>167</v>
      </c>
      <c r="FP26" t="s">
        <v>194</v>
      </c>
      <c r="FQ26" t="s">
        <v>167</v>
      </c>
      <c r="FR26" t="s">
        <v>167</v>
      </c>
      <c r="FS26" t="s">
        <v>167</v>
      </c>
      <c r="FT26" t="s">
        <v>167</v>
      </c>
      <c r="FU26" t="s">
        <v>167</v>
      </c>
      <c r="FV26" t="s">
        <v>167</v>
      </c>
      <c r="FW26" t="s">
        <v>167</v>
      </c>
      <c r="FX26" t="s">
        <v>167</v>
      </c>
      <c r="FY26" t="s">
        <v>167</v>
      </c>
      <c r="FZ26" t="s">
        <v>167</v>
      </c>
      <c r="GA26" t="s">
        <v>167</v>
      </c>
      <c r="GB26" t="s">
        <v>167</v>
      </c>
      <c r="GC26" t="s">
        <v>167</v>
      </c>
    </row>
    <row r="27" spans="1:185" ht="16" x14ac:dyDescent="0.2">
      <c r="A27" t="s">
        <v>206</v>
      </c>
      <c r="B27" s="142" t="s">
        <v>207</v>
      </c>
      <c r="C27" s="138" t="s">
        <v>168</v>
      </c>
      <c r="D27" t="s">
        <v>205</v>
      </c>
      <c r="E27" s="146">
        <v>2000</v>
      </c>
      <c r="F27" t="str">
        <f t="shared" si="3"/>
        <v>10.1038/35021000</v>
      </c>
      <c r="G27" s="143">
        <f t="shared" si="4"/>
        <v>42520</v>
      </c>
      <c r="H27">
        <f t="shared" si="5"/>
        <v>1080</v>
      </c>
      <c r="I27">
        <f t="shared" si="6"/>
        <v>2020</v>
      </c>
      <c r="J27" s="145">
        <f t="shared" si="7"/>
        <v>342</v>
      </c>
      <c r="K27" s="145">
        <f t="shared" si="8"/>
        <v>101</v>
      </c>
      <c r="L27" s="145">
        <f t="shared" si="9"/>
        <v>78</v>
      </c>
      <c r="M27" t="b">
        <v>1</v>
      </c>
      <c r="N27">
        <v>3</v>
      </c>
      <c r="O27" t="s">
        <v>209</v>
      </c>
      <c r="P27" s="154" t="s">
        <v>167</v>
      </c>
      <c r="Q27" t="b">
        <v>0</v>
      </c>
      <c r="R27" t="s">
        <v>167</v>
      </c>
      <c r="S27" t="b">
        <v>1</v>
      </c>
      <c r="T27" t="b">
        <v>0</v>
      </c>
      <c r="U27" t="s">
        <v>167</v>
      </c>
      <c r="V27" t="s">
        <v>167</v>
      </c>
      <c r="W27" t="b">
        <v>0</v>
      </c>
      <c r="X27" t="s">
        <v>167</v>
      </c>
      <c r="Y27" s="139" t="s">
        <v>169</v>
      </c>
      <c r="Z27" s="147" t="s">
        <v>170</v>
      </c>
      <c r="AA27">
        <v>865</v>
      </c>
      <c r="AB27" t="s">
        <v>197</v>
      </c>
      <c r="AC27">
        <v>6</v>
      </c>
      <c r="AD27">
        <v>2</v>
      </c>
      <c r="AE27">
        <v>65</v>
      </c>
      <c r="AF27">
        <v>67</v>
      </c>
      <c r="AG27" t="s">
        <v>167</v>
      </c>
      <c r="AH27" t="s">
        <v>167</v>
      </c>
      <c r="AI27" t="s">
        <v>167</v>
      </c>
      <c r="AJ27" t="s">
        <v>172</v>
      </c>
      <c r="AK27">
        <v>18.551388889999998</v>
      </c>
      <c r="AL27">
        <v>-179.64416667</v>
      </c>
      <c r="AM27">
        <v>0</v>
      </c>
      <c r="AN27" t="s">
        <v>167</v>
      </c>
      <c r="AO27">
        <v>-1517.4</v>
      </c>
      <c r="AP27" t="s">
        <v>167</v>
      </c>
      <c r="AQ27" s="148" t="s">
        <v>173</v>
      </c>
      <c r="AR27" t="s">
        <v>167</v>
      </c>
      <c r="AS27">
        <v>42520</v>
      </c>
      <c r="AT27" t="s">
        <v>174</v>
      </c>
      <c r="AU27">
        <v>1080</v>
      </c>
      <c r="AV27" s="153">
        <v>2020</v>
      </c>
      <c r="AW27" s="149" t="s">
        <v>175</v>
      </c>
      <c r="AX27" t="s">
        <v>176</v>
      </c>
      <c r="AY27" t="s">
        <v>177</v>
      </c>
      <c r="AZ27" t="s">
        <v>167</v>
      </c>
      <c r="BA27" t="s">
        <v>167</v>
      </c>
      <c r="BB27" t="s">
        <v>167</v>
      </c>
      <c r="BC27" t="s">
        <v>167</v>
      </c>
      <c r="BD27" t="s">
        <v>167</v>
      </c>
      <c r="BE27" t="s">
        <v>167</v>
      </c>
      <c r="BF27" t="s">
        <v>167</v>
      </c>
      <c r="BG27" t="s">
        <v>178</v>
      </c>
      <c r="BH27" t="s">
        <v>167</v>
      </c>
      <c r="BI27" t="s">
        <v>179</v>
      </c>
      <c r="BJ27" t="s">
        <v>167</v>
      </c>
      <c r="BK27" t="s">
        <v>180</v>
      </c>
      <c r="BL27" t="s">
        <v>181</v>
      </c>
      <c r="BM27" t="s">
        <v>182</v>
      </c>
      <c r="BN27" t="s">
        <v>167</v>
      </c>
      <c r="BO27" t="s">
        <v>167</v>
      </c>
      <c r="BP27" t="s">
        <v>167</v>
      </c>
      <c r="BQ27">
        <v>25</v>
      </c>
      <c r="BR27" s="150" t="s">
        <v>183</v>
      </c>
      <c r="BS27">
        <v>0.5</v>
      </c>
      <c r="BT27" t="s">
        <v>184</v>
      </c>
      <c r="BU27" t="s">
        <v>185</v>
      </c>
      <c r="BV27" t="s">
        <v>185</v>
      </c>
      <c r="BW27" t="s">
        <v>167</v>
      </c>
      <c r="BX27" t="s">
        <v>167</v>
      </c>
      <c r="BY27" t="s">
        <v>167</v>
      </c>
      <c r="BZ27" t="s">
        <v>167</v>
      </c>
      <c r="CA27" t="s">
        <v>167</v>
      </c>
      <c r="CB27" s="144">
        <v>25</v>
      </c>
      <c r="CC27" s="150" t="s">
        <v>183</v>
      </c>
      <c r="CD27">
        <v>0.5</v>
      </c>
      <c r="CE27" t="s">
        <v>186</v>
      </c>
      <c r="CF27" t="s">
        <v>187</v>
      </c>
      <c r="CG27" t="s">
        <v>167</v>
      </c>
      <c r="CH27" t="s">
        <v>167</v>
      </c>
      <c r="CI27" t="s">
        <v>167</v>
      </c>
      <c r="CJ27">
        <v>27</v>
      </c>
      <c r="CK27" t="s">
        <v>167</v>
      </c>
      <c r="CL27" t="s">
        <v>167</v>
      </c>
      <c r="CM27" t="s">
        <v>167</v>
      </c>
      <c r="CN27" t="s">
        <v>167</v>
      </c>
      <c r="CO27" t="s">
        <v>167</v>
      </c>
      <c r="CP27" t="s">
        <v>167</v>
      </c>
      <c r="CQ27" t="s">
        <v>167</v>
      </c>
      <c r="CR27" t="s">
        <v>167</v>
      </c>
      <c r="CS27" t="s">
        <v>167</v>
      </c>
      <c r="CT27" t="s">
        <v>167</v>
      </c>
      <c r="CU27" t="s">
        <v>167</v>
      </c>
      <c r="CV27" t="s">
        <v>167</v>
      </c>
      <c r="CW27" t="s">
        <v>167</v>
      </c>
      <c r="CX27" t="s">
        <v>167</v>
      </c>
      <c r="CY27" t="s">
        <v>167</v>
      </c>
      <c r="CZ27" t="s">
        <v>167</v>
      </c>
      <c r="DA27" t="s">
        <v>167</v>
      </c>
      <c r="DB27" t="s">
        <v>167</v>
      </c>
      <c r="DC27" t="s">
        <v>167</v>
      </c>
      <c r="DD27" t="s">
        <v>167</v>
      </c>
      <c r="DE27" t="s">
        <v>167</v>
      </c>
      <c r="DF27" t="s">
        <v>167</v>
      </c>
      <c r="DG27" t="s">
        <v>167</v>
      </c>
      <c r="DH27" t="s">
        <v>167</v>
      </c>
      <c r="DI27" t="s">
        <v>167</v>
      </c>
      <c r="DJ27" t="s">
        <v>167</v>
      </c>
      <c r="DK27" t="s">
        <v>167</v>
      </c>
      <c r="DL27" t="s">
        <v>167</v>
      </c>
      <c r="DM27" t="s">
        <v>167</v>
      </c>
      <c r="DN27" t="s">
        <v>167</v>
      </c>
      <c r="DO27" t="s">
        <v>167</v>
      </c>
      <c r="DP27" t="s">
        <v>167</v>
      </c>
      <c r="DQ27" t="s">
        <v>167</v>
      </c>
      <c r="DR27" t="s">
        <v>167</v>
      </c>
      <c r="DS27" t="s">
        <v>167</v>
      </c>
      <c r="DT27" t="s">
        <v>167</v>
      </c>
      <c r="DU27" t="s">
        <v>167</v>
      </c>
      <c r="DV27" t="s">
        <v>167</v>
      </c>
      <c r="DW27" t="s">
        <v>167</v>
      </c>
      <c r="DX27" t="s">
        <v>167</v>
      </c>
      <c r="DY27" t="s">
        <v>167</v>
      </c>
      <c r="DZ27" t="s">
        <v>167</v>
      </c>
      <c r="EA27">
        <v>39.4</v>
      </c>
      <c r="EB27" t="s">
        <v>167</v>
      </c>
      <c r="EC27" t="s">
        <v>167</v>
      </c>
      <c r="ED27" t="s">
        <v>188</v>
      </c>
      <c r="EE27" t="s">
        <v>167</v>
      </c>
      <c r="EF27" t="s">
        <v>167</v>
      </c>
      <c r="EG27">
        <v>1.0194000000000001</v>
      </c>
      <c r="EH27" t="s">
        <v>167</v>
      </c>
      <c r="EI27" t="s">
        <v>167</v>
      </c>
      <c r="EJ27" t="s">
        <v>189</v>
      </c>
      <c r="EK27" t="s">
        <v>190</v>
      </c>
      <c r="EL27" t="s">
        <v>190</v>
      </c>
      <c r="EM27" t="s">
        <v>191</v>
      </c>
      <c r="EN27" t="s">
        <v>167</v>
      </c>
      <c r="EO27" t="s">
        <v>167</v>
      </c>
      <c r="EP27" t="s">
        <v>167</v>
      </c>
      <c r="EQ27" t="s">
        <v>167</v>
      </c>
      <c r="ER27" t="s">
        <v>167</v>
      </c>
      <c r="ES27" t="s">
        <v>167</v>
      </c>
      <c r="ET27" t="s">
        <v>192</v>
      </c>
      <c r="EU27" t="s">
        <v>193</v>
      </c>
      <c r="EV27" t="s">
        <v>167</v>
      </c>
      <c r="EW27">
        <v>2160</v>
      </c>
      <c r="EX27" t="s">
        <v>167</v>
      </c>
      <c r="EY27" s="151">
        <v>170</v>
      </c>
      <c r="EZ27" s="151">
        <v>150</v>
      </c>
      <c r="FA27" t="s">
        <v>167</v>
      </c>
      <c r="FB27" t="s">
        <v>167</v>
      </c>
      <c r="FC27" t="s">
        <v>167</v>
      </c>
      <c r="FD27" t="s">
        <v>167</v>
      </c>
      <c r="FE27">
        <v>8.07</v>
      </c>
      <c r="FF27" t="s">
        <v>167</v>
      </c>
      <c r="FG27">
        <v>5.9000000000001052E-2</v>
      </c>
      <c r="FH27">
        <v>6.4000000000000057E-2</v>
      </c>
      <c r="FI27">
        <v>342</v>
      </c>
      <c r="FJ27" t="s">
        <v>167</v>
      </c>
      <c r="FK27" t="s">
        <v>190</v>
      </c>
      <c r="FL27">
        <v>342</v>
      </c>
      <c r="FM27">
        <v>101</v>
      </c>
      <c r="FN27">
        <v>78</v>
      </c>
      <c r="FO27" t="s">
        <v>167</v>
      </c>
      <c r="FP27" t="s">
        <v>194</v>
      </c>
      <c r="FQ27" t="s">
        <v>167</v>
      </c>
      <c r="FR27" t="s">
        <v>167</v>
      </c>
      <c r="FS27" t="s">
        <v>167</v>
      </c>
      <c r="FT27" t="s">
        <v>167</v>
      </c>
      <c r="FU27" t="s">
        <v>167</v>
      </c>
      <c r="FV27" t="s">
        <v>167</v>
      </c>
      <c r="FW27" t="s">
        <v>167</v>
      </c>
      <c r="FX27" t="s">
        <v>167</v>
      </c>
      <c r="FY27" t="s">
        <v>167</v>
      </c>
      <c r="FZ27" t="s">
        <v>167</v>
      </c>
      <c r="GA27" t="s">
        <v>167</v>
      </c>
      <c r="GB27" t="s">
        <v>167</v>
      </c>
      <c r="GC27" t="s">
        <v>167</v>
      </c>
    </row>
    <row r="28" spans="1:185" ht="16" x14ac:dyDescent="0.2">
      <c r="A28" t="s">
        <v>206</v>
      </c>
      <c r="B28" s="142" t="s">
        <v>207</v>
      </c>
      <c r="C28" s="138" t="s">
        <v>168</v>
      </c>
      <c r="D28" t="s">
        <v>205</v>
      </c>
      <c r="E28" s="146">
        <v>2000</v>
      </c>
      <c r="F28" t="str">
        <f t="shared" si="3"/>
        <v>10.1038/35021000</v>
      </c>
      <c r="G28" s="143">
        <f t="shared" si="4"/>
        <v>44260</v>
      </c>
      <c r="H28">
        <f t="shared" si="5"/>
        <v>1540</v>
      </c>
      <c r="I28">
        <f t="shared" si="6"/>
        <v>660</v>
      </c>
      <c r="J28" s="145">
        <f t="shared" si="7"/>
        <v>562</v>
      </c>
      <c r="K28" s="145">
        <f t="shared" si="8"/>
        <v>70</v>
      </c>
      <c r="L28" s="145">
        <f t="shared" si="9"/>
        <v>61</v>
      </c>
      <c r="M28" t="b">
        <v>1</v>
      </c>
      <c r="N28">
        <v>3</v>
      </c>
      <c r="O28" t="s">
        <v>209</v>
      </c>
      <c r="P28" s="154" t="s">
        <v>167</v>
      </c>
      <c r="Q28" t="b">
        <v>0</v>
      </c>
      <c r="R28" t="s">
        <v>167</v>
      </c>
      <c r="S28" t="b">
        <v>1</v>
      </c>
      <c r="T28" t="b">
        <v>0</v>
      </c>
      <c r="U28" t="s">
        <v>167</v>
      </c>
      <c r="V28" t="s">
        <v>167</v>
      </c>
      <c r="W28" t="b">
        <v>0</v>
      </c>
      <c r="X28" t="s">
        <v>167</v>
      </c>
      <c r="Y28" s="139" t="s">
        <v>169</v>
      </c>
      <c r="Z28" s="147" t="s">
        <v>170</v>
      </c>
      <c r="AA28">
        <v>865</v>
      </c>
      <c r="AB28" t="s">
        <v>197</v>
      </c>
      <c r="AC28">
        <v>7</v>
      </c>
      <c r="AD28">
        <v>1</v>
      </c>
      <c r="AE28">
        <v>110</v>
      </c>
      <c r="AF28">
        <v>112</v>
      </c>
      <c r="AG28" t="s">
        <v>167</v>
      </c>
      <c r="AH28" t="s">
        <v>167</v>
      </c>
      <c r="AI28" t="s">
        <v>167</v>
      </c>
      <c r="AJ28" t="s">
        <v>172</v>
      </c>
      <c r="AK28">
        <v>18.551388889999998</v>
      </c>
      <c r="AL28">
        <v>-179.64416667</v>
      </c>
      <c r="AM28">
        <v>0</v>
      </c>
      <c r="AN28" t="s">
        <v>167</v>
      </c>
      <c r="AO28">
        <v>-1517.4</v>
      </c>
      <c r="AP28" t="s">
        <v>167</v>
      </c>
      <c r="AQ28" s="148" t="s">
        <v>173</v>
      </c>
      <c r="AR28" t="s">
        <v>167</v>
      </c>
      <c r="AS28">
        <v>44260</v>
      </c>
      <c r="AT28" t="s">
        <v>174</v>
      </c>
      <c r="AU28">
        <v>1540</v>
      </c>
      <c r="AV28" s="153">
        <v>660</v>
      </c>
      <c r="AW28" s="149" t="s">
        <v>175</v>
      </c>
      <c r="AX28" t="s">
        <v>176</v>
      </c>
      <c r="AY28" t="s">
        <v>177</v>
      </c>
      <c r="AZ28" t="s">
        <v>167</v>
      </c>
      <c r="BA28" t="s">
        <v>167</v>
      </c>
      <c r="BB28" t="s">
        <v>167</v>
      </c>
      <c r="BC28" t="s">
        <v>167</v>
      </c>
      <c r="BD28" t="s">
        <v>167</v>
      </c>
      <c r="BE28" t="s">
        <v>167</v>
      </c>
      <c r="BF28" t="s">
        <v>167</v>
      </c>
      <c r="BG28" t="s">
        <v>199</v>
      </c>
      <c r="BH28" t="s">
        <v>198</v>
      </c>
      <c r="BI28" t="s">
        <v>179</v>
      </c>
      <c r="BJ28" t="s">
        <v>167</v>
      </c>
      <c r="BK28" t="s">
        <v>180</v>
      </c>
      <c r="BL28" t="s">
        <v>181</v>
      </c>
      <c r="BM28" t="s">
        <v>182</v>
      </c>
      <c r="BN28" t="s">
        <v>167</v>
      </c>
      <c r="BO28" t="s">
        <v>167</v>
      </c>
      <c r="BP28" t="s">
        <v>167</v>
      </c>
      <c r="BQ28">
        <v>24.1</v>
      </c>
      <c r="BR28" s="150" t="s">
        <v>183</v>
      </c>
      <c r="BS28">
        <v>0.2</v>
      </c>
      <c r="BT28" t="s">
        <v>184</v>
      </c>
      <c r="BU28" t="s">
        <v>185</v>
      </c>
      <c r="BV28" t="s">
        <v>185</v>
      </c>
      <c r="BW28" t="s">
        <v>167</v>
      </c>
      <c r="BX28" t="s">
        <v>167</v>
      </c>
      <c r="BY28" t="s">
        <v>167</v>
      </c>
      <c r="BZ28" t="s">
        <v>167</v>
      </c>
      <c r="CA28" t="s">
        <v>167</v>
      </c>
      <c r="CB28" s="144">
        <v>24.1</v>
      </c>
      <c r="CC28" s="150" t="s">
        <v>183</v>
      </c>
      <c r="CD28">
        <v>0.2</v>
      </c>
      <c r="CE28" t="s">
        <v>186</v>
      </c>
      <c r="CF28" t="s">
        <v>187</v>
      </c>
      <c r="CG28" t="s">
        <v>167</v>
      </c>
      <c r="CH28" t="s">
        <v>167</v>
      </c>
      <c r="CI28" t="s">
        <v>167</v>
      </c>
      <c r="CJ28">
        <v>27</v>
      </c>
      <c r="CK28" t="s">
        <v>167</v>
      </c>
      <c r="CL28" t="s">
        <v>167</v>
      </c>
      <c r="CM28" t="s">
        <v>167</v>
      </c>
      <c r="CN28" t="s">
        <v>167</v>
      </c>
      <c r="CO28" t="s">
        <v>167</v>
      </c>
      <c r="CP28" t="s">
        <v>167</v>
      </c>
      <c r="CQ28" t="s">
        <v>167</v>
      </c>
      <c r="CR28" t="s">
        <v>167</v>
      </c>
      <c r="CS28" t="s">
        <v>167</v>
      </c>
      <c r="CT28" t="s">
        <v>167</v>
      </c>
      <c r="CU28" t="s">
        <v>167</v>
      </c>
      <c r="CV28" t="s">
        <v>167</v>
      </c>
      <c r="CW28" t="s">
        <v>167</v>
      </c>
      <c r="CX28" t="s">
        <v>167</v>
      </c>
      <c r="CY28" t="s">
        <v>167</v>
      </c>
      <c r="CZ28" t="s">
        <v>167</v>
      </c>
      <c r="DA28" t="s">
        <v>167</v>
      </c>
      <c r="DB28" t="s">
        <v>167</v>
      </c>
      <c r="DC28" t="s">
        <v>167</v>
      </c>
      <c r="DD28" t="s">
        <v>167</v>
      </c>
      <c r="DE28" t="s">
        <v>167</v>
      </c>
      <c r="DF28" t="s">
        <v>167</v>
      </c>
      <c r="DG28" t="s">
        <v>167</v>
      </c>
      <c r="DH28" t="s">
        <v>167</v>
      </c>
      <c r="DI28" t="s">
        <v>167</v>
      </c>
      <c r="DJ28" t="s">
        <v>167</v>
      </c>
      <c r="DK28" t="s">
        <v>167</v>
      </c>
      <c r="DL28" t="s">
        <v>167</v>
      </c>
      <c r="DM28" t="s">
        <v>167</v>
      </c>
      <c r="DN28" t="s">
        <v>167</v>
      </c>
      <c r="DO28" t="s">
        <v>167</v>
      </c>
      <c r="DP28" t="s">
        <v>167</v>
      </c>
      <c r="DQ28" t="s">
        <v>167</v>
      </c>
      <c r="DR28" t="s">
        <v>167</v>
      </c>
      <c r="DS28" t="s">
        <v>167</v>
      </c>
      <c r="DT28" t="s">
        <v>167</v>
      </c>
      <c r="DU28" t="s">
        <v>167</v>
      </c>
      <c r="DV28" t="s">
        <v>167</v>
      </c>
      <c r="DW28" t="s">
        <v>167</v>
      </c>
      <c r="DX28" t="s">
        <v>167</v>
      </c>
      <c r="DY28" t="s">
        <v>167</v>
      </c>
      <c r="DZ28" t="s">
        <v>167</v>
      </c>
      <c r="EA28">
        <v>39.4</v>
      </c>
      <c r="EB28" t="s">
        <v>167</v>
      </c>
      <c r="EC28" t="s">
        <v>167</v>
      </c>
      <c r="ED28" t="s">
        <v>188</v>
      </c>
      <c r="EE28" t="s">
        <v>167</v>
      </c>
      <c r="EF28" t="s">
        <v>167</v>
      </c>
      <c r="EG28">
        <v>1.0194000000000001</v>
      </c>
      <c r="EH28" t="s">
        <v>167</v>
      </c>
      <c r="EI28" t="s">
        <v>167</v>
      </c>
      <c r="EJ28" t="s">
        <v>189</v>
      </c>
      <c r="EK28" t="s">
        <v>190</v>
      </c>
      <c r="EL28" t="s">
        <v>190</v>
      </c>
      <c r="EM28" t="s">
        <v>191</v>
      </c>
      <c r="EN28" t="s">
        <v>167</v>
      </c>
      <c r="EO28" t="s">
        <v>167</v>
      </c>
      <c r="EP28" t="s">
        <v>167</v>
      </c>
      <c r="EQ28" t="s">
        <v>167</v>
      </c>
      <c r="ER28" t="s">
        <v>167</v>
      </c>
      <c r="ES28" t="s">
        <v>167</v>
      </c>
      <c r="ET28" t="s">
        <v>192</v>
      </c>
      <c r="EU28" t="s">
        <v>193</v>
      </c>
      <c r="EV28" t="s">
        <v>167</v>
      </c>
      <c r="EW28">
        <v>2500</v>
      </c>
      <c r="EX28" t="s">
        <v>167</v>
      </c>
      <c r="EY28" s="152">
        <v>100</v>
      </c>
      <c r="EZ28" s="152">
        <v>80</v>
      </c>
      <c r="FA28" t="s">
        <v>167</v>
      </c>
      <c r="FB28" t="s">
        <v>167</v>
      </c>
      <c r="FC28" t="s">
        <v>167</v>
      </c>
      <c r="FD28" t="s">
        <v>167</v>
      </c>
      <c r="FE28">
        <v>7.95</v>
      </c>
      <c r="FF28" t="s">
        <v>167</v>
      </c>
      <c r="FG28">
        <v>2.7999999999999581E-2</v>
      </c>
      <c r="FH28">
        <v>2.8999999999999915E-2</v>
      </c>
      <c r="FI28">
        <v>562</v>
      </c>
      <c r="FJ28" t="s">
        <v>167</v>
      </c>
      <c r="FK28" t="s">
        <v>190</v>
      </c>
      <c r="FL28">
        <v>562</v>
      </c>
      <c r="FM28">
        <v>70</v>
      </c>
      <c r="FN28">
        <v>61</v>
      </c>
      <c r="FO28" t="s">
        <v>167</v>
      </c>
      <c r="FP28" t="s">
        <v>194</v>
      </c>
      <c r="FQ28" t="s">
        <v>167</v>
      </c>
      <c r="FR28" t="s">
        <v>167</v>
      </c>
      <c r="FS28" t="s">
        <v>167</v>
      </c>
      <c r="FT28" t="s">
        <v>167</v>
      </c>
      <c r="FU28" t="s">
        <v>167</v>
      </c>
      <c r="FV28" t="s">
        <v>167</v>
      </c>
      <c r="FW28" t="s">
        <v>167</v>
      </c>
      <c r="FX28" t="s">
        <v>167</v>
      </c>
      <c r="FY28" t="s">
        <v>167</v>
      </c>
      <c r="FZ28" t="s">
        <v>167</v>
      </c>
      <c r="GA28" t="s">
        <v>167</v>
      </c>
      <c r="GB28" t="s">
        <v>167</v>
      </c>
      <c r="GC28" t="s">
        <v>167</v>
      </c>
    </row>
    <row r="29" spans="1:185" ht="16" x14ac:dyDescent="0.2">
      <c r="A29" t="s">
        <v>206</v>
      </c>
      <c r="B29" s="142" t="s">
        <v>207</v>
      </c>
      <c r="C29" s="138" t="s">
        <v>168</v>
      </c>
      <c r="D29" t="s">
        <v>205</v>
      </c>
      <c r="E29" s="146">
        <v>2000</v>
      </c>
      <c r="F29" t="str">
        <f t="shared" si="3"/>
        <v>10.1038/35021000</v>
      </c>
      <c r="G29" s="143">
        <f t="shared" si="4"/>
        <v>45690</v>
      </c>
      <c r="H29">
        <f t="shared" si="5"/>
        <v>110</v>
      </c>
      <c r="I29">
        <f t="shared" si="6"/>
        <v>2090</v>
      </c>
      <c r="J29" s="145">
        <f t="shared" si="7"/>
        <v>1041</v>
      </c>
      <c r="K29" s="145">
        <f t="shared" si="8"/>
        <v>569</v>
      </c>
      <c r="L29" s="145">
        <f t="shared" si="9"/>
        <v>333</v>
      </c>
      <c r="M29" t="b">
        <v>1</v>
      </c>
      <c r="N29">
        <v>3</v>
      </c>
      <c r="O29" t="s">
        <v>209</v>
      </c>
      <c r="P29" s="154" t="s">
        <v>167</v>
      </c>
      <c r="Q29" t="b">
        <v>0</v>
      </c>
      <c r="R29" t="s">
        <v>167</v>
      </c>
      <c r="S29" t="b">
        <v>1</v>
      </c>
      <c r="T29" t="b">
        <v>0</v>
      </c>
      <c r="U29" t="s">
        <v>167</v>
      </c>
      <c r="V29" t="s">
        <v>167</v>
      </c>
      <c r="W29" t="b">
        <v>0</v>
      </c>
      <c r="X29" t="s">
        <v>167</v>
      </c>
      <c r="Y29" s="139" t="s">
        <v>169</v>
      </c>
      <c r="Z29" s="147" t="s">
        <v>170</v>
      </c>
      <c r="AA29">
        <v>865</v>
      </c>
      <c r="AB29" t="s">
        <v>197</v>
      </c>
      <c r="AC29">
        <v>7</v>
      </c>
      <c r="AD29">
        <v>3</v>
      </c>
      <c r="AE29">
        <v>110</v>
      </c>
      <c r="AF29">
        <v>112</v>
      </c>
      <c r="AG29" t="s">
        <v>167</v>
      </c>
      <c r="AH29" t="s">
        <v>167</v>
      </c>
      <c r="AI29" t="s">
        <v>167</v>
      </c>
      <c r="AJ29" t="s">
        <v>172</v>
      </c>
      <c r="AK29">
        <v>18.551388889999998</v>
      </c>
      <c r="AL29">
        <v>-179.64416667</v>
      </c>
      <c r="AM29">
        <v>0</v>
      </c>
      <c r="AN29" t="s">
        <v>167</v>
      </c>
      <c r="AO29">
        <v>-1517.4</v>
      </c>
      <c r="AP29" t="s">
        <v>167</v>
      </c>
      <c r="AQ29" s="148" t="s">
        <v>173</v>
      </c>
      <c r="AR29" t="s">
        <v>167</v>
      </c>
      <c r="AS29">
        <v>45690</v>
      </c>
      <c r="AT29" t="s">
        <v>174</v>
      </c>
      <c r="AU29">
        <v>110</v>
      </c>
      <c r="AV29" s="153">
        <v>2090</v>
      </c>
      <c r="AW29" s="149" t="s">
        <v>175</v>
      </c>
      <c r="AX29" t="s">
        <v>176</v>
      </c>
      <c r="AY29" t="s">
        <v>177</v>
      </c>
      <c r="AZ29" t="s">
        <v>167</v>
      </c>
      <c r="BA29" t="s">
        <v>167</v>
      </c>
      <c r="BB29" t="s">
        <v>167</v>
      </c>
      <c r="BC29" t="s">
        <v>167</v>
      </c>
      <c r="BD29" t="s">
        <v>167</v>
      </c>
      <c r="BE29" t="s">
        <v>167</v>
      </c>
      <c r="BF29" t="s">
        <v>167</v>
      </c>
      <c r="BG29" t="s">
        <v>200</v>
      </c>
      <c r="BH29" t="s">
        <v>198</v>
      </c>
      <c r="BI29" t="s">
        <v>179</v>
      </c>
      <c r="BJ29" t="s">
        <v>167</v>
      </c>
      <c r="BK29" t="s">
        <v>180</v>
      </c>
      <c r="BL29" t="s">
        <v>181</v>
      </c>
      <c r="BM29" t="s">
        <v>182</v>
      </c>
      <c r="BN29" t="s">
        <v>167</v>
      </c>
      <c r="BO29" t="s">
        <v>167</v>
      </c>
      <c r="BP29" t="s">
        <v>167</v>
      </c>
      <c r="BQ29">
        <v>23.1</v>
      </c>
      <c r="BR29" s="150" t="s">
        <v>183</v>
      </c>
      <c r="BS29">
        <v>0.6</v>
      </c>
      <c r="BT29" t="s">
        <v>184</v>
      </c>
      <c r="BU29" t="s">
        <v>185</v>
      </c>
      <c r="BV29" t="s">
        <v>185</v>
      </c>
      <c r="BW29" t="s">
        <v>167</v>
      </c>
      <c r="BX29" t="s">
        <v>167</v>
      </c>
      <c r="BY29" t="s">
        <v>167</v>
      </c>
      <c r="BZ29" t="s">
        <v>167</v>
      </c>
      <c r="CA29" t="s">
        <v>167</v>
      </c>
      <c r="CB29" s="144">
        <v>23.1</v>
      </c>
      <c r="CC29" s="150" t="s">
        <v>183</v>
      </c>
      <c r="CD29">
        <v>0.6</v>
      </c>
      <c r="CE29" t="s">
        <v>186</v>
      </c>
      <c r="CF29" t="s">
        <v>187</v>
      </c>
      <c r="CG29" t="s">
        <v>167</v>
      </c>
      <c r="CH29" t="s">
        <v>167</v>
      </c>
      <c r="CI29" t="s">
        <v>167</v>
      </c>
      <c r="CJ29">
        <v>27</v>
      </c>
      <c r="CK29" t="s">
        <v>167</v>
      </c>
      <c r="CL29" t="s">
        <v>167</v>
      </c>
      <c r="CM29" t="s">
        <v>167</v>
      </c>
      <c r="CN29" t="s">
        <v>167</v>
      </c>
      <c r="CO29" t="s">
        <v>167</v>
      </c>
      <c r="CP29" t="s">
        <v>167</v>
      </c>
      <c r="CQ29" t="s">
        <v>167</v>
      </c>
      <c r="CR29" t="s">
        <v>167</v>
      </c>
      <c r="CS29" t="s">
        <v>167</v>
      </c>
      <c r="CT29" t="s">
        <v>167</v>
      </c>
      <c r="CU29" t="s">
        <v>167</v>
      </c>
      <c r="CV29" t="s">
        <v>167</v>
      </c>
      <c r="CW29" t="s">
        <v>167</v>
      </c>
      <c r="CX29" t="s">
        <v>167</v>
      </c>
      <c r="CY29" t="s">
        <v>167</v>
      </c>
      <c r="CZ29" t="s">
        <v>167</v>
      </c>
      <c r="DA29" t="s">
        <v>167</v>
      </c>
      <c r="DB29" t="s">
        <v>167</v>
      </c>
      <c r="DC29" t="s">
        <v>167</v>
      </c>
      <c r="DD29" t="s">
        <v>167</v>
      </c>
      <c r="DE29" t="s">
        <v>167</v>
      </c>
      <c r="DF29" t="s">
        <v>167</v>
      </c>
      <c r="DG29" t="s">
        <v>167</v>
      </c>
      <c r="DH29" t="s">
        <v>167</v>
      </c>
      <c r="DI29" t="s">
        <v>167</v>
      </c>
      <c r="DJ29" t="s">
        <v>167</v>
      </c>
      <c r="DK29" t="s">
        <v>167</v>
      </c>
      <c r="DL29" t="s">
        <v>167</v>
      </c>
      <c r="DM29" t="s">
        <v>167</v>
      </c>
      <c r="DN29" t="s">
        <v>167</v>
      </c>
      <c r="DO29" t="s">
        <v>167</v>
      </c>
      <c r="DP29" t="s">
        <v>167</v>
      </c>
      <c r="DQ29" t="s">
        <v>167</v>
      </c>
      <c r="DR29" t="s">
        <v>167</v>
      </c>
      <c r="DS29" t="s">
        <v>167</v>
      </c>
      <c r="DT29" t="s">
        <v>167</v>
      </c>
      <c r="DU29" t="s">
        <v>167</v>
      </c>
      <c r="DV29" t="s">
        <v>167</v>
      </c>
      <c r="DW29" t="s">
        <v>167</v>
      </c>
      <c r="DX29" t="s">
        <v>167</v>
      </c>
      <c r="DY29" t="s">
        <v>167</v>
      </c>
      <c r="DZ29" t="s">
        <v>167</v>
      </c>
      <c r="EA29">
        <v>39.4</v>
      </c>
      <c r="EB29" t="s">
        <v>167</v>
      </c>
      <c r="EC29" t="s">
        <v>167</v>
      </c>
      <c r="ED29" t="s">
        <v>188</v>
      </c>
      <c r="EE29" t="s">
        <v>167</v>
      </c>
      <c r="EF29" t="s">
        <v>167</v>
      </c>
      <c r="EG29">
        <v>1.0194000000000001</v>
      </c>
      <c r="EH29" t="s">
        <v>167</v>
      </c>
      <c r="EI29" t="s">
        <v>167</v>
      </c>
      <c r="EJ29" t="s">
        <v>189</v>
      </c>
      <c r="EK29" t="s">
        <v>190</v>
      </c>
      <c r="EL29" t="s">
        <v>190</v>
      </c>
      <c r="EM29" t="s">
        <v>191</v>
      </c>
      <c r="EN29" t="s">
        <v>167</v>
      </c>
      <c r="EO29" t="s">
        <v>167</v>
      </c>
      <c r="EP29" t="s">
        <v>167</v>
      </c>
      <c r="EQ29" t="s">
        <v>167</v>
      </c>
      <c r="ER29" t="s">
        <v>167</v>
      </c>
      <c r="ES29" t="s">
        <v>167</v>
      </c>
      <c r="ET29" t="s">
        <v>192</v>
      </c>
      <c r="EU29" t="s">
        <v>193</v>
      </c>
      <c r="EV29" t="s">
        <v>167</v>
      </c>
      <c r="EW29">
        <v>2980</v>
      </c>
      <c r="EX29" t="s">
        <v>167</v>
      </c>
      <c r="EY29" s="151">
        <v>370</v>
      </c>
      <c r="EZ29" s="151">
        <v>305</v>
      </c>
      <c r="FA29" t="s">
        <v>167</v>
      </c>
      <c r="FB29" t="s">
        <v>167</v>
      </c>
      <c r="FC29" t="s">
        <v>167</v>
      </c>
      <c r="FD29" t="s">
        <v>167</v>
      </c>
      <c r="FE29">
        <v>7.79</v>
      </c>
      <c r="FF29" t="s">
        <v>167</v>
      </c>
      <c r="FG29">
        <v>0.10199999999999942</v>
      </c>
      <c r="FH29">
        <v>0.12100000000000044</v>
      </c>
      <c r="FI29">
        <v>1041</v>
      </c>
      <c r="FJ29" t="s">
        <v>167</v>
      </c>
      <c r="FK29" t="s">
        <v>190</v>
      </c>
      <c r="FL29">
        <v>1041</v>
      </c>
      <c r="FM29">
        <v>569</v>
      </c>
      <c r="FN29">
        <v>333</v>
      </c>
      <c r="FO29" t="s">
        <v>167</v>
      </c>
      <c r="FP29" t="s">
        <v>194</v>
      </c>
      <c r="FQ29" t="s">
        <v>167</v>
      </c>
      <c r="FR29" t="s">
        <v>167</v>
      </c>
      <c r="FS29" t="s">
        <v>167</v>
      </c>
      <c r="FT29" t="s">
        <v>167</v>
      </c>
      <c r="FU29" t="s">
        <v>167</v>
      </c>
      <c r="FV29" t="s">
        <v>167</v>
      </c>
      <c r="FW29" t="s">
        <v>167</v>
      </c>
      <c r="FX29" t="s">
        <v>167</v>
      </c>
      <c r="FY29" t="s">
        <v>167</v>
      </c>
      <c r="FZ29" t="s">
        <v>167</v>
      </c>
      <c r="GA29" t="s">
        <v>167</v>
      </c>
      <c r="GB29" t="s">
        <v>167</v>
      </c>
      <c r="GC29" t="s">
        <v>167</v>
      </c>
    </row>
    <row r="30" spans="1:185" ht="16" x14ac:dyDescent="0.2">
      <c r="A30" t="s">
        <v>206</v>
      </c>
      <c r="B30" s="142" t="s">
        <v>207</v>
      </c>
      <c r="C30" s="138" t="s">
        <v>168</v>
      </c>
      <c r="D30" t="s">
        <v>205</v>
      </c>
      <c r="E30" s="146">
        <v>2000</v>
      </c>
      <c r="F30" t="str">
        <f t="shared" si="3"/>
        <v>10.1038/35021000</v>
      </c>
      <c r="G30" s="143">
        <f t="shared" si="4"/>
        <v>46070</v>
      </c>
      <c r="H30">
        <f t="shared" si="5"/>
        <v>30</v>
      </c>
      <c r="I30">
        <f t="shared" si="6"/>
        <v>270</v>
      </c>
      <c r="J30" s="145">
        <f t="shared" si="7"/>
        <v>2446</v>
      </c>
      <c r="K30" s="145">
        <f t="shared" si="8"/>
        <v>232</v>
      </c>
      <c r="L30" s="145">
        <f t="shared" si="9"/>
        <v>196</v>
      </c>
      <c r="M30" t="b">
        <v>1</v>
      </c>
      <c r="N30">
        <v>3</v>
      </c>
      <c r="O30" t="s">
        <v>209</v>
      </c>
      <c r="P30" s="154" t="s">
        <v>167</v>
      </c>
      <c r="Q30" t="b">
        <v>0</v>
      </c>
      <c r="R30" t="s">
        <v>167</v>
      </c>
      <c r="S30" t="b">
        <v>1</v>
      </c>
      <c r="T30" t="b">
        <v>0</v>
      </c>
      <c r="U30" t="s">
        <v>167</v>
      </c>
      <c r="V30" t="s">
        <v>167</v>
      </c>
      <c r="W30" t="b">
        <v>0</v>
      </c>
      <c r="X30" t="s">
        <v>167</v>
      </c>
      <c r="Y30" s="139" t="s">
        <v>169</v>
      </c>
      <c r="Z30" s="147" t="s">
        <v>170</v>
      </c>
      <c r="AA30">
        <v>865</v>
      </c>
      <c r="AB30" t="s">
        <v>197</v>
      </c>
      <c r="AC30">
        <v>8</v>
      </c>
      <c r="AD30">
        <v>3</v>
      </c>
      <c r="AE30">
        <v>110</v>
      </c>
      <c r="AF30">
        <v>112</v>
      </c>
      <c r="AG30" t="s">
        <v>167</v>
      </c>
      <c r="AH30" t="s">
        <v>167</v>
      </c>
      <c r="AI30" t="s">
        <v>167</v>
      </c>
      <c r="AJ30" t="s">
        <v>172</v>
      </c>
      <c r="AK30">
        <v>18.551388889999998</v>
      </c>
      <c r="AL30">
        <v>-179.64416667</v>
      </c>
      <c r="AM30">
        <v>0</v>
      </c>
      <c r="AN30" t="s">
        <v>167</v>
      </c>
      <c r="AO30">
        <v>-1517.4</v>
      </c>
      <c r="AP30" t="s">
        <v>167</v>
      </c>
      <c r="AQ30" s="148" t="s">
        <v>173</v>
      </c>
      <c r="AR30" t="s">
        <v>167</v>
      </c>
      <c r="AS30">
        <v>46070</v>
      </c>
      <c r="AT30" t="s">
        <v>174</v>
      </c>
      <c r="AU30">
        <v>30</v>
      </c>
      <c r="AV30" s="153">
        <v>270</v>
      </c>
      <c r="AW30" s="149" t="s">
        <v>175</v>
      </c>
      <c r="AX30" t="s">
        <v>176</v>
      </c>
      <c r="AY30" t="s">
        <v>177</v>
      </c>
      <c r="AZ30" t="s">
        <v>167</v>
      </c>
      <c r="BA30" t="s">
        <v>167</v>
      </c>
      <c r="BB30" t="s">
        <v>167</v>
      </c>
      <c r="BC30" t="s">
        <v>167</v>
      </c>
      <c r="BD30" t="s">
        <v>167</v>
      </c>
      <c r="BE30" t="s">
        <v>167</v>
      </c>
      <c r="BF30" t="s">
        <v>167</v>
      </c>
      <c r="BG30" t="s">
        <v>200</v>
      </c>
      <c r="BH30" t="s">
        <v>198</v>
      </c>
      <c r="BI30" t="s">
        <v>179</v>
      </c>
      <c r="BJ30" t="s">
        <v>167</v>
      </c>
      <c r="BK30" t="s">
        <v>180</v>
      </c>
      <c r="BL30" t="s">
        <v>181</v>
      </c>
      <c r="BM30" t="s">
        <v>182</v>
      </c>
      <c r="BN30" t="s">
        <v>167</v>
      </c>
      <c r="BO30" t="s">
        <v>167</v>
      </c>
      <c r="BP30" t="s">
        <v>167</v>
      </c>
      <c r="BQ30">
        <v>22</v>
      </c>
      <c r="BR30" s="150" t="s">
        <v>183</v>
      </c>
      <c r="BS30">
        <v>0.1</v>
      </c>
      <c r="BT30" t="s">
        <v>184</v>
      </c>
      <c r="BU30" t="s">
        <v>185</v>
      </c>
      <c r="BV30" t="s">
        <v>185</v>
      </c>
      <c r="BW30" t="s">
        <v>167</v>
      </c>
      <c r="BX30" t="s">
        <v>167</v>
      </c>
      <c r="BY30" t="s">
        <v>167</v>
      </c>
      <c r="BZ30" t="s">
        <v>167</v>
      </c>
      <c r="CA30" t="s">
        <v>167</v>
      </c>
      <c r="CB30" s="144">
        <v>22</v>
      </c>
      <c r="CC30" s="150" t="s">
        <v>183</v>
      </c>
      <c r="CD30">
        <v>0.1</v>
      </c>
      <c r="CE30" t="s">
        <v>186</v>
      </c>
      <c r="CF30" t="s">
        <v>187</v>
      </c>
      <c r="CG30" t="s">
        <v>167</v>
      </c>
      <c r="CH30" t="s">
        <v>167</v>
      </c>
      <c r="CI30" t="s">
        <v>167</v>
      </c>
      <c r="CJ30">
        <v>27</v>
      </c>
      <c r="CK30" t="s">
        <v>167</v>
      </c>
      <c r="CL30" t="s">
        <v>167</v>
      </c>
      <c r="CM30" t="s">
        <v>167</v>
      </c>
      <c r="CN30" t="s">
        <v>167</v>
      </c>
      <c r="CO30" t="s">
        <v>167</v>
      </c>
      <c r="CP30" t="s">
        <v>167</v>
      </c>
      <c r="CQ30" t="s">
        <v>167</v>
      </c>
      <c r="CR30" t="s">
        <v>167</v>
      </c>
      <c r="CS30" t="s">
        <v>167</v>
      </c>
      <c r="CT30" t="s">
        <v>167</v>
      </c>
      <c r="CU30" t="s">
        <v>167</v>
      </c>
      <c r="CV30" t="s">
        <v>167</v>
      </c>
      <c r="CW30" t="s">
        <v>167</v>
      </c>
      <c r="CX30" t="s">
        <v>167</v>
      </c>
      <c r="CY30" t="s">
        <v>167</v>
      </c>
      <c r="CZ30" t="s">
        <v>167</v>
      </c>
      <c r="DA30" t="s">
        <v>167</v>
      </c>
      <c r="DB30" t="s">
        <v>167</v>
      </c>
      <c r="DC30" t="s">
        <v>167</v>
      </c>
      <c r="DD30" t="s">
        <v>167</v>
      </c>
      <c r="DE30" t="s">
        <v>167</v>
      </c>
      <c r="DF30" t="s">
        <v>167</v>
      </c>
      <c r="DG30" t="s">
        <v>167</v>
      </c>
      <c r="DH30" t="s">
        <v>167</v>
      </c>
      <c r="DI30" t="s">
        <v>167</v>
      </c>
      <c r="DJ30" t="s">
        <v>167</v>
      </c>
      <c r="DK30" t="s">
        <v>167</v>
      </c>
      <c r="DL30" t="s">
        <v>167</v>
      </c>
      <c r="DM30" t="s">
        <v>167</v>
      </c>
      <c r="DN30" t="s">
        <v>167</v>
      </c>
      <c r="DO30" t="s">
        <v>167</v>
      </c>
      <c r="DP30" t="s">
        <v>167</v>
      </c>
      <c r="DQ30" t="s">
        <v>167</v>
      </c>
      <c r="DR30" t="s">
        <v>167</v>
      </c>
      <c r="DS30" t="s">
        <v>167</v>
      </c>
      <c r="DT30" t="s">
        <v>167</v>
      </c>
      <c r="DU30" t="s">
        <v>167</v>
      </c>
      <c r="DV30" t="s">
        <v>167</v>
      </c>
      <c r="DW30" t="s">
        <v>167</v>
      </c>
      <c r="DX30" t="s">
        <v>167</v>
      </c>
      <c r="DY30" t="s">
        <v>167</v>
      </c>
      <c r="DZ30" t="s">
        <v>167</v>
      </c>
      <c r="EA30">
        <v>39.4</v>
      </c>
      <c r="EB30" t="s">
        <v>167</v>
      </c>
      <c r="EC30" t="s">
        <v>167</v>
      </c>
      <c r="ED30" t="s">
        <v>188</v>
      </c>
      <c r="EE30" t="s">
        <v>167</v>
      </c>
      <c r="EF30" t="s">
        <v>167</v>
      </c>
      <c r="EG30">
        <v>1.0194000000000001</v>
      </c>
      <c r="EH30" t="s">
        <v>167</v>
      </c>
      <c r="EI30" t="s">
        <v>167</v>
      </c>
      <c r="EJ30" t="s">
        <v>189</v>
      </c>
      <c r="EK30" t="s">
        <v>190</v>
      </c>
      <c r="EL30" t="s">
        <v>190</v>
      </c>
      <c r="EM30" t="s">
        <v>191</v>
      </c>
      <c r="EN30" t="s">
        <v>167</v>
      </c>
      <c r="EO30" t="s">
        <v>167</v>
      </c>
      <c r="EP30" t="s">
        <v>167</v>
      </c>
      <c r="EQ30" t="s">
        <v>167</v>
      </c>
      <c r="ER30" t="s">
        <v>167</v>
      </c>
      <c r="ES30" t="s">
        <v>167</v>
      </c>
      <c r="ET30" t="s">
        <v>192</v>
      </c>
      <c r="EU30" t="s">
        <v>193</v>
      </c>
      <c r="EV30" t="s">
        <v>167</v>
      </c>
      <c r="EW30">
        <v>3660</v>
      </c>
      <c r="EX30" t="s">
        <v>167</v>
      </c>
      <c r="EY30" s="152">
        <v>90</v>
      </c>
      <c r="EZ30" s="152">
        <v>80</v>
      </c>
      <c r="FA30" t="s">
        <v>167</v>
      </c>
      <c r="FB30" t="s">
        <v>167</v>
      </c>
      <c r="FC30" t="s">
        <v>167</v>
      </c>
      <c r="FD30" t="s">
        <v>167</v>
      </c>
      <c r="FE30">
        <v>7.54</v>
      </c>
      <c r="FF30" t="s">
        <v>167</v>
      </c>
      <c r="FG30">
        <v>2.7000000000000135E-2</v>
      </c>
      <c r="FH30">
        <v>2.8999999999999915E-2</v>
      </c>
      <c r="FI30">
        <v>2446</v>
      </c>
      <c r="FJ30" t="s">
        <v>167</v>
      </c>
      <c r="FK30" t="s">
        <v>190</v>
      </c>
      <c r="FL30">
        <v>2446</v>
      </c>
      <c r="FM30">
        <v>232</v>
      </c>
      <c r="FN30">
        <v>196</v>
      </c>
      <c r="FO30" t="s">
        <v>167</v>
      </c>
      <c r="FP30" t="s">
        <v>194</v>
      </c>
      <c r="FQ30" t="s">
        <v>167</v>
      </c>
      <c r="FR30" t="s">
        <v>167</v>
      </c>
      <c r="FS30" t="s">
        <v>167</v>
      </c>
      <c r="FT30" t="s">
        <v>167</v>
      </c>
      <c r="FU30" t="s">
        <v>167</v>
      </c>
      <c r="FV30" t="s">
        <v>167</v>
      </c>
      <c r="FW30" t="s">
        <v>167</v>
      </c>
      <c r="FX30" t="s">
        <v>167</v>
      </c>
      <c r="FY30" t="s">
        <v>167</v>
      </c>
      <c r="FZ30" t="s">
        <v>167</v>
      </c>
      <c r="GA30" t="s">
        <v>167</v>
      </c>
      <c r="GB30" t="s">
        <v>167</v>
      </c>
      <c r="GC30" t="s">
        <v>167</v>
      </c>
    </row>
    <row r="31" spans="1:185" ht="16" x14ac:dyDescent="0.2">
      <c r="A31" t="s">
        <v>206</v>
      </c>
      <c r="B31" s="142" t="s">
        <v>207</v>
      </c>
      <c r="C31" s="138" t="s">
        <v>168</v>
      </c>
      <c r="D31" t="s">
        <v>205</v>
      </c>
      <c r="E31" s="146">
        <v>2000</v>
      </c>
      <c r="F31" t="str">
        <f t="shared" si="3"/>
        <v>10.1038/35021000</v>
      </c>
      <c r="G31" s="143">
        <f t="shared" si="4"/>
        <v>46970</v>
      </c>
      <c r="H31">
        <f t="shared" si="5"/>
        <v>2030</v>
      </c>
      <c r="I31">
        <f t="shared" si="6"/>
        <v>870</v>
      </c>
      <c r="J31" s="145">
        <f t="shared" si="7"/>
        <v>471</v>
      </c>
      <c r="K31" s="145">
        <f t="shared" si="8"/>
        <v>114</v>
      </c>
      <c r="L31" s="145">
        <f t="shared" si="9"/>
        <v>97</v>
      </c>
      <c r="M31" t="b">
        <v>1</v>
      </c>
      <c r="N31">
        <v>3</v>
      </c>
      <c r="O31" t="s">
        <v>209</v>
      </c>
      <c r="P31" s="154" t="s">
        <v>167</v>
      </c>
      <c r="Q31" t="b">
        <v>0</v>
      </c>
      <c r="R31" t="s">
        <v>167</v>
      </c>
      <c r="S31" t="b">
        <v>1</v>
      </c>
      <c r="T31" t="b">
        <v>0</v>
      </c>
      <c r="U31" t="s">
        <v>167</v>
      </c>
      <c r="V31" t="s">
        <v>167</v>
      </c>
      <c r="W31" t="b">
        <v>0</v>
      </c>
      <c r="X31" t="s">
        <v>167</v>
      </c>
      <c r="Y31" s="139" t="s">
        <v>169</v>
      </c>
      <c r="Z31" s="147" t="s">
        <v>170</v>
      </c>
      <c r="AA31">
        <v>865</v>
      </c>
      <c r="AB31" t="s">
        <v>197</v>
      </c>
      <c r="AC31">
        <v>8</v>
      </c>
      <c r="AD31">
        <v>5</v>
      </c>
      <c r="AE31">
        <v>110</v>
      </c>
      <c r="AF31">
        <v>112</v>
      </c>
      <c r="AG31" t="s">
        <v>167</v>
      </c>
      <c r="AH31" t="s">
        <v>167</v>
      </c>
      <c r="AI31" t="s">
        <v>167</v>
      </c>
      <c r="AJ31" t="s">
        <v>172</v>
      </c>
      <c r="AK31">
        <v>18.551388889999998</v>
      </c>
      <c r="AL31">
        <v>-179.64416667</v>
      </c>
      <c r="AM31">
        <v>0</v>
      </c>
      <c r="AN31" t="s">
        <v>167</v>
      </c>
      <c r="AO31">
        <v>-1517.4</v>
      </c>
      <c r="AP31" t="s">
        <v>167</v>
      </c>
      <c r="AQ31" s="148" t="s">
        <v>173</v>
      </c>
      <c r="AR31" t="s">
        <v>167</v>
      </c>
      <c r="AS31">
        <v>46970</v>
      </c>
      <c r="AT31" t="s">
        <v>174</v>
      </c>
      <c r="AU31">
        <v>2030</v>
      </c>
      <c r="AV31" s="153">
        <v>870</v>
      </c>
      <c r="AW31" s="149" t="s">
        <v>175</v>
      </c>
      <c r="AX31" t="s">
        <v>176</v>
      </c>
      <c r="AY31" t="s">
        <v>177</v>
      </c>
      <c r="AZ31" t="s">
        <v>167</v>
      </c>
      <c r="BA31" t="s">
        <v>167</v>
      </c>
      <c r="BB31" t="s">
        <v>167</v>
      </c>
      <c r="BC31" t="s">
        <v>167</v>
      </c>
      <c r="BD31" t="s">
        <v>167</v>
      </c>
      <c r="BE31" t="s">
        <v>167</v>
      </c>
      <c r="BF31" t="s">
        <v>167</v>
      </c>
      <c r="BG31" t="s">
        <v>200</v>
      </c>
      <c r="BH31" t="s">
        <v>198</v>
      </c>
      <c r="BI31" t="s">
        <v>179</v>
      </c>
      <c r="BJ31" t="s">
        <v>167</v>
      </c>
      <c r="BK31" t="s">
        <v>180</v>
      </c>
      <c r="BL31" t="s">
        <v>181</v>
      </c>
      <c r="BM31" t="s">
        <v>182</v>
      </c>
      <c r="BN31" t="s">
        <v>167</v>
      </c>
      <c r="BO31" t="s">
        <v>167</v>
      </c>
      <c r="BP31" t="s">
        <v>167</v>
      </c>
      <c r="BQ31">
        <v>24.4</v>
      </c>
      <c r="BR31" s="150" t="s">
        <v>183</v>
      </c>
      <c r="BS31">
        <v>0.4</v>
      </c>
      <c r="BT31" t="s">
        <v>184</v>
      </c>
      <c r="BU31" t="s">
        <v>185</v>
      </c>
      <c r="BV31" t="s">
        <v>185</v>
      </c>
      <c r="BW31" t="s">
        <v>167</v>
      </c>
      <c r="BX31" t="s">
        <v>167</v>
      </c>
      <c r="BY31" t="s">
        <v>167</v>
      </c>
      <c r="BZ31" t="s">
        <v>167</v>
      </c>
      <c r="CA31" t="s">
        <v>167</v>
      </c>
      <c r="CB31" s="144">
        <v>24.4</v>
      </c>
      <c r="CC31" s="150" t="s">
        <v>183</v>
      </c>
      <c r="CD31">
        <v>0.4</v>
      </c>
      <c r="CE31" t="s">
        <v>186</v>
      </c>
      <c r="CF31" t="s">
        <v>187</v>
      </c>
      <c r="CG31" t="s">
        <v>167</v>
      </c>
      <c r="CH31" t="s">
        <v>167</v>
      </c>
      <c r="CI31" t="s">
        <v>167</v>
      </c>
      <c r="CJ31">
        <v>27</v>
      </c>
      <c r="CK31" t="s">
        <v>167</v>
      </c>
      <c r="CL31" t="s">
        <v>167</v>
      </c>
      <c r="CM31" t="s">
        <v>167</v>
      </c>
      <c r="CN31" t="s">
        <v>167</v>
      </c>
      <c r="CO31" t="s">
        <v>167</v>
      </c>
      <c r="CP31" t="s">
        <v>167</v>
      </c>
      <c r="CQ31" t="s">
        <v>167</v>
      </c>
      <c r="CR31" t="s">
        <v>167</v>
      </c>
      <c r="CS31" t="s">
        <v>167</v>
      </c>
      <c r="CT31" t="s">
        <v>167</v>
      </c>
      <c r="CU31" t="s">
        <v>167</v>
      </c>
      <c r="CV31" t="s">
        <v>167</v>
      </c>
      <c r="CW31" t="s">
        <v>167</v>
      </c>
      <c r="CX31" t="s">
        <v>167</v>
      </c>
      <c r="CY31" t="s">
        <v>167</v>
      </c>
      <c r="CZ31" t="s">
        <v>167</v>
      </c>
      <c r="DA31" t="s">
        <v>167</v>
      </c>
      <c r="DB31" t="s">
        <v>167</v>
      </c>
      <c r="DC31" t="s">
        <v>167</v>
      </c>
      <c r="DD31" t="s">
        <v>167</v>
      </c>
      <c r="DE31" t="s">
        <v>167</v>
      </c>
      <c r="DF31" t="s">
        <v>167</v>
      </c>
      <c r="DG31" t="s">
        <v>167</v>
      </c>
      <c r="DH31" t="s">
        <v>167</v>
      </c>
      <c r="DI31" t="s">
        <v>167</v>
      </c>
      <c r="DJ31" t="s">
        <v>167</v>
      </c>
      <c r="DK31" t="s">
        <v>167</v>
      </c>
      <c r="DL31" t="s">
        <v>167</v>
      </c>
      <c r="DM31" t="s">
        <v>167</v>
      </c>
      <c r="DN31" t="s">
        <v>167</v>
      </c>
      <c r="DO31" t="s">
        <v>167</v>
      </c>
      <c r="DP31" t="s">
        <v>167</v>
      </c>
      <c r="DQ31" t="s">
        <v>167</v>
      </c>
      <c r="DR31" t="s">
        <v>167</v>
      </c>
      <c r="DS31" t="s">
        <v>167</v>
      </c>
      <c r="DT31" t="s">
        <v>167</v>
      </c>
      <c r="DU31" t="s">
        <v>167</v>
      </c>
      <c r="DV31" t="s">
        <v>167</v>
      </c>
      <c r="DW31" t="s">
        <v>167</v>
      </c>
      <c r="DX31" t="s">
        <v>167</v>
      </c>
      <c r="DY31" t="s">
        <v>167</v>
      </c>
      <c r="DZ31" t="s">
        <v>167</v>
      </c>
      <c r="EA31">
        <v>39.4</v>
      </c>
      <c r="EB31" t="s">
        <v>167</v>
      </c>
      <c r="EC31" t="s">
        <v>167</v>
      </c>
      <c r="ED31" t="s">
        <v>188</v>
      </c>
      <c r="EE31" t="s">
        <v>167</v>
      </c>
      <c r="EF31" t="s">
        <v>167</v>
      </c>
      <c r="EG31">
        <v>1.0194000000000001</v>
      </c>
      <c r="EH31" t="s">
        <v>167</v>
      </c>
      <c r="EI31" t="s">
        <v>167</v>
      </c>
      <c r="EJ31" t="s">
        <v>189</v>
      </c>
      <c r="EK31" t="s">
        <v>190</v>
      </c>
      <c r="EL31" t="s">
        <v>190</v>
      </c>
      <c r="EM31" t="s">
        <v>191</v>
      </c>
      <c r="EN31" t="s">
        <v>167</v>
      </c>
      <c r="EO31" t="s">
        <v>167</v>
      </c>
      <c r="EP31" t="s">
        <v>167</v>
      </c>
      <c r="EQ31" t="s">
        <v>167</v>
      </c>
      <c r="ER31" t="s">
        <v>167</v>
      </c>
      <c r="ES31" t="s">
        <v>167</v>
      </c>
      <c r="ET31" t="s">
        <v>192</v>
      </c>
      <c r="EU31" t="s">
        <v>193</v>
      </c>
      <c r="EV31" t="s">
        <v>167</v>
      </c>
      <c r="EW31">
        <v>2350</v>
      </c>
      <c r="EX31" t="s">
        <v>167</v>
      </c>
      <c r="EY31" s="151">
        <v>160</v>
      </c>
      <c r="EZ31" s="151">
        <v>150</v>
      </c>
      <c r="FA31" t="s">
        <v>167</v>
      </c>
      <c r="FB31" t="s">
        <v>167</v>
      </c>
      <c r="FC31" t="s">
        <v>167</v>
      </c>
      <c r="FD31" t="s">
        <v>167</v>
      </c>
      <c r="FE31">
        <v>7.99</v>
      </c>
      <c r="FF31" t="s">
        <v>167</v>
      </c>
      <c r="FG31">
        <v>5.3000000000000824E-2</v>
      </c>
      <c r="FH31">
        <v>5.600000000000005E-2</v>
      </c>
      <c r="FI31">
        <v>471</v>
      </c>
      <c r="FJ31" t="s">
        <v>167</v>
      </c>
      <c r="FK31" t="s">
        <v>190</v>
      </c>
      <c r="FL31">
        <v>471</v>
      </c>
      <c r="FM31">
        <v>114</v>
      </c>
      <c r="FN31">
        <v>97</v>
      </c>
      <c r="FO31" t="s">
        <v>167</v>
      </c>
      <c r="FP31" t="s">
        <v>194</v>
      </c>
      <c r="FQ31" t="s">
        <v>167</v>
      </c>
      <c r="FR31" t="s">
        <v>167</v>
      </c>
      <c r="FS31" t="s">
        <v>167</v>
      </c>
      <c r="FT31" t="s">
        <v>167</v>
      </c>
      <c r="FU31" t="s">
        <v>167</v>
      </c>
      <c r="FV31" t="s">
        <v>167</v>
      </c>
      <c r="FW31" t="s">
        <v>167</v>
      </c>
      <c r="FX31" t="s">
        <v>167</v>
      </c>
      <c r="FY31" t="s">
        <v>167</v>
      </c>
      <c r="FZ31" t="s">
        <v>167</v>
      </c>
      <c r="GA31" t="s">
        <v>167</v>
      </c>
      <c r="GB31" t="s">
        <v>167</v>
      </c>
      <c r="GC31" t="s">
        <v>167</v>
      </c>
    </row>
    <row r="32" spans="1:185" ht="16" x14ac:dyDescent="0.2">
      <c r="A32" t="s">
        <v>206</v>
      </c>
      <c r="B32" s="142" t="s">
        <v>207</v>
      </c>
      <c r="C32" s="138" t="s">
        <v>168</v>
      </c>
      <c r="D32" t="s">
        <v>205</v>
      </c>
      <c r="E32" s="146">
        <v>2000</v>
      </c>
      <c r="F32" t="str">
        <f t="shared" si="3"/>
        <v>10.1038/35021000</v>
      </c>
      <c r="G32" s="143">
        <f t="shared" si="4"/>
        <v>50330</v>
      </c>
      <c r="H32">
        <f t="shared" si="5"/>
        <v>70</v>
      </c>
      <c r="I32">
        <f t="shared" si="6"/>
        <v>1330</v>
      </c>
      <c r="J32" s="145">
        <f t="shared" si="7"/>
        <v>844</v>
      </c>
      <c r="K32" s="145">
        <f t="shared" si="8"/>
        <v>58</v>
      </c>
      <c r="L32" s="145">
        <f t="shared" si="9"/>
        <v>52</v>
      </c>
      <c r="M32" t="b">
        <v>1</v>
      </c>
      <c r="N32">
        <v>3</v>
      </c>
      <c r="O32" t="s">
        <v>209</v>
      </c>
      <c r="P32" s="154" t="s">
        <v>167</v>
      </c>
      <c r="Q32" t="b">
        <v>0</v>
      </c>
      <c r="R32" t="s">
        <v>167</v>
      </c>
      <c r="S32" t="b">
        <v>1</v>
      </c>
      <c r="T32" t="b">
        <v>0</v>
      </c>
      <c r="U32" t="s">
        <v>167</v>
      </c>
      <c r="V32" t="s">
        <v>167</v>
      </c>
      <c r="W32" t="b">
        <v>0</v>
      </c>
      <c r="X32" t="s">
        <v>167</v>
      </c>
      <c r="Y32" s="139" t="s">
        <v>169</v>
      </c>
      <c r="Z32" s="147" t="s">
        <v>170</v>
      </c>
      <c r="AA32">
        <v>865</v>
      </c>
      <c r="AB32" t="s">
        <v>197</v>
      </c>
      <c r="AC32">
        <v>9</v>
      </c>
      <c r="AD32">
        <v>5</v>
      </c>
      <c r="AE32">
        <v>110</v>
      </c>
      <c r="AF32">
        <v>112</v>
      </c>
      <c r="AG32" t="s">
        <v>167</v>
      </c>
      <c r="AH32" t="s">
        <v>167</v>
      </c>
      <c r="AI32" t="s">
        <v>167</v>
      </c>
      <c r="AJ32" t="s">
        <v>172</v>
      </c>
      <c r="AK32">
        <v>18.551388889999998</v>
      </c>
      <c r="AL32">
        <v>-179.64416667</v>
      </c>
      <c r="AM32">
        <v>0.9</v>
      </c>
      <c r="AN32" t="s">
        <v>167</v>
      </c>
      <c r="AO32">
        <v>-1517.4</v>
      </c>
      <c r="AP32" t="s">
        <v>167</v>
      </c>
      <c r="AQ32" s="148" t="s">
        <v>173</v>
      </c>
      <c r="AR32" t="s">
        <v>167</v>
      </c>
      <c r="AS32">
        <v>50330</v>
      </c>
      <c r="AT32" t="s">
        <v>174</v>
      </c>
      <c r="AU32">
        <v>70</v>
      </c>
      <c r="AV32" s="153">
        <v>1330</v>
      </c>
      <c r="AW32" s="149" t="s">
        <v>175</v>
      </c>
      <c r="AX32" t="s">
        <v>176</v>
      </c>
      <c r="AY32" t="s">
        <v>177</v>
      </c>
      <c r="AZ32" t="s">
        <v>167</v>
      </c>
      <c r="BA32" t="s">
        <v>167</v>
      </c>
      <c r="BB32" t="s">
        <v>167</v>
      </c>
      <c r="BC32" t="s">
        <v>167</v>
      </c>
      <c r="BD32" t="s">
        <v>167</v>
      </c>
      <c r="BE32" t="s">
        <v>167</v>
      </c>
      <c r="BF32" t="s">
        <v>167</v>
      </c>
      <c r="BG32" t="s">
        <v>200</v>
      </c>
      <c r="BH32" t="s">
        <v>196</v>
      </c>
      <c r="BI32" t="s">
        <v>179</v>
      </c>
      <c r="BJ32" t="s">
        <v>167</v>
      </c>
      <c r="BK32" t="s">
        <v>180</v>
      </c>
      <c r="BL32" t="s">
        <v>181</v>
      </c>
      <c r="BM32" t="s">
        <v>182</v>
      </c>
      <c r="BN32" t="s">
        <v>167</v>
      </c>
      <c r="BO32" t="s">
        <v>167</v>
      </c>
      <c r="BP32" t="s">
        <v>167</v>
      </c>
      <c r="BQ32">
        <v>23.4</v>
      </c>
      <c r="BR32" s="150" t="s">
        <v>183</v>
      </c>
      <c r="BS32">
        <v>0.1</v>
      </c>
      <c r="BT32" t="s">
        <v>184</v>
      </c>
      <c r="BU32" t="s">
        <v>185</v>
      </c>
      <c r="BV32" t="s">
        <v>185</v>
      </c>
      <c r="BW32" t="s">
        <v>167</v>
      </c>
      <c r="BX32" t="s">
        <v>167</v>
      </c>
      <c r="BY32" t="s">
        <v>167</v>
      </c>
      <c r="BZ32" t="s">
        <v>167</v>
      </c>
      <c r="CA32" t="s">
        <v>167</v>
      </c>
      <c r="CB32" s="144">
        <v>23.4</v>
      </c>
      <c r="CC32" s="150" t="s">
        <v>183</v>
      </c>
      <c r="CD32">
        <v>0.1</v>
      </c>
      <c r="CE32" t="s">
        <v>186</v>
      </c>
      <c r="CF32" t="s">
        <v>187</v>
      </c>
      <c r="CG32" t="s">
        <v>167</v>
      </c>
      <c r="CH32" t="s">
        <v>167</v>
      </c>
      <c r="CI32" t="s">
        <v>167</v>
      </c>
      <c r="CJ32">
        <v>27</v>
      </c>
      <c r="CK32" t="s">
        <v>167</v>
      </c>
      <c r="CL32" t="s">
        <v>167</v>
      </c>
      <c r="CM32" t="s">
        <v>167</v>
      </c>
      <c r="CN32" t="s">
        <v>167</v>
      </c>
      <c r="CO32" t="s">
        <v>167</v>
      </c>
      <c r="CP32" t="s">
        <v>167</v>
      </c>
      <c r="CQ32" t="s">
        <v>167</v>
      </c>
      <c r="CR32" t="s">
        <v>167</v>
      </c>
      <c r="CS32" t="s">
        <v>167</v>
      </c>
      <c r="CT32" t="s">
        <v>167</v>
      </c>
      <c r="CU32" t="s">
        <v>167</v>
      </c>
      <c r="CV32" t="s">
        <v>167</v>
      </c>
      <c r="CW32" t="s">
        <v>167</v>
      </c>
      <c r="CX32" t="s">
        <v>167</v>
      </c>
      <c r="CY32" t="s">
        <v>167</v>
      </c>
      <c r="CZ32" t="s">
        <v>167</v>
      </c>
      <c r="DA32" t="s">
        <v>167</v>
      </c>
      <c r="DB32" t="s">
        <v>167</v>
      </c>
      <c r="DC32" t="s">
        <v>167</v>
      </c>
      <c r="DD32" t="s">
        <v>167</v>
      </c>
      <c r="DE32" t="s">
        <v>167</v>
      </c>
      <c r="DF32" t="s">
        <v>167</v>
      </c>
      <c r="DG32" t="s">
        <v>167</v>
      </c>
      <c r="DH32" t="s">
        <v>167</v>
      </c>
      <c r="DI32" t="s">
        <v>167</v>
      </c>
      <c r="DJ32" t="s">
        <v>167</v>
      </c>
      <c r="DK32" t="s">
        <v>167</v>
      </c>
      <c r="DL32" t="s">
        <v>167</v>
      </c>
      <c r="DM32" t="s">
        <v>167</v>
      </c>
      <c r="DN32" t="s">
        <v>167</v>
      </c>
      <c r="DO32" t="s">
        <v>167</v>
      </c>
      <c r="DP32" t="s">
        <v>167</v>
      </c>
      <c r="DQ32" t="s">
        <v>167</v>
      </c>
      <c r="DR32" t="s">
        <v>167</v>
      </c>
      <c r="DS32" t="s">
        <v>167</v>
      </c>
      <c r="DT32" t="s">
        <v>167</v>
      </c>
      <c r="DU32" t="s">
        <v>167</v>
      </c>
      <c r="DV32" t="s">
        <v>167</v>
      </c>
      <c r="DW32" t="s">
        <v>167</v>
      </c>
      <c r="DX32" t="s">
        <v>167</v>
      </c>
      <c r="DY32" t="s">
        <v>167</v>
      </c>
      <c r="DZ32" t="s">
        <v>167</v>
      </c>
      <c r="EA32">
        <v>39.4</v>
      </c>
      <c r="EB32" t="s">
        <v>167</v>
      </c>
      <c r="EC32" t="s">
        <v>167</v>
      </c>
      <c r="ED32" t="s">
        <v>188</v>
      </c>
      <c r="EE32" t="s">
        <v>167</v>
      </c>
      <c r="EF32" t="s">
        <v>167</v>
      </c>
      <c r="EG32">
        <v>1.0194000000000001</v>
      </c>
      <c r="EH32" t="s">
        <v>167</v>
      </c>
      <c r="EI32" t="s">
        <v>167</v>
      </c>
      <c r="EJ32" t="s">
        <v>189</v>
      </c>
      <c r="EK32" t="s">
        <v>190</v>
      </c>
      <c r="EL32" t="s">
        <v>190</v>
      </c>
      <c r="EM32" t="s">
        <v>191</v>
      </c>
      <c r="EN32" t="s">
        <v>167</v>
      </c>
      <c r="EO32" t="s">
        <v>167</v>
      </c>
      <c r="EP32" t="s">
        <v>167</v>
      </c>
      <c r="EQ32" t="s">
        <v>167</v>
      </c>
      <c r="ER32" t="s">
        <v>167</v>
      </c>
      <c r="ES32" t="s">
        <v>167</v>
      </c>
      <c r="ET32" t="s">
        <v>192</v>
      </c>
      <c r="EU32" t="s">
        <v>193</v>
      </c>
      <c r="EV32" t="s">
        <v>167</v>
      </c>
      <c r="EW32">
        <v>2765</v>
      </c>
      <c r="EX32" t="s">
        <v>167</v>
      </c>
      <c r="EY32" s="152">
        <v>55</v>
      </c>
      <c r="EZ32" s="152">
        <v>45</v>
      </c>
      <c r="FA32" t="s">
        <v>167</v>
      </c>
      <c r="FB32" t="s">
        <v>167</v>
      </c>
      <c r="FC32" t="s">
        <v>167</v>
      </c>
      <c r="FD32" t="s">
        <v>167</v>
      </c>
      <c r="FE32">
        <v>7.84</v>
      </c>
      <c r="FF32" t="s">
        <v>167</v>
      </c>
      <c r="FG32">
        <v>1.699999999999946E-2</v>
      </c>
      <c r="FH32">
        <v>1.7000000000000348E-2</v>
      </c>
      <c r="FI32">
        <v>844</v>
      </c>
      <c r="FJ32" t="s">
        <v>167</v>
      </c>
      <c r="FK32" t="s">
        <v>190</v>
      </c>
      <c r="FL32">
        <v>844</v>
      </c>
      <c r="FM32">
        <v>58</v>
      </c>
      <c r="FN32">
        <v>52</v>
      </c>
      <c r="FO32" t="s">
        <v>167</v>
      </c>
      <c r="FP32" t="s">
        <v>194</v>
      </c>
      <c r="FQ32" t="s">
        <v>167</v>
      </c>
      <c r="FR32" t="s">
        <v>167</v>
      </c>
      <c r="FS32" t="s">
        <v>167</v>
      </c>
      <c r="FT32" t="s">
        <v>167</v>
      </c>
      <c r="FU32" t="s">
        <v>167</v>
      </c>
      <c r="FV32" t="s">
        <v>167</v>
      </c>
      <c r="FW32" t="s">
        <v>167</v>
      </c>
      <c r="FX32" t="s">
        <v>167</v>
      </c>
      <c r="FY32" t="s">
        <v>167</v>
      </c>
      <c r="FZ32" t="s">
        <v>167</v>
      </c>
      <c r="GA32" t="s">
        <v>167</v>
      </c>
      <c r="GB32" t="s">
        <v>167</v>
      </c>
      <c r="GC32" t="s">
        <v>167</v>
      </c>
    </row>
    <row r="33" spans="1:185" ht="16" x14ac:dyDescent="0.2">
      <c r="A33" t="s">
        <v>206</v>
      </c>
      <c r="B33" s="142" t="s">
        <v>207</v>
      </c>
      <c r="C33" s="138" t="s">
        <v>168</v>
      </c>
      <c r="D33" t="s">
        <v>205</v>
      </c>
      <c r="E33" s="146">
        <v>2000</v>
      </c>
      <c r="F33" t="str">
        <f t="shared" si="3"/>
        <v>10.1038/35021000</v>
      </c>
      <c r="G33" s="143">
        <f t="shared" si="4"/>
        <v>51020</v>
      </c>
      <c r="H33">
        <f t="shared" si="5"/>
        <v>1280</v>
      </c>
      <c r="I33">
        <f t="shared" si="6"/>
        <v>220</v>
      </c>
      <c r="J33" s="145">
        <f t="shared" si="7"/>
        <v>619</v>
      </c>
      <c r="K33" s="145">
        <f t="shared" si="8"/>
        <v>214</v>
      </c>
      <c r="L33" s="145">
        <f t="shared" si="9"/>
        <v>158</v>
      </c>
      <c r="M33" t="b">
        <v>1</v>
      </c>
      <c r="N33">
        <v>3</v>
      </c>
      <c r="O33" t="s">
        <v>209</v>
      </c>
      <c r="P33" s="154" t="s">
        <v>167</v>
      </c>
      <c r="Q33" t="b">
        <v>0</v>
      </c>
      <c r="R33" t="s">
        <v>167</v>
      </c>
      <c r="S33" t="b">
        <v>1</v>
      </c>
      <c r="T33" t="b">
        <v>0</v>
      </c>
      <c r="U33" t="s">
        <v>167</v>
      </c>
      <c r="V33" t="s">
        <v>167</v>
      </c>
      <c r="W33" t="b">
        <v>0</v>
      </c>
      <c r="X33" t="s">
        <v>167</v>
      </c>
      <c r="Y33" s="139" t="s">
        <v>169</v>
      </c>
      <c r="Z33" s="147" t="s">
        <v>170</v>
      </c>
      <c r="AA33">
        <v>865</v>
      </c>
      <c r="AB33" t="s">
        <v>197</v>
      </c>
      <c r="AC33">
        <v>10</v>
      </c>
      <c r="AD33">
        <v>1</v>
      </c>
      <c r="AE33">
        <v>110</v>
      </c>
      <c r="AF33">
        <v>112</v>
      </c>
      <c r="AG33" t="s">
        <v>167</v>
      </c>
      <c r="AH33" t="s">
        <v>167</v>
      </c>
      <c r="AI33" t="s">
        <v>167</v>
      </c>
      <c r="AJ33" t="s">
        <v>172</v>
      </c>
      <c r="AK33">
        <v>18.551388889999998</v>
      </c>
      <c r="AL33">
        <v>-179.64416667</v>
      </c>
      <c r="AM33">
        <v>0.9</v>
      </c>
      <c r="AN33" t="s">
        <v>167</v>
      </c>
      <c r="AO33">
        <v>-1517.4</v>
      </c>
      <c r="AP33" t="s">
        <v>167</v>
      </c>
      <c r="AQ33" s="148" t="s">
        <v>173</v>
      </c>
      <c r="AR33" t="s">
        <v>167</v>
      </c>
      <c r="AS33">
        <v>51020</v>
      </c>
      <c r="AT33" t="s">
        <v>174</v>
      </c>
      <c r="AU33">
        <v>1280</v>
      </c>
      <c r="AV33" s="153">
        <v>220</v>
      </c>
      <c r="AW33" s="149" t="s">
        <v>175</v>
      </c>
      <c r="AX33" t="s">
        <v>176</v>
      </c>
      <c r="AY33" t="s">
        <v>177</v>
      </c>
      <c r="AZ33" t="s">
        <v>167</v>
      </c>
      <c r="BA33" t="s">
        <v>167</v>
      </c>
      <c r="BB33" t="s">
        <v>167</v>
      </c>
      <c r="BC33" t="s">
        <v>167</v>
      </c>
      <c r="BD33" t="s">
        <v>167</v>
      </c>
      <c r="BE33" t="s">
        <v>167</v>
      </c>
      <c r="BF33" t="s">
        <v>167</v>
      </c>
      <c r="BG33" t="s">
        <v>201</v>
      </c>
      <c r="BH33" t="s">
        <v>196</v>
      </c>
      <c r="BI33" t="s">
        <v>179</v>
      </c>
      <c r="BJ33" t="s">
        <v>167</v>
      </c>
      <c r="BK33" t="s">
        <v>180</v>
      </c>
      <c r="BL33" t="s">
        <v>181</v>
      </c>
      <c r="BM33" t="s">
        <v>182</v>
      </c>
      <c r="BN33" t="s">
        <v>167</v>
      </c>
      <c r="BO33" t="s">
        <v>167</v>
      </c>
      <c r="BP33" t="s">
        <v>167</v>
      </c>
      <c r="BQ33">
        <v>23.9</v>
      </c>
      <c r="BR33" s="150" t="s">
        <v>183</v>
      </c>
      <c r="BS33">
        <v>0.5</v>
      </c>
      <c r="BT33" t="s">
        <v>184</v>
      </c>
      <c r="BU33" t="s">
        <v>185</v>
      </c>
      <c r="BV33" t="s">
        <v>185</v>
      </c>
      <c r="BW33" t="s">
        <v>167</v>
      </c>
      <c r="BX33" t="s">
        <v>167</v>
      </c>
      <c r="BY33" t="s">
        <v>167</v>
      </c>
      <c r="BZ33" t="s">
        <v>167</v>
      </c>
      <c r="CA33" t="s">
        <v>167</v>
      </c>
      <c r="CB33" s="144">
        <v>23.9</v>
      </c>
      <c r="CC33" s="150" t="s">
        <v>183</v>
      </c>
      <c r="CD33">
        <v>0.5</v>
      </c>
      <c r="CE33" t="s">
        <v>186</v>
      </c>
      <c r="CF33" t="s">
        <v>187</v>
      </c>
      <c r="CG33" t="s">
        <v>167</v>
      </c>
      <c r="CH33" t="s">
        <v>167</v>
      </c>
      <c r="CI33" t="s">
        <v>167</v>
      </c>
      <c r="CJ33">
        <v>27</v>
      </c>
      <c r="CK33" t="s">
        <v>167</v>
      </c>
      <c r="CL33" t="s">
        <v>167</v>
      </c>
      <c r="CM33" t="s">
        <v>167</v>
      </c>
      <c r="CN33" t="s">
        <v>167</v>
      </c>
      <c r="CO33" t="s">
        <v>167</v>
      </c>
      <c r="CP33" t="s">
        <v>167</v>
      </c>
      <c r="CQ33" t="s">
        <v>167</v>
      </c>
      <c r="CR33" t="s">
        <v>167</v>
      </c>
      <c r="CS33" t="s">
        <v>167</v>
      </c>
      <c r="CT33" t="s">
        <v>167</v>
      </c>
      <c r="CU33" t="s">
        <v>167</v>
      </c>
      <c r="CV33" t="s">
        <v>167</v>
      </c>
      <c r="CW33" t="s">
        <v>167</v>
      </c>
      <c r="CX33" t="s">
        <v>167</v>
      </c>
      <c r="CY33" t="s">
        <v>167</v>
      </c>
      <c r="CZ33" t="s">
        <v>167</v>
      </c>
      <c r="DA33" t="s">
        <v>167</v>
      </c>
      <c r="DB33" t="s">
        <v>167</v>
      </c>
      <c r="DC33" t="s">
        <v>167</v>
      </c>
      <c r="DD33" t="s">
        <v>167</v>
      </c>
      <c r="DE33" t="s">
        <v>167</v>
      </c>
      <c r="DF33" t="s">
        <v>167</v>
      </c>
      <c r="DG33" t="s">
        <v>167</v>
      </c>
      <c r="DH33" t="s">
        <v>167</v>
      </c>
      <c r="DI33" t="s">
        <v>167</v>
      </c>
      <c r="DJ33" t="s">
        <v>167</v>
      </c>
      <c r="DK33" t="s">
        <v>167</v>
      </c>
      <c r="DL33" t="s">
        <v>167</v>
      </c>
      <c r="DM33" t="s">
        <v>167</v>
      </c>
      <c r="DN33" t="s">
        <v>167</v>
      </c>
      <c r="DO33" t="s">
        <v>167</v>
      </c>
      <c r="DP33" t="s">
        <v>167</v>
      </c>
      <c r="DQ33" t="s">
        <v>167</v>
      </c>
      <c r="DR33" t="s">
        <v>167</v>
      </c>
      <c r="DS33" t="s">
        <v>167</v>
      </c>
      <c r="DT33" t="s">
        <v>167</v>
      </c>
      <c r="DU33" t="s">
        <v>167</v>
      </c>
      <c r="DV33" t="s">
        <v>167</v>
      </c>
      <c r="DW33" t="s">
        <v>167</v>
      </c>
      <c r="DX33" t="s">
        <v>167</v>
      </c>
      <c r="DY33" t="s">
        <v>167</v>
      </c>
      <c r="DZ33" t="s">
        <v>167</v>
      </c>
      <c r="EA33">
        <v>39.4</v>
      </c>
      <c r="EB33" t="s">
        <v>167</v>
      </c>
      <c r="EC33" t="s">
        <v>167</v>
      </c>
      <c r="ED33" t="s">
        <v>188</v>
      </c>
      <c r="EE33" t="s">
        <v>167</v>
      </c>
      <c r="EF33" t="s">
        <v>167</v>
      </c>
      <c r="EG33">
        <v>1.0194000000000001</v>
      </c>
      <c r="EH33" t="s">
        <v>167</v>
      </c>
      <c r="EI33" t="s">
        <v>167</v>
      </c>
      <c r="EJ33" t="s">
        <v>189</v>
      </c>
      <c r="EK33" t="s">
        <v>190</v>
      </c>
      <c r="EL33" t="s">
        <v>190</v>
      </c>
      <c r="EM33" t="s">
        <v>191</v>
      </c>
      <c r="EN33" t="s">
        <v>167</v>
      </c>
      <c r="EO33" t="s">
        <v>167</v>
      </c>
      <c r="EP33" t="s">
        <v>167</v>
      </c>
      <c r="EQ33" t="s">
        <v>167</v>
      </c>
      <c r="ER33" t="s">
        <v>167</v>
      </c>
      <c r="ES33" t="s">
        <v>167</v>
      </c>
      <c r="ET33" t="s">
        <v>192</v>
      </c>
      <c r="EU33" t="s">
        <v>193</v>
      </c>
      <c r="EV33" t="s">
        <v>167</v>
      </c>
      <c r="EW33">
        <v>2530</v>
      </c>
      <c r="EX33" t="s">
        <v>167</v>
      </c>
      <c r="EY33" s="151">
        <v>230</v>
      </c>
      <c r="EZ33" s="151">
        <v>205</v>
      </c>
      <c r="FA33" t="s">
        <v>167</v>
      </c>
      <c r="FB33" t="s">
        <v>167</v>
      </c>
      <c r="FC33" t="s">
        <v>167</v>
      </c>
      <c r="FD33" t="s">
        <v>167</v>
      </c>
      <c r="FE33">
        <v>7.92</v>
      </c>
      <c r="FF33" t="s">
        <v>167</v>
      </c>
      <c r="FG33">
        <v>7.2000000000000064E-2</v>
      </c>
      <c r="FH33">
        <v>7.8000000000000291E-2</v>
      </c>
      <c r="FI33">
        <v>619</v>
      </c>
      <c r="FJ33" t="s">
        <v>167</v>
      </c>
      <c r="FK33" t="s">
        <v>190</v>
      </c>
      <c r="FL33">
        <v>619</v>
      </c>
      <c r="FM33">
        <v>214</v>
      </c>
      <c r="FN33">
        <v>158</v>
      </c>
      <c r="FO33" t="s">
        <v>167</v>
      </c>
      <c r="FP33" t="s">
        <v>194</v>
      </c>
      <c r="FQ33" t="s">
        <v>167</v>
      </c>
      <c r="FR33" t="s">
        <v>167</v>
      </c>
      <c r="FS33" t="s">
        <v>167</v>
      </c>
      <c r="FT33" t="s">
        <v>167</v>
      </c>
      <c r="FU33" t="s">
        <v>167</v>
      </c>
      <c r="FV33" t="s">
        <v>167</v>
      </c>
      <c r="FW33" t="s">
        <v>167</v>
      </c>
      <c r="FX33" t="s">
        <v>167</v>
      </c>
      <c r="FY33" t="s">
        <v>167</v>
      </c>
      <c r="FZ33" t="s">
        <v>167</v>
      </c>
      <c r="GA33" t="s">
        <v>167</v>
      </c>
      <c r="GB33" t="s">
        <v>167</v>
      </c>
      <c r="GC33" t="s">
        <v>167</v>
      </c>
    </row>
    <row r="34" spans="1:185" ht="16" x14ac:dyDescent="0.2">
      <c r="A34" t="s">
        <v>206</v>
      </c>
      <c r="B34" s="142" t="s">
        <v>207</v>
      </c>
      <c r="C34" s="138" t="s">
        <v>168</v>
      </c>
      <c r="D34" t="s">
        <v>205</v>
      </c>
      <c r="E34" s="146">
        <v>2000</v>
      </c>
      <c r="F34" t="str">
        <f t="shared" si="3"/>
        <v>10.1038/35021000</v>
      </c>
      <c r="G34" s="143">
        <f t="shared" si="4"/>
        <v>52220</v>
      </c>
      <c r="H34">
        <f t="shared" si="5"/>
        <v>80</v>
      </c>
      <c r="I34">
        <f t="shared" si="6"/>
        <v>1420</v>
      </c>
      <c r="J34" s="145">
        <f t="shared" si="7"/>
        <v>3515</v>
      </c>
      <c r="K34" s="145">
        <f t="shared" si="8"/>
        <v>1105</v>
      </c>
      <c r="L34" s="145">
        <f t="shared" si="9"/>
        <v>595</v>
      </c>
      <c r="M34" t="b">
        <v>1</v>
      </c>
      <c r="N34">
        <v>3</v>
      </c>
      <c r="O34" t="s">
        <v>209</v>
      </c>
      <c r="P34" s="154" t="s">
        <v>167</v>
      </c>
      <c r="Q34" t="b">
        <v>0</v>
      </c>
      <c r="R34" t="s">
        <v>167</v>
      </c>
      <c r="S34" t="b">
        <v>1</v>
      </c>
      <c r="T34" t="b">
        <v>0</v>
      </c>
      <c r="U34" t="s">
        <v>167</v>
      </c>
      <c r="V34" t="s">
        <v>167</v>
      </c>
      <c r="W34" t="b">
        <v>0</v>
      </c>
      <c r="X34" t="s">
        <v>167</v>
      </c>
      <c r="Y34" s="139" t="s">
        <v>169</v>
      </c>
      <c r="Z34" s="147" t="s">
        <v>170</v>
      </c>
      <c r="AA34">
        <v>865</v>
      </c>
      <c r="AB34" t="s">
        <v>197</v>
      </c>
      <c r="AC34">
        <v>10</v>
      </c>
      <c r="AD34">
        <v>5</v>
      </c>
      <c r="AE34">
        <v>100</v>
      </c>
      <c r="AF34">
        <v>102</v>
      </c>
      <c r="AG34" t="s">
        <v>167</v>
      </c>
      <c r="AH34" t="s">
        <v>167</v>
      </c>
      <c r="AI34" t="s">
        <v>167</v>
      </c>
      <c r="AJ34" t="s">
        <v>172</v>
      </c>
      <c r="AK34">
        <v>18.551388889999998</v>
      </c>
      <c r="AL34">
        <v>-179.64416667</v>
      </c>
      <c r="AM34">
        <v>0.9</v>
      </c>
      <c r="AN34" t="s">
        <v>167</v>
      </c>
      <c r="AO34">
        <v>-1517.4</v>
      </c>
      <c r="AP34" t="s">
        <v>167</v>
      </c>
      <c r="AQ34" s="148" t="s">
        <v>173</v>
      </c>
      <c r="AR34" t="s">
        <v>167</v>
      </c>
      <c r="AS34">
        <v>52220</v>
      </c>
      <c r="AT34" t="s">
        <v>174</v>
      </c>
      <c r="AU34">
        <v>80</v>
      </c>
      <c r="AV34" s="153">
        <v>1420</v>
      </c>
      <c r="AW34" s="149" t="s">
        <v>175</v>
      </c>
      <c r="AX34" t="s">
        <v>176</v>
      </c>
      <c r="AY34" t="s">
        <v>177</v>
      </c>
      <c r="AZ34" t="s">
        <v>167</v>
      </c>
      <c r="BA34" t="s">
        <v>167</v>
      </c>
      <c r="BB34" t="s">
        <v>167</v>
      </c>
      <c r="BC34" t="s">
        <v>167</v>
      </c>
      <c r="BD34" t="s">
        <v>167</v>
      </c>
      <c r="BE34" t="s">
        <v>167</v>
      </c>
      <c r="BF34" t="s">
        <v>167</v>
      </c>
      <c r="BG34" t="s">
        <v>201</v>
      </c>
      <c r="BH34" t="s">
        <v>202</v>
      </c>
      <c r="BI34" t="s">
        <v>179</v>
      </c>
      <c r="BJ34" t="s">
        <v>167</v>
      </c>
      <c r="BK34" t="s">
        <v>180</v>
      </c>
      <c r="BL34" t="s">
        <v>181</v>
      </c>
      <c r="BM34" t="s">
        <v>182</v>
      </c>
      <c r="BN34" t="s">
        <v>167</v>
      </c>
      <c r="BO34" t="s">
        <v>167</v>
      </c>
      <c r="BP34" t="s">
        <v>167</v>
      </c>
      <c r="BQ34">
        <v>21.6</v>
      </c>
      <c r="BR34" s="150" t="s">
        <v>183</v>
      </c>
      <c r="BS34">
        <v>0.2</v>
      </c>
      <c r="BT34" t="s">
        <v>184</v>
      </c>
      <c r="BU34" t="s">
        <v>185</v>
      </c>
      <c r="BV34" t="s">
        <v>185</v>
      </c>
      <c r="BW34" t="s">
        <v>167</v>
      </c>
      <c r="BX34" t="s">
        <v>167</v>
      </c>
      <c r="BY34" t="s">
        <v>167</v>
      </c>
      <c r="BZ34" t="s">
        <v>167</v>
      </c>
      <c r="CA34" t="s">
        <v>167</v>
      </c>
      <c r="CB34" s="144">
        <v>21.6</v>
      </c>
      <c r="CC34" s="150" t="s">
        <v>183</v>
      </c>
      <c r="CD34">
        <v>0.2</v>
      </c>
      <c r="CE34" t="s">
        <v>186</v>
      </c>
      <c r="CF34" t="s">
        <v>187</v>
      </c>
      <c r="CG34" t="s">
        <v>167</v>
      </c>
      <c r="CH34" t="s">
        <v>167</v>
      </c>
      <c r="CI34" t="s">
        <v>167</v>
      </c>
      <c r="CJ34">
        <v>27</v>
      </c>
      <c r="CK34" t="s">
        <v>167</v>
      </c>
      <c r="CL34" t="s">
        <v>167</v>
      </c>
      <c r="CM34" t="s">
        <v>167</v>
      </c>
      <c r="CN34" t="s">
        <v>167</v>
      </c>
      <c r="CO34" t="s">
        <v>167</v>
      </c>
      <c r="CP34" t="s">
        <v>167</v>
      </c>
      <c r="CQ34" t="s">
        <v>167</v>
      </c>
      <c r="CR34" t="s">
        <v>167</v>
      </c>
      <c r="CS34" t="s">
        <v>167</v>
      </c>
      <c r="CT34" t="s">
        <v>167</v>
      </c>
      <c r="CU34" t="s">
        <v>167</v>
      </c>
      <c r="CV34" t="s">
        <v>167</v>
      </c>
      <c r="CW34" t="s">
        <v>167</v>
      </c>
      <c r="CX34" t="s">
        <v>167</v>
      </c>
      <c r="CY34" t="s">
        <v>167</v>
      </c>
      <c r="CZ34" t="s">
        <v>167</v>
      </c>
      <c r="DA34" t="s">
        <v>167</v>
      </c>
      <c r="DB34" t="s">
        <v>167</v>
      </c>
      <c r="DC34" t="s">
        <v>167</v>
      </c>
      <c r="DD34" t="s">
        <v>167</v>
      </c>
      <c r="DE34" t="s">
        <v>167</v>
      </c>
      <c r="DF34" t="s">
        <v>167</v>
      </c>
      <c r="DG34" t="s">
        <v>167</v>
      </c>
      <c r="DH34" t="s">
        <v>167</v>
      </c>
      <c r="DI34" t="s">
        <v>167</v>
      </c>
      <c r="DJ34" t="s">
        <v>167</v>
      </c>
      <c r="DK34" t="s">
        <v>167</v>
      </c>
      <c r="DL34" t="s">
        <v>167</v>
      </c>
      <c r="DM34" t="s">
        <v>167</v>
      </c>
      <c r="DN34" t="s">
        <v>167</v>
      </c>
      <c r="DO34" t="s">
        <v>167</v>
      </c>
      <c r="DP34" t="s">
        <v>167</v>
      </c>
      <c r="DQ34" t="s">
        <v>167</v>
      </c>
      <c r="DR34" t="s">
        <v>167</v>
      </c>
      <c r="DS34" t="s">
        <v>167</v>
      </c>
      <c r="DT34" t="s">
        <v>167</v>
      </c>
      <c r="DU34" t="s">
        <v>167</v>
      </c>
      <c r="DV34" t="s">
        <v>167</v>
      </c>
      <c r="DW34" t="s">
        <v>167</v>
      </c>
      <c r="DX34" t="s">
        <v>167</v>
      </c>
      <c r="DY34" t="s">
        <v>167</v>
      </c>
      <c r="DZ34" t="s">
        <v>167</v>
      </c>
      <c r="EA34">
        <v>39.4</v>
      </c>
      <c r="EB34" t="s">
        <v>167</v>
      </c>
      <c r="EC34" t="s">
        <v>167</v>
      </c>
      <c r="ED34" t="s">
        <v>188</v>
      </c>
      <c r="EE34" t="s">
        <v>167</v>
      </c>
      <c r="EF34" t="s">
        <v>167</v>
      </c>
      <c r="EG34">
        <v>1.0194000000000001</v>
      </c>
      <c r="EH34" t="s">
        <v>167</v>
      </c>
      <c r="EI34" t="s">
        <v>167</v>
      </c>
      <c r="EJ34" t="s">
        <v>189</v>
      </c>
      <c r="EK34" t="s">
        <v>190</v>
      </c>
      <c r="EL34" t="s">
        <v>190</v>
      </c>
      <c r="EM34" t="s">
        <v>191</v>
      </c>
      <c r="EN34" t="s">
        <v>167</v>
      </c>
      <c r="EO34" t="s">
        <v>167</v>
      </c>
      <c r="EP34" t="s">
        <v>167</v>
      </c>
      <c r="EQ34" t="s">
        <v>167</v>
      </c>
      <c r="ER34" t="s">
        <v>167</v>
      </c>
      <c r="ES34" t="s">
        <v>167</v>
      </c>
      <c r="ET34" t="s">
        <v>192</v>
      </c>
      <c r="EU34" t="s">
        <v>193</v>
      </c>
      <c r="EV34" t="s">
        <v>167</v>
      </c>
      <c r="EW34">
        <v>3900</v>
      </c>
      <c r="EX34" t="s">
        <v>167</v>
      </c>
      <c r="EY34" s="151">
        <v>300</v>
      </c>
      <c r="EZ34" s="151">
        <v>125</v>
      </c>
      <c r="FA34" t="s">
        <v>167</v>
      </c>
      <c r="FB34" t="s">
        <v>167</v>
      </c>
      <c r="FC34" t="s">
        <v>167</v>
      </c>
      <c r="FD34" t="s">
        <v>167</v>
      </c>
      <c r="FE34">
        <v>7.42</v>
      </c>
      <c r="FF34" t="s">
        <v>167</v>
      </c>
      <c r="FG34">
        <v>7.0000000000000284E-2</v>
      </c>
      <c r="FH34">
        <v>7.5000000000000178E-2</v>
      </c>
      <c r="FI34">
        <v>3515</v>
      </c>
      <c r="FJ34" t="s">
        <v>167</v>
      </c>
      <c r="FK34" t="s">
        <v>190</v>
      </c>
      <c r="FL34">
        <v>3515</v>
      </c>
      <c r="FM34">
        <v>1105</v>
      </c>
      <c r="FN34">
        <v>595</v>
      </c>
      <c r="FO34" t="s">
        <v>167</v>
      </c>
      <c r="FP34" t="s">
        <v>194</v>
      </c>
      <c r="FQ34" t="s">
        <v>167</v>
      </c>
      <c r="FR34" t="s">
        <v>167</v>
      </c>
      <c r="FS34" t="s">
        <v>167</v>
      </c>
      <c r="FT34" t="s">
        <v>167</v>
      </c>
      <c r="FU34" t="s">
        <v>167</v>
      </c>
      <c r="FV34" t="s">
        <v>167</v>
      </c>
      <c r="FW34" t="s">
        <v>167</v>
      </c>
      <c r="FX34" t="s">
        <v>167</v>
      </c>
      <c r="FY34" t="s">
        <v>167</v>
      </c>
      <c r="FZ34" t="s">
        <v>167</v>
      </c>
      <c r="GA34" t="s">
        <v>167</v>
      </c>
      <c r="GB34" t="s">
        <v>167</v>
      </c>
      <c r="GC34" t="s">
        <v>167</v>
      </c>
    </row>
    <row r="35" spans="1:185" ht="16" x14ac:dyDescent="0.2">
      <c r="A35" t="s">
        <v>206</v>
      </c>
      <c r="B35" s="142" t="s">
        <v>207</v>
      </c>
      <c r="C35" s="138" t="s">
        <v>168</v>
      </c>
      <c r="D35" t="s">
        <v>205</v>
      </c>
      <c r="E35" s="146">
        <v>2000</v>
      </c>
      <c r="F35" t="str">
        <f t="shared" si="3"/>
        <v>10.1038/35021000</v>
      </c>
      <c r="G35" s="143">
        <f t="shared" si="4"/>
        <v>53240</v>
      </c>
      <c r="H35">
        <f t="shared" si="5"/>
        <v>760</v>
      </c>
      <c r="I35">
        <f t="shared" si="6"/>
        <v>940</v>
      </c>
      <c r="J35" s="145">
        <f t="shared" si="7"/>
        <v>1865</v>
      </c>
      <c r="K35" s="145">
        <f t="shared" si="8"/>
        <v>775</v>
      </c>
      <c r="L35" s="145">
        <f t="shared" si="9"/>
        <v>504</v>
      </c>
      <c r="M35" t="b">
        <v>1</v>
      </c>
      <c r="N35">
        <v>3</v>
      </c>
      <c r="O35" t="s">
        <v>209</v>
      </c>
      <c r="P35" s="154" t="s">
        <v>167</v>
      </c>
      <c r="Q35" t="b">
        <v>0</v>
      </c>
      <c r="R35" t="s">
        <v>167</v>
      </c>
      <c r="S35" t="b">
        <v>1</v>
      </c>
      <c r="T35" t="b">
        <v>0</v>
      </c>
      <c r="U35" t="s">
        <v>167</v>
      </c>
      <c r="V35" t="s">
        <v>167</v>
      </c>
      <c r="W35" t="b">
        <v>0</v>
      </c>
      <c r="X35" t="s">
        <v>167</v>
      </c>
      <c r="Y35" s="139" t="s">
        <v>169</v>
      </c>
      <c r="Z35" s="147" t="s">
        <v>170</v>
      </c>
      <c r="AA35">
        <v>865</v>
      </c>
      <c r="AB35" t="s">
        <v>197</v>
      </c>
      <c r="AC35">
        <v>11</v>
      </c>
      <c r="AD35">
        <v>1</v>
      </c>
      <c r="AE35">
        <v>110</v>
      </c>
      <c r="AF35">
        <v>112</v>
      </c>
      <c r="AG35" t="s">
        <v>167</v>
      </c>
      <c r="AH35" t="s">
        <v>167</v>
      </c>
      <c r="AI35" t="s">
        <v>167</v>
      </c>
      <c r="AJ35" t="s">
        <v>172</v>
      </c>
      <c r="AK35">
        <v>18.551388889999998</v>
      </c>
      <c r="AL35">
        <v>-179.64416667</v>
      </c>
      <c r="AM35">
        <v>0.9</v>
      </c>
      <c r="AN35" t="s">
        <v>167</v>
      </c>
      <c r="AO35">
        <v>-1517.4</v>
      </c>
      <c r="AP35" t="s">
        <v>167</v>
      </c>
      <c r="AQ35" s="148" t="s">
        <v>173</v>
      </c>
      <c r="AR35" t="s">
        <v>167</v>
      </c>
      <c r="AS35">
        <v>53240</v>
      </c>
      <c r="AT35" t="s">
        <v>174</v>
      </c>
      <c r="AU35">
        <v>760</v>
      </c>
      <c r="AV35" s="153">
        <v>940</v>
      </c>
      <c r="AW35" s="149" t="s">
        <v>175</v>
      </c>
      <c r="AX35" t="s">
        <v>176</v>
      </c>
      <c r="AY35" t="s">
        <v>177</v>
      </c>
      <c r="AZ35" t="s">
        <v>167</v>
      </c>
      <c r="BA35" t="s">
        <v>167</v>
      </c>
      <c r="BB35" t="s">
        <v>167</v>
      </c>
      <c r="BC35" t="s">
        <v>167</v>
      </c>
      <c r="BD35" t="s">
        <v>167</v>
      </c>
      <c r="BE35" t="s">
        <v>167</v>
      </c>
      <c r="BF35" t="s">
        <v>167</v>
      </c>
      <c r="BG35" t="s">
        <v>203</v>
      </c>
      <c r="BH35" t="s">
        <v>202</v>
      </c>
      <c r="BI35" t="s">
        <v>179</v>
      </c>
      <c r="BJ35" t="s">
        <v>167</v>
      </c>
      <c r="BK35" t="s">
        <v>180</v>
      </c>
      <c r="BL35" t="s">
        <v>181</v>
      </c>
      <c r="BM35" t="s">
        <v>182</v>
      </c>
      <c r="BN35" t="s">
        <v>167</v>
      </c>
      <c r="BO35" t="s">
        <v>167</v>
      </c>
      <c r="BP35" t="s">
        <v>167</v>
      </c>
      <c r="BQ35">
        <v>22.3</v>
      </c>
      <c r="BR35" s="150" t="s">
        <v>183</v>
      </c>
      <c r="BS35">
        <v>0.4</v>
      </c>
      <c r="BT35" t="s">
        <v>184</v>
      </c>
      <c r="BU35" t="s">
        <v>185</v>
      </c>
      <c r="BV35" t="s">
        <v>185</v>
      </c>
      <c r="BW35" t="s">
        <v>167</v>
      </c>
      <c r="BX35" t="s">
        <v>167</v>
      </c>
      <c r="BY35" t="s">
        <v>167</v>
      </c>
      <c r="BZ35" t="s">
        <v>167</v>
      </c>
      <c r="CA35" t="s">
        <v>167</v>
      </c>
      <c r="CB35" s="144">
        <v>22.3</v>
      </c>
      <c r="CC35" s="150" t="s">
        <v>183</v>
      </c>
      <c r="CD35">
        <v>0.4</v>
      </c>
      <c r="CE35" t="s">
        <v>186</v>
      </c>
      <c r="CF35" t="s">
        <v>187</v>
      </c>
      <c r="CG35" t="s">
        <v>167</v>
      </c>
      <c r="CH35" t="s">
        <v>167</v>
      </c>
      <c r="CI35" t="s">
        <v>167</v>
      </c>
      <c r="CJ35">
        <v>27</v>
      </c>
      <c r="CK35" t="s">
        <v>167</v>
      </c>
      <c r="CL35" t="s">
        <v>167</v>
      </c>
      <c r="CM35" t="s">
        <v>167</v>
      </c>
      <c r="CN35" t="s">
        <v>167</v>
      </c>
      <c r="CO35" t="s">
        <v>167</v>
      </c>
      <c r="CP35" t="s">
        <v>167</v>
      </c>
      <c r="CQ35" t="s">
        <v>167</v>
      </c>
      <c r="CR35" t="s">
        <v>167</v>
      </c>
      <c r="CS35" t="s">
        <v>167</v>
      </c>
      <c r="CT35" t="s">
        <v>167</v>
      </c>
      <c r="CU35" t="s">
        <v>167</v>
      </c>
      <c r="CV35" t="s">
        <v>167</v>
      </c>
      <c r="CW35" t="s">
        <v>167</v>
      </c>
      <c r="CX35" t="s">
        <v>167</v>
      </c>
      <c r="CY35" t="s">
        <v>167</v>
      </c>
      <c r="CZ35" t="s">
        <v>167</v>
      </c>
      <c r="DA35" t="s">
        <v>167</v>
      </c>
      <c r="DB35" t="s">
        <v>167</v>
      </c>
      <c r="DC35" t="s">
        <v>167</v>
      </c>
      <c r="DD35" t="s">
        <v>167</v>
      </c>
      <c r="DE35" t="s">
        <v>167</v>
      </c>
      <c r="DF35" t="s">
        <v>167</v>
      </c>
      <c r="DG35" t="s">
        <v>167</v>
      </c>
      <c r="DH35" t="s">
        <v>167</v>
      </c>
      <c r="DI35" t="s">
        <v>167</v>
      </c>
      <c r="DJ35" t="s">
        <v>167</v>
      </c>
      <c r="DK35" t="s">
        <v>167</v>
      </c>
      <c r="DL35" t="s">
        <v>167</v>
      </c>
      <c r="DM35" t="s">
        <v>167</v>
      </c>
      <c r="DN35" t="s">
        <v>167</v>
      </c>
      <c r="DO35" t="s">
        <v>167</v>
      </c>
      <c r="DP35" t="s">
        <v>167</v>
      </c>
      <c r="DQ35" t="s">
        <v>167</v>
      </c>
      <c r="DR35" t="s">
        <v>167</v>
      </c>
      <c r="DS35" t="s">
        <v>167</v>
      </c>
      <c r="DT35" t="s">
        <v>167</v>
      </c>
      <c r="DU35" t="s">
        <v>167</v>
      </c>
      <c r="DV35" t="s">
        <v>167</v>
      </c>
      <c r="DW35" t="s">
        <v>167</v>
      </c>
      <c r="DX35" t="s">
        <v>167</v>
      </c>
      <c r="DY35" t="s">
        <v>167</v>
      </c>
      <c r="DZ35" t="s">
        <v>167</v>
      </c>
      <c r="EA35">
        <v>39.4</v>
      </c>
      <c r="EB35" t="s">
        <v>167</v>
      </c>
      <c r="EC35" t="s">
        <v>167</v>
      </c>
      <c r="ED35" t="s">
        <v>188</v>
      </c>
      <c r="EE35" t="s">
        <v>167</v>
      </c>
      <c r="EF35" t="s">
        <v>167</v>
      </c>
      <c r="EG35">
        <v>1.0194000000000001</v>
      </c>
      <c r="EH35" t="s">
        <v>167</v>
      </c>
      <c r="EI35" t="s">
        <v>167</v>
      </c>
      <c r="EJ35" t="s">
        <v>189</v>
      </c>
      <c r="EK35" t="s">
        <v>190</v>
      </c>
      <c r="EL35" t="s">
        <v>190</v>
      </c>
      <c r="EM35" t="s">
        <v>191</v>
      </c>
      <c r="EN35" t="s">
        <v>167</v>
      </c>
      <c r="EO35" t="s">
        <v>167</v>
      </c>
      <c r="EP35" t="s">
        <v>167</v>
      </c>
      <c r="EQ35" t="s">
        <v>167</v>
      </c>
      <c r="ER35" t="s">
        <v>167</v>
      </c>
      <c r="ES35" t="s">
        <v>167</v>
      </c>
      <c r="ET35" t="s">
        <v>192</v>
      </c>
      <c r="EU35" t="s">
        <v>193</v>
      </c>
      <c r="EV35" t="s">
        <v>167</v>
      </c>
      <c r="EW35">
        <v>3330</v>
      </c>
      <c r="EX35" t="s">
        <v>167</v>
      </c>
      <c r="EY35" s="151">
        <v>370</v>
      </c>
      <c r="EZ35" s="151">
        <v>155</v>
      </c>
      <c r="FA35" t="s">
        <v>167</v>
      </c>
      <c r="FB35" t="s">
        <v>167</v>
      </c>
      <c r="FC35" t="s">
        <v>167</v>
      </c>
      <c r="FD35" t="s">
        <v>167</v>
      </c>
      <c r="FE35">
        <v>7.62</v>
      </c>
      <c r="FF35" t="s">
        <v>167</v>
      </c>
      <c r="FG35">
        <v>9.0000000000000746E-2</v>
      </c>
      <c r="FH35">
        <v>0.10799999999999965</v>
      </c>
      <c r="FI35">
        <v>1865</v>
      </c>
      <c r="FJ35" t="s">
        <v>167</v>
      </c>
      <c r="FK35" t="s">
        <v>190</v>
      </c>
      <c r="FL35">
        <v>1865</v>
      </c>
      <c r="FM35">
        <v>775</v>
      </c>
      <c r="FN35">
        <v>504</v>
      </c>
      <c r="FO35" t="s">
        <v>167</v>
      </c>
      <c r="FP35" t="s">
        <v>194</v>
      </c>
      <c r="FQ35" t="s">
        <v>167</v>
      </c>
      <c r="FR35" t="s">
        <v>167</v>
      </c>
      <c r="FS35" t="s">
        <v>167</v>
      </c>
      <c r="FT35" t="s">
        <v>167</v>
      </c>
      <c r="FU35" t="s">
        <v>167</v>
      </c>
      <c r="FV35" t="s">
        <v>167</v>
      </c>
      <c r="FW35" t="s">
        <v>167</v>
      </c>
      <c r="FX35" t="s">
        <v>167</v>
      </c>
      <c r="FY35" t="s">
        <v>167</v>
      </c>
      <c r="FZ35" t="s">
        <v>167</v>
      </c>
      <c r="GA35" t="s">
        <v>167</v>
      </c>
      <c r="GB35" t="s">
        <v>167</v>
      </c>
      <c r="GC35" t="s">
        <v>167</v>
      </c>
    </row>
    <row r="36" spans="1:185" ht="16" x14ac:dyDescent="0.2">
      <c r="A36" t="s">
        <v>206</v>
      </c>
      <c r="B36" s="142" t="s">
        <v>207</v>
      </c>
      <c r="C36" s="138" t="s">
        <v>168</v>
      </c>
      <c r="D36" t="s">
        <v>205</v>
      </c>
      <c r="E36" s="146">
        <v>2000</v>
      </c>
      <c r="F36" t="str">
        <f t="shared" si="3"/>
        <v>10.1038/35021000</v>
      </c>
      <c r="G36" s="143">
        <f t="shared" si="4"/>
        <v>55840</v>
      </c>
      <c r="H36">
        <f t="shared" si="5"/>
        <v>60</v>
      </c>
      <c r="I36">
        <f t="shared" si="6"/>
        <v>1140</v>
      </c>
      <c r="J36" s="145">
        <f t="shared" si="7"/>
        <v>2930</v>
      </c>
      <c r="K36" s="145">
        <f t="shared" si="8"/>
        <v>1162</v>
      </c>
      <c r="L36" s="145">
        <f t="shared" si="9"/>
        <v>709</v>
      </c>
      <c r="M36" t="b">
        <v>1</v>
      </c>
      <c r="N36">
        <v>3</v>
      </c>
      <c r="O36" t="s">
        <v>209</v>
      </c>
      <c r="P36" s="154" t="s">
        <v>167</v>
      </c>
      <c r="Q36" t="b">
        <v>0</v>
      </c>
      <c r="R36" t="s">
        <v>167</v>
      </c>
      <c r="S36" t="b">
        <v>1</v>
      </c>
      <c r="T36" t="b">
        <v>0</v>
      </c>
      <c r="U36" t="s">
        <v>167</v>
      </c>
      <c r="V36" t="s">
        <v>167</v>
      </c>
      <c r="W36" t="b">
        <v>0</v>
      </c>
      <c r="X36" t="s">
        <v>167</v>
      </c>
      <c r="Y36" s="139" t="s">
        <v>169</v>
      </c>
      <c r="Z36" s="147" t="s">
        <v>170</v>
      </c>
      <c r="AA36">
        <v>865</v>
      </c>
      <c r="AB36" t="s">
        <v>197</v>
      </c>
      <c r="AC36">
        <v>12</v>
      </c>
      <c r="AD36">
        <v>5</v>
      </c>
      <c r="AE36">
        <v>110</v>
      </c>
      <c r="AF36">
        <v>112</v>
      </c>
      <c r="AG36" t="s">
        <v>167</v>
      </c>
      <c r="AH36" t="s">
        <v>167</v>
      </c>
      <c r="AI36" t="s">
        <v>167</v>
      </c>
      <c r="AJ36" t="s">
        <v>172</v>
      </c>
      <c r="AK36">
        <v>18.551388889999998</v>
      </c>
      <c r="AL36">
        <v>-179.64416667</v>
      </c>
      <c r="AM36">
        <v>0.9</v>
      </c>
      <c r="AN36" t="s">
        <v>167</v>
      </c>
      <c r="AO36">
        <v>-1517.4</v>
      </c>
      <c r="AP36" t="s">
        <v>167</v>
      </c>
      <c r="AQ36" s="148" t="s">
        <v>173</v>
      </c>
      <c r="AR36" t="s">
        <v>167</v>
      </c>
      <c r="AS36">
        <v>55840</v>
      </c>
      <c r="AT36" t="s">
        <v>174</v>
      </c>
      <c r="AU36">
        <v>60</v>
      </c>
      <c r="AV36" s="153">
        <v>1140</v>
      </c>
      <c r="AW36" s="149" t="s">
        <v>175</v>
      </c>
      <c r="AX36" t="s">
        <v>176</v>
      </c>
      <c r="AY36" t="s">
        <v>177</v>
      </c>
      <c r="AZ36" t="s">
        <v>167</v>
      </c>
      <c r="BA36" t="s">
        <v>167</v>
      </c>
      <c r="BB36" t="s">
        <v>167</v>
      </c>
      <c r="BC36" t="s">
        <v>167</v>
      </c>
      <c r="BD36" t="s">
        <v>167</v>
      </c>
      <c r="BE36" t="s">
        <v>167</v>
      </c>
      <c r="BF36" t="s">
        <v>167</v>
      </c>
      <c r="BG36" t="s">
        <v>204</v>
      </c>
      <c r="BH36" t="s">
        <v>202</v>
      </c>
      <c r="BI36" t="s">
        <v>179</v>
      </c>
      <c r="BJ36" t="s">
        <v>167</v>
      </c>
      <c r="BK36" t="s">
        <v>180</v>
      </c>
      <c r="BL36" t="s">
        <v>181</v>
      </c>
      <c r="BM36" t="s">
        <v>182</v>
      </c>
      <c r="BN36" t="s">
        <v>167</v>
      </c>
      <c r="BO36" t="s">
        <v>167</v>
      </c>
      <c r="BP36" t="s">
        <v>167</v>
      </c>
      <c r="BQ36">
        <v>21.8</v>
      </c>
      <c r="BR36" s="150" t="s">
        <v>183</v>
      </c>
      <c r="BS36">
        <v>0.3</v>
      </c>
      <c r="BT36" t="s">
        <v>184</v>
      </c>
      <c r="BU36" t="s">
        <v>185</v>
      </c>
      <c r="BV36" t="s">
        <v>185</v>
      </c>
      <c r="BW36" t="s">
        <v>167</v>
      </c>
      <c r="BX36" t="s">
        <v>167</v>
      </c>
      <c r="BY36" t="s">
        <v>167</v>
      </c>
      <c r="BZ36" t="s">
        <v>167</v>
      </c>
      <c r="CA36" t="s">
        <v>167</v>
      </c>
      <c r="CB36" s="144">
        <v>21.8</v>
      </c>
      <c r="CC36" s="150" t="s">
        <v>183</v>
      </c>
      <c r="CD36">
        <v>0.3</v>
      </c>
      <c r="CE36" t="s">
        <v>186</v>
      </c>
      <c r="CF36" t="s">
        <v>187</v>
      </c>
      <c r="CG36" t="s">
        <v>167</v>
      </c>
      <c r="CH36" t="s">
        <v>167</v>
      </c>
      <c r="CI36" t="s">
        <v>167</v>
      </c>
      <c r="CJ36">
        <v>27</v>
      </c>
      <c r="CK36" t="s">
        <v>167</v>
      </c>
      <c r="CL36" t="s">
        <v>167</v>
      </c>
      <c r="CM36" t="s">
        <v>167</v>
      </c>
      <c r="CN36" t="s">
        <v>167</v>
      </c>
      <c r="CO36" t="s">
        <v>167</v>
      </c>
      <c r="CP36" t="s">
        <v>167</v>
      </c>
      <c r="CQ36" t="s">
        <v>167</v>
      </c>
      <c r="CR36" t="s">
        <v>167</v>
      </c>
      <c r="CS36" t="s">
        <v>167</v>
      </c>
      <c r="CT36" t="s">
        <v>167</v>
      </c>
      <c r="CU36" t="s">
        <v>167</v>
      </c>
      <c r="CV36" t="s">
        <v>167</v>
      </c>
      <c r="CW36" t="s">
        <v>167</v>
      </c>
      <c r="CX36" t="s">
        <v>167</v>
      </c>
      <c r="CY36" t="s">
        <v>167</v>
      </c>
      <c r="CZ36" t="s">
        <v>167</v>
      </c>
      <c r="DA36" t="s">
        <v>167</v>
      </c>
      <c r="DB36" t="s">
        <v>167</v>
      </c>
      <c r="DC36" t="s">
        <v>167</v>
      </c>
      <c r="DD36" t="s">
        <v>167</v>
      </c>
      <c r="DE36" t="s">
        <v>167</v>
      </c>
      <c r="DF36" t="s">
        <v>167</v>
      </c>
      <c r="DG36" t="s">
        <v>167</v>
      </c>
      <c r="DH36" t="s">
        <v>167</v>
      </c>
      <c r="DI36" t="s">
        <v>167</v>
      </c>
      <c r="DJ36" t="s">
        <v>167</v>
      </c>
      <c r="DK36" t="s">
        <v>167</v>
      </c>
      <c r="DL36" t="s">
        <v>167</v>
      </c>
      <c r="DM36" t="s">
        <v>167</v>
      </c>
      <c r="DN36" t="s">
        <v>167</v>
      </c>
      <c r="DO36" t="s">
        <v>167</v>
      </c>
      <c r="DP36" t="s">
        <v>167</v>
      </c>
      <c r="DQ36" t="s">
        <v>167</v>
      </c>
      <c r="DR36" t="s">
        <v>167</v>
      </c>
      <c r="DS36" t="s">
        <v>167</v>
      </c>
      <c r="DT36" t="s">
        <v>167</v>
      </c>
      <c r="DU36" t="s">
        <v>167</v>
      </c>
      <c r="DV36" t="s">
        <v>167</v>
      </c>
      <c r="DW36" t="s">
        <v>167</v>
      </c>
      <c r="DX36" t="s">
        <v>167</v>
      </c>
      <c r="DY36" t="s">
        <v>167</v>
      </c>
      <c r="DZ36" t="s">
        <v>167</v>
      </c>
      <c r="EA36">
        <v>39.4</v>
      </c>
      <c r="EB36" t="s">
        <v>167</v>
      </c>
      <c r="EC36" t="s">
        <v>167</v>
      </c>
      <c r="ED36" t="s">
        <v>188</v>
      </c>
      <c r="EE36" t="s">
        <v>167</v>
      </c>
      <c r="EF36" t="s">
        <v>167</v>
      </c>
      <c r="EG36">
        <v>1.0194000000000001</v>
      </c>
      <c r="EH36" t="s">
        <v>167</v>
      </c>
      <c r="EI36" t="s">
        <v>167</v>
      </c>
      <c r="EJ36" t="s">
        <v>189</v>
      </c>
      <c r="EK36" t="s">
        <v>190</v>
      </c>
      <c r="EL36" t="s">
        <v>190</v>
      </c>
      <c r="EM36" t="s">
        <v>191</v>
      </c>
      <c r="EN36" t="s">
        <v>167</v>
      </c>
      <c r="EO36" t="s">
        <v>167</v>
      </c>
      <c r="EP36" t="s">
        <v>167</v>
      </c>
      <c r="EQ36" t="s">
        <v>167</v>
      </c>
      <c r="ER36" t="s">
        <v>167</v>
      </c>
      <c r="ES36" t="s">
        <v>167</v>
      </c>
      <c r="ET36" t="s">
        <v>192</v>
      </c>
      <c r="EU36" t="s">
        <v>193</v>
      </c>
      <c r="EV36" t="s">
        <v>167</v>
      </c>
      <c r="EW36">
        <v>3775</v>
      </c>
      <c r="EX36" t="s">
        <v>167</v>
      </c>
      <c r="EY36" s="151">
        <v>325</v>
      </c>
      <c r="EZ36" s="151">
        <v>175</v>
      </c>
      <c r="FA36" t="s">
        <v>167</v>
      </c>
      <c r="FB36" t="s">
        <v>167</v>
      </c>
      <c r="FC36" t="s">
        <v>167</v>
      </c>
      <c r="FD36" t="s">
        <v>167</v>
      </c>
      <c r="FE36">
        <v>7.48</v>
      </c>
      <c r="FF36" t="s">
        <v>167</v>
      </c>
      <c r="FG36">
        <v>8.8000000000000078E-2</v>
      </c>
      <c r="FH36">
        <v>0.10500000000000043</v>
      </c>
      <c r="FI36">
        <v>2930</v>
      </c>
      <c r="FJ36" t="s">
        <v>167</v>
      </c>
      <c r="FK36" t="s">
        <v>190</v>
      </c>
      <c r="FL36">
        <v>2930</v>
      </c>
      <c r="FM36">
        <v>1162</v>
      </c>
      <c r="FN36">
        <v>709</v>
      </c>
      <c r="FO36" t="s">
        <v>167</v>
      </c>
      <c r="FP36" t="s">
        <v>194</v>
      </c>
      <c r="FQ36" t="s">
        <v>167</v>
      </c>
      <c r="FR36" t="s">
        <v>167</v>
      </c>
      <c r="FS36" t="s">
        <v>167</v>
      </c>
      <c r="FT36" t="s">
        <v>167</v>
      </c>
      <c r="FU36" t="s">
        <v>167</v>
      </c>
      <c r="FV36" t="s">
        <v>167</v>
      </c>
      <c r="FW36" t="s">
        <v>167</v>
      </c>
      <c r="FX36" t="s">
        <v>167</v>
      </c>
      <c r="FY36" t="s">
        <v>167</v>
      </c>
      <c r="FZ36" t="s">
        <v>167</v>
      </c>
      <c r="GA36" t="s">
        <v>167</v>
      </c>
      <c r="GB36" t="s">
        <v>167</v>
      </c>
      <c r="GC36" t="s">
        <v>167</v>
      </c>
    </row>
    <row r="37" spans="1:185" ht="16" x14ac:dyDescent="0.2">
      <c r="A37" t="s">
        <v>206</v>
      </c>
      <c r="B37" s="142" t="s">
        <v>207</v>
      </c>
      <c r="C37" s="138" t="s">
        <v>168</v>
      </c>
      <c r="D37" t="s">
        <v>205</v>
      </c>
      <c r="E37" s="146">
        <v>2000</v>
      </c>
      <c r="F37" t="str">
        <f t="shared" si="3"/>
        <v>10.1038/35021000</v>
      </c>
      <c r="G37" s="143">
        <f t="shared" si="4"/>
        <v>57120</v>
      </c>
      <c r="H37">
        <f t="shared" si="5"/>
        <v>380</v>
      </c>
      <c r="I37">
        <f t="shared" si="6"/>
        <v>20</v>
      </c>
      <c r="J37" s="145">
        <f t="shared" si="7"/>
        <v>2426</v>
      </c>
      <c r="K37" s="145">
        <f t="shared" si="8"/>
        <v>1282</v>
      </c>
      <c r="L37" s="145">
        <f t="shared" si="9"/>
        <v>690</v>
      </c>
      <c r="M37" t="b">
        <v>1</v>
      </c>
      <c r="N37">
        <v>3</v>
      </c>
      <c r="O37" t="s">
        <v>209</v>
      </c>
      <c r="P37" s="154" t="s">
        <v>167</v>
      </c>
      <c r="Q37" t="b">
        <v>0</v>
      </c>
      <c r="R37" t="s">
        <v>167</v>
      </c>
      <c r="S37" t="b">
        <v>1</v>
      </c>
      <c r="T37" t="b">
        <v>0</v>
      </c>
      <c r="U37" t="s">
        <v>167</v>
      </c>
      <c r="V37" t="s">
        <v>167</v>
      </c>
      <c r="W37" t="b">
        <v>0</v>
      </c>
      <c r="X37" t="s">
        <v>167</v>
      </c>
      <c r="Y37" s="139" t="s">
        <v>169</v>
      </c>
      <c r="Z37" s="147" t="s">
        <v>170</v>
      </c>
      <c r="AA37">
        <v>865</v>
      </c>
      <c r="AB37" t="s">
        <v>197</v>
      </c>
      <c r="AC37">
        <v>14</v>
      </c>
      <c r="AD37">
        <v>3</v>
      </c>
      <c r="AE37">
        <v>110</v>
      </c>
      <c r="AF37">
        <v>112</v>
      </c>
      <c r="AG37" t="s">
        <v>167</v>
      </c>
      <c r="AH37" t="s">
        <v>167</v>
      </c>
      <c r="AI37" t="s">
        <v>167</v>
      </c>
      <c r="AJ37" t="s">
        <v>172</v>
      </c>
      <c r="AK37">
        <v>18.551388889999998</v>
      </c>
      <c r="AL37">
        <v>-179.64416667</v>
      </c>
      <c r="AM37">
        <v>0.9</v>
      </c>
      <c r="AN37" t="s">
        <v>167</v>
      </c>
      <c r="AO37">
        <v>-1517.4</v>
      </c>
      <c r="AP37" t="s">
        <v>167</v>
      </c>
      <c r="AQ37" s="148" t="s">
        <v>173</v>
      </c>
      <c r="AR37" t="s">
        <v>167</v>
      </c>
      <c r="AS37">
        <v>57120</v>
      </c>
      <c r="AT37" t="s">
        <v>174</v>
      </c>
      <c r="AU37">
        <v>380</v>
      </c>
      <c r="AV37" s="153">
        <v>20</v>
      </c>
      <c r="AW37" s="149" t="s">
        <v>175</v>
      </c>
      <c r="AX37" t="s">
        <v>176</v>
      </c>
      <c r="AY37" t="s">
        <v>177</v>
      </c>
      <c r="AZ37" t="s">
        <v>167</v>
      </c>
      <c r="BA37" t="s">
        <v>167</v>
      </c>
      <c r="BB37" t="s">
        <v>167</v>
      </c>
      <c r="BC37" t="s">
        <v>167</v>
      </c>
      <c r="BD37" t="s">
        <v>167</v>
      </c>
      <c r="BE37" t="s">
        <v>167</v>
      </c>
      <c r="BF37" t="s">
        <v>167</v>
      </c>
      <c r="BG37" t="s">
        <v>204</v>
      </c>
      <c r="BH37" t="s">
        <v>198</v>
      </c>
      <c r="BI37" t="s">
        <v>179</v>
      </c>
      <c r="BJ37" t="s">
        <v>167</v>
      </c>
      <c r="BK37" t="s">
        <v>180</v>
      </c>
      <c r="BL37" t="s">
        <v>181</v>
      </c>
      <c r="BM37" t="s">
        <v>182</v>
      </c>
      <c r="BN37" t="s">
        <v>167</v>
      </c>
      <c r="BO37" t="s">
        <v>167</v>
      </c>
      <c r="BP37" t="s">
        <v>167</v>
      </c>
      <c r="BQ37">
        <v>22</v>
      </c>
      <c r="BR37" s="150" t="s">
        <v>183</v>
      </c>
      <c r="BS37">
        <v>0.4</v>
      </c>
      <c r="BT37" t="s">
        <v>184</v>
      </c>
      <c r="BU37" t="s">
        <v>185</v>
      </c>
      <c r="BV37" t="s">
        <v>185</v>
      </c>
      <c r="BW37" t="s">
        <v>167</v>
      </c>
      <c r="BX37" t="s">
        <v>167</v>
      </c>
      <c r="BY37" t="s">
        <v>167</v>
      </c>
      <c r="BZ37" t="s">
        <v>167</v>
      </c>
      <c r="CA37" t="s">
        <v>167</v>
      </c>
      <c r="CB37" s="144">
        <v>22</v>
      </c>
      <c r="CC37" s="150" t="s">
        <v>183</v>
      </c>
      <c r="CD37">
        <v>0.4</v>
      </c>
      <c r="CE37" t="s">
        <v>186</v>
      </c>
      <c r="CF37" t="s">
        <v>187</v>
      </c>
      <c r="CG37" t="s">
        <v>167</v>
      </c>
      <c r="CH37" t="s">
        <v>167</v>
      </c>
      <c r="CI37" t="s">
        <v>167</v>
      </c>
      <c r="CJ37">
        <v>27</v>
      </c>
      <c r="CK37" t="s">
        <v>167</v>
      </c>
      <c r="CL37" t="s">
        <v>167</v>
      </c>
      <c r="CM37" t="s">
        <v>167</v>
      </c>
      <c r="CN37" t="s">
        <v>167</v>
      </c>
      <c r="CO37" t="s">
        <v>167</v>
      </c>
      <c r="CP37" t="s">
        <v>167</v>
      </c>
      <c r="CQ37" t="s">
        <v>167</v>
      </c>
      <c r="CR37" t="s">
        <v>167</v>
      </c>
      <c r="CS37" t="s">
        <v>167</v>
      </c>
      <c r="CT37" t="s">
        <v>167</v>
      </c>
      <c r="CU37" t="s">
        <v>167</v>
      </c>
      <c r="CV37" t="s">
        <v>167</v>
      </c>
      <c r="CW37" t="s">
        <v>167</v>
      </c>
      <c r="CX37" t="s">
        <v>167</v>
      </c>
      <c r="CY37" t="s">
        <v>167</v>
      </c>
      <c r="CZ37" t="s">
        <v>167</v>
      </c>
      <c r="DA37" t="s">
        <v>167</v>
      </c>
      <c r="DB37" t="s">
        <v>167</v>
      </c>
      <c r="DC37" t="s">
        <v>167</v>
      </c>
      <c r="DD37" t="s">
        <v>167</v>
      </c>
      <c r="DE37" t="s">
        <v>167</v>
      </c>
      <c r="DF37" t="s">
        <v>167</v>
      </c>
      <c r="DG37" t="s">
        <v>167</v>
      </c>
      <c r="DH37" t="s">
        <v>167</v>
      </c>
      <c r="DI37" t="s">
        <v>167</v>
      </c>
      <c r="DJ37" t="s">
        <v>167</v>
      </c>
      <c r="DK37" t="s">
        <v>167</v>
      </c>
      <c r="DL37" t="s">
        <v>167</v>
      </c>
      <c r="DM37" t="s">
        <v>167</v>
      </c>
      <c r="DN37" t="s">
        <v>167</v>
      </c>
      <c r="DO37" t="s">
        <v>167</v>
      </c>
      <c r="DP37" t="s">
        <v>167</v>
      </c>
      <c r="DQ37" t="s">
        <v>167</v>
      </c>
      <c r="DR37" t="s">
        <v>167</v>
      </c>
      <c r="DS37" t="s">
        <v>167</v>
      </c>
      <c r="DT37" t="s">
        <v>167</v>
      </c>
      <c r="DU37" t="s">
        <v>167</v>
      </c>
      <c r="DV37" t="s">
        <v>167</v>
      </c>
      <c r="DW37" t="s">
        <v>167</v>
      </c>
      <c r="DX37" t="s">
        <v>167</v>
      </c>
      <c r="DY37" t="s">
        <v>167</v>
      </c>
      <c r="DZ37" t="s">
        <v>167</v>
      </c>
      <c r="EA37">
        <v>39.4</v>
      </c>
      <c r="EB37" t="s">
        <v>167</v>
      </c>
      <c r="EC37" t="s">
        <v>167</v>
      </c>
      <c r="ED37" t="s">
        <v>188</v>
      </c>
      <c r="EE37" t="s">
        <v>167</v>
      </c>
      <c r="EF37" t="s">
        <v>167</v>
      </c>
      <c r="EG37">
        <v>1.0194000000000001</v>
      </c>
      <c r="EH37" t="s">
        <v>167</v>
      </c>
      <c r="EI37" t="s">
        <v>167</v>
      </c>
      <c r="EJ37" t="s">
        <v>189</v>
      </c>
      <c r="EK37" t="s">
        <v>190</v>
      </c>
      <c r="EL37" t="s">
        <v>190</v>
      </c>
      <c r="EM37" t="s">
        <v>191</v>
      </c>
      <c r="EN37" t="s">
        <v>167</v>
      </c>
      <c r="EO37" t="s">
        <v>167</v>
      </c>
      <c r="EP37" t="s">
        <v>167</v>
      </c>
      <c r="EQ37" t="s">
        <v>167</v>
      </c>
      <c r="ER37" t="s">
        <v>167</v>
      </c>
      <c r="ES37" t="s">
        <v>167</v>
      </c>
      <c r="ET37" t="s">
        <v>192</v>
      </c>
      <c r="EU37" t="s">
        <v>193</v>
      </c>
      <c r="EV37" t="s">
        <v>167</v>
      </c>
      <c r="EW37">
        <v>3630</v>
      </c>
      <c r="EX37" t="s">
        <v>167</v>
      </c>
      <c r="EY37" s="151">
        <v>420</v>
      </c>
      <c r="EZ37" s="151">
        <v>230</v>
      </c>
      <c r="FA37" t="s">
        <v>167</v>
      </c>
      <c r="FB37" t="s">
        <v>167</v>
      </c>
      <c r="FC37" t="s">
        <v>167</v>
      </c>
      <c r="FD37" t="s">
        <v>167</v>
      </c>
      <c r="FE37">
        <v>7.54</v>
      </c>
      <c r="FF37" t="s">
        <v>167</v>
      </c>
      <c r="FG37">
        <v>0.10300000000000065</v>
      </c>
      <c r="FH37">
        <v>0.12899999999999956</v>
      </c>
      <c r="FI37">
        <v>2426</v>
      </c>
      <c r="FJ37" t="s">
        <v>167</v>
      </c>
      <c r="FK37" t="s">
        <v>190</v>
      </c>
      <c r="FL37">
        <v>2426</v>
      </c>
      <c r="FM37">
        <v>1282</v>
      </c>
      <c r="FN37">
        <v>690</v>
      </c>
      <c r="FO37" t="s">
        <v>167</v>
      </c>
      <c r="FP37" t="s">
        <v>194</v>
      </c>
      <c r="FQ37" t="s">
        <v>167</v>
      </c>
      <c r="FR37" t="s">
        <v>167</v>
      </c>
      <c r="FS37" t="s">
        <v>167</v>
      </c>
      <c r="FT37" t="s">
        <v>167</v>
      </c>
      <c r="FU37" t="s">
        <v>167</v>
      </c>
      <c r="FV37" t="s">
        <v>167</v>
      </c>
      <c r="FW37" t="s">
        <v>167</v>
      </c>
      <c r="FX37" t="s">
        <v>167</v>
      </c>
      <c r="FY37" t="s">
        <v>167</v>
      </c>
      <c r="FZ37" t="s">
        <v>167</v>
      </c>
      <c r="GA37" t="s">
        <v>167</v>
      </c>
      <c r="GB37" t="s">
        <v>167</v>
      </c>
      <c r="GC37" t="s">
        <v>167</v>
      </c>
    </row>
    <row r="38" spans="1:185" ht="16" x14ac:dyDescent="0.2">
      <c r="A38" t="s">
        <v>206</v>
      </c>
      <c r="B38" s="142" t="s">
        <v>207</v>
      </c>
      <c r="C38" s="138" t="s">
        <v>168</v>
      </c>
      <c r="D38" t="s">
        <v>205</v>
      </c>
      <c r="E38" s="146">
        <v>2000</v>
      </c>
      <c r="F38" t="str">
        <f t="shared" si="3"/>
        <v>10.1038/35021000</v>
      </c>
      <c r="G38" s="143">
        <f t="shared" si="4"/>
        <v>59880</v>
      </c>
      <c r="H38">
        <f t="shared" si="5"/>
        <v>120</v>
      </c>
      <c r="I38">
        <f t="shared" si="6"/>
        <v>680</v>
      </c>
      <c r="J38" s="145">
        <f t="shared" si="7"/>
        <v>3560</v>
      </c>
      <c r="K38" s="145">
        <f t="shared" si="8"/>
        <v>1070</v>
      </c>
      <c r="L38" s="145">
        <f t="shared" si="9"/>
        <v>630</v>
      </c>
      <c r="M38" t="b">
        <v>1</v>
      </c>
      <c r="N38">
        <v>3</v>
      </c>
      <c r="O38" t="s">
        <v>209</v>
      </c>
      <c r="P38" s="154" t="s">
        <v>167</v>
      </c>
      <c r="Q38" t="b">
        <v>0</v>
      </c>
      <c r="R38" t="s">
        <v>167</v>
      </c>
      <c r="S38" t="b">
        <v>1</v>
      </c>
      <c r="T38" t="b">
        <v>0</v>
      </c>
      <c r="U38" t="s">
        <v>167</v>
      </c>
      <c r="V38" t="s">
        <v>167</v>
      </c>
      <c r="W38" t="b">
        <v>0</v>
      </c>
      <c r="X38" t="s">
        <v>167</v>
      </c>
      <c r="Y38" s="139" t="s">
        <v>169</v>
      </c>
      <c r="Z38" s="147" t="s">
        <v>170</v>
      </c>
      <c r="AA38">
        <v>865</v>
      </c>
      <c r="AB38" t="s">
        <v>197</v>
      </c>
      <c r="AC38">
        <v>15</v>
      </c>
      <c r="AD38">
        <v>5</v>
      </c>
      <c r="AE38">
        <v>110</v>
      </c>
      <c r="AF38">
        <v>112</v>
      </c>
      <c r="AG38" t="s">
        <v>167</v>
      </c>
      <c r="AH38" t="s">
        <v>167</v>
      </c>
      <c r="AI38" t="s">
        <v>167</v>
      </c>
      <c r="AJ38" t="s">
        <v>172</v>
      </c>
      <c r="AK38">
        <v>18.551388889999998</v>
      </c>
      <c r="AL38">
        <v>-179.64416667</v>
      </c>
      <c r="AM38">
        <v>0.9</v>
      </c>
      <c r="AN38" t="s">
        <v>167</v>
      </c>
      <c r="AO38">
        <v>-1517.4</v>
      </c>
      <c r="AP38" t="s">
        <v>167</v>
      </c>
      <c r="AQ38" s="148" t="s">
        <v>173</v>
      </c>
      <c r="AR38" t="s">
        <v>167</v>
      </c>
      <c r="AS38">
        <v>59880</v>
      </c>
      <c r="AT38" t="s">
        <v>174</v>
      </c>
      <c r="AU38">
        <v>120</v>
      </c>
      <c r="AV38" s="153">
        <v>680</v>
      </c>
      <c r="AW38" s="149" t="s">
        <v>175</v>
      </c>
      <c r="AX38" t="s">
        <v>176</v>
      </c>
      <c r="AY38" t="s">
        <v>177</v>
      </c>
      <c r="AZ38" t="s">
        <v>167</v>
      </c>
      <c r="BA38" t="s">
        <v>167</v>
      </c>
      <c r="BB38" t="s">
        <v>167</v>
      </c>
      <c r="BC38" t="s">
        <v>167</v>
      </c>
      <c r="BD38" t="s">
        <v>167</v>
      </c>
      <c r="BE38" t="s">
        <v>167</v>
      </c>
      <c r="BF38" t="s">
        <v>167</v>
      </c>
      <c r="BG38" t="s">
        <v>204</v>
      </c>
      <c r="BH38" t="s">
        <v>198</v>
      </c>
      <c r="BI38" t="s">
        <v>179</v>
      </c>
      <c r="BJ38" t="s">
        <v>167</v>
      </c>
      <c r="BK38" t="s">
        <v>180</v>
      </c>
      <c r="BL38" t="s">
        <v>181</v>
      </c>
      <c r="BM38" t="s">
        <v>182</v>
      </c>
      <c r="BN38" t="s">
        <v>167</v>
      </c>
      <c r="BO38" t="s">
        <v>167</v>
      </c>
      <c r="BP38" t="s">
        <v>167</v>
      </c>
      <c r="BQ38">
        <v>21.6</v>
      </c>
      <c r="BR38" s="150" t="s">
        <v>183</v>
      </c>
      <c r="BS38">
        <v>0.2</v>
      </c>
      <c r="BT38" t="s">
        <v>184</v>
      </c>
      <c r="BU38" t="s">
        <v>185</v>
      </c>
      <c r="BV38" t="s">
        <v>185</v>
      </c>
      <c r="BW38" t="s">
        <v>167</v>
      </c>
      <c r="BX38" t="s">
        <v>167</v>
      </c>
      <c r="BY38" t="s">
        <v>167</v>
      </c>
      <c r="BZ38" t="s">
        <v>167</v>
      </c>
      <c r="CA38" t="s">
        <v>167</v>
      </c>
      <c r="CB38" s="144">
        <v>21.6</v>
      </c>
      <c r="CC38" s="150" t="s">
        <v>183</v>
      </c>
      <c r="CD38">
        <v>0.2</v>
      </c>
      <c r="CE38" t="s">
        <v>186</v>
      </c>
      <c r="CF38" t="s">
        <v>187</v>
      </c>
      <c r="CG38" t="s">
        <v>167</v>
      </c>
      <c r="CH38" t="s">
        <v>167</v>
      </c>
      <c r="CI38" t="s">
        <v>167</v>
      </c>
      <c r="CJ38">
        <v>27</v>
      </c>
      <c r="CK38" t="s">
        <v>167</v>
      </c>
      <c r="CL38" t="s">
        <v>167</v>
      </c>
      <c r="CM38" t="s">
        <v>167</v>
      </c>
      <c r="CN38" t="s">
        <v>167</v>
      </c>
      <c r="CO38" t="s">
        <v>167</v>
      </c>
      <c r="CP38" t="s">
        <v>167</v>
      </c>
      <c r="CQ38" t="s">
        <v>167</v>
      </c>
      <c r="CR38" t="s">
        <v>167</v>
      </c>
      <c r="CS38" t="s">
        <v>167</v>
      </c>
      <c r="CT38" t="s">
        <v>167</v>
      </c>
      <c r="CU38" t="s">
        <v>167</v>
      </c>
      <c r="CV38" t="s">
        <v>167</v>
      </c>
      <c r="CW38" t="s">
        <v>167</v>
      </c>
      <c r="CX38" t="s">
        <v>167</v>
      </c>
      <c r="CY38" t="s">
        <v>167</v>
      </c>
      <c r="CZ38" t="s">
        <v>167</v>
      </c>
      <c r="DA38" t="s">
        <v>167</v>
      </c>
      <c r="DB38" t="s">
        <v>167</v>
      </c>
      <c r="DC38" t="s">
        <v>167</v>
      </c>
      <c r="DD38" t="s">
        <v>167</v>
      </c>
      <c r="DE38" t="s">
        <v>167</v>
      </c>
      <c r="DF38" t="s">
        <v>167</v>
      </c>
      <c r="DG38" t="s">
        <v>167</v>
      </c>
      <c r="DH38" t="s">
        <v>167</v>
      </c>
      <c r="DI38" t="s">
        <v>167</v>
      </c>
      <c r="DJ38" t="s">
        <v>167</v>
      </c>
      <c r="DK38" t="s">
        <v>167</v>
      </c>
      <c r="DL38" t="s">
        <v>167</v>
      </c>
      <c r="DM38" t="s">
        <v>167</v>
      </c>
      <c r="DN38" t="s">
        <v>167</v>
      </c>
      <c r="DO38" t="s">
        <v>167</v>
      </c>
      <c r="DP38" t="s">
        <v>167</v>
      </c>
      <c r="DQ38" t="s">
        <v>167</v>
      </c>
      <c r="DR38" t="s">
        <v>167</v>
      </c>
      <c r="DS38" t="s">
        <v>167</v>
      </c>
      <c r="DT38" t="s">
        <v>167</v>
      </c>
      <c r="DU38" t="s">
        <v>167</v>
      </c>
      <c r="DV38" t="s">
        <v>167</v>
      </c>
      <c r="DW38" t="s">
        <v>167</v>
      </c>
      <c r="DX38" t="s">
        <v>167</v>
      </c>
      <c r="DY38" t="s">
        <v>167</v>
      </c>
      <c r="DZ38" t="s">
        <v>167</v>
      </c>
      <c r="EA38">
        <v>39.4</v>
      </c>
      <c r="EB38" t="s">
        <v>167</v>
      </c>
      <c r="EC38" t="s">
        <v>167</v>
      </c>
      <c r="ED38" t="s">
        <v>188</v>
      </c>
      <c r="EE38" t="s">
        <v>167</v>
      </c>
      <c r="EF38" t="s">
        <v>167</v>
      </c>
      <c r="EG38">
        <v>1.0194000000000001</v>
      </c>
      <c r="EH38" t="s">
        <v>167</v>
      </c>
      <c r="EI38" t="s">
        <v>167</v>
      </c>
      <c r="EJ38" t="s">
        <v>189</v>
      </c>
      <c r="EK38" t="s">
        <v>190</v>
      </c>
      <c r="EL38" t="s">
        <v>190</v>
      </c>
      <c r="EM38" t="s">
        <v>191</v>
      </c>
      <c r="EN38" t="s">
        <v>167</v>
      </c>
      <c r="EO38" t="s">
        <v>167</v>
      </c>
      <c r="EP38" t="s">
        <v>167</v>
      </c>
      <c r="EQ38" t="s">
        <v>167</v>
      </c>
      <c r="ER38" t="s">
        <v>167</v>
      </c>
      <c r="ES38" t="s">
        <v>167</v>
      </c>
      <c r="ET38" t="s">
        <v>192</v>
      </c>
      <c r="EU38" t="s">
        <v>193</v>
      </c>
      <c r="EV38" t="s">
        <v>167</v>
      </c>
      <c r="EW38">
        <v>3950</v>
      </c>
      <c r="EX38" t="s">
        <v>167</v>
      </c>
      <c r="EY38" s="151">
        <v>300</v>
      </c>
      <c r="EZ38" s="151">
        <v>125</v>
      </c>
      <c r="FA38" t="s">
        <v>167</v>
      </c>
      <c r="FB38" t="s">
        <v>167</v>
      </c>
      <c r="FC38" t="s">
        <v>167</v>
      </c>
      <c r="FD38" t="s">
        <v>167</v>
      </c>
      <c r="FE38">
        <v>7.42</v>
      </c>
      <c r="FF38" t="s">
        <v>167</v>
      </c>
      <c r="FG38">
        <v>7.0000000000000284E-2</v>
      </c>
      <c r="FH38">
        <v>7.5000000000000178E-2</v>
      </c>
      <c r="FI38">
        <v>3560</v>
      </c>
      <c r="FJ38" t="s">
        <v>167</v>
      </c>
      <c r="FK38" t="s">
        <v>190</v>
      </c>
      <c r="FL38">
        <v>3560</v>
      </c>
      <c r="FM38">
        <v>1070</v>
      </c>
      <c r="FN38">
        <v>630</v>
      </c>
      <c r="FO38" t="s">
        <v>167</v>
      </c>
      <c r="FP38" t="s">
        <v>194</v>
      </c>
      <c r="FQ38" t="s">
        <v>167</v>
      </c>
      <c r="FR38" t="s">
        <v>167</v>
      </c>
      <c r="FS38" t="s">
        <v>167</v>
      </c>
      <c r="FT38" t="s">
        <v>167</v>
      </c>
      <c r="FU38" t="s">
        <v>167</v>
      </c>
      <c r="FV38" t="s">
        <v>167</v>
      </c>
      <c r="FW38" t="s">
        <v>167</v>
      </c>
      <c r="FX38" t="s">
        <v>167</v>
      </c>
      <c r="FY38" t="s">
        <v>167</v>
      </c>
      <c r="FZ38" t="s">
        <v>167</v>
      </c>
      <c r="GA38" t="s">
        <v>167</v>
      </c>
      <c r="GB38" t="s">
        <v>167</v>
      </c>
      <c r="GC38" t="s">
        <v>167</v>
      </c>
    </row>
  </sheetData>
  <mergeCells count="1">
    <mergeCell ref="S2:W2"/>
  </mergeCells>
  <hyperlinks>
    <hyperlink ref="B4" r:id="rId1" display="hoenisch@ldeo.columbia.edu" xr:uid="{151B3E2C-1B68-054E-BA92-D48A49ED576B}"/>
    <hyperlink ref="B5" r:id="rId2" display="hoenisch@ldeo.columbia.edu" xr:uid="{B82574D3-0C71-7243-B75A-5E921709C244}"/>
    <hyperlink ref="B6" r:id="rId3" display="hoenisch@ldeo.columbia.edu" xr:uid="{8C1DB60A-5A21-6445-A538-08DDAB595833}"/>
    <hyperlink ref="B8" r:id="rId4" display="hoenisch@ldeo.columbia.edu" xr:uid="{AEEC5256-0AC6-9441-94F3-473D37E95E30}"/>
    <hyperlink ref="B10" r:id="rId5" display="hoenisch@ldeo.columbia.edu" xr:uid="{3F23E07B-7A85-254C-AF71-ED31E75A5D93}"/>
    <hyperlink ref="B12" r:id="rId6" display="hoenisch@ldeo.columbia.edu" xr:uid="{5C81AACC-BA78-0641-8640-4CD20C2F255A}"/>
    <hyperlink ref="B14" r:id="rId7" display="hoenisch@ldeo.columbia.edu" xr:uid="{3A51929D-2E64-DA4C-9CD8-7DFD3C5C4E41}"/>
    <hyperlink ref="B16" r:id="rId8" display="hoenisch@ldeo.columbia.edu" xr:uid="{C5FD0B34-EB8C-F34F-A7F9-4B957DB6C634}"/>
    <hyperlink ref="B18" r:id="rId9" display="hoenisch@ldeo.columbia.edu" xr:uid="{565FE574-5A3F-5946-8141-A9A5AAB242DC}"/>
    <hyperlink ref="B20" r:id="rId10" display="hoenisch@ldeo.columbia.edu" xr:uid="{0BA55B3A-8CA4-5A42-A285-FFAB4927B730}"/>
    <hyperlink ref="B22" r:id="rId11" display="hoenisch@ldeo.columbia.edu" xr:uid="{BA0092AE-0ED3-DB44-856C-EC91BC971E28}"/>
    <hyperlink ref="B24" r:id="rId12" display="hoenisch@ldeo.columbia.edu" xr:uid="{4A1A9834-CBD3-D348-B80B-8715C61F741B}"/>
    <hyperlink ref="B26" r:id="rId13" display="hoenisch@ldeo.columbia.edu" xr:uid="{256E55A9-4950-5A42-BA2A-BBCCD140794C}"/>
    <hyperlink ref="B28" r:id="rId14" display="hoenisch@ldeo.columbia.edu" xr:uid="{C33FCF20-5208-D345-9321-B6A7225DD710}"/>
    <hyperlink ref="B30" r:id="rId15" display="hoenisch@ldeo.columbia.edu" xr:uid="{BA5F246C-281B-8540-A9E0-820E41F4F9B7}"/>
    <hyperlink ref="B32" r:id="rId16" display="hoenisch@ldeo.columbia.edu" xr:uid="{AC3B2DFB-FBED-DE43-8AD9-6E0B91D6E51D}"/>
    <hyperlink ref="B34" r:id="rId17" display="hoenisch@ldeo.columbia.edu" xr:uid="{22A1C5D5-49E5-574B-A2F9-7B1A4DC75B4C}"/>
    <hyperlink ref="B36" r:id="rId18" display="hoenisch@ldeo.columbia.edu" xr:uid="{DC1D6A69-3A8D-5C41-9D4B-1E1D8A97784E}"/>
    <hyperlink ref="B38" r:id="rId19" display="hoenisch@ldeo.columbia.edu" xr:uid="{2DABDB9A-F13B-864D-BCF7-467409C5721E}"/>
    <hyperlink ref="B7" r:id="rId20" display="hoenisch@ldeo.columbia.edu" xr:uid="{FB033784-8B8A-3A49-8C02-F03E9386FC99}"/>
    <hyperlink ref="B9" r:id="rId21" display="hoenisch@ldeo.columbia.edu" xr:uid="{8C5D633A-3A90-4440-9B38-77CAA3E0FBBB}"/>
    <hyperlink ref="B11" r:id="rId22" display="hoenisch@ldeo.columbia.edu" xr:uid="{C6854EC4-505F-B74D-B3B4-001F456A4733}"/>
    <hyperlink ref="B13" r:id="rId23" display="hoenisch@ldeo.columbia.edu" xr:uid="{AB8754EC-45A6-5A47-A612-B3A9F1770950}"/>
    <hyperlink ref="B15" r:id="rId24" display="hoenisch@ldeo.columbia.edu" xr:uid="{20BDE710-EFD4-8444-AD64-BD5866CA0705}"/>
    <hyperlink ref="B17" r:id="rId25" display="hoenisch@ldeo.columbia.edu" xr:uid="{6B559AF5-3CD3-9B48-9904-75E98612CFC4}"/>
    <hyperlink ref="B19" r:id="rId26" display="hoenisch@ldeo.columbia.edu" xr:uid="{3821450D-B76F-1C40-9803-0047B7CC552D}"/>
    <hyperlink ref="B21" r:id="rId27" display="hoenisch@ldeo.columbia.edu" xr:uid="{6277BF5E-43C3-BA41-8A58-17C13C2B763D}"/>
    <hyperlink ref="B23" r:id="rId28" display="hoenisch@ldeo.columbia.edu" xr:uid="{75E5F7CB-63F2-3E42-B91C-D4D20E797B29}"/>
    <hyperlink ref="B25" r:id="rId29" display="hoenisch@ldeo.columbia.edu" xr:uid="{3B49C32A-0157-EE45-B0A2-BF5129B91972}"/>
    <hyperlink ref="B27" r:id="rId30" display="hoenisch@ldeo.columbia.edu" xr:uid="{5B117D62-0C7C-6D47-AAA2-BFAFE77C2672}"/>
    <hyperlink ref="B29" r:id="rId31" display="hoenisch@ldeo.columbia.edu" xr:uid="{6A61A680-5A52-BF4D-9D0F-FF148BB041B7}"/>
    <hyperlink ref="B31" r:id="rId32" display="hoenisch@ldeo.columbia.edu" xr:uid="{82AA9122-6919-504F-A655-32CB7FB083A3}"/>
    <hyperlink ref="B33" r:id="rId33" display="hoenisch@ldeo.columbia.edu" xr:uid="{690F96F3-5280-3D4C-8243-DBC66DFDA745}"/>
    <hyperlink ref="B35" r:id="rId34" display="hoenisch@ldeo.columbia.edu" xr:uid="{AA376EA5-FD84-1244-B6CD-CEC5ADB27F5D}"/>
    <hyperlink ref="B37" r:id="rId35" display="hoenisch@ldeo.columbia.edu" xr:uid="{6BED9EF2-0E76-2243-A2C3-212BE6416A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2022-03-17T18:06:39Z</dcterms:modified>
</cp:coreProperties>
</file>