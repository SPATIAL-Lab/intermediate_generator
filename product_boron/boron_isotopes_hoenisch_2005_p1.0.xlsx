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EA1A9FC0-C957-0744-82A7-478DCC18C34E}" xr6:coauthVersionLast="47" xr6:coauthVersionMax="47" xr10:uidLastSave="{00000000-0000-0000-0000-000000000000}"/>
  <bookViews>
    <workbookView xWindow="2060" yWindow="350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5" i="1" l="1"/>
  <c r="L6" i="1"/>
  <c r="L7" i="1"/>
  <c r="K5" i="1"/>
  <c r="K6" i="1"/>
  <c r="K7" i="1"/>
  <c r="FL19" i="1"/>
  <c r="CQ19" i="1"/>
  <c r="CJ19" i="1"/>
  <c r="CL19" i="1" s="1"/>
  <c r="FL18" i="1"/>
  <c r="CQ18" i="1"/>
  <c r="CJ18" i="1"/>
  <c r="CM18" i="1" s="1"/>
  <c r="FL17" i="1"/>
  <c r="CQ17" i="1"/>
  <c r="CJ17" i="1"/>
  <c r="CL17" i="1" s="1"/>
  <c r="FL16" i="1"/>
  <c r="CQ16" i="1"/>
  <c r="CJ16" i="1"/>
  <c r="CL16" i="1" s="1"/>
  <c r="FL15" i="1"/>
  <c r="CQ15" i="1"/>
  <c r="CJ15" i="1"/>
  <c r="CL15" i="1" s="1"/>
  <c r="FL14" i="1"/>
  <c r="CQ14" i="1"/>
  <c r="CJ14" i="1"/>
  <c r="CL14" i="1" s="1"/>
  <c r="FL13" i="1"/>
  <c r="CQ13" i="1"/>
  <c r="CJ13" i="1"/>
  <c r="CL13" i="1" s="1"/>
  <c r="FL12" i="1"/>
  <c r="CQ12" i="1"/>
  <c r="CJ12" i="1"/>
  <c r="CL12" i="1" s="1"/>
  <c r="FL11" i="1"/>
  <c r="CQ11" i="1"/>
  <c r="CJ11" i="1"/>
  <c r="CL11" i="1" s="1"/>
  <c r="FL10" i="1"/>
  <c r="CQ10" i="1"/>
  <c r="CM10" i="1"/>
  <c r="CJ10" i="1"/>
  <c r="CL10" i="1" s="1"/>
  <c r="FL9" i="1"/>
  <c r="CQ9" i="1"/>
  <c r="CJ9" i="1"/>
  <c r="CL9" i="1" s="1"/>
  <c r="FL8" i="1"/>
  <c r="CQ8" i="1"/>
  <c r="CJ8" i="1"/>
  <c r="CL8" i="1" s="1"/>
  <c r="FL7" i="1"/>
  <c r="J7" i="1" s="1"/>
  <c r="CQ7" i="1"/>
  <c r="CJ7" i="1"/>
  <c r="CL7" i="1" s="1"/>
  <c r="FL6" i="1"/>
  <c r="J6" i="1" s="1"/>
  <c r="CQ6" i="1"/>
  <c r="CJ6" i="1"/>
  <c r="CL6" i="1" s="1"/>
  <c r="FL5" i="1"/>
  <c r="J5" i="1" s="1"/>
  <c r="CQ5" i="1"/>
  <c r="CJ5" i="1"/>
  <c r="CL5" i="1" s="1"/>
  <c r="FL4" i="1"/>
  <c r="CQ4" i="1"/>
  <c r="CJ4" i="1"/>
  <c r="CL4" i="1" s="1"/>
  <c r="CM8" i="1" l="1"/>
  <c r="CM6" i="1"/>
  <c r="CM14" i="1"/>
  <c r="CM4" i="1"/>
  <c r="CM12" i="1"/>
  <c r="EG5" i="1"/>
  <c r="EG7" i="1"/>
  <c r="EG9" i="1"/>
  <c r="EG11" i="1"/>
  <c r="EG13" i="1"/>
  <c r="EG15" i="1"/>
  <c r="CM16" i="1"/>
  <c r="EG4" i="1"/>
  <c r="CM5" i="1"/>
  <c r="EG6" i="1"/>
  <c r="CM7" i="1"/>
  <c r="EG8" i="1"/>
  <c r="CM9" i="1"/>
  <c r="EG10" i="1"/>
  <c r="CM11" i="1"/>
  <c r="EG12" i="1"/>
  <c r="CM13" i="1"/>
  <c r="EG14" i="1"/>
  <c r="CM15" i="1"/>
  <c r="EG18" i="1"/>
  <c r="CM19" i="1"/>
  <c r="EG16" i="1"/>
  <c r="CM17" i="1"/>
  <c r="CL18" i="1"/>
  <c r="EG19" i="1"/>
  <c r="EG17" i="1"/>
  <c r="J8" i="1" l="1"/>
  <c r="K8" i="1"/>
  <c r="L8" i="1"/>
  <c r="J9" i="1"/>
  <c r="K9" i="1"/>
  <c r="L9" i="1"/>
  <c r="J10" i="1"/>
  <c r="K10" i="1"/>
  <c r="L10" i="1"/>
  <c r="J11" i="1"/>
  <c r="K11" i="1"/>
  <c r="L11" i="1"/>
  <c r="J12" i="1"/>
  <c r="K12" i="1"/>
  <c r="L12" i="1"/>
  <c r="J13" i="1"/>
  <c r="K13" i="1"/>
  <c r="L13" i="1"/>
  <c r="J14" i="1"/>
  <c r="K14" i="1"/>
  <c r="L14" i="1"/>
  <c r="J15" i="1"/>
  <c r="K15" i="1"/>
  <c r="L15" i="1"/>
  <c r="J16" i="1"/>
  <c r="K16" i="1"/>
  <c r="L16" i="1"/>
  <c r="J17" i="1"/>
  <c r="K17" i="1"/>
  <c r="L17" i="1"/>
  <c r="J18" i="1"/>
  <c r="K18" i="1"/>
  <c r="L18" i="1"/>
  <c r="J19" i="1"/>
  <c r="K19" i="1"/>
  <c r="L19" i="1"/>
  <c r="L4" i="1"/>
  <c r="K4" i="1"/>
  <c r="J4" i="1"/>
</calcChain>
</file>

<file path=xl/sharedStrings.xml><?xml version="1.0" encoding="utf-8"?>
<sst xmlns="http://schemas.openxmlformats.org/spreadsheetml/2006/main" count="2376" uniqueCount="346">
  <si>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</si>
  <si>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</si>
  <si>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</si>
  <si>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</si>
  <si>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</si>
  <si>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</si>
  <si>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</si>
  <si>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</si>
  <si>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</si>
  <si>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</si>
  <si>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</si>
  <si>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</si>
  <si>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</si>
  <si>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</si>
  <si>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</si>
  <si>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</si>
  <si>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</si>
  <si>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</si>
  <si>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</si>
  <si>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</si>
  <si>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</si>
  <si>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</si>
  <si>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</si>
  <si>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</si>
  <si>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</si>
  <si>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</si>
  <si>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</si>
  <si>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</si>
  <si>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</si>
  <si>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</si>
  <si>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</si>
  <si>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</si>
  <si>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</si>
  <si>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</si>
  <si>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</si>
  <si>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</si>
  <si>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</si>
  <si>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</si>
  <si>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</si>
  <si>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</si>
  <si>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</si>
  <si>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</si>
  <si>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</si>
  <si>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</si>
  <si>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</si>
  <si>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</si>
  <si>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</si>
  <si>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</si>
  <si>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</si>
  <si>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</si>
  <si>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</si>
  <si>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</si>
  <si>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</si>
  <si>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</si>
  <si>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</si>
  <si>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</si>
  <si>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</si>
  <si>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</si>
  <si>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</si>
  <si>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</si>
  <si>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</si>
  <si>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</si>
  <si>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</si>
  <si>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</si>
  <si>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</si>
  <si>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</si>
  <si>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</si>
  <si>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</si>
  <si>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</si>
  <si>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</si>
  <si>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</si>
  <si>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</si>
  <si>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</si>
  <si>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</si>
  <si>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</si>
  <si>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</si>
  <si>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</si>
  <si>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</si>
  <si>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</si>
  <si>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</si>
  <si>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</si>
  <si>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</si>
  <si>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</si>
  <si>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</si>
  <si>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</si>
  <si>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</si>
  <si>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</si>
  <si>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</si>
  <si>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</si>
  <si>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</si>
  <si>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</si>
  <si>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</si>
  <si>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</si>
  <si>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</si>
  <si>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</si>
  <si>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</si>
  <si>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</si>
  <si>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</si>
  <si>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</si>
  <si>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</si>
  <si>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</si>
  <si>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</si>
  <si>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</si>
  <si>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</si>
  <si>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</si>
  <si>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</si>
  <si>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</si>
  <si>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</si>
  <si>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</si>
  <si>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</si>
  <si>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</si>
  <si>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</si>
  <si>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</si>
  <si>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</si>
  <si>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</si>
  <si>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</si>
  <si>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</si>
  <si>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</si>
  <si>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</si>
  <si>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</si>
  <si>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</si>
  <si>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</si>
  <si>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</si>
  <si>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</si>
  <si>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</si>
  <si>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</si>
  <si>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</si>
  <si>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</si>
  <si>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</si>
  <si>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</si>
  <si>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</si>
  <si>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</si>
  <si>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</si>
  <si>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</si>
  <si>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</si>
  <si>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</si>
  <si>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</si>
  <si>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</si>
  <si>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</si>
  <si>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</si>
  <si>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</si>
  <si>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</si>
  <si>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</si>
  <si>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</si>
  <si>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</si>
  <si>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</si>
  <si>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</si>
  <si>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</si>
  <si>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</si>
  <si>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</si>
  <si>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</si>
  <si>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</si>
  <si>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</si>
  <si>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</si>
  <si>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</si>
  <si>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</si>
  <si>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</si>
  <si>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</si>
  <si>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</si>
  <si>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</si>
  <si>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</si>
  <si>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</si>
  <si>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Bärbel Hönisch</t>
  </si>
  <si>
    <t>hoenisch@ldeo.columbia.edu</t>
  </si>
  <si>
    <t>boron isotopes</t>
  </si>
  <si>
    <t>Hoenisch</t>
  </si>
  <si>
    <r>
      <t>Hönisch, B. and N.G. Hemming (2005) Surface ocean pH response to variations in pCO2 through two full glacial cycles, Earth and Planetary Science Letters, 236 (1-2), 305-314. Updated by: Hönisch, B., Hemming, N.G., Archer, D., Siddall, M., McManus, J.F., 2009, Atmospheric Carbon Dioxide Concentration over the Mid Pleistocene Transition, Science</t>
    </r>
    <r>
      <rPr>
        <sz val="12"/>
        <color rgb="FF000000"/>
        <rFont val="Optima"/>
        <family val="2"/>
      </rPr>
      <t xml:space="preserve"> 324, p. 1551-1554.</t>
    </r>
  </si>
  <si>
    <t>ODP 668</t>
  </si>
  <si>
    <t>B</t>
  </si>
  <si>
    <t>0.03, CSF-A</t>
  </si>
  <si>
    <t>NA</t>
  </si>
  <si>
    <t>eastern equatorial Atlantic</t>
  </si>
  <si>
    <t>based on planktic d18O, Holocene is missing</t>
  </si>
  <si>
    <t>set value</t>
  </si>
  <si>
    <t>Holocene</t>
  </si>
  <si>
    <t xml:space="preserve">tuned to LR04 benthic oxygen isotope stack (L. E. Lisiecki, M. E. Raymo, Paleoceanography 20,
10.1029/2004PA001071 (2005)), age uncertainties are also based on LR04 </t>
  </si>
  <si>
    <t>Globigerinoides sacculifer for d11B, Globigerinoides ruber for Mg/Ca</t>
  </si>
  <si>
    <t>515-865</t>
  </si>
  <si>
    <t>3.99, after cleaning</t>
  </si>
  <si>
    <t>Hönisch, B. and Hemming, N. G., 2005. Surface ocean pH response to variations in pCO2 through two full glacial cycles. Earth and Planetary Science Letters 236, 305-314.</t>
  </si>
  <si>
    <t>N/A</t>
  </si>
  <si>
    <t>N-TIMS, Triton</t>
  </si>
  <si>
    <t>20.92, 20.90, 20.87</t>
  </si>
  <si>
    <t>normal distribution, standard error</t>
  </si>
  <si>
    <t>3.33, 3.34 (all Mg/Ca analyses performed on G. ruber, 250-300 µm, 80-150 shells per sample)</t>
  </si>
  <si>
    <t>set value, +/-3%</t>
  </si>
  <si>
    <t>A. G. Dickson, Deep-Sea Res. 37, 755 (1990).</t>
  </si>
  <si>
    <t>T. Takahashi et al. (2002),  Deep-Sea Research II, Vol. 49, p. 1601-1622</t>
  </si>
  <si>
    <t>square root of the sum of the squared individual pCO2 uncertainties</t>
  </si>
  <si>
    <t>0.26, CSF-A</t>
  </si>
  <si>
    <t>Pleistocene</t>
  </si>
  <si>
    <t>tuned to LR04 benthic oxygen isotope stack (L. E. Lisiecki, M. E. Raymo, Paleoceanography 20,
10.1029/2004PA001071 (2005)), age uncertainties are also based on LR06</t>
  </si>
  <si>
    <t>21.49, 21.26, 21.18</t>
  </si>
  <si>
    <t>3.46, 3.56</t>
  </si>
  <si>
    <t>T. Takahashi et al. (2002),  Deep-Sea Research II, Vol. 49, p. 1601-1624</t>
  </si>
  <si>
    <t>0.34, CSF-A</t>
  </si>
  <si>
    <t>tuned to LR04 benthic oxygen isotope stack (L. E. Lisiecki, M. E. Raymo, Paleoceanography 20,
10.1029/2004PA001071 (2005)), age uncertainties are also based on LR08</t>
  </si>
  <si>
    <t>22.02,22.15,22.14</t>
  </si>
  <si>
    <t>2.96, 2.81</t>
  </si>
  <si>
    <t>T. Takahashi et al. (2002),  Deep-Sea Research II, Vol. 49, p. 1601-1626</t>
  </si>
  <si>
    <t>0.71, CSF-A</t>
  </si>
  <si>
    <t>tuned to LR04 benthic oxygen isotope stack (L. E. Lisiecki, M. E. Raymo, Paleoceanography 20,
10.1029/2004PA001071 (2005)), age uncertainties are also based on LR09</t>
  </si>
  <si>
    <t>21.69, 21.62, 21.35</t>
  </si>
  <si>
    <t>2.99, 3.04</t>
  </si>
  <si>
    <t>T. Takahashi et al. (2002),  Deep-Sea Research II, Vol. 49, p. 1601-1627</t>
  </si>
  <si>
    <t>1.06, CSF-A</t>
  </si>
  <si>
    <t>tuned to LR04 benthic oxygen isotope stack (L. E. Lisiecki, M. E. Raymo, Paleoceanography 20,
10.1029/2004PA001071 (2005)), age uncertainties are also based on LR10</t>
  </si>
  <si>
    <t>21.16, 21.10, 21.03</t>
  </si>
  <si>
    <t>2.87, N/A</t>
  </si>
  <si>
    <t>T. Takahashi et al. (2002),  Deep-Sea Research II, Vol. 49, p. 1601-1628</t>
  </si>
  <si>
    <t>1.76, CSF-A</t>
  </si>
  <si>
    <t>tuned to LR04 benthic oxygen isotope stack (L. E. Lisiecki, M. E. Raymo, Paleoceanography 20,
10.1029/2004PA001071 (2005)), age uncertainties are also based on LR11</t>
  </si>
  <si>
    <t>21.00, 20.88, 21.19</t>
  </si>
  <si>
    <t>3.41, 3.41</t>
  </si>
  <si>
    <t>T. Takahashi et al. (2002),  Deep-Sea Research II, Vol. 49, p. 1601-1629</t>
  </si>
  <si>
    <t>1.90, CSF-A</t>
  </si>
  <si>
    <t>tuned to LR04 benthic oxygen isotope stack (L. E. Lisiecki, M. E. Raymo, Paleoceanography 20,
10.1029/2004PA001071 (2005)), age uncertainties are also based on LR12</t>
  </si>
  <si>
    <t>20.49, 20.87, 20.80, 20.58</t>
  </si>
  <si>
    <t>4.04, 3.97</t>
  </si>
  <si>
    <t>T. Takahashi et al. (2002),  Deep-Sea Research II, Vol. 49, p. 1601-1630</t>
  </si>
  <si>
    <t>2.00, CSF-A</t>
  </si>
  <si>
    <t>tuned to LR04 benthic oxygen isotope stack (L. E. Lisiecki, M. E. Raymo, Paleoceanography 20,
10.1029/2004PA001071 (2005)), age uncertainties are also based on LR13</t>
  </si>
  <si>
    <t>21.10, 20.88, 20.98</t>
  </si>
  <si>
    <t>3.62, 3.82</t>
  </si>
  <si>
    <t>T. Takahashi et al. (2002),  Deep-Sea Research II, Vol. 49, p. 1601-1631</t>
  </si>
  <si>
    <t>2.21, CSF-A</t>
  </si>
  <si>
    <t>tuned to LR04 benthic oxygen isotope stack (L. E. Lisiecki, M. E. Raymo, Paleoceanography 20,
10.1029/2004PA001071 (2005)), age uncertainties are also based on LR14</t>
  </si>
  <si>
    <t>21.76,22.02,21.86,21.62</t>
  </si>
  <si>
    <t>2.86, 2.83</t>
  </si>
  <si>
    <t>T. Takahashi et al. (2002),  Deep-Sea Research II, Vol. 49, p. 1601-1632</t>
  </si>
  <si>
    <t>2.25, CSF-A</t>
  </si>
  <si>
    <t>tuned to LR04 benthic oxygen isotope stack (L. E. Lisiecki, M. E. Raymo, Paleoceanography 20,
10.1029/2004PA001071 (2005)), age uncertainties are also based on LR15</t>
  </si>
  <si>
    <t>21.74, 22.55, 22.39</t>
  </si>
  <si>
    <t>2.98, 3.02</t>
  </si>
  <si>
    <t>T. Takahashi et al. (2002),  Deep-Sea Research II, Vol. 49, p. 1601-1633</t>
  </si>
  <si>
    <t>10.85, CSF-A</t>
  </si>
  <si>
    <t>tuned to LR04 benthic oxygen isotope stack (L. E. Lisiecki, M. E. Raymo, Paleoceanography 20,
10.1029/2004PA001071 (2005)), age uncertainties are also based on LR16</t>
  </si>
  <si>
    <t>20.36, 20.73, 20.54</t>
  </si>
  <si>
    <t>3.20, 3.26</t>
  </si>
  <si>
    <t>T. Takahashi et al. (2002),  Deep-Sea Research II, Vol. 49, p. 1601-1634</t>
  </si>
  <si>
    <t>11.34, CSF-A</t>
  </si>
  <si>
    <t>tuned to LR04 benthic oxygen isotope stack (L. E. Lisiecki, M. E. Raymo, Paleoceanography 20,
10.1029/2004PA001071 (2005)), age uncertainties are also based on LR17</t>
  </si>
  <si>
    <t>21.65, 21.47, 21.51</t>
  </si>
  <si>
    <t>2.72, 2.88</t>
  </si>
  <si>
    <t>T. Takahashi et al. (2002),  Deep-Sea Research II, Vol. 49, p. 1601-1635</t>
  </si>
  <si>
    <t>11.59, CSF-A</t>
  </si>
  <si>
    <t>tuned to LR04 benthic oxygen isotope stack (L. E. Lisiecki, M. E. Raymo, Paleoceanography 20,
10.1029/2004PA001071 (2005)), age uncertainties are also based on LR18</t>
  </si>
  <si>
    <t>21.09, 21.82, 21.36</t>
  </si>
  <si>
    <t>2.88, 3.11</t>
  </si>
  <si>
    <t>T. Takahashi et al. (2002),  Deep-Sea Research II, Vol. 49, p. 1601-1636</t>
  </si>
  <si>
    <t>11.92, CSF-A</t>
  </si>
  <si>
    <t>tuned to LR04 benthic oxygen isotope stack (L. E. Lisiecki, M. E. Raymo, Paleoceanography 20,
10.1029/2004PA001071 (2005)), age uncertainties are also based on LR19</t>
  </si>
  <si>
    <t>21.13, 21.45, 20.73, 21.11</t>
  </si>
  <si>
    <t>3.10, 3.28</t>
  </si>
  <si>
    <t>T. Takahashi et al. (2002),  Deep-Sea Research II, Vol. 49, p. 1601-1637</t>
  </si>
  <si>
    <t>12.34, CSF-A</t>
  </si>
  <si>
    <t>tuned to LR04 benthic oxygen isotope stack (L. E. Lisiecki, M. E. Raymo, Paleoceanography 20,
10.1029/2004PA001071 (2005)), age uncertainties are also based on LR20</t>
  </si>
  <si>
    <t>20.54, 20.90, 20.55</t>
  </si>
  <si>
    <t>3.61, 3.70</t>
  </si>
  <si>
    <t>T. Takahashi et al. (2002),  Deep-Sea Research II, Vol. 49, p. 1601-1638</t>
  </si>
  <si>
    <t>12.48, CSF-A</t>
  </si>
  <si>
    <t>tuned to LR04 benthic oxygen isotope stack (L. E. Lisiecki, M. E. Raymo, Paleoceanography 20,
10.1029/2004PA001071 (2005)), age uncertainties are also based on LR21</t>
  </si>
  <si>
    <t>21.06, 20.44, 21.15, 20.86</t>
  </si>
  <si>
    <t>3.48, 3.36</t>
  </si>
  <si>
    <t>T. Takahashi et al. (2002),  Deep-Sea Research II, Vol. 49, p. 1601-1639</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</si>
  <si>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</si>
  <si>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</si>
  <si>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color theme="1"/>
        <rFont val="Verdana"/>
        <family val="2"/>
      </rPr>
      <t xml:space="preserve">sw </t>
    </r>
    <r>
      <rPr>
        <sz val="12"/>
        <color theme="1"/>
        <rFont val="Verdana"/>
        <family val="2"/>
      </rPr>
      <t>correction</t>
    </r>
  </si>
  <si>
    <r>
      <t>Mg/Ca</t>
    </r>
    <r>
      <rPr>
        <vertAlign val="subscript"/>
        <sz val="12"/>
        <color theme="1"/>
        <rFont val="Verdana"/>
        <family val="2"/>
      </rPr>
      <t xml:space="preserve">sw </t>
    </r>
    <r>
      <rPr>
        <sz val="12"/>
        <color theme="1"/>
        <rFont val="Verdana"/>
        <family val="2"/>
      </rPr>
      <t>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</si>
  <si>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</si>
  <si>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newer calculation available</t>
  </si>
  <si>
    <t>newer estimates available</t>
  </si>
  <si>
    <t>10.1029/2018PA003349</t>
  </si>
  <si>
    <t>-4.2‰</t>
  </si>
  <si>
    <t>unlike newer d11B-calcite vs. d11B-borate calibrations, this one is based on the d11B-G. sacculifer vs. pH calibration of Sanyal et al. (2001), corrected for  instrument offsets and gametogenic calcite</t>
  </si>
  <si>
    <t>N</t>
  </si>
  <si>
    <t>based on +/- 3% of measured Mg/Ca value, see column BP</t>
  </si>
  <si>
    <t>Mg/Ca=0.38 exp 0.09 * (SST-0.61*core depth km)</t>
  </si>
  <si>
    <t>P. S. Dekens, D. W. Lea, D. K. Pak, H. J. Spero, Geochemistry Geophysics
Geosystems 3, DOI 10.1029/2001GC000200 (2002)</t>
  </si>
  <si>
    <t>see sensitivity test in Hönisch et al. (2009), following B. Kisakürek, A. Eisenhauer, F. Böhm, D. Garbe-Schönberg, J. Erez, Earth and
Planetary Science Letters 273, 260 (2008).</t>
  </si>
  <si>
    <t xml:space="preserve"> +/- range based on  on uncertainty of continental ice volume as determined by Waelbroeck et al. (2002)</t>
  </si>
  <si>
    <t>modulated local modern salinity=35.7‰ with paleo-sealevel estimates of Waelbroeck et al. (2002): Sea-level and deep water temperature changes derived from benthic foraminifera isotopic records, Quat. Sci. Rev. 21 (1–3), assuming average ocean salinity of 34.8‰ and average ocean depth=3800m</t>
  </si>
  <si>
    <t>modern</t>
  </si>
  <si>
    <t>as defined in CO2sys_macro_MAC, 2007</t>
  </si>
  <si>
    <t>Uppstrom, Leif, Deep-Sea Research 21:161-162, 1974.</t>
  </si>
  <si>
    <t>SPIVACK A. J. and EDMOND J. M. ( 1987) Boron isotope exchange
between seawater and the oceanic crust. Geochim. Cosmochim.
Acta 51, 1033-1043.</t>
  </si>
  <si>
    <t>F. Millero,  Geochim. Cosmochim. Acta, Vol. 59,  No. 4, p. 661-677, 1995.</t>
  </si>
  <si>
    <t>Kakihana &amp; Kotaka (1977)</t>
  </si>
  <si>
    <t>alpha = 1.0206-0.000049205*T (°C)</t>
  </si>
  <si>
    <t>Kakihana et al. (1977),  Bull. Chem. Soc. Japan,  Vol. 50, No. 1,  p. 158-163.</t>
  </si>
  <si>
    <t>CO2sys_macro_MAC, 2007</t>
  </si>
  <si>
    <t xml:space="preserve">Weiss, R. F., Marine Chemistry 2:203-215, 1974. </t>
  </si>
  <si>
    <t>Mehrbach et al., Limnol. Oceanogr.
18 (1973) 897– 907; refit after Dickson &amp; Millero, Deep-Sea Res. 34 (1987) 1733– 1743.</t>
  </si>
  <si>
    <t>Dickson,
Chem. Thermodyn. 22 (1990) 113– 127.</t>
  </si>
  <si>
    <t>total alkalinity</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</si>
  <si>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.7</t>
    </r>
  </si>
  <si>
    <t>P.U. Clark et al. (2006), Quaternary Science Reviews, Vol. 25, p. 3150-3184.</t>
  </si>
  <si>
    <t>normal distribution</t>
  </si>
  <si>
    <t>seawater scale</t>
  </si>
  <si>
    <t>d11B-calcite,  temperature, salinity,  alkalinity (used only 1se in original calculation)</t>
  </si>
  <si>
    <r>
      <t>The originally published d11B data (Hö</t>
    </r>
    <r>
      <rPr>
        <sz val="12"/>
        <color theme="1"/>
        <rFont val="Calibri (Body)_x0000_"/>
      </rPr>
      <t xml:space="preserve">nisch &amp; Hemming 2005) </t>
    </r>
    <r>
      <rPr>
        <sz val="11"/>
        <color theme="1"/>
        <rFont val="Calibri"/>
        <family val="2"/>
        <scheme val="minor"/>
      </rPr>
      <t xml:space="preserve">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r>
  </si>
  <si>
    <t>CO2sys_macro_MAC, 2009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</si>
  <si>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.9</t>
    </r>
    <r>
      <rPr>
        <sz val="11"/>
        <color theme="1"/>
        <rFont val="Calibri"/>
        <family val="2"/>
        <scheme val="minor"/>
      </rPr>
      <t/>
    </r>
  </si>
  <si>
    <t>CO2sys_macro_MAC, 2011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</si>
  <si>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.11</t>
    </r>
    <r>
      <rPr>
        <sz val="11"/>
        <color theme="1"/>
        <rFont val="Calibri"/>
        <family val="2"/>
        <scheme val="minor"/>
      </rPr>
      <t/>
    </r>
  </si>
  <si>
    <t>CO2sys_macro_MAC, 2012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</si>
  <si>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.12</t>
    </r>
    <r>
      <rPr>
        <sz val="11"/>
        <color theme="1"/>
        <rFont val="Calibri"/>
        <family val="2"/>
        <scheme val="minor"/>
      </rPr>
      <t/>
    </r>
  </si>
  <si>
    <t>CO2sys_macro_MAC, 2013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</si>
  <si>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.13</t>
    </r>
    <r>
      <rPr>
        <sz val="11"/>
        <color theme="1"/>
        <rFont val="Calibri"/>
        <family val="2"/>
        <scheme val="minor"/>
      </rPr>
      <t/>
    </r>
  </si>
  <si>
    <t>CO2sys_macro_MAC, 2014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</si>
  <si>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.14</t>
    </r>
    <r>
      <rPr>
        <sz val="11"/>
        <color theme="1"/>
        <rFont val="Calibri"/>
        <family val="2"/>
        <scheme val="minor"/>
      </rPr>
      <t/>
    </r>
  </si>
  <si>
    <t>CO2sys_macro_MAC, 2015</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</si>
  <si>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.15</t>
    </r>
    <r>
      <rPr>
        <sz val="11"/>
        <color theme="1"/>
        <rFont val="Calibri"/>
        <family val="2"/>
        <scheme val="minor"/>
      </rPr>
      <t/>
    </r>
  </si>
  <si>
    <t>CO2sys_macro_MAC, 2016</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</si>
  <si>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.16</t>
    </r>
    <r>
      <rPr>
        <sz val="11"/>
        <color theme="1"/>
        <rFont val="Calibri"/>
        <family val="2"/>
        <scheme val="minor"/>
      </rPr>
      <t/>
    </r>
  </si>
  <si>
    <t>CO2sys_macro_MAC, 2017</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</si>
  <si>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.17</t>
    </r>
    <r>
      <rPr>
        <sz val="11"/>
        <color theme="1"/>
        <rFont val="Calibri"/>
        <family val="2"/>
        <scheme val="minor"/>
      </rPr>
      <t/>
    </r>
  </si>
  <si>
    <t>CO2sys_macro_MAC, 2018</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</si>
  <si>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.18</t>
    </r>
    <r>
      <rPr>
        <sz val="11"/>
        <color theme="1"/>
        <rFont val="Calibri"/>
        <family val="2"/>
        <scheme val="minor"/>
      </rPr>
      <t/>
    </r>
  </si>
  <si>
    <t>CO2sys_macro_MAC, 2019</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</si>
  <si>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.19</t>
    </r>
    <r>
      <rPr>
        <sz val="11"/>
        <color theme="1"/>
        <rFont val="Calibri"/>
        <family val="2"/>
        <scheme val="minor"/>
      </rPr>
      <t/>
    </r>
  </si>
  <si>
    <t>CO2sys_macro_MAC, 2020</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</si>
  <si>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.20</t>
    </r>
    <r>
      <rPr>
        <sz val="11"/>
        <color theme="1"/>
        <rFont val="Calibri"/>
        <family val="2"/>
        <scheme val="minor"/>
      </rPr>
      <t/>
    </r>
  </si>
  <si>
    <t>CO2sys_macro_MAC, 2021</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</si>
  <si>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.21</t>
    </r>
    <r>
      <rPr>
        <sz val="11"/>
        <color theme="1"/>
        <rFont val="Calibri"/>
        <family val="2"/>
        <scheme val="minor"/>
      </rPr>
      <t/>
    </r>
  </si>
  <si>
    <t>CO2sys_macro_MAC, 2022</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</si>
  <si>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.22</t>
    </r>
    <r>
      <rPr>
        <sz val="11"/>
        <color theme="1"/>
        <rFont val="Calibri"/>
        <family val="2"/>
        <scheme val="minor"/>
      </rPr>
      <t/>
    </r>
  </si>
  <si>
    <t>CO2sys_macro_MAC, 2023</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</si>
  <si>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.23</t>
    </r>
    <r>
      <rPr>
        <sz val="11"/>
        <color theme="1"/>
        <rFont val="Calibri"/>
        <family val="2"/>
        <scheme val="minor"/>
      </rPr>
      <t/>
    </r>
  </si>
  <si>
    <t>CO2sys_macro_MAC, 2024</t>
  </si>
  <si>
    <r>
      <t>modeled by Clark et al. (2006) and scaled to local alkalinity at the core site using equation  AT</t>
    </r>
    <r>
      <rPr>
        <vertAlign val="subscript"/>
        <sz val="12"/>
        <color theme="1"/>
        <rFont val="Calibri (Body)"/>
      </rPr>
      <t>-t</t>
    </r>
    <r>
      <rPr>
        <sz val="11"/>
        <color theme="1"/>
        <rFont val="Calibri"/>
        <family val="2"/>
        <scheme val="minor"/>
      </rPr>
      <t>=2366 µmol/kg - global AT</t>
    </r>
    <r>
      <rPr>
        <vertAlign val="subscript"/>
        <sz val="12"/>
        <color theme="1"/>
        <rFont val="Calibri (Body)"/>
      </rPr>
      <t>-t0</t>
    </r>
    <r>
      <rPr>
        <sz val="11"/>
        <color theme="1"/>
        <rFont val="Calibri"/>
        <family val="2"/>
        <scheme val="minor"/>
      </rPr>
      <t xml:space="preserve"> + global AT</t>
    </r>
    <r>
      <rPr>
        <vertAlign val="subscript"/>
        <sz val="12"/>
        <color theme="1"/>
        <rFont val="Calibri (Body)"/>
      </rPr>
      <t>-t</t>
    </r>
    <r>
      <rPr>
        <sz val="11"/>
        <color theme="1"/>
        <rFont val="Calibri"/>
        <family val="2"/>
        <scheme val="minor"/>
      </rPr>
      <t xml:space="preserve"> * S</t>
    </r>
    <r>
      <rPr>
        <vertAlign val="subscript"/>
        <sz val="12"/>
        <color theme="1"/>
        <rFont val="Calibri (Body)"/>
      </rPr>
      <t>t</t>
    </r>
    <r>
      <rPr>
        <sz val="11"/>
        <color theme="1"/>
        <rFont val="Calibri"/>
        <family val="2"/>
        <scheme val="minor"/>
      </rPr>
      <t>/35</t>
    </r>
    <r>
      <rPr>
        <i/>
        <sz val="12"/>
        <color theme="1"/>
        <rFont val="Calibri"/>
        <family val="2"/>
        <scheme val="minor"/>
      </rPr>
      <t>.24</t>
    </r>
    <r>
      <rPr>
        <sz val="11"/>
        <color theme="1"/>
        <rFont val="Calibri"/>
        <family val="2"/>
        <scheme val="minor"/>
      </rPr>
      <t/>
    </r>
  </si>
  <si>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</si>
  <si>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</si>
  <si>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</si>
  <si>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</si>
  <si>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</si>
  <si>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</si>
  <si>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</si>
  <si>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</si>
  <si>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</si>
  <si>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</si>
  <si>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</si>
  <si>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</si>
  <si>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10.1016/j.epsl.2005.04.027</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</si>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</sst>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0000"/>
  </numFmts>
  <fonts count="42">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u/>
      <sz val="12"/>
      <color theme="10"/>
      <name val="Calibri"/>
      <family val="2"/>
      <scheme val="minor"/>
    </font>
    <font>
      <sz val="12"/>
      <color rgb="FF545454"/>
      <name val="Calibri"/>
      <family val="2"/>
      <scheme val="minor"/>
    </font>
    <font>
      <sz val="12"/>
      <name val="Calibri"/>
      <family val="2"/>
      <scheme val="minor"/>
    </font>
    <font>
      <sz val="12"/>
      <color indexed="63"/>
      <name val="Calibri"/>
      <family val="2"/>
      <scheme val="minor"/>
    </font>
    <font>
      <sz val="9"/>
      <name val="Arial"/>
      <family val="2"/>
    </font>
    <font>
      <sz val="10"/>
      <name val="Verdana"/>
      <family val="2"/>
    </font>
    <font>
      <sz val="12"/>
      <color theme="1"/>
      <name val="Optima"/>
      <family val="2"/>
    </font>
    <font>
      <sz val="12"/>
      <color rgb="FF000000"/>
      <name val="Optima"/>
      <family val="2"/>
    </font>
    <font>
      <sz val="10"/>
      <name val="Arial"/>
      <family val="2"/>
    </font>
    <font>
      <vertAlign val="subscript"/>
      <sz val="12"/>
      <color theme="1"/>
      <name val="Calibri (Body)"/>
    </font>
    <font>
      <sz val="12"/>
      <color theme="1"/>
      <name val="Calibri (Body)_x0000_"/>
    </font>
    <font>
      <sz val="11"/>
      <color theme="1"/>
      <name val="Calibri"/>
      <family val="2"/>
      <scheme val="minor"/>
    </font>
    <font>
      <sz val="12"/>
      <color theme="1"/>
      <name val="Arial"/>
      <family val="2"/>
    </font>
    <font>
      <i/>
      <sz val="12"/>
      <color theme="1"/>
      <name val="Calibri"/>
      <family val="2"/>
      <scheme val="minor"/>
    </font>
    <font>
      <sz val="8"/>
      <name val="Calibri"/>
      <family val="2"/>
      <scheme val="minor"/>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
      <patternFill patternType="solid">
        <fgColor rgb="FFCEFECB"/>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32" fillId="0" borderId="0"/>
  </cellStyleXfs>
  <cellXfs count="209">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ont="1" applyAlignment="1">
      <alignment horizontal="center" vertical="top"/>
    </xf>
    <xf numFmtId="0" fontId="27" fillId="0" borderId="0" xfId="1" applyFont="1" applyAlignment="1">
      <alignment horizontal="center" vertical="top"/>
    </xf>
    <xf numFmtId="0" fontId="0" fillId="0" borderId="0" xfId="0" applyFill="1" applyBorder="1"/>
    <xf numFmtId="0" fontId="0" fillId="0" borderId="0" xfId="0" applyFont="1" applyAlignment="1">
      <alignment vertical="top"/>
    </xf>
    <xf numFmtId="0" fontId="0" fillId="0" borderId="0" xfId="0" applyFont="1" applyAlignment="1">
      <alignment horizontal="right" vertical="top"/>
    </xf>
    <xf numFmtId="0" fontId="0" fillId="0" borderId="0" xfId="0" applyFont="1" applyAlignment="1">
      <alignment horizontal="left" vertical="top"/>
    </xf>
    <xf numFmtId="164" fontId="0" fillId="0" borderId="0" xfId="0" applyNumberFormat="1" applyFont="1" applyAlignment="1">
      <alignment horizontal="left" vertical="top"/>
    </xf>
    <xf numFmtId="165" fontId="0" fillId="0" borderId="0" xfId="0" applyNumberFormat="1" applyAlignment="1">
      <alignment horizontal="center" vertical="center"/>
    </xf>
    <xf numFmtId="0" fontId="0" fillId="0" borderId="0" xfId="0" quotePrefix="1" applyFont="1" applyAlignment="1">
      <alignment horizontal="right" vertical="top"/>
    </xf>
    <xf numFmtId="2" fontId="29" fillId="0" borderId="0" xfId="0" applyNumberFormat="1" applyFont="1" applyAlignment="1">
      <alignment horizontal="center" vertical="top"/>
    </xf>
    <xf numFmtId="2" fontId="0" fillId="0" borderId="0" xfId="0" quotePrefix="1" applyNumberFormat="1" applyFont="1" applyAlignment="1">
      <alignment horizontal="center" vertical="top"/>
    </xf>
    <xf numFmtId="2" fontId="31" fillId="0" borderId="0" xfId="0" applyNumberFormat="1" applyFont="1" applyFill="1" applyBorder="1" applyAlignment="1">
      <alignment horizontal="center"/>
    </xf>
    <xf numFmtId="0" fontId="0" fillId="0" borderId="0" xfId="0" applyAlignment="1">
      <alignment vertical="top"/>
    </xf>
    <xf numFmtId="0" fontId="0" fillId="0" borderId="0" xfId="0" applyFont="1" applyFill="1" applyAlignment="1">
      <alignment horizontal="right" vertical="top"/>
    </xf>
    <xf numFmtId="0" fontId="0" fillId="0" borderId="0" xfId="0" applyFont="1" applyFill="1" applyAlignment="1">
      <alignment horizontal="left" vertical="top"/>
    </xf>
    <xf numFmtId="166" fontId="0" fillId="0" borderId="0" xfId="0" applyNumberFormat="1" applyFont="1" applyFill="1" applyAlignment="1">
      <alignment horizontal="right" vertical="top"/>
    </xf>
    <xf numFmtId="167" fontId="0" fillId="0" borderId="0" xfId="0" applyNumberFormat="1" applyFont="1" applyFill="1" applyBorder="1" applyAlignment="1">
      <alignment vertical="top"/>
    </xf>
    <xf numFmtId="1" fontId="29" fillId="0" borderId="0" xfId="2" applyNumberFormat="1" applyFont="1" applyFill="1" applyBorder="1" applyAlignment="1">
      <alignment horizontal="center" vertical="top"/>
    </xf>
    <xf numFmtId="165" fontId="0" fillId="0" borderId="0" xfId="0" applyNumberFormat="1" applyFont="1" applyAlignment="1">
      <alignment horizontal="right" vertical="top"/>
    </xf>
    <xf numFmtId="0" fontId="0" fillId="0" borderId="0" xfId="0" applyFont="1" applyAlignment="1">
      <alignment horizontal="right"/>
    </xf>
    <xf numFmtId="0" fontId="29" fillId="0" borderId="0" xfId="0" applyFont="1" applyFill="1" applyBorder="1" applyAlignment="1">
      <alignment horizontal="center"/>
    </xf>
    <xf numFmtId="2" fontId="29" fillId="0" borderId="0" xfId="0" applyNumberFormat="1" applyFont="1" applyFill="1" applyBorder="1" applyAlignment="1">
      <alignment horizontal="center"/>
    </xf>
    <xf numFmtId="165" fontId="29" fillId="0" borderId="0" xfId="0" applyNumberFormat="1" applyFont="1" applyFill="1" applyBorder="1" applyAlignment="1">
      <alignment horizontal="center"/>
    </xf>
    <xf numFmtId="2" fontId="30" fillId="0" borderId="0" xfId="0" applyNumberFormat="1" applyFont="1" applyFill="1" applyBorder="1" applyAlignment="1">
      <alignment horizontal="center"/>
    </xf>
    <xf numFmtId="2" fontId="29" fillId="0" borderId="0" xfId="2" applyNumberFormat="1" applyFont="1" applyFill="1" applyBorder="1" applyAlignment="1">
      <alignment horizontal="center"/>
    </xf>
    <xf numFmtId="1" fontId="29" fillId="0" borderId="0" xfId="2" applyNumberFormat="1" applyFont="1" applyFill="1" applyBorder="1" applyAlignment="1">
      <alignment horizontal="center"/>
    </xf>
    <xf numFmtId="0" fontId="28" fillId="0" borderId="0" xfId="0" applyFont="1" applyAlignment="1">
      <alignment vertical="top"/>
    </xf>
    <xf numFmtId="0" fontId="0" fillId="0" borderId="0" xfId="0" applyAlignment="1"/>
    <xf numFmtId="0" fontId="0" fillId="0" borderId="0" xfId="0" applyFill="1" applyAlignment="1"/>
    <xf numFmtId="2" fontId="0" fillId="0" borderId="0" xfId="0" applyNumberFormat="1" applyAlignment="1"/>
    <xf numFmtId="2" fontId="29" fillId="0" borderId="0" xfId="0" applyNumberFormat="1" applyFont="1" applyBorder="1" applyAlignment="1"/>
    <xf numFmtId="0" fontId="0" fillId="0" borderId="0" xfId="0" applyAlignment="1">
      <alignment horizontal="center" vertical="top"/>
    </xf>
    <xf numFmtId="0" fontId="26" fillId="0" borderId="0" xfId="1" applyAlignment="1">
      <alignment horizontal="center" vertical="top"/>
    </xf>
    <xf numFmtId="0" fontId="26" fillId="0" borderId="0" xfId="1" applyAlignment="1">
      <alignment horizontal="left" vertical="top"/>
    </xf>
    <xf numFmtId="0" fontId="33" fillId="0" borderId="0" xfId="0" applyFont="1" applyAlignment="1">
      <alignment horizontal="left" vertical="top"/>
    </xf>
    <xf numFmtId="0" fontId="0" fillId="0" borderId="0" xfId="0" applyAlignment="1">
      <alignment horizontal="right" vertical="top"/>
    </xf>
    <xf numFmtId="0" fontId="0" fillId="0" borderId="0" xfId="0" applyAlignment="1">
      <alignment horizontal="left" vertical="top"/>
    </xf>
    <xf numFmtId="165" fontId="0" fillId="0" borderId="0" xfId="0" applyNumberFormat="1"/>
    <xf numFmtId="0" fontId="0" fillId="0" borderId="0" xfId="0" applyAlignment="1">
      <alignment horizontal="right" vertical="top" wrapText="1"/>
    </xf>
    <xf numFmtId="2" fontId="0" fillId="0" borderId="0" xfId="0" applyNumberFormat="1"/>
    <xf numFmtId="165" fontId="35" fillId="0" borderId="0" xfId="0" applyNumberFormat="1" applyFont="1" applyAlignment="1">
      <alignment horizontal="center" vertical="top"/>
    </xf>
    <xf numFmtId="2" fontId="35" fillId="0" borderId="0" xfId="0" applyNumberFormat="1" applyFont="1" applyAlignment="1">
      <alignment horizontal="center" vertical="top"/>
    </xf>
    <xf numFmtId="0" fontId="0" fillId="0" borderId="0" xfId="0" applyAlignment="1">
      <alignment horizontal="left" vertical="top" wrapText="1"/>
    </xf>
    <xf numFmtId="2" fontId="0" fillId="0" borderId="0" xfId="0" quotePrefix="1" applyNumberFormat="1" applyAlignment="1">
      <alignment horizontal="center" vertical="top"/>
    </xf>
    <xf numFmtId="165" fontId="0" fillId="0" borderId="0" xfId="0" applyNumberFormat="1" applyBorder="1" applyAlignment="1">
      <alignment horizontal="center" vertical="top"/>
    </xf>
    <xf numFmtId="0" fontId="0" fillId="0" borderId="0" xfId="0" applyFill="1" applyAlignment="1">
      <alignment horizontal="left" vertical="top"/>
    </xf>
    <xf numFmtId="0" fontId="0" fillId="0" borderId="0" xfId="0" applyAlignment="1">
      <alignment horizontal="right"/>
    </xf>
    <xf numFmtId="0" fontId="0" fillId="0" borderId="0" xfId="0" applyFont="1" applyAlignment="1"/>
    <xf numFmtId="2" fontId="0" fillId="0" borderId="0" xfId="0" applyNumberFormat="1" applyFont="1" applyAlignment="1"/>
    <xf numFmtId="2" fontId="0" fillId="0" borderId="0" xfId="0" applyNumberFormat="1" applyFont="1"/>
    <xf numFmtId="1" fontId="0" fillId="0" borderId="0" xfId="0" applyNumberFormat="1" applyFill="1"/>
    <xf numFmtId="0" fontId="0" fillId="0" borderId="0" xfId="0" applyFill="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17" fillId="17" borderId="2" xfId="0" applyFont="1" applyFill="1" applyBorder="1" applyAlignment="1">
      <alignment horizontal="center" vertical="center" wrapText="1"/>
    </xf>
    <xf numFmtId="0" fontId="0" fillId="0" borderId="0" xfId="0" applyAlignment="1">
      <alignment horizontal="center"/>
    </xf>
    <xf numFmtId="0" fontId="0" fillId="0" borderId="0" xfId="0" quotePrefix="1" applyAlignment="1">
      <alignment horizontal="right" vertical="top"/>
    </xf>
    <xf numFmtId="0" fontId="38" fillId="0" borderId="0" xfId="0" applyFont="1" applyAlignment="1">
      <alignment horizontal="center" vertical="top"/>
    </xf>
    <xf numFmtId="0" fontId="0" fillId="0" borderId="0" xfId="0" applyFill="1" applyAlignment="1">
      <alignment horizontal="right" vertical="top"/>
    </xf>
    <xf numFmtId="166" fontId="0" fillId="0" borderId="0" xfId="0" applyNumberFormat="1" applyFill="1" applyAlignment="1">
      <alignment horizontal="right" vertical="top"/>
    </xf>
    <xf numFmtId="167" fontId="39" fillId="0" borderId="0" xfId="0" applyNumberFormat="1" applyFont="1" applyFill="1" applyBorder="1" applyAlignment="1">
      <alignment vertical="top"/>
    </xf>
    <xf numFmtId="2" fontId="32" fillId="0" borderId="0" xfId="0" applyNumberFormat="1" applyFont="1" applyBorder="1" applyAlignment="1">
      <alignment vertical="top"/>
    </xf>
    <xf numFmtId="165" fontId="0" fillId="0" borderId="0" xfId="0" applyNumberFormat="1" applyAlignment="1">
      <alignment horizontal="right" vertical="top"/>
    </xf>
    <xf numFmtId="165" fontId="0" fillId="0" borderId="0" xfId="0" applyNumberFormat="1" applyBorder="1" applyAlignment="1">
      <alignment horizontal="center"/>
    </xf>
    <xf numFmtId="2" fontId="32" fillId="0" borderId="0" xfId="0" applyNumberFormat="1" applyFont="1" applyBorder="1"/>
    <xf numFmtId="165" fontId="0" fillId="0" borderId="0" xfId="0" applyNumberFormat="1" applyAlignment="1"/>
    <xf numFmtId="1" fontId="0" fillId="0" borderId="0" xfId="0" applyNumberFormat="1" applyBorder="1" applyAlignment="1">
      <alignment horizontal="center" vertical="top"/>
    </xf>
    <xf numFmtId="0" fontId="0" fillId="0" borderId="0" xfId="0" applyFont="1" applyAlignment="1">
      <alignment horizontal="center"/>
    </xf>
    <xf numFmtId="1" fontId="0" fillId="0" borderId="0" xfId="0" applyNumberFormat="1" applyFont="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colors>
    <mruColors>
      <color rgb="FFCEFE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https://doi.org/10.1016/j.epsl.2005.04.02710.1126/science.1171477" TargetMode="External"/><Relationship Id="rId26" Type="http://schemas.openxmlformats.org/officeDocument/2006/relationships/hyperlink" Target="https://doi.org/10.1016/j.epsl.2005.04.02710.1126/science.1171477" TargetMode="External"/><Relationship Id="rId39" Type="http://schemas.openxmlformats.org/officeDocument/2006/relationships/hyperlink" Target="https://doi.org/10.1016/j.epsl.2005.04.02710.1126/science.1171477" TargetMode="External"/><Relationship Id="rId21" Type="http://schemas.openxmlformats.org/officeDocument/2006/relationships/hyperlink" Target="https://doi.org/10.1016/j.epsl.2005.04.02710.1126/science.1171477" TargetMode="External"/><Relationship Id="rId34" Type="http://schemas.openxmlformats.org/officeDocument/2006/relationships/hyperlink" Target="https://doi.org/10.1016/j.epsl.2005.04.02710.1126/science.1171477" TargetMode="External"/><Relationship Id="rId42" Type="http://schemas.openxmlformats.org/officeDocument/2006/relationships/hyperlink" Target="https://doi.org/10.1016/j.epsl.2005.04.02710.1126/science.1171477" TargetMode="External"/><Relationship Id="rId47" Type="http://schemas.openxmlformats.org/officeDocument/2006/relationships/hyperlink" Target="https://doi.org/10.1016/j.epsl.2005.04.02710.1126/science.1171477" TargetMode="External"/><Relationship Id="rId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9" Type="http://schemas.openxmlformats.org/officeDocument/2006/relationships/hyperlink" Target="https://doi.org/10.1016/j.epsl.2005.04.02710.1126/science.1171477"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https://doi.org/10.1016/j.epsl.2005.04.02710.1126/science.1171477" TargetMode="External"/><Relationship Id="rId32" Type="http://schemas.openxmlformats.org/officeDocument/2006/relationships/hyperlink" Target="https://doi.org/10.1016/j.epsl.2005.04.02710.1126/science.1171477" TargetMode="External"/><Relationship Id="rId37" Type="http://schemas.openxmlformats.org/officeDocument/2006/relationships/hyperlink" Target="https://doi.org/10.1016/j.epsl.2005.04.02710.1126/science.1171477" TargetMode="External"/><Relationship Id="rId40" Type="http://schemas.openxmlformats.org/officeDocument/2006/relationships/hyperlink" Target="https://doi.org/10.1016/j.epsl.2005.04.02710.1126/science.1171477" TargetMode="External"/><Relationship Id="rId45" Type="http://schemas.openxmlformats.org/officeDocument/2006/relationships/hyperlink" Target="https://doi.org/10.1016/j.epsl.2005.04.02710.1126/science.1171477"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https://doi.org/10.1016/j.epsl.2005.04.02710.1126/science.1171477" TargetMode="External"/><Relationship Id="rId28" Type="http://schemas.openxmlformats.org/officeDocument/2006/relationships/hyperlink" Target="https://doi.org/10.1016/j.epsl.2005.04.02710.1126/science.1171477" TargetMode="External"/><Relationship Id="rId36" Type="http://schemas.openxmlformats.org/officeDocument/2006/relationships/hyperlink" Target="https://doi.org/10.1016/j.epsl.2005.04.02710.1126/science.1171477" TargetMode="External"/><Relationship Id="rId10" Type="http://schemas.openxmlformats.org/officeDocument/2006/relationships/hyperlink" Target="mailto:hoenisch@ldeo.columbia.edu" TargetMode="External"/><Relationship Id="rId19" Type="http://schemas.openxmlformats.org/officeDocument/2006/relationships/hyperlink" Target="https://doi.org/10.1016/j.epsl.2005.04.02710.1126/science.1171477" TargetMode="External"/><Relationship Id="rId31" Type="http://schemas.openxmlformats.org/officeDocument/2006/relationships/hyperlink" Target="https://doi.org/10.1016/j.epsl.2005.04.02710.1126/science.1171477" TargetMode="External"/><Relationship Id="rId44" Type="http://schemas.openxmlformats.org/officeDocument/2006/relationships/hyperlink" Target="https://doi.org/10.1016/j.epsl.2005.04.02710.1126/science.1171477"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https://doi.org/10.1016/j.epsl.2005.04.02710.1126/science.1171477" TargetMode="External"/><Relationship Id="rId27" Type="http://schemas.openxmlformats.org/officeDocument/2006/relationships/hyperlink" Target="https://doi.org/10.1016/j.epsl.2005.04.02710.1126/science.1171477" TargetMode="External"/><Relationship Id="rId30" Type="http://schemas.openxmlformats.org/officeDocument/2006/relationships/hyperlink" Target="https://doi.org/10.1016/j.epsl.2005.04.02710.1126/science.1171477" TargetMode="External"/><Relationship Id="rId35" Type="http://schemas.openxmlformats.org/officeDocument/2006/relationships/hyperlink" Target="https://doi.org/10.1016/j.epsl.2005.04.02710.1126/science.1171477" TargetMode="External"/><Relationship Id="rId43" Type="http://schemas.openxmlformats.org/officeDocument/2006/relationships/hyperlink" Target="https://doi.org/10.1016/j.epsl.2005.04.02710.1126/science.1171477" TargetMode="External"/><Relationship Id="rId48" Type="http://schemas.openxmlformats.org/officeDocument/2006/relationships/hyperlink" Target="https://doi.org/10.1016/j.epsl.2005.04.02710.1126/science.1171477" TargetMode="External"/><Relationship Id="rId8"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https://doi.org/10.1016/j.epsl.2005.04.02710.1126/science.1171477" TargetMode="External"/><Relationship Id="rId25" Type="http://schemas.openxmlformats.org/officeDocument/2006/relationships/hyperlink" Target="https://doi.org/10.1016/j.epsl.2005.04.02710.1126/science.1171477" TargetMode="External"/><Relationship Id="rId33" Type="http://schemas.openxmlformats.org/officeDocument/2006/relationships/hyperlink" Target="https://doi.org/10.1016/j.epsl.2005.04.02710.1126/science.1171477" TargetMode="External"/><Relationship Id="rId38" Type="http://schemas.openxmlformats.org/officeDocument/2006/relationships/hyperlink" Target="https://doi.org/10.1016/j.epsl.2005.04.02710.1126/science.1171477" TargetMode="External"/><Relationship Id="rId46" Type="http://schemas.openxmlformats.org/officeDocument/2006/relationships/hyperlink" Target="https://doi.org/10.1016/j.epsl.2005.04.02710.1126/science.1171477" TargetMode="External"/><Relationship Id="rId20" Type="http://schemas.openxmlformats.org/officeDocument/2006/relationships/hyperlink" Target="https://doi.org/10.1016/j.epsl.2005.04.02710.1126/science.1171477" TargetMode="External"/><Relationship Id="rId41" Type="http://schemas.openxmlformats.org/officeDocument/2006/relationships/hyperlink" Target="https://doi.org/10.1016/j.epsl.2005.04.02710.1126/science.11714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45"/>
  <sheetViews>
    <sheetView tabSelected="1" topLeftCell="G1" workbookViewId="0">
      <selection activeCell="N3" sqref="N3:O3"/>
    </sheetView>
  </sheetViews>
  <sheetFormatPr baseColWidth="10" defaultColWidth="8.83203125" defaultRowHeight="15"/>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207"/>
      <c r="T2" s="207"/>
      <c r="U2" s="207"/>
      <c r="V2" s="207"/>
      <c r="W2" s="207"/>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332</v>
      </c>
      <c r="K3" s="11" t="s">
        <v>333</v>
      </c>
      <c r="L3" s="12" t="s">
        <v>342</v>
      </c>
      <c r="M3" s="13" t="s">
        <v>334</v>
      </c>
      <c r="N3" s="208" t="s">
        <v>344</v>
      </c>
      <c r="O3" s="208" t="s">
        <v>345</v>
      </c>
      <c r="P3" s="13" t="s">
        <v>335</v>
      </c>
      <c r="Q3" s="14" t="s">
        <v>336</v>
      </c>
      <c r="R3" s="15" t="s">
        <v>337</v>
      </c>
      <c r="S3" s="16" t="s">
        <v>338</v>
      </c>
      <c r="T3" s="13" t="s">
        <v>339</v>
      </c>
      <c r="U3" s="13" t="s">
        <v>9</v>
      </c>
      <c r="V3" s="13" t="s">
        <v>340</v>
      </c>
      <c r="W3" s="17" t="s">
        <v>341</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331</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92" t="s">
        <v>267</v>
      </c>
      <c r="CV3" s="192" t="s">
        <v>268</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90" t="s">
        <v>133</v>
      </c>
      <c r="EU3" s="191" t="s">
        <v>134</v>
      </c>
      <c r="EV3" s="191" t="s">
        <v>135</v>
      </c>
      <c r="EW3" s="128" t="s">
        <v>136</v>
      </c>
      <c r="EX3" s="129" t="s">
        <v>62</v>
      </c>
      <c r="EY3" s="130" t="s">
        <v>265</v>
      </c>
      <c r="EZ3" s="131" t="s">
        <v>266</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269</v>
      </c>
      <c r="GC3" s="137" t="s">
        <v>161</v>
      </c>
    </row>
    <row r="4" spans="1:185" ht="18">
      <c r="A4" s="169" t="s">
        <v>162</v>
      </c>
      <c r="B4" s="170" t="s">
        <v>163</v>
      </c>
      <c r="C4" s="140" t="s">
        <v>164</v>
      </c>
      <c r="D4" t="s">
        <v>165</v>
      </c>
      <c r="E4">
        <v>2005</v>
      </c>
      <c r="F4" s="171" t="s">
        <v>343</v>
      </c>
      <c r="G4" s="188">
        <v>3.6</v>
      </c>
      <c r="H4" s="189">
        <v>4</v>
      </c>
      <c r="I4" s="189">
        <v>4</v>
      </c>
      <c r="J4" s="206">
        <f>FL4</f>
        <v>281.5</v>
      </c>
      <c r="K4" s="206">
        <f t="shared" ref="K4:L7" si="0">FM4</f>
        <v>22.955346473116297</v>
      </c>
      <c r="L4" s="206">
        <f t="shared" si="0"/>
        <v>22.955346473116297</v>
      </c>
      <c r="M4" t="b">
        <v>1</v>
      </c>
      <c r="N4">
        <v>3</v>
      </c>
      <c r="O4" t="s">
        <v>270</v>
      </c>
      <c r="P4" s="183" t="s">
        <v>272</v>
      </c>
      <c r="Q4" t="b">
        <v>0</v>
      </c>
      <c r="R4" t="s">
        <v>170</v>
      </c>
      <c r="S4" t="b">
        <v>1</v>
      </c>
      <c r="T4" t="b">
        <v>1</v>
      </c>
      <c r="U4" t="s">
        <v>271</v>
      </c>
      <c r="V4" s="189" t="s">
        <v>272</v>
      </c>
      <c r="W4" t="b">
        <v>0</v>
      </c>
      <c r="X4" t="s">
        <v>170</v>
      </c>
      <c r="Y4" s="172" t="s">
        <v>166</v>
      </c>
      <c r="Z4" s="171" t="s">
        <v>343</v>
      </c>
      <c r="AA4" s="173" t="s">
        <v>167</v>
      </c>
      <c r="AB4" s="173" t="s">
        <v>168</v>
      </c>
      <c r="AC4" s="173">
        <v>1</v>
      </c>
      <c r="AD4" s="173">
        <v>1</v>
      </c>
      <c r="AE4" s="173">
        <v>2</v>
      </c>
      <c r="AF4" s="173">
        <v>4</v>
      </c>
      <c r="AG4" s="173" t="s">
        <v>169</v>
      </c>
      <c r="AH4" s="173" t="s">
        <v>170</v>
      </c>
      <c r="AI4" s="173" t="s">
        <v>170</v>
      </c>
      <c r="AJ4" s="173" t="s">
        <v>171</v>
      </c>
      <c r="AK4" s="173">
        <v>4.7699999999999996</v>
      </c>
      <c r="AL4" s="173">
        <v>-20.93</v>
      </c>
      <c r="AM4" s="173" t="s">
        <v>170</v>
      </c>
      <c r="AN4" s="173" t="s">
        <v>170</v>
      </c>
      <c r="AO4" s="173">
        <v>-2693.5</v>
      </c>
      <c r="AP4" s="173" t="s">
        <v>170</v>
      </c>
      <c r="AQ4" s="173" t="s">
        <v>170</v>
      </c>
      <c r="AR4" s="174" t="s">
        <v>172</v>
      </c>
      <c r="AS4" s="175">
        <v>3.8330000000000002</v>
      </c>
      <c r="AT4" s="176" t="s">
        <v>173</v>
      </c>
      <c r="AU4" s="173" t="s">
        <v>170</v>
      </c>
      <c r="AV4" s="173" t="s">
        <v>170</v>
      </c>
      <c r="AW4" s="173" t="s">
        <v>174</v>
      </c>
      <c r="AX4" s="174" t="s">
        <v>175</v>
      </c>
      <c r="AY4" s="173" t="s">
        <v>170</v>
      </c>
      <c r="AZ4" s="173" t="s">
        <v>170</v>
      </c>
      <c r="BA4" s="173" t="s">
        <v>170</v>
      </c>
      <c r="BB4" s="173" t="s">
        <v>170</v>
      </c>
      <c r="BC4" s="173" t="s">
        <v>170</v>
      </c>
      <c r="BD4" s="173" t="s">
        <v>170</v>
      </c>
      <c r="BE4" s="173" t="s">
        <v>170</v>
      </c>
      <c r="BF4" s="173" t="s">
        <v>170</v>
      </c>
      <c r="BG4" s="174" t="s">
        <v>176</v>
      </c>
      <c r="BH4" s="176" t="s">
        <v>177</v>
      </c>
      <c r="BI4" s="150">
        <v>50</v>
      </c>
      <c r="BJ4" s="150" t="s">
        <v>178</v>
      </c>
      <c r="BK4" s="174" t="s">
        <v>179</v>
      </c>
      <c r="BL4" s="173" t="s">
        <v>180</v>
      </c>
      <c r="BM4" s="174" t="s">
        <v>181</v>
      </c>
      <c r="BN4" s="173" t="s">
        <v>182</v>
      </c>
      <c r="BO4">
        <v>3</v>
      </c>
      <c r="BP4" s="177">
        <v>2.9059326290271355E-2</v>
      </c>
      <c r="BQ4" s="142">
        <v>20.9</v>
      </c>
      <c r="BR4" s="174" t="s">
        <v>183</v>
      </c>
      <c r="BS4" s="142">
        <v>0.33</v>
      </c>
      <c r="BT4" s="173" t="s">
        <v>170</v>
      </c>
      <c r="BU4" s="173" t="s">
        <v>170</v>
      </c>
      <c r="BV4" s="176" t="s">
        <v>170</v>
      </c>
      <c r="BW4" s="194" t="s">
        <v>273</v>
      </c>
      <c r="BX4" s="173" t="s">
        <v>170</v>
      </c>
      <c r="BY4" s="173" t="s">
        <v>170</v>
      </c>
      <c r="BZ4" s="174" t="s">
        <v>179</v>
      </c>
      <c r="CA4" s="174" t="s">
        <v>274</v>
      </c>
      <c r="CB4" t="s">
        <v>170</v>
      </c>
      <c r="CC4" t="s">
        <v>170</v>
      </c>
      <c r="CD4" t="s">
        <v>170</v>
      </c>
      <c r="CE4" t="s">
        <v>170</v>
      </c>
      <c r="CF4" t="s">
        <v>275</v>
      </c>
      <c r="CG4">
        <v>50</v>
      </c>
      <c r="CH4" t="s">
        <v>170</v>
      </c>
      <c r="CI4" t="s">
        <v>170</v>
      </c>
      <c r="CJ4" s="178">
        <f t="shared" ref="CJ4:CJ19" si="1">LN(CO4/0.38)/0.09+0.61*2.7</f>
        <v>25.797609258336831</v>
      </c>
      <c r="CK4" s="174" t="s">
        <v>276</v>
      </c>
      <c r="CL4" s="179">
        <f>(LN((CO4*1.03)/0.38)/0.09+0.61*2.7)-CJ4</f>
        <v>0.32843113601715501</v>
      </c>
      <c r="CM4" s="179">
        <f>CJ4-(LN((CO4*0.97)/0.38)/0.09+0.61*2.7)</f>
        <v>0.33843563871898397</v>
      </c>
      <c r="CN4" s="174" t="s">
        <v>184</v>
      </c>
      <c r="CO4" s="173">
        <v>3.34</v>
      </c>
      <c r="CP4" s="180" t="s">
        <v>185</v>
      </c>
      <c r="CQ4" s="181">
        <f>CO4*0.03</f>
        <v>0.1002</v>
      </c>
      <c r="CR4" s="174" t="s">
        <v>277</v>
      </c>
      <c r="CS4" s="174" t="s">
        <v>278</v>
      </c>
      <c r="CT4" s="173" t="s">
        <v>170</v>
      </c>
      <c r="CU4" s="174" t="s">
        <v>279</v>
      </c>
      <c r="CV4" s="174"/>
      <c r="CW4" s="174" t="s">
        <v>170</v>
      </c>
      <c r="CX4" s="174" t="s">
        <v>278</v>
      </c>
      <c r="CY4" s="174" t="s">
        <v>170</v>
      </c>
      <c r="CZ4" s="174" t="s">
        <v>170</v>
      </c>
      <c r="DA4" s="174" t="s">
        <v>170</v>
      </c>
      <c r="DB4" s="174" t="s">
        <v>170</v>
      </c>
      <c r="DC4" s="174" t="s">
        <v>170</v>
      </c>
      <c r="DD4" s="174" t="s">
        <v>170</v>
      </c>
      <c r="DE4" s="174" t="s">
        <v>170</v>
      </c>
      <c r="DF4" s="174" t="s">
        <v>170</v>
      </c>
      <c r="DG4" s="182">
        <v>35.710806315789476</v>
      </c>
      <c r="DH4" s="141" t="s">
        <v>280</v>
      </c>
      <c r="DI4" s="173">
        <v>0.01</v>
      </c>
      <c r="DJ4" s="174" t="s">
        <v>281</v>
      </c>
      <c r="DK4" s="173" t="s">
        <v>282</v>
      </c>
      <c r="DL4" s="173" t="s">
        <v>170</v>
      </c>
      <c r="DM4" s="173" t="s">
        <v>170</v>
      </c>
      <c r="DN4" s="195" t="s">
        <v>283</v>
      </c>
      <c r="DO4" s="173" t="s">
        <v>282</v>
      </c>
      <c r="DP4" s="173" t="s">
        <v>170</v>
      </c>
      <c r="DQ4" s="173" t="s">
        <v>170</v>
      </c>
      <c r="DR4" s="195" t="s">
        <v>283</v>
      </c>
      <c r="DS4" s="173" t="s">
        <v>282</v>
      </c>
      <c r="DT4" s="173" t="s">
        <v>170</v>
      </c>
      <c r="DU4" s="173" t="s">
        <v>170</v>
      </c>
      <c r="DV4" s="195" t="s">
        <v>283</v>
      </c>
      <c r="DW4" s="196">
        <v>416</v>
      </c>
      <c r="DX4" s="173" t="s">
        <v>170</v>
      </c>
      <c r="DY4" s="173" t="s">
        <v>170</v>
      </c>
      <c r="DZ4" s="174" t="s">
        <v>284</v>
      </c>
      <c r="EA4" s="173">
        <v>39.5</v>
      </c>
      <c r="EB4" s="173" t="s">
        <v>170</v>
      </c>
      <c r="EC4" s="173" t="s">
        <v>170</v>
      </c>
      <c r="ED4" s="174" t="s">
        <v>285</v>
      </c>
      <c r="EE4" s="174" t="s">
        <v>186</v>
      </c>
      <c r="EF4" s="183" t="s">
        <v>286</v>
      </c>
      <c r="EG4" s="197">
        <f>1.0206-0.000049205*CJ4</f>
        <v>1.0193306286364434</v>
      </c>
      <c r="EH4" s="196" t="s">
        <v>170</v>
      </c>
      <c r="EI4" s="196" t="s">
        <v>170</v>
      </c>
      <c r="EJ4" s="183" t="s">
        <v>287</v>
      </c>
      <c r="EK4" s="198" t="s">
        <v>288</v>
      </c>
      <c r="EL4" s="183" t="s">
        <v>289</v>
      </c>
      <c r="EM4" s="174" t="s">
        <v>290</v>
      </c>
      <c r="EN4" s="174" t="s">
        <v>291</v>
      </c>
      <c r="EO4" s="143" t="s">
        <v>292</v>
      </c>
      <c r="EP4" s="143" t="s">
        <v>292</v>
      </c>
      <c r="EQ4" s="174" t="s">
        <v>293</v>
      </c>
      <c r="ER4" s="174" t="s">
        <v>170</v>
      </c>
      <c r="ES4" s="174" t="s">
        <v>170</v>
      </c>
      <c r="ET4" s="174" t="s">
        <v>294</v>
      </c>
      <c r="EU4" s="174" t="s">
        <v>295</v>
      </c>
      <c r="EV4" s="174" t="s">
        <v>296</v>
      </c>
      <c r="EW4" s="177">
        <v>2366.3259536673686</v>
      </c>
      <c r="EX4" s="174" t="s">
        <v>297</v>
      </c>
      <c r="EY4" s="173">
        <v>54</v>
      </c>
      <c r="EZ4" s="173">
        <v>54</v>
      </c>
      <c r="FA4" t="s">
        <v>170</v>
      </c>
      <c r="FB4" t="s">
        <v>170</v>
      </c>
      <c r="FC4" t="s">
        <v>170</v>
      </c>
      <c r="FD4" t="s">
        <v>170</v>
      </c>
      <c r="FE4" s="199">
        <v>8.16</v>
      </c>
      <c r="FF4" s="174" t="s">
        <v>298</v>
      </c>
      <c r="FG4" s="173">
        <v>0.03</v>
      </c>
      <c r="FH4" s="173">
        <v>0.03</v>
      </c>
      <c r="FI4" s="200">
        <v>281.5</v>
      </c>
      <c r="FJ4" s="169">
        <v>0</v>
      </c>
      <c r="FK4" s="174" t="s">
        <v>187</v>
      </c>
      <c r="FL4" s="200">
        <f>FI4</f>
        <v>281.5</v>
      </c>
      <c r="FM4" s="182">
        <v>22.955346473116297</v>
      </c>
      <c r="FN4" s="182">
        <v>22.955346473116297</v>
      </c>
      <c r="FO4" s="174" t="s">
        <v>188</v>
      </c>
      <c r="FP4" s="174" t="s">
        <v>299</v>
      </c>
      <c r="FQ4" t="s">
        <v>170</v>
      </c>
      <c r="FR4" t="s">
        <v>170</v>
      </c>
      <c r="FS4" t="s">
        <v>170</v>
      </c>
      <c r="FT4" t="s">
        <v>170</v>
      </c>
      <c r="FU4" t="s">
        <v>170</v>
      </c>
      <c r="FV4" t="s">
        <v>170</v>
      </c>
      <c r="FW4" t="s">
        <v>170</v>
      </c>
      <c r="FX4" t="s">
        <v>170</v>
      </c>
      <c r="FY4" t="s">
        <v>170</v>
      </c>
      <c r="FZ4" t="s">
        <v>170</v>
      </c>
      <c r="GA4" t="s">
        <v>170</v>
      </c>
      <c r="GB4" t="s">
        <v>170</v>
      </c>
      <c r="GC4" s="174" t="s">
        <v>300</v>
      </c>
    </row>
    <row r="5" spans="1:185" ht="18">
      <c r="A5" s="169" t="s">
        <v>162</v>
      </c>
      <c r="B5" s="170" t="s">
        <v>163</v>
      </c>
      <c r="C5" s="140" t="s">
        <v>164</v>
      </c>
      <c r="D5" t="s">
        <v>165</v>
      </c>
      <c r="E5">
        <v>2005</v>
      </c>
      <c r="F5" s="171" t="s">
        <v>343</v>
      </c>
      <c r="G5" s="188">
        <v>14.6</v>
      </c>
      <c r="H5" s="189">
        <v>4</v>
      </c>
      <c r="I5" s="189">
        <v>4</v>
      </c>
      <c r="J5" s="206">
        <f>FL5</f>
        <v>255.2</v>
      </c>
      <c r="K5" s="206">
        <f t="shared" si="0"/>
        <v>20.174096834821935</v>
      </c>
      <c r="L5" s="206">
        <f t="shared" si="0"/>
        <v>20.174096834821935</v>
      </c>
      <c r="M5" t="b">
        <v>1</v>
      </c>
      <c r="N5">
        <v>3</v>
      </c>
      <c r="O5" t="s">
        <v>270</v>
      </c>
      <c r="P5" s="183" t="s">
        <v>272</v>
      </c>
      <c r="Q5" t="b">
        <v>0</v>
      </c>
      <c r="R5" t="s">
        <v>170</v>
      </c>
      <c r="S5" t="b">
        <v>1</v>
      </c>
      <c r="T5" t="b">
        <v>1</v>
      </c>
      <c r="U5" t="s">
        <v>271</v>
      </c>
      <c r="V5" s="189" t="s">
        <v>272</v>
      </c>
      <c r="W5" t="b">
        <v>0</v>
      </c>
      <c r="X5" t="s">
        <v>170</v>
      </c>
      <c r="Y5" s="172" t="s">
        <v>166</v>
      </c>
      <c r="Z5" s="171" t="s">
        <v>343</v>
      </c>
      <c r="AA5" s="184" t="s">
        <v>167</v>
      </c>
      <c r="AB5" s="184" t="s">
        <v>168</v>
      </c>
      <c r="AC5" s="173">
        <v>1</v>
      </c>
      <c r="AD5" s="173">
        <v>1</v>
      </c>
      <c r="AE5" s="165">
        <v>25</v>
      </c>
      <c r="AF5" s="165">
        <v>27</v>
      </c>
      <c r="AG5" s="165" t="s">
        <v>189</v>
      </c>
      <c r="AH5" s="173" t="s">
        <v>170</v>
      </c>
      <c r="AI5" s="173" t="s">
        <v>170</v>
      </c>
      <c r="AJ5" s="173" t="s">
        <v>171</v>
      </c>
      <c r="AK5" s="173">
        <v>4.7699999999999996</v>
      </c>
      <c r="AL5" s="173">
        <v>-20.93</v>
      </c>
      <c r="AM5" s="173" t="s">
        <v>170</v>
      </c>
      <c r="AN5" s="173" t="s">
        <v>170</v>
      </c>
      <c r="AO5" s="173">
        <v>-2693.5</v>
      </c>
      <c r="AP5" s="173" t="s">
        <v>170</v>
      </c>
      <c r="AQ5" s="173" t="s">
        <v>170</v>
      </c>
      <c r="AR5" s="174" t="s">
        <v>172</v>
      </c>
      <c r="AS5" s="175">
        <v>11.013</v>
      </c>
      <c r="AT5" s="176" t="s">
        <v>173</v>
      </c>
      <c r="AU5" s="173" t="s">
        <v>170</v>
      </c>
      <c r="AV5" s="173" t="s">
        <v>170</v>
      </c>
      <c r="AW5" s="184" t="s">
        <v>190</v>
      </c>
      <c r="AX5" s="174" t="s">
        <v>191</v>
      </c>
      <c r="AY5" s="173" t="s">
        <v>170</v>
      </c>
      <c r="AZ5" s="173" t="s">
        <v>170</v>
      </c>
      <c r="BA5" s="173" t="s">
        <v>170</v>
      </c>
      <c r="BB5" s="173" t="s">
        <v>170</v>
      </c>
      <c r="BC5" s="173" t="s">
        <v>170</v>
      </c>
      <c r="BD5" s="173" t="s">
        <v>170</v>
      </c>
      <c r="BE5" s="173" t="s">
        <v>170</v>
      </c>
      <c r="BF5" s="173" t="s">
        <v>170</v>
      </c>
      <c r="BG5" s="174" t="s">
        <v>176</v>
      </c>
      <c r="BH5" s="184" t="s">
        <v>177</v>
      </c>
      <c r="BI5">
        <v>50</v>
      </c>
      <c r="BJ5">
        <v>3.54</v>
      </c>
      <c r="BK5" s="174" t="s">
        <v>179</v>
      </c>
      <c r="BL5" s="173" t="s">
        <v>180</v>
      </c>
      <c r="BM5" s="174" t="s">
        <v>181</v>
      </c>
      <c r="BN5" s="184" t="s">
        <v>192</v>
      </c>
      <c r="BO5">
        <v>3</v>
      </c>
      <c r="BP5" s="177">
        <v>0.18583146486355023</v>
      </c>
      <c r="BQ5" s="185">
        <v>21.31</v>
      </c>
      <c r="BR5" s="174" t="s">
        <v>183</v>
      </c>
      <c r="BS5" s="185">
        <v>0.33</v>
      </c>
      <c r="BT5" s="173" t="s">
        <v>170</v>
      </c>
      <c r="BU5" s="173" t="s">
        <v>170</v>
      </c>
      <c r="BV5" s="176" t="s">
        <v>170</v>
      </c>
      <c r="BW5" s="194" t="s">
        <v>273</v>
      </c>
      <c r="BX5" s="173" t="s">
        <v>170</v>
      </c>
      <c r="BY5" s="173" t="s">
        <v>170</v>
      </c>
      <c r="BZ5" s="174" t="s">
        <v>179</v>
      </c>
      <c r="CA5" s="174" t="s">
        <v>274</v>
      </c>
      <c r="CB5" t="s">
        <v>170</v>
      </c>
      <c r="CC5" t="s">
        <v>170</v>
      </c>
      <c r="CD5" t="s">
        <v>170</v>
      </c>
      <c r="CE5" t="s">
        <v>170</v>
      </c>
      <c r="CF5" t="s">
        <v>275</v>
      </c>
      <c r="CG5">
        <v>50</v>
      </c>
      <c r="CH5" t="s">
        <v>170</v>
      </c>
      <c r="CI5" t="s">
        <v>170</v>
      </c>
      <c r="CJ5" s="178">
        <f t="shared" si="1"/>
        <v>26.349222930438668</v>
      </c>
      <c r="CK5" s="174" t="s">
        <v>276</v>
      </c>
      <c r="CL5" s="179">
        <f t="shared" ref="CL5:CL19" si="2">(LN((CO5*1.03)/0.38)/0.09+0.61*2.7)-CJ5</f>
        <v>0.32843113601715856</v>
      </c>
      <c r="CM5" s="179">
        <f t="shared" ref="CM5:CM19" si="3">CJ5-(LN((CO5*0.97)/0.38)/0.09+0.61*2.7)</f>
        <v>0.33843563871898752</v>
      </c>
      <c r="CN5" s="193" t="s">
        <v>193</v>
      </c>
      <c r="CO5" s="165">
        <v>3.51</v>
      </c>
      <c r="CP5" s="180" t="s">
        <v>185</v>
      </c>
      <c r="CQ5" s="181">
        <f t="shared" ref="CQ5:CQ19" si="4">CO5*0.03</f>
        <v>0.10529999999999999</v>
      </c>
      <c r="CR5" s="174" t="s">
        <v>277</v>
      </c>
      <c r="CS5" s="174" t="s">
        <v>278</v>
      </c>
      <c r="CT5" s="173" t="s">
        <v>170</v>
      </c>
      <c r="CU5" s="174" t="s">
        <v>279</v>
      </c>
      <c r="CV5" s="174"/>
      <c r="CW5" s="174" t="s">
        <v>170</v>
      </c>
      <c r="CX5" s="174" t="s">
        <v>278</v>
      </c>
      <c r="CY5" s="174" t="s">
        <v>170</v>
      </c>
      <c r="CZ5" s="174" t="s">
        <v>170</v>
      </c>
      <c r="DA5" s="174" t="s">
        <v>170</v>
      </c>
      <c r="DB5" s="174" t="s">
        <v>170</v>
      </c>
      <c r="DC5" s="174" t="s">
        <v>170</v>
      </c>
      <c r="DD5" s="174" t="s">
        <v>170</v>
      </c>
      <c r="DE5" s="174" t="s">
        <v>170</v>
      </c>
      <c r="DF5" s="174" t="s">
        <v>170</v>
      </c>
      <c r="DG5" s="201">
        <v>36.112013684210531</v>
      </c>
      <c r="DH5" s="141" t="s">
        <v>280</v>
      </c>
      <c r="DI5" s="184">
        <v>0.125</v>
      </c>
      <c r="DJ5" s="174" t="s">
        <v>281</v>
      </c>
      <c r="DK5" s="173" t="s">
        <v>282</v>
      </c>
      <c r="DL5" s="173" t="s">
        <v>170</v>
      </c>
      <c r="DM5" s="173" t="s">
        <v>170</v>
      </c>
      <c r="DN5" s="195" t="s">
        <v>283</v>
      </c>
      <c r="DO5" s="173" t="s">
        <v>282</v>
      </c>
      <c r="DP5" s="173" t="s">
        <v>170</v>
      </c>
      <c r="DQ5" s="173" t="s">
        <v>170</v>
      </c>
      <c r="DR5" s="195" t="s">
        <v>283</v>
      </c>
      <c r="DS5" s="173" t="s">
        <v>282</v>
      </c>
      <c r="DT5" s="173" t="s">
        <v>170</v>
      </c>
      <c r="DU5" s="173" t="s">
        <v>170</v>
      </c>
      <c r="DV5" s="195" t="s">
        <v>283</v>
      </c>
      <c r="DW5" s="196">
        <v>416</v>
      </c>
      <c r="DX5" s="173" t="s">
        <v>170</v>
      </c>
      <c r="DY5" s="173" t="s">
        <v>170</v>
      </c>
      <c r="DZ5" s="174" t="s">
        <v>284</v>
      </c>
      <c r="EA5" s="173">
        <v>39.5</v>
      </c>
      <c r="EB5" s="173" t="s">
        <v>170</v>
      </c>
      <c r="EC5" s="173" t="s">
        <v>170</v>
      </c>
      <c r="ED5" s="174" t="s">
        <v>285</v>
      </c>
      <c r="EE5" s="174" t="s">
        <v>186</v>
      </c>
      <c r="EF5" s="183" t="s">
        <v>286</v>
      </c>
      <c r="EG5" s="197">
        <f t="shared" ref="EG5:EG19" si="5">1.0206-0.000049205*CJ5</f>
        <v>1.0193034864857078</v>
      </c>
      <c r="EH5" s="196" t="s">
        <v>170</v>
      </c>
      <c r="EI5" s="196" t="s">
        <v>170</v>
      </c>
      <c r="EJ5" s="183" t="s">
        <v>287</v>
      </c>
      <c r="EK5" s="198" t="s">
        <v>288</v>
      </c>
      <c r="EL5" s="183" t="s">
        <v>289</v>
      </c>
      <c r="EM5" s="174" t="s">
        <v>301</v>
      </c>
      <c r="EN5" s="174" t="s">
        <v>291</v>
      </c>
      <c r="EO5" s="143" t="s">
        <v>292</v>
      </c>
      <c r="EP5" s="143" t="s">
        <v>292</v>
      </c>
      <c r="EQ5" s="174" t="s">
        <v>293</v>
      </c>
      <c r="ER5" s="174" t="s">
        <v>170</v>
      </c>
      <c r="ES5" s="174" t="s">
        <v>170</v>
      </c>
      <c r="ET5" s="174" t="s">
        <v>294</v>
      </c>
      <c r="EU5" s="174" t="s">
        <v>302</v>
      </c>
      <c r="EV5" s="174" t="s">
        <v>296</v>
      </c>
      <c r="EW5" s="177">
        <v>2393.4</v>
      </c>
      <c r="EX5" s="174" t="s">
        <v>297</v>
      </c>
      <c r="EY5" s="173">
        <v>54</v>
      </c>
      <c r="EZ5" s="173">
        <v>54</v>
      </c>
      <c r="FA5" t="s">
        <v>170</v>
      </c>
      <c r="FB5" t="s">
        <v>170</v>
      </c>
      <c r="FC5" t="s">
        <v>170</v>
      </c>
      <c r="FD5" t="s">
        <v>170</v>
      </c>
      <c r="FE5" s="202">
        <v>8.19</v>
      </c>
      <c r="FF5" s="174" t="s">
        <v>298</v>
      </c>
      <c r="FG5" s="173">
        <v>0.03</v>
      </c>
      <c r="FH5" s="173">
        <v>0.03</v>
      </c>
      <c r="FI5" s="203">
        <v>255.2</v>
      </c>
      <c r="FJ5" s="204">
        <v>0</v>
      </c>
      <c r="FK5" s="174" t="s">
        <v>194</v>
      </c>
      <c r="FL5" s="200">
        <f t="shared" ref="FL5:FL19" si="6">FI5</f>
        <v>255.2</v>
      </c>
      <c r="FM5" s="201">
        <v>20.174096834821935</v>
      </c>
      <c r="FN5" s="201">
        <v>20.174096834821935</v>
      </c>
      <c r="FO5" s="174" t="s">
        <v>188</v>
      </c>
      <c r="FP5" s="174" t="s">
        <v>299</v>
      </c>
      <c r="FQ5" t="s">
        <v>170</v>
      </c>
      <c r="FR5" t="s">
        <v>170</v>
      </c>
      <c r="FS5" t="s">
        <v>170</v>
      </c>
      <c r="FT5" t="s">
        <v>170</v>
      </c>
      <c r="FU5" t="s">
        <v>170</v>
      </c>
      <c r="FV5" t="s">
        <v>170</v>
      </c>
      <c r="FW5" t="s">
        <v>170</v>
      </c>
      <c r="FX5" t="s">
        <v>170</v>
      </c>
      <c r="FY5" t="s">
        <v>170</v>
      </c>
      <c r="FZ5" t="s">
        <v>170</v>
      </c>
      <c r="GA5" t="s">
        <v>170</v>
      </c>
      <c r="GB5" t="s">
        <v>170</v>
      </c>
      <c r="GC5" s="174" t="s">
        <v>300</v>
      </c>
    </row>
    <row r="6" spans="1:185" ht="18">
      <c r="A6" s="169" t="s">
        <v>162</v>
      </c>
      <c r="B6" s="170" t="s">
        <v>163</v>
      </c>
      <c r="C6" s="140" t="s">
        <v>164</v>
      </c>
      <c r="D6" t="s">
        <v>165</v>
      </c>
      <c r="E6">
        <v>2005</v>
      </c>
      <c r="F6" s="171" t="s">
        <v>343</v>
      </c>
      <c r="G6" s="188">
        <v>20.399999999999999</v>
      </c>
      <c r="H6" s="189">
        <v>4</v>
      </c>
      <c r="I6" s="189">
        <v>4</v>
      </c>
      <c r="J6" s="206">
        <f>FL6</f>
        <v>185.2</v>
      </c>
      <c r="K6" s="206">
        <f t="shared" si="0"/>
        <v>13.817484273622176</v>
      </c>
      <c r="L6" s="206">
        <f t="shared" si="0"/>
        <v>13.817484273622176</v>
      </c>
      <c r="M6" t="b">
        <v>1</v>
      </c>
      <c r="N6">
        <v>3</v>
      </c>
      <c r="O6" t="s">
        <v>270</v>
      </c>
      <c r="P6" s="183" t="s">
        <v>272</v>
      </c>
      <c r="Q6" t="b">
        <v>0</v>
      </c>
      <c r="R6" t="s">
        <v>170</v>
      </c>
      <c r="S6" t="b">
        <v>1</v>
      </c>
      <c r="T6" t="b">
        <v>1</v>
      </c>
      <c r="U6" t="s">
        <v>271</v>
      </c>
      <c r="V6" s="189" t="s">
        <v>272</v>
      </c>
      <c r="W6" t="b">
        <v>0</v>
      </c>
      <c r="X6" t="s">
        <v>170</v>
      </c>
      <c r="Y6" s="172" t="s">
        <v>166</v>
      </c>
      <c r="Z6" s="171" t="s">
        <v>343</v>
      </c>
      <c r="AA6" s="184" t="s">
        <v>167</v>
      </c>
      <c r="AB6" s="184" t="s">
        <v>168</v>
      </c>
      <c r="AC6" s="173">
        <v>1</v>
      </c>
      <c r="AD6" s="173">
        <v>1</v>
      </c>
      <c r="AE6" s="165">
        <v>33</v>
      </c>
      <c r="AF6" s="165">
        <v>35</v>
      </c>
      <c r="AG6" s="165" t="s">
        <v>195</v>
      </c>
      <c r="AH6" s="173" t="s">
        <v>170</v>
      </c>
      <c r="AI6" s="173" t="s">
        <v>170</v>
      </c>
      <c r="AJ6" s="173" t="s">
        <v>171</v>
      </c>
      <c r="AK6" s="173">
        <v>4.7699999999999996</v>
      </c>
      <c r="AL6" s="173">
        <v>-20.93</v>
      </c>
      <c r="AM6" s="173" t="s">
        <v>170</v>
      </c>
      <c r="AN6" s="173" t="s">
        <v>170</v>
      </c>
      <c r="AO6" s="173">
        <v>-2693.5</v>
      </c>
      <c r="AP6" s="173" t="s">
        <v>170</v>
      </c>
      <c r="AQ6" s="173" t="s">
        <v>170</v>
      </c>
      <c r="AR6" s="174" t="s">
        <v>172</v>
      </c>
      <c r="AS6" s="175">
        <v>22.722999999999999</v>
      </c>
      <c r="AT6" s="176" t="s">
        <v>173</v>
      </c>
      <c r="AU6" s="173" t="s">
        <v>170</v>
      </c>
      <c r="AV6" s="173" t="s">
        <v>170</v>
      </c>
      <c r="AW6" s="184" t="s">
        <v>190</v>
      </c>
      <c r="AX6" s="174" t="s">
        <v>196</v>
      </c>
      <c r="AY6" s="173" t="s">
        <v>170</v>
      </c>
      <c r="AZ6" s="173" t="s">
        <v>170</v>
      </c>
      <c r="BA6" s="173" t="s">
        <v>170</v>
      </c>
      <c r="BB6" s="173" t="s">
        <v>170</v>
      </c>
      <c r="BC6" s="173" t="s">
        <v>170</v>
      </c>
      <c r="BD6" s="173" t="s">
        <v>170</v>
      </c>
      <c r="BE6" s="173" t="s">
        <v>170</v>
      </c>
      <c r="BF6" s="173" t="s">
        <v>170</v>
      </c>
      <c r="BG6" s="174" t="s">
        <v>176</v>
      </c>
      <c r="BH6" s="184" t="s">
        <v>177</v>
      </c>
      <c r="BI6">
        <v>50</v>
      </c>
      <c r="BJ6">
        <v>4.76</v>
      </c>
      <c r="BK6" s="174" t="s">
        <v>179</v>
      </c>
      <c r="BL6" s="173" t="s">
        <v>180</v>
      </c>
      <c r="BM6" s="174" t="s">
        <v>181</v>
      </c>
      <c r="BN6" s="157" t="s">
        <v>197</v>
      </c>
      <c r="BO6">
        <v>3</v>
      </c>
      <c r="BP6" s="177">
        <v>8.3533093907611045E-2</v>
      </c>
      <c r="BQ6" s="186">
        <v>22.118934409799049</v>
      </c>
      <c r="BR6" s="174" t="s">
        <v>183</v>
      </c>
      <c r="BS6" s="185">
        <v>0.33</v>
      </c>
      <c r="BT6" s="173" t="s">
        <v>170</v>
      </c>
      <c r="BU6" s="173" t="s">
        <v>170</v>
      </c>
      <c r="BV6" s="176" t="s">
        <v>170</v>
      </c>
      <c r="BW6" s="194" t="s">
        <v>273</v>
      </c>
      <c r="BX6" s="173" t="s">
        <v>170</v>
      </c>
      <c r="BY6" s="173" t="s">
        <v>170</v>
      </c>
      <c r="BZ6" s="174" t="s">
        <v>179</v>
      </c>
      <c r="CA6" s="174" t="s">
        <v>274</v>
      </c>
      <c r="CB6" t="s">
        <v>170</v>
      </c>
      <c r="CC6" t="s">
        <v>170</v>
      </c>
      <c r="CD6" t="s">
        <v>170</v>
      </c>
      <c r="CE6" t="s">
        <v>170</v>
      </c>
      <c r="CF6" t="s">
        <v>275</v>
      </c>
      <c r="CG6">
        <v>50</v>
      </c>
      <c r="CH6" t="s">
        <v>170</v>
      </c>
      <c r="CI6" t="s">
        <v>170</v>
      </c>
      <c r="CJ6" s="178">
        <f t="shared" si="1"/>
        <v>24.151159115661777</v>
      </c>
      <c r="CK6" s="174" t="s">
        <v>276</v>
      </c>
      <c r="CL6" s="179">
        <f t="shared" si="2"/>
        <v>0.32843113601716212</v>
      </c>
      <c r="CM6" s="179">
        <f t="shared" si="3"/>
        <v>0.33843563871898397</v>
      </c>
      <c r="CN6" s="193" t="s">
        <v>198</v>
      </c>
      <c r="CO6" s="165">
        <v>2.88</v>
      </c>
      <c r="CP6" s="180" t="s">
        <v>185</v>
      </c>
      <c r="CQ6" s="181">
        <f t="shared" si="4"/>
        <v>8.6399999999999991E-2</v>
      </c>
      <c r="CR6" s="174" t="s">
        <v>277</v>
      </c>
      <c r="CS6" s="174" t="s">
        <v>278</v>
      </c>
      <c r="CT6" s="173" t="s">
        <v>170</v>
      </c>
      <c r="CU6" s="174" t="s">
        <v>279</v>
      </c>
      <c r="CV6" s="174"/>
      <c r="CW6" s="174" t="s">
        <v>170</v>
      </c>
      <c r="CX6" s="174" t="s">
        <v>278</v>
      </c>
      <c r="CY6" s="174" t="s">
        <v>170</v>
      </c>
      <c r="CZ6" s="174" t="s">
        <v>170</v>
      </c>
      <c r="DA6" s="174" t="s">
        <v>170</v>
      </c>
      <c r="DB6" s="174" t="s">
        <v>170</v>
      </c>
      <c r="DC6" s="174" t="s">
        <v>170</v>
      </c>
      <c r="DD6" s="174" t="s">
        <v>170</v>
      </c>
      <c r="DE6" s="174" t="s">
        <v>170</v>
      </c>
      <c r="DF6" s="174" t="s">
        <v>170</v>
      </c>
      <c r="DG6" s="201">
        <v>36.777975789473686</v>
      </c>
      <c r="DH6" s="141" t="s">
        <v>280</v>
      </c>
      <c r="DI6" s="184">
        <v>0.12</v>
      </c>
      <c r="DJ6" s="174" t="s">
        <v>281</v>
      </c>
      <c r="DK6" s="173" t="s">
        <v>282</v>
      </c>
      <c r="DL6" s="173" t="s">
        <v>170</v>
      </c>
      <c r="DM6" s="173" t="s">
        <v>170</v>
      </c>
      <c r="DN6" s="195" t="s">
        <v>283</v>
      </c>
      <c r="DO6" s="173" t="s">
        <v>282</v>
      </c>
      <c r="DP6" s="173" t="s">
        <v>170</v>
      </c>
      <c r="DQ6" s="173" t="s">
        <v>170</v>
      </c>
      <c r="DR6" s="195" t="s">
        <v>283</v>
      </c>
      <c r="DS6" s="173" t="s">
        <v>282</v>
      </c>
      <c r="DT6" s="173" t="s">
        <v>170</v>
      </c>
      <c r="DU6" s="173" t="s">
        <v>170</v>
      </c>
      <c r="DV6" s="195" t="s">
        <v>283</v>
      </c>
      <c r="DW6" s="196">
        <v>416</v>
      </c>
      <c r="DX6" s="173" t="s">
        <v>170</v>
      </c>
      <c r="DY6" s="173" t="s">
        <v>170</v>
      </c>
      <c r="DZ6" s="174" t="s">
        <v>284</v>
      </c>
      <c r="EA6" s="173">
        <v>39.5</v>
      </c>
      <c r="EB6" s="173" t="s">
        <v>170</v>
      </c>
      <c r="EC6" s="173" t="s">
        <v>170</v>
      </c>
      <c r="ED6" s="174" t="s">
        <v>285</v>
      </c>
      <c r="EE6" s="174" t="s">
        <v>186</v>
      </c>
      <c r="EF6" s="183" t="s">
        <v>286</v>
      </c>
      <c r="EG6" s="197">
        <f t="shared" si="5"/>
        <v>1.0194116422157138</v>
      </c>
      <c r="EH6" s="196" t="s">
        <v>170</v>
      </c>
      <c r="EI6" s="196" t="s">
        <v>170</v>
      </c>
      <c r="EJ6" s="183" t="s">
        <v>287</v>
      </c>
      <c r="EK6" s="198" t="s">
        <v>288</v>
      </c>
      <c r="EL6" s="183" t="s">
        <v>289</v>
      </c>
      <c r="EM6" s="174" t="s">
        <v>303</v>
      </c>
      <c r="EN6" s="174" t="s">
        <v>291</v>
      </c>
      <c r="EO6" s="143" t="s">
        <v>292</v>
      </c>
      <c r="EP6" s="143" t="s">
        <v>292</v>
      </c>
      <c r="EQ6" s="174" t="s">
        <v>293</v>
      </c>
      <c r="ER6" s="174" t="s">
        <v>170</v>
      </c>
      <c r="ES6" s="174" t="s">
        <v>170</v>
      </c>
      <c r="ET6" s="174" t="s">
        <v>294</v>
      </c>
      <c r="EU6" s="174" t="s">
        <v>304</v>
      </c>
      <c r="EV6" s="174" t="s">
        <v>296</v>
      </c>
      <c r="EW6" s="177">
        <v>2438.1999999999998</v>
      </c>
      <c r="EX6" s="174" t="s">
        <v>297</v>
      </c>
      <c r="EY6" s="173">
        <v>54</v>
      </c>
      <c r="EZ6" s="173">
        <v>54</v>
      </c>
      <c r="FA6" t="s">
        <v>170</v>
      </c>
      <c r="FB6" t="s">
        <v>170</v>
      </c>
      <c r="FC6" t="s">
        <v>170</v>
      </c>
      <c r="FD6" t="s">
        <v>170</v>
      </c>
      <c r="FE6" s="202">
        <v>8.32</v>
      </c>
      <c r="FF6" s="174" t="s">
        <v>298</v>
      </c>
      <c r="FG6" s="173">
        <v>0.03</v>
      </c>
      <c r="FH6" s="173">
        <v>0.03</v>
      </c>
      <c r="FI6" s="203">
        <v>185.2</v>
      </c>
      <c r="FJ6" s="204">
        <v>0</v>
      </c>
      <c r="FK6" s="174" t="s">
        <v>199</v>
      </c>
      <c r="FL6" s="200">
        <f t="shared" si="6"/>
        <v>185.2</v>
      </c>
      <c r="FM6" s="201">
        <v>13.817484273622176</v>
      </c>
      <c r="FN6" s="201">
        <v>13.817484273622176</v>
      </c>
      <c r="FO6" s="174" t="s">
        <v>188</v>
      </c>
      <c r="FP6" s="174" t="s">
        <v>299</v>
      </c>
      <c r="FQ6" t="s">
        <v>170</v>
      </c>
      <c r="FR6" t="s">
        <v>170</v>
      </c>
      <c r="FS6" t="s">
        <v>170</v>
      </c>
      <c r="FT6" t="s">
        <v>170</v>
      </c>
      <c r="FU6" t="s">
        <v>170</v>
      </c>
      <c r="FV6" t="s">
        <v>170</v>
      </c>
      <c r="FW6" t="s">
        <v>170</v>
      </c>
      <c r="FX6" t="s">
        <v>170</v>
      </c>
      <c r="FY6" t="s">
        <v>170</v>
      </c>
      <c r="FZ6" t="s">
        <v>170</v>
      </c>
      <c r="GA6" t="s">
        <v>170</v>
      </c>
      <c r="GB6" t="s">
        <v>170</v>
      </c>
      <c r="GC6" s="174" t="s">
        <v>300</v>
      </c>
    </row>
    <row r="7" spans="1:185" ht="18">
      <c r="A7" s="169" t="s">
        <v>162</v>
      </c>
      <c r="B7" s="170" t="s">
        <v>163</v>
      </c>
      <c r="C7" s="140" t="s">
        <v>164</v>
      </c>
      <c r="D7" t="s">
        <v>165</v>
      </c>
      <c r="E7">
        <v>2005</v>
      </c>
      <c r="F7" s="171" t="s">
        <v>343</v>
      </c>
      <c r="G7" s="188">
        <v>40.799999999999997</v>
      </c>
      <c r="H7" s="189">
        <v>4</v>
      </c>
      <c r="I7" s="189">
        <v>4</v>
      </c>
      <c r="J7" s="206">
        <f>FL7</f>
        <v>222.5</v>
      </c>
      <c r="K7" s="206">
        <f t="shared" si="0"/>
        <v>16.904543187413736</v>
      </c>
      <c r="L7" s="206">
        <f t="shared" si="0"/>
        <v>16.904543187413736</v>
      </c>
      <c r="M7" t="b">
        <v>1</v>
      </c>
      <c r="N7">
        <v>3</v>
      </c>
      <c r="O7" t="s">
        <v>270</v>
      </c>
      <c r="P7" s="183" t="s">
        <v>272</v>
      </c>
      <c r="Q7" t="b">
        <v>0</v>
      </c>
      <c r="R7" t="s">
        <v>170</v>
      </c>
      <c r="S7" t="b">
        <v>1</v>
      </c>
      <c r="T7" t="b">
        <v>1</v>
      </c>
      <c r="U7" t="s">
        <v>271</v>
      </c>
      <c r="V7" s="189" t="s">
        <v>272</v>
      </c>
      <c r="W7" t="b">
        <v>0</v>
      </c>
      <c r="X7" t="s">
        <v>170</v>
      </c>
      <c r="Y7" s="172" t="s">
        <v>166</v>
      </c>
      <c r="Z7" s="171" t="s">
        <v>343</v>
      </c>
      <c r="AA7" s="184" t="s">
        <v>167</v>
      </c>
      <c r="AB7" s="184" t="s">
        <v>168</v>
      </c>
      <c r="AC7" s="173">
        <v>1</v>
      </c>
      <c r="AD7" s="173">
        <v>1</v>
      </c>
      <c r="AE7" s="165">
        <v>70</v>
      </c>
      <c r="AF7" s="165">
        <v>72</v>
      </c>
      <c r="AG7" s="165" t="s">
        <v>200</v>
      </c>
      <c r="AH7" s="173" t="s">
        <v>170</v>
      </c>
      <c r="AI7" s="173" t="s">
        <v>170</v>
      </c>
      <c r="AJ7" s="173" t="s">
        <v>171</v>
      </c>
      <c r="AK7" s="173">
        <v>4.7699999999999996</v>
      </c>
      <c r="AL7" s="173">
        <v>-20.93</v>
      </c>
      <c r="AM7" s="173" t="s">
        <v>170</v>
      </c>
      <c r="AN7" s="173" t="s">
        <v>170</v>
      </c>
      <c r="AO7" s="173">
        <v>-2693.5</v>
      </c>
      <c r="AP7" s="173" t="s">
        <v>170</v>
      </c>
      <c r="AQ7" s="173" t="s">
        <v>170</v>
      </c>
      <c r="AR7" s="174" t="s">
        <v>172</v>
      </c>
      <c r="AS7" s="175">
        <v>49.414000000000001</v>
      </c>
      <c r="AT7" s="176" t="s">
        <v>173</v>
      </c>
      <c r="AU7" s="173" t="s">
        <v>170</v>
      </c>
      <c r="AV7" s="173" t="s">
        <v>170</v>
      </c>
      <c r="AW7" s="184" t="s">
        <v>190</v>
      </c>
      <c r="AX7" s="174" t="s">
        <v>201</v>
      </c>
      <c r="AY7" s="173" t="s">
        <v>170</v>
      </c>
      <c r="AZ7" s="173" t="s">
        <v>170</v>
      </c>
      <c r="BA7" s="173" t="s">
        <v>170</v>
      </c>
      <c r="BB7" s="173" t="s">
        <v>170</v>
      </c>
      <c r="BC7" s="173" t="s">
        <v>170</v>
      </c>
      <c r="BD7" s="173" t="s">
        <v>170</v>
      </c>
      <c r="BE7" s="173" t="s">
        <v>170</v>
      </c>
      <c r="BF7" s="173" t="s">
        <v>170</v>
      </c>
      <c r="BG7" s="174" t="s">
        <v>176</v>
      </c>
      <c r="BH7" s="184" t="s">
        <v>177</v>
      </c>
      <c r="BI7">
        <v>50</v>
      </c>
      <c r="BJ7">
        <v>2.4500000000000002</v>
      </c>
      <c r="BK7" s="174" t="s">
        <v>179</v>
      </c>
      <c r="BL7" s="173" t="s">
        <v>180</v>
      </c>
      <c r="BM7" s="174" t="s">
        <v>181</v>
      </c>
      <c r="BN7" s="184" t="s">
        <v>202</v>
      </c>
      <c r="BO7">
        <v>3</v>
      </c>
      <c r="BP7" s="177">
        <v>0.20731082407288268</v>
      </c>
      <c r="BQ7" s="186">
        <v>21.553942034039917</v>
      </c>
      <c r="BR7" s="174" t="s">
        <v>183</v>
      </c>
      <c r="BS7" s="185">
        <v>0.33</v>
      </c>
      <c r="BT7" s="173" t="s">
        <v>170</v>
      </c>
      <c r="BU7" s="173" t="s">
        <v>170</v>
      </c>
      <c r="BV7" s="176" t="s">
        <v>170</v>
      </c>
      <c r="BW7" s="194" t="s">
        <v>273</v>
      </c>
      <c r="BX7" s="173" t="s">
        <v>170</v>
      </c>
      <c r="BY7" s="173" t="s">
        <v>170</v>
      </c>
      <c r="BZ7" s="174" t="s">
        <v>179</v>
      </c>
      <c r="CA7" s="174" t="s">
        <v>274</v>
      </c>
      <c r="CB7" t="s">
        <v>170</v>
      </c>
      <c r="CC7" t="s">
        <v>170</v>
      </c>
      <c r="CD7" t="s">
        <v>170</v>
      </c>
      <c r="CE7" t="s">
        <v>170</v>
      </c>
      <c r="CF7" t="s">
        <v>275</v>
      </c>
      <c r="CG7">
        <v>50</v>
      </c>
      <c r="CH7" t="s">
        <v>170</v>
      </c>
      <c r="CI7" t="s">
        <v>170</v>
      </c>
      <c r="CJ7" s="178">
        <f t="shared" si="1"/>
        <v>24.641712278027661</v>
      </c>
      <c r="CK7" s="174" t="s">
        <v>276</v>
      </c>
      <c r="CL7" s="179">
        <f t="shared" si="2"/>
        <v>0.32843113601716212</v>
      </c>
      <c r="CM7" s="179">
        <f t="shared" si="3"/>
        <v>0.33843563871898041</v>
      </c>
      <c r="CN7" s="193" t="s">
        <v>203</v>
      </c>
      <c r="CO7" s="165">
        <v>3.01</v>
      </c>
      <c r="CP7" s="180" t="s">
        <v>185</v>
      </c>
      <c r="CQ7" s="181">
        <f t="shared" si="4"/>
        <v>9.0299999999999991E-2</v>
      </c>
      <c r="CR7" s="174" t="s">
        <v>277</v>
      </c>
      <c r="CS7" s="174" t="s">
        <v>278</v>
      </c>
      <c r="CT7" s="173" t="s">
        <v>170</v>
      </c>
      <c r="CU7" s="174" t="s">
        <v>279</v>
      </c>
      <c r="CV7" s="174"/>
      <c r="CW7" s="174" t="s">
        <v>170</v>
      </c>
      <c r="CX7" s="174" t="s">
        <v>278</v>
      </c>
      <c r="CY7" s="174" t="s">
        <v>170</v>
      </c>
      <c r="CZ7" s="174" t="s">
        <v>170</v>
      </c>
      <c r="DA7" s="174" t="s">
        <v>170</v>
      </c>
      <c r="DB7" s="174" t="s">
        <v>170</v>
      </c>
      <c r="DC7" s="174" t="s">
        <v>170</v>
      </c>
      <c r="DD7" s="174" t="s">
        <v>170</v>
      </c>
      <c r="DE7" s="174" t="s">
        <v>170</v>
      </c>
      <c r="DF7" s="174" t="s">
        <v>170</v>
      </c>
      <c r="DG7" s="201">
        <v>36.355796842105264</v>
      </c>
      <c r="DH7" s="141" t="s">
        <v>280</v>
      </c>
      <c r="DI7" s="184">
        <v>0.125</v>
      </c>
      <c r="DJ7" s="174" t="s">
        <v>281</v>
      </c>
      <c r="DK7" s="173" t="s">
        <v>282</v>
      </c>
      <c r="DL7" s="173" t="s">
        <v>170</v>
      </c>
      <c r="DM7" s="173" t="s">
        <v>170</v>
      </c>
      <c r="DN7" s="195" t="s">
        <v>283</v>
      </c>
      <c r="DO7" s="173" t="s">
        <v>282</v>
      </c>
      <c r="DP7" s="173" t="s">
        <v>170</v>
      </c>
      <c r="DQ7" s="173" t="s">
        <v>170</v>
      </c>
      <c r="DR7" s="195" t="s">
        <v>283</v>
      </c>
      <c r="DS7" s="173" t="s">
        <v>282</v>
      </c>
      <c r="DT7" s="173" t="s">
        <v>170</v>
      </c>
      <c r="DU7" s="173" t="s">
        <v>170</v>
      </c>
      <c r="DV7" s="195" t="s">
        <v>283</v>
      </c>
      <c r="DW7" s="196">
        <v>416</v>
      </c>
      <c r="DX7" s="173" t="s">
        <v>170</v>
      </c>
      <c r="DY7" s="173" t="s">
        <v>170</v>
      </c>
      <c r="DZ7" s="174" t="s">
        <v>284</v>
      </c>
      <c r="EA7" s="173">
        <v>39.5</v>
      </c>
      <c r="EB7" s="173" t="s">
        <v>170</v>
      </c>
      <c r="EC7" s="173" t="s">
        <v>170</v>
      </c>
      <c r="ED7" s="174" t="s">
        <v>285</v>
      </c>
      <c r="EE7" s="174" t="s">
        <v>186</v>
      </c>
      <c r="EF7" s="183" t="s">
        <v>286</v>
      </c>
      <c r="EG7" s="197">
        <f t="shared" si="5"/>
        <v>1.0193875045473595</v>
      </c>
      <c r="EH7" s="196" t="s">
        <v>170</v>
      </c>
      <c r="EI7" s="196" t="s">
        <v>170</v>
      </c>
      <c r="EJ7" s="183" t="s">
        <v>287</v>
      </c>
      <c r="EK7" s="198" t="s">
        <v>288</v>
      </c>
      <c r="EL7" s="183" t="s">
        <v>289</v>
      </c>
      <c r="EM7" s="174" t="s">
        <v>305</v>
      </c>
      <c r="EN7" s="174" t="s">
        <v>291</v>
      </c>
      <c r="EO7" s="143" t="s">
        <v>292</v>
      </c>
      <c r="EP7" s="143" t="s">
        <v>292</v>
      </c>
      <c r="EQ7" s="174" t="s">
        <v>293</v>
      </c>
      <c r="ER7" s="174" t="s">
        <v>170</v>
      </c>
      <c r="ES7" s="174" t="s">
        <v>170</v>
      </c>
      <c r="ET7" s="174" t="s">
        <v>294</v>
      </c>
      <c r="EU7" s="174" t="s">
        <v>306</v>
      </c>
      <c r="EV7" s="174" t="s">
        <v>296</v>
      </c>
      <c r="EW7" s="177">
        <v>2409.8000000000002</v>
      </c>
      <c r="EX7" s="174" t="s">
        <v>297</v>
      </c>
      <c r="EY7" s="173">
        <v>54</v>
      </c>
      <c r="EZ7" s="173">
        <v>54</v>
      </c>
      <c r="FA7" t="s">
        <v>170</v>
      </c>
      <c r="FB7" t="s">
        <v>170</v>
      </c>
      <c r="FC7" t="s">
        <v>170</v>
      </c>
      <c r="FD7" t="s">
        <v>170</v>
      </c>
      <c r="FE7" s="202">
        <v>8.25</v>
      </c>
      <c r="FF7" s="174" t="s">
        <v>298</v>
      </c>
      <c r="FG7" s="173">
        <v>0.03</v>
      </c>
      <c r="FH7" s="173">
        <v>0.03</v>
      </c>
      <c r="FI7" s="203">
        <v>222.5</v>
      </c>
      <c r="FJ7" s="204">
        <v>0</v>
      </c>
      <c r="FK7" s="174" t="s">
        <v>204</v>
      </c>
      <c r="FL7" s="200">
        <f t="shared" si="6"/>
        <v>222.5</v>
      </c>
      <c r="FM7" s="201">
        <v>16.904543187413736</v>
      </c>
      <c r="FN7" s="201">
        <v>16.904543187413736</v>
      </c>
      <c r="FO7" s="174" t="s">
        <v>188</v>
      </c>
      <c r="FP7" s="174" t="s">
        <v>299</v>
      </c>
      <c r="FQ7" t="s">
        <v>170</v>
      </c>
      <c r="FR7" t="s">
        <v>170</v>
      </c>
      <c r="FS7" t="s">
        <v>170</v>
      </c>
      <c r="FT7" t="s">
        <v>170</v>
      </c>
      <c r="FU7" t="s">
        <v>170</v>
      </c>
      <c r="FV7" t="s">
        <v>170</v>
      </c>
      <c r="FW7" t="s">
        <v>170</v>
      </c>
      <c r="FX7" t="s">
        <v>170</v>
      </c>
      <c r="FY7" t="s">
        <v>170</v>
      </c>
      <c r="FZ7" t="s">
        <v>170</v>
      </c>
      <c r="GA7" t="s">
        <v>170</v>
      </c>
      <c r="GB7" t="s">
        <v>170</v>
      </c>
      <c r="GC7" s="174" t="s">
        <v>300</v>
      </c>
    </row>
    <row r="8" spans="1:185" ht="18">
      <c r="A8" s="169" t="s">
        <v>162</v>
      </c>
      <c r="B8" s="170" t="s">
        <v>163</v>
      </c>
      <c r="C8" s="140" t="s">
        <v>164</v>
      </c>
      <c r="D8" t="s">
        <v>165</v>
      </c>
      <c r="E8">
        <v>2005</v>
      </c>
      <c r="F8" s="171" t="s">
        <v>343</v>
      </c>
      <c r="G8" s="188">
        <v>70.599999999999994</v>
      </c>
      <c r="H8" s="189">
        <v>4</v>
      </c>
      <c r="I8" s="189">
        <v>4</v>
      </c>
      <c r="J8" s="206">
        <f t="shared" ref="J8:J19" si="7">FL6</f>
        <v>185.2</v>
      </c>
      <c r="K8" s="206">
        <f t="shared" ref="K8:K19" si="8">FM6</f>
        <v>13.817484273622176</v>
      </c>
      <c r="L8" s="206">
        <f t="shared" ref="L8:L19" si="9">FN6</f>
        <v>13.817484273622176</v>
      </c>
      <c r="M8" t="b">
        <v>1</v>
      </c>
      <c r="N8">
        <v>3</v>
      </c>
      <c r="O8" t="s">
        <v>270</v>
      </c>
      <c r="P8" s="183" t="s">
        <v>272</v>
      </c>
      <c r="Q8" t="b">
        <v>0</v>
      </c>
      <c r="R8" t="s">
        <v>170</v>
      </c>
      <c r="S8" t="b">
        <v>1</v>
      </c>
      <c r="T8" t="b">
        <v>1</v>
      </c>
      <c r="U8" t="s">
        <v>271</v>
      </c>
      <c r="V8" s="189" t="s">
        <v>272</v>
      </c>
      <c r="W8" t="b">
        <v>0</v>
      </c>
      <c r="X8" t="s">
        <v>170</v>
      </c>
      <c r="Y8" s="172" t="s">
        <v>166</v>
      </c>
      <c r="Z8" s="171" t="s">
        <v>343</v>
      </c>
      <c r="AA8" s="184" t="s">
        <v>167</v>
      </c>
      <c r="AB8" s="184" t="s">
        <v>168</v>
      </c>
      <c r="AC8" s="173">
        <v>1</v>
      </c>
      <c r="AD8" s="173">
        <v>1</v>
      </c>
      <c r="AE8" s="165">
        <v>105</v>
      </c>
      <c r="AF8" s="165">
        <v>107</v>
      </c>
      <c r="AG8" s="165" t="s">
        <v>205</v>
      </c>
      <c r="AH8" s="173" t="s">
        <v>170</v>
      </c>
      <c r="AI8" s="173" t="s">
        <v>170</v>
      </c>
      <c r="AJ8" s="173" t="s">
        <v>171</v>
      </c>
      <c r="AK8" s="173">
        <v>4.7699999999999996</v>
      </c>
      <c r="AL8" s="173">
        <v>-20.93</v>
      </c>
      <c r="AM8" s="173" t="s">
        <v>170</v>
      </c>
      <c r="AN8" s="173" t="s">
        <v>170</v>
      </c>
      <c r="AO8" s="173">
        <v>-2693.5</v>
      </c>
      <c r="AP8" s="173" t="s">
        <v>170</v>
      </c>
      <c r="AQ8" s="173" t="s">
        <v>170</v>
      </c>
      <c r="AR8" s="174" t="s">
        <v>172</v>
      </c>
      <c r="AS8" s="175">
        <v>68.106999999999999</v>
      </c>
      <c r="AT8" s="176" t="s">
        <v>173</v>
      </c>
      <c r="AU8" s="173" t="s">
        <v>170</v>
      </c>
      <c r="AV8" s="173" t="s">
        <v>170</v>
      </c>
      <c r="AW8" s="184" t="s">
        <v>190</v>
      </c>
      <c r="AX8" s="174" t="s">
        <v>206</v>
      </c>
      <c r="AY8" s="173" t="s">
        <v>170</v>
      </c>
      <c r="AZ8" s="173" t="s">
        <v>170</v>
      </c>
      <c r="BA8" s="173" t="s">
        <v>170</v>
      </c>
      <c r="BB8" s="173" t="s">
        <v>170</v>
      </c>
      <c r="BC8" s="173" t="s">
        <v>170</v>
      </c>
      <c r="BD8" s="173" t="s">
        <v>170</v>
      </c>
      <c r="BE8" s="173" t="s">
        <v>170</v>
      </c>
      <c r="BF8" s="173" t="s">
        <v>170</v>
      </c>
      <c r="BG8" s="174" t="s">
        <v>176</v>
      </c>
      <c r="BH8" s="184" t="s">
        <v>177</v>
      </c>
      <c r="BI8">
        <v>50</v>
      </c>
      <c r="BJ8">
        <v>2.69</v>
      </c>
      <c r="BK8" s="174" t="s">
        <v>179</v>
      </c>
      <c r="BL8" s="173" t="s">
        <v>180</v>
      </c>
      <c r="BM8" s="174" t="s">
        <v>181</v>
      </c>
      <c r="BN8" s="184" t="s">
        <v>207</v>
      </c>
      <c r="BO8">
        <v>3</v>
      </c>
      <c r="BP8" s="177">
        <v>7.5129517797230413E-2</v>
      </c>
      <c r="BQ8" s="186">
        <v>21.09673384436849</v>
      </c>
      <c r="BR8" s="174" t="s">
        <v>183</v>
      </c>
      <c r="BS8" s="185">
        <v>0.33</v>
      </c>
      <c r="BT8" s="173" t="s">
        <v>170</v>
      </c>
      <c r="BU8" s="173" t="s">
        <v>170</v>
      </c>
      <c r="BV8" s="176" t="s">
        <v>170</v>
      </c>
      <c r="BW8" s="194" t="s">
        <v>273</v>
      </c>
      <c r="BX8" s="173" t="s">
        <v>170</v>
      </c>
      <c r="BY8" s="173" t="s">
        <v>170</v>
      </c>
      <c r="BZ8" s="174" t="s">
        <v>179</v>
      </c>
      <c r="CA8" s="174" t="s">
        <v>274</v>
      </c>
      <c r="CB8" t="s">
        <v>170</v>
      </c>
      <c r="CC8" t="s">
        <v>170</v>
      </c>
      <c r="CD8" t="s">
        <v>170</v>
      </c>
      <c r="CE8" t="s">
        <v>170</v>
      </c>
      <c r="CF8" t="s">
        <v>275</v>
      </c>
      <c r="CG8">
        <v>50</v>
      </c>
      <c r="CH8" t="s">
        <v>170</v>
      </c>
      <c r="CI8" t="s">
        <v>170</v>
      </c>
      <c r="CJ8" s="178">
        <f t="shared" si="1"/>
        <v>24.112511733702615</v>
      </c>
      <c r="CK8" s="174" t="s">
        <v>276</v>
      </c>
      <c r="CL8" s="179">
        <f t="shared" si="2"/>
        <v>0.32843113601715856</v>
      </c>
      <c r="CM8" s="179">
        <f t="shared" si="3"/>
        <v>0.33843563871898397</v>
      </c>
      <c r="CN8" s="193" t="s">
        <v>208</v>
      </c>
      <c r="CO8" s="165">
        <v>2.87</v>
      </c>
      <c r="CP8" s="180" t="s">
        <v>185</v>
      </c>
      <c r="CQ8" s="181">
        <f t="shared" si="4"/>
        <v>8.6099999999999996E-2</v>
      </c>
      <c r="CR8" s="174" t="s">
        <v>277</v>
      </c>
      <c r="CS8" s="174" t="s">
        <v>278</v>
      </c>
      <c r="CT8" s="173" t="s">
        <v>170</v>
      </c>
      <c r="CU8" s="174" t="s">
        <v>279</v>
      </c>
      <c r="CV8" s="174"/>
      <c r="CW8" s="174" t="s">
        <v>170</v>
      </c>
      <c r="CX8" s="174" t="s">
        <v>278</v>
      </c>
      <c r="CY8" s="174" t="s">
        <v>170</v>
      </c>
      <c r="CZ8" s="174" t="s">
        <v>170</v>
      </c>
      <c r="DA8" s="174" t="s">
        <v>170</v>
      </c>
      <c r="DB8" s="174" t="s">
        <v>170</v>
      </c>
      <c r="DC8" s="174" t="s">
        <v>170</v>
      </c>
      <c r="DD8" s="174" t="s">
        <v>170</v>
      </c>
      <c r="DE8" s="174" t="s">
        <v>170</v>
      </c>
      <c r="DF8" s="174" t="s">
        <v>170</v>
      </c>
      <c r="DG8" s="201">
        <v>36.41477368421053</v>
      </c>
      <c r="DH8" s="141" t="s">
        <v>280</v>
      </c>
      <c r="DI8" s="184">
        <v>0.14500000000000002</v>
      </c>
      <c r="DJ8" s="174" t="s">
        <v>281</v>
      </c>
      <c r="DK8" s="173" t="s">
        <v>282</v>
      </c>
      <c r="DL8" s="173" t="s">
        <v>170</v>
      </c>
      <c r="DM8" s="173" t="s">
        <v>170</v>
      </c>
      <c r="DN8" s="195" t="s">
        <v>283</v>
      </c>
      <c r="DO8" s="173" t="s">
        <v>282</v>
      </c>
      <c r="DP8" s="173" t="s">
        <v>170</v>
      </c>
      <c r="DQ8" s="173" t="s">
        <v>170</v>
      </c>
      <c r="DR8" s="195" t="s">
        <v>283</v>
      </c>
      <c r="DS8" s="173" t="s">
        <v>282</v>
      </c>
      <c r="DT8" s="173" t="s">
        <v>170</v>
      </c>
      <c r="DU8" s="173" t="s">
        <v>170</v>
      </c>
      <c r="DV8" s="195" t="s">
        <v>283</v>
      </c>
      <c r="DW8" s="196">
        <v>416</v>
      </c>
      <c r="DX8" s="173" t="s">
        <v>170</v>
      </c>
      <c r="DY8" s="173" t="s">
        <v>170</v>
      </c>
      <c r="DZ8" s="174" t="s">
        <v>284</v>
      </c>
      <c r="EA8" s="173">
        <v>39.5</v>
      </c>
      <c r="EB8" s="173" t="s">
        <v>170</v>
      </c>
      <c r="EC8" s="173" t="s">
        <v>170</v>
      </c>
      <c r="ED8" s="174" t="s">
        <v>285</v>
      </c>
      <c r="EE8" s="174" t="s">
        <v>186</v>
      </c>
      <c r="EF8" s="183" t="s">
        <v>286</v>
      </c>
      <c r="EG8" s="197">
        <f t="shared" si="5"/>
        <v>1.019413543860143</v>
      </c>
      <c r="EH8" s="196" t="s">
        <v>170</v>
      </c>
      <c r="EI8" s="196" t="s">
        <v>170</v>
      </c>
      <c r="EJ8" s="183" t="s">
        <v>287</v>
      </c>
      <c r="EK8" s="198" t="s">
        <v>288</v>
      </c>
      <c r="EL8" s="183" t="s">
        <v>289</v>
      </c>
      <c r="EM8" s="174" t="s">
        <v>307</v>
      </c>
      <c r="EN8" s="174" t="s">
        <v>291</v>
      </c>
      <c r="EO8" s="143" t="s">
        <v>292</v>
      </c>
      <c r="EP8" s="143" t="s">
        <v>292</v>
      </c>
      <c r="EQ8" s="174" t="s">
        <v>293</v>
      </c>
      <c r="ER8" s="174" t="s">
        <v>170</v>
      </c>
      <c r="ES8" s="174" t="s">
        <v>170</v>
      </c>
      <c r="ET8" s="174" t="s">
        <v>294</v>
      </c>
      <c r="EU8" s="174" t="s">
        <v>308</v>
      </c>
      <c r="EV8" s="174" t="s">
        <v>296</v>
      </c>
      <c r="EW8" s="177">
        <v>2413.6999999999998</v>
      </c>
      <c r="EX8" s="174" t="s">
        <v>297</v>
      </c>
      <c r="EY8" s="173">
        <v>54</v>
      </c>
      <c r="EZ8" s="173">
        <v>54</v>
      </c>
      <c r="FA8" t="s">
        <v>170</v>
      </c>
      <c r="FB8" t="s">
        <v>170</v>
      </c>
      <c r="FC8" t="s">
        <v>170</v>
      </c>
      <c r="FD8" t="s">
        <v>170</v>
      </c>
      <c r="FE8" s="202">
        <v>8.2200000000000006</v>
      </c>
      <c r="FF8" s="174" t="s">
        <v>298</v>
      </c>
      <c r="FG8" s="173">
        <v>0.03</v>
      </c>
      <c r="FH8" s="173">
        <v>0.03</v>
      </c>
      <c r="FI8" s="203">
        <v>251.9</v>
      </c>
      <c r="FJ8" s="204">
        <v>0</v>
      </c>
      <c r="FK8" s="174" t="s">
        <v>209</v>
      </c>
      <c r="FL8" s="200">
        <f t="shared" si="6"/>
        <v>251.9</v>
      </c>
      <c r="FM8" s="201">
        <v>19.477079947916586</v>
      </c>
      <c r="FN8" s="201">
        <v>19.477079947916586</v>
      </c>
      <c r="FO8" s="174" t="s">
        <v>188</v>
      </c>
      <c r="FP8" s="174" t="s">
        <v>299</v>
      </c>
      <c r="FQ8" t="s">
        <v>170</v>
      </c>
      <c r="FR8" t="s">
        <v>170</v>
      </c>
      <c r="FS8" t="s">
        <v>170</v>
      </c>
      <c r="FT8" t="s">
        <v>170</v>
      </c>
      <c r="FU8" t="s">
        <v>170</v>
      </c>
      <c r="FV8" t="s">
        <v>170</v>
      </c>
      <c r="FW8" t="s">
        <v>170</v>
      </c>
      <c r="FX8" t="s">
        <v>170</v>
      </c>
      <c r="FY8" t="s">
        <v>170</v>
      </c>
      <c r="FZ8" t="s">
        <v>170</v>
      </c>
      <c r="GA8" t="s">
        <v>170</v>
      </c>
      <c r="GB8" t="s">
        <v>170</v>
      </c>
      <c r="GC8" s="174" t="s">
        <v>300</v>
      </c>
    </row>
    <row r="9" spans="1:185" ht="18">
      <c r="A9" s="169" t="s">
        <v>162</v>
      </c>
      <c r="B9" s="170" t="s">
        <v>163</v>
      </c>
      <c r="C9" s="140" t="s">
        <v>164</v>
      </c>
      <c r="D9" t="s">
        <v>165</v>
      </c>
      <c r="E9">
        <v>2005</v>
      </c>
      <c r="F9" s="171" t="s">
        <v>343</v>
      </c>
      <c r="G9" s="188">
        <v>113.6</v>
      </c>
      <c r="H9" s="189">
        <v>4</v>
      </c>
      <c r="I9" s="189">
        <v>4</v>
      </c>
      <c r="J9" s="206">
        <f t="shared" si="7"/>
        <v>222.5</v>
      </c>
      <c r="K9" s="206">
        <f t="shared" si="8"/>
        <v>16.904543187413736</v>
      </c>
      <c r="L9" s="206">
        <f t="shared" si="9"/>
        <v>16.904543187413736</v>
      </c>
      <c r="M9" t="b">
        <v>1</v>
      </c>
      <c r="N9">
        <v>3</v>
      </c>
      <c r="O9" t="s">
        <v>270</v>
      </c>
      <c r="P9" s="183" t="s">
        <v>272</v>
      </c>
      <c r="Q9" t="b">
        <v>0</v>
      </c>
      <c r="R9" t="s">
        <v>170</v>
      </c>
      <c r="S9" t="b">
        <v>1</v>
      </c>
      <c r="T9" t="b">
        <v>1</v>
      </c>
      <c r="U9" t="s">
        <v>271</v>
      </c>
      <c r="V9" s="189" t="s">
        <v>272</v>
      </c>
      <c r="W9" t="b">
        <v>0</v>
      </c>
      <c r="X9" t="s">
        <v>170</v>
      </c>
      <c r="Y9" s="172" t="s">
        <v>166</v>
      </c>
      <c r="Z9" s="171" t="s">
        <v>343</v>
      </c>
      <c r="AA9" s="184" t="s">
        <v>167</v>
      </c>
      <c r="AB9" s="184" t="s">
        <v>168</v>
      </c>
      <c r="AC9" s="173">
        <v>1</v>
      </c>
      <c r="AD9" s="173">
        <v>2</v>
      </c>
      <c r="AE9" s="165">
        <v>25</v>
      </c>
      <c r="AF9" s="165">
        <v>27</v>
      </c>
      <c r="AG9" s="165" t="s">
        <v>210</v>
      </c>
      <c r="AH9" s="173" t="s">
        <v>170</v>
      </c>
      <c r="AI9" s="173" t="s">
        <v>170</v>
      </c>
      <c r="AJ9" s="173" t="s">
        <v>171</v>
      </c>
      <c r="AK9" s="173">
        <v>4.7699999999999996</v>
      </c>
      <c r="AL9" s="173">
        <v>-20.93</v>
      </c>
      <c r="AM9" s="173" t="s">
        <v>170</v>
      </c>
      <c r="AN9" s="173" t="s">
        <v>170</v>
      </c>
      <c r="AO9" s="173">
        <v>-2693.5</v>
      </c>
      <c r="AP9" s="173" t="s">
        <v>170</v>
      </c>
      <c r="AQ9" s="173" t="s">
        <v>170</v>
      </c>
      <c r="AR9" s="174" t="s">
        <v>172</v>
      </c>
      <c r="AS9" s="175">
        <v>109.163</v>
      </c>
      <c r="AT9" s="176" t="s">
        <v>173</v>
      </c>
      <c r="AU9" s="173" t="s">
        <v>170</v>
      </c>
      <c r="AV9" s="173" t="s">
        <v>170</v>
      </c>
      <c r="AW9" s="184" t="s">
        <v>190</v>
      </c>
      <c r="AX9" s="174" t="s">
        <v>211</v>
      </c>
      <c r="AY9" s="173" t="s">
        <v>170</v>
      </c>
      <c r="AZ9" s="173" t="s">
        <v>170</v>
      </c>
      <c r="BA9" s="173" t="s">
        <v>170</v>
      </c>
      <c r="BB9" s="173" t="s">
        <v>170</v>
      </c>
      <c r="BC9" s="173" t="s">
        <v>170</v>
      </c>
      <c r="BD9" s="173" t="s">
        <v>170</v>
      </c>
      <c r="BE9" s="173" t="s">
        <v>170</v>
      </c>
      <c r="BF9" s="173" t="s">
        <v>170</v>
      </c>
      <c r="BG9" s="174" t="s">
        <v>176</v>
      </c>
      <c r="BH9" s="184" t="s">
        <v>177</v>
      </c>
      <c r="BI9">
        <v>50</v>
      </c>
      <c r="BJ9">
        <v>5.03</v>
      </c>
      <c r="BK9" s="174" t="s">
        <v>179</v>
      </c>
      <c r="BL9" s="173" t="s">
        <v>180</v>
      </c>
      <c r="BM9" s="174" t="s">
        <v>181</v>
      </c>
      <c r="BN9" s="184" t="s">
        <v>212</v>
      </c>
      <c r="BO9">
        <v>3</v>
      </c>
      <c r="BP9" s="177">
        <v>0.18049315160907975</v>
      </c>
      <c r="BQ9" s="186">
        <v>21.024766659840161</v>
      </c>
      <c r="BR9" s="174" t="s">
        <v>183</v>
      </c>
      <c r="BS9" s="185">
        <v>0.33</v>
      </c>
      <c r="BT9" s="173" t="s">
        <v>170</v>
      </c>
      <c r="BU9" s="173" t="s">
        <v>170</v>
      </c>
      <c r="BV9" s="176" t="s">
        <v>170</v>
      </c>
      <c r="BW9" s="194" t="s">
        <v>273</v>
      </c>
      <c r="BX9" s="173" t="s">
        <v>170</v>
      </c>
      <c r="BY9" s="173" t="s">
        <v>170</v>
      </c>
      <c r="BZ9" s="174" t="s">
        <v>179</v>
      </c>
      <c r="CA9" s="174" t="s">
        <v>274</v>
      </c>
      <c r="CB9" t="s">
        <v>170</v>
      </c>
      <c r="CC9" t="s">
        <v>170</v>
      </c>
      <c r="CD9" t="s">
        <v>170</v>
      </c>
      <c r="CE9" t="s">
        <v>170</v>
      </c>
      <c r="CF9" t="s">
        <v>275</v>
      </c>
      <c r="CG9">
        <v>50</v>
      </c>
      <c r="CH9" t="s">
        <v>170</v>
      </c>
      <c r="CI9" t="s">
        <v>170</v>
      </c>
      <c r="CJ9" s="178">
        <f t="shared" si="1"/>
        <v>26.028070195079234</v>
      </c>
      <c r="CK9" s="174" t="s">
        <v>276</v>
      </c>
      <c r="CL9" s="179">
        <f t="shared" si="2"/>
        <v>0.32843113601715856</v>
      </c>
      <c r="CM9" s="179">
        <f t="shared" si="3"/>
        <v>0.33843563871898752</v>
      </c>
      <c r="CN9" s="193" t="s">
        <v>213</v>
      </c>
      <c r="CO9" s="165">
        <v>3.41</v>
      </c>
      <c r="CP9" s="180" t="s">
        <v>185</v>
      </c>
      <c r="CQ9" s="181">
        <f t="shared" si="4"/>
        <v>0.1023</v>
      </c>
      <c r="CR9" s="174" t="s">
        <v>277</v>
      </c>
      <c r="CS9" s="174" t="s">
        <v>278</v>
      </c>
      <c r="CT9" s="173" t="s">
        <v>170</v>
      </c>
      <c r="CU9" s="174" t="s">
        <v>279</v>
      </c>
      <c r="CV9" s="174"/>
      <c r="CW9" s="174" t="s">
        <v>170</v>
      </c>
      <c r="CX9" s="174" t="s">
        <v>278</v>
      </c>
      <c r="CY9" s="174" t="s">
        <v>170</v>
      </c>
      <c r="CZ9" s="174" t="s">
        <v>170</v>
      </c>
      <c r="DA9" s="174" t="s">
        <v>170</v>
      </c>
      <c r="DB9" s="174" t="s">
        <v>170</v>
      </c>
      <c r="DC9" s="174" t="s">
        <v>170</v>
      </c>
      <c r="DD9" s="174" t="s">
        <v>170</v>
      </c>
      <c r="DE9" s="174" t="s">
        <v>170</v>
      </c>
      <c r="DF9" s="174" t="s">
        <v>170</v>
      </c>
      <c r="DG9" s="201">
        <v>36.108625263157897</v>
      </c>
      <c r="DH9" s="141" t="s">
        <v>280</v>
      </c>
      <c r="DI9" s="184">
        <v>0.12</v>
      </c>
      <c r="DJ9" s="174" t="s">
        <v>281</v>
      </c>
      <c r="DK9" s="173" t="s">
        <v>282</v>
      </c>
      <c r="DL9" s="173" t="s">
        <v>170</v>
      </c>
      <c r="DM9" s="173" t="s">
        <v>170</v>
      </c>
      <c r="DN9" s="195" t="s">
        <v>283</v>
      </c>
      <c r="DO9" s="173" t="s">
        <v>282</v>
      </c>
      <c r="DP9" s="173" t="s">
        <v>170</v>
      </c>
      <c r="DQ9" s="173" t="s">
        <v>170</v>
      </c>
      <c r="DR9" s="195" t="s">
        <v>283</v>
      </c>
      <c r="DS9" s="173" t="s">
        <v>282</v>
      </c>
      <c r="DT9" s="173" t="s">
        <v>170</v>
      </c>
      <c r="DU9" s="173" t="s">
        <v>170</v>
      </c>
      <c r="DV9" s="195" t="s">
        <v>283</v>
      </c>
      <c r="DW9" s="196">
        <v>416</v>
      </c>
      <c r="DX9" s="173" t="s">
        <v>170</v>
      </c>
      <c r="DY9" s="173" t="s">
        <v>170</v>
      </c>
      <c r="DZ9" s="174" t="s">
        <v>284</v>
      </c>
      <c r="EA9" s="173">
        <v>39.5</v>
      </c>
      <c r="EB9" s="173" t="s">
        <v>170</v>
      </c>
      <c r="EC9" s="173" t="s">
        <v>170</v>
      </c>
      <c r="ED9" s="174" t="s">
        <v>285</v>
      </c>
      <c r="EE9" s="174" t="s">
        <v>186</v>
      </c>
      <c r="EF9" s="183" t="s">
        <v>286</v>
      </c>
      <c r="EG9" s="197">
        <f t="shared" si="5"/>
        <v>1.0193192888060512</v>
      </c>
      <c r="EH9" s="196" t="s">
        <v>170</v>
      </c>
      <c r="EI9" s="196" t="s">
        <v>170</v>
      </c>
      <c r="EJ9" s="183" t="s">
        <v>287</v>
      </c>
      <c r="EK9" s="198" t="s">
        <v>288</v>
      </c>
      <c r="EL9" s="183" t="s">
        <v>289</v>
      </c>
      <c r="EM9" s="174" t="s">
        <v>309</v>
      </c>
      <c r="EN9" s="174" t="s">
        <v>291</v>
      </c>
      <c r="EO9" s="143" t="s">
        <v>292</v>
      </c>
      <c r="EP9" s="143" t="s">
        <v>292</v>
      </c>
      <c r="EQ9" s="174" t="s">
        <v>293</v>
      </c>
      <c r="ER9" s="174" t="s">
        <v>170</v>
      </c>
      <c r="ES9" s="174" t="s">
        <v>170</v>
      </c>
      <c r="ET9" s="174" t="s">
        <v>294</v>
      </c>
      <c r="EU9" s="174" t="s">
        <v>310</v>
      </c>
      <c r="EV9" s="174" t="s">
        <v>296</v>
      </c>
      <c r="EW9" s="177">
        <v>2393.1</v>
      </c>
      <c r="EX9" s="174" t="s">
        <v>297</v>
      </c>
      <c r="EY9" s="173">
        <v>54</v>
      </c>
      <c r="EZ9" s="173">
        <v>54</v>
      </c>
      <c r="FA9" t="s">
        <v>170</v>
      </c>
      <c r="FB9" t="s">
        <v>170</v>
      </c>
      <c r="FC9" t="s">
        <v>170</v>
      </c>
      <c r="FD9" t="s">
        <v>170</v>
      </c>
      <c r="FE9" s="202">
        <v>8.17</v>
      </c>
      <c r="FF9" s="174" t="s">
        <v>298</v>
      </c>
      <c r="FG9" s="173">
        <v>0.03</v>
      </c>
      <c r="FH9" s="173">
        <v>0.03</v>
      </c>
      <c r="FI9" s="203">
        <v>277.10000000000002</v>
      </c>
      <c r="FJ9" s="204">
        <v>0</v>
      </c>
      <c r="FK9" s="174" t="s">
        <v>214</v>
      </c>
      <c r="FL9" s="200">
        <f t="shared" si="6"/>
        <v>277.10000000000002</v>
      </c>
      <c r="FM9" s="201">
        <v>21.586419092371496</v>
      </c>
      <c r="FN9" s="201">
        <v>21.586419092371496</v>
      </c>
      <c r="FO9" s="174" t="s">
        <v>188</v>
      </c>
      <c r="FP9" s="174" t="s">
        <v>299</v>
      </c>
      <c r="FQ9" t="s">
        <v>170</v>
      </c>
      <c r="FR9" t="s">
        <v>170</v>
      </c>
      <c r="FS9" t="s">
        <v>170</v>
      </c>
      <c r="FT9" t="s">
        <v>170</v>
      </c>
      <c r="FU9" t="s">
        <v>170</v>
      </c>
      <c r="FV9" t="s">
        <v>170</v>
      </c>
      <c r="FW9" t="s">
        <v>170</v>
      </c>
      <c r="FX9" t="s">
        <v>170</v>
      </c>
      <c r="FY9" t="s">
        <v>170</v>
      </c>
      <c r="FZ9" t="s">
        <v>170</v>
      </c>
      <c r="GA9" t="s">
        <v>170</v>
      </c>
      <c r="GB9" t="s">
        <v>170</v>
      </c>
      <c r="GC9" s="174" t="s">
        <v>300</v>
      </c>
    </row>
    <row r="10" spans="1:185" ht="18">
      <c r="A10" s="169" t="s">
        <v>162</v>
      </c>
      <c r="B10" s="170" t="s">
        <v>163</v>
      </c>
      <c r="C10" s="140" t="s">
        <v>164</v>
      </c>
      <c r="D10" t="s">
        <v>165</v>
      </c>
      <c r="E10">
        <v>2005</v>
      </c>
      <c r="F10" s="171" t="s">
        <v>343</v>
      </c>
      <c r="G10" s="188">
        <v>123.2</v>
      </c>
      <c r="H10" s="189">
        <v>4</v>
      </c>
      <c r="I10" s="189">
        <v>4</v>
      </c>
      <c r="J10" s="206">
        <f t="shared" si="7"/>
        <v>251.9</v>
      </c>
      <c r="K10" s="206">
        <f t="shared" si="8"/>
        <v>19.477079947916586</v>
      </c>
      <c r="L10" s="206">
        <f t="shared" si="9"/>
        <v>19.477079947916586</v>
      </c>
      <c r="M10" t="b">
        <v>1</v>
      </c>
      <c r="N10">
        <v>3</v>
      </c>
      <c r="O10" t="s">
        <v>270</v>
      </c>
      <c r="P10" s="183" t="s">
        <v>272</v>
      </c>
      <c r="Q10" t="b">
        <v>0</v>
      </c>
      <c r="R10" t="s">
        <v>170</v>
      </c>
      <c r="S10" t="b">
        <v>1</v>
      </c>
      <c r="T10" t="b">
        <v>1</v>
      </c>
      <c r="U10" t="s">
        <v>271</v>
      </c>
      <c r="V10" s="189" t="s">
        <v>272</v>
      </c>
      <c r="W10" t="b">
        <v>0</v>
      </c>
      <c r="X10" t="s">
        <v>170</v>
      </c>
      <c r="Y10" s="172" t="s">
        <v>166</v>
      </c>
      <c r="Z10" s="171" t="s">
        <v>343</v>
      </c>
      <c r="AA10" s="184" t="s">
        <v>167</v>
      </c>
      <c r="AB10" s="184" t="s">
        <v>168</v>
      </c>
      <c r="AC10" s="173">
        <v>1</v>
      </c>
      <c r="AD10" s="173">
        <v>2</v>
      </c>
      <c r="AE10" s="165">
        <v>39</v>
      </c>
      <c r="AF10" s="165">
        <v>41</v>
      </c>
      <c r="AG10" s="165" t="s">
        <v>215</v>
      </c>
      <c r="AH10" s="173" t="s">
        <v>170</v>
      </c>
      <c r="AI10" s="173" t="s">
        <v>170</v>
      </c>
      <c r="AJ10" s="173" t="s">
        <v>171</v>
      </c>
      <c r="AK10" s="173">
        <v>4.7699999999999996</v>
      </c>
      <c r="AL10" s="173">
        <v>-20.93</v>
      </c>
      <c r="AM10" s="173" t="s">
        <v>170</v>
      </c>
      <c r="AN10" s="173" t="s">
        <v>170</v>
      </c>
      <c r="AO10" s="173">
        <v>-2693.5</v>
      </c>
      <c r="AP10" s="173" t="s">
        <v>170</v>
      </c>
      <c r="AQ10" s="173" t="s">
        <v>170</v>
      </c>
      <c r="AR10" s="174" t="s">
        <v>172</v>
      </c>
      <c r="AS10" s="175">
        <v>128.399</v>
      </c>
      <c r="AT10" s="176" t="s">
        <v>173</v>
      </c>
      <c r="AU10" s="173" t="s">
        <v>170</v>
      </c>
      <c r="AV10" s="173" t="s">
        <v>170</v>
      </c>
      <c r="AW10" s="184" t="s">
        <v>190</v>
      </c>
      <c r="AX10" s="174" t="s">
        <v>216</v>
      </c>
      <c r="AY10" s="173" t="s">
        <v>170</v>
      </c>
      <c r="AZ10" s="173" t="s">
        <v>170</v>
      </c>
      <c r="BA10" s="173" t="s">
        <v>170</v>
      </c>
      <c r="BB10" s="173" t="s">
        <v>170</v>
      </c>
      <c r="BC10" s="173" t="s">
        <v>170</v>
      </c>
      <c r="BD10" s="173" t="s">
        <v>170</v>
      </c>
      <c r="BE10" s="173" t="s">
        <v>170</v>
      </c>
      <c r="BF10" s="173" t="s">
        <v>170</v>
      </c>
      <c r="BG10" s="174" t="s">
        <v>176</v>
      </c>
      <c r="BH10" s="184" t="s">
        <v>177</v>
      </c>
      <c r="BI10">
        <v>50</v>
      </c>
      <c r="BJ10">
        <v>2.0699999999999998</v>
      </c>
      <c r="BK10" s="174" t="s">
        <v>179</v>
      </c>
      <c r="BL10" s="173" t="s">
        <v>180</v>
      </c>
      <c r="BM10" s="174" t="s">
        <v>181</v>
      </c>
      <c r="BN10" s="184" t="s">
        <v>217</v>
      </c>
      <c r="BO10">
        <v>4</v>
      </c>
      <c r="BP10" s="177">
        <v>0.17935068069752946</v>
      </c>
      <c r="BQ10" s="186">
        <v>20.684525968865429</v>
      </c>
      <c r="BR10" s="174" t="s">
        <v>183</v>
      </c>
      <c r="BS10" s="185">
        <v>0.28999999999999998</v>
      </c>
      <c r="BT10" s="173" t="s">
        <v>170</v>
      </c>
      <c r="BU10" s="173" t="s">
        <v>170</v>
      </c>
      <c r="BV10" s="176" t="s">
        <v>170</v>
      </c>
      <c r="BW10" s="194" t="s">
        <v>273</v>
      </c>
      <c r="BX10" s="173" t="s">
        <v>170</v>
      </c>
      <c r="BY10" s="173" t="s">
        <v>170</v>
      </c>
      <c r="BZ10" s="174" t="s">
        <v>179</v>
      </c>
      <c r="CA10" s="174" t="s">
        <v>274</v>
      </c>
      <c r="CB10" t="s">
        <v>170</v>
      </c>
      <c r="CC10" t="s">
        <v>170</v>
      </c>
      <c r="CD10" t="s">
        <v>170</v>
      </c>
      <c r="CE10" t="s">
        <v>170</v>
      </c>
      <c r="CF10" t="s">
        <v>275</v>
      </c>
      <c r="CG10">
        <v>50</v>
      </c>
      <c r="CH10" t="s">
        <v>170</v>
      </c>
      <c r="CI10" t="s">
        <v>170</v>
      </c>
      <c r="CJ10" s="178">
        <f t="shared" si="1"/>
        <v>27.80120430423996</v>
      </c>
      <c r="CK10" s="174" t="s">
        <v>276</v>
      </c>
      <c r="CL10" s="179">
        <f t="shared" si="2"/>
        <v>0.32843113601715856</v>
      </c>
      <c r="CM10" s="179">
        <f t="shared" si="3"/>
        <v>0.33843563871898752</v>
      </c>
      <c r="CN10" s="193" t="s">
        <v>218</v>
      </c>
      <c r="CO10" s="165">
        <v>4</v>
      </c>
      <c r="CP10" s="180" t="s">
        <v>185</v>
      </c>
      <c r="CQ10" s="181">
        <f t="shared" si="4"/>
        <v>0.12</v>
      </c>
      <c r="CR10" s="174" t="s">
        <v>277</v>
      </c>
      <c r="CS10" s="174" t="s">
        <v>278</v>
      </c>
      <c r="CT10" s="173" t="s">
        <v>170</v>
      </c>
      <c r="CU10" s="174" t="s">
        <v>279</v>
      </c>
      <c r="CV10" s="174"/>
      <c r="CW10" s="174" t="s">
        <v>170</v>
      </c>
      <c r="CX10" s="174" t="s">
        <v>278</v>
      </c>
      <c r="CY10" s="174" t="s">
        <v>170</v>
      </c>
      <c r="CZ10" s="174" t="s">
        <v>170</v>
      </c>
      <c r="DA10" s="174" t="s">
        <v>170</v>
      </c>
      <c r="DB10" s="174" t="s">
        <v>170</v>
      </c>
      <c r="DC10" s="174" t="s">
        <v>170</v>
      </c>
      <c r="DD10" s="174" t="s">
        <v>170</v>
      </c>
      <c r="DE10" s="174" t="s">
        <v>170</v>
      </c>
      <c r="DF10" s="174" t="s">
        <v>170</v>
      </c>
      <c r="DG10" s="201">
        <v>35.711447368421055</v>
      </c>
      <c r="DH10" s="141" t="s">
        <v>280</v>
      </c>
      <c r="DI10" s="184">
        <v>0.125</v>
      </c>
      <c r="DJ10" s="174" t="s">
        <v>281</v>
      </c>
      <c r="DK10" s="173" t="s">
        <v>282</v>
      </c>
      <c r="DL10" s="173" t="s">
        <v>170</v>
      </c>
      <c r="DM10" s="173" t="s">
        <v>170</v>
      </c>
      <c r="DN10" s="195" t="s">
        <v>283</v>
      </c>
      <c r="DO10" s="173" t="s">
        <v>282</v>
      </c>
      <c r="DP10" s="173" t="s">
        <v>170</v>
      </c>
      <c r="DQ10" s="173" t="s">
        <v>170</v>
      </c>
      <c r="DR10" s="195" t="s">
        <v>283</v>
      </c>
      <c r="DS10" s="173" t="s">
        <v>282</v>
      </c>
      <c r="DT10" s="173" t="s">
        <v>170</v>
      </c>
      <c r="DU10" s="173" t="s">
        <v>170</v>
      </c>
      <c r="DV10" s="195" t="s">
        <v>283</v>
      </c>
      <c r="DW10" s="196">
        <v>416</v>
      </c>
      <c r="DX10" s="173" t="s">
        <v>170</v>
      </c>
      <c r="DY10" s="173" t="s">
        <v>170</v>
      </c>
      <c r="DZ10" s="174" t="s">
        <v>284</v>
      </c>
      <c r="EA10" s="173">
        <v>39.5</v>
      </c>
      <c r="EB10" s="173" t="s">
        <v>170</v>
      </c>
      <c r="EC10" s="173" t="s">
        <v>170</v>
      </c>
      <c r="ED10" s="174" t="s">
        <v>285</v>
      </c>
      <c r="EE10" s="174" t="s">
        <v>186</v>
      </c>
      <c r="EF10" s="183" t="s">
        <v>286</v>
      </c>
      <c r="EG10" s="197">
        <f t="shared" si="5"/>
        <v>1.0192320417422098</v>
      </c>
      <c r="EH10" s="196" t="s">
        <v>170</v>
      </c>
      <c r="EI10" s="196" t="s">
        <v>170</v>
      </c>
      <c r="EJ10" s="183" t="s">
        <v>287</v>
      </c>
      <c r="EK10" s="198" t="s">
        <v>288</v>
      </c>
      <c r="EL10" s="183" t="s">
        <v>289</v>
      </c>
      <c r="EM10" s="174" t="s">
        <v>311</v>
      </c>
      <c r="EN10" s="174" t="s">
        <v>291</v>
      </c>
      <c r="EO10" s="143" t="s">
        <v>292</v>
      </c>
      <c r="EP10" s="143" t="s">
        <v>292</v>
      </c>
      <c r="EQ10" s="174" t="s">
        <v>293</v>
      </c>
      <c r="ER10" s="174" t="s">
        <v>170</v>
      </c>
      <c r="ES10" s="174" t="s">
        <v>170</v>
      </c>
      <c r="ET10" s="174" t="s">
        <v>294</v>
      </c>
      <c r="EU10" s="174" t="s">
        <v>312</v>
      </c>
      <c r="EV10" s="174" t="s">
        <v>296</v>
      </c>
      <c r="EW10" s="177">
        <v>2366.4</v>
      </c>
      <c r="EX10" s="174" t="s">
        <v>297</v>
      </c>
      <c r="EY10" s="173">
        <v>54</v>
      </c>
      <c r="EZ10" s="173">
        <v>54</v>
      </c>
      <c r="FA10" t="s">
        <v>170</v>
      </c>
      <c r="FB10" t="s">
        <v>170</v>
      </c>
      <c r="FC10" t="s">
        <v>170</v>
      </c>
      <c r="FD10" t="s">
        <v>170</v>
      </c>
      <c r="FE10" s="202">
        <v>8.11</v>
      </c>
      <c r="FF10" s="174" t="s">
        <v>298</v>
      </c>
      <c r="FG10" s="173">
        <v>0.03</v>
      </c>
      <c r="FH10" s="173">
        <v>0.03</v>
      </c>
      <c r="FI10" s="203">
        <v>330.1</v>
      </c>
      <c r="FJ10" s="204">
        <v>0</v>
      </c>
      <c r="FK10" s="174" t="s">
        <v>219</v>
      </c>
      <c r="FL10" s="200">
        <f t="shared" si="6"/>
        <v>330.1</v>
      </c>
      <c r="FM10" s="201">
        <v>26.733275604779756</v>
      </c>
      <c r="FN10" s="201">
        <v>26.733275604779756</v>
      </c>
      <c r="FO10" s="174" t="s">
        <v>188</v>
      </c>
      <c r="FP10" s="174" t="s">
        <v>299</v>
      </c>
      <c r="FQ10" t="s">
        <v>170</v>
      </c>
      <c r="FR10" t="s">
        <v>170</v>
      </c>
      <c r="FS10" t="s">
        <v>170</v>
      </c>
      <c r="FT10" t="s">
        <v>170</v>
      </c>
      <c r="FU10" t="s">
        <v>170</v>
      </c>
      <c r="FV10" t="s">
        <v>170</v>
      </c>
      <c r="FW10" t="s">
        <v>170</v>
      </c>
      <c r="FX10" t="s">
        <v>170</v>
      </c>
      <c r="FY10" t="s">
        <v>170</v>
      </c>
      <c r="FZ10" t="s">
        <v>170</v>
      </c>
      <c r="GA10" t="s">
        <v>170</v>
      </c>
      <c r="GB10" t="s">
        <v>170</v>
      </c>
      <c r="GC10" s="174" t="s">
        <v>300</v>
      </c>
    </row>
    <row r="11" spans="1:185" ht="18">
      <c r="A11" s="169" t="s">
        <v>162</v>
      </c>
      <c r="B11" s="170" t="s">
        <v>163</v>
      </c>
      <c r="C11" s="140" t="s">
        <v>164</v>
      </c>
      <c r="D11" t="s">
        <v>165</v>
      </c>
      <c r="E11">
        <v>2005</v>
      </c>
      <c r="F11" s="171" t="s">
        <v>343</v>
      </c>
      <c r="G11" s="188">
        <v>128.1</v>
      </c>
      <c r="H11" s="189">
        <v>4</v>
      </c>
      <c r="I11" s="189">
        <v>4</v>
      </c>
      <c r="J11" s="206">
        <f t="shared" si="7"/>
        <v>277.10000000000002</v>
      </c>
      <c r="K11" s="206">
        <f t="shared" si="8"/>
        <v>21.586419092371496</v>
      </c>
      <c r="L11" s="206">
        <f t="shared" si="9"/>
        <v>21.586419092371496</v>
      </c>
      <c r="M11" t="b">
        <v>1</v>
      </c>
      <c r="N11">
        <v>3</v>
      </c>
      <c r="O11" t="s">
        <v>270</v>
      </c>
      <c r="P11" s="183" t="s">
        <v>272</v>
      </c>
      <c r="Q11" t="b">
        <v>0</v>
      </c>
      <c r="R11" t="s">
        <v>170</v>
      </c>
      <c r="S11" t="b">
        <v>1</v>
      </c>
      <c r="T11" t="b">
        <v>1</v>
      </c>
      <c r="U11" t="s">
        <v>271</v>
      </c>
      <c r="V11" s="189" t="s">
        <v>272</v>
      </c>
      <c r="W11" t="b">
        <v>0</v>
      </c>
      <c r="X11" t="s">
        <v>170</v>
      </c>
      <c r="Y11" s="172" t="s">
        <v>166</v>
      </c>
      <c r="Z11" s="171" t="s">
        <v>343</v>
      </c>
      <c r="AA11" s="184" t="s">
        <v>167</v>
      </c>
      <c r="AB11" s="184" t="s">
        <v>168</v>
      </c>
      <c r="AC11" s="173">
        <v>1</v>
      </c>
      <c r="AD11" s="173">
        <v>2</v>
      </c>
      <c r="AE11" s="165">
        <v>49</v>
      </c>
      <c r="AF11" s="165">
        <v>51</v>
      </c>
      <c r="AG11" s="165" t="s">
        <v>220</v>
      </c>
      <c r="AH11" s="173" t="s">
        <v>170</v>
      </c>
      <c r="AI11" s="173" t="s">
        <v>170</v>
      </c>
      <c r="AJ11" s="173" t="s">
        <v>171</v>
      </c>
      <c r="AK11" s="173">
        <v>4.7699999999999996</v>
      </c>
      <c r="AL11" s="173">
        <v>-20.93</v>
      </c>
      <c r="AM11" s="173" t="s">
        <v>170</v>
      </c>
      <c r="AN11" s="173" t="s">
        <v>170</v>
      </c>
      <c r="AO11" s="173">
        <v>-2693.5</v>
      </c>
      <c r="AP11" s="173" t="s">
        <v>170</v>
      </c>
      <c r="AQ11" s="173" t="s">
        <v>170</v>
      </c>
      <c r="AR11" s="174" t="s">
        <v>172</v>
      </c>
      <c r="AS11" s="175">
        <v>131.32</v>
      </c>
      <c r="AT11" s="176" t="s">
        <v>173</v>
      </c>
      <c r="AU11" s="173" t="s">
        <v>170</v>
      </c>
      <c r="AV11" s="173" t="s">
        <v>170</v>
      </c>
      <c r="AW11" s="184" t="s">
        <v>190</v>
      </c>
      <c r="AX11" s="174" t="s">
        <v>221</v>
      </c>
      <c r="AY11" s="173" t="s">
        <v>170</v>
      </c>
      <c r="AZ11" s="173" t="s">
        <v>170</v>
      </c>
      <c r="BA11" s="173" t="s">
        <v>170</v>
      </c>
      <c r="BB11" s="173" t="s">
        <v>170</v>
      </c>
      <c r="BC11" s="173" t="s">
        <v>170</v>
      </c>
      <c r="BD11" s="173" t="s">
        <v>170</v>
      </c>
      <c r="BE11" s="173" t="s">
        <v>170</v>
      </c>
      <c r="BF11" s="173" t="s">
        <v>170</v>
      </c>
      <c r="BG11" s="174" t="s">
        <v>176</v>
      </c>
      <c r="BH11" s="184" t="s">
        <v>177</v>
      </c>
      <c r="BI11">
        <v>50</v>
      </c>
      <c r="BJ11">
        <v>3.12</v>
      </c>
      <c r="BK11" s="174" t="s">
        <v>179</v>
      </c>
      <c r="BL11" s="173" t="s">
        <v>180</v>
      </c>
      <c r="BM11" s="174" t="s">
        <v>181</v>
      </c>
      <c r="BN11" s="184" t="s">
        <v>222</v>
      </c>
      <c r="BO11">
        <v>3</v>
      </c>
      <c r="BP11" s="177">
        <v>0.12719189352226082</v>
      </c>
      <c r="BQ11" s="186">
        <v>20.987533637288987</v>
      </c>
      <c r="BR11" s="174" t="s">
        <v>183</v>
      </c>
      <c r="BS11" s="185">
        <v>0.33</v>
      </c>
      <c r="BT11" s="173" t="s">
        <v>170</v>
      </c>
      <c r="BU11" s="173" t="s">
        <v>170</v>
      </c>
      <c r="BV11" s="176" t="s">
        <v>170</v>
      </c>
      <c r="BW11" s="194" t="s">
        <v>273</v>
      </c>
      <c r="BX11" s="173" t="s">
        <v>170</v>
      </c>
      <c r="BY11" s="173" t="s">
        <v>170</v>
      </c>
      <c r="BZ11" s="174" t="s">
        <v>179</v>
      </c>
      <c r="CA11" s="174" t="s">
        <v>274</v>
      </c>
      <c r="CB11" t="s">
        <v>170</v>
      </c>
      <c r="CC11" t="s">
        <v>170</v>
      </c>
      <c r="CD11" t="s">
        <v>170</v>
      </c>
      <c r="CE11" t="s">
        <v>170</v>
      </c>
      <c r="CF11" t="s">
        <v>275</v>
      </c>
      <c r="CG11">
        <v>50</v>
      </c>
      <c r="CH11" t="s">
        <v>170</v>
      </c>
      <c r="CI11" t="s">
        <v>170</v>
      </c>
      <c r="CJ11" s="178">
        <f t="shared" si="1"/>
        <v>26.994863272741789</v>
      </c>
      <c r="CK11" s="174" t="s">
        <v>276</v>
      </c>
      <c r="CL11" s="179">
        <f t="shared" si="2"/>
        <v>0.32843113601715856</v>
      </c>
      <c r="CM11" s="179">
        <f t="shared" si="3"/>
        <v>0.33843563871898397</v>
      </c>
      <c r="CN11" s="193" t="s">
        <v>223</v>
      </c>
      <c r="CO11" s="165">
        <v>3.72</v>
      </c>
      <c r="CP11" s="180" t="s">
        <v>185</v>
      </c>
      <c r="CQ11" s="181">
        <f t="shared" si="4"/>
        <v>0.1116</v>
      </c>
      <c r="CR11" s="174" t="s">
        <v>277</v>
      </c>
      <c r="CS11" s="174" t="s">
        <v>278</v>
      </c>
      <c r="CT11" s="173" t="s">
        <v>170</v>
      </c>
      <c r="CU11" s="174" t="s">
        <v>279</v>
      </c>
      <c r="CV11" s="174"/>
      <c r="CW11" s="174" t="s">
        <v>170</v>
      </c>
      <c r="CX11" s="174" t="s">
        <v>278</v>
      </c>
      <c r="CY11" s="174" t="s">
        <v>170</v>
      </c>
      <c r="CZ11" s="174" t="s">
        <v>170</v>
      </c>
      <c r="DA11" s="174" t="s">
        <v>170</v>
      </c>
      <c r="DB11" s="174" t="s">
        <v>170</v>
      </c>
      <c r="DC11" s="174" t="s">
        <v>170</v>
      </c>
      <c r="DD11" s="174" t="s">
        <v>170</v>
      </c>
      <c r="DE11" s="174" t="s">
        <v>170</v>
      </c>
      <c r="DF11" s="174" t="s">
        <v>170</v>
      </c>
      <c r="DG11" s="201">
        <v>35.969150526315794</v>
      </c>
      <c r="DH11" s="141" t="s">
        <v>280</v>
      </c>
      <c r="DI11" s="184">
        <v>0.15000000000000002</v>
      </c>
      <c r="DJ11" s="174" t="s">
        <v>281</v>
      </c>
      <c r="DK11" s="173" t="s">
        <v>282</v>
      </c>
      <c r="DL11" s="173" t="s">
        <v>170</v>
      </c>
      <c r="DM11" s="173" t="s">
        <v>170</v>
      </c>
      <c r="DN11" s="195" t="s">
        <v>283</v>
      </c>
      <c r="DO11" s="173" t="s">
        <v>282</v>
      </c>
      <c r="DP11" s="173" t="s">
        <v>170</v>
      </c>
      <c r="DQ11" s="173" t="s">
        <v>170</v>
      </c>
      <c r="DR11" s="195" t="s">
        <v>283</v>
      </c>
      <c r="DS11" s="173" t="s">
        <v>282</v>
      </c>
      <c r="DT11" s="173" t="s">
        <v>170</v>
      </c>
      <c r="DU11" s="173" t="s">
        <v>170</v>
      </c>
      <c r="DV11" s="195" t="s">
        <v>283</v>
      </c>
      <c r="DW11" s="196">
        <v>416</v>
      </c>
      <c r="DX11" s="173" t="s">
        <v>170</v>
      </c>
      <c r="DY11" s="173" t="s">
        <v>170</v>
      </c>
      <c r="DZ11" s="174" t="s">
        <v>284</v>
      </c>
      <c r="EA11" s="173">
        <v>39.5</v>
      </c>
      <c r="EB11" s="173" t="s">
        <v>170</v>
      </c>
      <c r="EC11" s="173" t="s">
        <v>170</v>
      </c>
      <c r="ED11" s="174" t="s">
        <v>285</v>
      </c>
      <c r="EE11" s="174" t="s">
        <v>186</v>
      </c>
      <c r="EF11" s="183" t="s">
        <v>286</v>
      </c>
      <c r="EG11" s="197">
        <f t="shared" si="5"/>
        <v>1.0192717177526647</v>
      </c>
      <c r="EH11" s="196" t="s">
        <v>170</v>
      </c>
      <c r="EI11" s="196" t="s">
        <v>170</v>
      </c>
      <c r="EJ11" s="183" t="s">
        <v>287</v>
      </c>
      <c r="EK11" s="198" t="s">
        <v>288</v>
      </c>
      <c r="EL11" s="183" t="s">
        <v>289</v>
      </c>
      <c r="EM11" s="174" t="s">
        <v>313</v>
      </c>
      <c r="EN11" s="174" t="s">
        <v>291</v>
      </c>
      <c r="EO11" s="143" t="s">
        <v>292</v>
      </c>
      <c r="EP11" s="143" t="s">
        <v>292</v>
      </c>
      <c r="EQ11" s="174" t="s">
        <v>293</v>
      </c>
      <c r="ER11" s="174" t="s">
        <v>170</v>
      </c>
      <c r="ES11" s="174" t="s">
        <v>170</v>
      </c>
      <c r="ET11" s="174" t="s">
        <v>294</v>
      </c>
      <c r="EU11" s="174" t="s">
        <v>314</v>
      </c>
      <c r="EV11" s="174" t="s">
        <v>296</v>
      </c>
      <c r="EW11" s="177">
        <v>2383.6999999999998</v>
      </c>
      <c r="EX11" s="174" t="s">
        <v>297</v>
      </c>
      <c r="EY11" s="173">
        <v>54</v>
      </c>
      <c r="EZ11" s="173">
        <v>54</v>
      </c>
      <c r="FA11" t="s">
        <v>170</v>
      </c>
      <c r="FB11" t="s">
        <v>170</v>
      </c>
      <c r="FC11" t="s">
        <v>170</v>
      </c>
      <c r="FD11" t="s">
        <v>170</v>
      </c>
      <c r="FE11" s="202">
        <v>8.15</v>
      </c>
      <c r="FF11" s="174" t="s">
        <v>298</v>
      </c>
      <c r="FG11" s="173">
        <v>0.03</v>
      </c>
      <c r="FH11" s="173">
        <v>0.03</v>
      </c>
      <c r="FI11" s="203">
        <v>290</v>
      </c>
      <c r="FJ11" s="204">
        <v>0</v>
      </c>
      <c r="FK11" s="174" t="s">
        <v>224</v>
      </c>
      <c r="FL11" s="200">
        <f t="shared" si="6"/>
        <v>290</v>
      </c>
      <c r="FM11" s="201">
        <v>22.819949071978964</v>
      </c>
      <c r="FN11" s="201">
        <v>22.819949071978964</v>
      </c>
      <c r="FO11" s="174" t="s">
        <v>188</v>
      </c>
      <c r="FP11" s="174" t="s">
        <v>299</v>
      </c>
      <c r="FQ11" t="s">
        <v>170</v>
      </c>
      <c r="FR11" t="s">
        <v>170</v>
      </c>
      <c r="FS11" t="s">
        <v>170</v>
      </c>
      <c r="FT11" t="s">
        <v>170</v>
      </c>
      <c r="FU11" t="s">
        <v>170</v>
      </c>
      <c r="FV11" t="s">
        <v>170</v>
      </c>
      <c r="FW11" t="s">
        <v>170</v>
      </c>
      <c r="FX11" t="s">
        <v>170</v>
      </c>
      <c r="FY11" t="s">
        <v>170</v>
      </c>
      <c r="FZ11" t="s">
        <v>170</v>
      </c>
      <c r="GA11" t="s">
        <v>170</v>
      </c>
      <c r="GB11" t="s">
        <v>170</v>
      </c>
      <c r="GC11" s="174" t="s">
        <v>300</v>
      </c>
    </row>
    <row r="12" spans="1:185" ht="18">
      <c r="A12" s="169" t="s">
        <v>162</v>
      </c>
      <c r="B12" s="170" t="s">
        <v>163</v>
      </c>
      <c r="C12" s="140" t="s">
        <v>164</v>
      </c>
      <c r="D12" t="s">
        <v>165</v>
      </c>
      <c r="E12">
        <v>2005</v>
      </c>
      <c r="F12" s="171" t="s">
        <v>343</v>
      </c>
      <c r="G12" s="188">
        <v>136.80000000000001</v>
      </c>
      <c r="H12" s="189">
        <v>4</v>
      </c>
      <c r="I12" s="189">
        <v>4</v>
      </c>
      <c r="J12" s="206">
        <f t="shared" si="7"/>
        <v>330.1</v>
      </c>
      <c r="K12" s="206">
        <f t="shared" si="8"/>
        <v>26.733275604779756</v>
      </c>
      <c r="L12" s="206">
        <f t="shared" si="9"/>
        <v>26.733275604779756</v>
      </c>
      <c r="M12" t="b">
        <v>1</v>
      </c>
      <c r="N12">
        <v>3</v>
      </c>
      <c r="O12" t="s">
        <v>270</v>
      </c>
      <c r="P12" s="183" t="s">
        <v>272</v>
      </c>
      <c r="Q12" t="b">
        <v>0</v>
      </c>
      <c r="R12" t="s">
        <v>170</v>
      </c>
      <c r="S12" t="b">
        <v>1</v>
      </c>
      <c r="T12" t="b">
        <v>1</v>
      </c>
      <c r="U12" t="s">
        <v>271</v>
      </c>
      <c r="V12" s="189" t="s">
        <v>272</v>
      </c>
      <c r="W12" t="b">
        <v>0</v>
      </c>
      <c r="X12" t="s">
        <v>170</v>
      </c>
      <c r="Y12" s="172" t="s">
        <v>166</v>
      </c>
      <c r="Z12" s="171" t="s">
        <v>343</v>
      </c>
      <c r="AA12" s="184" t="s">
        <v>167</v>
      </c>
      <c r="AB12" s="184" t="s">
        <v>168</v>
      </c>
      <c r="AC12" s="173">
        <v>1</v>
      </c>
      <c r="AD12" s="173">
        <v>2</v>
      </c>
      <c r="AE12" s="165">
        <v>70</v>
      </c>
      <c r="AF12" s="165">
        <v>72</v>
      </c>
      <c r="AG12" s="165" t="s">
        <v>225</v>
      </c>
      <c r="AH12" s="173" t="s">
        <v>170</v>
      </c>
      <c r="AI12" s="173" t="s">
        <v>170</v>
      </c>
      <c r="AJ12" s="173" t="s">
        <v>171</v>
      </c>
      <c r="AK12" s="173">
        <v>4.7699999999999996</v>
      </c>
      <c r="AL12" s="173">
        <v>-20.93</v>
      </c>
      <c r="AM12" s="173" t="s">
        <v>170</v>
      </c>
      <c r="AN12" s="173" t="s">
        <v>170</v>
      </c>
      <c r="AO12" s="173">
        <v>-2693.5</v>
      </c>
      <c r="AP12" s="173" t="s">
        <v>170</v>
      </c>
      <c r="AQ12" s="173" t="s">
        <v>170</v>
      </c>
      <c r="AR12" s="174" t="s">
        <v>172</v>
      </c>
      <c r="AS12" s="175">
        <v>136.63200000000001</v>
      </c>
      <c r="AT12" s="176" t="s">
        <v>173</v>
      </c>
      <c r="AU12" s="173" t="s">
        <v>170</v>
      </c>
      <c r="AV12" s="173" t="s">
        <v>170</v>
      </c>
      <c r="AW12" s="184" t="s">
        <v>190</v>
      </c>
      <c r="AX12" s="174" t="s">
        <v>226</v>
      </c>
      <c r="AY12" s="173" t="s">
        <v>170</v>
      </c>
      <c r="AZ12" s="173" t="s">
        <v>170</v>
      </c>
      <c r="BA12" s="173" t="s">
        <v>170</v>
      </c>
      <c r="BB12" s="173" t="s">
        <v>170</v>
      </c>
      <c r="BC12" s="173" t="s">
        <v>170</v>
      </c>
      <c r="BD12" s="173" t="s">
        <v>170</v>
      </c>
      <c r="BE12" s="173" t="s">
        <v>170</v>
      </c>
      <c r="BF12" s="173" t="s">
        <v>170</v>
      </c>
      <c r="BG12" s="174" t="s">
        <v>176</v>
      </c>
      <c r="BH12" s="184" t="s">
        <v>177</v>
      </c>
      <c r="BI12">
        <v>50</v>
      </c>
      <c r="BJ12">
        <v>4.0599999999999996</v>
      </c>
      <c r="BK12" s="174" t="s">
        <v>179</v>
      </c>
      <c r="BL12" s="173" t="s">
        <v>180</v>
      </c>
      <c r="BM12" s="174" t="s">
        <v>181</v>
      </c>
      <c r="BN12" s="157" t="s">
        <v>227</v>
      </c>
      <c r="BO12">
        <v>3</v>
      </c>
      <c r="BP12" s="177">
        <v>0.19447936194419674</v>
      </c>
      <c r="BQ12" s="186">
        <v>21.814836821688377</v>
      </c>
      <c r="BR12" s="174" t="s">
        <v>183</v>
      </c>
      <c r="BS12" s="185">
        <v>0.33</v>
      </c>
      <c r="BT12" s="173" t="s">
        <v>170</v>
      </c>
      <c r="BU12" s="173" t="s">
        <v>170</v>
      </c>
      <c r="BV12" s="176" t="s">
        <v>170</v>
      </c>
      <c r="BW12" s="194" t="s">
        <v>273</v>
      </c>
      <c r="BX12" s="173" t="s">
        <v>170</v>
      </c>
      <c r="BY12" s="173" t="s">
        <v>170</v>
      </c>
      <c r="BZ12" s="174" t="s">
        <v>179</v>
      </c>
      <c r="CA12" s="174" t="s">
        <v>274</v>
      </c>
      <c r="CB12" t="s">
        <v>170</v>
      </c>
      <c r="CC12" t="s">
        <v>170</v>
      </c>
      <c r="CD12" t="s">
        <v>170</v>
      </c>
      <c r="CE12" t="s">
        <v>170</v>
      </c>
      <c r="CF12" t="s">
        <v>275</v>
      </c>
      <c r="CG12">
        <v>50</v>
      </c>
      <c r="CH12" t="s">
        <v>170</v>
      </c>
      <c r="CI12" t="s">
        <v>170</v>
      </c>
      <c r="CJ12" s="178">
        <f t="shared" si="1"/>
        <v>23.995756427053557</v>
      </c>
      <c r="CK12" s="174" t="s">
        <v>276</v>
      </c>
      <c r="CL12" s="179">
        <f t="shared" si="2"/>
        <v>0.32843113601716212</v>
      </c>
      <c r="CM12" s="179">
        <f t="shared" si="3"/>
        <v>0.33843563871898397</v>
      </c>
      <c r="CN12" s="193" t="s">
        <v>228</v>
      </c>
      <c r="CO12" s="165">
        <v>2.84</v>
      </c>
      <c r="CP12" s="180" t="s">
        <v>185</v>
      </c>
      <c r="CQ12" s="181">
        <f t="shared" si="4"/>
        <v>8.5199999999999998E-2</v>
      </c>
      <c r="CR12" s="174" t="s">
        <v>277</v>
      </c>
      <c r="CS12" s="174" t="s">
        <v>278</v>
      </c>
      <c r="CT12" s="173" t="s">
        <v>170</v>
      </c>
      <c r="CU12" s="174" t="s">
        <v>279</v>
      </c>
      <c r="CV12" s="174"/>
      <c r="CW12" s="174" t="s">
        <v>170</v>
      </c>
      <c r="CX12" s="174" t="s">
        <v>278</v>
      </c>
      <c r="CY12" s="174" t="s">
        <v>170</v>
      </c>
      <c r="CZ12" s="174" t="s">
        <v>170</v>
      </c>
      <c r="DA12" s="174" t="s">
        <v>170</v>
      </c>
      <c r="DB12" s="174" t="s">
        <v>170</v>
      </c>
      <c r="DC12" s="174" t="s">
        <v>170</v>
      </c>
      <c r="DD12" s="174" t="s">
        <v>170</v>
      </c>
      <c r="DE12" s="174" t="s">
        <v>170</v>
      </c>
      <c r="DF12" s="174" t="s">
        <v>170</v>
      </c>
      <c r="DG12" s="201">
        <v>36.880818947368425</v>
      </c>
      <c r="DH12" s="141" t="s">
        <v>280</v>
      </c>
      <c r="DI12" s="184">
        <v>0.125</v>
      </c>
      <c r="DJ12" s="174" t="s">
        <v>281</v>
      </c>
      <c r="DK12" s="173" t="s">
        <v>282</v>
      </c>
      <c r="DL12" s="173" t="s">
        <v>170</v>
      </c>
      <c r="DM12" s="173" t="s">
        <v>170</v>
      </c>
      <c r="DN12" s="195" t="s">
        <v>283</v>
      </c>
      <c r="DO12" s="173" t="s">
        <v>282</v>
      </c>
      <c r="DP12" s="173" t="s">
        <v>170</v>
      </c>
      <c r="DQ12" s="173" t="s">
        <v>170</v>
      </c>
      <c r="DR12" s="195" t="s">
        <v>283</v>
      </c>
      <c r="DS12" s="173" t="s">
        <v>282</v>
      </c>
      <c r="DT12" s="173" t="s">
        <v>170</v>
      </c>
      <c r="DU12" s="173" t="s">
        <v>170</v>
      </c>
      <c r="DV12" s="195" t="s">
        <v>283</v>
      </c>
      <c r="DW12" s="196">
        <v>416</v>
      </c>
      <c r="DX12" s="173" t="s">
        <v>170</v>
      </c>
      <c r="DY12" s="173" t="s">
        <v>170</v>
      </c>
      <c r="DZ12" s="174" t="s">
        <v>284</v>
      </c>
      <c r="EA12" s="173">
        <v>39.5</v>
      </c>
      <c r="EB12" s="173" t="s">
        <v>170</v>
      </c>
      <c r="EC12" s="173" t="s">
        <v>170</v>
      </c>
      <c r="ED12" s="174" t="s">
        <v>285</v>
      </c>
      <c r="EE12" s="174" t="s">
        <v>186</v>
      </c>
      <c r="EF12" s="183" t="s">
        <v>286</v>
      </c>
      <c r="EG12" s="197">
        <f t="shared" si="5"/>
        <v>1.0194192888050069</v>
      </c>
      <c r="EH12" s="196" t="s">
        <v>170</v>
      </c>
      <c r="EI12" s="196" t="s">
        <v>170</v>
      </c>
      <c r="EJ12" s="183" t="s">
        <v>287</v>
      </c>
      <c r="EK12" s="198" t="s">
        <v>288</v>
      </c>
      <c r="EL12" s="183" t="s">
        <v>289</v>
      </c>
      <c r="EM12" s="174" t="s">
        <v>315</v>
      </c>
      <c r="EN12" s="174" t="s">
        <v>291</v>
      </c>
      <c r="EO12" s="143" t="s">
        <v>292</v>
      </c>
      <c r="EP12" s="143" t="s">
        <v>292</v>
      </c>
      <c r="EQ12" s="174" t="s">
        <v>293</v>
      </c>
      <c r="ER12" s="174" t="s">
        <v>170</v>
      </c>
      <c r="ES12" s="174" t="s">
        <v>170</v>
      </c>
      <c r="ET12" s="174" t="s">
        <v>294</v>
      </c>
      <c r="EU12" s="174" t="s">
        <v>316</v>
      </c>
      <c r="EV12" s="174" t="s">
        <v>296</v>
      </c>
      <c r="EW12" s="177">
        <v>2445.1</v>
      </c>
      <c r="EX12" s="174" t="s">
        <v>297</v>
      </c>
      <c r="EY12" s="173">
        <v>54</v>
      </c>
      <c r="EZ12" s="173">
        <v>54</v>
      </c>
      <c r="FA12" t="s">
        <v>170</v>
      </c>
      <c r="FB12" t="s">
        <v>170</v>
      </c>
      <c r="FC12" t="s">
        <v>170</v>
      </c>
      <c r="FD12" t="s">
        <v>170</v>
      </c>
      <c r="FE12" s="202">
        <v>8.2899999999999991</v>
      </c>
      <c r="FF12" s="174" t="s">
        <v>298</v>
      </c>
      <c r="FG12" s="173">
        <v>0.03</v>
      </c>
      <c r="FH12" s="173">
        <v>0.03</v>
      </c>
      <c r="FI12" s="203">
        <v>203.4</v>
      </c>
      <c r="FJ12" s="204">
        <v>0</v>
      </c>
      <c r="FK12" s="174" t="s">
        <v>229</v>
      </c>
      <c r="FL12" s="200">
        <f t="shared" si="6"/>
        <v>203.4</v>
      </c>
      <c r="FM12" s="201">
        <v>14.857594576570625</v>
      </c>
      <c r="FN12" s="201">
        <v>14.857594576570625</v>
      </c>
      <c r="FO12" s="174" t="s">
        <v>188</v>
      </c>
      <c r="FP12" s="174" t="s">
        <v>299</v>
      </c>
      <c r="FQ12" t="s">
        <v>170</v>
      </c>
      <c r="FR12" t="s">
        <v>170</v>
      </c>
      <c r="FS12" t="s">
        <v>170</v>
      </c>
      <c r="FT12" t="s">
        <v>170</v>
      </c>
      <c r="FU12" t="s">
        <v>170</v>
      </c>
      <c r="FV12" t="s">
        <v>170</v>
      </c>
      <c r="FW12" t="s">
        <v>170</v>
      </c>
      <c r="FX12" t="s">
        <v>170</v>
      </c>
      <c r="FY12" t="s">
        <v>170</v>
      </c>
      <c r="FZ12" t="s">
        <v>170</v>
      </c>
      <c r="GA12" t="s">
        <v>170</v>
      </c>
      <c r="GB12" t="s">
        <v>170</v>
      </c>
      <c r="GC12" s="174" t="s">
        <v>300</v>
      </c>
    </row>
    <row r="13" spans="1:185" ht="18">
      <c r="A13" s="169" t="s">
        <v>162</v>
      </c>
      <c r="B13" s="170" t="s">
        <v>163</v>
      </c>
      <c r="C13" s="140" t="s">
        <v>164</v>
      </c>
      <c r="D13" t="s">
        <v>165</v>
      </c>
      <c r="E13">
        <v>2005</v>
      </c>
      <c r="F13" s="171" t="s">
        <v>343</v>
      </c>
      <c r="G13" s="188">
        <v>138.6</v>
      </c>
      <c r="H13" s="189">
        <v>4</v>
      </c>
      <c r="I13" s="189">
        <v>4</v>
      </c>
      <c r="J13" s="206">
        <f t="shared" si="7"/>
        <v>290</v>
      </c>
      <c r="K13" s="206">
        <f t="shared" si="8"/>
        <v>22.819949071978964</v>
      </c>
      <c r="L13" s="206">
        <f t="shared" si="9"/>
        <v>22.819949071978964</v>
      </c>
      <c r="M13" t="b">
        <v>1</v>
      </c>
      <c r="N13">
        <v>3</v>
      </c>
      <c r="O13" t="s">
        <v>270</v>
      </c>
      <c r="P13" s="183" t="s">
        <v>272</v>
      </c>
      <c r="Q13" t="b">
        <v>0</v>
      </c>
      <c r="R13" t="s">
        <v>170</v>
      </c>
      <c r="S13" t="b">
        <v>1</v>
      </c>
      <c r="T13" t="b">
        <v>1</v>
      </c>
      <c r="U13" t="s">
        <v>271</v>
      </c>
      <c r="V13" s="189" t="s">
        <v>272</v>
      </c>
      <c r="W13" t="b">
        <v>0</v>
      </c>
      <c r="X13" t="s">
        <v>170</v>
      </c>
      <c r="Y13" s="172" t="s">
        <v>166</v>
      </c>
      <c r="Z13" s="171" t="s">
        <v>343</v>
      </c>
      <c r="AA13" s="184" t="s">
        <v>167</v>
      </c>
      <c r="AB13" s="184" t="s">
        <v>168</v>
      </c>
      <c r="AC13" s="173">
        <v>1</v>
      </c>
      <c r="AD13" s="173">
        <v>2</v>
      </c>
      <c r="AE13" s="165">
        <v>74</v>
      </c>
      <c r="AF13" s="165">
        <v>76</v>
      </c>
      <c r="AG13" s="165" t="s">
        <v>230</v>
      </c>
      <c r="AH13" s="173" t="s">
        <v>170</v>
      </c>
      <c r="AI13" s="173" t="s">
        <v>170</v>
      </c>
      <c r="AJ13" s="173" t="s">
        <v>171</v>
      </c>
      <c r="AK13" s="173">
        <v>4.7699999999999996</v>
      </c>
      <c r="AL13" s="173">
        <v>-20.93</v>
      </c>
      <c r="AM13" s="173" t="s">
        <v>170</v>
      </c>
      <c r="AN13" s="173" t="s">
        <v>170</v>
      </c>
      <c r="AO13" s="173">
        <v>-2693.5</v>
      </c>
      <c r="AP13" s="173" t="s">
        <v>170</v>
      </c>
      <c r="AQ13" s="173" t="s">
        <v>170</v>
      </c>
      <c r="AR13" s="174" t="s">
        <v>172</v>
      </c>
      <c r="AS13" s="175">
        <v>137.69399999999999</v>
      </c>
      <c r="AT13" s="176" t="s">
        <v>173</v>
      </c>
      <c r="AU13" s="173" t="s">
        <v>170</v>
      </c>
      <c r="AV13" s="173" t="s">
        <v>170</v>
      </c>
      <c r="AW13" s="184" t="s">
        <v>190</v>
      </c>
      <c r="AX13" s="174" t="s">
        <v>231</v>
      </c>
      <c r="AY13" s="173" t="s">
        <v>170</v>
      </c>
      <c r="AZ13" s="173" t="s">
        <v>170</v>
      </c>
      <c r="BA13" s="173" t="s">
        <v>170</v>
      </c>
      <c r="BB13" s="173" t="s">
        <v>170</v>
      </c>
      <c r="BC13" s="173" t="s">
        <v>170</v>
      </c>
      <c r="BD13" s="173" t="s">
        <v>170</v>
      </c>
      <c r="BE13" s="173" t="s">
        <v>170</v>
      </c>
      <c r="BF13" s="173" t="s">
        <v>170</v>
      </c>
      <c r="BG13" s="174" t="s">
        <v>176</v>
      </c>
      <c r="BH13" s="184" t="s">
        <v>177</v>
      </c>
      <c r="BI13">
        <v>50</v>
      </c>
      <c r="BJ13">
        <v>2.35</v>
      </c>
      <c r="BK13" s="174" t="s">
        <v>179</v>
      </c>
      <c r="BL13" s="173" t="s">
        <v>180</v>
      </c>
      <c r="BM13" s="174" t="s">
        <v>181</v>
      </c>
      <c r="BN13" s="184" t="s">
        <v>232</v>
      </c>
      <c r="BO13">
        <v>3</v>
      </c>
      <c r="BP13" s="187">
        <v>0.49535621302026611</v>
      </c>
      <c r="BQ13" s="186">
        <v>22.231612197843909</v>
      </c>
      <c r="BR13" s="174" t="s">
        <v>183</v>
      </c>
      <c r="BS13" s="185">
        <v>0.5</v>
      </c>
      <c r="BT13" s="173" t="s">
        <v>170</v>
      </c>
      <c r="BU13" s="173" t="s">
        <v>170</v>
      </c>
      <c r="BV13" s="176" t="s">
        <v>170</v>
      </c>
      <c r="BW13" s="194" t="s">
        <v>273</v>
      </c>
      <c r="BX13" s="173" t="s">
        <v>170</v>
      </c>
      <c r="BY13" s="173" t="s">
        <v>170</v>
      </c>
      <c r="BZ13" s="174" t="s">
        <v>179</v>
      </c>
      <c r="CA13" s="174" t="s">
        <v>274</v>
      </c>
      <c r="CB13" t="s">
        <v>170</v>
      </c>
      <c r="CC13" t="s">
        <v>170</v>
      </c>
      <c r="CD13" t="s">
        <v>170</v>
      </c>
      <c r="CE13" t="s">
        <v>170</v>
      </c>
      <c r="CF13" t="s">
        <v>275</v>
      </c>
      <c r="CG13">
        <v>50</v>
      </c>
      <c r="CH13" t="s">
        <v>170</v>
      </c>
      <c r="CI13" t="s">
        <v>170</v>
      </c>
      <c r="CJ13" s="178">
        <f t="shared" si="1"/>
        <v>24.604736832553503</v>
      </c>
      <c r="CK13" s="174" t="s">
        <v>276</v>
      </c>
      <c r="CL13" s="179">
        <f t="shared" si="2"/>
        <v>0.32843113601716212</v>
      </c>
      <c r="CM13" s="179">
        <f t="shared" si="3"/>
        <v>0.33843563871898397</v>
      </c>
      <c r="CN13" s="193" t="s">
        <v>233</v>
      </c>
      <c r="CO13" s="165">
        <v>3</v>
      </c>
      <c r="CP13" s="180" t="s">
        <v>185</v>
      </c>
      <c r="CQ13" s="181">
        <f t="shared" si="4"/>
        <v>0.09</v>
      </c>
      <c r="CR13" s="174" t="s">
        <v>277</v>
      </c>
      <c r="CS13" s="174" t="s">
        <v>278</v>
      </c>
      <c r="CT13" s="173" t="s">
        <v>170</v>
      </c>
      <c r="CU13" s="174" t="s">
        <v>279</v>
      </c>
      <c r="CV13" s="174"/>
      <c r="CW13" s="174" t="s">
        <v>170</v>
      </c>
      <c r="CX13" s="174" t="s">
        <v>278</v>
      </c>
      <c r="CY13" s="174" t="s">
        <v>170</v>
      </c>
      <c r="CZ13" s="174" t="s">
        <v>170</v>
      </c>
      <c r="DA13" s="174" t="s">
        <v>170</v>
      </c>
      <c r="DB13" s="174" t="s">
        <v>170</v>
      </c>
      <c r="DC13" s="174" t="s">
        <v>170</v>
      </c>
      <c r="DD13" s="174" t="s">
        <v>170</v>
      </c>
      <c r="DE13" s="174" t="s">
        <v>170</v>
      </c>
      <c r="DF13" s="174" t="s">
        <v>170</v>
      </c>
      <c r="DG13" s="201">
        <v>36.863510526315793</v>
      </c>
      <c r="DH13" s="141" t="s">
        <v>280</v>
      </c>
      <c r="DI13" s="184">
        <v>0.125</v>
      </c>
      <c r="DJ13" s="174" t="s">
        <v>281</v>
      </c>
      <c r="DK13" s="173" t="s">
        <v>282</v>
      </c>
      <c r="DL13" s="173" t="s">
        <v>170</v>
      </c>
      <c r="DM13" s="173" t="s">
        <v>170</v>
      </c>
      <c r="DN13" s="195" t="s">
        <v>283</v>
      </c>
      <c r="DO13" s="173" t="s">
        <v>282</v>
      </c>
      <c r="DP13" s="173" t="s">
        <v>170</v>
      </c>
      <c r="DQ13" s="173" t="s">
        <v>170</v>
      </c>
      <c r="DR13" s="195" t="s">
        <v>283</v>
      </c>
      <c r="DS13" s="173" t="s">
        <v>282</v>
      </c>
      <c r="DT13" s="173" t="s">
        <v>170</v>
      </c>
      <c r="DU13" s="173" t="s">
        <v>170</v>
      </c>
      <c r="DV13" s="195" t="s">
        <v>283</v>
      </c>
      <c r="DW13" s="196">
        <v>416</v>
      </c>
      <c r="DX13" s="173" t="s">
        <v>170</v>
      </c>
      <c r="DY13" s="173" t="s">
        <v>170</v>
      </c>
      <c r="DZ13" s="174" t="s">
        <v>284</v>
      </c>
      <c r="EA13" s="173">
        <v>39.5</v>
      </c>
      <c r="EB13" s="173" t="s">
        <v>170</v>
      </c>
      <c r="EC13" s="173" t="s">
        <v>170</v>
      </c>
      <c r="ED13" s="174" t="s">
        <v>285</v>
      </c>
      <c r="EE13" s="174" t="s">
        <v>186</v>
      </c>
      <c r="EF13" s="183" t="s">
        <v>286</v>
      </c>
      <c r="EG13" s="197">
        <f t="shared" si="5"/>
        <v>1.0193893239241543</v>
      </c>
      <c r="EH13" s="196" t="s">
        <v>170</v>
      </c>
      <c r="EI13" s="196" t="s">
        <v>170</v>
      </c>
      <c r="EJ13" s="183" t="s">
        <v>287</v>
      </c>
      <c r="EK13" s="198" t="s">
        <v>288</v>
      </c>
      <c r="EL13" s="183" t="s">
        <v>289</v>
      </c>
      <c r="EM13" s="174" t="s">
        <v>317</v>
      </c>
      <c r="EN13" s="174" t="s">
        <v>291</v>
      </c>
      <c r="EO13" s="143" t="s">
        <v>292</v>
      </c>
      <c r="EP13" s="143" t="s">
        <v>292</v>
      </c>
      <c r="EQ13" s="174" t="s">
        <v>293</v>
      </c>
      <c r="ER13" s="174" t="s">
        <v>170</v>
      </c>
      <c r="ES13" s="174" t="s">
        <v>170</v>
      </c>
      <c r="ET13" s="174" t="s">
        <v>294</v>
      </c>
      <c r="EU13" s="174" t="s">
        <v>318</v>
      </c>
      <c r="EV13" s="174" t="s">
        <v>296</v>
      </c>
      <c r="EW13" s="177">
        <v>2443.9</v>
      </c>
      <c r="EX13" s="174" t="s">
        <v>297</v>
      </c>
      <c r="EY13" s="173">
        <v>54</v>
      </c>
      <c r="EZ13" s="173">
        <v>54</v>
      </c>
      <c r="FA13" t="s">
        <v>170</v>
      </c>
      <c r="FB13" t="s">
        <v>170</v>
      </c>
      <c r="FC13" t="s">
        <v>170</v>
      </c>
      <c r="FD13" t="s">
        <v>170</v>
      </c>
      <c r="FE13" s="202">
        <v>8.3000000000000007</v>
      </c>
      <c r="FF13" s="174" t="s">
        <v>298</v>
      </c>
      <c r="FG13" s="173">
        <v>0.03</v>
      </c>
      <c r="FH13" s="173">
        <v>0.03</v>
      </c>
      <c r="FI13" s="203">
        <v>189</v>
      </c>
      <c r="FJ13" s="204">
        <v>0</v>
      </c>
      <c r="FK13" s="174" t="s">
        <v>234</v>
      </c>
      <c r="FL13" s="200">
        <f t="shared" si="6"/>
        <v>189</v>
      </c>
      <c r="FM13" s="201">
        <v>13.214808309928291</v>
      </c>
      <c r="FN13" s="201">
        <v>13.214808309928291</v>
      </c>
      <c r="FO13" s="174" t="s">
        <v>188</v>
      </c>
      <c r="FP13" s="174" t="s">
        <v>299</v>
      </c>
      <c r="FQ13" t="s">
        <v>170</v>
      </c>
      <c r="FR13" t="s">
        <v>170</v>
      </c>
      <c r="FS13" t="s">
        <v>170</v>
      </c>
      <c r="FT13" t="s">
        <v>170</v>
      </c>
      <c r="FU13" t="s">
        <v>170</v>
      </c>
      <c r="FV13" t="s">
        <v>170</v>
      </c>
      <c r="FW13" t="s">
        <v>170</v>
      </c>
      <c r="FX13" t="s">
        <v>170</v>
      </c>
      <c r="FY13" t="s">
        <v>170</v>
      </c>
      <c r="FZ13" t="s">
        <v>170</v>
      </c>
      <c r="GA13" t="s">
        <v>170</v>
      </c>
      <c r="GB13" t="s">
        <v>170</v>
      </c>
      <c r="GC13" s="174" t="s">
        <v>300</v>
      </c>
    </row>
    <row r="14" spans="1:185" ht="18">
      <c r="A14" s="169" t="s">
        <v>162</v>
      </c>
      <c r="B14" s="170" t="s">
        <v>163</v>
      </c>
      <c r="C14" s="140" t="s">
        <v>164</v>
      </c>
      <c r="D14" t="s">
        <v>165</v>
      </c>
      <c r="E14">
        <v>2005</v>
      </c>
      <c r="F14" s="171" t="s">
        <v>343</v>
      </c>
      <c r="G14" s="188">
        <v>329.1</v>
      </c>
      <c r="H14" s="189">
        <v>4</v>
      </c>
      <c r="I14" s="189">
        <v>4</v>
      </c>
      <c r="J14" s="206">
        <f t="shared" si="7"/>
        <v>203.4</v>
      </c>
      <c r="K14" s="206">
        <f t="shared" si="8"/>
        <v>14.857594576570625</v>
      </c>
      <c r="L14" s="206">
        <f t="shared" si="9"/>
        <v>14.857594576570625</v>
      </c>
      <c r="M14" t="b">
        <v>1</v>
      </c>
      <c r="N14">
        <v>3</v>
      </c>
      <c r="O14" t="s">
        <v>270</v>
      </c>
      <c r="P14" s="183" t="s">
        <v>272</v>
      </c>
      <c r="Q14" t="b">
        <v>0</v>
      </c>
      <c r="R14" t="s">
        <v>170</v>
      </c>
      <c r="S14" t="b">
        <v>1</v>
      </c>
      <c r="T14" t="b">
        <v>1</v>
      </c>
      <c r="U14" t="s">
        <v>271</v>
      </c>
      <c r="V14" s="189" t="s">
        <v>272</v>
      </c>
      <c r="W14" t="b">
        <v>0</v>
      </c>
      <c r="X14" t="s">
        <v>170</v>
      </c>
      <c r="Y14" s="172" t="s">
        <v>166</v>
      </c>
      <c r="Z14" s="171" t="s">
        <v>343</v>
      </c>
      <c r="AA14" s="184" t="s">
        <v>167</v>
      </c>
      <c r="AB14" s="184" t="s">
        <v>168</v>
      </c>
      <c r="AC14" s="173">
        <v>2</v>
      </c>
      <c r="AD14" s="173">
        <v>2</v>
      </c>
      <c r="AE14" s="165">
        <v>56</v>
      </c>
      <c r="AF14" s="165">
        <v>58</v>
      </c>
      <c r="AG14" s="165" t="s">
        <v>235</v>
      </c>
      <c r="AH14" s="173" t="s">
        <v>170</v>
      </c>
      <c r="AI14" s="173" t="s">
        <v>170</v>
      </c>
      <c r="AJ14" s="173" t="s">
        <v>171</v>
      </c>
      <c r="AK14" s="173">
        <v>4.7699999999999996</v>
      </c>
      <c r="AL14" s="173">
        <v>-20.93</v>
      </c>
      <c r="AM14" s="173" t="s">
        <v>170</v>
      </c>
      <c r="AN14" s="173" t="s">
        <v>170</v>
      </c>
      <c r="AO14" s="173">
        <v>-2693.5</v>
      </c>
      <c r="AP14" s="173" t="s">
        <v>170</v>
      </c>
      <c r="AQ14" s="173" t="s">
        <v>170</v>
      </c>
      <c r="AR14" s="174" t="s">
        <v>172</v>
      </c>
      <c r="AS14" s="175">
        <v>317.44499999999999</v>
      </c>
      <c r="AT14" s="176" t="s">
        <v>173</v>
      </c>
      <c r="AU14" s="173" t="s">
        <v>170</v>
      </c>
      <c r="AV14" s="173" t="s">
        <v>170</v>
      </c>
      <c r="AW14" s="184" t="s">
        <v>190</v>
      </c>
      <c r="AX14" s="174" t="s">
        <v>236</v>
      </c>
      <c r="AY14" s="173" t="s">
        <v>170</v>
      </c>
      <c r="AZ14" s="173" t="s">
        <v>170</v>
      </c>
      <c r="BA14" s="173" t="s">
        <v>170</v>
      </c>
      <c r="BB14" s="173" t="s">
        <v>170</v>
      </c>
      <c r="BC14" s="173" t="s">
        <v>170</v>
      </c>
      <c r="BD14" s="173" t="s">
        <v>170</v>
      </c>
      <c r="BE14" s="173" t="s">
        <v>170</v>
      </c>
      <c r="BF14" s="173" t="s">
        <v>170</v>
      </c>
      <c r="BG14" s="174" t="s">
        <v>176</v>
      </c>
      <c r="BH14" s="184" t="s">
        <v>177</v>
      </c>
      <c r="BI14">
        <v>50</v>
      </c>
      <c r="BJ14">
        <v>2.87</v>
      </c>
      <c r="BK14" s="174" t="s">
        <v>179</v>
      </c>
      <c r="BL14" s="173" t="s">
        <v>180</v>
      </c>
      <c r="BM14" s="174" t="s">
        <v>181</v>
      </c>
      <c r="BN14" s="184" t="s">
        <v>237</v>
      </c>
      <c r="BO14">
        <v>3</v>
      </c>
      <c r="BP14" s="177">
        <v>0.21364560478616146</v>
      </c>
      <c r="BQ14" s="186">
        <v>20.545235315708389</v>
      </c>
      <c r="BR14" s="174" t="s">
        <v>183</v>
      </c>
      <c r="BS14" s="185">
        <v>0.33</v>
      </c>
      <c r="BT14" s="173" t="s">
        <v>170</v>
      </c>
      <c r="BU14" s="173" t="s">
        <v>170</v>
      </c>
      <c r="BV14" s="176" t="s">
        <v>170</v>
      </c>
      <c r="BW14" s="194" t="s">
        <v>273</v>
      </c>
      <c r="BX14" s="173" t="s">
        <v>170</v>
      </c>
      <c r="BY14" s="173" t="s">
        <v>170</v>
      </c>
      <c r="BZ14" s="174" t="s">
        <v>179</v>
      </c>
      <c r="CA14" s="174" t="s">
        <v>274</v>
      </c>
      <c r="CB14" t="s">
        <v>170</v>
      </c>
      <c r="CC14" t="s">
        <v>170</v>
      </c>
      <c r="CD14" t="s">
        <v>170</v>
      </c>
      <c r="CE14" t="s">
        <v>170</v>
      </c>
      <c r="CF14" t="s">
        <v>275</v>
      </c>
      <c r="CG14">
        <v>50</v>
      </c>
      <c r="CH14" t="s">
        <v>170</v>
      </c>
      <c r="CI14" t="s">
        <v>170</v>
      </c>
      <c r="CJ14" s="178">
        <f t="shared" si="1"/>
        <v>25.425512927736342</v>
      </c>
      <c r="CK14" s="174" t="s">
        <v>276</v>
      </c>
      <c r="CL14" s="179">
        <f t="shared" si="2"/>
        <v>0.32843113601715856</v>
      </c>
      <c r="CM14" s="179">
        <f t="shared" si="3"/>
        <v>0.33843563871898397</v>
      </c>
      <c r="CN14" s="205" t="s">
        <v>238</v>
      </c>
      <c r="CO14" s="165">
        <v>3.23</v>
      </c>
      <c r="CP14" s="180" t="s">
        <v>185</v>
      </c>
      <c r="CQ14" s="181">
        <f t="shared" si="4"/>
        <v>9.69E-2</v>
      </c>
      <c r="CR14" s="174" t="s">
        <v>277</v>
      </c>
      <c r="CS14" s="174" t="s">
        <v>278</v>
      </c>
      <c r="CT14" s="173" t="s">
        <v>170</v>
      </c>
      <c r="CU14" s="174" t="s">
        <v>279</v>
      </c>
      <c r="CV14" s="174"/>
      <c r="CW14" s="174" t="s">
        <v>170</v>
      </c>
      <c r="CX14" s="174" t="s">
        <v>278</v>
      </c>
      <c r="CY14" s="174" t="s">
        <v>170</v>
      </c>
      <c r="CZ14" s="174" t="s">
        <v>170</v>
      </c>
      <c r="DA14" s="174" t="s">
        <v>170</v>
      </c>
      <c r="DB14" s="174" t="s">
        <v>170</v>
      </c>
      <c r="DC14" s="174" t="s">
        <v>170</v>
      </c>
      <c r="DD14" s="174" t="s">
        <v>170</v>
      </c>
      <c r="DE14" s="174" t="s">
        <v>170</v>
      </c>
      <c r="DF14" s="174" t="s">
        <v>170</v>
      </c>
      <c r="DG14" s="201">
        <v>35.893689473684212</v>
      </c>
      <c r="DH14" s="141" t="s">
        <v>280</v>
      </c>
      <c r="DI14" s="184">
        <v>0.12</v>
      </c>
      <c r="DJ14" s="174" t="s">
        <v>281</v>
      </c>
      <c r="DK14" s="173" t="s">
        <v>282</v>
      </c>
      <c r="DL14" s="173" t="s">
        <v>170</v>
      </c>
      <c r="DM14" s="173" t="s">
        <v>170</v>
      </c>
      <c r="DN14" s="195" t="s">
        <v>283</v>
      </c>
      <c r="DO14" s="173" t="s">
        <v>282</v>
      </c>
      <c r="DP14" s="173" t="s">
        <v>170</v>
      </c>
      <c r="DQ14" s="173" t="s">
        <v>170</v>
      </c>
      <c r="DR14" s="195" t="s">
        <v>283</v>
      </c>
      <c r="DS14" s="173" t="s">
        <v>282</v>
      </c>
      <c r="DT14" s="173" t="s">
        <v>170</v>
      </c>
      <c r="DU14" s="173" t="s">
        <v>170</v>
      </c>
      <c r="DV14" s="195" t="s">
        <v>283</v>
      </c>
      <c r="DW14" s="196">
        <v>416</v>
      </c>
      <c r="DX14" s="173" t="s">
        <v>170</v>
      </c>
      <c r="DY14" s="173" t="s">
        <v>170</v>
      </c>
      <c r="DZ14" s="174" t="s">
        <v>284</v>
      </c>
      <c r="EA14" s="173">
        <v>39.5</v>
      </c>
      <c r="EB14" s="173" t="s">
        <v>170</v>
      </c>
      <c r="EC14" s="173" t="s">
        <v>170</v>
      </c>
      <c r="ED14" s="174" t="s">
        <v>285</v>
      </c>
      <c r="EE14" s="174" t="s">
        <v>186</v>
      </c>
      <c r="EF14" s="183" t="s">
        <v>286</v>
      </c>
      <c r="EG14" s="197">
        <f t="shared" si="5"/>
        <v>1.0193489376363907</v>
      </c>
      <c r="EH14" s="196" t="s">
        <v>170</v>
      </c>
      <c r="EI14" s="196" t="s">
        <v>170</v>
      </c>
      <c r="EJ14" s="183" t="s">
        <v>287</v>
      </c>
      <c r="EK14" s="198" t="s">
        <v>288</v>
      </c>
      <c r="EL14" s="183" t="s">
        <v>289</v>
      </c>
      <c r="EM14" s="174" t="s">
        <v>319</v>
      </c>
      <c r="EN14" s="174" t="s">
        <v>291</v>
      </c>
      <c r="EO14" s="143" t="s">
        <v>292</v>
      </c>
      <c r="EP14" s="143" t="s">
        <v>292</v>
      </c>
      <c r="EQ14" s="174" t="s">
        <v>293</v>
      </c>
      <c r="ER14" s="174" t="s">
        <v>170</v>
      </c>
      <c r="ES14" s="174" t="s">
        <v>170</v>
      </c>
      <c r="ET14" s="174" t="s">
        <v>294</v>
      </c>
      <c r="EU14" s="174" t="s">
        <v>320</v>
      </c>
      <c r="EV14" s="174" t="s">
        <v>296</v>
      </c>
      <c r="EW14" s="177">
        <v>2378.6999999999998</v>
      </c>
      <c r="EX14" s="174" t="s">
        <v>297</v>
      </c>
      <c r="EY14" s="173">
        <v>54</v>
      </c>
      <c r="EZ14" s="173">
        <v>54</v>
      </c>
      <c r="FA14" t="s">
        <v>170</v>
      </c>
      <c r="FB14" t="s">
        <v>170</v>
      </c>
      <c r="FC14" t="s">
        <v>170</v>
      </c>
      <c r="FD14" t="s">
        <v>170</v>
      </c>
      <c r="FE14" s="202">
        <v>8.14</v>
      </c>
      <c r="FF14" s="174" t="s">
        <v>298</v>
      </c>
      <c r="FG14" s="173">
        <v>0.03</v>
      </c>
      <c r="FH14" s="173">
        <v>0.03</v>
      </c>
      <c r="FI14" s="203">
        <v>314.10000000000002</v>
      </c>
      <c r="FJ14" s="204">
        <v>0</v>
      </c>
      <c r="FK14" s="174" t="s">
        <v>239</v>
      </c>
      <c r="FL14" s="200">
        <f t="shared" si="6"/>
        <v>314.10000000000002</v>
      </c>
      <c r="FM14" s="201">
        <v>24.582055711417716</v>
      </c>
      <c r="FN14" s="201">
        <v>24.582055711417716</v>
      </c>
      <c r="FO14" s="174" t="s">
        <v>188</v>
      </c>
      <c r="FP14" s="174" t="s">
        <v>299</v>
      </c>
      <c r="FQ14" t="s">
        <v>170</v>
      </c>
      <c r="FR14" t="s">
        <v>170</v>
      </c>
      <c r="FS14" t="s">
        <v>170</v>
      </c>
      <c r="FT14" t="s">
        <v>170</v>
      </c>
      <c r="FU14" t="s">
        <v>170</v>
      </c>
      <c r="FV14" t="s">
        <v>170</v>
      </c>
      <c r="FW14" t="s">
        <v>170</v>
      </c>
      <c r="FX14" t="s">
        <v>170</v>
      </c>
      <c r="FY14" t="s">
        <v>170</v>
      </c>
      <c r="FZ14" t="s">
        <v>170</v>
      </c>
      <c r="GA14" t="s">
        <v>170</v>
      </c>
      <c r="GB14" t="s">
        <v>170</v>
      </c>
      <c r="GC14" s="174" t="s">
        <v>300</v>
      </c>
    </row>
    <row r="15" spans="1:185" ht="18">
      <c r="A15" s="169" t="s">
        <v>162</v>
      </c>
      <c r="B15" s="170" t="s">
        <v>163</v>
      </c>
      <c r="C15" s="140" t="s">
        <v>164</v>
      </c>
      <c r="D15" t="s">
        <v>165</v>
      </c>
      <c r="E15">
        <v>2005</v>
      </c>
      <c r="F15" s="171" t="s">
        <v>343</v>
      </c>
      <c r="G15" s="188">
        <v>358.5</v>
      </c>
      <c r="H15" s="189">
        <v>4</v>
      </c>
      <c r="I15" s="189">
        <v>4</v>
      </c>
      <c r="J15" s="206">
        <f t="shared" si="7"/>
        <v>189</v>
      </c>
      <c r="K15" s="206">
        <f t="shared" si="8"/>
        <v>13.214808309928291</v>
      </c>
      <c r="L15" s="206">
        <f t="shared" si="9"/>
        <v>13.214808309928291</v>
      </c>
      <c r="M15" t="b">
        <v>1</v>
      </c>
      <c r="N15">
        <v>3</v>
      </c>
      <c r="O15" t="s">
        <v>270</v>
      </c>
      <c r="P15" s="183" t="s">
        <v>272</v>
      </c>
      <c r="Q15" t="b">
        <v>0</v>
      </c>
      <c r="R15" t="s">
        <v>170</v>
      </c>
      <c r="S15" t="b">
        <v>1</v>
      </c>
      <c r="T15" t="b">
        <v>1</v>
      </c>
      <c r="U15" t="s">
        <v>271</v>
      </c>
      <c r="V15" s="189" t="s">
        <v>272</v>
      </c>
      <c r="W15" t="b">
        <v>0</v>
      </c>
      <c r="X15" t="s">
        <v>170</v>
      </c>
      <c r="Y15" s="172" t="s">
        <v>166</v>
      </c>
      <c r="Z15" s="171" t="s">
        <v>343</v>
      </c>
      <c r="AA15" s="184" t="s">
        <v>167</v>
      </c>
      <c r="AB15" s="184" t="s">
        <v>168</v>
      </c>
      <c r="AC15" s="173">
        <v>2</v>
      </c>
      <c r="AD15" s="173">
        <v>2</v>
      </c>
      <c r="AE15" s="165">
        <v>105</v>
      </c>
      <c r="AF15" s="165">
        <v>107</v>
      </c>
      <c r="AG15" s="165" t="s">
        <v>240</v>
      </c>
      <c r="AH15" s="173" t="s">
        <v>170</v>
      </c>
      <c r="AI15" s="173" t="s">
        <v>170</v>
      </c>
      <c r="AJ15" s="173" t="s">
        <v>171</v>
      </c>
      <c r="AK15" s="173">
        <v>4.7699999999999996</v>
      </c>
      <c r="AL15" s="173">
        <v>-20.93</v>
      </c>
      <c r="AM15" s="173" t="s">
        <v>170</v>
      </c>
      <c r="AN15" s="173" t="s">
        <v>170</v>
      </c>
      <c r="AO15" s="173">
        <v>-2693.5</v>
      </c>
      <c r="AP15" s="173" t="s">
        <v>170</v>
      </c>
      <c r="AQ15" s="173" t="s">
        <v>170</v>
      </c>
      <c r="AR15" s="174" t="s">
        <v>172</v>
      </c>
      <c r="AS15" s="175">
        <v>362.42500000000001</v>
      </c>
      <c r="AT15" s="176" t="s">
        <v>173</v>
      </c>
      <c r="AU15" s="173" t="s">
        <v>170</v>
      </c>
      <c r="AV15" s="173" t="s">
        <v>170</v>
      </c>
      <c r="AW15" s="184" t="s">
        <v>190</v>
      </c>
      <c r="AX15" s="174" t="s">
        <v>241</v>
      </c>
      <c r="AY15" s="173" t="s">
        <v>170</v>
      </c>
      <c r="AZ15" s="173" t="s">
        <v>170</v>
      </c>
      <c r="BA15" s="173" t="s">
        <v>170</v>
      </c>
      <c r="BB15" s="173" t="s">
        <v>170</v>
      </c>
      <c r="BC15" s="173" t="s">
        <v>170</v>
      </c>
      <c r="BD15" s="173" t="s">
        <v>170</v>
      </c>
      <c r="BE15" s="173" t="s">
        <v>170</v>
      </c>
      <c r="BF15" s="173" t="s">
        <v>170</v>
      </c>
      <c r="BG15" s="174" t="s">
        <v>176</v>
      </c>
      <c r="BH15" s="184" t="s">
        <v>177</v>
      </c>
      <c r="BI15">
        <v>50</v>
      </c>
      <c r="BJ15">
        <v>2.9</v>
      </c>
      <c r="BK15" s="174" t="s">
        <v>179</v>
      </c>
      <c r="BL15" s="173" t="s">
        <v>180</v>
      </c>
      <c r="BM15" s="174" t="s">
        <v>181</v>
      </c>
      <c r="BN15" s="184" t="s">
        <v>242</v>
      </c>
      <c r="BO15">
        <v>3</v>
      </c>
      <c r="BP15" s="177">
        <v>0.10913803695829861</v>
      </c>
      <c r="BQ15" s="186">
        <v>21.543613410334494</v>
      </c>
      <c r="BR15" s="174" t="s">
        <v>183</v>
      </c>
      <c r="BS15" s="185">
        <v>0.33</v>
      </c>
      <c r="BT15" s="173" t="s">
        <v>170</v>
      </c>
      <c r="BU15" s="173" t="s">
        <v>170</v>
      </c>
      <c r="BV15" s="176" t="s">
        <v>170</v>
      </c>
      <c r="BW15" s="194" t="s">
        <v>273</v>
      </c>
      <c r="BX15" s="173" t="s">
        <v>170</v>
      </c>
      <c r="BY15" s="173" t="s">
        <v>170</v>
      </c>
      <c r="BZ15" s="174" t="s">
        <v>179</v>
      </c>
      <c r="CA15" s="174" t="s">
        <v>274</v>
      </c>
      <c r="CB15" t="s">
        <v>170</v>
      </c>
      <c r="CC15" t="s">
        <v>170</v>
      </c>
      <c r="CD15" t="s">
        <v>170</v>
      </c>
      <c r="CE15" t="s">
        <v>170</v>
      </c>
      <c r="CF15" t="s">
        <v>275</v>
      </c>
      <c r="CG15">
        <v>50</v>
      </c>
      <c r="CH15" t="s">
        <v>170</v>
      </c>
      <c r="CI15" t="s">
        <v>170</v>
      </c>
      <c r="CJ15" s="178">
        <f t="shared" si="1"/>
        <v>23.838149371587374</v>
      </c>
      <c r="CK15" s="174" t="s">
        <v>276</v>
      </c>
      <c r="CL15" s="179">
        <f t="shared" si="2"/>
        <v>0.32843113601715856</v>
      </c>
      <c r="CM15" s="179">
        <f t="shared" si="3"/>
        <v>0.33843563871898397</v>
      </c>
      <c r="CN15" s="205" t="s">
        <v>243</v>
      </c>
      <c r="CO15" s="165">
        <v>2.8</v>
      </c>
      <c r="CP15" s="180" t="s">
        <v>185</v>
      </c>
      <c r="CQ15" s="181">
        <f t="shared" si="4"/>
        <v>8.3999999999999991E-2</v>
      </c>
      <c r="CR15" s="174" t="s">
        <v>277</v>
      </c>
      <c r="CS15" s="174" t="s">
        <v>278</v>
      </c>
      <c r="CT15" s="173" t="s">
        <v>170</v>
      </c>
      <c r="CU15" s="174" t="s">
        <v>279</v>
      </c>
      <c r="CV15" s="174"/>
      <c r="CW15" s="174" t="s">
        <v>170</v>
      </c>
      <c r="CX15" s="174" t="s">
        <v>278</v>
      </c>
      <c r="CY15" s="174" t="s">
        <v>170</v>
      </c>
      <c r="CZ15" s="174" t="s">
        <v>170</v>
      </c>
      <c r="DA15" s="174" t="s">
        <v>170</v>
      </c>
      <c r="DB15" s="174" t="s">
        <v>170</v>
      </c>
      <c r="DC15" s="174" t="s">
        <v>170</v>
      </c>
      <c r="DD15" s="174" t="s">
        <v>170</v>
      </c>
      <c r="DE15" s="174" t="s">
        <v>170</v>
      </c>
      <c r="DF15" s="174" t="s">
        <v>170</v>
      </c>
      <c r="DG15" s="201">
        <v>36.19068</v>
      </c>
      <c r="DH15" s="141" t="s">
        <v>280</v>
      </c>
      <c r="DI15" s="184">
        <v>0.125</v>
      </c>
      <c r="DJ15" s="174" t="s">
        <v>281</v>
      </c>
      <c r="DK15" s="173" t="s">
        <v>282</v>
      </c>
      <c r="DL15" s="173" t="s">
        <v>170</v>
      </c>
      <c r="DM15" s="173" t="s">
        <v>170</v>
      </c>
      <c r="DN15" s="195" t="s">
        <v>283</v>
      </c>
      <c r="DO15" s="173" t="s">
        <v>282</v>
      </c>
      <c r="DP15" s="173" t="s">
        <v>170</v>
      </c>
      <c r="DQ15" s="173" t="s">
        <v>170</v>
      </c>
      <c r="DR15" s="195" t="s">
        <v>283</v>
      </c>
      <c r="DS15" s="173" t="s">
        <v>282</v>
      </c>
      <c r="DT15" s="173" t="s">
        <v>170</v>
      </c>
      <c r="DU15" s="173" t="s">
        <v>170</v>
      </c>
      <c r="DV15" s="195" t="s">
        <v>283</v>
      </c>
      <c r="DW15" s="196">
        <v>416</v>
      </c>
      <c r="DX15" s="173" t="s">
        <v>170</v>
      </c>
      <c r="DY15" s="173" t="s">
        <v>170</v>
      </c>
      <c r="DZ15" s="174" t="s">
        <v>284</v>
      </c>
      <c r="EA15" s="173">
        <v>39.5</v>
      </c>
      <c r="EB15" s="173" t="s">
        <v>170</v>
      </c>
      <c r="EC15" s="173" t="s">
        <v>170</v>
      </c>
      <c r="ED15" s="174" t="s">
        <v>285</v>
      </c>
      <c r="EE15" s="174" t="s">
        <v>186</v>
      </c>
      <c r="EF15" s="183" t="s">
        <v>286</v>
      </c>
      <c r="EG15" s="197">
        <f t="shared" si="5"/>
        <v>1.0194270438601709</v>
      </c>
      <c r="EH15" s="196" t="s">
        <v>170</v>
      </c>
      <c r="EI15" s="196" t="s">
        <v>170</v>
      </c>
      <c r="EJ15" s="183" t="s">
        <v>287</v>
      </c>
      <c r="EK15" s="198" t="s">
        <v>288</v>
      </c>
      <c r="EL15" s="183" t="s">
        <v>289</v>
      </c>
      <c r="EM15" s="174" t="s">
        <v>321</v>
      </c>
      <c r="EN15" s="174" t="s">
        <v>291</v>
      </c>
      <c r="EO15" s="143" t="s">
        <v>292</v>
      </c>
      <c r="EP15" s="143" t="s">
        <v>292</v>
      </c>
      <c r="EQ15" s="174" t="s">
        <v>293</v>
      </c>
      <c r="ER15" s="174" t="s">
        <v>170</v>
      </c>
      <c r="ES15" s="174" t="s">
        <v>170</v>
      </c>
      <c r="ET15" s="174" t="s">
        <v>294</v>
      </c>
      <c r="EU15" s="174" t="s">
        <v>322</v>
      </c>
      <c r="EV15" s="174" t="s">
        <v>296</v>
      </c>
      <c r="EW15" s="177">
        <v>2398.6</v>
      </c>
      <c r="EX15" s="174" t="s">
        <v>297</v>
      </c>
      <c r="EY15" s="173">
        <v>54</v>
      </c>
      <c r="EZ15" s="173">
        <v>54</v>
      </c>
      <c r="FA15" t="s">
        <v>170</v>
      </c>
      <c r="FB15" t="s">
        <v>170</v>
      </c>
      <c r="FC15" t="s">
        <v>170</v>
      </c>
      <c r="FD15" t="s">
        <v>170</v>
      </c>
      <c r="FE15" s="202">
        <v>8.26</v>
      </c>
      <c r="FF15" s="174" t="s">
        <v>298</v>
      </c>
      <c r="FG15" s="173">
        <v>0.03</v>
      </c>
      <c r="FH15" s="173">
        <v>0.03</v>
      </c>
      <c r="FI15" s="203">
        <v>214.8</v>
      </c>
      <c r="FJ15" s="204">
        <v>0</v>
      </c>
      <c r="FK15" s="174" t="s">
        <v>244</v>
      </c>
      <c r="FL15" s="200">
        <f t="shared" si="6"/>
        <v>214.8</v>
      </c>
      <c r="FM15" s="201">
        <v>15.568419724523579</v>
      </c>
      <c r="FN15" s="201">
        <v>15.568419724523579</v>
      </c>
      <c r="FO15" s="174" t="s">
        <v>188</v>
      </c>
      <c r="FP15" s="174" t="s">
        <v>299</v>
      </c>
      <c r="FQ15" t="s">
        <v>170</v>
      </c>
      <c r="FR15" t="s">
        <v>170</v>
      </c>
      <c r="FS15" t="s">
        <v>170</v>
      </c>
      <c r="FT15" t="s">
        <v>170</v>
      </c>
      <c r="FU15" t="s">
        <v>170</v>
      </c>
      <c r="FV15" t="s">
        <v>170</v>
      </c>
      <c r="FW15" t="s">
        <v>170</v>
      </c>
      <c r="FX15" t="s">
        <v>170</v>
      </c>
      <c r="FY15" t="s">
        <v>170</v>
      </c>
      <c r="FZ15" t="s">
        <v>170</v>
      </c>
      <c r="GA15" t="s">
        <v>170</v>
      </c>
      <c r="GB15" t="s">
        <v>170</v>
      </c>
      <c r="GC15" s="174" t="s">
        <v>300</v>
      </c>
    </row>
    <row r="16" spans="1:185" ht="18">
      <c r="A16" s="169" t="s">
        <v>162</v>
      </c>
      <c r="B16" s="170" t="s">
        <v>163</v>
      </c>
      <c r="C16" s="140" t="s">
        <v>164</v>
      </c>
      <c r="D16" t="s">
        <v>165</v>
      </c>
      <c r="E16">
        <v>2005</v>
      </c>
      <c r="F16" s="171" t="s">
        <v>343</v>
      </c>
      <c r="G16" s="188">
        <v>366.9</v>
      </c>
      <c r="H16" s="189">
        <v>4</v>
      </c>
      <c r="I16" s="189">
        <v>4</v>
      </c>
      <c r="J16" s="206">
        <f t="shared" si="7"/>
        <v>314.10000000000002</v>
      </c>
      <c r="K16" s="206">
        <f t="shared" si="8"/>
        <v>24.582055711417716</v>
      </c>
      <c r="L16" s="206">
        <f t="shared" si="9"/>
        <v>24.582055711417716</v>
      </c>
      <c r="M16" t="b">
        <v>1</v>
      </c>
      <c r="N16">
        <v>3</v>
      </c>
      <c r="O16" t="s">
        <v>270</v>
      </c>
      <c r="P16" s="183" t="s">
        <v>272</v>
      </c>
      <c r="Q16" t="b">
        <v>0</v>
      </c>
      <c r="R16" t="s">
        <v>170</v>
      </c>
      <c r="S16" t="b">
        <v>1</v>
      </c>
      <c r="T16" t="b">
        <v>1</v>
      </c>
      <c r="U16" t="s">
        <v>271</v>
      </c>
      <c r="V16" s="189" t="s">
        <v>272</v>
      </c>
      <c r="W16" t="b">
        <v>0</v>
      </c>
      <c r="X16" t="s">
        <v>170</v>
      </c>
      <c r="Y16" s="172" t="s">
        <v>166</v>
      </c>
      <c r="Z16" s="171" t="s">
        <v>343</v>
      </c>
      <c r="AA16" s="184" t="s">
        <v>167</v>
      </c>
      <c r="AB16" s="184" t="s">
        <v>168</v>
      </c>
      <c r="AC16" s="173">
        <v>2</v>
      </c>
      <c r="AD16" s="173">
        <v>2</v>
      </c>
      <c r="AE16" s="165">
        <v>130</v>
      </c>
      <c r="AF16" s="165">
        <v>132</v>
      </c>
      <c r="AG16" s="165" t="s">
        <v>245</v>
      </c>
      <c r="AH16" s="173" t="s">
        <v>170</v>
      </c>
      <c r="AI16" s="173" t="s">
        <v>170</v>
      </c>
      <c r="AJ16" s="173" t="s">
        <v>171</v>
      </c>
      <c r="AK16" s="173">
        <v>4.7699999999999996</v>
      </c>
      <c r="AL16" s="173">
        <v>-20.93</v>
      </c>
      <c r="AM16" s="173" t="s">
        <v>170</v>
      </c>
      <c r="AN16" s="173" t="s">
        <v>170</v>
      </c>
      <c r="AO16" s="173">
        <v>-2693.5</v>
      </c>
      <c r="AP16" s="173" t="s">
        <v>170</v>
      </c>
      <c r="AQ16" s="173" t="s">
        <v>170</v>
      </c>
      <c r="AR16" s="174" t="s">
        <v>172</v>
      </c>
      <c r="AS16" s="175">
        <v>370.03100000000001</v>
      </c>
      <c r="AT16" s="176" t="s">
        <v>173</v>
      </c>
      <c r="AU16" s="173" t="s">
        <v>170</v>
      </c>
      <c r="AV16" s="173" t="s">
        <v>170</v>
      </c>
      <c r="AW16" s="184" t="s">
        <v>190</v>
      </c>
      <c r="AX16" s="174" t="s">
        <v>246</v>
      </c>
      <c r="AY16" s="173" t="s">
        <v>170</v>
      </c>
      <c r="AZ16" s="173" t="s">
        <v>170</v>
      </c>
      <c r="BA16" s="173" t="s">
        <v>170</v>
      </c>
      <c r="BB16" s="173" t="s">
        <v>170</v>
      </c>
      <c r="BC16" s="173" t="s">
        <v>170</v>
      </c>
      <c r="BD16" s="173" t="s">
        <v>170</v>
      </c>
      <c r="BE16" s="173" t="s">
        <v>170</v>
      </c>
      <c r="BF16" s="173" t="s">
        <v>170</v>
      </c>
      <c r="BG16" s="174" t="s">
        <v>176</v>
      </c>
      <c r="BH16" s="184" t="s">
        <v>177</v>
      </c>
      <c r="BI16">
        <v>50</v>
      </c>
      <c r="BJ16">
        <v>2.5</v>
      </c>
      <c r="BK16" s="174" t="s">
        <v>179</v>
      </c>
      <c r="BL16" s="173" t="s">
        <v>180</v>
      </c>
      <c r="BM16" s="174" t="s">
        <v>181</v>
      </c>
      <c r="BN16" s="184" t="s">
        <v>247</v>
      </c>
      <c r="BO16">
        <v>3</v>
      </c>
      <c r="BP16" s="177">
        <v>0.42619765889132327</v>
      </c>
      <c r="BQ16" s="186">
        <v>21.424206956565722</v>
      </c>
      <c r="BR16" s="174" t="s">
        <v>183</v>
      </c>
      <c r="BS16" s="185">
        <v>0.43</v>
      </c>
      <c r="BT16" s="173" t="s">
        <v>170</v>
      </c>
      <c r="BU16" s="173" t="s">
        <v>170</v>
      </c>
      <c r="BV16" s="176" t="s">
        <v>170</v>
      </c>
      <c r="BW16" s="194" t="s">
        <v>273</v>
      </c>
      <c r="BX16" s="173" t="s">
        <v>170</v>
      </c>
      <c r="BY16" s="173" t="s">
        <v>170</v>
      </c>
      <c r="BZ16" s="174" t="s">
        <v>179</v>
      </c>
      <c r="CA16" s="174" t="s">
        <v>274</v>
      </c>
      <c r="CB16" t="s">
        <v>170</v>
      </c>
      <c r="CC16" t="s">
        <v>170</v>
      </c>
      <c r="CD16" t="s">
        <v>170</v>
      </c>
      <c r="CE16" t="s">
        <v>170</v>
      </c>
      <c r="CF16" t="s">
        <v>275</v>
      </c>
      <c r="CG16">
        <v>50</v>
      </c>
      <c r="CH16" t="s">
        <v>170</v>
      </c>
      <c r="CI16" t="s">
        <v>170</v>
      </c>
      <c r="CJ16" s="178">
        <f t="shared" si="1"/>
        <v>24.604736832553503</v>
      </c>
      <c r="CK16" s="174" t="s">
        <v>276</v>
      </c>
      <c r="CL16" s="179">
        <f t="shared" si="2"/>
        <v>0.32843113601716212</v>
      </c>
      <c r="CM16" s="179">
        <f t="shared" si="3"/>
        <v>0.33843563871898397</v>
      </c>
      <c r="CN16" s="205" t="s">
        <v>248</v>
      </c>
      <c r="CO16" s="165">
        <v>3</v>
      </c>
      <c r="CP16" s="180" t="s">
        <v>185</v>
      </c>
      <c r="CQ16" s="181">
        <f t="shared" si="4"/>
        <v>0.09</v>
      </c>
      <c r="CR16" s="174" t="s">
        <v>277</v>
      </c>
      <c r="CS16" s="174" t="s">
        <v>278</v>
      </c>
      <c r="CT16" s="173" t="s">
        <v>170</v>
      </c>
      <c r="CU16" s="174" t="s">
        <v>279</v>
      </c>
      <c r="CV16" s="174"/>
      <c r="CW16" s="174" t="s">
        <v>170</v>
      </c>
      <c r="CX16" s="174" t="s">
        <v>278</v>
      </c>
      <c r="CY16" s="174" t="s">
        <v>170</v>
      </c>
      <c r="CZ16" s="174" t="s">
        <v>170</v>
      </c>
      <c r="DA16" s="174" t="s">
        <v>170</v>
      </c>
      <c r="DB16" s="174" t="s">
        <v>170</v>
      </c>
      <c r="DC16" s="174" t="s">
        <v>170</v>
      </c>
      <c r="DD16" s="174" t="s">
        <v>170</v>
      </c>
      <c r="DE16" s="174" t="s">
        <v>170</v>
      </c>
      <c r="DF16" s="174" t="s">
        <v>170</v>
      </c>
      <c r="DG16" s="201">
        <v>36.097910526315793</v>
      </c>
      <c r="DH16" s="141" t="s">
        <v>280</v>
      </c>
      <c r="DI16" s="184">
        <v>0.12</v>
      </c>
      <c r="DJ16" s="174" t="s">
        <v>281</v>
      </c>
      <c r="DK16" s="173" t="s">
        <v>282</v>
      </c>
      <c r="DL16" s="173" t="s">
        <v>170</v>
      </c>
      <c r="DM16" s="173" t="s">
        <v>170</v>
      </c>
      <c r="DN16" s="195" t="s">
        <v>283</v>
      </c>
      <c r="DO16" s="173" t="s">
        <v>282</v>
      </c>
      <c r="DP16" s="173" t="s">
        <v>170</v>
      </c>
      <c r="DQ16" s="173" t="s">
        <v>170</v>
      </c>
      <c r="DR16" s="195" t="s">
        <v>283</v>
      </c>
      <c r="DS16" s="173" t="s">
        <v>282</v>
      </c>
      <c r="DT16" s="173" t="s">
        <v>170</v>
      </c>
      <c r="DU16" s="173" t="s">
        <v>170</v>
      </c>
      <c r="DV16" s="195" t="s">
        <v>283</v>
      </c>
      <c r="DW16" s="196">
        <v>416</v>
      </c>
      <c r="DX16" s="173" t="s">
        <v>170</v>
      </c>
      <c r="DY16" s="173" t="s">
        <v>170</v>
      </c>
      <c r="DZ16" s="174" t="s">
        <v>284</v>
      </c>
      <c r="EA16" s="173">
        <v>39.5</v>
      </c>
      <c r="EB16" s="173" t="s">
        <v>170</v>
      </c>
      <c r="EC16" s="173" t="s">
        <v>170</v>
      </c>
      <c r="ED16" s="174" t="s">
        <v>285</v>
      </c>
      <c r="EE16" s="174" t="s">
        <v>186</v>
      </c>
      <c r="EF16" s="183" t="s">
        <v>286</v>
      </c>
      <c r="EG16" s="197">
        <f t="shared" si="5"/>
        <v>1.0193893239241543</v>
      </c>
      <c r="EH16" s="196" t="s">
        <v>170</v>
      </c>
      <c r="EI16" s="196" t="s">
        <v>170</v>
      </c>
      <c r="EJ16" s="183" t="s">
        <v>287</v>
      </c>
      <c r="EK16" s="198" t="s">
        <v>288</v>
      </c>
      <c r="EL16" s="183" t="s">
        <v>289</v>
      </c>
      <c r="EM16" s="174" t="s">
        <v>323</v>
      </c>
      <c r="EN16" s="174" t="s">
        <v>291</v>
      </c>
      <c r="EO16" s="143" t="s">
        <v>292</v>
      </c>
      <c r="EP16" s="143" t="s">
        <v>292</v>
      </c>
      <c r="EQ16" s="174" t="s">
        <v>293</v>
      </c>
      <c r="ER16" s="174" t="s">
        <v>170</v>
      </c>
      <c r="ES16" s="174" t="s">
        <v>170</v>
      </c>
      <c r="ET16" s="174" t="s">
        <v>294</v>
      </c>
      <c r="EU16" s="174" t="s">
        <v>324</v>
      </c>
      <c r="EV16" s="174" t="s">
        <v>296</v>
      </c>
      <c r="EW16" s="177">
        <v>2392.4</v>
      </c>
      <c r="EX16" s="174" t="s">
        <v>297</v>
      </c>
      <c r="EY16" s="173">
        <v>54</v>
      </c>
      <c r="EZ16" s="173">
        <v>54</v>
      </c>
      <c r="FA16" t="s">
        <v>170</v>
      </c>
      <c r="FB16" t="s">
        <v>170</v>
      </c>
      <c r="FC16" t="s">
        <v>170</v>
      </c>
      <c r="FD16" t="s">
        <v>170</v>
      </c>
      <c r="FE16" s="202">
        <v>8.23</v>
      </c>
      <c r="FF16" s="174" t="s">
        <v>298</v>
      </c>
      <c r="FG16" s="173">
        <v>0.03</v>
      </c>
      <c r="FH16" s="173">
        <v>0.03</v>
      </c>
      <c r="FI16" s="203">
        <v>229.2</v>
      </c>
      <c r="FJ16" s="204">
        <v>0</v>
      </c>
      <c r="FK16" s="174" t="s">
        <v>249</v>
      </c>
      <c r="FL16" s="200">
        <f t="shared" si="6"/>
        <v>229.2</v>
      </c>
      <c r="FM16" s="201">
        <v>16.71830566570755</v>
      </c>
      <c r="FN16" s="201">
        <v>16.71830566570755</v>
      </c>
      <c r="FO16" s="174" t="s">
        <v>188</v>
      </c>
      <c r="FP16" s="174" t="s">
        <v>299</v>
      </c>
      <c r="FQ16" t="s">
        <v>170</v>
      </c>
      <c r="FR16" t="s">
        <v>170</v>
      </c>
      <c r="FS16" t="s">
        <v>170</v>
      </c>
      <c r="FT16" t="s">
        <v>170</v>
      </c>
      <c r="FU16" t="s">
        <v>170</v>
      </c>
      <c r="FV16" t="s">
        <v>170</v>
      </c>
      <c r="FW16" t="s">
        <v>170</v>
      </c>
      <c r="FX16" t="s">
        <v>170</v>
      </c>
      <c r="FY16" t="s">
        <v>170</v>
      </c>
      <c r="FZ16" t="s">
        <v>170</v>
      </c>
      <c r="GA16" t="s">
        <v>170</v>
      </c>
      <c r="GB16" t="s">
        <v>170</v>
      </c>
      <c r="GC16" s="174" t="s">
        <v>300</v>
      </c>
    </row>
    <row r="17" spans="1:185" ht="18">
      <c r="A17" s="169" t="s">
        <v>162</v>
      </c>
      <c r="B17" s="170" t="s">
        <v>163</v>
      </c>
      <c r="C17" s="140" t="s">
        <v>164</v>
      </c>
      <c r="D17" t="s">
        <v>165</v>
      </c>
      <c r="E17">
        <v>2005</v>
      </c>
      <c r="F17" s="171" t="s">
        <v>343</v>
      </c>
      <c r="G17" s="188">
        <v>386.4</v>
      </c>
      <c r="H17" s="189">
        <v>4</v>
      </c>
      <c r="I17" s="189">
        <v>4</v>
      </c>
      <c r="J17" s="206">
        <f t="shared" si="7"/>
        <v>214.8</v>
      </c>
      <c r="K17" s="206">
        <f t="shared" si="8"/>
        <v>15.568419724523579</v>
      </c>
      <c r="L17" s="206">
        <f t="shared" si="9"/>
        <v>15.568419724523579</v>
      </c>
      <c r="M17" t="b">
        <v>1</v>
      </c>
      <c r="N17">
        <v>3</v>
      </c>
      <c r="O17" t="s">
        <v>270</v>
      </c>
      <c r="P17" s="183" t="s">
        <v>272</v>
      </c>
      <c r="Q17" t="b">
        <v>0</v>
      </c>
      <c r="R17" t="s">
        <v>170</v>
      </c>
      <c r="S17" t="b">
        <v>1</v>
      </c>
      <c r="T17" t="b">
        <v>1</v>
      </c>
      <c r="U17" t="s">
        <v>271</v>
      </c>
      <c r="V17" s="189" t="s">
        <v>272</v>
      </c>
      <c r="W17" t="b">
        <v>0</v>
      </c>
      <c r="X17" t="s">
        <v>170</v>
      </c>
      <c r="Y17" s="172" t="s">
        <v>166</v>
      </c>
      <c r="Z17" s="171" t="s">
        <v>343</v>
      </c>
      <c r="AA17" s="184" t="s">
        <v>167</v>
      </c>
      <c r="AB17" s="184" t="s">
        <v>168</v>
      </c>
      <c r="AC17" s="173">
        <v>2</v>
      </c>
      <c r="AD17" s="173">
        <v>3</v>
      </c>
      <c r="AE17" s="165">
        <v>14</v>
      </c>
      <c r="AF17" s="165">
        <v>16</v>
      </c>
      <c r="AG17" s="165" t="s">
        <v>250</v>
      </c>
      <c r="AH17" s="173" t="s">
        <v>170</v>
      </c>
      <c r="AI17" s="173" t="s">
        <v>170</v>
      </c>
      <c r="AJ17" s="173" t="s">
        <v>171</v>
      </c>
      <c r="AK17" s="173">
        <v>4.7699999999999996</v>
      </c>
      <c r="AL17" s="173">
        <v>-20.93</v>
      </c>
      <c r="AM17" s="173" t="s">
        <v>170</v>
      </c>
      <c r="AN17" s="173" t="s">
        <v>170</v>
      </c>
      <c r="AO17" s="173">
        <v>-2693.5</v>
      </c>
      <c r="AP17" s="173" t="s">
        <v>170</v>
      </c>
      <c r="AQ17" s="173" t="s">
        <v>170</v>
      </c>
      <c r="AR17" s="174" t="s">
        <v>172</v>
      </c>
      <c r="AS17" s="175">
        <v>383.73399999999998</v>
      </c>
      <c r="AT17" s="176" t="s">
        <v>173</v>
      </c>
      <c r="AU17" s="173" t="s">
        <v>170</v>
      </c>
      <c r="AV17" s="173" t="s">
        <v>170</v>
      </c>
      <c r="AW17" s="184" t="s">
        <v>190</v>
      </c>
      <c r="AX17" s="174" t="s">
        <v>251</v>
      </c>
      <c r="AY17" s="173" t="s">
        <v>170</v>
      </c>
      <c r="AZ17" s="173" t="s">
        <v>170</v>
      </c>
      <c r="BA17" s="173" t="s">
        <v>170</v>
      </c>
      <c r="BB17" s="173" t="s">
        <v>170</v>
      </c>
      <c r="BC17" s="173" t="s">
        <v>170</v>
      </c>
      <c r="BD17" s="173" t="s">
        <v>170</v>
      </c>
      <c r="BE17" s="173" t="s">
        <v>170</v>
      </c>
      <c r="BF17" s="173" t="s">
        <v>170</v>
      </c>
      <c r="BG17" s="174" t="s">
        <v>176</v>
      </c>
      <c r="BH17" s="184" t="s">
        <v>177</v>
      </c>
      <c r="BI17">
        <v>50</v>
      </c>
      <c r="BJ17">
        <v>2.58</v>
      </c>
      <c r="BK17" s="174" t="s">
        <v>179</v>
      </c>
      <c r="BL17" s="173" t="s">
        <v>180</v>
      </c>
      <c r="BM17" s="174" t="s">
        <v>181</v>
      </c>
      <c r="BN17" s="184" t="s">
        <v>252</v>
      </c>
      <c r="BO17">
        <v>4</v>
      </c>
      <c r="BP17" s="177">
        <v>0.29456182146820448</v>
      </c>
      <c r="BQ17" s="186">
        <v>21.103790420070922</v>
      </c>
      <c r="BR17" s="174" t="s">
        <v>183</v>
      </c>
      <c r="BS17" s="185">
        <v>0.34</v>
      </c>
      <c r="BT17" s="173" t="s">
        <v>170</v>
      </c>
      <c r="BU17" s="173" t="s">
        <v>170</v>
      </c>
      <c r="BV17" s="176" t="s">
        <v>170</v>
      </c>
      <c r="BW17" s="194" t="s">
        <v>273</v>
      </c>
      <c r="BX17" s="173" t="s">
        <v>170</v>
      </c>
      <c r="BY17" s="173" t="s">
        <v>170</v>
      </c>
      <c r="BZ17" s="174" t="s">
        <v>179</v>
      </c>
      <c r="CA17" s="174" t="s">
        <v>274</v>
      </c>
      <c r="CB17" t="s">
        <v>170</v>
      </c>
      <c r="CC17" t="s">
        <v>170</v>
      </c>
      <c r="CD17" t="s">
        <v>170</v>
      </c>
      <c r="CE17" t="s">
        <v>170</v>
      </c>
      <c r="CF17" t="s">
        <v>275</v>
      </c>
      <c r="CG17">
        <v>50</v>
      </c>
      <c r="CH17" t="s">
        <v>170</v>
      </c>
      <c r="CI17" t="s">
        <v>170</v>
      </c>
      <c r="CJ17" s="178">
        <f t="shared" si="1"/>
        <v>25.287054922871764</v>
      </c>
      <c r="CK17" s="174" t="s">
        <v>276</v>
      </c>
      <c r="CL17" s="179">
        <f t="shared" si="2"/>
        <v>0.32843113601715856</v>
      </c>
      <c r="CM17" s="179">
        <f t="shared" si="3"/>
        <v>0.33843563871898397</v>
      </c>
      <c r="CN17" s="205" t="s">
        <v>253</v>
      </c>
      <c r="CO17" s="165">
        <v>3.19</v>
      </c>
      <c r="CP17" s="180" t="s">
        <v>185</v>
      </c>
      <c r="CQ17" s="181">
        <f t="shared" si="4"/>
        <v>9.5699999999999993E-2</v>
      </c>
      <c r="CR17" s="174" t="s">
        <v>277</v>
      </c>
      <c r="CS17" s="174" t="s">
        <v>278</v>
      </c>
      <c r="CT17" s="173" t="s">
        <v>170</v>
      </c>
      <c r="CU17" s="174" t="s">
        <v>279</v>
      </c>
      <c r="CV17" s="174"/>
      <c r="CW17" s="174" t="s">
        <v>170</v>
      </c>
      <c r="CX17" s="174" t="s">
        <v>278</v>
      </c>
      <c r="CY17" s="174" t="s">
        <v>170</v>
      </c>
      <c r="CZ17" s="174" t="s">
        <v>170</v>
      </c>
      <c r="DA17" s="174" t="s">
        <v>170</v>
      </c>
      <c r="DB17" s="174" t="s">
        <v>170</v>
      </c>
      <c r="DC17" s="174" t="s">
        <v>170</v>
      </c>
      <c r="DD17" s="174" t="s">
        <v>170</v>
      </c>
      <c r="DE17" s="174" t="s">
        <v>170</v>
      </c>
      <c r="DF17" s="174" t="s">
        <v>170</v>
      </c>
      <c r="DG17" s="201">
        <v>35.871802105263164</v>
      </c>
      <c r="DH17" s="141" t="s">
        <v>280</v>
      </c>
      <c r="DI17" s="184">
        <v>0.125</v>
      </c>
      <c r="DJ17" s="174" t="s">
        <v>281</v>
      </c>
      <c r="DK17" s="173" t="s">
        <v>282</v>
      </c>
      <c r="DL17" s="173" t="s">
        <v>170</v>
      </c>
      <c r="DM17" s="173" t="s">
        <v>170</v>
      </c>
      <c r="DN17" s="195" t="s">
        <v>283</v>
      </c>
      <c r="DO17" s="173" t="s">
        <v>282</v>
      </c>
      <c r="DP17" s="173" t="s">
        <v>170</v>
      </c>
      <c r="DQ17" s="173" t="s">
        <v>170</v>
      </c>
      <c r="DR17" s="195" t="s">
        <v>283</v>
      </c>
      <c r="DS17" s="173" t="s">
        <v>282</v>
      </c>
      <c r="DT17" s="173" t="s">
        <v>170</v>
      </c>
      <c r="DU17" s="173" t="s">
        <v>170</v>
      </c>
      <c r="DV17" s="195" t="s">
        <v>283</v>
      </c>
      <c r="DW17" s="196">
        <v>416</v>
      </c>
      <c r="DX17" s="173" t="s">
        <v>170</v>
      </c>
      <c r="DY17" s="173" t="s">
        <v>170</v>
      </c>
      <c r="DZ17" s="174" t="s">
        <v>284</v>
      </c>
      <c r="EA17" s="173">
        <v>39.5</v>
      </c>
      <c r="EB17" s="173" t="s">
        <v>170</v>
      </c>
      <c r="EC17" s="173" t="s">
        <v>170</v>
      </c>
      <c r="ED17" s="174" t="s">
        <v>285</v>
      </c>
      <c r="EE17" s="174" t="s">
        <v>186</v>
      </c>
      <c r="EF17" s="183" t="s">
        <v>286</v>
      </c>
      <c r="EG17" s="197">
        <f t="shared" si="5"/>
        <v>1.0193557504625201</v>
      </c>
      <c r="EH17" s="196" t="s">
        <v>170</v>
      </c>
      <c r="EI17" s="196" t="s">
        <v>170</v>
      </c>
      <c r="EJ17" s="183" t="s">
        <v>287</v>
      </c>
      <c r="EK17" s="198" t="s">
        <v>288</v>
      </c>
      <c r="EL17" s="183" t="s">
        <v>289</v>
      </c>
      <c r="EM17" s="174" t="s">
        <v>325</v>
      </c>
      <c r="EN17" s="174" t="s">
        <v>291</v>
      </c>
      <c r="EO17" s="143" t="s">
        <v>292</v>
      </c>
      <c r="EP17" s="143" t="s">
        <v>292</v>
      </c>
      <c r="EQ17" s="174" t="s">
        <v>293</v>
      </c>
      <c r="ER17" s="174" t="s">
        <v>170</v>
      </c>
      <c r="ES17" s="174" t="s">
        <v>170</v>
      </c>
      <c r="ET17" s="174" t="s">
        <v>294</v>
      </c>
      <c r="EU17" s="174" t="s">
        <v>326</v>
      </c>
      <c r="EV17" s="174" t="s">
        <v>296</v>
      </c>
      <c r="EW17" s="177">
        <v>2377.1999999999998</v>
      </c>
      <c r="EX17" s="174" t="s">
        <v>297</v>
      </c>
      <c r="EY17" s="173">
        <v>54</v>
      </c>
      <c r="EZ17" s="173">
        <v>54</v>
      </c>
      <c r="FA17" t="s">
        <v>170</v>
      </c>
      <c r="FB17" t="s">
        <v>170</v>
      </c>
      <c r="FC17" t="s">
        <v>170</v>
      </c>
      <c r="FD17" t="s">
        <v>170</v>
      </c>
      <c r="FE17" s="202">
        <v>8.19</v>
      </c>
      <c r="FF17" s="174" t="s">
        <v>298</v>
      </c>
      <c r="FG17" s="173">
        <v>0.03</v>
      </c>
      <c r="FH17" s="173">
        <v>0.03</v>
      </c>
      <c r="FI17" s="203">
        <v>259.5</v>
      </c>
      <c r="FJ17" s="204">
        <v>0</v>
      </c>
      <c r="FK17" s="174" t="s">
        <v>254</v>
      </c>
      <c r="FL17" s="200">
        <f t="shared" si="6"/>
        <v>259.5</v>
      </c>
      <c r="FM17" s="201">
        <v>19.380194223369195</v>
      </c>
      <c r="FN17" s="201">
        <v>19.380194223369195</v>
      </c>
      <c r="FO17" s="174" t="s">
        <v>188</v>
      </c>
      <c r="FP17" s="174" t="s">
        <v>299</v>
      </c>
      <c r="FQ17" t="s">
        <v>170</v>
      </c>
      <c r="FR17" t="s">
        <v>170</v>
      </c>
      <c r="FS17" t="s">
        <v>170</v>
      </c>
      <c r="FT17" t="s">
        <v>170</v>
      </c>
      <c r="FU17" t="s">
        <v>170</v>
      </c>
      <c r="FV17" t="s">
        <v>170</v>
      </c>
      <c r="FW17" t="s">
        <v>170</v>
      </c>
      <c r="FX17" t="s">
        <v>170</v>
      </c>
      <c r="FY17" t="s">
        <v>170</v>
      </c>
      <c r="FZ17" t="s">
        <v>170</v>
      </c>
      <c r="GA17" t="s">
        <v>170</v>
      </c>
      <c r="GB17" t="s">
        <v>170</v>
      </c>
      <c r="GC17" s="174" t="s">
        <v>300</v>
      </c>
    </row>
    <row r="18" spans="1:185" ht="18">
      <c r="A18" s="169" t="s">
        <v>162</v>
      </c>
      <c r="B18" s="170" t="s">
        <v>163</v>
      </c>
      <c r="C18" s="140" t="s">
        <v>164</v>
      </c>
      <c r="D18" t="s">
        <v>165</v>
      </c>
      <c r="E18">
        <v>2005</v>
      </c>
      <c r="F18" s="171" t="s">
        <v>343</v>
      </c>
      <c r="G18" s="188">
        <v>409.1</v>
      </c>
      <c r="H18" s="189">
        <v>4</v>
      </c>
      <c r="I18" s="189">
        <v>4</v>
      </c>
      <c r="J18" s="206">
        <f t="shared" si="7"/>
        <v>229.2</v>
      </c>
      <c r="K18" s="206">
        <f t="shared" si="8"/>
        <v>16.71830566570755</v>
      </c>
      <c r="L18" s="206">
        <f t="shared" si="9"/>
        <v>16.71830566570755</v>
      </c>
      <c r="M18" t="b">
        <v>1</v>
      </c>
      <c r="N18">
        <v>3</v>
      </c>
      <c r="O18" t="s">
        <v>270</v>
      </c>
      <c r="P18" s="183" t="s">
        <v>272</v>
      </c>
      <c r="Q18" t="b">
        <v>0</v>
      </c>
      <c r="R18" t="s">
        <v>170</v>
      </c>
      <c r="S18" t="b">
        <v>1</v>
      </c>
      <c r="T18" t="b">
        <v>1</v>
      </c>
      <c r="U18" t="s">
        <v>271</v>
      </c>
      <c r="V18" s="189" t="s">
        <v>272</v>
      </c>
      <c r="W18" t="b">
        <v>0</v>
      </c>
      <c r="X18" t="s">
        <v>170</v>
      </c>
      <c r="Y18" s="172" t="s">
        <v>166</v>
      </c>
      <c r="Z18" s="171" t="s">
        <v>343</v>
      </c>
      <c r="AA18" s="184" t="s">
        <v>167</v>
      </c>
      <c r="AB18" s="184" t="s">
        <v>168</v>
      </c>
      <c r="AC18" s="173">
        <v>2</v>
      </c>
      <c r="AD18" s="173">
        <v>3</v>
      </c>
      <c r="AE18" s="165">
        <v>56</v>
      </c>
      <c r="AF18" s="165">
        <v>58</v>
      </c>
      <c r="AG18" s="165" t="s">
        <v>255</v>
      </c>
      <c r="AH18" s="173" t="s">
        <v>170</v>
      </c>
      <c r="AI18" s="173" t="s">
        <v>170</v>
      </c>
      <c r="AJ18" s="173" t="s">
        <v>171</v>
      </c>
      <c r="AK18" s="173">
        <v>4.7699999999999996</v>
      </c>
      <c r="AL18" s="173">
        <v>-20.93</v>
      </c>
      <c r="AM18" s="173" t="s">
        <v>170</v>
      </c>
      <c r="AN18" s="173" t="s">
        <v>170</v>
      </c>
      <c r="AO18" s="173">
        <v>-2693.5</v>
      </c>
      <c r="AP18" s="173" t="s">
        <v>170</v>
      </c>
      <c r="AQ18" s="173" t="s">
        <v>170</v>
      </c>
      <c r="AR18" s="174" t="s">
        <v>172</v>
      </c>
      <c r="AS18" s="175">
        <v>414.08499999999998</v>
      </c>
      <c r="AT18" s="176" t="s">
        <v>173</v>
      </c>
      <c r="AU18" s="173" t="s">
        <v>170</v>
      </c>
      <c r="AV18" s="173" t="s">
        <v>170</v>
      </c>
      <c r="AW18" s="184" t="s">
        <v>190</v>
      </c>
      <c r="AX18" s="174" t="s">
        <v>256</v>
      </c>
      <c r="AY18" s="173" t="s">
        <v>170</v>
      </c>
      <c r="AZ18" s="173" t="s">
        <v>170</v>
      </c>
      <c r="BA18" s="173" t="s">
        <v>170</v>
      </c>
      <c r="BB18" s="173" t="s">
        <v>170</v>
      </c>
      <c r="BC18" s="173" t="s">
        <v>170</v>
      </c>
      <c r="BD18" s="173" t="s">
        <v>170</v>
      </c>
      <c r="BE18" s="173" t="s">
        <v>170</v>
      </c>
      <c r="BF18" s="173" t="s">
        <v>170</v>
      </c>
      <c r="BG18" s="174" t="s">
        <v>176</v>
      </c>
      <c r="BH18" s="184" t="s">
        <v>177</v>
      </c>
      <c r="BI18">
        <v>50</v>
      </c>
      <c r="BJ18">
        <v>2.11</v>
      </c>
      <c r="BK18" s="174" t="s">
        <v>179</v>
      </c>
      <c r="BL18" s="173" t="s">
        <v>180</v>
      </c>
      <c r="BM18" s="174" t="s">
        <v>181</v>
      </c>
      <c r="BN18" s="184" t="s">
        <v>257</v>
      </c>
      <c r="BO18">
        <v>3</v>
      </c>
      <c r="BP18" s="177">
        <v>0.23673707872752853</v>
      </c>
      <c r="BQ18" s="186">
        <v>20.666180167485255</v>
      </c>
      <c r="BR18" s="174" t="s">
        <v>183</v>
      </c>
      <c r="BS18" s="185">
        <v>0.33</v>
      </c>
      <c r="BT18" s="173" t="s">
        <v>170</v>
      </c>
      <c r="BU18" s="173" t="s">
        <v>170</v>
      </c>
      <c r="BV18" s="176" t="s">
        <v>170</v>
      </c>
      <c r="BW18" s="194" t="s">
        <v>273</v>
      </c>
      <c r="BX18" s="173" t="s">
        <v>170</v>
      </c>
      <c r="BY18" s="173" t="s">
        <v>170</v>
      </c>
      <c r="BZ18" s="174" t="s">
        <v>179</v>
      </c>
      <c r="CA18" s="174" t="s">
        <v>274</v>
      </c>
      <c r="CB18" t="s">
        <v>170</v>
      </c>
      <c r="CC18" t="s">
        <v>170</v>
      </c>
      <c r="CD18" t="s">
        <v>170</v>
      </c>
      <c r="CE18" t="s">
        <v>170</v>
      </c>
      <c r="CF18" t="s">
        <v>275</v>
      </c>
      <c r="CG18">
        <v>50</v>
      </c>
      <c r="CH18" t="s">
        <v>170</v>
      </c>
      <c r="CI18" t="s">
        <v>170</v>
      </c>
      <c r="CJ18" s="178">
        <f t="shared" si="1"/>
        <v>26.814190818610896</v>
      </c>
      <c r="CK18" s="174" t="s">
        <v>276</v>
      </c>
      <c r="CL18" s="179">
        <f t="shared" si="2"/>
        <v>0.32843113601715501</v>
      </c>
      <c r="CM18" s="179">
        <f t="shared" si="3"/>
        <v>0.33843563871898397</v>
      </c>
      <c r="CN18" s="205" t="s">
        <v>258</v>
      </c>
      <c r="CO18" s="185">
        <v>3.66</v>
      </c>
      <c r="CP18" s="180" t="s">
        <v>185</v>
      </c>
      <c r="CQ18" s="181">
        <f t="shared" si="4"/>
        <v>0.10979999999999999</v>
      </c>
      <c r="CR18" s="174" t="s">
        <v>277</v>
      </c>
      <c r="CS18" s="174" t="s">
        <v>278</v>
      </c>
      <c r="CT18" s="173" t="s">
        <v>170</v>
      </c>
      <c r="CU18" s="174" t="s">
        <v>279</v>
      </c>
      <c r="CV18" s="174"/>
      <c r="CW18" s="174" t="s">
        <v>170</v>
      </c>
      <c r="CX18" s="174" t="s">
        <v>278</v>
      </c>
      <c r="CY18" s="174" t="s">
        <v>170</v>
      </c>
      <c r="CZ18" s="174" t="s">
        <v>170</v>
      </c>
      <c r="DA18" s="174" t="s">
        <v>170</v>
      </c>
      <c r="DB18" s="174" t="s">
        <v>170</v>
      </c>
      <c r="DC18" s="174" t="s">
        <v>170</v>
      </c>
      <c r="DD18" s="174" t="s">
        <v>170</v>
      </c>
      <c r="DE18" s="174" t="s">
        <v>170</v>
      </c>
      <c r="DF18" s="174" t="s">
        <v>170</v>
      </c>
      <c r="DG18" s="201">
        <v>35.732235789473684</v>
      </c>
      <c r="DH18" s="141" t="s">
        <v>280</v>
      </c>
      <c r="DI18" s="184">
        <v>0.16999999999999998</v>
      </c>
      <c r="DJ18" s="174" t="s">
        <v>281</v>
      </c>
      <c r="DK18" s="173" t="s">
        <v>282</v>
      </c>
      <c r="DL18" s="173" t="s">
        <v>170</v>
      </c>
      <c r="DM18" s="173" t="s">
        <v>170</v>
      </c>
      <c r="DN18" s="195" t="s">
        <v>283</v>
      </c>
      <c r="DO18" s="173" t="s">
        <v>282</v>
      </c>
      <c r="DP18" s="173" t="s">
        <v>170</v>
      </c>
      <c r="DQ18" s="173" t="s">
        <v>170</v>
      </c>
      <c r="DR18" s="195" t="s">
        <v>283</v>
      </c>
      <c r="DS18" s="173" t="s">
        <v>282</v>
      </c>
      <c r="DT18" s="173" t="s">
        <v>170</v>
      </c>
      <c r="DU18" s="173" t="s">
        <v>170</v>
      </c>
      <c r="DV18" s="195" t="s">
        <v>283</v>
      </c>
      <c r="DW18" s="196">
        <v>416</v>
      </c>
      <c r="DX18" s="173" t="s">
        <v>170</v>
      </c>
      <c r="DY18" s="173" t="s">
        <v>170</v>
      </c>
      <c r="DZ18" s="174" t="s">
        <v>284</v>
      </c>
      <c r="EA18" s="173">
        <v>39.5</v>
      </c>
      <c r="EB18" s="173" t="s">
        <v>170</v>
      </c>
      <c r="EC18" s="173" t="s">
        <v>170</v>
      </c>
      <c r="ED18" s="174" t="s">
        <v>285</v>
      </c>
      <c r="EE18" s="174" t="s">
        <v>186</v>
      </c>
      <c r="EF18" s="183" t="s">
        <v>286</v>
      </c>
      <c r="EG18" s="197">
        <f t="shared" si="5"/>
        <v>1.0192806077407701</v>
      </c>
      <c r="EH18" s="196" t="s">
        <v>170</v>
      </c>
      <c r="EI18" s="196" t="s">
        <v>170</v>
      </c>
      <c r="EJ18" s="183" t="s">
        <v>287</v>
      </c>
      <c r="EK18" s="198" t="s">
        <v>288</v>
      </c>
      <c r="EL18" s="183" t="s">
        <v>289</v>
      </c>
      <c r="EM18" s="174" t="s">
        <v>327</v>
      </c>
      <c r="EN18" s="174" t="s">
        <v>291</v>
      </c>
      <c r="EO18" s="143" t="s">
        <v>292</v>
      </c>
      <c r="EP18" s="143" t="s">
        <v>292</v>
      </c>
      <c r="EQ18" s="174" t="s">
        <v>293</v>
      </c>
      <c r="ER18" s="174" t="s">
        <v>170</v>
      </c>
      <c r="ES18" s="174" t="s">
        <v>170</v>
      </c>
      <c r="ET18" s="174" t="s">
        <v>294</v>
      </c>
      <c r="EU18" s="174" t="s">
        <v>328</v>
      </c>
      <c r="EV18" s="174" t="s">
        <v>296</v>
      </c>
      <c r="EW18" s="177">
        <v>2367.8000000000002</v>
      </c>
      <c r="EX18" s="174" t="s">
        <v>297</v>
      </c>
      <c r="EY18" s="173">
        <v>54</v>
      </c>
      <c r="EZ18" s="173">
        <v>54</v>
      </c>
      <c r="FA18" t="s">
        <v>170</v>
      </c>
      <c r="FB18" t="s">
        <v>170</v>
      </c>
      <c r="FC18" t="s">
        <v>170</v>
      </c>
      <c r="FD18" t="s">
        <v>170</v>
      </c>
      <c r="FE18" s="202">
        <v>8.1300000000000008</v>
      </c>
      <c r="FF18" s="174" t="s">
        <v>298</v>
      </c>
      <c r="FG18" s="173">
        <v>0.03</v>
      </c>
      <c r="FH18" s="173">
        <v>0.03</v>
      </c>
      <c r="FI18" s="203">
        <v>317.7</v>
      </c>
      <c r="FJ18" s="204">
        <v>0</v>
      </c>
      <c r="FK18" s="174" t="s">
        <v>259</v>
      </c>
      <c r="FL18" s="200">
        <f t="shared" si="6"/>
        <v>317.7</v>
      </c>
      <c r="FM18" s="201">
        <v>24.895966965857244</v>
      </c>
      <c r="FN18" s="201">
        <v>24.895966965857244</v>
      </c>
      <c r="FO18" s="174" t="s">
        <v>188</v>
      </c>
      <c r="FP18" s="174" t="s">
        <v>299</v>
      </c>
      <c r="FQ18" t="s">
        <v>170</v>
      </c>
      <c r="FR18" t="s">
        <v>170</v>
      </c>
      <c r="FS18" t="s">
        <v>170</v>
      </c>
      <c r="FT18" t="s">
        <v>170</v>
      </c>
      <c r="FU18" t="s">
        <v>170</v>
      </c>
      <c r="FV18" t="s">
        <v>170</v>
      </c>
      <c r="FW18" t="s">
        <v>170</v>
      </c>
      <c r="FX18" t="s">
        <v>170</v>
      </c>
      <c r="FY18" t="s">
        <v>170</v>
      </c>
      <c r="FZ18" t="s">
        <v>170</v>
      </c>
      <c r="GA18" t="s">
        <v>170</v>
      </c>
      <c r="GB18" t="s">
        <v>170</v>
      </c>
      <c r="GC18" s="174" t="s">
        <v>300</v>
      </c>
    </row>
    <row r="19" spans="1:185" ht="18">
      <c r="A19" s="169" t="s">
        <v>162</v>
      </c>
      <c r="B19" s="170" t="s">
        <v>163</v>
      </c>
      <c r="C19" s="140" t="s">
        <v>164</v>
      </c>
      <c r="D19" t="s">
        <v>165</v>
      </c>
      <c r="E19">
        <v>2005</v>
      </c>
      <c r="F19" s="171" t="s">
        <v>343</v>
      </c>
      <c r="G19" s="188">
        <v>418.8</v>
      </c>
      <c r="H19" s="189">
        <v>4</v>
      </c>
      <c r="I19" s="189">
        <v>4</v>
      </c>
      <c r="J19" s="206">
        <f t="shared" si="7"/>
        <v>259.5</v>
      </c>
      <c r="K19" s="206">
        <f t="shared" si="8"/>
        <v>19.380194223369195</v>
      </c>
      <c r="L19" s="206">
        <f t="shared" si="9"/>
        <v>19.380194223369195</v>
      </c>
      <c r="M19" t="b">
        <v>1</v>
      </c>
      <c r="N19">
        <v>3</v>
      </c>
      <c r="O19" t="s">
        <v>270</v>
      </c>
      <c r="P19" s="183" t="s">
        <v>272</v>
      </c>
      <c r="Q19" t="b">
        <v>0</v>
      </c>
      <c r="R19" t="s">
        <v>170</v>
      </c>
      <c r="S19" t="b">
        <v>1</v>
      </c>
      <c r="T19" t="b">
        <v>1</v>
      </c>
      <c r="U19" t="s">
        <v>271</v>
      </c>
      <c r="V19" s="189" t="s">
        <v>272</v>
      </c>
      <c r="W19" t="b">
        <v>0</v>
      </c>
      <c r="X19" t="s">
        <v>170</v>
      </c>
      <c r="Y19" s="172" t="s">
        <v>166</v>
      </c>
      <c r="Z19" s="171" t="s">
        <v>343</v>
      </c>
      <c r="AA19" s="184" t="s">
        <v>167</v>
      </c>
      <c r="AB19" s="184" t="s">
        <v>168</v>
      </c>
      <c r="AC19" s="173">
        <v>2</v>
      </c>
      <c r="AD19" s="173">
        <v>3</v>
      </c>
      <c r="AE19" s="165">
        <v>70</v>
      </c>
      <c r="AF19" s="165">
        <v>72</v>
      </c>
      <c r="AG19" s="165" t="s">
        <v>260</v>
      </c>
      <c r="AH19" s="173" t="s">
        <v>170</v>
      </c>
      <c r="AI19" s="173" t="s">
        <v>170</v>
      </c>
      <c r="AJ19" s="173" t="s">
        <v>171</v>
      </c>
      <c r="AK19" s="173">
        <v>4.7699999999999996</v>
      </c>
      <c r="AL19" s="173">
        <v>-20.93</v>
      </c>
      <c r="AM19" s="173" t="s">
        <v>170</v>
      </c>
      <c r="AN19" s="173" t="s">
        <v>170</v>
      </c>
      <c r="AO19" s="173">
        <v>-2693.5</v>
      </c>
      <c r="AP19" s="173" t="s">
        <v>170</v>
      </c>
      <c r="AQ19" s="173" t="s">
        <v>170</v>
      </c>
      <c r="AR19" s="174" t="s">
        <v>172</v>
      </c>
      <c r="AS19" s="175">
        <v>421.57400000000001</v>
      </c>
      <c r="AT19" s="176" t="s">
        <v>173</v>
      </c>
      <c r="AU19" s="173" t="s">
        <v>170</v>
      </c>
      <c r="AV19" s="173" t="s">
        <v>170</v>
      </c>
      <c r="AW19" s="184" t="s">
        <v>190</v>
      </c>
      <c r="AX19" s="174" t="s">
        <v>261</v>
      </c>
      <c r="AY19" s="173" t="s">
        <v>170</v>
      </c>
      <c r="AZ19" s="173" t="s">
        <v>170</v>
      </c>
      <c r="BA19" s="173" t="s">
        <v>170</v>
      </c>
      <c r="BB19" s="173" t="s">
        <v>170</v>
      </c>
      <c r="BC19" s="173" t="s">
        <v>170</v>
      </c>
      <c r="BD19" s="173" t="s">
        <v>170</v>
      </c>
      <c r="BE19" s="173" t="s">
        <v>170</v>
      </c>
      <c r="BF19" s="173" t="s">
        <v>170</v>
      </c>
      <c r="BG19" s="174" t="s">
        <v>176</v>
      </c>
      <c r="BH19" s="184" t="s">
        <v>177</v>
      </c>
      <c r="BI19">
        <v>50</v>
      </c>
      <c r="BJ19">
        <v>2.5499999999999998</v>
      </c>
      <c r="BK19" s="174" t="s">
        <v>179</v>
      </c>
      <c r="BL19" s="173" t="s">
        <v>180</v>
      </c>
      <c r="BM19" s="174" t="s">
        <v>181</v>
      </c>
      <c r="BN19" s="184" t="s">
        <v>262</v>
      </c>
      <c r="BO19">
        <v>4</v>
      </c>
      <c r="BP19" s="177">
        <v>0.31584542632960916</v>
      </c>
      <c r="BQ19" s="186">
        <v>20.878437549400154</v>
      </c>
      <c r="BR19" s="174" t="s">
        <v>183</v>
      </c>
      <c r="BS19" s="185">
        <v>0.37</v>
      </c>
      <c r="BT19" s="173" t="s">
        <v>170</v>
      </c>
      <c r="BU19" s="173" t="s">
        <v>170</v>
      </c>
      <c r="BV19" s="176" t="s">
        <v>170</v>
      </c>
      <c r="BW19" s="194" t="s">
        <v>273</v>
      </c>
      <c r="BX19" s="173" t="s">
        <v>170</v>
      </c>
      <c r="BY19" s="173" t="s">
        <v>170</v>
      </c>
      <c r="BZ19" s="174" t="s">
        <v>179</v>
      </c>
      <c r="CA19" s="174" t="s">
        <v>274</v>
      </c>
      <c r="CB19" t="s">
        <v>170</v>
      </c>
      <c r="CC19" t="s">
        <v>170</v>
      </c>
      <c r="CD19" t="s">
        <v>170</v>
      </c>
      <c r="CE19" t="s">
        <v>170</v>
      </c>
      <c r="CF19" t="s">
        <v>275</v>
      </c>
      <c r="CG19">
        <v>50</v>
      </c>
      <c r="CH19" t="s">
        <v>170</v>
      </c>
      <c r="CI19" t="s">
        <v>170</v>
      </c>
      <c r="CJ19" s="178">
        <f t="shared" si="1"/>
        <v>26.060606414846884</v>
      </c>
      <c r="CK19" s="174" t="s">
        <v>276</v>
      </c>
      <c r="CL19" s="179">
        <f t="shared" si="2"/>
        <v>0.32843113601715501</v>
      </c>
      <c r="CM19" s="179">
        <f t="shared" si="3"/>
        <v>0.33843563871898752</v>
      </c>
      <c r="CN19" s="205" t="s">
        <v>263</v>
      </c>
      <c r="CO19" s="185">
        <v>3.42</v>
      </c>
      <c r="CP19" s="180" t="s">
        <v>185</v>
      </c>
      <c r="CQ19" s="181">
        <f t="shared" si="4"/>
        <v>0.1026</v>
      </c>
      <c r="CR19" s="174" t="s">
        <v>277</v>
      </c>
      <c r="CS19" s="174" t="s">
        <v>278</v>
      </c>
      <c r="CT19" s="173" t="s">
        <v>170</v>
      </c>
      <c r="CU19" s="174" t="s">
        <v>279</v>
      </c>
      <c r="CV19" s="174"/>
      <c r="CW19" s="174" t="s">
        <v>170</v>
      </c>
      <c r="CX19" s="174" t="s">
        <v>278</v>
      </c>
      <c r="CY19" s="174" t="s">
        <v>170</v>
      </c>
      <c r="CZ19" s="174" t="s">
        <v>170</v>
      </c>
      <c r="DA19" s="174" t="s">
        <v>170</v>
      </c>
      <c r="DB19" s="174" t="s">
        <v>170</v>
      </c>
      <c r="DC19" s="174" t="s">
        <v>170</v>
      </c>
      <c r="DD19" s="174" t="s">
        <v>170</v>
      </c>
      <c r="DE19" s="174" t="s">
        <v>170</v>
      </c>
      <c r="DF19" s="174" t="s">
        <v>170</v>
      </c>
      <c r="DG19" s="201">
        <v>36.108625263157897</v>
      </c>
      <c r="DH19" s="141" t="s">
        <v>280</v>
      </c>
      <c r="DI19" s="184">
        <v>0.185</v>
      </c>
      <c r="DJ19" s="174" t="s">
        <v>281</v>
      </c>
      <c r="DK19" s="173" t="s">
        <v>282</v>
      </c>
      <c r="DL19" s="173" t="s">
        <v>170</v>
      </c>
      <c r="DM19" s="173" t="s">
        <v>170</v>
      </c>
      <c r="DN19" s="195" t="s">
        <v>283</v>
      </c>
      <c r="DO19" s="173" t="s">
        <v>282</v>
      </c>
      <c r="DP19" s="173" t="s">
        <v>170</v>
      </c>
      <c r="DQ19" s="173" t="s">
        <v>170</v>
      </c>
      <c r="DR19" s="195" t="s">
        <v>283</v>
      </c>
      <c r="DS19" s="173" t="s">
        <v>282</v>
      </c>
      <c r="DT19" s="173" t="s">
        <v>170</v>
      </c>
      <c r="DU19" s="173" t="s">
        <v>170</v>
      </c>
      <c r="DV19" s="195" t="s">
        <v>283</v>
      </c>
      <c r="DW19" s="196">
        <v>416</v>
      </c>
      <c r="DX19" s="173" t="s">
        <v>170</v>
      </c>
      <c r="DY19" s="173" t="s">
        <v>170</v>
      </c>
      <c r="DZ19" s="174" t="s">
        <v>284</v>
      </c>
      <c r="EA19" s="173">
        <v>39.5</v>
      </c>
      <c r="EB19" s="173" t="s">
        <v>170</v>
      </c>
      <c r="EC19" s="173" t="s">
        <v>170</v>
      </c>
      <c r="ED19" s="174" t="s">
        <v>285</v>
      </c>
      <c r="EE19" s="174" t="s">
        <v>186</v>
      </c>
      <c r="EF19" s="183" t="s">
        <v>286</v>
      </c>
      <c r="EG19" s="197">
        <f t="shared" si="5"/>
        <v>1.0193176878613575</v>
      </c>
      <c r="EH19" s="196" t="s">
        <v>170</v>
      </c>
      <c r="EI19" s="196" t="s">
        <v>170</v>
      </c>
      <c r="EJ19" s="183" t="s">
        <v>287</v>
      </c>
      <c r="EK19" s="198" t="s">
        <v>288</v>
      </c>
      <c r="EL19" s="183" t="s">
        <v>289</v>
      </c>
      <c r="EM19" s="174" t="s">
        <v>329</v>
      </c>
      <c r="EN19" s="174" t="s">
        <v>291</v>
      </c>
      <c r="EO19" s="143" t="s">
        <v>292</v>
      </c>
      <c r="EP19" s="143" t="s">
        <v>292</v>
      </c>
      <c r="EQ19" s="174" t="s">
        <v>293</v>
      </c>
      <c r="ER19" s="174" t="s">
        <v>170</v>
      </c>
      <c r="ES19" s="174" t="s">
        <v>170</v>
      </c>
      <c r="ET19" s="174" t="s">
        <v>294</v>
      </c>
      <c r="EU19" s="174" t="s">
        <v>330</v>
      </c>
      <c r="EV19" s="174" t="s">
        <v>296</v>
      </c>
      <c r="EW19" s="177">
        <v>2393.1</v>
      </c>
      <c r="EX19" s="174" t="s">
        <v>297</v>
      </c>
      <c r="EY19" s="173">
        <v>54</v>
      </c>
      <c r="EZ19" s="173">
        <v>54</v>
      </c>
      <c r="FA19" t="s">
        <v>170</v>
      </c>
      <c r="FB19" t="s">
        <v>170</v>
      </c>
      <c r="FC19" t="s">
        <v>170</v>
      </c>
      <c r="FD19" t="s">
        <v>170</v>
      </c>
      <c r="FE19" s="202">
        <v>8.16</v>
      </c>
      <c r="FF19" s="174" t="s">
        <v>298</v>
      </c>
      <c r="FG19" s="173">
        <v>0.03</v>
      </c>
      <c r="FH19" s="173">
        <v>0.03</v>
      </c>
      <c r="FI19" s="203">
        <v>292.7</v>
      </c>
      <c r="FJ19" s="204">
        <v>0</v>
      </c>
      <c r="FK19" s="174" t="s">
        <v>264</v>
      </c>
      <c r="FL19" s="200">
        <f t="shared" si="6"/>
        <v>292.7</v>
      </c>
      <c r="FM19" s="201">
        <v>22.203744835240894</v>
      </c>
      <c r="FN19" s="201">
        <v>22.203744835240894</v>
      </c>
      <c r="FO19" s="174" t="s">
        <v>188</v>
      </c>
      <c r="FP19" s="174" t="s">
        <v>299</v>
      </c>
      <c r="FQ19" t="s">
        <v>170</v>
      </c>
      <c r="FR19" t="s">
        <v>170</v>
      </c>
      <c r="FS19" t="s">
        <v>170</v>
      </c>
      <c r="FT19" t="s">
        <v>170</v>
      </c>
      <c r="FU19" t="s">
        <v>170</v>
      </c>
      <c r="FV19" t="s">
        <v>170</v>
      </c>
      <c r="FW19" t="s">
        <v>170</v>
      </c>
      <c r="FX19" t="s">
        <v>170</v>
      </c>
      <c r="FY19" t="s">
        <v>170</v>
      </c>
      <c r="FZ19" t="s">
        <v>170</v>
      </c>
      <c r="GA19" t="s">
        <v>170</v>
      </c>
      <c r="GB19" t="s">
        <v>170</v>
      </c>
      <c r="GC19" s="174" t="s">
        <v>300</v>
      </c>
    </row>
    <row r="20" spans="1:185" ht="16">
      <c r="A20" s="138"/>
      <c r="B20" s="139"/>
      <c r="C20" s="140"/>
      <c r="P20" s="183"/>
      <c r="Y20" s="141"/>
      <c r="Z20" s="164"/>
      <c r="AA20" s="142"/>
      <c r="AB20" s="142"/>
      <c r="AC20" s="158"/>
      <c r="AD20" s="158"/>
      <c r="AE20" s="158"/>
      <c r="AF20" s="158"/>
      <c r="AG20" s="159"/>
      <c r="AH20" s="157"/>
      <c r="AI20" s="157"/>
      <c r="AJ20" s="143"/>
      <c r="AK20" s="144"/>
      <c r="AL20" s="144"/>
      <c r="AM20" s="142"/>
      <c r="AN20" s="142"/>
      <c r="AO20" s="142"/>
      <c r="AP20" s="142"/>
      <c r="AQ20" s="142"/>
      <c r="AR20" s="143"/>
      <c r="AS20" s="145"/>
      <c r="AT20" s="142"/>
      <c r="AU20" s="142"/>
      <c r="AV20" s="165"/>
      <c r="AW20" s="157"/>
      <c r="AX20" s="165"/>
      <c r="AY20" s="143"/>
      <c r="AZ20" s="165"/>
      <c r="BA20" s="165"/>
      <c r="BB20" s="165"/>
      <c r="BC20" s="165"/>
      <c r="BD20" s="165"/>
      <c r="BE20" s="165"/>
      <c r="BF20" s="165"/>
      <c r="BG20" s="143"/>
      <c r="BH20" s="166"/>
      <c r="BI20" s="141"/>
      <c r="BJ20" s="160"/>
      <c r="BK20" s="141"/>
      <c r="BL20" s="142"/>
      <c r="BM20" s="143"/>
      <c r="BN20" s="157"/>
      <c r="BO20" s="165"/>
      <c r="BP20" s="167"/>
      <c r="BQ20" s="159"/>
      <c r="BR20" s="143"/>
      <c r="BS20" s="161"/>
    </row>
    <row r="21" spans="1:185" ht="16">
      <c r="A21" s="138"/>
      <c r="B21" s="139"/>
      <c r="C21" s="140"/>
      <c r="P21" s="183"/>
      <c r="Y21" s="141"/>
      <c r="Z21" s="164"/>
      <c r="AA21" s="157"/>
      <c r="AB21" s="142"/>
      <c r="AC21" s="158"/>
      <c r="AD21" s="158"/>
      <c r="AE21" s="158"/>
      <c r="AF21" s="158"/>
      <c r="AG21" s="159"/>
      <c r="AH21" s="157"/>
      <c r="AI21" s="157"/>
      <c r="AJ21" s="143"/>
      <c r="AK21" s="144"/>
      <c r="AL21" s="144"/>
      <c r="AM21" s="142"/>
      <c r="AN21" s="142"/>
      <c r="AO21" s="142"/>
      <c r="AP21" s="142"/>
      <c r="AQ21" s="142"/>
      <c r="AR21" s="143"/>
      <c r="AS21" s="145"/>
      <c r="AT21" s="142"/>
      <c r="AU21" s="142"/>
      <c r="AV21" s="165"/>
      <c r="AW21" s="157"/>
      <c r="AX21" s="165"/>
      <c r="AY21" s="143"/>
      <c r="AZ21" s="165"/>
      <c r="BA21" s="165"/>
      <c r="BB21" s="165"/>
      <c r="BC21" s="165"/>
      <c r="BD21" s="165"/>
      <c r="BE21" s="165"/>
      <c r="BF21" s="165"/>
      <c r="BG21" s="143"/>
      <c r="BH21" s="166"/>
      <c r="BI21" s="141"/>
      <c r="BJ21" s="160"/>
      <c r="BK21" s="141"/>
      <c r="BL21" s="157"/>
      <c r="BM21" s="143"/>
      <c r="BN21" s="157"/>
      <c r="BO21" s="165"/>
      <c r="BP21" s="167"/>
      <c r="BQ21" s="159"/>
      <c r="BR21" s="143"/>
      <c r="BS21" s="161"/>
    </row>
    <row r="22" spans="1:185" ht="16">
      <c r="A22" s="138"/>
      <c r="B22" s="139"/>
      <c r="C22" s="140"/>
      <c r="Y22" s="141"/>
      <c r="Z22" s="164"/>
      <c r="AA22" s="142"/>
      <c r="AB22" s="142"/>
      <c r="AC22" s="158"/>
      <c r="AD22" s="158"/>
      <c r="AE22" s="158"/>
      <c r="AF22" s="158"/>
      <c r="AG22" s="159"/>
      <c r="AH22" s="157"/>
      <c r="AI22" s="157"/>
      <c r="AJ22" s="143"/>
      <c r="AK22" s="144"/>
      <c r="AL22" s="144"/>
      <c r="AM22" s="142"/>
      <c r="AN22" s="142"/>
      <c r="AO22" s="142"/>
      <c r="AP22" s="142"/>
      <c r="AQ22" s="142"/>
      <c r="AR22" s="143"/>
      <c r="AS22" s="145"/>
      <c r="AT22" s="142"/>
      <c r="AU22" s="142"/>
      <c r="AV22" s="165"/>
      <c r="AW22" s="157"/>
      <c r="AX22" s="165"/>
      <c r="AY22" s="143"/>
      <c r="AZ22" s="165"/>
      <c r="BA22" s="165"/>
      <c r="BB22" s="165"/>
      <c r="BC22" s="165"/>
      <c r="BD22" s="165"/>
      <c r="BE22" s="165"/>
      <c r="BF22" s="165"/>
      <c r="BG22" s="143"/>
      <c r="BH22" s="166"/>
      <c r="BI22" s="141"/>
      <c r="BJ22" s="160"/>
      <c r="BK22" s="141"/>
      <c r="BL22" s="142"/>
      <c r="BM22" s="143"/>
      <c r="BN22" s="157"/>
      <c r="BO22" s="165"/>
      <c r="BP22" s="167"/>
      <c r="BQ22" s="159"/>
      <c r="BR22" s="143"/>
      <c r="BS22" s="161"/>
      <c r="BT22" s="157"/>
      <c r="BU22" s="157"/>
      <c r="BV22" s="157"/>
      <c r="BW22" s="146"/>
      <c r="BX22" s="157"/>
      <c r="BY22" s="142"/>
      <c r="BZ22" s="141"/>
      <c r="CA22" s="143"/>
      <c r="CB22" s="142"/>
      <c r="CC22" s="142"/>
      <c r="CD22" s="142"/>
      <c r="CE22" s="142"/>
      <c r="CF22" s="142"/>
      <c r="CG22" s="142"/>
      <c r="CH22" s="157"/>
      <c r="CI22" s="142"/>
      <c r="CJ22" s="159"/>
      <c r="CK22" s="143"/>
      <c r="CL22" s="147"/>
      <c r="CM22" s="147"/>
      <c r="CN22" s="143"/>
      <c r="CO22" s="138"/>
      <c r="CP22" s="143"/>
      <c r="CQ22" s="148"/>
      <c r="CR22" s="142"/>
      <c r="CS22" s="142"/>
      <c r="CT22" s="142"/>
      <c r="CU22" s="142"/>
      <c r="CV22" s="142"/>
      <c r="CW22" s="142"/>
      <c r="CX22" s="142"/>
      <c r="CY22" s="142"/>
      <c r="CZ22" s="142"/>
      <c r="DA22" s="142"/>
      <c r="DB22" s="142"/>
      <c r="DC22" s="142"/>
      <c r="DD22" s="142"/>
      <c r="DE22" s="142"/>
      <c r="DF22" s="142"/>
      <c r="DG22" s="149"/>
      <c r="DH22" s="143"/>
      <c r="DI22" s="142"/>
      <c r="DJ22" s="143"/>
      <c r="DK22" s="165"/>
      <c r="DL22" s="142"/>
      <c r="DM22" s="142"/>
      <c r="DN22" s="138"/>
      <c r="DO22" s="165"/>
      <c r="DP22" s="142"/>
      <c r="DQ22" s="142"/>
      <c r="DR22" s="143"/>
      <c r="DS22" s="165"/>
      <c r="DT22" s="142"/>
      <c r="DU22" s="142"/>
      <c r="DV22" s="142"/>
      <c r="DW22" s="151"/>
      <c r="DX22" s="142"/>
      <c r="DY22" s="142"/>
      <c r="DZ22" s="143"/>
      <c r="EA22" s="142"/>
      <c r="EB22" s="143"/>
      <c r="EC22" s="142"/>
      <c r="ED22" s="143"/>
      <c r="EE22" s="143"/>
      <c r="EF22" s="152"/>
      <c r="EG22" s="153"/>
      <c r="EH22" s="151"/>
      <c r="EI22" s="151"/>
      <c r="EJ22" s="152"/>
      <c r="EK22" s="154"/>
      <c r="EL22" s="152"/>
      <c r="EM22" s="150"/>
      <c r="EN22" s="142"/>
      <c r="EO22" s="143"/>
      <c r="EP22" s="143"/>
      <c r="EQ22" s="143"/>
      <c r="ER22" s="165"/>
      <c r="ES22" s="165"/>
      <c r="ET22" s="142"/>
      <c r="EU22" s="143"/>
      <c r="EV22" s="138"/>
      <c r="EW22" s="165"/>
      <c r="EX22" s="143"/>
      <c r="EY22" s="165"/>
      <c r="EZ22" s="165"/>
      <c r="FA22" s="165"/>
      <c r="FB22" s="165"/>
      <c r="FC22" s="165"/>
      <c r="FD22" s="165"/>
      <c r="FE22" s="168"/>
      <c r="FF22" s="142"/>
      <c r="FG22" s="162"/>
      <c r="FH22" s="162"/>
      <c r="FI22" s="163"/>
      <c r="FJ22" s="142"/>
      <c r="FK22" s="141"/>
      <c r="FL22" s="156"/>
      <c r="FM22" s="155"/>
      <c r="FN22" s="155"/>
      <c r="FO22" s="143"/>
      <c r="FP22" s="143"/>
      <c r="FQ22" s="142"/>
      <c r="FR22" s="142"/>
      <c r="FS22" s="142"/>
      <c r="FT22" s="142"/>
      <c r="FU22" s="142"/>
      <c r="FV22" s="142"/>
      <c r="FW22" s="142"/>
      <c r="FX22" s="142"/>
      <c r="FY22" s="142"/>
      <c r="FZ22" s="142"/>
      <c r="GA22" s="142"/>
      <c r="GB22" s="142"/>
    </row>
    <row r="23" spans="1:185" ht="16">
      <c r="A23" s="138"/>
      <c r="B23" s="139"/>
      <c r="C23" s="140"/>
      <c r="Y23" s="141"/>
      <c r="Z23" s="164"/>
      <c r="AA23" s="157"/>
      <c r="AB23" s="142"/>
      <c r="AC23" s="158"/>
      <c r="AD23" s="158"/>
      <c r="AE23" s="158"/>
      <c r="AF23" s="158"/>
      <c r="AG23" s="159"/>
      <c r="AH23" s="157"/>
      <c r="AI23" s="157"/>
      <c r="AJ23" s="143"/>
      <c r="AK23" s="144"/>
      <c r="AL23" s="144"/>
      <c r="AM23" s="142"/>
      <c r="AN23" s="142"/>
      <c r="AO23" s="142"/>
      <c r="AP23" s="142"/>
      <c r="AQ23" s="142"/>
      <c r="AR23" s="143"/>
      <c r="AS23" s="145"/>
      <c r="AT23" s="142"/>
      <c r="AU23" s="142"/>
      <c r="AV23" s="165"/>
      <c r="AW23" s="157"/>
      <c r="AX23" s="165"/>
      <c r="AY23" s="143"/>
      <c r="AZ23" s="165"/>
      <c r="BA23" s="165"/>
      <c r="BB23" s="165"/>
      <c r="BC23" s="165"/>
      <c r="BD23" s="165"/>
      <c r="BE23" s="165"/>
      <c r="BF23" s="165"/>
      <c r="BG23" s="143"/>
      <c r="BH23" s="166"/>
      <c r="BI23" s="141"/>
      <c r="BJ23" s="160"/>
      <c r="BK23" s="141"/>
      <c r="BL23" s="142"/>
      <c r="BM23" s="143"/>
      <c r="BN23" s="157"/>
      <c r="BO23" s="165"/>
      <c r="BP23" s="167"/>
      <c r="BQ23" s="159"/>
      <c r="BR23" s="143"/>
      <c r="BS23" s="161"/>
      <c r="BT23" s="157"/>
      <c r="BU23" s="157"/>
      <c r="BV23" s="157"/>
      <c r="BW23" s="146"/>
      <c r="BX23" s="157"/>
      <c r="BY23" s="142"/>
      <c r="BZ23" s="141"/>
      <c r="CA23" s="143"/>
      <c r="CB23" s="142"/>
      <c r="CC23" s="142"/>
      <c r="CD23" s="142"/>
      <c r="CE23" s="142"/>
      <c r="CF23" s="142"/>
      <c r="CG23" s="142"/>
      <c r="CH23" s="157"/>
      <c r="CI23" s="142"/>
      <c r="CJ23" s="159"/>
      <c r="CK23" s="143"/>
      <c r="CL23" s="147"/>
      <c r="CM23" s="147"/>
      <c r="CN23" s="143"/>
      <c r="CO23" s="138"/>
      <c r="CP23" s="143"/>
      <c r="CQ23" s="148"/>
      <c r="CR23" s="142"/>
      <c r="CS23" s="142"/>
      <c r="CT23" s="142"/>
      <c r="CU23" s="142"/>
      <c r="CV23" s="142"/>
      <c r="CW23" s="142"/>
      <c r="CX23" s="142"/>
      <c r="CY23" s="142"/>
      <c r="CZ23" s="142"/>
      <c r="DA23" s="142"/>
      <c r="DB23" s="142"/>
      <c r="DC23" s="142"/>
      <c r="DD23" s="142"/>
      <c r="DE23" s="142"/>
      <c r="DF23" s="142"/>
      <c r="DG23" s="149"/>
      <c r="DH23" s="143"/>
      <c r="DI23" s="142"/>
      <c r="DJ23" s="143"/>
      <c r="DK23" s="165"/>
      <c r="DL23" s="142"/>
      <c r="DM23" s="142"/>
      <c r="DN23" s="138"/>
      <c r="DO23" s="165"/>
      <c r="DP23" s="142"/>
      <c r="DQ23" s="142"/>
      <c r="DR23" s="143"/>
      <c r="DS23" s="165"/>
      <c r="DT23" s="142"/>
      <c r="DU23" s="142"/>
      <c r="DV23" s="142"/>
      <c r="DW23" s="151"/>
      <c r="DX23" s="142"/>
      <c r="DY23" s="142"/>
      <c r="DZ23" s="143"/>
      <c r="EA23" s="142"/>
      <c r="EB23" s="143"/>
      <c r="EC23" s="142"/>
      <c r="ED23" s="143"/>
      <c r="EE23" s="143"/>
      <c r="EF23" s="152"/>
      <c r="EG23" s="153"/>
      <c r="EH23" s="151"/>
      <c r="EI23" s="151"/>
      <c r="EJ23" s="152"/>
      <c r="EK23" s="154"/>
      <c r="EL23" s="152"/>
      <c r="EM23" s="150"/>
      <c r="EN23" s="142"/>
      <c r="EO23" s="143"/>
      <c r="EP23" s="143"/>
      <c r="EQ23" s="143"/>
      <c r="ER23" s="165"/>
      <c r="ES23" s="165"/>
      <c r="ET23" s="142"/>
      <c r="EU23" s="143"/>
      <c r="EV23" s="138"/>
      <c r="EW23" s="165"/>
      <c r="EX23" s="143"/>
      <c r="EY23" s="165"/>
      <c r="EZ23" s="165"/>
      <c r="FA23" s="165"/>
      <c r="FB23" s="165"/>
      <c r="FC23" s="165"/>
      <c r="FD23" s="165"/>
      <c r="FE23" s="168"/>
      <c r="FF23" s="142"/>
      <c r="FG23" s="162"/>
      <c r="FH23" s="162"/>
      <c r="FI23" s="163"/>
      <c r="FJ23" s="142"/>
      <c r="FK23" s="141"/>
      <c r="FL23" s="156"/>
      <c r="FM23" s="155"/>
      <c r="FN23" s="155"/>
      <c r="FO23" s="143"/>
      <c r="FP23" s="143"/>
      <c r="FQ23" s="142"/>
      <c r="FR23" s="142"/>
      <c r="FS23" s="142"/>
      <c r="FT23" s="142"/>
      <c r="FU23" s="142"/>
      <c r="FV23" s="142"/>
      <c r="FW23" s="142"/>
      <c r="FX23" s="142"/>
      <c r="FY23" s="142"/>
      <c r="FZ23" s="142"/>
      <c r="GA23" s="142"/>
      <c r="GB23" s="142"/>
    </row>
    <row r="24" spans="1:185" ht="16">
      <c r="A24" s="138"/>
      <c r="B24" s="139"/>
      <c r="C24" s="140"/>
      <c r="Y24" s="141"/>
      <c r="Z24" s="164"/>
      <c r="AA24" s="142"/>
      <c r="AB24" s="142"/>
      <c r="AC24" s="158"/>
      <c r="AD24" s="158"/>
      <c r="AE24" s="158"/>
      <c r="AF24" s="158"/>
      <c r="AG24" s="159"/>
      <c r="AH24" s="157"/>
      <c r="AI24" s="157"/>
      <c r="AJ24" s="143"/>
      <c r="AK24" s="144"/>
      <c r="AL24" s="144"/>
      <c r="AM24" s="142"/>
      <c r="AN24" s="142"/>
      <c r="AO24" s="142"/>
      <c r="AP24" s="142"/>
      <c r="AQ24" s="142"/>
      <c r="AR24" s="143"/>
      <c r="AS24" s="145"/>
      <c r="AT24" s="142"/>
      <c r="AU24" s="142"/>
      <c r="AV24" s="165"/>
      <c r="AW24" s="157"/>
      <c r="AX24" s="165"/>
      <c r="AY24" s="143"/>
      <c r="AZ24" s="165"/>
      <c r="BA24" s="165"/>
      <c r="BB24" s="165"/>
      <c r="BC24" s="165"/>
      <c r="BD24" s="165"/>
      <c r="BE24" s="165"/>
      <c r="BF24" s="165"/>
      <c r="BG24" s="143"/>
      <c r="BH24" s="166"/>
      <c r="BI24" s="141"/>
      <c r="BJ24" s="160"/>
      <c r="BK24" s="141"/>
      <c r="BL24" s="142"/>
      <c r="BM24" s="143"/>
      <c r="BN24" s="157"/>
      <c r="BO24" s="165"/>
      <c r="BP24" s="167"/>
      <c r="BQ24" s="159"/>
      <c r="BR24" s="143"/>
      <c r="BS24" s="161"/>
      <c r="BT24" s="157"/>
      <c r="BU24" s="157"/>
      <c r="BV24" s="157"/>
      <c r="BW24" s="146"/>
      <c r="BX24" s="157"/>
      <c r="BY24" s="142"/>
      <c r="BZ24" s="141"/>
      <c r="CA24" s="143"/>
      <c r="CB24" s="142"/>
      <c r="CC24" s="142"/>
      <c r="CD24" s="142"/>
      <c r="CE24" s="142"/>
      <c r="CF24" s="142"/>
      <c r="CG24" s="142"/>
      <c r="CH24" s="157"/>
      <c r="CI24" s="142"/>
      <c r="CJ24" s="159"/>
      <c r="CK24" s="143"/>
      <c r="CL24" s="147"/>
      <c r="CM24" s="147"/>
      <c r="CN24" s="143"/>
      <c r="CO24" s="138"/>
      <c r="CP24" s="143"/>
      <c r="CQ24" s="148"/>
      <c r="CR24" s="142"/>
      <c r="CS24" s="142"/>
      <c r="CT24" s="142"/>
      <c r="CU24" s="142"/>
      <c r="CV24" s="142"/>
      <c r="CW24" s="142"/>
      <c r="CX24" s="142"/>
      <c r="CY24" s="142"/>
      <c r="CZ24" s="142"/>
      <c r="DA24" s="142"/>
      <c r="DB24" s="142"/>
      <c r="DC24" s="142"/>
      <c r="DD24" s="142"/>
      <c r="DE24" s="142"/>
      <c r="DF24" s="142"/>
      <c r="DG24" s="149"/>
      <c r="DH24" s="143"/>
      <c r="DI24" s="142"/>
      <c r="DJ24" s="143"/>
      <c r="DK24" s="165"/>
      <c r="DL24" s="142"/>
      <c r="DM24" s="142"/>
      <c r="DN24" s="138"/>
      <c r="DO24" s="165"/>
      <c r="DP24" s="142"/>
      <c r="DQ24" s="142"/>
      <c r="DR24" s="143"/>
      <c r="DS24" s="165"/>
      <c r="DT24" s="142"/>
      <c r="DU24" s="142"/>
      <c r="DV24" s="142"/>
      <c r="DW24" s="151"/>
      <c r="DX24" s="142"/>
      <c r="DY24" s="142"/>
      <c r="DZ24" s="143"/>
      <c r="EA24" s="142"/>
      <c r="EB24" s="143"/>
      <c r="EC24" s="142"/>
      <c r="ED24" s="143"/>
      <c r="EE24" s="143"/>
      <c r="EF24" s="152"/>
      <c r="EG24" s="153"/>
      <c r="EH24" s="151"/>
      <c r="EI24" s="151"/>
      <c r="EJ24" s="152"/>
      <c r="EK24" s="154"/>
      <c r="EL24" s="152"/>
      <c r="EM24" s="150"/>
      <c r="EN24" s="142"/>
      <c r="EO24" s="143"/>
      <c r="EP24" s="143"/>
      <c r="EQ24" s="143"/>
      <c r="ER24" s="165"/>
      <c r="ES24" s="165"/>
      <c r="ET24" s="142"/>
      <c r="EU24" s="143"/>
      <c r="EV24" s="138"/>
      <c r="EW24" s="165"/>
      <c r="EX24" s="143"/>
      <c r="EY24" s="165"/>
      <c r="EZ24" s="165"/>
      <c r="FA24" s="165"/>
      <c r="FB24" s="165"/>
      <c r="FC24" s="165"/>
      <c r="FD24" s="165"/>
      <c r="FE24" s="168"/>
      <c r="FF24" s="142"/>
      <c r="FG24" s="162"/>
      <c r="FH24" s="162"/>
      <c r="FI24" s="163"/>
      <c r="FJ24" s="142"/>
      <c r="FK24" s="141"/>
      <c r="FL24" s="156"/>
      <c r="FM24" s="155"/>
      <c r="FN24" s="155"/>
      <c r="FO24" s="143"/>
      <c r="FP24" s="143"/>
      <c r="FQ24" s="142"/>
      <c r="FR24" s="142"/>
      <c r="FS24" s="142"/>
      <c r="FT24" s="142"/>
      <c r="FU24" s="142"/>
      <c r="FV24" s="142"/>
      <c r="FW24" s="142"/>
      <c r="FX24" s="142"/>
      <c r="FY24" s="142"/>
      <c r="FZ24" s="142"/>
      <c r="GA24" s="142"/>
      <c r="GB24" s="142"/>
    </row>
    <row r="25" spans="1:185" ht="16">
      <c r="A25" s="138"/>
      <c r="B25" s="139"/>
      <c r="C25" s="140"/>
      <c r="Y25" s="141"/>
      <c r="Z25" s="164"/>
      <c r="AA25" s="157"/>
      <c r="AB25" s="142"/>
      <c r="AC25" s="158"/>
      <c r="AD25" s="158"/>
      <c r="AE25" s="158"/>
      <c r="AF25" s="158"/>
      <c r="AG25" s="159"/>
      <c r="AH25" s="157"/>
      <c r="AI25" s="157"/>
      <c r="AJ25" s="143"/>
      <c r="AK25" s="144"/>
      <c r="AL25" s="144"/>
      <c r="AM25" s="142"/>
      <c r="AN25" s="142"/>
      <c r="AO25" s="142"/>
      <c r="AP25" s="142"/>
      <c r="AQ25" s="142"/>
      <c r="AR25" s="143"/>
      <c r="AS25" s="145"/>
      <c r="AT25" s="142"/>
      <c r="AU25" s="142"/>
      <c r="AV25" s="165"/>
      <c r="AW25" s="157"/>
      <c r="AX25" s="165"/>
      <c r="AY25" s="143"/>
      <c r="AZ25" s="165"/>
      <c r="BA25" s="165"/>
      <c r="BB25" s="165"/>
      <c r="BC25" s="165"/>
      <c r="BD25" s="165"/>
      <c r="BE25" s="165"/>
      <c r="BF25" s="165"/>
      <c r="BG25" s="143"/>
      <c r="BH25" s="166"/>
      <c r="BI25" s="141"/>
      <c r="BJ25" s="160"/>
      <c r="BK25" s="141"/>
      <c r="BL25" s="142"/>
      <c r="BM25" s="143"/>
      <c r="BN25" s="157"/>
      <c r="BO25" s="165"/>
      <c r="BP25" s="167"/>
      <c r="BQ25" s="159"/>
      <c r="BR25" s="143"/>
      <c r="BS25" s="161"/>
      <c r="BT25" s="157"/>
      <c r="BU25" s="157"/>
      <c r="BV25" s="157"/>
      <c r="BW25" s="146"/>
      <c r="BX25" s="157"/>
      <c r="BY25" s="142"/>
      <c r="BZ25" s="141"/>
      <c r="CA25" s="143"/>
      <c r="CB25" s="142"/>
      <c r="CC25" s="142"/>
      <c r="CD25" s="142"/>
      <c r="CE25" s="142"/>
      <c r="CF25" s="142"/>
      <c r="CG25" s="142"/>
      <c r="CH25" s="157"/>
      <c r="CI25" s="142"/>
      <c r="CJ25" s="159"/>
      <c r="CK25" s="143"/>
      <c r="CL25" s="147"/>
      <c r="CM25" s="147"/>
      <c r="CN25" s="143"/>
      <c r="CO25" s="138"/>
      <c r="CP25" s="143"/>
      <c r="CQ25" s="148"/>
      <c r="CR25" s="142"/>
      <c r="CS25" s="142"/>
      <c r="CT25" s="142"/>
      <c r="CU25" s="142"/>
      <c r="CV25" s="142"/>
      <c r="CW25" s="142"/>
      <c r="CX25" s="142"/>
      <c r="CY25" s="142"/>
      <c r="CZ25" s="142"/>
      <c r="DA25" s="142"/>
      <c r="DB25" s="142"/>
      <c r="DC25" s="142"/>
      <c r="DD25" s="142"/>
      <c r="DE25" s="142"/>
      <c r="DF25" s="142"/>
      <c r="DG25" s="149"/>
      <c r="DH25" s="143"/>
      <c r="DI25" s="142"/>
      <c r="DJ25" s="143"/>
      <c r="DK25" s="165"/>
      <c r="DL25" s="142"/>
      <c r="DM25" s="142"/>
      <c r="DN25" s="138"/>
      <c r="DO25" s="165"/>
      <c r="DP25" s="142"/>
      <c r="DQ25" s="142"/>
      <c r="DR25" s="143"/>
      <c r="DS25" s="165"/>
      <c r="DT25" s="142"/>
      <c r="DU25" s="142"/>
      <c r="DV25" s="142"/>
      <c r="DW25" s="151"/>
      <c r="DX25" s="142"/>
      <c r="DY25" s="142"/>
      <c r="DZ25" s="143"/>
      <c r="EA25" s="142"/>
      <c r="EB25" s="143"/>
      <c r="EC25" s="142"/>
      <c r="ED25" s="143"/>
      <c r="EE25" s="143"/>
      <c r="EF25" s="152"/>
      <c r="EG25" s="153"/>
      <c r="EH25" s="151"/>
      <c r="EI25" s="151"/>
      <c r="EJ25" s="152"/>
      <c r="EK25" s="154"/>
      <c r="EL25" s="152"/>
      <c r="EM25" s="150"/>
      <c r="EN25" s="142"/>
      <c r="EO25" s="143"/>
      <c r="EP25" s="143"/>
      <c r="EQ25" s="143"/>
      <c r="ER25" s="165"/>
      <c r="ES25" s="165"/>
      <c r="ET25" s="142"/>
      <c r="EU25" s="143"/>
      <c r="EV25" s="138"/>
      <c r="EW25" s="165"/>
      <c r="EX25" s="143"/>
      <c r="EY25" s="165"/>
      <c r="EZ25" s="165"/>
      <c r="FA25" s="165"/>
      <c r="FB25" s="165"/>
      <c r="FC25" s="165"/>
      <c r="FD25" s="165"/>
      <c r="FE25" s="168"/>
      <c r="FF25" s="142"/>
      <c r="FG25" s="162"/>
      <c r="FH25" s="162"/>
      <c r="FI25" s="163"/>
      <c r="FJ25" s="142"/>
      <c r="FK25" s="141"/>
      <c r="FL25" s="156"/>
      <c r="FM25" s="155"/>
      <c r="FN25" s="155"/>
      <c r="FO25" s="143"/>
      <c r="FP25" s="143"/>
      <c r="FQ25" s="142"/>
      <c r="FR25" s="142"/>
      <c r="FS25" s="142"/>
      <c r="FT25" s="142"/>
      <c r="FU25" s="142"/>
      <c r="FV25" s="142"/>
      <c r="FW25" s="142"/>
      <c r="FX25" s="142"/>
      <c r="FY25" s="142"/>
      <c r="FZ25" s="142"/>
      <c r="GA25" s="142"/>
      <c r="GB25" s="142"/>
    </row>
    <row r="26" spans="1:185" ht="16">
      <c r="A26" s="138"/>
      <c r="B26" s="139"/>
      <c r="C26" s="140"/>
      <c r="Y26" s="141"/>
      <c r="Z26" s="164"/>
      <c r="AA26" s="142"/>
      <c r="AB26" s="142"/>
      <c r="AC26" s="158"/>
      <c r="AD26" s="158"/>
      <c r="AE26" s="158"/>
      <c r="AF26" s="158"/>
      <c r="AG26" s="159"/>
      <c r="AH26" s="157"/>
      <c r="AI26" s="157"/>
      <c r="AJ26" s="143"/>
      <c r="AK26" s="144"/>
      <c r="AL26" s="144"/>
      <c r="AM26" s="142"/>
      <c r="AN26" s="142"/>
      <c r="AO26" s="142"/>
      <c r="AP26" s="142"/>
      <c r="AQ26" s="142"/>
      <c r="AR26" s="143"/>
      <c r="AS26" s="145"/>
      <c r="AT26" s="142"/>
      <c r="AU26" s="142"/>
      <c r="AV26" s="165"/>
      <c r="AW26" s="157"/>
      <c r="AX26" s="165"/>
      <c r="AY26" s="143"/>
      <c r="AZ26" s="165"/>
      <c r="BA26" s="165"/>
      <c r="BB26" s="165"/>
      <c r="BC26" s="165"/>
      <c r="BD26" s="165"/>
      <c r="BE26" s="165"/>
      <c r="BF26" s="165"/>
      <c r="BG26" s="143"/>
      <c r="BH26" s="166"/>
      <c r="BI26" s="141"/>
      <c r="BJ26" s="160"/>
      <c r="BK26" s="141"/>
      <c r="BL26" s="142"/>
      <c r="BM26" s="143"/>
      <c r="BN26" s="157"/>
      <c r="BO26" s="165"/>
      <c r="BP26" s="167"/>
      <c r="BQ26" s="159"/>
      <c r="BR26" s="143"/>
      <c r="BS26" s="161"/>
      <c r="BT26" s="157"/>
      <c r="BU26" s="157"/>
      <c r="BV26" s="157"/>
      <c r="BW26" s="146"/>
      <c r="BX26" s="157"/>
      <c r="BY26" s="142"/>
      <c r="BZ26" s="141"/>
      <c r="CA26" s="143"/>
      <c r="CB26" s="142"/>
      <c r="CC26" s="142"/>
      <c r="CD26" s="142"/>
      <c r="CE26" s="142"/>
      <c r="CF26" s="142"/>
      <c r="CG26" s="142"/>
      <c r="CH26" s="157"/>
      <c r="CI26" s="142"/>
      <c r="CJ26" s="159"/>
      <c r="CK26" s="143"/>
      <c r="CL26" s="147"/>
      <c r="CM26" s="147"/>
      <c r="CN26" s="143"/>
      <c r="CO26" s="138"/>
      <c r="CP26" s="143"/>
      <c r="CQ26" s="148"/>
      <c r="CR26" s="142"/>
      <c r="CS26" s="142"/>
      <c r="CT26" s="142"/>
      <c r="CU26" s="142"/>
      <c r="CV26" s="142"/>
      <c r="CW26" s="142"/>
      <c r="CX26" s="142"/>
      <c r="CY26" s="142"/>
      <c r="CZ26" s="142"/>
      <c r="DA26" s="142"/>
      <c r="DB26" s="142"/>
      <c r="DC26" s="142"/>
      <c r="DD26" s="142"/>
      <c r="DE26" s="142"/>
      <c r="DF26" s="142"/>
      <c r="DG26" s="149"/>
      <c r="DH26" s="143"/>
      <c r="DI26" s="142"/>
      <c r="DJ26" s="143"/>
      <c r="DK26" s="165"/>
      <c r="DL26" s="142"/>
      <c r="DM26" s="142"/>
      <c r="DN26" s="138"/>
      <c r="DO26" s="165"/>
      <c r="DP26" s="142"/>
      <c r="DQ26" s="142"/>
      <c r="DR26" s="143"/>
      <c r="DS26" s="165"/>
      <c r="DT26" s="142"/>
      <c r="DU26" s="142"/>
      <c r="DV26" s="142"/>
      <c r="DW26" s="151"/>
      <c r="DX26" s="142"/>
      <c r="DY26" s="142"/>
      <c r="DZ26" s="143"/>
      <c r="EA26" s="142"/>
      <c r="EB26" s="143"/>
      <c r="EC26" s="142"/>
      <c r="ED26" s="143"/>
      <c r="EE26" s="143"/>
      <c r="EF26" s="152"/>
      <c r="EG26" s="153"/>
      <c r="EH26" s="151"/>
      <c r="EI26" s="151"/>
      <c r="EJ26" s="152"/>
      <c r="EK26" s="154"/>
      <c r="EL26" s="152"/>
      <c r="EM26" s="150"/>
      <c r="EN26" s="142"/>
      <c r="EO26" s="143"/>
      <c r="EP26" s="143"/>
      <c r="EQ26" s="143"/>
      <c r="ER26" s="165"/>
      <c r="ES26" s="165"/>
      <c r="ET26" s="142"/>
      <c r="EU26" s="143"/>
      <c r="EV26" s="138"/>
      <c r="EW26" s="165"/>
      <c r="EX26" s="143"/>
      <c r="EY26" s="165"/>
      <c r="EZ26" s="165"/>
      <c r="FA26" s="165"/>
      <c r="FB26" s="165"/>
      <c r="FC26" s="165"/>
      <c r="FD26" s="165"/>
      <c r="FE26" s="168"/>
      <c r="FF26" s="142"/>
      <c r="FG26" s="162"/>
      <c r="FH26" s="162"/>
      <c r="FI26" s="163"/>
      <c r="FJ26" s="142"/>
      <c r="FK26" s="141"/>
      <c r="FL26" s="156"/>
      <c r="FM26" s="155"/>
      <c r="FN26" s="155"/>
      <c r="FO26" s="143"/>
      <c r="FP26" s="143"/>
      <c r="FQ26" s="142"/>
      <c r="FR26" s="142"/>
      <c r="FS26" s="142"/>
      <c r="FT26" s="142"/>
      <c r="FU26" s="142"/>
      <c r="FV26" s="142"/>
      <c r="FW26" s="142"/>
      <c r="FX26" s="142"/>
      <c r="FY26" s="142"/>
      <c r="FZ26" s="142"/>
      <c r="GA26" s="142"/>
      <c r="GB26" s="142"/>
    </row>
    <row r="27" spans="1:185" ht="16">
      <c r="A27" s="138"/>
      <c r="B27" s="139"/>
      <c r="C27" s="140"/>
      <c r="Y27" s="141"/>
      <c r="Z27" s="164"/>
      <c r="AA27" s="157"/>
      <c r="AB27" s="142"/>
      <c r="AC27" s="158"/>
      <c r="AD27" s="158"/>
      <c r="AE27" s="158"/>
      <c r="AF27" s="158"/>
      <c r="AG27" s="159"/>
      <c r="AH27" s="157"/>
      <c r="AI27" s="157"/>
      <c r="AJ27" s="143"/>
      <c r="AK27" s="144"/>
      <c r="AL27" s="144"/>
      <c r="AM27" s="142"/>
      <c r="AN27" s="142"/>
      <c r="AO27" s="142"/>
      <c r="AP27" s="142"/>
      <c r="AQ27" s="142"/>
      <c r="AR27" s="143"/>
      <c r="AS27" s="145"/>
      <c r="AT27" s="142"/>
      <c r="AU27" s="142"/>
      <c r="AV27" s="165"/>
      <c r="AW27" s="157"/>
      <c r="AX27" s="165"/>
      <c r="AY27" s="143"/>
      <c r="AZ27" s="165"/>
      <c r="BA27" s="165"/>
      <c r="BB27" s="165"/>
      <c r="BC27" s="165"/>
      <c r="BD27" s="165"/>
      <c r="BE27" s="165"/>
      <c r="BF27" s="165"/>
      <c r="BG27" s="143"/>
      <c r="BH27" s="166"/>
      <c r="BI27" s="141"/>
      <c r="BJ27" s="160"/>
      <c r="BK27" s="141"/>
      <c r="BL27" s="142"/>
      <c r="BM27" s="143"/>
      <c r="BN27" s="157"/>
      <c r="BO27" s="165"/>
      <c r="BP27" s="167"/>
      <c r="BQ27" s="159"/>
      <c r="BR27" s="143"/>
      <c r="BS27" s="161"/>
      <c r="BT27" s="157"/>
      <c r="BU27" s="157"/>
      <c r="BV27" s="157"/>
      <c r="BW27" s="146"/>
      <c r="BX27" s="157"/>
      <c r="BY27" s="142"/>
      <c r="BZ27" s="141"/>
      <c r="CA27" s="143"/>
      <c r="CB27" s="142"/>
      <c r="CC27" s="142"/>
      <c r="CD27" s="142"/>
      <c r="CE27" s="142"/>
      <c r="CF27" s="142"/>
      <c r="CG27" s="142"/>
      <c r="CH27" s="157"/>
      <c r="CI27" s="142"/>
      <c r="CJ27" s="159"/>
      <c r="CK27" s="143"/>
      <c r="CL27" s="147"/>
      <c r="CM27" s="147"/>
      <c r="CN27" s="143"/>
      <c r="CO27" s="138"/>
      <c r="CP27" s="143"/>
      <c r="CQ27" s="148"/>
      <c r="CR27" s="142"/>
      <c r="CS27" s="142"/>
      <c r="CT27" s="142"/>
      <c r="CU27" s="142"/>
      <c r="CV27" s="142"/>
      <c r="CW27" s="142"/>
      <c r="CX27" s="142"/>
      <c r="CY27" s="142"/>
      <c r="CZ27" s="142"/>
      <c r="DA27" s="142"/>
      <c r="DB27" s="142"/>
      <c r="DC27" s="142"/>
      <c r="DD27" s="142"/>
      <c r="DE27" s="142"/>
      <c r="DF27" s="142"/>
      <c r="DG27" s="149"/>
      <c r="DH27" s="143"/>
      <c r="DI27" s="142"/>
      <c r="DJ27" s="143"/>
      <c r="DK27" s="165"/>
      <c r="DL27" s="142"/>
      <c r="DM27" s="142"/>
      <c r="DN27" s="138"/>
      <c r="DO27" s="165"/>
      <c r="DP27" s="142"/>
      <c r="DQ27" s="142"/>
      <c r="DR27" s="143"/>
      <c r="DS27" s="165"/>
      <c r="DT27" s="142"/>
      <c r="DU27" s="142"/>
      <c r="DV27" s="142"/>
      <c r="DW27" s="151"/>
      <c r="DX27" s="142"/>
      <c r="DY27" s="142"/>
      <c r="DZ27" s="143"/>
      <c r="EA27" s="142"/>
      <c r="EB27" s="143"/>
      <c r="EC27" s="142"/>
      <c r="ED27" s="143"/>
      <c r="EE27" s="143"/>
      <c r="EF27" s="152"/>
      <c r="EG27" s="153"/>
      <c r="EH27" s="151"/>
      <c r="EI27" s="151"/>
      <c r="EJ27" s="152"/>
      <c r="EK27" s="154"/>
      <c r="EL27" s="152"/>
      <c r="EM27" s="150"/>
      <c r="EN27" s="142"/>
      <c r="EO27" s="143"/>
      <c r="EP27" s="143"/>
      <c r="EQ27" s="143"/>
      <c r="ER27" s="165"/>
      <c r="ES27" s="165"/>
      <c r="ET27" s="142"/>
      <c r="EU27" s="143"/>
      <c r="EV27" s="138"/>
      <c r="EW27" s="165"/>
      <c r="EX27" s="143"/>
      <c r="EY27" s="165"/>
      <c r="EZ27" s="165"/>
      <c r="FA27" s="165"/>
      <c r="FB27" s="165"/>
      <c r="FC27" s="165"/>
      <c r="FD27" s="165"/>
      <c r="FE27" s="168"/>
      <c r="FF27" s="142"/>
      <c r="FG27" s="162"/>
      <c r="FH27" s="162"/>
      <c r="FI27" s="163"/>
      <c r="FJ27" s="142"/>
      <c r="FK27" s="141"/>
      <c r="FL27" s="156"/>
      <c r="FM27" s="155"/>
      <c r="FN27" s="155"/>
      <c r="FO27" s="143"/>
      <c r="FP27" s="143"/>
      <c r="FQ27" s="142"/>
      <c r="FR27" s="142"/>
      <c r="FS27" s="142"/>
      <c r="FT27" s="142"/>
      <c r="FU27" s="142"/>
      <c r="FV27" s="142"/>
      <c r="FW27" s="142"/>
      <c r="FX27" s="142"/>
      <c r="FY27" s="142"/>
      <c r="FZ27" s="142"/>
      <c r="GA27" s="142"/>
      <c r="GB27" s="142"/>
    </row>
    <row r="28" spans="1:185" ht="16">
      <c r="A28" s="138"/>
      <c r="B28" s="139"/>
      <c r="C28" s="140"/>
      <c r="Y28" s="141"/>
      <c r="Z28" s="164"/>
      <c r="AA28" s="142"/>
      <c r="AB28" s="142"/>
      <c r="AC28" s="158"/>
      <c r="AD28" s="158"/>
      <c r="AE28" s="158"/>
      <c r="AF28" s="158"/>
      <c r="AG28" s="159"/>
      <c r="AH28" s="157"/>
      <c r="AI28" s="157"/>
      <c r="AJ28" s="143"/>
      <c r="AK28" s="144"/>
      <c r="AL28" s="144"/>
      <c r="AM28" s="142"/>
      <c r="AN28" s="142"/>
      <c r="AO28" s="142"/>
      <c r="AP28" s="142"/>
      <c r="AQ28" s="142"/>
      <c r="AR28" s="143"/>
      <c r="AS28" s="145"/>
      <c r="AT28" s="142"/>
      <c r="AU28" s="142"/>
      <c r="AV28" s="165"/>
      <c r="AW28" s="157"/>
      <c r="AX28" s="165"/>
      <c r="AY28" s="143"/>
      <c r="AZ28" s="165"/>
      <c r="BA28" s="165"/>
      <c r="BB28" s="165"/>
      <c r="BC28" s="165"/>
      <c r="BD28" s="165"/>
      <c r="BE28" s="165"/>
      <c r="BF28" s="165"/>
      <c r="BG28" s="143"/>
      <c r="BH28" s="166"/>
      <c r="BI28" s="141"/>
      <c r="BJ28" s="160"/>
      <c r="BK28" s="141"/>
      <c r="BL28" s="142"/>
      <c r="BM28" s="143"/>
      <c r="BN28" s="157"/>
      <c r="BO28" s="165"/>
      <c r="BP28" s="167"/>
      <c r="BQ28" s="159"/>
      <c r="BR28" s="143"/>
      <c r="BS28" s="161"/>
      <c r="BT28" s="157"/>
      <c r="BU28" s="157"/>
      <c r="BV28" s="157"/>
      <c r="BW28" s="146"/>
      <c r="BX28" s="157"/>
      <c r="BY28" s="142"/>
      <c r="BZ28" s="141"/>
      <c r="CA28" s="143"/>
      <c r="CB28" s="142"/>
      <c r="CC28" s="142"/>
      <c r="CD28" s="142"/>
      <c r="CE28" s="142"/>
      <c r="CF28" s="142"/>
      <c r="CG28" s="142"/>
      <c r="CH28" s="157"/>
      <c r="CI28" s="142"/>
      <c r="CJ28" s="159"/>
      <c r="CK28" s="143"/>
      <c r="CL28" s="147"/>
      <c r="CM28" s="147"/>
      <c r="CN28" s="143"/>
      <c r="CO28" s="138"/>
      <c r="CP28" s="143"/>
      <c r="CQ28" s="148"/>
      <c r="CR28" s="142"/>
      <c r="CS28" s="142"/>
      <c r="CT28" s="142"/>
      <c r="CU28" s="142"/>
      <c r="CV28" s="142"/>
      <c r="CW28" s="142"/>
      <c r="CX28" s="142"/>
      <c r="CY28" s="142"/>
      <c r="CZ28" s="142"/>
      <c r="DA28" s="142"/>
      <c r="DB28" s="142"/>
      <c r="DC28" s="142"/>
      <c r="DD28" s="142"/>
      <c r="DE28" s="142"/>
      <c r="DF28" s="142"/>
      <c r="DG28" s="149"/>
      <c r="DH28" s="143"/>
      <c r="DI28" s="142"/>
      <c r="DJ28" s="143"/>
      <c r="DK28" s="165"/>
      <c r="DL28" s="142"/>
      <c r="DM28" s="142"/>
      <c r="DN28" s="138"/>
      <c r="DO28" s="165"/>
      <c r="DP28" s="142"/>
      <c r="DQ28" s="142"/>
      <c r="DR28" s="143"/>
      <c r="DS28" s="165"/>
      <c r="DT28" s="142"/>
      <c r="DU28" s="142"/>
      <c r="DV28" s="142"/>
      <c r="DW28" s="151"/>
      <c r="DX28" s="142"/>
      <c r="DY28" s="142"/>
      <c r="DZ28" s="143"/>
      <c r="EA28" s="142"/>
      <c r="EB28" s="143"/>
      <c r="EC28" s="142"/>
      <c r="ED28" s="143"/>
      <c r="EE28" s="143"/>
      <c r="EF28" s="152"/>
      <c r="EG28" s="153"/>
      <c r="EH28" s="151"/>
      <c r="EI28" s="151"/>
      <c r="EJ28" s="152"/>
      <c r="EK28" s="154"/>
      <c r="EL28" s="152"/>
      <c r="EM28" s="150"/>
      <c r="EN28" s="142"/>
      <c r="EO28" s="143"/>
      <c r="EP28" s="143"/>
      <c r="EQ28" s="143"/>
      <c r="ER28" s="165"/>
      <c r="ES28" s="165"/>
      <c r="ET28" s="142"/>
      <c r="EU28" s="143"/>
      <c r="EV28" s="138"/>
      <c r="EW28" s="165"/>
      <c r="EX28" s="143"/>
      <c r="EY28" s="165"/>
      <c r="EZ28" s="165"/>
      <c r="FA28" s="165"/>
      <c r="FB28" s="165"/>
      <c r="FC28" s="165"/>
      <c r="FD28" s="165"/>
      <c r="FE28" s="168"/>
      <c r="FF28" s="142"/>
      <c r="FG28" s="162"/>
      <c r="FH28" s="162"/>
      <c r="FI28" s="163"/>
      <c r="FJ28" s="142"/>
      <c r="FK28" s="141"/>
      <c r="FL28" s="156"/>
      <c r="FM28" s="155"/>
      <c r="FN28" s="155"/>
      <c r="FO28" s="143"/>
      <c r="FP28" s="143"/>
      <c r="FQ28" s="142"/>
      <c r="FR28" s="142"/>
      <c r="FS28" s="142"/>
      <c r="FT28" s="142"/>
      <c r="FU28" s="142"/>
      <c r="FV28" s="142"/>
      <c r="FW28" s="142"/>
      <c r="FX28" s="142"/>
      <c r="FY28" s="142"/>
      <c r="FZ28" s="142"/>
      <c r="GA28" s="142"/>
      <c r="GB28" s="142"/>
    </row>
    <row r="29" spans="1:185" ht="16">
      <c r="A29" s="138"/>
      <c r="B29" s="139"/>
      <c r="C29" s="140"/>
      <c r="Y29" s="141"/>
      <c r="Z29" s="164"/>
      <c r="AA29" s="157"/>
      <c r="AB29" s="142"/>
      <c r="AC29" s="158"/>
      <c r="AD29" s="158"/>
      <c r="AE29" s="158"/>
      <c r="AF29" s="158"/>
      <c r="AG29" s="159"/>
      <c r="AH29" s="157"/>
      <c r="AI29" s="157"/>
      <c r="AJ29" s="143"/>
      <c r="AK29" s="144"/>
      <c r="AL29" s="144"/>
      <c r="AM29" s="142"/>
      <c r="AN29" s="142"/>
      <c r="AO29" s="142"/>
      <c r="AP29" s="142"/>
      <c r="AQ29" s="142"/>
      <c r="AR29" s="143"/>
      <c r="AS29" s="145"/>
      <c r="AT29" s="142"/>
      <c r="AU29" s="142"/>
      <c r="AV29" s="165"/>
      <c r="AW29" s="157"/>
      <c r="AX29" s="165"/>
      <c r="AY29" s="143"/>
      <c r="AZ29" s="165"/>
      <c r="BA29" s="165"/>
      <c r="BB29" s="165"/>
      <c r="BC29" s="165"/>
      <c r="BD29" s="165"/>
      <c r="BE29" s="165"/>
      <c r="BF29" s="165"/>
      <c r="BG29" s="143"/>
      <c r="BH29" s="166"/>
      <c r="BI29" s="141"/>
      <c r="BJ29" s="160"/>
      <c r="BK29" s="141"/>
      <c r="BL29" s="142"/>
      <c r="BM29" s="143"/>
      <c r="BN29" s="157"/>
      <c r="BO29" s="165"/>
      <c r="BP29" s="167"/>
      <c r="BQ29" s="159"/>
      <c r="BR29" s="143"/>
      <c r="BS29" s="161"/>
      <c r="BT29" s="157"/>
      <c r="BU29" s="157"/>
      <c r="BV29" s="157"/>
      <c r="BW29" s="146"/>
      <c r="BX29" s="157"/>
      <c r="BY29" s="142"/>
      <c r="BZ29" s="141"/>
      <c r="CA29" s="143"/>
      <c r="CB29" s="142"/>
      <c r="CC29" s="142"/>
      <c r="CD29" s="142"/>
      <c r="CE29" s="142"/>
      <c r="CF29" s="142"/>
      <c r="CG29" s="142"/>
      <c r="CH29" s="157"/>
      <c r="CI29" s="142"/>
      <c r="CJ29" s="159"/>
      <c r="CK29" s="143"/>
      <c r="CL29" s="147"/>
      <c r="CM29" s="147"/>
      <c r="CN29" s="143"/>
      <c r="CO29" s="138"/>
      <c r="CP29" s="143"/>
      <c r="CQ29" s="148"/>
      <c r="CR29" s="142"/>
      <c r="CS29" s="142"/>
      <c r="CT29" s="142"/>
      <c r="CU29" s="142"/>
      <c r="CV29" s="142"/>
      <c r="CW29" s="142"/>
      <c r="CX29" s="142"/>
      <c r="CY29" s="142"/>
      <c r="CZ29" s="142"/>
      <c r="DA29" s="142"/>
      <c r="DB29" s="142"/>
      <c r="DC29" s="142"/>
      <c r="DD29" s="142"/>
      <c r="DE29" s="142"/>
      <c r="DF29" s="142"/>
      <c r="DG29" s="149"/>
      <c r="DH29" s="143"/>
      <c r="DI29" s="142"/>
      <c r="DJ29" s="143"/>
      <c r="DK29" s="165"/>
      <c r="DL29" s="142"/>
      <c r="DM29" s="142"/>
      <c r="DN29" s="138"/>
      <c r="DO29" s="165"/>
      <c r="DP29" s="142"/>
      <c r="DQ29" s="142"/>
      <c r="DR29" s="143"/>
      <c r="DS29" s="165"/>
      <c r="DT29" s="142"/>
      <c r="DU29" s="142"/>
      <c r="DV29" s="142"/>
      <c r="DW29" s="151"/>
      <c r="DX29" s="142"/>
      <c r="DY29" s="142"/>
      <c r="DZ29" s="143"/>
      <c r="EA29" s="142"/>
      <c r="EB29" s="143"/>
      <c r="EC29" s="142"/>
      <c r="ED29" s="143"/>
      <c r="EE29" s="143"/>
      <c r="EF29" s="152"/>
      <c r="EG29" s="153"/>
      <c r="EH29" s="151"/>
      <c r="EI29" s="151"/>
      <c r="EJ29" s="152"/>
      <c r="EK29" s="154"/>
      <c r="EL29" s="152"/>
      <c r="EM29" s="150"/>
      <c r="EN29" s="142"/>
      <c r="EO29" s="143"/>
      <c r="EP29" s="143"/>
      <c r="EQ29" s="143"/>
      <c r="ER29" s="165"/>
      <c r="ES29" s="165"/>
      <c r="ET29" s="142"/>
      <c r="EU29" s="143"/>
      <c r="EV29" s="138"/>
      <c r="EW29" s="165"/>
      <c r="EX29" s="143"/>
      <c r="EY29" s="165"/>
      <c r="EZ29" s="165"/>
      <c r="FA29" s="165"/>
      <c r="FB29" s="165"/>
      <c r="FC29" s="165"/>
      <c r="FD29" s="165"/>
      <c r="FE29" s="168"/>
      <c r="FF29" s="142"/>
      <c r="FG29" s="162"/>
      <c r="FH29" s="162"/>
      <c r="FI29" s="163"/>
      <c r="FJ29" s="142"/>
      <c r="FK29" s="141"/>
      <c r="FL29" s="156"/>
      <c r="FM29" s="155"/>
      <c r="FN29" s="155"/>
      <c r="FO29" s="143"/>
      <c r="FP29" s="143"/>
      <c r="FQ29" s="142"/>
      <c r="FR29" s="142"/>
      <c r="FS29" s="142"/>
      <c r="FT29" s="142"/>
      <c r="FU29" s="142"/>
      <c r="FV29" s="142"/>
      <c r="FW29" s="142"/>
      <c r="FX29" s="142"/>
      <c r="FY29" s="142"/>
      <c r="FZ29" s="142"/>
      <c r="GA29" s="142"/>
      <c r="GB29" s="142"/>
    </row>
    <row r="30" spans="1:185" ht="16">
      <c r="A30" s="138"/>
      <c r="B30" s="139"/>
      <c r="C30" s="140"/>
      <c r="Y30" s="141"/>
      <c r="Z30" s="164"/>
      <c r="AA30" s="142"/>
      <c r="AB30" s="142"/>
      <c r="AC30" s="158"/>
      <c r="AD30" s="158"/>
      <c r="AE30" s="158"/>
      <c r="AF30" s="158"/>
      <c r="AG30" s="159"/>
      <c r="AH30" s="157"/>
      <c r="AI30" s="157"/>
      <c r="AJ30" s="143"/>
      <c r="AK30" s="144"/>
      <c r="AL30" s="144"/>
      <c r="AM30" s="142"/>
      <c r="AN30" s="142"/>
      <c r="AO30" s="142"/>
      <c r="AP30" s="142"/>
      <c r="AQ30" s="142"/>
      <c r="AR30" s="143"/>
      <c r="AS30" s="145"/>
      <c r="AT30" s="142"/>
      <c r="AU30" s="142"/>
      <c r="AV30" s="165"/>
      <c r="AW30" s="157"/>
      <c r="AX30" s="165"/>
      <c r="AY30" s="143"/>
      <c r="AZ30" s="165"/>
      <c r="BA30" s="165"/>
      <c r="BB30" s="165"/>
      <c r="BC30" s="165"/>
      <c r="BD30" s="165"/>
      <c r="BE30" s="165"/>
      <c r="BF30" s="165"/>
      <c r="BG30" s="143"/>
      <c r="BH30" s="166"/>
      <c r="BI30" s="141"/>
      <c r="BJ30" s="160"/>
      <c r="BK30" s="141"/>
      <c r="BL30" s="142"/>
      <c r="BM30" s="143"/>
      <c r="BN30" s="157"/>
      <c r="BO30" s="165"/>
      <c r="BP30" s="167"/>
      <c r="BQ30" s="159"/>
      <c r="BR30" s="143"/>
      <c r="BS30" s="161"/>
      <c r="BT30" s="157"/>
      <c r="BU30" s="157"/>
      <c r="BV30" s="157"/>
      <c r="BW30" s="146"/>
      <c r="BX30" s="157"/>
      <c r="BY30" s="142"/>
      <c r="BZ30" s="141"/>
      <c r="CA30" s="143"/>
      <c r="CB30" s="142"/>
      <c r="CC30" s="142"/>
      <c r="CD30" s="142"/>
      <c r="CE30" s="142"/>
      <c r="CF30" s="142"/>
      <c r="CG30" s="142"/>
      <c r="CH30" s="157"/>
      <c r="CI30" s="142"/>
      <c r="CJ30" s="159"/>
      <c r="CK30" s="143"/>
      <c r="CL30" s="147"/>
      <c r="CM30" s="147"/>
      <c r="CN30" s="143"/>
      <c r="CO30" s="138"/>
      <c r="CP30" s="143"/>
      <c r="CQ30" s="148"/>
      <c r="CR30" s="142"/>
      <c r="CS30" s="142"/>
      <c r="CT30" s="142"/>
      <c r="CU30" s="142"/>
      <c r="CV30" s="142"/>
      <c r="CW30" s="142"/>
      <c r="CX30" s="142"/>
      <c r="CY30" s="142"/>
      <c r="CZ30" s="142"/>
      <c r="DA30" s="142"/>
      <c r="DB30" s="142"/>
      <c r="DC30" s="142"/>
      <c r="DD30" s="142"/>
      <c r="DE30" s="142"/>
      <c r="DF30" s="142"/>
      <c r="DG30" s="149"/>
      <c r="DH30" s="143"/>
      <c r="DI30" s="142"/>
      <c r="DJ30" s="143"/>
      <c r="DK30" s="165"/>
      <c r="DL30" s="142"/>
      <c r="DM30" s="142"/>
      <c r="DN30" s="138"/>
      <c r="DO30" s="165"/>
      <c r="DP30" s="142"/>
      <c r="DQ30" s="142"/>
      <c r="DR30" s="143"/>
      <c r="DS30" s="165"/>
      <c r="DT30" s="142"/>
      <c r="DU30" s="142"/>
      <c r="DV30" s="142"/>
      <c r="DW30" s="151"/>
      <c r="DX30" s="142"/>
      <c r="DY30" s="142"/>
      <c r="DZ30" s="143"/>
      <c r="EA30" s="142"/>
      <c r="EB30" s="143"/>
      <c r="EC30" s="142"/>
      <c r="ED30" s="143"/>
      <c r="EE30" s="143"/>
      <c r="EF30" s="152"/>
      <c r="EG30" s="153"/>
      <c r="EH30" s="151"/>
      <c r="EI30" s="151"/>
      <c r="EJ30" s="152"/>
      <c r="EK30" s="154"/>
      <c r="EL30" s="152"/>
      <c r="EM30" s="150"/>
      <c r="EN30" s="142"/>
      <c r="EO30" s="143"/>
      <c r="EP30" s="143"/>
      <c r="EQ30" s="143"/>
      <c r="ER30" s="165"/>
      <c r="ES30" s="165"/>
      <c r="ET30" s="142"/>
      <c r="EU30" s="143"/>
      <c r="EV30" s="138"/>
      <c r="EW30" s="165"/>
      <c r="EX30" s="143"/>
      <c r="EY30" s="165"/>
      <c r="EZ30" s="165"/>
      <c r="FA30" s="165"/>
      <c r="FB30" s="165"/>
      <c r="FC30" s="165"/>
      <c r="FD30" s="165"/>
      <c r="FE30" s="168"/>
      <c r="FF30" s="142"/>
      <c r="FG30" s="162"/>
      <c r="FH30" s="162"/>
      <c r="FI30" s="163"/>
      <c r="FJ30" s="142"/>
      <c r="FK30" s="141"/>
      <c r="FL30" s="156"/>
      <c r="FM30" s="155"/>
      <c r="FN30" s="155"/>
      <c r="FO30" s="143"/>
      <c r="FP30" s="143"/>
      <c r="FQ30" s="142"/>
      <c r="FR30" s="142"/>
      <c r="FS30" s="142"/>
      <c r="FT30" s="142"/>
      <c r="FU30" s="142"/>
      <c r="FV30" s="142"/>
      <c r="FW30" s="142"/>
      <c r="FX30" s="142"/>
      <c r="FY30" s="142"/>
      <c r="FZ30" s="142"/>
      <c r="GA30" s="142"/>
      <c r="GB30" s="142"/>
    </row>
    <row r="31" spans="1:185" ht="16">
      <c r="A31" s="138"/>
      <c r="B31" s="139"/>
      <c r="C31" s="140"/>
      <c r="Y31" s="141"/>
      <c r="Z31" s="164"/>
      <c r="AA31" s="157"/>
      <c r="AB31" s="142"/>
      <c r="AC31" s="158"/>
      <c r="AD31" s="158"/>
      <c r="AE31" s="158"/>
      <c r="AF31" s="158"/>
      <c r="AG31" s="159"/>
      <c r="AH31" s="157"/>
      <c r="AI31" s="157"/>
      <c r="AJ31" s="143"/>
      <c r="AK31" s="144"/>
      <c r="AL31" s="144"/>
      <c r="AM31" s="142"/>
      <c r="AN31" s="142"/>
      <c r="AO31" s="142"/>
      <c r="AP31" s="142"/>
      <c r="AQ31" s="142"/>
      <c r="AR31" s="143"/>
      <c r="AS31" s="145"/>
      <c r="AT31" s="142"/>
      <c r="AU31" s="142"/>
      <c r="AV31" s="165"/>
      <c r="AW31" s="157"/>
      <c r="AX31" s="165"/>
      <c r="AY31" s="143"/>
      <c r="AZ31" s="165"/>
      <c r="BA31" s="165"/>
      <c r="BB31" s="165"/>
      <c r="BC31" s="165"/>
      <c r="BD31" s="165"/>
      <c r="BE31" s="165"/>
      <c r="BF31" s="165"/>
      <c r="BG31" s="143"/>
      <c r="BH31" s="166"/>
      <c r="BI31" s="141"/>
      <c r="BJ31" s="160"/>
      <c r="BK31" s="141"/>
      <c r="BL31" s="142"/>
      <c r="BM31" s="143"/>
      <c r="BN31" s="157"/>
      <c r="BO31" s="165"/>
      <c r="BP31" s="167"/>
      <c r="BQ31" s="159"/>
      <c r="BR31" s="143"/>
      <c r="BS31" s="161"/>
      <c r="BT31" s="157"/>
      <c r="BU31" s="157"/>
      <c r="BV31" s="157"/>
      <c r="BW31" s="146"/>
      <c r="BX31" s="157"/>
      <c r="BY31" s="142"/>
      <c r="BZ31" s="141"/>
      <c r="CA31" s="143"/>
      <c r="CB31" s="142"/>
      <c r="CC31" s="142"/>
      <c r="CD31" s="142"/>
      <c r="CE31" s="142"/>
      <c r="CF31" s="142"/>
      <c r="CG31" s="142"/>
      <c r="CH31" s="157"/>
      <c r="CI31" s="142"/>
      <c r="CJ31" s="159"/>
      <c r="CK31" s="143"/>
      <c r="CL31" s="147"/>
      <c r="CM31" s="147"/>
      <c r="CN31" s="143"/>
      <c r="CO31" s="138"/>
      <c r="CP31" s="143"/>
      <c r="CQ31" s="148"/>
      <c r="CR31" s="142"/>
      <c r="CS31" s="142"/>
      <c r="CT31" s="142"/>
      <c r="CU31" s="142"/>
      <c r="CV31" s="142"/>
      <c r="CW31" s="142"/>
      <c r="CX31" s="142"/>
      <c r="CY31" s="142"/>
      <c r="CZ31" s="142"/>
      <c r="DA31" s="142"/>
      <c r="DB31" s="142"/>
      <c r="DC31" s="142"/>
      <c r="DD31" s="142"/>
      <c r="DE31" s="142"/>
      <c r="DF31" s="142"/>
      <c r="DG31" s="149"/>
      <c r="DH31" s="143"/>
      <c r="DI31" s="142"/>
      <c r="DJ31" s="143"/>
      <c r="DK31" s="165"/>
      <c r="DL31" s="142"/>
      <c r="DM31" s="142"/>
      <c r="DN31" s="138"/>
      <c r="DO31" s="165"/>
      <c r="DP31" s="142"/>
      <c r="DQ31" s="142"/>
      <c r="DR31" s="143"/>
      <c r="DS31" s="165"/>
      <c r="DT31" s="142"/>
      <c r="DU31" s="142"/>
      <c r="DV31" s="142"/>
      <c r="DW31" s="151"/>
      <c r="DX31" s="142"/>
      <c r="DY31" s="142"/>
      <c r="DZ31" s="143"/>
      <c r="EA31" s="142"/>
      <c r="EB31" s="143"/>
      <c r="EC31" s="142"/>
      <c r="ED31" s="143"/>
      <c r="EE31" s="143"/>
      <c r="EF31" s="152"/>
      <c r="EG31" s="153"/>
      <c r="EH31" s="151"/>
      <c r="EI31" s="151"/>
      <c r="EJ31" s="152"/>
      <c r="EK31" s="154"/>
      <c r="EL31" s="152"/>
      <c r="EM31" s="150"/>
      <c r="EN31" s="142"/>
      <c r="EO31" s="143"/>
      <c r="EP31" s="143"/>
      <c r="EQ31" s="143"/>
      <c r="ER31" s="165"/>
      <c r="ES31" s="165"/>
      <c r="ET31" s="142"/>
      <c r="EU31" s="143"/>
      <c r="EV31" s="138"/>
      <c r="EW31" s="165"/>
      <c r="EX31" s="143"/>
      <c r="EY31" s="165"/>
      <c r="EZ31" s="165"/>
      <c r="FA31" s="165"/>
      <c r="FB31" s="165"/>
      <c r="FC31" s="165"/>
      <c r="FD31" s="165"/>
      <c r="FE31" s="168"/>
      <c r="FF31" s="142"/>
      <c r="FG31" s="162"/>
      <c r="FH31" s="162"/>
      <c r="FI31" s="163"/>
      <c r="FJ31" s="142"/>
      <c r="FK31" s="141"/>
      <c r="FL31" s="156"/>
      <c r="FM31" s="155"/>
      <c r="FN31" s="155"/>
      <c r="FO31" s="143"/>
      <c r="FP31" s="143"/>
      <c r="FQ31" s="142"/>
      <c r="FR31" s="142"/>
      <c r="FS31" s="142"/>
      <c r="FT31" s="142"/>
      <c r="FU31" s="142"/>
      <c r="FV31" s="142"/>
      <c r="FW31" s="142"/>
      <c r="FX31" s="142"/>
      <c r="FY31" s="142"/>
      <c r="FZ31" s="142"/>
      <c r="GA31" s="142"/>
      <c r="GB31" s="142"/>
    </row>
    <row r="32" spans="1:185" ht="16">
      <c r="A32" s="138"/>
      <c r="B32" s="139"/>
      <c r="C32" s="140"/>
      <c r="Y32" s="141"/>
      <c r="Z32" s="164"/>
      <c r="AA32" s="142"/>
      <c r="AB32" s="142"/>
      <c r="AC32" s="158"/>
      <c r="AD32" s="158"/>
      <c r="AE32" s="158"/>
      <c r="AF32" s="158"/>
      <c r="AG32" s="159"/>
      <c r="AH32" s="157"/>
      <c r="AI32" s="157"/>
      <c r="AJ32" s="143"/>
      <c r="AK32" s="144"/>
      <c r="AL32" s="144"/>
      <c r="AM32" s="142"/>
      <c r="AN32" s="142"/>
      <c r="AO32" s="142"/>
      <c r="AP32" s="142"/>
      <c r="AQ32" s="142"/>
      <c r="AR32" s="143"/>
      <c r="AS32" s="145"/>
      <c r="AT32" s="142"/>
      <c r="AU32" s="142"/>
      <c r="AV32" s="165"/>
      <c r="AW32" s="157"/>
      <c r="AX32" s="165"/>
      <c r="AY32" s="143"/>
      <c r="AZ32" s="165"/>
      <c r="BA32" s="165"/>
      <c r="BB32" s="165"/>
      <c r="BC32" s="165"/>
      <c r="BD32" s="165"/>
      <c r="BE32" s="165"/>
      <c r="BF32" s="165"/>
      <c r="BG32" s="143"/>
      <c r="BH32" s="166"/>
      <c r="BI32" s="141"/>
      <c r="BJ32" s="160"/>
      <c r="BK32" s="141"/>
      <c r="BL32" s="142"/>
      <c r="BM32" s="143"/>
      <c r="BN32" s="157"/>
      <c r="BO32" s="165"/>
      <c r="BP32" s="167"/>
      <c r="BQ32" s="159"/>
      <c r="BR32" s="143"/>
      <c r="BS32" s="161"/>
      <c r="BT32" s="157"/>
      <c r="BU32" s="157"/>
      <c r="BV32" s="157"/>
      <c r="BW32" s="146"/>
      <c r="BX32" s="157"/>
      <c r="BY32" s="142"/>
      <c r="BZ32" s="141"/>
      <c r="CA32" s="143"/>
      <c r="CB32" s="142"/>
      <c r="CC32" s="142"/>
      <c r="CD32" s="142"/>
      <c r="CE32" s="142"/>
      <c r="CF32" s="142"/>
      <c r="CG32" s="142"/>
      <c r="CH32" s="157"/>
      <c r="CI32" s="142"/>
      <c r="CJ32" s="159"/>
      <c r="CK32" s="143"/>
      <c r="CL32" s="147"/>
      <c r="CM32" s="147"/>
      <c r="CN32" s="143"/>
      <c r="CO32" s="138"/>
      <c r="CP32" s="143"/>
      <c r="CQ32" s="148"/>
      <c r="CR32" s="142"/>
      <c r="CS32" s="142"/>
      <c r="CT32" s="142"/>
      <c r="CU32" s="142"/>
      <c r="CV32" s="142"/>
      <c r="CW32" s="142"/>
      <c r="CX32" s="142"/>
      <c r="CY32" s="142"/>
      <c r="CZ32" s="142"/>
      <c r="DA32" s="142"/>
      <c r="DB32" s="142"/>
      <c r="DC32" s="142"/>
      <c r="DD32" s="142"/>
      <c r="DE32" s="142"/>
      <c r="DF32" s="142"/>
      <c r="DG32" s="149"/>
      <c r="DH32" s="143"/>
      <c r="DI32" s="142"/>
      <c r="DJ32" s="143"/>
      <c r="DK32" s="165"/>
      <c r="DL32" s="142"/>
      <c r="DM32" s="142"/>
      <c r="DN32" s="138"/>
      <c r="DO32" s="165"/>
      <c r="DP32" s="142"/>
      <c r="DQ32" s="142"/>
      <c r="DR32" s="143"/>
      <c r="DS32" s="165"/>
      <c r="DT32" s="142"/>
      <c r="DU32" s="142"/>
      <c r="DV32" s="142"/>
      <c r="DW32" s="151"/>
      <c r="DX32" s="142"/>
      <c r="DY32" s="142"/>
      <c r="DZ32" s="143"/>
      <c r="EA32" s="142"/>
      <c r="EB32" s="143"/>
      <c r="EC32" s="142"/>
      <c r="ED32" s="143"/>
      <c r="EE32" s="143"/>
      <c r="EF32" s="152"/>
      <c r="EG32" s="153"/>
      <c r="EH32" s="151"/>
      <c r="EI32" s="151"/>
      <c r="EJ32" s="152"/>
      <c r="EK32" s="154"/>
      <c r="EL32" s="152"/>
      <c r="EM32" s="150"/>
      <c r="EN32" s="142"/>
      <c r="EO32" s="143"/>
      <c r="EP32" s="143"/>
      <c r="EQ32" s="143"/>
      <c r="ER32" s="165"/>
      <c r="ES32" s="165"/>
      <c r="ET32" s="142"/>
      <c r="EU32" s="143"/>
      <c r="EV32" s="138"/>
      <c r="EW32" s="165"/>
      <c r="EX32" s="143"/>
      <c r="EY32" s="165"/>
      <c r="EZ32" s="165"/>
      <c r="FA32" s="165"/>
      <c r="FB32" s="165"/>
      <c r="FC32" s="165"/>
      <c r="FD32" s="165"/>
      <c r="FE32" s="168"/>
      <c r="FF32" s="142"/>
      <c r="FG32" s="162"/>
      <c r="FH32" s="162"/>
      <c r="FI32" s="163"/>
      <c r="FJ32" s="142"/>
      <c r="FK32" s="141"/>
      <c r="FL32" s="156"/>
      <c r="FM32" s="155"/>
      <c r="FN32" s="155"/>
      <c r="FO32" s="143"/>
      <c r="FP32" s="143"/>
      <c r="FQ32" s="142"/>
      <c r="FR32" s="142"/>
      <c r="FS32" s="142"/>
      <c r="FT32" s="142"/>
      <c r="FU32" s="142"/>
      <c r="FV32" s="142"/>
      <c r="FW32" s="142"/>
      <c r="FX32" s="142"/>
      <c r="FY32" s="142"/>
      <c r="FZ32" s="142"/>
      <c r="GA32" s="142"/>
      <c r="GB32" s="142"/>
    </row>
    <row r="33" spans="1:184" ht="16">
      <c r="A33" s="138"/>
      <c r="B33" s="139"/>
      <c r="C33" s="140"/>
      <c r="Y33" s="141"/>
      <c r="Z33" s="164"/>
      <c r="AA33" s="157"/>
      <c r="AB33" s="142"/>
      <c r="AC33" s="158"/>
      <c r="AD33" s="158"/>
      <c r="AE33" s="158"/>
      <c r="AF33" s="158"/>
      <c r="AG33" s="159"/>
      <c r="AH33" s="157"/>
      <c r="AI33" s="157"/>
      <c r="AJ33" s="143"/>
      <c r="AK33" s="144"/>
      <c r="AL33" s="144"/>
      <c r="AM33" s="142"/>
      <c r="AN33" s="142"/>
      <c r="AO33" s="142"/>
      <c r="AP33" s="142"/>
      <c r="AQ33" s="142"/>
      <c r="AR33" s="143"/>
      <c r="AS33" s="145"/>
      <c r="AT33" s="142"/>
      <c r="AU33" s="142"/>
      <c r="AV33" s="165"/>
      <c r="AW33" s="157"/>
      <c r="AX33" s="165"/>
      <c r="AY33" s="143"/>
      <c r="AZ33" s="165"/>
      <c r="BA33" s="165"/>
      <c r="BB33" s="165"/>
      <c r="BC33" s="165"/>
      <c r="BD33" s="165"/>
      <c r="BE33" s="165"/>
      <c r="BF33" s="165"/>
      <c r="BG33" s="143"/>
      <c r="BH33" s="166"/>
      <c r="BI33" s="141"/>
      <c r="BJ33" s="160"/>
      <c r="BK33" s="141"/>
      <c r="BL33" s="142"/>
      <c r="BM33" s="143"/>
      <c r="BN33" s="157"/>
      <c r="BO33" s="165"/>
      <c r="BP33" s="167"/>
      <c r="BQ33" s="159"/>
      <c r="BR33" s="143"/>
      <c r="BS33" s="161"/>
      <c r="BT33" s="157"/>
      <c r="BU33" s="157"/>
      <c r="BV33" s="157"/>
      <c r="BW33" s="146"/>
      <c r="BX33" s="157"/>
      <c r="BY33" s="142"/>
      <c r="BZ33" s="141"/>
      <c r="CA33" s="143"/>
      <c r="CB33" s="142"/>
      <c r="CC33" s="142"/>
      <c r="CD33" s="142"/>
      <c r="CE33" s="142"/>
      <c r="CF33" s="142"/>
      <c r="CG33" s="142"/>
      <c r="CH33" s="157"/>
      <c r="CI33" s="142"/>
      <c r="CJ33" s="159"/>
      <c r="CK33" s="143"/>
      <c r="CL33" s="147"/>
      <c r="CM33" s="147"/>
      <c r="CN33" s="143"/>
      <c r="CO33" s="138"/>
      <c r="CP33" s="143"/>
      <c r="CQ33" s="148"/>
      <c r="CR33" s="142"/>
      <c r="CS33" s="142"/>
      <c r="CT33" s="142"/>
      <c r="CU33" s="142"/>
      <c r="CV33" s="142"/>
      <c r="CW33" s="142"/>
      <c r="CX33" s="142"/>
      <c r="CY33" s="142"/>
      <c r="CZ33" s="142"/>
      <c r="DA33" s="142"/>
      <c r="DB33" s="142"/>
      <c r="DC33" s="142"/>
      <c r="DD33" s="142"/>
      <c r="DE33" s="142"/>
      <c r="DF33" s="142"/>
      <c r="DG33" s="149"/>
      <c r="DH33" s="143"/>
      <c r="DI33" s="142"/>
      <c r="DJ33" s="143"/>
      <c r="DK33" s="165"/>
      <c r="DL33" s="142"/>
      <c r="DM33" s="142"/>
      <c r="DN33" s="138"/>
      <c r="DO33" s="165"/>
      <c r="DP33" s="142"/>
      <c r="DQ33" s="142"/>
      <c r="DR33" s="143"/>
      <c r="DS33" s="165"/>
      <c r="DT33" s="142"/>
      <c r="DU33" s="142"/>
      <c r="DV33" s="142"/>
      <c r="DW33" s="151"/>
      <c r="DX33" s="142"/>
      <c r="DY33" s="142"/>
      <c r="DZ33" s="143"/>
      <c r="EA33" s="142"/>
      <c r="EB33" s="143"/>
      <c r="EC33" s="142"/>
      <c r="ED33" s="143"/>
      <c r="EE33" s="143"/>
      <c r="EF33" s="152"/>
      <c r="EG33" s="153"/>
      <c r="EH33" s="151"/>
      <c r="EI33" s="151"/>
      <c r="EJ33" s="152"/>
      <c r="EK33" s="154"/>
      <c r="EL33" s="152"/>
      <c r="EM33" s="150"/>
      <c r="EN33" s="142"/>
      <c r="EO33" s="143"/>
      <c r="EP33" s="143"/>
      <c r="EQ33" s="143"/>
      <c r="ER33" s="165"/>
      <c r="ES33" s="165"/>
      <c r="ET33" s="142"/>
      <c r="EU33" s="143"/>
      <c r="EV33" s="138"/>
      <c r="EW33" s="165"/>
      <c r="EX33" s="143"/>
      <c r="EY33" s="165"/>
      <c r="EZ33" s="165"/>
      <c r="FA33" s="165"/>
      <c r="FB33" s="165"/>
      <c r="FC33" s="165"/>
      <c r="FD33" s="165"/>
      <c r="FE33" s="168"/>
      <c r="FF33" s="142"/>
      <c r="FG33" s="162"/>
      <c r="FH33" s="162"/>
      <c r="FI33" s="163"/>
      <c r="FJ33" s="142"/>
      <c r="FK33" s="141"/>
      <c r="FL33" s="156"/>
      <c r="FM33" s="155"/>
      <c r="FN33" s="155"/>
      <c r="FO33" s="143"/>
      <c r="FP33" s="143"/>
      <c r="FQ33" s="142"/>
      <c r="FR33" s="142"/>
      <c r="FS33" s="142"/>
      <c r="FT33" s="142"/>
      <c r="FU33" s="142"/>
      <c r="FV33" s="142"/>
      <c r="FW33" s="142"/>
      <c r="FX33" s="142"/>
      <c r="FY33" s="142"/>
      <c r="FZ33" s="142"/>
      <c r="GA33" s="142"/>
      <c r="GB33" s="142"/>
    </row>
    <row r="34" spans="1:184" ht="16">
      <c r="A34" s="138"/>
      <c r="B34" s="139"/>
      <c r="C34" s="140"/>
      <c r="Y34" s="141"/>
      <c r="Z34" s="164"/>
      <c r="AA34" s="142"/>
      <c r="AB34" s="142"/>
      <c r="AC34" s="158"/>
      <c r="AD34" s="158"/>
      <c r="AE34" s="158"/>
      <c r="AF34" s="158"/>
      <c r="AG34" s="159"/>
      <c r="AH34" s="157"/>
      <c r="AI34" s="157"/>
      <c r="AJ34" s="143"/>
      <c r="AK34" s="144"/>
      <c r="AL34" s="144"/>
      <c r="AM34" s="142"/>
      <c r="AN34" s="142"/>
      <c r="AO34" s="142"/>
      <c r="AP34" s="142"/>
      <c r="AQ34" s="142"/>
      <c r="AR34" s="143"/>
      <c r="AS34" s="145"/>
      <c r="AT34" s="142"/>
      <c r="AU34" s="142"/>
      <c r="AV34" s="165"/>
      <c r="AW34" s="157"/>
      <c r="AX34" s="165"/>
      <c r="AY34" s="143"/>
      <c r="AZ34" s="165"/>
      <c r="BA34" s="165"/>
      <c r="BB34" s="165"/>
      <c r="BC34" s="165"/>
      <c r="BD34" s="165"/>
      <c r="BE34" s="165"/>
      <c r="BF34" s="165"/>
      <c r="BG34" s="143"/>
      <c r="BH34" s="166"/>
      <c r="BI34" s="141"/>
      <c r="BJ34" s="160"/>
      <c r="BK34" s="141"/>
      <c r="BL34" s="142"/>
      <c r="BM34" s="143"/>
      <c r="BN34" s="157"/>
      <c r="BO34" s="165"/>
      <c r="BP34" s="167"/>
      <c r="BQ34" s="159"/>
      <c r="BR34" s="143"/>
      <c r="BS34" s="161"/>
      <c r="BT34" s="157"/>
      <c r="BU34" s="157"/>
      <c r="BV34" s="157"/>
      <c r="BW34" s="146"/>
      <c r="BX34" s="157"/>
      <c r="BY34" s="142"/>
      <c r="BZ34" s="141"/>
      <c r="CA34" s="143"/>
      <c r="CB34" s="142"/>
      <c r="CC34" s="142"/>
      <c r="CD34" s="142"/>
      <c r="CE34" s="142"/>
      <c r="CF34" s="142"/>
      <c r="CG34" s="142"/>
      <c r="CH34" s="157"/>
      <c r="CI34" s="142"/>
      <c r="CJ34" s="159"/>
      <c r="CK34" s="143"/>
      <c r="CL34" s="147"/>
      <c r="CM34" s="147"/>
      <c r="CN34" s="143"/>
      <c r="CO34" s="138"/>
      <c r="CP34" s="143"/>
      <c r="CQ34" s="148"/>
      <c r="CR34" s="142"/>
      <c r="CS34" s="142"/>
      <c r="CT34" s="142"/>
      <c r="CU34" s="142"/>
      <c r="CV34" s="142"/>
      <c r="CW34" s="142"/>
      <c r="CX34" s="142"/>
      <c r="CY34" s="142"/>
      <c r="CZ34" s="142"/>
      <c r="DA34" s="142"/>
      <c r="DB34" s="142"/>
      <c r="DC34" s="142"/>
      <c r="DD34" s="142"/>
      <c r="DE34" s="142"/>
      <c r="DF34" s="142"/>
      <c r="DG34" s="149"/>
      <c r="DH34" s="143"/>
      <c r="DI34" s="142"/>
      <c r="DJ34" s="143"/>
      <c r="DK34" s="165"/>
      <c r="DL34" s="142"/>
      <c r="DM34" s="142"/>
      <c r="DN34" s="138"/>
      <c r="DO34" s="165"/>
      <c r="DP34" s="142"/>
      <c r="DQ34" s="142"/>
      <c r="DR34" s="143"/>
      <c r="DS34" s="165"/>
      <c r="DT34" s="142"/>
      <c r="DU34" s="142"/>
      <c r="DV34" s="142"/>
      <c r="DW34" s="151"/>
      <c r="DX34" s="142"/>
      <c r="DY34" s="142"/>
      <c r="DZ34" s="143"/>
      <c r="EA34" s="142"/>
      <c r="EB34" s="143"/>
      <c r="EC34" s="142"/>
      <c r="ED34" s="143"/>
      <c r="EE34" s="143"/>
      <c r="EF34" s="152"/>
      <c r="EG34" s="153"/>
      <c r="EH34" s="151"/>
      <c r="EI34" s="151"/>
      <c r="EJ34" s="152"/>
      <c r="EK34" s="154"/>
      <c r="EL34" s="152"/>
      <c r="EM34" s="150"/>
      <c r="EN34" s="142"/>
      <c r="EO34" s="143"/>
      <c r="EP34" s="143"/>
      <c r="EQ34" s="143"/>
      <c r="ER34" s="165"/>
      <c r="ES34" s="165"/>
      <c r="ET34" s="142"/>
      <c r="EU34" s="143"/>
      <c r="EV34" s="138"/>
      <c r="EW34" s="165"/>
      <c r="EX34" s="143"/>
      <c r="EY34" s="165"/>
      <c r="EZ34" s="165"/>
      <c r="FA34" s="165"/>
      <c r="FB34" s="165"/>
      <c r="FC34" s="165"/>
      <c r="FD34" s="165"/>
      <c r="FE34" s="168"/>
      <c r="FF34" s="142"/>
      <c r="FG34" s="162"/>
      <c r="FH34" s="162"/>
      <c r="FI34" s="163"/>
      <c r="FJ34" s="142"/>
      <c r="FK34" s="141"/>
      <c r="FL34" s="156"/>
      <c r="FM34" s="155"/>
      <c r="FN34" s="155"/>
      <c r="FO34" s="143"/>
      <c r="FP34" s="143"/>
      <c r="FQ34" s="142"/>
      <c r="FR34" s="142"/>
      <c r="FS34" s="142"/>
      <c r="FT34" s="142"/>
      <c r="FU34" s="142"/>
      <c r="FV34" s="142"/>
      <c r="FW34" s="142"/>
      <c r="FX34" s="142"/>
      <c r="FY34" s="142"/>
      <c r="FZ34" s="142"/>
      <c r="GA34" s="142"/>
      <c r="GB34" s="142"/>
    </row>
    <row r="35" spans="1:184" ht="16">
      <c r="A35" s="138"/>
      <c r="B35" s="139"/>
      <c r="C35" s="140"/>
      <c r="Y35" s="141"/>
      <c r="Z35" s="164"/>
      <c r="AA35" s="157"/>
      <c r="AB35" s="142"/>
      <c r="AC35" s="158"/>
      <c r="AD35" s="158"/>
      <c r="AE35" s="158"/>
      <c r="AF35" s="158"/>
      <c r="AG35" s="159"/>
      <c r="AH35" s="157"/>
      <c r="AI35" s="157"/>
      <c r="AJ35" s="143"/>
      <c r="AK35" s="144"/>
      <c r="AL35" s="144"/>
      <c r="AM35" s="142"/>
      <c r="AN35" s="142"/>
      <c r="AO35" s="142"/>
      <c r="AP35" s="142"/>
      <c r="AQ35" s="142"/>
      <c r="AR35" s="143"/>
      <c r="AS35" s="145"/>
      <c r="AT35" s="142"/>
      <c r="AU35" s="142"/>
      <c r="AV35" s="165"/>
      <c r="AW35" s="157"/>
      <c r="AX35" s="165"/>
      <c r="AY35" s="143"/>
      <c r="AZ35" s="165"/>
      <c r="BA35" s="165"/>
      <c r="BB35" s="165"/>
      <c r="BC35" s="165"/>
      <c r="BD35" s="165"/>
      <c r="BE35" s="165"/>
      <c r="BF35" s="165"/>
      <c r="BG35" s="143"/>
      <c r="BH35" s="166"/>
      <c r="BI35" s="141"/>
      <c r="BJ35" s="160"/>
      <c r="BK35" s="141"/>
      <c r="BL35" s="142"/>
      <c r="BM35" s="143"/>
      <c r="BN35" s="157"/>
      <c r="BO35" s="165"/>
      <c r="BP35" s="167"/>
      <c r="BQ35" s="159"/>
      <c r="BR35" s="143"/>
      <c r="BS35" s="161"/>
      <c r="BT35" s="157"/>
      <c r="BU35" s="157"/>
      <c r="BV35" s="157"/>
      <c r="BW35" s="146"/>
      <c r="BX35" s="157"/>
      <c r="BY35" s="142"/>
      <c r="BZ35" s="141"/>
      <c r="CA35" s="143"/>
      <c r="CB35" s="142"/>
      <c r="CC35" s="142"/>
      <c r="CD35" s="142"/>
      <c r="CE35" s="142"/>
      <c r="CF35" s="142"/>
      <c r="CG35" s="142"/>
      <c r="CH35" s="157"/>
      <c r="CI35" s="142"/>
      <c r="CJ35" s="159"/>
      <c r="CK35" s="143"/>
      <c r="CL35" s="147"/>
      <c r="CM35" s="147"/>
      <c r="CN35" s="143"/>
      <c r="CO35" s="138"/>
      <c r="CP35" s="143"/>
      <c r="CQ35" s="148"/>
      <c r="CR35" s="142"/>
      <c r="CS35" s="142"/>
      <c r="CT35" s="142"/>
      <c r="CU35" s="142"/>
      <c r="CV35" s="142"/>
      <c r="CW35" s="142"/>
      <c r="CX35" s="142"/>
      <c r="CY35" s="142"/>
      <c r="CZ35" s="142"/>
      <c r="DA35" s="142"/>
      <c r="DB35" s="142"/>
      <c r="DC35" s="142"/>
      <c r="DD35" s="142"/>
      <c r="DE35" s="142"/>
      <c r="DF35" s="142"/>
      <c r="DG35" s="149"/>
      <c r="DH35" s="143"/>
      <c r="DI35" s="142"/>
      <c r="DJ35" s="143"/>
      <c r="DK35" s="165"/>
      <c r="DL35" s="142"/>
      <c r="DM35" s="142"/>
      <c r="DN35" s="138"/>
      <c r="DO35" s="165"/>
      <c r="DP35" s="142"/>
      <c r="DQ35" s="142"/>
      <c r="DR35" s="143"/>
      <c r="DS35" s="165"/>
      <c r="DT35" s="142"/>
      <c r="DU35" s="142"/>
      <c r="DV35" s="142"/>
      <c r="DW35" s="151"/>
      <c r="DX35" s="142"/>
      <c r="DY35" s="142"/>
      <c r="DZ35" s="143"/>
      <c r="EA35" s="142"/>
      <c r="EB35" s="143"/>
      <c r="EC35" s="142"/>
      <c r="ED35" s="143"/>
      <c r="EE35" s="143"/>
      <c r="EF35" s="152"/>
      <c r="EG35" s="153"/>
      <c r="EH35" s="151"/>
      <c r="EI35" s="151"/>
      <c r="EJ35" s="152"/>
      <c r="EK35" s="154"/>
      <c r="EL35" s="152"/>
      <c r="EM35" s="150"/>
      <c r="EN35" s="142"/>
      <c r="EO35" s="143"/>
      <c r="EP35" s="143"/>
      <c r="EQ35" s="143"/>
      <c r="ER35" s="165"/>
      <c r="ES35" s="165"/>
      <c r="ET35" s="142"/>
      <c r="EU35" s="143"/>
      <c r="EV35" s="138"/>
      <c r="EW35" s="165"/>
      <c r="EX35" s="143"/>
      <c r="EY35" s="165"/>
      <c r="EZ35" s="165"/>
      <c r="FA35" s="165"/>
      <c r="FB35" s="165"/>
      <c r="FC35" s="165"/>
      <c r="FD35" s="165"/>
      <c r="FE35" s="168"/>
      <c r="FF35" s="142"/>
      <c r="FG35" s="162"/>
      <c r="FH35" s="162"/>
      <c r="FI35" s="163"/>
      <c r="FJ35" s="142"/>
      <c r="FK35" s="141"/>
      <c r="FL35" s="156"/>
      <c r="FM35" s="155"/>
      <c r="FN35" s="155"/>
      <c r="FO35" s="143"/>
      <c r="FP35" s="143"/>
      <c r="FQ35" s="142"/>
      <c r="FR35" s="142"/>
      <c r="FS35" s="142"/>
      <c r="FT35" s="142"/>
      <c r="FU35" s="142"/>
      <c r="FV35" s="142"/>
      <c r="FW35" s="142"/>
      <c r="FX35" s="142"/>
      <c r="FY35" s="142"/>
      <c r="FZ35" s="142"/>
      <c r="GA35" s="142"/>
      <c r="GB35" s="142"/>
    </row>
    <row r="36" spans="1:184" ht="16">
      <c r="A36" s="138"/>
      <c r="B36" s="139"/>
      <c r="C36" s="140"/>
      <c r="Y36" s="141"/>
      <c r="Z36" s="164"/>
      <c r="AA36" s="142"/>
      <c r="AB36" s="142"/>
      <c r="AC36" s="158"/>
      <c r="AD36" s="158"/>
      <c r="AE36" s="158"/>
      <c r="AF36" s="158"/>
      <c r="AG36" s="159"/>
      <c r="AH36" s="157"/>
      <c r="AI36" s="157"/>
      <c r="AJ36" s="143"/>
      <c r="AK36" s="144"/>
      <c r="AL36" s="144"/>
      <c r="AM36" s="142"/>
      <c r="AN36" s="142"/>
      <c r="AO36" s="142"/>
      <c r="AP36" s="142"/>
      <c r="AQ36" s="142"/>
      <c r="AR36" s="143"/>
      <c r="AS36" s="145"/>
      <c r="AT36" s="142"/>
      <c r="AU36" s="142"/>
      <c r="AV36" s="165"/>
      <c r="AW36" s="157"/>
      <c r="AX36" s="165"/>
      <c r="AY36" s="143"/>
      <c r="AZ36" s="165"/>
      <c r="BA36" s="165"/>
      <c r="BB36" s="165"/>
      <c r="BC36" s="165"/>
      <c r="BD36" s="165"/>
      <c r="BE36" s="165"/>
      <c r="BF36" s="165"/>
      <c r="BG36" s="143"/>
      <c r="BH36" s="166"/>
      <c r="BI36" s="141"/>
      <c r="BJ36" s="160"/>
      <c r="BK36" s="141"/>
      <c r="BL36" s="142"/>
      <c r="BM36" s="143"/>
      <c r="BN36" s="157"/>
      <c r="BO36" s="165"/>
      <c r="BP36" s="167"/>
      <c r="BQ36" s="159"/>
      <c r="BR36" s="143"/>
      <c r="BS36" s="161"/>
      <c r="BT36" s="157"/>
      <c r="BU36" s="157"/>
      <c r="BV36" s="157"/>
      <c r="BW36" s="146"/>
      <c r="BX36" s="157"/>
      <c r="BY36" s="142"/>
      <c r="BZ36" s="141"/>
      <c r="CA36" s="143"/>
      <c r="CB36" s="142"/>
      <c r="CC36" s="142"/>
      <c r="CD36" s="142"/>
      <c r="CE36" s="142"/>
      <c r="CF36" s="142"/>
      <c r="CG36" s="142"/>
      <c r="CH36" s="157"/>
      <c r="CI36" s="142"/>
      <c r="CJ36" s="159"/>
      <c r="CK36" s="143"/>
      <c r="CL36" s="147"/>
      <c r="CM36" s="147"/>
      <c r="CN36" s="143"/>
      <c r="CO36" s="138"/>
      <c r="CP36" s="143"/>
      <c r="CQ36" s="148"/>
      <c r="CR36" s="142"/>
      <c r="CS36" s="142"/>
      <c r="CT36" s="142"/>
      <c r="CU36" s="142"/>
      <c r="CV36" s="142"/>
      <c r="CW36" s="142"/>
      <c r="CX36" s="142"/>
      <c r="CY36" s="142"/>
      <c r="CZ36" s="142"/>
      <c r="DA36" s="142"/>
      <c r="DB36" s="142"/>
      <c r="DC36" s="142"/>
      <c r="DD36" s="142"/>
      <c r="DE36" s="142"/>
      <c r="DF36" s="142"/>
      <c r="DG36" s="149"/>
      <c r="DH36" s="143"/>
      <c r="DI36" s="142"/>
      <c r="DJ36" s="143"/>
      <c r="DK36" s="165"/>
      <c r="DL36" s="142"/>
      <c r="DM36" s="142"/>
      <c r="DN36" s="138"/>
      <c r="DO36" s="165"/>
      <c r="DP36" s="142"/>
      <c r="DQ36" s="142"/>
      <c r="DR36" s="143"/>
      <c r="DS36" s="165"/>
      <c r="DT36" s="142"/>
      <c r="DU36" s="142"/>
      <c r="DV36" s="142"/>
      <c r="DW36" s="151"/>
      <c r="DX36" s="142"/>
      <c r="DY36" s="142"/>
      <c r="DZ36" s="143"/>
      <c r="EA36" s="142"/>
      <c r="EB36" s="143"/>
      <c r="EC36" s="142"/>
      <c r="ED36" s="143"/>
      <c r="EE36" s="143"/>
      <c r="EF36" s="152"/>
      <c r="EG36" s="153"/>
      <c r="EH36" s="151"/>
      <c r="EI36" s="151"/>
      <c r="EJ36" s="152"/>
      <c r="EK36" s="154"/>
      <c r="EL36" s="152"/>
      <c r="EM36" s="150"/>
      <c r="EN36" s="142"/>
      <c r="EO36" s="143"/>
      <c r="EP36" s="143"/>
      <c r="EQ36" s="143"/>
      <c r="ER36" s="165"/>
      <c r="ES36" s="165"/>
      <c r="ET36" s="142"/>
      <c r="EU36" s="143"/>
      <c r="EV36" s="138"/>
      <c r="EW36" s="165"/>
      <c r="EX36" s="143"/>
      <c r="EY36" s="165"/>
      <c r="EZ36" s="165"/>
      <c r="FA36" s="165"/>
      <c r="FB36" s="165"/>
      <c r="FC36" s="165"/>
      <c r="FD36" s="165"/>
      <c r="FE36" s="168"/>
      <c r="FF36" s="142"/>
      <c r="FG36" s="162"/>
      <c r="FH36" s="162"/>
      <c r="FI36" s="163"/>
      <c r="FJ36" s="142"/>
      <c r="FK36" s="141"/>
      <c r="FL36" s="156"/>
      <c r="FM36" s="155"/>
      <c r="FN36" s="155"/>
      <c r="FO36" s="143"/>
      <c r="FP36" s="143"/>
      <c r="FQ36" s="142"/>
      <c r="FR36" s="142"/>
      <c r="FS36" s="142"/>
      <c r="FT36" s="142"/>
      <c r="FU36" s="142"/>
      <c r="FV36" s="142"/>
      <c r="FW36" s="142"/>
      <c r="FX36" s="142"/>
      <c r="FY36" s="142"/>
      <c r="FZ36" s="142"/>
      <c r="GA36" s="142"/>
      <c r="GB36" s="142"/>
    </row>
    <row r="37" spans="1:184" ht="16">
      <c r="A37" s="138"/>
      <c r="B37" s="139"/>
      <c r="C37" s="140"/>
      <c r="Y37" s="141"/>
      <c r="Z37" s="164"/>
      <c r="AA37" s="157"/>
      <c r="AB37" s="142"/>
      <c r="AC37" s="158"/>
      <c r="AD37" s="158"/>
      <c r="AE37" s="158"/>
      <c r="AF37" s="158"/>
      <c r="AG37" s="159"/>
      <c r="AH37" s="157"/>
      <c r="AI37" s="157"/>
      <c r="AJ37" s="143"/>
      <c r="AK37" s="144"/>
      <c r="AL37" s="144"/>
      <c r="AM37" s="142"/>
      <c r="AN37" s="142"/>
      <c r="AO37" s="142"/>
      <c r="AP37" s="142"/>
      <c r="AQ37" s="142"/>
      <c r="AR37" s="143"/>
      <c r="AS37" s="145"/>
      <c r="AT37" s="142"/>
      <c r="AU37" s="142"/>
      <c r="AV37" s="165"/>
      <c r="AW37" s="157"/>
      <c r="AX37" s="165"/>
      <c r="AY37" s="143"/>
      <c r="AZ37" s="165"/>
      <c r="BA37" s="165"/>
      <c r="BB37" s="165"/>
      <c r="BC37" s="165"/>
      <c r="BD37" s="165"/>
      <c r="BE37" s="165"/>
      <c r="BF37" s="165"/>
      <c r="BG37" s="143"/>
      <c r="BH37" s="166"/>
      <c r="BI37" s="141"/>
      <c r="BJ37" s="160"/>
      <c r="BK37" s="141"/>
      <c r="BL37" s="142"/>
      <c r="BM37" s="143"/>
      <c r="BN37" s="157"/>
      <c r="BO37" s="165"/>
      <c r="BP37" s="167"/>
      <c r="BQ37" s="159"/>
      <c r="BR37" s="143"/>
      <c r="BS37" s="161"/>
      <c r="BT37" s="157"/>
      <c r="BU37" s="157"/>
      <c r="BV37" s="157"/>
      <c r="BW37" s="146"/>
      <c r="BX37" s="157"/>
      <c r="BY37" s="142"/>
      <c r="BZ37" s="141"/>
      <c r="CA37" s="143"/>
      <c r="CB37" s="142"/>
      <c r="CC37" s="142"/>
      <c r="CD37" s="142"/>
      <c r="CE37" s="142"/>
      <c r="CF37" s="142"/>
      <c r="CG37" s="142"/>
      <c r="CH37" s="157"/>
      <c r="CI37" s="142"/>
      <c r="CJ37" s="159"/>
      <c r="CK37" s="143"/>
      <c r="CL37" s="147"/>
      <c r="CM37" s="147"/>
      <c r="CN37" s="143"/>
      <c r="CO37" s="138"/>
      <c r="CP37" s="143"/>
      <c r="CQ37" s="148"/>
      <c r="CR37" s="142"/>
      <c r="CS37" s="142"/>
      <c r="CT37" s="142"/>
      <c r="CU37" s="142"/>
      <c r="CV37" s="142"/>
      <c r="CW37" s="142"/>
      <c r="CX37" s="142"/>
      <c r="CY37" s="142"/>
      <c r="CZ37" s="142"/>
      <c r="DA37" s="142"/>
      <c r="DB37" s="142"/>
      <c r="DC37" s="142"/>
      <c r="DD37" s="142"/>
      <c r="DE37" s="142"/>
      <c r="DF37" s="142"/>
      <c r="DG37" s="149"/>
      <c r="DH37" s="143"/>
      <c r="DI37" s="142"/>
      <c r="DJ37" s="143"/>
      <c r="DK37" s="165"/>
      <c r="DL37" s="142"/>
      <c r="DM37" s="142"/>
      <c r="DN37" s="138"/>
      <c r="DO37" s="165"/>
      <c r="DP37" s="142"/>
      <c r="DQ37" s="142"/>
      <c r="DR37" s="143"/>
      <c r="DS37" s="165"/>
      <c r="DT37" s="142"/>
      <c r="DU37" s="142"/>
      <c r="DV37" s="142"/>
      <c r="DW37" s="151"/>
      <c r="DX37" s="142"/>
      <c r="DY37" s="142"/>
      <c r="DZ37" s="143"/>
      <c r="EA37" s="142"/>
      <c r="EB37" s="143"/>
      <c r="EC37" s="142"/>
      <c r="ED37" s="143"/>
      <c r="EE37" s="143"/>
      <c r="EF37" s="152"/>
      <c r="EG37" s="153"/>
      <c r="EH37" s="151"/>
      <c r="EI37" s="151"/>
      <c r="EJ37" s="152"/>
      <c r="EK37" s="154"/>
      <c r="EL37" s="152"/>
      <c r="EM37" s="150"/>
      <c r="EN37" s="142"/>
      <c r="EO37" s="143"/>
      <c r="EP37" s="143"/>
      <c r="EQ37" s="143"/>
      <c r="ER37" s="165"/>
      <c r="ES37" s="165"/>
      <c r="ET37" s="142"/>
      <c r="EU37" s="143"/>
      <c r="EV37" s="138"/>
      <c r="EW37" s="165"/>
      <c r="EX37" s="143"/>
      <c r="EY37" s="165"/>
      <c r="EZ37" s="165"/>
      <c r="FA37" s="165"/>
      <c r="FB37" s="165"/>
      <c r="FC37" s="165"/>
      <c r="FD37" s="165"/>
      <c r="FE37" s="168"/>
      <c r="FF37" s="142"/>
      <c r="FG37" s="162"/>
      <c r="FH37" s="162"/>
      <c r="FI37" s="163"/>
      <c r="FJ37" s="142"/>
      <c r="FK37" s="141"/>
      <c r="FL37" s="156"/>
      <c r="FM37" s="155"/>
      <c r="FN37" s="155"/>
      <c r="FO37" s="143"/>
      <c r="FP37" s="143"/>
      <c r="FQ37" s="142"/>
      <c r="FR37" s="142"/>
      <c r="FS37" s="142"/>
      <c r="FT37" s="142"/>
      <c r="FU37" s="142"/>
      <c r="FV37" s="142"/>
      <c r="FW37" s="142"/>
      <c r="FX37" s="142"/>
      <c r="FY37" s="142"/>
      <c r="FZ37" s="142"/>
      <c r="GA37" s="142"/>
      <c r="GB37" s="142"/>
    </row>
    <row r="38" spans="1:184" ht="16">
      <c r="A38" s="138"/>
      <c r="B38" s="139"/>
      <c r="C38" s="140"/>
      <c r="Y38" s="141"/>
      <c r="Z38" s="164"/>
      <c r="AA38" s="142"/>
      <c r="AB38" s="142"/>
      <c r="AC38" s="158"/>
      <c r="AD38" s="158"/>
      <c r="AE38" s="158"/>
      <c r="AF38" s="158"/>
      <c r="AG38" s="159"/>
      <c r="AH38" s="157"/>
      <c r="AI38" s="157"/>
      <c r="AJ38" s="143"/>
      <c r="AK38" s="144"/>
      <c r="AL38" s="144"/>
      <c r="AM38" s="142"/>
      <c r="AN38" s="142"/>
      <c r="AO38" s="142"/>
      <c r="AP38" s="142"/>
      <c r="AQ38" s="142"/>
      <c r="AR38" s="143"/>
      <c r="AS38" s="145"/>
      <c r="AT38" s="142"/>
      <c r="AU38" s="142"/>
      <c r="AV38" s="165"/>
      <c r="AW38" s="157"/>
      <c r="AX38" s="165"/>
      <c r="AY38" s="143"/>
      <c r="AZ38" s="165"/>
      <c r="BA38" s="165"/>
      <c r="BB38" s="165"/>
      <c r="BC38" s="165"/>
      <c r="BD38" s="165"/>
      <c r="BE38" s="165"/>
      <c r="BF38" s="165"/>
      <c r="BG38" s="143"/>
      <c r="BH38" s="166"/>
      <c r="BI38" s="141"/>
      <c r="BJ38" s="160"/>
      <c r="BK38" s="141"/>
      <c r="BL38" s="142"/>
      <c r="BM38" s="143"/>
      <c r="BN38" s="157"/>
      <c r="BO38" s="165"/>
      <c r="BP38" s="167"/>
      <c r="BQ38" s="159"/>
      <c r="BR38" s="143"/>
      <c r="BS38" s="161"/>
      <c r="BT38" s="157"/>
      <c r="BU38" s="157"/>
      <c r="BV38" s="157"/>
      <c r="BW38" s="146"/>
      <c r="BX38" s="157"/>
      <c r="BY38" s="142"/>
      <c r="BZ38" s="141"/>
      <c r="CA38" s="143"/>
      <c r="CB38" s="142"/>
      <c r="CC38" s="142"/>
      <c r="CD38" s="142"/>
      <c r="CE38" s="142"/>
      <c r="CF38" s="142"/>
      <c r="CG38" s="142"/>
      <c r="CH38" s="157"/>
      <c r="CI38" s="142"/>
      <c r="CJ38" s="159"/>
      <c r="CK38" s="143"/>
      <c r="CL38" s="147"/>
      <c r="CM38" s="147"/>
      <c r="CN38" s="143"/>
      <c r="CO38" s="138"/>
      <c r="CP38" s="143"/>
      <c r="CQ38" s="148"/>
      <c r="CR38" s="142"/>
      <c r="CS38" s="142"/>
      <c r="CT38" s="142"/>
      <c r="CU38" s="142"/>
      <c r="CV38" s="142"/>
      <c r="CW38" s="142"/>
      <c r="CX38" s="142"/>
      <c r="CY38" s="142"/>
      <c r="CZ38" s="142"/>
      <c r="DA38" s="142"/>
      <c r="DB38" s="142"/>
      <c r="DC38" s="142"/>
      <c r="DD38" s="142"/>
      <c r="DE38" s="142"/>
      <c r="DF38" s="142"/>
      <c r="DG38" s="149"/>
      <c r="DH38" s="143"/>
      <c r="DI38" s="142"/>
      <c r="DJ38" s="143"/>
      <c r="DK38" s="165"/>
      <c r="DL38" s="142"/>
      <c r="DM38" s="142"/>
      <c r="DN38" s="138"/>
      <c r="DO38" s="165"/>
      <c r="DP38" s="142"/>
      <c r="DQ38" s="142"/>
      <c r="DR38" s="143"/>
      <c r="DS38" s="165"/>
      <c r="DT38" s="142"/>
      <c r="DU38" s="142"/>
      <c r="DV38" s="142"/>
      <c r="DW38" s="151"/>
      <c r="DX38" s="142"/>
      <c r="DY38" s="142"/>
      <c r="DZ38" s="143"/>
      <c r="EA38" s="142"/>
      <c r="EB38" s="143"/>
      <c r="EC38" s="142"/>
      <c r="ED38" s="143"/>
      <c r="EE38" s="143"/>
      <c r="EF38" s="152"/>
      <c r="EG38" s="153"/>
      <c r="EH38" s="151"/>
      <c r="EI38" s="151"/>
      <c r="EJ38" s="152"/>
      <c r="EK38" s="154"/>
      <c r="EL38" s="152"/>
      <c r="EM38" s="150"/>
      <c r="EN38" s="142"/>
      <c r="EO38" s="143"/>
      <c r="EP38" s="143"/>
      <c r="EQ38" s="143"/>
      <c r="ER38" s="165"/>
      <c r="ES38" s="165"/>
      <c r="ET38" s="142"/>
      <c r="EU38" s="143"/>
      <c r="EV38" s="138"/>
      <c r="EW38" s="165"/>
      <c r="EX38" s="143"/>
      <c r="EY38" s="165"/>
      <c r="EZ38" s="165"/>
      <c r="FA38" s="165"/>
      <c r="FB38" s="165"/>
      <c r="FC38" s="165"/>
      <c r="FD38" s="165"/>
      <c r="FE38" s="168"/>
      <c r="FF38" s="142"/>
      <c r="FG38" s="162"/>
      <c r="FH38" s="162"/>
      <c r="FI38" s="163"/>
      <c r="FJ38" s="142"/>
      <c r="FK38" s="141"/>
      <c r="FL38" s="156"/>
      <c r="FM38" s="155"/>
      <c r="FN38" s="155"/>
      <c r="FO38" s="143"/>
      <c r="FP38" s="143"/>
      <c r="FQ38" s="142"/>
      <c r="FR38" s="142"/>
      <c r="FS38" s="142"/>
      <c r="FT38" s="142"/>
      <c r="FU38" s="142"/>
      <c r="FV38" s="142"/>
      <c r="FW38" s="142"/>
      <c r="FX38" s="142"/>
      <c r="FY38" s="142"/>
      <c r="FZ38" s="142"/>
      <c r="GA38" s="142"/>
      <c r="GB38" s="142"/>
    </row>
    <row r="39" spans="1:184" ht="16">
      <c r="A39" s="138"/>
      <c r="B39" s="139"/>
      <c r="C39" s="140"/>
      <c r="Y39" s="141"/>
      <c r="Z39" s="164"/>
      <c r="AA39" s="157"/>
      <c r="AB39" s="142"/>
      <c r="AC39" s="158"/>
      <c r="AD39" s="158"/>
      <c r="AE39" s="158"/>
      <c r="AF39" s="158"/>
      <c r="AG39" s="159"/>
      <c r="AH39" s="157"/>
      <c r="AI39" s="157"/>
      <c r="AJ39" s="143"/>
      <c r="AK39" s="144"/>
      <c r="AL39" s="144"/>
      <c r="AM39" s="142"/>
      <c r="AN39" s="142"/>
      <c r="AO39" s="142"/>
      <c r="AP39" s="142"/>
      <c r="AQ39" s="142"/>
      <c r="AR39" s="143"/>
      <c r="AS39" s="145"/>
      <c r="AT39" s="142"/>
      <c r="AU39" s="142"/>
      <c r="AV39" s="165"/>
      <c r="AW39" s="157"/>
      <c r="AX39" s="165"/>
      <c r="AY39" s="143"/>
      <c r="AZ39" s="165"/>
      <c r="BA39" s="165"/>
      <c r="BB39" s="165"/>
      <c r="BC39" s="165"/>
      <c r="BD39" s="165"/>
      <c r="BE39" s="165"/>
      <c r="BF39" s="165"/>
      <c r="BG39" s="143"/>
      <c r="BH39" s="166"/>
      <c r="BI39" s="141"/>
      <c r="BJ39" s="160"/>
      <c r="BK39" s="141"/>
      <c r="BL39" s="142"/>
      <c r="BM39" s="143"/>
      <c r="BN39" s="157"/>
      <c r="BO39" s="165"/>
      <c r="BP39" s="167"/>
      <c r="BQ39" s="159"/>
      <c r="BR39" s="143"/>
      <c r="BS39" s="161"/>
      <c r="BT39" s="157"/>
      <c r="BU39" s="157"/>
      <c r="BV39" s="157"/>
      <c r="BW39" s="146"/>
      <c r="BX39" s="157"/>
      <c r="BY39" s="142"/>
      <c r="BZ39" s="141"/>
      <c r="CA39" s="143"/>
      <c r="CB39" s="142"/>
      <c r="CC39" s="142"/>
      <c r="CD39" s="142"/>
      <c r="CE39" s="142"/>
      <c r="CF39" s="142"/>
      <c r="CG39" s="142"/>
      <c r="CH39" s="157"/>
      <c r="CI39" s="142"/>
      <c r="CJ39" s="159"/>
      <c r="CK39" s="143"/>
      <c r="CL39" s="147"/>
      <c r="CM39" s="147"/>
      <c r="CN39" s="143"/>
      <c r="CO39" s="138"/>
      <c r="CP39" s="143"/>
      <c r="CQ39" s="148"/>
      <c r="CR39" s="142"/>
      <c r="CS39" s="142"/>
      <c r="CT39" s="142"/>
      <c r="CU39" s="142"/>
      <c r="CV39" s="142"/>
      <c r="CW39" s="142"/>
      <c r="CX39" s="142"/>
      <c r="CY39" s="142"/>
      <c r="CZ39" s="142"/>
      <c r="DA39" s="142"/>
      <c r="DB39" s="142"/>
      <c r="DC39" s="142"/>
      <c r="DD39" s="142"/>
      <c r="DE39" s="142"/>
      <c r="DF39" s="142"/>
      <c r="DG39" s="149"/>
      <c r="DH39" s="143"/>
      <c r="DI39" s="142"/>
      <c r="DJ39" s="143"/>
      <c r="DK39" s="165"/>
      <c r="DL39" s="142"/>
      <c r="DM39" s="142"/>
      <c r="DN39" s="138"/>
      <c r="DO39" s="165"/>
      <c r="DP39" s="142"/>
      <c r="DQ39" s="142"/>
      <c r="DR39" s="143"/>
      <c r="DS39" s="165"/>
      <c r="DT39" s="142"/>
      <c r="DU39" s="142"/>
      <c r="DV39" s="142"/>
      <c r="DW39" s="151"/>
      <c r="DX39" s="142"/>
      <c r="DY39" s="142"/>
      <c r="DZ39" s="143"/>
      <c r="EA39" s="142"/>
      <c r="EB39" s="143"/>
      <c r="EC39" s="142"/>
      <c r="ED39" s="143"/>
      <c r="EE39" s="143"/>
      <c r="EF39" s="152"/>
      <c r="EG39" s="153"/>
      <c r="EH39" s="151"/>
      <c r="EI39" s="151"/>
      <c r="EJ39" s="152"/>
      <c r="EK39" s="154"/>
      <c r="EL39" s="152"/>
      <c r="EM39" s="150"/>
      <c r="EN39" s="142"/>
      <c r="EO39" s="143"/>
      <c r="EP39" s="143"/>
      <c r="EQ39" s="143"/>
      <c r="ER39" s="165"/>
      <c r="ES39" s="165"/>
      <c r="ET39" s="142"/>
      <c r="EU39" s="143"/>
      <c r="EV39" s="138"/>
      <c r="EW39" s="165"/>
      <c r="EX39" s="143"/>
      <c r="EY39" s="165"/>
      <c r="EZ39" s="165"/>
      <c r="FA39" s="165"/>
      <c r="FB39" s="165"/>
      <c r="FC39" s="165"/>
      <c r="FD39" s="165"/>
      <c r="FE39" s="168"/>
      <c r="FF39" s="142"/>
      <c r="FG39" s="162"/>
      <c r="FH39" s="162"/>
      <c r="FI39" s="163"/>
      <c r="FJ39" s="142"/>
      <c r="FK39" s="141"/>
      <c r="FL39" s="156"/>
      <c r="FM39" s="155"/>
      <c r="FN39" s="155"/>
      <c r="FO39" s="143"/>
      <c r="FP39" s="143"/>
      <c r="FQ39" s="142"/>
      <c r="FR39" s="142"/>
      <c r="FS39" s="142"/>
      <c r="FT39" s="142"/>
      <c r="FU39" s="142"/>
      <c r="FV39" s="142"/>
      <c r="FW39" s="142"/>
      <c r="FX39" s="142"/>
      <c r="FY39" s="142"/>
      <c r="FZ39" s="142"/>
      <c r="GA39" s="142"/>
      <c r="GB39" s="142"/>
    </row>
    <row r="40" spans="1:184" ht="16">
      <c r="A40" s="138"/>
      <c r="B40" s="139"/>
      <c r="C40" s="140"/>
      <c r="Y40" s="141"/>
      <c r="Z40" s="164"/>
      <c r="AA40" s="142"/>
      <c r="AB40" s="142"/>
      <c r="AC40" s="158"/>
      <c r="AD40" s="158"/>
      <c r="AE40" s="158"/>
      <c r="AF40" s="158"/>
      <c r="AG40" s="159"/>
      <c r="AH40" s="157"/>
      <c r="AI40" s="157"/>
      <c r="AJ40" s="143"/>
      <c r="AK40" s="144"/>
      <c r="AL40" s="144"/>
      <c r="AM40" s="142"/>
      <c r="AN40" s="142"/>
      <c r="AO40" s="142"/>
      <c r="AP40" s="142"/>
      <c r="AQ40" s="142"/>
      <c r="AR40" s="143"/>
      <c r="AS40" s="145"/>
      <c r="AT40" s="142"/>
      <c r="AU40" s="142"/>
      <c r="AV40" s="165"/>
      <c r="AW40" s="157"/>
      <c r="AX40" s="165"/>
      <c r="AY40" s="143"/>
      <c r="AZ40" s="165"/>
      <c r="BA40" s="165"/>
      <c r="BB40" s="165"/>
      <c r="BC40" s="165"/>
      <c r="BD40" s="165"/>
      <c r="BE40" s="165"/>
      <c r="BF40" s="165"/>
      <c r="BG40" s="143"/>
      <c r="BH40" s="166"/>
      <c r="BI40" s="141"/>
      <c r="BJ40" s="160"/>
      <c r="BK40" s="141"/>
      <c r="BL40" s="142"/>
      <c r="BM40" s="143"/>
      <c r="BN40" s="157"/>
      <c r="BO40" s="165"/>
      <c r="BP40" s="167"/>
      <c r="BQ40" s="159"/>
      <c r="BR40" s="143"/>
      <c r="BS40" s="161"/>
      <c r="BT40" s="157"/>
      <c r="BU40" s="157"/>
      <c r="BV40" s="157"/>
      <c r="BW40" s="146"/>
      <c r="BX40" s="157"/>
      <c r="BY40" s="142"/>
      <c r="BZ40" s="141"/>
      <c r="CA40" s="143"/>
      <c r="CB40" s="142"/>
      <c r="CC40" s="142"/>
      <c r="CD40" s="142"/>
      <c r="CE40" s="142"/>
      <c r="CF40" s="142"/>
      <c r="CG40" s="142"/>
      <c r="CH40" s="157"/>
      <c r="CI40" s="142"/>
      <c r="CJ40" s="159"/>
      <c r="CK40" s="143"/>
      <c r="CL40" s="147"/>
      <c r="CM40" s="147"/>
      <c r="CN40" s="143"/>
      <c r="CO40" s="138"/>
      <c r="CP40" s="143"/>
      <c r="CQ40" s="148"/>
      <c r="CR40" s="142"/>
      <c r="CS40" s="142"/>
      <c r="CT40" s="142"/>
      <c r="CU40" s="142"/>
      <c r="CV40" s="142"/>
      <c r="CW40" s="142"/>
      <c r="CX40" s="142"/>
      <c r="CY40" s="142"/>
      <c r="CZ40" s="142"/>
      <c r="DA40" s="142"/>
      <c r="DB40" s="142"/>
      <c r="DC40" s="142"/>
      <c r="DD40" s="142"/>
      <c r="DE40" s="142"/>
      <c r="DF40" s="142"/>
      <c r="DG40" s="149"/>
      <c r="DH40" s="143"/>
      <c r="DI40" s="142"/>
      <c r="DJ40" s="143"/>
      <c r="DK40" s="165"/>
      <c r="DL40" s="142"/>
      <c r="DM40" s="142"/>
      <c r="DN40" s="138"/>
      <c r="DO40" s="165"/>
      <c r="DP40" s="142"/>
      <c r="DQ40" s="142"/>
      <c r="DR40" s="143"/>
      <c r="DS40" s="165"/>
      <c r="DT40" s="142"/>
      <c r="DU40" s="142"/>
      <c r="DV40" s="142"/>
      <c r="DW40" s="151"/>
      <c r="DX40" s="142"/>
      <c r="DY40" s="142"/>
      <c r="DZ40" s="143"/>
      <c r="EA40" s="142"/>
      <c r="EB40" s="143"/>
      <c r="EC40" s="142"/>
      <c r="ED40" s="143"/>
      <c r="EE40" s="143"/>
      <c r="EF40" s="152"/>
      <c r="EG40" s="153"/>
      <c r="EH40" s="151"/>
      <c r="EI40" s="151"/>
      <c r="EJ40" s="152"/>
      <c r="EK40" s="154"/>
      <c r="EL40" s="152"/>
      <c r="EM40" s="150"/>
      <c r="EN40" s="142"/>
      <c r="EO40" s="143"/>
      <c r="EP40" s="143"/>
      <c r="EQ40" s="143"/>
      <c r="ER40" s="165"/>
      <c r="ES40" s="165"/>
      <c r="ET40" s="142"/>
      <c r="EU40" s="143"/>
      <c r="EV40" s="138"/>
      <c r="EW40" s="165"/>
      <c r="EX40" s="143"/>
      <c r="EY40" s="165"/>
      <c r="EZ40" s="165"/>
      <c r="FA40" s="165"/>
      <c r="FB40" s="165"/>
      <c r="FC40" s="165"/>
      <c r="FD40" s="165"/>
      <c r="FE40" s="168"/>
      <c r="FF40" s="142"/>
      <c r="FG40" s="162"/>
      <c r="FH40" s="162"/>
      <c r="FI40" s="163"/>
      <c r="FJ40" s="142"/>
      <c r="FK40" s="141"/>
      <c r="FL40" s="156"/>
      <c r="FM40" s="155"/>
      <c r="FN40" s="155"/>
      <c r="FO40" s="143"/>
      <c r="FP40" s="143"/>
      <c r="FQ40" s="142"/>
      <c r="FR40" s="142"/>
      <c r="FS40" s="142"/>
      <c r="FT40" s="142"/>
      <c r="FU40" s="142"/>
      <c r="FV40" s="142"/>
      <c r="FW40" s="142"/>
      <c r="FX40" s="142"/>
      <c r="FY40" s="142"/>
      <c r="FZ40" s="142"/>
      <c r="GA40" s="142"/>
      <c r="GB40" s="142"/>
    </row>
    <row r="41" spans="1:184" ht="16">
      <c r="A41" s="138"/>
      <c r="B41" s="139"/>
      <c r="C41" s="140"/>
      <c r="Y41" s="141"/>
      <c r="Z41" s="164"/>
      <c r="AA41" s="157"/>
      <c r="AB41" s="142"/>
      <c r="AC41" s="158"/>
      <c r="AD41" s="158"/>
      <c r="AE41" s="158"/>
      <c r="AF41" s="158"/>
      <c r="AG41" s="159"/>
      <c r="AH41" s="157"/>
      <c r="AI41" s="157"/>
      <c r="AJ41" s="143"/>
      <c r="AK41" s="144"/>
      <c r="AL41" s="144"/>
      <c r="AM41" s="142"/>
      <c r="AN41" s="142"/>
      <c r="AO41" s="142"/>
      <c r="AP41" s="142"/>
      <c r="AQ41" s="142"/>
      <c r="AR41" s="143"/>
      <c r="AS41" s="145"/>
      <c r="AT41" s="142"/>
      <c r="AU41" s="142"/>
      <c r="AV41" s="165"/>
      <c r="AW41" s="157"/>
      <c r="AX41" s="165"/>
      <c r="AY41" s="143"/>
      <c r="AZ41" s="165"/>
      <c r="BA41" s="165"/>
      <c r="BB41" s="165"/>
      <c r="BC41" s="165"/>
      <c r="BD41" s="165"/>
      <c r="BE41" s="165"/>
      <c r="BF41" s="165"/>
      <c r="BG41" s="143"/>
      <c r="BH41" s="166"/>
      <c r="BI41" s="141"/>
      <c r="BJ41" s="160"/>
      <c r="BK41" s="141"/>
      <c r="BL41" s="142"/>
      <c r="BM41" s="143"/>
      <c r="BN41" s="157"/>
      <c r="BO41" s="165"/>
      <c r="BP41" s="167"/>
      <c r="BQ41" s="159"/>
      <c r="BR41" s="143"/>
      <c r="BS41" s="161"/>
      <c r="BT41" s="157"/>
      <c r="BU41" s="157"/>
      <c r="BV41" s="157"/>
      <c r="BW41" s="146"/>
      <c r="BX41" s="157"/>
      <c r="BY41" s="142"/>
      <c r="BZ41" s="141"/>
      <c r="CA41" s="143"/>
      <c r="CB41" s="142"/>
      <c r="CC41" s="142"/>
      <c r="CD41" s="142"/>
      <c r="CE41" s="142"/>
      <c r="CF41" s="142"/>
      <c r="CG41" s="142"/>
      <c r="CH41" s="157"/>
      <c r="CI41" s="142"/>
      <c r="CJ41" s="159"/>
      <c r="CK41" s="143"/>
      <c r="CL41" s="147"/>
      <c r="CM41" s="147"/>
      <c r="CN41" s="143"/>
      <c r="CO41" s="138"/>
      <c r="CP41" s="143"/>
      <c r="CQ41" s="148"/>
      <c r="CR41" s="142"/>
      <c r="CS41" s="142"/>
      <c r="CT41" s="142"/>
      <c r="CU41" s="142"/>
      <c r="CV41" s="142"/>
      <c r="CW41" s="142"/>
      <c r="CX41" s="142"/>
      <c r="CY41" s="142"/>
      <c r="CZ41" s="142"/>
      <c r="DA41" s="142"/>
      <c r="DB41" s="142"/>
      <c r="DC41" s="142"/>
      <c r="DD41" s="142"/>
      <c r="DE41" s="142"/>
      <c r="DF41" s="142"/>
      <c r="DG41" s="149"/>
      <c r="DH41" s="143"/>
      <c r="DI41" s="142"/>
      <c r="DJ41" s="143"/>
      <c r="DK41" s="165"/>
      <c r="DL41" s="142"/>
      <c r="DM41" s="142"/>
      <c r="DN41" s="138"/>
      <c r="DO41" s="165"/>
      <c r="DP41" s="142"/>
      <c r="DQ41" s="142"/>
      <c r="DR41" s="143"/>
      <c r="DS41" s="165"/>
      <c r="DT41" s="142"/>
      <c r="DU41" s="142"/>
      <c r="DV41" s="142"/>
      <c r="DW41" s="151"/>
      <c r="DX41" s="142"/>
      <c r="DY41" s="142"/>
      <c r="DZ41" s="143"/>
      <c r="EA41" s="142"/>
      <c r="EB41" s="143"/>
      <c r="EC41" s="142"/>
      <c r="ED41" s="143"/>
      <c r="EE41" s="143"/>
      <c r="EF41" s="152"/>
      <c r="EG41" s="153"/>
      <c r="EH41" s="151"/>
      <c r="EI41" s="151"/>
      <c r="EJ41" s="152"/>
      <c r="EK41" s="154"/>
      <c r="EL41" s="152"/>
      <c r="EM41" s="150"/>
      <c r="EN41" s="142"/>
      <c r="EO41" s="143"/>
      <c r="EP41" s="143"/>
      <c r="EQ41" s="143"/>
      <c r="ER41" s="165"/>
      <c r="ES41" s="165"/>
      <c r="ET41" s="142"/>
      <c r="EU41" s="143"/>
      <c r="EV41" s="138"/>
      <c r="EW41" s="165"/>
      <c r="EX41" s="143"/>
      <c r="EY41" s="165"/>
      <c r="EZ41" s="165"/>
      <c r="FA41" s="165"/>
      <c r="FB41" s="165"/>
      <c r="FC41" s="165"/>
      <c r="FD41" s="165"/>
      <c r="FE41" s="168"/>
      <c r="FF41" s="142"/>
      <c r="FG41" s="162"/>
      <c r="FH41" s="162"/>
      <c r="FI41" s="163"/>
      <c r="FJ41" s="142"/>
      <c r="FK41" s="141"/>
      <c r="FL41" s="156"/>
      <c r="FM41" s="155"/>
      <c r="FN41" s="155"/>
      <c r="FO41" s="143"/>
      <c r="FP41" s="143"/>
      <c r="FQ41" s="142"/>
      <c r="FR41" s="142"/>
      <c r="FS41" s="142"/>
      <c r="FT41" s="142"/>
      <c r="FU41" s="142"/>
      <c r="FV41" s="142"/>
      <c r="FW41" s="142"/>
      <c r="FX41" s="142"/>
      <c r="FY41" s="142"/>
      <c r="FZ41" s="142"/>
      <c r="GA41" s="142"/>
      <c r="GB41" s="142"/>
    </row>
    <row r="42" spans="1:184" ht="16">
      <c r="A42" s="138"/>
      <c r="B42" s="139"/>
      <c r="C42" s="140"/>
      <c r="Y42" s="141"/>
      <c r="Z42" s="164"/>
      <c r="AA42" s="142"/>
      <c r="AB42" s="142"/>
      <c r="AC42" s="158"/>
      <c r="AD42" s="158"/>
      <c r="AE42" s="158"/>
      <c r="AF42" s="158"/>
      <c r="AG42" s="159"/>
      <c r="AH42" s="157"/>
      <c r="AI42" s="157"/>
      <c r="AJ42" s="143"/>
      <c r="AK42" s="144"/>
      <c r="AL42" s="144"/>
      <c r="AM42" s="142"/>
      <c r="AN42" s="142"/>
      <c r="AO42" s="142"/>
      <c r="AP42" s="142"/>
      <c r="AQ42" s="142"/>
      <c r="AR42" s="143"/>
      <c r="AS42" s="145"/>
      <c r="AT42" s="142"/>
      <c r="AU42" s="142"/>
      <c r="AV42" s="165"/>
      <c r="AW42" s="157"/>
      <c r="AX42" s="165"/>
      <c r="AY42" s="143"/>
      <c r="AZ42" s="165"/>
      <c r="BA42" s="165"/>
      <c r="BB42" s="165"/>
      <c r="BC42" s="165"/>
      <c r="BD42" s="165"/>
      <c r="BE42" s="165"/>
      <c r="BF42" s="165"/>
      <c r="BG42" s="143"/>
      <c r="BH42" s="166"/>
      <c r="BI42" s="141"/>
      <c r="BJ42" s="160"/>
      <c r="BK42" s="141"/>
      <c r="BL42" s="142"/>
      <c r="BM42" s="143"/>
      <c r="BN42" s="157"/>
      <c r="BO42" s="165"/>
      <c r="BP42" s="167"/>
      <c r="BQ42" s="159"/>
      <c r="BR42" s="143"/>
      <c r="BS42" s="161"/>
      <c r="BT42" s="157"/>
      <c r="BU42" s="157"/>
      <c r="BV42" s="157"/>
      <c r="BW42" s="146"/>
      <c r="BX42" s="157"/>
      <c r="BY42" s="142"/>
      <c r="BZ42" s="141"/>
      <c r="CA42" s="143"/>
      <c r="CB42" s="142"/>
      <c r="CC42" s="142"/>
      <c r="CD42" s="142"/>
      <c r="CE42" s="142"/>
      <c r="CF42" s="142"/>
      <c r="CG42" s="142"/>
      <c r="CH42" s="157"/>
      <c r="CI42" s="142"/>
      <c r="CJ42" s="159"/>
      <c r="CK42" s="143"/>
      <c r="CL42" s="147"/>
      <c r="CM42" s="147"/>
      <c r="CN42" s="143"/>
      <c r="CO42" s="138"/>
      <c r="CP42" s="143"/>
      <c r="CQ42" s="148"/>
      <c r="CR42" s="142"/>
      <c r="CS42" s="142"/>
      <c r="CT42" s="142"/>
      <c r="CU42" s="142"/>
      <c r="CV42" s="142"/>
      <c r="CW42" s="142"/>
      <c r="CX42" s="142"/>
      <c r="CY42" s="142"/>
      <c r="CZ42" s="142"/>
      <c r="DA42" s="142"/>
      <c r="DB42" s="142"/>
      <c r="DC42" s="142"/>
      <c r="DD42" s="142"/>
      <c r="DE42" s="142"/>
      <c r="DF42" s="142"/>
      <c r="DG42" s="149"/>
      <c r="DH42" s="143"/>
      <c r="DI42" s="142"/>
      <c r="DJ42" s="143"/>
      <c r="DK42" s="165"/>
      <c r="DL42" s="142"/>
      <c r="DM42" s="142"/>
      <c r="DN42" s="138"/>
      <c r="DO42" s="165"/>
      <c r="DP42" s="142"/>
      <c r="DQ42" s="142"/>
      <c r="DR42" s="143"/>
      <c r="DS42" s="165"/>
      <c r="DT42" s="142"/>
      <c r="DU42" s="142"/>
      <c r="DV42" s="142"/>
      <c r="DW42" s="151"/>
      <c r="DX42" s="142"/>
      <c r="DY42" s="142"/>
      <c r="DZ42" s="143"/>
      <c r="EA42" s="142"/>
      <c r="EB42" s="143"/>
      <c r="EC42" s="142"/>
      <c r="ED42" s="143"/>
      <c r="EE42" s="143"/>
      <c r="EF42" s="152"/>
      <c r="EG42" s="153"/>
      <c r="EH42" s="151"/>
      <c r="EI42" s="151"/>
      <c r="EJ42" s="152"/>
      <c r="EK42" s="154"/>
      <c r="EL42" s="152"/>
      <c r="EM42" s="150"/>
      <c r="EN42" s="142"/>
      <c r="EO42" s="143"/>
      <c r="EP42" s="143"/>
      <c r="EQ42" s="143"/>
      <c r="ER42" s="165"/>
      <c r="ES42" s="165"/>
      <c r="ET42" s="142"/>
      <c r="EU42" s="143"/>
      <c r="EV42" s="138"/>
      <c r="EW42" s="165"/>
      <c r="EX42" s="143"/>
      <c r="EY42" s="165"/>
      <c r="EZ42" s="165"/>
      <c r="FA42" s="165"/>
      <c r="FB42" s="165"/>
      <c r="FC42" s="165"/>
      <c r="FD42" s="165"/>
      <c r="FE42" s="168"/>
      <c r="FF42" s="142"/>
      <c r="FG42" s="162"/>
      <c r="FH42" s="162"/>
      <c r="FI42" s="163"/>
      <c r="FJ42" s="142"/>
      <c r="FK42" s="141"/>
      <c r="FL42" s="156"/>
      <c r="FM42" s="155"/>
      <c r="FN42" s="155"/>
      <c r="FO42" s="143"/>
      <c r="FP42" s="143"/>
      <c r="FQ42" s="142"/>
      <c r="FR42" s="142"/>
      <c r="FS42" s="142"/>
      <c r="FT42" s="142"/>
      <c r="FU42" s="142"/>
      <c r="FV42" s="142"/>
      <c r="FW42" s="142"/>
      <c r="FX42" s="142"/>
      <c r="FY42" s="142"/>
      <c r="FZ42" s="142"/>
      <c r="GA42" s="142"/>
      <c r="GB42" s="142"/>
    </row>
    <row r="43" spans="1:184" ht="16">
      <c r="A43" s="138"/>
      <c r="B43" s="139"/>
      <c r="C43" s="140"/>
      <c r="Y43" s="141"/>
      <c r="Z43" s="164"/>
      <c r="AA43" s="157"/>
      <c r="AB43" s="142"/>
      <c r="AC43" s="158"/>
      <c r="AD43" s="158"/>
      <c r="AE43" s="158"/>
      <c r="AF43" s="158"/>
      <c r="AG43" s="159"/>
      <c r="AH43" s="157"/>
      <c r="AI43" s="157"/>
      <c r="AJ43" s="143"/>
      <c r="AK43" s="144"/>
      <c r="AL43" s="144"/>
      <c r="AM43" s="142"/>
      <c r="AN43" s="142"/>
      <c r="AO43" s="142"/>
      <c r="AP43" s="142"/>
      <c r="AQ43" s="142"/>
      <c r="AR43" s="143"/>
      <c r="AS43" s="145"/>
      <c r="AT43" s="142"/>
      <c r="AU43" s="142"/>
      <c r="AV43" s="165"/>
      <c r="AW43" s="157"/>
      <c r="AX43" s="165"/>
      <c r="AY43" s="143"/>
      <c r="AZ43" s="165"/>
      <c r="BA43" s="165"/>
      <c r="BB43" s="165"/>
      <c r="BC43" s="165"/>
      <c r="BD43" s="165"/>
      <c r="BE43" s="165"/>
      <c r="BF43" s="165"/>
      <c r="BG43" s="143"/>
      <c r="BH43" s="166"/>
      <c r="BI43" s="141"/>
      <c r="BJ43" s="160"/>
      <c r="BK43" s="141"/>
      <c r="BL43" s="142"/>
      <c r="BM43" s="143"/>
      <c r="BN43" s="157"/>
      <c r="BO43" s="165"/>
      <c r="BP43" s="167"/>
      <c r="BQ43" s="159"/>
      <c r="BR43" s="143"/>
      <c r="BS43" s="161"/>
      <c r="BT43" s="157"/>
      <c r="BU43" s="157"/>
      <c r="BV43" s="157"/>
      <c r="BW43" s="146"/>
      <c r="BX43" s="157"/>
      <c r="BY43" s="142"/>
      <c r="BZ43" s="141"/>
      <c r="CA43" s="143"/>
      <c r="CB43" s="142"/>
      <c r="CC43" s="142"/>
      <c r="CD43" s="142"/>
      <c r="CE43" s="142"/>
      <c r="CF43" s="142"/>
      <c r="CG43" s="142"/>
      <c r="CH43" s="157"/>
      <c r="CI43" s="142"/>
      <c r="CJ43" s="159"/>
      <c r="CK43" s="143"/>
      <c r="CL43" s="147"/>
      <c r="CM43" s="147"/>
      <c r="CN43" s="143"/>
      <c r="CO43" s="138"/>
      <c r="CP43" s="143"/>
      <c r="CQ43" s="148"/>
      <c r="CR43" s="142"/>
      <c r="CS43" s="142"/>
      <c r="CT43" s="142"/>
      <c r="CU43" s="142"/>
      <c r="CV43" s="142"/>
      <c r="CW43" s="142"/>
      <c r="CX43" s="142"/>
      <c r="CY43" s="142"/>
      <c r="CZ43" s="142"/>
      <c r="DA43" s="142"/>
      <c r="DB43" s="142"/>
      <c r="DC43" s="142"/>
      <c r="DD43" s="142"/>
      <c r="DE43" s="142"/>
      <c r="DF43" s="142"/>
      <c r="DG43" s="149"/>
      <c r="DH43" s="143"/>
      <c r="DI43" s="142"/>
      <c r="DJ43" s="143"/>
      <c r="DK43" s="165"/>
      <c r="DL43" s="142"/>
      <c r="DM43" s="142"/>
      <c r="DN43" s="138"/>
      <c r="DO43" s="165"/>
      <c r="DP43" s="142"/>
      <c r="DQ43" s="142"/>
      <c r="DR43" s="143"/>
      <c r="DS43" s="165"/>
      <c r="DT43" s="142"/>
      <c r="DU43" s="142"/>
      <c r="DV43" s="142"/>
      <c r="DW43" s="151"/>
      <c r="DX43" s="142"/>
      <c r="DY43" s="142"/>
      <c r="DZ43" s="143"/>
      <c r="EA43" s="142"/>
      <c r="EB43" s="143"/>
      <c r="EC43" s="142"/>
      <c r="ED43" s="143"/>
      <c r="EE43" s="143"/>
      <c r="EF43" s="152"/>
      <c r="EG43" s="153"/>
      <c r="EH43" s="151"/>
      <c r="EI43" s="151"/>
      <c r="EJ43" s="152"/>
      <c r="EK43" s="154"/>
      <c r="EL43" s="152"/>
      <c r="EM43" s="150"/>
      <c r="EN43" s="142"/>
      <c r="EO43" s="143"/>
      <c r="EP43" s="143"/>
      <c r="EQ43" s="143"/>
      <c r="ER43" s="165"/>
      <c r="ES43" s="165"/>
      <c r="ET43" s="142"/>
      <c r="EU43" s="143"/>
      <c r="EV43" s="138"/>
      <c r="EW43" s="165"/>
      <c r="EX43" s="143"/>
      <c r="EY43" s="165"/>
      <c r="EZ43" s="165"/>
      <c r="FA43" s="165"/>
      <c r="FB43" s="165"/>
      <c r="FC43" s="165"/>
      <c r="FD43" s="165"/>
      <c r="FE43" s="168"/>
      <c r="FF43" s="142"/>
      <c r="FG43" s="162"/>
      <c r="FH43" s="162"/>
      <c r="FI43" s="163"/>
      <c r="FJ43" s="142"/>
      <c r="FK43" s="141"/>
      <c r="FL43" s="156"/>
      <c r="FM43" s="155"/>
      <c r="FN43" s="155"/>
      <c r="FO43" s="143"/>
      <c r="FP43" s="143"/>
      <c r="FQ43" s="142"/>
      <c r="FR43" s="142"/>
      <c r="FS43" s="142"/>
      <c r="FT43" s="142"/>
      <c r="FU43" s="142"/>
      <c r="FV43" s="142"/>
      <c r="FW43" s="142"/>
      <c r="FX43" s="142"/>
      <c r="FY43" s="142"/>
      <c r="FZ43" s="142"/>
      <c r="GA43" s="142"/>
      <c r="GB43" s="142"/>
    </row>
    <row r="44" spans="1:184" ht="16">
      <c r="A44" s="138"/>
      <c r="B44" s="139"/>
      <c r="C44" s="140"/>
      <c r="Y44" s="141"/>
      <c r="Z44" s="164"/>
      <c r="AA44" s="142"/>
      <c r="AB44" s="142"/>
      <c r="AC44" s="158"/>
      <c r="AD44" s="158"/>
      <c r="AE44" s="158"/>
      <c r="AF44" s="158"/>
      <c r="AG44" s="159"/>
      <c r="AH44" s="157"/>
      <c r="AI44" s="157"/>
      <c r="AJ44" s="143"/>
      <c r="AK44" s="144"/>
      <c r="AL44" s="144"/>
      <c r="AM44" s="142"/>
      <c r="AN44" s="142"/>
      <c r="AO44" s="142"/>
      <c r="AP44" s="142"/>
      <c r="AQ44" s="142"/>
      <c r="AR44" s="143"/>
      <c r="AS44" s="145"/>
      <c r="AT44" s="142"/>
      <c r="AU44" s="142"/>
      <c r="AV44" s="165"/>
      <c r="AW44" s="157"/>
      <c r="AX44" s="165"/>
      <c r="AY44" s="143"/>
      <c r="AZ44" s="165"/>
      <c r="BA44" s="165"/>
      <c r="BB44" s="165"/>
      <c r="BC44" s="165"/>
      <c r="BD44" s="165"/>
      <c r="BE44" s="165"/>
      <c r="BF44" s="165"/>
      <c r="BG44" s="143"/>
      <c r="BH44" s="166"/>
      <c r="BI44" s="141"/>
      <c r="BJ44" s="160"/>
      <c r="BK44" s="141"/>
      <c r="BL44" s="142"/>
      <c r="BM44" s="143"/>
      <c r="BN44" s="157"/>
      <c r="BO44" s="165"/>
      <c r="BP44" s="167"/>
      <c r="BQ44" s="159"/>
      <c r="BR44" s="143"/>
      <c r="BS44" s="161"/>
      <c r="BT44" s="157"/>
      <c r="BU44" s="157"/>
      <c r="BV44" s="157"/>
      <c r="BW44" s="146"/>
      <c r="BX44" s="157"/>
      <c r="BY44" s="142"/>
      <c r="BZ44" s="141"/>
      <c r="CA44" s="143"/>
      <c r="CB44" s="142"/>
      <c r="CC44" s="142"/>
      <c r="CD44" s="142"/>
      <c r="CE44" s="142"/>
      <c r="CF44" s="142"/>
      <c r="CG44" s="142"/>
      <c r="CH44" s="157"/>
      <c r="CI44" s="142"/>
      <c r="CJ44" s="159"/>
      <c r="CK44" s="143"/>
      <c r="CL44" s="147"/>
      <c r="CM44" s="147"/>
      <c r="CN44" s="143"/>
      <c r="CO44" s="138"/>
      <c r="CP44" s="143"/>
      <c r="CQ44" s="148"/>
      <c r="CR44" s="142"/>
      <c r="CS44" s="142"/>
      <c r="CT44" s="142"/>
      <c r="CU44" s="142"/>
      <c r="CV44" s="142"/>
      <c r="CW44" s="142"/>
      <c r="CX44" s="142"/>
      <c r="CY44" s="142"/>
      <c r="CZ44" s="142"/>
      <c r="DA44" s="142"/>
      <c r="DB44" s="142"/>
      <c r="DC44" s="142"/>
      <c r="DD44" s="142"/>
      <c r="DE44" s="142"/>
      <c r="DF44" s="142"/>
      <c r="DG44" s="149"/>
      <c r="DH44" s="143"/>
      <c r="DI44" s="142"/>
      <c r="DJ44" s="143"/>
      <c r="DK44" s="165"/>
      <c r="DL44" s="142"/>
      <c r="DM44" s="142"/>
      <c r="DN44" s="138"/>
      <c r="DO44" s="165"/>
      <c r="DP44" s="142"/>
      <c r="DQ44" s="142"/>
      <c r="DR44" s="143"/>
      <c r="DS44" s="165"/>
      <c r="DT44" s="142"/>
      <c r="DU44" s="142"/>
      <c r="DV44" s="142"/>
      <c r="DW44" s="151"/>
      <c r="DX44" s="142"/>
      <c r="DY44" s="142"/>
      <c r="DZ44" s="143"/>
      <c r="EA44" s="142"/>
      <c r="EB44" s="143"/>
      <c r="EC44" s="142"/>
      <c r="ED44" s="143"/>
      <c r="EE44" s="143"/>
      <c r="EF44" s="152"/>
      <c r="EG44" s="153"/>
      <c r="EH44" s="151"/>
      <c r="EI44" s="151"/>
      <c r="EJ44" s="152"/>
      <c r="EK44" s="154"/>
      <c r="EL44" s="152"/>
      <c r="EM44" s="150"/>
      <c r="EN44" s="142"/>
      <c r="EO44" s="143"/>
      <c r="EP44" s="143"/>
      <c r="EQ44" s="143"/>
      <c r="ER44" s="165"/>
      <c r="ES44" s="165"/>
      <c r="ET44" s="142"/>
      <c r="EU44" s="143"/>
      <c r="EV44" s="138"/>
      <c r="EW44" s="165"/>
      <c r="EX44" s="143"/>
      <c r="EY44" s="165"/>
      <c r="EZ44" s="165"/>
      <c r="FA44" s="165"/>
      <c r="FB44" s="165"/>
      <c r="FC44" s="165"/>
      <c r="FD44" s="165"/>
      <c r="FE44" s="168"/>
      <c r="FF44" s="142"/>
      <c r="FG44" s="162"/>
      <c r="FH44" s="162"/>
      <c r="FI44" s="163"/>
      <c r="FJ44" s="142"/>
      <c r="FK44" s="141"/>
      <c r="FL44" s="156"/>
      <c r="FM44" s="155"/>
      <c r="FN44" s="155"/>
      <c r="FO44" s="143"/>
      <c r="FP44" s="143"/>
      <c r="FQ44" s="142"/>
      <c r="FR44" s="142"/>
      <c r="FS44" s="142"/>
      <c r="FT44" s="142"/>
      <c r="FU44" s="142"/>
      <c r="FV44" s="142"/>
      <c r="FW44" s="142"/>
      <c r="FX44" s="142"/>
      <c r="FY44" s="142"/>
      <c r="FZ44" s="142"/>
      <c r="GA44" s="142"/>
      <c r="GB44" s="142"/>
    </row>
    <row r="45" spans="1:184" ht="16">
      <c r="A45" s="138"/>
      <c r="B45" s="139"/>
      <c r="C45" s="140"/>
      <c r="Y45" s="141"/>
      <c r="Z45" s="164"/>
      <c r="AA45" s="157"/>
      <c r="AB45" s="142"/>
      <c r="AC45" s="158"/>
      <c r="AD45" s="158"/>
      <c r="AE45" s="158"/>
      <c r="AF45" s="158"/>
      <c r="AG45" s="159"/>
      <c r="AH45" s="157"/>
      <c r="AI45" s="157"/>
      <c r="AJ45" s="143"/>
      <c r="AK45" s="144"/>
      <c r="AL45" s="144"/>
      <c r="AM45" s="142"/>
      <c r="AN45" s="142"/>
      <c r="AO45" s="142"/>
      <c r="AP45" s="142"/>
      <c r="AQ45" s="142"/>
      <c r="AR45" s="143"/>
      <c r="AS45" s="145"/>
      <c r="AT45" s="142"/>
      <c r="AU45" s="142"/>
      <c r="AV45" s="165"/>
      <c r="AW45" s="157"/>
      <c r="AX45" s="165"/>
      <c r="AY45" s="143"/>
      <c r="AZ45" s="165"/>
      <c r="BA45" s="165"/>
      <c r="BB45" s="165"/>
      <c r="BC45" s="165"/>
      <c r="BD45" s="165"/>
      <c r="BE45" s="165"/>
      <c r="BF45" s="165"/>
      <c r="BG45" s="143"/>
      <c r="BH45" s="166"/>
      <c r="BI45" s="141"/>
      <c r="BJ45" s="160"/>
      <c r="BK45" s="141"/>
      <c r="BL45" s="142"/>
      <c r="BM45" s="143"/>
      <c r="BN45" s="157"/>
      <c r="BO45" s="165"/>
      <c r="BP45" s="167"/>
      <c r="BQ45" s="159"/>
      <c r="BR45" s="143"/>
      <c r="BS45" s="161"/>
      <c r="BT45" s="157"/>
      <c r="BU45" s="157"/>
      <c r="BV45" s="157"/>
      <c r="BW45" s="146"/>
      <c r="BX45" s="157"/>
      <c r="BY45" s="142"/>
      <c r="BZ45" s="141"/>
      <c r="CA45" s="143"/>
      <c r="CB45" s="142"/>
      <c r="CC45" s="142"/>
      <c r="CD45" s="142"/>
      <c r="CE45" s="142"/>
      <c r="CF45" s="142"/>
      <c r="CG45" s="142"/>
      <c r="CH45" s="157"/>
      <c r="CI45" s="142"/>
      <c r="CJ45" s="159"/>
      <c r="CK45" s="143"/>
      <c r="CL45" s="147"/>
      <c r="CM45" s="147"/>
      <c r="CN45" s="143"/>
      <c r="CO45" s="138"/>
      <c r="CP45" s="143"/>
      <c r="CQ45" s="148"/>
      <c r="CR45" s="142"/>
      <c r="CS45" s="142"/>
      <c r="CT45" s="142"/>
      <c r="CU45" s="142"/>
      <c r="CV45" s="142"/>
      <c r="CW45" s="142"/>
      <c r="CX45" s="142"/>
      <c r="CY45" s="142"/>
      <c r="CZ45" s="142"/>
      <c r="DA45" s="142"/>
      <c r="DB45" s="142"/>
      <c r="DC45" s="142"/>
      <c r="DD45" s="142"/>
      <c r="DE45" s="142"/>
      <c r="DF45" s="142"/>
      <c r="DG45" s="149"/>
      <c r="DH45" s="143"/>
      <c r="DI45" s="142"/>
      <c r="DJ45" s="143"/>
      <c r="DK45" s="165"/>
      <c r="DL45" s="142"/>
      <c r="DM45" s="142"/>
      <c r="DN45" s="138"/>
      <c r="DO45" s="165"/>
      <c r="DP45" s="142"/>
      <c r="DQ45" s="142"/>
      <c r="DR45" s="143"/>
      <c r="DS45" s="165"/>
      <c r="DT45" s="142"/>
      <c r="DU45" s="142"/>
      <c r="DV45" s="142"/>
      <c r="DW45" s="151"/>
      <c r="DX45" s="142"/>
      <c r="DY45" s="142"/>
      <c r="DZ45" s="143"/>
      <c r="EA45" s="142"/>
      <c r="EB45" s="143"/>
      <c r="EC45" s="142"/>
      <c r="ED45" s="143"/>
      <c r="EE45" s="143"/>
      <c r="EF45" s="152"/>
      <c r="EG45" s="153"/>
      <c r="EH45" s="151"/>
      <c r="EI45" s="151"/>
      <c r="EJ45" s="152"/>
      <c r="EK45" s="154"/>
      <c r="EL45" s="152"/>
      <c r="EM45" s="150"/>
      <c r="EN45" s="142"/>
      <c r="EO45" s="143"/>
      <c r="EP45" s="143"/>
      <c r="EQ45" s="143"/>
      <c r="ER45" s="165"/>
      <c r="ES45" s="165"/>
      <c r="ET45" s="142"/>
      <c r="EU45" s="143"/>
      <c r="EV45" s="138"/>
      <c r="EW45" s="165"/>
      <c r="EX45" s="143"/>
      <c r="EY45" s="165"/>
      <c r="EZ45" s="165"/>
      <c r="FA45" s="165"/>
      <c r="FB45" s="165"/>
      <c r="FC45" s="165"/>
      <c r="FD45" s="165"/>
      <c r="FE45" s="168"/>
      <c r="FF45" s="142"/>
      <c r="FG45" s="162"/>
      <c r="FH45" s="162"/>
      <c r="FI45" s="163"/>
      <c r="FJ45" s="142"/>
      <c r="FK45" s="141"/>
      <c r="FL45" s="156"/>
      <c r="FM45" s="155"/>
      <c r="FN45" s="155"/>
      <c r="FO45" s="143"/>
      <c r="FP45" s="143"/>
      <c r="FQ45" s="142"/>
      <c r="FR45" s="142"/>
      <c r="FS45" s="142"/>
      <c r="FT45" s="142"/>
      <c r="FU45" s="142"/>
      <c r="FV45" s="142"/>
      <c r="FW45" s="142"/>
      <c r="FX45" s="142"/>
      <c r="FY45" s="142"/>
      <c r="FZ45" s="142"/>
      <c r="GA45" s="142"/>
      <c r="GB45" s="142"/>
    </row>
  </sheetData>
  <mergeCells count="1">
    <mergeCell ref="S2:W2"/>
  </mergeCells>
  <phoneticPr fontId="41" type="noConversion"/>
  <hyperlinks>
    <hyperlink ref="B4" r:id="rId1" xr:uid="{82B605A9-F669-DE46-9468-91FE31A46E6E}"/>
    <hyperlink ref="B5" r:id="rId2" xr:uid="{49BA3244-8BA8-1B4C-8610-452225E4C928}"/>
    <hyperlink ref="B6" r:id="rId3" xr:uid="{6EA1AA7C-AD27-E648-977F-14B9B74E9210}"/>
    <hyperlink ref="B8" r:id="rId4" xr:uid="{0F2EF526-90C3-FB43-93CD-311FCD8701C3}"/>
    <hyperlink ref="B10" r:id="rId5" xr:uid="{6BBAA184-BB30-B34B-B13B-43F76F447AFC}"/>
    <hyperlink ref="B12" r:id="rId6" xr:uid="{AE4C22CA-C649-0547-90CF-5BF2D3213BE8}"/>
    <hyperlink ref="B14" r:id="rId7" xr:uid="{CD22B3B3-9866-EF41-8433-9ABC4E239F0C}"/>
    <hyperlink ref="B16" r:id="rId8" xr:uid="{A067A24A-0ED5-3A4A-B97C-4928AF0FF3C6}"/>
    <hyperlink ref="B18" r:id="rId9" xr:uid="{40712B27-3281-AA44-876B-2CED21F472E8}"/>
    <hyperlink ref="B7" r:id="rId10" xr:uid="{91D716AE-9D7C-234A-B7BF-A9BEBF41A84B}"/>
    <hyperlink ref="B9" r:id="rId11" xr:uid="{E90F31C0-AFBE-D640-B2DF-008F459B3849}"/>
    <hyperlink ref="B11" r:id="rId12" xr:uid="{1E292361-BE87-BD44-A284-81F4E2C53B80}"/>
    <hyperlink ref="B13" r:id="rId13" xr:uid="{B0244F8D-8ED8-2C4E-AF11-AC269DB691FC}"/>
    <hyperlink ref="B15" r:id="rId14" xr:uid="{0F823A59-E4D2-694A-A5FE-62A4CA51FC55}"/>
    <hyperlink ref="B17" r:id="rId15" xr:uid="{9B123450-F83A-2747-96EC-8D84F516EF7E}"/>
    <hyperlink ref="B19" r:id="rId16" xr:uid="{DA9D14C4-34EE-E14F-92E0-367B02354282}"/>
    <hyperlink ref="Z4" r:id="rId17" display="https://doi.org/10.1016/j.epsl.2005.04.02710.1126/science.1171477" xr:uid="{B95A9406-1B98-134C-AFC4-A4C6D8E7AEA9}"/>
    <hyperlink ref="Z5" r:id="rId18" display="https://doi.org/10.1016/j.epsl.2005.04.02710.1126/science.1171477" xr:uid="{DECAC85E-FF1F-5F4C-AF90-9A25D3328C6B}"/>
    <hyperlink ref="Z6" r:id="rId19" display="https://doi.org/10.1016/j.epsl.2005.04.02710.1126/science.1171477" xr:uid="{252F10F9-99D5-7E41-AB02-7C588F8B56EE}"/>
    <hyperlink ref="Z7" r:id="rId20" display="https://doi.org/10.1016/j.epsl.2005.04.02710.1126/science.1171477" xr:uid="{5E32B111-3ACE-AD40-9D1B-FAC6C8FA082A}"/>
    <hyperlink ref="Z8" r:id="rId21" display="https://doi.org/10.1016/j.epsl.2005.04.02710.1126/science.1171477" xr:uid="{4D53780E-8D90-2346-A46D-7B7A022BA4D8}"/>
    <hyperlink ref="Z9" r:id="rId22" display="https://doi.org/10.1016/j.epsl.2005.04.02710.1126/science.1171477" xr:uid="{72784830-715B-064E-B49B-DC17F4EEB280}"/>
    <hyperlink ref="Z10" r:id="rId23" display="https://doi.org/10.1016/j.epsl.2005.04.02710.1126/science.1171477" xr:uid="{AE5824CF-1C1F-FC4A-A407-2EB372BBFFD2}"/>
    <hyperlink ref="Z11" r:id="rId24" display="https://doi.org/10.1016/j.epsl.2005.04.02710.1126/science.1171477" xr:uid="{B544F1E0-4BAB-5048-90F9-FE3E0D283663}"/>
    <hyperlink ref="Z12" r:id="rId25" display="https://doi.org/10.1016/j.epsl.2005.04.02710.1126/science.1171477" xr:uid="{9214E160-F743-704B-89B4-519FF59C5F3E}"/>
    <hyperlink ref="Z13" r:id="rId26" display="https://doi.org/10.1016/j.epsl.2005.04.02710.1126/science.1171477" xr:uid="{05966CDC-0490-1343-895B-C1F4F9993BC9}"/>
    <hyperlink ref="Z14" r:id="rId27" display="https://doi.org/10.1016/j.epsl.2005.04.02710.1126/science.1171477" xr:uid="{71F1CAD4-13A4-ED42-8B06-909D706654B6}"/>
    <hyperlink ref="Z15" r:id="rId28" display="https://doi.org/10.1016/j.epsl.2005.04.02710.1126/science.1171477" xr:uid="{175C1825-4732-074F-952B-833CAD60B031}"/>
    <hyperlink ref="Z16" r:id="rId29" display="https://doi.org/10.1016/j.epsl.2005.04.02710.1126/science.1171477" xr:uid="{2556A665-2C97-B24E-97A2-AA1C726D9118}"/>
    <hyperlink ref="Z17" r:id="rId30" display="https://doi.org/10.1016/j.epsl.2005.04.02710.1126/science.1171477" xr:uid="{CF089A27-34B0-4144-B04A-054F0D6866C5}"/>
    <hyperlink ref="Z19" r:id="rId31" display="https://doi.org/10.1016/j.epsl.2005.04.02710.1126/science.1171477" xr:uid="{9FCCAFEB-4DC2-2342-84FC-17B677A2310B}"/>
    <hyperlink ref="Z18" r:id="rId32" display="https://doi.org/10.1016/j.epsl.2005.04.02710.1126/science.1171477" xr:uid="{2C6C555E-DA40-754A-8B9C-110A4605B9B5}"/>
    <hyperlink ref="F4" r:id="rId33" display="https://doi.org/10.1016/j.epsl.2005.04.02710.1126/science.1171477" xr:uid="{D1BA2ECB-7E13-214C-BBE8-A8AEB119422A}"/>
    <hyperlink ref="F5" r:id="rId34" display="https://doi.org/10.1016/j.epsl.2005.04.02710.1126/science.1171477" xr:uid="{217BAEE0-76B0-0547-B41E-24354420F3D9}"/>
    <hyperlink ref="F6" r:id="rId35" display="https://doi.org/10.1016/j.epsl.2005.04.02710.1126/science.1171477" xr:uid="{54F66E87-EA5B-A44C-A80E-6830890E81E7}"/>
    <hyperlink ref="F7" r:id="rId36" display="https://doi.org/10.1016/j.epsl.2005.04.02710.1126/science.1171477" xr:uid="{3F310DF1-57DC-BF48-8369-01AD0541D994}"/>
    <hyperlink ref="F8" r:id="rId37" display="https://doi.org/10.1016/j.epsl.2005.04.02710.1126/science.1171477" xr:uid="{9EB0D085-C1B5-1A42-97DC-8326BD753886}"/>
    <hyperlink ref="F9" r:id="rId38" display="https://doi.org/10.1016/j.epsl.2005.04.02710.1126/science.1171477" xr:uid="{AE7822CC-7AAF-A84E-9D7C-8DF11A5CEDE3}"/>
    <hyperlink ref="F10" r:id="rId39" display="https://doi.org/10.1016/j.epsl.2005.04.02710.1126/science.1171477" xr:uid="{190187D2-F1B4-0E46-BBED-710BFCB3825F}"/>
    <hyperlink ref="F11" r:id="rId40" display="https://doi.org/10.1016/j.epsl.2005.04.02710.1126/science.1171477" xr:uid="{B6546BF4-9C5F-7241-8E6D-54C231CCEB28}"/>
    <hyperlink ref="F12" r:id="rId41" display="https://doi.org/10.1016/j.epsl.2005.04.02710.1126/science.1171477" xr:uid="{3A782FAF-1D6C-F441-9989-A75CEC4900C8}"/>
    <hyperlink ref="F13" r:id="rId42" display="https://doi.org/10.1016/j.epsl.2005.04.02710.1126/science.1171477" xr:uid="{25788570-BB67-DA40-A322-219F5311A370}"/>
    <hyperlink ref="F14" r:id="rId43" display="https://doi.org/10.1016/j.epsl.2005.04.02710.1126/science.1171477" xr:uid="{CB054755-1AEF-6640-A4C8-252A8CCECC09}"/>
    <hyperlink ref="F15" r:id="rId44" display="https://doi.org/10.1016/j.epsl.2005.04.02710.1126/science.1171477" xr:uid="{7A22A205-C6EE-A74D-8C43-C204F1395606}"/>
    <hyperlink ref="F16" r:id="rId45" display="https://doi.org/10.1016/j.epsl.2005.04.02710.1126/science.1171477" xr:uid="{6B046BB6-96B8-1D45-B2A9-5399F50A2033}"/>
    <hyperlink ref="F17" r:id="rId46" display="https://doi.org/10.1016/j.epsl.2005.04.02710.1126/science.1171477" xr:uid="{AF3C0F0B-12A6-1A42-A9F8-4BB6159B3E1D}"/>
    <hyperlink ref="F19" r:id="rId47" display="https://doi.org/10.1016/j.epsl.2005.04.02710.1126/science.1171477" xr:uid="{F7082DF0-224A-664F-8339-683D9A37025E}"/>
    <hyperlink ref="F18" r:id="rId48" display="https://doi.org/10.1016/j.epsl.2005.04.02710.1126/science.1171477" xr:uid="{B55D8CF4-83FD-1B4E-ADD4-12F65C90B4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2022-03-17T18:05:21Z</dcterms:modified>
</cp:coreProperties>
</file>