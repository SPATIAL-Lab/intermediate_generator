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E5B40D80-5CFE-DB42-A09D-8E93AAA881CB}" xr6:coauthVersionLast="47" xr6:coauthVersionMax="47" xr10:uidLastSave="{00000000-0000-0000-0000-000000000000}"/>
  <bookViews>
    <workbookView xWindow="-1160" yWindow="3180" windowWidth="25960" windowHeight="153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5" i="1" l="1"/>
  <c r="G5" i="1"/>
  <c r="H5" i="1"/>
  <c r="I5" i="1"/>
  <c r="J5" i="1"/>
  <c r="K5" i="1"/>
  <c r="L5" i="1"/>
  <c r="F6" i="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F14" i="1"/>
  <c r="G14" i="1"/>
  <c r="H14" i="1"/>
  <c r="I14" i="1"/>
  <c r="J14" i="1"/>
  <c r="K14" i="1"/>
  <c r="L14" i="1"/>
  <c r="F15" i="1"/>
  <c r="G15" i="1"/>
  <c r="H15" i="1"/>
  <c r="I15" i="1"/>
  <c r="J15" i="1"/>
  <c r="K15" i="1"/>
  <c r="L15" i="1"/>
  <c r="F16" i="1"/>
  <c r="G16" i="1"/>
  <c r="H16" i="1"/>
  <c r="I16" i="1"/>
  <c r="J16" i="1"/>
  <c r="K16" i="1"/>
  <c r="L16" i="1"/>
  <c r="F17" i="1"/>
  <c r="G17" i="1"/>
  <c r="H17" i="1"/>
  <c r="I17" i="1"/>
  <c r="J17" i="1"/>
  <c r="K17" i="1"/>
  <c r="L17" i="1"/>
  <c r="F18" i="1"/>
  <c r="G18" i="1"/>
  <c r="H18" i="1"/>
  <c r="I18" i="1"/>
  <c r="J18" i="1"/>
  <c r="K18" i="1"/>
  <c r="L18" i="1"/>
  <c r="F19" i="1"/>
  <c r="G19" i="1"/>
  <c r="H19" i="1"/>
  <c r="I19" i="1"/>
  <c r="J19" i="1"/>
  <c r="K19" i="1"/>
  <c r="L19" i="1"/>
  <c r="F20" i="1"/>
  <c r="G20" i="1"/>
  <c r="H20" i="1"/>
  <c r="I20" i="1"/>
  <c r="J20" i="1"/>
  <c r="K20" i="1"/>
  <c r="L20" i="1"/>
  <c r="F21" i="1"/>
  <c r="G21" i="1"/>
  <c r="H21" i="1"/>
  <c r="I21" i="1"/>
  <c r="J21" i="1"/>
  <c r="K21" i="1"/>
  <c r="L21" i="1"/>
  <c r="F22" i="1"/>
  <c r="G22" i="1"/>
  <c r="H22" i="1"/>
  <c r="I22" i="1"/>
  <c r="J22" i="1"/>
  <c r="K22" i="1"/>
  <c r="L22" i="1"/>
  <c r="I4" i="1" l="1"/>
  <c r="H4" i="1"/>
  <c r="G4" i="1"/>
  <c r="K4" i="1"/>
  <c r="L4" i="1"/>
  <c r="J4" i="1"/>
  <c r="F4" i="1"/>
</calcChain>
</file>

<file path=xl/sharedStrings.xml><?xml version="1.0" encoding="utf-8"?>
<sst xmlns="http://schemas.openxmlformats.org/spreadsheetml/2006/main" count="2977" uniqueCount="247">
  <si>
    <t>name of person entering product data</t>
  </si>
  <si>
    <t>email of person entering product data</t>
  </si>
  <si>
    <t>proxy</t>
  </si>
  <si>
    <t>first_author_last_name</t>
  </si>
  <si>
    <t>publication_year</t>
  </si>
  <si>
    <t>doi</t>
  </si>
  <si>
    <t>age_ka</t>
  </si>
  <si>
    <t>Age_uncertainty_pos_ka</t>
  </si>
  <si>
    <t>Age_uncertainty_neg_ka</t>
  </si>
  <si>
    <t>specify reason for quarantine</t>
  </si>
  <si>
    <t>specify reason for age revision</t>
  </si>
  <si>
    <t>SAMPLE IDENTIFICATION</t>
  </si>
  <si>
    <t>AGE CONSTRAINTS</t>
  </si>
  <si>
    <t>ANALYTICAL SPECIFICATIONS</t>
  </si>
  <si>
    <t>VITAL EFFECT</t>
    <phoneticPr fontId="0" type="noConversion"/>
  </si>
  <si>
    <r>
      <rPr>
        <b/>
        <sz val="12"/>
        <rFont val="Calibri (Body)"/>
      </rPr>
      <t>CALCULATED</t>
    </r>
    <r>
      <rPr>
        <b/>
        <sz val="12"/>
        <rFont val="Symbol"/>
        <charset val="2"/>
      </rPr>
      <t xml:space="preserve"> d</t>
    </r>
    <r>
      <rPr>
        <b/>
        <vertAlign val="superscript"/>
        <sz val="12"/>
        <rFont val="Verdana"/>
        <family val="2"/>
      </rPr>
      <t>11</t>
    </r>
    <r>
      <rPr>
        <b/>
        <sz val="12"/>
        <rFont val="Verdana"/>
        <family val="2"/>
      </rPr>
      <t>B</t>
    </r>
    <r>
      <rPr>
        <b/>
        <vertAlign val="subscript"/>
        <sz val="12"/>
        <rFont val="Verdana"/>
        <family val="2"/>
      </rPr>
      <t>borate</t>
    </r>
  </si>
  <si>
    <t>ACCESSORY INPUTS</t>
  </si>
  <si>
    <t>METHOD OF TEMPERATURE DETERMINATION</t>
  </si>
  <si>
    <t>ALTERNATIVE METHOD OF TEMPERATURE RECONSTRUCTION</t>
  </si>
  <si>
    <t>SEAWATER COMPOSITION</t>
  </si>
  <si>
    <t>AQUEOUS BORON ISOTOPE FRACTIONATION</t>
  </si>
  <si>
    <r>
      <t>PARAMETERIZATION OF CO</t>
    </r>
    <r>
      <rPr>
        <b/>
        <vertAlign val="subscript"/>
        <sz val="12"/>
        <color indexed="8"/>
        <rFont val="Calibri"/>
        <family val="2"/>
      </rPr>
      <t>2</t>
    </r>
    <r>
      <rPr>
        <b/>
        <sz val="12"/>
        <color indexed="8"/>
        <rFont val="Calibri"/>
        <family val="2"/>
      </rPr>
      <t xml:space="preserve"> CALCULATION</t>
    </r>
  </si>
  <si>
    <t>SECOND PARAMETER OF THE CARBONATE SYSTEM</t>
  </si>
  <si>
    <t>CALCULATED PARAMETERS OF THE CARBONATE SYSTEM</t>
  </si>
  <si>
    <t>alternative Age (in case different models are available)</t>
  </si>
  <si>
    <r>
      <rPr>
        <sz val="12"/>
        <rFont val="Symbol"/>
        <charset val="2"/>
      </rPr>
      <t>d</t>
    </r>
    <r>
      <rPr>
        <vertAlign val="superscript"/>
        <sz val="12"/>
        <rFont val="Verdana"/>
        <family val="2"/>
      </rPr>
      <t>11</t>
    </r>
    <r>
      <rPr>
        <sz val="12"/>
        <rFont val="Verdana"/>
        <family val="2"/>
      </rPr>
      <t>B (relative to SRM 951)</t>
    </r>
  </si>
  <si>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c</t>
    </r>
    <r>
      <rPr>
        <b/>
        <sz val="12"/>
        <color indexed="8"/>
        <rFont val="Verdana"/>
        <family val="2"/>
      </rPr>
      <t>/</t>
    </r>
    <r>
      <rPr>
        <b/>
        <sz val="12"/>
        <color indexed="8"/>
        <rFont val="Symbol"/>
        <charset val="2"/>
      </rPr>
      <t>d</t>
    </r>
    <r>
      <rPr>
        <b/>
        <vertAlign val="superscript"/>
        <sz val="12"/>
        <color indexed="8"/>
        <rFont val="Verdana"/>
        <family val="2"/>
      </rPr>
      <t>11</t>
    </r>
    <r>
      <rPr>
        <b/>
        <sz val="12"/>
        <color indexed="8"/>
        <rFont val="Verdana"/>
        <family val="2"/>
      </rPr>
      <t>B</t>
    </r>
    <r>
      <rPr>
        <b/>
        <vertAlign val="subscript"/>
        <sz val="12"/>
        <color indexed="8"/>
        <rFont val="Verdana"/>
        <family val="2"/>
      </rPr>
      <t>borate</t>
    </r>
    <r>
      <rPr>
        <b/>
        <sz val="12"/>
        <color indexed="8"/>
        <rFont val="Verdana"/>
        <family val="2"/>
      </rPr>
      <t xml:space="preserve"> calibration slope</t>
    </r>
  </si>
  <si>
    <r>
      <rPr>
        <b/>
        <sz val="12"/>
        <rFont val="Symbol"/>
        <charset val="2"/>
      </rPr>
      <t>d</t>
    </r>
    <r>
      <rPr>
        <b/>
        <vertAlign val="superscript"/>
        <sz val="12"/>
        <rFont val="Verdana"/>
        <family val="2"/>
      </rPr>
      <t>11</t>
    </r>
    <r>
      <rPr>
        <b/>
        <sz val="12"/>
        <rFont val="Verdana"/>
        <family val="2"/>
      </rPr>
      <t>B</t>
    </r>
    <r>
      <rPr>
        <b/>
        <vertAlign val="subscript"/>
        <sz val="12"/>
        <rFont val="Verdana"/>
        <family val="2"/>
      </rPr>
      <t>c</t>
    </r>
    <r>
      <rPr>
        <b/>
        <sz val="12"/>
        <rFont val="Verdana"/>
        <family val="2"/>
      </rPr>
      <t>/</t>
    </r>
    <r>
      <rPr>
        <b/>
        <sz val="12"/>
        <rFont val="Symbol"/>
        <charset val="2"/>
      </rPr>
      <t>d</t>
    </r>
    <r>
      <rPr>
        <b/>
        <vertAlign val="superscript"/>
        <sz val="12"/>
        <rFont val="Verdana"/>
        <family val="2"/>
      </rPr>
      <t>11</t>
    </r>
    <r>
      <rPr>
        <b/>
        <sz val="12"/>
        <rFont val="Verdana"/>
        <family val="2"/>
      </rPr>
      <t>B</t>
    </r>
    <r>
      <rPr>
        <b/>
        <vertAlign val="subscript"/>
        <sz val="12"/>
        <rFont val="Verdana"/>
        <family val="2"/>
      </rPr>
      <t>borate</t>
    </r>
    <r>
      <rPr>
        <b/>
        <sz val="12"/>
        <rFont val="Verdana"/>
        <family val="2"/>
      </rPr>
      <t xml:space="preserve"> calibration intercept</t>
    </r>
  </si>
  <si>
    <t>pressure (i.e. depth of foraminifer habitat)</t>
  </si>
  <si>
    <t xml:space="preserve">Temperature </t>
  </si>
  <si>
    <t xml:space="preserve"> Mg/Ca</t>
  </si>
  <si>
    <t>e.g., Alkenone UK'37, TEX 86</t>
  </si>
  <si>
    <t>Salinity</t>
  </si>
  <si>
    <t>[Ca] of seawater at S=35</t>
  </si>
  <si>
    <t>[Mg] of seawater at S=35</t>
  </si>
  <si>
    <t>[SO4] of seawater at S=35</t>
  </si>
  <si>
    <r>
      <t>[B]</t>
    </r>
    <r>
      <rPr>
        <b/>
        <vertAlign val="subscript"/>
        <sz val="12"/>
        <rFont val="Verdana"/>
        <family val="2"/>
      </rPr>
      <t>T</t>
    </r>
    <r>
      <rPr>
        <b/>
        <sz val="12"/>
        <rFont val="Verdana"/>
        <family val="2"/>
      </rPr>
      <t xml:space="preserve"> of seawater at S=35</t>
    </r>
  </si>
  <si>
    <r>
      <rPr>
        <b/>
        <sz val="12"/>
        <color indexed="8"/>
        <rFont val="Symbol"/>
        <charset val="2"/>
      </rPr>
      <t>d</t>
    </r>
    <r>
      <rPr>
        <b/>
        <vertAlign val="superscript"/>
        <sz val="12"/>
        <color indexed="8"/>
        <rFont val="Calibri"/>
        <family val="2"/>
      </rPr>
      <t>11</t>
    </r>
    <r>
      <rPr>
        <b/>
        <sz val="12"/>
        <color indexed="8"/>
        <rFont val="Calibri"/>
        <family val="2"/>
      </rPr>
      <t>B</t>
    </r>
    <r>
      <rPr>
        <b/>
        <vertAlign val="subscript"/>
        <sz val="12"/>
        <color indexed="8"/>
        <rFont val="Calibri"/>
        <family val="2"/>
      </rPr>
      <t>sw</t>
    </r>
  </si>
  <si>
    <t>pKB</t>
  </si>
  <si>
    <r>
      <rPr>
        <b/>
        <sz val="12"/>
        <rFont val="Symbol"/>
        <charset val="2"/>
      </rPr>
      <t>a</t>
    </r>
    <r>
      <rPr>
        <b/>
        <vertAlign val="subscript"/>
        <sz val="12"/>
        <rFont val="Verdana"/>
        <family val="2"/>
      </rPr>
      <t>B3-B4</t>
    </r>
    <r>
      <rPr>
        <b/>
        <sz val="12"/>
        <rFont val="Verdana"/>
        <family val="2"/>
      </rPr>
      <t xml:space="preserve"> </t>
    </r>
  </si>
  <si>
    <t>if applicable</t>
  </si>
  <si>
    <t>Reference of the data product</t>
  </si>
  <si>
    <t>DOI link to reference</t>
  </si>
  <si>
    <t>Site (DSDP/ODP/IODP or other site number)</t>
  </si>
  <si>
    <t>Hole</t>
  </si>
  <si>
    <t>Core</t>
  </si>
  <si>
    <t>Section</t>
  </si>
  <si>
    <t>top cm</t>
  </si>
  <si>
    <t>bottom cm</t>
  </si>
  <si>
    <r>
      <t>core depth below seafloor (meters, specify CSF-A or CSF-B where applicable, original IODP record)</t>
    </r>
    <r>
      <rPr>
        <vertAlign val="superscript"/>
        <sz val="12"/>
        <rFont val="Verdana"/>
        <family val="2"/>
      </rPr>
      <t>a</t>
    </r>
  </si>
  <si>
    <r>
      <t>core composite depth below seafloor (meters, CCSF)</t>
    </r>
    <r>
      <rPr>
        <vertAlign val="superscript"/>
        <sz val="12"/>
        <rFont val="Verdana"/>
        <family val="2"/>
      </rPr>
      <t>a</t>
    </r>
  </si>
  <si>
    <t>reference for composite depth</t>
  </si>
  <si>
    <t>Location (e.g., Atlantic, Carribbean, South China Sea etc.)</t>
  </si>
  <si>
    <t>Modern Latitude (decimal degree, south negative)</t>
  </si>
  <si>
    <t>Modern Longitude (decimal degree, west negative)</t>
  </si>
  <si>
    <t>Paleo Latitude (decimal degree, south negative)</t>
  </si>
  <si>
    <t>Paleo Longitude (decimal degree, west negative)</t>
  </si>
  <si>
    <t>Modern elevation (m), below sea level negative</t>
  </si>
  <si>
    <t>Paleo elevation (m), below sea level negative</t>
  </si>
  <si>
    <t>reference and Method to determine Paleo position</t>
  </si>
  <si>
    <t>notes about any flags in the studied core section</t>
  </si>
  <si>
    <t>Age (ka)</t>
  </si>
  <si>
    <t>type of uncertainty (e.g., set value, normal distribution, +/- range)</t>
  </si>
  <si>
    <r>
      <t>2</t>
    </r>
    <r>
      <rPr>
        <sz val="12"/>
        <color theme="1"/>
        <rFont val="Symbol"/>
        <charset val="2"/>
      </rPr>
      <t>s</t>
    </r>
    <r>
      <rPr>
        <sz val="11"/>
        <color theme="1"/>
        <rFont val="Calibri"/>
        <family val="2"/>
        <scheme val="minor"/>
      </rPr>
      <t xml:space="preserve"> Age uncertainty pos (ka)</t>
    </r>
  </si>
  <si>
    <r>
      <t>2</t>
    </r>
    <r>
      <rPr>
        <sz val="12"/>
        <color theme="1"/>
        <rFont val="Symbol"/>
        <charset val="2"/>
      </rPr>
      <t>s</t>
    </r>
    <r>
      <rPr>
        <sz val="11"/>
        <color theme="1"/>
        <rFont val="Calibri"/>
        <family val="2"/>
        <scheme val="minor"/>
      </rPr>
      <t xml:space="preserve"> Age uncertainty neg (ka)</t>
    </r>
  </si>
  <si>
    <t>Age Scale (GTS 20XX)</t>
  </si>
  <si>
    <t>age method (nannofossil biostratigraphy, radiolaria, magnetic polarity, radiometric etc.)</t>
  </si>
  <si>
    <t>reference to age model, if different from primary reference of data set</t>
  </si>
  <si>
    <t>foraminifer species analyzed</t>
  </si>
  <si>
    <t>foraminifer size class (µm)</t>
  </si>
  <si>
    <t xml:space="preserve">number of foraminifera shells per sample </t>
  </si>
  <si>
    <t>total sample weight (mg)</t>
  </si>
  <si>
    <t>Reference for sample  cleaning procedure</t>
  </si>
  <si>
    <t>Boron separation method (e.g., column chemistry, microsublimation)</t>
  </si>
  <si>
    <t>analytical Method (e.g., MC-ICP-MS, P-TIMS, N-TIMS etc)</t>
  </si>
  <si>
    <r>
      <rPr>
        <sz val="12"/>
        <rFont val="Symbol"/>
        <charset val="2"/>
      </rPr>
      <t>d</t>
    </r>
    <r>
      <rPr>
        <vertAlign val="superscript"/>
        <sz val="12"/>
        <rFont val="Verdana"/>
        <family val="2"/>
      </rPr>
      <t>11</t>
    </r>
    <r>
      <rPr>
        <sz val="12"/>
        <rFont val="Verdana"/>
        <family val="2"/>
      </rPr>
      <t>B of individual replicate measurements of the same solution; separate by commas</t>
    </r>
  </si>
  <si>
    <t>n of replicate measurements</t>
  </si>
  <si>
    <t>2se of replicates ( [ 2* (sd/sqrt(n))] )</t>
  </si>
  <si>
    <r>
      <rPr>
        <sz val="12"/>
        <color theme="1"/>
        <rFont val="Symbol"/>
        <charset val="2"/>
      </rPr>
      <t>d</t>
    </r>
    <r>
      <rPr>
        <vertAlign val="superscript"/>
        <sz val="12"/>
        <color theme="1"/>
        <rFont val="Verdana"/>
        <family val="2"/>
      </rPr>
      <t>11</t>
    </r>
    <r>
      <rPr>
        <sz val="12"/>
        <color theme="1"/>
        <rFont val="Verdana"/>
        <family val="2"/>
      </rPr>
      <t>B (‰, average of replicates)</t>
    </r>
  </si>
  <si>
    <t>type of uncertainty (e.g., set value, normal distribution, specify whether uncertainty is presented as standard deviation or standard error)</t>
  </si>
  <si>
    <r>
      <t>2</t>
    </r>
    <r>
      <rPr>
        <sz val="12"/>
        <color rgb="FF000000"/>
        <rFont val="Symbol"/>
        <charset val="2"/>
      </rPr>
      <t>s</t>
    </r>
    <r>
      <rPr>
        <sz val="12"/>
        <color rgb="FF000000"/>
        <rFont val="Verdana"/>
        <family val="2"/>
      </rPr>
      <t xml:space="preserve"> uncertainty (report internal or external reproducibility, whichever is larger)</t>
    </r>
  </si>
  <si>
    <t>slope value</t>
  </si>
  <si>
    <t>type of uncertainty (e.g., set value, normal distribution)</t>
  </si>
  <si>
    <r>
      <t>2</t>
    </r>
    <r>
      <rPr>
        <sz val="12"/>
        <color theme="1"/>
        <rFont val="Symbol"/>
        <charset val="2"/>
      </rPr>
      <t xml:space="preserve">s </t>
    </r>
    <r>
      <rPr>
        <sz val="12"/>
        <color theme="1"/>
        <rFont val="Verdana"/>
        <family val="2"/>
      </rPr>
      <t>uncertainty</t>
    </r>
  </si>
  <si>
    <t>intercept value</t>
  </si>
  <si>
    <t>Reference for calibration slope</t>
  </si>
  <si>
    <t>Notes (e.g., shell size corrected?)</t>
  </si>
  <si>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 xml:space="preserve">borate </t>
    </r>
    <r>
      <rPr>
        <sz val="12"/>
        <color theme="1"/>
        <rFont val="Verdana"/>
        <family val="2"/>
      </rPr>
      <t>(‰)</t>
    </r>
  </si>
  <si>
    <t>Error propagation method</t>
  </si>
  <si>
    <t>depth habitat (m)</t>
  </si>
  <si>
    <r>
      <t>2</t>
    </r>
    <r>
      <rPr>
        <sz val="12"/>
        <color rgb="FF000000"/>
        <rFont val="Symbol"/>
        <charset val="2"/>
      </rPr>
      <t>s</t>
    </r>
    <r>
      <rPr>
        <sz val="12"/>
        <color rgb="FF000000"/>
        <rFont val="Verdana"/>
        <family val="2"/>
      </rPr>
      <t xml:space="preserve"> uncertainty</t>
    </r>
  </si>
  <si>
    <t>temperature (°C)</t>
  </si>
  <si>
    <r>
      <t>2</t>
    </r>
    <r>
      <rPr>
        <sz val="12"/>
        <color theme="1"/>
        <rFont val="Symbol"/>
        <charset val="2"/>
      </rPr>
      <t>s</t>
    </r>
    <r>
      <rPr>
        <sz val="11"/>
        <color theme="1"/>
        <rFont val="Calibri"/>
        <family val="2"/>
        <scheme val="minor"/>
      </rPr>
      <t xml:space="preserve"> temperature pos (°C)</t>
    </r>
  </si>
  <si>
    <r>
      <t>2</t>
    </r>
    <r>
      <rPr>
        <sz val="12"/>
        <color theme="1"/>
        <rFont val="Symbol"/>
        <charset val="2"/>
      </rPr>
      <t>s</t>
    </r>
    <r>
      <rPr>
        <sz val="11"/>
        <color theme="1"/>
        <rFont val="Calibri"/>
        <family val="2"/>
        <scheme val="minor"/>
      </rPr>
      <t xml:space="preserve"> temperature neg (°C)</t>
    </r>
  </si>
  <si>
    <t>Mg/Ca of individual replicate measurements; separate replicates by commas</t>
  </si>
  <si>
    <t>Mg/Ca  (mmol/mol, average of replicates)</t>
  </si>
  <si>
    <r>
      <t>2</t>
    </r>
    <r>
      <rPr>
        <sz val="12"/>
        <color theme="1"/>
        <rFont val="Symbol"/>
        <charset val="2"/>
      </rPr>
      <t>s</t>
    </r>
    <r>
      <rPr>
        <sz val="11"/>
        <color theme="1"/>
        <rFont val="Calibri"/>
        <family val="2"/>
        <scheme val="minor"/>
      </rPr>
      <t xml:space="preserve"> Mg uncertainty pos (mmol/mol)</t>
    </r>
  </si>
  <si>
    <r>
      <t>2</t>
    </r>
    <r>
      <rPr>
        <sz val="12"/>
        <color theme="1"/>
        <rFont val="Symbol"/>
        <charset val="2"/>
      </rPr>
      <t>s</t>
    </r>
    <r>
      <rPr>
        <sz val="11"/>
        <color theme="1"/>
        <rFont val="Calibri"/>
        <family val="2"/>
        <scheme val="minor"/>
      </rPr>
      <t xml:space="preserve"> Mg/Ca uncertainty neg (mmol/mol)</t>
    </r>
  </si>
  <si>
    <t>temperature calibration equation</t>
  </si>
  <si>
    <t>reference for temperature calibration equation</t>
  </si>
  <si>
    <t>salinity correction (list reference if applied)</t>
  </si>
  <si>
    <t>dissolution correction (list reference if applied)</t>
  </si>
  <si>
    <t>pH correction (list reference if applied)</t>
  </si>
  <si>
    <t>proxy value of individual replicate measurements; separate replicates by commas</t>
  </si>
  <si>
    <t>average proxy value (please specify units)</t>
  </si>
  <si>
    <r>
      <t>2</t>
    </r>
    <r>
      <rPr>
        <sz val="12"/>
        <color rgb="FF000000"/>
        <rFont val="Symbol"/>
        <charset val="2"/>
      </rPr>
      <t>s</t>
    </r>
    <r>
      <rPr>
        <sz val="12"/>
        <color rgb="FF000000"/>
        <rFont val="Verdana"/>
        <family val="2"/>
      </rPr>
      <t xml:space="preserve"> uncertainty </t>
    </r>
  </si>
  <si>
    <t xml:space="preserve">temperature calibration equation </t>
  </si>
  <si>
    <r>
      <t xml:space="preserve">used same sample material as for </t>
    </r>
    <r>
      <rPr>
        <sz val="12"/>
        <rFont val="Symbol"/>
        <charset val="2"/>
      </rPr>
      <t>d</t>
    </r>
    <r>
      <rPr>
        <vertAlign val="superscript"/>
        <sz val="12"/>
        <rFont val="Verdana"/>
        <family val="2"/>
      </rPr>
      <t>11</t>
    </r>
    <r>
      <rPr>
        <sz val="12"/>
        <rFont val="Verdana"/>
        <family val="2"/>
      </rPr>
      <t>B analyses? If not, provide details</t>
    </r>
  </si>
  <si>
    <t>Salinity (unit-less)</t>
  </si>
  <si>
    <t>method of salinity estimation (list reference if applicable)</t>
  </si>
  <si>
    <t>[Ca] (mol/kg)</t>
  </si>
  <si>
    <t xml:space="preserve">reference for [Ca] of seawater value </t>
  </si>
  <si>
    <t>[Mg] (mol/kg)</t>
  </si>
  <si>
    <t>reference for [Mg] of seawater value</t>
  </si>
  <si>
    <t>[SO4] (mol/kg)</t>
  </si>
  <si>
    <t>reference for [SO4] of seawater value</t>
  </si>
  <si>
    <r>
      <t>[B]</t>
    </r>
    <r>
      <rPr>
        <vertAlign val="subscript"/>
        <sz val="12"/>
        <color theme="1"/>
        <rFont val="Verdana"/>
        <family val="2"/>
      </rPr>
      <t xml:space="preserve">T </t>
    </r>
    <r>
      <rPr>
        <sz val="12"/>
        <color theme="1"/>
        <rFont val="Verdana"/>
        <family val="2"/>
      </rPr>
      <t>(µmol/kg)</t>
    </r>
  </si>
  <si>
    <r>
      <t>reference for [B]</t>
    </r>
    <r>
      <rPr>
        <vertAlign val="subscript"/>
        <sz val="12"/>
        <rFont val="Verdana"/>
        <family val="2"/>
      </rPr>
      <t>T</t>
    </r>
    <r>
      <rPr>
        <sz val="12"/>
        <rFont val="Verdana"/>
        <family val="2"/>
      </rPr>
      <t xml:space="preserve"> value</t>
    </r>
  </si>
  <si>
    <r>
      <rPr>
        <sz val="12"/>
        <color theme="1"/>
        <rFont val="Symbol"/>
        <charset val="2"/>
      </rPr>
      <t>d</t>
    </r>
    <r>
      <rPr>
        <vertAlign val="superscript"/>
        <sz val="12"/>
        <color theme="1"/>
        <rFont val="Verdana"/>
        <family val="2"/>
      </rPr>
      <t>11</t>
    </r>
    <r>
      <rPr>
        <sz val="12"/>
        <color theme="1"/>
        <rFont val="Verdana"/>
        <family val="2"/>
      </rPr>
      <t>B</t>
    </r>
    <r>
      <rPr>
        <vertAlign val="subscript"/>
        <sz val="12"/>
        <color theme="1"/>
        <rFont val="Verdana"/>
        <family val="2"/>
      </rPr>
      <t>sw</t>
    </r>
    <r>
      <rPr>
        <sz val="12"/>
        <color theme="1"/>
        <rFont val="Verdana"/>
        <family val="2"/>
      </rPr>
      <t xml:space="preserve"> (‰)</t>
    </r>
  </si>
  <si>
    <r>
      <t xml:space="preserve">reference  for </t>
    </r>
    <r>
      <rPr>
        <sz val="12"/>
        <rFont val="Symbol"/>
        <charset val="2"/>
      </rPr>
      <t>d</t>
    </r>
    <r>
      <rPr>
        <vertAlign val="superscript"/>
        <sz val="12"/>
        <rFont val="Verdana"/>
        <family val="2"/>
      </rPr>
      <t>11</t>
    </r>
    <r>
      <rPr>
        <sz val="12"/>
        <rFont val="Verdana"/>
        <family val="2"/>
      </rPr>
      <t>B</t>
    </r>
    <r>
      <rPr>
        <vertAlign val="subscript"/>
        <sz val="12"/>
        <rFont val="Verdana"/>
        <family val="2"/>
      </rPr>
      <t>sw</t>
    </r>
  </si>
  <si>
    <t>reference for pKB and for correction of major ion composition, if applied</t>
  </si>
  <si>
    <t>reference for pressure effect on pKB</t>
  </si>
  <si>
    <r>
      <t xml:space="preserve">value for </t>
    </r>
    <r>
      <rPr>
        <sz val="12"/>
        <color theme="1"/>
        <rFont val="Symbol"/>
        <charset val="2"/>
      </rPr>
      <t>a</t>
    </r>
    <r>
      <rPr>
        <vertAlign val="subscript"/>
        <sz val="12"/>
        <color theme="1"/>
        <rFont val="Verdana"/>
        <family val="2"/>
      </rPr>
      <t>B3-B4</t>
    </r>
    <r>
      <rPr>
        <sz val="12"/>
        <color theme="1"/>
        <rFont val="Verdana"/>
        <family val="2"/>
      </rPr>
      <t xml:space="preserve"> </t>
    </r>
  </si>
  <si>
    <r>
      <t xml:space="preserve">reference for </t>
    </r>
    <r>
      <rPr>
        <sz val="12"/>
        <color rgb="FF000000"/>
        <rFont val="Symbol"/>
        <charset val="2"/>
      </rPr>
      <t>a</t>
    </r>
    <r>
      <rPr>
        <vertAlign val="subscript"/>
        <sz val="12"/>
        <color rgb="FF000000"/>
        <rFont val="Verdana"/>
        <family val="2"/>
      </rPr>
      <t>B3-B4</t>
    </r>
  </si>
  <si>
    <r>
      <t xml:space="preserve">equation for temperature correction of </t>
    </r>
    <r>
      <rPr>
        <sz val="12"/>
        <rFont val="Symbol"/>
        <charset val="2"/>
      </rPr>
      <t>a</t>
    </r>
    <r>
      <rPr>
        <vertAlign val="subscript"/>
        <sz val="12"/>
        <rFont val="Verdana"/>
        <family val="2"/>
      </rPr>
      <t>B3-B4</t>
    </r>
    <r>
      <rPr>
        <sz val="12"/>
        <rFont val="Verdana"/>
        <family val="2"/>
      </rPr>
      <t xml:space="preserve"> (if applied)</t>
    </r>
  </si>
  <si>
    <r>
      <t xml:space="preserve">reference for temperature correction of </t>
    </r>
    <r>
      <rPr>
        <sz val="12"/>
        <rFont val="Symbol"/>
        <charset val="2"/>
      </rPr>
      <t>a</t>
    </r>
    <r>
      <rPr>
        <vertAlign val="subscript"/>
        <sz val="12"/>
        <rFont val="Verdana"/>
        <family val="2"/>
      </rPr>
      <t>B3-B4</t>
    </r>
    <r>
      <rPr>
        <sz val="12"/>
        <rFont val="Verdana"/>
        <family val="2"/>
      </rPr>
      <t xml:space="preserve"> (if applied)</t>
    </r>
  </si>
  <si>
    <r>
      <t>CO</t>
    </r>
    <r>
      <rPr>
        <vertAlign val="subscript"/>
        <sz val="12"/>
        <rFont val="Verdana"/>
        <family val="2"/>
      </rPr>
      <t>2</t>
    </r>
    <r>
      <rPr>
        <sz val="12"/>
        <rFont val="Verdana"/>
        <family val="2"/>
      </rPr>
      <t xml:space="preserve"> calculation program and version, e.g. CO2SYS, seacarb, other (please specify)</t>
    </r>
  </si>
  <si>
    <t>reference for pK0 and for correction of major ion composition, if applied</t>
  </si>
  <si>
    <t>reference for pK1 and for correction of major ion composition, if applied</t>
  </si>
  <si>
    <t>reference for pK2 and for correction of major ion composition, if applied</t>
  </si>
  <si>
    <r>
      <t>reference for pKHSO</t>
    </r>
    <r>
      <rPr>
        <vertAlign val="subscript"/>
        <sz val="12"/>
        <color theme="1"/>
        <rFont val="Verdana"/>
        <family val="2"/>
      </rPr>
      <t>4</t>
    </r>
  </si>
  <si>
    <r>
      <t>reference for pKsp</t>
    </r>
    <r>
      <rPr>
        <vertAlign val="subscript"/>
        <sz val="12"/>
        <rFont val="Verdana"/>
        <family val="2"/>
      </rPr>
      <t xml:space="preserve">calcite </t>
    </r>
    <r>
      <rPr>
        <sz val="12"/>
        <rFont val="Verdana"/>
        <family val="2"/>
      </rPr>
      <t>and pKsp</t>
    </r>
    <r>
      <rPr>
        <vertAlign val="subscript"/>
        <sz val="12"/>
        <rFont val="Verdana"/>
        <family val="2"/>
      </rPr>
      <t xml:space="preserve">aragonite </t>
    </r>
    <r>
      <rPr>
        <sz val="12"/>
        <rFont val="Verdana"/>
        <family val="2"/>
      </rPr>
      <t>and for correction of major ion composition, if applied</t>
    </r>
  </si>
  <si>
    <r>
      <t>reference for pressure effect on pKsp</t>
    </r>
    <r>
      <rPr>
        <vertAlign val="subscript"/>
        <sz val="12"/>
        <rFont val="Verdana"/>
        <family val="2"/>
      </rPr>
      <t xml:space="preserve">calcite </t>
    </r>
    <r>
      <rPr>
        <sz val="12"/>
        <rFont val="Verdana"/>
        <family val="2"/>
      </rPr>
      <t>and pKsp</t>
    </r>
    <r>
      <rPr>
        <vertAlign val="subscript"/>
        <sz val="12"/>
        <rFont val="Verdana"/>
        <family val="2"/>
      </rPr>
      <t>aragonite</t>
    </r>
  </si>
  <si>
    <r>
      <t>Parameter used (e.g., alkalinity</t>
    </r>
    <r>
      <rPr>
        <sz val="12"/>
        <rFont val="Verdana"/>
        <family val="2"/>
      </rPr>
      <t>, DIC, [CO</t>
    </r>
    <r>
      <rPr>
        <vertAlign val="subscript"/>
        <sz val="12"/>
        <rFont val="Verdana"/>
        <family val="2"/>
      </rPr>
      <t>3</t>
    </r>
    <r>
      <rPr>
        <vertAlign val="superscript"/>
        <sz val="12"/>
        <rFont val="Verdana"/>
        <family val="2"/>
      </rPr>
      <t>2-</t>
    </r>
    <r>
      <rPr>
        <sz val="12"/>
        <rFont val="Verdana"/>
        <family val="2"/>
      </rPr>
      <t>]</t>
    </r>
  </si>
  <si>
    <r>
      <t xml:space="preserve">Method for deriving 2nd parameter (e.g., CCD, </t>
    </r>
    <r>
      <rPr>
        <sz val="12"/>
        <rFont val="Symbol"/>
        <charset val="2"/>
      </rPr>
      <t>W</t>
    </r>
    <r>
      <rPr>
        <sz val="12"/>
        <rFont val="Verdana"/>
        <family val="2"/>
      </rPr>
      <t>, LOSCAR, GENIE, code can be submitted as supplement)</t>
    </r>
  </si>
  <si>
    <t>Reference for second parameter (if not primary reference of data set)</t>
  </si>
  <si>
    <t>central value (µmol/kg)</t>
  </si>
  <si>
    <r>
      <rPr>
        <sz val="12"/>
        <color theme="1"/>
        <rFont val="Symbol"/>
        <charset val="2"/>
      </rPr>
      <t>W</t>
    </r>
    <r>
      <rPr>
        <vertAlign val="subscript"/>
        <sz val="12"/>
        <color theme="1"/>
        <rFont val="Verdana"/>
        <family val="2"/>
      </rPr>
      <t xml:space="preserve">calcite </t>
    </r>
    <r>
      <rPr>
        <sz val="12"/>
        <color theme="1"/>
        <rFont val="Verdana"/>
        <family val="2"/>
      </rPr>
      <t>(if used as a constraint)</t>
    </r>
  </si>
  <si>
    <t>pH</t>
  </si>
  <si>
    <t>pH scale reported (e.g., total scale, seawater scale)</t>
  </si>
  <si>
    <r>
      <t>2</t>
    </r>
    <r>
      <rPr>
        <sz val="12"/>
        <color theme="1"/>
        <rFont val="Symbol"/>
        <charset val="2"/>
      </rPr>
      <t>s</t>
    </r>
    <r>
      <rPr>
        <sz val="11"/>
        <color theme="1"/>
        <rFont val="Calibri"/>
        <family val="2"/>
        <scheme val="minor"/>
      </rPr>
      <t xml:space="preserve"> uncertainty pos</t>
    </r>
  </si>
  <si>
    <r>
      <t>2</t>
    </r>
    <r>
      <rPr>
        <sz val="12"/>
        <color theme="1"/>
        <rFont val="Symbol"/>
        <charset val="2"/>
      </rPr>
      <t>s</t>
    </r>
    <r>
      <rPr>
        <sz val="11"/>
        <color theme="1"/>
        <rFont val="Calibri"/>
        <family val="2"/>
        <scheme val="minor"/>
      </rPr>
      <t xml:space="preserve"> uncertainty neg</t>
    </r>
  </si>
  <si>
    <r>
      <t>Aqueous pCO</t>
    </r>
    <r>
      <rPr>
        <vertAlign val="subscript"/>
        <sz val="12"/>
        <rFont val="Verdana"/>
        <family val="2"/>
      </rPr>
      <t>2</t>
    </r>
    <r>
      <rPr>
        <sz val="12"/>
        <rFont val="Verdana"/>
        <family val="2"/>
      </rPr>
      <t xml:space="preserve"> (µatm)</t>
    </r>
  </si>
  <si>
    <r>
      <t>Air-sea pCO</t>
    </r>
    <r>
      <rPr>
        <vertAlign val="subscript"/>
        <sz val="12"/>
        <rFont val="Verdana"/>
        <family val="2"/>
      </rPr>
      <t>2</t>
    </r>
    <r>
      <rPr>
        <sz val="12"/>
        <rFont val="Verdana"/>
        <family val="2"/>
      </rPr>
      <t xml:space="preserve"> disequilibrium (µatm)</t>
    </r>
  </si>
  <si>
    <t xml:space="preserve">Notes about air-sea disequilibrium: what is the estimate based on; are there assumptions on seasonality? </t>
  </si>
  <si>
    <r>
      <rPr>
        <vertAlign val="superscript"/>
        <sz val="12"/>
        <rFont val="Verdana"/>
        <family val="2"/>
      </rPr>
      <t>b</t>
    </r>
    <r>
      <rPr>
        <sz val="12"/>
        <rFont val="Verdana"/>
        <family val="2"/>
      </rPr>
      <t>Atmospheric pCO</t>
    </r>
    <r>
      <rPr>
        <vertAlign val="subscript"/>
        <sz val="12"/>
        <rFont val="Verdana"/>
        <family val="2"/>
      </rPr>
      <t>2</t>
    </r>
    <r>
      <rPr>
        <sz val="12"/>
        <rFont val="Verdana"/>
        <family val="2"/>
      </rPr>
      <t xml:space="preserve"> (i.e. after correction for any modern air-sea disequilibrium, µatm)</t>
    </r>
  </si>
  <si>
    <r>
      <t>2</t>
    </r>
    <r>
      <rPr>
        <sz val="12"/>
        <color theme="1"/>
        <rFont val="Symbol"/>
        <charset val="2"/>
      </rPr>
      <t>s</t>
    </r>
    <r>
      <rPr>
        <sz val="11"/>
        <color theme="1"/>
        <rFont val="Calibri"/>
        <family val="2"/>
        <scheme val="minor"/>
      </rPr>
      <t xml:space="preserve"> pCO2 uncertainty pos</t>
    </r>
  </si>
  <si>
    <r>
      <t>2</t>
    </r>
    <r>
      <rPr>
        <sz val="12"/>
        <color theme="1"/>
        <rFont val="Symbol"/>
        <charset val="2"/>
      </rPr>
      <t>s</t>
    </r>
    <r>
      <rPr>
        <sz val="11"/>
        <color theme="1"/>
        <rFont val="Calibri"/>
        <family val="2"/>
        <scheme val="minor"/>
      </rPr>
      <t xml:space="preserve"> pCO2 uncertainty neg</t>
    </r>
  </si>
  <si>
    <t>Error propagation method (code can be provided in supplement)</t>
  </si>
  <si>
    <r>
      <t>parameters included in the error propagation (e.g., calibration uncertainty,</t>
    </r>
    <r>
      <rPr>
        <sz val="12"/>
        <rFont val="Symbol"/>
        <charset val="2"/>
      </rPr>
      <t xml:space="preserve"> d</t>
    </r>
    <r>
      <rPr>
        <vertAlign val="superscript"/>
        <sz val="12"/>
        <rFont val="Verdana"/>
        <family val="2"/>
      </rPr>
      <t>11</t>
    </r>
    <r>
      <rPr>
        <sz val="12"/>
        <rFont val="Verdana"/>
        <family val="2"/>
      </rPr>
      <t>B</t>
    </r>
    <r>
      <rPr>
        <vertAlign val="subscript"/>
        <sz val="12"/>
        <rFont val="Verdana"/>
        <family val="2"/>
      </rPr>
      <t>sw</t>
    </r>
    <r>
      <rPr>
        <sz val="12"/>
        <rFont val="Verdana"/>
        <family val="2"/>
      </rPr>
      <t>, T, S, second parameter of the carbonate system)</t>
    </r>
  </si>
  <si>
    <r>
      <rPr>
        <vertAlign val="superscript"/>
        <sz val="12"/>
        <rFont val="Verdana"/>
        <family val="2"/>
      </rPr>
      <t>c</t>
    </r>
    <r>
      <rPr>
        <sz val="12"/>
        <rFont val="Verdana"/>
        <family val="2"/>
      </rPr>
      <t>Alkalinity (µmol/kg, if not used as an input parameter)</t>
    </r>
  </si>
  <si>
    <r>
      <t>2</t>
    </r>
    <r>
      <rPr>
        <sz val="12"/>
        <rFont val="Symbol"/>
        <charset val="2"/>
      </rPr>
      <t>s</t>
    </r>
    <r>
      <rPr>
        <sz val="12"/>
        <rFont val="Verdana"/>
        <family val="2"/>
      </rPr>
      <t xml:space="preserve"> alkalinity uncertainty pos</t>
    </r>
  </si>
  <si>
    <r>
      <t>2</t>
    </r>
    <r>
      <rPr>
        <sz val="12"/>
        <rFont val="Symbol"/>
        <charset val="2"/>
      </rPr>
      <t>s</t>
    </r>
    <r>
      <rPr>
        <sz val="12"/>
        <rFont val="Verdana"/>
        <family val="2"/>
      </rPr>
      <t xml:space="preserve"> alkalinity uncertainty neg</t>
    </r>
  </si>
  <si>
    <t>DIC (µmol/kg, if not used as an input parameter</t>
  </si>
  <si>
    <r>
      <t>2</t>
    </r>
    <r>
      <rPr>
        <sz val="12"/>
        <rFont val="Symbol"/>
        <charset val="2"/>
      </rPr>
      <t xml:space="preserve">s </t>
    </r>
    <r>
      <rPr>
        <sz val="12"/>
        <rFont val="Verdana"/>
        <family val="2"/>
      </rPr>
      <t>DIC uncertainty pos</t>
    </r>
  </si>
  <si>
    <r>
      <t>2</t>
    </r>
    <r>
      <rPr>
        <sz val="12"/>
        <rFont val="Symbol"/>
        <charset val="2"/>
      </rPr>
      <t>s</t>
    </r>
    <r>
      <rPr>
        <sz val="12"/>
        <rFont val="Verdana"/>
        <family val="2"/>
      </rPr>
      <t xml:space="preserve"> DIC uncertainty neg</t>
    </r>
  </si>
  <si>
    <r>
      <rPr>
        <sz val="12"/>
        <rFont val="Symbol"/>
        <charset val="2"/>
      </rPr>
      <t>W</t>
    </r>
    <r>
      <rPr>
        <vertAlign val="subscript"/>
        <sz val="12"/>
        <rFont val="Verdana"/>
        <family val="2"/>
      </rPr>
      <t>calcite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</si>
  <si>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calcite </t>
    </r>
    <r>
      <rPr>
        <sz val="12"/>
        <rFont val="Verdana"/>
        <family val="2"/>
      </rPr>
      <t>pos</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</si>
  <si>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calcite neg</t>
    </r>
  </si>
  <si>
    <r>
      <rPr>
        <sz val="12"/>
        <rFont val="Symbol"/>
        <charset val="2"/>
      </rPr>
      <t>W</t>
    </r>
    <r>
      <rPr>
        <vertAlign val="subscript"/>
        <sz val="12"/>
        <rFont val="Verdana"/>
        <family val="2"/>
      </rPr>
      <t>aragonite</t>
    </r>
    <r>
      <rPr>
        <sz val="12"/>
        <rFont val="Verdana"/>
        <family val="2"/>
      </rPr>
      <t>, if not used as an input parameter</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</si>
  <si>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 xml:space="preserve">aragonite </t>
    </r>
    <r>
      <rPr>
        <sz val="12"/>
        <rFont val="Verdana"/>
        <family val="2"/>
      </rPr>
      <t>pos</t>
    </r>
  </si>
  <si>
    <t>Additional Notes</t>
  </si>
  <si>
    <r>
      <t>2</t>
    </r>
    <r>
      <rPr>
        <sz val="12"/>
        <color theme="1"/>
        <rFont val="Symbol"/>
        <charset val="2"/>
      </rPr>
      <t>s</t>
    </r>
    <r>
      <rPr>
        <sz val="11"/>
        <color theme="1"/>
        <rFont val="Calibri"/>
        <family val="2"/>
        <scheme val="minor"/>
      </rPr>
      <t xml:space="preserve"> uncertainty pos (µmol/kg)</t>
    </r>
  </si>
  <si>
    <r>
      <t>2</t>
    </r>
    <r>
      <rPr>
        <sz val="12"/>
        <color theme="1"/>
        <rFont val="Symbol"/>
        <charset val="2"/>
      </rPr>
      <t>s</t>
    </r>
    <r>
      <rPr>
        <sz val="11"/>
        <color theme="1"/>
        <rFont val="Calibri"/>
        <family val="2"/>
        <scheme val="minor"/>
      </rPr>
      <t xml:space="preserve"> uncertainty neg (µmol/kg)</t>
    </r>
  </si>
  <si>
    <r>
      <t>Mg/Ca</t>
    </r>
    <r>
      <rPr>
        <vertAlign val="subscript"/>
        <sz val="12"/>
        <rFont val="Verdana"/>
        <family val="2"/>
      </rPr>
      <t xml:space="preserve">sw </t>
    </r>
    <r>
      <rPr>
        <sz val="12"/>
        <rFont val="Verdana"/>
        <family val="2"/>
      </rPr>
      <t xml:space="preserve">correction  reference </t>
    </r>
  </si>
  <si>
    <r>
      <t>Mg/Ca</t>
    </r>
    <r>
      <rPr>
        <vertAlign val="subscript"/>
        <sz val="12"/>
        <rFont val="Verdana"/>
        <family val="2"/>
      </rPr>
      <t xml:space="preserve">sw </t>
    </r>
    <r>
      <rPr>
        <sz val="12"/>
        <rFont val="Verdana"/>
        <family val="2"/>
      </rPr>
      <t>correction</t>
    </r>
  </si>
  <si>
    <r>
      <t>2</t>
    </r>
    <r>
      <rPr>
        <sz val="12"/>
        <rFont val="Symbol"/>
        <charset val="2"/>
      </rPr>
      <t>s</t>
    </r>
    <r>
      <rPr>
        <sz val="12"/>
        <rFont val="Verdana"/>
        <family val="2"/>
      </rPr>
      <t xml:space="preserve"> uncertainty </t>
    </r>
    <r>
      <rPr>
        <sz val="12"/>
        <rFont val="Symbol"/>
        <charset val="2"/>
      </rPr>
      <t>W</t>
    </r>
    <r>
      <rPr>
        <vertAlign val="subscript"/>
        <sz val="12"/>
        <rFont val="Verdana"/>
        <family val="2"/>
      </rPr>
      <t>aragonite neg</t>
    </r>
  </si>
  <si>
    <t>NA</t>
  </si>
  <si>
    <t>boron isotopes</t>
  </si>
  <si>
    <t>Stap, L.B., de Boer, B., Ziegler, M., Bintanja, R., Lourens, L.J. and van de Wal, R.S.W. (2016) CO2 over the past 5 million years: Continuous simulation and new δ11B-based proxy data. Earth and Planetary Science Letters 439, 1-10</t>
  </si>
  <si>
    <t>10.1016/j.epsl.2016.01.022</t>
  </si>
  <si>
    <t>A</t>
  </si>
  <si>
    <t>South Atlantic, Walvis Ridge</t>
  </si>
  <si>
    <t>tuned to LR04</t>
  </si>
  <si>
    <t>Bell et al. (2014)</t>
  </si>
  <si>
    <t>G. sacculifer</t>
  </si>
  <si>
    <t>250-355 µm</t>
  </si>
  <si>
    <t>50-90</t>
  </si>
  <si>
    <t>Barker et al. (2003)</t>
  </si>
  <si>
    <t>none</t>
  </si>
  <si>
    <t>N-TIMS</t>
  </si>
  <si>
    <t>standard error</t>
  </si>
  <si>
    <t>Martínez-Botí et al. 2015</t>
  </si>
  <si>
    <t>d11B data were corrected for shell size (+2.25‰) and the N-TIMS/MC-ICP-MS offset (-0.9‰), i.e. by +1.35‰ in total</t>
  </si>
  <si>
    <t>Dekens e al. (2012)</t>
  </si>
  <si>
    <t>set value</t>
  </si>
  <si>
    <t>linear interpolation between modern value and Miocene estimate of Foster et al. (2012)</t>
  </si>
  <si>
    <t>Klochko et al. (2006)</t>
  </si>
  <si>
    <t>alkalinity</t>
  </si>
  <si>
    <t>assumed</t>
  </si>
  <si>
    <t>total scale</t>
  </si>
  <si>
    <t>d11B only; including other parameters these authors estimated an average uncertainty of +/- 70 ppm</t>
  </si>
  <si>
    <t>Stap, L.B., de Boer, B., Ziegler, M., Bintanja, R., Lourens, L.J. and van de Wal, R.S.W. (2016) CO2 over the past 5 million years: Continuous simulation and new δ11B-based proxy data. Earth and Planetary Science Letters 439, 1-11</t>
  </si>
  <si>
    <t>Martínez-Botí et al. 2016</t>
  </si>
  <si>
    <t>Stap, L.B., de Boer, B., Ziegler, M., Bintanja, R., Lourens, L.J. and van de Wal, R.S.W. (2016) CO2 over the past 5 million years: Continuous simulation and new δ11B-based proxy data. Earth and Planetary Science Letters 439, 1-12</t>
  </si>
  <si>
    <t>Martínez-Botí et al. 2017</t>
  </si>
  <si>
    <t>Stap, L.B., de Boer, B., Ziegler, M., Bintanja, R., Lourens, L.J. and van de Wal, R.S.W. (2016) CO2 over the past 5 million years: Continuous simulation and new δ11B-based proxy data. Earth and Planetary Science Letters 439, 1-13</t>
  </si>
  <si>
    <t>Martínez-Botí et al. 2018</t>
  </si>
  <si>
    <t>Stap, L.B., de Boer, B., Ziegler, M., Bintanja, R., Lourens, L.J. and van de Wal, R.S.W. (2016) CO2 over the past 5 million years: Continuous simulation and new δ11B-based proxy data. Earth and Planetary Science Letters 439, 1-14</t>
  </si>
  <si>
    <t>Martínez-Botí et al. 2019</t>
  </si>
  <si>
    <t>Stap, L.B., de Boer, B., Ziegler, M., Bintanja, R., Lourens, L.J. and van de Wal, R.S.W. (2016) CO2 over the past 5 million years: Continuous simulation and new δ11B-based proxy data. Earth and Planetary Science Letters 439, 1-15</t>
  </si>
  <si>
    <t>Martínez-Botí et al. 2020</t>
  </si>
  <si>
    <t>Stap, L.B., de Boer, B., Ziegler, M., Bintanja, R., Lourens, L.J. and van de Wal, R.S.W. (2016) CO2 over the past 5 million years: Continuous simulation and new δ11B-based proxy data. Earth and Planetary Science Letters 439, 1-16</t>
  </si>
  <si>
    <t>Martínez-Botí et al. 2021</t>
  </si>
  <si>
    <t>Stap, L.B., de Boer, B., Ziegler, M., Bintanja, R., Lourens, L.J. and van de Wal, R.S.W. (2016) CO2 over the past 5 million years: Continuous simulation and new δ11B-based proxy data. Earth and Planetary Science Letters 439, 1-17</t>
  </si>
  <si>
    <t>Martínez-Botí et al. 2022</t>
  </si>
  <si>
    <t>Stap, L.B., de Boer, B., Ziegler, M., Bintanja, R., Lourens, L.J. and van de Wal, R.S.W. (2016) CO2 over the past 5 million years: Continuous simulation and new δ11B-based proxy data. Earth and Planetary Science Letters 439, 1-18</t>
  </si>
  <si>
    <t>Martínez-Botí et al. 2023</t>
  </si>
  <si>
    <t>Stap, L.B., de Boer, B., Ziegler, M., Bintanja, R., Lourens, L.J. and van de Wal, R.S.W. (2016) CO2 over the past 5 million years: Continuous simulation and new δ11B-based proxy data. Earth and Planetary Science Letters 439, 1-19</t>
  </si>
  <si>
    <t>Martínez-Botí et al. 2024</t>
  </si>
  <si>
    <t>Stap, L.B., de Boer, B., Ziegler, M., Bintanja, R., Lourens, L.J. and van de Wal, R.S.W. (2016) CO2 over the past 5 million years: Continuous simulation and new δ11B-based proxy data. Earth and Planetary Science Letters 439, 1-20</t>
  </si>
  <si>
    <t>Martínez-Botí et al. 2025</t>
  </si>
  <si>
    <t>Stap, L.B., de Boer, B., Ziegler, M., Bintanja, R., Lourens, L.J. and van de Wal, R.S.W. (2016) CO2 over the past 5 million years: Continuous simulation and new δ11B-based proxy data. Earth and Planetary Science Letters 439, 1-21</t>
  </si>
  <si>
    <t>Martínez-Botí et al. 2026</t>
  </si>
  <si>
    <t>Stap, L.B., de Boer, B., Ziegler, M., Bintanja, R., Lourens, L.J. and van de Wal, R.S.W. (2016) CO2 over the past 5 million years: Continuous simulation and new δ11B-based proxy data. Earth and Planetary Science Letters 439, 1-22</t>
  </si>
  <si>
    <t>Martínez-Botí et al. 2027</t>
  </si>
  <si>
    <t>Stap, L.B., de Boer, B., Ziegler, M., Bintanja, R., Lourens, L.J. and van de Wal, R.S.W. (2016) CO2 over the past 5 million years: Continuous simulation and new δ11B-based proxy data. Earth and Planetary Science Letters 439, 1-23</t>
  </si>
  <si>
    <t>Martínez-Botí et al. 2028</t>
  </si>
  <si>
    <t>Stap, L.B., de Boer, B., Ziegler, M., Bintanja, R., Lourens, L.J. and van de Wal, R.S.W. (2016) CO2 over the past 5 million years: Continuous simulation and new δ11B-based proxy data. Earth and Planetary Science Letters 439, 1-24</t>
  </si>
  <si>
    <t>Martínez-Botí et al. 2029</t>
  </si>
  <si>
    <t>Stap, L.B., de Boer, B., Ziegler, M., Bintanja, R., Lourens, L.J. and van de Wal, R.S.W. (2016) CO2 over the past 5 million years: Continuous simulation and new δ11B-based proxy data. Earth and Planetary Science Letters 439, 1-25</t>
  </si>
  <si>
    <t>Martínez-Botí et al. 2030</t>
  </si>
  <si>
    <t>Stap, L.B., de Boer, B., Ziegler, M., Bintanja, R., Lourens, L.J. and van de Wal, R.S.W. (2016) CO2 over the past 5 million years: Continuous simulation and new δ11B-based proxy data. Earth and Planetary Science Letters 439, 1-26</t>
  </si>
  <si>
    <t>Martínez-Botí et al. 2031</t>
  </si>
  <si>
    <t>Stap, L.B., de Boer, B., Ziegler, M., Bintanja, R., Lourens, L.J. and van de Wal, R.S.W. (2016) CO2 over the past 5 million years: Continuous simulation and new δ11B-based proxy data. Earth and Planetary Science Letters 439, 1-27</t>
  </si>
  <si>
    <t>Martínez-Botí et al. 2033</t>
  </si>
  <si>
    <t>Stap, L.B., de Boer, B., Ziegler, M., Bintanja, R., Lourens, L.J. and van de Wal, R.S.W. (2016) CO2 over the past 5 million years: Continuous simulation and new δ11B-based proxy data. Earth and Planetary Science Letters 439, 1-28</t>
  </si>
  <si>
    <t>Martínez-Botí et al. 2034</t>
  </si>
  <si>
    <t>Stap</t>
  </si>
  <si>
    <t>Bärbel Hönisch</t>
  </si>
  <si>
    <t>hoenisch@ldeo.columbia.edu</t>
  </si>
  <si>
    <t>cannot trust assumed B concentration of samples, large data variability suggests signal/noise ratio was too small</t>
  </si>
  <si>
    <t>data considered outlier by original study</t>
  </si>
  <si>
    <t>notes about uncertainty estimate: e.g., included calibration slope and intercept</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</si>
  <si>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</si>
  <si>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</si>
  <si>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</si>
  <si>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</si>
  <si>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</si>
  <si>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</si>
  <si>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</si>
  <si>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</si>
  <si>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</si>
  <si>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</si>
  <si>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CO2_uncertainty_neg_ppm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</si>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</sst>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font>
      <sz val="11"/>
      <color theme="1"/>
      <name val="Calibri"/>
      <family val="2"/>
      <scheme val="minor"/>
    </font>
    <font>
      <sz val="12"/>
      <color theme="1"/>
      <name val="Calibri"/>
      <family val="2"/>
      <scheme val="minor"/>
    </font>
    <font>
      <sz val="12"/>
      <color rgb="FF000000"/>
      <name val="Calibri"/>
      <family val="2"/>
      <scheme val="minor"/>
    </font>
    <font>
      <b/>
      <sz val="12"/>
      <color indexed="8"/>
      <name val="Calibri"/>
      <family val="2"/>
    </font>
    <font>
      <sz val="12"/>
      <name val="Verdana"/>
      <family val="2"/>
    </font>
    <font>
      <b/>
      <sz val="12"/>
      <name val="Verdana"/>
      <family val="2"/>
    </font>
    <font>
      <b/>
      <sz val="12"/>
      <name val="Calibri (Body)"/>
    </font>
    <font>
      <b/>
      <sz val="12"/>
      <name val="Symbol"/>
      <charset val="2"/>
    </font>
    <font>
      <b/>
      <vertAlign val="superscript"/>
      <sz val="12"/>
      <name val="Verdana"/>
      <family val="2"/>
    </font>
    <font>
      <b/>
      <vertAlign val="subscript"/>
      <sz val="12"/>
      <name val="Verdana"/>
      <family val="2"/>
    </font>
    <font>
      <b/>
      <vertAlign val="subscript"/>
      <sz val="12"/>
      <color indexed="8"/>
      <name val="Calibri"/>
      <family val="2"/>
    </font>
    <font>
      <sz val="12"/>
      <name val="Symbol"/>
      <charset val="2"/>
    </font>
    <font>
      <vertAlign val="superscript"/>
      <sz val="12"/>
      <name val="Verdana"/>
      <family val="2"/>
    </font>
    <font>
      <b/>
      <sz val="12"/>
      <color indexed="8"/>
      <name val="Verdana"/>
      <family val="2"/>
    </font>
    <font>
      <b/>
      <sz val="12"/>
      <color indexed="8"/>
      <name val="Symbol"/>
      <charset val="2"/>
    </font>
    <font>
      <b/>
      <vertAlign val="superscript"/>
      <sz val="12"/>
      <color indexed="8"/>
      <name val="Verdana"/>
      <family val="2"/>
    </font>
    <font>
      <b/>
      <vertAlign val="subscript"/>
      <sz val="12"/>
      <color indexed="8"/>
      <name val="Verdana"/>
      <family val="2"/>
    </font>
    <font>
      <b/>
      <vertAlign val="superscript"/>
      <sz val="12"/>
      <color indexed="8"/>
      <name val="Calibri"/>
      <family val="2"/>
    </font>
    <font>
      <sz val="12"/>
      <color theme="1"/>
      <name val="Verdana"/>
      <family val="2"/>
    </font>
    <font>
      <sz val="12"/>
      <color rgb="FF000000"/>
      <name val="Verdana"/>
      <family val="2"/>
    </font>
    <font>
      <sz val="12"/>
      <color theme="1"/>
      <name val="Symbol"/>
      <charset val="2"/>
    </font>
    <font>
      <sz val="12"/>
      <name val="Verdana"/>
      <family val="2"/>
      <charset val="2"/>
    </font>
    <font>
      <vertAlign val="superscript"/>
      <sz val="12"/>
      <color theme="1"/>
      <name val="Verdana"/>
      <family val="2"/>
    </font>
    <font>
      <sz val="12"/>
      <color rgb="FF000000"/>
      <name val="Symbol"/>
      <charset val="2"/>
    </font>
    <font>
      <vertAlign val="subscript"/>
      <sz val="12"/>
      <color theme="1"/>
      <name val="Verdana"/>
      <family val="2"/>
    </font>
    <font>
      <vertAlign val="subscript"/>
      <sz val="12"/>
      <name val="Verdana"/>
      <family val="2"/>
    </font>
    <font>
      <vertAlign val="subscript"/>
      <sz val="12"/>
      <color rgb="FF000000"/>
      <name val="Verdana"/>
      <family val="2"/>
    </font>
    <font>
      <u/>
      <sz val="11"/>
      <color theme="10"/>
      <name val="Calibri"/>
      <family val="2"/>
      <scheme val="minor"/>
    </font>
    <font>
      <sz val="10"/>
      <name val="Verdana"/>
      <family val="2"/>
    </font>
    <font>
      <sz val="12"/>
      <color theme="1"/>
      <name val="Times"/>
      <family val="1"/>
    </font>
    <font>
      <sz val="10"/>
      <color theme="1"/>
      <name val="Calibri"/>
      <family val="2"/>
      <scheme val="minor"/>
    </font>
    <font>
      <sz val="10"/>
      <color theme="1"/>
      <name val="AdvTT182ff89e"/>
    </font>
  </fonts>
  <fills count="17">
    <fill>
      <patternFill patternType="none"/>
    </fill>
    <fill>
      <patternFill patternType="gray125"/>
    </fill>
    <fill>
      <patternFill patternType="solid">
        <fgColor indexed="43"/>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D38EFF"/>
        <bgColor indexed="64"/>
      </patternFill>
    </fill>
    <fill>
      <patternFill patternType="solid">
        <fgColor rgb="FFCDFDCC"/>
        <bgColor indexed="64"/>
      </patternFill>
    </fill>
    <fill>
      <patternFill patternType="solid">
        <fgColor indexed="42"/>
        <bgColor indexed="64"/>
      </patternFill>
    </fill>
    <fill>
      <patternFill patternType="solid">
        <fgColor theme="9" tint="0.59999389629810485"/>
        <bgColor indexed="64"/>
      </patternFill>
    </fill>
    <fill>
      <patternFill patternType="solid">
        <fgColor rgb="FFFFFD99"/>
        <bgColor indexed="64"/>
      </patternFill>
    </fill>
    <fill>
      <patternFill patternType="solid">
        <fgColor theme="0"/>
        <bgColor indexed="64"/>
      </patternFill>
    </fill>
    <fill>
      <patternFill patternType="solid">
        <fgColor rgb="FFA9D08D"/>
        <bgColor indexed="64"/>
      </patternFill>
    </fill>
    <fill>
      <patternFill patternType="solid">
        <fgColor rgb="FFCEFDCC"/>
        <bgColor indexed="64"/>
      </patternFill>
    </fill>
    <fill>
      <patternFill patternType="solid">
        <fgColor rgb="FFCDFDCC"/>
        <bgColor rgb="FF000000"/>
      </patternFill>
    </fill>
    <fill>
      <patternFill patternType="solid">
        <fgColor rgb="FFC6E0B4"/>
        <bgColor indexed="64"/>
      </patternFill>
    </fill>
    <fill>
      <patternFill patternType="solid">
        <fgColor rgb="FFFFFF9A"/>
        <bgColor indexed="64"/>
      </patternFill>
    </fill>
    <fill>
      <patternFill patternType="solid">
        <fgColor rgb="FFFFFF98"/>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style="thin">
        <color auto="1"/>
      </left>
      <right style="thin">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3">
    <xf numFmtId="0" fontId="0" fillId="0" borderId="0"/>
    <xf numFmtId="0" fontId="27" fillId="0" borderId="0" applyNumberFormat="0" applyFill="0" applyBorder="0" applyAlignment="0" applyProtection="0"/>
    <xf numFmtId="0" fontId="28" fillId="0" borderId="0"/>
  </cellStyleXfs>
  <cellXfs count="171">
    <xf numFmtId="0" fontId="0" fillId="0" borderId="0" xfId="0"/>
    <xf numFmtId="0" fontId="0" fillId="0" borderId="1" xfId="0" applyBorder="1"/>
    <xf numFmtId="0" fontId="0" fillId="0" borderId="2" xfId="0" applyBorder="1"/>
    <xf numFmtId="0" fontId="0" fillId="0" borderId="3" xfId="0" applyBorder="1"/>
    <xf numFmtId="0" fontId="0" fillId="0" borderId="4" xfId="0" applyBorder="1" applyAlignment="1"/>
    <xf numFmtId="0" fontId="0" fillId="0" borderId="5" xfId="0" applyBorder="1"/>
    <xf numFmtId="0" fontId="2" fillId="0" borderId="1" xfId="0" applyFont="1" applyBorder="1" applyAlignment="1">
      <alignment wrapText="1"/>
    </xf>
    <xf numFmtId="0" fontId="2" fillId="0" borderId="2" xfId="0" applyFont="1" applyBorder="1" applyAlignment="1">
      <alignment wrapText="1"/>
    </xf>
    <xf numFmtId="0" fontId="2" fillId="0" borderId="2" xfId="0" applyFont="1" applyBorder="1"/>
    <xf numFmtId="0" fontId="0" fillId="0" borderId="2" xfId="0" applyFont="1" applyBorder="1" applyAlignment="1">
      <alignment wrapText="1"/>
    </xf>
    <xf numFmtId="0" fontId="0" fillId="0" borderId="2" xfId="0" applyFont="1" applyBorder="1"/>
    <xf numFmtId="0" fontId="0" fillId="0" borderId="2" xfId="0" quotePrefix="1" applyFont="1" applyBorder="1" applyAlignment="1">
      <alignment wrapText="1"/>
    </xf>
    <xf numFmtId="0" fontId="0" fillId="0" borderId="3" xfId="0" quotePrefix="1" applyFont="1" applyBorder="1" applyAlignment="1">
      <alignment wrapText="1"/>
    </xf>
    <xf numFmtId="0" fontId="0" fillId="0" borderId="2" xfId="0" applyFont="1" applyFill="1" applyBorder="1" applyAlignment="1">
      <alignment wrapText="1"/>
    </xf>
    <xf numFmtId="0" fontId="0" fillId="0" borderId="3" xfId="0" applyFont="1" applyFill="1" applyBorder="1" applyAlignment="1">
      <alignment wrapText="1"/>
    </xf>
    <xf numFmtId="0" fontId="0" fillId="0" borderId="5" xfId="0" applyFont="1" applyFill="1" applyBorder="1" applyAlignment="1">
      <alignment wrapText="1"/>
    </xf>
    <xf numFmtId="0" fontId="0" fillId="0" borderId="1" xfId="0" applyFont="1" applyFill="1" applyBorder="1" applyAlignment="1">
      <alignment wrapText="1"/>
    </xf>
    <xf numFmtId="0" fontId="2" fillId="0" borderId="3" xfId="0" applyFont="1" applyBorder="1" applyAlignment="1">
      <alignment wrapText="1"/>
    </xf>
    <xf numFmtId="0" fontId="2" fillId="0" borderId="5" xfId="0" applyFont="1" applyBorder="1" applyAlignment="1">
      <alignment wrapText="1"/>
    </xf>
    <xf numFmtId="0" fontId="0" fillId="0" borderId="2" xfId="0" applyBorder="1" applyAlignment="1">
      <alignment vertical="top"/>
    </xf>
    <xf numFmtId="0" fontId="3" fillId="2" borderId="1" xfId="0" applyFont="1" applyFill="1" applyBorder="1"/>
    <xf numFmtId="0" fontId="3" fillId="2" borderId="2" xfId="0" applyFont="1" applyFill="1" applyBorder="1"/>
    <xf numFmtId="0" fontId="0" fillId="2" borderId="2" xfId="0" applyFill="1" applyBorder="1"/>
    <xf numFmtId="0" fontId="0" fillId="2" borderId="3" xfId="0" applyFill="1" applyBorder="1"/>
    <xf numFmtId="0" fontId="3" fillId="3" borderId="6" xfId="0" applyFont="1" applyFill="1" applyBorder="1" applyAlignment="1">
      <alignment horizontal="left" vertical="center"/>
    </xf>
    <xf numFmtId="0" fontId="3" fillId="3" borderId="7" xfId="0" applyFont="1" applyFill="1" applyBorder="1" applyAlignment="1">
      <alignment wrapText="1"/>
    </xf>
    <xf numFmtId="0" fontId="3" fillId="3" borderId="7" xfId="0" applyFont="1" applyFill="1" applyBorder="1"/>
    <xf numFmtId="0" fontId="0" fillId="3" borderId="7" xfId="0" applyFill="1" applyBorder="1"/>
    <xf numFmtId="0" fontId="4" fillId="3" borderId="6" xfId="0" applyFont="1" applyFill="1" applyBorder="1"/>
    <xf numFmtId="0" fontId="3" fillId="4" borderId="6" xfId="0" applyFont="1" applyFill="1" applyBorder="1"/>
    <xf numFmtId="0" fontId="0" fillId="4" borderId="7" xfId="0" applyFill="1" applyBorder="1"/>
    <xf numFmtId="0" fontId="0" fillId="4" borderId="1" xfId="0" applyFill="1" applyBorder="1"/>
    <xf numFmtId="0" fontId="0" fillId="4" borderId="2" xfId="0" applyFill="1" applyBorder="1"/>
    <xf numFmtId="0" fontId="3" fillId="4" borderId="2" xfId="0" applyFont="1" applyFill="1" applyBorder="1"/>
    <xf numFmtId="0" fontId="3" fillId="4" borderId="3" xfId="0" applyFont="1" applyFill="1" applyBorder="1"/>
    <xf numFmtId="0" fontId="3" fillId="5" borderId="1" xfId="0" applyFont="1" applyFill="1" applyBorder="1"/>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5" fillId="5" borderId="7" xfId="0" applyFont="1" applyFill="1" applyBorder="1" applyAlignment="1">
      <alignment horizontal="left" vertical="center"/>
    </xf>
    <xf numFmtId="0" fontId="4" fillId="5" borderId="7" xfId="0" applyFont="1" applyFill="1" applyBorder="1" applyAlignment="1">
      <alignment horizontal="center" vertical="center" wrapText="1"/>
    </xf>
    <xf numFmtId="0" fontId="3" fillId="6" borderId="1" xfId="0" applyFont="1" applyFill="1" applyBorder="1"/>
    <xf numFmtId="0" fontId="3" fillId="7" borderId="2" xfId="0" applyFont="1" applyFill="1" applyBorder="1"/>
    <xf numFmtId="0" fontId="3" fillId="7" borderId="3" xfId="0" applyFont="1" applyFill="1" applyBorder="1"/>
    <xf numFmtId="0" fontId="3" fillId="6" borderId="2" xfId="0" applyFont="1" applyFill="1" applyBorder="1"/>
    <xf numFmtId="0" fontId="3" fillId="6" borderId="3" xfId="0" applyFont="1" applyFill="1" applyBorder="1"/>
    <xf numFmtId="0" fontId="0" fillId="6" borderId="2" xfId="0" applyFill="1" applyBorder="1"/>
    <xf numFmtId="0" fontId="0" fillId="6" borderId="6" xfId="0" applyFill="1" applyBorder="1"/>
    <xf numFmtId="0" fontId="3" fillId="7" borderId="1" xfId="0" applyFont="1" applyFill="1" applyBorder="1"/>
    <xf numFmtId="0" fontId="3" fillId="7" borderId="7" xfId="0" applyFont="1" applyFill="1" applyBorder="1"/>
    <xf numFmtId="0" fontId="3" fillId="8" borderId="6" xfId="0" applyFont="1" applyFill="1" applyBorder="1"/>
    <xf numFmtId="0" fontId="3" fillId="8" borderId="7" xfId="0" applyFont="1" applyFill="1" applyBorder="1"/>
    <xf numFmtId="0" fontId="3" fillId="8" borderId="2" xfId="0" applyFont="1" applyFill="1" applyBorder="1"/>
    <xf numFmtId="0" fontId="3" fillId="9" borderId="1" xfId="0" applyFont="1" applyFill="1" applyBorder="1"/>
    <xf numFmtId="0" fontId="3" fillId="9" borderId="2" xfId="0" applyFont="1" applyFill="1" applyBorder="1"/>
    <xf numFmtId="0" fontId="0" fillId="9" borderId="2" xfId="0" applyFill="1" applyBorder="1"/>
    <xf numFmtId="0" fontId="0" fillId="0" borderId="4" xfId="0" applyBorder="1" applyAlignment="1">
      <alignment vertical="top"/>
    </xf>
    <xf numFmtId="0" fontId="0" fillId="0" borderId="8" xfId="0" applyBorder="1"/>
    <xf numFmtId="0" fontId="3" fillId="2" borderId="4" xfId="0" applyFont="1" applyFill="1" applyBorder="1"/>
    <xf numFmtId="0" fontId="0" fillId="2" borderId="4" xfId="0" applyFill="1" applyBorder="1"/>
    <xf numFmtId="0" fontId="0" fillId="2" borderId="8" xfId="0" applyFill="1" applyBorder="1"/>
    <xf numFmtId="0" fontId="3" fillId="3" borderId="6" xfId="0" applyFont="1" applyFill="1" applyBorder="1" applyAlignment="1">
      <alignment horizontal="center" vertical="center"/>
    </xf>
    <xf numFmtId="0" fontId="4" fillId="4" borderId="1" xfId="0" applyFont="1" applyFill="1" applyBorder="1" applyAlignment="1">
      <alignment horizontal="left" vertical="center"/>
    </xf>
    <xf numFmtId="0" fontId="4" fillId="4" borderId="2" xfId="0" applyFont="1" applyFill="1" applyBorder="1" applyAlignment="1">
      <alignment horizontal="left" vertical="center"/>
    </xf>
    <xf numFmtId="0" fontId="13" fillId="5" borderId="0" xfId="0" applyFont="1" applyFill="1" applyBorder="1"/>
    <xf numFmtId="0" fontId="4" fillId="5" borderId="0" xfId="0" applyFont="1" applyFill="1" applyBorder="1" applyAlignment="1">
      <alignment horizontal="center" vertical="center" wrapText="1"/>
    </xf>
    <xf numFmtId="0" fontId="5" fillId="5" borderId="9" xfId="0" applyFont="1" applyFill="1" applyBorder="1" applyAlignment="1">
      <alignment horizontal="left" vertical="center"/>
    </xf>
    <xf numFmtId="0" fontId="5" fillId="5" borderId="4" xfId="0" applyFont="1" applyFill="1" applyBorder="1" applyAlignment="1">
      <alignment horizontal="left" vertical="center"/>
    </xf>
    <xf numFmtId="0" fontId="4" fillId="5" borderId="4"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5" fillId="5" borderId="2" xfId="0" applyFont="1" applyFill="1" applyBorder="1" applyAlignment="1">
      <alignment horizontal="left" vertical="center"/>
    </xf>
    <xf numFmtId="0" fontId="3" fillId="7" borderId="6" xfId="0" applyFont="1" applyFill="1" applyBorder="1"/>
    <xf numFmtId="0" fontId="3" fillId="7" borderId="0" xfId="0" applyFont="1" applyFill="1" applyBorder="1"/>
    <xf numFmtId="0" fontId="3" fillId="7" borderId="10" xfId="0" applyFont="1" applyFill="1" applyBorder="1"/>
    <xf numFmtId="0" fontId="3" fillId="6" borderId="11" xfId="0" applyFont="1" applyFill="1" applyBorder="1"/>
    <xf numFmtId="0" fontId="3" fillId="6" borderId="0" xfId="0" applyFont="1" applyFill="1" applyBorder="1"/>
    <xf numFmtId="0" fontId="5" fillId="6" borderId="11" xfId="0" applyFont="1" applyFill="1" applyBorder="1" applyAlignment="1">
      <alignment horizontal="left" vertical="center"/>
    </xf>
    <xf numFmtId="0" fontId="0" fillId="6" borderId="0" xfId="0" applyFill="1"/>
    <xf numFmtId="0" fontId="5" fillId="7" borderId="6" xfId="0" applyFont="1" applyFill="1" applyBorder="1" applyAlignment="1">
      <alignment horizontal="left" vertical="center"/>
    </xf>
    <xf numFmtId="0" fontId="4" fillId="7" borderId="7" xfId="0" applyFont="1" applyFill="1" applyBorder="1" applyAlignment="1">
      <alignment horizontal="left" vertical="center"/>
    </xf>
    <xf numFmtId="0" fontId="4" fillId="7" borderId="12" xfId="0" applyFont="1" applyFill="1" applyBorder="1" applyAlignment="1">
      <alignment horizontal="left" vertical="center"/>
    </xf>
    <xf numFmtId="0" fontId="3" fillId="7" borderId="12" xfId="0" applyFont="1" applyFill="1" applyBorder="1"/>
    <xf numFmtId="0" fontId="13" fillId="7" borderId="6" xfId="0" applyFont="1" applyFill="1" applyBorder="1"/>
    <xf numFmtId="0" fontId="5" fillId="7" borderId="0" xfId="0" applyFont="1" applyFill="1" applyBorder="1" applyAlignment="1">
      <alignment horizontal="left" vertical="center"/>
    </xf>
    <xf numFmtId="0" fontId="4" fillId="7" borderId="0" xfId="0" applyFont="1" applyFill="1" applyBorder="1" applyAlignment="1">
      <alignment horizontal="left" vertical="center"/>
    </xf>
    <xf numFmtId="0" fontId="3" fillId="6" borderId="6" xfId="0" applyFont="1" applyFill="1" applyBorder="1"/>
    <xf numFmtId="0" fontId="3" fillId="6" borderId="10" xfId="0" applyFont="1" applyFill="1" applyBorder="1"/>
    <xf numFmtId="0" fontId="5" fillId="7" borderId="11" xfId="0" applyFont="1" applyFill="1" applyBorder="1" applyAlignment="1">
      <alignment horizontal="center" vertical="center" wrapText="1"/>
    </xf>
    <xf numFmtId="0" fontId="4" fillId="7" borderId="0" xfId="0" applyFont="1" applyFill="1" applyBorder="1" applyAlignment="1">
      <alignment horizontal="center" vertical="center" wrapText="1"/>
    </xf>
    <xf numFmtId="0" fontId="3" fillId="7" borderId="11" xfId="0" applyFont="1" applyFill="1" applyBorder="1"/>
    <xf numFmtId="0" fontId="3" fillId="8" borderId="1" xfId="0" applyFont="1" applyFill="1" applyBorder="1"/>
    <xf numFmtId="0" fontId="3" fillId="8" borderId="0" xfId="0" applyFont="1" applyFill="1" applyBorder="1"/>
    <xf numFmtId="0" fontId="3" fillId="8" borderId="4" xfId="0" applyFont="1" applyFill="1" applyBorder="1"/>
    <xf numFmtId="0" fontId="3" fillId="2" borderId="9" xfId="0" applyFont="1" applyFill="1" applyBorder="1"/>
    <xf numFmtId="0" fontId="0" fillId="0" borderId="13" xfId="0" applyBorder="1"/>
    <xf numFmtId="0" fontId="18" fillId="10" borderId="14" xfId="0" applyFont="1" applyFill="1" applyBorder="1" applyAlignment="1">
      <alignment horizontal="center" vertical="center" wrapText="1"/>
    </xf>
    <xf numFmtId="0" fontId="18" fillId="10" borderId="1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0" fillId="11" borderId="2" xfId="0" quotePrefix="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21" fillId="4" borderId="2" xfId="0" applyFont="1" applyFill="1" applyBorder="1" applyAlignment="1">
      <alignment horizontal="center" vertical="center" wrapText="1"/>
    </xf>
    <xf numFmtId="0" fontId="18" fillId="4"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8" fillId="5" borderId="1" xfId="0" applyFont="1" applyFill="1" applyBorder="1" applyAlignment="1">
      <alignment horizontal="center" vertical="center" wrapText="1"/>
    </xf>
    <xf numFmtId="0" fontId="19" fillId="5" borderId="2" xfId="0" applyFont="1" applyFill="1" applyBorder="1" applyAlignment="1">
      <alignment horizontal="center" vertical="center" wrapText="1"/>
    </xf>
    <xf numFmtId="0" fontId="18" fillId="5" borderId="2" xfId="0" applyFont="1" applyFill="1" applyBorder="1" applyAlignment="1">
      <alignment horizontal="center" vertical="center" wrapText="1"/>
    </xf>
    <xf numFmtId="0" fontId="18" fillId="5" borderId="9"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8" fillId="5" borderId="4"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8" fillId="6" borderId="2" xfId="0" applyFont="1" applyFill="1" applyBorder="1" applyAlignment="1">
      <alignment horizontal="center" vertical="center" wrapText="1"/>
    </xf>
    <xf numFmtId="0" fontId="0" fillId="12" borderId="2" xfId="0" quotePrefix="1" applyFill="1" applyBorder="1" applyAlignment="1">
      <alignment horizontal="center" vertical="center" wrapText="1"/>
    </xf>
    <xf numFmtId="0" fontId="0" fillId="12" borderId="3" xfId="0" quotePrefix="1" applyFill="1" applyBorder="1" applyAlignment="1">
      <alignment horizontal="center" vertical="center" wrapText="1"/>
    </xf>
    <xf numFmtId="0" fontId="4" fillId="6" borderId="2"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7" borderId="3" xfId="0" applyFont="1" applyFill="1" applyBorder="1" applyAlignment="1">
      <alignment horizontal="center" vertical="center" wrapText="1"/>
    </xf>
    <xf numFmtId="0" fontId="4" fillId="7" borderId="2"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18" fillId="7" borderId="2"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18" fillId="8" borderId="2"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0" fillId="14" borderId="2" xfId="0" quotePrefix="1" applyFill="1" applyBorder="1" applyAlignment="1">
      <alignment horizontal="center" vertical="center" wrapText="1"/>
    </xf>
    <xf numFmtId="0" fontId="0" fillId="14" borderId="3" xfId="0" quotePrefix="1" applyFill="1" applyBorder="1" applyAlignment="1">
      <alignment horizontal="center" vertical="center" wrapText="1"/>
    </xf>
    <xf numFmtId="0" fontId="4" fillId="2" borderId="9" xfId="0" applyFont="1" applyFill="1" applyBorder="1" applyAlignment="1">
      <alignment horizontal="center" vertical="center" wrapText="1"/>
    </xf>
    <xf numFmtId="0" fontId="0" fillId="15" borderId="2" xfId="0" quotePrefix="1" applyFill="1" applyBorder="1" applyAlignment="1">
      <alignment horizontal="center" vertical="center" wrapText="1"/>
    </xf>
    <xf numFmtId="0" fontId="4" fillId="16" borderId="4" xfId="0" quotePrefix="1"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0" borderId="13" xfId="0" applyFont="1" applyBorder="1" applyAlignment="1">
      <alignment horizontal="center" vertical="center" wrapText="1"/>
    </xf>
    <xf numFmtId="0" fontId="0" fillId="0" borderId="0" xfId="0" applyFill="1" applyBorder="1"/>
    <xf numFmtId="0" fontId="4" fillId="8" borderId="1" xfId="0" applyFont="1" applyFill="1" applyBorder="1" applyAlignment="1">
      <alignment horizontal="center" vertical="center" wrapText="1"/>
    </xf>
    <xf numFmtId="0" fontId="4" fillId="8" borderId="2" xfId="0" applyFont="1" applyFill="1" applyBorder="1" applyAlignment="1">
      <alignment horizontal="center" vertical="center" wrapText="1"/>
    </xf>
    <xf numFmtId="1" fontId="0" fillId="0" borderId="0" xfId="0" applyNumberFormat="1"/>
    <xf numFmtId="0" fontId="0" fillId="0" borderId="7" xfId="0" applyBorder="1" applyAlignment="1">
      <alignment vertical="top"/>
    </xf>
    <xf numFmtId="0" fontId="29" fillId="0" borderId="7" xfId="0" applyFont="1" applyBorder="1"/>
    <xf numFmtId="0" fontId="30" fillId="0" borderId="0" xfId="0" applyFont="1" applyBorder="1" applyAlignment="1">
      <alignment horizontal="center"/>
    </xf>
    <xf numFmtId="0" fontId="0" fillId="0" borderId="7" xfId="0" applyBorder="1"/>
    <xf numFmtId="0" fontId="31" fillId="0" borderId="0" xfId="0" quotePrefix="1" applyFont="1"/>
    <xf numFmtId="1" fontId="30" fillId="0" borderId="7" xfId="0" applyNumberFormat="1" applyFont="1" applyBorder="1" applyAlignment="1">
      <alignment horizontal="center"/>
    </xf>
    <xf numFmtId="0" fontId="0" fillId="0" borderId="0" xfId="0" applyAlignment="1">
      <alignment wrapText="1"/>
    </xf>
    <xf numFmtId="2" fontId="30" fillId="0" borderId="7" xfId="0" applyNumberFormat="1" applyFont="1" applyBorder="1" applyAlignment="1">
      <alignment horizontal="center"/>
    </xf>
    <xf numFmtId="2" fontId="30" fillId="0" borderId="7" xfId="0" applyNumberFormat="1" applyFont="1" applyFill="1" applyBorder="1" applyAlignment="1">
      <alignment horizontal="center"/>
    </xf>
    <xf numFmtId="0" fontId="0" fillId="0" borderId="7" xfId="0" applyBorder="1" applyAlignment="1">
      <alignment wrapText="1"/>
    </xf>
    <xf numFmtId="164" fontId="30" fillId="0" borderId="7" xfId="0" applyNumberFormat="1" applyFont="1" applyBorder="1" applyAlignment="1">
      <alignment horizontal="center"/>
    </xf>
    <xf numFmtId="1" fontId="30" fillId="0" borderId="7" xfId="0" applyNumberFormat="1" applyFont="1" applyBorder="1" applyAlignment="1">
      <alignment horizontal="center" vertical="center"/>
    </xf>
    <xf numFmtId="1" fontId="0" fillId="0" borderId="7" xfId="0" applyNumberFormat="1" applyBorder="1"/>
    <xf numFmtId="0" fontId="0" fillId="0" borderId="0" xfId="0" applyBorder="1" applyAlignment="1">
      <alignment vertical="top"/>
    </xf>
    <xf numFmtId="0" fontId="29" fillId="0" borderId="0" xfId="0" applyFont="1" applyBorder="1"/>
    <xf numFmtId="0" fontId="0" fillId="0" borderId="0" xfId="0" applyBorder="1"/>
    <xf numFmtId="1" fontId="30" fillId="0" borderId="0" xfId="0" applyNumberFormat="1" applyFont="1" applyBorder="1" applyAlignment="1">
      <alignment horizontal="center"/>
    </xf>
    <xf numFmtId="2" fontId="30" fillId="0" borderId="0" xfId="0" applyNumberFormat="1" applyFont="1" applyBorder="1" applyAlignment="1">
      <alignment horizontal="center"/>
    </xf>
    <xf numFmtId="2" fontId="30" fillId="0" borderId="0" xfId="0" applyNumberFormat="1" applyFont="1" applyFill="1" applyBorder="1" applyAlignment="1">
      <alignment horizontal="center"/>
    </xf>
    <xf numFmtId="0" fontId="0" fillId="0" borderId="0" xfId="0" applyBorder="1" applyAlignment="1">
      <alignment wrapText="1"/>
    </xf>
    <xf numFmtId="164" fontId="30" fillId="0" borderId="0" xfId="0" applyNumberFormat="1" applyFont="1" applyBorder="1" applyAlignment="1">
      <alignment horizontal="center"/>
    </xf>
    <xf numFmtId="1" fontId="30" fillId="0" borderId="0" xfId="0" applyNumberFormat="1" applyFont="1" applyBorder="1" applyAlignment="1">
      <alignment horizontal="center" vertical="center"/>
    </xf>
    <xf numFmtId="1" fontId="0" fillId="0" borderId="0" xfId="0" applyNumberFormat="1" applyBorder="1"/>
    <xf numFmtId="0" fontId="30" fillId="0" borderId="0" xfId="0" applyFont="1" applyBorder="1" applyAlignment="1">
      <alignment horizontal="center" vertical="center"/>
    </xf>
    <xf numFmtId="0" fontId="27" fillId="0" borderId="7" xfId="1" applyBorder="1"/>
    <xf numFmtId="0" fontId="1" fillId="0" borderId="0" xfId="0" applyFont="1"/>
    <xf numFmtId="1" fontId="0" fillId="0" borderId="0" xfId="0" applyNumberFormat="1" applyFill="1" applyBorder="1"/>
    <xf numFmtId="0" fontId="0" fillId="0" borderId="0" xfId="0" applyAlignment="1">
      <alignment horizontal="center"/>
    </xf>
    <xf numFmtId="0" fontId="0" fillId="0" borderId="2" xfId="0" applyBorder="1" applyAlignment="1">
      <alignment wrapText="1"/>
    </xf>
  </cellXfs>
  <cellStyles count="3">
    <cellStyle name="Hyperlink" xfId="1" builtinId="8"/>
    <cellStyle name="Normal" xfId="0" builtinId="0"/>
    <cellStyle name="Normal 2" xfId="2" xr:uid="{0EEDB2E9-9399-6C4A-8C8F-C8CB919A07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oenisch@ldeo.columbia.edu" TargetMode="External"/><Relationship Id="rId13" Type="http://schemas.openxmlformats.org/officeDocument/2006/relationships/hyperlink" Target="mailto:hoenisch@ldeo.columbia.edu" TargetMode="External"/><Relationship Id="rId18" Type="http://schemas.openxmlformats.org/officeDocument/2006/relationships/hyperlink" Target="mailto:hoenisch@ldeo.columbia.edu" TargetMode="External"/><Relationship Id="rId3" Type="http://schemas.openxmlformats.org/officeDocument/2006/relationships/hyperlink" Target="mailto:hoenisch@ldeo.columbia.edu" TargetMode="External"/><Relationship Id="rId7" Type="http://schemas.openxmlformats.org/officeDocument/2006/relationships/hyperlink" Target="mailto:hoenisch@ldeo.columbia.edu" TargetMode="External"/><Relationship Id="rId12" Type="http://schemas.openxmlformats.org/officeDocument/2006/relationships/hyperlink" Target="mailto:hoenisch@ldeo.columbia.edu" TargetMode="External"/><Relationship Id="rId17" Type="http://schemas.openxmlformats.org/officeDocument/2006/relationships/hyperlink" Target="mailto:hoenisch@ldeo.columbia.edu" TargetMode="External"/><Relationship Id="rId2" Type="http://schemas.openxmlformats.org/officeDocument/2006/relationships/hyperlink" Target="mailto:hoenisch@ldeo.columbia.edu" TargetMode="External"/><Relationship Id="rId16" Type="http://schemas.openxmlformats.org/officeDocument/2006/relationships/hyperlink" Target="mailto:hoenisch@ldeo.columbia.edu" TargetMode="External"/><Relationship Id="rId1" Type="http://schemas.openxmlformats.org/officeDocument/2006/relationships/hyperlink" Target="mailto:hoenisch@ldeo.columbia.edu" TargetMode="External"/><Relationship Id="rId6" Type="http://schemas.openxmlformats.org/officeDocument/2006/relationships/hyperlink" Target="mailto:hoenisch@ldeo.columbia.edu" TargetMode="External"/><Relationship Id="rId11" Type="http://schemas.openxmlformats.org/officeDocument/2006/relationships/hyperlink" Target="mailto:hoenisch@ldeo.columbia.edu" TargetMode="External"/><Relationship Id="rId5" Type="http://schemas.openxmlformats.org/officeDocument/2006/relationships/hyperlink" Target="mailto:hoenisch@ldeo.columbia.edu" TargetMode="External"/><Relationship Id="rId15" Type="http://schemas.openxmlformats.org/officeDocument/2006/relationships/hyperlink" Target="mailto:hoenisch@ldeo.columbia.edu" TargetMode="External"/><Relationship Id="rId10" Type="http://schemas.openxmlformats.org/officeDocument/2006/relationships/hyperlink" Target="mailto:hoenisch@ldeo.columbia.edu" TargetMode="External"/><Relationship Id="rId19" Type="http://schemas.openxmlformats.org/officeDocument/2006/relationships/hyperlink" Target="mailto:hoenisch@ldeo.columbia.edu" TargetMode="External"/><Relationship Id="rId4" Type="http://schemas.openxmlformats.org/officeDocument/2006/relationships/hyperlink" Target="mailto:hoenisch@ldeo.columbia.edu" TargetMode="External"/><Relationship Id="rId9" Type="http://schemas.openxmlformats.org/officeDocument/2006/relationships/hyperlink" Target="mailto:hoenisch@ldeo.columbia.edu" TargetMode="External"/><Relationship Id="rId14" Type="http://schemas.openxmlformats.org/officeDocument/2006/relationships/hyperlink" Target="mailto:hoenisch@ldeo.columbia.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C22"/>
  <sheetViews>
    <sheetView tabSelected="1" topLeftCell="C1" workbookViewId="0">
      <selection activeCell="N3" sqref="N3:O3"/>
    </sheetView>
  </sheetViews>
  <sheetFormatPr baseColWidth="10" defaultColWidth="8.83203125" defaultRowHeight="15"/>
  <cols>
    <col min="3" max="3" width="12.83203125" customWidth="1"/>
    <col min="4" max="5" width="10.33203125" customWidth="1"/>
    <col min="6" max="6" width="11.33203125" customWidth="1"/>
    <col min="8" max="8" width="12.33203125" customWidth="1"/>
    <col min="9" max="9" width="11.5" customWidth="1"/>
    <col min="10" max="10" width="12.5" customWidth="1"/>
    <col min="11" max="11" width="17.5" customWidth="1"/>
    <col min="12" max="12" width="11.83203125" customWidth="1"/>
    <col min="13" max="13" width="13.33203125" customWidth="1"/>
    <col min="14" max="14" width="11.33203125" customWidth="1"/>
    <col min="15" max="15" width="11" customWidth="1"/>
    <col min="16" max="16" width="11.83203125" customWidth="1"/>
    <col min="17" max="17" width="13.83203125" customWidth="1"/>
    <col min="18" max="18" width="12.6640625" customWidth="1"/>
    <col min="19" max="19" width="12.1640625" customWidth="1"/>
    <col min="20" max="20" width="13.1640625" customWidth="1"/>
    <col min="21" max="21" width="11.1640625" customWidth="1"/>
    <col min="22" max="22" width="15" customWidth="1"/>
    <col min="27" max="27" width="13.83203125" customWidth="1"/>
    <col min="33" max="33" width="18" customWidth="1"/>
    <col min="34" max="34" width="13.5" customWidth="1"/>
    <col min="35" max="35" width="12.33203125" customWidth="1"/>
    <col min="36" max="36" width="13.6640625" customWidth="1"/>
    <col min="37" max="37" width="14" customWidth="1"/>
    <col min="38" max="38" width="13" customWidth="1"/>
    <col min="39" max="39" width="13.83203125" customWidth="1"/>
    <col min="40" max="40" width="14.33203125" customWidth="1"/>
    <col min="41" max="42" width="14.1640625" customWidth="1"/>
    <col min="43" max="43" width="14.83203125" customWidth="1"/>
    <col min="44" max="44" width="15.33203125" customWidth="1"/>
    <col min="46" max="46" width="14.6640625" customWidth="1"/>
    <col min="47" max="47" width="11.5" customWidth="1"/>
    <col min="48" max="48" width="12.33203125" customWidth="1"/>
    <col min="49" max="49" width="12.83203125" customWidth="1"/>
    <col min="50" max="50" width="15.6640625" customWidth="1"/>
    <col min="51" max="51" width="15.1640625" customWidth="1"/>
    <col min="53" max="53" width="15" customWidth="1"/>
    <col min="54" max="54" width="13.6640625" customWidth="1"/>
    <col min="55" max="55" width="12.5" customWidth="1"/>
    <col min="56" max="56" width="11.83203125" customWidth="1"/>
    <col min="57" max="57" width="17.5" customWidth="1"/>
    <col min="58" max="59" width="15" customWidth="1"/>
    <col min="60" max="61" width="17.33203125" customWidth="1"/>
    <col min="62" max="62" width="14.1640625" customWidth="1"/>
    <col min="63" max="63" width="14.83203125" customWidth="1"/>
    <col min="64" max="64" width="19.6640625" customWidth="1"/>
    <col min="65" max="65" width="16.6640625" customWidth="1"/>
    <col min="66" max="66" width="17.33203125" customWidth="1"/>
    <col min="67" max="67" width="13.33203125" customWidth="1"/>
    <col min="68" max="69" width="14.1640625" customWidth="1"/>
    <col min="70" max="70" width="22.6640625" customWidth="1"/>
    <col min="71" max="71" width="15.33203125" customWidth="1"/>
    <col min="72" max="72" width="11.33203125" customWidth="1"/>
    <col min="73" max="73" width="15.1640625" customWidth="1"/>
    <col min="74" max="74" width="13.83203125" customWidth="1"/>
    <col min="75" max="75" width="14" customWidth="1"/>
    <col min="76" max="76" width="15.33203125" customWidth="1"/>
    <col min="77" max="77" width="12.83203125" customWidth="1"/>
    <col min="78" max="78" width="16" customWidth="1"/>
    <col min="79" max="79" width="15.83203125" customWidth="1"/>
    <col min="80" max="80" width="16.1640625" customWidth="1"/>
    <col min="81" max="81" width="15.83203125" customWidth="1"/>
    <col min="82" max="82" width="15.6640625" customWidth="1"/>
    <col min="83" max="83" width="16.5" customWidth="1"/>
    <col min="84" max="84" width="14" customWidth="1"/>
    <col min="85" max="85" width="15.1640625" customWidth="1"/>
    <col min="86" max="86" width="15.83203125" customWidth="1"/>
    <col min="87" max="87" width="16" customWidth="1"/>
    <col min="88" max="88" width="17.6640625" customWidth="1"/>
    <col min="89" max="89" width="17.5" customWidth="1"/>
    <col min="90" max="90" width="14.6640625" customWidth="1"/>
    <col min="91" max="91" width="17.83203125" customWidth="1"/>
    <col min="92" max="92" width="19.83203125" customWidth="1"/>
    <col min="93" max="93" width="14.5" customWidth="1"/>
    <col min="94" max="94" width="16" customWidth="1"/>
    <col min="95" max="96" width="16.6640625" customWidth="1"/>
    <col min="97" max="97" width="15.83203125" customWidth="1"/>
    <col min="98" max="98" width="16.33203125" customWidth="1"/>
    <col min="99" max="100" width="16.1640625" customWidth="1"/>
    <col min="101" max="101" width="18.33203125" customWidth="1"/>
    <col min="102" max="102" width="17" customWidth="1"/>
    <col min="103" max="103" width="16.1640625" customWidth="1"/>
    <col min="104" max="104" width="17.33203125" customWidth="1"/>
    <col min="105" max="105" width="13.83203125" customWidth="1"/>
    <col min="106" max="106" width="15.1640625" customWidth="1"/>
    <col min="107" max="107" width="14.33203125" customWidth="1"/>
    <col min="108" max="108" width="14" customWidth="1"/>
    <col min="109" max="109" width="15.6640625" customWidth="1"/>
    <col min="110" max="110" width="17.6640625" customWidth="1"/>
    <col min="111" max="111" width="13" customWidth="1"/>
    <col min="112" max="112" width="16" customWidth="1"/>
    <col min="113" max="113" width="13.1640625" customWidth="1"/>
    <col min="114" max="114" width="18.1640625" customWidth="1"/>
    <col min="115" max="115" width="16.1640625" customWidth="1"/>
    <col min="116" max="116" width="16.5" customWidth="1"/>
    <col min="117" max="117" width="16.6640625" customWidth="1"/>
    <col min="118" max="118" width="17.1640625" customWidth="1"/>
    <col min="119" max="119" width="13.5" customWidth="1"/>
    <col min="120" max="120" width="14" customWidth="1"/>
    <col min="121" max="121" width="13.1640625" customWidth="1"/>
    <col min="122" max="122" width="14.6640625" customWidth="1"/>
    <col min="123" max="123" width="12.33203125" customWidth="1"/>
    <col min="124" max="124" width="16.33203125" customWidth="1"/>
    <col min="125" max="125" width="13.1640625" customWidth="1"/>
    <col min="126" max="126" width="13.6640625" customWidth="1"/>
    <col min="127" max="127" width="12" customWidth="1"/>
    <col min="128" max="128" width="14.5" customWidth="1"/>
    <col min="129" max="129" width="13.33203125" customWidth="1"/>
    <col min="130" max="130" width="13.5" customWidth="1"/>
    <col min="131" max="131" width="10.5" customWidth="1"/>
    <col min="132" max="132" width="16.33203125" customWidth="1"/>
    <col min="133" max="133" width="16.83203125" customWidth="1"/>
    <col min="134" max="134" width="15.6640625" customWidth="1"/>
    <col min="135" max="135" width="19.5" customWidth="1"/>
    <col min="136" max="136" width="15.83203125" customWidth="1"/>
    <col min="137" max="137" width="12.6640625" customWidth="1"/>
    <col min="138" max="138" width="15.5" customWidth="1"/>
    <col min="139" max="139" width="13" customWidth="1"/>
    <col min="140" max="140" width="13.6640625" customWidth="1"/>
    <col min="141" max="141" width="15.1640625" customWidth="1"/>
    <col min="142" max="142" width="16.6640625" customWidth="1"/>
    <col min="143" max="143" width="15.5" customWidth="1"/>
    <col min="144" max="144" width="16.1640625" customWidth="1"/>
    <col min="145" max="145" width="15.6640625" customWidth="1"/>
    <col min="146" max="146" width="16.6640625" customWidth="1"/>
    <col min="147" max="147" width="12.6640625" customWidth="1"/>
    <col min="148" max="148" width="17.83203125" customWidth="1"/>
    <col min="149" max="149" width="16.83203125" customWidth="1"/>
    <col min="150" max="150" width="16.1640625" customWidth="1"/>
    <col min="151" max="151" width="17.6640625" customWidth="1"/>
    <col min="152" max="152" width="19.33203125" customWidth="1"/>
    <col min="153" max="153" width="13.6640625" customWidth="1"/>
    <col min="154" max="154" width="20.1640625" customWidth="1"/>
    <col min="155" max="155" width="13.33203125" customWidth="1"/>
    <col min="156" max="156" width="14.33203125" customWidth="1"/>
    <col min="157" max="157" width="14" customWidth="1"/>
    <col min="158" max="158" width="17.6640625" customWidth="1"/>
    <col min="159" max="159" width="15.6640625" customWidth="1"/>
    <col min="160" max="160" width="17" customWidth="1"/>
    <col min="162" max="162" width="14.33203125" customWidth="1"/>
    <col min="163" max="163" width="12.83203125" customWidth="1"/>
    <col min="164" max="164" width="15.5" customWidth="1"/>
    <col min="165" max="165" width="17.6640625" customWidth="1"/>
    <col min="166" max="166" width="15.83203125" customWidth="1"/>
    <col min="167" max="167" width="16.1640625" customWidth="1"/>
    <col min="168" max="168" width="19" customWidth="1"/>
    <col min="169" max="169" width="14" customWidth="1"/>
    <col min="170" max="170" width="17.83203125" customWidth="1"/>
    <col min="171" max="171" width="21.1640625" customWidth="1"/>
    <col min="172" max="172" width="21.5" customWidth="1"/>
    <col min="173" max="173" width="14.83203125" customWidth="1"/>
    <col min="174" max="174" width="13.33203125" customWidth="1"/>
    <col min="175" max="175" width="14.1640625" customWidth="1"/>
    <col min="176" max="176" width="14.6640625" customWidth="1"/>
    <col min="177" max="177" width="14.5" customWidth="1"/>
    <col min="178" max="178" width="14" customWidth="1"/>
    <col min="179" max="179" width="15" customWidth="1"/>
    <col min="180" max="180" width="15.33203125" customWidth="1"/>
    <col min="181" max="181" width="16.5" customWidth="1"/>
    <col min="182" max="182" width="19.33203125" customWidth="1"/>
    <col min="183" max="185" width="15" customWidth="1"/>
  </cols>
  <sheetData>
    <row r="1" spans="1:185" ht="18">
      <c r="Y1" s="19"/>
      <c r="Z1" s="3"/>
      <c r="AA1" s="20" t="s">
        <v>11</v>
      </c>
      <c r="AB1" s="21"/>
      <c r="AC1" s="21"/>
      <c r="AD1" s="21"/>
      <c r="AE1" s="21"/>
      <c r="AF1" s="21"/>
      <c r="AG1" s="22"/>
      <c r="AH1" s="23"/>
      <c r="AI1" s="22"/>
      <c r="AJ1" s="21"/>
      <c r="AK1" s="21"/>
      <c r="AL1" s="21"/>
      <c r="AM1" s="21"/>
      <c r="AN1" s="21"/>
      <c r="AO1" s="21"/>
      <c r="AP1" s="21"/>
      <c r="AQ1" s="21"/>
      <c r="AR1" s="21"/>
      <c r="AS1" s="24" t="s">
        <v>12</v>
      </c>
      <c r="AT1" s="25"/>
      <c r="AU1" s="26"/>
      <c r="AV1" s="26"/>
      <c r="AW1" s="27"/>
      <c r="AX1" s="27"/>
      <c r="AY1" s="27"/>
      <c r="AZ1" s="28"/>
      <c r="BA1" s="27"/>
      <c r="BB1" s="27"/>
      <c r="BC1" s="27"/>
      <c r="BD1" s="27"/>
      <c r="BE1" s="27"/>
      <c r="BF1" s="27"/>
      <c r="BG1" s="29" t="s">
        <v>13</v>
      </c>
      <c r="BH1" s="30"/>
      <c r="BI1" s="30"/>
      <c r="BJ1" s="30"/>
      <c r="BK1" s="30"/>
      <c r="BL1" s="30"/>
      <c r="BM1" s="30"/>
      <c r="BN1" s="31"/>
      <c r="BO1" s="32"/>
      <c r="BP1" s="32"/>
      <c r="BQ1" s="32"/>
      <c r="BR1" s="33"/>
      <c r="BS1" s="34"/>
      <c r="BT1" s="35" t="s">
        <v>14</v>
      </c>
      <c r="BU1" s="36"/>
      <c r="BV1" s="36"/>
      <c r="BW1" s="36"/>
      <c r="BX1" s="36"/>
      <c r="BY1" s="36"/>
      <c r="BZ1" s="36"/>
      <c r="CA1" s="37"/>
      <c r="CB1" s="38" t="s">
        <v>15</v>
      </c>
      <c r="CC1" s="38"/>
      <c r="CD1" s="39"/>
      <c r="CE1" s="39"/>
      <c r="CF1" s="39"/>
      <c r="CG1" s="40" t="s">
        <v>16</v>
      </c>
      <c r="CH1" s="41"/>
      <c r="CI1" s="42"/>
      <c r="CJ1" s="40"/>
      <c r="CK1" s="43"/>
      <c r="CL1" s="43"/>
      <c r="CM1" s="44"/>
      <c r="CN1" s="40" t="s">
        <v>17</v>
      </c>
      <c r="CO1" s="45"/>
      <c r="CP1" s="43"/>
      <c r="CQ1" s="43"/>
      <c r="CR1" s="43"/>
      <c r="CS1" s="43"/>
      <c r="CT1" s="43"/>
      <c r="CU1" s="43"/>
      <c r="CV1" s="43"/>
      <c r="CW1" s="43"/>
      <c r="CX1" s="43"/>
      <c r="CY1" s="43"/>
      <c r="CZ1" s="40" t="s">
        <v>18</v>
      </c>
      <c r="DA1" s="43"/>
      <c r="DB1" s="43"/>
      <c r="DC1" s="43"/>
      <c r="DD1" s="43"/>
      <c r="DE1" s="43"/>
      <c r="DF1" s="44"/>
      <c r="DG1" s="41" t="s">
        <v>19</v>
      </c>
      <c r="DH1" s="41"/>
      <c r="DI1" s="41"/>
      <c r="DJ1" s="41"/>
      <c r="DK1" s="41"/>
      <c r="DL1" s="41"/>
      <c r="DM1" s="41"/>
      <c r="DN1" s="41"/>
      <c r="DO1" s="41"/>
      <c r="DP1" s="41"/>
      <c r="DQ1" s="41"/>
      <c r="DR1" s="41"/>
      <c r="DS1" s="41"/>
      <c r="DT1" s="41"/>
      <c r="DU1" s="41"/>
      <c r="DV1" s="41"/>
      <c r="DW1" s="41"/>
      <c r="DX1" s="41"/>
      <c r="DY1" s="41"/>
      <c r="DZ1" s="41"/>
      <c r="EA1" s="46"/>
      <c r="EB1" s="43"/>
      <c r="EC1" s="43"/>
      <c r="ED1" s="44"/>
      <c r="EE1" s="41"/>
      <c r="EF1" s="41"/>
      <c r="EG1" s="47" t="s">
        <v>20</v>
      </c>
      <c r="EH1" s="41"/>
      <c r="EI1" s="41"/>
      <c r="EJ1" s="41"/>
      <c r="EK1" s="41"/>
      <c r="EL1" s="42"/>
      <c r="EM1" s="47" t="s">
        <v>21</v>
      </c>
      <c r="EN1" s="41"/>
      <c r="EO1" s="41"/>
      <c r="EP1" s="41"/>
      <c r="EQ1" s="41"/>
      <c r="ER1" s="48"/>
      <c r="ES1" s="48"/>
      <c r="ET1" s="49" t="s">
        <v>22</v>
      </c>
      <c r="EU1" s="50"/>
      <c r="EV1" s="50"/>
      <c r="EW1" s="51"/>
      <c r="EX1" s="51"/>
      <c r="EY1" s="51"/>
      <c r="EZ1" s="51"/>
      <c r="FA1" s="51"/>
      <c r="FB1" s="51"/>
      <c r="FC1" s="51"/>
      <c r="FD1" s="51"/>
      <c r="FE1" s="52" t="s">
        <v>23</v>
      </c>
      <c r="FF1" s="53"/>
      <c r="FG1" s="53"/>
      <c r="FH1" s="53"/>
      <c r="FI1" s="54"/>
      <c r="FJ1" s="54"/>
      <c r="FK1" s="54"/>
      <c r="FL1" s="54"/>
      <c r="FM1" s="53"/>
      <c r="FN1" s="53"/>
      <c r="FO1" s="53"/>
      <c r="FP1" s="53"/>
      <c r="FQ1" s="52"/>
      <c r="FR1" s="53"/>
      <c r="FS1" s="53"/>
      <c r="FT1" s="53"/>
      <c r="FU1" s="53"/>
      <c r="FV1" s="53"/>
      <c r="FW1" s="21"/>
      <c r="FX1" s="21"/>
      <c r="FY1" s="21"/>
      <c r="FZ1" s="21"/>
      <c r="GA1" s="21"/>
      <c r="GB1" s="21"/>
      <c r="GC1" s="5"/>
    </row>
    <row r="2" spans="1:185" ht="20">
      <c r="A2" s="1"/>
      <c r="B2" s="2"/>
      <c r="C2" s="2"/>
      <c r="D2" s="2"/>
      <c r="E2" s="2"/>
      <c r="F2" s="2"/>
      <c r="G2" s="2"/>
      <c r="H2" s="2"/>
      <c r="I2" s="2"/>
      <c r="J2" s="2"/>
      <c r="K2" s="2"/>
      <c r="L2" s="3"/>
      <c r="M2" s="4"/>
      <c r="N2" s="4"/>
      <c r="O2" s="4"/>
      <c r="P2" s="4"/>
      <c r="R2" s="5"/>
      <c r="S2" s="169"/>
      <c r="T2" s="169"/>
      <c r="U2" s="169"/>
      <c r="V2" s="169"/>
      <c r="W2" s="169"/>
      <c r="X2" s="5"/>
      <c r="Y2" s="55"/>
      <c r="Z2" s="56"/>
      <c r="AA2" s="57"/>
      <c r="AB2" s="57"/>
      <c r="AC2" s="57"/>
      <c r="AD2" s="57"/>
      <c r="AE2" s="57"/>
      <c r="AF2" s="57"/>
      <c r="AG2" s="58"/>
      <c r="AH2" s="59"/>
      <c r="AI2" s="58"/>
      <c r="AJ2" s="57"/>
      <c r="AK2" s="57"/>
      <c r="AL2" s="57"/>
      <c r="AM2" s="57"/>
      <c r="AN2" s="57"/>
      <c r="AO2" s="57"/>
      <c r="AP2" s="57"/>
      <c r="AQ2" s="57"/>
      <c r="AR2" s="57"/>
      <c r="AS2" s="60"/>
      <c r="AT2" s="25"/>
      <c r="AU2" s="26"/>
      <c r="AV2" s="26"/>
      <c r="AW2" s="27"/>
      <c r="AX2" s="27"/>
      <c r="AY2" s="27"/>
      <c r="AZ2" s="28" t="s">
        <v>24</v>
      </c>
      <c r="BA2" s="27"/>
      <c r="BB2" s="27"/>
      <c r="BC2" s="27"/>
      <c r="BD2" s="27"/>
      <c r="BE2" s="27"/>
      <c r="BF2" s="27"/>
      <c r="BG2" s="31"/>
      <c r="BH2" s="32"/>
      <c r="BI2" s="30"/>
      <c r="BJ2" s="30"/>
      <c r="BK2" s="30"/>
      <c r="BL2" s="30"/>
      <c r="BM2" s="32"/>
      <c r="BN2" s="61" t="s">
        <v>25</v>
      </c>
      <c r="BO2" s="62"/>
      <c r="BP2" s="62"/>
      <c r="BQ2" s="32"/>
      <c r="BR2" s="33"/>
      <c r="BS2" s="34"/>
      <c r="BT2" s="63" t="s">
        <v>26</v>
      </c>
      <c r="BU2" s="64"/>
      <c r="BV2" s="64"/>
      <c r="BW2" s="65" t="s">
        <v>27</v>
      </c>
      <c r="BX2" s="66"/>
      <c r="BY2" s="67"/>
      <c r="BZ2" s="67"/>
      <c r="CA2" s="68"/>
      <c r="CB2" s="69"/>
      <c r="CC2" s="69"/>
      <c r="CD2" s="36"/>
      <c r="CE2" s="36"/>
      <c r="CF2" s="36"/>
      <c r="CG2" s="70" t="s">
        <v>28</v>
      </c>
      <c r="CH2" s="71"/>
      <c r="CI2" s="72"/>
      <c r="CJ2" s="73" t="s">
        <v>29</v>
      </c>
      <c r="CK2" s="74"/>
      <c r="CL2" s="74"/>
      <c r="CM2" s="74"/>
      <c r="CN2" s="75" t="s">
        <v>30</v>
      </c>
      <c r="CO2" s="76"/>
      <c r="CP2" s="74"/>
      <c r="CQ2" s="74"/>
      <c r="CR2" s="74"/>
      <c r="CS2" s="74"/>
      <c r="CT2" s="74"/>
      <c r="CU2" s="74"/>
      <c r="CV2" s="74"/>
      <c r="CW2" s="74"/>
      <c r="CX2" s="74"/>
      <c r="CY2" s="74"/>
      <c r="CZ2" s="40" t="s">
        <v>31</v>
      </c>
      <c r="DA2" s="45"/>
      <c r="DB2" s="43"/>
      <c r="DC2" s="43"/>
      <c r="DD2" s="43"/>
      <c r="DE2" s="43"/>
      <c r="DF2" s="44"/>
      <c r="DG2" s="71" t="s">
        <v>32</v>
      </c>
      <c r="DH2" s="71"/>
      <c r="DI2" s="71"/>
      <c r="DJ2" s="71"/>
      <c r="DK2" s="77" t="s">
        <v>33</v>
      </c>
      <c r="DL2" s="78"/>
      <c r="DM2" s="78"/>
      <c r="DN2" s="79"/>
      <c r="DO2" s="77" t="s">
        <v>34</v>
      </c>
      <c r="DP2" s="48"/>
      <c r="DQ2" s="48"/>
      <c r="DR2" s="80"/>
      <c r="DS2" s="81" t="s">
        <v>35</v>
      </c>
      <c r="DT2" s="48"/>
      <c r="DU2" s="48"/>
      <c r="DV2" s="80"/>
      <c r="DW2" s="82" t="s">
        <v>36</v>
      </c>
      <c r="DX2" s="83"/>
      <c r="DY2" s="71"/>
      <c r="DZ2" s="71"/>
      <c r="EA2" s="84" t="s">
        <v>37</v>
      </c>
      <c r="EB2" s="74"/>
      <c r="EC2" s="74"/>
      <c r="ED2" s="85"/>
      <c r="EE2" s="71" t="s">
        <v>38</v>
      </c>
      <c r="EF2" s="71"/>
      <c r="EG2" s="86" t="s">
        <v>39</v>
      </c>
      <c r="EH2" s="87"/>
      <c r="EI2" s="87"/>
      <c r="EJ2" s="87"/>
      <c r="EK2" s="71"/>
      <c r="EL2" s="71"/>
      <c r="EM2" s="88"/>
      <c r="EN2" s="71"/>
      <c r="EO2" s="71"/>
      <c r="EP2" s="71"/>
      <c r="EQ2" s="48"/>
      <c r="ER2" s="70" t="s">
        <v>40</v>
      </c>
      <c r="ES2" s="48"/>
      <c r="ET2" s="89"/>
      <c r="EU2" s="51"/>
      <c r="EV2" s="51"/>
      <c r="EW2" s="90"/>
      <c r="EX2" s="90"/>
      <c r="EY2" s="90"/>
      <c r="EZ2" s="90"/>
      <c r="FA2" s="91"/>
      <c r="FB2" s="91"/>
      <c r="FC2" s="91"/>
      <c r="FD2" s="91"/>
      <c r="FE2" s="92"/>
      <c r="FF2" s="57"/>
      <c r="FG2" s="57"/>
      <c r="FH2" s="57"/>
      <c r="FI2" s="57"/>
      <c r="FJ2" s="57"/>
      <c r="FK2" s="57"/>
      <c r="FL2" s="57"/>
      <c r="FM2" s="57"/>
      <c r="FN2" s="57"/>
      <c r="FO2" s="57"/>
      <c r="FP2" s="57"/>
      <c r="FQ2" s="20"/>
      <c r="FR2" s="21"/>
      <c r="FS2" s="21"/>
      <c r="FT2" s="21"/>
      <c r="FU2" s="21"/>
      <c r="FV2" s="21"/>
      <c r="FW2" s="21"/>
      <c r="FX2" s="21"/>
      <c r="FY2" s="21"/>
      <c r="FZ2" s="21"/>
      <c r="GA2" s="21"/>
      <c r="GB2" s="57"/>
      <c r="GC2" s="93"/>
    </row>
    <row r="3" spans="1:185" ht="409.6">
      <c r="A3" s="6" t="s">
        <v>0</v>
      </c>
      <c r="B3" s="7" t="s">
        <v>1</v>
      </c>
      <c r="C3" s="8" t="s">
        <v>2</v>
      </c>
      <c r="D3" s="9" t="s">
        <v>3</v>
      </c>
      <c r="E3" s="9" t="s">
        <v>4</v>
      </c>
      <c r="F3" s="10" t="s">
        <v>5</v>
      </c>
      <c r="G3" s="10" t="s">
        <v>6</v>
      </c>
      <c r="H3" s="11" t="s">
        <v>7</v>
      </c>
      <c r="I3" s="11" t="s">
        <v>8</v>
      </c>
      <c r="J3" s="9" t="s">
        <v>234</v>
      </c>
      <c r="K3" s="11" t="s">
        <v>235</v>
      </c>
      <c r="L3" s="12" t="s">
        <v>244</v>
      </c>
      <c r="M3" s="13" t="s">
        <v>236</v>
      </c>
      <c r="N3" s="170" t="s">
        <v>245</v>
      </c>
      <c r="O3" s="170" t="s">
        <v>246</v>
      </c>
      <c r="P3" s="13" t="s">
        <v>237</v>
      </c>
      <c r="Q3" s="14" t="s">
        <v>238</v>
      </c>
      <c r="R3" s="15" t="s">
        <v>239</v>
      </c>
      <c r="S3" s="16" t="s">
        <v>240</v>
      </c>
      <c r="T3" s="13" t="s">
        <v>241</v>
      </c>
      <c r="U3" s="13" t="s">
        <v>9</v>
      </c>
      <c r="V3" s="13" t="s">
        <v>242</v>
      </c>
      <c r="W3" s="17" t="s">
        <v>243</v>
      </c>
      <c r="X3" s="18" t="s">
        <v>10</v>
      </c>
      <c r="Y3" s="94" t="s">
        <v>41</v>
      </c>
      <c r="Z3" s="95" t="s">
        <v>42</v>
      </c>
      <c r="AA3" s="96" t="s">
        <v>43</v>
      </c>
      <c r="AB3" s="96" t="s">
        <v>44</v>
      </c>
      <c r="AC3" s="96" t="s">
        <v>45</v>
      </c>
      <c r="AD3" s="96" t="s">
        <v>46</v>
      </c>
      <c r="AE3" s="96" t="s">
        <v>47</v>
      </c>
      <c r="AF3" s="96" t="s">
        <v>48</v>
      </c>
      <c r="AG3" s="96" t="s">
        <v>49</v>
      </c>
      <c r="AH3" s="97" t="s">
        <v>50</v>
      </c>
      <c r="AI3" s="96" t="s">
        <v>51</v>
      </c>
      <c r="AJ3" s="96" t="s">
        <v>52</v>
      </c>
      <c r="AK3" s="96" t="s">
        <v>53</v>
      </c>
      <c r="AL3" s="96" t="s">
        <v>54</v>
      </c>
      <c r="AM3" s="96" t="s">
        <v>55</v>
      </c>
      <c r="AN3" s="96" t="s">
        <v>56</v>
      </c>
      <c r="AO3" s="96" t="s">
        <v>57</v>
      </c>
      <c r="AP3" s="96" t="s">
        <v>58</v>
      </c>
      <c r="AQ3" s="96" t="s">
        <v>59</v>
      </c>
      <c r="AR3" s="96" t="s">
        <v>60</v>
      </c>
      <c r="AS3" s="98" t="s">
        <v>61</v>
      </c>
      <c r="AT3" s="99" t="s">
        <v>62</v>
      </c>
      <c r="AU3" s="100" t="s">
        <v>63</v>
      </c>
      <c r="AV3" s="100" t="s">
        <v>64</v>
      </c>
      <c r="AW3" s="101" t="s">
        <v>65</v>
      </c>
      <c r="AX3" s="101" t="s">
        <v>66</v>
      </c>
      <c r="AY3" s="102" t="s">
        <v>67</v>
      </c>
      <c r="AZ3" s="98" t="s">
        <v>61</v>
      </c>
      <c r="BA3" s="99" t="s">
        <v>62</v>
      </c>
      <c r="BB3" s="100" t="s">
        <v>63</v>
      </c>
      <c r="BC3" s="100" t="s">
        <v>64</v>
      </c>
      <c r="BD3" s="101" t="s">
        <v>65</v>
      </c>
      <c r="BE3" s="101" t="s">
        <v>66</v>
      </c>
      <c r="BF3" s="101" t="s">
        <v>67</v>
      </c>
      <c r="BG3" s="103" t="s">
        <v>68</v>
      </c>
      <c r="BH3" s="104" t="s">
        <v>69</v>
      </c>
      <c r="BI3" s="104" t="s">
        <v>70</v>
      </c>
      <c r="BJ3" s="104" t="s">
        <v>71</v>
      </c>
      <c r="BK3" s="104" t="s">
        <v>72</v>
      </c>
      <c r="BL3" s="104" t="s">
        <v>73</v>
      </c>
      <c r="BM3" s="104" t="s">
        <v>74</v>
      </c>
      <c r="BN3" s="105" t="s">
        <v>75</v>
      </c>
      <c r="BO3" s="106" t="s">
        <v>76</v>
      </c>
      <c r="BP3" s="106" t="s">
        <v>77</v>
      </c>
      <c r="BQ3" s="107" t="s">
        <v>78</v>
      </c>
      <c r="BR3" s="108" t="s">
        <v>79</v>
      </c>
      <c r="BS3" s="108" t="s">
        <v>80</v>
      </c>
      <c r="BT3" s="109" t="s">
        <v>81</v>
      </c>
      <c r="BU3" s="110" t="s">
        <v>82</v>
      </c>
      <c r="BV3" s="111" t="s">
        <v>83</v>
      </c>
      <c r="BW3" s="112" t="s">
        <v>84</v>
      </c>
      <c r="BX3" s="113" t="s">
        <v>82</v>
      </c>
      <c r="BY3" s="114" t="s">
        <v>83</v>
      </c>
      <c r="BZ3" s="67" t="s">
        <v>85</v>
      </c>
      <c r="CA3" s="68" t="s">
        <v>86</v>
      </c>
      <c r="CB3" s="114" t="s">
        <v>87</v>
      </c>
      <c r="CC3" s="110" t="s">
        <v>82</v>
      </c>
      <c r="CD3" s="111" t="s">
        <v>83</v>
      </c>
      <c r="CE3" s="67" t="s">
        <v>233</v>
      </c>
      <c r="CF3" s="67" t="s">
        <v>88</v>
      </c>
      <c r="CG3" s="115" t="s">
        <v>89</v>
      </c>
      <c r="CH3" s="116" t="s">
        <v>62</v>
      </c>
      <c r="CI3" s="117" t="s">
        <v>90</v>
      </c>
      <c r="CJ3" s="118" t="s">
        <v>91</v>
      </c>
      <c r="CK3" s="116" t="s">
        <v>62</v>
      </c>
      <c r="CL3" s="119" t="s">
        <v>92</v>
      </c>
      <c r="CM3" s="120" t="s">
        <v>93</v>
      </c>
      <c r="CN3" s="121" t="s">
        <v>94</v>
      </c>
      <c r="CO3" s="118" t="s">
        <v>95</v>
      </c>
      <c r="CP3" s="116" t="s">
        <v>62</v>
      </c>
      <c r="CQ3" s="119" t="s">
        <v>96</v>
      </c>
      <c r="CR3" s="120" t="s">
        <v>97</v>
      </c>
      <c r="CS3" s="121" t="s">
        <v>98</v>
      </c>
      <c r="CT3" s="121" t="s">
        <v>99</v>
      </c>
      <c r="CU3" s="121" t="s">
        <v>165</v>
      </c>
      <c r="CV3" s="121" t="s">
        <v>164</v>
      </c>
      <c r="CW3" s="121" t="s">
        <v>100</v>
      </c>
      <c r="CX3" s="121" t="s">
        <v>101</v>
      </c>
      <c r="CY3" s="121" t="s">
        <v>102</v>
      </c>
      <c r="CZ3" s="122" t="s">
        <v>103</v>
      </c>
      <c r="DA3" s="118" t="s">
        <v>104</v>
      </c>
      <c r="DB3" s="116" t="s">
        <v>62</v>
      </c>
      <c r="DC3" s="116" t="s">
        <v>105</v>
      </c>
      <c r="DD3" s="121" t="s">
        <v>106</v>
      </c>
      <c r="DE3" s="121" t="s">
        <v>99</v>
      </c>
      <c r="DF3" s="121" t="s">
        <v>107</v>
      </c>
      <c r="DG3" s="115" t="s">
        <v>108</v>
      </c>
      <c r="DH3" s="116" t="s">
        <v>62</v>
      </c>
      <c r="DI3" s="116" t="s">
        <v>105</v>
      </c>
      <c r="DJ3" s="123" t="s">
        <v>109</v>
      </c>
      <c r="DK3" s="118" t="s">
        <v>110</v>
      </c>
      <c r="DL3" s="116" t="s">
        <v>62</v>
      </c>
      <c r="DM3" s="116" t="s">
        <v>105</v>
      </c>
      <c r="DN3" s="123" t="s">
        <v>111</v>
      </c>
      <c r="DO3" s="118" t="s">
        <v>112</v>
      </c>
      <c r="DP3" s="116" t="s">
        <v>62</v>
      </c>
      <c r="DQ3" s="116" t="s">
        <v>105</v>
      </c>
      <c r="DR3" s="123" t="s">
        <v>113</v>
      </c>
      <c r="DS3" s="118" t="s">
        <v>114</v>
      </c>
      <c r="DT3" s="116" t="s">
        <v>62</v>
      </c>
      <c r="DU3" s="116" t="s">
        <v>105</v>
      </c>
      <c r="DV3" s="123" t="s">
        <v>115</v>
      </c>
      <c r="DW3" s="118" t="s">
        <v>116</v>
      </c>
      <c r="DX3" s="116" t="s">
        <v>62</v>
      </c>
      <c r="DY3" s="116" t="s">
        <v>105</v>
      </c>
      <c r="DZ3" s="124" t="s">
        <v>117</v>
      </c>
      <c r="EA3" s="115" t="s">
        <v>118</v>
      </c>
      <c r="EB3" s="116" t="s">
        <v>62</v>
      </c>
      <c r="EC3" s="116" t="s">
        <v>105</v>
      </c>
      <c r="ED3" s="125" t="s">
        <v>119</v>
      </c>
      <c r="EE3" s="124" t="s">
        <v>120</v>
      </c>
      <c r="EF3" s="124" t="s">
        <v>121</v>
      </c>
      <c r="EG3" s="115" t="s">
        <v>122</v>
      </c>
      <c r="EH3" s="116" t="s">
        <v>62</v>
      </c>
      <c r="EI3" s="116" t="s">
        <v>105</v>
      </c>
      <c r="EJ3" s="116" t="s">
        <v>123</v>
      </c>
      <c r="EK3" s="124" t="s">
        <v>124</v>
      </c>
      <c r="EL3" s="123" t="s">
        <v>125</v>
      </c>
      <c r="EM3" s="121" t="s">
        <v>126</v>
      </c>
      <c r="EN3" s="124" t="s">
        <v>127</v>
      </c>
      <c r="EO3" s="124" t="s">
        <v>128</v>
      </c>
      <c r="EP3" s="124" t="s">
        <v>129</v>
      </c>
      <c r="EQ3" s="126" t="s">
        <v>130</v>
      </c>
      <c r="ER3" s="127" t="s">
        <v>131</v>
      </c>
      <c r="ES3" s="124" t="s">
        <v>132</v>
      </c>
      <c r="ET3" s="139" t="s">
        <v>133</v>
      </c>
      <c r="EU3" s="140" t="s">
        <v>134</v>
      </c>
      <c r="EV3" s="140" t="s">
        <v>135</v>
      </c>
      <c r="EW3" s="128" t="s">
        <v>136</v>
      </c>
      <c r="EX3" s="129" t="s">
        <v>62</v>
      </c>
      <c r="EY3" s="130" t="s">
        <v>162</v>
      </c>
      <c r="EZ3" s="131" t="s">
        <v>163</v>
      </c>
      <c r="FA3" s="128" t="s">
        <v>137</v>
      </c>
      <c r="FB3" s="129" t="s">
        <v>62</v>
      </c>
      <c r="FC3" s="130" t="s">
        <v>140</v>
      </c>
      <c r="FD3" s="131" t="s">
        <v>141</v>
      </c>
      <c r="FE3" s="132" t="s">
        <v>138</v>
      </c>
      <c r="FF3" s="96" t="s">
        <v>139</v>
      </c>
      <c r="FG3" s="133" t="s">
        <v>140</v>
      </c>
      <c r="FH3" s="133" t="s">
        <v>141</v>
      </c>
      <c r="FI3" s="96" t="s">
        <v>142</v>
      </c>
      <c r="FJ3" s="96" t="s">
        <v>143</v>
      </c>
      <c r="FK3" s="96" t="s">
        <v>144</v>
      </c>
      <c r="FL3" s="96" t="s">
        <v>145</v>
      </c>
      <c r="FM3" s="133" t="s">
        <v>146</v>
      </c>
      <c r="FN3" s="133" t="s">
        <v>147</v>
      </c>
      <c r="FO3" s="96" t="s">
        <v>148</v>
      </c>
      <c r="FP3" s="96" t="s">
        <v>149</v>
      </c>
      <c r="FQ3" s="132" t="s">
        <v>150</v>
      </c>
      <c r="FR3" s="134" t="s">
        <v>151</v>
      </c>
      <c r="FS3" s="134" t="s">
        <v>152</v>
      </c>
      <c r="FT3" s="96" t="s">
        <v>153</v>
      </c>
      <c r="FU3" s="134" t="s">
        <v>154</v>
      </c>
      <c r="FV3" s="134" t="s">
        <v>155</v>
      </c>
      <c r="FW3" s="135" t="s">
        <v>156</v>
      </c>
      <c r="FX3" s="135" t="s">
        <v>157</v>
      </c>
      <c r="FY3" s="135" t="s">
        <v>158</v>
      </c>
      <c r="FZ3" s="135" t="s">
        <v>159</v>
      </c>
      <c r="GA3" s="136" t="s">
        <v>160</v>
      </c>
      <c r="GB3" s="136" t="s">
        <v>166</v>
      </c>
      <c r="GC3" s="137" t="s">
        <v>161</v>
      </c>
    </row>
    <row r="4" spans="1:185" ht="16">
      <c r="A4" s="145" t="s">
        <v>229</v>
      </c>
      <c r="B4" s="166" t="s">
        <v>230</v>
      </c>
      <c r="C4" s="138" t="s">
        <v>168</v>
      </c>
      <c r="D4" t="s">
        <v>228</v>
      </c>
      <c r="E4">
        <v>2016</v>
      </c>
      <c r="F4" t="str">
        <f>Z4</f>
        <v>10.1016/j.epsl.2016.01.022</v>
      </c>
      <c r="G4" s="141">
        <f>AS4</f>
        <v>538.70000000000005</v>
      </c>
      <c r="H4" t="str">
        <f>AU4</f>
        <v>NA</v>
      </c>
      <c r="I4" t="str">
        <f>AV4</f>
        <v>NA</v>
      </c>
      <c r="J4" s="141">
        <f>FL4</f>
        <v>162.2265625</v>
      </c>
      <c r="K4" s="141">
        <f t="shared" ref="K4:L4" si="0">FM4</f>
        <v>10.518417358398438</v>
      </c>
      <c r="L4" s="141">
        <f t="shared" si="0"/>
        <v>9.8030242919921875</v>
      </c>
      <c r="M4" t="b">
        <v>1</v>
      </c>
      <c r="N4">
        <v>3</v>
      </c>
      <c r="O4" t="s">
        <v>231</v>
      </c>
      <c r="P4" s="167" t="s">
        <v>167</v>
      </c>
      <c r="Q4" t="b">
        <v>0</v>
      </c>
      <c r="R4" t="s">
        <v>167</v>
      </c>
      <c r="S4" t="b">
        <v>1</v>
      </c>
      <c r="T4" t="b">
        <v>0</v>
      </c>
      <c r="U4" t="s">
        <v>167</v>
      </c>
      <c r="V4" t="s">
        <v>167</v>
      </c>
      <c r="W4" t="b">
        <v>0</v>
      </c>
      <c r="X4" t="s">
        <v>167</v>
      </c>
      <c r="Y4" s="142" t="s">
        <v>169</v>
      </c>
      <c r="Z4" s="143" t="s">
        <v>170</v>
      </c>
      <c r="AA4" s="144">
        <v>1264</v>
      </c>
      <c r="AB4" s="144" t="s">
        <v>171</v>
      </c>
      <c r="AC4" s="144">
        <v>1</v>
      </c>
      <c r="AD4" s="144">
        <v>1</v>
      </c>
      <c r="AE4" s="144">
        <v>4</v>
      </c>
      <c r="AF4" s="144">
        <v>6</v>
      </c>
      <c r="AG4" t="s">
        <v>167</v>
      </c>
      <c r="AH4" t="s">
        <v>167</v>
      </c>
      <c r="AI4" t="s">
        <v>167</v>
      </c>
      <c r="AJ4" s="145" t="s">
        <v>172</v>
      </c>
      <c r="AK4" s="145">
        <v>-28.53</v>
      </c>
      <c r="AL4" s="145">
        <v>2.85</v>
      </c>
      <c r="AM4" s="138" t="s">
        <v>167</v>
      </c>
      <c r="AN4" s="138" t="s">
        <v>167</v>
      </c>
      <c r="AO4">
        <v>-2507</v>
      </c>
      <c r="AP4" s="146" t="s">
        <v>167</v>
      </c>
      <c r="AQ4" t="s">
        <v>167</v>
      </c>
      <c r="AR4" t="s">
        <v>167</v>
      </c>
      <c r="AS4" s="147">
        <v>538.70000000000005</v>
      </c>
      <c r="AT4" s="148" t="s">
        <v>167</v>
      </c>
      <c r="AU4" t="s">
        <v>167</v>
      </c>
      <c r="AV4" t="s">
        <v>167</v>
      </c>
      <c r="AW4" t="s">
        <v>167</v>
      </c>
      <c r="AX4" t="s">
        <v>173</v>
      </c>
      <c r="AY4" s="145" t="s">
        <v>174</v>
      </c>
      <c r="AZ4" s="138" t="s">
        <v>167</v>
      </c>
      <c r="BA4" s="138" t="s">
        <v>167</v>
      </c>
      <c r="BB4" s="138" t="s">
        <v>167</v>
      </c>
      <c r="BC4" s="138" t="s">
        <v>167</v>
      </c>
      <c r="BD4" s="138" t="s">
        <v>167</v>
      </c>
      <c r="BE4" s="138" t="s">
        <v>167</v>
      </c>
      <c r="BF4" s="138" t="s">
        <v>167</v>
      </c>
      <c r="BG4" s="145" t="s">
        <v>175</v>
      </c>
      <c r="BH4" s="145" t="s">
        <v>176</v>
      </c>
      <c r="BI4" s="145" t="s">
        <v>177</v>
      </c>
      <c r="BJ4" s="145" t="s">
        <v>167</v>
      </c>
      <c r="BK4" s="145" t="s">
        <v>178</v>
      </c>
      <c r="BL4" s="145" t="s">
        <v>179</v>
      </c>
      <c r="BM4" s="145" t="s">
        <v>180</v>
      </c>
      <c r="BN4" s="145" t="s">
        <v>167</v>
      </c>
      <c r="BO4" s="138" t="s">
        <v>167</v>
      </c>
      <c r="BP4" s="138" t="s">
        <v>167</v>
      </c>
      <c r="BQ4" s="149">
        <v>21.156710313220145</v>
      </c>
      <c r="BR4" s="145" t="s">
        <v>181</v>
      </c>
      <c r="BS4" s="150">
        <v>0.28000000000000003</v>
      </c>
      <c r="BT4" s="145">
        <v>0.83399999999999996</v>
      </c>
      <c r="BU4" s="145" t="s">
        <v>167</v>
      </c>
      <c r="BV4" s="151" t="s">
        <v>167</v>
      </c>
      <c r="BW4" s="145">
        <v>3.6</v>
      </c>
      <c r="BX4" s="145"/>
      <c r="BY4" s="145" t="s">
        <v>167</v>
      </c>
      <c r="BZ4" s="145" t="s">
        <v>182</v>
      </c>
      <c r="CA4" s="145" t="s">
        <v>183</v>
      </c>
      <c r="CB4" s="149">
        <v>21.051211406738783</v>
      </c>
      <c r="CC4" s="138" t="s">
        <v>167</v>
      </c>
      <c r="CD4" s="138" t="s">
        <v>167</v>
      </c>
      <c r="CE4" s="138" t="s">
        <v>167</v>
      </c>
      <c r="CF4" s="138" t="s">
        <v>167</v>
      </c>
      <c r="CG4" s="138" t="s">
        <v>167</v>
      </c>
      <c r="CH4" s="138" t="s">
        <v>167</v>
      </c>
      <c r="CI4" s="138" t="s">
        <v>167</v>
      </c>
      <c r="CJ4" s="152">
        <v>22.16161</v>
      </c>
      <c r="CK4" s="138" t="s">
        <v>167</v>
      </c>
      <c r="CL4" s="138" t="s">
        <v>167</v>
      </c>
      <c r="CM4" s="138" t="s">
        <v>167</v>
      </c>
      <c r="CN4" s="138" t="s">
        <v>167</v>
      </c>
      <c r="CO4" s="138" t="s">
        <v>167</v>
      </c>
      <c r="CP4" s="138" t="s">
        <v>167</v>
      </c>
      <c r="CQ4" s="138" t="s">
        <v>167</v>
      </c>
      <c r="CR4" s="138" t="s">
        <v>167</v>
      </c>
      <c r="CS4" s="138" t="s">
        <v>167</v>
      </c>
      <c r="CT4" s="138" t="s">
        <v>184</v>
      </c>
      <c r="CU4" s="138" t="s">
        <v>167</v>
      </c>
      <c r="CV4" s="138" t="s">
        <v>167</v>
      </c>
      <c r="CW4" s="138" t="s">
        <v>167</v>
      </c>
      <c r="CX4" s="138" t="s">
        <v>167</v>
      </c>
      <c r="CY4" s="138" t="s">
        <v>167</v>
      </c>
      <c r="CZ4" s="138" t="s">
        <v>167</v>
      </c>
      <c r="DA4" s="138" t="s">
        <v>167</v>
      </c>
      <c r="DB4" s="138" t="s">
        <v>167</v>
      </c>
      <c r="DC4" s="138" t="s">
        <v>167</v>
      </c>
      <c r="DD4" s="138" t="s">
        <v>167</v>
      </c>
      <c r="DE4" s="138" t="s">
        <v>167</v>
      </c>
      <c r="DF4" s="138" t="s">
        <v>167</v>
      </c>
      <c r="DG4">
        <v>36</v>
      </c>
      <c r="DH4" t="s">
        <v>185</v>
      </c>
      <c r="DI4">
        <v>3</v>
      </c>
      <c r="DJ4" t="s">
        <v>167</v>
      </c>
      <c r="DK4" t="s">
        <v>167</v>
      </c>
      <c r="DL4" t="s">
        <v>167</v>
      </c>
      <c r="DM4" t="s">
        <v>167</v>
      </c>
      <c r="DN4" t="s">
        <v>167</v>
      </c>
      <c r="DO4" t="s">
        <v>167</v>
      </c>
      <c r="DP4" t="s">
        <v>167</v>
      </c>
      <c r="DQ4" t="s">
        <v>167</v>
      </c>
      <c r="DR4" t="s">
        <v>167</v>
      </c>
      <c r="DS4" t="s">
        <v>167</v>
      </c>
      <c r="DT4" t="s">
        <v>167</v>
      </c>
      <c r="DU4" t="s">
        <v>167</v>
      </c>
      <c r="DV4" t="s">
        <v>167</v>
      </c>
      <c r="DW4" t="s">
        <v>167</v>
      </c>
      <c r="DX4" t="s">
        <v>167</v>
      </c>
      <c r="DY4" t="s">
        <v>167</v>
      </c>
      <c r="DZ4" t="s">
        <v>167</v>
      </c>
      <c r="EA4" s="149">
        <v>39.534582</v>
      </c>
      <c r="EB4" t="s">
        <v>167</v>
      </c>
      <c r="EC4" t="s">
        <v>167</v>
      </c>
      <c r="ED4" s="145" t="s">
        <v>186</v>
      </c>
      <c r="EE4" s="138" t="s">
        <v>167</v>
      </c>
      <c r="EF4" s="138" t="s">
        <v>167</v>
      </c>
      <c r="EG4">
        <v>1.0271999999999999</v>
      </c>
      <c r="EH4" t="s">
        <v>167</v>
      </c>
      <c r="EI4" t="s">
        <v>167</v>
      </c>
      <c r="EJ4" t="s">
        <v>187</v>
      </c>
      <c r="EK4" t="s">
        <v>179</v>
      </c>
      <c r="EL4" s="145" t="s">
        <v>187</v>
      </c>
      <c r="EM4" s="138" t="s">
        <v>167</v>
      </c>
      <c r="EN4" s="138" t="s">
        <v>167</v>
      </c>
      <c r="EO4" s="138" t="s">
        <v>167</v>
      </c>
      <c r="EP4" s="138" t="s">
        <v>167</v>
      </c>
      <c r="EQ4" s="138" t="s">
        <v>167</v>
      </c>
      <c r="ER4" s="138" t="s">
        <v>167</v>
      </c>
      <c r="ES4" s="138" t="s">
        <v>167</v>
      </c>
      <c r="ET4" s="145" t="s">
        <v>188</v>
      </c>
      <c r="EU4" s="145" t="s">
        <v>189</v>
      </c>
      <c r="EV4" s="138" t="s">
        <v>167</v>
      </c>
      <c r="EW4">
        <v>2300</v>
      </c>
      <c r="EX4" s="138" t="s">
        <v>167</v>
      </c>
      <c r="EY4" s="138" t="s">
        <v>167</v>
      </c>
      <c r="EZ4" s="138" t="s">
        <v>167</v>
      </c>
      <c r="FA4" s="138" t="s">
        <v>167</v>
      </c>
      <c r="FB4" s="138" t="s">
        <v>167</v>
      </c>
      <c r="FC4" s="138" t="s">
        <v>167</v>
      </c>
      <c r="FD4" s="138" t="s">
        <v>167</v>
      </c>
      <c r="FE4" s="149">
        <v>8.3263637241261126</v>
      </c>
      <c r="FF4" s="145" t="s">
        <v>190</v>
      </c>
      <c r="FG4" s="145" t="s">
        <v>167</v>
      </c>
      <c r="FH4" s="145" t="s">
        <v>167</v>
      </c>
      <c r="FI4" s="153">
        <v>162.2265625</v>
      </c>
      <c r="FJ4" s="138" t="s">
        <v>167</v>
      </c>
      <c r="FK4" t="s">
        <v>167</v>
      </c>
      <c r="FL4" s="141">
        <v>162.2265625</v>
      </c>
      <c r="FM4" s="154">
        <v>10.518417358398438</v>
      </c>
      <c r="FN4" s="154">
        <v>9.8030242919921875</v>
      </c>
      <c r="FO4" t="s">
        <v>167</v>
      </c>
      <c r="FP4" s="145" t="s">
        <v>191</v>
      </c>
      <c r="FQ4" t="s">
        <v>167</v>
      </c>
      <c r="FR4" t="s">
        <v>167</v>
      </c>
      <c r="FS4" t="s">
        <v>167</v>
      </c>
      <c r="FT4" t="s">
        <v>167</v>
      </c>
      <c r="FU4" t="s">
        <v>167</v>
      </c>
      <c r="FV4" t="s">
        <v>167</v>
      </c>
      <c r="FW4" t="s">
        <v>167</v>
      </c>
      <c r="FX4" t="s">
        <v>167</v>
      </c>
      <c r="FY4" t="s">
        <v>167</v>
      </c>
      <c r="FZ4" t="s">
        <v>167</v>
      </c>
      <c r="GA4" t="s">
        <v>167</v>
      </c>
      <c r="GB4" t="s">
        <v>167</v>
      </c>
    </row>
    <row r="5" spans="1:185" ht="16">
      <c r="A5" s="145" t="s">
        <v>229</v>
      </c>
      <c r="B5" s="166" t="s">
        <v>230</v>
      </c>
      <c r="C5" s="138" t="s">
        <v>168</v>
      </c>
      <c r="D5" t="s">
        <v>228</v>
      </c>
      <c r="E5">
        <v>2016</v>
      </c>
      <c r="F5" t="str">
        <f t="shared" ref="F5:F22" si="1">Z5</f>
        <v>10.1016/j.epsl.2016.01.022</v>
      </c>
      <c r="G5" s="141">
        <f t="shared" ref="G5:G22" si="2">AS5</f>
        <v>541.79999999999995</v>
      </c>
      <c r="H5" t="str">
        <f t="shared" ref="H5:H22" si="3">AU5</f>
        <v>NA</v>
      </c>
      <c r="I5" t="str">
        <f t="shared" ref="I5:I22" si="4">AV5</f>
        <v>NA</v>
      </c>
      <c r="J5" s="141">
        <f t="shared" ref="J5:J22" si="5">FL5</f>
        <v>281.47760009765625</v>
      </c>
      <c r="K5" s="141">
        <f t="shared" ref="K5:K22" si="6">FM5</f>
        <v>20.616058349609375</v>
      </c>
      <c r="L5" s="141">
        <f t="shared" ref="L5:L22" si="7">FN5</f>
        <v>18.845947265625</v>
      </c>
      <c r="M5" t="b">
        <v>1</v>
      </c>
      <c r="N5">
        <v>3</v>
      </c>
      <c r="O5" t="s">
        <v>231</v>
      </c>
      <c r="P5" s="167" t="s">
        <v>167</v>
      </c>
      <c r="Q5" t="b">
        <v>0</v>
      </c>
      <c r="R5" t="s">
        <v>167</v>
      </c>
      <c r="S5" t="b">
        <v>1</v>
      </c>
      <c r="T5" t="b">
        <v>0</v>
      </c>
      <c r="U5" t="s">
        <v>167</v>
      </c>
      <c r="V5" t="s">
        <v>167</v>
      </c>
      <c r="W5" t="b">
        <v>0</v>
      </c>
      <c r="X5" t="s">
        <v>167</v>
      </c>
      <c r="Y5" s="155" t="s">
        <v>192</v>
      </c>
      <c r="Z5" s="156" t="s">
        <v>170</v>
      </c>
      <c r="AA5" s="144">
        <v>1264</v>
      </c>
      <c r="AB5" s="144" t="s">
        <v>171</v>
      </c>
      <c r="AC5" s="144">
        <v>1</v>
      </c>
      <c r="AD5" s="144">
        <v>1</v>
      </c>
      <c r="AE5" s="144">
        <v>7</v>
      </c>
      <c r="AF5" s="144">
        <v>8</v>
      </c>
      <c r="AG5" t="s">
        <v>167</v>
      </c>
      <c r="AH5" t="s">
        <v>167</v>
      </c>
      <c r="AI5" t="s">
        <v>167</v>
      </c>
      <c r="AJ5" s="157" t="s">
        <v>172</v>
      </c>
      <c r="AK5" s="157">
        <v>-28.53</v>
      </c>
      <c r="AL5" s="157">
        <v>2.85</v>
      </c>
      <c r="AM5" s="138" t="s">
        <v>167</v>
      </c>
      <c r="AN5" s="138" t="s">
        <v>167</v>
      </c>
      <c r="AO5">
        <v>-2507</v>
      </c>
      <c r="AP5" s="146" t="s">
        <v>167</v>
      </c>
      <c r="AQ5" t="s">
        <v>167</v>
      </c>
      <c r="AR5" t="s">
        <v>167</v>
      </c>
      <c r="AS5" s="158">
        <v>541.79999999999995</v>
      </c>
      <c r="AT5" s="148" t="s">
        <v>167</v>
      </c>
      <c r="AU5" t="s">
        <v>167</v>
      </c>
      <c r="AV5" t="s">
        <v>167</v>
      </c>
      <c r="AW5" t="s">
        <v>167</v>
      </c>
      <c r="AX5" t="s">
        <v>173</v>
      </c>
      <c r="AY5" s="157" t="s">
        <v>174</v>
      </c>
      <c r="AZ5" s="138" t="s">
        <v>167</v>
      </c>
      <c r="BA5" s="138" t="s">
        <v>167</v>
      </c>
      <c r="BB5" s="138" t="s">
        <v>167</v>
      </c>
      <c r="BC5" s="138" t="s">
        <v>167</v>
      </c>
      <c r="BD5" s="138" t="s">
        <v>167</v>
      </c>
      <c r="BE5" s="138" t="s">
        <v>167</v>
      </c>
      <c r="BF5" s="138" t="s">
        <v>167</v>
      </c>
      <c r="BG5" s="157" t="s">
        <v>175</v>
      </c>
      <c r="BH5" s="157" t="s">
        <v>176</v>
      </c>
      <c r="BI5" s="157" t="s">
        <v>177</v>
      </c>
      <c r="BJ5" s="157" t="s">
        <v>167</v>
      </c>
      <c r="BK5" s="157" t="s">
        <v>178</v>
      </c>
      <c r="BL5" s="157" t="s">
        <v>179</v>
      </c>
      <c r="BM5" s="157" t="s">
        <v>180</v>
      </c>
      <c r="BN5" s="157" t="s">
        <v>167</v>
      </c>
      <c r="BO5" s="138" t="s">
        <v>167</v>
      </c>
      <c r="BP5" s="138" t="s">
        <v>167</v>
      </c>
      <c r="BQ5" s="159">
        <v>19.196216566085234</v>
      </c>
      <c r="BR5" s="157" t="s">
        <v>181</v>
      </c>
      <c r="BS5" s="160">
        <v>0.28000000000000003</v>
      </c>
      <c r="BT5" s="157">
        <v>0.83399999999999996</v>
      </c>
      <c r="BU5" s="157" t="s">
        <v>167</v>
      </c>
      <c r="BV5" s="161" t="s">
        <v>167</v>
      </c>
      <c r="BW5" s="157">
        <v>3.6</v>
      </c>
      <c r="BX5" s="157"/>
      <c r="BY5" s="157" t="s">
        <v>167</v>
      </c>
      <c r="BZ5" s="157" t="s">
        <v>193</v>
      </c>
      <c r="CA5" s="157" t="s">
        <v>183</v>
      </c>
      <c r="CB5" s="159">
        <v>18.700499479718506</v>
      </c>
      <c r="CC5" s="138" t="s">
        <v>167</v>
      </c>
      <c r="CD5" s="138" t="s">
        <v>167</v>
      </c>
      <c r="CE5" s="138" t="s">
        <v>167</v>
      </c>
      <c r="CF5" s="138" t="s">
        <v>167</v>
      </c>
      <c r="CG5" s="138" t="s">
        <v>167</v>
      </c>
      <c r="CH5" s="138" t="s">
        <v>167</v>
      </c>
      <c r="CI5" s="138" t="s">
        <v>167</v>
      </c>
      <c r="CJ5" s="162">
        <v>22.16254</v>
      </c>
      <c r="CK5" s="138" t="s">
        <v>167</v>
      </c>
      <c r="CL5" s="138" t="s">
        <v>167</v>
      </c>
      <c r="CM5" s="138" t="s">
        <v>167</v>
      </c>
      <c r="CN5" s="138" t="s">
        <v>167</v>
      </c>
      <c r="CO5" s="138" t="s">
        <v>167</v>
      </c>
      <c r="CP5" s="138" t="s">
        <v>167</v>
      </c>
      <c r="CQ5" s="138" t="s">
        <v>167</v>
      </c>
      <c r="CR5" s="138" t="s">
        <v>167</v>
      </c>
      <c r="CS5" s="138" t="s">
        <v>167</v>
      </c>
      <c r="CT5" s="138" t="s">
        <v>184</v>
      </c>
      <c r="CU5" s="138" t="s">
        <v>167</v>
      </c>
      <c r="CV5" s="138" t="s">
        <v>167</v>
      </c>
      <c r="CW5" s="138" t="s">
        <v>167</v>
      </c>
      <c r="CX5" s="138" t="s">
        <v>167</v>
      </c>
      <c r="CY5" s="138" t="s">
        <v>167</v>
      </c>
      <c r="CZ5" s="138" t="s">
        <v>167</v>
      </c>
      <c r="DA5" s="138" t="s">
        <v>167</v>
      </c>
      <c r="DB5" s="138" t="s">
        <v>167</v>
      </c>
      <c r="DC5" s="138" t="s">
        <v>167</v>
      </c>
      <c r="DD5" s="138" t="s">
        <v>167</v>
      </c>
      <c r="DE5" s="138" t="s">
        <v>167</v>
      </c>
      <c r="DF5" s="138" t="s">
        <v>167</v>
      </c>
      <c r="DG5">
        <v>36</v>
      </c>
      <c r="DH5" t="s">
        <v>185</v>
      </c>
      <c r="DI5">
        <v>3</v>
      </c>
      <c r="DJ5" t="s">
        <v>167</v>
      </c>
      <c r="DK5" t="s">
        <v>167</v>
      </c>
      <c r="DL5" t="s">
        <v>167</v>
      </c>
      <c r="DM5" t="s">
        <v>167</v>
      </c>
      <c r="DN5" t="s">
        <v>167</v>
      </c>
      <c r="DO5" t="s">
        <v>167</v>
      </c>
      <c r="DP5" t="s">
        <v>167</v>
      </c>
      <c r="DQ5" t="s">
        <v>167</v>
      </c>
      <c r="DR5" t="s">
        <v>167</v>
      </c>
      <c r="DS5" t="s">
        <v>167</v>
      </c>
      <c r="DT5" t="s">
        <v>167</v>
      </c>
      <c r="DU5" t="s">
        <v>167</v>
      </c>
      <c r="DV5" t="s">
        <v>167</v>
      </c>
      <c r="DW5" t="s">
        <v>167</v>
      </c>
      <c r="DX5" t="s">
        <v>167</v>
      </c>
      <c r="DY5" t="s">
        <v>167</v>
      </c>
      <c r="DZ5" t="s">
        <v>167</v>
      </c>
      <c r="EA5" s="159">
        <v>39.534148000000002</v>
      </c>
      <c r="EB5" t="s">
        <v>167</v>
      </c>
      <c r="EC5" t="s">
        <v>167</v>
      </c>
      <c r="ED5" s="157" t="s">
        <v>186</v>
      </c>
      <c r="EE5" s="138" t="s">
        <v>167</v>
      </c>
      <c r="EF5" s="138" t="s">
        <v>167</v>
      </c>
      <c r="EG5">
        <v>1.0271999999999999</v>
      </c>
      <c r="EH5" t="s">
        <v>167</v>
      </c>
      <c r="EI5" t="s">
        <v>167</v>
      </c>
      <c r="EJ5" t="s">
        <v>187</v>
      </c>
      <c r="EK5" t="s">
        <v>179</v>
      </c>
      <c r="EL5" s="157" t="s">
        <v>187</v>
      </c>
      <c r="EM5" s="138" t="s">
        <v>167</v>
      </c>
      <c r="EN5" s="138" t="s">
        <v>167</v>
      </c>
      <c r="EO5" s="138" t="s">
        <v>167</v>
      </c>
      <c r="EP5" s="138" t="s">
        <v>167</v>
      </c>
      <c r="EQ5" s="138" t="s">
        <v>167</v>
      </c>
      <c r="ER5" s="138" t="s">
        <v>167</v>
      </c>
      <c r="ES5" s="138" t="s">
        <v>167</v>
      </c>
      <c r="ET5" s="157" t="s">
        <v>188</v>
      </c>
      <c r="EU5" s="157" t="s">
        <v>189</v>
      </c>
      <c r="EV5" s="138" t="s">
        <v>167</v>
      </c>
      <c r="EW5">
        <v>2300</v>
      </c>
      <c r="EX5" s="138" t="s">
        <v>167</v>
      </c>
      <c r="EY5" s="138" t="s">
        <v>167</v>
      </c>
      <c r="EZ5" s="138" t="s">
        <v>167</v>
      </c>
      <c r="FA5" s="138" t="s">
        <v>167</v>
      </c>
      <c r="FB5" s="138" t="s">
        <v>167</v>
      </c>
      <c r="FC5" s="138" t="s">
        <v>167</v>
      </c>
      <c r="FD5" s="138" t="s">
        <v>167</v>
      </c>
      <c r="FE5" s="159">
        <v>8.1436732261089126</v>
      </c>
      <c r="FF5" s="157" t="s">
        <v>190</v>
      </c>
      <c r="FG5" s="157" t="s">
        <v>167</v>
      </c>
      <c r="FH5" s="157" t="s">
        <v>167</v>
      </c>
      <c r="FI5" s="163">
        <v>281.47760009765625</v>
      </c>
      <c r="FJ5" s="138" t="s">
        <v>167</v>
      </c>
      <c r="FK5" t="s">
        <v>167</v>
      </c>
      <c r="FL5" s="141">
        <v>281.47760009765625</v>
      </c>
      <c r="FM5" s="164">
        <v>20.616058349609375</v>
      </c>
      <c r="FN5" s="164">
        <v>18.845947265625</v>
      </c>
      <c r="FO5" t="s">
        <v>167</v>
      </c>
      <c r="FP5" s="157" t="s">
        <v>191</v>
      </c>
      <c r="FQ5" t="s">
        <v>167</v>
      </c>
      <c r="FR5" t="s">
        <v>167</v>
      </c>
      <c r="FS5" t="s">
        <v>167</v>
      </c>
      <c r="FT5" t="s">
        <v>167</v>
      </c>
      <c r="FU5" t="s">
        <v>167</v>
      </c>
      <c r="FV5" t="s">
        <v>167</v>
      </c>
      <c r="FW5" t="s">
        <v>167</v>
      </c>
      <c r="FX5" t="s">
        <v>167</v>
      </c>
      <c r="FY5" t="s">
        <v>167</v>
      </c>
      <c r="FZ5" t="s">
        <v>167</v>
      </c>
      <c r="GA5" t="s">
        <v>167</v>
      </c>
      <c r="GB5" t="s">
        <v>167</v>
      </c>
    </row>
    <row r="6" spans="1:185" ht="16">
      <c r="A6" s="145" t="s">
        <v>229</v>
      </c>
      <c r="B6" s="166" t="s">
        <v>230</v>
      </c>
      <c r="C6" s="138" t="s">
        <v>168</v>
      </c>
      <c r="D6" t="s">
        <v>228</v>
      </c>
      <c r="E6">
        <v>2016</v>
      </c>
      <c r="F6" t="str">
        <f t="shared" si="1"/>
        <v>10.1016/j.epsl.2016.01.022</v>
      </c>
      <c r="G6" s="141">
        <f t="shared" si="2"/>
        <v>596.29999999999995</v>
      </c>
      <c r="H6" t="str">
        <f t="shared" si="3"/>
        <v>NA</v>
      </c>
      <c r="I6" t="str">
        <f t="shared" si="4"/>
        <v>NA</v>
      </c>
      <c r="J6" s="141">
        <f t="shared" si="5"/>
        <v>162.81916809082031</v>
      </c>
      <c r="K6" s="141">
        <f t="shared" si="6"/>
        <v>10.561553955078125</v>
      </c>
      <c r="L6" s="141">
        <f t="shared" si="7"/>
        <v>9.84222412109375</v>
      </c>
      <c r="M6" t="b">
        <v>1</v>
      </c>
      <c r="N6">
        <v>3</v>
      </c>
      <c r="O6" t="s">
        <v>231</v>
      </c>
      <c r="P6" s="167" t="s">
        <v>167</v>
      </c>
      <c r="Q6" t="b">
        <v>0</v>
      </c>
      <c r="R6" t="s">
        <v>167</v>
      </c>
      <c r="S6" t="b">
        <v>1</v>
      </c>
      <c r="T6" t="b">
        <v>0</v>
      </c>
      <c r="U6" t="s">
        <v>167</v>
      </c>
      <c r="V6" t="s">
        <v>167</v>
      </c>
      <c r="W6" t="b">
        <v>0</v>
      </c>
      <c r="X6" t="s">
        <v>167</v>
      </c>
      <c r="Y6" s="155" t="s">
        <v>194</v>
      </c>
      <c r="Z6" s="156" t="s">
        <v>170</v>
      </c>
      <c r="AA6" s="144">
        <v>1264</v>
      </c>
      <c r="AB6" s="144" t="s">
        <v>171</v>
      </c>
      <c r="AC6" s="144">
        <v>1</v>
      </c>
      <c r="AD6" s="144">
        <v>1</v>
      </c>
      <c r="AE6" s="144">
        <v>22</v>
      </c>
      <c r="AF6" s="144">
        <v>23</v>
      </c>
      <c r="AG6" t="s">
        <v>167</v>
      </c>
      <c r="AH6" t="s">
        <v>167</v>
      </c>
      <c r="AI6" t="s">
        <v>167</v>
      </c>
      <c r="AJ6" s="157" t="s">
        <v>172</v>
      </c>
      <c r="AK6" s="157">
        <v>-28.53</v>
      </c>
      <c r="AL6" s="157">
        <v>2.85</v>
      </c>
      <c r="AM6" s="138" t="s">
        <v>167</v>
      </c>
      <c r="AN6" s="138" t="s">
        <v>167</v>
      </c>
      <c r="AO6">
        <v>-2507</v>
      </c>
      <c r="AP6" s="146" t="s">
        <v>167</v>
      </c>
      <c r="AQ6" t="s">
        <v>167</v>
      </c>
      <c r="AR6" t="s">
        <v>167</v>
      </c>
      <c r="AS6" s="158">
        <v>596.29999999999995</v>
      </c>
      <c r="AT6" s="148" t="s">
        <v>167</v>
      </c>
      <c r="AU6" t="s">
        <v>167</v>
      </c>
      <c r="AV6" t="s">
        <v>167</v>
      </c>
      <c r="AW6" t="s">
        <v>167</v>
      </c>
      <c r="AX6" t="s">
        <v>173</v>
      </c>
      <c r="AY6" s="157" t="s">
        <v>174</v>
      </c>
      <c r="AZ6" s="138" t="s">
        <v>167</v>
      </c>
      <c r="BA6" s="138" t="s">
        <v>167</v>
      </c>
      <c r="BB6" s="138" t="s">
        <v>167</v>
      </c>
      <c r="BC6" s="138" t="s">
        <v>167</v>
      </c>
      <c r="BD6" s="138" t="s">
        <v>167</v>
      </c>
      <c r="BE6" s="138" t="s">
        <v>167</v>
      </c>
      <c r="BF6" s="138" t="s">
        <v>167</v>
      </c>
      <c r="BG6" s="157" t="s">
        <v>175</v>
      </c>
      <c r="BH6" s="157" t="s">
        <v>176</v>
      </c>
      <c r="BI6" s="157" t="s">
        <v>177</v>
      </c>
      <c r="BJ6" s="157" t="s">
        <v>167</v>
      </c>
      <c r="BK6" s="157" t="s">
        <v>178</v>
      </c>
      <c r="BL6" s="157" t="s">
        <v>179</v>
      </c>
      <c r="BM6" s="157" t="s">
        <v>180</v>
      </c>
      <c r="BN6" s="157" t="s">
        <v>167</v>
      </c>
      <c r="BO6" s="138" t="s">
        <v>167</v>
      </c>
      <c r="BP6" s="138" t="s">
        <v>167</v>
      </c>
      <c r="BQ6" s="159">
        <v>21.138804943382162</v>
      </c>
      <c r="BR6" s="157" t="s">
        <v>181</v>
      </c>
      <c r="BS6" s="160">
        <v>0.28000000000000003</v>
      </c>
      <c r="BT6" s="157">
        <v>0.83399999999999996</v>
      </c>
      <c r="BU6" s="157" t="s">
        <v>167</v>
      </c>
      <c r="BV6" s="161" t="s">
        <v>167</v>
      </c>
      <c r="BW6" s="157">
        <v>3.6</v>
      </c>
      <c r="BX6" s="157"/>
      <c r="BY6" s="157" t="s">
        <v>167</v>
      </c>
      <c r="BZ6" s="157" t="s">
        <v>195</v>
      </c>
      <c r="CA6" s="157" t="s">
        <v>183</v>
      </c>
      <c r="CB6" s="159">
        <v>21.029742138347917</v>
      </c>
      <c r="CC6" s="138" t="s">
        <v>167</v>
      </c>
      <c r="CD6" s="138" t="s">
        <v>167</v>
      </c>
      <c r="CE6" s="138" t="s">
        <v>167</v>
      </c>
      <c r="CF6" s="138" t="s">
        <v>167</v>
      </c>
      <c r="CG6" s="138" t="s">
        <v>167</v>
      </c>
      <c r="CH6" s="138" t="s">
        <v>167</v>
      </c>
      <c r="CI6" s="138" t="s">
        <v>167</v>
      </c>
      <c r="CJ6" s="162">
        <v>22.178889999999999</v>
      </c>
      <c r="CK6" s="138" t="s">
        <v>167</v>
      </c>
      <c r="CL6" s="138" t="s">
        <v>167</v>
      </c>
      <c r="CM6" s="138" t="s">
        <v>167</v>
      </c>
      <c r="CN6" s="138" t="s">
        <v>167</v>
      </c>
      <c r="CO6" s="138" t="s">
        <v>167</v>
      </c>
      <c r="CP6" s="138" t="s">
        <v>167</v>
      </c>
      <c r="CQ6" s="138" t="s">
        <v>167</v>
      </c>
      <c r="CR6" s="138" t="s">
        <v>167</v>
      </c>
      <c r="CS6" s="138" t="s">
        <v>167</v>
      </c>
      <c r="CT6" s="138" t="s">
        <v>184</v>
      </c>
      <c r="CU6" s="138" t="s">
        <v>167</v>
      </c>
      <c r="CV6" s="138" t="s">
        <v>167</v>
      </c>
      <c r="CW6" s="138" t="s">
        <v>167</v>
      </c>
      <c r="CX6" s="138" t="s">
        <v>167</v>
      </c>
      <c r="CY6" s="138" t="s">
        <v>167</v>
      </c>
      <c r="CZ6" s="138" t="s">
        <v>167</v>
      </c>
      <c r="DA6" s="138" t="s">
        <v>167</v>
      </c>
      <c r="DB6" s="138" t="s">
        <v>167</v>
      </c>
      <c r="DC6" s="138" t="s">
        <v>167</v>
      </c>
      <c r="DD6" s="138" t="s">
        <v>167</v>
      </c>
      <c r="DE6" s="138" t="s">
        <v>167</v>
      </c>
      <c r="DF6" s="138" t="s">
        <v>167</v>
      </c>
      <c r="DG6">
        <v>36</v>
      </c>
      <c r="DH6" t="s">
        <v>185</v>
      </c>
      <c r="DI6">
        <v>3</v>
      </c>
      <c r="DJ6" t="s">
        <v>167</v>
      </c>
      <c r="DK6" t="s">
        <v>167</v>
      </c>
      <c r="DL6" t="s">
        <v>167</v>
      </c>
      <c r="DM6" t="s">
        <v>167</v>
      </c>
      <c r="DN6" t="s">
        <v>167</v>
      </c>
      <c r="DO6" t="s">
        <v>167</v>
      </c>
      <c r="DP6" t="s">
        <v>167</v>
      </c>
      <c r="DQ6" t="s">
        <v>167</v>
      </c>
      <c r="DR6" t="s">
        <v>167</v>
      </c>
      <c r="DS6" t="s">
        <v>167</v>
      </c>
      <c r="DT6" t="s">
        <v>167</v>
      </c>
      <c r="DU6" t="s">
        <v>167</v>
      </c>
      <c r="DV6" t="s">
        <v>167</v>
      </c>
      <c r="DW6" t="s">
        <v>167</v>
      </c>
      <c r="DX6" t="s">
        <v>167</v>
      </c>
      <c r="DY6" t="s">
        <v>167</v>
      </c>
      <c r="DZ6" t="s">
        <v>167</v>
      </c>
      <c r="EA6" s="159">
        <v>39.526518000000003</v>
      </c>
      <c r="EB6" t="s">
        <v>167</v>
      </c>
      <c r="EC6" t="s">
        <v>167</v>
      </c>
      <c r="ED6" s="157" t="s">
        <v>186</v>
      </c>
      <c r="EE6" s="138" t="s">
        <v>167</v>
      </c>
      <c r="EF6" s="138" t="s">
        <v>167</v>
      </c>
      <c r="EG6">
        <v>1.0271999999999999</v>
      </c>
      <c r="EH6" t="s">
        <v>167</v>
      </c>
      <c r="EI6" t="s">
        <v>167</v>
      </c>
      <c r="EJ6" t="s">
        <v>187</v>
      </c>
      <c r="EK6" t="s">
        <v>179</v>
      </c>
      <c r="EL6" s="157" t="s">
        <v>187</v>
      </c>
      <c r="EM6" s="138" t="s">
        <v>167</v>
      </c>
      <c r="EN6" s="138" t="s">
        <v>167</v>
      </c>
      <c r="EO6" s="138" t="s">
        <v>167</v>
      </c>
      <c r="EP6" s="138" t="s">
        <v>167</v>
      </c>
      <c r="EQ6" s="138" t="s">
        <v>167</v>
      </c>
      <c r="ER6" s="138" t="s">
        <v>167</v>
      </c>
      <c r="ES6" s="138" t="s">
        <v>167</v>
      </c>
      <c r="ET6" s="157" t="s">
        <v>188</v>
      </c>
      <c r="EU6" s="157" t="s">
        <v>189</v>
      </c>
      <c r="EV6" s="138" t="s">
        <v>167</v>
      </c>
      <c r="EW6">
        <v>2300</v>
      </c>
      <c r="EX6" s="138" t="s">
        <v>167</v>
      </c>
      <c r="EY6" s="138" t="s">
        <v>167</v>
      </c>
      <c r="EZ6" s="138" t="s">
        <v>167</v>
      </c>
      <c r="FA6" s="138" t="s">
        <v>167</v>
      </c>
      <c r="FB6" s="138" t="s">
        <v>167</v>
      </c>
      <c r="FC6" s="138" t="s">
        <v>167</v>
      </c>
      <c r="FD6" s="138" t="s">
        <v>167</v>
      </c>
      <c r="FE6" s="159">
        <v>8.3251586090462322</v>
      </c>
      <c r="FF6" s="157" t="s">
        <v>190</v>
      </c>
      <c r="FG6" s="157" t="s">
        <v>167</v>
      </c>
      <c r="FH6" s="157" t="s">
        <v>167</v>
      </c>
      <c r="FI6" s="163">
        <v>162.81916809082031</v>
      </c>
      <c r="FJ6" s="138" t="s">
        <v>167</v>
      </c>
      <c r="FK6" t="s">
        <v>167</v>
      </c>
      <c r="FL6" s="141">
        <v>162.81916809082031</v>
      </c>
      <c r="FM6" s="164">
        <v>10.561553955078125</v>
      </c>
      <c r="FN6" s="164">
        <v>9.84222412109375</v>
      </c>
      <c r="FO6" t="s">
        <v>167</v>
      </c>
      <c r="FP6" s="157" t="s">
        <v>191</v>
      </c>
      <c r="FQ6" t="s">
        <v>167</v>
      </c>
      <c r="FR6" t="s">
        <v>167</v>
      </c>
      <c r="FS6" t="s">
        <v>167</v>
      </c>
      <c r="FT6" t="s">
        <v>167</v>
      </c>
      <c r="FU6" t="s">
        <v>167</v>
      </c>
      <c r="FV6" t="s">
        <v>167</v>
      </c>
      <c r="FW6" t="s">
        <v>167</v>
      </c>
      <c r="FX6" t="s">
        <v>167</v>
      </c>
      <c r="FY6" t="s">
        <v>167</v>
      </c>
      <c r="FZ6" t="s">
        <v>167</v>
      </c>
      <c r="GA6" t="s">
        <v>167</v>
      </c>
      <c r="GB6" t="s">
        <v>167</v>
      </c>
    </row>
    <row r="7" spans="1:185" ht="16">
      <c r="A7" s="145" t="s">
        <v>229</v>
      </c>
      <c r="B7" s="166" t="s">
        <v>230</v>
      </c>
      <c r="C7" s="138" t="s">
        <v>168</v>
      </c>
      <c r="D7" t="s">
        <v>228</v>
      </c>
      <c r="E7">
        <v>2016</v>
      </c>
      <c r="F7" t="str">
        <f t="shared" si="1"/>
        <v>10.1016/j.epsl.2016.01.022</v>
      </c>
      <c r="G7" s="141">
        <f t="shared" si="2"/>
        <v>620.4</v>
      </c>
      <c r="H7" t="str">
        <f t="shared" si="3"/>
        <v>NA</v>
      </c>
      <c r="I7" t="str">
        <f t="shared" si="4"/>
        <v>NA</v>
      </c>
      <c r="J7" s="141">
        <f t="shared" si="5"/>
        <v>169.24937438964844</v>
      </c>
      <c r="K7" s="141">
        <f t="shared" si="6"/>
        <v>11.045867919921875</v>
      </c>
      <c r="L7" s="141">
        <f t="shared" si="7"/>
        <v>10.282882690429688</v>
      </c>
      <c r="M7" t="b">
        <v>1</v>
      </c>
      <c r="N7">
        <v>3</v>
      </c>
      <c r="O7" t="s">
        <v>231</v>
      </c>
      <c r="P7" s="167" t="s">
        <v>167</v>
      </c>
      <c r="Q7" t="b">
        <v>0</v>
      </c>
      <c r="R7" t="s">
        <v>167</v>
      </c>
      <c r="S7" t="b">
        <v>1</v>
      </c>
      <c r="T7" t="b">
        <v>0</v>
      </c>
      <c r="U7" t="s">
        <v>167</v>
      </c>
      <c r="V7" t="s">
        <v>167</v>
      </c>
      <c r="W7" t="b">
        <v>0</v>
      </c>
      <c r="X7" t="s">
        <v>167</v>
      </c>
      <c r="Y7" s="155" t="s">
        <v>196</v>
      </c>
      <c r="Z7" s="156" t="s">
        <v>170</v>
      </c>
      <c r="AA7" s="144">
        <v>1264</v>
      </c>
      <c r="AB7" s="144" t="s">
        <v>171</v>
      </c>
      <c r="AC7" s="144">
        <v>1</v>
      </c>
      <c r="AD7" s="144">
        <v>1</v>
      </c>
      <c r="AE7" s="144">
        <v>32</v>
      </c>
      <c r="AF7" s="144">
        <v>34</v>
      </c>
      <c r="AG7" t="s">
        <v>167</v>
      </c>
      <c r="AH7" t="s">
        <v>167</v>
      </c>
      <c r="AI7" t="s">
        <v>167</v>
      </c>
      <c r="AJ7" s="157" t="s">
        <v>172</v>
      </c>
      <c r="AK7" s="157">
        <v>-28.53</v>
      </c>
      <c r="AL7" s="157">
        <v>2.85</v>
      </c>
      <c r="AM7" s="138" t="s">
        <v>167</v>
      </c>
      <c r="AN7" s="138" t="s">
        <v>167</v>
      </c>
      <c r="AO7">
        <v>-2507</v>
      </c>
      <c r="AP7" s="146" t="s">
        <v>167</v>
      </c>
      <c r="AQ7" t="s">
        <v>167</v>
      </c>
      <c r="AR7" t="s">
        <v>167</v>
      </c>
      <c r="AS7" s="158">
        <v>620.4</v>
      </c>
      <c r="AT7" s="148" t="s">
        <v>167</v>
      </c>
      <c r="AU7" t="s">
        <v>167</v>
      </c>
      <c r="AV7" t="s">
        <v>167</v>
      </c>
      <c r="AW7" t="s">
        <v>167</v>
      </c>
      <c r="AX7" t="s">
        <v>173</v>
      </c>
      <c r="AY7" s="157" t="s">
        <v>174</v>
      </c>
      <c r="AZ7" s="138" t="s">
        <v>167</v>
      </c>
      <c r="BA7" s="138" t="s">
        <v>167</v>
      </c>
      <c r="BB7" s="138" t="s">
        <v>167</v>
      </c>
      <c r="BC7" s="138" t="s">
        <v>167</v>
      </c>
      <c r="BD7" s="138" t="s">
        <v>167</v>
      </c>
      <c r="BE7" s="138" t="s">
        <v>167</v>
      </c>
      <c r="BF7" s="138" t="s">
        <v>167</v>
      </c>
      <c r="BG7" s="157" t="s">
        <v>175</v>
      </c>
      <c r="BH7" s="157" t="s">
        <v>176</v>
      </c>
      <c r="BI7" s="157" t="s">
        <v>177</v>
      </c>
      <c r="BJ7" s="157" t="s">
        <v>167</v>
      </c>
      <c r="BK7" s="157" t="s">
        <v>178</v>
      </c>
      <c r="BL7" s="157" t="s">
        <v>179</v>
      </c>
      <c r="BM7" s="157" t="s">
        <v>180</v>
      </c>
      <c r="BN7" s="157" t="s">
        <v>167</v>
      </c>
      <c r="BO7" s="138" t="s">
        <v>167</v>
      </c>
      <c r="BP7" s="138" t="s">
        <v>167</v>
      </c>
      <c r="BQ7" s="159">
        <v>20.991361255563511</v>
      </c>
      <c r="BR7" s="157" t="s">
        <v>181</v>
      </c>
      <c r="BS7" s="160">
        <v>0.28000000000000003</v>
      </c>
      <c r="BT7" s="157">
        <v>0.83399999999999996</v>
      </c>
      <c r="BU7" s="157" t="s">
        <v>167</v>
      </c>
      <c r="BV7" s="161" t="s">
        <v>167</v>
      </c>
      <c r="BW7" s="157">
        <v>3.6</v>
      </c>
      <c r="BX7" s="157"/>
      <c r="BY7" s="157" t="s">
        <v>167</v>
      </c>
      <c r="BZ7" s="157" t="s">
        <v>197</v>
      </c>
      <c r="CA7" s="157" t="s">
        <v>183</v>
      </c>
      <c r="CB7" s="159">
        <v>20.852951145759604</v>
      </c>
      <c r="CC7" s="138" t="s">
        <v>167</v>
      </c>
      <c r="CD7" s="138" t="s">
        <v>167</v>
      </c>
      <c r="CE7" s="138" t="s">
        <v>167</v>
      </c>
      <c r="CF7" s="138" t="s">
        <v>167</v>
      </c>
      <c r="CG7" s="138" t="s">
        <v>167</v>
      </c>
      <c r="CH7" s="138" t="s">
        <v>167</v>
      </c>
      <c r="CI7" s="138" t="s">
        <v>167</v>
      </c>
      <c r="CJ7" s="162">
        <v>22.257639999999999</v>
      </c>
      <c r="CK7" s="138" t="s">
        <v>167</v>
      </c>
      <c r="CL7" s="138" t="s">
        <v>167</v>
      </c>
      <c r="CM7" s="138" t="s">
        <v>167</v>
      </c>
      <c r="CN7" s="138" t="s">
        <v>167</v>
      </c>
      <c r="CO7" s="138" t="s">
        <v>167</v>
      </c>
      <c r="CP7" s="138" t="s">
        <v>167</v>
      </c>
      <c r="CQ7" s="138" t="s">
        <v>167</v>
      </c>
      <c r="CR7" s="138" t="s">
        <v>167</v>
      </c>
      <c r="CS7" s="138" t="s">
        <v>167</v>
      </c>
      <c r="CT7" s="138" t="s">
        <v>184</v>
      </c>
      <c r="CU7" s="138" t="s">
        <v>167</v>
      </c>
      <c r="CV7" s="138" t="s">
        <v>167</v>
      </c>
      <c r="CW7" s="138" t="s">
        <v>167</v>
      </c>
      <c r="CX7" s="138" t="s">
        <v>167</v>
      </c>
      <c r="CY7" s="138" t="s">
        <v>167</v>
      </c>
      <c r="CZ7" s="138" t="s">
        <v>167</v>
      </c>
      <c r="DA7" s="138" t="s">
        <v>167</v>
      </c>
      <c r="DB7" s="138" t="s">
        <v>167</v>
      </c>
      <c r="DC7" s="138" t="s">
        <v>167</v>
      </c>
      <c r="DD7" s="138" t="s">
        <v>167</v>
      </c>
      <c r="DE7" s="138" t="s">
        <v>167</v>
      </c>
      <c r="DF7" s="138" t="s">
        <v>167</v>
      </c>
      <c r="DG7">
        <v>36</v>
      </c>
      <c r="DH7" t="s">
        <v>185</v>
      </c>
      <c r="DI7">
        <v>3</v>
      </c>
      <c r="DJ7" t="s">
        <v>167</v>
      </c>
      <c r="DK7" t="s">
        <v>167</v>
      </c>
      <c r="DL7" t="s">
        <v>167</v>
      </c>
      <c r="DM7" t="s">
        <v>167</v>
      </c>
      <c r="DN7" t="s">
        <v>167</v>
      </c>
      <c r="DO7" t="s">
        <v>167</v>
      </c>
      <c r="DP7" t="s">
        <v>167</v>
      </c>
      <c r="DQ7" t="s">
        <v>167</v>
      </c>
      <c r="DR7" t="s">
        <v>167</v>
      </c>
      <c r="DS7" t="s">
        <v>167</v>
      </c>
      <c r="DT7" t="s">
        <v>167</v>
      </c>
      <c r="DU7" t="s">
        <v>167</v>
      </c>
      <c r="DV7" t="s">
        <v>167</v>
      </c>
      <c r="DW7" t="s">
        <v>167</v>
      </c>
      <c r="DX7" t="s">
        <v>167</v>
      </c>
      <c r="DY7" t="s">
        <v>167</v>
      </c>
      <c r="DZ7" t="s">
        <v>167</v>
      </c>
      <c r="EA7" s="159">
        <v>39.523144000000002</v>
      </c>
      <c r="EB7" t="s">
        <v>167</v>
      </c>
      <c r="EC7" t="s">
        <v>167</v>
      </c>
      <c r="ED7" s="157" t="s">
        <v>186</v>
      </c>
      <c r="EE7" s="138" t="s">
        <v>167</v>
      </c>
      <c r="EF7" s="138" t="s">
        <v>167</v>
      </c>
      <c r="EG7">
        <v>1.0271999999999999</v>
      </c>
      <c r="EH7" t="s">
        <v>167</v>
      </c>
      <c r="EI7" t="s">
        <v>167</v>
      </c>
      <c r="EJ7" t="s">
        <v>187</v>
      </c>
      <c r="EK7" t="s">
        <v>179</v>
      </c>
      <c r="EL7" s="157" t="s">
        <v>187</v>
      </c>
      <c r="EM7" s="138" t="s">
        <v>167</v>
      </c>
      <c r="EN7" s="138" t="s">
        <v>167</v>
      </c>
      <c r="EO7" s="138" t="s">
        <v>167</v>
      </c>
      <c r="EP7" s="138" t="s">
        <v>167</v>
      </c>
      <c r="EQ7" s="138" t="s">
        <v>167</v>
      </c>
      <c r="ER7" s="138" t="s">
        <v>167</v>
      </c>
      <c r="ES7" s="138" t="s">
        <v>167</v>
      </c>
      <c r="ET7" s="157" t="s">
        <v>188</v>
      </c>
      <c r="EU7" s="157" t="s">
        <v>189</v>
      </c>
      <c r="EV7" s="138" t="s">
        <v>167</v>
      </c>
      <c r="EW7">
        <v>2300</v>
      </c>
      <c r="EX7" s="138" t="s">
        <v>167</v>
      </c>
      <c r="EY7" s="138" t="s">
        <v>167</v>
      </c>
      <c r="EZ7" s="138" t="s">
        <v>167</v>
      </c>
      <c r="FA7" s="138" t="s">
        <v>167</v>
      </c>
      <c r="FB7" s="138" t="s">
        <v>167</v>
      </c>
      <c r="FC7" s="138" t="s">
        <v>167</v>
      </c>
      <c r="FD7" s="138" t="s">
        <v>167</v>
      </c>
      <c r="FE7" s="159">
        <v>8.3141047230153671</v>
      </c>
      <c r="FF7" s="157" t="s">
        <v>190</v>
      </c>
      <c r="FG7" s="157" t="s">
        <v>167</v>
      </c>
      <c r="FH7" s="157" t="s">
        <v>167</v>
      </c>
      <c r="FI7" s="163">
        <v>169.24937438964844</v>
      </c>
      <c r="FJ7" s="138" t="s">
        <v>167</v>
      </c>
      <c r="FK7" t="s">
        <v>167</v>
      </c>
      <c r="FL7" s="141">
        <v>169.24937438964844</v>
      </c>
      <c r="FM7" s="164">
        <v>11.045867919921875</v>
      </c>
      <c r="FN7" s="164">
        <v>10.282882690429688</v>
      </c>
      <c r="FO7" t="s">
        <v>167</v>
      </c>
      <c r="FP7" s="157" t="s">
        <v>191</v>
      </c>
      <c r="FQ7" t="s">
        <v>167</v>
      </c>
      <c r="FR7" t="s">
        <v>167</v>
      </c>
      <c r="FS7" t="s">
        <v>167</v>
      </c>
      <c r="FT7" t="s">
        <v>167</v>
      </c>
      <c r="FU7" t="s">
        <v>167</v>
      </c>
      <c r="FV7" t="s">
        <v>167</v>
      </c>
      <c r="FW7" t="s">
        <v>167</v>
      </c>
      <c r="FX7" t="s">
        <v>167</v>
      </c>
      <c r="FY7" t="s">
        <v>167</v>
      </c>
      <c r="FZ7" t="s">
        <v>167</v>
      </c>
      <c r="GA7" t="s">
        <v>167</v>
      </c>
      <c r="GB7" t="s">
        <v>167</v>
      </c>
    </row>
    <row r="8" spans="1:185" ht="16">
      <c r="A8" s="145" t="s">
        <v>229</v>
      </c>
      <c r="B8" s="166" t="s">
        <v>230</v>
      </c>
      <c r="C8" s="138" t="s">
        <v>168</v>
      </c>
      <c r="D8" t="s">
        <v>228</v>
      </c>
      <c r="E8">
        <v>2016</v>
      </c>
      <c r="F8" t="str">
        <f t="shared" si="1"/>
        <v>10.1016/j.epsl.2016.01.022</v>
      </c>
      <c r="G8" s="141">
        <f t="shared" si="2"/>
        <v>757.9</v>
      </c>
      <c r="H8" t="str">
        <f t="shared" si="3"/>
        <v>NA</v>
      </c>
      <c r="I8" t="str">
        <f t="shared" si="4"/>
        <v>NA</v>
      </c>
      <c r="J8" s="141">
        <f t="shared" si="5"/>
        <v>174.84333801269531</v>
      </c>
      <c r="K8" s="141">
        <f t="shared" si="6"/>
        <v>23.076156616210938</v>
      </c>
      <c r="L8" s="141">
        <f t="shared" si="7"/>
        <v>20.045303344726562</v>
      </c>
      <c r="M8" t="b">
        <v>1</v>
      </c>
      <c r="N8">
        <v>3</v>
      </c>
      <c r="O8" t="s">
        <v>231</v>
      </c>
      <c r="P8" s="167" t="s">
        <v>167</v>
      </c>
      <c r="Q8" t="b">
        <v>0</v>
      </c>
      <c r="R8" t="s">
        <v>167</v>
      </c>
      <c r="S8" t="b">
        <v>1</v>
      </c>
      <c r="T8" t="b">
        <v>0</v>
      </c>
      <c r="U8" t="s">
        <v>167</v>
      </c>
      <c r="V8" t="s">
        <v>167</v>
      </c>
      <c r="W8" t="b">
        <v>0</v>
      </c>
      <c r="X8" t="s">
        <v>167</v>
      </c>
      <c r="Y8" s="155" t="s">
        <v>198</v>
      </c>
      <c r="Z8" s="156" t="s">
        <v>170</v>
      </c>
      <c r="AA8" s="144">
        <v>1264</v>
      </c>
      <c r="AB8" s="144" t="s">
        <v>171</v>
      </c>
      <c r="AC8" s="144">
        <v>1</v>
      </c>
      <c r="AD8" s="144">
        <v>1</v>
      </c>
      <c r="AE8" s="144">
        <v>89</v>
      </c>
      <c r="AF8" s="144">
        <v>91</v>
      </c>
      <c r="AG8" t="s">
        <v>167</v>
      </c>
      <c r="AH8" t="s">
        <v>167</v>
      </c>
      <c r="AI8" t="s">
        <v>167</v>
      </c>
      <c r="AJ8" s="157" t="s">
        <v>172</v>
      </c>
      <c r="AK8" s="157">
        <v>-28.53</v>
      </c>
      <c r="AL8" s="157">
        <v>2.85</v>
      </c>
      <c r="AM8" s="138" t="s">
        <v>167</v>
      </c>
      <c r="AN8" s="138" t="s">
        <v>167</v>
      </c>
      <c r="AO8">
        <v>-2507</v>
      </c>
      <c r="AP8" s="146" t="s">
        <v>167</v>
      </c>
      <c r="AQ8" t="s">
        <v>167</v>
      </c>
      <c r="AR8" t="s">
        <v>167</v>
      </c>
      <c r="AS8" s="158">
        <v>757.9</v>
      </c>
      <c r="AT8" s="148" t="s">
        <v>167</v>
      </c>
      <c r="AU8" t="s">
        <v>167</v>
      </c>
      <c r="AV8" t="s">
        <v>167</v>
      </c>
      <c r="AW8" t="s">
        <v>167</v>
      </c>
      <c r="AX8" t="s">
        <v>173</v>
      </c>
      <c r="AY8" s="157" t="s">
        <v>174</v>
      </c>
      <c r="AZ8" s="138" t="s">
        <v>167</v>
      </c>
      <c r="BA8" s="138" t="s">
        <v>167</v>
      </c>
      <c r="BB8" s="138" t="s">
        <v>167</v>
      </c>
      <c r="BC8" s="138" t="s">
        <v>167</v>
      </c>
      <c r="BD8" s="138" t="s">
        <v>167</v>
      </c>
      <c r="BE8" s="138" t="s">
        <v>167</v>
      </c>
      <c r="BF8" s="138" t="s">
        <v>167</v>
      </c>
      <c r="BG8" s="157" t="s">
        <v>175</v>
      </c>
      <c r="BH8" s="157" t="s">
        <v>176</v>
      </c>
      <c r="BI8" s="157" t="s">
        <v>177</v>
      </c>
      <c r="BJ8" s="157" t="s">
        <v>167</v>
      </c>
      <c r="BK8" s="157" t="s">
        <v>178</v>
      </c>
      <c r="BL8" s="157" t="s">
        <v>179</v>
      </c>
      <c r="BM8" s="157" t="s">
        <v>180</v>
      </c>
      <c r="BN8" s="157" t="s">
        <v>167</v>
      </c>
      <c r="BO8" s="138" t="s">
        <v>167</v>
      </c>
      <c r="BP8" s="138" t="s">
        <v>167</v>
      </c>
      <c r="BQ8" s="159">
        <v>20.862271402087448</v>
      </c>
      <c r="BR8" s="157" t="s">
        <v>181</v>
      </c>
      <c r="BS8" s="160">
        <v>0.54416364037180609</v>
      </c>
      <c r="BT8" s="157">
        <v>0.83399999999999996</v>
      </c>
      <c r="BU8" s="157" t="s">
        <v>167</v>
      </c>
      <c r="BV8" s="161" t="s">
        <v>167</v>
      </c>
      <c r="BW8" s="157">
        <v>3.6</v>
      </c>
      <c r="BX8" s="157"/>
      <c r="BY8" s="157" t="s">
        <v>167</v>
      </c>
      <c r="BZ8" s="157" t="s">
        <v>199</v>
      </c>
      <c r="CA8" s="157" t="s">
        <v>183</v>
      </c>
      <c r="CB8" s="159">
        <v>20.698167148785906</v>
      </c>
      <c r="CC8" s="138" t="s">
        <v>167</v>
      </c>
      <c r="CD8" s="138" t="s">
        <v>167</v>
      </c>
      <c r="CE8" s="138" t="s">
        <v>167</v>
      </c>
      <c r="CF8" s="138" t="s">
        <v>167</v>
      </c>
      <c r="CG8" s="138" t="s">
        <v>167</v>
      </c>
      <c r="CH8" s="138" t="s">
        <v>167</v>
      </c>
      <c r="CI8" s="138" t="s">
        <v>167</v>
      </c>
      <c r="CJ8" s="162">
        <v>22.186119999999999</v>
      </c>
      <c r="CK8" s="138" t="s">
        <v>167</v>
      </c>
      <c r="CL8" s="138" t="s">
        <v>167</v>
      </c>
      <c r="CM8" s="138" t="s">
        <v>167</v>
      </c>
      <c r="CN8" s="138" t="s">
        <v>167</v>
      </c>
      <c r="CO8" s="138" t="s">
        <v>167</v>
      </c>
      <c r="CP8" s="138" t="s">
        <v>167</v>
      </c>
      <c r="CQ8" s="138" t="s">
        <v>167</v>
      </c>
      <c r="CR8" s="138" t="s">
        <v>167</v>
      </c>
      <c r="CS8" s="138" t="s">
        <v>167</v>
      </c>
      <c r="CT8" s="138" t="s">
        <v>184</v>
      </c>
      <c r="CU8" s="138" t="s">
        <v>167</v>
      </c>
      <c r="CV8" s="138" t="s">
        <v>167</v>
      </c>
      <c r="CW8" s="138" t="s">
        <v>167</v>
      </c>
      <c r="CX8" s="138" t="s">
        <v>167</v>
      </c>
      <c r="CY8" s="138" t="s">
        <v>167</v>
      </c>
      <c r="CZ8" s="138" t="s">
        <v>167</v>
      </c>
      <c r="DA8" s="138" t="s">
        <v>167</v>
      </c>
      <c r="DB8" s="138" t="s">
        <v>167</v>
      </c>
      <c r="DC8" s="138" t="s">
        <v>167</v>
      </c>
      <c r="DD8" s="138" t="s">
        <v>167</v>
      </c>
      <c r="DE8" s="138" t="s">
        <v>167</v>
      </c>
      <c r="DF8" s="138" t="s">
        <v>167</v>
      </c>
      <c r="DG8">
        <v>36</v>
      </c>
      <c r="DH8" t="s">
        <v>185</v>
      </c>
      <c r="DI8">
        <v>3</v>
      </c>
      <c r="DJ8" t="s">
        <v>167</v>
      </c>
      <c r="DK8" t="s">
        <v>167</v>
      </c>
      <c r="DL8" t="s">
        <v>167</v>
      </c>
      <c r="DM8" t="s">
        <v>167</v>
      </c>
      <c r="DN8" t="s">
        <v>167</v>
      </c>
      <c r="DO8" t="s">
        <v>167</v>
      </c>
      <c r="DP8" t="s">
        <v>167</v>
      </c>
      <c r="DQ8" t="s">
        <v>167</v>
      </c>
      <c r="DR8" t="s">
        <v>167</v>
      </c>
      <c r="DS8" t="s">
        <v>167</v>
      </c>
      <c r="DT8" t="s">
        <v>167</v>
      </c>
      <c r="DU8" t="s">
        <v>167</v>
      </c>
      <c r="DV8" t="s">
        <v>167</v>
      </c>
      <c r="DW8" t="s">
        <v>167</v>
      </c>
      <c r="DX8" t="s">
        <v>167</v>
      </c>
      <c r="DY8" t="s">
        <v>167</v>
      </c>
      <c r="DZ8" t="s">
        <v>167</v>
      </c>
      <c r="EA8" s="159">
        <v>39.503894000000003</v>
      </c>
      <c r="EB8" t="s">
        <v>167</v>
      </c>
      <c r="EC8" t="s">
        <v>167</v>
      </c>
      <c r="ED8" s="157" t="s">
        <v>186</v>
      </c>
      <c r="EE8" s="138" t="s">
        <v>167</v>
      </c>
      <c r="EF8" s="138" t="s">
        <v>167</v>
      </c>
      <c r="EG8">
        <v>1.0271999999999999</v>
      </c>
      <c r="EH8" t="s">
        <v>167</v>
      </c>
      <c r="EI8" t="s">
        <v>167</v>
      </c>
      <c r="EJ8" t="s">
        <v>187</v>
      </c>
      <c r="EK8" t="s">
        <v>179</v>
      </c>
      <c r="EL8" s="157" t="s">
        <v>187</v>
      </c>
      <c r="EM8" s="138" t="s">
        <v>167</v>
      </c>
      <c r="EN8" s="138" t="s">
        <v>167</v>
      </c>
      <c r="EO8" s="138" t="s">
        <v>167</v>
      </c>
      <c r="EP8" s="138" t="s">
        <v>167</v>
      </c>
      <c r="EQ8" s="138" t="s">
        <v>167</v>
      </c>
      <c r="ER8" s="138" t="s">
        <v>167</v>
      </c>
      <c r="ES8" s="138" t="s">
        <v>167</v>
      </c>
      <c r="ET8" s="157" t="s">
        <v>188</v>
      </c>
      <c r="EU8" s="157" t="s">
        <v>189</v>
      </c>
      <c r="EV8" s="138" t="s">
        <v>167</v>
      </c>
      <c r="EW8">
        <v>2300</v>
      </c>
      <c r="EX8" s="138" t="s">
        <v>167</v>
      </c>
      <c r="EY8" s="138" t="s">
        <v>167</v>
      </c>
      <c r="EZ8" s="138" t="s">
        <v>167</v>
      </c>
      <c r="FA8" s="138" t="s">
        <v>167</v>
      </c>
      <c r="FB8" s="138" t="s">
        <v>167</v>
      </c>
      <c r="FC8" s="138" t="s">
        <v>167</v>
      </c>
      <c r="FD8" s="138" t="s">
        <v>167</v>
      </c>
      <c r="FE8" s="159">
        <v>8.3022259912464431</v>
      </c>
      <c r="FF8" s="157" t="s">
        <v>190</v>
      </c>
      <c r="FG8" s="157" t="s">
        <v>167</v>
      </c>
      <c r="FH8" s="157" t="s">
        <v>167</v>
      </c>
      <c r="FI8" s="163">
        <v>174.84333801269531</v>
      </c>
      <c r="FJ8" s="138" t="s">
        <v>167</v>
      </c>
      <c r="FK8" t="s">
        <v>167</v>
      </c>
      <c r="FL8" s="141">
        <v>174.84333801269531</v>
      </c>
      <c r="FM8" s="164">
        <v>23.076156616210938</v>
      </c>
      <c r="FN8" s="164">
        <v>20.045303344726562</v>
      </c>
      <c r="FO8" t="s">
        <v>167</v>
      </c>
      <c r="FP8" s="157" t="s">
        <v>191</v>
      </c>
      <c r="FQ8" t="s">
        <v>167</v>
      </c>
      <c r="FR8" t="s">
        <v>167</v>
      </c>
      <c r="FS8" t="s">
        <v>167</v>
      </c>
      <c r="FT8" t="s">
        <v>167</v>
      </c>
      <c r="FU8" t="s">
        <v>167</v>
      </c>
      <c r="FV8" t="s">
        <v>167</v>
      </c>
      <c r="FW8" t="s">
        <v>167</v>
      </c>
      <c r="FX8" t="s">
        <v>167</v>
      </c>
      <c r="FY8" t="s">
        <v>167</v>
      </c>
      <c r="FZ8" t="s">
        <v>167</v>
      </c>
      <c r="GA8" t="s">
        <v>167</v>
      </c>
      <c r="GB8" t="s">
        <v>167</v>
      </c>
    </row>
    <row r="9" spans="1:185" ht="16">
      <c r="A9" s="145" t="s">
        <v>229</v>
      </c>
      <c r="B9" s="166" t="s">
        <v>230</v>
      </c>
      <c r="C9" s="138" t="s">
        <v>168</v>
      </c>
      <c r="D9" t="s">
        <v>228</v>
      </c>
      <c r="E9">
        <v>2016</v>
      </c>
      <c r="F9" t="str">
        <f t="shared" si="1"/>
        <v>10.1016/j.epsl.2016.01.022</v>
      </c>
      <c r="G9" s="141">
        <f t="shared" si="2"/>
        <v>819.4</v>
      </c>
      <c r="H9" t="str">
        <f t="shared" si="3"/>
        <v>NA</v>
      </c>
      <c r="I9" t="str">
        <f t="shared" si="4"/>
        <v>NA</v>
      </c>
      <c r="J9" s="141">
        <f t="shared" si="5"/>
        <v>152.20010375976562</v>
      </c>
      <c r="K9" s="141">
        <f t="shared" si="6"/>
        <v>9.783599853515625</v>
      </c>
      <c r="L9" s="141">
        <f t="shared" si="7"/>
        <v>9.1332550048828125</v>
      </c>
      <c r="M9" t="b">
        <v>1</v>
      </c>
      <c r="N9">
        <v>3</v>
      </c>
      <c r="O9" t="s">
        <v>231</v>
      </c>
      <c r="P9" s="167" t="s">
        <v>167</v>
      </c>
      <c r="Q9" t="b">
        <v>0</v>
      </c>
      <c r="R9" t="s">
        <v>167</v>
      </c>
      <c r="S9" t="b">
        <v>1</v>
      </c>
      <c r="T9" t="b">
        <v>0</v>
      </c>
      <c r="U9" t="s">
        <v>167</v>
      </c>
      <c r="V9" t="s">
        <v>167</v>
      </c>
      <c r="W9" t="b">
        <v>0</v>
      </c>
      <c r="X9" t="s">
        <v>167</v>
      </c>
      <c r="Y9" s="155" t="s">
        <v>200</v>
      </c>
      <c r="Z9" s="156" t="s">
        <v>170</v>
      </c>
      <c r="AA9" s="144">
        <v>1264</v>
      </c>
      <c r="AB9" s="144" t="s">
        <v>171</v>
      </c>
      <c r="AC9" s="144">
        <v>1</v>
      </c>
      <c r="AD9" s="144">
        <v>1</v>
      </c>
      <c r="AE9" s="144">
        <v>119</v>
      </c>
      <c r="AF9" s="144">
        <v>121</v>
      </c>
      <c r="AG9" t="s">
        <v>167</v>
      </c>
      <c r="AH9" t="s">
        <v>167</v>
      </c>
      <c r="AI9" t="s">
        <v>167</v>
      </c>
      <c r="AJ9" s="157" t="s">
        <v>172</v>
      </c>
      <c r="AK9" s="157">
        <v>-28.53</v>
      </c>
      <c r="AL9" s="157">
        <v>2.85</v>
      </c>
      <c r="AM9" s="138" t="s">
        <v>167</v>
      </c>
      <c r="AN9" s="138" t="s">
        <v>167</v>
      </c>
      <c r="AO9">
        <v>-2507</v>
      </c>
      <c r="AP9" s="146" t="s">
        <v>167</v>
      </c>
      <c r="AQ9" t="s">
        <v>167</v>
      </c>
      <c r="AR9" t="s">
        <v>167</v>
      </c>
      <c r="AS9" s="158">
        <v>819.4</v>
      </c>
      <c r="AT9" s="148" t="s">
        <v>167</v>
      </c>
      <c r="AU9" t="s">
        <v>167</v>
      </c>
      <c r="AV9" t="s">
        <v>167</v>
      </c>
      <c r="AW9" t="s">
        <v>167</v>
      </c>
      <c r="AX9" t="s">
        <v>173</v>
      </c>
      <c r="AY9" s="157" t="s">
        <v>174</v>
      </c>
      <c r="AZ9" s="138" t="s">
        <v>167</v>
      </c>
      <c r="BA9" s="138" t="s">
        <v>167</v>
      </c>
      <c r="BB9" s="138" t="s">
        <v>167</v>
      </c>
      <c r="BC9" s="138" t="s">
        <v>167</v>
      </c>
      <c r="BD9" s="138" t="s">
        <v>167</v>
      </c>
      <c r="BE9" s="138" t="s">
        <v>167</v>
      </c>
      <c r="BF9" s="138" t="s">
        <v>167</v>
      </c>
      <c r="BG9" s="157" t="s">
        <v>175</v>
      </c>
      <c r="BH9" s="157" t="s">
        <v>176</v>
      </c>
      <c r="BI9" s="157" t="s">
        <v>177</v>
      </c>
      <c r="BJ9" s="157" t="s">
        <v>167</v>
      </c>
      <c r="BK9" s="157" t="s">
        <v>178</v>
      </c>
      <c r="BL9" s="157" t="s">
        <v>179</v>
      </c>
      <c r="BM9" s="157" t="s">
        <v>180</v>
      </c>
      <c r="BN9" s="157" t="s">
        <v>167</v>
      </c>
      <c r="BO9" s="138" t="s">
        <v>167</v>
      </c>
      <c r="BP9" s="138" t="s">
        <v>167</v>
      </c>
      <c r="BQ9" s="159">
        <v>21.374346032572667</v>
      </c>
      <c r="BR9" s="157" t="s">
        <v>181</v>
      </c>
      <c r="BS9" s="160">
        <v>0.28000000000000003</v>
      </c>
      <c r="BT9" s="157">
        <v>0.83399999999999996</v>
      </c>
      <c r="BU9" s="157" t="s">
        <v>167</v>
      </c>
      <c r="BV9" s="161" t="s">
        <v>167</v>
      </c>
      <c r="BW9" s="157">
        <v>3.6</v>
      </c>
      <c r="BX9" s="157"/>
      <c r="BY9" s="157" t="s">
        <v>167</v>
      </c>
      <c r="BZ9" s="157" t="s">
        <v>201</v>
      </c>
      <c r="CA9" s="157" t="s">
        <v>183</v>
      </c>
      <c r="CB9" s="159">
        <v>21.312165506681854</v>
      </c>
      <c r="CC9" s="138" t="s">
        <v>167</v>
      </c>
      <c r="CD9" s="138" t="s">
        <v>167</v>
      </c>
      <c r="CE9" s="138" t="s">
        <v>167</v>
      </c>
      <c r="CF9" s="138" t="s">
        <v>167</v>
      </c>
      <c r="CG9" s="138" t="s">
        <v>167</v>
      </c>
      <c r="CH9" s="138" t="s">
        <v>167</v>
      </c>
      <c r="CI9" s="138" t="s">
        <v>167</v>
      </c>
      <c r="CJ9" s="162">
        <v>22.227370000000001</v>
      </c>
      <c r="CK9" s="138" t="s">
        <v>167</v>
      </c>
      <c r="CL9" s="138" t="s">
        <v>167</v>
      </c>
      <c r="CM9" s="138" t="s">
        <v>167</v>
      </c>
      <c r="CN9" s="138" t="s">
        <v>167</v>
      </c>
      <c r="CO9" s="138" t="s">
        <v>167</v>
      </c>
      <c r="CP9" s="138" t="s">
        <v>167</v>
      </c>
      <c r="CQ9" s="138" t="s">
        <v>167</v>
      </c>
      <c r="CR9" s="138" t="s">
        <v>167</v>
      </c>
      <c r="CS9" s="138" t="s">
        <v>167</v>
      </c>
      <c r="CT9" s="138" t="s">
        <v>184</v>
      </c>
      <c r="CU9" s="138" t="s">
        <v>167</v>
      </c>
      <c r="CV9" s="138" t="s">
        <v>167</v>
      </c>
      <c r="CW9" s="138" t="s">
        <v>167</v>
      </c>
      <c r="CX9" s="138" t="s">
        <v>167</v>
      </c>
      <c r="CY9" s="138" t="s">
        <v>167</v>
      </c>
      <c r="CZ9" s="138" t="s">
        <v>167</v>
      </c>
      <c r="DA9" s="138" t="s">
        <v>167</v>
      </c>
      <c r="DB9" s="138" t="s">
        <v>167</v>
      </c>
      <c r="DC9" s="138" t="s">
        <v>167</v>
      </c>
      <c r="DD9" s="138" t="s">
        <v>167</v>
      </c>
      <c r="DE9" s="138" t="s">
        <v>167</v>
      </c>
      <c r="DF9" s="138" t="s">
        <v>167</v>
      </c>
      <c r="DG9">
        <v>36</v>
      </c>
      <c r="DH9" t="s">
        <v>185</v>
      </c>
      <c r="DI9">
        <v>3</v>
      </c>
      <c r="DJ9" t="s">
        <v>167</v>
      </c>
      <c r="DK9" t="s">
        <v>167</v>
      </c>
      <c r="DL9" t="s">
        <v>167</v>
      </c>
      <c r="DM9" t="s">
        <v>167</v>
      </c>
      <c r="DN9" t="s">
        <v>167</v>
      </c>
      <c r="DO9" t="s">
        <v>167</v>
      </c>
      <c r="DP9" t="s">
        <v>167</v>
      </c>
      <c r="DQ9" t="s">
        <v>167</v>
      </c>
      <c r="DR9" t="s">
        <v>167</v>
      </c>
      <c r="DS9" t="s">
        <v>167</v>
      </c>
      <c r="DT9" t="s">
        <v>167</v>
      </c>
      <c r="DU9" t="s">
        <v>167</v>
      </c>
      <c r="DV9" t="s">
        <v>167</v>
      </c>
      <c r="DW9" t="s">
        <v>167</v>
      </c>
      <c r="DX9" t="s">
        <v>167</v>
      </c>
      <c r="DY9" t="s">
        <v>167</v>
      </c>
      <c r="DZ9" t="s">
        <v>167</v>
      </c>
      <c r="EA9" s="159">
        <v>39.495283999999998</v>
      </c>
      <c r="EB9" t="s">
        <v>167</v>
      </c>
      <c r="EC9" t="s">
        <v>167</v>
      </c>
      <c r="ED9" s="157" t="s">
        <v>186</v>
      </c>
      <c r="EE9" s="138" t="s">
        <v>167</v>
      </c>
      <c r="EF9" s="138" t="s">
        <v>167</v>
      </c>
      <c r="EG9">
        <v>1.0271999999999999</v>
      </c>
      <c r="EH9" t="s">
        <v>167</v>
      </c>
      <c r="EI9" t="s">
        <v>167</v>
      </c>
      <c r="EJ9" t="s">
        <v>187</v>
      </c>
      <c r="EK9" t="s">
        <v>179</v>
      </c>
      <c r="EL9" s="157" t="s">
        <v>187</v>
      </c>
      <c r="EM9" s="138" t="s">
        <v>167</v>
      </c>
      <c r="EN9" s="138" t="s">
        <v>167</v>
      </c>
      <c r="EO9" s="138" t="s">
        <v>167</v>
      </c>
      <c r="EP9" s="138" t="s">
        <v>167</v>
      </c>
      <c r="EQ9" s="138" t="s">
        <v>167</v>
      </c>
      <c r="ER9" s="138" t="s">
        <v>167</v>
      </c>
      <c r="ES9" s="138" t="s">
        <v>167</v>
      </c>
      <c r="ET9" s="157" t="s">
        <v>188</v>
      </c>
      <c r="EU9" s="157" t="s">
        <v>189</v>
      </c>
      <c r="EV9" s="138" t="s">
        <v>167</v>
      </c>
      <c r="EW9">
        <v>2300</v>
      </c>
      <c r="EX9" s="138" t="s">
        <v>167</v>
      </c>
      <c r="EY9" s="138" t="s">
        <v>167</v>
      </c>
      <c r="EZ9" s="138" t="s">
        <v>167</v>
      </c>
      <c r="FA9" s="138" t="s">
        <v>167</v>
      </c>
      <c r="FB9" s="138" t="s">
        <v>167</v>
      </c>
      <c r="FC9" s="138" t="s">
        <v>167</v>
      </c>
      <c r="FD9" s="138" t="s">
        <v>167</v>
      </c>
      <c r="FE9" s="159">
        <v>8.3465530870465638</v>
      </c>
      <c r="FF9" s="157" t="s">
        <v>190</v>
      </c>
      <c r="FG9" s="157" t="s">
        <v>167</v>
      </c>
      <c r="FH9" s="157" t="s">
        <v>167</v>
      </c>
      <c r="FI9" s="163">
        <v>152.20010375976562</v>
      </c>
      <c r="FJ9" s="138" t="s">
        <v>167</v>
      </c>
      <c r="FK9" t="s">
        <v>167</v>
      </c>
      <c r="FL9" s="141">
        <v>152.20010375976562</v>
      </c>
      <c r="FM9" s="164">
        <v>9.783599853515625</v>
      </c>
      <c r="FN9" s="164">
        <v>9.1332550048828125</v>
      </c>
      <c r="FO9" t="s">
        <v>167</v>
      </c>
      <c r="FP9" s="157" t="s">
        <v>191</v>
      </c>
      <c r="FQ9" t="s">
        <v>167</v>
      </c>
      <c r="FR9" t="s">
        <v>167</v>
      </c>
      <c r="FS9" t="s">
        <v>167</v>
      </c>
      <c r="FT9" t="s">
        <v>167</v>
      </c>
      <c r="FU9" t="s">
        <v>167</v>
      </c>
      <c r="FV9" t="s">
        <v>167</v>
      </c>
      <c r="FW9" t="s">
        <v>167</v>
      </c>
      <c r="FX9" t="s">
        <v>167</v>
      </c>
      <c r="FY9" t="s">
        <v>167</v>
      </c>
      <c r="FZ9" t="s">
        <v>167</v>
      </c>
      <c r="GA9" t="s">
        <v>167</v>
      </c>
      <c r="GB9" t="s">
        <v>167</v>
      </c>
    </row>
    <row r="10" spans="1:185" ht="16">
      <c r="A10" s="145" t="s">
        <v>229</v>
      </c>
      <c r="B10" s="166" t="s">
        <v>230</v>
      </c>
      <c r="C10" s="138" t="s">
        <v>168</v>
      </c>
      <c r="D10" t="s">
        <v>228</v>
      </c>
      <c r="E10">
        <v>2016</v>
      </c>
      <c r="F10" t="str">
        <f t="shared" si="1"/>
        <v>10.1016/j.epsl.2016.01.022</v>
      </c>
      <c r="G10" s="141">
        <f t="shared" si="2"/>
        <v>858.8</v>
      </c>
      <c r="H10" t="str">
        <f t="shared" si="3"/>
        <v>NA</v>
      </c>
      <c r="I10" t="str">
        <f t="shared" si="4"/>
        <v>NA</v>
      </c>
      <c r="J10" s="141">
        <f t="shared" si="5"/>
        <v>168.45210266113281</v>
      </c>
      <c r="K10" s="141">
        <f t="shared" si="6"/>
        <v>10.977676391601562</v>
      </c>
      <c r="L10" s="141">
        <f t="shared" si="7"/>
        <v>10.221328735351562</v>
      </c>
      <c r="M10" t="b">
        <v>1</v>
      </c>
      <c r="N10">
        <v>3</v>
      </c>
      <c r="O10" t="s">
        <v>231</v>
      </c>
      <c r="P10" s="167" t="s">
        <v>167</v>
      </c>
      <c r="Q10" t="b">
        <v>0</v>
      </c>
      <c r="R10" t="s">
        <v>167</v>
      </c>
      <c r="S10" t="b">
        <v>1</v>
      </c>
      <c r="T10" t="b">
        <v>0</v>
      </c>
      <c r="U10" t="s">
        <v>167</v>
      </c>
      <c r="V10" t="s">
        <v>167</v>
      </c>
      <c r="W10" t="b">
        <v>0</v>
      </c>
      <c r="X10" t="s">
        <v>167</v>
      </c>
      <c r="Y10" s="155" t="s">
        <v>202</v>
      </c>
      <c r="Z10" s="156" t="s">
        <v>170</v>
      </c>
      <c r="AA10" s="144">
        <v>1264</v>
      </c>
      <c r="AB10" s="144" t="s">
        <v>171</v>
      </c>
      <c r="AC10" s="144">
        <v>1</v>
      </c>
      <c r="AD10" s="144">
        <v>1</v>
      </c>
      <c r="AE10" s="144">
        <v>137</v>
      </c>
      <c r="AF10" s="144">
        <v>138</v>
      </c>
      <c r="AG10" t="s">
        <v>167</v>
      </c>
      <c r="AH10" t="s">
        <v>167</v>
      </c>
      <c r="AI10" t="s">
        <v>167</v>
      </c>
      <c r="AJ10" s="157" t="s">
        <v>172</v>
      </c>
      <c r="AK10" s="157">
        <v>-28.53</v>
      </c>
      <c r="AL10" s="157">
        <v>2.85</v>
      </c>
      <c r="AM10" s="138" t="s">
        <v>167</v>
      </c>
      <c r="AN10" s="138" t="s">
        <v>167</v>
      </c>
      <c r="AO10">
        <v>-2507</v>
      </c>
      <c r="AP10" s="146" t="s">
        <v>167</v>
      </c>
      <c r="AQ10" t="s">
        <v>167</v>
      </c>
      <c r="AR10" t="s">
        <v>167</v>
      </c>
      <c r="AS10" s="158">
        <v>858.8</v>
      </c>
      <c r="AT10" s="148" t="s">
        <v>167</v>
      </c>
      <c r="AU10" t="s">
        <v>167</v>
      </c>
      <c r="AV10" t="s">
        <v>167</v>
      </c>
      <c r="AW10" t="s">
        <v>167</v>
      </c>
      <c r="AX10" t="s">
        <v>173</v>
      </c>
      <c r="AY10" s="157" t="s">
        <v>174</v>
      </c>
      <c r="AZ10" s="138" t="s">
        <v>167</v>
      </c>
      <c r="BA10" s="138" t="s">
        <v>167</v>
      </c>
      <c r="BB10" s="138" t="s">
        <v>167</v>
      </c>
      <c r="BC10" s="138" t="s">
        <v>167</v>
      </c>
      <c r="BD10" s="138" t="s">
        <v>167</v>
      </c>
      <c r="BE10" s="138" t="s">
        <v>167</v>
      </c>
      <c r="BF10" s="138" t="s">
        <v>167</v>
      </c>
      <c r="BG10" s="157" t="s">
        <v>175</v>
      </c>
      <c r="BH10" s="157" t="s">
        <v>176</v>
      </c>
      <c r="BI10" s="157" t="s">
        <v>177</v>
      </c>
      <c r="BJ10" s="157" t="s">
        <v>167</v>
      </c>
      <c r="BK10" s="157" t="s">
        <v>178</v>
      </c>
      <c r="BL10" s="157" t="s">
        <v>179</v>
      </c>
      <c r="BM10" s="157" t="s">
        <v>180</v>
      </c>
      <c r="BN10" s="157" t="s">
        <v>167</v>
      </c>
      <c r="BO10" s="138" t="s">
        <v>167</v>
      </c>
      <c r="BP10" s="138" t="s">
        <v>167</v>
      </c>
      <c r="BQ10" s="159">
        <v>20.991361255563511</v>
      </c>
      <c r="BR10" s="157" t="s">
        <v>181</v>
      </c>
      <c r="BS10" s="160">
        <v>0.28000000000000003</v>
      </c>
      <c r="BT10" s="157">
        <v>0.83399999999999996</v>
      </c>
      <c r="BU10" s="157" t="s">
        <v>167</v>
      </c>
      <c r="BV10" s="161" t="s">
        <v>167</v>
      </c>
      <c r="BW10" s="157">
        <v>3.6</v>
      </c>
      <c r="BX10" s="157"/>
      <c r="BY10" s="157" t="s">
        <v>167</v>
      </c>
      <c r="BZ10" s="157" t="s">
        <v>203</v>
      </c>
      <c r="CA10" s="157" t="s">
        <v>183</v>
      </c>
      <c r="CB10" s="159">
        <v>20.852951145759604</v>
      </c>
      <c r="CC10" s="138" t="s">
        <v>167</v>
      </c>
      <c r="CD10" s="138" t="s">
        <v>167</v>
      </c>
      <c r="CE10" s="138" t="s">
        <v>167</v>
      </c>
      <c r="CF10" s="138" t="s">
        <v>167</v>
      </c>
      <c r="CG10" s="138" t="s">
        <v>167</v>
      </c>
      <c r="CH10" s="138" t="s">
        <v>167</v>
      </c>
      <c r="CI10" s="138" t="s">
        <v>167</v>
      </c>
      <c r="CJ10" s="162">
        <v>22.245819999999998</v>
      </c>
      <c r="CK10" s="138" t="s">
        <v>167</v>
      </c>
      <c r="CL10" s="138" t="s">
        <v>167</v>
      </c>
      <c r="CM10" s="138" t="s">
        <v>167</v>
      </c>
      <c r="CN10" s="138" t="s">
        <v>167</v>
      </c>
      <c r="CO10" s="138" t="s">
        <v>167</v>
      </c>
      <c r="CP10" s="138" t="s">
        <v>167</v>
      </c>
      <c r="CQ10" s="138" t="s">
        <v>167</v>
      </c>
      <c r="CR10" s="138" t="s">
        <v>167</v>
      </c>
      <c r="CS10" s="138" t="s">
        <v>167</v>
      </c>
      <c r="CT10" s="138" t="s">
        <v>184</v>
      </c>
      <c r="CU10" s="138" t="s">
        <v>167</v>
      </c>
      <c r="CV10" s="138" t="s">
        <v>167</v>
      </c>
      <c r="CW10" s="138" t="s">
        <v>167</v>
      </c>
      <c r="CX10" s="138" t="s">
        <v>167</v>
      </c>
      <c r="CY10" s="138" t="s">
        <v>167</v>
      </c>
      <c r="CZ10" s="138" t="s">
        <v>167</v>
      </c>
      <c r="DA10" s="138" t="s">
        <v>167</v>
      </c>
      <c r="DB10" s="138" t="s">
        <v>167</v>
      </c>
      <c r="DC10" s="138" t="s">
        <v>167</v>
      </c>
      <c r="DD10" s="138" t="s">
        <v>167</v>
      </c>
      <c r="DE10" s="138" t="s">
        <v>167</v>
      </c>
      <c r="DF10" s="138" t="s">
        <v>167</v>
      </c>
      <c r="DG10">
        <v>36</v>
      </c>
      <c r="DH10" t="s">
        <v>185</v>
      </c>
      <c r="DI10">
        <v>3</v>
      </c>
      <c r="DJ10" t="s">
        <v>167</v>
      </c>
      <c r="DK10" t="s">
        <v>167</v>
      </c>
      <c r="DL10" t="s">
        <v>167</v>
      </c>
      <c r="DM10" t="s">
        <v>167</v>
      </c>
      <c r="DN10" t="s">
        <v>167</v>
      </c>
      <c r="DO10" t="s">
        <v>167</v>
      </c>
      <c r="DP10" t="s">
        <v>167</v>
      </c>
      <c r="DQ10" t="s">
        <v>167</v>
      </c>
      <c r="DR10" t="s">
        <v>167</v>
      </c>
      <c r="DS10" t="s">
        <v>167</v>
      </c>
      <c r="DT10" t="s">
        <v>167</v>
      </c>
      <c r="DU10" t="s">
        <v>167</v>
      </c>
      <c r="DV10" t="s">
        <v>167</v>
      </c>
      <c r="DW10" t="s">
        <v>167</v>
      </c>
      <c r="DX10" t="s">
        <v>167</v>
      </c>
      <c r="DY10" t="s">
        <v>167</v>
      </c>
      <c r="DZ10" t="s">
        <v>167</v>
      </c>
      <c r="EA10" s="165">
        <v>39.49</v>
      </c>
      <c r="EB10" t="s">
        <v>167</v>
      </c>
      <c r="EC10" t="s">
        <v>167</v>
      </c>
      <c r="ED10" s="157" t="s">
        <v>186</v>
      </c>
      <c r="EE10" s="138" t="s">
        <v>167</v>
      </c>
      <c r="EF10" s="138" t="s">
        <v>167</v>
      </c>
      <c r="EG10">
        <v>1.0271999999999999</v>
      </c>
      <c r="EH10" t="s">
        <v>167</v>
      </c>
      <c r="EI10" t="s">
        <v>167</v>
      </c>
      <c r="EJ10" t="s">
        <v>187</v>
      </c>
      <c r="EK10" t="s">
        <v>179</v>
      </c>
      <c r="EL10" s="157" t="s">
        <v>187</v>
      </c>
      <c r="EM10" s="138" t="s">
        <v>167</v>
      </c>
      <c r="EN10" s="138" t="s">
        <v>167</v>
      </c>
      <c r="EO10" s="138" t="s">
        <v>167</v>
      </c>
      <c r="EP10" s="138" t="s">
        <v>167</v>
      </c>
      <c r="EQ10" s="138" t="s">
        <v>167</v>
      </c>
      <c r="ER10" s="138" t="s">
        <v>167</v>
      </c>
      <c r="ES10" s="138" t="s">
        <v>167</v>
      </c>
      <c r="ET10" s="157" t="s">
        <v>188</v>
      </c>
      <c r="EU10" s="157" t="s">
        <v>189</v>
      </c>
      <c r="EV10" s="138" t="s">
        <v>167</v>
      </c>
      <c r="EW10">
        <v>2300</v>
      </c>
      <c r="EX10" s="138" t="s">
        <v>167</v>
      </c>
      <c r="EY10" s="138" t="s">
        <v>167</v>
      </c>
      <c r="EZ10" s="138" t="s">
        <v>167</v>
      </c>
      <c r="FA10" s="138" t="s">
        <v>167</v>
      </c>
      <c r="FB10" s="138" t="s">
        <v>167</v>
      </c>
      <c r="FC10" s="138" t="s">
        <v>167</v>
      </c>
      <c r="FD10" s="138" t="s">
        <v>167</v>
      </c>
      <c r="FE10" s="159">
        <v>8.3141047230153671</v>
      </c>
      <c r="FF10" s="157" t="s">
        <v>190</v>
      </c>
      <c r="FG10" s="157" t="s">
        <v>167</v>
      </c>
      <c r="FH10" s="157" t="s">
        <v>167</v>
      </c>
      <c r="FI10" s="163">
        <v>168.45210266113281</v>
      </c>
      <c r="FJ10" s="138" t="s">
        <v>167</v>
      </c>
      <c r="FK10" t="s">
        <v>167</v>
      </c>
      <c r="FL10" s="141">
        <v>168.45210266113281</v>
      </c>
      <c r="FM10" s="164">
        <v>10.977676391601562</v>
      </c>
      <c r="FN10" s="164">
        <v>10.221328735351562</v>
      </c>
      <c r="FO10" t="s">
        <v>167</v>
      </c>
      <c r="FP10" s="157" t="s">
        <v>191</v>
      </c>
      <c r="FQ10" t="s">
        <v>167</v>
      </c>
      <c r="FR10" t="s">
        <v>167</v>
      </c>
      <c r="FS10" t="s">
        <v>167</v>
      </c>
      <c r="FT10" t="s">
        <v>167</v>
      </c>
      <c r="FU10" t="s">
        <v>167</v>
      </c>
      <c r="FV10" t="s">
        <v>167</v>
      </c>
      <c r="FW10" t="s">
        <v>167</v>
      </c>
      <c r="FX10" t="s">
        <v>167</v>
      </c>
      <c r="FY10" t="s">
        <v>167</v>
      </c>
      <c r="FZ10" t="s">
        <v>167</v>
      </c>
      <c r="GA10" t="s">
        <v>167</v>
      </c>
      <c r="GB10" t="s">
        <v>167</v>
      </c>
    </row>
    <row r="11" spans="1:185" ht="16">
      <c r="A11" s="145" t="s">
        <v>229</v>
      </c>
      <c r="B11" s="166" t="s">
        <v>230</v>
      </c>
      <c r="C11" s="138" t="s">
        <v>168</v>
      </c>
      <c r="D11" t="s">
        <v>228</v>
      </c>
      <c r="E11">
        <v>2016</v>
      </c>
      <c r="F11" t="str">
        <f t="shared" si="1"/>
        <v>10.1016/j.epsl.2016.01.022</v>
      </c>
      <c r="G11" s="141">
        <f t="shared" si="2"/>
        <v>944.5</v>
      </c>
      <c r="H11" t="str">
        <f t="shared" si="3"/>
        <v>NA</v>
      </c>
      <c r="I11" t="str">
        <f t="shared" si="4"/>
        <v>NA</v>
      </c>
      <c r="J11" s="141">
        <f t="shared" si="5"/>
        <v>183.29255676269531</v>
      </c>
      <c r="K11" s="141">
        <f t="shared" si="6"/>
        <v>12.109130859375</v>
      </c>
      <c r="L11" s="141">
        <f t="shared" si="7"/>
        <v>11.248916625976562</v>
      </c>
      <c r="M11" t="b">
        <v>1</v>
      </c>
      <c r="N11">
        <v>3</v>
      </c>
      <c r="O11" t="s">
        <v>231</v>
      </c>
      <c r="P11" s="167" t="s">
        <v>167</v>
      </c>
      <c r="Q11" t="b">
        <v>0</v>
      </c>
      <c r="R11" t="s">
        <v>167</v>
      </c>
      <c r="S11" t="b">
        <v>1</v>
      </c>
      <c r="T11" t="b">
        <v>0</v>
      </c>
      <c r="U11" t="s">
        <v>167</v>
      </c>
      <c r="V11" t="s">
        <v>167</v>
      </c>
      <c r="W11" t="b">
        <v>0</v>
      </c>
      <c r="X11" t="s">
        <v>167</v>
      </c>
      <c r="Y11" s="155" t="s">
        <v>204</v>
      </c>
      <c r="Z11" s="156" t="s">
        <v>170</v>
      </c>
      <c r="AA11" s="144">
        <v>1264</v>
      </c>
      <c r="AB11" s="144" t="s">
        <v>171</v>
      </c>
      <c r="AC11" s="144">
        <v>1</v>
      </c>
      <c r="AD11" s="144">
        <v>2</v>
      </c>
      <c r="AE11" s="144">
        <v>32</v>
      </c>
      <c r="AF11" s="144">
        <v>34</v>
      </c>
      <c r="AG11" t="s">
        <v>167</v>
      </c>
      <c r="AH11" t="s">
        <v>167</v>
      </c>
      <c r="AI11" t="s">
        <v>167</v>
      </c>
      <c r="AJ11" s="157" t="s">
        <v>172</v>
      </c>
      <c r="AK11" s="157">
        <v>-28.53</v>
      </c>
      <c r="AL11" s="157">
        <v>2.85</v>
      </c>
      <c r="AM11" s="138" t="s">
        <v>167</v>
      </c>
      <c r="AN11" s="138" t="s">
        <v>167</v>
      </c>
      <c r="AO11">
        <v>-2507</v>
      </c>
      <c r="AP11" s="146" t="s">
        <v>167</v>
      </c>
      <c r="AQ11" t="s">
        <v>167</v>
      </c>
      <c r="AR11" t="s">
        <v>167</v>
      </c>
      <c r="AS11" s="158">
        <v>944.5</v>
      </c>
      <c r="AT11" s="148" t="s">
        <v>167</v>
      </c>
      <c r="AU11" t="s">
        <v>167</v>
      </c>
      <c r="AV11" t="s">
        <v>167</v>
      </c>
      <c r="AW11" t="s">
        <v>167</v>
      </c>
      <c r="AX11" t="s">
        <v>173</v>
      </c>
      <c r="AY11" s="157" t="s">
        <v>174</v>
      </c>
      <c r="AZ11" s="138" t="s">
        <v>167</v>
      </c>
      <c r="BA11" s="138" t="s">
        <v>167</v>
      </c>
      <c r="BB11" s="138" t="s">
        <v>167</v>
      </c>
      <c r="BC11" s="138" t="s">
        <v>167</v>
      </c>
      <c r="BD11" s="138" t="s">
        <v>167</v>
      </c>
      <c r="BE11" s="138" t="s">
        <v>167</v>
      </c>
      <c r="BF11" s="138" t="s">
        <v>167</v>
      </c>
      <c r="BG11" s="157" t="s">
        <v>175</v>
      </c>
      <c r="BH11" s="157" t="s">
        <v>176</v>
      </c>
      <c r="BI11" s="157" t="s">
        <v>177</v>
      </c>
      <c r="BJ11" s="157" t="s">
        <v>167</v>
      </c>
      <c r="BK11" s="157" t="s">
        <v>178</v>
      </c>
      <c r="BL11" s="157" t="s">
        <v>179</v>
      </c>
      <c r="BM11" s="157" t="s">
        <v>180</v>
      </c>
      <c r="BN11" s="157" t="s">
        <v>167</v>
      </c>
      <c r="BO11" s="138" t="s">
        <v>167</v>
      </c>
      <c r="BP11" s="138" t="s">
        <v>167</v>
      </c>
      <c r="BQ11" s="159">
        <v>20.671563855612234</v>
      </c>
      <c r="BR11" s="157" t="s">
        <v>181</v>
      </c>
      <c r="BS11" s="160">
        <v>0.28000000000000003</v>
      </c>
      <c r="BT11" s="157">
        <v>0.83399999999999996</v>
      </c>
      <c r="BU11" s="157" t="s">
        <v>167</v>
      </c>
      <c r="BV11" s="161" t="s">
        <v>167</v>
      </c>
      <c r="BW11" s="157">
        <v>3.6</v>
      </c>
      <c r="BX11" s="157"/>
      <c r="BY11" s="157" t="s">
        <v>167</v>
      </c>
      <c r="BZ11" s="157" t="s">
        <v>205</v>
      </c>
      <c r="CA11" s="157" t="s">
        <v>183</v>
      </c>
      <c r="CB11" s="159">
        <v>20.469501025913949</v>
      </c>
      <c r="CC11" s="138" t="s">
        <v>167</v>
      </c>
      <c r="CD11" s="138" t="s">
        <v>167</v>
      </c>
      <c r="CE11" s="138" t="s">
        <v>167</v>
      </c>
      <c r="CF11" s="138" t="s">
        <v>167</v>
      </c>
      <c r="CG11" s="138" t="s">
        <v>167</v>
      </c>
      <c r="CH11" s="138" t="s">
        <v>167</v>
      </c>
      <c r="CI11" s="138" t="s">
        <v>167</v>
      </c>
      <c r="CJ11" s="162">
        <v>22.283349999999999</v>
      </c>
      <c r="CK11" s="138" t="s">
        <v>167</v>
      </c>
      <c r="CL11" s="138" t="s">
        <v>167</v>
      </c>
      <c r="CM11" s="138" t="s">
        <v>167</v>
      </c>
      <c r="CN11" s="138" t="s">
        <v>167</v>
      </c>
      <c r="CO11" s="138" t="s">
        <v>167</v>
      </c>
      <c r="CP11" s="138" t="s">
        <v>167</v>
      </c>
      <c r="CQ11" s="138" t="s">
        <v>167</v>
      </c>
      <c r="CR11" s="138" t="s">
        <v>167</v>
      </c>
      <c r="CS11" s="138" t="s">
        <v>167</v>
      </c>
      <c r="CT11" s="138" t="s">
        <v>184</v>
      </c>
      <c r="CU11" s="138" t="s">
        <v>167</v>
      </c>
      <c r="CV11" s="138" t="s">
        <v>167</v>
      </c>
      <c r="CW11" s="138" t="s">
        <v>167</v>
      </c>
      <c r="CX11" s="138" t="s">
        <v>167</v>
      </c>
      <c r="CY11" s="138" t="s">
        <v>167</v>
      </c>
      <c r="CZ11" s="138" t="s">
        <v>167</v>
      </c>
      <c r="DA11" s="138" t="s">
        <v>167</v>
      </c>
      <c r="DB11" s="138" t="s">
        <v>167</v>
      </c>
      <c r="DC11" s="138" t="s">
        <v>167</v>
      </c>
      <c r="DD11" s="138" t="s">
        <v>167</v>
      </c>
      <c r="DE11" s="138" t="s">
        <v>167</v>
      </c>
      <c r="DF11" s="138" t="s">
        <v>167</v>
      </c>
      <c r="DG11">
        <v>36</v>
      </c>
      <c r="DH11" t="s">
        <v>185</v>
      </c>
      <c r="DI11">
        <v>3</v>
      </c>
      <c r="DJ11" t="s">
        <v>167</v>
      </c>
      <c r="DK11" t="s">
        <v>167</v>
      </c>
      <c r="DL11" t="s">
        <v>167</v>
      </c>
      <c r="DM11" t="s">
        <v>167</v>
      </c>
      <c r="DN11" t="s">
        <v>167</v>
      </c>
      <c r="DO11" t="s">
        <v>167</v>
      </c>
      <c r="DP11" t="s">
        <v>167</v>
      </c>
      <c r="DQ11" t="s">
        <v>167</v>
      </c>
      <c r="DR11" t="s">
        <v>167</v>
      </c>
      <c r="DS11" t="s">
        <v>167</v>
      </c>
      <c r="DT11" t="s">
        <v>167</v>
      </c>
      <c r="DU11" t="s">
        <v>167</v>
      </c>
      <c r="DV11" t="s">
        <v>167</v>
      </c>
      <c r="DW11" t="s">
        <v>167</v>
      </c>
      <c r="DX11" t="s">
        <v>167</v>
      </c>
      <c r="DY11" t="s">
        <v>167</v>
      </c>
      <c r="DZ11" t="s">
        <v>167</v>
      </c>
      <c r="EA11" s="159">
        <v>39.47777</v>
      </c>
      <c r="EB11" t="s">
        <v>167</v>
      </c>
      <c r="EC11" t="s">
        <v>167</v>
      </c>
      <c r="ED11" s="157" t="s">
        <v>186</v>
      </c>
      <c r="EE11" s="138" t="s">
        <v>167</v>
      </c>
      <c r="EF11" s="138" t="s">
        <v>167</v>
      </c>
      <c r="EG11">
        <v>1.0271999999999999</v>
      </c>
      <c r="EH11" t="s">
        <v>167</v>
      </c>
      <c r="EI11" t="s">
        <v>167</v>
      </c>
      <c r="EJ11" t="s">
        <v>187</v>
      </c>
      <c r="EK11" t="s">
        <v>179</v>
      </c>
      <c r="EL11" s="157" t="s">
        <v>187</v>
      </c>
      <c r="EM11" s="138" t="s">
        <v>167</v>
      </c>
      <c r="EN11" s="138" t="s">
        <v>167</v>
      </c>
      <c r="EO11" s="138" t="s">
        <v>167</v>
      </c>
      <c r="EP11" s="138" t="s">
        <v>167</v>
      </c>
      <c r="EQ11" s="138" t="s">
        <v>167</v>
      </c>
      <c r="ER11" s="138" t="s">
        <v>167</v>
      </c>
      <c r="ES11" s="138" t="s">
        <v>167</v>
      </c>
      <c r="ET11" s="157" t="s">
        <v>188</v>
      </c>
      <c r="EU11" s="157" t="s">
        <v>189</v>
      </c>
      <c r="EV11" s="138" t="s">
        <v>167</v>
      </c>
      <c r="EW11">
        <v>2300</v>
      </c>
      <c r="EX11" s="138" t="s">
        <v>167</v>
      </c>
      <c r="EY11" s="138" t="s">
        <v>167</v>
      </c>
      <c r="EZ11" s="138" t="s">
        <v>167</v>
      </c>
      <c r="FA11" s="138" t="s">
        <v>167</v>
      </c>
      <c r="FB11" s="138" t="s">
        <v>167</v>
      </c>
      <c r="FC11" s="138" t="s">
        <v>167</v>
      </c>
      <c r="FD11" s="138" t="s">
        <v>167</v>
      </c>
      <c r="FE11" s="159">
        <v>8.2867430900091499</v>
      </c>
      <c r="FF11" s="157" t="s">
        <v>190</v>
      </c>
      <c r="FG11" s="157" t="s">
        <v>167</v>
      </c>
      <c r="FH11" s="157" t="s">
        <v>167</v>
      </c>
      <c r="FI11" s="163">
        <v>183.29255676269531</v>
      </c>
      <c r="FJ11" s="138" t="s">
        <v>167</v>
      </c>
      <c r="FK11" t="s">
        <v>167</v>
      </c>
      <c r="FL11" s="141">
        <v>183.29255676269531</v>
      </c>
      <c r="FM11" s="164">
        <v>12.109130859375</v>
      </c>
      <c r="FN11" s="164">
        <v>11.248916625976562</v>
      </c>
      <c r="FO11" t="s">
        <v>167</v>
      </c>
      <c r="FP11" s="157" t="s">
        <v>191</v>
      </c>
      <c r="FQ11" t="s">
        <v>167</v>
      </c>
      <c r="FR11" t="s">
        <v>167</v>
      </c>
      <c r="FS11" t="s">
        <v>167</v>
      </c>
      <c r="FT11" t="s">
        <v>167</v>
      </c>
      <c r="FU11" t="s">
        <v>167</v>
      </c>
      <c r="FV11" t="s">
        <v>167</v>
      </c>
      <c r="FW11" t="s">
        <v>167</v>
      </c>
      <c r="FX11" t="s">
        <v>167</v>
      </c>
      <c r="FY11" t="s">
        <v>167</v>
      </c>
      <c r="FZ11" t="s">
        <v>167</v>
      </c>
      <c r="GA11" t="s">
        <v>167</v>
      </c>
      <c r="GB11" t="s">
        <v>167</v>
      </c>
    </row>
    <row r="12" spans="1:185" ht="16">
      <c r="A12" s="145" t="s">
        <v>229</v>
      </c>
      <c r="B12" s="166" t="s">
        <v>230</v>
      </c>
      <c r="C12" s="138" t="s">
        <v>168</v>
      </c>
      <c r="D12" t="s">
        <v>228</v>
      </c>
      <c r="E12">
        <v>2016</v>
      </c>
      <c r="F12" t="str">
        <f t="shared" si="1"/>
        <v>10.1016/j.epsl.2016.01.022</v>
      </c>
      <c r="G12" s="141">
        <f t="shared" si="2"/>
        <v>1820.4</v>
      </c>
      <c r="H12" t="str">
        <f t="shared" si="3"/>
        <v>NA</v>
      </c>
      <c r="I12" t="str">
        <f t="shared" si="4"/>
        <v>NA</v>
      </c>
      <c r="J12" s="141">
        <f t="shared" si="5"/>
        <v>249.66188049316406</v>
      </c>
      <c r="K12" s="141">
        <f t="shared" si="6"/>
        <v>17.622512817382812</v>
      </c>
      <c r="L12" s="141">
        <f t="shared" si="7"/>
        <v>16.200531005859375</v>
      </c>
      <c r="M12" t="b">
        <v>1</v>
      </c>
      <c r="N12">
        <v>3</v>
      </c>
      <c r="O12" t="s">
        <v>231</v>
      </c>
      <c r="P12" s="167" t="s">
        <v>167</v>
      </c>
      <c r="Q12" t="b">
        <v>0</v>
      </c>
      <c r="R12" t="s">
        <v>167</v>
      </c>
      <c r="S12" t="b">
        <v>1</v>
      </c>
      <c r="T12" t="b">
        <v>0</v>
      </c>
      <c r="U12" t="s">
        <v>167</v>
      </c>
      <c r="V12" t="s">
        <v>167</v>
      </c>
      <c r="W12" t="b">
        <v>0</v>
      </c>
      <c r="X12" t="s">
        <v>167</v>
      </c>
      <c r="Y12" s="155" t="s">
        <v>206</v>
      </c>
      <c r="Z12" s="156" t="s">
        <v>170</v>
      </c>
      <c r="AA12" s="144">
        <v>1264</v>
      </c>
      <c r="AB12" s="144" t="s">
        <v>171</v>
      </c>
      <c r="AC12" s="144">
        <v>1</v>
      </c>
      <c r="AD12" s="144">
        <v>6</v>
      </c>
      <c r="AE12" s="144">
        <v>32</v>
      </c>
      <c r="AF12" s="144">
        <v>34</v>
      </c>
      <c r="AG12" t="s">
        <v>167</v>
      </c>
      <c r="AH12" t="s">
        <v>167</v>
      </c>
      <c r="AI12" t="s">
        <v>167</v>
      </c>
      <c r="AJ12" s="157" t="s">
        <v>172</v>
      </c>
      <c r="AK12" s="157">
        <v>-28.53</v>
      </c>
      <c r="AL12" s="157">
        <v>2.85</v>
      </c>
      <c r="AM12" s="138" t="s">
        <v>167</v>
      </c>
      <c r="AN12" s="138" t="s">
        <v>167</v>
      </c>
      <c r="AO12">
        <v>-2507</v>
      </c>
      <c r="AP12" s="146" t="s">
        <v>167</v>
      </c>
      <c r="AQ12" t="s">
        <v>167</v>
      </c>
      <c r="AR12" t="s">
        <v>167</v>
      </c>
      <c r="AS12" s="158">
        <v>1820.4</v>
      </c>
      <c r="AT12" s="148" t="s">
        <v>167</v>
      </c>
      <c r="AU12" t="s">
        <v>167</v>
      </c>
      <c r="AV12" t="s">
        <v>167</v>
      </c>
      <c r="AW12" t="s">
        <v>167</v>
      </c>
      <c r="AX12" t="s">
        <v>173</v>
      </c>
      <c r="AY12" s="157" t="s">
        <v>174</v>
      </c>
      <c r="AZ12" s="138" t="s">
        <v>167</v>
      </c>
      <c r="BA12" s="138" t="s">
        <v>167</v>
      </c>
      <c r="BB12" s="138" t="s">
        <v>167</v>
      </c>
      <c r="BC12" s="138" t="s">
        <v>167</v>
      </c>
      <c r="BD12" s="138" t="s">
        <v>167</v>
      </c>
      <c r="BE12" s="138" t="s">
        <v>167</v>
      </c>
      <c r="BF12" s="138" t="s">
        <v>167</v>
      </c>
      <c r="BG12" s="157" t="s">
        <v>175</v>
      </c>
      <c r="BH12" s="157" t="s">
        <v>176</v>
      </c>
      <c r="BI12" s="157" t="s">
        <v>177</v>
      </c>
      <c r="BJ12" s="157" t="s">
        <v>167</v>
      </c>
      <c r="BK12" s="157" t="s">
        <v>178</v>
      </c>
      <c r="BL12" s="157" t="s">
        <v>179</v>
      </c>
      <c r="BM12" s="157" t="s">
        <v>180</v>
      </c>
      <c r="BN12" s="157" t="s">
        <v>167</v>
      </c>
      <c r="BO12" s="138" t="s">
        <v>167</v>
      </c>
      <c r="BP12" s="138" t="s">
        <v>167</v>
      </c>
      <c r="BQ12" s="159">
        <v>19.498205774750073</v>
      </c>
      <c r="BR12" s="157" t="s">
        <v>181</v>
      </c>
      <c r="BS12" s="160">
        <v>0.28000000000000003</v>
      </c>
      <c r="BT12" s="157">
        <v>0.83399999999999996</v>
      </c>
      <c r="BU12" s="157" t="s">
        <v>167</v>
      </c>
      <c r="BV12" s="161" t="s">
        <v>167</v>
      </c>
      <c r="BW12" s="157">
        <v>3.6</v>
      </c>
      <c r="BX12" s="157"/>
      <c r="BY12" s="157" t="s">
        <v>167</v>
      </c>
      <c r="BZ12" s="157" t="s">
        <v>207</v>
      </c>
      <c r="CA12" s="157" t="s">
        <v>183</v>
      </c>
      <c r="CB12" s="159">
        <v>19.062596852218313</v>
      </c>
      <c r="CC12" s="138" t="s">
        <v>167</v>
      </c>
      <c r="CD12" s="138" t="s">
        <v>167</v>
      </c>
      <c r="CE12" s="138" t="s">
        <v>167</v>
      </c>
      <c r="CF12" s="138" t="s">
        <v>167</v>
      </c>
      <c r="CG12" s="138" t="s">
        <v>167</v>
      </c>
      <c r="CH12" s="138" t="s">
        <v>167</v>
      </c>
      <c r="CI12" s="138" t="s">
        <v>167</v>
      </c>
      <c r="CJ12" s="162">
        <v>22.546119999999998</v>
      </c>
      <c r="CK12" s="138" t="s">
        <v>167</v>
      </c>
      <c r="CL12" s="138" t="s">
        <v>167</v>
      </c>
      <c r="CM12" s="138" t="s">
        <v>167</v>
      </c>
      <c r="CN12" s="138" t="s">
        <v>167</v>
      </c>
      <c r="CO12" s="138" t="s">
        <v>167</v>
      </c>
      <c r="CP12" s="138" t="s">
        <v>167</v>
      </c>
      <c r="CQ12" s="138" t="s">
        <v>167</v>
      </c>
      <c r="CR12" s="138" t="s">
        <v>167</v>
      </c>
      <c r="CS12" s="138" t="s">
        <v>167</v>
      </c>
      <c r="CT12" s="138" t="s">
        <v>184</v>
      </c>
      <c r="CU12" s="138" t="s">
        <v>167</v>
      </c>
      <c r="CV12" s="138" t="s">
        <v>167</v>
      </c>
      <c r="CW12" s="138" t="s">
        <v>167</v>
      </c>
      <c r="CX12" s="138" t="s">
        <v>167</v>
      </c>
      <c r="CY12" s="138" t="s">
        <v>167</v>
      </c>
      <c r="CZ12" s="138" t="s">
        <v>167</v>
      </c>
      <c r="DA12" s="138" t="s">
        <v>167</v>
      </c>
      <c r="DB12" s="138" t="s">
        <v>167</v>
      </c>
      <c r="DC12" s="138" t="s">
        <v>167</v>
      </c>
      <c r="DD12" s="138" t="s">
        <v>167</v>
      </c>
      <c r="DE12" s="138" t="s">
        <v>167</v>
      </c>
      <c r="DF12" s="138" t="s">
        <v>167</v>
      </c>
      <c r="DG12">
        <v>36</v>
      </c>
      <c r="DH12" t="s">
        <v>185</v>
      </c>
      <c r="DI12">
        <v>3</v>
      </c>
      <c r="DJ12" t="s">
        <v>167</v>
      </c>
      <c r="DK12" t="s">
        <v>167</v>
      </c>
      <c r="DL12" t="s">
        <v>167</v>
      </c>
      <c r="DM12" t="s">
        <v>167</v>
      </c>
      <c r="DN12" t="s">
        <v>167</v>
      </c>
      <c r="DO12" t="s">
        <v>167</v>
      </c>
      <c r="DP12" t="s">
        <v>167</v>
      </c>
      <c r="DQ12" t="s">
        <v>167</v>
      </c>
      <c r="DR12" t="s">
        <v>167</v>
      </c>
      <c r="DS12" t="s">
        <v>167</v>
      </c>
      <c r="DT12" t="s">
        <v>167</v>
      </c>
      <c r="DU12" t="s">
        <v>167</v>
      </c>
      <c r="DV12" t="s">
        <v>167</v>
      </c>
      <c r="DW12" t="s">
        <v>167</v>
      </c>
      <c r="DX12" t="s">
        <v>167</v>
      </c>
      <c r="DY12" t="s">
        <v>167</v>
      </c>
      <c r="DZ12" t="s">
        <v>167</v>
      </c>
      <c r="EA12" s="159">
        <v>39.355144000000003</v>
      </c>
      <c r="EB12" t="s">
        <v>167</v>
      </c>
      <c r="EC12" t="s">
        <v>167</v>
      </c>
      <c r="ED12" s="157" t="s">
        <v>186</v>
      </c>
      <c r="EE12" s="138" t="s">
        <v>167</v>
      </c>
      <c r="EF12" s="138" t="s">
        <v>167</v>
      </c>
      <c r="EG12">
        <v>1.0271999999999999</v>
      </c>
      <c r="EH12" t="s">
        <v>167</v>
      </c>
      <c r="EI12" t="s">
        <v>167</v>
      </c>
      <c r="EJ12" t="s">
        <v>187</v>
      </c>
      <c r="EK12" t="s">
        <v>179</v>
      </c>
      <c r="EL12" s="157" t="s">
        <v>187</v>
      </c>
      <c r="EM12" s="138" t="s">
        <v>167</v>
      </c>
      <c r="EN12" s="138" t="s">
        <v>167</v>
      </c>
      <c r="EO12" s="138" t="s">
        <v>167</v>
      </c>
      <c r="EP12" s="138" t="s">
        <v>167</v>
      </c>
      <c r="EQ12" s="138" t="s">
        <v>167</v>
      </c>
      <c r="ER12" s="138" t="s">
        <v>167</v>
      </c>
      <c r="ES12" s="138" t="s">
        <v>167</v>
      </c>
      <c r="ET12" s="157" t="s">
        <v>188</v>
      </c>
      <c r="EU12" s="157" t="s">
        <v>189</v>
      </c>
      <c r="EV12" s="138" t="s">
        <v>167</v>
      </c>
      <c r="EW12">
        <v>2300</v>
      </c>
      <c r="EX12" s="138" t="s">
        <v>167</v>
      </c>
      <c r="EY12" s="138" t="s">
        <v>167</v>
      </c>
      <c r="EZ12" s="138" t="s">
        <v>167</v>
      </c>
      <c r="FA12" s="138" t="s">
        <v>167</v>
      </c>
      <c r="FB12" s="138" t="s">
        <v>167</v>
      </c>
      <c r="FC12" s="138" t="s">
        <v>167</v>
      </c>
      <c r="FD12" s="138" t="s">
        <v>167</v>
      </c>
      <c r="FE12" s="159">
        <v>8.1839905963452306</v>
      </c>
      <c r="FF12" s="157" t="s">
        <v>190</v>
      </c>
      <c r="FG12" s="157" t="s">
        <v>167</v>
      </c>
      <c r="FH12" s="157" t="s">
        <v>167</v>
      </c>
      <c r="FI12" s="163">
        <v>249.66188049316406</v>
      </c>
      <c r="FJ12" s="138" t="s">
        <v>167</v>
      </c>
      <c r="FK12" t="s">
        <v>167</v>
      </c>
      <c r="FL12" s="141">
        <v>249.66188049316406</v>
      </c>
      <c r="FM12" s="164">
        <v>17.622512817382812</v>
      </c>
      <c r="FN12" s="164">
        <v>16.200531005859375</v>
      </c>
      <c r="FO12" t="s">
        <v>167</v>
      </c>
      <c r="FP12" s="157" t="s">
        <v>191</v>
      </c>
      <c r="FQ12" t="s">
        <v>167</v>
      </c>
      <c r="FR12" t="s">
        <v>167</v>
      </c>
      <c r="FS12" t="s">
        <v>167</v>
      </c>
      <c r="FT12" t="s">
        <v>167</v>
      </c>
      <c r="FU12" t="s">
        <v>167</v>
      </c>
      <c r="FV12" t="s">
        <v>167</v>
      </c>
      <c r="FW12" t="s">
        <v>167</v>
      </c>
      <c r="FX12" t="s">
        <v>167</v>
      </c>
      <c r="FY12" t="s">
        <v>167</v>
      </c>
      <c r="FZ12" t="s">
        <v>167</v>
      </c>
      <c r="GA12" t="s">
        <v>167</v>
      </c>
      <c r="GB12" t="s">
        <v>167</v>
      </c>
    </row>
    <row r="13" spans="1:185" ht="16">
      <c r="A13" s="145" t="s">
        <v>229</v>
      </c>
      <c r="B13" s="166" t="s">
        <v>230</v>
      </c>
      <c r="C13" s="138" t="s">
        <v>168</v>
      </c>
      <c r="D13" t="s">
        <v>228</v>
      </c>
      <c r="E13">
        <v>2016</v>
      </c>
      <c r="F13" t="str">
        <f t="shared" si="1"/>
        <v>10.1016/j.epsl.2016.01.022</v>
      </c>
      <c r="G13" s="141">
        <f t="shared" si="2"/>
        <v>2736</v>
      </c>
      <c r="H13" t="str">
        <f t="shared" si="3"/>
        <v>NA</v>
      </c>
      <c r="I13" t="str">
        <f t="shared" si="4"/>
        <v>NA</v>
      </c>
      <c r="J13" s="141">
        <f t="shared" si="5"/>
        <v>273.8099365234375</v>
      </c>
      <c r="K13" s="141">
        <f t="shared" si="6"/>
        <v>53.27862548828125</v>
      </c>
      <c r="L13" s="141">
        <f t="shared" si="7"/>
        <v>42.734756469726562</v>
      </c>
      <c r="M13" t="b">
        <v>1</v>
      </c>
      <c r="N13">
        <v>3</v>
      </c>
      <c r="O13" t="s">
        <v>231</v>
      </c>
      <c r="P13" s="167" t="s">
        <v>167</v>
      </c>
      <c r="Q13" t="b">
        <v>0</v>
      </c>
      <c r="R13" t="s">
        <v>167</v>
      </c>
      <c r="S13" t="b">
        <v>1</v>
      </c>
      <c r="T13" t="b">
        <v>0</v>
      </c>
      <c r="U13" t="s">
        <v>167</v>
      </c>
      <c r="V13" t="s">
        <v>167</v>
      </c>
      <c r="W13" t="b">
        <v>0</v>
      </c>
      <c r="X13" t="s">
        <v>167</v>
      </c>
      <c r="Y13" s="155" t="s">
        <v>208</v>
      </c>
      <c r="Z13" s="156" t="s">
        <v>170</v>
      </c>
      <c r="AA13" s="144">
        <v>1264</v>
      </c>
      <c r="AB13" s="144" t="s">
        <v>171</v>
      </c>
      <c r="AC13" s="144">
        <v>2</v>
      </c>
      <c r="AD13" s="144">
        <v>4</v>
      </c>
      <c r="AE13" s="144">
        <v>32</v>
      </c>
      <c r="AF13" s="144">
        <v>34</v>
      </c>
      <c r="AG13" t="s">
        <v>167</v>
      </c>
      <c r="AH13" t="s">
        <v>167</v>
      </c>
      <c r="AI13" t="s">
        <v>167</v>
      </c>
      <c r="AJ13" s="157" t="s">
        <v>172</v>
      </c>
      <c r="AK13" s="157">
        <v>-28.53</v>
      </c>
      <c r="AL13" s="157">
        <v>2.85</v>
      </c>
      <c r="AM13" s="138" t="s">
        <v>167</v>
      </c>
      <c r="AN13" s="138" t="s">
        <v>167</v>
      </c>
      <c r="AO13">
        <v>-2507</v>
      </c>
      <c r="AP13" s="146" t="s">
        <v>167</v>
      </c>
      <c r="AQ13" t="s">
        <v>167</v>
      </c>
      <c r="AR13" t="s">
        <v>167</v>
      </c>
      <c r="AS13" s="158">
        <v>2736</v>
      </c>
      <c r="AT13" s="148" t="s">
        <v>167</v>
      </c>
      <c r="AU13" t="s">
        <v>167</v>
      </c>
      <c r="AV13" t="s">
        <v>167</v>
      </c>
      <c r="AW13" t="s">
        <v>167</v>
      </c>
      <c r="AX13" t="s">
        <v>173</v>
      </c>
      <c r="AY13" s="157" t="s">
        <v>174</v>
      </c>
      <c r="AZ13" s="138" t="s">
        <v>167</v>
      </c>
      <c r="BA13" s="138" t="s">
        <v>167</v>
      </c>
      <c r="BB13" s="138" t="s">
        <v>167</v>
      </c>
      <c r="BC13" s="138" t="s">
        <v>167</v>
      </c>
      <c r="BD13" s="138" t="s">
        <v>167</v>
      </c>
      <c r="BE13" s="138" t="s">
        <v>167</v>
      </c>
      <c r="BF13" s="138" t="s">
        <v>167</v>
      </c>
      <c r="BG13" s="157" t="s">
        <v>175</v>
      </c>
      <c r="BH13" s="157" t="s">
        <v>176</v>
      </c>
      <c r="BI13" s="157" t="s">
        <v>177</v>
      </c>
      <c r="BJ13" s="157" t="s">
        <v>167</v>
      </c>
      <c r="BK13" s="157" t="s">
        <v>178</v>
      </c>
      <c r="BL13" s="157" t="s">
        <v>179</v>
      </c>
      <c r="BM13" s="157" t="s">
        <v>180</v>
      </c>
      <c r="BN13" s="157" t="s">
        <v>167</v>
      </c>
      <c r="BO13" s="138" t="s">
        <v>167</v>
      </c>
      <c r="BP13" s="138" t="s">
        <v>167</v>
      </c>
      <c r="BQ13" s="159">
        <v>19.106306815331248</v>
      </c>
      <c r="BR13" s="157" t="s">
        <v>181</v>
      </c>
      <c r="BS13" s="160">
        <v>0.70212091013620859</v>
      </c>
      <c r="BT13" s="157">
        <v>0.83399999999999996</v>
      </c>
      <c r="BU13" s="157" t="s">
        <v>167</v>
      </c>
      <c r="BV13" s="161" t="s">
        <v>167</v>
      </c>
      <c r="BW13" s="157">
        <v>3.6</v>
      </c>
      <c r="BX13" s="157"/>
      <c r="BY13" s="157" t="s">
        <v>167</v>
      </c>
      <c r="BZ13" s="157" t="s">
        <v>209</v>
      </c>
      <c r="CA13" s="157" t="s">
        <v>183</v>
      </c>
      <c r="CB13" s="159">
        <v>18.592694023178957</v>
      </c>
      <c r="CC13" s="138" t="s">
        <v>167</v>
      </c>
      <c r="CD13" s="138" t="s">
        <v>167</v>
      </c>
      <c r="CE13" s="138" t="s">
        <v>167</v>
      </c>
      <c r="CF13" s="138" t="s">
        <v>167</v>
      </c>
      <c r="CG13" s="138" t="s">
        <v>167</v>
      </c>
      <c r="CH13" s="138" t="s">
        <v>167</v>
      </c>
      <c r="CI13" s="138" t="s">
        <v>167</v>
      </c>
      <c r="CJ13" s="162">
        <v>22.820799999999998</v>
      </c>
      <c r="CK13" s="138" t="s">
        <v>167</v>
      </c>
      <c r="CL13" s="138" t="s">
        <v>167</v>
      </c>
      <c r="CM13" s="138" t="s">
        <v>167</v>
      </c>
      <c r="CN13" s="138" t="s">
        <v>167</v>
      </c>
      <c r="CO13" s="138" t="s">
        <v>167</v>
      </c>
      <c r="CP13" s="138" t="s">
        <v>167</v>
      </c>
      <c r="CQ13" s="138" t="s">
        <v>167</v>
      </c>
      <c r="CR13" s="138" t="s">
        <v>167</v>
      </c>
      <c r="CS13" s="138" t="s">
        <v>167</v>
      </c>
      <c r="CT13" s="138" t="s">
        <v>184</v>
      </c>
      <c r="CU13" s="138" t="s">
        <v>167</v>
      </c>
      <c r="CV13" s="138" t="s">
        <v>167</v>
      </c>
      <c r="CW13" s="138" t="s">
        <v>167</v>
      </c>
      <c r="CX13" s="138" t="s">
        <v>167</v>
      </c>
      <c r="CY13" s="138" t="s">
        <v>167</v>
      </c>
      <c r="CZ13" s="138" t="s">
        <v>167</v>
      </c>
      <c r="DA13" s="138" t="s">
        <v>167</v>
      </c>
      <c r="DB13" s="138" t="s">
        <v>167</v>
      </c>
      <c r="DC13" s="138" t="s">
        <v>167</v>
      </c>
      <c r="DD13" s="138" t="s">
        <v>167</v>
      </c>
      <c r="DE13" s="138" t="s">
        <v>167</v>
      </c>
      <c r="DF13" s="138" t="s">
        <v>167</v>
      </c>
      <c r="DG13">
        <v>36</v>
      </c>
      <c r="DH13" t="s">
        <v>185</v>
      </c>
      <c r="DI13">
        <v>3</v>
      </c>
      <c r="DJ13" t="s">
        <v>167</v>
      </c>
      <c r="DK13" t="s">
        <v>167</v>
      </c>
      <c r="DL13" t="s">
        <v>167</v>
      </c>
      <c r="DM13" t="s">
        <v>167</v>
      </c>
      <c r="DN13" t="s">
        <v>167</v>
      </c>
      <c r="DO13" t="s">
        <v>167</v>
      </c>
      <c r="DP13" t="s">
        <v>167</v>
      </c>
      <c r="DQ13" t="s">
        <v>167</v>
      </c>
      <c r="DR13" t="s">
        <v>167</v>
      </c>
      <c r="DS13" t="s">
        <v>167</v>
      </c>
      <c r="DT13" t="s">
        <v>167</v>
      </c>
      <c r="DU13" t="s">
        <v>167</v>
      </c>
      <c r="DV13" t="s">
        <v>167</v>
      </c>
      <c r="DW13" t="s">
        <v>167</v>
      </c>
      <c r="DX13" t="s">
        <v>167</v>
      </c>
      <c r="DY13" t="s">
        <v>167</v>
      </c>
      <c r="DZ13" t="s">
        <v>167</v>
      </c>
      <c r="EA13" s="159">
        <v>39.226959999999998</v>
      </c>
      <c r="EB13" t="s">
        <v>167</v>
      </c>
      <c r="EC13" t="s">
        <v>167</v>
      </c>
      <c r="ED13" s="157" t="s">
        <v>186</v>
      </c>
      <c r="EE13" s="138" t="s">
        <v>167</v>
      </c>
      <c r="EF13" s="138" t="s">
        <v>167</v>
      </c>
      <c r="EG13">
        <v>1.0271999999999999</v>
      </c>
      <c r="EH13" t="s">
        <v>167</v>
      </c>
      <c r="EI13" t="s">
        <v>167</v>
      </c>
      <c r="EJ13" t="s">
        <v>187</v>
      </c>
      <c r="EK13" t="s">
        <v>179</v>
      </c>
      <c r="EL13" s="157" t="s">
        <v>187</v>
      </c>
      <c r="EM13" s="138" t="s">
        <v>167</v>
      </c>
      <c r="EN13" s="138" t="s">
        <v>167</v>
      </c>
      <c r="EO13" s="138" t="s">
        <v>167</v>
      </c>
      <c r="EP13" s="138" t="s">
        <v>167</v>
      </c>
      <c r="EQ13" s="138" t="s">
        <v>167</v>
      </c>
      <c r="ER13" s="138" t="s">
        <v>167</v>
      </c>
      <c r="ES13" s="138" t="s">
        <v>167</v>
      </c>
      <c r="ET13" s="157" t="s">
        <v>188</v>
      </c>
      <c r="EU13" s="157" t="s">
        <v>189</v>
      </c>
      <c r="EV13" s="138" t="s">
        <v>167</v>
      </c>
      <c r="EW13">
        <v>2300</v>
      </c>
      <c r="EX13" s="138" t="s">
        <v>167</v>
      </c>
      <c r="EY13" s="138" t="s">
        <v>167</v>
      </c>
      <c r="EZ13" s="138" t="s">
        <v>167</v>
      </c>
      <c r="FA13" s="138" t="s">
        <v>167</v>
      </c>
      <c r="FB13" s="138" t="s">
        <v>167</v>
      </c>
      <c r="FC13" s="138" t="s">
        <v>167</v>
      </c>
      <c r="FD13" s="138" t="s">
        <v>167</v>
      </c>
      <c r="FE13" s="159">
        <v>8.1523214205082972</v>
      </c>
      <c r="FF13" s="157" t="s">
        <v>190</v>
      </c>
      <c r="FG13" s="157" t="s">
        <v>167</v>
      </c>
      <c r="FH13" s="157" t="s">
        <v>167</v>
      </c>
      <c r="FI13" s="163">
        <v>273.8099365234375</v>
      </c>
      <c r="FJ13" s="138" t="s">
        <v>167</v>
      </c>
      <c r="FK13" t="s">
        <v>167</v>
      </c>
      <c r="FL13" s="141">
        <v>273.8099365234375</v>
      </c>
      <c r="FM13" s="164">
        <v>53.27862548828125</v>
      </c>
      <c r="FN13" s="164">
        <v>42.734756469726562</v>
      </c>
      <c r="FO13" t="s">
        <v>167</v>
      </c>
      <c r="FP13" s="157" t="s">
        <v>191</v>
      </c>
      <c r="FQ13" t="s">
        <v>167</v>
      </c>
      <c r="FR13" t="s">
        <v>167</v>
      </c>
      <c r="FS13" t="s">
        <v>167</v>
      </c>
      <c r="FT13" t="s">
        <v>167</v>
      </c>
      <c r="FU13" t="s">
        <v>167</v>
      </c>
      <c r="FV13" t="s">
        <v>167</v>
      </c>
      <c r="FW13" t="s">
        <v>167</v>
      </c>
      <c r="FX13" t="s">
        <v>167</v>
      </c>
      <c r="FY13" t="s">
        <v>167</v>
      </c>
      <c r="FZ13" t="s">
        <v>167</v>
      </c>
      <c r="GA13" t="s">
        <v>167</v>
      </c>
      <c r="GB13" t="s">
        <v>167</v>
      </c>
    </row>
    <row r="14" spans="1:185" ht="16">
      <c r="A14" s="145" t="s">
        <v>229</v>
      </c>
      <c r="B14" s="166" t="s">
        <v>230</v>
      </c>
      <c r="C14" s="138" t="s">
        <v>168</v>
      </c>
      <c r="D14" t="s">
        <v>228</v>
      </c>
      <c r="E14">
        <v>2016</v>
      </c>
      <c r="F14" t="str">
        <f t="shared" si="1"/>
        <v>10.1016/j.epsl.2016.01.022</v>
      </c>
      <c r="G14" s="141">
        <f t="shared" si="2"/>
        <v>2887.2</v>
      </c>
      <c r="H14" t="str">
        <f t="shared" si="3"/>
        <v>NA</v>
      </c>
      <c r="I14" t="str">
        <f t="shared" si="4"/>
        <v>NA</v>
      </c>
      <c r="J14" s="141">
        <f t="shared" si="5"/>
        <v>481.25650024414062</v>
      </c>
      <c r="K14" s="141">
        <f t="shared" si="6"/>
        <v>47.777008056640625</v>
      </c>
      <c r="L14" s="141">
        <f t="shared" si="7"/>
        <v>41.816680908203125</v>
      </c>
      <c r="M14" t="b">
        <v>1</v>
      </c>
      <c r="N14">
        <v>3</v>
      </c>
      <c r="O14" t="s">
        <v>231</v>
      </c>
      <c r="P14" s="167" t="s">
        <v>167</v>
      </c>
      <c r="Q14" t="b">
        <v>0</v>
      </c>
      <c r="R14" t="s">
        <v>167</v>
      </c>
      <c r="S14" t="b">
        <v>1</v>
      </c>
      <c r="T14" t="b">
        <v>0</v>
      </c>
      <c r="U14" t="s">
        <v>167</v>
      </c>
      <c r="V14" t="s">
        <v>167</v>
      </c>
      <c r="W14" t="b">
        <v>0</v>
      </c>
      <c r="X14" t="s">
        <v>167</v>
      </c>
      <c r="Y14" s="155" t="s">
        <v>210</v>
      </c>
      <c r="Z14" s="156" t="s">
        <v>170</v>
      </c>
      <c r="AA14" s="144">
        <v>1264</v>
      </c>
      <c r="AB14" s="144" t="s">
        <v>171</v>
      </c>
      <c r="AC14" s="144">
        <v>2</v>
      </c>
      <c r="AD14" s="144">
        <v>5</v>
      </c>
      <c r="AE14" s="144">
        <v>32</v>
      </c>
      <c r="AF14" s="144">
        <v>34</v>
      </c>
      <c r="AG14" t="s">
        <v>167</v>
      </c>
      <c r="AH14" t="s">
        <v>167</v>
      </c>
      <c r="AI14" t="s">
        <v>167</v>
      </c>
      <c r="AJ14" s="157" t="s">
        <v>172</v>
      </c>
      <c r="AK14" s="157">
        <v>-28.53</v>
      </c>
      <c r="AL14" s="157">
        <v>2.85</v>
      </c>
      <c r="AM14" s="138" t="s">
        <v>167</v>
      </c>
      <c r="AN14" s="138" t="s">
        <v>167</v>
      </c>
      <c r="AO14">
        <v>-2507</v>
      </c>
      <c r="AP14" s="146" t="s">
        <v>167</v>
      </c>
      <c r="AQ14" t="s">
        <v>167</v>
      </c>
      <c r="AR14" t="s">
        <v>167</v>
      </c>
      <c r="AS14" s="158">
        <v>2887.2</v>
      </c>
      <c r="AT14" s="148" t="s">
        <v>167</v>
      </c>
      <c r="AU14" t="s">
        <v>167</v>
      </c>
      <c r="AV14" t="s">
        <v>167</v>
      </c>
      <c r="AW14" t="s">
        <v>167</v>
      </c>
      <c r="AX14" t="s">
        <v>173</v>
      </c>
      <c r="AY14" s="157" t="s">
        <v>174</v>
      </c>
      <c r="AZ14" s="138" t="s">
        <v>167</v>
      </c>
      <c r="BA14" s="138" t="s">
        <v>167</v>
      </c>
      <c r="BB14" s="138" t="s">
        <v>167</v>
      </c>
      <c r="BC14" s="138" t="s">
        <v>167</v>
      </c>
      <c r="BD14" s="138" t="s">
        <v>167</v>
      </c>
      <c r="BE14" s="138" t="s">
        <v>167</v>
      </c>
      <c r="BF14" s="138" t="s">
        <v>167</v>
      </c>
      <c r="BG14" s="157" t="s">
        <v>175</v>
      </c>
      <c r="BH14" s="157" t="s">
        <v>176</v>
      </c>
      <c r="BI14" s="157" t="s">
        <v>177</v>
      </c>
      <c r="BJ14" s="157" t="s">
        <v>167</v>
      </c>
      <c r="BK14" s="157" t="s">
        <v>178</v>
      </c>
      <c r="BL14" s="157" t="s">
        <v>179</v>
      </c>
      <c r="BM14" s="157" t="s">
        <v>180</v>
      </c>
      <c r="BN14" s="157" t="s">
        <v>167</v>
      </c>
      <c r="BO14" s="138" t="s">
        <v>167</v>
      </c>
      <c r="BP14" s="138" t="s">
        <v>167</v>
      </c>
      <c r="BQ14" s="159">
        <v>17.351880996538632</v>
      </c>
      <c r="BR14" s="157" t="s">
        <v>181</v>
      </c>
      <c r="BS14" s="160">
        <v>0.30799616415342296</v>
      </c>
      <c r="BT14" s="157">
        <v>0.83399999999999996</v>
      </c>
      <c r="BU14" s="157" t="s">
        <v>167</v>
      </c>
      <c r="BV14" s="161" t="s">
        <v>167</v>
      </c>
      <c r="BW14" s="157">
        <v>3.6</v>
      </c>
      <c r="BX14" s="157"/>
      <c r="BY14" s="157" t="s">
        <v>167</v>
      </c>
      <c r="BZ14" s="157" t="s">
        <v>211</v>
      </c>
      <c r="CA14" s="157" t="s">
        <v>183</v>
      </c>
      <c r="CB14" s="159">
        <v>16.489065943091887</v>
      </c>
      <c r="CC14" s="138" t="s">
        <v>167</v>
      </c>
      <c r="CD14" s="138" t="s">
        <v>167</v>
      </c>
      <c r="CE14" s="138" t="s">
        <v>167</v>
      </c>
      <c r="CF14" s="138" t="s">
        <v>167</v>
      </c>
      <c r="CG14" s="138" t="s">
        <v>167</v>
      </c>
      <c r="CH14" s="138" t="s">
        <v>167</v>
      </c>
      <c r="CI14" s="138" t="s">
        <v>167</v>
      </c>
      <c r="CJ14" s="162">
        <v>22.866160000000001</v>
      </c>
      <c r="CK14" s="138" t="s">
        <v>167</v>
      </c>
      <c r="CL14" s="138" t="s">
        <v>167</v>
      </c>
      <c r="CM14" s="138" t="s">
        <v>167</v>
      </c>
      <c r="CN14" s="138" t="s">
        <v>167</v>
      </c>
      <c r="CO14" s="138" t="s">
        <v>167</v>
      </c>
      <c r="CP14" s="138" t="s">
        <v>167</v>
      </c>
      <c r="CQ14" s="138" t="s">
        <v>167</v>
      </c>
      <c r="CR14" s="138" t="s">
        <v>167</v>
      </c>
      <c r="CS14" s="138" t="s">
        <v>167</v>
      </c>
      <c r="CT14" s="138" t="s">
        <v>184</v>
      </c>
      <c r="CU14" s="138" t="s">
        <v>167</v>
      </c>
      <c r="CV14" s="138" t="s">
        <v>167</v>
      </c>
      <c r="CW14" s="138" t="s">
        <v>167</v>
      </c>
      <c r="CX14" s="138" t="s">
        <v>167</v>
      </c>
      <c r="CY14" s="138" t="s">
        <v>167</v>
      </c>
      <c r="CZ14" s="138" t="s">
        <v>167</v>
      </c>
      <c r="DA14" s="138" t="s">
        <v>167</v>
      </c>
      <c r="DB14" s="138" t="s">
        <v>167</v>
      </c>
      <c r="DC14" s="138" t="s">
        <v>167</v>
      </c>
      <c r="DD14" s="138" t="s">
        <v>167</v>
      </c>
      <c r="DE14" s="138" t="s">
        <v>167</v>
      </c>
      <c r="DF14" s="138" t="s">
        <v>167</v>
      </c>
      <c r="DG14">
        <v>36</v>
      </c>
      <c r="DH14" t="s">
        <v>185</v>
      </c>
      <c r="DI14">
        <v>3</v>
      </c>
      <c r="DJ14" t="s">
        <v>167</v>
      </c>
      <c r="DK14" t="s">
        <v>167</v>
      </c>
      <c r="DL14" t="s">
        <v>167</v>
      </c>
      <c r="DM14" t="s">
        <v>167</v>
      </c>
      <c r="DN14" t="s">
        <v>167</v>
      </c>
      <c r="DO14" t="s">
        <v>167</v>
      </c>
      <c r="DP14" t="s">
        <v>167</v>
      </c>
      <c r="DQ14" t="s">
        <v>167</v>
      </c>
      <c r="DR14" t="s">
        <v>167</v>
      </c>
      <c r="DS14" t="s">
        <v>167</v>
      </c>
      <c r="DT14" t="s">
        <v>167</v>
      </c>
      <c r="DU14" t="s">
        <v>167</v>
      </c>
      <c r="DV14" t="s">
        <v>167</v>
      </c>
      <c r="DW14" t="s">
        <v>167</v>
      </c>
      <c r="DX14" t="s">
        <v>167</v>
      </c>
      <c r="DY14" t="s">
        <v>167</v>
      </c>
      <c r="DZ14" t="s">
        <v>167</v>
      </c>
      <c r="EA14" s="159">
        <v>39.205792000000002</v>
      </c>
      <c r="EB14" t="s">
        <v>167</v>
      </c>
      <c r="EC14" t="s">
        <v>167</v>
      </c>
      <c r="ED14" s="157" t="s">
        <v>186</v>
      </c>
      <c r="EE14" s="138" t="s">
        <v>167</v>
      </c>
      <c r="EF14" s="138" t="s">
        <v>167</v>
      </c>
      <c r="EG14">
        <v>1.0271999999999999</v>
      </c>
      <c r="EH14" t="s">
        <v>167</v>
      </c>
      <c r="EI14" t="s">
        <v>167</v>
      </c>
      <c r="EJ14" t="s">
        <v>187</v>
      </c>
      <c r="EK14" t="s">
        <v>179</v>
      </c>
      <c r="EL14" s="157" t="s">
        <v>187</v>
      </c>
      <c r="EM14" s="138" t="s">
        <v>167</v>
      </c>
      <c r="EN14" s="138" t="s">
        <v>167</v>
      </c>
      <c r="EO14" s="138" t="s">
        <v>167</v>
      </c>
      <c r="EP14" s="138" t="s">
        <v>167</v>
      </c>
      <c r="EQ14" s="138" t="s">
        <v>167</v>
      </c>
      <c r="ER14" s="138" t="s">
        <v>167</v>
      </c>
      <c r="ES14" s="138" t="s">
        <v>167</v>
      </c>
      <c r="ET14" s="157" t="s">
        <v>188</v>
      </c>
      <c r="EU14" s="157" t="s">
        <v>189</v>
      </c>
      <c r="EV14" s="138" t="s">
        <v>167</v>
      </c>
      <c r="EW14">
        <v>2300</v>
      </c>
      <c r="EX14" s="138" t="s">
        <v>167</v>
      </c>
      <c r="EY14" s="138" t="s">
        <v>167</v>
      </c>
      <c r="EZ14" s="138" t="s">
        <v>167</v>
      </c>
      <c r="FA14" s="138" t="s">
        <v>167</v>
      </c>
      <c r="FB14" s="138" t="s">
        <v>167</v>
      </c>
      <c r="FC14" s="138" t="s">
        <v>167</v>
      </c>
      <c r="FD14" s="138" t="s">
        <v>167</v>
      </c>
      <c r="FE14" s="159">
        <v>7.9534721077987927</v>
      </c>
      <c r="FF14" s="157" t="s">
        <v>190</v>
      </c>
      <c r="FG14" s="157" t="s">
        <v>167</v>
      </c>
      <c r="FH14" s="157" t="s">
        <v>167</v>
      </c>
      <c r="FI14" s="163">
        <v>481.25650024414062</v>
      </c>
      <c r="FJ14" s="138" t="s">
        <v>167</v>
      </c>
      <c r="FK14" t="s">
        <v>167</v>
      </c>
      <c r="FL14" s="141">
        <v>481.25650024414062</v>
      </c>
      <c r="FM14" s="164">
        <v>47.777008056640625</v>
      </c>
      <c r="FN14" s="164">
        <v>41.816680908203125</v>
      </c>
      <c r="FO14" t="s">
        <v>167</v>
      </c>
      <c r="FP14" s="157" t="s">
        <v>191</v>
      </c>
      <c r="FQ14" t="s">
        <v>167</v>
      </c>
      <c r="FR14" t="s">
        <v>167</v>
      </c>
      <c r="FS14" t="s">
        <v>167</v>
      </c>
      <c r="FT14" t="s">
        <v>167</v>
      </c>
      <c r="FU14" t="s">
        <v>167</v>
      </c>
      <c r="FV14" t="s">
        <v>167</v>
      </c>
      <c r="FW14" t="s">
        <v>167</v>
      </c>
      <c r="FX14" t="s">
        <v>167</v>
      </c>
      <c r="FY14" t="s">
        <v>167</v>
      </c>
      <c r="FZ14" t="s">
        <v>167</v>
      </c>
      <c r="GA14" t="s">
        <v>167</v>
      </c>
      <c r="GB14" t="s">
        <v>167</v>
      </c>
    </row>
    <row r="15" spans="1:185" ht="16">
      <c r="A15" s="145" t="s">
        <v>229</v>
      </c>
      <c r="B15" s="166" t="s">
        <v>230</v>
      </c>
      <c r="C15" s="138" t="s">
        <v>168</v>
      </c>
      <c r="D15" t="s">
        <v>228</v>
      </c>
      <c r="E15">
        <v>2016</v>
      </c>
      <c r="F15" t="str">
        <f t="shared" si="1"/>
        <v>10.1016/j.epsl.2016.01.022</v>
      </c>
      <c r="G15" s="141">
        <f t="shared" si="2"/>
        <v>3040.8</v>
      </c>
      <c r="H15" t="str">
        <f t="shared" si="3"/>
        <v>NA</v>
      </c>
      <c r="I15" t="str">
        <f t="shared" si="4"/>
        <v>NA</v>
      </c>
      <c r="J15" s="141" t="str">
        <f t="shared" si="5"/>
        <v>NA</v>
      </c>
      <c r="K15" s="141" t="str">
        <f t="shared" si="6"/>
        <v>NA</v>
      </c>
      <c r="L15" s="141" t="str">
        <f t="shared" si="7"/>
        <v>NA</v>
      </c>
      <c r="M15" t="b">
        <v>1</v>
      </c>
      <c r="N15">
        <v>3</v>
      </c>
      <c r="O15" t="s">
        <v>231</v>
      </c>
      <c r="P15" s="167" t="s">
        <v>167</v>
      </c>
      <c r="Q15" t="b">
        <v>0</v>
      </c>
      <c r="R15" t="s">
        <v>167</v>
      </c>
      <c r="S15" t="b">
        <v>1</v>
      </c>
      <c r="T15" t="b">
        <v>0</v>
      </c>
      <c r="U15" t="s">
        <v>167</v>
      </c>
      <c r="V15" t="s">
        <v>167</v>
      </c>
      <c r="W15" t="b">
        <v>0</v>
      </c>
      <c r="X15" t="s">
        <v>167</v>
      </c>
      <c r="Y15" s="155" t="s">
        <v>226</v>
      </c>
      <c r="Z15" s="156" t="s">
        <v>170</v>
      </c>
      <c r="AA15" s="144">
        <v>1264</v>
      </c>
      <c r="AB15" s="144" t="s">
        <v>171</v>
      </c>
      <c r="AC15" s="144">
        <v>2</v>
      </c>
      <c r="AD15" s="144">
        <v>6</v>
      </c>
      <c r="AE15" s="144">
        <v>32</v>
      </c>
      <c r="AF15" s="144">
        <v>34</v>
      </c>
      <c r="AG15" t="s">
        <v>167</v>
      </c>
      <c r="AH15" t="s">
        <v>167</v>
      </c>
      <c r="AI15" t="s">
        <v>167</v>
      </c>
      <c r="AJ15" s="157" t="s">
        <v>172</v>
      </c>
      <c r="AK15" s="157">
        <v>-28.53</v>
      </c>
      <c r="AL15" s="157">
        <v>2.85</v>
      </c>
      <c r="AM15" s="138" t="s">
        <v>167</v>
      </c>
      <c r="AN15" s="138" t="s">
        <v>167</v>
      </c>
      <c r="AO15">
        <v>-2507</v>
      </c>
      <c r="AP15" s="146" t="s">
        <v>167</v>
      </c>
      <c r="AQ15" t="s">
        <v>167</v>
      </c>
      <c r="AR15" t="s">
        <v>167</v>
      </c>
      <c r="AS15" s="158">
        <v>3040.8</v>
      </c>
      <c r="AT15" s="148" t="s">
        <v>167</v>
      </c>
      <c r="AU15" t="s">
        <v>167</v>
      </c>
      <c r="AV15" t="s">
        <v>167</v>
      </c>
      <c r="AW15" t="s">
        <v>167</v>
      </c>
      <c r="AX15" t="s">
        <v>173</v>
      </c>
      <c r="AY15" s="157" t="s">
        <v>174</v>
      </c>
      <c r="AZ15" s="138" t="s">
        <v>167</v>
      </c>
      <c r="BA15" s="138" t="s">
        <v>167</v>
      </c>
      <c r="BB15" s="138" t="s">
        <v>167</v>
      </c>
      <c r="BC15" s="138" t="s">
        <v>167</v>
      </c>
      <c r="BD15" s="138" t="s">
        <v>167</v>
      </c>
      <c r="BE15" s="138" t="s">
        <v>167</v>
      </c>
      <c r="BF15" s="138" t="s">
        <v>167</v>
      </c>
      <c r="BG15" s="157" t="s">
        <v>175</v>
      </c>
      <c r="BH15" s="157" t="s">
        <v>176</v>
      </c>
      <c r="BI15" s="157" t="s">
        <v>177</v>
      </c>
      <c r="BJ15" s="157" t="s">
        <v>167</v>
      </c>
      <c r="BK15" s="157" t="s">
        <v>178</v>
      </c>
      <c r="BL15" s="157" t="s">
        <v>179</v>
      </c>
      <c r="BM15" s="157" t="s">
        <v>180</v>
      </c>
      <c r="BN15" s="157" t="s">
        <v>167</v>
      </c>
      <c r="BO15" s="138" t="s">
        <v>167</v>
      </c>
      <c r="BP15" s="138" t="s">
        <v>167</v>
      </c>
      <c r="BQ15" s="159">
        <v>16.75602478910935</v>
      </c>
      <c r="BR15" s="157" t="s">
        <v>181</v>
      </c>
      <c r="BS15" s="159">
        <v>0.97592678052375603</v>
      </c>
      <c r="BT15" s="157">
        <v>0.83399999999999996</v>
      </c>
      <c r="BU15" s="157" t="s">
        <v>167</v>
      </c>
      <c r="BV15" s="161" t="s">
        <v>167</v>
      </c>
      <c r="BW15" s="157">
        <v>3.6</v>
      </c>
      <c r="BX15" s="157"/>
      <c r="BY15" s="157" t="s">
        <v>167</v>
      </c>
      <c r="BZ15" s="157" t="s">
        <v>227</v>
      </c>
      <c r="CA15" s="157" t="s">
        <v>183</v>
      </c>
      <c r="CB15" s="138" t="s">
        <v>167</v>
      </c>
      <c r="CC15" s="138" t="s">
        <v>167</v>
      </c>
      <c r="CD15" s="138" t="s">
        <v>167</v>
      </c>
      <c r="CE15" s="138" t="s">
        <v>167</v>
      </c>
      <c r="CF15" s="138" t="s">
        <v>167</v>
      </c>
      <c r="CG15" s="138" t="s">
        <v>167</v>
      </c>
      <c r="CH15" s="138" t="s">
        <v>167</v>
      </c>
      <c r="CI15" s="138" t="s">
        <v>167</v>
      </c>
      <c r="CJ15" s="138" t="s">
        <v>167</v>
      </c>
      <c r="CK15" s="138" t="s">
        <v>167</v>
      </c>
      <c r="CL15" s="138" t="s">
        <v>167</v>
      </c>
      <c r="CM15" s="138" t="s">
        <v>167</v>
      </c>
      <c r="CN15" s="138" t="s">
        <v>167</v>
      </c>
      <c r="CO15" s="138" t="s">
        <v>167</v>
      </c>
      <c r="CP15" s="138" t="s">
        <v>167</v>
      </c>
      <c r="CQ15" s="138" t="s">
        <v>167</v>
      </c>
      <c r="CR15" s="138" t="s">
        <v>167</v>
      </c>
      <c r="CS15" s="138" t="s">
        <v>167</v>
      </c>
      <c r="CT15" s="138" t="s">
        <v>167</v>
      </c>
      <c r="CU15" s="138" t="s">
        <v>167</v>
      </c>
      <c r="CV15" s="138" t="s">
        <v>167</v>
      </c>
      <c r="CW15" s="138" t="s">
        <v>167</v>
      </c>
      <c r="CX15" s="138" t="s">
        <v>167</v>
      </c>
      <c r="CY15" s="138" t="s">
        <v>167</v>
      </c>
      <c r="CZ15" s="138" t="s">
        <v>167</v>
      </c>
      <c r="DA15" s="138" t="s">
        <v>167</v>
      </c>
      <c r="DB15" s="138" t="s">
        <v>167</v>
      </c>
      <c r="DC15" s="138" t="s">
        <v>167</v>
      </c>
      <c r="DD15" s="138" t="s">
        <v>167</v>
      </c>
      <c r="DE15" s="138" t="s">
        <v>167</v>
      </c>
      <c r="DF15" s="138" t="s">
        <v>167</v>
      </c>
      <c r="DG15" t="s">
        <v>167</v>
      </c>
      <c r="DH15" t="s">
        <v>167</v>
      </c>
      <c r="DI15" t="s">
        <v>167</v>
      </c>
      <c r="DJ15" t="s">
        <v>167</v>
      </c>
      <c r="DK15" t="s">
        <v>167</v>
      </c>
      <c r="DL15" t="s">
        <v>167</v>
      </c>
      <c r="DM15" t="s">
        <v>167</v>
      </c>
      <c r="DN15" t="s">
        <v>167</v>
      </c>
      <c r="DO15" t="s">
        <v>167</v>
      </c>
      <c r="DP15" t="s">
        <v>167</v>
      </c>
      <c r="DQ15" t="s">
        <v>167</v>
      </c>
      <c r="DR15" t="s">
        <v>167</v>
      </c>
      <c r="DS15" t="s">
        <v>167</v>
      </c>
      <c r="DT15" t="s">
        <v>167</v>
      </c>
      <c r="DU15" t="s">
        <v>167</v>
      </c>
      <c r="DV15" t="s">
        <v>167</v>
      </c>
      <c r="DW15" t="s">
        <v>167</v>
      </c>
      <c r="DX15" t="s">
        <v>167</v>
      </c>
      <c r="DY15" t="s">
        <v>167</v>
      </c>
      <c r="DZ15" t="s">
        <v>167</v>
      </c>
      <c r="EA15" t="s">
        <v>167</v>
      </c>
      <c r="EB15" t="s">
        <v>167</v>
      </c>
      <c r="EC15" t="s">
        <v>167</v>
      </c>
      <c r="ED15" t="s">
        <v>167</v>
      </c>
      <c r="EE15" s="138" t="s">
        <v>167</v>
      </c>
      <c r="EF15" s="138" t="s">
        <v>167</v>
      </c>
      <c r="EG15" s="138" t="s">
        <v>167</v>
      </c>
      <c r="EH15" s="138" t="s">
        <v>167</v>
      </c>
      <c r="EI15" s="138" t="s">
        <v>167</v>
      </c>
      <c r="EJ15" t="s">
        <v>187</v>
      </c>
      <c r="EK15" s="138" t="s">
        <v>167</v>
      </c>
      <c r="EL15" s="138" t="s">
        <v>167</v>
      </c>
      <c r="EM15" s="138" t="s">
        <v>167</v>
      </c>
      <c r="EN15" s="138" t="s">
        <v>167</v>
      </c>
      <c r="EO15" s="138" t="s">
        <v>167</v>
      </c>
      <c r="EP15" s="138" t="s">
        <v>167</v>
      </c>
      <c r="EQ15" s="138" t="s">
        <v>167</v>
      </c>
      <c r="ER15" s="138" t="s">
        <v>167</v>
      </c>
      <c r="ES15" s="138" t="s">
        <v>167</v>
      </c>
      <c r="ET15" s="138" t="s">
        <v>167</v>
      </c>
      <c r="EU15" s="138" t="s">
        <v>167</v>
      </c>
      <c r="EV15" s="138" t="s">
        <v>167</v>
      </c>
      <c r="EW15" s="138" t="s">
        <v>167</v>
      </c>
      <c r="EX15" s="138" t="s">
        <v>167</v>
      </c>
      <c r="EY15" s="138" t="s">
        <v>167</v>
      </c>
      <c r="EZ15" s="138" t="s">
        <v>167</v>
      </c>
      <c r="FA15" s="138" t="s">
        <v>167</v>
      </c>
      <c r="FB15" s="138" t="s">
        <v>167</v>
      </c>
      <c r="FC15" s="138" t="s">
        <v>167</v>
      </c>
      <c r="FD15" s="138" t="s">
        <v>167</v>
      </c>
      <c r="FE15" s="138" t="s">
        <v>167</v>
      </c>
      <c r="FF15" s="138" t="s">
        <v>167</v>
      </c>
      <c r="FG15" s="138" t="s">
        <v>167</v>
      </c>
      <c r="FH15" s="138" t="s">
        <v>167</v>
      </c>
      <c r="FI15" s="138" t="s">
        <v>167</v>
      </c>
      <c r="FJ15" s="138" t="s">
        <v>167</v>
      </c>
      <c r="FK15" s="138" t="s">
        <v>167</v>
      </c>
      <c r="FL15" s="168" t="s">
        <v>167</v>
      </c>
      <c r="FM15" s="138" t="s">
        <v>167</v>
      </c>
      <c r="FN15" s="138" t="s">
        <v>167</v>
      </c>
      <c r="FO15" s="138" t="s">
        <v>167</v>
      </c>
      <c r="FP15" s="138" t="s">
        <v>167</v>
      </c>
      <c r="FQ15" s="138" t="s">
        <v>167</v>
      </c>
      <c r="FR15" s="138" t="s">
        <v>167</v>
      </c>
      <c r="FS15" s="138" t="s">
        <v>167</v>
      </c>
      <c r="FT15" s="138" t="s">
        <v>167</v>
      </c>
      <c r="FU15" s="138" t="s">
        <v>167</v>
      </c>
      <c r="FV15" s="138" t="s">
        <v>167</v>
      </c>
      <c r="FW15" s="138" t="s">
        <v>167</v>
      </c>
      <c r="FX15" s="138" t="s">
        <v>167</v>
      </c>
      <c r="FY15" s="138" t="s">
        <v>167</v>
      </c>
      <c r="FZ15" s="138" t="s">
        <v>167</v>
      </c>
      <c r="GA15" s="138" t="s">
        <v>167</v>
      </c>
      <c r="GB15" s="138" t="s">
        <v>167</v>
      </c>
      <c r="GC15" s="157" t="s">
        <v>232</v>
      </c>
    </row>
    <row r="16" spans="1:185" ht="16">
      <c r="A16" s="145" t="s">
        <v>229</v>
      </c>
      <c r="B16" s="166" t="s">
        <v>230</v>
      </c>
      <c r="C16" s="138" t="s">
        <v>168</v>
      </c>
      <c r="D16" t="s">
        <v>228</v>
      </c>
      <c r="E16">
        <v>2016</v>
      </c>
      <c r="F16" t="str">
        <f t="shared" si="1"/>
        <v>10.1016/j.epsl.2016.01.022</v>
      </c>
      <c r="G16" s="141">
        <f t="shared" si="2"/>
        <v>3214.5</v>
      </c>
      <c r="H16" t="str">
        <f t="shared" si="3"/>
        <v>NA</v>
      </c>
      <c r="I16" t="str">
        <f t="shared" si="4"/>
        <v>NA</v>
      </c>
      <c r="J16" s="141">
        <f t="shared" si="5"/>
        <v>423.47793579101562</v>
      </c>
      <c r="K16" s="141">
        <f t="shared" si="6"/>
        <v>35.822113037109375</v>
      </c>
      <c r="L16" s="141">
        <f t="shared" si="7"/>
        <v>32.0367431640625</v>
      </c>
      <c r="M16" t="b">
        <v>1</v>
      </c>
      <c r="N16">
        <v>3</v>
      </c>
      <c r="O16" t="s">
        <v>231</v>
      </c>
      <c r="P16" s="167" t="s">
        <v>167</v>
      </c>
      <c r="Q16" t="b">
        <v>0</v>
      </c>
      <c r="R16" t="s">
        <v>167</v>
      </c>
      <c r="S16" t="b">
        <v>1</v>
      </c>
      <c r="T16" t="b">
        <v>0</v>
      </c>
      <c r="U16" t="s">
        <v>167</v>
      </c>
      <c r="V16" t="s">
        <v>167</v>
      </c>
      <c r="W16" t="b">
        <v>0</v>
      </c>
      <c r="X16" t="s">
        <v>167</v>
      </c>
      <c r="Y16" s="155" t="s">
        <v>212</v>
      </c>
      <c r="Z16" s="156" t="s">
        <v>170</v>
      </c>
      <c r="AA16" s="144">
        <v>1264</v>
      </c>
      <c r="AB16" s="144" t="s">
        <v>171</v>
      </c>
      <c r="AC16" s="144">
        <v>2</v>
      </c>
      <c r="AD16" s="144">
        <v>7</v>
      </c>
      <c r="AE16" s="144">
        <v>32</v>
      </c>
      <c r="AF16" s="144">
        <v>34</v>
      </c>
      <c r="AG16" t="s">
        <v>167</v>
      </c>
      <c r="AH16" t="s">
        <v>167</v>
      </c>
      <c r="AI16" t="s">
        <v>167</v>
      </c>
      <c r="AJ16" s="157" t="s">
        <v>172</v>
      </c>
      <c r="AK16" s="157">
        <v>-28.53</v>
      </c>
      <c r="AL16" s="157">
        <v>2.85</v>
      </c>
      <c r="AM16" s="138" t="s">
        <v>167</v>
      </c>
      <c r="AN16" s="138" t="s">
        <v>167</v>
      </c>
      <c r="AO16">
        <v>-2507</v>
      </c>
      <c r="AP16" s="146" t="s">
        <v>167</v>
      </c>
      <c r="AQ16" t="s">
        <v>167</v>
      </c>
      <c r="AR16" t="s">
        <v>167</v>
      </c>
      <c r="AS16" s="158">
        <v>3214.5</v>
      </c>
      <c r="AT16" s="148" t="s">
        <v>167</v>
      </c>
      <c r="AU16" t="s">
        <v>167</v>
      </c>
      <c r="AV16" t="s">
        <v>167</v>
      </c>
      <c r="AW16" t="s">
        <v>167</v>
      </c>
      <c r="AX16" t="s">
        <v>173</v>
      </c>
      <c r="AY16" s="157" t="s">
        <v>174</v>
      </c>
      <c r="AZ16" s="138" t="s">
        <v>167</v>
      </c>
      <c r="BA16" s="138" t="s">
        <v>167</v>
      </c>
      <c r="BB16" s="138" t="s">
        <v>167</v>
      </c>
      <c r="BC16" s="138" t="s">
        <v>167</v>
      </c>
      <c r="BD16" s="138" t="s">
        <v>167</v>
      </c>
      <c r="BE16" s="138" t="s">
        <v>167</v>
      </c>
      <c r="BF16" s="138" t="s">
        <v>167</v>
      </c>
      <c r="BG16" s="157" t="s">
        <v>175</v>
      </c>
      <c r="BH16" s="157" t="s">
        <v>176</v>
      </c>
      <c r="BI16" s="157" t="s">
        <v>177</v>
      </c>
      <c r="BJ16" s="157" t="s">
        <v>167</v>
      </c>
      <c r="BK16" s="157" t="s">
        <v>178</v>
      </c>
      <c r="BL16" s="157" t="s">
        <v>179</v>
      </c>
      <c r="BM16" s="157" t="s">
        <v>180</v>
      </c>
      <c r="BN16" s="157" t="s">
        <v>167</v>
      </c>
      <c r="BO16" s="138" t="s">
        <v>167</v>
      </c>
      <c r="BP16" s="138" t="s">
        <v>167</v>
      </c>
      <c r="BQ16" s="159">
        <v>17.682139840982142</v>
      </c>
      <c r="BR16" s="157" t="s">
        <v>181</v>
      </c>
      <c r="BS16" s="160">
        <v>0.28000000000000003</v>
      </c>
      <c r="BT16" s="157">
        <v>0.83399999999999996</v>
      </c>
      <c r="BU16" s="157" t="s">
        <v>167</v>
      </c>
      <c r="BV16" s="161" t="s">
        <v>167</v>
      </c>
      <c r="BW16" s="157">
        <v>3.6</v>
      </c>
      <c r="BX16" s="157"/>
      <c r="BY16" s="157" t="s">
        <v>167</v>
      </c>
      <c r="BZ16" s="157" t="s">
        <v>213</v>
      </c>
      <c r="CA16" s="157" t="s">
        <v>183</v>
      </c>
      <c r="CB16" s="159">
        <v>16.885059761369476</v>
      </c>
      <c r="CC16" s="138" t="s">
        <v>167</v>
      </c>
      <c r="CD16" s="138" t="s">
        <v>167</v>
      </c>
      <c r="CE16" s="138" t="s">
        <v>167</v>
      </c>
      <c r="CF16" s="138" t="s">
        <v>167</v>
      </c>
      <c r="CG16" s="138" t="s">
        <v>167</v>
      </c>
      <c r="CH16" s="138" t="s">
        <v>167</v>
      </c>
      <c r="CI16" s="138" t="s">
        <v>167</v>
      </c>
      <c r="CJ16" s="162">
        <v>22.96435</v>
      </c>
      <c r="CK16" s="138" t="s">
        <v>167</v>
      </c>
      <c r="CL16" s="138" t="s">
        <v>167</v>
      </c>
      <c r="CM16" s="138" t="s">
        <v>167</v>
      </c>
      <c r="CN16" s="138" t="s">
        <v>167</v>
      </c>
      <c r="CO16" s="138" t="s">
        <v>167</v>
      </c>
      <c r="CP16" s="138" t="s">
        <v>167</v>
      </c>
      <c r="CQ16" s="138" t="s">
        <v>167</v>
      </c>
      <c r="CR16" s="138" t="s">
        <v>167</v>
      </c>
      <c r="CS16" s="138" t="s">
        <v>167</v>
      </c>
      <c r="CT16" s="138" t="s">
        <v>184</v>
      </c>
      <c r="CU16" s="138" t="s">
        <v>167</v>
      </c>
      <c r="CV16" s="138" t="s">
        <v>167</v>
      </c>
      <c r="CW16" s="138" t="s">
        <v>167</v>
      </c>
      <c r="CX16" s="138" t="s">
        <v>167</v>
      </c>
      <c r="CY16" s="138" t="s">
        <v>167</v>
      </c>
      <c r="CZ16" s="138" t="s">
        <v>167</v>
      </c>
      <c r="DA16" s="138" t="s">
        <v>167</v>
      </c>
      <c r="DB16" s="138" t="s">
        <v>167</v>
      </c>
      <c r="DC16" s="138" t="s">
        <v>167</v>
      </c>
      <c r="DD16" s="138" t="s">
        <v>167</v>
      </c>
      <c r="DE16" s="138" t="s">
        <v>167</v>
      </c>
      <c r="DF16" s="138" t="s">
        <v>167</v>
      </c>
      <c r="DG16">
        <v>36</v>
      </c>
      <c r="DH16" t="s">
        <v>185</v>
      </c>
      <c r="DI16">
        <v>3</v>
      </c>
      <c r="DJ16" t="s">
        <v>167</v>
      </c>
      <c r="DK16" t="s">
        <v>167</v>
      </c>
      <c r="DL16" t="s">
        <v>167</v>
      </c>
      <c r="DM16" t="s">
        <v>167</v>
      </c>
      <c r="DN16" t="s">
        <v>167</v>
      </c>
      <c r="DO16" t="s">
        <v>167</v>
      </c>
      <c r="DP16" t="s">
        <v>167</v>
      </c>
      <c r="DQ16" t="s">
        <v>167</v>
      </c>
      <c r="DR16" t="s">
        <v>167</v>
      </c>
      <c r="DS16" t="s">
        <v>167</v>
      </c>
      <c r="DT16" t="s">
        <v>167</v>
      </c>
      <c r="DU16" t="s">
        <v>167</v>
      </c>
      <c r="DV16" t="s">
        <v>167</v>
      </c>
      <c r="DW16" t="s">
        <v>167</v>
      </c>
      <c r="DX16" t="s">
        <v>167</v>
      </c>
      <c r="DY16" t="s">
        <v>167</v>
      </c>
      <c r="DZ16" t="s">
        <v>167</v>
      </c>
      <c r="EA16" s="159">
        <v>39.159970000000001</v>
      </c>
      <c r="EB16" t="s">
        <v>167</v>
      </c>
      <c r="EC16" t="s">
        <v>167</v>
      </c>
      <c r="ED16" s="157" t="s">
        <v>186</v>
      </c>
      <c r="EE16" s="138" t="s">
        <v>167</v>
      </c>
      <c r="EF16" s="138" t="s">
        <v>167</v>
      </c>
      <c r="EG16">
        <v>1.0271999999999999</v>
      </c>
      <c r="EH16" t="s">
        <v>167</v>
      </c>
      <c r="EI16" t="s">
        <v>167</v>
      </c>
      <c r="EJ16" t="s">
        <v>187</v>
      </c>
      <c r="EK16" t="s">
        <v>179</v>
      </c>
      <c r="EL16" s="157" t="s">
        <v>187</v>
      </c>
      <c r="EM16" s="138" t="s">
        <v>167</v>
      </c>
      <c r="EN16" s="138" t="s">
        <v>167</v>
      </c>
      <c r="EO16" s="138" t="s">
        <v>167</v>
      </c>
      <c r="EP16" s="138" t="s">
        <v>167</v>
      </c>
      <c r="EQ16" s="138" t="s">
        <v>167</v>
      </c>
      <c r="ER16" s="138" t="s">
        <v>167</v>
      </c>
      <c r="ES16" s="138" t="s">
        <v>167</v>
      </c>
      <c r="ET16" s="157" t="s">
        <v>188</v>
      </c>
      <c r="EU16" s="157" t="s">
        <v>189</v>
      </c>
      <c r="EV16" s="138" t="s">
        <v>167</v>
      </c>
      <c r="EW16">
        <v>2300</v>
      </c>
      <c r="EX16" s="138" t="s">
        <v>167</v>
      </c>
      <c r="EY16" s="138" t="s">
        <v>167</v>
      </c>
      <c r="EZ16" s="138" t="s">
        <v>167</v>
      </c>
      <c r="FA16" s="138" t="s">
        <v>167</v>
      </c>
      <c r="FB16" s="138" t="s">
        <v>167</v>
      </c>
      <c r="FC16" s="138" t="s">
        <v>167</v>
      </c>
      <c r="FD16" s="138" t="s">
        <v>167</v>
      </c>
      <c r="FE16" s="159">
        <v>7.9990763069334658</v>
      </c>
      <c r="FF16" s="157" t="s">
        <v>190</v>
      </c>
      <c r="FG16" s="157" t="s">
        <v>167</v>
      </c>
      <c r="FH16" s="157" t="s">
        <v>167</v>
      </c>
      <c r="FI16" s="163">
        <v>423.47793579101562</v>
      </c>
      <c r="FJ16" s="138" t="s">
        <v>167</v>
      </c>
      <c r="FK16" t="s">
        <v>167</v>
      </c>
      <c r="FL16" s="141">
        <v>423.47793579101562</v>
      </c>
      <c r="FM16" s="164">
        <v>35.822113037109375</v>
      </c>
      <c r="FN16" s="164">
        <v>32.0367431640625</v>
      </c>
      <c r="FO16" t="s">
        <v>167</v>
      </c>
      <c r="FP16" s="157" t="s">
        <v>191</v>
      </c>
      <c r="FQ16" t="s">
        <v>167</v>
      </c>
      <c r="FR16" t="s">
        <v>167</v>
      </c>
      <c r="FS16" t="s">
        <v>167</v>
      </c>
      <c r="FT16" t="s">
        <v>167</v>
      </c>
      <c r="FU16" t="s">
        <v>167</v>
      </c>
      <c r="FV16" t="s">
        <v>167</v>
      </c>
      <c r="FW16" t="s">
        <v>167</v>
      </c>
      <c r="FX16" t="s">
        <v>167</v>
      </c>
      <c r="FY16" t="s">
        <v>167</v>
      </c>
      <c r="FZ16" t="s">
        <v>167</v>
      </c>
      <c r="GA16" t="s">
        <v>167</v>
      </c>
      <c r="GB16" t="s">
        <v>167</v>
      </c>
      <c r="GC16" s="157"/>
    </row>
    <row r="17" spans="1:185" ht="16">
      <c r="A17" s="145" t="s">
        <v>229</v>
      </c>
      <c r="B17" s="166" t="s">
        <v>230</v>
      </c>
      <c r="C17" s="138" t="s">
        <v>168</v>
      </c>
      <c r="D17" t="s">
        <v>228</v>
      </c>
      <c r="E17">
        <v>2016</v>
      </c>
      <c r="F17" t="str">
        <f t="shared" si="1"/>
        <v>10.1016/j.epsl.2016.01.022</v>
      </c>
      <c r="G17" s="141">
        <f t="shared" si="2"/>
        <v>3659.4</v>
      </c>
      <c r="H17" t="str">
        <f t="shared" si="3"/>
        <v>NA</v>
      </c>
      <c r="I17" t="str">
        <f t="shared" si="4"/>
        <v>NA</v>
      </c>
      <c r="J17" s="141">
        <f t="shared" si="5"/>
        <v>356.76373291015625</v>
      </c>
      <c r="K17" s="141">
        <f t="shared" si="6"/>
        <v>31.765472412109375</v>
      </c>
      <c r="L17" s="141">
        <f t="shared" si="7"/>
        <v>28.368560791015625</v>
      </c>
      <c r="M17" t="b">
        <v>1</v>
      </c>
      <c r="N17">
        <v>3</v>
      </c>
      <c r="O17" t="s">
        <v>231</v>
      </c>
      <c r="P17" s="167" t="s">
        <v>167</v>
      </c>
      <c r="Q17" t="b">
        <v>0</v>
      </c>
      <c r="R17" t="s">
        <v>167</v>
      </c>
      <c r="S17" t="b">
        <v>1</v>
      </c>
      <c r="T17" t="b">
        <v>0</v>
      </c>
      <c r="U17" t="s">
        <v>167</v>
      </c>
      <c r="V17" t="s">
        <v>167</v>
      </c>
      <c r="W17" t="b">
        <v>0</v>
      </c>
      <c r="X17" t="s">
        <v>167</v>
      </c>
      <c r="Y17" s="155" t="s">
        <v>214</v>
      </c>
      <c r="Z17" s="156" t="s">
        <v>170</v>
      </c>
      <c r="AA17" s="144">
        <v>1264</v>
      </c>
      <c r="AB17" s="144" t="s">
        <v>171</v>
      </c>
      <c r="AC17" s="144">
        <v>3</v>
      </c>
      <c r="AD17" s="144">
        <v>4</v>
      </c>
      <c r="AE17" s="144">
        <v>32</v>
      </c>
      <c r="AF17" s="144">
        <v>34</v>
      </c>
      <c r="AG17" t="s">
        <v>167</v>
      </c>
      <c r="AH17" t="s">
        <v>167</v>
      </c>
      <c r="AI17" t="s">
        <v>167</v>
      </c>
      <c r="AJ17" s="157" t="s">
        <v>172</v>
      </c>
      <c r="AK17" s="157">
        <v>-28.53</v>
      </c>
      <c r="AL17" s="157">
        <v>2.85</v>
      </c>
      <c r="AM17" s="138" t="s">
        <v>167</v>
      </c>
      <c r="AN17" s="138" t="s">
        <v>167</v>
      </c>
      <c r="AO17">
        <v>-2507</v>
      </c>
      <c r="AP17" s="146" t="s">
        <v>167</v>
      </c>
      <c r="AQ17" t="s">
        <v>167</v>
      </c>
      <c r="AR17" t="s">
        <v>167</v>
      </c>
      <c r="AS17" s="158">
        <v>3659.4</v>
      </c>
      <c r="AT17" s="148" t="s">
        <v>167</v>
      </c>
      <c r="AU17" t="s">
        <v>167</v>
      </c>
      <c r="AV17" t="s">
        <v>167</v>
      </c>
      <c r="AW17" t="s">
        <v>167</v>
      </c>
      <c r="AX17" t="s">
        <v>173</v>
      </c>
      <c r="AY17" s="157" t="s">
        <v>174</v>
      </c>
      <c r="AZ17" s="138" t="s">
        <v>167</v>
      </c>
      <c r="BA17" s="138" t="s">
        <v>167</v>
      </c>
      <c r="BB17" s="138" t="s">
        <v>167</v>
      </c>
      <c r="BC17" s="138" t="s">
        <v>167</v>
      </c>
      <c r="BD17" s="138" t="s">
        <v>167</v>
      </c>
      <c r="BE17" s="138" t="s">
        <v>167</v>
      </c>
      <c r="BF17" s="138" t="s">
        <v>167</v>
      </c>
      <c r="BG17" s="157" t="s">
        <v>175</v>
      </c>
      <c r="BH17" s="157" t="s">
        <v>176</v>
      </c>
      <c r="BI17" s="157" t="s">
        <v>177</v>
      </c>
      <c r="BJ17" s="157" t="s">
        <v>167</v>
      </c>
      <c r="BK17" s="157" t="s">
        <v>178</v>
      </c>
      <c r="BL17" s="157" t="s">
        <v>179</v>
      </c>
      <c r="BM17" s="157" t="s">
        <v>180</v>
      </c>
      <c r="BN17" s="157" t="s">
        <v>167</v>
      </c>
      <c r="BO17" s="138" t="s">
        <v>167</v>
      </c>
      <c r="BP17" s="138" t="s">
        <v>167</v>
      </c>
      <c r="BQ17" s="159">
        <v>18.153338205588057</v>
      </c>
      <c r="BR17" s="157" t="s">
        <v>181</v>
      </c>
      <c r="BS17" s="160">
        <v>0.31383243363518465</v>
      </c>
      <c r="BT17" s="157">
        <v>0.83399999999999996</v>
      </c>
      <c r="BU17" s="157" t="s">
        <v>167</v>
      </c>
      <c r="BV17" s="161" t="s">
        <v>167</v>
      </c>
      <c r="BW17" s="157">
        <v>3.6</v>
      </c>
      <c r="BX17" s="157"/>
      <c r="BY17" s="157" t="s">
        <v>167</v>
      </c>
      <c r="BZ17" s="157" t="s">
        <v>215</v>
      </c>
      <c r="CA17" s="157" t="s">
        <v>183</v>
      </c>
      <c r="CB17" s="159">
        <v>17.450045810057624</v>
      </c>
      <c r="CC17" s="138" t="s">
        <v>167</v>
      </c>
      <c r="CD17" s="138" t="s">
        <v>167</v>
      </c>
      <c r="CE17" s="138" t="s">
        <v>167</v>
      </c>
      <c r="CF17" s="138" t="s">
        <v>167</v>
      </c>
      <c r="CG17" s="138" t="s">
        <v>167</v>
      </c>
      <c r="CH17" s="138" t="s">
        <v>167</v>
      </c>
      <c r="CI17" s="138" t="s">
        <v>167</v>
      </c>
      <c r="CJ17" s="162">
        <v>23.097819999999999</v>
      </c>
      <c r="CK17" s="138" t="s">
        <v>167</v>
      </c>
      <c r="CL17" s="138" t="s">
        <v>167</v>
      </c>
      <c r="CM17" s="138" t="s">
        <v>167</v>
      </c>
      <c r="CN17" s="138" t="s">
        <v>167</v>
      </c>
      <c r="CO17" s="138" t="s">
        <v>167</v>
      </c>
      <c r="CP17" s="138" t="s">
        <v>167</v>
      </c>
      <c r="CQ17" s="138" t="s">
        <v>167</v>
      </c>
      <c r="CR17" s="138" t="s">
        <v>167</v>
      </c>
      <c r="CS17" s="138" t="s">
        <v>167</v>
      </c>
      <c r="CT17" s="138" t="s">
        <v>184</v>
      </c>
      <c r="CU17" s="138" t="s">
        <v>167</v>
      </c>
      <c r="CV17" s="138" t="s">
        <v>167</v>
      </c>
      <c r="CW17" s="138" t="s">
        <v>167</v>
      </c>
      <c r="CX17" s="138" t="s">
        <v>167</v>
      </c>
      <c r="CY17" s="138" t="s">
        <v>167</v>
      </c>
      <c r="CZ17" s="138" t="s">
        <v>167</v>
      </c>
      <c r="DA17" s="138" t="s">
        <v>167</v>
      </c>
      <c r="DB17" s="138" t="s">
        <v>167</v>
      </c>
      <c r="DC17" s="138" t="s">
        <v>167</v>
      </c>
      <c r="DD17" s="138" t="s">
        <v>167</v>
      </c>
      <c r="DE17" s="138" t="s">
        <v>167</v>
      </c>
      <c r="DF17" s="138" t="s">
        <v>167</v>
      </c>
      <c r="DG17">
        <v>36</v>
      </c>
      <c r="DH17" t="s">
        <v>185</v>
      </c>
      <c r="DI17">
        <v>3</v>
      </c>
      <c r="DJ17" t="s">
        <v>167</v>
      </c>
      <c r="DK17" t="s">
        <v>167</v>
      </c>
      <c r="DL17" t="s">
        <v>167</v>
      </c>
      <c r="DM17" t="s">
        <v>167</v>
      </c>
      <c r="DN17" t="s">
        <v>167</v>
      </c>
      <c r="DO17" t="s">
        <v>167</v>
      </c>
      <c r="DP17" t="s">
        <v>167</v>
      </c>
      <c r="DQ17" t="s">
        <v>167</v>
      </c>
      <c r="DR17" t="s">
        <v>167</v>
      </c>
      <c r="DS17" t="s">
        <v>167</v>
      </c>
      <c r="DT17" t="s">
        <v>167</v>
      </c>
      <c r="DU17" t="s">
        <v>167</v>
      </c>
      <c r="DV17" t="s">
        <v>167</v>
      </c>
      <c r="DW17" t="s">
        <v>167</v>
      </c>
      <c r="DX17" t="s">
        <v>167</v>
      </c>
      <c r="DY17" t="s">
        <v>167</v>
      </c>
      <c r="DZ17" t="s">
        <v>167</v>
      </c>
      <c r="EA17" s="159">
        <v>39.097684000000001</v>
      </c>
      <c r="EB17" t="s">
        <v>167</v>
      </c>
      <c r="EC17" t="s">
        <v>167</v>
      </c>
      <c r="ED17" s="157" t="s">
        <v>186</v>
      </c>
      <c r="EE17" s="138" t="s">
        <v>167</v>
      </c>
      <c r="EF17" s="138" t="s">
        <v>167</v>
      </c>
      <c r="EG17">
        <v>1.0271999999999999</v>
      </c>
      <c r="EH17" t="s">
        <v>167</v>
      </c>
      <c r="EI17" t="s">
        <v>167</v>
      </c>
      <c r="EJ17" t="s">
        <v>187</v>
      </c>
      <c r="EK17" t="s">
        <v>179</v>
      </c>
      <c r="EL17" s="157" t="s">
        <v>187</v>
      </c>
      <c r="EM17" s="138" t="s">
        <v>167</v>
      </c>
      <c r="EN17" s="138" t="s">
        <v>167</v>
      </c>
      <c r="EO17" s="138" t="s">
        <v>167</v>
      </c>
      <c r="EP17" s="138" t="s">
        <v>167</v>
      </c>
      <c r="EQ17" s="138" t="s">
        <v>167</v>
      </c>
      <c r="ER17" s="138" t="s">
        <v>167</v>
      </c>
      <c r="ES17" s="138" t="s">
        <v>167</v>
      </c>
      <c r="ET17" s="157" t="s">
        <v>188</v>
      </c>
      <c r="EU17" s="157" t="s">
        <v>189</v>
      </c>
      <c r="EV17" s="138" t="s">
        <v>167</v>
      </c>
      <c r="EW17">
        <v>2300</v>
      </c>
      <c r="EX17" s="138" t="s">
        <v>167</v>
      </c>
      <c r="EY17" s="138" t="s">
        <v>167</v>
      </c>
      <c r="EZ17" s="138" t="s">
        <v>167</v>
      </c>
      <c r="FA17" s="138" t="s">
        <v>167</v>
      </c>
      <c r="FB17" s="138" t="s">
        <v>167</v>
      </c>
      <c r="FC17" s="138" t="s">
        <v>167</v>
      </c>
      <c r="FD17" s="138" t="s">
        <v>167</v>
      </c>
      <c r="FE17" s="159">
        <v>8.0588062577336004</v>
      </c>
      <c r="FF17" s="157" t="s">
        <v>190</v>
      </c>
      <c r="FG17" s="157" t="s">
        <v>167</v>
      </c>
      <c r="FH17" s="157" t="s">
        <v>167</v>
      </c>
      <c r="FI17" s="163">
        <v>356.76373291015625</v>
      </c>
      <c r="FJ17" s="138" t="s">
        <v>167</v>
      </c>
      <c r="FK17" t="s">
        <v>167</v>
      </c>
      <c r="FL17" s="141">
        <v>356.76373291015625</v>
      </c>
      <c r="FM17" s="164">
        <v>31.765472412109375</v>
      </c>
      <c r="FN17" s="164">
        <v>28.368560791015625</v>
      </c>
      <c r="FO17" t="s">
        <v>167</v>
      </c>
      <c r="FP17" s="157" t="s">
        <v>191</v>
      </c>
      <c r="FQ17" t="s">
        <v>167</v>
      </c>
      <c r="FR17" t="s">
        <v>167</v>
      </c>
      <c r="FS17" t="s">
        <v>167</v>
      </c>
      <c r="FT17" t="s">
        <v>167</v>
      </c>
      <c r="FU17" t="s">
        <v>167</v>
      </c>
      <c r="FV17" t="s">
        <v>167</v>
      </c>
      <c r="FW17" t="s">
        <v>167</v>
      </c>
      <c r="FX17" t="s">
        <v>167</v>
      </c>
      <c r="FY17" t="s">
        <v>167</v>
      </c>
      <c r="FZ17" t="s">
        <v>167</v>
      </c>
      <c r="GA17" t="s">
        <v>167</v>
      </c>
      <c r="GB17" t="s">
        <v>167</v>
      </c>
      <c r="GC17" s="157"/>
    </row>
    <row r="18" spans="1:185" ht="16">
      <c r="A18" s="145" t="s">
        <v>229</v>
      </c>
      <c r="B18" s="166" t="s">
        <v>230</v>
      </c>
      <c r="C18" s="138" t="s">
        <v>168</v>
      </c>
      <c r="D18" t="s">
        <v>228</v>
      </c>
      <c r="E18">
        <v>2016</v>
      </c>
      <c r="F18" t="str">
        <f t="shared" si="1"/>
        <v>10.1016/j.epsl.2016.01.022</v>
      </c>
      <c r="G18" s="141">
        <f t="shared" si="2"/>
        <v>3887</v>
      </c>
      <c r="H18" t="str">
        <f t="shared" si="3"/>
        <v>NA</v>
      </c>
      <c r="I18" t="str">
        <f t="shared" si="4"/>
        <v>NA</v>
      </c>
      <c r="J18" s="141">
        <f t="shared" si="5"/>
        <v>506.94332885742188</v>
      </c>
      <c r="K18" s="141">
        <f t="shared" si="6"/>
        <v>46.490875244140625</v>
      </c>
      <c r="L18" s="141">
        <f t="shared" si="7"/>
        <v>41.040435791015625</v>
      </c>
      <c r="M18" t="b">
        <v>1</v>
      </c>
      <c r="N18">
        <v>3</v>
      </c>
      <c r="O18" t="s">
        <v>231</v>
      </c>
      <c r="P18" s="167" t="s">
        <v>167</v>
      </c>
      <c r="Q18" t="b">
        <v>0</v>
      </c>
      <c r="R18" t="s">
        <v>167</v>
      </c>
      <c r="S18" t="b">
        <v>1</v>
      </c>
      <c r="T18" t="b">
        <v>0</v>
      </c>
      <c r="U18" t="s">
        <v>167</v>
      </c>
      <c r="V18" t="s">
        <v>167</v>
      </c>
      <c r="W18" t="b">
        <v>0</v>
      </c>
      <c r="X18" t="s">
        <v>167</v>
      </c>
      <c r="Y18" s="155" t="s">
        <v>216</v>
      </c>
      <c r="Z18" s="156" t="s">
        <v>170</v>
      </c>
      <c r="AA18" s="144">
        <v>1264</v>
      </c>
      <c r="AB18" s="144" t="s">
        <v>171</v>
      </c>
      <c r="AC18" s="144">
        <v>3</v>
      </c>
      <c r="AD18" s="144">
        <v>5</v>
      </c>
      <c r="AE18" s="144">
        <v>32</v>
      </c>
      <c r="AF18" s="144">
        <v>34</v>
      </c>
      <c r="AG18" t="s">
        <v>167</v>
      </c>
      <c r="AH18" t="s">
        <v>167</v>
      </c>
      <c r="AI18" t="s">
        <v>167</v>
      </c>
      <c r="AJ18" s="157" t="s">
        <v>172</v>
      </c>
      <c r="AK18" s="157">
        <v>-28.53</v>
      </c>
      <c r="AL18" s="157">
        <v>2.85</v>
      </c>
      <c r="AM18" s="138" t="s">
        <v>167</v>
      </c>
      <c r="AN18" s="138" t="s">
        <v>167</v>
      </c>
      <c r="AO18">
        <v>-2507</v>
      </c>
      <c r="AP18" s="146" t="s">
        <v>167</v>
      </c>
      <c r="AQ18" t="s">
        <v>167</v>
      </c>
      <c r="AR18" t="s">
        <v>167</v>
      </c>
      <c r="AS18" s="158">
        <v>3887</v>
      </c>
      <c r="AT18" s="148" t="s">
        <v>167</v>
      </c>
      <c r="AU18" t="s">
        <v>167</v>
      </c>
      <c r="AV18" t="s">
        <v>167</v>
      </c>
      <c r="AW18" t="s">
        <v>167</v>
      </c>
      <c r="AX18" t="s">
        <v>173</v>
      </c>
      <c r="AY18" s="157" t="s">
        <v>174</v>
      </c>
      <c r="AZ18" s="138" t="s">
        <v>167</v>
      </c>
      <c r="BA18" s="138" t="s">
        <v>167</v>
      </c>
      <c r="BB18" s="138" t="s">
        <v>167</v>
      </c>
      <c r="BC18" s="138" t="s">
        <v>167</v>
      </c>
      <c r="BD18" s="138" t="s">
        <v>167</v>
      </c>
      <c r="BE18" s="138" t="s">
        <v>167</v>
      </c>
      <c r="BF18" s="138" t="s">
        <v>167</v>
      </c>
      <c r="BG18" s="157" t="s">
        <v>175</v>
      </c>
      <c r="BH18" s="157" t="s">
        <v>176</v>
      </c>
      <c r="BI18" s="157" t="s">
        <v>177</v>
      </c>
      <c r="BJ18" s="157" t="s">
        <v>167</v>
      </c>
      <c r="BK18" s="157" t="s">
        <v>178</v>
      </c>
      <c r="BL18" s="157" t="s">
        <v>179</v>
      </c>
      <c r="BM18" s="157" t="s">
        <v>180</v>
      </c>
      <c r="BN18" s="157" t="s">
        <v>167</v>
      </c>
      <c r="BO18" s="138" t="s">
        <v>167</v>
      </c>
      <c r="BP18" s="138" t="s">
        <v>167</v>
      </c>
      <c r="BQ18" s="159">
        <v>17.114821687658029</v>
      </c>
      <c r="BR18" s="157" t="s">
        <v>181</v>
      </c>
      <c r="BS18" s="160">
        <v>0.28000000000000003</v>
      </c>
      <c r="BT18" s="157">
        <v>0.83399999999999996</v>
      </c>
      <c r="BU18" s="157" t="s">
        <v>167</v>
      </c>
      <c r="BV18" s="161" t="s">
        <v>167</v>
      </c>
      <c r="BW18" s="157">
        <v>3.6</v>
      </c>
      <c r="BX18" s="157"/>
      <c r="BY18" s="157" t="s">
        <v>167</v>
      </c>
      <c r="BZ18" s="157" t="s">
        <v>217</v>
      </c>
      <c r="CA18" s="157" t="s">
        <v>183</v>
      </c>
      <c r="CB18" s="159">
        <v>16.204822167455671</v>
      </c>
      <c r="CC18" s="138" t="s">
        <v>167</v>
      </c>
      <c r="CD18" s="138" t="s">
        <v>167</v>
      </c>
      <c r="CE18" s="138" t="s">
        <v>167</v>
      </c>
      <c r="CF18" s="138" t="s">
        <v>167</v>
      </c>
      <c r="CG18" s="138" t="s">
        <v>167</v>
      </c>
      <c r="CH18" s="138" t="s">
        <v>167</v>
      </c>
      <c r="CI18" s="138" t="s">
        <v>167</v>
      </c>
      <c r="CJ18" s="162">
        <v>23.1661</v>
      </c>
      <c r="CK18" s="138" t="s">
        <v>167</v>
      </c>
      <c r="CL18" s="138" t="s">
        <v>167</v>
      </c>
      <c r="CM18" s="138" t="s">
        <v>167</v>
      </c>
      <c r="CN18" s="138" t="s">
        <v>167</v>
      </c>
      <c r="CO18" s="138" t="s">
        <v>167</v>
      </c>
      <c r="CP18" s="138" t="s">
        <v>167</v>
      </c>
      <c r="CQ18" s="138" t="s">
        <v>167</v>
      </c>
      <c r="CR18" s="138" t="s">
        <v>167</v>
      </c>
      <c r="CS18" s="138" t="s">
        <v>167</v>
      </c>
      <c r="CT18" s="138" t="s">
        <v>184</v>
      </c>
      <c r="CU18" s="138" t="s">
        <v>167</v>
      </c>
      <c r="CV18" s="138" t="s">
        <v>167</v>
      </c>
      <c r="CW18" s="138" t="s">
        <v>167</v>
      </c>
      <c r="CX18" s="138" t="s">
        <v>167</v>
      </c>
      <c r="CY18" s="138" t="s">
        <v>167</v>
      </c>
      <c r="CZ18" s="138" t="s">
        <v>167</v>
      </c>
      <c r="DA18" s="138" t="s">
        <v>167</v>
      </c>
      <c r="DB18" s="138" t="s">
        <v>167</v>
      </c>
      <c r="DC18" s="138" t="s">
        <v>167</v>
      </c>
      <c r="DD18" s="138" t="s">
        <v>167</v>
      </c>
      <c r="DE18" s="138" t="s">
        <v>167</v>
      </c>
      <c r="DF18" s="138" t="s">
        <v>167</v>
      </c>
      <c r="DG18">
        <v>36</v>
      </c>
      <c r="DH18" t="s">
        <v>185</v>
      </c>
      <c r="DI18">
        <v>3</v>
      </c>
      <c r="DJ18" t="s">
        <v>167</v>
      </c>
      <c r="DK18" t="s">
        <v>167</v>
      </c>
      <c r="DL18" t="s">
        <v>167</v>
      </c>
      <c r="DM18" t="s">
        <v>167</v>
      </c>
      <c r="DN18" t="s">
        <v>167</v>
      </c>
      <c r="DO18" t="s">
        <v>167</v>
      </c>
      <c r="DP18" t="s">
        <v>167</v>
      </c>
      <c r="DQ18" t="s">
        <v>167</v>
      </c>
      <c r="DR18" t="s">
        <v>167</v>
      </c>
      <c r="DS18" t="s">
        <v>167</v>
      </c>
      <c r="DT18" t="s">
        <v>167</v>
      </c>
      <c r="DU18" t="s">
        <v>167</v>
      </c>
      <c r="DV18" t="s">
        <v>167</v>
      </c>
      <c r="DW18" t="s">
        <v>167</v>
      </c>
      <c r="DX18" t="s">
        <v>167</v>
      </c>
      <c r="DY18" t="s">
        <v>167</v>
      </c>
      <c r="DZ18" t="s">
        <v>167</v>
      </c>
      <c r="EA18" s="159">
        <v>39.065820000000002</v>
      </c>
      <c r="EB18" t="s">
        <v>167</v>
      </c>
      <c r="EC18" t="s">
        <v>167</v>
      </c>
      <c r="ED18" s="157" t="s">
        <v>186</v>
      </c>
      <c r="EE18" s="138" t="s">
        <v>167</v>
      </c>
      <c r="EF18" s="138" t="s">
        <v>167</v>
      </c>
      <c r="EG18">
        <v>1.0271999999999999</v>
      </c>
      <c r="EH18" t="s">
        <v>167</v>
      </c>
      <c r="EI18" t="s">
        <v>167</v>
      </c>
      <c r="EJ18" t="s">
        <v>187</v>
      </c>
      <c r="EK18" t="s">
        <v>179</v>
      </c>
      <c r="EL18" s="157" t="s">
        <v>187</v>
      </c>
      <c r="EM18" s="138" t="s">
        <v>167</v>
      </c>
      <c r="EN18" s="138" t="s">
        <v>167</v>
      </c>
      <c r="EO18" s="138" t="s">
        <v>167</v>
      </c>
      <c r="EP18" s="138" t="s">
        <v>167</v>
      </c>
      <c r="EQ18" s="138" t="s">
        <v>167</v>
      </c>
      <c r="ER18" s="138" t="s">
        <v>167</v>
      </c>
      <c r="ES18" s="138" t="s">
        <v>167</v>
      </c>
      <c r="ET18" s="157" t="s">
        <v>188</v>
      </c>
      <c r="EU18" s="157" t="s">
        <v>189</v>
      </c>
      <c r="EV18" s="138" t="s">
        <v>167</v>
      </c>
      <c r="EW18">
        <v>2300</v>
      </c>
      <c r="EX18" s="138" t="s">
        <v>167</v>
      </c>
      <c r="EY18" s="138" t="s">
        <v>167</v>
      </c>
      <c r="EZ18" s="138" t="s">
        <v>167</v>
      </c>
      <c r="FA18" s="138" t="s">
        <v>167</v>
      </c>
      <c r="FB18" s="138" t="s">
        <v>167</v>
      </c>
      <c r="FC18" s="138" t="s">
        <v>167</v>
      </c>
      <c r="FD18" s="138" t="s">
        <v>167</v>
      </c>
      <c r="FE18" s="159">
        <v>7.9336064893785823</v>
      </c>
      <c r="FF18" s="157" t="s">
        <v>190</v>
      </c>
      <c r="FG18" s="157" t="s">
        <v>167</v>
      </c>
      <c r="FH18" s="157" t="s">
        <v>167</v>
      </c>
      <c r="FI18" s="163">
        <v>506.94332885742188</v>
      </c>
      <c r="FJ18" s="138" t="s">
        <v>167</v>
      </c>
      <c r="FK18" t="s">
        <v>167</v>
      </c>
      <c r="FL18" s="141">
        <v>506.94332885742188</v>
      </c>
      <c r="FM18" s="164">
        <v>46.490875244140625</v>
      </c>
      <c r="FN18" s="164">
        <v>41.040435791015625</v>
      </c>
      <c r="FO18" t="s">
        <v>167</v>
      </c>
      <c r="FP18" s="157" t="s">
        <v>191</v>
      </c>
      <c r="FQ18" t="s">
        <v>167</v>
      </c>
      <c r="FR18" t="s">
        <v>167</v>
      </c>
      <c r="FS18" t="s">
        <v>167</v>
      </c>
      <c r="FT18" t="s">
        <v>167</v>
      </c>
      <c r="FU18" t="s">
        <v>167</v>
      </c>
      <c r="FV18" t="s">
        <v>167</v>
      </c>
      <c r="FW18" t="s">
        <v>167</v>
      </c>
      <c r="FX18" t="s">
        <v>167</v>
      </c>
      <c r="FY18" t="s">
        <v>167</v>
      </c>
      <c r="FZ18" t="s">
        <v>167</v>
      </c>
      <c r="GA18" t="s">
        <v>167</v>
      </c>
      <c r="GB18" t="s">
        <v>167</v>
      </c>
      <c r="GC18" s="157"/>
    </row>
    <row r="19" spans="1:185" ht="16">
      <c r="A19" s="145" t="s">
        <v>229</v>
      </c>
      <c r="B19" s="166" t="s">
        <v>230</v>
      </c>
      <c r="C19" s="138" t="s">
        <v>168</v>
      </c>
      <c r="D19" t="s">
        <v>228</v>
      </c>
      <c r="E19">
        <v>2016</v>
      </c>
      <c r="F19" t="str">
        <f t="shared" si="1"/>
        <v>10.1016/j.epsl.2016.01.022</v>
      </c>
      <c r="G19" s="141">
        <f t="shared" si="2"/>
        <v>4099.5</v>
      </c>
      <c r="H19" t="str">
        <f t="shared" si="3"/>
        <v>NA</v>
      </c>
      <c r="I19" t="str">
        <f t="shared" si="4"/>
        <v>NA</v>
      </c>
      <c r="J19" s="141">
        <f t="shared" si="5"/>
        <v>379.76510620117188</v>
      </c>
      <c r="K19" s="141">
        <f t="shared" si="6"/>
        <v>30.623687744140625</v>
      </c>
      <c r="L19" s="141">
        <f t="shared" si="7"/>
        <v>27.59283447265625</v>
      </c>
      <c r="M19" t="b">
        <v>1</v>
      </c>
      <c r="N19">
        <v>3</v>
      </c>
      <c r="O19" t="s">
        <v>231</v>
      </c>
      <c r="P19" s="167" t="s">
        <v>167</v>
      </c>
      <c r="Q19" t="b">
        <v>0</v>
      </c>
      <c r="R19" t="s">
        <v>167</v>
      </c>
      <c r="S19" t="b">
        <v>1</v>
      </c>
      <c r="T19" t="b">
        <v>0</v>
      </c>
      <c r="U19" t="s">
        <v>167</v>
      </c>
      <c r="V19" t="s">
        <v>167</v>
      </c>
      <c r="W19" t="b">
        <v>0</v>
      </c>
      <c r="X19" t="s">
        <v>167</v>
      </c>
      <c r="Y19" s="155" t="s">
        <v>218</v>
      </c>
      <c r="Z19" s="156" t="s">
        <v>170</v>
      </c>
      <c r="AA19" s="144">
        <v>1264</v>
      </c>
      <c r="AB19" s="144" t="s">
        <v>171</v>
      </c>
      <c r="AC19" s="144">
        <v>3</v>
      </c>
      <c r="AD19" s="144">
        <v>6</v>
      </c>
      <c r="AE19" s="144">
        <v>32</v>
      </c>
      <c r="AF19" s="144">
        <v>34</v>
      </c>
      <c r="AG19" t="s">
        <v>167</v>
      </c>
      <c r="AH19" t="s">
        <v>167</v>
      </c>
      <c r="AI19" t="s">
        <v>167</v>
      </c>
      <c r="AJ19" s="157" t="s">
        <v>172</v>
      </c>
      <c r="AK19" s="157">
        <v>-28.53</v>
      </c>
      <c r="AL19" s="157">
        <v>2.85</v>
      </c>
      <c r="AM19" s="138" t="s">
        <v>167</v>
      </c>
      <c r="AN19" s="138" t="s">
        <v>167</v>
      </c>
      <c r="AO19">
        <v>-2507</v>
      </c>
      <c r="AP19" s="146" t="s">
        <v>167</v>
      </c>
      <c r="AQ19" t="s">
        <v>167</v>
      </c>
      <c r="AR19" t="s">
        <v>167</v>
      </c>
      <c r="AS19" s="158">
        <v>4099.5</v>
      </c>
      <c r="AT19" s="148" t="s">
        <v>167</v>
      </c>
      <c r="AU19" t="s">
        <v>167</v>
      </c>
      <c r="AV19" t="s">
        <v>167</v>
      </c>
      <c r="AW19" t="s">
        <v>167</v>
      </c>
      <c r="AX19" t="s">
        <v>173</v>
      </c>
      <c r="AY19" s="157" t="s">
        <v>174</v>
      </c>
      <c r="AZ19" s="138" t="s">
        <v>167</v>
      </c>
      <c r="BA19" s="138" t="s">
        <v>167</v>
      </c>
      <c r="BB19" s="138" t="s">
        <v>167</v>
      </c>
      <c r="BC19" s="138" t="s">
        <v>167</v>
      </c>
      <c r="BD19" s="138" t="s">
        <v>167</v>
      </c>
      <c r="BE19" s="138" t="s">
        <v>167</v>
      </c>
      <c r="BF19" s="138" t="s">
        <v>167</v>
      </c>
      <c r="BG19" s="157" t="s">
        <v>175</v>
      </c>
      <c r="BH19" s="157" t="s">
        <v>176</v>
      </c>
      <c r="BI19" s="157" t="s">
        <v>177</v>
      </c>
      <c r="BJ19" s="157" t="s">
        <v>167</v>
      </c>
      <c r="BK19" s="157" t="s">
        <v>178</v>
      </c>
      <c r="BL19" s="157" t="s">
        <v>179</v>
      </c>
      <c r="BM19" s="157" t="s">
        <v>180</v>
      </c>
      <c r="BN19" s="157" t="s">
        <v>167</v>
      </c>
      <c r="BO19" s="138" t="s">
        <v>167</v>
      </c>
      <c r="BP19" s="138" t="s">
        <v>167</v>
      </c>
      <c r="BQ19" s="159">
        <v>17.930952974572051</v>
      </c>
      <c r="BR19" s="157" t="s">
        <v>181</v>
      </c>
      <c r="BS19" s="160">
        <v>0.28000000000000003</v>
      </c>
      <c r="BT19" s="157">
        <v>0.83399999999999996</v>
      </c>
      <c r="BU19" s="157" t="s">
        <v>167</v>
      </c>
      <c r="BV19" s="161" t="s">
        <v>167</v>
      </c>
      <c r="BW19" s="157">
        <v>3.6</v>
      </c>
      <c r="BX19" s="157"/>
      <c r="BY19" s="157" t="s">
        <v>167</v>
      </c>
      <c r="BZ19" s="157" t="s">
        <v>219</v>
      </c>
      <c r="CA19" s="157" t="s">
        <v>183</v>
      </c>
      <c r="CB19" s="159">
        <v>17.183396852004858</v>
      </c>
      <c r="CC19" s="138" t="s">
        <v>167</v>
      </c>
      <c r="CD19" s="138" t="s">
        <v>167</v>
      </c>
      <c r="CE19" s="138" t="s">
        <v>167</v>
      </c>
      <c r="CF19" s="138" t="s">
        <v>167</v>
      </c>
      <c r="CG19" s="138" t="s">
        <v>167</v>
      </c>
      <c r="CH19" s="138" t="s">
        <v>167</v>
      </c>
      <c r="CI19" s="138" t="s">
        <v>167</v>
      </c>
      <c r="CJ19" s="162">
        <v>23.229849999999999</v>
      </c>
      <c r="CK19" s="138" t="s">
        <v>167</v>
      </c>
      <c r="CL19" s="138" t="s">
        <v>167</v>
      </c>
      <c r="CM19" s="138" t="s">
        <v>167</v>
      </c>
      <c r="CN19" s="138" t="s">
        <v>167</v>
      </c>
      <c r="CO19" s="138" t="s">
        <v>167</v>
      </c>
      <c r="CP19" s="138" t="s">
        <v>167</v>
      </c>
      <c r="CQ19" s="138" t="s">
        <v>167</v>
      </c>
      <c r="CR19" s="138" t="s">
        <v>167</v>
      </c>
      <c r="CS19" s="138" t="s">
        <v>167</v>
      </c>
      <c r="CT19" s="138" t="s">
        <v>184</v>
      </c>
      <c r="CU19" s="138" t="s">
        <v>167</v>
      </c>
      <c r="CV19" s="138" t="s">
        <v>167</v>
      </c>
      <c r="CW19" s="138" t="s">
        <v>167</v>
      </c>
      <c r="CX19" s="138" t="s">
        <v>167</v>
      </c>
      <c r="CY19" s="138" t="s">
        <v>167</v>
      </c>
      <c r="CZ19" s="138" t="s">
        <v>167</v>
      </c>
      <c r="DA19" s="138" t="s">
        <v>167</v>
      </c>
      <c r="DB19" s="138" t="s">
        <v>167</v>
      </c>
      <c r="DC19" s="138" t="s">
        <v>167</v>
      </c>
      <c r="DD19" s="138" t="s">
        <v>167</v>
      </c>
      <c r="DE19" s="138" t="s">
        <v>167</v>
      </c>
      <c r="DF19" s="138" t="s">
        <v>167</v>
      </c>
      <c r="DG19">
        <v>36</v>
      </c>
      <c r="DH19" t="s">
        <v>185</v>
      </c>
      <c r="DI19">
        <v>3</v>
      </c>
      <c r="DJ19" t="s">
        <v>167</v>
      </c>
      <c r="DK19" t="s">
        <v>167</v>
      </c>
      <c r="DL19" t="s">
        <v>167</v>
      </c>
      <c r="DM19" t="s">
        <v>167</v>
      </c>
      <c r="DN19" t="s">
        <v>167</v>
      </c>
      <c r="DO19" t="s">
        <v>167</v>
      </c>
      <c r="DP19" t="s">
        <v>167</v>
      </c>
      <c r="DQ19" t="s">
        <v>167</v>
      </c>
      <c r="DR19" t="s">
        <v>167</v>
      </c>
      <c r="DS19" t="s">
        <v>167</v>
      </c>
      <c r="DT19" t="s">
        <v>167</v>
      </c>
      <c r="DU19" t="s">
        <v>167</v>
      </c>
      <c r="DV19" t="s">
        <v>167</v>
      </c>
      <c r="DW19" t="s">
        <v>167</v>
      </c>
      <c r="DX19" t="s">
        <v>167</v>
      </c>
      <c r="DY19" t="s">
        <v>167</v>
      </c>
      <c r="DZ19" t="s">
        <v>167</v>
      </c>
      <c r="EA19" s="159">
        <v>39.036070000000002</v>
      </c>
      <c r="EB19" t="s">
        <v>167</v>
      </c>
      <c r="EC19" t="s">
        <v>167</v>
      </c>
      <c r="ED19" s="157" t="s">
        <v>186</v>
      </c>
      <c r="EE19" s="138" t="s">
        <v>167</v>
      </c>
      <c r="EF19" s="138" t="s">
        <v>167</v>
      </c>
      <c r="EG19">
        <v>1.0271999999999999</v>
      </c>
      <c r="EH19" t="s">
        <v>167</v>
      </c>
      <c r="EI19" t="s">
        <v>167</v>
      </c>
      <c r="EJ19" t="s">
        <v>187</v>
      </c>
      <c r="EK19" t="s">
        <v>179</v>
      </c>
      <c r="EL19" s="157" t="s">
        <v>187</v>
      </c>
      <c r="EM19" s="138" t="s">
        <v>167</v>
      </c>
      <c r="EN19" s="138" t="s">
        <v>167</v>
      </c>
      <c r="EO19" s="138" t="s">
        <v>167</v>
      </c>
      <c r="EP19" s="138" t="s">
        <v>167</v>
      </c>
      <c r="EQ19" s="138" t="s">
        <v>167</v>
      </c>
      <c r="ER19" s="138" t="s">
        <v>167</v>
      </c>
      <c r="ES19" s="138" t="s">
        <v>167</v>
      </c>
      <c r="ET19" s="157" t="s">
        <v>188</v>
      </c>
      <c r="EU19" s="157" t="s">
        <v>189</v>
      </c>
      <c r="EV19" s="138" t="s">
        <v>167</v>
      </c>
      <c r="EW19">
        <v>2300</v>
      </c>
      <c r="EX19" s="138" t="s">
        <v>167</v>
      </c>
      <c r="EY19" s="138" t="s">
        <v>167</v>
      </c>
      <c r="EZ19" s="138" t="s">
        <v>167</v>
      </c>
      <c r="FA19" s="138" t="s">
        <v>167</v>
      </c>
      <c r="FB19" s="138" t="s">
        <v>167</v>
      </c>
      <c r="FC19" s="138" t="s">
        <v>167</v>
      </c>
      <c r="FD19" s="138" t="s">
        <v>167</v>
      </c>
      <c r="FE19" s="159">
        <v>8.0376148328555832</v>
      </c>
      <c r="FF19" s="157" t="s">
        <v>190</v>
      </c>
      <c r="FG19" s="157" t="s">
        <v>167</v>
      </c>
      <c r="FH19" s="157" t="s">
        <v>167</v>
      </c>
      <c r="FI19" s="163">
        <v>379.76510620117188</v>
      </c>
      <c r="FJ19" s="138" t="s">
        <v>167</v>
      </c>
      <c r="FK19" t="s">
        <v>167</v>
      </c>
      <c r="FL19" s="141">
        <v>379.76510620117188</v>
      </c>
      <c r="FM19" s="164">
        <v>30.623687744140625</v>
      </c>
      <c r="FN19" s="164">
        <v>27.59283447265625</v>
      </c>
      <c r="FO19" t="s">
        <v>167</v>
      </c>
      <c r="FP19" s="157" t="s">
        <v>191</v>
      </c>
      <c r="FQ19" t="s">
        <v>167</v>
      </c>
      <c r="FR19" t="s">
        <v>167</v>
      </c>
      <c r="FS19" t="s">
        <v>167</v>
      </c>
      <c r="FT19" t="s">
        <v>167</v>
      </c>
      <c r="FU19" t="s">
        <v>167</v>
      </c>
      <c r="FV19" t="s">
        <v>167</v>
      </c>
      <c r="FW19" t="s">
        <v>167</v>
      </c>
      <c r="FX19" t="s">
        <v>167</v>
      </c>
      <c r="FY19" t="s">
        <v>167</v>
      </c>
      <c r="FZ19" t="s">
        <v>167</v>
      </c>
      <c r="GA19" t="s">
        <v>167</v>
      </c>
      <c r="GB19" t="s">
        <v>167</v>
      </c>
      <c r="GC19" s="157"/>
    </row>
    <row r="20" spans="1:185" ht="16">
      <c r="A20" s="145" t="s">
        <v>229</v>
      </c>
      <c r="B20" s="166" t="s">
        <v>230</v>
      </c>
      <c r="C20" s="138" t="s">
        <v>168</v>
      </c>
      <c r="D20" t="s">
        <v>228</v>
      </c>
      <c r="E20">
        <v>2016</v>
      </c>
      <c r="F20" t="str">
        <f t="shared" si="1"/>
        <v>10.1016/j.epsl.2016.01.022</v>
      </c>
      <c r="G20" s="141">
        <f t="shared" si="2"/>
        <v>4199.1000000000004</v>
      </c>
      <c r="H20" t="str">
        <f t="shared" si="3"/>
        <v>NA</v>
      </c>
      <c r="I20" t="str">
        <f t="shared" si="4"/>
        <v>NA</v>
      </c>
      <c r="J20" s="141" t="str">
        <f t="shared" si="5"/>
        <v>NA</v>
      </c>
      <c r="K20" s="141" t="str">
        <f t="shared" si="6"/>
        <v>NA</v>
      </c>
      <c r="L20" s="141" t="str">
        <f t="shared" si="7"/>
        <v>NA</v>
      </c>
      <c r="M20" t="b">
        <v>1</v>
      </c>
      <c r="N20">
        <v>3</v>
      </c>
      <c r="O20" t="s">
        <v>231</v>
      </c>
      <c r="P20" s="167" t="s">
        <v>167</v>
      </c>
      <c r="Q20" t="b">
        <v>0</v>
      </c>
      <c r="R20" t="s">
        <v>167</v>
      </c>
      <c r="S20" t="b">
        <v>1</v>
      </c>
      <c r="T20" t="b">
        <v>0</v>
      </c>
      <c r="U20" t="s">
        <v>167</v>
      </c>
      <c r="V20" t="s">
        <v>167</v>
      </c>
      <c r="W20" t="b">
        <v>0</v>
      </c>
      <c r="X20" t="s">
        <v>167</v>
      </c>
      <c r="Y20" s="155" t="s">
        <v>224</v>
      </c>
      <c r="Z20" s="156" t="s">
        <v>170</v>
      </c>
      <c r="AA20" s="144">
        <v>1264</v>
      </c>
      <c r="AB20" s="144" t="s">
        <v>171</v>
      </c>
      <c r="AC20" s="144">
        <v>3</v>
      </c>
      <c r="AD20" s="144">
        <v>7</v>
      </c>
      <c r="AE20" s="144">
        <v>32</v>
      </c>
      <c r="AF20" s="144">
        <v>34</v>
      </c>
      <c r="AG20" t="s">
        <v>167</v>
      </c>
      <c r="AH20" t="s">
        <v>167</v>
      </c>
      <c r="AI20" t="s">
        <v>167</v>
      </c>
      <c r="AJ20" s="157" t="s">
        <v>172</v>
      </c>
      <c r="AK20" s="157">
        <v>-28.53</v>
      </c>
      <c r="AL20" s="157">
        <v>2.85</v>
      </c>
      <c r="AM20" s="138" t="s">
        <v>167</v>
      </c>
      <c r="AN20" s="138" t="s">
        <v>167</v>
      </c>
      <c r="AO20">
        <v>-2507</v>
      </c>
      <c r="AP20" s="146" t="s">
        <v>167</v>
      </c>
      <c r="AQ20" t="s">
        <v>167</v>
      </c>
      <c r="AR20" t="s">
        <v>167</v>
      </c>
      <c r="AS20" s="158">
        <v>4199.1000000000004</v>
      </c>
      <c r="AT20" s="148" t="s">
        <v>167</v>
      </c>
      <c r="AU20" t="s">
        <v>167</v>
      </c>
      <c r="AV20" t="s">
        <v>167</v>
      </c>
      <c r="AW20" t="s">
        <v>167</v>
      </c>
      <c r="AX20" t="s">
        <v>173</v>
      </c>
      <c r="AY20" s="157" t="s">
        <v>174</v>
      </c>
      <c r="AZ20" s="138" t="s">
        <v>167</v>
      </c>
      <c r="BA20" s="138" t="s">
        <v>167</v>
      </c>
      <c r="BB20" s="138" t="s">
        <v>167</v>
      </c>
      <c r="BC20" s="138" t="s">
        <v>167</v>
      </c>
      <c r="BD20" s="138" t="s">
        <v>167</v>
      </c>
      <c r="BE20" s="138" t="s">
        <v>167</v>
      </c>
      <c r="BF20" s="138" t="s">
        <v>167</v>
      </c>
      <c r="BG20" s="157" t="s">
        <v>175</v>
      </c>
      <c r="BH20" s="157" t="s">
        <v>176</v>
      </c>
      <c r="BI20" s="157" t="s">
        <v>177</v>
      </c>
      <c r="BJ20" s="157" t="s">
        <v>167</v>
      </c>
      <c r="BK20" s="157" t="s">
        <v>178</v>
      </c>
      <c r="BL20" s="157" t="s">
        <v>179</v>
      </c>
      <c r="BM20" s="157" t="s">
        <v>180</v>
      </c>
      <c r="BN20" s="157" t="s">
        <v>167</v>
      </c>
      <c r="BO20" s="138" t="s">
        <v>167</v>
      </c>
      <c r="BP20" s="138" t="s">
        <v>167</v>
      </c>
      <c r="BQ20" s="159">
        <v>15.436925258546601</v>
      </c>
      <c r="BR20" s="157" t="s">
        <v>181</v>
      </c>
      <c r="BS20" s="159">
        <v>0.37389725259166529</v>
      </c>
      <c r="BT20" s="157">
        <v>0.83399999999999996</v>
      </c>
      <c r="BU20" s="157" t="s">
        <v>167</v>
      </c>
      <c r="BV20" s="161" t="s">
        <v>167</v>
      </c>
      <c r="BW20" s="157">
        <v>3.6</v>
      </c>
      <c r="BX20" s="157"/>
      <c r="BY20" s="157" t="s">
        <v>167</v>
      </c>
      <c r="BZ20" s="157" t="s">
        <v>225</v>
      </c>
      <c r="CA20" s="157" t="s">
        <v>183</v>
      </c>
      <c r="CB20" s="138" t="s">
        <v>167</v>
      </c>
      <c r="CC20" s="138" t="s">
        <v>167</v>
      </c>
      <c r="CD20" s="138" t="s">
        <v>167</v>
      </c>
      <c r="CE20" s="138" t="s">
        <v>167</v>
      </c>
      <c r="CF20" s="138" t="s">
        <v>167</v>
      </c>
      <c r="CG20" s="138" t="s">
        <v>167</v>
      </c>
      <c r="CH20" s="138" t="s">
        <v>167</v>
      </c>
      <c r="CI20" s="138" t="s">
        <v>167</v>
      </c>
      <c r="CJ20" s="138" t="s">
        <v>167</v>
      </c>
      <c r="CK20" s="138" t="s">
        <v>167</v>
      </c>
      <c r="CL20" s="138" t="s">
        <v>167</v>
      </c>
      <c r="CM20" s="138" t="s">
        <v>167</v>
      </c>
      <c r="CN20" s="138" t="s">
        <v>167</v>
      </c>
      <c r="CO20" s="138" t="s">
        <v>167</v>
      </c>
      <c r="CP20" s="138" t="s">
        <v>167</v>
      </c>
      <c r="CQ20" s="138" t="s">
        <v>167</v>
      </c>
      <c r="CR20" s="138" t="s">
        <v>167</v>
      </c>
      <c r="CS20" s="138" t="s">
        <v>167</v>
      </c>
      <c r="CT20" s="138" t="s">
        <v>167</v>
      </c>
      <c r="CU20" s="138" t="s">
        <v>167</v>
      </c>
      <c r="CV20" s="138" t="s">
        <v>167</v>
      </c>
      <c r="CW20" s="138" t="s">
        <v>167</v>
      </c>
      <c r="CX20" s="138" t="s">
        <v>167</v>
      </c>
      <c r="CY20" s="138" t="s">
        <v>167</v>
      </c>
      <c r="CZ20" s="138" t="s">
        <v>167</v>
      </c>
      <c r="DA20" s="138" t="s">
        <v>167</v>
      </c>
      <c r="DB20" s="138" t="s">
        <v>167</v>
      </c>
      <c r="DC20" s="138" t="s">
        <v>167</v>
      </c>
      <c r="DD20" s="138" t="s">
        <v>167</v>
      </c>
      <c r="DE20" s="138" t="s">
        <v>167</v>
      </c>
      <c r="DF20" s="138" t="s">
        <v>167</v>
      </c>
      <c r="DG20" t="s">
        <v>167</v>
      </c>
      <c r="DH20" t="s">
        <v>167</v>
      </c>
      <c r="DI20" t="s">
        <v>167</v>
      </c>
      <c r="DJ20" t="s">
        <v>167</v>
      </c>
      <c r="DK20" t="s">
        <v>167</v>
      </c>
      <c r="DL20" t="s">
        <v>167</v>
      </c>
      <c r="DM20" t="s">
        <v>167</v>
      </c>
      <c r="DN20" t="s">
        <v>167</v>
      </c>
      <c r="DO20" t="s">
        <v>167</v>
      </c>
      <c r="DP20" t="s">
        <v>167</v>
      </c>
      <c r="DQ20" t="s">
        <v>167</v>
      </c>
      <c r="DR20" t="s">
        <v>167</v>
      </c>
      <c r="DS20" t="s">
        <v>167</v>
      </c>
      <c r="DT20" t="s">
        <v>167</v>
      </c>
      <c r="DU20" t="s">
        <v>167</v>
      </c>
      <c r="DV20" t="s">
        <v>167</v>
      </c>
      <c r="DW20" t="s">
        <v>167</v>
      </c>
      <c r="DX20" t="s">
        <v>167</v>
      </c>
      <c r="DY20" t="s">
        <v>167</v>
      </c>
      <c r="DZ20" t="s">
        <v>167</v>
      </c>
      <c r="EA20" t="s">
        <v>167</v>
      </c>
      <c r="EB20" t="s">
        <v>167</v>
      </c>
      <c r="EC20" t="s">
        <v>167</v>
      </c>
      <c r="ED20" t="s">
        <v>167</v>
      </c>
      <c r="EE20" s="138" t="s">
        <v>167</v>
      </c>
      <c r="EF20" s="138" t="s">
        <v>167</v>
      </c>
      <c r="EG20" s="138" t="s">
        <v>167</v>
      </c>
      <c r="EH20" s="138" t="s">
        <v>167</v>
      </c>
      <c r="EI20" s="138" t="s">
        <v>167</v>
      </c>
      <c r="EJ20" t="s">
        <v>187</v>
      </c>
      <c r="EK20" s="138" t="s">
        <v>167</v>
      </c>
      <c r="EL20" s="138" t="s">
        <v>167</v>
      </c>
      <c r="EM20" s="138" t="s">
        <v>167</v>
      </c>
      <c r="EN20" s="138" t="s">
        <v>167</v>
      </c>
      <c r="EO20" s="138" t="s">
        <v>167</v>
      </c>
      <c r="EP20" s="138" t="s">
        <v>167</v>
      </c>
      <c r="EQ20" s="138" t="s">
        <v>167</v>
      </c>
      <c r="ER20" s="138" t="s">
        <v>167</v>
      </c>
      <c r="ES20" s="138" t="s">
        <v>167</v>
      </c>
      <c r="ET20" s="138" t="s">
        <v>167</v>
      </c>
      <c r="EU20" s="138" t="s">
        <v>167</v>
      </c>
      <c r="EV20" s="138" t="s">
        <v>167</v>
      </c>
      <c r="EW20" s="138" t="s">
        <v>167</v>
      </c>
      <c r="EX20" s="138" t="s">
        <v>167</v>
      </c>
      <c r="EY20" s="138" t="s">
        <v>167</v>
      </c>
      <c r="EZ20" s="138" t="s">
        <v>167</v>
      </c>
      <c r="FA20" s="138" t="s">
        <v>167</v>
      </c>
      <c r="FB20" s="138" t="s">
        <v>167</v>
      </c>
      <c r="FC20" s="138" t="s">
        <v>167</v>
      </c>
      <c r="FD20" s="138" t="s">
        <v>167</v>
      </c>
      <c r="FE20" s="138" t="s">
        <v>167</v>
      </c>
      <c r="FF20" s="138" t="s">
        <v>167</v>
      </c>
      <c r="FG20" s="138" t="s">
        <v>167</v>
      </c>
      <c r="FH20" s="138" t="s">
        <v>167</v>
      </c>
      <c r="FI20" s="138" t="s">
        <v>167</v>
      </c>
      <c r="FJ20" s="138" t="s">
        <v>167</v>
      </c>
      <c r="FK20" s="138" t="s">
        <v>167</v>
      </c>
      <c r="FL20" s="168" t="s">
        <v>167</v>
      </c>
      <c r="FM20" s="138" t="s">
        <v>167</v>
      </c>
      <c r="FN20" s="138" t="s">
        <v>167</v>
      </c>
      <c r="FO20" s="138" t="s">
        <v>167</v>
      </c>
      <c r="FP20" s="138" t="s">
        <v>167</v>
      </c>
      <c r="FQ20" s="138" t="s">
        <v>167</v>
      </c>
      <c r="FR20" s="138" t="s">
        <v>167</v>
      </c>
      <c r="FS20" s="138" t="s">
        <v>167</v>
      </c>
      <c r="FT20" s="138" t="s">
        <v>167</v>
      </c>
      <c r="FU20" s="138" t="s">
        <v>167</v>
      </c>
      <c r="FV20" s="138" t="s">
        <v>167</v>
      </c>
      <c r="FW20" s="138" t="s">
        <v>167</v>
      </c>
      <c r="FX20" s="138" t="s">
        <v>167</v>
      </c>
      <c r="FY20" s="138" t="s">
        <v>167</v>
      </c>
      <c r="FZ20" s="138" t="s">
        <v>167</v>
      </c>
      <c r="GA20" s="138" t="s">
        <v>167</v>
      </c>
      <c r="GB20" s="138" t="s">
        <v>167</v>
      </c>
      <c r="GC20" s="157" t="s">
        <v>232</v>
      </c>
    </row>
    <row r="21" spans="1:185" ht="16">
      <c r="A21" s="145" t="s">
        <v>229</v>
      </c>
      <c r="B21" s="166" t="s">
        <v>230</v>
      </c>
      <c r="C21" s="138" t="s">
        <v>168</v>
      </c>
      <c r="D21" t="s">
        <v>228</v>
      </c>
      <c r="E21">
        <v>2016</v>
      </c>
      <c r="F21" t="str">
        <f t="shared" si="1"/>
        <v>10.1016/j.epsl.2016.01.022</v>
      </c>
      <c r="G21" s="141">
        <f t="shared" si="2"/>
        <v>5185</v>
      </c>
      <c r="H21" t="str">
        <f t="shared" si="3"/>
        <v>NA</v>
      </c>
      <c r="I21" t="str">
        <f t="shared" si="4"/>
        <v>NA</v>
      </c>
      <c r="J21" s="141">
        <f t="shared" si="5"/>
        <v>432.59115600585938</v>
      </c>
      <c r="K21" s="141">
        <f t="shared" si="6"/>
        <v>57.4195556640625</v>
      </c>
      <c r="L21" s="141">
        <f t="shared" si="7"/>
        <v>48.42742919921875</v>
      </c>
      <c r="M21" t="b">
        <v>1</v>
      </c>
      <c r="N21">
        <v>3</v>
      </c>
      <c r="O21" t="s">
        <v>231</v>
      </c>
      <c r="P21" s="167" t="s">
        <v>167</v>
      </c>
      <c r="Q21" t="b">
        <v>0</v>
      </c>
      <c r="R21" t="s">
        <v>167</v>
      </c>
      <c r="S21" t="b">
        <v>1</v>
      </c>
      <c r="T21" t="b">
        <v>0</v>
      </c>
      <c r="U21" t="s">
        <v>167</v>
      </c>
      <c r="V21" t="s">
        <v>167</v>
      </c>
      <c r="W21" t="b">
        <v>0</v>
      </c>
      <c r="X21" t="s">
        <v>167</v>
      </c>
      <c r="Y21" s="155" t="s">
        <v>220</v>
      </c>
      <c r="Z21" s="156" t="s">
        <v>170</v>
      </c>
      <c r="AA21" s="144">
        <v>1264</v>
      </c>
      <c r="AB21" s="144" t="s">
        <v>171</v>
      </c>
      <c r="AC21" s="144">
        <v>6</v>
      </c>
      <c r="AD21" s="144">
        <v>1</v>
      </c>
      <c r="AE21" s="144">
        <v>32</v>
      </c>
      <c r="AF21" s="144">
        <v>34</v>
      </c>
      <c r="AG21" t="s">
        <v>167</v>
      </c>
      <c r="AH21" t="s">
        <v>167</v>
      </c>
      <c r="AI21" t="s">
        <v>167</v>
      </c>
      <c r="AJ21" s="157" t="s">
        <v>172</v>
      </c>
      <c r="AK21" s="157">
        <v>-28.53</v>
      </c>
      <c r="AL21" s="157">
        <v>2.85</v>
      </c>
      <c r="AM21" s="138" t="s">
        <v>167</v>
      </c>
      <c r="AN21" s="138" t="s">
        <v>167</v>
      </c>
      <c r="AO21">
        <v>-2507</v>
      </c>
      <c r="AP21" s="146" t="s">
        <v>167</v>
      </c>
      <c r="AQ21" t="s">
        <v>167</v>
      </c>
      <c r="AR21" t="s">
        <v>167</v>
      </c>
      <c r="AS21" s="158">
        <v>5185</v>
      </c>
      <c r="AT21" s="148" t="s">
        <v>167</v>
      </c>
      <c r="AU21" t="s">
        <v>167</v>
      </c>
      <c r="AV21" t="s">
        <v>167</v>
      </c>
      <c r="AW21" t="s">
        <v>167</v>
      </c>
      <c r="AX21" t="s">
        <v>173</v>
      </c>
      <c r="AY21" s="157" t="s">
        <v>174</v>
      </c>
      <c r="AZ21" s="138" t="s">
        <v>167</v>
      </c>
      <c r="BA21" s="138" t="s">
        <v>167</v>
      </c>
      <c r="BB21" s="138" t="s">
        <v>167</v>
      </c>
      <c r="BC21" s="138" t="s">
        <v>167</v>
      </c>
      <c r="BD21" s="138" t="s">
        <v>167</v>
      </c>
      <c r="BE21" s="138" t="s">
        <v>167</v>
      </c>
      <c r="BF21" s="138" t="s">
        <v>167</v>
      </c>
      <c r="BG21" s="157" t="s">
        <v>175</v>
      </c>
      <c r="BH21" s="157" t="s">
        <v>176</v>
      </c>
      <c r="BI21" s="157" t="s">
        <v>177</v>
      </c>
      <c r="BJ21" s="157" t="s">
        <v>167</v>
      </c>
      <c r="BK21" s="157" t="s">
        <v>178</v>
      </c>
      <c r="BL21" s="157" t="s">
        <v>179</v>
      </c>
      <c r="BM21" s="157" t="s">
        <v>180</v>
      </c>
      <c r="BN21" s="157" t="s">
        <v>167</v>
      </c>
      <c r="BO21" s="138" t="s">
        <v>167</v>
      </c>
      <c r="BP21" s="138" t="s">
        <v>167</v>
      </c>
      <c r="BQ21" s="159">
        <v>17.423041728223826</v>
      </c>
      <c r="BR21" s="157" t="s">
        <v>181</v>
      </c>
      <c r="BS21" s="160">
        <v>0.42302509817969519</v>
      </c>
      <c r="BT21" s="157">
        <v>0.83399999999999996</v>
      </c>
      <c r="BU21" s="157" t="s">
        <v>167</v>
      </c>
      <c r="BV21" s="161" t="s">
        <v>167</v>
      </c>
      <c r="BW21" s="157">
        <v>3.6</v>
      </c>
      <c r="BX21" s="157"/>
      <c r="BY21" s="157" t="s">
        <v>167</v>
      </c>
      <c r="BZ21" s="157" t="s">
        <v>221</v>
      </c>
      <c r="CA21" s="157" t="s">
        <v>183</v>
      </c>
      <c r="CB21" s="159">
        <v>16.574390561419456</v>
      </c>
      <c r="CC21" s="138" t="s">
        <v>167</v>
      </c>
      <c r="CD21" s="138" t="s">
        <v>167</v>
      </c>
      <c r="CE21" s="138" t="s">
        <v>167</v>
      </c>
      <c r="CF21" s="138" t="s">
        <v>167</v>
      </c>
      <c r="CG21" s="138" t="s">
        <v>167</v>
      </c>
      <c r="CH21" s="138" t="s">
        <v>167</v>
      </c>
      <c r="CI21" s="138" t="s">
        <v>167</v>
      </c>
      <c r="CJ21" s="162">
        <v>23.555499999999999</v>
      </c>
      <c r="CK21" s="138" t="s">
        <v>167</v>
      </c>
      <c r="CL21" s="138" t="s">
        <v>167</v>
      </c>
      <c r="CM21" s="138" t="s">
        <v>167</v>
      </c>
      <c r="CN21" s="138" t="s">
        <v>167</v>
      </c>
      <c r="CO21" s="138" t="s">
        <v>167</v>
      </c>
      <c r="CP21" s="138" t="s">
        <v>167</v>
      </c>
      <c r="CQ21" s="138" t="s">
        <v>167</v>
      </c>
      <c r="CR21" s="138" t="s">
        <v>167</v>
      </c>
      <c r="CS21" s="138" t="s">
        <v>167</v>
      </c>
      <c r="CT21" s="138" t="s">
        <v>184</v>
      </c>
      <c r="CU21" s="138" t="s">
        <v>167</v>
      </c>
      <c r="CV21" s="138" t="s">
        <v>167</v>
      </c>
      <c r="CW21" s="138" t="s">
        <v>167</v>
      </c>
      <c r="CX21" s="138" t="s">
        <v>167</v>
      </c>
      <c r="CY21" s="138" t="s">
        <v>167</v>
      </c>
      <c r="CZ21" s="138" t="s">
        <v>167</v>
      </c>
      <c r="DA21" s="138" t="s">
        <v>167</v>
      </c>
      <c r="DB21" s="138" t="s">
        <v>167</v>
      </c>
      <c r="DC21" s="138" t="s">
        <v>167</v>
      </c>
      <c r="DD21" s="138" t="s">
        <v>167</v>
      </c>
      <c r="DE21" s="138" t="s">
        <v>167</v>
      </c>
      <c r="DF21" s="138" t="s">
        <v>167</v>
      </c>
      <c r="DG21">
        <v>36</v>
      </c>
      <c r="DH21" t="s">
        <v>185</v>
      </c>
      <c r="DI21">
        <v>3</v>
      </c>
      <c r="DJ21" t="s">
        <v>167</v>
      </c>
      <c r="DK21" t="s">
        <v>167</v>
      </c>
      <c r="DL21" t="s">
        <v>167</v>
      </c>
      <c r="DM21" t="s">
        <v>167</v>
      </c>
      <c r="DN21" t="s">
        <v>167</v>
      </c>
      <c r="DO21" t="s">
        <v>167</v>
      </c>
      <c r="DP21" t="s">
        <v>167</v>
      </c>
      <c r="DQ21" t="s">
        <v>167</v>
      </c>
      <c r="DR21" t="s">
        <v>167</v>
      </c>
      <c r="DS21" t="s">
        <v>167</v>
      </c>
      <c r="DT21" t="s">
        <v>167</v>
      </c>
      <c r="DU21" t="s">
        <v>167</v>
      </c>
      <c r="DV21" t="s">
        <v>167</v>
      </c>
      <c r="DW21" t="s">
        <v>167</v>
      </c>
      <c r="DX21" t="s">
        <v>167</v>
      </c>
      <c r="DY21" t="s">
        <v>167</v>
      </c>
      <c r="DZ21" t="s">
        <v>167</v>
      </c>
      <c r="EA21" s="159">
        <v>38.884099999999997</v>
      </c>
      <c r="EB21" t="s">
        <v>167</v>
      </c>
      <c r="EC21" t="s">
        <v>167</v>
      </c>
      <c r="ED21" s="157" t="s">
        <v>186</v>
      </c>
      <c r="EE21" s="138" t="s">
        <v>167</v>
      </c>
      <c r="EF21" s="138" t="s">
        <v>167</v>
      </c>
      <c r="EG21">
        <v>1.0271999999999999</v>
      </c>
      <c r="EH21" t="s">
        <v>167</v>
      </c>
      <c r="EI21" t="s">
        <v>167</v>
      </c>
      <c r="EJ21" t="s">
        <v>187</v>
      </c>
      <c r="EK21" t="s">
        <v>179</v>
      </c>
      <c r="EL21" s="157" t="s">
        <v>187</v>
      </c>
      <c r="EM21" s="138" t="s">
        <v>167</v>
      </c>
      <c r="EN21" s="138" t="s">
        <v>167</v>
      </c>
      <c r="EO21" s="138" t="s">
        <v>167</v>
      </c>
      <c r="EP21" s="138" t="s">
        <v>167</v>
      </c>
      <c r="EQ21" s="138" t="s">
        <v>167</v>
      </c>
      <c r="ER21" s="138" t="s">
        <v>167</v>
      </c>
      <c r="ES21" s="138" t="s">
        <v>167</v>
      </c>
      <c r="ET21" s="157" t="s">
        <v>188</v>
      </c>
      <c r="EU21" s="157" t="s">
        <v>189</v>
      </c>
      <c r="EV21" s="138" t="s">
        <v>167</v>
      </c>
      <c r="EW21">
        <v>2300</v>
      </c>
      <c r="EX21" s="138" t="s">
        <v>167</v>
      </c>
      <c r="EY21" s="138" t="s">
        <v>167</v>
      </c>
      <c r="EZ21" s="138" t="s">
        <v>167</v>
      </c>
      <c r="FA21" s="138" t="s">
        <v>167</v>
      </c>
      <c r="FB21" s="138" t="s">
        <v>167</v>
      </c>
      <c r="FC21" s="138" t="s">
        <v>167</v>
      </c>
      <c r="FD21" s="138" t="s">
        <v>167</v>
      </c>
      <c r="FE21" s="159">
        <v>7.9878634666153285</v>
      </c>
      <c r="FF21" s="157" t="s">
        <v>190</v>
      </c>
      <c r="FG21" s="157" t="s">
        <v>167</v>
      </c>
      <c r="FH21" s="157" t="s">
        <v>167</v>
      </c>
      <c r="FI21" s="163">
        <v>432.59115600585938</v>
      </c>
      <c r="FJ21" s="138" t="s">
        <v>167</v>
      </c>
      <c r="FK21" t="s">
        <v>167</v>
      </c>
      <c r="FL21" s="141">
        <v>432.59115600585938</v>
      </c>
      <c r="FM21" s="164">
        <v>57.4195556640625</v>
      </c>
      <c r="FN21" s="164">
        <v>48.42742919921875</v>
      </c>
      <c r="FO21" t="s">
        <v>167</v>
      </c>
      <c r="FP21" s="157" t="s">
        <v>191</v>
      </c>
      <c r="FQ21" t="s">
        <v>167</v>
      </c>
      <c r="FR21" t="s">
        <v>167</v>
      </c>
      <c r="FS21" t="s">
        <v>167</v>
      </c>
      <c r="FT21" t="s">
        <v>167</v>
      </c>
      <c r="FU21" t="s">
        <v>167</v>
      </c>
      <c r="FV21" t="s">
        <v>167</v>
      </c>
      <c r="FW21" t="s">
        <v>167</v>
      </c>
      <c r="FX21" t="s">
        <v>167</v>
      </c>
      <c r="FY21" t="s">
        <v>167</v>
      </c>
      <c r="FZ21" t="s">
        <v>167</v>
      </c>
      <c r="GA21" t="s">
        <v>167</v>
      </c>
      <c r="GB21" t="s">
        <v>167</v>
      </c>
      <c r="GC21" s="157"/>
    </row>
    <row r="22" spans="1:185" ht="16">
      <c r="A22" s="145" t="s">
        <v>229</v>
      </c>
      <c r="B22" s="166" t="s">
        <v>230</v>
      </c>
      <c r="C22" s="138" t="s">
        <v>168</v>
      </c>
      <c r="D22" t="s">
        <v>228</v>
      </c>
      <c r="E22">
        <v>2016</v>
      </c>
      <c r="F22" t="str">
        <f t="shared" si="1"/>
        <v>10.1016/j.epsl.2016.01.022</v>
      </c>
      <c r="G22" s="141">
        <f t="shared" si="2"/>
        <v>6350</v>
      </c>
      <c r="H22" t="str">
        <f t="shared" si="3"/>
        <v>NA</v>
      </c>
      <c r="I22" t="str">
        <f t="shared" si="4"/>
        <v>NA</v>
      </c>
      <c r="J22" s="141">
        <f t="shared" si="5"/>
        <v>331.83544921875</v>
      </c>
      <c r="K22" s="141">
        <f t="shared" si="6"/>
        <v>29.021728515625</v>
      </c>
      <c r="L22" s="141">
        <f t="shared" si="7"/>
        <v>26.0048828125</v>
      </c>
      <c r="M22" t="b">
        <v>1</v>
      </c>
      <c r="N22">
        <v>3</v>
      </c>
      <c r="O22" t="s">
        <v>231</v>
      </c>
      <c r="P22" s="167" t="s">
        <v>167</v>
      </c>
      <c r="Q22" t="b">
        <v>0</v>
      </c>
      <c r="R22" t="s">
        <v>167</v>
      </c>
      <c r="S22" t="b">
        <v>1</v>
      </c>
      <c r="T22" t="b">
        <v>0</v>
      </c>
      <c r="U22" t="s">
        <v>167</v>
      </c>
      <c r="V22" t="s">
        <v>167</v>
      </c>
      <c r="W22" t="b">
        <v>0</v>
      </c>
      <c r="X22" t="s">
        <v>167</v>
      </c>
      <c r="Y22" s="155" t="s">
        <v>222</v>
      </c>
      <c r="Z22" s="156" t="s">
        <v>170</v>
      </c>
      <c r="AA22" s="144">
        <v>1264</v>
      </c>
      <c r="AB22" s="144" t="s">
        <v>171</v>
      </c>
      <c r="AC22" s="144">
        <v>7</v>
      </c>
      <c r="AD22" s="144">
        <v>3</v>
      </c>
      <c r="AE22" s="144">
        <v>32</v>
      </c>
      <c r="AF22" s="144">
        <v>34</v>
      </c>
      <c r="AG22" t="s">
        <v>167</v>
      </c>
      <c r="AH22" t="s">
        <v>167</v>
      </c>
      <c r="AI22" t="s">
        <v>167</v>
      </c>
      <c r="AJ22" s="157" t="s">
        <v>172</v>
      </c>
      <c r="AK22" s="157">
        <v>-28.53</v>
      </c>
      <c r="AL22" s="157">
        <v>2.85</v>
      </c>
      <c r="AM22" s="138" t="s">
        <v>167</v>
      </c>
      <c r="AN22" s="138" t="s">
        <v>167</v>
      </c>
      <c r="AO22">
        <v>-2507</v>
      </c>
      <c r="AP22" s="146" t="s">
        <v>167</v>
      </c>
      <c r="AQ22" t="s">
        <v>167</v>
      </c>
      <c r="AR22" t="s">
        <v>167</v>
      </c>
      <c r="AS22" s="158">
        <v>6350</v>
      </c>
      <c r="AT22" s="148" t="s">
        <v>167</v>
      </c>
      <c r="AU22" t="s">
        <v>167</v>
      </c>
      <c r="AV22" t="s">
        <v>167</v>
      </c>
      <c r="AW22" t="s">
        <v>167</v>
      </c>
      <c r="AX22" t="s">
        <v>173</v>
      </c>
      <c r="AY22" s="157" t="s">
        <v>174</v>
      </c>
      <c r="AZ22" s="138" t="s">
        <v>167</v>
      </c>
      <c r="BA22" s="138" t="s">
        <v>167</v>
      </c>
      <c r="BB22" s="138" t="s">
        <v>167</v>
      </c>
      <c r="BC22" s="138" t="s">
        <v>167</v>
      </c>
      <c r="BD22" s="138" t="s">
        <v>167</v>
      </c>
      <c r="BE22" s="138" t="s">
        <v>167</v>
      </c>
      <c r="BF22" s="138" t="s">
        <v>167</v>
      </c>
      <c r="BG22" s="157" t="s">
        <v>175</v>
      </c>
      <c r="BH22" s="157" t="s">
        <v>176</v>
      </c>
      <c r="BI22" s="157" t="s">
        <v>177</v>
      </c>
      <c r="BJ22" s="157" t="s">
        <v>167</v>
      </c>
      <c r="BK22" s="157" t="s">
        <v>178</v>
      </c>
      <c r="BL22" s="157" t="s">
        <v>179</v>
      </c>
      <c r="BM22" s="157" t="s">
        <v>180</v>
      </c>
      <c r="BN22" s="157" t="s">
        <v>167</v>
      </c>
      <c r="BO22" s="138" t="s">
        <v>167</v>
      </c>
      <c r="BP22" s="138" t="s">
        <v>167</v>
      </c>
      <c r="BQ22" s="159">
        <v>17.98129472033559</v>
      </c>
      <c r="BR22" s="157" t="s">
        <v>181</v>
      </c>
      <c r="BS22" s="160">
        <v>0.31084563687224209</v>
      </c>
      <c r="BT22" s="157">
        <v>0.83399999999999996</v>
      </c>
      <c r="BU22" s="157" t="s">
        <v>167</v>
      </c>
      <c r="BV22" s="161" t="s">
        <v>167</v>
      </c>
      <c r="BW22" s="157">
        <v>3.6</v>
      </c>
      <c r="BX22" s="157"/>
      <c r="BY22" s="157" t="s">
        <v>167</v>
      </c>
      <c r="BZ22" s="157" t="s">
        <v>223</v>
      </c>
      <c r="CA22" s="157" t="s">
        <v>183</v>
      </c>
      <c r="CB22" s="159">
        <v>17.243758657476729</v>
      </c>
      <c r="CC22" s="138" t="s">
        <v>167</v>
      </c>
      <c r="CD22" s="138" t="s">
        <v>167</v>
      </c>
      <c r="CE22" s="138" t="s">
        <v>167</v>
      </c>
      <c r="CF22" s="138" t="s">
        <v>167</v>
      </c>
      <c r="CG22" s="138" t="s">
        <v>167</v>
      </c>
      <c r="CH22" s="138" t="s">
        <v>167</v>
      </c>
      <c r="CI22" s="138" t="s">
        <v>167</v>
      </c>
      <c r="CJ22" s="162">
        <v>23.905000000000001</v>
      </c>
      <c r="CK22" s="138" t="s">
        <v>167</v>
      </c>
      <c r="CL22" s="138" t="s">
        <v>167</v>
      </c>
      <c r="CM22" s="138" t="s">
        <v>167</v>
      </c>
      <c r="CN22" s="138" t="s">
        <v>167</v>
      </c>
      <c r="CO22" s="138" t="s">
        <v>167</v>
      </c>
      <c r="CP22" s="138" t="s">
        <v>167</v>
      </c>
      <c r="CQ22" s="138" t="s">
        <v>167</v>
      </c>
      <c r="CR22" s="138" t="s">
        <v>167</v>
      </c>
      <c r="CS22" s="138" t="s">
        <v>167</v>
      </c>
      <c r="CT22" s="138" t="s">
        <v>184</v>
      </c>
      <c r="CU22" s="138" t="s">
        <v>167</v>
      </c>
      <c r="CV22" s="138" t="s">
        <v>167</v>
      </c>
      <c r="CW22" s="138" t="s">
        <v>167</v>
      </c>
      <c r="CX22" s="138" t="s">
        <v>167</v>
      </c>
      <c r="CY22" s="138" t="s">
        <v>167</v>
      </c>
      <c r="CZ22" s="138" t="s">
        <v>167</v>
      </c>
      <c r="DA22" s="138" t="s">
        <v>167</v>
      </c>
      <c r="DB22" s="138" t="s">
        <v>167</v>
      </c>
      <c r="DC22" s="138" t="s">
        <v>167</v>
      </c>
      <c r="DD22" s="138" t="s">
        <v>167</v>
      </c>
      <c r="DE22" s="138" t="s">
        <v>167</v>
      </c>
      <c r="DF22" s="138" t="s">
        <v>167</v>
      </c>
      <c r="DG22">
        <v>36</v>
      </c>
      <c r="DH22" t="s">
        <v>185</v>
      </c>
      <c r="DI22">
        <v>3</v>
      </c>
      <c r="DJ22" t="s">
        <v>167</v>
      </c>
      <c r="DK22" t="s">
        <v>167</v>
      </c>
      <c r="DL22" t="s">
        <v>167</v>
      </c>
      <c r="DM22" t="s">
        <v>167</v>
      </c>
      <c r="DN22" t="s">
        <v>167</v>
      </c>
      <c r="DO22" t="s">
        <v>167</v>
      </c>
      <c r="DP22" t="s">
        <v>167</v>
      </c>
      <c r="DQ22" t="s">
        <v>167</v>
      </c>
      <c r="DR22" t="s">
        <v>167</v>
      </c>
      <c r="DS22" t="s">
        <v>167</v>
      </c>
      <c r="DT22" t="s">
        <v>167</v>
      </c>
      <c r="DU22" t="s">
        <v>167</v>
      </c>
      <c r="DV22" t="s">
        <v>167</v>
      </c>
      <c r="DW22" t="s">
        <v>167</v>
      </c>
      <c r="DX22" t="s">
        <v>167</v>
      </c>
      <c r="DY22" t="s">
        <v>167</v>
      </c>
      <c r="DZ22" t="s">
        <v>167</v>
      </c>
      <c r="EA22" s="159">
        <v>38.720999999999997</v>
      </c>
      <c r="EB22" t="s">
        <v>167</v>
      </c>
      <c r="EC22" t="s">
        <v>167</v>
      </c>
      <c r="ED22" s="157" t="s">
        <v>186</v>
      </c>
      <c r="EE22" s="138" t="s">
        <v>167</v>
      </c>
      <c r="EF22" s="138" t="s">
        <v>167</v>
      </c>
      <c r="EG22">
        <v>1.0271999999999999</v>
      </c>
      <c r="EH22" t="s">
        <v>167</v>
      </c>
      <c r="EI22" t="s">
        <v>167</v>
      </c>
      <c r="EJ22" t="s">
        <v>187</v>
      </c>
      <c r="EK22" t="s">
        <v>179</v>
      </c>
      <c r="EL22" s="157" t="s">
        <v>187</v>
      </c>
      <c r="EM22" s="138" t="s">
        <v>167</v>
      </c>
      <c r="EN22" s="138" t="s">
        <v>167</v>
      </c>
      <c r="EO22" s="138" t="s">
        <v>167</v>
      </c>
      <c r="EP22" s="138" t="s">
        <v>167</v>
      </c>
      <c r="EQ22" s="138" t="s">
        <v>167</v>
      </c>
      <c r="ER22" s="138" t="s">
        <v>167</v>
      </c>
      <c r="ES22" s="138" t="s">
        <v>167</v>
      </c>
      <c r="ET22" s="157" t="s">
        <v>188</v>
      </c>
      <c r="EU22" s="157" t="s">
        <v>189</v>
      </c>
      <c r="EV22" s="138" t="s">
        <v>167</v>
      </c>
      <c r="EW22">
        <v>2300</v>
      </c>
      <c r="EX22" s="138" t="s">
        <v>167</v>
      </c>
      <c r="EY22" s="138" t="s">
        <v>167</v>
      </c>
      <c r="EZ22" s="138" t="s">
        <v>167</v>
      </c>
      <c r="FA22" s="138" t="s">
        <v>167</v>
      </c>
      <c r="FB22" s="138" t="s">
        <v>167</v>
      </c>
      <c r="FC22" s="138" t="s">
        <v>167</v>
      </c>
      <c r="FD22" s="138" t="s">
        <v>167</v>
      </c>
      <c r="FE22" s="159">
        <v>8.0644698326804392</v>
      </c>
      <c r="FF22" s="157" t="s">
        <v>190</v>
      </c>
      <c r="FG22" s="157" t="s">
        <v>167</v>
      </c>
      <c r="FH22" s="157" t="s">
        <v>167</v>
      </c>
      <c r="FI22" s="163">
        <v>331.83544921875</v>
      </c>
      <c r="FJ22" s="138" t="s">
        <v>167</v>
      </c>
      <c r="FK22" t="s">
        <v>167</v>
      </c>
      <c r="FL22" s="141">
        <v>331.83544921875</v>
      </c>
      <c r="FM22" s="164">
        <v>29.021728515625</v>
      </c>
      <c r="FN22" s="164">
        <v>26.0048828125</v>
      </c>
      <c r="FO22" t="s">
        <v>167</v>
      </c>
      <c r="FP22" s="157" t="s">
        <v>191</v>
      </c>
      <c r="FQ22" t="s">
        <v>167</v>
      </c>
      <c r="FR22" t="s">
        <v>167</v>
      </c>
      <c r="FS22" t="s">
        <v>167</v>
      </c>
      <c r="FT22" t="s">
        <v>167</v>
      </c>
      <c r="FU22" t="s">
        <v>167</v>
      </c>
      <c r="FV22" t="s">
        <v>167</v>
      </c>
      <c r="FW22" t="s">
        <v>167</v>
      </c>
      <c r="FX22" t="s">
        <v>167</v>
      </c>
      <c r="FY22" t="s">
        <v>167</v>
      </c>
      <c r="FZ22" t="s">
        <v>167</v>
      </c>
      <c r="GA22" t="s">
        <v>167</v>
      </c>
      <c r="GB22" t="s">
        <v>167</v>
      </c>
      <c r="GC22" s="157"/>
    </row>
  </sheetData>
  <mergeCells count="1">
    <mergeCell ref="S2:W2"/>
  </mergeCells>
  <hyperlinks>
    <hyperlink ref="B4" r:id="rId1" xr:uid="{0A44E5D4-5773-7F49-A8E0-AB669435A7F8}"/>
    <hyperlink ref="B5" r:id="rId2" xr:uid="{0A534DAB-4E11-A14B-900E-13F9D6DF0026}"/>
    <hyperlink ref="B6" r:id="rId3" xr:uid="{67594658-5088-8949-B90A-FE09E3D2AB0E}"/>
    <hyperlink ref="B7" r:id="rId4" xr:uid="{2DA1D468-0655-3B4C-B4D4-C6F7981F31A6}"/>
    <hyperlink ref="B8" r:id="rId5" xr:uid="{4D1CC0A1-1150-D941-AC4B-AA8FF0FFD199}"/>
    <hyperlink ref="B9" r:id="rId6" xr:uid="{F074163A-008F-FE47-99EC-6F0D18EC369F}"/>
    <hyperlink ref="B10" r:id="rId7" xr:uid="{37C0329C-85D3-D146-8D0D-4CA6D6E24E15}"/>
    <hyperlink ref="B11" r:id="rId8" xr:uid="{C33A3983-73F3-D947-8163-D4D342D6E739}"/>
    <hyperlink ref="B12" r:id="rId9" xr:uid="{8D5CDE80-325B-0543-90C1-3217EBC91D8B}"/>
    <hyperlink ref="B13" r:id="rId10" xr:uid="{BC1CB23E-C5B7-9342-90B0-1421C889842A}"/>
    <hyperlink ref="B14" r:id="rId11" xr:uid="{25DD9AE1-F54F-0C4E-B87C-FFC6CC7ED9EE}"/>
    <hyperlink ref="B15" r:id="rId12" xr:uid="{9BF46303-9DA8-564F-B7B1-20D953A9C441}"/>
    <hyperlink ref="B16" r:id="rId13" xr:uid="{EAA6FC39-93C7-7343-81AB-B48FF14DE141}"/>
    <hyperlink ref="B17" r:id="rId14" xr:uid="{027B2006-CA36-AC41-8D79-94ACBCD22361}"/>
    <hyperlink ref="B18" r:id="rId15" xr:uid="{FD0FCC4C-A9D0-4842-8B57-9E1FE69422D7}"/>
    <hyperlink ref="B19" r:id="rId16" xr:uid="{7A2D6F31-90F8-184A-BE8B-E469BD519FE7}"/>
    <hyperlink ref="B20" r:id="rId17" xr:uid="{FC6B52EB-F027-C34E-BFE3-D49B3F5158C3}"/>
    <hyperlink ref="B21" r:id="rId18" xr:uid="{01EC18D5-659B-CC44-BDDB-1C87878C2215}"/>
    <hyperlink ref="B22" r:id="rId19" xr:uid="{38CA6139-B52C-484B-8FE5-1ED9C51B04C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 Royer</dc:creator>
  <cp:lastModifiedBy>Bärbel Hönisch</cp:lastModifiedBy>
  <dcterms:created xsi:type="dcterms:W3CDTF">2019-02-20T15:43:35Z</dcterms:created>
  <dcterms:modified xsi:type="dcterms:W3CDTF">2022-03-17T18:08:59Z</dcterms:modified>
</cp:coreProperties>
</file>