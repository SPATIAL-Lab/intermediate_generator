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D29A5FFA-8218-6141-98CC-18C081708DA0}" xr6:coauthVersionLast="47" xr6:coauthVersionMax="47" xr10:uidLastSave="{00000000-0000-0000-0000-000000000000}"/>
  <bookViews>
    <workbookView xWindow="1380" yWindow="132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A13" i="1" l="1"/>
  <c r="CB13" i="1"/>
  <c r="EA12" i="1"/>
  <c r="CB12" i="1"/>
  <c r="EA11" i="1"/>
  <c r="CB11" i="1"/>
  <c r="EA10" i="1"/>
  <c r="CB10" i="1"/>
  <c r="EA9" i="1"/>
  <c r="CB9" i="1"/>
  <c r="G5" i="1"/>
  <c r="H5" i="1"/>
  <c r="I5" i="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K4" i="1"/>
  <c r="L4" i="1"/>
  <c r="J4" i="1"/>
  <c r="I4" i="1"/>
  <c r="H4" i="1"/>
  <c r="G4" i="1"/>
</calcChain>
</file>

<file path=xl/sharedStrings.xml><?xml version="1.0" encoding="utf-8"?>
<sst xmlns="http://schemas.openxmlformats.org/spreadsheetml/2006/main" count="2556" uniqueCount="304">
  <si>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</si>
  <si>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</si>
  <si>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</si>
  <si>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</si>
  <si>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</si>
  <si>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</si>
  <si>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</si>
  <si>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</si>
  <si>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</si>
  <si>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</si>
  <si>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</si>
  <si>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</si>
  <si>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</si>
  <si>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</si>
  <si>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</si>
  <si>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</si>
  <si>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</si>
  <si>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</si>
  <si>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</si>
  <si>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</si>
  <si>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</si>
  <si>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</si>
  <si>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</si>
  <si>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</si>
  <si>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</si>
  <si>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</si>
  <si>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</si>
  <si>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</si>
  <si>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</si>
  <si>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</si>
  <si>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</si>
  <si>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</si>
  <si>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</si>
  <si>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</si>
  <si>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</si>
  <si>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</si>
  <si>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</si>
  <si>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</si>
  <si>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</si>
  <si>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</si>
  <si>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</si>
  <si>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</si>
  <si>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</si>
  <si>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</si>
  <si>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</si>
  <si>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</si>
  <si>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</si>
  <si>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</si>
  <si>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</si>
  <si>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</si>
  <si>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</si>
  <si>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</si>
  <si>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</si>
  <si>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</si>
  <si>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</si>
  <si>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</si>
  <si>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</si>
  <si>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</si>
  <si>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</si>
  <si>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</si>
  <si>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</si>
  <si>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</si>
  <si>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</si>
  <si>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</si>
  <si>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</si>
  <si>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</si>
  <si>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</si>
  <si>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</si>
  <si>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</si>
  <si>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</si>
  <si>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</si>
  <si>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</si>
  <si>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</si>
  <si>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</si>
  <si>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</si>
  <si>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</si>
  <si>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</si>
  <si>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</si>
  <si>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</si>
  <si>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</si>
  <si>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</si>
  <si>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</si>
  <si>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</si>
  <si>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</si>
  <si>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</si>
  <si>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</si>
  <si>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</si>
  <si>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</si>
  <si>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</si>
  <si>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</si>
  <si>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</si>
  <si>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</si>
  <si>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</si>
  <si>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</si>
  <si>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</si>
  <si>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</si>
  <si>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</si>
  <si>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</si>
  <si>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</si>
  <si>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</si>
  <si>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</si>
  <si>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</si>
  <si>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</si>
  <si>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</si>
  <si>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</si>
  <si>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</si>
  <si>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</si>
  <si>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</si>
  <si>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</si>
  <si>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</si>
  <si>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</si>
  <si>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</si>
  <si>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</si>
  <si>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</si>
  <si>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</si>
  <si>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</si>
  <si>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</si>
  <si>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</si>
  <si>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</si>
  <si>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</si>
  <si>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</si>
  <si>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</si>
  <si>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</si>
  <si>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</si>
  <si>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</si>
  <si>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</si>
  <si>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</si>
  <si>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</si>
  <si>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</si>
  <si>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</si>
  <si>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</si>
  <si>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</si>
  <si>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</si>
  <si>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</si>
  <si>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</si>
  <si>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</si>
  <si>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</si>
  <si>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</si>
  <si>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</si>
  <si>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</si>
  <si>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</si>
  <si>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</si>
  <si>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</si>
  <si>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</si>
  <si>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</si>
  <si>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</si>
  <si>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</si>
  <si>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</si>
  <si>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</si>
  <si>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</si>
  <si>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</si>
  <si>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</si>
  <si>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</si>
  <si>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</si>
  <si>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</si>
  <si>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</si>
  <si>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</si>
  <si>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</si>
  <si>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</si>
  <si>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</si>
  <si>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</si>
  <si>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</si>
  <si>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Eleni Anagnostou</t>
  </si>
  <si>
    <t>eanagnostou@geomar.de</t>
  </si>
  <si>
    <t>boron isotopes</t>
  </si>
  <si>
    <t>Anagnostou</t>
  </si>
  <si>
    <t>10.1038/nature17423</t>
  </si>
  <si>
    <t>NA</t>
  </si>
  <si>
    <t>TDP3</t>
  </si>
  <si>
    <t>Tanzania</t>
  </si>
  <si>
    <t>&gt;-300</t>
  </si>
  <si>
    <t>Nicholas et al. 2006</t>
  </si>
  <si>
    <t>range ±</t>
  </si>
  <si>
    <t>Cande &amp; Kent 1995</t>
  </si>
  <si>
    <t>biostrat</t>
  </si>
  <si>
    <t>Wade et al. 2011, Pearson et al. 2004</t>
  </si>
  <si>
    <t>Acarinina wilcoxensis</t>
  </si>
  <si>
    <t>212-250</t>
  </si>
  <si>
    <t>~300</t>
  </si>
  <si>
    <t>3-4</t>
  </si>
  <si>
    <t>Barker et al. 2003, Rae et al. 2011</t>
  </si>
  <si>
    <t>column</t>
  </si>
  <si>
    <t>MC-ICP-MS (Neptune)</t>
  </si>
  <si>
    <t>not reported</t>
  </si>
  <si>
    <t>2sd</t>
  </si>
  <si>
    <t>Slope uncertainty not applied</t>
  </si>
  <si>
    <t>Intercept uncertainty was not applied</t>
  </si>
  <si>
    <t>Calibration was not applied</t>
  </si>
  <si>
    <t>No calibration uncertainty introduced, so only analytical</t>
  </si>
  <si>
    <t>None applied</t>
  </si>
  <si>
    <t>set value</t>
  </si>
  <si>
    <t>NA- d18O used</t>
  </si>
  <si>
    <t>not applied</t>
  </si>
  <si>
    <t xml:space="preserve">-3.598 ‰ </t>
  </si>
  <si>
    <t>set value, long term standard reproducibility</t>
  </si>
  <si>
    <t>Kim &amp; O'Neil 1997, Pearson 2012</t>
  </si>
  <si>
    <t>Kim &amp; O'Neil 1997, Cramer et al. 2011, Zachos et al. 1994</t>
  </si>
  <si>
    <t>yes</t>
  </si>
  <si>
    <t>arbitrary</t>
  </si>
  <si>
    <t>set range</t>
  </si>
  <si>
    <t>Average: Coggon2010, Horita2002, Dickson2002, Lowenstein2001, Lear2000</t>
  </si>
  <si>
    <t>not specified; assume modern</t>
  </si>
  <si>
    <t>according to salinity</t>
  </si>
  <si>
    <t>flat probability</t>
  </si>
  <si>
    <t>Anagnostou et al 2016</t>
  </si>
  <si>
    <t>Dickson 1990</t>
  </si>
  <si>
    <t>Millero 1979</t>
  </si>
  <si>
    <t>Not applied</t>
  </si>
  <si>
    <t>Klochko et al. (2006)</t>
  </si>
  <si>
    <t>offline</t>
  </si>
  <si>
    <t>Millero &amp; Pierrot 1998</t>
  </si>
  <si>
    <t>Ben-Yaakov &amp; Goldhaber 1973, Millero &amp; Pierrot 1998, Millero 1979</t>
  </si>
  <si>
    <t>Ben-Yaakov &amp; Goldhaber 1973, Millero &amp; Pierrot 1998</t>
  </si>
  <si>
    <t>Omega_calcite (essentially [CO32-])</t>
  </si>
  <si>
    <t>GENIE</t>
  </si>
  <si>
    <t>primary</t>
  </si>
  <si>
    <t>flat distribution</t>
  </si>
  <si>
    <t>total</t>
  </si>
  <si>
    <t>±40 ppm added to uncertainty</t>
  </si>
  <si>
    <t>maximum potential disequilibrium added to uncertainty</t>
  </si>
  <si>
    <t>monte carlo</t>
  </si>
  <si>
    <t>d11Bsw, T, S, Omega, Mg/Ca, d11B</t>
  </si>
  <si>
    <t>No calibration applied</t>
  </si>
  <si>
    <t>TDP2</t>
  </si>
  <si>
    <r>
      <t xml:space="preserve">Pearsonites </t>
    </r>
    <r>
      <rPr>
        <sz val="10"/>
        <color theme="1"/>
        <rFont val="Helvetica"/>
        <family val="2"/>
      </rPr>
      <t>sp.</t>
    </r>
  </si>
  <si>
    <t xml:space="preserve">-3.46 ‰ </t>
  </si>
  <si>
    <t>Kim &amp; O'Neil 1997, Pearson 2013</t>
  </si>
  <si>
    <t>Kim &amp; O'Neil 1997, Cramer et al. 2011, Zachos et al. 1995</t>
  </si>
  <si>
    <t>Average: Coggon2010, Horita2002, Dickson2002, Lowenstein2001, Lear2001</t>
  </si>
  <si>
    <t>Guembelitrioides nuttalli/ Globigerinatheka transition</t>
  </si>
  <si>
    <t>250-300</t>
  </si>
  <si>
    <t xml:space="preserve">-3.03 ‰ </t>
  </si>
  <si>
    <t>Kim &amp; O'Neil 1997, Pearson 2014</t>
  </si>
  <si>
    <t>Kim &amp; O'Neil 1997, Cramer et al. 2011, Zachos et al. 1996</t>
  </si>
  <si>
    <t>Average: Coggon2010, Horita2002, Dickson2002, Lowenstein2001, Lear2002</t>
  </si>
  <si>
    <t xml:space="preserve">PP98L-2 </t>
  </si>
  <si>
    <t>Kitunda Shore sample</t>
  </si>
  <si>
    <r>
      <t xml:space="preserve">Turborotalia cerroazulensis-offset (-1.79 ± 0.26 ‰ and -2.89 </t>
    </r>
    <r>
      <rPr>
        <i/>
        <vertAlign val="superscript"/>
        <sz val="10"/>
        <color theme="1"/>
        <rFont val="Helvetica"/>
        <family val="2"/>
      </rPr>
      <t>o</t>
    </r>
    <r>
      <rPr>
        <i/>
        <sz val="10"/>
        <color theme="1"/>
        <rFont val="Helvetica"/>
        <family val="2"/>
      </rPr>
      <t>C)</t>
    </r>
  </si>
  <si>
    <t>&gt;355</t>
  </si>
  <si>
    <t>Calibration used was a correction for thermocline habitat based on the offset between cohabiting lehneri and cerroazulensis</t>
  </si>
  <si>
    <t>-2.79 ‰  corrected to mixed layer</t>
  </si>
  <si>
    <t>Kim &amp; O'Neil 1997, Pearson 2015</t>
  </si>
  <si>
    <t>Kim &amp; O'Neil 1997, Cramer et al. 2011, Zachos et al. 1997</t>
  </si>
  <si>
    <t>Average: Coggon2010, Horita2002, Dickson2002, Lowenstein2001, Lear2003</t>
  </si>
  <si>
    <t>TDP18</t>
  </si>
  <si>
    <t>44, 62, 78</t>
  </si>
  <si>
    <t>54, 70, 81</t>
  </si>
  <si>
    <t>Morozovelloides lehneri</t>
  </si>
  <si>
    <t>Barker et al. 2003, Rae et al. 2012</t>
  </si>
  <si>
    <t xml:space="preserve">-3.429 ‰ </t>
  </si>
  <si>
    <t>Kim &amp; O'Neil 1997, Pearson 2016</t>
  </si>
  <si>
    <t>Kim &amp; O'Neil 1997, Cramer et al. 2011, Zachos et al. 1998</t>
  </si>
  <si>
    <t>Average: Coggon2010, Horita2002, Dickson2002, Lowenstein2001, Lear2004</t>
  </si>
  <si>
    <t>Foster et al. 2012</t>
  </si>
  <si>
    <t>Foster calibration chosen as the size fraction was closer to our samples</t>
  </si>
  <si>
    <t>TDP17</t>
  </si>
  <si>
    <t xml:space="preserve">Pearson, P. N. et al. Extinction and environmental change across the Eocene–Oligocene boundary in Tanzania. Geology 36, 179–182 (2008). </t>
  </si>
  <si>
    <t>Turborotalia ampliapertura offseted to mixed layer</t>
  </si>
  <si>
    <t xml:space="preserve">300-1000 </t>
  </si>
  <si>
    <t>14.7,14.73</t>
  </si>
  <si>
    <t>corrected to mixed layer, for both Temp and d11B</t>
  </si>
  <si>
    <t>long term % reproducibility</t>
  </si>
  <si>
    <t xml:space="preserve">Mg/Ca = 0.38 (±0.02) exp 0.090 (±0.003)T </t>
  </si>
  <si>
    <t>Corrected to mixed layer by Anagnostou et al</t>
  </si>
  <si>
    <t>14.47,14.09</t>
  </si>
  <si>
    <t>13.94,13.86</t>
  </si>
  <si>
    <t>TDP12</t>
  </si>
  <si>
    <t>13.78,13.78</t>
  </si>
  <si>
    <t>300-1000</t>
  </si>
  <si>
    <t>14.33,14.31</t>
  </si>
  <si>
    <t>13.73,14.03</t>
  </si>
  <si>
    <t>13.83,13.69</t>
  </si>
  <si>
    <t>13.95,13.59</t>
  </si>
  <si>
    <t>14.14,13.92</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</si>
  <si>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</si>
  <si>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</si>
  <si>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</si>
  <si>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</si>
  <si>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t>exact correction method not given</t>
  </si>
  <si>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</si>
  <si>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</si>
  <si>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-300 to -500</t>
  </si>
  <si>
    <t>Anand et al. (2003)</t>
  </si>
  <si>
    <t>Horita et al. (2002)</t>
  </si>
  <si>
    <t>Lee et al. (2010)</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</si>
  <si>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</si>
  <si>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</si>
  <si>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</si>
  <si>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</si>
  <si>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</si>
  <si>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</si>
  <si>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</si>
  <si>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</si>
  <si>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</si>
  <si>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</si>
  <si>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No calibration applied, combined two samples: 0-12 cm and 14-24 cm</t>
  </si>
  <si>
    <t>T. sac. calibration applied, combined two samples: 0-12 cm and 14-24 cm</t>
  </si>
  <si>
    <t>T. sac. calibration applied</t>
  </si>
  <si>
    <t>CO2_uncertainty_neg_ppm</t>
  </si>
  <si>
    <t>Anagnostou, E., E.H. John, K.M. Edgar, G.L. Foster, A. Ridgwell, G.N. Inglis, R.D. Pancost, D.J. Lunt, and P.N. Pearson (2016), Changing atmospheric CO2 concentration was the primary driver of early Cenozoic climate, Nature, 533 (7603), 380-384.</t>
  </si>
  <si>
    <t>newer calculations available</t>
  </si>
  <si>
    <t>10.1038/s41467-020-17887-x</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</si>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</sst>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u/>
      <sz val="12"/>
      <color theme="1"/>
      <name val="Calibri"/>
      <family val="2"/>
      <scheme val="minor"/>
    </font>
    <font>
      <sz val="10"/>
      <color theme="1"/>
      <name val="Calibri"/>
      <family val="2"/>
      <scheme val="minor"/>
    </font>
    <font>
      <sz val="10"/>
      <color theme="1"/>
      <name val="Helvetica"/>
      <family val="2"/>
    </font>
    <font>
      <i/>
      <sz val="10"/>
      <color theme="1"/>
      <name val="Helvetica"/>
      <family val="2"/>
    </font>
    <font>
      <sz val="11"/>
      <color rgb="FF000000"/>
      <name val="Calibri"/>
      <family val="2"/>
      <charset val="1"/>
    </font>
    <font>
      <i/>
      <vertAlign val="superscript"/>
      <sz val="10"/>
      <color theme="1"/>
      <name val="Helvetica"/>
      <family val="2"/>
    </font>
    <font>
      <sz val="10"/>
      <color theme="1"/>
      <name val="AdvTT5843c571"/>
    </font>
    <font>
      <sz val="10"/>
      <color theme="1"/>
      <name val="Arial"/>
      <family val="2"/>
    </font>
    <font>
      <sz val="10"/>
      <color theme="1"/>
      <name val="MS Sans Serif"/>
    </font>
    <font>
      <sz val="11"/>
      <color theme="1"/>
      <name val="AdvTT5843c571"/>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
      <patternFill patternType="solid">
        <fgColor rgb="FFFFFFFF"/>
        <bgColor rgb="FF000000"/>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31" fillId="0" borderId="0"/>
  </cellStyleXfs>
  <cellXfs count="178">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27" fillId="0" borderId="0" xfId="1" applyFont="1"/>
    <xf numFmtId="0" fontId="28" fillId="0" borderId="0" xfId="0" applyFont="1"/>
    <xf numFmtId="0" fontId="0" fillId="0" borderId="0" xfId="0" applyFont="1"/>
    <xf numFmtId="164" fontId="29" fillId="0" borderId="0" xfId="0" applyNumberFormat="1" applyFont="1" applyAlignment="1">
      <alignment horizontal="center"/>
    </xf>
    <xf numFmtId="0" fontId="0" fillId="0" borderId="0" xfId="0" applyFill="1"/>
    <xf numFmtId="2" fontId="30" fillId="0" borderId="0" xfId="0" applyNumberFormat="1" applyFont="1" applyAlignment="1">
      <alignment horizontal="center" vertical="center"/>
    </xf>
    <xf numFmtId="0" fontId="29" fillId="0" borderId="0" xfId="0" applyFont="1" applyAlignment="1">
      <alignment horizontal="center"/>
    </xf>
    <xf numFmtId="0" fontId="0" fillId="0" borderId="0" xfId="0" quotePrefix="1"/>
    <xf numFmtId="2" fontId="0" fillId="0" borderId="0" xfId="0" applyNumberFormat="1"/>
    <xf numFmtId="2" fontId="29" fillId="0" borderId="0" xfId="0" quotePrefix="1" applyNumberFormat="1" applyFont="1" applyAlignment="1">
      <alignment horizontal="center"/>
    </xf>
    <xf numFmtId="2" fontId="29" fillId="0" borderId="0" xfId="0" applyNumberFormat="1" applyFont="1" applyFill="1" applyAlignment="1">
      <alignment horizontal="center"/>
    </xf>
    <xf numFmtId="0" fontId="30" fillId="0" borderId="0" xfId="2" quotePrefix="1" applyFont="1" applyAlignment="1">
      <alignment vertical="center"/>
    </xf>
    <xf numFmtId="0" fontId="29" fillId="0" borderId="0" xfId="0" applyFont="1" applyFill="1" applyAlignment="1">
      <alignment horizontal="center"/>
    </xf>
    <xf numFmtId="1" fontId="29" fillId="0" borderId="0" xfId="0" applyNumberFormat="1" applyFont="1" applyFill="1" applyAlignment="1">
      <alignment horizontal="center"/>
    </xf>
    <xf numFmtId="1" fontId="29" fillId="0" borderId="0" xfId="0" applyNumberFormat="1" applyFont="1" applyFill="1"/>
    <xf numFmtId="2" fontId="30" fillId="17" borderId="0" xfId="0" applyNumberFormat="1" applyFont="1" applyFill="1" applyAlignment="1">
      <alignment horizontal="center" vertical="center"/>
    </xf>
    <xf numFmtId="0" fontId="29" fillId="17" borderId="0" xfId="0" applyFont="1" applyFill="1" applyAlignment="1">
      <alignment horizontal="center"/>
    </xf>
    <xf numFmtId="2" fontId="29" fillId="0" borderId="0" xfId="0" applyNumberFormat="1" applyFont="1" applyFill="1" applyBorder="1" applyAlignment="1">
      <alignment horizontal="center"/>
    </xf>
    <xf numFmtId="1" fontId="29" fillId="0" borderId="0" xfId="0" applyNumberFormat="1" applyFont="1" applyFill="1" applyBorder="1" applyAlignment="1">
      <alignment horizontal="center"/>
    </xf>
    <xf numFmtId="0" fontId="0" fillId="0" borderId="0" xfId="0" applyFill="1" applyBorder="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7" fillId="0" borderId="0" xfId="1" applyFont="1" applyFill="1"/>
    <xf numFmtId="0" fontId="28" fillId="0" borderId="0" xfId="0" applyFont="1" applyFill="1"/>
    <xf numFmtId="0" fontId="0" fillId="0" borderId="0" xfId="0" applyFont="1" applyFill="1"/>
    <xf numFmtId="164" fontId="29" fillId="0" borderId="0" xfId="0" applyNumberFormat="1" applyFont="1" applyFill="1" applyAlignment="1">
      <alignment horizontal="center"/>
    </xf>
    <xf numFmtId="2" fontId="30" fillId="0" borderId="0" xfId="0" applyNumberFormat="1" applyFont="1" applyFill="1" applyAlignment="1">
      <alignment horizontal="center" vertical="center"/>
    </xf>
    <xf numFmtId="0" fontId="0" fillId="0" borderId="0" xfId="0" quotePrefix="1" applyFill="1"/>
    <xf numFmtId="2" fontId="0" fillId="0" borderId="0" xfId="0" applyNumberFormat="1" applyFill="1"/>
    <xf numFmtId="2" fontId="29" fillId="0" borderId="0" xfId="0" quotePrefix="1" applyNumberFormat="1" applyFont="1" applyFill="1" applyAlignment="1">
      <alignment horizontal="center"/>
    </xf>
    <xf numFmtId="0" fontId="30" fillId="0" borderId="0" xfId="2" quotePrefix="1" applyFont="1" applyFill="1" applyAlignment="1">
      <alignment vertical="center"/>
    </xf>
    <xf numFmtId="2" fontId="0" fillId="0" borderId="0" xfId="0" applyNumberFormat="1" applyFill="1" applyAlignment="1">
      <alignment horizontal="center"/>
    </xf>
    <xf numFmtId="164" fontId="34" fillId="0" borderId="0" xfId="0" applyNumberFormat="1" applyFont="1" applyFill="1" applyAlignment="1">
      <alignment horizontal="center"/>
    </xf>
    <xf numFmtId="2" fontId="35" fillId="0" borderId="0" xfId="0" applyNumberFormat="1" applyFont="1" applyFill="1"/>
    <xf numFmtId="0" fontId="36" fillId="0" borderId="0" xfId="0" applyFont="1" applyFill="1"/>
    <xf numFmtId="164" fontId="28" fillId="0" borderId="0" xfId="0" applyNumberFormat="1" applyFont="1" applyFill="1" applyAlignment="1">
      <alignment horizontal="center"/>
    </xf>
    <xf numFmtId="0" fontId="33" fillId="0" borderId="0" xfId="0" quotePrefix="1" applyFont="1"/>
    <xf numFmtId="0" fontId="0" fillId="0" borderId="0" xfId="0" applyAlignment="1">
      <alignment vertical="top"/>
    </xf>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3" xfId="2" xr:uid="{9A5E3503-0477-FB41-8E16-8E8BB228DC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anagnostou@geomar.de" TargetMode="External"/><Relationship Id="rId13" Type="http://schemas.openxmlformats.org/officeDocument/2006/relationships/hyperlink" Target="mailto:eanagnostou@geomar.de" TargetMode="External"/><Relationship Id="rId18" Type="http://schemas.openxmlformats.org/officeDocument/2006/relationships/hyperlink" Target="mailto:eanagnostou@geomar.de" TargetMode="External"/><Relationship Id="rId3" Type="http://schemas.openxmlformats.org/officeDocument/2006/relationships/hyperlink" Target="mailto:eanagnostou@geomar.de" TargetMode="External"/><Relationship Id="rId7" Type="http://schemas.openxmlformats.org/officeDocument/2006/relationships/hyperlink" Target="mailto:eanagnostou@geomar.de" TargetMode="External"/><Relationship Id="rId12" Type="http://schemas.openxmlformats.org/officeDocument/2006/relationships/hyperlink" Target="mailto:eanagnostou@geomar.de" TargetMode="External"/><Relationship Id="rId17" Type="http://schemas.openxmlformats.org/officeDocument/2006/relationships/hyperlink" Target="mailto:eanagnostou@geomar.de" TargetMode="External"/><Relationship Id="rId2" Type="http://schemas.openxmlformats.org/officeDocument/2006/relationships/hyperlink" Target="mailto:eanagnostou@geomar.de" TargetMode="External"/><Relationship Id="rId16" Type="http://schemas.openxmlformats.org/officeDocument/2006/relationships/hyperlink" Target="mailto:eanagnostou@geomar.de" TargetMode="External"/><Relationship Id="rId1" Type="http://schemas.openxmlformats.org/officeDocument/2006/relationships/hyperlink" Target="mailto:eanagnostou@geomar.de" TargetMode="External"/><Relationship Id="rId6" Type="http://schemas.openxmlformats.org/officeDocument/2006/relationships/hyperlink" Target="mailto:eanagnostou@geomar.de" TargetMode="External"/><Relationship Id="rId11" Type="http://schemas.openxmlformats.org/officeDocument/2006/relationships/hyperlink" Target="mailto:eanagnostou@geomar.de" TargetMode="External"/><Relationship Id="rId5" Type="http://schemas.openxmlformats.org/officeDocument/2006/relationships/hyperlink" Target="mailto:eanagnostou@geomar.de" TargetMode="External"/><Relationship Id="rId15" Type="http://schemas.openxmlformats.org/officeDocument/2006/relationships/hyperlink" Target="mailto:eanagnostou@geomar.de" TargetMode="External"/><Relationship Id="rId10" Type="http://schemas.openxmlformats.org/officeDocument/2006/relationships/hyperlink" Target="mailto:eanagnostou@geomar.de" TargetMode="External"/><Relationship Id="rId19" Type="http://schemas.openxmlformats.org/officeDocument/2006/relationships/hyperlink" Target="mailto:eanagnostou@geomar.de" TargetMode="External"/><Relationship Id="rId4" Type="http://schemas.openxmlformats.org/officeDocument/2006/relationships/hyperlink" Target="mailto:eanagnostou@geomar.de" TargetMode="External"/><Relationship Id="rId9" Type="http://schemas.openxmlformats.org/officeDocument/2006/relationships/hyperlink" Target="mailto:eanagnostou@geomar.de" TargetMode="External"/><Relationship Id="rId14" Type="http://schemas.openxmlformats.org/officeDocument/2006/relationships/hyperlink" Target="mailto:eanagnostou@geomar.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22"/>
  <sheetViews>
    <sheetView tabSelected="1" topLeftCell="D1" workbookViewId="0">
      <selection activeCell="N3" sqref="N3:O3"/>
    </sheetView>
  </sheetViews>
  <sheetFormatPr baseColWidth="10" defaultColWidth="8.83203125" defaultRowHeight="15"/>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176"/>
      <c r="T2" s="176"/>
      <c r="U2" s="176"/>
      <c r="V2" s="176"/>
      <c r="W2" s="176"/>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285</v>
      </c>
      <c r="K3" s="11" t="s">
        <v>286</v>
      </c>
      <c r="L3" s="12" t="s">
        <v>298</v>
      </c>
      <c r="M3" s="13" t="s">
        <v>287</v>
      </c>
      <c r="N3" s="177" t="s">
        <v>302</v>
      </c>
      <c r="O3" s="177" t="s">
        <v>303</v>
      </c>
      <c r="P3" s="13" t="s">
        <v>288</v>
      </c>
      <c r="Q3" s="14" t="s">
        <v>289</v>
      </c>
      <c r="R3" s="15" t="s">
        <v>290</v>
      </c>
      <c r="S3" s="16" t="s">
        <v>291</v>
      </c>
      <c r="T3" s="13" t="s">
        <v>292</v>
      </c>
      <c r="U3" s="13" t="s">
        <v>9</v>
      </c>
      <c r="V3" s="13" t="s">
        <v>293</v>
      </c>
      <c r="W3" s="17" t="s">
        <v>294</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280</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276</v>
      </c>
      <c r="CV3" s="121" t="s">
        <v>277</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58" t="s">
        <v>133</v>
      </c>
      <c r="EU3" s="159" t="s">
        <v>134</v>
      </c>
      <c r="EV3" s="159" t="s">
        <v>135</v>
      </c>
      <c r="EW3" s="128" t="s">
        <v>136</v>
      </c>
      <c r="EX3" s="129" t="s">
        <v>62</v>
      </c>
      <c r="EY3" s="130" t="s">
        <v>274</v>
      </c>
      <c r="EZ3" s="131" t="s">
        <v>275</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279</v>
      </c>
      <c r="GC3" s="137" t="s">
        <v>161</v>
      </c>
    </row>
    <row r="4" spans="1:185" s="142" customFormat="1" ht="16">
      <c r="A4" s="142" t="s">
        <v>162</v>
      </c>
      <c r="B4" s="160" t="s">
        <v>163</v>
      </c>
      <c r="C4" s="142" t="s">
        <v>164</v>
      </c>
      <c r="D4" s="142" t="s">
        <v>165</v>
      </c>
      <c r="E4" s="142">
        <v>2016</v>
      </c>
      <c r="F4" s="142" t="s">
        <v>166</v>
      </c>
      <c r="G4" s="142">
        <f>AS4</f>
        <v>53200</v>
      </c>
      <c r="H4" s="142">
        <f>AU4</f>
        <v>400</v>
      </c>
      <c r="I4" s="142">
        <f>AV4</f>
        <v>400</v>
      </c>
      <c r="J4" s="142">
        <f>FL4</f>
        <v>1400</v>
      </c>
      <c r="K4" s="142">
        <f t="shared" ref="K4:L4" si="0">FM4</f>
        <v>470</v>
      </c>
      <c r="L4" s="142">
        <f t="shared" si="0"/>
        <v>470</v>
      </c>
      <c r="M4" s="142" t="b">
        <v>1</v>
      </c>
      <c r="N4" s="142">
        <v>3</v>
      </c>
      <c r="O4" t="s">
        <v>300</v>
      </c>
      <c r="P4" t="s">
        <v>301</v>
      </c>
      <c r="Q4" s="142" t="b">
        <v>0</v>
      </c>
      <c r="R4" s="142" t="s">
        <v>167</v>
      </c>
      <c r="S4" s="142" t="b">
        <v>1</v>
      </c>
      <c r="T4" s="142" t="b">
        <v>0</v>
      </c>
      <c r="U4" s="142" t="s">
        <v>167</v>
      </c>
      <c r="V4" s="142" t="b">
        <v>0</v>
      </c>
      <c r="W4" s="142" t="b">
        <v>0</v>
      </c>
      <c r="X4" s="142" t="s">
        <v>167</v>
      </c>
      <c r="Y4" s="175" t="s">
        <v>299</v>
      </c>
      <c r="Z4" s="142" t="s">
        <v>166</v>
      </c>
      <c r="AA4" s="161" t="s">
        <v>168</v>
      </c>
      <c r="AB4" s="142" t="s">
        <v>167</v>
      </c>
      <c r="AC4" s="142">
        <v>5</v>
      </c>
      <c r="AD4" s="142">
        <v>1</v>
      </c>
      <c r="AE4" s="162">
        <v>0</v>
      </c>
      <c r="AF4" s="162">
        <v>24</v>
      </c>
      <c r="AG4" s="142" t="s">
        <v>167</v>
      </c>
      <c r="AH4" s="142" t="s">
        <v>167</v>
      </c>
      <c r="AI4" s="142" t="s">
        <v>167</v>
      </c>
      <c r="AJ4" s="142" t="s">
        <v>169</v>
      </c>
      <c r="AK4" s="142">
        <v>-8.8562069999999995</v>
      </c>
      <c r="AL4" s="142">
        <v>39.460911573076601</v>
      </c>
      <c r="AM4" s="142">
        <v>-19</v>
      </c>
      <c r="AN4" s="142" t="s">
        <v>167</v>
      </c>
      <c r="AO4" s="142" t="s">
        <v>167</v>
      </c>
      <c r="AP4" s="142" t="s">
        <v>170</v>
      </c>
      <c r="AQ4" s="142" t="s">
        <v>171</v>
      </c>
      <c r="AR4" s="142" t="s">
        <v>167</v>
      </c>
      <c r="AS4" s="163">
        <v>53200</v>
      </c>
      <c r="AT4" s="142" t="s">
        <v>172</v>
      </c>
      <c r="AU4" s="142">
        <v>400</v>
      </c>
      <c r="AV4" s="142">
        <v>400</v>
      </c>
      <c r="AW4" s="142" t="s">
        <v>173</v>
      </c>
      <c r="AX4" s="142" t="s">
        <v>174</v>
      </c>
      <c r="AY4" s="142" t="s">
        <v>175</v>
      </c>
      <c r="AZ4" s="142" t="s">
        <v>167</v>
      </c>
      <c r="BA4" s="142" t="s">
        <v>167</v>
      </c>
      <c r="BB4" s="142" t="s">
        <v>167</v>
      </c>
      <c r="BC4" s="142" t="s">
        <v>167</v>
      </c>
      <c r="BD4" s="142" t="s">
        <v>167</v>
      </c>
      <c r="BE4" s="142" t="s">
        <v>167</v>
      </c>
      <c r="BF4" s="142" t="s">
        <v>167</v>
      </c>
      <c r="BG4" s="164" t="s">
        <v>176</v>
      </c>
      <c r="BH4" s="150" t="s">
        <v>177</v>
      </c>
      <c r="BI4" s="142" t="s">
        <v>178</v>
      </c>
      <c r="BJ4" s="165" t="s">
        <v>179</v>
      </c>
      <c r="BK4" s="142" t="s">
        <v>180</v>
      </c>
      <c r="BL4" s="142" t="s">
        <v>181</v>
      </c>
      <c r="BM4" s="142" t="s">
        <v>182</v>
      </c>
      <c r="BN4" s="142" t="s">
        <v>183</v>
      </c>
      <c r="BO4" s="142" t="s">
        <v>167</v>
      </c>
      <c r="BP4" s="142" t="s">
        <v>167</v>
      </c>
      <c r="BQ4" s="148">
        <v>14.3</v>
      </c>
      <c r="BR4" s="142" t="s">
        <v>184</v>
      </c>
      <c r="BS4" s="150">
        <v>0.25</v>
      </c>
      <c r="BT4" s="142">
        <v>1</v>
      </c>
      <c r="BU4" s="142" t="s">
        <v>185</v>
      </c>
      <c r="BV4" s="142" t="s">
        <v>185</v>
      </c>
      <c r="BW4" s="142">
        <v>0</v>
      </c>
      <c r="BX4" s="142" t="s">
        <v>186</v>
      </c>
      <c r="BY4" s="142" t="s">
        <v>186</v>
      </c>
      <c r="BZ4" s="142" t="s">
        <v>187</v>
      </c>
      <c r="CA4" s="142" t="s">
        <v>167</v>
      </c>
      <c r="CB4" s="166">
        <v>14.3</v>
      </c>
      <c r="CC4" s="142" t="s">
        <v>188</v>
      </c>
      <c r="CD4" s="142">
        <v>0.25</v>
      </c>
      <c r="CE4" s="142" t="s">
        <v>188</v>
      </c>
      <c r="CF4" s="142" t="s">
        <v>167</v>
      </c>
      <c r="CG4" s="142">
        <v>20</v>
      </c>
      <c r="CH4" s="142" t="s">
        <v>189</v>
      </c>
      <c r="CI4" s="142" t="s">
        <v>189</v>
      </c>
      <c r="CJ4" s="163">
        <v>32.72</v>
      </c>
      <c r="CK4" s="142" t="s">
        <v>190</v>
      </c>
      <c r="CL4" s="142">
        <v>2</v>
      </c>
      <c r="CM4" s="142">
        <v>2</v>
      </c>
      <c r="CN4" s="142" t="s">
        <v>167</v>
      </c>
      <c r="CO4" s="142" t="s">
        <v>191</v>
      </c>
      <c r="CP4" s="142" t="s">
        <v>167</v>
      </c>
      <c r="CQ4" s="142" t="s">
        <v>167</v>
      </c>
      <c r="CR4" s="142" t="s">
        <v>167</v>
      </c>
      <c r="CS4" s="142" t="s">
        <v>167</v>
      </c>
      <c r="CT4" s="142" t="s">
        <v>167</v>
      </c>
      <c r="CU4" s="142" t="s">
        <v>167</v>
      </c>
      <c r="CV4" s="142" t="s">
        <v>167</v>
      </c>
      <c r="CW4" s="142" t="s">
        <v>192</v>
      </c>
      <c r="CX4" s="142" t="s">
        <v>192</v>
      </c>
      <c r="CY4" s="142" t="s">
        <v>192</v>
      </c>
      <c r="CZ4" s="142" t="s">
        <v>167</v>
      </c>
      <c r="DA4" s="167" t="s">
        <v>193</v>
      </c>
      <c r="DB4" s="142" t="s">
        <v>194</v>
      </c>
      <c r="DC4" s="142">
        <v>0.12</v>
      </c>
      <c r="DD4" s="142" t="s">
        <v>195</v>
      </c>
      <c r="DE4" s="142" t="s">
        <v>196</v>
      </c>
      <c r="DF4" s="142" t="s">
        <v>197</v>
      </c>
      <c r="DG4" s="142">
        <v>35</v>
      </c>
      <c r="DH4" s="142" t="s">
        <v>190</v>
      </c>
      <c r="DI4" s="142">
        <v>2</v>
      </c>
      <c r="DJ4" s="142" t="s">
        <v>198</v>
      </c>
      <c r="DK4" s="142">
        <v>1.7000000000000001E-2</v>
      </c>
      <c r="DL4" s="142" t="s">
        <v>199</v>
      </c>
      <c r="DM4" s="142">
        <v>3.0000000000000001E-3</v>
      </c>
      <c r="DN4" s="142" t="s">
        <v>200</v>
      </c>
      <c r="DO4" s="142">
        <v>3.7999999999999999E-2</v>
      </c>
      <c r="DP4" s="142" t="s">
        <v>199</v>
      </c>
      <c r="DQ4" s="142">
        <v>3.0000000000000001E-3</v>
      </c>
      <c r="DR4" t="s">
        <v>283</v>
      </c>
      <c r="DS4" s="142" t="s">
        <v>201</v>
      </c>
      <c r="DT4" s="142" t="s">
        <v>167</v>
      </c>
      <c r="DU4" s="142" t="s">
        <v>167</v>
      </c>
      <c r="DV4" s="142" t="s">
        <v>167</v>
      </c>
      <c r="DW4" s="142">
        <v>432.6</v>
      </c>
      <c r="DX4" s="142" t="s">
        <v>202</v>
      </c>
      <c r="DY4" s="142" t="s">
        <v>202</v>
      </c>
      <c r="DZ4" t="s">
        <v>284</v>
      </c>
      <c r="EA4" s="142">
        <v>38.450000000000003</v>
      </c>
      <c r="EB4" s="142" t="s">
        <v>203</v>
      </c>
      <c r="EC4" s="142">
        <v>0.25</v>
      </c>
      <c r="ED4" s="142" t="s">
        <v>204</v>
      </c>
      <c r="EE4" s="142" t="s">
        <v>205</v>
      </c>
      <c r="EF4" s="142" t="s">
        <v>206</v>
      </c>
      <c r="EG4" s="142">
        <v>1.0271999999999999</v>
      </c>
      <c r="EH4" s="142" t="s">
        <v>207</v>
      </c>
      <c r="EI4" s="142" t="s">
        <v>207</v>
      </c>
      <c r="EJ4" s="142" t="s">
        <v>208</v>
      </c>
      <c r="EK4" s="142" t="s">
        <v>207</v>
      </c>
      <c r="EL4" s="142" t="s">
        <v>207</v>
      </c>
      <c r="EM4" s="142" t="s">
        <v>209</v>
      </c>
      <c r="EN4" s="142" t="s">
        <v>210</v>
      </c>
      <c r="EO4" s="142" t="s">
        <v>211</v>
      </c>
      <c r="EP4" s="142" t="s">
        <v>211</v>
      </c>
      <c r="EQ4" s="142" t="s">
        <v>211</v>
      </c>
      <c r="ER4" s="142" t="s">
        <v>212</v>
      </c>
      <c r="ES4" s="142" t="s">
        <v>206</v>
      </c>
      <c r="ET4" s="142" t="s">
        <v>213</v>
      </c>
      <c r="EU4" s="142" t="s">
        <v>214</v>
      </c>
      <c r="EV4" s="142" t="s">
        <v>215</v>
      </c>
      <c r="EW4" s="142" t="s">
        <v>167</v>
      </c>
      <c r="EX4" s="142" t="s">
        <v>167</v>
      </c>
      <c r="EY4" s="142" t="s">
        <v>167</v>
      </c>
      <c r="EZ4" s="142" t="s">
        <v>167</v>
      </c>
      <c r="FA4" s="142">
        <v>6.5</v>
      </c>
      <c r="FB4" s="142" t="s">
        <v>216</v>
      </c>
      <c r="FC4" s="142">
        <v>1</v>
      </c>
      <c r="FD4" s="142">
        <v>1</v>
      </c>
      <c r="FE4" s="148">
        <v>7.6623189039322694</v>
      </c>
      <c r="FF4" s="142" t="s">
        <v>217</v>
      </c>
      <c r="FG4" s="148">
        <v>6.1458791241700193E-2</v>
      </c>
      <c r="FH4" s="148">
        <v>6.1458791241700193E-2</v>
      </c>
      <c r="FI4" s="151">
        <v>1400</v>
      </c>
      <c r="FJ4" s="142" t="s">
        <v>218</v>
      </c>
      <c r="FK4" s="142" t="s">
        <v>219</v>
      </c>
      <c r="FL4" s="151">
        <v>1400</v>
      </c>
      <c r="FM4" s="151">
        <v>470</v>
      </c>
      <c r="FN4" s="151">
        <v>470</v>
      </c>
      <c r="FO4" s="142" t="s">
        <v>220</v>
      </c>
      <c r="FP4" s="142" t="s">
        <v>221</v>
      </c>
      <c r="FQ4" s="151">
        <v>2700</v>
      </c>
      <c r="FR4" s="151">
        <v>530</v>
      </c>
      <c r="FS4" s="151">
        <v>530</v>
      </c>
      <c r="FT4" s="152">
        <v>2500</v>
      </c>
      <c r="FU4" s="152">
        <v>520</v>
      </c>
      <c r="FV4" s="152">
        <v>520</v>
      </c>
      <c r="FW4" s="142" t="s">
        <v>167</v>
      </c>
      <c r="FX4" s="142" t="s">
        <v>167</v>
      </c>
      <c r="FY4" s="142" t="s">
        <v>167</v>
      </c>
      <c r="FZ4" s="142" t="s">
        <v>167</v>
      </c>
      <c r="GA4" s="142" t="s">
        <v>167</v>
      </c>
      <c r="GB4" s="142" t="s">
        <v>167</v>
      </c>
      <c r="GC4" s="142" t="s">
        <v>295</v>
      </c>
    </row>
    <row r="5" spans="1:185" s="142" customFormat="1" ht="16">
      <c r="A5" s="142" t="s">
        <v>162</v>
      </c>
      <c r="B5" s="160" t="s">
        <v>163</v>
      </c>
      <c r="C5" s="142" t="s">
        <v>164</v>
      </c>
      <c r="D5" s="142" t="s">
        <v>165</v>
      </c>
      <c r="E5" s="142">
        <v>2016</v>
      </c>
      <c r="F5" s="142" t="s">
        <v>166</v>
      </c>
      <c r="G5" s="142">
        <f t="shared" ref="G5:G22" si="1">AS5</f>
        <v>45600</v>
      </c>
      <c r="H5" s="142">
        <f t="shared" ref="H5:H22" si="2">AU5</f>
        <v>300</v>
      </c>
      <c r="I5" s="142">
        <f t="shared" ref="I5:I22" si="3">AV5</f>
        <v>100</v>
      </c>
      <c r="J5" s="142">
        <f t="shared" ref="J5:J22" si="4">FL5</f>
        <v>1100</v>
      </c>
      <c r="K5" s="142">
        <f t="shared" ref="K5:K22" si="5">FM5</f>
        <v>350</v>
      </c>
      <c r="L5" s="142">
        <f t="shared" ref="L5:L22" si="6">FN5</f>
        <v>350</v>
      </c>
      <c r="M5" s="142" t="b">
        <v>1</v>
      </c>
      <c r="N5" s="142">
        <v>3</v>
      </c>
      <c r="O5" t="s">
        <v>300</v>
      </c>
      <c r="P5" t="s">
        <v>301</v>
      </c>
      <c r="Q5" s="142" t="b">
        <v>0</v>
      </c>
      <c r="R5" s="142" t="s">
        <v>167</v>
      </c>
      <c r="S5" s="142" t="b">
        <v>1</v>
      </c>
      <c r="T5" s="142" t="b">
        <v>0</v>
      </c>
      <c r="U5" s="142" t="s">
        <v>167</v>
      </c>
      <c r="V5" s="142" t="b">
        <v>0</v>
      </c>
      <c r="W5" s="142" t="b">
        <v>0</v>
      </c>
      <c r="X5" s="142" t="s">
        <v>167</v>
      </c>
      <c r="Y5" s="175" t="s">
        <v>299</v>
      </c>
      <c r="Z5" s="142" t="s">
        <v>166</v>
      </c>
      <c r="AA5" s="161" t="s">
        <v>223</v>
      </c>
      <c r="AB5" s="142" t="s">
        <v>167</v>
      </c>
      <c r="AC5" s="142">
        <v>19</v>
      </c>
      <c r="AD5" s="142">
        <v>1</v>
      </c>
      <c r="AE5" s="162">
        <v>90</v>
      </c>
      <c r="AF5" s="162">
        <v>100</v>
      </c>
      <c r="AG5" s="142" t="s">
        <v>167</v>
      </c>
      <c r="AH5" s="142" t="s">
        <v>167</v>
      </c>
      <c r="AI5" s="142" t="s">
        <v>167</v>
      </c>
      <c r="AJ5" s="142" t="s">
        <v>169</v>
      </c>
      <c r="AK5" s="142">
        <v>-8.9177140000000001</v>
      </c>
      <c r="AL5" s="142">
        <v>39.503647123608502</v>
      </c>
      <c r="AM5" s="142">
        <v>-19</v>
      </c>
      <c r="AN5" s="142" t="s">
        <v>167</v>
      </c>
      <c r="AO5" s="142" t="s">
        <v>167</v>
      </c>
      <c r="AP5" s="142" t="s">
        <v>170</v>
      </c>
      <c r="AQ5" s="142" t="s">
        <v>171</v>
      </c>
      <c r="AR5" s="142" t="s">
        <v>167</v>
      </c>
      <c r="AS5" s="163">
        <v>45600</v>
      </c>
      <c r="AT5" s="142" t="s">
        <v>172</v>
      </c>
      <c r="AU5" s="142">
        <v>300</v>
      </c>
      <c r="AV5" s="142">
        <v>100</v>
      </c>
      <c r="AW5" s="142" t="s">
        <v>173</v>
      </c>
      <c r="AX5" s="142" t="s">
        <v>174</v>
      </c>
      <c r="AY5" s="142" t="s">
        <v>175</v>
      </c>
      <c r="AZ5" s="142" t="s">
        <v>167</v>
      </c>
      <c r="BA5" s="142" t="s">
        <v>167</v>
      </c>
      <c r="BB5" s="142" t="s">
        <v>167</v>
      </c>
      <c r="BC5" s="142" t="s">
        <v>167</v>
      </c>
      <c r="BD5" s="142" t="s">
        <v>167</v>
      </c>
      <c r="BE5" s="142" t="s">
        <v>167</v>
      </c>
      <c r="BF5" s="142" t="s">
        <v>167</v>
      </c>
      <c r="BG5" s="164" t="s">
        <v>224</v>
      </c>
      <c r="BH5" s="150" t="s">
        <v>177</v>
      </c>
      <c r="BI5" s="142" t="s">
        <v>178</v>
      </c>
      <c r="BJ5" s="165" t="s">
        <v>179</v>
      </c>
      <c r="BK5" s="142" t="s">
        <v>180</v>
      </c>
      <c r="BL5" s="142" t="s">
        <v>181</v>
      </c>
      <c r="BM5" s="142" t="s">
        <v>182</v>
      </c>
      <c r="BN5" s="142" t="s">
        <v>183</v>
      </c>
      <c r="BO5" s="142" t="s">
        <v>167</v>
      </c>
      <c r="BP5" s="142" t="s">
        <v>167</v>
      </c>
      <c r="BQ5" s="148">
        <v>14.65</v>
      </c>
      <c r="BR5" s="142" t="s">
        <v>184</v>
      </c>
      <c r="BS5" s="150">
        <v>0.24</v>
      </c>
      <c r="BT5" s="142">
        <v>1</v>
      </c>
      <c r="BU5" s="142" t="s">
        <v>185</v>
      </c>
      <c r="BV5" s="142" t="s">
        <v>185</v>
      </c>
      <c r="BW5" s="142">
        <v>0</v>
      </c>
      <c r="BX5" s="142" t="s">
        <v>186</v>
      </c>
      <c r="BY5" s="142" t="s">
        <v>186</v>
      </c>
      <c r="BZ5" s="142" t="s">
        <v>187</v>
      </c>
      <c r="CA5" s="142" t="s">
        <v>167</v>
      </c>
      <c r="CB5" s="166">
        <v>14.65</v>
      </c>
      <c r="CC5" s="142" t="s">
        <v>188</v>
      </c>
      <c r="CD5" s="142">
        <v>0.24</v>
      </c>
      <c r="CE5" s="142" t="s">
        <v>188</v>
      </c>
      <c r="CF5" s="142" t="s">
        <v>167</v>
      </c>
      <c r="CG5" s="142">
        <v>0</v>
      </c>
      <c r="CH5" s="142" t="s">
        <v>189</v>
      </c>
      <c r="CI5" s="142" t="s">
        <v>189</v>
      </c>
      <c r="CJ5" s="163">
        <v>31.47</v>
      </c>
      <c r="CK5" s="142" t="s">
        <v>190</v>
      </c>
      <c r="CL5" s="142">
        <v>2</v>
      </c>
      <c r="CM5" s="142">
        <v>2</v>
      </c>
      <c r="CN5" s="142" t="s">
        <v>167</v>
      </c>
      <c r="CO5" s="142" t="s">
        <v>191</v>
      </c>
      <c r="CP5" s="142" t="s">
        <v>167</v>
      </c>
      <c r="CQ5" s="142" t="s">
        <v>167</v>
      </c>
      <c r="CR5" s="142" t="s">
        <v>167</v>
      </c>
      <c r="CS5" s="142" t="s">
        <v>167</v>
      </c>
      <c r="CT5" s="142" t="s">
        <v>167</v>
      </c>
      <c r="CU5" s="142" t="s">
        <v>167</v>
      </c>
      <c r="CV5" s="142" t="s">
        <v>167</v>
      </c>
      <c r="CW5" s="142" t="s">
        <v>192</v>
      </c>
      <c r="CX5" s="142" t="s">
        <v>192</v>
      </c>
      <c r="CY5" s="142" t="s">
        <v>192</v>
      </c>
      <c r="CZ5" s="142" t="s">
        <v>167</v>
      </c>
      <c r="DA5" s="167" t="s">
        <v>225</v>
      </c>
      <c r="DB5" s="142" t="s">
        <v>194</v>
      </c>
      <c r="DC5" s="142">
        <v>0.12</v>
      </c>
      <c r="DD5" s="142" t="s">
        <v>226</v>
      </c>
      <c r="DE5" s="142" t="s">
        <v>227</v>
      </c>
      <c r="DF5" s="142" t="s">
        <v>197</v>
      </c>
      <c r="DG5" s="142">
        <v>35</v>
      </c>
      <c r="DH5" s="142" t="s">
        <v>190</v>
      </c>
      <c r="DI5" s="142">
        <v>2</v>
      </c>
      <c r="DJ5" s="142" t="s">
        <v>198</v>
      </c>
      <c r="DK5" s="142">
        <v>1.7000000000000001E-2</v>
      </c>
      <c r="DL5" s="142" t="s">
        <v>199</v>
      </c>
      <c r="DM5" s="142">
        <v>3.0000000000000001E-3</v>
      </c>
      <c r="DN5" s="142" t="s">
        <v>228</v>
      </c>
      <c r="DO5" s="142">
        <v>3.7999999999999999E-2</v>
      </c>
      <c r="DP5" s="142" t="s">
        <v>199</v>
      </c>
      <c r="DQ5" s="142">
        <v>3.0000000000000001E-3</v>
      </c>
      <c r="DR5" t="s">
        <v>283</v>
      </c>
      <c r="DS5" s="142" t="s">
        <v>201</v>
      </c>
      <c r="DT5" s="142" t="s">
        <v>167</v>
      </c>
      <c r="DU5" s="142" t="s">
        <v>167</v>
      </c>
      <c r="DV5" s="142" t="s">
        <v>167</v>
      </c>
      <c r="DW5" s="142">
        <v>432.6</v>
      </c>
      <c r="DX5" s="142" t="s">
        <v>202</v>
      </c>
      <c r="DY5" s="142" t="s">
        <v>202</v>
      </c>
      <c r="DZ5" t="s">
        <v>284</v>
      </c>
      <c r="EA5" s="142">
        <v>38.450000000000003</v>
      </c>
      <c r="EB5" s="142" t="s">
        <v>203</v>
      </c>
      <c r="EC5" s="142">
        <v>0.25</v>
      </c>
      <c r="ED5" s="142" t="s">
        <v>204</v>
      </c>
      <c r="EE5" s="142" t="s">
        <v>205</v>
      </c>
      <c r="EF5" s="142" t="s">
        <v>206</v>
      </c>
      <c r="EG5" s="142">
        <v>1.0271999999999999</v>
      </c>
      <c r="EH5" s="142" t="s">
        <v>207</v>
      </c>
      <c r="EI5" s="142" t="s">
        <v>207</v>
      </c>
      <c r="EJ5" s="142" t="s">
        <v>208</v>
      </c>
      <c r="EK5" s="142" t="s">
        <v>207</v>
      </c>
      <c r="EL5" s="142" t="s">
        <v>207</v>
      </c>
      <c r="EM5" s="142" t="s">
        <v>209</v>
      </c>
      <c r="EN5" s="142" t="s">
        <v>210</v>
      </c>
      <c r="EO5" s="142" t="s">
        <v>211</v>
      </c>
      <c r="EP5" s="142" t="s">
        <v>211</v>
      </c>
      <c r="EQ5" s="142" t="s">
        <v>211</v>
      </c>
      <c r="ER5" s="142" t="s">
        <v>212</v>
      </c>
      <c r="ES5" s="142" t="s">
        <v>206</v>
      </c>
      <c r="ET5" s="142" t="s">
        <v>213</v>
      </c>
      <c r="EU5" s="142" t="s">
        <v>214</v>
      </c>
      <c r="EV5" s="142" t="s">
        <v>215</v>
      </c>
      <c r="EW5" s="142" t="s">
        <v>167</v>
      </c>
      <c r="EX5" s="142" t="s">
        <v>167</v>
      </c>
      <c r="EY5" s="142" t="s">
        <v>167</v>
      </c>
      <c r="EZ5" s="142" t="s">
        <v>167</v>
      </c>
      <c r="FA5" s="142">
        <v>6.5</v>
      </c>
      <c r="FB5" s="142" t="s">
        <v>216</v>
      </c>
      <c r="FC5" s="142">
        <v>1</v>
      </c>
      <c r="FD5" s="142">
        <v>1</v>
      </c>
      <c r="FE5" s="148">
        <v>7.726063181866758</v>
      </c>
      <c r="FF5" s="142" t="s">
        <v>217</v>
      </c>
      <c r="FG5" s="148">
        <v>5.6492371212494549E-2</v>
      </c>
      <c r="FH5" s="148">
        <v>5.6492371212494549E-2</v>
      </c>
      <c r="FI5" s="151">
        <v>1100</v>
      </c>
      <c r="FJ5" s="142" t="s">
        <v>218</v>
      </c>
      <c r="FK5" s="142" t="s">
        <v>219</v>
      </c>
      <c r="FL5" s="151">
        <v>1100</v>
      </c>
      <c r="FM5" s="151">
        <v>350</v>
      </c>
      <c r="FN5" s="151">
        <v>350</v>
      </c>
      <c r="FO5" s="142" t="s">
        <v>220</v>
      </c>
      <c r="FP5" s="142" t="s">
        <v>221</v>
      </c>
      <c r="FQ5" s="151">
        <v>2500</v>
      </c>
      <c r="FR5" s="151">
        <v>470</v>
      </c>
      <c r="FS5" s="151">
        <v>470</v>
      </c>
      <c r="FT5" s="152">
        <v>2299.8703218958185</v>
      </c>
      <c r="FU5" s="152">
        <v>460</v>
      </c>
      <c r="FV5" s="152">
        <v>460</v>
      </c>
      <c r="FW5" s="142" t="s">
        <v>167</v>
      </c>
      <c r="FX5" s="142" t="s">
        <v>167</v>
      </c>
      <c r="FY5" s="142" t="s">
        <v>167</v>
      </c>
      <c r="FZ5" s="142" t="s">
        <v>167</v>
      </c>
      <c r="GA5" s="142" t="s">
        <v>167</v>
      </c>
      <c r="GB5" s="142" t="s">
        <v>167</v>
      </c>
      <c r="GC5" s="142" t="s">
        <v>222</v>
      </c>
    </row>
    <row r="6" spans="1:185" s="142" customFormat="1" ht="16">
      <c r="A6" s="142" t="s">
        <v>162</v>
      </c>
      <c r="B6" s="160" t="s">
        <v>163</v>
      </c>
      <c r="C6" s="142" t="s">
        <v>164</v>
      </c>
      <c r="D6" s="142" t="s">
        <v>165</v>
      </c>
      <c r="E6" s="142">
        <v>2016</v>
      </c>
      <c r="F6" s="142" t="s">
        <v>166</v>
      </c>
      <c r="G6" s="142">
        <f t="shared" si="1"/>
        <v>44400</v>
      </c>
      <c r="H6" s="142">
        <f t="shared" si="2"/>
        <v>100</v>
      </c>
      <c r="I6" s="142">
        <f t="shared" si="3"/>
        <v>400</v>
      </c>
      <c r="J6" s="142">
        <f t="shared" si="4"/>
        <v>920</v>
      </c>
      <c r="K6" s="142">
        <f t="shared" si="5"/>
        <v>320</v>
      </c>
      <c r="L6" s="142">
        <f t="shared" si="6"/>
        <v>320</v>
      </c>
      <c r="M6" s="142" t="b">
        <v>1</v>
      </c>
      <c r="N6" s="142">
        <v>3</v>
      </c>
      <c r="O6" t="s">
        <v>300</v>
      </c>
      <c r="P6" t="s">
        <v>301</v>
      </c>
      <c r="Q6" s="142" t="b">
        <v>0</v>
      </c>
      <c r="R6" s="142" t="s">
        <v>167</v>
      </c>
      <c r="S6" s="142" t="b">
        <v>1</v>
      </c>
      <c r="T6" s="142" t="b">
        <v>0</v>
      </c>
      <c r="U6" s="142" t="s">
        <v>167</v>
      </c>
      <c r="V6" s="142" t="b">
        <v>0</v>
      </c>
      <c r="W6" s="142" t="b">
        <v>0</v>
      </c>
      <c r="X6" s="142" t="s">
        <v>167</v>
      </c>
      <c r="Y6" s="175" t="s">
        <v>299</v>
      </c>
      <c r="Z6" s="142" t="s">
        <v>166</v>
      </c>
      <c r="AA6" s="161" t="s">
        <v>223</v>
      </c>
      <c r="AB6" s="142" t="s">
        <v>167</v>
      </c>
      <c r="AC6" s="142">
        <v>9</v>
      </c>
      <c r="AD6" s="142">
        <v>3</v>
      </c>
      <c r="AE6" s="162">
        <v>90</v>
      </c>
      <c r="AF6" s="162">
        <v>100</v>
      </c>
      <c r="AG6" s="142" t="s">
        <v>167</v>
      </c>
      <c r="AH6" s="142" t="s">
        <v>167</v>
      </c>
      <c r="AI6" s="142" t="s">
        <v>167</v>
      </c>
      <c r="AJ6" s="142" t="s">
        <v>169</v>
      </c>
      <c r="AK6" s="142">
        <v>-8.9177140000000001</v>
      </c>
      <c r="AL6" s="142">
        <v>39.503647123608502</v>
      </c>
      <c r="AM6" s="142">
        <v>-19</v>
      </c>
      <c r="AN6" s="142" t="s">
        <v>167</v>
      </c>
      <c r="AO6" s="142" t="s">
        <v>167</v>
      </c>
      <c r="AP6" s="142" t="s">
        <v>170</v>
      </c>
      <c r="AQ6" s="142" t="s">
        <v>171</v>
      </c>
      <c r="AR6" s="142" t="s">
        <v>167</v>
      </c>
      <c r="AS6" s="163">
        <v>44400</v>
      </c>
      <c r="AT6" s="142" t="s">
        <v>172</v>
      </c>
      <c r="AU6" s="142">
        <v>100</v>
      </c>
      <c r="AV6" s="142">
        <v>400</v>
      </c>
      <c r="AW6" s="142" t="s">
        <v>173</v>
      </c>
      <c r="AX6" s="142" t="s">
        <v>174</v>
      </c>
      <c r="AY6" s="142" t="s">
        <v>175</v>
      </c>
      <c r="AZ6" s="142" t="s">
        <v>167</v>
      </c>
      <c r="BA6" s="142" t="s">
        <v>167</v>
      </c>
      <c r="BB6" s="142" t="s">
        <v>167</v>
      </c>
      <c r="BC6" s="142" t="s">
        <v>167</v>
      </c>
      <c r="BD6" s="142" t="s">
        <v>167</v>
      </c>
      <c r="BE6" s="142" t="s">
        <v>167</v>
      </c>
      <c r="BF6" s="142" t="s">
        <v>167</v>
      </c>
      <c r="BG6" s="168" t="s">
        <v>229</v>
      </c>
      <c r="BH6" s="150" t="s">
        <v>230</v>
      </c>
      <c r="BI6" s="142" t="s">
        <v>178</v>
      </c>
      <c r="BJ6" s="165" t="s">
        <v>179</v>
      </c>
      <c r="BK6" s="142" t="s">
        <v>180</v>
      </c>
      <c r="BL6" s="142" t="s">
        <v>181</v>
      </c>
      <c r="BM6" s="142" t="s">
        <v>182</v>
      </c>
      <c r="BN6" s="142" t="s">
        <v>183</v>
      </c>
      <c r="BO6" s="142" t="s">
        <v>167</v>
      </c>
      <c r="BP6" s="142" t="s">
        <v>167</v>
      </c>
      <c r="BQ6" s="148">
        <v>14.82</v>
      </c>
      <c r="BR6" s="142" t="s">
        <v>184</v>
      </c>
      <c r="BS6" s="150">
        <v>0.28000000000000003</v>
      </c>
      <c r="BT6" s="142">
        <v>1</v>
      </c>
      <c r="BU6" s="142" t="s">
        <v>185</v>
      </c>
      <c r="BV6" s="142" t="s">
        <v>185</v>
      </c>
      <c r="BW6" s="142">
        <v>0</v>
      </c>
      <c r="BX6" s="142" t="s">
        <v>186</v>
      </c>
      <c r="BY6" s="142" t="s">
        <v>186</v>
      </c>
      <c r="BZ6" s="142" t="s">
        <v>187</v>
      </c>
      <c r="CA6" s="142" t="s">
        <v>167</v>
      </c>
      <c r="CB6" s="166">
        <v>14.82</v>
      </c>
      <c r="CC6" s="142" t="s">
        <v>188</v>
      </c>
      <c r="CD6" s="142">
        <v>0.28000000000000003</v>
      </c>
      <c r="CE6" s="142" t="s">
        <v>188</v>
      </c>
      <c r="CF6" s="142" t="s">
        <v>167</v>
      </c>
      <c r="CG6" s="142">
        <v>0</v>
      </c>
      <c r="CH6" s="142" t="s">
        <v>189</v>
      </c>
      <c r="CI6" s="142" t="s">
        <v>189</v>
      </c>
      <c r="CJ6" s="163">
        <v>29.77</v>
      </c>
      <c r="CK6" s="142" t="s">
        <v>190</v>
      </c>
      <c r="CL6" s="142">
        <v>2</v>
      </c>
      <c r="CM6" s="142">
        <v>2</v>
      </c>
      <c r="CN6" s="142" t="s">
        <v>167</v>
      </c>
      <c r="CO6" s="142" t="s">
        <v>191</v>
      </c>
      <c r="CP6" s="142" t="s">
        <v>167</v>
      </c>
      <c r="CQ6" s="142" t="s">
        <v>167</v>
      </c>
      <c r="CR6" s="142" t="s">
        <v>167</v>
      </c>
      <c r="CS6" s="142" t="s">
        <v>167</v>
      </c>
      <c r="CT6" s="142" t="s">
        <v>167</v>
      </c>
      <c r="CU6" s="142" t="s">
        <v>167</v>
      </c>
      <c r="CV6" s="142" t="s">
        <v>167</v>
      </c>
      <c r="CW6" s="142" t="s">
        <v>192</v>
      </c>
      <c r="CX6" s="142" t="s">
        <v>192</v>
      </c>
      <c r="CY6" s="142" t="s">
        <v>192</v>
      </c>
      <c r="CZ6" s="142" t="s">
        <v>167</v>
      </c>
      <c r="DA6" s="167" t="s">
        <v>231</v>
      </c>
      <c r="DB6" s="142" t="s">
        <v>194</v>
      </c>
      <c r="DC6" s="142">
        <v>0.12</v>
      </c>
      <c r="DD6" s="142" t="s">
        <v>232</v>
      </c>
      <c r="DE6" s="142" t="s">
        <v>233</v>
      </c>
      <c r="DF6" s="142" t="s">
        <v>197</v>
      </c>
      <c r="DG6" s="142">
        <v>35</v>
      </c>
      <c r="DH6" s="142" t="s">
        <v>190</v>
      </c>
      <c r="DI6" s="142">
        <v>2</v>
      </c>
      <c r="DJ6" s="142" t="s">
        <v>198</v>
      </c>
      <c r="DK6" s="142">
        <v>1.7000000000000001E-2</v>
      </c>
      <c r="DL6" s="142" t="s">
        <v>199</v>
      </c>
      <c r="DM6" s="142">
        <v>3.0000000000000001E-3</v>
      </c>
      <c r="DN6" s="142" t="s">
        <v>234</v>
      </c>
      <c r="DO6" s="142">
        <v>3.7999999999999999E-2</v>
      </c>
      <c r="DP6" s="142" t="s">
        <v>199</v>
      </c>
      <c r="DQ6" s="142">
        <v>3.0000000000000001E-3</v>
      </c>
      <c r="DR6" t="s">
        <v>283</v>
      </c>
      <c r="DS6" s="142" t="s">
        <v>201</v>
      </c>
      <c r="DT6" s="142" t="s">
        <v>167</v>
      </c>
      <c r="DU6" s="142" t="s">
        <v>167</v>
      </c>
      <c r="DV6" s="142" t="s">
        <v>167</v>
      </c>
      <c r="DW6" s="142">
        <v>432.6</v>
      </c>
      <c r="DX6" s="142" t="s">
        <v>202</v>
      </c>
      <c r="DY6" s="142" t="s">
        <v>202</v>
      </c>
      <c r="DZ6" t="s">
        <v>284</v>
      </c>
      <c r="EA6" s="142">
        <v>38.450000000000003</v>
      </c>
      <c r="EB6" s="142" t="s">
        <v>203</v>
      </c>
      <c r="EC6" s="142">
        <v>0.25</v>
      </c>
      <c r="ED6" s="142" t="s">
        <v>204</v>
      </c>
      <c r="EE6" s="142" t="s">
        <v>205</v>
      </c>
      <c r="EF6" s="142" t="s">
        <v>206</v>
      </c>
      <c r="EG6" s="142">
        <v>1.0271999999999999</v>
      </c>
      <c r="EH6" s="142" t="s">
        <v>207</v>
      </c>
      <c r="EI6" s="142" t="s">
        <v>207</v>
      </c>
      <c r="EJ6" s="142" t="s">
        <v>208</v>
      </c>
      <c r="EK6" s="142" t="s">
        <v>207</v>
      </c>
      <c r="EL6" s="142" t="s">
        <v>207</v>
      </c>
      <c r="EM6" s="142" t="s">
        <v>209</v>
      </c>
      <c r="EN6" s="142" t="s">
        <v>210</v>
      </c>
      <c r="EO6" s="142" t="s">
        <v>211</v>
      </c>
      <c r="EP6" s="142" t="s">
        <v>211</v>
      </c>
      <c r="EQ6" s="142" t="s">
        <v>211</v>
      </c>
      <c r="ER6" s="142" t="s">
        <v>212</v>
      </c>
      <c r="ES6" s="142" t="s">
        <v>206</v>
      </c>
      <c r="ET6" s="142" t="s">
        <v>213</v>
      </c>
      <c r="EU6" s="142" t="s">
        <v>214</v>
      </c>
      <c r="EV6" s="142" t="s">
        <v>215</v>
      </c>
      <c r="EW6" s="142" t="s">
        <v>167</v>
      </c>
      <c r="EX6" s="142" t="s">
        <v>167</v>
      </c>
      <c r="EY6" s="142" t="s">
        <v>167</v>
      </c>
      <c r="EZ6" s="142" t="s">
        <v>167</v>
      </c>
      <c r="FA6" s="142">
        <v>6.5</v>
      </c>
      <c r="FB6" s="142" t="s">
        <v>216</v>
      </c>
      <c r="FC6" s="142">
        <v>1</v>
      </c>
      <c r="FD6" s="142">
        <v>1</v>
      </c>
      <c r="FE6" s="148">
        <v>7.7680022325377838</v>
      </c>
      <c r="FF6" s="142" t="s">
        <v>217</v>
      </c>
      <c r="FG6" s="148">
        <v>5.8135775294326994E-2</v>
      </c>
      <c r="FH6" s="148">
        <v>5.8135775294326994E-2</v>
      </c>
      <c r="FI6" s="151">
        <v>920</v>
      </c>
      <c r="FJ6" s="142" t="s">
        <v>218</v>
      </c>
      <c r="FK6" s="142" t="s">
        <v>219</v>
      </c>
      <c r="FL6" s="151">
        <v>920</v>
      </c>
      <c r="FM6" s="151">
        <v>320</v>
      </c>
      <c r="FN6" s="151">
        <v>320</v>
      </c>
      <c r="FO6" s="142" t="s">
        <v>220</v>
      </c>
      <c r="FP6" s="142" t="s">
        <v>221</v>
      </c>
      <c r="FQ6" s="151">
        <v>2400</v>
      </c>
      <c r="FR6" s="151">
        <v>460</v>
      </c>
      <c r="FS6" s="151">
        <v>460</v>
      </c>
      <c r="FT6" s="152">
        <v>2200</v>
      </c>
      <c r="FU6" s="152">
        <v>450.16630951793434</v>
      </c>
      <c r="FV6" s="152">
        <v>450.16630951793434</v>
      </c>
      <c r="FW6" s="142" t="s">
        <v>167</v>
      </c>
      <c r="FX6" s="142" t="s">
        <v>167</v>
      </c>
      <c r="FY6" s="142" t="s">
        <v>167</v>
      </c>
      <c r="FZ6" s="142" t="s">
        <v>167</v>
      </c>
      <c r="GA6" s="142" t="s">
        <v>167</v>
      </c>
      <c r="GB6" s="142" t="s">
        <v>167</v>
      </c>
      <c r="GC6" s="142" t="s">
        <v>222</v>
      </c>
    </row>
    <row r="7" spans="1:185" s="142" customFormat="1" ht="16">
      <c r="A7" s="142" t="s">
        <v>162</v>
      </c>
      <c r="B7" s="160" t="s">
        <v>163</v>
      </c>
      <c r="C7" s="142" t="s">
        <v>164</v>
      </c>
      <c r="D7" s="142" t="s">
        <v>165</v>
      </c>
      <c r="E7" s="142">
        <v>2016</v>
      </c>
      <c r="F7" s="142" t="s">
        <v>166</v>
      </c>
      <c r="G7" s="142">
        <f t="shared" si="1"/>
        <v>36900</v>
      </c>
      <c r="H7" s="142">
        <f t="shared" si="2"/>
        <v>600</v>
      </c>
      <c r="I7" s="142">
        <f t="shared" si="3"/>
        <v>600</v>
      </c>
      <c r="J7" s="142">
        <f t="shared" si="4"/>
        <v>770</v>
      </c>
      <c r="K7" s="142">
        <f t="shared" si="5"/>
        <v>300</v>
      </c>
      <c r="L7" s="142">
        <f t="shared" si="6"/>
        <v>300</v>
      </c>
      <c r="M7" s="142" t="b">
        <v>1</v>
      </c>
      <c r="N7" s="142">
        <v>3</v>
      </c>
      <c r="O7" t="s">
        <v>300</v>
      </c>
      <c r="P7" t="s">
        <v>301</v>
      </c>
      <c r="Q7" s="142" t="b">
        <v>0</v>
      </c>
      <c r="R7" s="142" t="s">
        <v>167</v>
      </c>
      <c r="S7" s="142" t="b">
        <v>1</v>
      </c>
      <c r="T7" s="142" t="b">
        <v>0</v>
      </c>
      <c r="U7" s="142" t="s">
        <v>167</v>
      </c>
      <c r="V7" s="142" t="b">
        <v>0</v>
      </c>
      <c r="W7" s="142" t="b">
        <v>0</v>
      </c>
      <c r="X7" s="142" t="s">
        <v>167</v>
      </c>
      <c r="Y7" s="175" t="s">
        <v>299</v>
      </c>
      <c r="Z7" s="142" t="s">
        <v>166</v>
      </c>
      <c r="AA7" s="161" t="s">
        <v>235</v>
      </c>
      <c r="AB7" s="142" t="s">
        <v>236</v>
      </c>
      <c r="AC7" s="142" t="s">
        <v>167</v>
      </c>
      <c r="AD7" s="142" t="s">
        <v>167</v>
      </c>
      <c r="AE7" s="162" t="s">
        <v>167</v>
      </c>
      <c r="AF7" s="162" t="s">
        <v>167</v>
      </c>
      <c r="AG7" s="142" t="s">
        <v>167</v>
      </c>
      <c r="AH7" s="142" t="s">
        <v>167</v>
      </c>
      <c r="AI7" s="142" t="s">
        <v>167</v>
      </c>
      <c r="AJ7" s="142" t="s">
        <v>169</v>
      </c>
      <c r="AK7" s="142">
        <v>-9.9022539999999992</v>
      </c>
      <c r="AL7" s="142">
        <v>39.704583526938102</v>
      </c>
      <c r="AM7" s="142">
        <v>-19</v>
      </c>
      <c r="AN7" s="142" t="s">
        <v>167</v>
      </c>
      <c r="AO7" s="142" t="s">
        <v>167</v>
      </c>
      <c r="AP7" s="142" t="s">
        <v>170</v>
      </c>
      <c r="AQ7" s="142" t="s">
        <v>171</v>
      </c>
      <c r="AR7" s="142" t="s">
        <v>167</v>
      </c>
      <c r="AS7" s="163">
        <v>36900</v>
      </c>
      <c r="AT7" s="142" t="s">
        <v>172</v>
      </c>
      <c r="AU7" s="142">
        <v>600</v>
      </c>
      <c r="AV7" s="142">
        <v>600</v>
      </c>
      <c r="AW7" s="142" t="s">
        <v>173</v>
      </c>
      <c r="AX7" s="142" t="s">
        <v>174</v>
      </c>
      <c r="AY7" s="142" t="s">
        <v>175</v>
      </c>
      <c r="AZ7" s="142" t="s">
        <v>167</v>
      </c>
      <c r="BA7" s="142" t="s">
        <v>167</v>
      </c>
      <c r="BB7" s="142" t="s">
        <v>167</v>
      </c>
      <c r="BC7" s="142" t="s">
        <v>167</v>
      </c>
      <c r="BD7" s="142" t="s">
        <v>167</v>
      </c>
      <c r="BE7" s="142" t="s">
        <v>167</v>
      </c>
      <c r="BF7" s="142" t="s">
        <v>167</v>
      </c>
      <c r="BG7" s="164" t="s">
        <v>237</v>
      </c>
      <c r="BH7" s="150" t="s">
        <v>238</v>
      </c>
      <c r="BI7" s="142" t="s">
        <v>178</v>
      </c>
      <c r="BJ7" s="165" t="s">
        <v>179</v>
      </c>
      <c r="BK7" s="142" t="s">
        <v>180</v>
      </c>
      <c r="BL7" s="142" t="s">
        <v>181</v>
      </c>
      <c r="BM7" s="142" t="s">
        <v>182</v>
      </c>
      <c r="BN7" s="142" t="s">
        <v>183</v>
      </c>
      <c r="BO7" s="142" t="s">
        <v>167</v>
      </c>
      <c r="BP7" s="142" t="s">
        <v>167</v>
      </c>
      <c r="BQ7" s="148">
        <v>13.57</v>
      </c>
      <c r="BR7" s="142" t="s">
        <v>184</v>
      </c>
      <c r="BS7" s="150">
        <v>0.42</v>
      </c>
      <c r="BT7" s="142">
        <v>1</v>
      </c>
      <c r="BU7" s="142" t="s">
        <v>185</v>
      </c>
      <c r="BV7" s="142" t="s">
        <v>185</v>
      </c>
      <c r="BW7" s="142">
        <v>0</v>
      </c>
      <c r="BX7" s="142" t="s">
        <v>186</v>
      </c>
      <c r="BY7" s="142" t="s">
        <v>186</v>
      </c>
      <c r="BZ7" s="142" t="s">
        <v>239</v>
      </c>
      <c r="CA7" s="142" t="s">
        <v>167</v>
      </c>
      <c r="CB7" s="166">
        <v>15.21</v>
      </c>
      <c r="CC7" s="142" t="s">
        <v>188</v>
      </c>
      <c r="CD7" s="142">
        <v>0.42</v>
      </c>
      <c r="CE7" s="142" t="s">
        <v>188</v>
      </c>
      <c r="CF7" s="142" t="s">
        <v>167</v>
      </c>
      <c r="CG7" s="142">
        <v>75</v>
      </c>
      <c r="CH7" s="142" t="s">
        <v>189</v>
      </c>
      <c r="CI7" s="142" t="s">
        <v>189</v>
      </c>
      <c r="CJ7" s="163">
        <v>31.44</v>
      </c>
      <c r="CK7" s="142" t="s">
        <v>190</v>
      </c>
      <c r="CL7" s="142">
        <v>2</v>
      </c>
      <c r="CM7" s="142">
        <v>2</v>
      </c>
      <c r="CN7" s="142" t="s">
        <v>167</v>
      </c>
      <c r="CO7" s="142" t="s">
        <v>191</v>
      </c>
      <c r="CP7" s="142" t="s">
        <v>167</v>
      </c>
      <c r="CQ7" s="142" t="s">
        <v>167</v>
      </c>
      <c r="CR7" s="142" t="s">
        <v>167</v>
      </c>
      <c r="CS7" s="142" t="s">
        <v>167</v>
      </c>
      <c r="CT7" s="142" t="s">
        <v>167</v>
      </c>
      <c r="CU7" s="142" t="s">
        <v>167</v>
      </c>
      <c r="CV7" s="142" t="s">
        <v>167</v>
      </c>
      <c r="CW7" s="142" t="s">
        <v>192</v>
      </c>
      <c r="CX7" s="142" t="s">
        <v>192</v>
      </c>
      <c r="CY7" s="142" t="s">
        <v>192</v>
      </c>
      <c r="CZ7" s="142" t="s">
        <v>167</v>
      </c>
      <c r="DA7" s="167" t="s">
        <v>240</v>
      </c>
      <c r="DB7" s="142" t="s">
        <v>194</v>
      </c>
      <c r="DC7" s="142">
        <v>0.12</v>
      </c>
      <c r="DD7" s="142" t="s">
        <v>241</v>
      </c>
      <c r="DE7" s="142" t="s">
        <v>242</v>
      </c>
      <c r="DF7" s="142" t="s">
        <v>197</v>
      </c>
      <c r="DG7" s="142">
        <v>35</v>
      </c>
      <c r="DH7" s="142" t="s">
        <v>190</v>
      </c>
      <c r="DI7" s="142">
        <v>2</v>
      </c>
      <c r="DJ7" s="142" t="s">
        <v>198</v>
      </c>
      <c r="DK7" s="142">
        <v>1.7000000000000001E-2</v>
      </c>
      <c r="DL7" s="142" t="s">
        <v>199</v>
      </c>
      <c r="DM7" s="142">
        <v>3.0000000000000001E-3</v>
      </c>
      <c r="DN7" s="142" t="s">
        <v>243</v>
      </c>
      <c r="DO7" s="142">
        <v>3.7999999999999999E-2</v>
      </c>
      <c r="DP7" s="142" t="s">
        <v>199</v>
      </c>
      <c r="DQ7" s="142">
        <v>3.0000000000000001E-3</v>
      </c>
      <c r="DR7" t="s">
        <v>283</v>
      </c>
      <c r="DS7" s="142" t="s">
        <v>201</v>
      </c>
      <c r="DT7" s="142" t="s">
        <v>167</v>
      </c>
      <c r="DU7" s="142" t="s">
        <v>167</v>
      </c>
      <c r="DV7" s="142" t="s">
        <v>167</v>
      </c>
      <c r="DW7" s="142">
        <v>432.6</v>
      </c>
      <c r="DX7" s="142" t="s">
        <v>202</v>
      </c>
      <c r="DY7" s="142" t="s">
        <v>202</v>
      </c>
      <c r="DZ7" t="s">
        <v>284</v>
      </c>
      <c r="EA7" s="142">
        <v>38.450000000000003</v>
      </c>
      <c r="EB7" s="142" t="s">
        <v>203</v>
      </c>
      <c r="EC7" s="142">
        <v>0.25</v>
      </c>
      <c r="ED7" s="142" t="s">
        <v>204</v>
      </c>
      <c r="EE7" s="142" t="s">
        <v>205</v>
      </c>
      <c r="EF7" s="142" t="s">
        <v>206</v>
      </c>
      <c r="EG7" s="142">
        <v>1.0271999999999999</v>
      </c>
      <c r="EH7" s="142" t="s">
        <v>207</v>
      </c>
      <c r="EI7" s="142" t="s">
        <v>207</v>
      </c>
      <c r="EJ7" s="142" t="s">
        <v>208</v>
      </c>
      <c r="EK7" s="142" t="s">
        <v>207</v>
      </c>
      <c r="EL7" s="142" t="s">
        <v>207</v>
      </c>
      <c r="EM7" s="142" t="s">
        <v>209</v>
      </c>
      <c r="EN7" s="142" t="s">
        <v>210</v>
      </c>
      <c r="EO7" s="142" t="s">
        <v>211</v>
      </c>
      <c r="EP7" s="142" t="s">
        <v>211</v>
      </c>
      <c r="EQ7" s="142" t="s">
        <v>211</v>
      </c>
      <c r="ER7" s="142" t="s">
        <v>212</v>
      </c>
      <c r="ES7" s="142" t="s">
        <v>206</v>
      </c>
      <c r="ET7" s="142" t="s">
        <v>213</v>
      </c>
      <c r="EU7" s="142" t="s">
        <v>214</v>
      </c>
      <c r="EV7" s="142" t="s">
        <v>215</v>
      </c>
      <c r="EW7" s="142" t="s">
        <v>167</v>
      </c>
      <c r="EX7" s="142" t="s">
        <v>167</v>
      </c>
      <c r="EY7" s="142" t="s">
        <v>167</v>
      </c>
      <c r="EZ7" s="142" t="s">
        <v>167</v>
      </c>
      <c r="FA7" s="142">
        <v>6.5</v>
      </c>
      <c r="FB7" s="142" t="s">
        <v>216</v>
      </c>
      <c r="FC7" s="142">
        <v>1</v>
      </c>
      <c r="FD7" s="142">
        <v>1</v>
      </c>
      <c r="FE7" s="148">
        <v>7.7975804764346694</v>
      </c>
      <c r="FF7" s="142" t="s">
        <v>217</v>
      </c>
      <c r="FG7" s="148">
        <v>6.6918349461305995E-2</v>
      </c>
      <c r="FH7" s="148">
        <v>6.6918349461305995E-2</v>
      </c>
      <c r="FI7" s="151">
        <v>770</v>
      </c>
      <c r="FJ7" s="142" t="s">
        <v>218</v>
      </c>
      <c r="FK7" s="142" t="s">
        <v>219</v>
      </c>
      <c r="FL7" s="151">
        <v>770</v>
      </c>
      <c r="FM7" s="151">
        <v>300</v>
      </c>
      <c r="FN7" s="151">
        <v>300</v>
      </c>
      <c r="FO7" s="142" t="s">
        <v>220</v>
      </c>
      <c r="FP7" s="142" t="s">
        <v>221</v>
      </c>
      <c r="FQ7" s="151">
        <v>2200</v>
      </c>
      <c r="FR7" s="151">
        <v>440</v>
      </c>
      <c r="FS7" s="151">
        <v>440</v>
      </c>
      <c r="FT7" s="152">
        <v>2000</v>
      </c>
      <c r="FU7" s="152">
        <v>430</v>
      </c>
      <c r="FV7" s="152">
        <v>430</v>
      </c>
      <c r="FW7" s="142" t="s">
        <v>167</v>
      </c>
      <c r="FX7" s="142" t="s">
        <v>167</v>
      </c>
      <c r="FY7" s="142" t="s">
        <v>167</v>
      </c>
      <c r="FZ7" s="142" t="s">
        <v>167</v>
      </c>
      <c r="GA7" s="142" t="s">
        <v>167</v>
      </c>
      <c r="GB7" s="142" t="s">
        <v>167</v>
      </c>
      <c r="GC7" s="142" t="s">
        <v>222</v>
      </c>
    </row>
    <row r="8" spans="1:185" s="142" customFormat="1" ht="16">
      <c r="A8" s="142" t="s">
        <v>162</v>
      </c>
      <c r="B8" s="160" t="s">
        <v>163</v>
      </c>
      <c r="C8" s="142" t="s">
        <v>164</v>
      </c>
      <c r="D8" s="142" t="s">
        <v>165</v>
      </c>
      <c r="E8" s="142">
        <v>2016</v>
      </c>
      <c r="F8" s="142" t="s">
        <v>166</v>
      </c>
      <c r="G8" s="142">
        <f t="shared" si="1"/>
        <v>40300</v>
      </c>
      <c r="H8" s="142">
        <f t="shared" si="2"/>
        <v>300</v>
      </c>
      <c r="I8" s="142">
        <f t="shared" si="3"/>
        <v>300</v>
      </c>
      <c r="J8" s="142">
        <f t="shared" si="4"/>
        <v>650</v>
      </c>
      <c r="K8" s="142">
        <f t="shared" si="5"/>
        <v>220</v>
      </c>
      <c r="L8" s="142">
        <f t="shared" si="6"/>
        <v>220</v>
      </c>
      <c r="M8" s="142" t="b">
        <v>1</v>
      </c>
      <c r="N8" s="142">
        <v>3</v>
      </c>
      <c r="O8" t="s">
        <v>300</v>
      </c>
      <c r="P8" t="s">
        <v>301</v>
      </c>
      <c r="Q8" s="142" t="b">
        <v>0</v>
      </c>
      <c r="R8" s="142" t="s">
        <v>167</v>
      </c>
      <c r="S8" s="142" t="b">
        <v>1</v>
      </c>
      <c r="T8" s="142" t="b">
        <v>0</v>
      </c>
      <c r="U8" s="142" t="s">
        <v>167</v>
      </c>
      <c r="V8" s="142" t="b">
        <v>0</v>
      </c>
      <c r="W8" s="142" t="b">
        <v>0</v>
      </c>
      <c r="X8" s="142" t="s">
        <v>167</v>
      </c>
      <c r="Y8" s="175" t="s">
        <v>299</v>
      </c>
      <c r="Z8" s="142" t="s">
        <v>166</v>
      </c>
      <c r="AA8" s="161" t="s">
        <v>244</v>
      </c>
      <c r="AB8" s="142" t="s">
        <v>167</v>
      </c>
      <c r="AC8" s="142">
        <v>18</v>
      </c>
      <c r="AD8" s="142">
        <v>2</v>
      </c>
      <c r="AE8" s="162" t="s">
        <v>245</v>
      </c>
      <c r="AF8" s="162" t="s">
        <v>246</v>
      </c>
      <c r="AG8" s="142" t="s">
        <v>167</v>
      </c>
      <c r="AH8" s="142" t="s">
        <v>167</v>
      </c>
      <c r="AI8" s="142" t="s">
        <v>167</v>
      </c>
      <c r="AJ8" s="142" t="s">
        <v>169</v>
      </c>
      <c r="AK8" s="142">
        <v>-9.2652370000000008</v>
      </c>
      <c r="AL8" s="142">
        <v>39.533895288001098</v>
      </c>
      <c r="AM8" s="142">
        <v>-19</v>
      </c>
      <c r="AN8" s="142" t="s">
        <v>167</v>
      </c>
      <c r="AO8" s="142" t="s">
        <v>167</v>
      </c>
      <c r="AP8" s="142" t="s">
        <v>170</v>
      </c>
      <c r="AQ8" s="142" t="s">
        <v>171</v>
      </c>
      <c r="AR8" s="142" t="s">
        <v>167</v>
      </c>
      <c r="AS8" s="163">
        <v>40300</v>
      </c>
      <c r="AT8" s="142" t="s">
        <v>172</v>
      </c>
      <c r="AU8" s="142">
        <v>300</v>
      </c>
      <c r="AV8" s="142">
        <v>300</v>
      </c>
      <c r="AW8" s="142" t="s">
        <v>173</v>
      </c>
      <c r="AX8" s="142" t="s">
        <v>174</v>
      </c>
      <c r="AY8" s="142" t="s">
        <v>175</v>
      </c>
      <c r="AZ8" s="142" t="s">
        <v>167</v>
      </c>
      <c r="BA8" s="142" t="s">
        <v>167</v>
      </c>
      <c r="BB8" s="142" t="s">
        <v>167</v>
      </c>
      <c r="BC8" s="142" t="s">
        <v>167</v>
      </c>
      <c r="BD8" s="142" t="s">
        <v>167</v>
      </c>
      <c r="BE8" s="142" t="s">
        <v>167</v>
      </c>
      <c r="BF8" s="142" t="s">
        <v>167</v>
      </c>
      <c r="BG8" s="164" t="s">
        <v>247</v>
      </c>
      <c r="BH8" s="150" t="s">
        <v>177</v>
      </c>
      <c r="BI8" s="142" t="s">
        <v>178</v>
      </c>
      <c r="BJ8" s="165" t="s">
        <v>179</v>
      </c>
      <c r="BK8" s="142" t="s">
        <v>248</v>
      </c>
      <c r="BL8" s="142" t="s">
        <v>181</v>
      </c>
      <c r="BM8" s="142" t="s">
        <v>182</v>
      </c>
      <c r="BN8" s="142" t="s">
        <v>183</v>
      </c>
      <c r="BO8" s="142" t="s">
        <v>167</v>
      </c>
      <c r="BP8" s="142" t="s">
        <v>167</v>
      </c>
      <c r="BQ8" s="148">
        <v>15.5</v>
      </c>
      <c r="BR8" s="142" t="s">
        <v>184</v>
      </c>
      <c r="BS8" s="150">
        <v>0.27</v>
      </c>
      <c r="BT8" s="142">
        <v>1</v>
      </c>
      <c r="BU8" s="142" t="s">
        <v>185</v>
      </c>
      <c r="BV8" s="142" t="s">
        <v>185</v>
      </c>
      <c r="BW8" s="142">
        <v>0</v>
      </c>
      <c r="BX8" s="142" t="s">
        <v>186</v>
      </c>
      <c r="BY8" s="142" t="s">
        <v>186</v>
      </c>
      <c r="BZ8" s="142" t="s">
        <v>187</v>
      </c>
      <c r="CA8" s="142" t="s">
        <v>167</v>
      </c>
      <c r="CB8" s="166">
        <v>15.5</v>
      </c>
      <c r="CC8" s="142" t="s">
        <v>188</v>
      </c>
      <c r="CD8" s="142">
        <v>0.27</v>
      </c>
      <c r="CE8" s="142" t="s">
        <v>188</v>
      </c>
      <c r="CF8" s="142" t="s">
        <v>167</v>
      </c>
      <c r="CG8" s="142">
        <v>0</v>
      </c>
      <c r="CH8" s="142" t="s">
        <v>189</v>
      </c>
      <c r="CI8" s="142" t="s">
        <v>189</v>
      </c>
      <c r="CJ8" s="163">
        <v>31.83</v>
      </c>
      <c r="CK8" s="142" t="s">
        <v>190</v>
      </c>
      <c r="CL8" s="142">
        <v>2</v>
      </c>
      <c r="CM8" s="142">
        <v>2</v>
      </c>
      <c r="CN8" s="142" t="s">
        <v>167</v>
      </c>
      <c r="CO8" s="142" t="s">
        <v>191</v>
      </c>
      <c r="CP8" s="142" t="s">
        <v>167</v>
      </c>
      <c r="CQ8" s="142" t="s">
        <v>167</v>
      </c>
      <c r="CR8" s="142" t="s">
        <v>167</v>
      </c>
      <c r="CS8" s="142" t="s">
        <v>167</v>
      </c>
      <c r="CT8" s="142" t="s">
        <v>167</v>
      </c>
      <c r="CU8" s="142" t="s">
        <v>167</v>
      </c>
      <c r="CV8" s="142" t="s">
        <v>167</v>
      </c>
      <c r="CW8" s="142" t="s">
        <v>192</v>
      </c>
      <c r="CX8" s="142" t="s">
        <v>192</v>
      </c>
      <c r="CY8" s="142" t="s">
        <v>192</v>
      </c>
      <c r="CZ8" s="142" t="s">
        <v>167</v>
      </c>
      <c r="DA8" s="167" t="s">
        <v>249</v>
      </c>
      <c r="DB8" s="142" t="s">
        <v>194</v>
      </c>
      <c r="DC8" s="142">
        <v>0.12</v>
      </c>
      <c r="DD8" s="142" t="s">
        <v>250</v>
      </c>
      <c r="DE8" s="142" t="s">
        <v>251</v>
      </c>
      <c r="DF8" s="142" t="s">
        <v>197</v>
      </c>
      <c r="DG8" s="142">
        <v>35</v>
      </c>
      <c r="DH8" s="142" t="s">
        <v>190</v>
      </c>
      <c r="DI8" s="142">
        <v>2</v>
      </c>
      <c r="DJ8" s="142" t="s">
        <v>198</v>
      </c>
      <c r="DK8" s="142">
        <v>1.7000000000000001E-2</v>
      </c>
      <c r="DL8" s="142" t="s">
        <v>199</v>
      </c>
      <c r="DM8" s="142">
        <v>3.0000000000000001E-3</v>
      </c>
      <c r="DN8" s="142" t="s">
        <v>252</v>
      </c>
      <c r="DO8" s="142">
        <v>3.7999999999999999E-2</v>
      </c>
      <c r="DP8" s="142" t="s">
        <v>199</v>
      </c>
      <c r="DQ8" s="142">
        <v>3.0000000000000001E-3</v>
      </c>
      <c r="DR8" t="s">
        <v>283</v>
      </c>
      <c r="DS8" s="142" t="s">
        <v>201</v>
      </c>
      <c r="DT8" s="142" t="s">
        <v>167</v>
      </c>
      <c r="DU8" s="142" t="s">
        <v>167</v>
      </c>
      <c r="DV8" s="142" t="s">
        <v>167</v>
      </c>
      <c r="DW8" s="142">
        <v>432.6</v>
      </c>
      <c r="DX8" s="142" t="s">
        <v>202</v>
      </c>
      <c r="DY8" s="142" t="s">
        <v>202</v>
      </c>
      <c r="DZ8" t="s">
        <v>284</v>
      </c>
      <c r="EA8" s="142">
        <v>38.450000000000003</v>
      </c>
      <c r="EB8" s="142" t="s">
        <v>203</v>
      </c>
      <c r="EC8" s="142">
        <v>0.25</v>
      </c>
      <c r="ED8" s="142" t="s">
        <v>204</v>
      </c>
      <c r="EE8" s="142" t="s">
        <v>205</v>
      </c>
      <c r="EF8" s="142" t="s">
        <v>206</v>
      </c>
      <c r="EG8" s="142">
        <v>1.0271999999999999</v>
      </c>
      <c r="EH8" s="142" t="s">
        <v>207</v>
      </c>
      <c r="EI8" s="142" t="s">
        <v>207</v>
      </c>
      <c r="EJ8" s="142" t="s">
        <v>208</v>
      </c>
      <c r="EK8" s="142" t="s">
        <v>207</v>
      </c>
      <c r="EL8" s="142" t="s">
        <v>207</v>
      </c>
      <c r="EM8" s="142" t="s">
        <v>209</v>
      </c>
      <c r="EN8" s="142" t="s">
        <v>210</v>
      </c>
      <c r="EO8" s="142" t="s">
        <v>211</v>
      </c>
      <c r="EP8" s="142" t="s">
        <v>211</v>
      </c>
      <c r="EQ8" s="142" t="s">
        <v>211</v>
      </c>
      <c r="ER8" s="142" t="s">
        <v>212</v>
      </c>
      <c r="ES8" s="142" t="s">
        <v>206</v>
      </c>
      <c r="ET8" s="142" t="s">
        <v>213</v>
      </c>
      <c r="EU8" s="142" t="s">
        <v>214</v>
      </c>
      <c r="EV8" s="142" t="s">
        <v>215</v>
      </c>
      <c r="EW8" s="142" t="s">
        <v>167</v>
      </c>
      <c r="EX8" s="142" t="s">
        <v>167</v>
      </c>
      <c r="EY8" s="142" t="s">
        <v>167</v>
      </c>
      <c r="EZ8" s="142" t="s">
        <v>167</v>
      </c>
      <c r="FA8" s="142">
        <v>6.5</v>
      </c>
      <c r="FB8" s="142" t="s">
        <v>216</v>
      </c>
      <c r="FC8" s="142">
        <v>1</v>
      </c>
      <c r="FD8" s="142">
        <v>1</v>
      </c>
      <c r="FE8" s="148">
        <v>7.8277189314585867</v>
      </c>
      <c r="FF8" s="142" t="s">
        <v>217</v>
      </c>
      <c r="FG8" s="148">
        <v>5.2117617670079198E-2</v>
      </c>
      <c r="FH8" s="155">
        <v>5.2117617670079198E-2</v>
      </c>
      <c r="FI8" s="156">
        <v>650</v>
      </c>
      <c r="FJ8" s="157" t="s">
        <v>218</v>
      </c>
      <c r="FK8" s="157" t="s">
        <v>219</v>
      </c>
      <c r="FL8" s="156">
        <v>650</v>
      </c>
      <c r="FM8" s="151">
        <v>220</v>
      </c>
      <c r="FN8" s="151">
        <v>220</v>
      </c>
      <c r="FO8" s="142" t="s">
        <v>220</v>
      </c>
      <c r="FP8" s="142" t="s">
        <v>221</v>
      </c>
      <c r="FQ8" s="151">
        <v>2000</v>
      </c>
      <c r="FR8" s="151">
        <v>370</v>
      </c>
      <c r="FS8" s="151">
        <v>370</v>
      </c>
      <c r="FT8" s="152">
        <v>1800</v>
      </c>
      <c r="FU8" s="152">
        <v>350</v>
      </c>
      <c r="FV8" s="152">
        <v>350</v>
      </c>
      <c r="FW8" s="142" t="s">
        <v>167</v>
      </c>
      <c r="FX8" s="142" t="s">
        <v>167</v>
      </c>
      <c r="FY8" s="142" t="s">
        <v>167</v>
      </c>
      <c r="FZ8" s="142" t="s">
        <v>167</v>
      </c>
      <c r="GA8" s="142" t="s">
        <v>167</v>
      </c>
      <c r="GB8" s="142" t="s">
        <v>167</v>
      </c>
      <c r="GC8" s="142" t="s">
        <v>222</v>
      </c>
    </row>
    <row r="9" spans="1:185" ht="16">
      <c r="A9" t="s">
        <v>162</v>
      </c>
      <c r="B9" s="138" t="s">
        <v>163</v>
      </c>
      <c r="C9" t="s">
        <v>164</v>
      </c>
      <c r="D9" t="s">
        <v>165</v>
      </c>
      <c r="E9">
        <v>2016</v>
      </c>
      <c r="F9" t="s">
        <v>166</v>
      </c>
      <c r="G9">
        <f t="shared" si="1"/>
        <v>53200</v>
      </c>
      <c r="H9">
        <f t="shared" si="2"/>
        <v>400</v>
      </c>
      <c r="I9">
        <f t="shared" si="3"/>
        <v>400</v>
      </c>
      <c r="J9">
        <f t="shared" si="4"/>
        <v>1900</v>
      </c>
      <c r="K9">
        <f t="shared" si="5"/>
        <v>600</v>
      </c>
      <c r="L9">
        <f t="shared" si="6"/>
        <v>600</v>
      </c>
      <c r="M9" t="b">
        <v>1</v>
      </c>
      <c r="N9" s="142">
        <v>3</v>
      </c>
      <c r="O9" t="s">
        <v>300</v>
      </c>
      <c r="P9" t="s">
        <v>301</v>
      </c>
      <c r="Q9" t="b">
        <v>0</v>
      </c>
      <c r="R9" t="s">
        <v>167</v>
      </c>
      <c r="S9" t="b">
        <v>1</v>
      </c>
      <c r="T9" t="b">
        <v>0</v>
      </c>
      <c r="U9" t="s">
        <v>167</v>
      </c>
      <c r="V9" t="b">
        <v>0</v>
      </c>
      <c r="W9" t="b">
        <v>0</v>
      </c>
      <c r="X9" t="s">
        <v>167</v>
      </c>
      <c r="Y9" s="175" t="s">
        <v>299</v>
      </c>
      <c r="Z9" t="s">
        <v>166</v>
      </c>
      <c r="AA9" s="139" t="s">
        <v>168</v>
      </c>
      <c r="AB9" t="s">
        <v>167</v>
      </c>
      <c r="AC9">
        <v>5</v>
      </c>
      <c r="AD9">
        <v>1</v>
      </c>
      <c r="AE9" s="140">
        <v>0</v>
      </c>
      <c r="AF9" s="140">
        <v>24</v>
      </c>
      <c r="AG9" t="s">
        <v>167</v>
      </c>
      <c r="AH9" t="s">
        <v>167</v>
      </c>
      <c r="AI9" t="s">
        <v>167</v>
      </c>
      <c r="AJ9" t="s">
        <v>169</v>
      </c>
      <c r="AK9">
        <v>-8.8562069999999995</v>
      </c>
      <c r="AL9">
        <v>39.460911573076601</v>
      </c>
      <c r="AM9">
        <v>-19</v>
      </c>
      <c r="AN9" t="s">
        <v>167</v>
      </c>
      <c r="AO9" t="s">
        <v>167</v>
      </c>
      <c r="AP9" t="s">
        <v>170</v>
      </c>
      <c r="AQ9" t="s">
        <v>171</v>
      </c>
      <c r="AR9" t="s">
        <v>167</v>
      </c>
      <c r="AS9" s="141">
        <v>53200</v>
      </c>
      <c r="AT9" t="s">
        <v>172</v>
      </c>
      <c r="AU9">
        <v>400</v>
      </c>
      <c r="AV9">
        <v>400</v>
      </c>
      <c r="AW9" t="s">
        <v>173</v>
      </c>
      <c r="AX9" t="s">
        <v>174</v>
      </c>
      <c r="AY9" s="142" t="s">
        <v>175</v>
      </c>
      <c r="AZ9" t="s">
        <v>167</v>
      </c>
      <c r="BA9" t="s">
        <v>167</v>
      </c>
      <c r="BB9" t="s">
        <v>167</v>
      </c>
      <c r="BC9" t="s">
        <v>167</v>
      </c>
      <c r="BD9" t="s">
        <v>167</v>
      </c>
      <c r="BE9" t="s">
        <v>167</v>
      </c>
      <c r="BF9" t="s">
        <v>167</v>
      </c>
      <c r="BG9" s="143" t="s">
        <v>176</v>
      </c>
      <c r="BH9" s="144" t="s">
        <v>177</v>
      </c>
      <c r="BI9" t="s">
        <v>178</v>
      </c>
      <c r="BJ9" s="145" t="s">
        <v>179</v>
      </c>
      <c r="BK9" t="s">
        <v>180</v>
      </c>
      <c r="BL9" t="s">
        <v>181</v>
      </c>
      <c r="BM9" t="s">
        <v>182</v>
      </c>
      <c r="BN9" s="142" t="s">
        <v>183</v>
      </c>
      <c r="BO9" t="s">
        <v>167</v>
      </c>
      <c r="BP9" t="s">
        <v>167</v>
      </c>
      <c r="BQ9" s="148">
        <v>14.3</v>
      </c>
      <c r="BR9" t="s">
        <v>184</v>
      </c>
      <c r="BS9" s="150">
        <v>0.25</v>
      </c>
      <c r="BT9">
        <v>0.88</v>
      </c>
      <c r="BU9" t="s">
        <v>185</v>
      </c>
      <c r="BV9" t="s">
        <v>185</v>
      </c>
      <c r="BW9">
        <v>1.85</v>
      </c>
      <c r="BX9" t="s">
        <v>186</v>
      </c>
      <c r="BY9" t="s">
        <v>186</v>
      </c>
      <c r="BZ9" t="s">
        <v>253</v>
      </c>
      <c r="CA9" t="s">
        <v>254</v>
      </c>
      <c r="CB9" s="146">
        <f>(BQ9-BW9)/BT9</f>
        <v>14.147727272727273</v>
      </c>
      <c r="CC9" t="s">
        <v>188</v>
      </c>
      <c r="CD9">
        <v>0.25</v>
      </c>
      <c r="CE9" t="s">
        <v>188</v>
      </c>
      <c r="CF9" t="s">
        <v>167</v>
      </c>
      <c r="CG9">
        <v>20</v>
      </c>
      <c r="CH9" t="s">
        <v>189</v>
      </c>
      <c r="CI9" t="s">
        <v>189</v>
      </c>
      <c r="CJ9" s="141">
        <v>32.72</v>
      </c>
      <c r="CK9" t="s">
        <v>190</v>
      </c>
      <c r="CL9">
        <v>2</v>
      </c>
      <c r="CM9">
        <v>2</v>
      </c>
      <c r="CN9" t="s">
        <v>167</v>
      </c>
      <c r="CO9" t="s">
        <v>191</v>
      </c>
      <c r="CP9" t="s">
        <v>167</v>
      </c>
      <c r="CQ9" t="s">
        <v>167</v>
      </c>
      <c r="CR9" t="s">
        <v>167</v>
      </c>
      <c r="CS9" t="s">
        <v>167</v>
      </c>
      <c r="CT9" t="s">
        <v>167</v>
      </c>
      <c r="CU9" t="s">
        <v>167</v>
      </c>
      <c r="CV9" t="s">
        <v>167</v>
      </c>
      <c r="CW9" t="s">
        <v>192</v>
      </c>
      <c r="CX9" t="s">
        <v>192</v>
      </c>
      <c r="CY9" t="s">
        <v>192</v>
      </c>
      <c r="CZ9" t="s">
        <v>167</v>
      </c>
      <c r="DA9" s="147" t="s">
        <v>193</v>
      </c>
      <c r="DB9" t="s">
        <v>194</v>
      </c>
      <c r="DC9">
        <v>0.12</v>
      </c>
      <c r="DD9" t="s">
        <v>195</v>
      </c>
      <c r="DE9" t="s">
        <v>196</v>
      </c>
      <c r="DF9" t="s">
        <v>197</v>
      </c>
      <c r="DG9">
        <v>35</v>
      </c>
      <c r="DH9" t="s">
        <v>190</v>
      </c>
      <c r="DI9">
        <v>2</v>
      </c>
      <c r="DJ9" t="s">
        <v>198</v>
      </c>
      <c r="DK9">
        <v>1.7000000000000001E-2</v>
      </c>
      <c r="DL9" t="s">
        <v>199</v>
      </c>
      <c r="DM9">
        <v>3.0000000000000001E-3</v>
      </c>
      <c r="DN9" t="s">
        <v>200</v>
      </c>
      <c r="DO9">
        <v>3.7999999999999999E-2</v>
      </c>
      <c r="DP9" t="s">
        <v>199</v>
      </c>
      <c r="DQ9">
        <v>3.0000000000000001E-3</v>
      </c>
      <c r="DR9" t="s">
        <v>283</v>
      </c>
      <c r="DS9" t="s">
        <v>201</v>
      </c>
      <c r="DT9" t="s">
        <v>167</v>
      </c>
      <c r="DU9" t="s">
        <v>167</v>
      </c>
      <c r="DV9" t="s">
        <v>167</v>
      </c>
      <c r="DW9">
        <v>432.6</v>
      </c>
      <c r="DX9" t="s">
        <v>202</v>
      </c>
      <c r="DY9" t="s">
        <v>202</v>
      </c>
      <c r="DZ9" t="s">
        <v>284</v>
      </c>
      <c r="EA9" s="142">
        <f>AVERAGE(38.6,38.9)</f>
        <v>38.75</v>
      </c>
      <c r="EB9" s="142" t="s">
        <v>203</v>
      </c>
      <c r="EC9" s="142">
        <v>0.15</v>
      </c>
      <c r="ED9" t="s">
        <v>204</v>
      </c>
      <c r="EE9" t="s">
        <v>205</v>
      </c>
      <c r="EF9" t="s">
        <v>206</v>
      </c>
      <c r="EG9">
        <v>1.0271999999999999</v>
      </c>
      <c r="EH9" t="s">
        <v>207</v>
      </c>
      <c r="EI9" t="s">
        <v>207</v>
      </c>
      <c r="EJ9" t="s">
        <v>208</v>
      </c>
      <c r="EK9" t="s">
        <v>207</v>
      </c>
      <c r="EL9" t="s">
        <v>207</v>
      </c>
      <c r="EM9" t="s">
        <v>209</v>
      </c>
      <c r="EN9" t="s">
        <v>210</v>
      </c>
      <c r="EO9" t="s">
        <v>211</v>
      </c>
      <c r="EP9" t="s">
        <v>211</v>
      </c>
      <c r="EQ9" t="s">
        <v>211</v>
      </c>
      <c r="ER9" s="142" t="s">
        <v>212</v>
      </c>
      <c r="ES9" s="142" t="s">
        <v>206</v>
      </c>
      <c r="ET9" t="s">
        <v>213</v>
      </c>
      <c r="EU9" t="s">
        <v>214</v>
      </c>
      <c r="EV9" s="142" t="s">
        <v>215</v>
      </c>
      <c r="EW9" t="s">
        <v>167</v>
      </c>
      <c r="EX9" t="s">
        <v>167</v>
      </c>
      <c r="EY9" t="s">
        <v>167</v>
      </c>
      <c r="EZ9" t="s">
        <v>167</v>
      </c>
      <c r="FA9">
        <v>6.5</v>
      </c>
      <c r="FB9" t="s">
        <v>216</v>
      </c>
      <c r="FC9">
        <v>1</v>
      </c>
      <c r="FD9">
        <v>1</v>
      </c>
      <c r="FE9" s="148">
        <v>7.5925298831271633</v>
      </c>
      <c r="FF9" s="142" t="s">
        <v>217</v>
      </c>
      <c r="FG9" s="148">
        <v>5.7078814877666868E-2</v>
      </c>
      <c r="FH9" s="155">
        <v>5.7078814877666868E-2</v>
      </c>
      <c r="FI9" s="156">
        <v>1900</v>
      </c>
      <c r="FJ9" s="157" t="s">
        <v>218</v>
      </c>
      <c r="FK9" s="157" t="s">
        <v>219</v>
      </c>
      <c r="FL9" s="156">
        <v>1900</v>
      </c>
      <c r="FM9" s="151">
        <v>600</v>
      </c>
      <c r="FN9" s="151">
        <v>600</v>
      </c>
      <c r="FO9" t="s">
        <v>220</v>
      </c>
      <c r="FP9" s="142" t="s">
        <v>221</v>
      </c>
      <c r="FQ9" s="151">
        <v>3100</v>
      </c>
      <c r="FR9" s="151">
        <v>600</v>
      </c>
      <c r="FS9" s="151">
        <v>600</v>
      </c>
      <c r="FT9" s="152">
        <v>3000</v>
      </c>
      <c r="FU9" s="152">
        <v>610</v>
      </c>
      <c r="FV9" s="152">
        <v>610</v>
      </c>
      <c r="FW9" s="142" t="s">
        <v>167</v>
      </c>
      <c r="FX9" t="s">
        <v>167</v>
      </c>
      <c r="FY9" t="s">
        <v>167</v>
      </c>
      <c r="FZ9" t="s">
        <v>167</v>
      </c>
      <c r="GA9" t="s">
        <v>167</v>
      </c>
      <c r="GB9" t="s">
        <v>167</v>
      </c>
      <c r="GC9" t="s">
        <v>296</v>
      </c>
    </row>
    <row r="10" spans="1:185" ht="16">
      <c r="A10" t="s">
        <v>162</v>
      </c>
      <c r="B10" s="138" t="s">
        <v>163</v>
      </c>
      <c r="C10" t="s">
        <v>164</v>
      </c>
      <c r="D10" t="s">
        <v>165</v>
      </c>
      <c r="E10">
        <v>2016</v>
      </c>
      <c r="F10" t="s">
        <v>166</v>
      </c>
      <c r="G10">
        <f t="shared" si="1"/>
        <v>45600</v>
      </c>
      <c r="H10">
        <f t="shared" si="2"/>
        <v>300</v>
      </c>
      <c r="I10">
        <f t="shared" si="3"/>
        <v>100</v>
      </c>
      <c r="J10">
        <f t="shared" si="4"/>
        <v>1400</v>
      </c>
      <c r="K10">
        <f t="shared" si="5"/>
        <v>410</v>
      </c>
      <c r="L10">
        <f t="shared" si="6"/>
        <v>410</v>
      </c>
      <c r="M10" t="b">
        <v>1</v>
      </c>
      <c r="N10" s="142">
        <v>3</v>
      </c>
      <c r="O10" t="s">
        <v>300</v>
      </c>
      <c r="P10" t="s">
        <v>301</v>
      </c>
      <c r="Q10" t="b">
        <v>0</v>
      </c>
      <c r="R10" t="s">
        <v>167</v>
      </c>
      <c r="S10" t="b">
        <v>1</v>
      </c>
      <c r="T10" t="b">
        <v>0</v>
      </c>
      <c r="U10" t="s">
        <v>167</v>
      </c>
      <c r="V10" t="b">
        <v>0</v>
      </c>
      <c r="W10" t="b">
        <v>0</v>
      </c>
      <c r="X10" t="s">
        <v>167</v>
      </c>
      <c r="Y10" s="175" t="s">
        <v>299</v>
      </c>
      <c r="Z10" t="s">
        <v>166</v>
      </c>
      <c r="AA10" s="139" t="s">
        <v>223</v>
      </c>
      <c r="AB10" t="s">
        <v>167</v>
      </c>
      <c r="AC10">
        <v>19</v>
      </c>
      <c r="AD10">
        <v>1</v>
      </c>
      <c r="AE10" s="140">
        <v>90</v>
      </c>
      <c r="AF10" s="140">
        <v>100</v>
      </c>
      <c r="AG10" t="s">
        <v>167</v>
      </c>
      <c r="AH10" t="s">
        <v>167</v>
      </c>
      <c r="AI10" t="s">
        <v>167</v>
      </c>
      <c r="AJ10" t="s">
        <v>169</v>
      </c>
      <c r="AK10">
        <v>-8.9177140000000001</v>
      </c>
      <c r="AL10">
        <v>39.503647123608502</v>
      </c>
      <c r="AM10">
        <v>-19</v>
      </c>
      <c r="AN10" t="s">
        <v>167</v>
      </c>
      <c r="AO10" t="s">
        <v>167</v>
      </c>
      <c r="AP10" t="s">
        <v>170</v>
      </c>
      <c r="AQ10" t="s">
        <v>171</v>
      </c>
      <c r="AR10" t="s">
        <v>167</v>
      </c>
      <c r="AS10" s="141">
        <v>45600</v>
      </c>
      <c r="AT10" t="s">
        <v>172</v>
      </c>
      <c r="AU10">
        <v>300</v>
      </c>
      <c r="AV10">
        <v>100</v>
      </c>
      <c r="AW10" t="s">
        <v>173</v>
      </c>
      <c r="AX10" t="s">
        <v>174</v>
      </c>
      <c r="AY10" s="142" t="s">
        <v>175</v>
      </c>
      <c r="AZ10" t="s">
        <v>167</v>
      </c>
      <c r="BA10" t="s">
        <v>167</v>
      </c>
      <c r="BB10" t="s">
        <v>167</v>
      </c>
      <c r="BC10" t="s">
        <v>167</v>
      </c>
      <c r="BD10" t="s">
        <v>167</v>
      </c>
      <c r="BE10" t="s">
        <v>167</v>
      </c>
      <c r="BF10" t="s">
        <v>167</v>
      </c>
      <c r="BG10" s="143" t="s">
        <v>224</v>
      </c>
      <c r="BH10" s="144" t="s">
        <v>177</v>
      </c>
      <c r="BI10" t="s">
        <v>178</v>
      </c>
      <c r="BJ10" s="145" t="s">
        <v>179</v>
      </c>
      <c r="BK10" t="s">
        <v>180</v>
      </c>
      <c r="BL10" t="s">
        <v>181</v>
      </c>
      <c r="BM10" t="s">
        <v>182</v>
      </c>
      <c r="BN10" s="142" t="s">
        <v>183</v>
      </c>
      <c r="BO10" t="s">
        <v>167</v>
      </c>
      <c r="BP10" t="s">
        <v>167</v>
      </c>
      <c r="BQ10" s="148">
        <v>14.65</v>
      </c>
      <c r="BR10" t="s">
        <v>184</v>
      </c>
      <c r="BS10" s="150">
        <v>0.24</v>
      </c>
      <c r="BT10">
        <v>0.88</v>
      </c>
      <c r="BU10" t="s">
        <v>185</v>
      </c>
      <c r="BV10" t="s">
        <v>185</v>
      </c>
      <c r="BW10">
        <v>1.85</v>
      </c>
      <c r="BX10" t="s">
        <v>186</v>
      </c>
      <c r="BY10" t="s">
        <v>186</v>
      </c>
      <c r="BZ10" t="s">
        <v>253</v>
      </c>
      <c r="CA10" t="s">
        <v>254</v>
      </c>
      <c r="CB10" s="146">
        <f t="shared" ref="CB10:CB13" si="7">(BQ10-BW10)/BT10</f>
        <v>14.545454545454547</v>
      </c>
      <c r="CC10" t="s">
        <v>188</v>
      </c>
      <c r="CD10">
        <v>0.24</v>
      </c>
      <c r="CE10" t="s">
        <v>188</v>
      </c>
      <c r="CF10" t="s">
        <v>167</v>
      </c>
      <c r="CG10">
        <v>0</v>
      </c>
      <c r="CH10" t="s">
        <v>189</v>
      </c>
      <c r="CI10" t="s">
        <v>189</v>
      </c>
      <c r="CJ10" s="141">
        <v>31.47</v>
      </c>
      <c r="CK10" t="s">
        <v>190</v>
      </c>
      <c r="CL10">
        <v>2</v>
      </c>
      <c r="CM10">
        <v>2</v>
      </c>
      <c r="CN10" t="s">
        <v>167</v>
      </c>
      <c r="CO10" t="s">
        <v>191</v>
      </c>
      <c r="CP10" t="s">
        <v>167</v>
      </c>
      <c r="CQ10" t="s">
        <v>167</v>
      </c>
      <c r="CR10" t="s">
        <v>167</v>
      </c>
      <c r="CS10" t="s">
        <v>167</v>
      </c>
      <c r="CT10" t="s">
        <v>167</v>
      </c>
      <c r="CU10" t="s">
        <v>167</v>
      </c>
      <c r="CV10" t="s">
        <v>167</v>
      </c>
      <c r="CW10" t="s">
        <v>192</v>
      </c>
      <c r="CX10" t="s">
        <v>192</v>
      </c>
      <c r="CY10" t="s">
        <v>192</v>
      </c>
      <c r="CZ10" t="s">
        <v>167</v>
      </c>
      <c r="DA10" s="147" t="s">
        <v>225</v>
      </c>
      <c r="DB10" t="s">
        <v>194</v>
      </c>
      <c r="DC10">
        <v>0.12</v>
      </c>
      <c r="DD10" t="s">
        <v>226</v>
      </c>
      <c r="DE10" t="s">
        <v>227</v>
      </c>
      <c r="DF10" t="s">
        <v>197</v>
      </c>
      <c r="DG10">
        <v>35</v>
      </c>
      <c r="DH10" t="s">
        <v>190</v>
      </c>
      <c r="DI10">
        <v>2</v>
      </c>
      <c r="DJ10" t="s">
        <v>198</v>
      </c>
      <c r="DK10">
        <v>1.7000000000000001E-2</v>
      </c>
      <c r="DL10" t="s">
        <v>199</v>
      </c>
      <c r="DM10">
        <v>3.0000000000000001E-3</v>
      </c>
      <c r="DN10" t="s">
        <v>228</v>
      </c>
      <c r="DO10">
        <v>3.7999999999999999E-2</v>
      </c>
      <c r="DP10" t="s">
        <v>199</v>
      </c>
      <c r="DQ10">
        <v>3.0000000000000001E-3</v>
      </c>
      <c r="DR10" t="s">
        <v>283</v>
      </c>
      <c r="DS10" t="s">
        <v>201</v>
      </c>
      <c r="DT10" t="s">
        <v>167</v>
      </c>
      <c r="DU10" t="s">
        <v>167</v>
      </c>
      <c r="DV10" t="s">
        <v>167</v>
      </c>
      <c r="DW10">
        <v>432.6</v>
      </c>
      <c r="DX10" t="s">
        <v>202</v>
      </c>
      <c r="DY10" t="s">
        <v>202</v>
      </c>
      <c r="DZ10" t="s">
        <v>284</v>
      </c>
      <c r="EA10" s="142">
        <f t="shared" ref="EA10:EA13" si="8">AVERAGE(38.6,38.9)</f>
        <v>38.75</v>
      </c>
      <c r="EB10" s="142" t="s">
        <v>203</v>
      </c>
      <c r="EC10" s="142">
        <v>0.15</v>
      </c>
      <c r="ED10" t="s">
        <v>204</v>
      </c>
      <c r="EE10" t="s">
        <v>205</v>
      </c>
      <c r="EF10" t="s">
        <v>206</v>
      </c>
      <c r="EG10">
        <v>1.0271999999999999</v>
      </c>
      <c r="EH10" t="s">
        <v>207</v>
      </c>
      <c r="EI10" t="s">
        <v>207</v>
      </c>
      <c r="EJ10" t="s">
        <v>208</v>
      </c>
      <c r="EK10" t="s">
        <v>207</v>
      </c>
      <c r="EL10" t="s">
        <v>207</v>
      </c>
      <c r="EM10" t="s">
        <v>209</v>
      </c>
      <c r="EN10" t="s">
        <v>210</v>
      </c>
      <c r="EO10" t="s">
        <v>211</v>
      </c>
      <c r="EP10" t="s">
        <v>211</v>
      </c>
      <c r="EQ10" t="s">
        <v>211</v>
      </c>
      <c r="ER10" s="142" t="s">
        <v>212</v>
      </c>
      <c r="ES10" s="142" t="s">
        <v>206</v>
      </c>
      <c r="ET10" t="s">
        <v>213</v>
      </c>
      <c r="EU10" t="s">
        <v>214</v>
      </c>
      <c r="EV10" s="142" t="s">
        <v>215</v>
      </c>
      <c r="EW10" t="s">
        <v>167</v>
      </c>
      <c r="EX10" t="s">
        <v>167</v>
      </c>
      <c r="EY10" t="s">
        <v>167</v>
      </c>
      <c r="EZ10" t="s">
        <v>167</v>
      </c>
      <c r="FA10">
        <v>6.5</v>
      </c>
      <c r="FB10" t="s">
        <v>216</v>
      </c>
      <c r="FC10">
        <v>1</v>
      </c>
      <c r="FD10">
        <v>1</v>
      </c>
      <c r="FE10" s="148">
        <v>7.669765023077546</v>
      </c>
      <c r="FF10" s="142" t="s">
        <v>217</v>
      </c>
      <c r="FG10" s="148">
        <v>5.0319967396113163E-2</v>
      </c>
      <c r="FH10" s="155">
        <v>5.0319967396113163E-2</v>
      </c>
      <c r="FI10" s="156">
        <v>1400</v>
      </c>
      <c r="FJ10" s="157" t="s">
        <v>218</v>
      </c>
      <c r="FK10" s="157" t="s">
        <v>219</v>
      </c>
      <c r="FL10" s="156">
        <v>1400</v>
      </c>
      <c r="FM10" s="151">
        <v>410</v>
      </c>
      <c r="FN10" s="151">
        <v>410</v>
      </c>
      <c r="FO10" t="s">
        <v>220</v>
      </c>
      <c r="FP10" s="142" t="s">
        <v>221</v>
      </c>
      <c r="FQ10" s="151">
        <v>2800</v>
      </c>
      <c r="FR10" s="151">
        <v>500</v>
      </c>
      <c r="FS10" s="151">
        <v>500</v>
      </c>
      <c r="FT10" s="152">
        <v>2600</v>
      </c>
      <c r="FU10" s="152">
        <v>500.41525776546632</v>
      </c>
      <c r="FV10" s="152">
        <v>500.41525776546632</v>
      </c>
      <c r="FW10" s="142" t="s">
        <v>167</v>
      </c>
      <c r="FX10" t="s">
        <v>167</v>
      </c>
      <c r="FY10" t="s">
        <v>167</v>
      </c>
      <c r="FZ10" t="s">
        <v>167</v>
      </c>
      <c r="GA10" t="s">
        <v>167</v>
      </c>
      <c r="GB10" t="s">
        <v>167</v>
      </c>
      <c r="GC10" t="s">
        <v>297</v>
      </c>
    </row>
    <row r="11" spans="1:185" ht="16">
      <c r="A11" t="s">
        <v>162</v>
      </c>
      <c r="B11" s="138" t="s">
        <v>163</v>
      </c>
      <c r="C11" t="s">
        <v>164</v>
      </c>
      <c r="D11" t="s">
        <v>165</v>
      </c>
      <c r="E11">
        <v>2016</v>
      </c>
      <c r="F11" t="s">
        <v>166</v>
      </c>
      <c r="G11">
        <f t="shared" si="1"/>
        <v>44400</v>
      </c>
      <c r="H11">
        <f t="shared" si="2"/>
        <v>100</v>
      </c>
      <c r="I11">
        <f t="shared" si="3"/>
        <v>400</v>
      </c>
      <c r="J11">
        <f t="shared" si="4"/>
        <v>1200</v>
      </c>
      <c r="K11">
        <f t="shared" si="5"/>
        <v>370</v>
      </c>
      <c r="L11">
        <f t="shared" si="6"/>
        <v>370</v>
      </c>
      <c r="M11" t="b">
        <v>1</v>
      </c>
      <c r="N11" s="142">
        <v>3</v>
      </c>
      <c r="O11" t="s">
        <v>300</v>
      </c>
      <c r="P11" t="s">
        <v>301</v>
      </c>
      <c r="Q11" t="b">
        <v>0</v>
      </c>
      <c r="R11" t="s">
        <v>167</v>
      </c>
      <c r="S11" t="b">
        <v>1</v>
      </c>
      <c r="T11" t="b">
        <v>0</v>
      </c>
      <c r="U11" t="s">
        <v>167</v>
      </c>
      <c r="V11" t="b">
        <v>0</v>
      </c>
      <c r="W11" t="b">
        <v>0</v>
      </c>
      <c r="X11" t="s">
        <v>167</v>
      </c>
      <c r="Y11" s="175" t="s">
        <v>299</v>
      </c>
      <c r="Z11" t="s">
        <v>166</v>
      </c>
      <c r="AA11" s="139" t="s">
        <v>223</v>
      </c>
      <c r="AB11" t="s">
        <v>167</v>
      </c>
      <c r="AC11">
        <v>9</v>
      </c>
      <c r="AD11">
        <v>3</v>
      </c>
      <c r="AE11" s="140">
        <v>90</v>
      </c>
      <c r="AF11" s="140">
        <v>100</v>
      </c>
      <c r="AG11" t="s">
        <v>167</v>
      </c>
      <c r="AH11" t="s">
        <v>167</v>
      </c>
      <c r="AI11" t="s">
        <v>167</v>
      </c>
      <c r="AJ11" t="s">
        <v>169</v>
      </c>
      <c r="AK11">
        <v>-8.9177140000000001</v>
      </c>
      <c r="AL11">
        <v>39.503647123608502</v>
      </c>
      <c r="AM11">
        <v>-19</v>
      </c>
      <c r="AN11" t="s">
        <v>167</v>
      </c>
      <c r="AO11" t="s">
        <v>167</v>
      </c>
      <c r="AP11" t="s">
        <v>170</v>
      </c>
      <c r="AQ11" t="s">
        <v>171</v>
      </c>
      <c r="AR11" t="s">
        <v>167</v>
      </c>
      <c r="AS11" s="141">
        <v>44400</v>
      </c>
      <c r="AT11" t="s">
        <v>172</v>
      </c>
      <c r="AU11">
        <v>100</v>
      </c>
      <c r="AV11">
        <v>400</v>
      </c>
      <c r="AW11" t="s">
        <v>173</v>
      </c>
      <c r="AX11" t="s">
        <v>174</v>
      </c>
      <c r="AY11" s="142" t="s">
        <v>175</v>
      </c>
      <c r="AZ11" t="s">
        <v>167</v>
      </c>
      <c r="BA11" t="s">
        <v>167</v>
      </c>
      <c r="BB11" t="s">
        <v>167</v>
      </c>
      <c r="BC11" t="s">
        <v>167</v>
      </c>
      <c r="BD11" t="s">
        <v>167</v>
      </c>
      <c r="BE11" t="s">
        <v>167</v>
      </c>
      <c r="BF11" t="s">
        <v>167</v>
      </c>
      <c r="BG11" s="149" t="s">
        <v>229</v>
      </c>
      <c r="BH11" s="144" t="s">
        <v>230</v>
      </c>
      <c r="BI11" t="s">
        <v>178</v>
      </c>
      <c r="BJ11" s="145" t="s">
        <v>179</v>
      </c>
      <c r="BK11" t="s">
        <v>180</v>
      </c>
      <c r="BL11" t="s">
        <v>181</v>
      </c>
      <c r="BM11" t="s">
        <v>182</v>
      </c>
      <c r="BN11" s="142" t="s">
        <v>183</v>
      </c>
      <c r="BO11" t="s">
        <v>167</v>
      </c>
      <c r="BP11" t="s">
        <v>167</v>
      </c>
      <c r="BQ11" s="148">
        <v>14.82</v>
      </c>
      <c r="BR11" t="s">
        <v>184</v>
      </c>
      <c r="BS11" s="150">
        <v>0.28000000000000003</v>
      </c>
      <c r="BT11">
        <v>0.88</v>
      </c>
      <c r="BU11" t="s">
        <v>185</v>
      </c>
      <c r="BV11" t="s">
        <v>185</v>
      </c>
      <c r="BW11">
        <v>1.85</v>
      </c>
      <c r="BX11" t="s">
        <v>186</v>
      </c>
      <c r="BY11" t="s">
        <v>186</v>
      </c>
      <c r="BZ11" t="s">
        <v>253</v>
      </c>
      <c r="CA11" t="s">
        <v>254</v>
      </c>
      <c r="CB11" s="146">
        <f t="shared" si="7"/>
        <v>14.738636363636365</v>
      </c>
      <c r="CC11" t="s">
        <v>188</v>
      </c>
      <c r="CD11">
        <v>0.28000000000000003</v>
      </c>
      <c r="CE11" t="s">
        <v>188</v>
      </c>
      <c r="CF11" t="s">
        <v>167</v>
      </c>
      <c r="CG11">
        <v>0</v>
      </c>
      <c r="CH11" t="s">
        <v>189</v>
      </c>
      <c r="CI11" t="s">
        <v>189</v>
      </c>
      <c r="CJ11" s="141">
        <v>29.77</v>
      </c>
      <c r="CK11" t="s">
        <v>190</v>
      </c>
      <c r="CL11">
        <v>2</v>
      </c>
      <c r="CM11">
        <v>2</v>
      </c>
      <c r="CN11" t="s">
        <v>167</v>
      </c>
      <c r="CO11" t="s">
        <v>191</v>
      </c>
      <c r="CP11" t="s">
        <v>167</v>
      </c>
      <c r="CQ11" t="s">
        <v>167</v>
      </c>
      <c r="CR11" t="s">
        <v>167</v>
      </c>
      <c r="CS11" t="s">
        <v>167</v>
      </c>
      <c r="CT11" t="s">
        <v>167</v>
      </c>
      <c r="CU11" t="s">
        <v>167</v>
      </c>
      <c r="CV11" t="s">
        <v>167</v>
      </c>
      <c r="CW11" t="s">
        <v>192</v>
      </c>
      <c r="CX11" t="s">
        <v>192</v>
      </c>
      <c r="CY11" t="s">
        <v>192</v>
      </c>
      <c r="CZ11" t="s">
        <v>167</v>
      </c>
      <c r="DA11" s="147" t="s">
        <v>231</v>
      </c>
      <c r="DB11" t="s">
        <v>194</v>
      </c>
      <c r="DC11">
        <v>0.12</v>
      </c>
      <c r="DD11" t="s">
        <v>232</v>
      </c>
      <c r="DE11" t="s">
        <v>233</v>
      </c>
      <c r="DF11" t="s">
        <v>197</v>
      </c>
      <c r="DG11">
        <v>35</v>
      </c>
      <c r="DH11" t="s">
        <v>190</v>
      </c>
      <c r="DI11">
        <v>2</v>
      </c>
      <c r="DJ11" t="s">
        <v>198</v>
      </c>
      <c r="DK11">
        <v>1.7000000000000001E-2</v>
      </c>
      <c r="DL11" t="s">
        <v>199</v>
      </c>
      <c r="DM11">
        <v>3.0000000000000001E-3</v>
      </c>
      <c r="DN11" t="s">
        <v>234</v>
      </c>
      <c r="DO11">
        <v>3.7999999999999999E-2</v>
      </c>
      <c r="DP11" t="s">
        <v>199</v>
      </c>
      <c r="DQ11">
        <v>3.0000000000000001E-3</v>
      </c>
      <c r="DR11" t="s">
        <v>283</v>
      </c>
      <c r="DS11" t="s">
        <v>201</v>
      </c>
      <c r="DT11" t="s">
        <v>167</v>
      </c>
      <c r="DU11" t="s">
        <v>167</v>
      </c>
      <c r="DV11" t="s">
        <v>167</v>
      </c>
      <c r="DW11">
        <v>432.6</v>
      </c>
      <c r="DX11" t="s">
        <v>202</v>
      </c>
      <c r="DY11" t="s">
        <v>202</v>
      </c>
      <c r="DZ11" t="s">
        <v>284</v>
      </c>
      <c r="EA11" s="142">
        <f t="shared" si="8"/>
        <v>38.75</v>
      </c>
      <c r="EB11" s="142" t="s">
        <v>203</v>
      </c>
      <c r="EC11" s="142">
        <v>0.15</v>
      </c>
      <c r="ED11" t="s">
        <v>204</v>
      </c>
      <c r="EE11" t="s">
        <v>205</v>
      </c>
      <c r="EF11" t="s">
        <v>206</v>
      </c>
      <c r="EG11">
        <v>1.0271999999999999</v>
      </c>
      <c r="EH11" t="s">
        <v>207</v>
      </c>
      <c r="EI11" t="s">
        <v>207</v>
      </c>
      <c r="EJ11" t="s">
        <v>208</v>
      </c>
      <c r="EK11" t="s">
        <v>207</v>
      </c>
      <c r="EL11" t="s">
        <v>207</v>
      </c>
      <c r="EM11" t="s">
        <v>209</v>
      </c>
      <c r="EN11" t="s">
        <v>210</v>
      </c>
      <c r="EO11" t="s">
        <v>211</v>
      </c>
      <c r="EP11" t="s">
        <v>211</v>
      </c>
      <c r="EQ11" t="s">
        <v>211</v>
      </c>
      <c r="ER11" s="142" t="s">
        <v>212</v>
      </c>
      <c r="ES11" s="142" t="s">
        <v>206</v>
      </c>
      <c r="ET11" t="s">
        <v>213</v>
      </c>
      <c r="EU11" t="s">
        <v>214</v>
      </c>
      <c r="EV11" s="142" t="s">
        <v>215</v>
      </c>
      <c r="EW11" t="s">
        <v>167</v>
      </c>
      <c r="EX11" t="s">
        <v>167</v>
      </c>
      <c r="EY11" t="s">
        <v>167</v>
      </c>
      <c r="EZ11" t="s">
        <v>167</v>
      </c>
      <c r="FA11">
        <v>6.5</v>
      </c>
      <c r="FB11" t="s">
        <v>216</v>
      </c>
      <c r="FC11">
        <v>1</v>
      </c>
      <c r="FD11">
        <v>1</v>
      </c>
      <c r="FE11" s="148">
        <v>7.7167029283697328</v>
      </c>
      <c r="FF11" s="142" t="s">
        <v>217</v>
      </c>
      <c r="FG11" s="148">
        <v>5.3937708704260928E-2</v>
      </c>
      <c r="FH11" s="155">
        <v>5.3937708704260928E-2</v>
      </c>
      <c r="FI11" s="156">
        <v>1200</v>
      </c>
      <c r="FJ11" s="157" t="s">
        <v>218</v>
      </c>
      <c r="FK11" s="157" t="s">
        <v>219</v>
      </c>
      <c r="FL11" s="156">
        <v>1200</v>
      </c>
      <c r="FM11" s="151">
        <v>370</v>
      </c>
      <c r="FN11" s="151">
        <v>370</v>
      </c>
      <c r="FO11" t="s">
        <v>220</v>
      </c>
      <c r="FP11" s="142" t="s">
        <v>221</v>
      </c>
      <c r="FQ11" s="151">
        <v>2700</v>
      </c>
      <c r="FR11" s="151">
        <v>500</v>
      </c>
      <c r="FS11" s="151">
        <v>500</v>
      </c>
      <c r="FT11" s="152">
        <v>2500</v>
      </c>
      <c r="FU11" s="152">
        <v>490</v>
      </c>
      <c r="FV11" s="152">
        <v>490</v>
      </c>
      <c r="FW11" s="142" t="s">
        <v>167</v>
      </c>
      <c r="FX11" t="s">
        <v>167</v>
      </c>
      <c r="FY11" t="s">
        <v>167</v>
      </c>
      <c r="FZ11" t="s">
        <v>167</v>
      </c>
      <c r="GA11" t="s">
        <v>167</v>
      </c>
      <c r="GB11" t="s">
        <v>167</v>
      </c>
      <c r="GC11" t="s">
        <v>297</v>
      </c>
    </row>
    <row r="12" spans="1:185" ht="16">
      <c r="A12" t="s">
        <v>162</v>
      </c>
      <c r="B12" s="138" t="s">
        <v>163</v>
      </c>
      <c r="C12" t="s">
        <v>164</v>
      </c>
      <c r="D12" t="s">
        <v>165</v>
      </c>
      <c r="E12">
        <v>2016</v>
      </c>
      <c r="F12" t="s">
        <v>166</v>
      </c>
      <c r="G12">
        <f t="shared" si="1"/>
        <v>36900</v>
      </c>
      <c r="H12">
        <f t="shared" si="2"/>
        <v>600</v>
      </c>
      <c r="I12">
        <f t="shared" si="3"/>
        <v>600</v>
      </c>
      <c r="J12">
        <f t="shared" si="4"/>
        <v>920</v>
      </c>
      <c r="K12">
        <f t="shared" si="5"/>
        <v>340</v>
      </c>
      <c r="L12">
        <f t="shared" si="6"/>
        <v>340</v>
      </c>
      <c r="M12" t="b">
        <v>1</v>
      </c>
      <c r="N12" s="142">
        <v>3</v>
      </c>
      <c r="O12" t="s">
        <v>300</v>
      </c>
      <c r="P12" t="s">
        <v>301</v>
      </c>
      <c r="Q12" t="b">
        <v>0</v>
      </c>
      <c r="R12" t="s">
        <v>167</v>
      </c>
      <c r="S12" t="b">
        <v>1</v>
      </c>
      <c r="T12" t="b">
        <v>0</v>
      </c>
      <c r="U12" t="s">
        <v>167</v>
      </c>
      <c r="V12" t="b">
        <v>0</v>
      </c>
      <c r="W12" t="b">
        <v>0</v>
      </c>
      <c r="X12" t="s">
        <v>167</v>
      </c>
      <c r="Y12" s="175" t="s">
        <v>299</v>
      </c>
      <c r="Z12" t="s">
        <v>166</v>
      </c>
      <c r="AA12" s="139" t="s">
        <v>235</v>
      </c>
      <c r="AB12" s="142" t="s">
        <v>236</v>
      </c>
      <c r="AC12" t="s">
        <v>167</v>
      </c>
      <c r="AD12" t="s">
        <v>167</v>
      </c>
      <c r="AE12" s="140" t="s">
        <v>167</v>
      </c>
      <c r="AF12" s="140" t="s">
        <v>167</v>
      </c>
      <c r="AG12" t="s">
        <v>167</v>
      </c>
      <c r="AH12" t="s">
        <v>167</v>
      </c>
      <c r="AI12" t="s">
        <v>167</v>
      </c>
      <c r="AJ12" t="s">
        <v>169</v>
      </c>
      <c r="AK12">
        <v>-9.9022539999999992</v>
      </c>
      <c r="AL12">
        <v>39.704583526938102</v>
      </c>
      <c r="AM12">
        <v>-19</v>
      </c>
      <c r="AN12" t="s">
        <v>167</v>
      </c>
      <c r="AO12" t="s">
        <v>167</v>
      </c>
      <c r="AP12" t="s">
        <v>170</v>
      </c>
      <c r="AQ12" t="s">
        <v>171</v>
      </c>
      <c r="AR12" t="s">
        <v>167</v>
      </c>
      <c r="AS12" s="141">
        <v>36900</v>
      </c>
      <c r="AT12" t="s">
        <v>172</v>
      </c>
      <c r="AU12">
        <v>600</v>
      </c>
      <c r="AV12">
        <v>600</v>
      </c>
      <c r="AW12" t="s">
        <v>173</v>
      </c>
      <c r="AX12" t="s">
        <v>174</v>
      </c>
      <c r="AY12" s="142" t="s">
        <v>175</v>
      </c>
      <c r="AZ12" t="s">
        <v>167</v>
      </c>
      <c r="BA12" t="s">
        <v>167</v>
      </c>
      <c r="BB12" t="s">
        <v>167</v>
      </c>
      <c r="BC12" t="s">
        <v>167</v>
      </c>
      <c r="BD12" t="s">
        <v>167</v>
      </c>
      <c r="BE12" t="s">
        <v>167</v>
      </c>
      <c r="BF12" t="s">
        <v>167</v>
      </c>
      <c r="BG12" s="143" t="s">
        <v>237</v>
      </c>
      <c r="BH12" s="144" t="s">
        <v>238</v>
      </c>
      <c r="BI12" t="s">
        <v>178</v>
      </c>
      <c r="BJ12" s="145" t="s">
        <v>179</v>
      </c>
      <c r="BK12" t="s">
        <v>180</v>
      </c>
      <c r="BL12" t="s">
        <v>181</v>
      </c>
      <c r="BM12" t="s">
        <v>182</v>
      </c>
      <c r="BN12" s="142" t="s">
        <v>183</v>
      </c>
      <c r="BO12" t="s">
        <v>167</v>
      </c>
      <c r="BP12" t="s">
        <v>167</v>
      </c>
      <c r="BQ12" s="148">
        <v>15.21</v>
      </c>
      <c r="BR12" t="s">
        <v>184</v>
      </c>
      <c r="BS12" s="150">
        <v>0.42</v>
      </c>
      <c r="BT12">
        <v>0.88</v>
      </c>
      <c r="BU12" t="s">
        <v>185</v>
      </c>
      <c r="BV12" t="s">
        <v>185</v>
      </c>
      <c r="BW12">
        <v>1.85</v>
      </c>
      <c r="BX12" t="s">
        <v>186</v>
      </c>
      <c r="BY12" t="s">
        <v>186</v>
      </c>
      <c r="BZ12" t="s">
        <v>239</v>
      </c>
      <c r="CA12" t="s">
        <v>254</v>
      </c>
      <c r="CB12" s="146">
        <f t="shared" si="7"/>
        <v>15.181818181818183</v>
      </c>
      <c r="CC12" t="s">
        <v>188</v>
      </c>
      <c r="CD12">
        <v>0.42</v>
      </c>
      <c r="CE12" t="s">
        <v>188</v>
      </c>
      <c r="CF12" t="s">
        <v>167</v>
      </c>
      <c r="CG12">
        <v>75</v>
      </c>
      <c r="CH12" t="s">
        <v>189</v>
      </c>
      <c r="CI12" t="s">
        <v>189</v>
      </c>
      <c r="CJ12" s="141">
        <v>31.44</v>
      </c>
      <c r="CK12" t="s">
        <v>190</v>
      </c>
      <c r="CL12">
        <v>2</v>
      </c>
      <c r="CM12">
        <v>2</v>
      </c>
      <c r="CN12" t="s">
        <v>167</v>
      </c>
      <c r="CO12" t="s">
        <v>191</v>
      </c>
      <c r="CP12" t="s">
        <v>167</v>
      </c>
      <c r="CQ12" t="s">
        <v>167</v>
      </c>
      <c r="CR12" t="s">
        <v>167</v>
      </c>
      <c r="CS12" t="s">
        <v>167</v>
      </c>
      <c r="CT12" t="s">
        <v>167</v>
      </c>
      <c r="CU12" t="s">
        <v>167</v>
      </c>
      <c r="CV12" t="s">
        <v>167</v>
      </c>
      <c r="CW12" t="s">
        <v>192</v>
      </c>
      <c r="CX12" t="s">
        <v>192</v>
      </c>
      <c r="CY12" t="s">
        <v>192</v>
      </c>
      <c r="CZ12" t="s">
        <v>167</v>
      </c>
      <c r="DA12" s="147" t="s">
        <v>240</v>
      </c>
      <c r="DB12" t="s">
        <v>194</v>
      </c>
      <c r="DC12">
        <v>0.12</v>
      </c>
      <c r="DD12" t="s">
        <v>241</v>
      </c>
      <c r="DE12" t="s">
        <v>242</v>
      </c>
      <c r="DF12" t="s">
        <v>197</v>
      </c>
      <c r="DG12">
        <v>35</v>
      </c>
      <c r="DH12" t="s">
        <v>190</v>
      </c>
      <c r="DI12">
        <v>2</v>
      </c>
      <c r="DJ12" t="s">
        <v>198</v>
      </c>
      <c r="DK12">
        <v>1.7000000000000001E-2</v>
      </c>
      <c r="DL12" t="s">
        <v>199</v>
      </c>
      <c r="DM12">
        <v>3.0000000000000001E-3</v>
      </c>
      <c r="DN12" t="s">
        <v>243</v>
      </c>
      <c r="DO12">
        <v>3.7999999999999999E-2</v>
      </c>
      <c r="DP12" t="s">
        <v>199</v>
      </c>
      <c r="DQ12">
        <v>3.0000000000000001E-3</v>
      </c>
      <c r="DR12" t="s">
        <v>283</v>
      </c>
      <c r="DS12" t="s">
        <v>201</v>
      </c>
      <c r="DT12" t="s">
        <v>167</v>
      </c>
      <c r="DU12" t="s">
        <v>167</v>
      </c>
      <c r="DV12" t="s">
        <v>167</v>
      </c>
      <c r="DW12">
        <v>432.6</v>
      </c>
      <c r="DX12" t="s">
        <v>202</v>
      </c>
      <c r="DY12" t="s">
        <v>202</v>
      </c>
      <c r="DZ12" t="s">
        <v>284</v>
      </c>
      <c r="EA12" s="142">
        <f t="shared" si="8"/>
        <v>38.75</v>
      </c>
      <c r="EB12" s="142" t="s">
        <v>203</v>
      </c>
      <c r="EC12" s="142">
        <v>0.15</v>
      </c>
      <c r="ED12" t="s">
        <v>204</v>
      </c>
      <c r="EE12" t="s">
        <v>205</v>
      </c>
      <c r="EF12" t="s">
        <v>206</v>
      </c>
      <c r="EG12">
        <v>1.0271999999999999</v>
      </c>
      <c r="EH12" t="s">
        <v>207</v>
      </c>
      <c r="EI12" t="s">
        <v>207</v>
      </c>
      <c r="EJ12" t="s">
        <v>208</v>
      </c>
      <c r="EK12" t="s">
        <v>207</v>
      </c>
      <c r="EL12" t="s">
        <v>207</v>
      </c>
      <c r="EM12" t="s">
        <v>209</v>
      </c>
      <c r="EN12" t="s">
        <v>210</v>
      </c>
      <c r="EO12" t="s">
        <v>211</v>
      </c>
      <c r="EP12" t="s">
        <v>211</v>
      </c>
      <c r="EQ12" t="s">
        <v>211</v>
      </c>
      <c r="ER12" s="142" t="s">
        <v>212</v>
      </c>
      <c r="ES12" s="142" t="s">
        <v>206</v>
      </c>
      <c r="ET12" t="s">
        <v>213</v>
      </c>
      <c r="EU12" t="s">
        <v>214</v>
      </c>
      <c r="EV12" s="142" t="s">
        <v>215</v>
      </c>
      <c r="EW12" t="s">
        <v>167</v>
      </c>
      <c r="EX12" t="s">
        <v>167</v>
      </c>
      <c r="EY12" t="s">
        <v>167</v>
      </c>
      <c r="EZ12" t="s">
        <v>167</v>
      </c>
      <c r="FA12">
        <v>6.5</v>
      </c>
      <c r="FB12" t="s">
        <v>216</v>
      </c>
      <c r="FC12">
        <v>1</v>
      </c>
      <c r="FD12">
        <v>1</v>
      </c>
      <c r="FE12" s="148">
        <v>7.7576907662790164</v>
      </c>
      <c r="FF12" s="142" t="s">
        <v>217</v>
      </c>
      <c r="FG12" s="148">
        <v>6.3709125141177728E-2</v>
      </c>
      <c r="FH12" s="155">
        <v>6.3709125141177728E-2</v>
      </c>
      <c r="FI12" s="156">
        <v>920</v>
      </c>
      <c r="FJ12" s="157" t="s">
        <v>218</v>
      </c>
      <c r="FK12" s="157" t="s">
        <v>219</v>
      </c>
      <c r="FL12" s="156">
        <v>920</v>
      </c>
      <c r="FM12" s="151">
        <v>340</v>
      </c>
      <c r="FN12" s="151">
        <v>340</v>
      </c>
      <c r="FO12" t="s">
        <v>220</v>
      </c>
      <c r="FP12" s="142" t="s">
        <v>221</v>
      </c>
      <c r="FQ12" s="151">
        <v>2300</v>
      </c>
      <c r="FR12" s="151">
        <v>460</v>
      </c>
      <c r="FS12" s="151">
        <v>460</v>
      </c>
      <c r="FT12" s="152">
        <v>2200</v>
      </c>
      <c r="FU12" s="152">
        <v>450</v>
      </c>
      <c r="FV12" s="152">
        <v>450</v>
      </c>
      <c r="FW12" s="142" t="s">
        <v>167</v>
      </c>
      <c r="FX12" t="s">
        <v>167</v>
      </c>
      <c r="FY12" t="s">
        <v>167</v>
      </c>
      <c r="FZ12" t="s">
        <v>167</v>
      </c>
      <c r="GA12" t="s">
        <v>167</v>
      </c>
      <c r="GB12" t="s">
        <v>167</v>
      </c>
      <c r="GC12" t="s">
        <v>297</v>
      </c>
    </row>
    <row r="13" spans="1:185" ht="16">
      <c r="A13" t="s">
        <v>162</v>
      </c>
      <c r="B13" s="138" t="s">
        <v>163</v>
      </c>
      <c r="C13" t="s">
        <v>164</v>
      </c>
      <c r="D13" t="s">
        <v>165</v>
      </c>
      <c r="E13">
        <v>2016</v>
      </c>
      <c r="F13" t="s">
        <v>166</v>
      </c>
      <c r="G13">
        <f t="shared" si="1"/>
        <v>40300</v>
      </c>
      <c r="H13">
        <f t="shared" si="2"/>
        <v>300</v>
      </c>
      <c r="I13">
        <f t="shared" si="3"/>
        <v>300</v>
      </c>
      <c r="J13">
        <f t="shared" si="4"/>
        <v>760</v>
      </c>
      <c r="K13">
        <f t="shared" si="5"/>
        <v>230</v>
      </c>
      <c r="L13">
        <f t="shared" si="6"/>
        <v>230</v>
      </c>
      <c r="M13" t="b">
        <v>1</v>
      </c>
      <c r="N13" s="142">
        <v>3</v>
      </c>
      <c r="O13" t="s">
        <v>300</v>
      </c>
      <c r="P13" t="s">
        <v>301</v>
      </c>
      <c r="Q13" t="b">
        <v>0</v>
      </c>
      <c r="R13" t="s">
        <v>167</v>
      </c>
      <c r="S13" t="b">
        <v>1</v>
      </c>
      <c r="T13" t="b">
        <v>0</v>
      </c>
      <c r="U13" t="s">
        <v>167</v>
      </c>
      <c r="V13" t="b">
        <v>0</v>
      </c>
      <c r="W13" t="b">
        <v>0</v>
      </c>
      <c r="X13" t="s">
        <v>167</v>
      </c>
      <c r="Y13" s="175" t="s">
        <v>299</v>
      </c>
      <c r="Z13" t="s">
        <v>166</v>
      </c>
      <c r="AA13" s="139" t="s">
        <v>244</v>
      </c>
      <c r="AB13" t="s">
        <v>167</v>
      </c>
      <c r="AC13">
        <v>18</v>
      </c>
      <c r="AD13">
        <v>2</v>
      </c>
      <c r="AE13" s="140" t="s">
        <v>245</v>
      </c>
      <c r="AF13" s="140" t="s">
        <v>246</v>
      </c>
      <c r="AG13" t="s">
        <v>167</v>
      </c>
      <c r="AH13" t="s">
        <v>167</v>
      </c>
      <c r="AI13" t="s">
        <v>167</v>
      </c>
      <c r="AJ13" t="s">
        <v>169</v>
      </c>
      <c r="AK13">
        <v>-9.2652370000000008</v>
      </c>
      <c r="AL13">
        <v>39.533895288001098</v>
      </c>
      <c r="AM13">
        <v>-19</v>
      </c>
      <c r="AN13" t="s">
        <v>167</v>
      </c>
      <c r="AO13" t="s">
        <v>167</v>
      </c>
      <c r="AP13" t="s">
        <v>170</v>
      </c>
      <c r="AQ13" t="s">
        <v>171</v>
      </c>
      <c r="AR13" t="s">
        <v>167</v>
      </c>
      <c r="AS13" s="141">
        <v>40300</v>
      </c>
      <c r="AT13" t="s">
        <v>172</v>
      </c>
      <c r="AU13">
        <v>300</v>
      </c>
      <c r="AV13">
        <v>300</v>
      </c>
      <c r="AW13" t="s">
        <v>173</v>
      </c>
      <c r="AX13" t="s">
        <v>174</v>
      </c>
      <c r="AY13" s="142" t="s">
        <v>175</v>
      </c>
      <c r="AZ13" t="s">
        <v>167</v>
      </c>
      <c r="BA13" t="s">
        <v>167</v>
      </c>
      <c r="BB13" t="s">
        <v>167</v>
      </c>
      <c r="BC13" t="s">
        <v>167</v>
      </c>
      <c r="BD13" t="s">
        <v>167</v>
      </c>
      <c r="BE13" t="s">
        <v>167</v>
      </c>
      <c r="BF13" t="s">
        <v>167</v>
      </c>
      <c r="BG13" s="153" t="s">
        <v>247</v>
      </c>
      <c r="BH13" s="154" t="s">
        <v>177</v>
      </c>
      <c r="BI13" t="s">
        <v>178</v>
      </c>
      <c r="BJ13" s="145" t="s">
        <v>179</v>
      </c>
      <c r="BK13" t="s">
        <v>248</v>
      </c>
      <c r="BL13" t="s">
        <v>181</v>
      </c>
      <c r="BM13" t="s">
        <v>182</v>
      </c>
      <c r="BN13" s="142" t="s">
        <v>183</v>
      </c>
      <c r="BO13" t="s">
        <v>167</v>
      </c>
      <c r="BP13" t="s">
        <v>167</v>
      </c>
      <c r="BQ13" s="148">
        <v>15.5</v>
      </c>
      <c r="BR13" t="s">
        <v>184</v>
      </c>
      <c r="BS13" s="150">
        <v>0.27</v>
      </c>
      <c r="BT13">
        <v>0.88</v>
      </c>
      <c r="BU13" t="s">
        <v>185</v>
      </c>
      <c r="BV13" t="s">
        <v>185</v>
      </c>
      <c r="BW13">
        <v>1.85</v>
      </c>
      <c r="BX13" t="s">
        <v>186</v>
      </c>
      <c r="BY13" t="s">
        <v>186</v>
      </c>
      <c r="BZ13" t="s">
        <v>253</v>
      </c>
      <c r="CA13" t="s">
        <v>254</v>
      </c>
      <c r="CB13" s="146">
        <f t="shared" si="7"/>
        <v>15.511363636363637</v>
      </c>
      <c r="CC13" t="s">
        <v>188</v>
      </c>
      <c r="CD13">
        <v>0.27</v>
      </c>
      <c r="CE13" t="s">
        <v>188</v>
      </c>
      <c r="CF13" t="s">
        <v>167</v>
      </c>
      <c r="CG13">
        <v>0</v>
      </c>
      <c r="CH13" t="s">
        <v>189</v>
      </c>
      <c r="CI13" t="s">
        <v>189</v>
      </c>
      <c r="CJ13" s="141">
        <v>31.83</v>
      </c>
      <c r="CK13" t="s">
        <v>190</v>
      </c>
      <c r="CL13">
        <v>2</v>
      </c>
      <c r="CM13">
        <v>2</v>
      </c>
      <c r="CN13" t="s">
        <v>167</v>
      </c>
      <c r="CO13" t="s">
        <v>191</v>
      </c>
      <c r="CP13" t="s">
        <v>167</v>
      </c>
      <c r="CQ13" t="s">
        <v>167</v>
      </c>
      <c r="CR13" t="s">
        <v>167</v>
      </c>
      <c r="CS13" t="s">
        <v>167</v>
      </c>
      <c r="CT13" t="s">
        <v>167</v>
      </c>
      <c r="CU13" t="s">
        <v>167</v>
      </c>
      <c r="CV13" t="s">
        <v>167</v>
      </c>
      <c r="CW13" t="s">
        <v>192</v>
      </c>
      <c r="CX13" t="s">
        <v>192</v>
      </c>
      <c r="CY13" t="s">
        <v>192</v>
      </c>
      <c r="CZ13" t="s">
        <v>167</v>
      </c>
      <c r="DA13" s="147" t="s">
        <v>249</v>
      </c>
      <c r="DB13" t="s">
        <v>194</v>
      </c>
      <c r="DC13">
        <v>0.12</v>
      </c>
      <c r="DD13" t="s">
        <v>250</v>
      </c>
      <c r="DE13" t="s">
        <v>251</v>
      </c>
      <c r="DF13" t="s">
        <v>197</v>
      </c>
      <c r="DG13">
        <v>35</v>
      </c>
      <c r="DH13" t="s">
        <v>190</v>
      </c>
      <c r="DI13">
        <v>2</v>
      </c>
      <c r="DJ13" t="s">
        <v>198</v>
      </c>
      <c r="DK13">
        <v>1.7000000000000001E-2</v>
      </c>
      <c r="DL13" t="s">
        <v>199</v>
      </c>
      <c r="DM13">
        <v>3.0000000000000001E-3</v>
      </c>
      <c r="DN13" t="s">
        <v>252</v>
      </c>
      <c r="DO13">
        <v>3.7999999999999999E-2</v>
      </c>
      <c r="DP13" t="s">
        <v>199</v>
      </c>
      <c r="DQ13">
        <v>3.0000000000000001E-3</v>
      </c>
      <c r="DR13" t="s">
        <v>283</v>
      </c>
      <c r="DS13" t="s">
        <v>201</v>
      </c>
      <c r="DT13" t="s">
        <v>167</v>
      </c>
      <c r="DU13" t="s">
        <v>167</v>
      </c>
      <c r="DV13" t="s">
        <v>167</v>
      </c>
      <c r="DW13">
        <v>432.6</v>
      </c>
      <c r="DX13" t="s">
        <v>202</v>
      </c>
      <c r="DY13" t="s">
        <v>202</v>
      </c>
      <c r="DZ13" t="s">
        <v>284</v>
      </c>
      <c r="EA13" s="142">
        <f t="shared" si="8"/>
        <v>38.75</v>
      </c>
      <c r="EB13" s="142" t="s">
        <v>203</v>
      </c>
      <c r="EC13" s="142">
        <v>0.15</v>
      </c>
      <c r="ED13" t="s">
        <v>204</v>
      </c>
      <c r="EE13" t="s">
        <v>205</v>
      </c>
      <c r="EF13" t="s">
        <v>206</v>
      </c>
      <c r="EG13">
        <v>1.0271999999999999</v>
      </c>
      <c r="EH13" t="s">
        <v>207</v>
      </c>
      <c r="EI13" t="s">
        <v>207</v>
      </c>
      <c r="EJ13" t="s">
        <v>208</v>
      </c>
      <c r="EK13" t="s">
        <v>207</v>
      </c>
      <c r="EL13" t="s">
        <v>207</v>
      </c>
      <c r="EM13" t="s">
        <v>209</v>
      </c>
      <c r="EN13" t="s">
        <v>210</v>
      </c>
      <c r="EO13" t="s">
        <v>211</v>
      </c>
      <c r="EP13" t="s">
        <v>211</v>
      </c>
      <c r="EQ13" t="s">
        <v>211</v>
      </c>
      <c r="ER13" s="142" t="s">
        <v>212</v>
      </c>
      <c r="ES13" s="142" t="s">
        <v>206</v>
      </c>
      <c r="ET13" t="s">
        <v>213</v>
      </c>
      <c r="EU13" t="s">
        <v>214</v>
      </c>
      <c r="EV13" s="142" t="s">
        <v>215</v>
      </c>
      <c r="EW13" t="s">
        <v>167</v>
      </c>
      <c r="EX13" t="s">
        <v>167</v>
      </c>
      <c r="EY13" t="s">
        <v>167</v>
      </c>
      <c r="EZ13" t="s">
        <v>167</v>
      </c>
      <c r="FA13">
        <v>6.5</v>
      </c>
      <c r="FB13" t="s">
        <v>216</v>
      </c>
      <c r="FC13">
        <v>1</v>
      </c>
      <c r="FD13">
        <v>1</v>
      </c>
      <c r="FE13" s="148">
        <v>7.7944963197868633</v>
      </c>
      <c r="FF13" s="142" t="s">
        <v>217</v>
      </c>
      <c r="FG13" s="148">
        <v>4.657494723222972E-2</v>
      </c>
      <c r="FH13" s="155">
        <v>4.657494723222972E-2</v>
      </c>
      <c r="FI13" s="156">
        <v>760</v>
      </c>
      <c r="FJ13" s="157" t="s">
        <v>218</v>
      </c>
      <c r="FK13" s="157" t="s">
        <v>219</v>
      </c>
      <c r="FL13" s="156">
        <v>760</v>
      </c>
      <c r="FM13" s="151">
        <v>230</v>
      </c>
      <c r="FN13" s="151">
        <v>230</v>
      </c>
      <c r="FO13" t="s">
        <v>220</v>
      </c>
      <c r="FP13" s="142" t="s">
        <v>221</v>
      </c>
      <c r="FQ13" s="151">
        <v>2200</v>
      </c>
      <c r="FR13" s="151">
        <v>380</v>
      </c>
      <c r="FS13" s="151">
        <v>380</v>
      </c>
      <c r="FT13" s="152">
        <v>2000</v>
      </c>
      <c r="FU13" s="152">
        <v>370</v>
      </c>
      <c r="FV13" s="152">
        <v>370</v>
      </c>
      <c r="FW13" s="142" t="s">
        <v>167</v>
      </c>
      <c r="FX13" t="s">
        <v>167</v>
      </c>
      <c r="FY13" t="s">
        <v>167</v>
      </c>
      <c r="FZ13" t="s">
        <v>167</v>
      </c>
      <c r="GA13" t="s">
        <v>167</v>
      </c>
      <c r="GB13" t="s">
        <v>167</v>
      </c>
      <c r="GC13" t="s">
        <v>297</v>
      </c>
    </row>
    <row r="14" spans="1:185" s="142" customFormat="1" ht="16">
      <c r="A14" s="142" t="s">
        <v>162</v>
      </c>
      <c r="B14" s="160" t="s">
        <v>163</v>
      </c>
      <c r="C14" s="142" t="s">
        <v>164</v>
      </c>
      <c r="D14" s="142" t="s">
        <v>165</v>
      </c>
      <c r="E14" s="142">
        <v>2016</v>
      </c>
      <c r="F14" s="142" t="s">
        <v>166</v>
      </c>
      <c r="G14" s="142">
        <f t="shared" si="1"/>
        <v>32980</v>
      </c>
      <c r="H14" s="142" t="str">
        <f t="shared" si="2"/>
        <v>NA</v>
      </c>
      <c r="I14" s="142" t="str">
        <f t="shared" si="3"/>
        <v>NA</v>
      </c>
      <c r="J14" s="142">
        <f t="shared" si="4"/>
        <v>550</v>
      </c>
      <c r="K14" s="142">
        <f t="shared" si="5"/>
        <v>190</v>
      </c>
      <c r="L14" s="142">
        <f t="shared" si="6"/>
        <v>190</v>
      </c>
      <c r="M14" s="142" t="b">
        <v>1</v>
      </c>
      <c r="N14" s="142">
        <v>3</v>
      </c>
      <c r="O14" t="s">
        <v>300</v>
      </c>
      <c r="P14" t="s">
        <v>301</v>
      </c>
      <c r="Q14" s="142" t="b">
        <v>0</v>
      </c>
      <c r="R14" s="142" t="s">
        <v>167</v>
      </c>
      <c r="S14" s="142" t="b">
        <v>1</v>
      </c>
      <c r="T14" s="142" t="b">
        <v>0</v>
      </c>
      <c r="U14" s="142" t="s">
        <v>167</v>
      </c>
      <c r="V14" s="142" t="b">
        <v>0</v>
      </c>
      <c r="W14" s="142" t="b">
        <v>0</v>
      </c>
      <c r="X14" s="142" t="s">
        <v>167</v>
      </c>
      <c r="Y14" s="175" t="s">
        <v>299</v>
      </c>
      <c r="Z14" s="142" t="s">
        <v>166</v>
      </c>
      <c r="AA14" s="142" t="s">
        <v>255</v>
      </c>
      <c r="AB14" s="142" t="s">
        <v>167</v>
      </c>
      <c r="AC14" s="142">
        <v>13</v>
      </c>
      <c r="AD14" s="142">
        <v>2</v>
      </c>
      <c r="AE14" s="142">
        <v>0</v>
      </c>
      <c r="AF14" s="142">
        <v>50</v>
      </c>
      <c r="AG14" s="142" t="s">
        <v>167</v>
      </c>
      <c r="AH14" s="169">
        <v>42.7</v>
      </c>
      <c r="AI14" s="142" t="s">
        <v>167</v>
      </c>
      <c r="AJ14" s="142" t="s">
        <v>169</v>
      </c>
      <c r="AK14">
        <v>-9.1863888899999999</v>
      </c>
      <c r="AL14" s="142">
        <v>39.551111110000001</v>
      </c>
      <c r="AM14" s="142">
        <v>-19</v>
      </c>
      <c r="AN14" s="142" t="s">
        <v>167</v>
      </c>
      <c r="AO14" s="142" t="s">
        <v>167</v>
      </c>
      <c r="AP14" s="174" t="s">
        <v>281</v>
      </c>
      <c r="AQ14" s="142" t="s">
        <v>171</v>
      </c>
      <c r="AR14" s="142" t="s">
        <v>167</v>
      </c>
      <c r="AS14" s="170">
        <v>32980</v>
      </c>
      <c r="AT14" s="142" t="s">
        <v>172</v>
      </c>
      <c r="AU14" s="142" t="s">
        <v>167</v>
      </c>
      <c r="AV14" s="142" t="s">
        <v>167</v>
      </c>
      <c r="AW14" s="142" t="s">
        <v>173</v>
      </c>
      <c r="AX14" s="142" t="s">
        <v>174</v>
      </c>
      <c r="AY14" s="142" t="s">
        <v>256</v>
      </c>
      <c r="AZ14" s="142" t="s">
        <v>167</v>
      </c>
      <c r="BA14" s="142" t="s">
        <v>167</v>
      </c>
      <c r="BB14" s="142" t="s">
        <v>167</v>
      </c>
      <c r="BC14" s="142" t="s">
        <v>167</v>
      </c>
      <c r="BD14" s="142" t="s">
        <v>167</v>
      </c>
      <c r="BE14" s="142" t="s">
        <v>167</v>
      </c>
      <c r="BF14" s="142" t="s">
        <v>167</v>
      </c>
      <c r="BG14" s="164" t="s">
        <v>257</v>
      </c>
      <c r="BH14" s="148" t="s">
        <v>177</v>
      </c>
      <c r="BI14" s="148" t="s">
        <v>258</v>
      </c>
      <c r="BJ14" s="142" t="s">
        <v>167</v>
      </c>
      <c r="BK14" s="142" t="s">
        <v>180</v>
      </c>
      <c r="BL14" s="142" t="s">
        <v>181</v>
      </c>
      <c r="BM14" s="142" t="s">
        <v>182</v>
      </c>
      <c r="BN14" s="142" t="s">
        <v>259</v>
      </c>
      <c r="BO14" s="142">
        <v>2</v>
      </c>
      <c r="BP14" s="142">
        <v>3.0000000000001133E-2</v>
      </c>
      <c r="BQ14" s="148">
        <v>15.758716915017333</v>
      </c>
      <c r="BR14" s="142" t="s">
        <v>184</v>
      </c>
      <c r="BS14" s="148">
        <v>0.26727070847108353</v>
      </c>
      <c r="BT14" s="142">
        <v>1</v>
      </c>
      <c r="BU14" s="142" t="s">
        <v>185</v>
      </c>
      <c r="BV14" s="142" t="s">
        <v>185</v>
      </c>
      <c r="BW14" s="142">
        <v>0</v>
      </c>
      <c r="BX14" s="142" t="s">
        <v>186</v>
      </c>
      <c r="BY14" s="142" t="s">
        <v>186</v>
      </c>
      <c r="BZ14" s="142" t="s">
        <v>187</v>
      </c>
      <c r="CA14" s="142" t="s">
        <v>167</v>
      </c>
      <c r="CB14" s="166">
        <v>15.758716915017333</v>
      </c>
      <c r="CC14" s="142" t="s">
        <v>188</v>
      </c>
      <c r="CD14" s="166">
        <v>0.26727070847108353</v>
      </c>
      <c r="CE14" s="142" t="s">
        <v>188</v>
      </c>
      <c r="CF14" s="142" t="s">
        <v>167</v>
      </c>
      <c r="CG14" s="142" t="s">
        <v>260</v>
      </c>
      <c r="CH14" s="142" t="s">
        <v>189</v>
      </c>
      <c r="CI14" s="142" t="s">
        <v>189</v>
      </c>
      <c r="CJ14" s="163">
        <v>29.925315695288841</v>
      </c>
      <c r="CK14" s="142" t="s">
        <v>190</v>
      </c>
      <c r="CL14" s="142">
        <v>2</v>
      </c>
      <c r="CM14" s="142">
        <v>2</v>
      </c>
      <c r="CN14" s="142" t="s">
        <v>167</v>
      </c>
      <c r="CO14" s="171">
        <v>4.1329370403052499</v>
      </c>
      <c r="CP14" s="142" t="s">
        <v>261</v>
      </c>
      <c r="CQ14" s="166">
        <v>8.2658740806104997E-2</v>
      </c>
      <c r="CR14" s="166">
        <v>8.2658740806104997E-2</v>
      </c>
      <c r="CS14" s="172" t="s">
        <v>262</v>
      </c>
      <c r="CT14" s="142" t="s">
        <v>282</v>
      </c>
      <c r="CU14" s="142">
        <v>4.3</v>
      </c>
      <c r="CV14" s="142" t="s">
        <v>278</v>
      </c>
      <c r="CW14" s="142" t="s">
        <v>192</v>
      </c>
      <c r="CX14" s="142" t="s">
        <v>192</v>
      </c>
      <c r="CY14" s="142" t="s">
        <v>192</v>
      </c>
      <c r="CZ14" s="142" t="s">
        <v>167</v>
      </c>
      <c r="DA14" s="142" t="s">
        <v>167</v>
      </c>
      <c r="DB14" s="142" t="s">
        <v>167</v>
      </c>
      <c r="DC14" s="142" t="s">
        <v>167</v>
      </c>
      <c r="DD14" s="142" t="s">
        <v>167</v>
      </c>
      <c r="DE14" s="142" t="s">
        <v>167</v>
      </c>
      <c r="DF14" s="142" t="s">
        <v>167</v>
      </c>
      <c r="DG14" s="142">
        <v>35</v>
      </c>
      <c r="DH14" s="142" t="s">
        <v>190</v>
      </c>
      <c r="DI14" s="142">
        <v>2</v>
      </c>
      <c r="DJ14" s="142" t="s">
        <v>198</v>
      </c>
      <c r="DK14" s="142">
        <v>1.7000000000000001E-2</v>
      </c>
      <c r="DL14" s="142" t="s">
        <v>199</v>
      </c>
      <c r="DM14" s="142">
        <v>3.0000000000000001E-3</v>
      </c>
      <c r="DN14" s="142" t="s">
        <v>252</v>
      </c>
      <c r="DO14" s="142">
        <v>3.7999999999999999E-2</v>
      </c>
      <c r="DP14" s="142" t="s">
        <v>199</v>
      </c>
      <c r="DQ14" s="142">
        <v>3.0000000000000001E-3</v>
      </c>
      <c r="DR14" t="s">
        <v>283</v>
      </c>
      <c r="DS14" s="142" t="s">
        <v>201</v>
      </c>
      <c r="DT14" s="142" t="s">
        <v>167</v>
      </c>
      <c r="DU14" s="142" t="s">
        <v>167</v>
      </c>
      <c r="DV14" s="142" t="s">
        <v>167</v>
      </c>
      <c r="DW14" s="142">
        <v>432.6</v>
      </c>
      <c r="DX14" s="142" t="s">
        <v>202</v>
      </c>
      <c r="DY14" s="142" t="s">
        <v>202</v>
      </c>
      <c r="DZ14" t="s">
        <v>284</v>
      </c>
      <c r="EA14" s="142">
        <v>38.450000000000003</v>
      </c>
      <c r="EB14" s="142" t="s">
        <v>203</v>
      </c>
      <c r="EC14" s="142">
        <v>0.25</v>
      </c>
      <c r="ED14" s="142" t="s">
        <v>204</v>
      </c>
      <c r="EE14" s="142" t="s">
        <v>205</v>
      </c>
      <c r="EF14" s="142" t="s">
        <v>206</v>
      </c>
      <c r="EG14" s="142">
        <v>1.0271999999999999</v>
      </c>
      <c r="EH14" s="142" t="s">
        <v>207</v>
      </c>
      <c r="EI14" s="142" t="s">
        <v>207</v>
      </c>
      <c r="EJ14" s="142" t="s">
        <v>208</v>
      </c>
      <c r="EK14" s="142" t="s">
        <v>207</v>
      </c>
      <c r="EL14" s="142" t="s">
        <v>207</v>
      </c>
      <c r="EM14" s="142" t="s">
        <v>209</v>
      </c>
      <c r="EN14" s="142" t="s">
        <v>210</v>
      </c>
      <c r="EO14" s="142" t="s">
        <v>211</v>
      </c>
      <c r="EP14" s="142" t="s">
        <v>211</v>
      </c>
      <c r="EQ14" s="142" t="s">
        <v>211</v>
      </c>
      <c r="ER14" s="142" t="s">
        <v>212</v>
      </c>
      <c r="ES14" s="142" t="s">
        <v>206</v>
      </c>
      <c r="ET14" s="142" t="s">
        <v>213</v>
      </c>
      <c r="EU14" s="142" t="s">
        <v>214</v>
      </c>
      <c r="EV14" s="142" t="s">
        <v>215</v>
      </c>
      <c r="EW14" s="142" t="s">
        <v>167</v>
      </c>
      <c r="EX14" s="142" t="s">
        <v>167</v>
      </c>
      <c r="EY14" s="142" t="s">
        <v>167</v>
      </c>
      <c r="EZ14" s="142" t="s">
        <v>167</v>
      </c>
      <c r="FA14" s="142">
        <v>6.5</v>
      </c>
      <c r="FB14" s="142" t="s">
        <v>216</v>
      </c>
      <c r="FC14" s="142">
        <v>1</v>
      </c>
      <c r="FD14" s="142">
        <v>1</v>
      </c>
      <c r="FE14" s="148">
        <v>7.8785464701954186</v>
      </c>
      <c r="FF14" s="142" t="s">
        <v>217</v>
      </c>
      <c r="FG14" s="148">
        <v>5.0212651172052043E-2</v>
      </c>
      <c r="FH14" s="155">
        <v>5.0212651172052043E-2</v>
      </c>
      <c r="FI14" s="156">
        <v>550</v>
      </c>
      <c r="FJ14" s="157" t="s">
        <v>218</v>
      </c>
      <c r="FK14" s="157" t="s">
        <v>167</v>
      </c>
      <c r="FL14" s="156">
        <v>550</v>
      </c>
      <c r="FM14" s="151">
        <v>190</v>
      </c>
      <c r="FN14" s="151">
        <v>190</v>
      </c>
      <c r="FO14" s="142" t="s">
        <v>220</v>
      </c>
      <c r="FP14" s="142" t="s">
        <v>221</v>
      </c>
      <c r="FQ14" s="151">
        <v>2000</v>
      </c>
      <c r="FR14" s="151">
        <v>350</v>
      </c>
      <c r="FS14" s="151">
        <v>350</v>
      </c>
      <c r="FT14" s="152">
        <v>1800</v>
      </c>
      <c r="FU14" s="152">
        <v>330</v>
      </c>
      <c r="FV14" s="152">
        <v>330</v>
      </c>
      <c r="FW14" s="142" t="s">
        <v>167</v>
      </c>
      <c r="FX14" s="142" t="s">
        <v>167</v>
      </c>
      <c r="FY14" s="142" t="s">
        <v>167</v>
      </c>
      <c r="FZ14" s="142" t="s">
        <v>167</v>
      </c>
      <c r="GA14" s="142" t="s">
        <v>167</v>
      </c>
      <c r="GB14" s="142" t="s">
        <v>167</v>
      </c>
      <c r="GC14" s="142" t="s">
        <v>263</v>
      </c>
    </row>
    <row r="15" spans="1:185" s="142" customFormat="1" ht="16">
      <c r="A15" s="142" t="s">
        <v>162</v>
      </c>
      <c r="B15" s="160" t="s">
        <v>163</v>
      </c>
      <c r="C15" s="142" t="s">
        <v>164</v>
      </c>
      <c r="D15" s="142" t="s">
        <v>165</v>
      </c>
      <c r="E15" s="142">
        <v>2016</v>
      </c>
      <c r="F15" s="142" t="s">
        <v>166</v>
      </c>
      <c r="G15" s="142">
        <f t="shared" si="1"/>
        <v>33170</v>
      </c>
      <c r="H15" s="142" t="str">
        <f t="shared" si="2"/>
        <v>NA</v>
      </c>
      <c r="I15" s="142" t="str">
        <f t="shared" si="3"/>
        <v>NA</v>
      </c>
      <c r="J15" s="142">
        <f t="shared" si="4"/>
        <v>710</v>
      </c>
      <c r="K15" s="142">
        <f t="shared" si="5"/>
        <v>230</v>
      </c>
      <c r="L15" s="142">
        <f t="shared" si="6"/>
        <v>230</v>
      </c>
      <c r="M15" s="142" t="b">
        <v>1</v>
      </c>
      <c r="N15" s="142">
        <v>3</v>
      </c>
      <c r="O15" t="s">
        <v>300</v>
      </c>
      <c r="P15" t="s">
        <v>301</v>
      </c>
      <c r="Q15" s="142" t="b">
        <v>0</v>
      </c>
      <c r="R15" s="142" t="s">
        <v>167</v>
      </c>
      <c r="S15" s="142" t="b">
        <v>1</v>
      </c>
      <c r="T15" s="142" t="b">
        <v>0</v>
      </c>
      <c r="U15" s="142" t="s">
        <v>167</v>
      </c>
      <c r="V15" s="142" t="b">
        <v>0</v>
      </c>
      <c r="W15" s="142" t="b">
        <v>0</v>
      </c>
      <c r="X15" s="142" t="s">
        <v>167</v>
      </c>
      <c r="Y15" s="175" t="s">
        <v>299</v>
      </c>
      <c r="Z15" s="142" t="s">
        <v>166</v>
      </c>
      <c r="AA15" s="142" t="s">
        <v>255</v>
      </c>
      <c r="AB15" s="142" t="s">
        <v>167</v>
      </c>
      <c r="AC15" s="142">
        <v>19</v>
      </c>
      <c r="AD15" s="142">
        <v>1</v>
      </c>
      <c r="AE15" s="142">
        <v>0</v>
      </c>
      <c r="AF15" s="142">
        <v>50</v>
      </c>
      <c r="AG15" s="142" t="s">
        <v>167</v>
      </c>
      <c r="AH15" s="169">
        <v>59.7</v>
      </c>
      <c r="AI15" s="142" t="s">
        <v>167</v>
      </c>
      <c r="AJ15" s="142" t="s">
        <v>169</v>
      </c>
      <c r="AK15">
        <v>-9.1863888899999999</v>
      </c>
      <c r="AL15" s="142">
        <v>39.551111110000001</v>
      </c>
      <c r="AM15" s="142">
        <v>-19</v>
      </c>
      <c r="AN15" s="142" t="s">
        <v>167</v>
      </c>
      <c r="AO15" s="142" t="s">
        <v>167</v>
      </c>
      <c r="AP15" s="174" t="s">
        <v>281</v>
      </c>
      <c r="AQ15" s="142" t="s">
        <v>171</v>
      </c>
      <c r="AR15" s="142" t="s">
        <v>167</v>
      </c>
      <c r="AS15" s="173">
        <v>33170</v>
      </c>
      <c r="AT15" s="142" t="s">
        <v>172</v>
      </c>
      <c r="AU15" s="142" t="s">
        <v>167</v>
      </c>
      <c r="AV15" s="142" t="s">
        <v>167</v>
      </c>
      <c r="AW15" s="142" t="s">
        <v>173</v>
      </c>
      <c r="AX15" s="142" t="s">
        <v>174</v>
      </c>
      <c r="AY15" s="142" t="s">
        <v>256</v>
      </c>
      <c r="AZ15" s="142" t="s">
        <v>167</v>
      </c>
      <c r="BA15" s="142" t="s">
        <v>167</v>
      </c>
      <c r="BB15" s="142" t="s">
        <v>167</v>
      </c>
      <c r="BC15" s="142" t="s">
        <v>167</v>
      </c>
      <c r="BD15" s="142" t="s">
        <v>167</v>
      </c>
      <c r="BE15" s="142" t="s">
        <v>167</v>
      </c>
      <c r="BF15" s="142" t="s">
        <v>167</v>
      </c>
      <c r="BG15" s="164" t="s">
        <v>257</v>
      </c>
      <c r="BH15" s="148" t="s">
        <v>177</v>
      </c>
      <c r="BI15" s="148" t="s">
        <v>258</v>
      </c>
      <c r="BJ15" s="142" t="s">
        <v>167</v>
      </c>
      <c r="BK15" s="142" t="s">
        <v>180</v>
      </c>
      <c r="BL15" s="142" t="s">
        <v>181</v>
      </c>
      <c r="BM15" s="142" t="s">
        <v>182</v>
      </c>
      <c r="BN15" s="142" t="s">
        <v>264</v>
      </c>
      <c r="BO15" s="142">
        <v>2</v>
      </c>
      <c r="BP15" s="142">
        <v>0.38000000000000073</v>
      </c>
      <c r="BQ15" s="148">
        <v>15.31090196348655</v>
      </c>
      <c r="BR15" s="142" t="s">
        <v>184</v>
      </c>
      <c r="BS15" s="148">
        <v>0.26793015211683424</v>
      </c>
      <c r="BT15" s="142">
        <v>1</v>
      </c>
      <c r="BU15" s="142" t="s">
        <v>185</v>
      </c>
      <c r="BV15" s="142" t="s">
        <v>185</v>
      </c>
      <c r="BW15" s="142">
        <v>0</v>
      </c>
      <c r="BX15" s="142" t="s">
        <v>186</v>
      </c>
      <c r="BY15" s="142" t="s">
        <v>186</v>
      </c>
      <c r="BZ15" s="142" t="s">
        <v>187</v>
      </c>
      <c r="CA15" s="142" t="s">
        <v>167</v>
      </c>
      <c r="CB15" s="166">
        <v>15.31090196348655</v>
      </c>
      <c r="CC15" s="142" t="s">
        <v>188</v>
      </c>
      <c r="CD15" s="166">
        <v>0.26793015211683424</v>
      </c>
      <c r="CE15" s="142" t="s">
        <v>188</v>
      </c>
      <c r="CF15" s="142" t="s">
        <v>167</v>
      </c>
      <c r="CG15" s="142" t="s">
        <v>260</v>
      </c>
      <c r="CH15" s="142" t="s">
        <v>189</v>
      </c>
      <c r="CI15" s="142" t="s">
        <v>189</v>
      </c>
      <c r="CJ15" s="163">
        <v>30.450562402423493</v>
      </c>
      <c r="CK15" s="142" t="s">
        <v>190</v>
      </c>
      <c r="CL15" s="142">
        <v>2</v>
      </c>
      <c r="CM15" s="142">
        <v>2</v>
      </c>
      <c r="CN15" s="142" t="s">
        <v>167</v>
      </c>
      <c r="CO15" s="171">
        <v>4.1877376849825874</v>
      </c>
      <c r="CP15" s="142" t="s">
        <v>261</v>
      </c>
      <c r="CQ15" s="166">
        <v>8.3754753699651754E-2</v>
      </c>
      <c r="CR15" s="166">
        <v>8.3754753699651754E-2</v>
      </c>
      <c r="CS15" s="172" t="s">
        <v>262</v>
      </c>
      <c r="CT15" s="142" t="s">
        <v>282</v>
      </c>
      <c r="CU15" s="142">
        <v>4.3</v>
      </c>
      <c r="CV15" s="142" t="s">
        <v>278</v>
      </c>
      <c r="CW15" s="142" t="s">
        <v>192</v>
      </c>
      <c r="CX15" s="142" t="s">
        <v>192</v>
      </c>
      <c r="CY15" s="142" t="s">
        <v>192</v>
      </c>
      <c r="CZ15" s="142" t="s">
        <v>167</v>
      </c>
      <c r="DA15" s="142" t="s">
        <v>167</v>
      </c>
      <c r="DB15" s="142" t="s">
        <v>167</v>
      </c>
      <c r="DC15" s="142" t="s">
        <v>167</v>
      </c>
      <c r="DD15" s="142" t="s">
        <v>167</v>
      </c>
      <c r="DE15" s="142" t="s">
        <v>167</v>
      </c>
      <c r="DF15" s="142" t="s">
        <v>167</v>
      </c>
      <c r="DG15" s="142">
        <v>35</v>
      </c>
      <c r="DH15" s="142" t="s">
        <v>190</v>
      </c>
      <c r="DI15" s="142">
        <v>2</v>
      </c>
      <c r="DJ15" s="142" t="s">
        <v>198</v>
      </c>
      <c r="DK15" s="142">
        <v>1.7000000000000001E-2</v>
      </c>
      <c r="DL15" s="142" t="s">
        <v>199</v>
      </c>
      <c r="DM15" s="142">
        <v>3.0000000000000001E-3</v>
      </c>
      <c r="DN15" s="142" t="s">
        <v>252</v>
      </c>
      <c r="DO15" s="142">
        <v>3.7999999999999999E-2</v>
      </c>
      <c r="DP15" s="142" t="s">
        <v>199</v>
      </c>
      <c r="DQ15" s="142">
        <v>3.0000000000000001E-3</v>
      </c>
      <c r="DR15" t="s">
        <v>283</v>
      </c>
      <c r="DS15" s="142" t="s">
        <v>201</v>
      </c>
      <c r="DT15" s="142" t="s">
        <v>167</v>
      </c>
      <c r="DU15" s="142" t="s">
        <v>167</v>
      </c>
      <c r="DV15" s="142" t="s">
        <v>167</v>
      </c>
      <c r="DW15" s="142">
        <v>432.6</v>
      </c>
      <c r="DX15" s="142" t="s">
        <v>202</v>
      </c>
      <c r="DY15" s="142" t="s">
        <v>202</v>
      </c>
      <c r="DZ15" t="s">
        <v>284</v>
      </c>
      <c r="EA15" s="142">
        <v>38.450000000000003</v>
      </c>
      <c r="EB15" s="142" t="s">
        <v>203</v>
      </c>
      <c r="EC15" s="142">
        <v>0.25</v>
      </c>
      <c r="ED15" s="142" t="s">
        <v>204</v>
      </c>
      <c r="EE15" s="142" t="s">
        <v>205</v>
      </c>
      <c r="EF15" s="142" t="s">
        <v>206</v>
      </c>
      <c r="EG15" s="142">
        <v>1.0271999999999999</v>
      </c>
      <c r="EH15" s="142" t="s">
        <v>207</v>
      </c>
      <c r="EI15" s="142" t="s">
        <v>207</v>
      </c>
      <c r="EJ15" s="142" t="s">
        <v>208</v>
      </c>
      <c r="EK15" s="142" t="s">
        <v>207</v>
      </c>
      <c r="EL15" s="142" t="s">
        <v>207</v>
      </c>
      <c r="EM15" s="142" t="s">
        <v>209</v>
      </c>
      <c r="EN15" s="142" t="s">
        <v>210</v>
      </c>
      <c r="EO15" s="142" t="s">
        <v>211</v>
      </c>
      <c r="EP15" s="142" t="s">
        <v>211</v>
      </c>
      <c r="EQ15" s="142" t="s">
        <v>211</v>
      </c>
      <c r="ER15" s="142" t="s">
        <v>212</v>
      </c>
      <c r="ES15" s="142" t="s">
        <v>206</v>
      </c>
      <c r="ET15" s="142" t="s">
        <v>213</v>
      </c>
      <c r="EU15" s="142" t="s">
        <v>214</v>
      </c>
      <c r="EV15" s="142" t="s">
        <v>215</v>
      </c>
      <c r="EW15" s="142" t="s">
        <v>167</v>
      </c>
      <c r="EX15" s="142" t="s">
        <v>167</v>
      </c>
      <c r="EY15" s="142" t="s">
        <v>167</v>
      </c>
      <c r="EZ15" s="142" t="s">
        <v>167</v>
      </c>
      <c r="FA15" s="142">
        <v>6.5</v>
      </c>
      <c r="FB15" s="142" t="s">
        <v>216</v>
      </c>
      <c r="FC15" s="142">
        <v>1</v>
      </c>
      <c r="FD15" s="142">
        <v>1</v>
      </c>
      <c r="FE15" s="148">
        <v>7.8213257828535117</v>
      </c>
      <c r="FF15" s="142" t="s">
        <v>217</v>
      </c>
      <c r="FG15" s="148">
        <v>5.2305082831856302E-2</v>
      </c>
      <c r="FH15" s="155">
        <v>5.2305082831856302E-2</v>
      </c>
      <c r="FI15" s="156">
        <v>710</v>
      </c>
      <c r="FJ15" s="157" t="s">
        <v>218</v>
      </c>
      <c r="FK15" s="157" t="s">
        <v>167</v>
      </c>
      <c r="FL15" s="156">
        <v>710</v>
      </c>
      <c r="FM15" s="151">
        <v>230</v>
      </c>
      <c r="FN15" s="151">
        <v>230</v>
      </c>
      <c r="FO15" s="142" t="s">
        <v>220</v>
      </c>
      <c r="FP15" s="142" t="s">
        <v>221</v>
      </c>
      <c r="FQ15" s="151">
        <v>2100</v>
      </c>
      <c r="FR15" s="151">
        <v>390</v>
      </c>
      <c r="FS15" s="151">
        <v>390</v>
      </c>
      <c r="FT15" s="152">
        <v>1900</v>
      </c>
      <c r="FU15" s="152">
        <v>370</v>
      </c>
      <c r="FV15" s="152">
        <v>370</v>
      </c>
      <c r="FW15" s="142" t="s">
        <v>167</v>
      </c>
      <c r="FX15" s="142" t="s">
        <v>167</v>
      </c>
      <c r="FY15" s="142" t="s">
        <v>167</v>
      </c>
      <c r="FZ15" s="142" t="s">
        <v>167</v>
      </c>
      <c r="GA15" s="142" t="s">
        <v>167</v>
      </c>
      <c r="GB15" s="142" t="s">
        <v>167</v>
      </c>
      <c r="GC15" s="142" t="s">
        <v>263</v>
      </c>
    </row>
    <row r="16" spans="1:185" s="142" customFormat="1" ht="16">
      <c r="A16" s="142" t="s">
        <v>162</v>
      </c>
      <c r="B16" s="160" t="s">
        <v>163</v>
      </c>
      <c r="C16" s="142" t="s">
        <v>164</v>
      </c>
      <c r="D16" s="142" t="s">
        <v>165</v>
      </c>
      <c r="E16" s="142">
        <v>2016</v>
      </c>
      <c r="F16" s="142" t="s">
        <v>166</v>
      </c>
      <c r="G16" s="142">
        <f t="shared" si="1"/>
        <v>33330</v>
      </c>
      <c r="H16" s="142" t="str">
        <f t="shared" si="2"/>
        <v>NA</v>
      </c>
      <c r="I16" s="142" t="str">
        <f t="shared" si="3"/>
        <v>NA</v>
      </c>
      <c r="J16" s="142">
        <f t="shared" si="4"/>
        <v>890</v>
      </c>
      <c r="K16" s="142">
        <f t="shared" si="5"/>
        <v>290</v>
      </c>
      <c r="L16" s="142">
        <f t="shared" si="6"/>
        <v>290</v>
      </c>
      <c r="M16" s="142" t="b">
        <v>1</v>
      </c>
      <c r="N16" s="142">
        <v>3</v>
      </c>
      <c r="O16" t="s">
        <v>300</v>
      </c>
      <c r="P16" t="s">
        <v>301</v>
      </c>
      <c r="Q16" s="142" t="b">
        <v>0</v>
      </c>
      <c r="R16" s="142" t="s">
        <v>167</v>
      </c>
      <c r="S16" s="142" t="b">
        <v>1</v>
      </c>
      <c r="T16" s="142" t="b">
        <v>0</v>
      </c>
      <c r="U16" s="142" t="s">
        <v>167</v>
      </c>
      <c r="V16" s="142" t="b">
        <v>0</v>
      </c>
      <c r="W16" s="142" t="b">
        <v>0</v>
      </c>
      <c r="X16" s="142" t="s">
        <v>167</v>
      </c>
      <c r="Y16" s="175" t="s">
        <v>299</v>
      </c>
      <c r="Z16" s="142" t="s">
        <v>166</v>
      </c>
      <c r="AA16" s="142" t="s">
        <v>255</v>
      </c>
      <c r="AB16" s="142" t="s">
        <v>167</v>
      </c>
      <c r="AC16" s="142">
        <v>26</v>
      </c>
      <c r="AD16" s="142">
        <v>1</v>
      </c>
      <c r="AE16" s="142">
        <v>40</v>
      </c>
      <c r="AF16" s="142">
        <v>90</v>
      </c>
      <c r="AG16" s="142" t="s">
        <v>167</v>
      </c>
      <c r="AH16" s="169">
        <v>75.45</v>
      </c>
      <c r="AI16" s="142" t="s">
        <v>167</v>
      </c>
      <c r="AJ16" s="142" t="s">
        <v>169</v>
      </c>
      <c r="AK16">
        <v>-9.1863888899999999</v>
      </c>
      <c r="AL16" s="142">
        <v>39.551111110000001</v>
      </c>
      <c r="AM16" s="142">
        <v>-19</v>
      </c>
      <c r="AN16" s="142" t="s">
        <v>167</v>
      </c>
      <c r="AO16" s="142" t="s">
        <v>167</v>
      </c>
      <c r="AP16" s="174" t="s">
        <v>281</v>
      </c>
      <c r="AQ16" s="142" t="s">
        <v>171</v>
      </c>
      <c r="AR16" s="142" t="s">
        <v>167</v>
      </c>
      <c r="AS16" s="170">
        <v>33330</v>
      </c>
      <c r="AT16" s="142" t="s">
        <v>172</v>
      </c>
      <c r="AU16" s="142" t="s">
        <v>167</v>
      </c>
      <c r="AV16" s="142" t="s">
        <v>167</v>
      </c>
      <c r="AW16" s="142" t="s">
        <v>173</v>
      </c>
      <c r="AX16" s="142" t="s">
        <v>174</v>
      </c>
      <c r="AY16" s="142" t="s">
        <v>256</v>
      </c>
      <c r="AZ16" s="142" t="s">
        <v>167</v>
      </c>
      <c r="BA16" s="142" t="s">
        <v>167</v>
      </c>
      <c r="BB16" s="142" t="s">
        <v>167</v>
      </c>
      <c r="BC16" s="142" t="s">
        <v>167</v>
      </c>
      <c r="BD16" s="142" t="s">
        <v>167</v>
      </c>
      <c r="BE16" s="142" t="s">
        <v>167</v>
      </c>
      <c r="BF16" s="142" t="s">
        <v>167</v>
      </c>
      <c r="BG16" s="164" t="s">
        <v>257</v>
      </c>
      <c r="BH16" s="148" t="s">
        <v>177</v>
      </c>
      <c r="BI16" s="148" t="s">
        <v>258</v>
      </c>
      <c r="BJ16" s="142" t="s">
        <v>167</v>
      </c>
      <c r="BK16" s="142" t="s">
        <v>180</v>
      </c>
      <c r="BL16" s="142" t="s">
        <v>181</v>
      </c>
      <c r="BM16" s="142" t="s">
        <v>182</v>
      </c>
      <c r="BN16" s="142" t="s">
        <v>265</v>
      </c>
      <c r="BO16" s="142">
        <v>2</v>
      </c>
      <c r="BP16" s="142">
        <v>8.0000000000000071E-2</v>
      </c>
      <c r="BQ16" s="148">
        <v>14.928367132844311</v>
      </c>
      <c r="BR16" s="142" t="s">
        <v>184</v>
      </c>
      <c r="BS16" s="148">
        <v>0.26091628653420895</v>
      </c>
      <c r="BT16" s="142">
        <v>1</v>
      </c>
      <c r="BU16" s="142" t="s">
        <v>185</v>
      </c>
      <c r="BV16" s="142" t="s">
        <v>185</v>
      </c>
      <c r="BW16" s="142">
        <v>0</v>
      </c>
      <c r="BX16" s="142" t="s">
        <v>186</v>
      </c>
      <c r="BY16" s="142" t="s">
        <v>186</v>
      </c>
      <c r="BZ16" s="142" t="s">
        <v>187</v>
      </c>
      <c r="CA16" s="142" t="s">
        <v>167</v>
      </c>
      <c r="CB16" s="166">
        <v>14.928367132844311</v>
      </c>
      <c r="CC16" s="142" t="s">
        <v>188</v>
      </c>
      <c r="CD16" s="166">
        <v>0.26091628653420895</v>
      </c>
      <c r="CE16" s="142" t="s">
        <v>188</v>
      </c>
      <c r="CF16" s="142" t="s">
        <v>167</v>
      </c>
      <c r="CG16" s="142" t="s">
        <v>260</v>
      </c>
      <c r="CH16" s="142" t="s">
        <v>189</v>
      </c>
      <c r="CI16" s="142" t="s">
        <v>189</v>
      </c>
      <c r="CJ16" s="163">
        <v>31.037153247391789</v>
      </c>
      <c r="CK16" s="142" t="s">
        <v>190</v>
      </c>
      <c r="CL16" s="142">
        <v>2</v>
      </c>
      <c r="CM16" s="142">
        <v>2</v>
      </c>
      <c r="CN16" s="142" t="s">
        <v>167</v>
      </c>
      <c r="CO16" s="171">
        <v>4.6603652712700114</v>
      </c>
      <c r="CP16" s="142" t="s">
        <v>261</v>
      </c>
      <c r="CQ16" s="166">
        <v>9.3207305425400233E-2</v>
      </c>
      <c r="CR16" s="166">
        <v>9.3207305425400233E-2</v>
      </c>
      <c r="CS16" s="172" t="s">
        <v>262</v>
      </c>
      <c r="CT16" s="142" t="s">
        <v>282</v>
      </c>
      <c r="CU16" s="142">
        <v>4.3</v>
      </c>
      <c r="CV16" s="142" t="s">
        <v>278</v>
      </c>
      <c r="CW16" s="142" t="s">
        <v>192</v>
      </c>
      <c r="CX16" s="142" t="s">
        <v>192</v>
      </c>
      <c r="CY16" s="142" t="s">
        <v>192</v>
      </c>
      <c r="CZ16" s="142" t="s">
        <v>167</v>
      </c>
      <c r="DA16" s="142" t="s">
        <v>167</v>
      </c>
      <c r="DB16" s="142" t="s">
        <v>167</v>
      </c>
      <c r="DC16" s="142" t="s">
        <v>167</v>
      </c>
      <c r="DD16" s="142" t="s">
        <v>167</v>
      </c>
      <c r="DE16" s="142" t="s">
        <v>167</v>
      </c>
      <c r="DF16" s="142" t="s">
        <v>167</v>
      </c>
      <c r="DG16" s="142">
        <v>35</v>
      </c>
      <c r="DH16" s="142" t="s">
        <v>190</v>
      </c>
      <c r="DI16" s="142">
        <v>2</v>
      </c>
      <c r="DJ16" s="142" t="s">
        <v>198</v>
      </c>
      <c r="DK16" s="142">
        <v>1.7000000000000001E-2</v>
      </c>
      <c r="DL16" s="142" t="s">
        <v>199</v>
      </c>
      <c r="DM16" s="142">
        <v>3.0000000000000001E-3</v>
      </c>
      <c r="DN16" s="142" t="s">
        <v>252</v>
      </c>
      <c r="DO16" s="142">
        <v>3.7999999999999999E-2</v>
      </c>
      <c r="DP16" s="142" t="s">
        <v>199</v>
      </c>
      <c r="DQ16" s="142">
        <v>3.0000000000000001E-3</v>
      </c>
      <c r="DR16" t="s">
        <v>283</v>
      </c>
      <c r="DS16" s="142" t="s">
        <v>201</v>
      </c>
      <c r="DT16" s="142" t="s">
        <v>167</v>
      </c>
      <c r="DU16" s="142" t="s">
        <v>167</v>
      </c>
      <c r="DV16" s="142" t="s">
        <v>167</v>
      </c>
      <c r="DW16" s="142">
        <v>432.6</v>
      </c>
      <c r="DX16" s="142" t="s">
        <v>202</v>
      </c>
      <c r="DY16" s="142" t="s">
        <v>202</v>
      </c>
      <c r="DZ16" t="s">
        <v>284</v>
      </c>
      <c r="EA16" s="142">
        <v>38.450000000000003</v>
      </c>
      <c r="EB16" s="142" t="s">
        <v>203</v>
      </c>
      <c r="EC16" s="142">
        <v>0.25</v>
      </c>
      <c r="ED16" s="142" t="s">
        <v>204</v>
      </c>
      <c r="EE16" s="142" t="s">
        <v>205</v>
      </c>
      <c r="EF16" s="142" t="s">
        <v>206</v>
      </c>
      <c r="EG16" s="142">
        <v>1.0271999999999999</v>
      </c>
      <c r="EH16" s="142" t="s">
        <v>207</v>
      </c>
      <c r="EI16" s="142" t="s">
        <v>207</v>
      </c>
      <c r="EJ16" s="142" t="s">
        <v>208</v>
      </c>
      <c r="EK16" s="142" t="s">
        <v>207</v>
      </c>
      <c r="EL16" s="142" t="s">
        <v>207</v>
      </c>
      <c r="EM16" s="142" t="s">
        <v>209</v>
      </c>
      <c r="EN16" s="142" t="s">
        <v>210</v>
      </c>
      <c r="EO16" s="142" t="s">
        <v>211</v>
      </c>
      <c r="EP16" s="142" t="s">
        <v>211</v>
      </c>
      <c r="EQ16" s="142" t="s">
        <v>211</v>
      </c>
      <c r="ER16" s="142" t="s">
        <v>212</v>
      </c>
      <c r="ES16" s="142" t="s">
        <v>206</v>
      </c>
      <c r="ET16" s="142" t="s">
        <v>213</v>
      </c>
      <c r="EU16" s="142" t="s">
        <v>214</v>
      </c>
      <c r="EV16" s="142" t="s">
        <v>215</v>
      </c>
      <c r="EW16" s="142" t="s">
        <v>167</v>
      </c>
      <c r="EX16" s="142" t="s">
        <v>167</v>
      </c>
      <c r="EY16" s="142" t="s">
        <v>167</v>
      </c>
      <c r="EZ16" s="142" t="s">
        <v>167</v>
      </c>
      <c r="FA16" s="142">
        <v>6.5</v>
      </c>
      <c r="FB16" s="142" t="s">
        <v>216</v>
      </c>
      <c r="FC16" s="142">
        <v>1</v>
      </c>
      <c r="FD16" s="142">
        <v>1</v>
      </c>
      <c r="FE16" s="148">
        <v>7.7674337897970496</v>
      </c>
      <c r="FF16" s="142" t="s">
        <v>217</v>
      </c>
      <c r="FG16" s="148">
        <v>5.5135494852324052E-2</v>
      </c>
      <c r="FH16" s="155">
        <v>5.5135494852324052E-2</v>
      </c>
      <c r="FI16" s="156">
        <v>890</v>
      </c>
      <c r="FJ16" s="157" t="s">
        <v>218</v>
      </c>
      <c r="FK16" s="157" t="s">
        <v>167</v>
      </c>
      <c r="FL16" s="156">
        <v>890</v>
      </c>
      <c r="FM16" s="151">
        <v>290</v>
      </c>
      <c r="FN16" s="151">
        <v>290</v>
      </c>
      <c r="FO16" s="142" t="s">
        <v>220</v>
      </c>
      <c r="FP16" s="142" t="s">
        <v>221</v>
      </c>
      <c r="FQ16" s="151">
        <v>2300</v>
      </c>
      <c r="FR16" s="151">
        <v>430</v>
      </c>
      <c r="FS16" s="151">
        <v>430</v>
      </c>
      <c r="FT16" s="152">
        <v>2100</v>
      </c>
      <c r="FU16" s="152">
        <v>419.77999804786288</v>
      </c>
      <c r="FV16" s="152">
        <v>419.77999804786288</v>
      </c>
      <c r="FW16" s="142" t="s">
        <v>167</v>
      </c>
      <c r="FX16" s="142" t="s">
        <v>167</v>
      </c>
      <c r="FY16" s="142" t="s">
        <v>167</v>
      </c>
      <c r="FZ16" s="142" t="s">
        <v>167</v>
      </c>
      <c r="GA16" s="142" t="s">
        <v>167</v>
      </c>
      <c r="GB16" s="142" t="s">
        <v>167</v>
      </c>
      <c r="GC16" s="142" t="s">
        <v>263</v>
      </c>
    </row>
    <row r="17" spans="1:185" s="142" customFormat="1" ht="16">
      <c r="A17" s="142" t="s">
        <v>162</v>
      </c>
      <c r="B17" s="160" t="s">
        <v>163</v>
      </c>
      <c r="C17" s="142" t="s">
        <v>164</v>
      </c>
      <c r="D17" s="142" t="s">
        <v>165</v>
      </c>
      <c r="E17" s="142">
        <v>2016</v>
      </c>
      <c r="F17" s="142" t="s">
        <v>166</v>
      </c>
      <c r="G17" s="142">
        <f t="shared" si="1"/>
        <v>33470</v>
      </c>
      <c r="H17" s="142" t="str">
        <f t="shared" si="2"/>
        <v>NA</v>
      </c>
      <c r="I17" s="142" t="str">
        <f t="shared" si="3"/>
        <v>NA</v>
      </c>
      <c r="J17" s="142">
        <f t="shared" si="4"/>
        <v>930</v>
      </c>
      <c r="K17" s="142">
        <f t="shared" si="5"/>
        <v>320</v>
      </c>
      <c r="L17" s="142">
        <f t="shared" si="6"/>
        <v>320</v>
      </c>
      <c r="M17" s="142" t="b">
        <v>1</v>
      </c>
      <c r="N17" s="142">
        <v>3</v>
      </c>
      <c r="O17" t="s">
        <v>300</v>
      </c>
      <c r="P17" t="s">
        <v>301</v>
      </c>
      <c r="Q17" s="142" t="b">
        <v>0</v>
      </c>
      <c r="R17" s="142" t="s">
        <v>167</v>
      </c>
      <c r="S17" s="142" t="b">
        <v>1</v>
      </c>
      <c r="T17" s="142" t="b">
        <v>0</v>
      </c>
      <c r="U17" s="142" t="s">
        <v>167</v>
      </c>
      <c r="V17" s="142" t="b">
        <v>0</v>
      </c>
      <c r="W17" s="142" t="b">
        <v>0</v>
      </c>
      <c r="X17" s="142" t="s">
        <v>167</v>
      </c>
      <c r="Y17" s="175" t="s">
        <v>299</v>
      </c>
      <c r="Z17" s="142" t="s">
        <v>166</v>
      </c>
      <c r="AA17" s="142" t="s">
        <v>266</v>
      </c>
      <c r="AB17" s="142" t="s">
        <v>167</v>
      </c>
      <c r="AC17" s="142">
        <v>11</v>
      </c>
      <c r="AD17" s="142">
        <v>2</v>
      </c>
      <c r="AE17" s="142">
        <v>0</v>
      </c>
      <c r="AF17" s="142">
        <v>50</v>
      </c>
      <c r="AG17" s="142" t="s">
        <v>167</v>
      </c>
      <c r="AH17" s="169">
        <v>94.25</v>
      </c>
      <c r="AI17" s="142" t="s">
        <v>167</v>
      </c>
      <c r="AJ17" s="142" t="s">
        <v>169</v>
      </c>
      <c r="AK17">
        <v>-9.2152777799999992</v>
      </c>
      <c r="AL17" s="142">
        <v>39.548333329999998</v>
      </c>
      <c r="AM17" s="142">
        <v>-19</v>
      </c>
      <c r="AN17" s="142" t="s">
        <v>167</v>
      </c>
      <c r="AO17" s="142" t="s">
        <v>167</v>
      </c>
      <c r="AP17" s="174" t="s">
        <v>281</v>
      </c>
      <c r="AQ17" s="142" t="s">
        <v>171</v>
      </c>
      <c r="AR17" s="142" t="s">
        <v>167</v>
      </c>
      <c r="AS17" s="173">
        <v>33470</v>
      </c>
      <c r="AT17" s="142" t="s">
        <v>172</v>
      </c>
      <c r="AU17" s="142" t="s">
        <v>167</v>
      </c>
      <c r="AV17" s="142" t="s">
        <v>167</v>
      </c>
      <c r="AW17" s="142" t="s">
        <v>173</v>
      </c>
      <c r="AX17" s="142" t="s">
        <v>174</v>
      </c>
      <c r="AY17" s="142" t="s">
        <v>256</v>
      </c>
      <c r="AZ17" s="142" t="s">
        <v>167</v>
      </c>
      <c r="BA17" s="142" t="s">
        <v>167</v>
      </c>
      <c r="BB17" s="142" t="s">
        <v>167</v>
      </c>
      <c r="BC17" s="142" t="s">
        <v>167</v>
      </c>
      <c r="BD17" s="142" t="s">
        <v>167</v>
      </c>
      <c r="BE17" s="142" t="s">
        <v>167</v>
      </c>
      <c r="BF17" s="142" t="s">
        <v>167</v>
      </c>
      <c r="BG17" s="164" t="s">
        <v>257</v>
      </c>
      <c r="BH17" s="148" t="s">
        <v>177</v>
      </c>
      <c r="BI17" s="148" t="s">
        <v>258</v>
      </c>
      <c r="BJ17" s="142" t="s">
        <v>167</v>
      </c>
      <c r="BK17" s="142" t="s">
        <v>180</v>
      </c>
      <c r="BL17" s="142" t="s">
        <v>181</v>
      </c>
      <c r="BM17" s="142" t="s">
        <v>182</v>
      </c>
      <c r="BN17" s="142" t="s">
        <v>267</v>
      </c>
      <c r="BO17" s="142">
        <v>2</v>
      </c>
      <c r="BP17" s="142">
        <v>0</v>
      </c>
      <c r="BQ17" s="148">
        <v>14.8078066504938</v>
      </c>
      <c r="BR17" s="142" t="s">
        <v>184</v>
      </c>
      <c r="BS17" s="148">
        <v>0.26471819330941693</v>
      </c>
      <c r="BT17" s="142">
        <v>1</v>
      </c>
      <c r="BU17" s="142" t="s">
        <v>185</v>
      </c>
      <c r="BV17" s="142" t="s">
        <v>185</v>
      </c>
      <c r="BW17" s="142">
        <v>0</v>
      </c>
      <c r="BX17" s="142" t="s">
        <v>186</v>
      </c>
      <c r="BY17" s="142" t="s">
        <v>186</v>
      </c>
      <c r="BZ17" s="142" t="s">
        <v>187</v>
      </c>
      <c r="CA17" s="142" t="s">
        <v>167</v>
      </c>
      <c r="CB17" s="166">
        <v>14.8078066504938</v>
      </c>
      <c r="CC17" s="142" t="s">
        <v>188</v>
      </c>
      <c r="CD17" s="166">
        <v>0.26471819330941693</v>
      </c>
      <c r="CE17" s="142" t="s">
        <v>188</v>
      </c>
      <c r="CF17" s="142" t="s">
        <v>167</v>
      </c>
      <c r="CG17" s="142" t="s">
        <v>260</v>
      </c>
      <c r="CH17" s="142" t="s">
        <v>189</v>
      </c>
      <c r="CI17" s="142" t="s">
        <v>189</v>
      </c>
      <c r="CJ17" s="163">
        <v>29.505852159477485</v>
      </c>
      <c r="CK17" s="142" t="s">
        <v>190</v>
      </c>
      <c r="CL17" s="142">
        <v>2</v>
      </c>
      <c r="CM17" s="142">
        <v>2</v>
      </c>
      <c r="CN17" s="142" t="s">
        <v>167</v>
      </c>
      <c r="CO17" s="171">
        <v>4.0266311512116291</v>
      </c>
      <c r="CP17" s="142" t="s">
        <v>261</v>
      </c>
      <c r="CQ17" s="166">
        <v>8.0532623024232586E-2</v>
      </c>
      <c r="CR17" s="166">
        <v>8.0532623024232586E-2</v>
      </c>
      <c r="CS17" s="172" t="s">
        <v>262</v>
      </c>
      <c r="CT17" s="142" t="s">
        <v>282</v>
      </c>
      <c r="CU17" s="142">
        <v>4.3</v>
      </c>
      <c r="CV17" s="142" t="s">
        <v>278</v>
      </c>
      <c r="CW17" s="142" t="s">
        <v>192</v>
      </c>
      <c r="CX17" s="142" t="s">
        <v>192</v>
      </c>
      <c r="CY17" s="142" t="s">
        <v>192</v>
      </c>
      <c r="CZ17" s="142" t="s">
        <v>167</v>
      </c>
      <c r="DA17" s="142" t="s">
        <v>167</v>
      </c>
      <c r="DB17" s="142" t="s">
        <v>167</v>
      </c>
      <c r="DC17" s="142" t="s">
        <v>167</v>
      </c>
      <c r="DD17" s="142" t="s">
        <v>167</v>
      </c>
      <c r="DE17" s="142" t="s">
        <v>167</v>
      </c>
      <c r="DF17" s="142" t="s">
        <v>167</v>
      </c>
      <c r="DG17" s="142">
        <v>35</v>
      </c>
      <c r="DH17" s="142" t="s">
        <v>190</v>
      </c>
      <c r="DI17" s="142">
        <v>2</v>
      </c>
      <c r="DJ17" s="142" t="s">
        <v>198</v>
      </c>
      <c r="DK17" s="142">
        <v>1.7000000000000001E-2</v>
      </c>
      <c r="DL17" s="142" t="s">
        <v>199</v>
      </c>
      <c r="DM17" s="142">
        <v>3.0000000000000001E-3</v>
      </c>
      <c r="DN17" s="142" t="s">
        <v>252</v>
      </c>
      <c r="DO17" s="142">
        <v>3.7999999999999999E-2</v>
      </c>
      <c r="DP17" s="142" t="s">
        <v>199</v>
      </c>
      <c r="DQ17" s="142">
        <v>3.0000000000000001E-3</v>
      </c>
      <c r="DR17" t="s">
        <v>283</v>
      </c>
      <c r="DS17" s="142" t="s">
        <v>201</v>
      </c>
      <c r="DT17" s="142" t="s">
        <v>167</v>
      </c>
      <c r="DU17" s="142" t="s">
        <v>167</v>
      </c>
      <c r="DV17" s="142" t="s">
        <v>167</v>
      </c>
      <c r="DW17" s="142">
        <v>432.6</v>
      </c>
      <c r="DX17" s="142" t="s">
        <v>202</v>
      </c>
      <c r="DY17" s="142" t="s">
        <v>202</v>
      </c>
      <c r="DZ17" t="s">
        <v>284</v>
      </c>
      <c r="EA17" s="142">
        <v>38.450000000000003</v>
      </c>
      <c r="EB17" s="142" t="s">
        <v>203</v>
      </c>
      <c r="EC17" s="142">
        <v>0.25</v>
      </c>
      <c r="ED17" s="142" t="s">
        <v>204</v>
      </c>
      <c r="EE17" s="142" t="s">
        <v>205</v>
      </c>
      <c r="EF17" s="142" t="s">
        <v>206</v>
      </c>
      <c r="EG17" s="142">
        <v>1.0271999999999999</v>
      </c>
      <c r="EH17" s="142" t="s">
        <v>207</v>
      </c>
      <c r="EI17" s="142" t="s">
        <v>207</v>
      </c>
      <c r="EJ17" s="142" t="s">
        <v>208</v>
      </c>
      <c r="EK17" s="142" t="s">
        <v>207</v>
      </c>
      <c r="EL17" s="142" t="s">
        <v>207</v>
      </c>
      <c r="EM17" s="142" t="s">
        <v>209</v>
      </c>
      <c r="EN17" s="142" t="s">
        <v>210</v>
      </c>
      <c r="EO17" s="142" t="s">
        <v>211</v>
      </c>
      <c r="EP17" s="142" t="s">
        <v>211</v>
      </c>
      <c r="EQ17" s="142" t="s">
        <v>211</v>
      </c>
      <c r="ER17" s="142" t="s">
        <v>212</v>
      </c>
      <c r="ES17" s="142" t="s">
        <v>206</v>
      </c>
      <c r="ET17" s="142" t="s">
        <v>213</v>
      </c>
      <c r="EU17" s="142" t="s">
        <v>214</v>
      </c>
      <c r="EV17" s="142" t="s">
        <v>215</v>
      </c>
      <c r="EW17" s="142" t="s">
        <v>167</v>
      </c>
      <c r="EX17" s="142" t="s">
        <v>167</v>
      </c>
      <c r="EY17" s="142" t="s">
        <v>167</v>
      </c>
      <c r="EZ17" s="142" t="s">
        <v>167</v>
      </c>
      <c r="FA17" s="142">
        <v>6.5</v>
      </c>
      <c r="FB17" s="142" t="s">
        <v>216</v>
      </c>
      <c r="FC17" s="142">
        <v>1</v>
      </c>
      <c r="FD17" s="142">
        <v>1</v>
      </c>
      <c r="FE17" s="148">
        <v>7.7689947051732551</v>
      </c>
      <c r="FF17" s="142" t="s">
        <v>217</v>
      </c>
      <c r="FG17" s="148">
        <v>5.7528832154707422E-2</v>
      </c>
      <c r="FH17" s="148">
        <v>5.7528832154707422E-2</v>
      </c>
      <c r="FI17" s="151">
        <v>930</v>
      </c>
      <c r="FJ17" s="142" t="s">
        <v>218</v>
      </c>
      <c r="FK17" s="157" t="s">
        <v>167</v>
      </c>
      <c r="FL17" s="151">
        <v>930</v>
      </c>
      <c r="FM17" s="151">
        <v>320</v>
      </c>
      <c r="FN17" s="151">
        <v>320</v>
      </c>
      <c r="FO17" s="142" t="s">
        <v>220</v>
      </c>
      <c r="FP17" s="142" t="s">
        <v>221</v>
      </c>
      <c r="FQ17" s="151">
        <v>2400</v>
      </c>
      <c r="FR17" s="151">
        <v>469.52183621982408</v>
      </c>
      <c r="FS17" s="151">
        <v>469.52183621982408</v>
      </c>
      <c r="FT17" s="152">
        <v>2300</v>
      </c>
      <c r="FU17" s="152">
        <v>460</v>
      </c>
      <c r="FV17" s="152">
        <v>460</v>
      </c>
      <c r="FW17" s="142" t="s">
        <v>167</v>
      </c>
      <c r="FX17" s="142" t="s">
        <v>167</v>
      </c>
      <c r="FY17" s="142" t="s">
        <v>167</v>
      </c>
      <c r="FZ17" s="142" t="s">
        <v>167</v>
      </c>
      <c r="GA17" s="142" t="s">
        <v>167</v>
      </c>
      <c r="GB17" s="142" t="s">
        <v>167</v>
      </c>
      <c r="GC17" s="142" t="s">
        <v>263</v>
      </c>
    </row>
    <row r="18" spans="1:185" s="142" customFormat="1" ht="16">
      <c r="A18" s="142" t="s">
        <v>162</v>
      </c>
      <c r="B18" s="160" t="s">
        <v>163</v>
      </c>
      <c r="C18" s="142" t="s">
        <v>164</v>
      </c>
      <c r="D18" s="142" t="s">
        <v>165</v>
      </c>
      <c r="E18" s="142">
        <v>2016</v>
      </c>
      <c r="F18" s="142" t="s">
        <v>166</v>
      </c>
      <c r="G18" s="142">
        <f t="shared" si="1"/>
        <v>33590</v>
      </c>
      <c r="H18" s="142" t="str">
        <f t="shared" si="2"/>
        <v>NA</v>
      </c>
      <c r="I18" s="142" t="str">
        <f t="shared" si="3"/>
        <v>NA</v>
      </c>
      <c r="J18" s="142">
        <f t="shared" si="4"/>
        <v>690</v>
      </c>
      <c r="K18" s="142">
        <f t="shared" si="5"/>
        <v>230</v>
      </c>
      <c r="L18" s="142">
        <f t="shared" si="6"/>
        <v>230</v>
      </c>
      <c r="M18" s="142" t="b">
        <v>1</v>
      </c>
      <c r="N18" s="142">
        <v>3</v>
      </c>
      <c r="O18" t="s">
        <v>300</v>
      </c>
      <c r="P18" t="s">
        <v>301</v>
      </c>
      <c r="Q18" s="142" t="b">
        <v>0</v>
      </c>
      <c r="R18" s="142" t="s">
        <v>167</v>
      </c>
      <c r="S18" s="142" t="b">
        <v>1</v>
      </c>
      <c r="T18" s="142" t="b">
        <v>0</v>
      </c>
      <c r="U18" s="142" t="s">
        <v>167</v>
      </c>
      <c r="V18" s="142" t="b">
        <v>0</v>
      </c>
      <c r="W18" s="142" t="b">
        <v>0</v>
      </c>
      <c r="X18" s="142" t="s">
        <v>167</v>
      </c>
      <c r="Y18" s="175" t="s">
        <v>299</v>
      </c>
      <c r="Z18" s="142" t="s">
        <v>166</v>
      </c>
      <c r="AA18" s="142" t="s">
        <v>255</v>
      </c>
      <c r="AB18" s="142" t="s">
        <v>167</v>
      </c>
      <c r="AC18" s="142">
        <v>34</v>
      </c>
      <c r="AD18" s="142">
        <v>2</v>
      </c>
      <c r="AE18" s="142">
        <v>0</v>
      </c>
      <c r="AF18" s="142">
        <v>50</v>
      </c>
      <c r="AG18" s="142" t="s">
        <v>167</v>
      </c>
      <c r="AH18" s="169">
        <v>99.15</v>
      </c>
      <c r="AI18" s="142" t="s">
        <v>167</v>
      </c>
      <c r="AJ18" s="142" t="s">
        <v>169</v>
      </c>
      <c r="AK18">
        <v>-9.1863888899999999</v>
      </c>
      <c r="AL18" s="142">
        <v>39.551111110000001</v>
      </c>
      <c r="AM18" s="142">
        <v>-19</v>
      </c>
      <c r="AN18" s="142" t="s">
        <v>167</v>
      </c>
      <c r="AO18" s="142" t="s">
        <v>167</v>
      </c>
      <c r="AP18" s="174" t="s">
        <v>281</v>
      </c>
      <c r="AQ18" s="142" t="s">
        <v>171</v>
      </c>
      <c r="AR18" s="142" t="s">
        <v>167</v>
      </c>
      <c r="AS18" s="173">
        <v>33590</v>
      </c>
      <c r="AT18" s="142" t="s">
        <v>172</v>
      </c>
      <c r="AU18" s="142" t="s">
        <v>167</v>
      </c>
      <c r="AV18" s="142" t="s">
        <v>167</v>
      </c>
      <c r="AW18" s="142" t="s">
        <v>173</v>
      </c>
      <c r="AX18" s="142" t="s">
        <v>174</v>
      </c>
      <c r="AY18" s="142" t="s">
        <v>256</v>
      </c>
      <c r="AZ18" s="142" t="s">
        <v>167</v>
      </c>
      <c r="BA18" s="142" t="s">
        <v>167</v>
      </c>
      <c r="BB18" s="142" t="s">
        <v>167</v>
      </c>
      <c r="BC18" s="142" t="s">
        <v>167</v>
      </c>
      <c r="BD18" s="142" t="s">
        <v>167</v>
      </c>
      <c r="BE18" s="142" t="s">
        <v>167</v>
      </c>
      <c r="BF18" s="142" t="s">
        <v>167</v>
      </c>
      <c r="BG18" s="164" t="s">
        <v>257</v>
      </c>
      <c r="BH18" s="148" t="s">
        <v>177</v>
      </c>
      <c r="BI18" s="148" t="s">
        <v>268</v>
      </c>
      <c r="BJ18" s="142" t="s">
        <v>167</v>
      </c>
      <c r="BK18" s="142" t="s">
        <v>180</v>
      </c>
      <c r="BL18" s="142" t="s">
        <v>181</v>
      </c>
      <c r="BM18" s="142" t="s">
        <v>182</v>
      </c>
      <c r="BN18" s="142" t="s">
        <v>269</v>
      </c>
      <c r="BO18" s="142">
        <v>2</v>
      </c>
      <c r="BP18" s="142">
        <v>1.9999999999999574E-2</v>
      </c>
      <c r="BQ18" s="148">
        <v>15.340449235763177</v>
      </c>
      <c r="BR18" s="142" t="s">
        <v>184</v>
      </c>
      <c r="BS18" s="148">
        <v>0.26286998285863372</v>
      </c>
      <c r="BT18" s="142">
        <v>1</v>
      </c>
      <c r="BU18" s="142" t="s">
        <v>185</v>
      </c>
      <c r="BV18" s="142" t="s">
        <v>185</v>
      </c>
      <c r="BW18" s="142">
        <v>0</v>
      </c>
      <c r="BX18" s="142" t="s">
        <v>186</v>
      </c>
      <c r="BY18" s="142" t="s">
        <v>186</v>
      </c>
      <c r="BZ18" s="142" t="s">
        <v>187</v>
      </c>
      <c r="CA18" s="142" t="s">
        <v>167</v>
      </c>
      <c r="CB18" s="166">
        <v>15.340449235763177</v>
      </c>
      <c r="CC18" s="142" t="s">
        <v>188</v>
      </c>
      <c r="CD18" s="166">
        <v>0.26286998285863372</v>
      </c>
      <c r="CE18" s="142" t="s">
        <v>188</v>
      </c>
      <c r="CF18" s="142" t="s">
        <v>167</v>
      </c>
      <c r="CG18" s="142" t="s">
        <v>260</v>
      </c>
      <c r="CH18" s="142" t="s">
        <v>189</v>
      </c>
      <c r="CI18" s="142" t="s">
        <v>189</v>
      </c>
      <c r="CJ18" s="163">
        <v>29.915637361690671</v>
      </c>
      <c r="CK18" s="142" t="s">
        <v>190</v>
      </c>
      <c r="CL18" s="142">
        <v>2</v>
      </c>
      <c r="CM18" s="142">
        <v>2</v>
      </c>
      <c r="CN18" s="142" t="s">
        <v>167</v>
      </c>
      <c r="CO18" s="171">
        <v>4.2866574869922482</v>
      </c>
      <c r="CP18" s="142" t="s">
        <v>261</v>
      </c>
      <c r="CQ18" s="166">
        <v>8.5733149739844972E-2</v>
      </c>
      <c r="CR18" s="166">
        <v>8.5733149739844972E-2</v>
      </c>
      <c r="CS18" s="172" t="s">
        <v>262</v>
      </c>
      <c r="CT18" s="142" t="s">
        <v>282</v>
      </c>
      <c r="CU18" s="142">
        <v>4.3</v>
      </c>
      <c r="CV18" s="142" t="s">
        <v>278</v>
      </c>
      <c r="CW18" s="142" t="s">
        <v>192</v>
      </c>
      <c r="CX18" s="142" t="s">
        <v>192</v>
      </c>
      <c r="CY18" s="142" t="s">
        <v>192</v>
      </c>
      <c r="CZ18" s="142" t="s">
        <v>167</v>
      </c>
      <c r="DA18" s="142" t="s">
        <v>167</v>
      </c>
      <c r="DB18" s="142" t="s">
        <v>167</v>
      </c>
      <c r="DC18" s="142" t="s">
        <v>167</v>
      </c>
      <c r="DD18" s="142" t="s">
        <v>167</v>
      </c>
      <c r="DE18" s="142" t="s">
        <v>167</v>
      </c>
      <c r="DF18" s="142" t="s">
        <v>167</v>
      </c>
      <c r="DG18" s="142">
        <v>35</v>
      </c>
      <c r="DH18" s="142" t="s">
        <v>190</v>
      </c>
      <c r="DI18" s="142">
        <v>2</v>
      </c>
      <c r="DJ18" s="142" t="s">
        <v>198</v>
      </c>
      <c r="DK18" s="142">
        <v>1.7000000000000001E-2</v>
      </c>
      <c r="DL18" s="142" t="s">
        <v>199</v>
      </c>
      <c r="DM18" s="142">
        <v>3.0000000000000001E-3</v>
      </c>
      <c r="DN18" s="142" t="s">
        <v>252</v>
      </c>
      <c r="DO18" s="142">
        <v>3.7999999999999999E-2</v>
      </c>
      <c r="DP18" s="142" t="s">
        <v>199</v>
      </c>
      <c r="DQ18" s="142">
        <v>3.0000000000000001E-3</v>
      </c>
      <c r="DR18" t="s">
        <v>283</v>
      </c>
      <c r="DS18" s="142" t="s">
        <v>201</v>
      </c>
      <c r="DT18" s="142" t="s">
        <v>167</v>
      </c>
      <c r="DU18" s="142" t="s">
        <v>167</v>
      </c>
      <c r="DV18" s="142" t="s">
        <v>167</v>
      </c>
      <c r="DW18" s="142">
        <v>432.6</v>
      </c>
      <c r="DX18" s="142" t="s">
        <v>202</v>
      </c>
      <c r="DY18" s="142" t="s">
        <v>202</v>
      </c>
      <c r="DZ18" t="s">
        <v>284</v>
      </c>
      <c r="EA18" s="142">
        <v>38.450000000000003</v>
      </c>
      <c r="EB18" s="142" t="s">
        <v>203</v>
      </c>
      <c r="EC18" s="142">
        <v>0.25</v>
      </c>
      <c r="ED18" s="142" t="s">
        <v>204</v>
      </c>
      <c r="EE18" s="142" t="s">
        <v>205</v>
      </c>
      <c r="EF18" s="142" t="s">
        <v>206</v>
      </c>
      <c r="EG18" s="142">
        <v>1.0271999999999999</v>
      </c>
      <c r="EH18" s="142" t="s">
        <v>207</v>
      </c>
      <c r="EI18" s="142" t="s">
        <v>207</v>
      </c>
      <c r="EJ18" s="142" t="s">
        <v>208</v>
      </c>
      <c r="EK18" s="142" t="s">
        <v>207</v>
      </c>
      <c r="EL18" s="142" t="s">
        <v>207</v>
      </c>
      <c r="EM18" s="142" t="s">
        <v>209</v>
      </c>
      <c r="EN18" s="142" t="s">
        <v>210</v>
      </c>
      <c r="EO18" s="142" t="s">
        <v>211</v>
      </c>
      <c r="EP18" s="142" t="s">
        <v>211</v>
      </c>
      <c r="EQ18" s="142" t="s">
        <v>211</v>
      </c>
      <c r="ER18" s="142" t="s">
        <v>212</v>
      </c>
      <c r="ES18" s="142" t="s">
        <v>206</v>
      </c>
      <c r="ET18" s="142" t="s">
        <v>213</v>
      </c>
      <c r="EU18" s="142" t="s">
        <v>214</v>
      </c>
      <c r="EV18" s="142" t="s">
        <v>215</v>
      </c>
      <c r="EW18" s="142" t="s">
        <v>167</v>
      </c>
      <c r="EX18" s="142" t="s">
        <v>167</v>
      </c>
      <c r="EY18" s="142" t="s">
        <v>167</v>
      </c>
      <c r="EZ18" s="142" t="s">
        <v>167</v>
      </c>
      <c r="FA18" s="142">
        <v>6.5</v>
      </c>
      <c r="FB18" s="142" t="s">
        <v>216</v>
      </c>
      <c r="FC18" s="142">
        <v>1</v>
      </c>
      <c r="FD18" s="142">
        <v>1</v>
      </c>
      <c r="FE18" s="148">
        <v>7.8306724707697315</v>
      </c>
      <c r="FF18" s="142" t="s">
        <v>217</v>
      </c>
      <c r="FG18" s="148">
        <v>5.2029468965185163E-2</v>
      </c>
      <c r="FH18" s="148">
        <v>5.2029468965185163E-2</v>
      </c>
      <c r="FI18" s="151">
        <v>690</v>
      </c>
      <c r="FJ18" s="142" t="s">
        <v>218</v>
      </c>
      <c r="FK18" s="157" t="s">
        <v>167</v>
      </c>
      <c r="FL18" s="151">
        <v>690</v>
      </c>
      <c r="FM18" s="151">
        <v>230</v>
      </c>
      <c r="FN18" s="151">
        <v>230</v>
      </c>
      <c r="FO18" s="142" t="s">
        <v>220</v>
      </c>
      <c r="FP18" s="142" t="s">
        <v>221</v>
      </c>
      <c r="FQ18" s="151">
        <v>2100</v>
      </c>
      <c r="FR18" s="151">
        <v>390</v>
      </c>
      <c r="FS18" s="151">
        <v>390</v>
      </c>
      <c r="FT18" s="152">
        <v>1900</v>
      </c>
      <c r="FU18" s="152">
        <v>380</v>
      </c>
      <c r="FV18" s="152">
        <v>380</v>
      </c>
      <c r="FW18" s="142" t="s">
        <v>167</v>
      </c>
      <c r="FX18" s="142" t="s">
        <v>167</v>
      </c>
      <c r="FY18" s="142" t="s">
        <v>167</v>
      </c>
      <c r="FZ18" s="142" t="s">
        <v>167</v>
      </c>
      <c r="GA18" s="142" t="s">
        <v>167</v>
      </c>
      <c r="GB18" s="142" t="s">
        <v>167</v>
      </c>
      <c r="GC18" s="142" t="s">
        <v>263</v>
      </c>
    </row>
    <row r="19" spans="1:185" s="142" customFormat="1" ht="16">
      <c r="A19" s="142" t="s">
        <v>162</v>
      </c>
      <c r="B19" s="160" t="s">
        <v>163</v>
      </c>
      <c r="C19" s="142" t="s">
        <v>164</v>
      </c>
      <c r="D19" s="142" t="s">
        <v>165</v>
      </c>
      <c r="E19" s="142">
        <v>2016</v>
      </c>
      <c r="F19" s="142" t="s">
        <v>166</v>
      </c>
      <c r="G19" s="142">
        <f t="shared" si="1"/>
        <v>33960</v>
      </c>
      <c r="H19" s="142" t="str">
        <f t="shared" si="2"/>
        <v>NA</v>
      </c>
      <c r="I19" s="142" t="str">
        <f t="shared" si="3"/>
        <v>NA</v>
      </c>
      <c r="J19" s="142">
        <f t="shared" si="4"/>
        <v>870</v>
      </c>
      <c r="K19" s="142">
        <f t="shared" si="5"/>
        <v>300</v>
      </c>
      <c r="L19" s="142">
        <f t="shared" si="6"/>
        <v>300</v>
      </c>
      <c r="M19" s="142" t="b">
        <v>1</v>
      </c>
      <c r="N19" s="142">
        <v>3</v>
      </c>
      <c r="O19" t="s">
        <v>300</v>
      </c>
      <c r="P19" t="s">
        <v>301</v>
      </c>
      <c r="Q19" s="142" t="b">
        <v>0</v>
      </c>
      <c r="R19" s="142" t="s">
        <v>167</v>
      </c>
      <c r="S19" s="142" t="b">
        <v>1</v>
      </c>
      <c r="T19" s="142" t="b">
        <v>0</v>
      </c>
      <c r="U19" s="142" t="s">
        <v>167</v>
      </c>
      <c r="V19" s="142" t="b">
        <v>0</v>
      </c>
      <c r="W19" s="142" t="b">
        <v>0</v>
      </c>
      <c r="X19" s="142" t="s">
        <v>167</v>
      </c>
      <c r="Y19" s="175" t="s">
        <v>299</v>
      </c>
      <c r="Z19" s="142" t="s">
        <v>166</v>
      </c>
      <c r="AA19" s="142" t="s">
        <v>266</v>
      </c>
      <c r="AB19" s="142" t="s">
        <v>167</v>
      </c>
      <c r="AC19" s="142">
        <v>21</v>
      </c>
      <c r="AD19" s="142">
        <v>3</v>
      </c>
      <c r="AE19" s="142">
        <v>20</v>
      </c>
      <c r="AF19" s="142">
        <v>50</v>
      </c>
      <c r="AG19" s="142" t="s">
        <v>167</v>
      </c>
      <c r="AH19" s="169">
        <v>125.4</v>
      </c>
      <c r="AI19" s="142" t="s">
        <v>167</v>
      </c>
      <c r="AJ19" s="142" t="s">
        <v>169</v>
      </c>
      <c r="AK19">
        <v>-9.2152777799999992</v>
      </c>
      <c r="AL19" s="142">
        <v>39.548333329999998</v>
      </c>
      <c r="AM19" s="142">
        <v>-19</v>
      </c>
      <c r="AN19" s="142" t="s">
        <v>167</v>
      </c>
      <c r="AO19" s="142" t="s">
        <v>167</v>
      </c>
      <c r="AP19" s="174" t="s">
        <v>281</v>
      </c>
      <c r="AQ19" s="142" t="s">
        <v>171</v>
      </c>
      <c r="AR19" s="142" t="s">
        <v>167</v>
      </c>
      <c r="AS19" s="170">
        <v>33960</v>
      </c>
      <c r="AT19" s="142" t="s">
        <v>172</v>
      </c>
      <c r="AU19" s="142" t="s">
        <v>167</v>
      </c>
      <c r="AV19" s="142" t="s">
        <v>167</v>
      </c>
      <c r="AW19" s="142" t="s">
        <v>173</v>
      </c>
      <c r="AX19" s="142" t="s">
        <v>174</v>
      </c>
      <c r="AY19" s="142" t="s">
        <v>256</v>
      </c>
      <c r="AZ19" s="142" t="s">
        <v>167</v>
      </c>
      <c r="BA19" s="142" t="s">
        <v>167</v>
      </c>
      <c r="BB19" s="142" t="s">
        <v>167</v>
      </c>
      <c r="BC19" s="142" t="s">
        <v>167</v>
      </c>
      <c r="BD19" s="142" t="s">
        <v>167</v>
      </c>
      <c r="BE19" s="142" t="s">
        <v>167</v>
      </c>
      <c r="BF19" s="142" t="s">
        <v>167</v>
      </c>
      <c r="BG19" s="164" t="s">
        <v>257</v>
      </c>
      <c r="BH19" s="148" t="s">
        <v>177</v>
      </c>
      <c r="BI19" s="148" t="s">
        <v>268</v>
      </c>
      <c r="BJ19" s="142" t="s">
        <v>167</v>
      </c>
      <c r="BK19" s="142" t="s">
        <v>180</v>
      </c>
      <c r="BL19" s="142" t="s">
        <v>181</v>
      </c>
      <c r="BM19" s="142" t="s">
        <v>182</v>
      </c>
      <c r="BN19" s="142" t="s">
        <v>270</v>
      </c>
      <c r="BO19" s="142">
        <v>2</v>
      </c>
      <c r="BP19" s="142">
        <v>0.29999999999999893</v>
      </c>
      <c r="BQ19" s="148">
        <v>14.925336183078613</v>
      </c>
      <c r="BR19" s="142" t="s">
        <v>184</v>
      </c>
      <c r="BS19" s="148">
        <v>0.27021214397028526</v>
      </c>
      <c r="BT19" s="142">
        <v>1</v>
      </c>
      <c r="BU19" s="142" t="s">
        <v>185</v>
      </c>
      <c r="BV19" s="142" t="s">
        <v>185</v>
      </c>
      <c r="BW19" s="142">
        <v>0</v>
      </c>
      <c r="BX19" s="142" t="s">
        <v>186</v>
      </c>
      <c r="BY19" s="142" t="s">
        <v>186</v>
      </c>
      <c r="BZ19" s="142" t="s">
        <v>187</v>
      </c>
      <c r="CA19" s="142" t="s">
        <v>167</v>
      </c>
      <c r="CB19" s="166">
        <v>14.925336183078613</v>
      </c>
      <c r="CC19" s="142" t="s">
        <v>188</v>
      </c>
      <c r="CD19" s="166">
        <v>0.27021214397028526</v>
      </c>
      <c r="CE19" s="142" t="s">
        <v>188</v>
      </c>
      <c r="CF19" s="142" t="s">
        <v>167</v>
      </c>
      <c r="CG19" s="142" t="s">
        <v>260</v>
      </c>
      <c r="CH19" s="142" t="s">
        <v>189</v>
      </c>
      <c r="CI19" s="142" t="s">
        <v>189</v>
      </c>
      <c r="CJ19" s="163">
        <v>31.758949804047344</v>
      </c>
      <c r="CK19" s="142" t="s">
        <v>190</v>
      </c>
      <c r="CL19" s="142">
        <v>2</v>
      </c>
      <c r="CM19" s="142">
        <v>2</v>
      </c>
      <c r="CN19" s="142" t="s">
        <v>167</v>
      </c>
      <c r="CO19" s="171">
        <v>4.7396422174020643</v>
      </c>
      <c r="CP19" s="142" t="s">
        <v>261</v>
      </c>
      <c r="CQ19" s="166">
        <v>9.4792844348041291E-2</v>
      </c>
      <c r="CR19" s="166">
        <v>9.4792844348041291E-2</v>
      </c>
      <c r="CS19" s="172" t="s">
        <v>262</v>
      </c>
      <c r="CT19" s="142" t="s">
        <v>282</v>
      </c>
      <c r="CU19" s="142">
        <v>4.3</v>
      </c>
      <c r="CV19" s="142" t="s">
        <v>278</v>
      </c>
      <c r="CW19" s="142" t="s">
        <v>192</v>
      </c>
      <c r="CX19" s="142" t="s">
        <v>192</v>
      </c>
      <c r="CY19" s="142" t="s">
        <v>192</v>
      </c>
      <c r="CZ19" s="142" t="s">
        <v>167</v>
      </c>
      <c r="DA19" s="142" t="s">
        <v>167</v>
      </c>
      <c r="DB19" s="142" t="s">
        <v>167</v>
      </c>
      <c r="DC19" s="142" t="s">
        <v>167</v>
      </c>
      <c r="DD19" s="142" t="s">
        <v>167</v>
      </c>
      <c r="DE19" s="142" t="s">
        <v>167</v>
      </c>
      <c r="DF19" s="142" t="s">
        <v>167</v>
      </c>
      <c r="DG19" s="142">
        <v>35</v>
      </c>
      <c r="DH19" s="142" t="s">
        <v>190</v>
      </c>
      <c r="DI19" s="142">
        <v>2</v>
      </c>
      <c r="DJ19" s="142" t="s">
        <v>198</v>
      </c>
      <c r="DK19" s="142">
        <v>1.7000000000000001E-2</v>
      </c>
      <c r="DL19" s="142" t="s">
        <v>199</v>
      </c>
      <c r="DM19" s="142">
        <v>3.0000000000000001E-3</v>
      </c>
      <c r="DN19" s="142" t="s">
        <v>252</v>
      </c>
      <c r="DO19" s="142">
        <v>3.7999999999999999E-2</v>
      </c>
      <c r="DP19" s="142" t="s">
        <v>199</v>
      </c>
      <c r="DQ19" s="142">
        <v>3.0000000000000001E-3</v>
      </c>
      <c r="DR19" t="s">
        <v>283</v>
      </c>
      <c r="DS19" s="142" t="s">
        <v>201</v>
      </c>
      <c r="DT19" s="142" t="s">
        <v>167</v>
      </c>
      <c r="DU19" s="142" t="s">
        <v>167</v>
      </c>
      <c r="DV19" s="142" t="s">
        <v>167</v>
      </c>
      <c r="DW19" s="142">
        <v>432.6</v>
      </c>
      <c r="DX19" s="142" t="s">
        <v>202</v>
      </c>
      <c r="DY19" s="142" t="s">
        <v>202</v>
      </c>
      <c r="DZ19" t="s">
        <v>284</v>
      </c>
      <c r="EA19" s="142">
        <v>38.450000000000003</v>
      </c>
      <c r="EB19" s="142" t="s">
        <v>203</v>
      </c>
      <c r="EC19" s="142">
        <v>0.25</v>
      </c>
      <c r="ED19" s="142" t="s">
        <v>204</v>
      </c>
      <c r="EE19" s="142" t="s">
        <v>205</v>
      </c>
      <c r="EF19" s="142" t="s">
        <v>206</v>
      </c>
      <c r="EG19" s="142">
        <v>1.0271999999999999</v>
      </c>
      <c r="EH19" s="142" t="s">
        <v>207</v>
      </c>
      <c r="EI19" s="142" t="s">
        <v>207</v>
      </c>
      <c r="EJ19" s="142" t="s">
        <v>208</v>
      </c>
      <c r="EK19" s="142" t="s">
        <v>207</v>
      </c>
      <c r="EL19" s="142" t="s">
        <v>207</v>
      </c>
      <c r="EM19" s="142" t="s">
        <v>209</v>
      </c>
      <c r="EN19" s="142" t="s">
        <v>210</v>
      </c>
      <c r="EO19" s="142" t="s">
        <v>211</v>
      </c>
      <c r="EP19" s="142" t="s">
        <v>211</v>
      </c>
      <c r="EQ19" s="142" t="s">
        <v>211</v>
      </c>
      <c r="ER19" s="142" t="s">
        <v>212</v>
      </c>
      <c r="ES19" s="142" t="s">
        <v>206</v>
      </c>
      <c r="ET19" s="142" t="s">
        <v>213</v>
      </c>
      <c r="EU19" s="142" t="s">
        <v>214</v>
      </c>
      <c r="EV19" s="142" t="s">
        <v>215</v>
      </c>
      <c r="EW19" s="142" t="s">
        <v>167</v>
      </c>
      <c r="EX19" s="142" t="s">
        <v>167</v>
      </c>
      <c r="EY19" s="142" t="s">
        <v>167</v>
      </c>
      <c r="EZ19" s="142" t="s">
        <v>167</v>
      </c>
      <c r="FA19" s="142">
        <v>6.5</v>
      </c>
      <c r="FB19" s="142" t="s">
        <v>216</v>
      </c>
      <c r="FC19" s="142">
        <v>1</v>
      </c>
      <c r="FD19" s="142">
        <v>1</v>
      </c>
      <c r="FE19" s="148">
        <v>7.781651060592373</v>
      </c>
      <c r="FF19" s="142" t="s">
        <v>217</v>
      </c>
      <c r="FG19" s="148">
        <v>5.6515802122183691E-2</v>
      </c>
      <c r="FH19" s="148">
        <v>5.6515802122183691E-2</v>
      </c>
      <c r="FI19" s="151">
        <v>870</v>
      </c>
      <c r="FJ19" s="142" t="s">
        <v>218</v>
      </c>
      <c r="FK19" s="157" t="s">
        <v>167</v>
      </c>
      <c r="FL19" s="151">
        <v>870</v>
      </c>
      <c r="FM19" s="151">
        <v>300</v>
      </c>
      <c r="FN19" s="151">
        <v>300</v>
      </c>
      <c r="FO19" s="142" t="s">
        <v>220</v>
      </c>
      <c r="FP19" s="142" t="s">
        <v>221</v>
      </c>
      <c r="FQ19" s="151">
        <v>2400</v>
      </c>
      <c r="FR19" s="151">
        <v>450</v>
      </c>
      <c r="FS19" s="151">
        <v>450</v>
      </c>
      <c r="FT19" s="152">
        <v>2200</v>
      </c>
      <c r="FU19" s="152">
        <v>430</v>
      </c>
      <c r="FV19" s="152">
        <v>430</v>
      </c>
      <c r="FW19" s="142" t="s">
        <v>167</v>
      </c>
      <c r="FX19" s="142" t="s">
        <v>167</v>
      </c>
      <c r="FY19" s="142" t="s">
        <v>167</v>
      </c>
      <c r="FZ19" s="142" t="s">
        <v>167</v>
      </c>
      <c r="GA19" s="142" t="s">
        <v>167</v>
      </c>
      <c r="GB19" s="142" t="s">
        <v>167</v>
      </c>
      <c r="GC19" s="142" t="s">
        <v>263</v>
      </c>
    </row>
    <row r="20" spans="1:185" s="142" customFormat="1" ht="16">
      <c r="A20" s="142" t="s">
        <v>162</v>
      </c>
      <c r="B20" s="160" t="s">
        <v>163</v>
      </c>
      <c r="C20" s="142" t="s">
        <v>164</v>
      </c>
      <c r="D20" s="142" t="s">
        <v>165</v>
      </c>
      <c r="E20" s="142">
        <v>2016</v>
      </c>
      <c r="F20" s="142" t="s">
        <v>166</v>
      </c>
      <c r="G20" s="142">
        <f t="shared" si="1"/>
        <v>34210</v>
      </c>
      <c r="H20" s="142" t="str">
        <f t="shared" si="2"/>
        <v>NA</v>
      </c>
      <c r="I20" s="142" t="str">
        <f t="shared" si="3"/>
        <v>NA</v>
      </c>
      <c r="J20" s="142">
        <f t="shared" si="4"/>
        <v>960</v>
      </c>
      <c r="K20" s="142">
        <f t="shared" si="5"/>
        <v>330</v>
      </c>
      <c r="L20" s="142">
        <f t="shared" si="6"/>
        <v>330</v>
      </c>
      <c r="M20" s="142" t="b">
        <v>1</v>
      </c>
      <c r="N20" s="142">
        <v>3</v>
      </c>
      <c r="O20" t="s">
        <v>300</v>
      </c>
      <c r="P20" t="s">
        <v>301</v>
      </c>
      <c r="Q20" s="142" t="b">
        <v>0</v>
      </c>
      <c r="R20" s="142" t="s">
        <v>167</v>
      </c>
      <c r="S20" s="142" t="b">
        <v>1</v>
      </c>
      <c r="T20" s="142" t="b">
        <v>0</v>
      </c>
      <c r="U20" s="142" t="s">
        <v>167</v>
      </c>
      <c r="V20" s="142" t="b">
        <v>0</v>
      </c>
      <c r="W20" s="142" t="b">
        <v>0</v>
      </c>
      <c r="X20" s="142" t="s">
        <v>167</v>
      </c>
      <c r="Y20" s="175" t="s">
        <v>299</v>
      </c>
      <c r="Z20" s="142" t="s">
        <v>166</v>
      </c>
      <c r="AA20" s="142" t="s">
        <v>266</v>
      </c>
      <c r="AB20" s="142" t="s">
        <v>167</v>
      </c>
      <c r="AC20" s="142">
        <v>32</v>
      </c>
      <c r="AD20" s="142">
        <v>1</v>
      </c>
      <c r="AE20" s="142">
        <v>0</v>
      </c>
      <c r="AF20" s="142">
        <v>50</v>
      </c>
      <c r="AG20" s="142" t="s">
        <v>167</v>
      </c>
      <c r="AH20" s="169">
        <v>154.69999999999999</v>
      </c>
      <c r="AI20" s="142" t="s">
        <v>167</v>
      </c>
      <c r="AJ20" s="142" t="s">
        <v>169</v>
      </c>
      <c r="AK20">
        <v>-9.2152777799999992</v>
      </c>
      <c r="AL20" s="142">
        <v>39.548333329999998</v>
      </c>
      <c r="AM20" s="142">
        <v>-19</v>
      </c>
      <c r="AN20" s="142" t="s">
        <v>167</v>
      </c>
      <c r="AO20" s="142" t="s">
        <v>167</v>
      </c>
      <c r="AP20" s="174" t="s">
        <v>281</v>
      </c>
      <c r="AQ20" s="142" t="s">
        <v>171</v>
      </c>
      <c r="AR20" s="142" t="s">
        <v>167</v>
      </c>
      <c r="AS20" s="170">
        <v>34210</v>
      </c>
      <c r="AT20" s="142" t="s">
        <v>172</v>
      </c>
      <c r="AU20" s="142" t="s">
        <v>167</v>
      </c>
      <c r="AV20" s="142" t="s">
        <v>167</v>
      </c>
      <c r="AW20" s="142" t="s">
        <v>173</v>
      </c>
      <c r="AX20" s="142" t="s">
        <v>174</v>
      </c>
      <c r="AY20" s="142" t="s">
        <v>256</v>
      </c>
      <c r="AZ20" s="142" t="s">
        <v>167</v>
      </c>
      <c r="BA20" s="142" t="s">
        <v>167</v>
      </c>
      <c r="BB20" s="142" t="s">
        <v>167</v>
      </c>
      <c r="BC20" s="142" t="s">
        <v>167</v>
      </c>
      <c r="BD20" s="142" t="s">
        <v>167</v>
      </c>
      <c r="BE20" s="142" t="s">
        <v>167</v>
      </c>
      <c r="BF20" s="142" t="s">
        <v>167</v>
      </c>
      <c r="BG20" s="164" t="s">
        <v>257</v>
      </c>
      <c r="BH20" s="148" t="s">
        <v>177</v>
      </c>
      <c r="BI20" s="148" t="s">
        <v>268</v>
      </c>
      <c r="BJ20" s="142" t="s">
        <v>167</v>
      </c>
      <c r="BK20" s="142" t="s">
        <v>180</v>
      </c>
      <c r="BL20" s="142" t="s">
        <v>181</v>
      </c>
      <c r="BM20" s="142" t="s">
        <v>182</v>
      </c>
      <c r="BN20" s="142" t="s">
        <v>271</v>
      </c>
      <c r="BO20" s="142">
        <v>2</v>
      </c>
      <c r="BP20" s="142">
        <v>0.14000000000000054</v>
      </c>
      <c r="BQ20" s="148">
        <v>14.812571373081299</v>
      </c>
      <c r="BR20" s="142" t="s">
        <v>184</v>
      </c>
      <c r="BS20" s="148">
        <v>0.27180134397961231</v>
      </c>
      <c r="BT20" s="142">
        <v>1</v>
      </c>
      <c r="BU20" s="142" t="s">
        <v>185</v>
      </c>
      <c r="BV20" s="142" t="s">
        <v>185</v>
      </c>
      <c r="BW20" s="142">
        <v>0</v>
      </c>
      <c r="BX20" s="142" t="s">
        <v>186</v>
      </c>
      <c r="BY20" s="142" t="s">
        <v>186</v>
      </c>
      <c r="BZ20" s="142" t="s">
        <v>187</v>
      </c>
      <c r="CA20" s="142" t="s">
        <v>167</v>
      </c>
      <c r="CB20" s="166">
        <v>14.812571373081299</v>
      </c>
      <c r="CC20" s="142" t="s">
        <v>188</v>
      </c>
      <c r="CD20" s="166">
        <v>0.27180134397961231</v>
      </c>
      <c r="CE20" s="142" t="s">
        <v>188</v>
      </c>
      <c r="CF20" s="142" t="s">
        <v>167</v>
      </c>
      <c r="CG20" s="142" t="s">
        <v>260</v>
      </c>
      <c r="CH20" s="142" t="s">
        <v>189</v>
      </c>
      <c r="CI20" s="142" t="s">
        <v>189</v>
      </c>
      <c r="CJ20" s="163">
        <v>31.717710206016267</v>
      </c>
      <c r="CK20" s="142" t="s">
        <v>190</v>
      </c>
      <c r="CL20" s="142">
        <v>2</v>
      </c>
      <c r="CM20" s="142">
        <v>2</v>
      </c>
      <c r="CN20" s="142" t="s">
        <v>167</v>
      </c>
      <c r="CO20" s="171">
        <v>4.6966318901264659</v>
      </c>
      <c r="CP20" s="142" t="s">
        <v>261</v>
      </c>
      <c r="CQ20" s="166">
        <v>9.393263780252932E-2</v>
      </c>
      <c r="CR20" s="166">
        <v>9.393263780252932E-2</v>
      </c>
      <c r="CS20" s="172" t="s">
        <v>262</v>
      </c>
      <c r="CT20" s="142" t="s">
        <v>282</v>
      </c>
      <c r="CU20" s="142">
        <v>4.3</v>
      </c>
      <c r="CV20" s="142" t="s">
        <v>278</v>
      </c>
      <c r="CW20" s="142" t="s">
        <v>192</v>
      </c>
      <c r="CX20" s="142" t="s">
        <v>192</v>
      </c>
      <c r="CY20" s="142" t="s">
        <v>192</v>
      </c>
      <c r="CZ20" s="142" t="s">
        <v>167</v>
      </c>
      <c r="DA20" s="142" t="s">
        <v>167</v>
      </c>
      <c r="DB20" s="142" t="s">
        <v>167</v>
      </c>
      <c r="DC20" s="142" t="s">
        <v>167</v>
      </c>
      <c r="DD20" s="142" t="s">
        <v>167</v>
      </c>
      <c r="DE20" s="142" t="s">
        <v>167</v>
      </c>
      <c r="DF20" s="142" t="s">
        <v>167</v>
      </c>
      <c r="DG20" s="142">
        <v>35</v>
      </c>
      <c r="DH20" s="142" t="s">
        <v>190</v>
      </c>
      <c r="DI20" s="142">
        <v>2</v>
      </c>
      <c r="DJ20" s="142" t="s">
        <v>198</v>
      </c>
      <c r="DK20" s="142">
        <v>1.7000000000000001E-2</v>
      </c>
      <c r="DL20" s="142" t="s">
        <v>199</v>
      </c>
      <c r="DM20" s="142">
        <v>3.0000000000000001E-3</v>
      </c>
      <c r="DN20" s="142" t="s">
        <v>252</v>
      </c>
      <c r="DO20" s="142">
        <v>3.7999999999999999E-2</v>
      </c>
      <c r="DP20" s="142" t="s">
        <v>199</v>
      </c>
      <c r="DQ20" s="142">
        <v>3.0000000000000001E-3</v>
      </c>
      <c r="DR20" t="s">
        <v>283</v>
      </c>
      <c r="DS20" s="142" t="s">
        <v>201</v>
      </c>
      <c r="DT20" s="142" t="s">
        <v>167</v>
      </c>
      <c r="DU20" s="142" t="s">
        <v>167</v>
      </c>
      <c r="DV20" s="142" t="s">
        <v>167</v>
      </c>
      <c r="DW20" s="142">
        <v>432.6</v>
      </c>
      <c r="DX20" s="142" t="s">
        <v>202</v>
      </c>
      <c r="DY20" s="142" t="s">
        <v>202</v>
      </c>
      <c r="DZ20" t="s">
        <v>284</v>
      </c>
      <c r="EA20" s="142">
        <v>38.450000000000003</v>
      </c>
      <c r="EB20" s="142" t="s">
        <v>203</v>
      </c>
      <c r="EC20" s="142">
        <v>0.25</v>
      </c>
      <c r="ED20" s="142" t="s">
        <v>204</v>
      </c>
      <c r="EE20" s="142" t="s">
        <v>205</v>
      </c>
      <c r="EF20" s="142" t="s">
        <v>206</v>
      </c>
      <c r="EG20" s="142">
        <v>1.0271999999999999</v>
      </c>
      <c r="EH20" s="142" t="s">
        <v>207</v>
      </c>
      <c r="EI20" s="142" t="s">
        <v>207</v>
      </c>
      <c r="EJ20" s="142" t="s">
        <v>208</v>
      </c>
      <c r="EK20" s="142" t="s">
        <v>207</v>
      </c>
      <c r="EL20" s="142" t="s">
        <v>207</v>
      </c>
      <c r="EM20" s="142" t="s">
        <v>209</v>
      </c>
      <c r="EN20" s="142" t="s">
        <v>210</v>
      </c>
      <c r="EO20" s="142" t="s">
        <v>211</v>
      </c>
      <c r="EP20" s="142" t="s">
        <v>211</v>
      </c>
      <c r="EQ20" s="142" t="s">
        <v>211</v>
      </c>
      <c r="ER20" s="142" t="s">
        <v>212</v>
      </c>
      <c r="ES20" s="142" t="s">
        <v>206</v>
      </c>
      <c r="ET20" s="142" t="s">
        <v>213</v>
      </c>
      <c r="EU20" s="142" t="s">
        <v>214</v>
      </c>
      <c r="EV20" s="142" t="s">
        <v>215</v>
      </c>
      <c r="EW20" s="142" t="s">
        <v>167</v>
      </c>
      <c r="EX20" s="142" t="s">
        <v>167</v>
      </c>
      <c r="EY20" s="142" t="s">
        <v>167</v>
      </c>
      <c r="EZ20" s="142" t="s">
        <v>167</v>
      </c>
      <c r="FA20" s="142">
        <v>6.5</v>
      </c>
      <c r="FB20" s="142" t="s">
        <v>216</v>
      </c>
      <c r="FC20" s="142">
        <v>1</v>
      </c>
      <c r="FD20" s="142">
        <v>1</v>
      </c>
      <c r="FE20" s="148">
        <v>7.7446961916897727</v>
      </c>
      <c r="FF20" s="142" t="s">
        <v>217</v>
      </c>
      <c r="FG20" s="148">
        <v>5.7135905394778495E-2</v>
      </c>
      <c r="FH20" s="148">
        <v>5.7135905394778495E-2</v>
      </c>
      <c r="FI20" s="151">
        <v>960</v>
      </c>
      <c r="FJ20" s="142" t="s">
        <v>218</v>
      </c>
      <c r="FK20" s="157" t="s">
        <v>167</v>
      </c>
      <c r="FL20" s="151">
        <v>960</v>
      </c>
      <c r="FM20" s="151">
        <v>330</v>
      </c>
      <c r="FN20" s="151">
        <v>330</v>
      </c>
      <c r="FO20" s="142" t="s">
        <v>220</v>
      </c>
      <c r="FP20" s="142" t="s">
        <v>221</v>
      </c>
      <c r="FQ20" s="151">
        <v>2400</v>
      </c>
      <c r="FR20" s="151">
        <v>460</v>
      </c>
      <c r="FS20" s="151">
        <v>460</v>
      </c>
      <c r="FT20" s="152">
        <v>2200</v>
      </c>
      <c r="FU20" s="152">
        <v>450</v>
      </c>
      <c r="FV20" s="152">
        <v>450</v>
      </c>
      <c r="FW20" s="142" t="s">
        <v>167</v>
      </c>
      <c r="FX20" s="142" t="s">
        <v>167</v>
      </c>
      <c r="FY20" s="142" t="s">
        <v>167</v>
      </c>
      <c r="FZ20" s="142" t="s">
        <v>167</v>
      </c>
      <c r="GA20" s="142" t="s">
        <v>167</v>
      </c>
      <c r="GB20" s="142" t="s">
        <v>167</v>
      </c>
      <c r="GC20" s="142" t="s">
        <v>263</v>
      </c>
    </row>
    <row r="21" spans="1:185" s="142" customFormat="1" ht="16">
      <c r="A21" s="142" t="s">
        <v>162</v>
      </c>
      <c r="B21" s="160" t="s">
        <v>163</v>
      </c>
      <c r="C21" s="142" t="s">
        <v>164</v>
      </c>
      <c r="D21" s="142" t="s">
        <v>165</v>
      </c>
      <c r="E21" s="142">
        <v>2016</v>
      </c>
      <c r="F21" s="142" t="s">
        <v>166</v>
      </c>
      <c r="G21" s="142">
        <f t="shared" si="1"/>
        <v>34420</v>
      </c>
      <c r="H21" s="142" t="str">
        <f t="shared" si="2"/>
        <v>NA</v>
      </c>
      <c r="I21" s="142" t="str">
        <f t="shared" si="3"/>
        <v>NA</v>
      </c>
      <c r="J21" s="142">
        <f t="shared" si="4"/>
        <v>940</v>
      </c>
      <c r="K21" s="142">
        <f t="shared" si="5"/>
        <v>360</v>
      </c>
      <c r="L21" s="142">
        <f t="shared" si="6"/>
        <v>360</v>
      </c>
      <c r="M21" s="142" t="b">
        <v>1</v>
      </c>
      <c r="N21" s="142">
        <v>3</v>
      </c>
      <c r="O21" t="s">
        <v>300</v>
      </c>
      <c r="P21" t="s">
        <v>301</v>
      </c>
      <c r="Q21" s="142" t="b">
        <v>0</v>
      </c>
      <c r="R21" s="142" t="s">
        <v>167</v>
      </c>
      <c r="S21" s="142" t="b">
        <v>1</v>
      </c>
      <c r="T21" s="142" t="b">
        <v>0</v>
      </c>
      <c r="U21" s="142" t="s">
        <v>167</v>
      </c>
      <c r="V21" s="142" t="b">
        <v>0</v>
      </c>
      <c r="W21" s="142" t="b">
        <v>0</v>
      </c>
      <c r="X21" s="142" t="s">
        <v>167</v>
      </c>
      <c r="Y21" s="175" t="s">
        <v>299</v>
      </c>
      <c r="Z21" s="142" t="s">
        <v>166</v>
      </c>
      <c r="AA21" s="142" t="s">
        <v>266</v>
      </c>
      <c r="AB21" s="142" t="s">
        <v>167</v>
      </c>
      <c r="AC21" s="142">
        <v>40</v>
      </c>
      <c r="AD21" s="142">
        <v>3</v>
      </c>
      <c r="AE21" s="142">
        <v>0</v>
      </c>
      <c r="AF21" s="142">
        <v>50</v>
      </c>
      <c r="AG21" s="142" t="s">
        <v>167</v>
      </c>
      <c r="AH21" s="169">
        <v>179.5</v>
      </c>
      <c r="AI21" s="142" t="s">
        <v>167</v>
      </c>
      <c r="AJ21" s="142" t="s">
        <v>169</v>
      </c>
      <c r="AK21">
        <v>-9.2152777799999992</v>
      </c>
      <c r="AL21" s="142">
        <v>39.548333329999998</v>
      </c>
      <c r="AM21" s="142">
        <v>-19</v>
      </c>
      <c r="AN21" s="142" t="s">
        <v>167</v>
      </c>
      <c r="AO21" s="142" t="s">
        <v>167</v>
      </c>
      <c r="AP21" s="174" t="s">
        <v>281</v>
      </c>
      <c r="AQ21" s="142" t="s">
        <v>171</v>
      </c>
      <c r="AR21" s="142" t="s">
        <v>167</v>
      </c>
      <c r="AS21" s="170">
        <v>34420</v>
      </c>
      <c r="AT21" s="142" t="s">
        <v>172</v>
      </c>
      <c r="AU21" s="142" t="s">
        <v>167</v>
      </c>
      <c r="AV21" s="142" t="s">
        <v>167</v>
      </c>
      <c r="AW21" s="142" t="s">
        <v>173</v>
      </c>
      <c r="AX21" s="142" t="s">
        <v>174</v>
      </c>
      <c r="AY21" s="142" t="s">
        <v>256</v>
      </c>
      <c r="AZ21" s="142" t="s">
        <v>167</v>
      </c>
      <c r="BA21" s="142" t="s">
        <v>167</v>
      </c>
      <c r="BB21" s="142" t="s">
        <v>167</v>
      </c>
      <c r="BC21" s="142" t="s">
        <v>167</v>
      </c>
      <c r="BD21" s="142" t="s">
        <v>167</v>
      </c>
      <c r="BE21" s="142" t="s">
        <v>167</v>
      </c>
      <c r="BF21" s="142" t="s">
        <v>167</v>
      </c>
      <c r="BG21" s="164" t="s">
        <v>257</v>
      </c>
      <c r="BH21" s="148" t="s">
        <v>177</v>
      </c>
      <c r="BI21" s="148" t="s">
        <v>268</v>
      </c>
      <c r="BJ21" s="142" t="s">
        <v>167</v>
      </c>
      <c r="BK21" s="142" t="s">
        <v>180</v>
      </c>
      <c r="BL21" s="142" t="s">
        <v>181</v>
      </c>
      <c r="BM21" s="142" t="s">
        <v>182</v>
      </c>
      <c r="BN21" s="142" t="s">
        <v>272</v>
      </c>
      <c r="BO21" s="142">
        <v>2</v>
      </c>
      <c r="BP21" s="142">
        <v>0.35999999999999943</v>
      </c>
      <c r="BQ21" s="148">
        <v>14.864717039831351</v>
      </c>
      <c r="BR21" s="142" t="s">
        <v>184</v>
      </c>
      <c r="BS21" s="148">
        <v>0.38405724771970828</v>
      </c>
      <c r="BT21" s="142">
        <v>1</v>
      </c>
      <c r="BU21" s="142" t="s">
        <v>185</v>
      </c>
      <c r="BV21" s="142" t="s">
        <v>185</v>
      </c>
      <c r="BW21" s="142">
        <v>0</v>
      </c>
      <c r="BX21" s="142" t="s">
        <v>186</v>
      </c>
      <c r="BY21" s="142" t="s">
        <v>186</v>
      </c>
      <c r="BZ21" s="142" t="s">
        <v>187</v>
      </c>
      <c r="CA21" s="142" t="s">
        <v>167</v>
      </c>
      <c r="CB21" s="166">
        <v>14.864717039831351</v>
      </c>
      <c r="CC21" s="142" t="s">
        <v>188</v>
      </c>
      <c r="CD21" s="166">
        <v>0.38405724771970828</v>
      </c>
      <c r="CE21" s="142" t="s">
        <v>188</v>
      </c>
      <c r="CF21" s="142" t="s">
        <v>167</v>
      </c>
      <c r="CG21" s="142" t="s">
        <v>260</v>
      </c>
      <c r="CH21" s="142" t="s">
        <v>189</v>
      </c>
      <c r="CI21" s="142" t="s">
        <v>189</v>
      </c>
      <c r="CJ21" s="163">
        <v>32.125604414986682</v>
      </c>
      <c r="CK21" s="142" t="s">
        <v>190</v>
      </c>
      <c r="CL21" s="142">
        <v>2</v>
      </c>
      <c r="CM21" s="142">
        <v>2</v>
      </c>
      <c r="CN21" s="142" t="s">
        <v>167</v>
      </c>
      <c r="CO21" s="171">
        <v>4.8631536575199501</v>
      </c>
      <c r="CP21" s="142" t="s">
        <v>261</v>
      </c>
      <c r="CQ21" s="166">
        <v>9.7263073150399004E-2</v>
      </c>
      <c r="CR21" s="166">
        <v>9.7263073150399004E-2</v>
      </c>
      <c r="CS21" s="172" t="s">
        <v>262</v>
      </c>
      <c r="CT21" s="142" t="s">
        <v>282</v>
      </c>
      <c r="CU21" s="142">
        <v>4.3</v>
      </c>
      <c r="CV21" s="142" t="s">
        <v>278</v>
      </c>
      <c r="CW21" s="142" t="s">
        <v>192</v>
      </c>
      <c r="CX21" s="142" t="s">
        <v>192</v>
      </c>
      <c r="CY21" s="142" t="s">
        <v>192</v>
      </c>
      <c r="CZ21" s="142" t="s">
        <v>167</v>
      </c>
      <c r="DA21" s="142" t="s">
        <v>167</v>
      </c>
      <c r="DB21" s="142" t="s">
        <v>167</v>
      </c>
      <c r="DC21" s="142" t="s">
        <v>167</v>
      </c>
      <c r="DD21" s="142" t="s">
        <v>167</v>
      </c>
      <c r="DE21" s="142" t="s">
        <v>167</v>
      </c>
      <c r="DF21" s="142" t="s">
        <v>167</v>
      </c>
      <c r="DG21" s="142">
        <v>35</v>
      </c>
      <c r="DH21" s="142" t="s">
        <v>190</v>
      </c>
      <c r="DI21" s="142">
        <v>2</v>
      </c>
      <c r="DJ21" s="142" t="s">
        <v>198</v>
      </c>
      <c r="DK21" s="142">
        <v>1.7000000000000001E-2</v>
      </c>
      <c r="DL21" s="142" t="s">
        <v>199</v>
      </c>
      <c r="DM21" s="142">
        <v>3.0000000000000001E-3</v>
      </c>
      <c r="DN21" s="142" t="s">
        <v>252</v>
      </c>
      <c r="DO21" s="142">
        <v>3.7999999999999999E-2</v>
      </c>
      <c r="DP21" s="142" t="s">
        <v>199</v>
      </c>
      <c r="DQ21" s="142">
        <v>3.0000000000000001E-3</v>
      </c>
      <c r="DR21" t="s">
        <v>283</v>
      </c>
      <c r="DS21" s="142" t="s">
        <v>201</v>
      </c>
      <c r="DT21" s="142" t="s">
        <v>167</v>
      </c>
      <c r="DU21" s="142" t="s">
        <v>167</v>
      </c>
      <c r="DV21" s="142" t="s">
        <v>167</v>
      </c>
      <c r="DW21" s="142">
        <v>432.6</v>
      </c>
      <c r="DX21" s="142" t="s">
        <v>202</v>
      </c>
      <c r="DY21" s="142" t="s">
        <v>202</v>
      </c>
      <c r="DZ21" t="s">
        <v>284</v>
      </c>
      <c r="EA21" s="142">
        <v>38.450000000000003</v>
      </c>
      <c r="EB21" s="142" t="s">
        <v>203</v>
      </c>
      <c r="EC21" s="142">
        <v>0.25</v>
      </c>
      <c r="ED21" s="142" t="s">
        <v>204</v>
      </c>
      <c r="EE21" s="142" t="s">
        <v>205</v>
      </c>
      <c r="EF21" s="142" t="s">
        <v>206</v>
      </c>
      <c r="EG21" s="142">
        <v>1.0271999999999999</v>
      </c>
      <c r="EH21" s="142" t="s">
        <v>207</v>
      </c>
      <c r="EI21" s="142" t="s">
        <v>207</v>
      </c>
      <c r="EJ21" s="142" t="s">
        <v>208</v>
      </c>
      <c r="EK21" s="142" t="s">
        <v>207</v>
      </c>
      <c r="EL21" s="142" t="s">
        <v>207</v>
      </c>
      <c r="EM21" s="142" t="s">
        <v>209</v>
      </c>
      <c r="EN21" s="142" t="s">
        <v>210</v>
      </c>
      <c r="EO21" s="142" t="s">
        <v>211</v>
      </c>
      <c r="EP21" s="142" t="s">
        <v>211</v>
      </c>
      <c r="EQ21" s="142" t="s">
        <v>211</v>
      </c>
      <c r="ER21" s="142" t="s">
        <v>212</v>
      </c>
      <c r="ES21" s="142" t="s">
        <v>206</v>
      </c>
      <c r="ET21" s="142" t="s">
        <v>213</v>
      </c>
      <c r="EU21" s="142" t="s">
        <v>214</v>
      </c>
      <c r="EV21" s="142" t="s">
        <v>215</v>
      </c>
      <c r="EW21" s="142" t="s">
        <v>167</v>
      </c>
      <c r="EX21" s="142" t="s">
        <v>167</v>
      </c>
      <c r="EY21" s="142" t="s">
        <v>167</v>
      </c>
      <c r="EZ21" s="142" t="s">
        <v>167</v>
      </c>
      <c r="FA21" s="142">
        <v>6.5</v>
      </c>
      <c r="FB21" s="142" t="s">
        <v>216</v>
      </c>
      <c r="FC21" s="142">
        <v>1</v>
      </c>
      <c r="FD21" s="142">
        <v>1</v>
      </c>
      <c r="FE21" s="148">
        <v>7.7470122710291447</v>
      </c>
      <c r="FF21" s="142" t="s">
        <v>217</v>
      </c>
      <c r="FG21" s="148">
        <v>6.722067522296063E-2</v>
      </c>
      <c r="FH21" s="148">
        <v>6.722067522296063E-2</v>
      </c>
      <c r="FI21" s="151">
        <v>940</v>
      </c>
      <c r="FJ21" s="142" t="s">
        <v>218</v>
      </c>
      <c r="FK21" s="157" t="s">
        <v>167</v>
      </c>
      <c r="FL21" s="151">
        <v>940</v>
      </c>
      <c r="FM21" s="151">
        <v>360</v>
      </c>
      <c r="FN21" s="151">
        <v>360</v>
      </c>
      <c r="FO21" s="142" t="s">
        <v>220</v>
      </c>
      <c r="FP21" s="142" t="s">
        <v>221</v>
      </c>
      <c r="FQ21" s="151">
        <v>2300</v>
      </c>
      <c r="FR21" s="151">
        <v>470</v>
      </c>
      <c r="FS21" s="151">
        <v>470</v>
      </c>
      <c r="FT21" s="152">
        <v>2200</v>
      </c>
      <c r="FU21" s="152">
        <v>460</v>
      </c>
      <c r="FV21" s="152">
        <v>460</v>
      </c>
      <c r="FW21" s="142" t="s">
        <v>167</v>
      </c>
      <c r="FX21" s="142" t="s">
        <v>167</v>
      </c>
      <c r="FY21" s="142" t="s">
        <v>167</v>
      </c>
      <c r="FZ21" s="142" t="s">
        <v>167</v>
      </c>
      <c r="GA21" s="142" t="s">
        <v>167</v>
      </c>
      <c r="GB21" s="142" t="s">
        <v>167</v>
      </c>
      <c r="GC21" s="142" t="s">
        <v>263</v>
      </c>
    </row>
    <row r="22" spans="1:185" s="142" customFormat="1" ht="16">
      <c r="A22" s="142" t="s">
        <v>162</v>
      </c>
      <c r="B22" s="160" t="s">
        <v>163</v>
      </c>
      <c r="C22" s="142" t="s">
        <v>164</v>
      </c>
      <c r="D22" s="142" t="s">
        <v>165</v>
      </c>
      <c r="E22" s="142">
        <v>2016</v>
      </c>
      <c r="F22" s="142" t="s">
        <v>166</v>
      </c>
      <c r="G22" s="142">
        <f t="shared" si="1"/>
        <v>34630</v>
      </c>
      <c r="H22" s="142" t="str">
        <f t="shared" si="2"/>
        <v>NA</v>
      </c>
      <c r="I22" s="142" t="str">
        <f t="shared" si="3"/>
        <v>NA</v>
      </c>
      <c r="J22" s="142">
        <f t="shared" si="4"/>
        <v>810</v>
      </c>
      <c r="K22" s="142">
        <f t="shared" si="5"/>
        <v>310</v>
      </c>
      <c r="L22" s="142">
        <f t="shared" si="6"/>
        <v>310</v>
      </c>
      <c r="M22" s="142" t="b">
        <v>1</v>
      </c>
      <c r="N22" s="142">
        <v>3</v>
      </c>
      <c r="O22" t="s">
        <v>300</v>
      </c>
      <c r="P22" t="s">
        <v>301</v>
      </c>
      <c r="Q22" s="142" t="b">
        <v>0</v>
      </c>
      <c r="R22" s="142" t="s">
        <v>167</v>
      </c>
      <c r="S22" s="142" t="b">
        <v>1</v>
      </c>
      <c r="T22" s="142" t="b">
        <v>0</v>
      </c>
      <c r="U22" s="142" t="s">
        <v>167</v>
      </c>
      <c r="V22" s="142" t="b">
        <v>0</v>
      </c>
      <c r="W22" s="142" t="b">
        <v>0</v>
      </c>
      <c r="X22" s="142" t="s">
        <v>167</v>
      </c>
      <c r="Y22" s="175" t="s">
        <v>299</v>
      </c>
      <c r="Z22" s="142" t="s">
        <v>166</v>
      </c>
      <c r="AA22" s="142" t="s">
        <v>266</v>
      </c>
      <c r="AB22" s="142" t="s">
        <v>167</v>
      </c>
      <c r="AC22" s="142">
        <v>47</v>
      </c>
      <c r="AD22" s="142">
        <v>3</v>
      </c>
      <c r="AE22" s="142">
        <v>0</v>
      </c>
      <c r="AF22" s="142">
        <v>50</v>
      </c>
      <c r="AG22" s="142" t="s">
        <v>167</v>
      </c>
      <c r="AH22" s="169">
        <v>204.7</v>
      </c>
      <c r="AI22" s="142" t="s">
        <v>167</v>
      </c>
      <c r="AJ22" s="142" t="s">
        <v>169</v>
      </c>
      <c r="AK22">
        <v>-9.2152777799999992</v>
      </c>
      <c r="AL22" s="142">
        <v>39.548333329999998</v>
      </c>
      <c r="AM22" s="142">
        <v>-19</v>
      </c>
      <c r="AN22" s="142" t="s">
        <v>167</v>
      </c>
      <c r="AO22" s="142" t="s">
        <v>167</v>
      </c>
      <c r="AP22" s="174" t="s">
        <v>281</v>
      </c>
      <c r="AQ22" s="142" t="s">
        <v>171</v>
      </c>
      <c r="AR22" s="142" t="s">
        <v>167</v>
      </c>
      <c r="AS22" s="170">
        <v>34630</v>
      </c>
      <c r="AT22" s="142" t="s">
        <v>172</v>
      </c>
      <c r="AU22" s="142" t="s">
        <v>167</v>
      </c>
      <c r="AV22" s="142" t="s">
        <v>167</v>
      </c>
      <c r="AW22" s="142" t="s">
        <v>173</v>
      </c>
      <c r="AX22" s="142" t="s">
        <v>174</v>
      </c>
      <c r="AY22" s="142" t="s">
        <v>256</v>
      </c>
      <c r="AZ22" s="142" t="s">
        <v>167</v>
      </c>
      <c r="BA22" s="142" t="s">
        <v>167</v>
      </c>
      <c r="BB22" s="142" t="s">
        <v>167</v>
      </c>
      <c r="BC22" s="142" t="s">
        <v>167</v>
      </c>
      <c r="BD22" s="142" t="s">
        <v>167</v>
      </c>
      <c r="BE22" s="142" t="s">
        <v>167</v>
      </c>
      <c r="BF22" s="142" t="s">
        <v>167</v>
      </c>
      <c r="BG22" s="164" t="s">
        <v>257</v>
      </c>
      <c r="BH22" s="148" t="s">
        <v>177</v>
      </c>
      <c r="BI22" s="148" t="s">
        <v>268</v>
      </c>
      <c r="BJ22" s="142" t="s">
        <v>167</v>
      </c>
      <c r="BK22" s="142" t="s">
        <v>180</v>
      </c>
      <c r="BL22" s="142" t="s">
        <v>181</v>
      </c>
      <c r="BM22" s="142" t="s">
        <v>182</v>
      </c>
      <c r="BN22" s="142" t="s">
        <v>273</v>
      </c>
      <c r="BO22" s="142">
        <v>2</v>
      </c>
      <c r="BP22" s="142">
        <v>0.22000000000000061</v>
      </c>
      <c r="BQ22" s="148">
        <v>15.101862568699548</v>
      </c>
      <c r="BR22" s="142" t="s">
        <v>184</v>
      </c>
      <c r="BS22" s="148">
        <v>0.41485655550830691</v>
      </c>
      <c r="BT22" s="142">
        <v>1</v>
      </c>
      <c r="BU22" s="142" t="s">
        <v>185</v>
      </c>
      <c r="BV22" s="142" t="s">
        <v>185</v>
      </c>
      <c r="BW22" s="142">
        <v>0</v>
      </c>
      <c r="BX22" s="142" t="s">
        <v>186</v>
      </c>
      <c r="BY22" s="142" t="s">
        <v>186</v>
      </c>
      <c r="BZ22" s="142" t="s">
        <v>187</v>
      </c>
      <c r="CA22" s="142" t="s">
        <v>167</v>
      </c>
      <c r="CB22" s="166">
        <v>15.101862568699548</v>
      </c>
      <c r="CC22" s="142" t="s">
        <v>188</v>
      </c>
      <c r="CD22" s="166">
        <v>0.41485655550830691</v>
      </c>
      <c r="CE22" s="142" t="s">
        <v>188</v>
      </c>
      <c r="CF22" s="142" t="s">
        <v>167</v>
      </c>
      <c r="CG22" s="142" t="s">
        <v>260</v>
      </c>
      <c r="CH22" s="142" t="s">
        <v>189</v>
      </c>
      <c r="CI22" s="142" t="s">
        <v>189</v>
      </c>
      <c r="CJ22" s="163">
        <v>31.184532048114061</v>
      </c>
      <c r="CK22" s="142" t="s">
        <v>190</v>
      </c>
      <c r="CL22" s="142">
        <v>2</v>
      </c>
      <c r="CM22" s="142">
        <v>2</v>
      </c>
      <c r="CN22" s="142" t="s">
        <v>167</v>
      </c>
      <c r="CO22" s="171">
        <v>4.5158479550980921</v>
      </c>
      <c r="CP22" s="142" t="s">
        <v>261</v>
      </c>
      <c r="CQ22" s="166">
        <v>9.0316959101961844E-2</v>
      </c>
      <c r="CR22" s="166">
        <v>9.0316959101961844E-2</v>
      </c>
      <c r="CS22" s="172" t="s">
        <v>262</v>
      </c>
      <c r="CT22" s="142" t="s">
        <v>282</v>
      </c>
      <c r="CU22" s="142">
        <v>4.3</v>
      </c>
      <c r="CV22" s="142" t="s">
        <v>278</v>
      </c>
      <c r="CW22" s="142" t="s">
        <v>192</v>
      </c>
      <c r="CX22" s="142" t="s">
        <v>192</v>
      </c>
      <c r="CY22" s="142" t="s">
        <v>192</v>
      </c>
      <c r="CZ22" s="142" t="s">
        <v>167</v>
      </c>
      <c r="DA22" s="142" t="s">
        <v>167</v>
      </c>
      <c r="DB22" s="142" t="s">
        <v>167</v>
      </c>
      <c r="DC22" s="142" t="s">
        <v>167</v>
      </c>
      <c r="DD22" s="142" t="s">
        <v>167</v>
      </c>
      <c r="DE22" s="142" t="s">
        <v>167</v>
      </c>
      <c r="DF22" s="142" t="s">
        <v>167</v>
      </c>
      <c r="DG22" s="142">
        <v>35</v>
      </c>
      <c r="DH22" s="142" t="s">
        <v>190</v>
      </c>
      <c r="DI22" s="142">
        <v>2</v>
      </c>
      <c r="DJ22" s="142" t="s">
        <v>198</v>
      </c>
      <c r="DK22" s="142">
        <v>1.7000000000000001E-2</v>
      </c>
      <c r="DL22" s="142" t="s">
        <v>199</v>
      </c>
      <c r="DM22" s="142">
        <v>3.0000000000000001E-3</v>
      </c>
      <c r="DN22" s="142" t="s">
        <v>252</v>
      </c>
      <c r="DO22" s="142">
        <v>3.7999999999999999E-2</v>
      </c>
      <c r="DP22" s="142" t="s">
        <v>199</v>
      </c>
      <c r="DQ22" s="142">
        <v>3.0000000000000001E-3</v>
      </c>
      <c r="DR22" t="s">
        <v>283</v>
      </c>
      <c r="DS22" s="142" t="s">
        <v>201</v>
      </c>
      <c r="DT22" s="142" t="s">
        <v>167</v>
      </c>
      <c r="DU22" s="142" t="s">
        <v>167</v>
      </c>
      <c r="DV22" s="142" t="s">
        <v>167</v>
      </c>
      <c r="DW22" s="142">
        <v>432.6</v>
      </c>
      <c r="DX22" s="142" t="s">
        <v>202</v>
      </c>
      <c r="DY22" s="142" t="s">
        <v>202</v>
      </c>
      <c r="DZ22" t="s">
        <v>284</v>
      </c>
      <c r="EA22" s="142">
        <v>38.450000000000003</v>
      </c>
      <c r="EB22" s="142" t="s">
        <v>203</v>
      </c>
      <c r="EC22" s="142">
        <v>0.25</v>
      </c>
      <c r="ED22" s="142" t="s">
        <v>204</v>
      </c>
      <c r="EE22" s="142" t="s">
        <v>205</v>
      </c>
      <c r="EF22" s="142" t="s">
        <v>206</v>
      </c>
      <c r="EG22" s="142">
        <v>1.0271999999999999</v>
      </c>
      <c r="EH22" s="142" t="s">
        <v>207</v>
      </c>
      <c r="EI22" s="142" t="s">
        <v>207</v>
      </c>
      <c r="EJ22" s="142" t="s">
        <v>208</v>
      </c>
      <c r="EK22" s="142" t="s">
        <v>207</v>
      </c>
      <c r="EL22" s="142" t="s">
        <v>207</v>
      </c>
      <c r="EM22" s="142" t="s">
        <v>209</v>
      </c>
      <c r="EN22" s="142" t="s">
        <v>210</v>
      </c>
      <c r="EO22" s="142" t="s">
        <v>211</v>
      </c>
      <c r="EP22" s="142" t="s">
        <v>211</v>
      </c>
      <c r="EQ22" s="142" t="s">
        <v>211</v>
      </c>
      <c r="ER22" s="142" t="s">
        <v>212</v>
      </c>
      <c r="ES22" s="142" t="s">
        <v>206</v>
      </c>
      <c r="ET22" s="142" t="s">
        <v>213</v>
      </c>
      <c r="EU22" s="142" t="s">
        <v>214</v>
      </c>
      <c r="EV22" s="142" t="s">
        <v>215</v>
      </c>
      <c r="EW22" s="142" t="s">
        <v>167</v>
      </c>
      <c r="EX22" s="142" t="s">
        <v>167</v>
      </c>
      <c r="EY22" s="142" t="s">
        <v>167</v>
      </c>
      <c r="EZ22" s="142" t="s">
        <v>167</v>
      </c>
      <c r="FA22" s="142">
        <v>6.5</v>
      </c>
      <c r="FB22" s="142" t="s">
        <v>216</v>
      </c>
      <c r="FC22" s="142">
        <v>1</v>
      </c>
      <c r="FD22" s="142">
        <v>1</v>
      </c>
      <c r="FE22" s="148">
        <v>7.787339149186197</v>
      </c>
      <c r="FF22" s="142" t="s">
        <v>217</v>
      </c>
      <c r="FG22" s="148">
        <v>6.6855848591816702E-2</v>
      </c>
      <c r="FH22" s="148">
        <v>6.6855848591816702E-2</v>
      </c>
      <c r="FI22" s="151">
        <v>810</v>
      </c>
      <c r="FJ22" s="142" t="s">
        <v>218</v>
      </c>
      <c r="FK22" s="157" t="s">
        <v>167</v>
      </c>
      <c r="FL22" s="151">
        <v>810</v>
      </c>
      <c r="FM22" s="151">
        <v>310</v>
      </c>
      <c r="FN22" s="151">
        <v>310</v>
      </c>
      <c r="FO22" s="142" t="s">
        <v>220</v>
      </c>
      <c r="FP22" s="142" t="s">
        <v>221</v>
      </c>
      <c r="FQ22" s="151">
        <v>2200</v>
      </c>
      <c r="FR22" s="151">
        <v>450</v>
      </c>
      <c r="FS22" s="151">
        <v>450</v>
      </c>
      <c r="FT22" s="152">
        <v>2000</v>
      </c>
      <c r="FU22" s="152">
        <v>440</v>
      </c>
      <c r="FV22" s="152">
        <v>440</v>
      </c>
      <c r="FW22" s="142" t="s">
        <v>167</v>
      </c>
      <c r="FX22" s="142" t="s">
        <v>167</v>
      </c>
      <c r="FY22" s="142" t="s">
        <v>167</v>
      </c>
      <c r="FZ22" s="142" t="s">
        <v>167</v>
      </c>
      <c r="GA22" s="142" t="s">
        <v>167</v>
      </c>
      <c r="GB22" s="142" t="s">
        <v>167</v>
      </c>
      <c r="GC22" s="142" t="s">
        <v>263</v>
      </c>
    </row>
  </sheetData>
  <mergeCells count="1">
    <mergeCell ref="S2:W2"/>
  </mergeCells>
  <hyperlinks>
    <hyperlink ref="B4" r:id="rId1" xr:uid="{24A31B4E-1D2F-BF41-A82B-1F0DA0F95094}"/>
    <hyperlink ref="B5" r:id="rId2" xr:uid="{33F3B3E8-51AC-B94B-8A34-F1AEACFFC2C6}"/>
    <hyperlink ref="B6" r:id="rId3" xr:uid="{BF66258C-BB57-B141-B404-028B98E06E20}"/>
    <hyperlink ref="B7" r:id="rId4" xr:uid="{D7EAA994-0D80-254E-976C-0FC71C91F85B}"/>
    <hyperlink ref="B8" r:id="rId5" xr:uid="{1D346B07-2BCC-FD4D-B713-F152523E6393}"/>
    <hyperlink ref="B14" r:id="rId6" xr:uid="{335F2FDB-EC87-1B40-8804-0C36D2033FB2}"/>
    <hyperlink ref="B15" r:id="rId7" xr:uid="{F68B2EDD-8E92-2346-8260-898BC326B807}"/>
    <hyperlink ref="B16" r:id="rId8" xr:uid="{E978D1BD-6B31-B043-A366-103CF1F9D1B2}"/>
    <hyperlink ref="B17" r:id="rId9" xr:uid="{93F99EE6-A908-B442-8546-700A5B6BA42A}"/>
    <hyperlink ref="B18" r:id="rId10" xr:uid="{BD9CD493-3ACF-164F-A846-DEE98499E0B6}"/>
    <hyperlink ref="B19" r:id="rId11" xr:uid="{082182C6-83E5-CB41-8E2A-4F64FAC9E52A}"/>
    <hyperlink ref="B20" r:id="rId12" xr:uid="{5FA1DE09-1280-C24C-8F5E-50A3E34F2EC3}"/>
    <hyperlink ref="B21" r:id="rId13" xr:uid="{F843AD6E-3722-EB42-8219-A83090AE06D3}"/>
    <hyperlink ref="B22" r:id="rId14" xr:uid="{995E997B-95C9-2F42-BCE0-8A13EB09D98C}"/>
    <hyperlink ref="B9" r:id="rId15" xr:uid="{E0A39FE8-471C-7441-9A62-37763C4A5045}"/>
    <hyperlink ref="B10" r:id="rId16" xr:uid="{86F3C454-C2FC-3749-929E-F7D2552ADC4D}"/>
    <hyperlink ref="B11" r:id="rId17" xr:uid="{C28712BC-83F7-DE41-8320-84E4070BA9B8}"/>
    <hyperlink ref="B12" r:id="rId18" xr:uid="{2CD232C1-5D4B-D04E-B968-48923F410D37}"/>
    <hyperlink ref="B13" r:id="rId19" xr:uid="{5F4F5A6E-FA41-0441-97E2-4B2407DB8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2022-03-17T17:55:59Z</dcterms:modified>
</cp:coreProperties>
</file>