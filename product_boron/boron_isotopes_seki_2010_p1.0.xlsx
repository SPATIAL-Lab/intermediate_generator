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10573491-2250-C947-BED7-36B5442E0C0F}" xr6:coauthVersionLast="47" xr6:coauthVersionMax="47" xr10:uidLastSave="{00000000-0000-0000-0000-000000000000}"/>
  <bookViews>
    <workbookView xWindow="1200" yWindow="50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4" i="1" l="1"/>
  <c r="F5" i="1"/>
  <c r="G5" i="1"/>
  <c r="H5" i="1"/>
  <c r="I5" i="1"/>
  <c r="J5" i="1"/>
  <c r="K5" i="1"/>
  <c r="L5"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F23" i="1"/>
  <c r="G23" i="1"/>
  <c r="H23" i="1"/>
  <c r="I23" i="1"/>
  <c r="J23" i="1"/>
  <c r="K23" i="1"/>
  <c r="L23" i="1"/>
  <c r="EZ23" i="1"/>
  <c r="EY23" i="1"/>
  <c r="EZ22" i="1"/>
  <c r="EY22" i="1"/>
  <c r="EZ21" i="1"/>
  <c r="EY21" i="1"/>
  <c r="EZ20" i="1"/>
  <c r="EY20" i="1"/>
  <c r="EZ19" i="1"/>
  <c r="EY19" i="1"/>
  <c r="EZ18" i="1"/>
  <c r="EY18" i="1"/>
  <c r="EZ17" i="1"/>
  <c r="EY17" i="1"/>
  <c r="EZ16" i="1"/>
  <c r="EY16" i="1"/>
  <c r="EZ15" i="1"/>
  <c r="EY15" i="1"/>
  <c r="EZ14" i="1"/>
  <c r="EY14" i="1"/>
  <c r="EZ13" i="1"/>
  <c r="EY13" i="1"/>
  <c r="EZ12" i="1"/>
  <c r="EY12" i="1"/>
  <c r="EZ11" i="1"/>
  <c r="EY11" i="1"/>
  <c r="EZ10" i="1"/>
  <c r="EY10" i="1"/>
  <c r="EZ9" i="1"/>
  <c r="EY9" i="1"/>
  <c r="EZ8" i="1"/>
  <c r="EY8" i="1"/>
  <c r="EZ7" i="1"/>
  <c r="EY7" i="1"/>
  <c r="EZ6" i="1"/>
  <c r="EY6" i="1"/>
  <c r="EZ5" i="1"/>
  <c r="EY5" i="1"/>
  <c r="EZ4" i="1"/>
  <c r="EY4" i="1"/>
  <c r="I4" i="1"/>
  <c r="G4" i="1"/>
  <c r="K4" i="1"/>
  <c r="L4" i="1"/>
  <c r="J4" i="1"/>
  <c r="F4" i="1"/>
</calcChain>
</file>

<file path=xl/sharedStrings.xml><?xml version="1.0" encoding="utf-8"?>
<sst xmlns="http://schemas.openxmlformats.org/spreadsheetml/2006/main" count="2936" uniqueCount="297">
  <si>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</si>
  <si>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</si>
  <si>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</si>
  <si>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</si>
  <si>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</si>
  <si>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</si>
  <si>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</si>
  <si>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</si>
  <si>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</si>
  <si>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</si>
  <si>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</si>
  <si>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</si>
  <si>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</si>
  <si>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</si>
  <si>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</si>
  <si>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</si>
  <si>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</si>
  <si>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</si>
  <si>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</si>
  <si>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</si>
  <si>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</si>
  <si>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</si>
  <si>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</si>
  <si>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</si>
  <si>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</si>
  <si>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</si>
  <si>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</si>
  <si>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</si>
  <si>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</si>
  <si>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</si>
  <si>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</si>
  <si>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</si>
  <si>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</si>
  <si>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</si>
  <si>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</si>
  <si>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</si>
  <si>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</si>
  <si>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</si>
  <si>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</si>
  <si>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</si>
  <si>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</si>
  <si>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</si>
  <si>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</si>
  <si>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</si>
  <si>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</si>
  <si>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</si>
  <si>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</si>
  <si>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</si>
  <si>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</si>
  <si>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</si>
  <si>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</si>
  <si>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</si>
  <si>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</si>
  <si>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</si>
  <si>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</si>
  <si>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</si>
  <si>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</si>
  <si>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</si>
  <si>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</si>
  <si>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</si>
  <si>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</si>
  <si>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</si>
  <si>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</si>
  <si>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</si>
  <si>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</si>
  <si>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</si>
  <si>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</si>
  <si>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</si>
  <si>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</si>
  <si>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</si>
  <si>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</si>
  <si>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</si>
  <si>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</si>
  <si>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</si>
  <si>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</si>
  <si>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</si>
  <si>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</si>
  <si>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</si>
  <si>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</si>
  <si>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</si>
  <si>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</si>
  <si>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</si>
  <si>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</si>
  <si>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</si>
  <si>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</si>
  <si>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</si>
  <si>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</si>
  <si>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</si>
  <si>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</si>
  <si>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</si>
  <si>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</si>
  <si>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</si>
  <si>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</si>
  <si>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</si>
  <si>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</si>
  <si>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</si>
  <si>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</si>
  <si>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</si>
  <si>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</si>
  <si>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</si>
  <si>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</si>
  <si>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</si>
  <si>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</si>
  <si>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</si>
  <si>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</si>
  <si>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</si>
  <si>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</si>
  <si>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</si>
  <si>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</si>
  <si>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</si>
  <si>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</si>
  <si>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</si>
  <si>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</si>
  <si>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</si>
  <si>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</si>
  <si>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</si>
  <si>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</si>
  <si>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</si>
  <si>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</si>
  <si>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</si>
  <si>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</si>
  <si>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</si>
  <si>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</si>
  <si>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</si>
  <si>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</si>
  <si>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</si>
  <si>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</si>
  <si>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</si>
  <si>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</si>
  <si>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</si>
  <si>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</si>
  <si>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</si>
  <si>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</si>
  <si>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</si>
  <si>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</si>
  <si>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</si>
  <si>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</si>
  <si>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</si>
  <si>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</si>
  <si>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</si>
  <si>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</si>
  <si>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</si>
  <si>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</si>
  <si>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</si>
  <si>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</si>
  <si>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</si>
  <si>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</si>
  <si>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</si>
  <si>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</si>
  <si>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</si>
  <si>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</si>
  <si>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</si>
  <si>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</si>
  <si>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</si>
  <si>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</si>
  <si>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</si>
  <si>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</si>
  <si>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</si>
  <si>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</si>
  <si>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</si>
  <si>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</si>
  <si>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</si>
  <si>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</si>
  <si>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</si>
  <si>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</si>
  <si>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</si>
  <si>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</si>
  <si>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</si>
  <si>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</si>
  <si>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newer calculation available</t>
  </si>
  <si>
    <t>10.1016/j.epsl.2018.06.017</t>
  </si>
  <si>
    <t xml:space="preserve">Bärbel Hönisch, Elwyn de la Vega </t>
  </si>
  <si>
    <t>hoenisch@ldeo.columbia.edu, elwyn.de-la-vega@soton.ac.uk</t>
  </si>
  <si>
    <t xml:space="preserve">Seki, O., Foster, G.L., Schmidt, D.N., Mackensen, A., Kawamura, K. and Pancost, R.D. (2010) Alkenone and boron-based Pliocene pCO2 records. Earth and Planetary Science Letters 292, 201-211.
</t>
  </si>
  <si>
    <t>10.1016/j.epsl.2010.01.037</t>
  </si>
  <si>
    <t>A</t>
  </si>
  <si>
    <t>Carribbean</t>
  </si>
  <si>
    <t>d18O and biostratigraphy</t>
  </si>
  <si>
    <t xml:space="preserve"> 0 to 465 kyr: Schmidt et al. (2006), 1.7 to 7.5 Ma: Haug and Tiedemann (1998), 0.465 to 1.7 Ma: Chaisson and D'Hondt (2000) and Kameo and Bralower (2000)</t>
  </si>
  <si>
    <t>300-355</t>
  </si>
  <si>
    <t>100-120</t>
  </si>
  <si>
    <t>1-2</t>
  </si>
  <si>
    <t>Barker et al. (2003)</t>
  </si>
  <si>
    <t>anion exchange chromatography</t>
  </si>
  <si>
    <t>MC-ICP-MS</t>
  </si>
  <si>
    <t>20.62,20.71</t>
  </si>
  <si>
    <t>normal distribution</t>
  </si>
  <si>
    <t>Foster (2008)</t>
  </si>
  <si>
    <t>unlike newer d11B-calcite vs. d11B-borate calibrations, this one is based on the d11B vs. pH relationship, corrected for species-specific offsets (here listed under "intercept value"); G. sacculifer offset is corrected for a shell size effect</t>
  </si>
  <si>
    <t>mixed layer</t>
  </si>
  <si>
    <t>not applied</t>
  </si>
  <si>
    <t xml:space="preserve">NA (Uk'37 used ) </t>
  </si>
  <si>
    <t>UK'37</t>
  </si>
  <si>
    <t>not reported</t>
  </si>
  <si>
    <t>Sonzogni et al., 1997</t>
  </si>
  <si>
    <t>yes</t>
  </si>
  <si>
    <t>none</t>
  </si>
  <si>
    <t>constant</t>
  </si>
  <si>
    <t>modern</t>
  </si>
  <si>
    <t>none applied</t>
  </si>
  <si>
    <t>Uppström 1974, Deep-Sea Research, 1974, Vol. 21, pp. 161 to 162.</t>
  </si>
  <si>
    <t>NA- no uncertainty on modern value applied</t>
  </si>
  <si>
    <t xml:space="preserve">Lemarchand et al 2002 </t>
  </si>
  <si>
    <t>Dickson 1990</t>
  </si>
  <si>
    <t xml:space="preserve">None applied, surface pressure </t>
  </si>
  <si>
    <t>Klochko et al. (2006)</t>
  </si>
  <si>
    <t>Henry's law, as of Weiss 1974, Zeebe Wolf-Gladrow 2001</t>
  </si>
  <si>
    <t>Lueker et al. 2000</t>
  </si>
  <si>
    <t>Total Alkalinity</t>
  </si>
  <si>
    <t xml:space="preserve">set value </t>
  </si>
  <si>
    <t>total scale</t>
  </si>
  <si>
    <t>d11B foram, pH, T, S, alkalinity</t>
  </si>
  <si>
    <t xml:space="preserve">NA </t>
  </si>
  <si>
    <t xml:space="preserve"> 2 to 465 kyr: Schmidt et al. (2006), 1.7 to 7.5 Ma: Haug and Tiedemann (1998), 0.465 to 1.7 Ma: Chaisson and D'Hondt (2000) and Kameo and Bralower (2000)</t>
  </si>
  <si>
    <t>20.28,19.97</t>
  </si>
  <si>
    <t xml:space="preserve"> 4 to 465 kyr: Schmidt et al. (2006), 1.7 to 7.5 Ma: Haug and Tiedemann (1998), 0.465 to 1.7 Ma: Chaisson and D'Hondt (2000) and Kameo and Bralower (2000)</t>
  </si>
  <si>
    <t>20.31, 20.14</t>
  </si>
  <si>
    <t>Lemarchand et al 2002</t>
  </si>
  <si>
    <t>Henry's law, as of Weiss 1974, Zeebe Wolf-Gladrow 2002</t>
  </si>
  <si>
    <t xml:space="preserve"> 6 to 465 kyr: Schmidt et al. (2006), 1.7 to 7.5 Ma: Haug and Tiedemann (1998), 0.465 to 1.7 Ma: Chaisson and D'Hondt (2000) and Kameo and Bralower (2000)</t>
  </si>
  <si>
    <t>20.42, 20.72</t>
  </si>
  <si>
    <t>Henry's law, as of Weiss 1974, Zeebe Wolf-Gladrow 2003</t>
  </si>
  <si>
    <t xml:space="preserve"> 8 to 465 kyr: Schmidt et al. (2006), 1.7 to 7.5 Ma: Haug and Tiedemann (1998), 0.465 to 1.7 Ma: Chaisson and D'Hondt (2000) and Kameo and Bralower (2000)</t>
  </si>
  <si>
    <t>20.38,20.38</t>
  </si>
  <si>
    <t>Henry's law, as of Weiss 1974, Zeebe Wolf-Gladrow 2004</t>
  </si>
  <si>
    <t xml:space="preserve"> 10 to 465 kyr: Schmidt et al. (2006), 1.7 to 7.5 Ma: Haug and Tiedemann (1998), 0.465 to 1.7 Ma: Chaisson and D'Hondt (2000) and Kameo and Bralower (2000)</t>
  </si>
  <si>
    <t>20.7,20.56</t>
  </si>
  <si>
    <t>Henry's law, as of Weiss 1974, Zeebe Wolf-Gladrow 2005</t>
  </si>
  <si>
    <t xml:space="preserve"> 12 to 465 kyr: Schmidt et al. (2006), 1.7 to 7.5 Ma: Haug and Tiedemann (1998), 0.465 to 1.7 Ma: Chaisson and D'Hondt (2000) and Kameo and Bralower (2000)</t>
  </si>
  <si>
    <t>20.35,19.9</t>
  </si>
  <si>
    <t>Henry's law, as of Weiss 1974, Zeebe Wolf-Gladrow 2006</t>
  </si>
  <si>
    <t>CC</t>
  </si>
  <si>
    <t xml:space="preserve"> 14 to 465 kyr: Schmidt et al. (2006), 1.7 to 7.5 Ma: Haug and Tiedemann (1998), 0.465 to 1.7 Ma: Chaisson and D'Hondt (2000) and Kameo and Bralower (2000)</t>
  </si>
  <si>
    <t>19.27,19.33</t>
  </si>
  <si>
    <t>Henry's law, as of Weiss 1974, Zeebe Wolf-Gladrow 2007</t>
  </si>
  <si>
    <t xml:space="preserve"> 16 to 465 kyr: Schmidt et al. (2006), 1.7 to 7.5 Ma: Haug and Tiedemann (1998), 0.465 to 1.7 Ma: Chaisson and D'Hondt (2000) and Kameo and Bralower (2000)</t>
  </si>
  <si>
    <t>19.4,19.17</t>
  </si>
  <si>
    <t>Henry's law, as of Weiss 1974, Zeebe Wolf-Gladrow 2008</t>
  </si>
  <si>
    <t xml:space="preserve"> 18 to 465 kyr: Schmidt et al. (2006), 1.7 to 7.5 Ma: Haug and Tiedemann (1998), 0.465 to 1.7 Ma: Chaisson and D'Hondt (2000) and Kameo and Bralower (2000)</t>
  </si>
  <si>
    <t>19.09,19.13</t>
  </si>
  <si>
    <t>Henry's law, as of Weiss 1974, Zeebe Wolf-Gladrow 2009</t>
  </si>
  <si>
    <t xml:space="preserve"> 20 to 465 kyr: Schmidt et al. (2006), 1.7 to 7.5 Ma: Haug and Tiedemann (1998), 0.465 to 1.7 Ma: Chaisson and D'Hondt (2000) and Kameo and Bralower (2000)</t>
  </si>
  <si>
    <t>19.9,19.68</t>
  </si>
  <si>
    <t>Henry's law, as of Weiss 1974, Zeebe Wolf-Gladrow 2010</t>
  </si>
  <si>
    <t xml:space="preserve"> 22 to 465 kyr: Schmidt et al. (2006), 1.7 to 7.5 Ma: Haug and Tiedemann (1998), 0.465 to 1.7 Ma: Chaisson and D'Hondt (2000) and Kameo and Bralower (2000)</t>
  </si>
  <si>
    <t>19.46,19.6</t>
  </si>
  <si>
    <t>Henry's law, as of Weiss 1974, Zeebe Wolf-Gladrow 2011</t>
  </si>
  <si>
    <t xml:space="preserve"> 25 to 465 kyr: Schmidt et al. (2006), 1.7 to 7.5 Ma: Haug and Tiedemann (1998), 0.465 to 1.7 Ma: Chaisson and D'Hondt (2000) and Kameo and Bralower (2000)</t>
  </si>
  <si>
    <t>Globigerinoides sacculifer</t>
  </si>
  <si>
    <t>19.13,19.2</t>
  </si>
  <si>
    <t>lower mixed layer</t>
  </si>
  <si>
    <t>Henry's law, as of Weiss 1974, Zeebe Wolf-Gladrow 2012</t>
  </si>
  <si>
    <t xml:space="preserve"> 27 to 465 kyr: Schmidt et al. (2006), 1.7 to 7.5 Ma: Haug and Tiedemann (1998), 0.465 to 1.7 Ma: Chaisson and D'Hondt (2000) and Kameo and Bralower (2000)</t>
  </si>
  <si>
    <t>19.06,18.93</t>
  </si>
  <si>
    <t>Henry's law, as of Weiss 1974, Zeebe Wolf-Gladrow 2013</t>
  </si>
  <si>
    <t xml:space="preserve"> 29 to 465 kyr: Schmidt et al. (2006), 1.7 to 7.5 Ma: Haug and Tiedemann (1998), 0.465 to 1.7 Ma: Chaisson and D'Hondt (2000) and Kameo and Bralower (2000)</t>
  </si>
  <si>
    <t>19.81,19.73</t>
  </si>
  <si>
    <t>Henry's law, as of Weiss 1974, Zeebe Wolf-Gladrow 2014</t>
  </si>
  <si>
    <t xml:space="preserve"> 31 to 465 kyr: Schmidt et al. (2006), 1.7 to 7.5 Ma: Haug and Tiedemann (1998), 0.465 to 1.7 Ma: Chaisson and D'Hondt (2000) and Kameo and Bralower (2000)</t>
  </si>
  <si>
    <t>17.79,17.85</t>
  </si>
  <si>
    <t>Henry's law, as of Weiss 1974, Zeebe Wolf-Gladrow 2015</t>
  </si>
  <si>
    <t xml:space="preserve"> 33 to 465 kyr: Schmidt et al. (2006), 1.7 to 7.5 Ma: Haug and Tiedemann (1998), 0.465 to 1.7 Ma: Chaisson and D'Hondt (2000) and Kameo and Bralower (2000)</t>
  </si>
  <si>
    <t>18.09,18.32</t>
  </si>
  <si>
    <t>Henry's law, as of Weiss 1974, Zeebe Wolf-Gladrow 2016</t>
  </si>
  <si>
    <t xml:space="preserve"> 35 to 465 kyr: Schmidt et al. (2006), 1.7 to 7.5 Ma: Haug and Tiedemann (1998), 0.465 to 1.7 Ma: Chaisson and D'Hondt (2000) and Kameo and Bralower (2000)</t>
  </si>
  <si>
    <t>18.14,17.86</t>
  </si>
  <si>
    <t>Henry's law, as of Weiss 1974, Zeebe Wolf-Gladrow 2017</t>
  </si>
  <si>
    <t xml:space="preserve"> 37 to 465 kyr: Schmidt et al. (2006), 1.7 to 7.5 Ma: Haug and Tiedemann (1998), 0.465 to 1.7 Ma: Chaisson and D'Hondt (2000) and Kameo and Bralower (2000)</t>
  </si>
  <si>
    <t>17.76,17.71</t>
  </si>
  <si>
    <t>Henry's law, as of Weiss 1974, Zeebe Wolf-Gladrow 2018</t>
  </si>
  <si>
    <t xml:space="preserve"> 39 to 465 kyr: Schmidt et al. (2006), 1.7 to 7.5 Ma: Haug and Tiedemann (1998), 0.465 to 1.7 Ma: Chaisson and D'Hondt (2000) and Kameo and Bralower (2000)</t>
  </si>
  <si>
    <t>17.99,17.84</t>
  </si>
  <si>
    <t>Henry's law, as of Weiss 1974, Zeebe Wolf-Gladrow 2019</t>
  </si>
  <si>
    <t>Seki</t>
  </si>
  <si>
    <t>10.1016/j.epsl.2018.06.018</t>
  </si>
  <si>
    <t>10.1016/j.epsl.2018.06.019</t>
  </si>
  <si>
    <t>10.1016/j.epsl.2018.06.020</t>
  </si>
  <si>
    <t>10.1016/j.epsl.2018.06.021</t>
  </si>
  <si>
    <t>10.1016/j.epsl.2018.06.022</t>
  </si>
  <si>
    <t>10.1016/j.epsl.2018.06.023</t>
  </si>
  <si>
    <t>10.1016/j.epsl.2018.06.024</t>
  </si>
  <si>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</si>
  <si>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</si>
  <si>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</si>
  <si>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</si>
  <si>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</si>
  <si>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</si>
  <si>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</si>
  <si>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</si>
  <si>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</si>
  <si>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</si>
  <si>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</si>
  <si>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</si>
  <si>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 xml:space="preserve">Globigerinoides ruber </t>
  </si>
  <si>
    <t>the study used mixed ruber morphotypes, which live in different water masses (e.g. Steinke et al. 2005), newer G. ruber studies use only the sensu strictu type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</si>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</sst>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scheme val="minor"/>
    </font>
    <font>
      <sz val="12"/>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8" fillId="0" borderId="0" applyNumberFormat="0" applyFill="0" applyBorder="0" applyAlignment="0" applyProtection="0"/>
    <xf numFmtId="0" fontId="29" fillId="0" borderId="0"/>
  </cellStyleXfs>
  <cellXfs count="181">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5" xfId="0" applyFont="1" applyBorder="1" applyAlignment="1">
      <alignment wrapText="1"/>
    </xf>
    <xf numFmtId="0" fontId="0" fillId="0" borderId="2" xfId="0" applyBorder="1" applyAlignment="1">
      <alignment vertical="top"/>
    </xf>
    <xf numFmtId="0" fontId="4" fillId="2" borderId="1" xfId="0" applyFont="1" applyFill="1" applyBorder="1"/>
    <xf numFmtId="0" fontId="4" fillId="2" borderId="2" xfId="0" applyFont="1" applyFill="1" applyBorder="1"/>
    <xf numFmtId="0" fontId="0" fillId="2" borderId="2" xfId="0" applyFill="1" applyBorder="1"/>
    <xf numFmtId="0" fontId="0" fillId="2" borderId="3" xfId="0" applyFill="1" applyBorder="1"/>
    <xf numFmtId="0" fontId="4" fillId="3" borderId="6" xfId="0" applyFont="1" applyFill="1" applyBorder="1" applyAlignment="1">
      <alignment horizontal="left" vertical="center"/>
    </xf>
    <xf numFmtId="0" fontId="4" fillId="3" borderId="7" xfId="0" applyFont="1" applyFill="1" applyBorder="1" applyAlignment="1">
      <alignment wrapText="1"/>
    </xf>
    <xf numFmtId="0" fontId="4" fillId="3" borderId="7" xfId="0" applyFont="1" applyFill="1" applyBorder="1"/>
    <xf numFmtId="0" fontId="0" fillId="3" borderId="7" xfId="0" applyFill="1" applyBorder="1"/>
    <xf numFmtId="0" fontId="5" fillId="3" borderId="6" xfId="0" applyFont="1" applyFill="1" applyBorder="1"/>
    <xf numFmtId="0" fontId="4"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4" fillId="4" borderId="2" xfId="0" applyFont="1" applyFill="1" applyBorder="1"/>
    <xf numFmtId="0" fontId="4" fillId="4" borderId="3" xfId="0" applyFont="1" applyFill="1" applyBorder="1"/>
    <xf numFmtId="0" fontId="4" fillId="5" borderId="1" xfId="0" applyFont="1" applyFill="1" applyBorder="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6" fillId="5" borderId="7" xfId="0" applyFont="1" applyFill="1" applyBorder="1" applyAlignment="1">
      <alignment horizontal="left" vertical="center"/>
    </xf>
    <xf numFmtId="0" fontId="5" fillId="5" borderId="7" xfId="0" applyFont="1" applyFill="1" applyBorder="1" applyAlignment="1">
      <alignment horizontal="center" vertical="center" wrapText="1"/>
    </xf>
    <xf numFmtId="0" fontId="4" fillId="6" borderId="1" xfId="0" applyFont="1" applyFill="1" applyBorder="1"/>
    <xf numFmtId="0" fontId="4" fillId="7" borderId="2" xfId="0" applyFont="1" applyFill="1" applyBorder="1"/>
    <xf numFmtId="0" fontId="4" fillId="7" borderId="3" xfId="0" applyFont="1" applyFill="1" applyBorder="1"/>
    <xf numFmtId="0" fontId="4" fillId="6" borderId="2" xfId="0" applyFont="1" applyFill="1" applyBorder="1"/>
    <xf numFmtId="0" fontId="4" fillId="6" borderId="3" xfId="0" applyFont="1" applyFill="1" applyBorder="1"/>
    <xf numFmtId="0" fontId="0" fillId="6" borderId="2" xfId="0" applyFill="1" applyBorder="1"/>
    <xf numFmtId="0" fontId="0" fillId="6" borderId="6" xfId="0" applyFill="1" applyBorder="1"/>
    <xf numFmtId="0" fontId="4" fillId="7" borderId="1" xfId="0" applyFont="1" applyFill="1" applyBorder="1"/>
    <xf numFmtId="0" fontId="4" fillId="7" borderId="7" xfId="0" applyFont="1" applyFill="1" applyBorder="1"/>
    <xf numFmtId="0" fontId="4" fillId="8" borderId="6" xfId="0" applyFont="1" applyFill="1" applyBorder="1"/>
    <xf numFmtId="0" fontId="4" fillId="8" borderId="7" xfId="0" applyFont="1" applyFill="1" applyBorder="1"/>
    <xf numFmtId="0" fontId="4" fillId="8" borderId="2" xfId="0" applyFont="1" applyFill="1" applyBorder="1"/>
    <xf numFmtId="0" fontId="4" fillId="9" borderId="1" xfId="0" applyFont="1" applyFill="1" applyBorder="1"/>
    <xf numFmtId="0" fontId="4"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4" fillId="2" borderId="4" xfId="0" applyFont="1" applyFill="1" applyBorder="1"/>
    <xf numFmtId="0" fontId="0" fillId="2" borderId="4" xfId="0" applyFill="1" applyBorder="1"/>
    <xf numFmtId="0" fontId="0" fillId="2" borderId="8" xfId="0" applyFill="1" applyBorder="1"/>
    <xf numFmtId="0" fontId="4" fillId="3" borderId="6" xfId="0" applyFont="1" applyFill="1" applyBorder="1" applyAlignment="1">
      <alignment horizontal="center" vertical="center"/>
    </xf>
    <xf numFmtId="0" fontId="5" fillId="4" borderId="1" xfId="0" applyFont="1" applyFill="1" applyBorder="1" applyAlignment="1">
      <alignment horizontal="left" vertical="center"/>
    </xf>
    <xf numFmtId="0" fontId="5" fillId="4" borderId="2" xfId="0" applyFont="1" applyFill="1" applyBorder="1" applyAlignment="1">
      <alignment horizontal="left" vertical="center"/>
    </xf>
    <xf numFmtId="0" fontId="14" fillId="5" borderId="0" xfId="0" applyFont="1" applyFill="1" applyBorder="1"/>
    <xf numFmtId="0" fontId="5" fillId="5" borderId="0" xfId="0" applyFont="1" applyFill="1" applyBorder="1" applyAlignment="1">
      <alignment horizontal="center" vertical="center" wrapText="1"/>
    </xf>
    <xf numFmtId="0" fontId="6" fillId="5" borderId="9" xfId="0" applyFont="1" applyFill="1" applyBorder="1" applyAlignment="1">
      <alignment horizontal="left" vertical="center"/>
    </xf>
    <xf numFmtId="0" fontId="6" fillId="5" borderId="4" xfId="0" applyFont="1" applyFill="1" applyBorder="1" applyAlignment="1">
      <alignment horizontal="left" vertical="center"/>
    </xf>
    <xf numFmtId="0" fontId="5" fillId="5" borderId="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6" fillId="5" borderId="2" xfId="0" applyFont="1" applyFill="1" applyBorder="1" applyAlignment="1">
      <alignment horizontal="left" vertical="center"/>
    </xf>
    <xf numFmtId="0" fontId="4" fillId="7" borderId="6" xfId="0" applyFont="1" applyFill="1" applyBorder="1"/>
    <xf numFmtId="0" fontId="4" fillId="7" borderId="0" xfId="0" applyFont="1" applyFill="1" applyBorder="1"/>
    <xf numFmtId="0" fontId="4" fillId="7" borderId="10" xfId="0" applyFont="1" applyFill="1" applyBorder="1"/>
    <xf numFmtId="0" fontId="4" fillId="6" borderId="11" xfId="0" applyFont="1" applyFill="1" applyBorder="1"/>
    <xf numFmtId="0" fontId="4" fillId="6" borderId="0" xfId="0" applyFont="1" applyFill="1" applyBorder="1"/>
    <xf numFmtId="0" fontId="6" fillId="6" borderId="11" xfId="0" applyFont="1" applyFill="1" applyBorder="1" applyAlignment="1">
      <alignment horizontal="left" vertical="center"/>
    </xf>
    <xf numFmtId="0" fontId="0" fillId="6" borderId="0" xfId="0" applyFill="1"/>
    <xf numFmtId="0" fontId="6" fillId="7" borderId="6" xfId="0" applyFont="1" applyFill="1" applyBorder="1" applyAlignment="1">
      <alignment horizontal="left" vertical="center"/>
    </xf>
    <xf numFmtId="0" fontId="5" fillId="7" borderId="7" xfId="0" applyFont="1" applyFill="1" applyBorder="1" applyAlignment="1">
      <alignment horizontal="left" vertical="center"/>
    </xf>
    <xf numFmtId="0" fontId="5" fillId="7" borderId="12" xfId="0" applyFont="1" applyFill="1" applyBorder="1" applyAlignment="1">
      <alignment horizontal="left" vertical="center"/>
    </xf>
    <xf numFmtId="0" fontId="4" fillId="7" borderId="12" xfId="0" applyFont="1" applyFill="1" applyBorder="1"/>
    <xf numFmtId="0" fontId="14" fillId="7" borderId="6" xfId="0" applyFont="1" applyFill="1" applyBorder="1"/>
    <xf numFmtId="0" fontId="6" fillId="7" borderId="0" xfId="0" applyFont="1" applyFill="1" applyBorder="1" applyAlignment="1">
      <alignment horizontal="left" vertical="center"/>
    </xf>
    <xf numFmtId="0" fontId="5" fillId="7" borderId="0" xfId="0" applyFont="1" applyFill="1" applyBorder="1" applyAlignment="1">
      <alignment horizontal="left" vertical="center"/>
    </xf>
    <xf numFmtId="0" fontId="4" fillId="6" borderId="6" xfId="0" applyFont="1" applyFill="1" applyBorder="1"/>
    <xf numFmtId="0" fontId="4" fillId="6" borderId="10" xfId="0" applyFont="1" applyFill="1" applyBorder="1"/>
    <xf numFmtId="0" fontId="6" fillId="7" borderId="11"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4" fillId="7" borderId="11" xfId="0" applyFont="1" applyFill="1" applyBorder="1"/>
    <xf numFmtId="0" fontId="4" fillId="8" borderId="1" xfId="0" applyFont="1" applyFill="1" applyBorder="1"/>
    <xf numFmtId="0" fontId="4" fillId="8" borderId="0" xfId="0" applyFont="1" applyFill="1" applyBorder="1"/>
    <xf numFmtId="0" fontId="4" fillId="8" borderId="4" xfId="0" applyFont="1" applyFill="1" applyBorder="1"/>
    <xf numFmtId="0" fontId="4" fillId="2" borderId="9" xfId="0" applyFont="1" applyFill="1" applyBorder="1"/>
    <xf numFmtId="0" fontId="0" fillId="0" borderId="13" xfId="0" applyBorder="1"/>
    <xf numFmtId="0" fontId="19" fillId="10" borderId="14" xfId="0" applyFont="1" applyFill="1" applyBorder="1" applyAlignment="1">
      <alignment horizontal="center" vertical="center" wrapText="1"/>
    </xf>
    <xf numFmtId="0" fontId="19" fillId="10" borderId="15"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9" fillId="5" borderId="9"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20" fillId="6" borderId="3"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5" fillId="6" borderId="2"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5"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5" fillId="16" borderId="4" xfId="0" quotePrefix="1"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16" borderId="2" xfId="0" applyFont="1" applyFill="1" applyBorder="1" applyAlignment="1">
      <alignment horizontal="center" vertical="center" wrapText="1"/>
    </xf>
    <xf numFmtId="0" fontId="5" fillId="0" borderId="13" xfId="0" applyFont="1" applyBorder="1" applyAlignment="1">
      <alignment horizontal="center" vertical="center" wrapText="1"/>
    </xf>
    <xf numFmtId="0" fontId="0" fillId="0" borderId="0" xfId="0" applyFill="1" applyBorder="1"/>
    <xf numFmtId="0" fontId="0" fillId="0" borderId="0" xfId="0" applyAlignment="1">
      <alignment vertical="top"/>
    </xf>
    <xf numFmtId="0" fontId="5" fillId="8"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28" fillId="0" borderId="0" xfId="1"/>
    <xf numFmtId="0" fontId="0" fillId="0" borderId="0" xfId="0" applyFill="1"/>
    <xf numFmtId="164" fontId="0" fillId="0" borderId="0" xfId="0" applyNumberFormat="1"/>
    <xf numFmtId="0" fontId="0" fillId="0" borderId="0" xfId="0" applyFill="1" applyAlignment="1">
      <alignment horizontal="center"/>
    </xf>
    <xf numFmtId="0" fontId="3" fillId="0" borderId="0" xfId="0" applyFont="1"/>
    <xf numFmtId="1" fontId="0" fillId="0" borderId="0" xfId="0" applyNumberFormat="1"/>
    <xf numFmtId="0" fontId="0" fillId="0" borderId="0" xfId="0" applyFill="1" applyAlignment="1">
      <alignment wrapText="1"/>
    </xf>
    <xf numFmtId="0" fontId="0" fillId="0" borderId="0" xfId="0" applyFont="1"/>
    <xf numFmtId="0" fontId="0" fillId="0" borderId="0" xfId="0" applyAlignment="1">
      <alignment horizontal="center"/>
    </xf>
    <xf numFmtId="0" fontId="0" fillId="0" borderId="0" xfId="0" applyAlignment="1">
      <alignment horizontal="right" vertical="center"/>
    </xf>
    <xf numFmtId="164" fontId="0" fillId="0" borderId="0" xfId="0" applyNumberFormat="1" applyFill="1" applyBorder="1"/>
    <xf numFmtId="0" fontId="0" fillId="0" borderId="0" xfId="0" applyAlignment="1">
      <alignment horizontal="left" vertical="top"/>
    </xf>
    <xf numFmtId="0" fontId="0" fillId="0" borderId="0" xfId="0" quotePrefix="1" applyAlignment="1">
      <alignment vertical="top"/>
    </xf>
    <xf numFmtId="0" fontId="3" fillId="0" borderId="0" xfId="0" applyFont="1" applyAlignment="1">
      <alignment vertical="top"/>
    </xf>
    <xf numFmtId="0" fontId="0" fillId="0" borderId="0" xfId="0" applyAlignment="1">
      <alignment horizontal="right" vertical="top"/>
    </xf>
    <xf numFmtId="0" fontId="0" fillId="0" borderId="0" xfId="0" applyAlignment="1">
      <alignment horizontal="right" vertical="top" wrapText="1"/>
    </xf>
    <xf numFmtId="0" fontId="0" fillId="0" borderId="7" xfId="0" applyFill="1" applyBorder="1"/>
    <xf numFmtId="0" fontId="3" fillId="0" borderId="0" xfId="0" applyFont="1" applyAlignment="1">
      <alignment horizontal="center" vertical="top"/>
    </xf>
    <xf numFmtId="0" fontId="0" fillId="0" borderId="0" xfId="0" applyFill="1" applyAlignment="1">
      <alignment vertical="top"/>
    </xf>
    <xf numFmtId="0" fontId="0" fillId="0" borderId="0" xfId="0" applyAlignment="1">
      <alignment horizontal="right"/>
    </xf>
    <xf numFmtId="0" fontId="0" fillId="0" borderId="0" xfId="0" applyAlignment="1">
      <alignment horizontal="left"/>
    </xf>
    <xf numFmtId="0" fontId="2" fillId="0" borderId="0" xfId="0" applyFont="1"/>
    <xf numFmtId="0" fontId="1" fillId="0" borderId="0" xfId="0" applyFont="1"/>
    <xf numFmtId="0" fontId="28" fillId="0" borderId="0" xfId="1" applyFill="1"/>
    <xf numFmtId="164" fontId="0" fillId="0" borderId="0" xfId="0" applyNumberFormat="1" applyFill="1"/>
    <xf numFmtId="1" fontId="0" fillId="0" borderId="0" xfId="0" applyNumberFormat="1" applyFill="1"/>
    <xf numFmtId="0" fontId="1" fillId="0" borderId="0" xfId="0" applyFont="1" applyFill="1"/>
    <xf numFmtId="0" fontId="0" fillId="0" borderId="0" xfId="0" applyFill="1" applyAlignment="1">
      <alignment horizontal="right" vertical="center"/>
    </xf>
    <xf numFmtId="0" fontId="0" fillId="0" borderId="0" xfId="0" applyFill="1" applyAlignment="1">
      <alignment horizontal="left" vertical="top"/>
    </xf>
    <xf numFmtId="0" fontId="0" fillId="0" borderId="0" xfId="0" quotePrefix="1" applyFill="1" applyAlignment="1">
      <alignment vertical="top"/>
    </xf>
    <xf numFmtId="0" fontId="3" fillId="0" borderId="0" xfId="0" applyFont="1" applyFill="1"/>
    <xf numFmtId="0" fontId="3" fillId="0" borderId="0" xfId="0" applyFont="1" applyFill="1" applyAlignment="1">
      <alignment vertical="top"/>
    </xf>
    <xf numFmtId="0" fontId="0" fillId="0" borderId="0" xfId="0" applyFill="1" applyAlignment="1">
      <alignment horizontal="right" vertical="top"/>
    </xf>
    <xf numFmtId="0" fontId="0" fillId="0" borderId="0" xfId="0" applyFill="1" applyAlignment="1">
      <alignment horizontal="right" vertical="top" wrapText="1"/>
    </xf>
    <xf numFmtId="0" fontId="0" fillId="0" borderId="0" xfId="0" applyFont="1" applyFill="1"/>
    <xf numFmtId="0" fontId="3" fillId="0" borderId="0" xfId="0" applyFont="1" applyFill="1" applyAlignment="1">
      <alignment horizontal="center" vertical="top"/>
    </xf>
    <xf numFmtId="0" fontId="0" fillId="0" borderId="0" xfId="0" applyFill="1" applyAlignment="1">
      <alignment horizontal="right"/>
    </xf>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oenisch@ldeo.columbia.edu" TargetMode="External"/><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23"/>
  <sheetViews>
    <sheetView tabSelected="1" topLeftCell="E1" workbookViewId="0">
      <selection activeCell="N3" sqref="N3:O3"/>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79"/>
      <c r="T2" s="179"/>
      <c r="U2" s="179"/>
      <c r="V2" s="179"/>
      <c r="W2" s="179"/>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282</v>
      </c>
      <c r="K3" s="11" t="s">
        <v>283</v>
      </c>
      <c r="L3" s="12" t="s">
        <v>292</v>
      </c>
      <c r="M3" s="13" t="s">
        <v>284</v>
      </c>
      <c r="N3" s="180" t="s">
        <v>295</v>
      </c>
      <c r="O3" s="180" t="s">
        <v>296</v>
      </c>
      <c r="P3" s="13" t="s">
        <v>285</v>
      </c>
      <c r="Q3" s="14" t="s">
        <v>286</v>
      </c>
      <c r="R3" s="15" t="s">
        <v>287</v>
      </c>
      <c r="S3" s="16" t="s">
        <v>288</v>
      </c>
      <c r="T3" s="13" t="s">
        <v>289</v>
      </c>
      <c r="U3" s="13" t="s">
        <v>9</v>
      </c>
      <c r="V3" s="13" t="s">
        <v>290</v>
      </c>
      <c r="W3" s="17" t="s">
        <v>291</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281</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40" t="s">
        <v>133</v>
      </c>
      <c r="EU3" s="141" t="s">
        <v>134</v>
      </c>
      <c r="EV3" s="141"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6" x14ac:dyDescent="0.2">
      <c r="A4" t="s">
        <v>171</v>
      </c>
      <c r="B4" s="142" t="s">
        <v>172</v>
      </c>
      <c r="C4" s="138" t="s">
        <v>168</v>
      </c>
      <c r="D4" t="s">
        <v>273</v>
      </c>
      <c r="E4">
        <v>2010</v>
      </c>
      <c r="F4" t="str">
        <f>Z4</f>
        <v>10.1016/j.epsl.2010.01.037</v>
      </c>
      <c r="G4" s="144">
        <f>AS4</f>
        <v>4</v>
      </c>
      <c r="H4" s="143" t="str">
        <f>AU4</f>
        <v>NA</v>
      </c>
      <c r="I4" s="143" t="str">
        <f>AV4</f>
        <v>NA</v>
      </c>
      <c r="J4" s="147">
        <f>FL4</f>
        <v>274</v>
      </c>
      <c r="K4" s="147">
        <f t="shared" ref="K4:L4" si="0">FM4</f>
        <v>25</v>
      </c>
      <c r="L4" s="147">
        <f t="shared" si="0"/>
        <v>25</v>
      </c>
      <c r="M4" s="143" t="b">
        <v>1</v>
      </c>
      <c r="N4">
        <v>3</v>
      </c>
      <c r="O4" t="s">
        <v>294</v>
      </c>
      <c r="P4" s="164" t="b">
        <v>0</v>
      </c>
      <c r="Q4" t="b">
        <v>0</v>
      </c>
      <c r="R4" t="s">
        <v>167</v>
      </c>
      <c r="S4" s="143" t="b">
        <v>1</v>
      </c>
      <c r="T4" s="143" t="b">
        <v>0</v>
      </c>
      <c r="U4" s="143" t="s">
        <v>167</v>
      </c>
      <c r="V4" s="143" t="s">
        <v>167</v>
      </c>
      <c r="W4" s="143" t="b">
        <v>0</v>
      </c>
      <c r="X4" s="143" t="s">
        <v>167</v>
      </c>
      <c r="Y4" s="139" t="s">
        <v>173</v>
      </c>
      <c r="Z4" s="139" t="s">
        <v>174</v>
      </c>
      <c r="AA4">
        <v>999</v>
      </c>
      <c r="AB4" s="139" t="s">
        <v>175</v>
      </c>
      <c r="AC4" s="139">
        <v>1</v>
      </c>
      <c r="AD4" s="139">
        <v>1</v>
      </c>
      <c r="AE4" s="139">
        <v>4</v>
      </c>
      <c r="AF4" s="139">
        <v>5</v>
      </c>
      <c r="AG4">
        <v>0.05</v>
      </c>
      <c r="AH4" t="s">
        <v>167</v>
      </c>
      <c r="AI4" t="s">
        <v>167</v>
      </c>
      <c r="AJ4" t="s">
        <v>176</v>
      </c>
      <c r="AK4" s="139">
        <v>12.744</v>
      </c>
      <c r="AL4" s="139">
        <v>-78.7393</v>
      </c>
      <c r="AM4" s="139" t="s">
        <v>167</v>
      </c>
      <c r="AN4" s="139" t="s">
        <v>167</v>
      </c>
      <c r="AO4" s="139">
        <v>-2828</v>
      </c>
      <c r="AP4" t="s">
        <v>167</v>
      </c>
      <c r="AQ4" s="139" t="s">
        <v>167</v>
      </c>
      <c r="AR4" s="143" t="s">
        <v>167</v>
      </c>
      <c r="AS4" s="151">
        <v>4</v>
      </c>
      <c r="AT4" s="148" t="s">
        <v>167</v>
      </c>
      <c r="AU4" s="143" t="s">
        <v>167</v>
      </c>
      <c r="AV4" s="143" t="s">
        <v>167</v>
      </c>
      <c r="AW4" s="143" t="s">
        <v>167</v>
      </c>
      <c r="AX4" t="s">
        <v>177</v>
      </c>
      <c r="AY4" s="152" t="s">
        <v>178</v>
      </c>
      <c r="AZ4" t="s">
        <v>167</v>
      </c>
      <c r="BA4" t="s">
        <v>167</v>
      </c>
      <c r="BB4" t="s">
        <v>167</v>
      </c>
      <c r="BC4" t="s">
        <v>167</v>
      </c>
      <c r="BD4" t="s">
        <v>167</v>
      </c>
      <c r="BE4" t="s">
        <v>167</v>
      </c>
      <c r="BF4" t="s">
        <v>167</v>
      </c>
      <c r="BG4" t="s">
        <v>293</v>
      </c>
      <c r="BH4" s="139" t="s">
        <v>179</v>
      </c>
      <c r="BI4" s="153" t="s">
        <v>180</v>
      </c>
      <c r="BJ4" s="154" t="s">
        <v>181</v>
      </c>
      <c r="BK4" s="139" t="s">
        <v>182</v>
      </c>
      <c r="BL4" s="139" t="s">
        <v>183</v>
      </c>
      <c r="BM4" s="139" t="s">
        <v>184</v>
      </c>
      <c r="BN4" t="s">
        <v>185</v>
      </c>
      <c r="BO4">
        <v>2</v>
      </c>
      <c r="BP4">
        <v>8.9999999999999858E-2</v>
      </c>
      <c r="BQ4" s="146">
        <v>20.67</v>
      </c>
      <c r="BR4" s="155" t="s">
        <v>186</v>
      </c>
      <c r="BS4" s="146">
        <v>0.1</v>
      </c>
      <c r="BT4" s="156" t="s">
        <v>167</v>
      </c>
      <c r="BU4" s="156" t="s">
        <v>167</v>
      </c>
      <c r="BV4" s="157" t="s">
        <v>167</v>
      </c>
      <c r="BW4" s="139">
        <v>0.8</v>
      </c>
      <c r="BX4" s="139" t="s">
        <v>167</v>
      </c>
      <c r="BY4" s="139" t="s">
        <v>167</v>
      </c>
      <c r="BZ4" s="139" t="s">
        <v>187</v>
      </c>
      <c r="CA4" s="139" t="s">
        <v>188</v>
      </c>
      <c r="CB4" s="143" t="s">
        <v>167</v>
      </c>
      <c r="CC4" s="143" t="s">
        <v>167</v>
      </c>
      <c r="CD4" s="143" t="s">
        <v>167</v>
      </c>
      <c r="CE4" s="143" t="s">
        <v>167</v>
      </c>
      <c r="CF4" s="143" t="s">
        <v>167</v>
      </c>
      <c r="CG4" s="143" t="s">
        <v>189</v>
      </c>
      <c r="CH4" s="143" t="s">
        <v>190</v>
      </c>
      <c r="CI4" s="143" t="s">
        <v>190</v>
      </c>
      <c r="CJ4">
        <v>28.3</v>
      </c>
      <c r="CK4" s="158" t="s">
        <v>167</v>
      </c>
      <c r="CL4" s="143">
        <v>1.5</v>
      </c>
      <c r="CM4" s="143">
        <v>1.5</v>
      </c>
      <c r="CN4" t="s">
        <v>191</v>
      </c>
      <c r="CO4" t="s">
        <v>167</v>
      </c>
      <c r="CP4" t="s">
        <v>167</v>
      </c>
      <c r="CQ4" t="s">
        <v>167</v>
      </c>
      <c r="CR4" t="s">
        <v>167</v>
      </c>
      <c r="CS4" t="s">
        <v>167</v>
      </c>
      <c r="CT4" t="s">
        <v>167</v>
      </c>
      <c r="CU4" t="s">
        <v>167</v>
      </c>
      <c r="CV4" t="s">
        <v>167</v>
      </c>
      <c r="CW4" t="s">
        <v>167</v>
      </c>
      <c r="CX4" t="s">
        <v>167</v>
      </c>
      <c r="CY4" t="s">
        <v>167</v>
      </c>
      <c r="CZ4" t="s">
        <v>192</v>
      </c>
      <c r="DA4" s="143" t="s">
        <v>193</v>
      </c>
      <c r="DB4" s="145" t="s">
        <v>167</v>
      </c>
      <c r="DC4" s="145" t="s">
        <v>167</v>
      </c>
      <c r="DD4" s="143" t="s">
        <v>167</v>
      </c>
      <c r="DE4" s="143" t="s">
        <v>194</v>
      </c>
      <c r="DF4" s="143" t="s">
        <v>195</v>
      </c>
      <c r="DG4">
        <v>36</v>
      </c>
      <c r="DH4" s="139" t="s">
        <v>196</v>
      </c>
      <c r="DI4" s="139">
        <v>0</v>
      </c>
      <c r="DJ4" s="139" t="s">
        <v>197</v>
      </c>
      <c r="DK4" t="s">
        <v>198</v>
      </c>
      <c r="DL4" s="146" t="s">
        <v>199</v>
      </c>
      <c r="DM4" s="146" t="s">
        <v>199</v>
      </c>
      <c r="DN4" s="146" t="s">
        <v>199</v>
      </c>
      <c r="DO4" t="s">
        <v>198</v>
      </c>
      <c r="DP4" s="146" t="s">
        <v>199</v>
      </c>
      <c r="DQ4" s="146" t="s">
        <v>199</v>
      </c>
      <c r="DR4" s="146" t="s">
        <v>199</v>
      </c>
      <c r="DS4" t="s">
        <v>198</v>
      </c>
      <c r="DT4" s="146" t="s">
        <v>199</v>
      </c>
      <c r="DU4" s="146" t="s">
        <v>199</v>
      </c>
      <c r="DV4" s="146" t="s">
        <v>199</v>
      </c>
      <c r="DW4" s="143">
        <v>413.7</v>
      </c>
      <c r="DX4" s="143" t="s">
        <v>167</v>
      </c>
      <c r="DY4" s="143" t="s">
        <v>167</v>
      </c>
      <c r="DZ4" s="149" t="s">
        <v>200</v>
      </c>
      <c r="EA4" s="139">
        <v>39.5</v>
      </c>
      <c r="EB4" t="s">
        <v>201</v>
      </c>
      <c r="EC4" s="150" t="s">
        <v>167</v>
      </c>
      <c r="ED4" t="s">
        <v>202</v>
      </c>
      <c r="EE4" t="s">
        <v>203</v>
      </c>
      <c r="EF4" t="s">
        <v>204</v>
      </c>
      <c r="EG4">
        <v>1.0271999999999999</v>
      </c>
      <c r="EH4" t="s">
        <v>199</v>
      </c>
      <c r="EI4" t="s">
        <v>199</v>
      </c>
      <c r="EJ4" t="s">
        <v>205</v>
      </c>
      <c r="EK4" t="s">
        <v>199</v>
      </c>
      <c r="EL4" t="s">
        <v>199</v>
      </c>
      <c r="EM4" s="145" t="s">
        <v>167</v>
      </c>
      <c r="EN4" s="143" t="s">
        <v>206</v>
      </c>
      <c r="EO4" s="143" t="s">
        <v>207</v>
      </c>
      <c r="EP4" s="143" t="s">
        <v>207</v>
      </c>
      <c r="EQ4" s="145" t="s">
        <v>167</v>
      </c>
      <c r="ER4" s="145" t="s">
        <v>167</v>
      </c>
      <c r="ES4" s="145" t="s">
        <v>167</v>
      </c>
      <c r="ET4" t="s">
        <v>208</v>
      </c>
      <c r="EU4" t="s">
        <v>197</v>
      </c>
      <c r="EV4" s="150" t="s">
        <v>167</v>
      </c>
      <c r="EW4" s="159">
        <v>2330</v>
      </c>
      <c r="EX4" s="150" t="s">
        <v>209</v>
      </c>
      <c r="EY4" s="150">
        <f>EW4*0.05</f>
        <v>116.5</v>
      </c>
      <c r="EZ4" s="150">
        <f>EW4*0.05</f>
        <v>116.5</v>
      </c>
      <c r="FA4" s="143" t="s">
        <v>167</v>
      </c>
      <c r="FB4" s="143" t="s">
        <v>167</v>
      </c>
      <c r="FC4" s="143" t="s">
        <v>167</v>
      </c>
      <c r="FD4" s="143" t="s">
        <v>167</v>
      </c>
      <c r="FE4" s="143">
        <v>8.17</v>
      </c>
      <c r="FF4" s="139" t="s">
        <v>210</v>
      </c>
      <c r="FG4" s="139">
        <v>0.02</v>
      </c>
      <c r="FH4" s="139">
        <v>0.02</v>
      </c>
      <c r="FI4">
        <v>274</v>
      </c>
      <c r="FJ4" t="s">
        <v>167</v>
      </c>
      <c r="FK4" t="s">
        <v>167</v>
      </c>
      <c r="FL4">
        <v>274</v>
      </c>
      <c r="FM4">
        <v>25</v>
      </c>
      <c r="FN4">
        <v>25</v>
      </c>
      <c r="FO4" s="160" t="s">
        <v>167</v>
      </c>
      <c r="FP4" s="139" t="s">
        <v>211</v>
      </c>
      <c r="FQ4" t="s">
        <v>212</v>
      </c>
      <c r="FR4" t="s">
        <v>212</v>
      </c>
      <c r="FS4" t="s">
        <v>212</v>
      </c>
      <c r="FT4" t="s">
        <v>212</v>
      </c>
      <c r="FU4" t="s">
        <v>212</v>
      </c>
      <c r="FV4" t="s">
        <v>212</v>
      </c>
      <c r="FW4" t="s">
        <v>212</v>
      </c>
      <c r="FX4" t="s">
        <v>212</v>
      </c>
      <c r="FY4" t="s">
        <v>212</v>
      </c>
      <c r="FZ4" t="s">
        <v>212</v>
      </c>
      <c r="GA4" t="s">
        <v>212</v>
      </c>
      <c r="GB4" t="s">
        <v>212</v>
      </c>
    </row>
    <row r="5" spans="1:185" s="143" customFormat="1" ht="16" x14ac:dyDescent="0.2">
      <c r="A5" s="143" t="s">
        <v>171</v>
      </c>
      <c r="B5" s="165" t="s">
        <v>172</v>
      </c>
      <c r="C5" s="138" t="s">
        <v>168</v>
      </c>
      <c r="D5" s="143" t="s">
        <v>273</v>
      </c>
      <c r="E5" s="143">
        <v>2010</v>
      </c>
      <c r="F5" s="143" t="str">
        <f t="shared" ref="F5:F23" si="1">Z5</f>
        <v>10.1016/j.epsl.2010.01.037</v>
      </c>
      <c r="G5" s="166">
        <f t="shared" ref="G5:G23" si="2">AS5</f>
        <v>456</v>
      </c>
      <c r="H5" s="143" t="str">
        <f t="shared" ref="H5:H23" si="3">AU5</f>
        <v>NA</v>
      </c>
      <c r="I5" s="143" t="str">
        <f t="shared" ref="I5:I23" si="4">AV5</f>
        <v>NA</v>
      </c>
      <c r="J5" s="167">
        <f t="shared" ref="J5:J23" si="5">FL5</f>
        <v>290</v>
      </c>
      <c r="K5" s="167">
        <f t="shared" ref="K5:K23" si="6">FM5</f>
        <v>25</v>
      </c>
      <c r="L5" s="167">
        <f t="shared" ref="L5:L23" si="7">FN5</f>
        <v>25</v>
      </c>
      <c r="M5" s="143" t="b">
        <v>1</v>
      </c>
      <c r="N5">
        <v>3</v>
      </c>
      <c r="O5" s="143" t="s">
        <v>294</v>
      </c>
      <c r="P5" s="168" t="b">
        <v>0</v>
      </c>
      <c r="Q5" s="143" t="b">
        <v>0</v>
      </c>
      <c r="R5" s="143" t="s">
        <v>167</v>
      </c>
      <c r="S5" s="143" t="b">
        <v>1</v>
      </c>
      <c r="T5" s="143" t="b">
        <v>0</v>
      </c>
      <c r="U5" s="143" t="s">
        <v>167</v>
      </c>
      <c r="V5" s="143" t="s">
        <v>167</v>
      </c>
      <c r="W5" s="143" t="b">
        <v>0</v>
      </c>
      <c r="X5" s="143" t="s">
        <v>167</v>
      </c>
      <c r="Y5" s="160" t="s">
        <v>173</v>
      </c>
      <c r="Z5" s="160" t="s">
        <v>174</v>
      </c>
      <c r="AA5" s="143">
        <v>999</v>
      </c>
      <c r="AB5" s="160" t="s">
        <v>175</v>
      </c>
      <c r="AC5" s="143">
        <v>3</v>
      </c>
      <c r="AD5" s="143">
        <v>2</v>
      </c>
      <c r="AE5" s="143">
        <v>33</v>
      </c>
      <c r="AF5" s="143">
        <v>34.5</v>
      </c>
      <c r="AG5" s="143">
        <v>18.93</v>
      </c>
      <c r="AH5" s="143" t="s">
        <v>167</v>
      </c>
      <c r="AI5" s="143" t="s">
        <v>167</v>
      </c>
      <c r="AJ5" s="143" t="s">
        <v>176</v>
      </c>
      <c r="AK5" s="160">
        <v>12.744</v>
      </c>
      <c r="AL5" s="160">
        <v>-78.7393</v>
      </c>
      <c r="AM5" s="160" t="s">
        <v>167</v>
      </c>
      <c r="AN5" s="160" t="s">
        <v>167</v>
      </c>
      <c r="AO5" s="160">
        <v>-2828</v>
      </c>
      <c r="AP5" s="143" t="s">
        <v>167</v>
      </c>
      <c r="AQ5" s="160" t="s">
        <v>167</v>
      </c>
      <c r="AR5" s="143" t="s">
        <v>167</v>
      </c>
      <c r="AS5" s="169">
        <v>456</v>
      </c>
      <c r="AT5" s="148" t="s">
        <v>167</v>
      </c>
      <c r="AU5" s="143" t="s">
        <v>167</v>
      </c>
      <c r="AV5" s="143" t="s">
        <v>167</v>
      </c>
      <c r="AW5" s="143" t="s">
        <v>167</v>
      </c>
      <c r="AX5" s="143" t="s">
        <v>177</v>
      </c>
      <c r="AY5" s="152" t="s">
        <v>213</v>
      </c>
      <c r="AZ5" s="143" t="s">
        <v>167</v>
      </c>
      <c r="BA5" s="143" t="s">
        <v>167</v>
      </c>
      <c r="BB5" s="143" t="s">
        <v>167</v>
      </c>
      <c r="BC5" s="143" t="s">
        <v>167</v>
      </c>
      <c r="BD5" s="143" t="s">
        <v>167</v>
      </c>
      <c r="BE5" s="143" t="s">
        <v>167</v>
      </c>
      <c r="BF5" s="143" t="s">
        <v>167</v>
      </c>
      <c r="BG5" s="143" t="s">
        <v>293</v>
      </c>
      <c r="BH5" s="160" t="s">
        <v>179</v>
      </c>
      <c r="BI5" s="170" t="s">
        <v>180</v>
      </c>
      <c r="BJ5" s="171" t="s">
        <v>181</v>
      </c>
      <c r="BK5" s="160" t="s">
        <v>182</v>
      </c>
      <c r="BL5" s="160" t="s">
        <v>183</v>
      </c>
      <c r="BM5" s="160" t="s">
        <v>184</v>
      </c>
      <c r="BN5" s="143" t="s">
        <v>214</v>
      </c>
      <c r="BO5" s="143">
        <v>2</v>
      </c>
      <c r="BP5" s="143">
        <v>0.31000000000000227</v>
      </c>
      <c r="BQ5" s="172">
        <v>20.13</v>
      </c>
      <c r="BR5" s="173" t="s">
        <v>186</v>
      </c>
      <c r="BS5" s="172">
        <v>0.12</v>
      </c>
      <c r="BT5" s="174" t="s">
        <v>167</v>
      </c>
      <c r="BU5" s="174" t="s">
        <v>167</v>
      </c>
      <c r="BV5" s="175" t="s">
        <v>167</v>
      </c>
      <c r="BW5" s="160">
        <v>0.8</v>
      </c>
      <c r="BX5" s="160" t="s">
        <v>167</v>
      </c>
      <c r="BY5" s="160" t="s">
        <v>167</v>
      </c>
      <c r="BZ5" s="160" t="s">
        <v>187</v>
      </c>
      <c r="CA5" s="160" t="s">
        <v>188</v>
      </c>
      <c r="CB5" s="143" t="s">
        <v>167</v>
      </c>
      <c r="CC5" s="143" t="s">
        <v>167</v>
      </c>
      <c r="CD5" s="143" t="s">
        <v>167</v>
      </c>
      <c r="CE5" s="143" t="s">
        <v>167</v>
      </c>
      <c r="CF5" s="143" t="s">
        <v>167</v>
      </c>
      <c r="CG5" s="143" t="s">
        <v>189</v>
      </c>
      <c r="CH5" s="143" t="s">
        <v>190</v>
      </c>
      <c r="CI5" s="143" t="s">
        <v>190</v>
      </c>
      <c r="CJ5" s="143">
        <v>25.9</v>
      </c>
      <c r="CK5" s="138" t="s">
        <v>167</v>
      </c>
      <c r="CL5" s="143">
        <v>1.5</v>
      </c>
      <c r="CM5" s="143">
        <v>1.5</v>
      </c>
      <c r="CN5" s="143" t="s">
        <v>191</v>
      </c>
      <c r="CO5" s="143" t="s">
        <v>167</v>
      </c>
      <c r="CP5" s="143" t="s">
        <v>167</v>
      </c>
      <c r="CQ5" s="143" t="s">
        <v>167</v>
      </c>
      <c r="CR5" s="143" t="s">
        <v>167</v>
      </c>
      <c r="CS5" s="143" t="s">
        <v>167</v>
      </c>
      <c r="CT5" s="143" t="s">
        <v>167</v>
      </c>
      <c r="CU5" s="143" t="s">
        <v>167</v>
      </c>
      <c r="CV5" s="143" t="s">
        <v>167</v>
      </c>
      <c r="CW5" s="143" t="s">
        <v>167</v>
      </c>
      <c r="CX5" s="143" t="s">
        <v>167</v>
      </c>
      <c r="CY5" s="143" t="s">
        <v>167</v>
      </c>
      <c r="CZ5" s="143" t="s">
        <v>192</v>
      </c>
      <c r="DA5" s="143" t="s">
        <v>193</v>
      </c>
      <c r="DB5" s="145" t="s">
        <v>167</v>
      </c>
      <c r="DC5" s="145" t="s">
        <v>167</v>
      </c>
      <c r="DD5" s="143" t="s">
        <v>167</v>
      </c>
      <c r="DE5" s="143" t="s">
        <v>194</v>
      </c>
      <c r="DF5" s="143" t="s">
        <v>195</v>
      </c>
      <c r="DG5" s="143">
        <v>36</v>
      </c>
      <c r="DH5" s="160" t="s">
        <v>196</v>
      </c>
      <c r="DI5" s="160">
        <v>0</v>
      </c>
      <c r="DJ5" s="160" t="s">
        <v>197</v>
      </c>
      <c r="DK5" s="143" t="s">
        <v>198</v>
      </c>
      <c r="DL5" s="172" t="s">
        <v>199</v>
      </c>
      <c r="DM5" s="172" t="s">
        <v>199</v>
      </c>
      <c r="DN5" s="172" t="s">
        <v>199</v>
      </c>
      <c r="DO5" s="143" t="s">
        <v>198</v>
      </c>
      <c r="DP5" s="172" t="s">
        <v>199</v>
      </c>
      <c r="DQ5" s="172" t="s">
        <v>199</v>
      </c>
      <c r="DR5" s="172" t="s">
        <v>199</v>
      </c>
      <c r="DS5" s="143" t="s">
        <v>198</v>
      </c>
      <c r="DT5" s="172" t="s">
        <v>199</v>
      </c>
      <c r="DU5" s="172" t="s">
        <v>199</v>
      </c>
      <c r="DV5" s="172" t="s">
        <v>199</v>
      </c>
      <c r="DW5" s="143">
        <v>413.7</v>
      </c>
      <c r="DX5" s="143" t="s">
        <v>167</v>
      </c>
      <c r="DY5" s="143" t="s">
        <v>167</v>
      </c>
      <c r="DZ5" s="176" t="s">
        <v>200</v>
      </c>
      <c r="EA5" s="160">
        <v>39.5</v>
      </c>
      <c r="EB5" s="143" t="s">
        <v>201</v>
      </c>
      <c r="EC5" s="145" t="s">
        <v>167</v>
      </c>
      <c r="ED5" s="143" t="s">
        <v>202</v>
      </c>
      <c r="EE5" s="143" t="s">
        <v>203</v>
      </c>
      <c r="EF5" s="143" t="s">
        <v>204</v>
      </c>
      <c r="EG5" s="143">
        <v>1.0271999999999999</v>
      </c>
      <c r="EH5" s="143" t="s">
        <v>199</v>
      </c>
      <c r="EI5" s="143" t="s">
        <v>199</v>
      </c>
      <c r="EJ5" s="143" t="s">
        <v>205</v>
      </c>
      <c r="EK5" s="143" t="s">
        <v>199</v>
      </c>
      <c r="EL5" s="143" t="s">
        <v>199</v>
      </c>
      <c r="EM5" s="145" t="s">
        <v>167</v>
      </c>
      <c r="EN5" s="143" t="s">
        <v>206</v>
      </c>
      <c r="EO5" s="143" t="s">
        <v>207</v>
      </c>
      <c r="EP5" s="143" t="s">
        <v>207</v>
      </c>
      <c r="EQ5" s="145" t="s">
        <v>167</v>
      </c>
      <c r="ER5" s="145" t="s">
        <v>167</v>
      </c>
      <c r="ES5" s="145" t="s">
        <v>167</v>
      </c>
      <c r="ET5" s="143" t="s">
        <v>208</v>
      </c>
      <c r="EU5" s="143" t="s">
        <v>197</v>
      </c>
      <c r="EV5" s="145" t="s">
        <v>167</v>
      </c>
      <c r="EW5" s="177">
        <v>2330</v>
      </c>
      <c r="EX5" s="145" t="s">
        <v>209</v>
      </c>
      <c r="EY5" s="145">
        <f t="shared" ref="EY5:EY23" si="8">EW5*0.05</f>
        <v>116.5</v>
      </c>
      <c r="EZ5" s="145">
        <f t="shared" ref="EZ5:EZ23" si="9">EW5*0.05</f>
        <v>116.5</v>
      </c>
      <c r="FA5" s="143" t="s">
        <v>167</v>
      </c>
      <c r="FB5" s="143" t="s">
        <v>167</v>
      </c>
      <c r="FC5" s="143" t="s">
        <v>167</v>
      </c>
      <c r="FD5" s="143" t="s">
        <v>167</v>
      </c>
      <c r="FE5" s="143">
        <v>8.16</v>
      </c>
      <c r="FF5" s="160" t="s">
        <v>210</v>
      </c>
      <c r="FG5" s="160">
        <v>0.02</v>
      </c>
      <c r="FH5" s="160">
        <v>0.02</v>
      </c>
      <c r="FI5" s="143">
        <v>290</v>
      </c>
      <c r="FJ5" s="143" t="s">
        <v>167</v>
      </c>
      <c r="FK5" s="143" t="s">
        <v>167</v>
      </c>
      <c r="FL5" s="143">
        <v>290</v>
      </c>
      <c r="FM5" s="143">
        <v>25</v>
      </c>
      <c r="FN5" s="143">
        <v>25</v>
      </c>
      <c r="FO5" s="160" t="s">
        <v>167</v>
      </c>
      <c r="FP5" s="160" t="s">
        <v>211</v>
      </c>
      <c r="FQ5" s="143" t="s">
        <v>212</v>
      </c>
      <c r="FR5" s="143" t="s">
        <v>212</v>
      </c>
      <c r="FS5" s="143" t="s">
        <v>212</v>
      </c>
      <c r="FT5" s="143" t="s">
        <v>212</v>
      </c>
      <c r="FU5" s="143" t="s">
        <v>212</v>
      </c>
      <c r="FV5" s="143" t="s">
        <v>212</v>
      </c>
      <c r="FW5" s="143" t="s">
        <v>212</v>
      </c>
      <c r="FX5" s="143" t="s">
        <v>212</v>
      </c>
      <c r="FY5" s="143" t="s">
        <v>212</v>
      </c>
      <c r="FZ5" s="143" t="s">
        <v>212</v>
      </c>
      <c r="GA5" s="143" t="s">
        <v>212</v>
      </c>
      <c r="GB5" s="143" t="s">
        <v>212</v>
      </c>
    </row>
    <row r="6" spans="1:185" s="143" customFormat="1" ht="16" x14ac:dyDescent="0.2">
      <c r="A6" s="143" t="s">
        <v>171</v>
      </c>
      <c r="B6" s="165" t="s">
        <v>172</v>
      </c>
      <c r="C6" s="138" t="s">
        <v>168</v>
      </c>
      <c r="D6" s="143" t="s">
        <v>273</v>
      </c>
      <c r="E6" s="143">
        <v>2010</v>
      </c>
      <c r="F6" s="143" t="str">
        <f t="shared" si="1"/>
        <v>10.1016/j.epsl.2010.01.037</v>
      </c>
      <c r="G6" s="166">
        <f t="shared" si="2"/>
        <v>900</v>
      </c>
      <c r="H6" s="143" t="str">
        <f t="shared" si="3"/>
        <v>NA</v>
      </c>
      <c r="I6" s="143" t="str">
        <f t="shared" si="4"/>
        <v>NA</v>
      </c>
      <c r="J6" s="167">
        <f t="shared" si="5"/>
        <v>279</v>
      </c>
      <c r="K6" s="167">
        <f t="shared" si="6"/>
        <v>25</v>
      </c>
      <c r="L6" s="167">
        <f t="shared" si="7"/>
        <v>25</v>
      </c>
      <c r="M6" s="143" t="b">
        <v>1</v>
      </c>
      <c r="N6">
        <v>3</v>
      </c>
      <c r="O6" s="143" t="s">
        <v>294</v>
      </c>
      <c r="P6" s="168" t="b">
        <v>0</v>
      </c>
      <c r="Q6" s="143" t="b">
        <v>0</v>
      </c>
      <c r="R6" s="143" t="s">
        <v>167</v>
      </c>
      <c r="S6" s="143" t="b">
        <v>1</v>
      </c>
      <c r="T6" s="143" t="b">
        <v>0</v>
      </c>
      <c r="U6" s="143" t="s">
        <v>167</v>
      </c>
      <c r="V6" s="143" t="s">
        <v>167</v>
      </c>
      <c r="W6" s="143" t="b">
        <v>0</v>
      </c>
      <c r="X6" s="143" t="s">
        <v>167</v>
      </c>
      <c r="Y6" s="160" t="s">
        <v>173</v>
      </c>
      <c r="Z6" s="160" t="s">
        <v>174</v>
      </c>
      <c r="AA6" s="143">
        <v>999</v>
      </c>
      <c r="AB6" s="160" t="s">
        <v>175</v>
      </c>
      <c r="AC6" s="143">
        <v>4</v>
      </c>
      <c r="AD6" s="143">
        <v>4</v>
      </c>
      <c r="AE6" s="143">
        <v>33</v>
      </c>
      <c r="AF6" s="143">
        <v>35</v>
      </c>
      <c r="AG6" s="143">
        <v>31.43</v>
      </c>
      <c r="AH6" s="143" t="s">
        <v>167</v>
      </c>
      <c r="AI6" s="143" t="s">
        <v>167</v>
      </c>
      <c r="AJ6" s="143" t="s">
        <v>176</v>
      </c>
      <c r="AK6" s="160">
        <v>12.744</v>
      </c>
      <c r="AL6" s="160">
        <v>-78.7393</v>
      </c>
      <c r="AM6" s="160" t="s">
        <v>167</v>
      </c>
      <c r="AN6" s="160" t="s">
        <v>167</v>
      </c>
      <c r="AO6" s="160">
        <v>-2828</v>
      </c>
      <c r="AP6" s="143" t="s">
        <v>167</v>
      </c>
      <c r="AQ6" s="160" t="s">
        <v>167</v>
      </c>
      <c r="AR6" s="143" t="s">
        <v>167</v>
      </c>
      <c r="AS6" s="178">
        <v>900</v>
      </c>
      <c r="AT6" s="148" t="s">
        <v>167</v>
      </c>
      <c r="AU6" s="143" t="s">
        <v>167</v>
      </c>
      <c r="AV6" s="143" t="s">
        <v>167</v>
      </c>
      <c r="AW6" s="143" t="s">
        <v>167</v>
      </c>
      <c r="AX6" s="143" t="s">
        <v>177</v>
      </c>
      <c r="AY6" s="152" t="s">
        <v>215</v>
      </c>
      <c r="AZ6" s="143" t="s">
        <v>167</v>
      </c>
      <c r="BA6" s="143" t="s">
        <v>167</v>
      </c>
      <c r="BB6" s="143" t="s">
        <v>167</v>
      </c>
      <c r="BC6" s="143" t="s">
        <v>167</v>
      </c>
      <c r="BD6" s="143" t="s">
        <v>167</v>
      </c>
      <c r="BE6" s="143" t="s">
        <v>167</v>
      </c>
      <c r="BF6" s="143" t="s">
        <v>167</v>
      </c>
      <c r="BG6" s="143" t="s">
        <v>293</v>
      </c>
      <c r="BH6" s="160" t="s">
        <v>179</v>
      </c>
      <c r="BI6" s="170" t="s">
        <v>180</v>
      </c>
      <c r="BJ6" s="171" t="s">
        <v>181</v>
      </c>
      <c r="BK6" s="160" t="s">
        <v>182</v>
      </c>
      <c r="BL6" s="160" t="s">
        <v>183</v>
      </c>
      <c r="BM6" s="160" t="s">
        <v>184</v>
      </c>
      <c r="BN6" s="143" t="s">
        <v>216</v>
      </c>
      <c r="BO6" s="143">
        <v>2</v>
      </c>
      <c r="BP6" s="143">
        <v>0.16999999999999812</v>
      </c>
      <c r="BQ6" s="172">
        <v>20.23</v>
      </c>
      <c r="BR6" s="173" t="s">
        <v>186</v>
      </c>
      <c r="BS6" s="172">
        <v>0.09</v>
      </c>
      <c r="BT6" s="174" t="s">
        <v>167</v>
      </c>
      <c r="BU6" s="174" t="s">
        <v>167</v>
      </c>
      <c r="BV6" s="175" t="s">
        <v>167</v>
      </c>
      <c r="BW6" s="160">
        <v>0.8</v>
      </c>
      <c r="BX6" s="160" t="s">
        <v>167</v>
      </c>
      <c r="BY6" s="160" t="s">
        <v>167</v>
      </c>
      <c r="BZ6" s="160" t="s">
        <v>187</v>
      </c>
      <c r="CA6" s="160" t="s">
        <v>188</v>
      </c>
      <c r="CB6" s="143" t="s">
        <v>167</v>
      </c>
      <c r="CC6" s="143" t="s">
        <v>167</v>
      </c>
      <c r="CD6" s="143" t="s">
        <v>167</v>
      </c>
      <c r="CE6" s="143" t="s">
        <v>167</v>
      </c>
      <c r="CF6" s="143" t="s">
        <v>167</v>
      </c>
      <c r="CG6" s="143" t="s">
        <v>189</v>
      </c>
      <c r="CH6" s="143" t="s">
        <v>190</v>
      </c>
      <c r="CI6" s="143" t="s">
        <v>190</v>
      </c>
      <c r="CJ6" s="143">
        <v>25.3</v>
      </c>
      <c r="CK6" s="138" t="s">
        <v>167</v>
      </c>
      <c r="CL6" s="143">
        <v>1.5</v>
      </c>
      <c r="CM6" s="143">
        <v>1.5</v>
      </c>
      <c r="CN6" s="143" t="s">
        <v>191</v>
      </c>
      <c r="CO6" s="143" t="s">
        <v>167</v>
      </c>
      <c r="CP6" s="143" t="s">
        <v>167</v>
      </c>
      <c r="CQ6" s="143" t="s">
        <v>167</v>
      </c>
      <c r="CR6" s="143" t="s">
        <v>167</v>
      </c>
      <c r="CS6" s="143" t="s">
        <v>167</v>
      </c>
      <c r="CT6" s="143" t="s">
        <v>167</v>
      </c>
      <c r="CU6" s="143" t="s">
        <v>167</v>
      </c>
      <c r="CV6" s="143" t="s">
        <v>167</v>
      </c>
      <c r="CW6" s="143" t="s">
        <v>167</v>
      </c>
      <c r="CX6" s="143" t="s">
        <v>167</v>
      </c>
      <c r="CY6" s="143" t="s">
        <v>167</v>
      </c>
      <c r="CZ6" s="143" t="s">
        <v>192</v>
      </c>
      <c r="DA6" s="143" t="s">
        <v>193</v>
      </c>
      <c r="DB6" s="145" t="s">
        <v>167</v>
      </c>
      <c r="DC6" s="145" t="s">
        <v>167</v>
      </c>
      <c r="DD6" s="143" t="s">
        <v>167</v>
      </c>
      <c r="DE6" s="143" t="s">
        <v>194</v>
      </c>
      <c r="DF6" s="143" t="s">
        <v>195</v>
      </c>
      <c r="DG6" s="143">
        <v>36</v>
      </c>
      <c r="DH6" s="160" t="s">
        <v>196</v>
      </c>
      <c r="DI6" s="160">
        <v>0</v>
      </c>
      <c r="DJ6" s="160" t="s">
        <v>197</v>
      </c>
      <c r="DK6" s="143" t="s">
        <v>198</v>
      </c>
      <c r="DL6" s="172" t="s">
        <v>199</v>
      </c>
      <c r="DM6" s="172" t="s">
        <v>199</v>
      </c>
      <c r="DN6" s="172" t="s">
        <v>199</v>
      </c>
      <c r="DO6" s="143" t="s">
        <v>198</v>
      </c>
      <c r="DP6" s="172" t="s">
        <v>199</v>
      </c>
      <c r="DQ6" s="172" t="s">
        <v>199</v>
      </c>
      <c r="DR6" s="172" t="s">
        <v>199</v>
      </c>
      <c r="DS6" s="143" t="s">
        <v>198</v>
      </c>
      <c r="DT6" s="172" t="s">
        <v>199</v>
      </c>
      <c r="DU6" s="172" t="s">
        <v>199</v>
      </c>
      <c r="DV6" s="172" t="s">
        <v>199</v>
      </c>
      <c r="DW6" s="143">
        <v>413.7</v>
      </c>
      <c r="DX6" s="143" t="s">
        <v>167</v>
      </c>
      <c r="DY6" s="143" t="s">
        <v>167</v>
      </c>
      <c r="DZ6" s="176" t="s">
        <v>200</v>
      </c>
      <c r="EA6" s="160">
        <v>39.5</v>
      </c>
      <c r="EB6" s="143" t="s">
        <v>201</v>
      </c>
      <c r="EC6" s="145" t="s">
        <v>167</v>
      </c>
      <c r="ED6" s="143" t="s">
        <v>217</v>
      </c>
      <c r="EE6" s="143" t="s">
        <v>203</v>
      </c>
      <c r="EF6" s="143" t="s">
        <v>204</v>
      </c>
      <c r="EG6" s="143">
        <v>1.0271999999999999</v>
      </c>
      <c r="EH6" s="143" t="s">
        <v>199</v>
      </c>
      <c r="EI6" s="143" t="s">
        <v>199</v>
      </c>
      <c r="EJ6" s="143" t="s">
        <v>205</v>
      </c>
      <c r="EK6" s="143" t="s">
        <v>199</v>
      </c>
      <c r="EL6" s="143" t="s">
        <v>199</v>
      </c>
      <c r="EM6" s="145" t="s">
        <v>167</v>
      </c>
      <c r="EN6" s="143" t="s">
        <v>218</v>
      </c>
      <c r="EO6" s="143" t="s">
        <v>207</v>
      </c>
      <c r="EP6" s="143" t="s">
        <v>207</v>
      </c>
      <c r="EQ6" s="145" t="s">
        <v>167</v>
      </c>
      <c r="ER6" s="145" t="s">
        <v>167</v>
      </c>
      <c r="ES6" s="145" t="s">
        <v>167</v>
      </c>
      <c r="ET6" s="143" t="s">
        <v>208</v>
      </c>
      <c r="EU6" s="143" t="s">
        <v>197</v>
      </c>
      <c r="EV6" s="145" t="s">
        <v>167</v>
      </c>
      <c r="EW6" s="177">
        <v>2330</v>
      </c>
      <c r="EX6" s="145" t="s">
        <v>209</v>
      </c>
      <c r="EY6" s="145">
        <f t="shared" si="8"/>
        <v>116.5</v>
      </c>
      <c r="EZ6" s="145">
        <f t="shared" si="9"/>
        <v>116.5</v>
      </c>
      <c r="FA6" s="143" t="s">
        <v>167</v>
      </c>
      <c r="FB6" s="143" t="s">
        <v>167</v>
      </c>
      <c r="FC6" s="143" t="s">
        <v>167</v>
      </c>
      <c r="FD6" s="143" t="s">
        <v>167</v>
      </c>
      <c r="FE6" s="143">
        <v>8.17</v>
      </c>
      <c r="FF6" s="160" t="s">
        <v>210</v>
      </c>
      <c r="FG6" s="160">
        <v>0.02</v>
      </c>
      <c r="FH6" s="160">
        <v>0.02</v>
      </c>
      <c r="FI6" s="143">
        <v>279</v>
      </c>
      <c r="FJ6" s="143" t="s">
        <v>167</v>
      </c>
      <c r="FK6" s="143" t="s">
        <v>167</v>
      </c>
      <c r="FL6" s="143">
        <v>279</v>
      </c>
      <c r="FM6" s="143">
        <v>25</v>
      </c>
      <c r="FN6" s="143">
        <v>25</v>
      </c>
      <c r="FO6" s="160" t="s">
        <v>167</v>
      </c>
      <c r="FP6" s="160" t="s">
        <v>211</v>
      </c>
      <c r="FQ6" s="143" t="s">
        <v>212</v>
      </c>
      <c r="FR6" s="143" t="s">
        <v>212</v>
      </c>
      <c r="FS6" s="143" t="s">
        <v>212</v>
      </c>
      <c r="FT6" s="143" t="s">
        <v>212</v>
      </c>
      <c r="FU6" s="143" t="s">
        <v>212</v>
      </c>
      <c r="FV6" s="143" t="s">
        <v>212</v>
      </c>
      <c r="FW6" s="143" t="s">
        <v>212</v>
      </c>
      <c r="FX6" s="143" t="s">
        <v>212</v>
      </c>
      <c r="FY6" s="143" t="s">
        <v>212</v>
      </c>
      <c r="FZ6" s="143" t="s">
        <v>212</v>
      </c>
      <c r="GA6" s="143" t="s">
        <v>212</v>
      </c>
      <c r="GB6" s="143" t="s">
        <v>212</v>
      </c>
    </row>
    <row r="7" spans="1:185" s="143" customFormat="1" ht="16" x14ac:dyDescent="0.2">
      <c r="A7" s="143" t="s">
        <v>171</v>
      </c>
      <c r="B7" s="165" t="s">
        <v>172</v>
      </c>
      <c r="C7" s="138" t="s">
        <v>168</v>
      </c>
      <c r="D7" s="143" t="s">
        <v>273</v>
      </c>
      <c r="E7" s="143">
        <v>2010</v>
      </c>
      <c r="F7" s="143" t="str">
        <f t="shared" si="1"/>
        <v>10.1016/j.epsl.2010.01.037</v>
      </c>
      <c r="G7" s="166">
        <f t="shared" si="2"/>
        <v>1500</v>
      </c>
      <c r="H7" s="143" t="str">
        <f t="shared" si="3"/>
        <v>NA</v>
      </c>
      <c r="I7" s="143" t="str">
        <f t="shared" si="4"/>
        <v>NA</v>
      </c>
      <c r="J7" s="167">
        <f t="shared" si="5"/>
        <v>288</v>
      </c>
      <c r="K7" s="167">
        <f t="shared" si="6"/>
        <v>25</v>
      </c>
      <c r="L7" s="167">
        <f t="shared" si="7"/>
        <v>25</v>
      </c>
      <c r="M7" s="143" t="b">
        <v>1</v>
      </c>
      <c r="N7">
        <v>3</v>
      </c>
      <c r="O7" s="143" t="s">
        <v>294</v>
      </c>
      <c r="P7" s="168" t="b">
        <v>0</v>
      </c>
      <c r="Q7" s="143" t="b">
        <v>0</v>
      </c>
      <c r="R7" s="143" t="s">
        <v>167</v>
      </c>
      <c r="S7" s="143" t="b">
        <v>1</v>
      </c>
      <c r="T7" s="143" t="b">
        <v>0</v>
      </c>
      <c r="U7" s="143" t="s">
        <v>167</v>
      </c>
      <c r="V7" s="143" t="s">
        <v>167</v>
      </c>
      <c r="W7" s="143" t="b">
        <v>0</v>
      </c>
      <c r="X7" s="143" t="s">
        <v>167</v>
      </c>
      <c r="Y7" s="160" t="s">
        <v>173</v>
      </c>
      <c r="Z7" s="160" t="s">
        <v>174</v>
      </c>
      <c r="AA7" s="143">
        <v>999</v>
      </c>
      <c r="AB7" s="160" t="s">
        <v>175</v>
      </c>
      <c r="AC7" s="143">
        <v>6</v>
      </c>
      <c r="AD7" s="143">
        <v>3</v>
      </c>
      <c r="AE7" s="143">
        <v>108</v>
      </c>
      <c r="AF7" s="143">
        <v>110</v>
      </c>
      <c r="AG7" s="143">
        <v>49.68</v>
      </c>
      <c r="AH7" s="143" t="s">
        <v>167</v>
      </c>
      <c r="AI7" s="143" t="s">
        <v>167</v>
      </c>
      <c r="AJ7" s="143" t="s">
        <v>176</v>
      </c>
      <c r="AK7" s="160">
        <v>12.744</v>
      </c>
      <c r="AL7" s="160">
        <v>-78.7393</v>
      </c>
      <c r="AM7" s="160" t="s">
        <v>167</v>
      </c>
      <c r="AN7" s="160" t="s">
        <v>167</v>
      </c>
      <c r="AO7" s="160">
        <v>-2828</v>
      </c>
      <c r="AP7" s="143" t="s">
        <v>167</v>
      </c>
      <c r="AQ7" s="160" t="s">
        <v>167</v>
      </c>
      <c r="AR7" s="143" t="s">
        <v>167</v>
      </c>
      <c r="AS7" s="178">
        <v>1500</v>
      </c>
      <c r="AT7" s="148" t="s">
        <v>167</v>
      </c>
      <c r="AU7" s="143" t="s">
        <v>167</v>
      </c>
      <c r="AV7" s="143" t="s">
        <v>167</v>
      </c>
      <c r="AW7" s="143" t="s">
        <v>167</v>
      </c>
      <c r="AX7" s="143" t="s">
        <v>177</v>
      </c>
      <c r="AY7" s="152" t="s">
        <v>219</v>
      </c>
      <c r="AZ7" s="143" t="s">
        <v>167</v>
      </c>
      <c r="BA7" s="143" t="s">
        <v>167</v>
      </c>
      <c r="BB7" s="143" t="s">
        <v>167</v>
      </c>
      <c r="BC7" s="143" t="s">
        <v>167</v>
      </c>
      <c r="BD7" s="143" t="s">
        <v>167</v>
      </c>
      <c r="BE7" s="143" t="s">
        <v>167</v>
      </c>
      <c r="BF7" s="143" t="s">
        <v>167</v>
      </c>
      <c r="BG7" s="143" t="s">
        <v>293</v>
      </c>
      <c r="BH7" s="160" t="s">
        <v>179</v>
      </c>
      <c r="BI7" s="170" t="s">
        <v>180</v>
      </c>
      <c r="BJ7" s="171" t="s">
        <v>181</v>
      </c>
      <c r="BK7" s="160" t="s">
        <v>182</v>
      </c>
      <c r="BL7" s="160" t="s">
        <v>183</v>
      </c>
      <c r="BM7" s="160" t="s">
        <v>184</v>
      </c>
      <c r="BN7" s="143" t="s">
        <v>220</v>
      </c>
      <c r="BO7" s="143">
        <v>2</v>
      </c>
      <c r="BP7" s="143">
        <v>0.2999999999999971</v>
      </c>
      <c r="BQ7" s="172">
        <v>20.57</v>
      </c>
      <c r="BR7" s="173" t="s">
        <v>186</v>
      </c>
      <c r="BS7" s="172">
        <v>0.14000000000000001</v>
      </c>
      <c r="BT7" s="174" t="s">
        <v>167</v>
      </c>
      <c r="BU7" s="174" t="s">
        <v>167</v>
      </c>
      <c r="BV7" s="175" t="s">
        <v>167</v>
      </c>
      <c r="BW7" s="160">
        <v>0.8</v>
      </c>
      <c r="BX7" s="160" t="s">
        <v>167</v>
      </c>
      <c r="BY7" s="160" t="s">
        <v>167</v>
      </c>
      <c r="BZ7" s="160" t="s">
        <v>187</v>
      </c>
      <c r="CA7" s="160" t="s">
        <v>188</v>
      </c>
      <c r="CB7" s="143" t="s">
        <v>167</v>
      </c>
      <c r="CC7" s="143" t="s">
        <v>167</v>
      </c>
      <c r="CD7" s="143" t="s">
        <v>167</v>
      </c>
      <c r="CE7" s="143" t="s">
        <v>167</v>
      </c>
      <c r="CF7" s="143" t="s">
        <v>167</v>
      </c>
      <c r="CG7" s="143" t="s">
        <v>189</v>
      </c>
      <c r="CH7" s="143" t="s">
        <v>190</v>
      </c>
      <c r="CI7" s="143" t="s">
        <v>190</v>
      </c>
      <c r="CJ7" s="143">
        <v>28</v>
      </c>
      <c r="CK7" s="138" t="s">
        <v>167</v>
      </c>
      <c r="CL7" s="143">
        <v>1.5</v>
      </c>
      <c r="CM7" s="143">
        <v>1.5</v>
      </c>
      <c r="CN7" s="143" t="s">
        <v>191</v>
      </c>
      <c r="CO7" s="143" t="s">
        <v>167</v>
      </c>
      <c r="CP7" s="143" t="s">
        <v>167</v>
      </c>
      <c r="CQ7" s="143" t="s">
        <v>167</v>
      </c>
      <c r="CR7" s="143" t="s">
        <v>167</v>
      </c>
      <c r="CS7" s="143" t="s">
        <v>167</v>
      </c>
      <c r="CT7" s="143" t="s">
        <v>167</v>
      </c>
      <c r="CU7" s="143" t="s">
        <v>167</v>
      </c>
      <c r="CV7" s="143" t="s">
        <v>167</v>
      </c>
      <c r="CW7" s="143" t="s">
        <v>167</v>
      </c>
      <c r="CX7" s="143" t="s">
        <v>167</v>
      </c>
      <c r="CY7" s="143" t="s">
        <v>167</v>
      </c>
      <c r="CZ7" s="143" t="s">
        <v>192</v>
      </c>
      <c r="DA7" s="143" t="s">
        <v>193</v>
      </c>
      <c r="DB7" s="145" t="s">
        <v>167</v>
      </c>
      <c r="DC7" s="145" t="s">
        <v>167</v>
      </c>
      <c r="DD7" s="143" t="s">
        <v>167</v>
      </c>
      <c r="DE7" s="143" t="s">
        <v>194</v>
      </c>
      <c r="DF7" s="143" t="s">
        <v>195</v>
      </c>
      <c r="DG7" s="143">
        <v>36</v>
      </c>
      <c r="DH7" s="160" t="s">
        <v>196</v>
      </c>
      <c r="DI7" s="160">
        <v>0</v>
      </c>
      <c r="DJ7" s="160" t="s">
        <v>197</v>
      </c>
      <c r="DK7" s="143" t="s">
        <v>198</v>
      </c>
      <c r="DL7" s="172" t="s">
        <v>199</v>
      </c>
      <c r="DM7" s="172" t="s">
        <v>199</v>
      </c>
      <c r="DN7" s="172" t="s">
        <v>199</v>
      </c>
      <c r="DO7" s="143" t="s">
        <v>198</v>
      </c>
      <c r="DP7" s="172" t="s">
        <v>199</v>
      </c>
      <c r="DQ7" s="172" t="s">
        <v>199</v>
      </c>
      <c r="DR7" s="172" t="s">
        <v>199</v>
      </c>
      <c r="DS7" s="143" t="s">
        <v>198</v>
      </c>
      <c r="DT7" s="172" t="s">
        <v>199</v>
      </c>
      <c r="DU7" s="172" t="s">
        <v>199</v>
      </c>
      <c r="DV7" s="172" t="s">
        <v>199</v>
      </c>
      <c r="DW7" s="143">
        <v>413.7</v>
      </c>
      <c r="DX7" s="143" t="s">
        <v>167</v>
      </c>
      <c r="DY7" s="143" t="s">
        <v>167</v>
      </c>
      <c r="DZ7" s="176" t="s">
        <v>200</v>
      </c>
      <c r="EA7" s="160">
        <v>39.5</v>
      </c>
      <c r="EB7" s="143" t="s">
        <v>201</v>
      </c>
      <c r="EC7" s="145" t="s">
        <v>167</v>
      </c>
      <c r="ED7" s="143" t="s">
        <v>217</v>
      </c>
      <c r="EE7" s="143" t="s">
        <v>203</v>
      </c>
      <c r="EF7" s="143" t="s">
        <v>204</v>
      </c>
      <c r="EG7" s="143">
        <v>1.0271999999999999</v>
      </c>
      <c r="EH7" s="143" t="s">
        <v>199</v>
      </c>
      <c r="EI7" s="143" t="s">
        <v>199</v>
      </c>
      <c r="EJ7" s="143" t="s">
        <v>205</v>
      </c>
      <c r="EK7" s="143" t="s">
        <v>199</v>
      </c>
      <c r="EL7" s="143" t="s">
        <v>199</v>
      </c>
      <c r="EM7" s="145" t="s">
        <v>167</v>
      </c>
      <c r="EN7" s="143" t="s">
        <v>221</v>
      </c>
      <c r="EO7" s="143" t="s">
        <v>207</v>
      </c>
      <c r="EP7" s="143" t="s">
        <v>207</v>
      </c>
      <c r="EQ7" s="145" t="s">
        <v>167</v>
      </c>
      <c r="ER7" s="145" t="s">
        <v>167</v>
      </c>
      <c r="ES7" s="145" t="s">
        <v>167</v>
      </c>
      <c r="ET7" s="143" t="s">
        <v>208</v>
      </c>
      <c r="EU7" s="143" t="s">
        <v>197</v>
      </c>
      <c r="EV7" s="145" t="s">
        <v>167</v>
      </c>
      <c r="EW7" s="177">
        <v>2330</v>
      </c>
      <c r="EX7" s="145" t="s">
        <v>209</v>
      </c>
      <c r="EY7" s="145">
        <f t="shared" si="8"/>
        <v>116.5</v>
      </c>
      <c r="EZ7" s="145">
        <f t="shared" si="9"/>
        <v>116.5</v>
      </c>
      <c r="FA7" s="143" t="s">
        <v>167</v>
      </c>
      <c r="FB7" s="143" t="s">
        <v>167</v>
      </c>
      <c r="FC7" s="143" t="s">
        <v>167</v>
      </c>
      <c r="FD7" s="143" t="s">
        <v>167</v>
      </c>
      <c r="FE7" s="143">
        <v>8.17</v>
      </c>
      <c r="FF7" s="160" t="s">
        <v>210</v>
      </c>
      <c r="FG7" s="160">
        <v>0.02</v>
      </c>
      <c r="FH7" s="160">
        <v>0.02</v>
      </c>
      <c r="FI7" s="143">
        <v>288</v>
      </c>
      <c r="FJ7" s="143" t="s">
        <v>167</v>
      </c>
      <c r="FK7" s="143" t="s">
        <v>167</v>
      </c>
      <c r="FL7" s="143">
        <v>288</v>
      </c>
      <c r="FM7" s="143">
        <v>25</v>
      </c>
      <c r="FN7" s="143">
        <v>25</v>
      </c>
      <c r="FO7" s="160" t="s">
        <v>167</v>
      </c>
      <c r="FP7" s="160" t="s">
        <v>211</v>
      </c>
      <c r="FQ7" s="143" t="s">
        <v>212</v>
      </c>
      <c r="FR7" s="143" t="s">
        <v>212</v>
      </c>
      <c r="FS7" s="143" t="s">
        <v>212</v>
      </c>
      <c r="FT7" s="143" t="s">
        <v>212</v>
      </c>
      <c r="FU7" s="143" t="s">
        <v>212</v>
      </c>
      <c r="FV7" s="143" t="s">
        <v>212</v>
      </c>
      <c r="FW7" s="143" t="s">
        <v>212</v>
      </c>
      <c r="FX7" s="143" t="s">
        <v>212</v>
      </c>
      <c r="FY7" s="143" t="s">
        <v>212</v>
      </c>
      <c r="FZ7" s="143" t="s">
        <v>212</v>
      </c>
      <c r="GA7" s="143" t="s">
        <v>212</v>
      </c>
      <c r="GB7" s="143" t="s">
        <v>212</v>
      </c>
    </row>
    <row r="8" spans="1:185" s="143" customFormat="1" ht="16" x14ac:dyDescent="0.2">
      <c r="A8" s="143" t="s">
        <v>171</v>
      </c>
      <c r="B8" s="165" t="s">
        <v>172</v>
      </c>
      <c r="C8" s="138" t="s">
        <v>168</v>
      </c>
      <c r="D8" s="143" t="s">
        <v>273</v>
      </c>
      <c r="E8" s="143">
        <v>2010</v>
      </c>
      <c r="F8" s="143" t="str">
        <f t="shared" si="1"/>
        <v>10.1016/j.epsl.2010.01.037</v>
      </c>
      <c r="G8" s="166">
        <f t="shared" si="2"/>
        <v>2109</v>
      </c>
      <c r="H8" s="143" t="str">
        <f t="shared" si="3"/>
        <v>NA</v>
      </c>
      <c r="I8" s="143" t="str">
        <f t="shared" si="4"/>
        <v>NA</v>
      </c>
      <c r="J8" s="167">
        <f t="shared" si="5"/>
        <v>285</v>
      </c>
      <c r="K8" s="167">
        <f t="shared" si="6"/>
        <v>25</v>
      </c>
      <c r="L8" s="167">
        <f t="shared" si="7"/>
        <v>25</v>
      </c>
      <c r="M8" s="143" t="b">
        <v>1</v>
      </c>
      <c r="N8">
        <v>3</v>
      </c>
      <c r="O8" s="143" t="s">
        <v>294</v>
      </c>
      <c r="P8" s="168" t="b">
        <v>0</v>
      </c>
      <c r="Q8" s="143" t="b">
        <v>0</v>
      </c>
      <c r="R8" s="143" t="s">
        <v>167</v>
      </c>
      <c r="S8" s="143" t="b">
        <v>1</v>
      </c>
      <c r="T8" s="143" t="b">
        <v>0</v>
      </c>
      <c r="U8" s="143" t="s">
        <v>167</v>
      </c>
      <c r="V8" s="143" t="s">
        <v>167</v>
      </c>
      <c r="W8" s="143" t="b">
        <v>0</v>
      </c>
      <c r="X8" s="143" t="s">
        <v>167</v>
      </c>
      <c r="Y8" s="160" t="s">
        <v>173</v>
      </c>
      <c r="Z8" s="160" t="s">
        <v>174</v>
      </c>
      <c r="AA8" s="143">
        <v>999</v>
      </c>
      <c r="AB8" s="160" t="s">
        <v>175</v>
      </c>
      <c r="AC8" s="143">
        <v>8</v>
      </c>
      <c r="AD8" s="143">
        <v>4</v>
      </c>
      <c r="AE8" s="143">
        <v>51</v>
      </c>
      <c r="AF8" s="143">
        <v>53</v>
      </c>
      <c r="AG8" s="143">
        <v>69.61</v>
      </c>
      <c r="AH8" s="143" t="s">
        <v>167</v>
      </c>
      <c r="AI8" s="143" t="s">
        <v>167</v>
      </c>
      <c r="AJ8" s="143" t="s">
        <v>176</v>
      </c>
      <c r="AK8" s="160">
        <v>12.744</v>
      </c>
      <c r="AL8" s="160">
        <v>-78.7393</v>
      </c>
      <c r="AM8" s="160" t="s">
        <v>167</v>
      </c>
      <c r="AN8" s="160" t="s">
        <v>167</v>
      </c>
      <c r="AO8" s="160">
        <v>-2828</v>
      </c>
      <c r="AP8" s="143" t="s">
        <v>167</v>
      </c>
      <c r="AQ8" s="160" t="s">
        <v>167</v>
      </c>
      <c r="AR8" s="143" t="s">
        <v>167</v>
      </c>
      <c r="AS8" s="178">
        <v>2109</v>
      </c>
      <c r="AT8" s="148" t="s">
        <v>167</v>
      </c>
      <c r="AU8" s="143" t="s">
        <v>167</v>
      </c>
      <c r="AV8" s="143" t="s">
        <v>167</v>
      </c>
      <c r="AW8" s="143" t="s">
        <v>167</v>
      </c>
      <c r="AX8" s="143" t="s">
        <v>177</v>
      </c>
      <c r="AY8" s="152" t="s">
        <v>222</v>
      </c>
      <c r="AZ8" s="143" t="s">
        <v>167</v>
      </c>
      <c r="BA8" s="143" t="s">
        <v>167</v>
      </c>
      <c r="BB8" s="143" t="s">
        <v>167</v>
      </c>
      <c r="BC8" s="143" t="s">
        <v>167</v>
      </c>
      <c r="BD8" s="143" t="s">
        <v>167</v>
      </c>
      <c r="BE8" s="143" t="s">
        <v>167</v>
      </c>
      <c r="BF8" s="143" t="s">
        <v>167</v>
      </c>
      <c r="BG8" s="143" t="s">
        <v>293</v>
      </c>
      <c r="BH8" s="160" t="s">
        <v>179</v>
      </c>
      <c r="BI8" s="170" t="s">
        <v>180</v>
      </c>
      <c r="BJ8" s="171" t="s">
        <v>181</v>
      </c>
      <c r="BK8" s="160" t="s">
        <v>182</v>
      </c>
      <c r="BL8" s="160" t="s">
        <v>183</v>
      </c>
      <c r="BM8" s="160" t="s">
        <v>184</v>
      </c>
      <c r="BN8" s="143" t="s">
        <v>223</v>
      </c>
      <c r="BO8" s="143">
        <v>2</v>
      </c>
      <c r="BP8" s="143">
        <v>0</v>
      </c>
      <c r="BQ8" s="172">
        <v>20.38</v>
      </c>
      <c r="BR8" s="173" t="s">
        <v>186</v>
      </c>
      <c r="BS8" s="172">
        <v>0.12</v>
      </c>
      <c r="BT8" s="174" t="s">
        <v>167</v>
      </c>
      <c r="BU8" s="174" t="s">
        <v>167</v>
      </c>
      <c r="BV8" s="175" t="s">
        <v>167</v>
      </c>
      <c r="BW8" s="160">
        <v>0.8</v>
      </c>
      <c r="BX8" s="160" t="s">
        <v>167</v>
      </c>
      <c r="BY8" s="160" t="s">
        <v>167</v>
      </c>
      <c r="BZ8" s="160" t="s">
        <v>187</v>
      </c>
      <c r="CA8" s="160" t="s">
        <v>188</v>
      </c>
      <c r="CB8" s="143" t="s">
        <v>167</v>
      </c>
      <c r="CC8" s="143" t="s">
        <v>167</v>
      </c>
      <c r="CD8" s="143" t="s">
        <v>167</v>
      </c>
      <c r="CE8" s="143" t="s">
        <v>167</v>
      </c>
      <c r="CF8" s="143" t="s">
        <v>167</v>
      </c>
      <c r="CG8" s="143" t="s">
        <v>189</v>
      </c>
      <c r="CH8" s="143" t="s">
        <v>190</v>
      </c>
      <c r="CI8" s="143" t="s">
        <v>190</v>
      </c>
      <c r="CJ8" s="143">
        <v>27.3</v>
      </c>
      <c r="CK8" s="138" t="s">
        <v>167</v>
      </c>
      <c r="CL8" s="143">
        <v>1.5</v>
      </c>
      <c r="CM8" s="143">
        <v>1.5</v>
      </c>
      <c r="CN8" s="143" t="s">
        <v>191</v>
      </c>
      <c r="CO8" s="143" t="s">
        <v>167</v>
      </c>
      <c r="CP8" s="143" t="s">
        <v>167</v>
      </c>
      <c r="CQ8" s="143" t="s">
        <v>167</v>
      </c>
      <c r="CR8" s="143" t="s">
        <v>167</v>
      </c>
      <c r="CS8" s="143" t="s">
        <v>167</v>
      </c>
      <c r="CT8" s="143" t="s">
        <v>167</v>
      </c>
      <c r="CU8" s="143" t="s">
        <v>167</v>
      </c>
      <c r="CV8" s="143" t="s">
        <v>167</v>
      </c>
      <c r="CW8" s="143" t="s">
        <v>167</v>
      </c>
      <c r="CX8" s="143" t="s">
        <v>167</v>
      </c>
      <c r="CY8" s="143" t="s">
        <v>167</v>
      </c>
      <c r="CZ8" s="143" t="s">
        <v>192</v>
      </c>
      <c r="DA8" s="143" t="s">
        <v>193</v>
      </c>
      <c r="DB8" s="145" t="s">
        <v>167</v>
      </c>
      <c r="DC8" s="145" t="s">
        <v>167</v>
      </c>
      <c r="DD8" s="143" t="s">
        <v>167</v>
      </c>
      <c r="DE8" s="143" t="s">
        <v>194</v>
      </c>
      <c r="DF8" s="143" t="s">
        <v>195</v>
      </c>
      <c r="DG8" s="143">
        <v>36</v>
      </c>
      <c r="DH8" s="160" t="s">
        <v>196</v>
      </c>
      <c r="DI8" s="160">
        <v>0</v>
      </c>
      <c r="DJ8" s="160" t="s">
        <v>197</v>
      </c>
      <c r="DK8" s="143" t="s">
        <v>198</v>
      </c>
      <c r="DL8" s="172" t="s">
        <v>199</v>
      </c>
      <c r="DM8" s="172" t="s">
        <v>199</v>
      </c>
      <c r="DN8" s="172" t="s">
        <v>199</v>
      </c>
      <c r="DO8" s="143" t="s">
        <v>198</v>
      </c>
      <c r="DP8" s="172" t="s">
        <v>199</v>
      </c>
      <c r="DQ8" s="172" t="s">
        <v>199</v>
      </c>
      <c r="DR8" s="172" t="s">
        <v>199</v>
      </c>
      <c r="DS8" s="143" t="s">
        <v>198</v>
      </c>
      <c r="DT8" s="172" t="s">
        <v>199</v>
      </c>
      <c r="DU8" s="172" t="s">
        <v>199</v>
      </c>
      <c r="DV8" s="172" t="s">
        <v>199</v>
      </c>
      <c r="DW8" s="143">
        <v>413.7</v>
      </c>
      <c r="DX8" s="143" t="s">
        <v>167</v>
      </c>
      <c r="DY8" s="143" t="s">
        <v>167</v>
      </c>
      <c r="DZ8" s="176" t="s">
        <v>200</v>
      </c>
      <c r="EA8" s="160">
        <v>39.5</v>
      </c>
      <c r="EB8" s="143" t="s">
        <v>201</v>
      </c>
      <c r="EC8" s="145" t="s">
        <v>167</v>
      </c>
      <c r="ED8" s="143" t="s">
        <v>217</v>
      </c>
      <c r="EE8" s="143" t="s">
        <v>203</v>
      </c>
      <c r="EF8" s="143" t="s">
        <v>204</v>
      </c>
      <c r="EG8" s="143">
        <v>1.0271999999999999</v>
      </c>
      <c r="EH8" s="143" t="s">
        <v>199</v>
      </c>
      <c r="EI8" s="143" t="s">
        <v>199</v>
      </c>
      <c r="EJ8" s="143" t="s">
        <v>205</v>
      </c>
      <c r="EK8" s="143" t="s">
        <v>199</v>
      </c>
      <c r="EL8" s="143" t="s">
        <v>199</v>
      </c>
      <c r="EM8" s="145" t="s">
        <v>167</v>
      </c>
      <c r="EN8" s="143" t="s">
        <v>224</v>
      </c>
      <c r="EO8" s="143" t="s">
        <v>207</v>
      </c>
      <c r="EP8" s="143" t="s">
        <v>207</v>
      </c>
      <c r="EQ8" s="145" t="s">
        <v>167</v>
      </c>
      <c r="ER8" s="145" t="s">
        <v>167</v>
      </c>
      <c r="ES8" s="145" t="s">
        <v>167</v>
      </c>
      <c r="ET8" s="143" t="s">
        <v>208</v>
      </c>
      <c r="EU8" s="143" t="s">
        <v>197</v>
      </c>
      <c r="EV8" s="145" t="s">
        <v>167</v>
      </c>
      <c r="EW8" s="177">
        <v>2330</v>
      </c>
      <c r="EX8" s="145" t="s">
        <v>209</v>
      </c>
      <c r="EY8" s="145">
        <f t="shared" si="8"/>
        <v>116.5</v>
      </c>
      <c r="EZ8" s="145">
        <f t="shared" si="9"/>
        <v>116.5</v>
      </c>
      <c r="FA8" s="143" t="s">
        <v>167</v>
      </c>
      <c r="FB8" s="143" t="s">
        <v>167</v>
      </c>
      <c r="FC8" s="143" t="s">
        <v>167</v>
      </c>
      <c r="FD8" s="143" t="s">
        <v>167</v>
      </c>
      <c r="FE8" s="143">
        <v>8.17</v>
      </c>
      <c r="FF8" s="160" t="s">
        <v>210</v>
      </c>
      <c r="FG8" s="160">
        <v>0.02</v>
      </c>
      <c r="FH8" s="160">
        <v>0.02</v>
      </c>
      <c r="FI8" s="143">
        <v>285</v>
      </c>
      <c r="FJ8" s="143" t="s">
        <v>167</v>
      </c>
      <c r="FK8" s="143" t="s">
        <v>167</v>
      </c>
      <c r="FL8" s="143">
        <v>285</v>
      </c>
      <c r="FM8" s="143">
        <v>25</v>
      </c>
      <c r="FN8" s="143">
        <v>25</v>
      </c>
      <c r="FO8" s="160" t="s">
        <v>167</v>
      </c>
      <c r="FP8" s="160" t="s">
        <v>211</v>
      </c>
      <c r="FQ8" s="143" t="s">
        <v>212</v>
      </c>
      <c r="FR8" s="143" t="s">
        <v>212</v>
      </c>
      <c r="FS8" s="143" t="s">
        <v>212</v>
      </c>
      <c r="FT8" s="143" t="s">
        <v>212</v>
      </c>
      <c r="FU8" s="143" t="s">
        <v>212</v>
      </c>
      <c r="FV8" s="143" t="s">
        <v>212</v>
      </c>
      <c r="FW8" s="143" t="s">
        <v>212</v>
      </c>
      <c r="FX8" s="143" t="s">
        <v>212</v>
      </c>
      <c r="FY8" s="143" t="s">
        <v>212</v>
      </c>
      <c r="FZ8" s="143" t="s">
        <v>212</v>
      </c>
      <c r="GA8" s="143" t="s">
        <v>212</v>
      </c>
      <c r="GB8" s="143" t="s">
        <v>212</v>
      </c>
    </row>
    <row r="9" spans="1:185" s="143" customFormat="1" ht="16" x14ac:dyDescent="0.2">
      <c r="A9" s="143" t="s">
        <v>171</v>
      </c>
      <c r="B9" s="165" t="s">
        <v>172</v>
      </c>
      <c r="C9" s="138" t="s">
        <v>168</v>
      </c>
      <c r="D9" s="143" t="s">
        <v>273</v>
      </c>
      <c r="E9" s="143">
        <v>2010</v>
      </c>
      <c r="F9" s="143" t="str">
        <f t="shared" si="1"/>
        <v>10.1016/j.epsl.2010.01.037</v>
      </c>
      <c r="G9" s="166">
        <f t="shared" si="2"/>
        <v>2592</v>
      </c>
      <c r="H9" s="143" t="str">
        <f t="shared" si="3"/>
        <v>NA</v>
      </c>
      <c r="I9" s="143" t="str">
        <f t="shared" si="4"/>
        <v>NA</v>
      </c>
      <c r="J9" s="167">
        <f t="shared" si="5"/>
        <v>276</v>
      </c>
      <c r="K9" s="167">
        <f t="shared" si="6"/>
        <v>25</v>
      </c>
      <c r="L9" s="167">
        <f t="shared" si="7"/>
        <v>25</v>
      </c>
      <c r="M9" s="143" t="b">
        <v>1</v>
      </c>
      <c r="N9">
        <v>3</v>
      </c>
      <c r="O9" s="143" t="s">
        <v>294</v>
      </c>
      <c r="P9" s="168" t="b">
        <v>0</v>
      </c>
      <c r="Q9" s="143" t="b">
        <v>0</v>
      </c>
      <c r="R9" s="143" t="s">
        <v>167</v>
      </c>
      <c r="S9" s="143" t="b">
        <v>1</v>
      </c>
      <c r="T9" s="143" t="b">
        <v>0</v>
      </c>
      <c r="U9" s="143" t="s">
        <v>167</v>
      </c>
      <c r="V9" s="143" t="s">
        <v>167</v>
      </c>
      <c r="W9" s="143" t="b">
        <v>0</v>
      </c>
      <c r="X9" s="143" t="s">
        <v>167</v>
      </c>
      <c r="Y9" s="160" t="s">
        <v>173</v>
      </c>
      <c r="Z9" s="160" t="s">
        <v>174</v>
      </c>
      <c r="AA9" s="143">
        <v>999</v>
      </c>
      <c r="AB9" s="160" t="s">
        <v>175</v>
      </c>
      <c r="AC9" s="143">
        <v>10</v>
      </c>
      <c r="AD9" s="143">
        <v>1</v>
      </c>
      <c r="AE9" s="143">
        <v>89</v>
      </c>
      <c r="AF9" s="143">
        <v>91</v>
      </c>
      <c r="AG9" s="143">
        <v>84.49</v>
      </c>
      <c r="AH9" s="143" t="s">
        <v>167</v>
      </c>
      <c r="AI9" s="143" t="s">
        <v>167</v>
      </c>
      <c r="AJ9" s="143" t="s">
        <v>176</v>
      </c>
      <c r="AK9" s="160">
        <v>12.744</v>
      </c>
      <c r="AL9" s="160">
        <v>-78.7393</v>
      </c>
      <c r="AM9" s="160" t="s">
        <v>167</v>
      </c>
      <c r="AN9" s="160" t="s">
        <v>167</v>
      </c>
      <c r="AO9" s="160">
        <v>-2828</v>
      </c>
      <c r="AP9" s="143" t="s">
        <v>167</v>
      </c>
      <c r="AQ9" s="160" t="s">
        <v>167</v>
      </c>
      <c r="AR9" s="143" t="s">
        <v>167</v>
      </c>
      <c r="AS9" s="178">
        <v>2592</v>
      </c>
      <c r="AT9" s="148" t="s">
        <v>167</v>
      </c>
      <c r="AU9" s="143" t="s">
        <v>167</v>
      </c>
      <c r="AV9" s="143" t="s">
        <v>167</v>
      </c>
      <c r="AW9" s="143" t="s">
        <v>167</v>
      </c>
      <c r="AX9" s="143" t="s">
        <v>177</v>
      </c>
      <c r="AY9" s="152" t="s">
        <v>225</v>
      </c>
      <c r="AZ9" s="143" t="s">
        <v>167</v>
      </c>
      <c r="BA9" s="143" t="s">
        <v>167</v>
      </c>
      <c r="BB9" s="143" t="s">
        <v>167</v>
      </c>
      <c r="BC9" s="143" t="s">
        <v>167</v>
      </c>
      <c r="BD9" s="143" t="s">
        <v>167</v>
      </c>
      <c r="BE9" s="143" t="s">
        <v>167</v>
      </c>
      <c r="BF9" s="143" t="s">
        <v>167</v>
      </c>
      <c r="BG9" s="143" t="s">
        <v>293</v>
      </c>
      <c r="BH9" s="160" t="s">
        <v>179</v>
      </c>
      <c r="BI9" s="170" t="s">
        <v>180</v>
      </c>
      <c r="BJ9" s="171" t="s">
        <v>181</v>
      </c>
      <c r="BK9" s="160" t="s">
        <v>182</v>
      </c>
      <c r="BL9" s="160" t="s">
        <v>183</v>
      </c>
      <c r="BM9" s="160" t="s">
        <v>184</v>
      </c>
      <c r="BN9" s="143" t="s">
        <v>226</v>
      </c>
      <c r="BO9" s="143">
        <v>2</v>
      </c>
      <c r="BP9" s="143">
        <v>0.14000000000000054</v>
      </c>
      <c r="BQ9" s="172">
        <v>20.63</v>
      </c>
      <c r="BR9" s="173" t="s">
        <v>186</v>
      </c>
      <c r="BS9" s="172">
        <v>0.12</v>
      </c>
      <c r="BT9" s="174" t="s">
        <v>167</v>
      </c>
      <c r="BU9" s="174" t="s">
        <v>167</v>
      </c>
      <c r="BV9" s="175" t="s">
        <v>167</v>
      </c>
      <c r="BW9" s="160">
        <v>0.8</v>
      </c>
      <c r="BX9" s="160" t="s">
        <v>167</v>
      </c>
      <c r="BY9" s="160" t="s">
        <v>167</v>
      </c>
      <c r="BZ9" s="160" t="s">
        <v>187</v>
      </c>
      <c r="CA9" s="160" t="s">
        <v>188</v>
      </c>
      <c r="CB9" s="143" t="s">
        <v>167</v>
      </c>
      <c r="CC9" s="143" t="s">
        <v>167</v>
      </c>
      <c r="CD9" s="143" t="s">
        <v>167</v>
      </c>
      <c r="CE9" s="143" t="s">
        <v>167</v>
      </c>
      <c r="CF9" s="143" t="s">
        <v>167</v>
      </c>
      <c r="CG9" s="143" t="s">
        <v>189</v>
      </c>
      <c r="CH9" s="143" t="s">
        <v>190</v>
      </c>
      <c r="CI9" s="143" t="s">
        <v>190</v>
      </c>
      <c r="CJ9" s="143">
        <v>28.2</v>
      </c>
      <c r="CK9" s="138" t="s">
        <v>167</v>
      </c>
      <c r="CL9" s="143">
        <v>1.5</v>
      </c>
      <c r="CM9" s="143">
        <v>1.5</v>
      </c>
      <c r="CN9" s="143" t="s">
        <v>191</v>
      </c>
      <c r="CO9" s="143" t="s">
        <v>167</v>
      </c>
      <c r="CP9" s="143" t="s">
        <v>167</v>
      </c>
      <c r="CQ9" s="143" t="s">
        <v>167</v>
      </c>
      <c r="CR9" s="143" t="s">
        <v>167</v>
      </c>
      <c r="CS9" s="143" t="s">
        <v>167</v>
      </c>
      <c r="CT9" s="143" t="s">
        <v>167</v>
      </c>
      <c r="CU9" s="143" t="s">
        <v>167</v>
      </c>
      <c r="CV9" s="143" t="s">
        <v>167</v>
      </c>
      <c r="CW9" s="143" t="s">
        <v>167</v>
      </c>
      <c r="CX9" s="143" t="s">
        <v>167</v>
      </c>
      <c r="CY9" s="143" t="s">
        <v>167</v>
      </c>
      <c r="CZ9" s="143" t="s">
        <v>192</v>
      </c>
      <c r="DA9" s="143" t="s">
        <v>193</v>
      </c>
      <c r="DB9" s="145" t="s">
        <v>167</v>
      </c>
      <c r="DC9" s="145" t="s">
        <v>167</v>
      </c>
      <c r="DD9" s="143" t="s">
        <v>167</v>
      </c>
      <c r="DE9" s="143" t="s">
        <v>194</v>
      </c>
      <c r="DF9" s="143" t="s">
        <v>195</v>
      </c>
      <c r="DG9" s="143">
        <v>36</v>
      </c>
      <c r="DH9" s="160" t="s">
        <v>196</v>
      </c>
      <c r="DI9" s="160">
        <v>0</v>
      </c>
      <c r="DJ9" s="160" t="s">
        <v>197</v>
      </c>
      <c r="DK9" s="143" t="s">
        <v>198</v>
      </c>
      <c r="DL9" s="172" t="s">
        <v>199</v>
      </c>
      <c r="DM9" s="172" t="s">
        <v>199</v>
      </c>
      <c r="DN9" s="172" t="s">
        <v>199</v>
      </c>
      <c r="DO9" s="143" t="s">
        <v>198</v>
      </c>
      <c r="DP9" s="172" t="s">
        <v>199</v>
      </c>
      <c r="DQ9" s="172" t="s">
        <v>199</v>
      </c>
      <c r="DR9" s="172" t="s">
        <v>199</v>
      </c>
      <c r="DS9" s="143" t="s">
        <v>198</v>
      </c>
      <c r="DT9" s="172" t="s">
        <v>199</v>
      </c>
      <c r="DU9" s="172" t="s">
        <v>199</v>
      </c>
      <c r="DV9" s="172" t="s">
        <v>199</v>
      </c>
      <c r="DW9" s="143">
        <v>413.7</v>
      </c>
      <c r="DX9" s="143" t="s">
        <v>167</v>
      </c>
      <c r="DY9" s="143" t="s">
        <v>167</v>
      </c>
      <c r="DZ9" s="176" t="s">
        <v>200</v>
      </c>
      <c r="EA9" s="160">
        <v>39.5</v>
      </c>
      <c r="EB9" s="143" t="s">
        <v>201</v>
      </c>
      <c r="EC9" s="145" t="s">
        <v>167</v>
      </c>
      <c r="ED9" s="143" t="s">
        <v>217</v>
      </c>
      <c r="EE9" s="143" t="s">
        <v>203</v>
      </c>
      <c r="EF9" s="143" t="s">
        <v>204</v>
      </c>
      <c r="EG9" s="143">
        <v>1.0271999999999999</v>
      </c>
      <c r="EH9" s="143" t="s">
        <v>199</v>
      </c>
      <c r="EI9" s="143" t="s">
        <v>199</v>
      </c>
      <c r="EJ9" s="143" t="s">
        <v>205</v>
      </c>
      <c r="EK9" s="143" t="s">
        <v>199</v>
      </c>
      <c r="EL9" s="143" t="s">
        <v>199</v>
      </c>
      <c r="EM9" s="145" t="s">
        <v>167</v>
      </c>
      <c r="EN9" s="143" t="s">
        <v>227</v>
      </c>
      <c r="EO9" s="143" t="s">
        <v>207</v>
      </c>
      <c r="EP9" s="143" t="s">
        <v>207</v>
      </c>
      <c r="EQ9" s="145" t="s">
        <v>167</v>
      </c>
      <c r="ER9" s="145" t="s">
        <v>167</v>
      </c>
      <c r="ES9" s="145" t="s">
        <v>167</v>
      </c>
      <c r="ET9" s="143" t="s">
        <v>208</v>
      </c>
      <c r="EU9" s="143" t="s">
        <v>197</v>
      </c>
      <c r="EV9" s="145" t="s">
        <v>167</v>
      </c>
      <c r="EW9" s="177">
        <v>2330</v>
      </c>
      <c r="EX9" s="145" t="s">
        <v>209</v>
      </c>
      <c r="EY9" s="145">
        <f t="shared" si="8"/>
        <v>116.5</v>
      </c>
      <c r="EZ9" s="145">
        <f t="shared" si="9"/>
        <v>116.5</v>
      </c>
      <c r="FA9" s="143" t="s">
        <v>167</v>
      </c>
      <c r="FB9" s="143" t="s">
        <v>167</v>
      </c>
      <c r="FC9" s="143" t="s">
        <v>167</v>
      </c>
      <c r="FD9" s="143" t="s">
        <v>167</v>
      </c>
      <c r="FE9" s="143">
        <v>8.18</v>
      </c>
      <c r="FF9" s="160" t="s">
        <v>210</v>
      </c>
      <c r="FG9" s="160">
        <v>0.02</v>
      </c>
      <c r="FH9" s="160">
        <v>0.02</v>
      </c>
      <c r="FI9" s="143">
        <v>276</v>
      </c>
      <c r="FJ9" s="143" t="s">
        <v>167</v>
      </c>
      <c r="FK9" s="143" t="s">
        <v>167</v>
      </c>
      <c r="FL9" s="143">
        <v>276</v>
      </c>
      <c r="FM9" s="143">
        <v>25</v>
      </c>
      <c r="FN9" s="143">
        <v>25</v>
      </c>
      <c r="FO9" s="160" t="s">
        <v>167</v>
      </c>
      <c r="FP9" s="160" t="s">
        <v>211</v>
      </c>
      <c r="FQ9" s="143" t="s">
        <v>212</v>
      </c>
      <c r="FR9" s="143" t="s">
        <v>212</v>
      </c>
      <c r="FS9" s="143" t="s">
        <v>212</v>
      </c>
      <c r="FT9" s="143" t="s">
        <v>212</v>
      </c>
      <c r="FU9" s="143" t="s">
        <v>212</v>
      </c>
      <c r="FV9" s="143" t="s">
        <v>212</v>
      </c>
      <c r="FW9" s="143" t="s">
        <v>212</v>
      </c>
      <c r="FX9" s="143" t="s">
        <v>212</v>
      </c>
      <c r="FY9" s="143" t="s">
        <v>212</v>
      </c>
      <c r="FZ9" s="143" t="s">
        <v>212</v>
      </c>
      <c r="GA9" s="143" t="s">
        <v>212</v>
      </c>
      <c r="GB9" s="143" t="s">
        <v>212</v>
      </c>
    </row>
    <row r="10" spans="1:185" s="143" customFormat="1" ht="16" x14ac:dyDescent="0.2">
      <c r="A10" s="143" t="s">
        <v>171</v>
      </c>
      <c r="B10" s="165" t="s">
        <v>172</v>
      </c>
      <c r="C10" s="138" t="s">
        <v>168</v>
      </c>
      <c r="D10" s="143" t="s">
        <v>273</v>
      </c>
      <c r="E10" s="143">
        <v>2010</v>
      </c>
      <c r="F10" s="143" t="str">
        <f t="shared" si="1"/>
        <v>10.1016/j.epsl.2010.01.037</v>
      </c>
      <c r="G10" s="166">
        <f t="shared" si="2"/>
        <v>2785</v>
      </c>
      <c r="H10" s="143" t="str">
        <f t="shared" si="3"/>
        <v>NA</v>
      </c>
      <c r="I10" s="143" t="str">
        <f t="shared" si="4"/>
        <v>NA</v>
      </c>
      <c r="J10" s="167">
        <f t="shared" si="5"/>
        <v>297</v>
      </c>
      <c r="K10" s="167">
        <f t="shared" si="6"/>
        <v>25</v>
      </c>
      <c r="L10" s="167">
        <f t="shared" si="7"/>
        <v>25</v>
      </c>
      <c r="M10" s="143" t="b">
        <v>1</v>
      </c>
      <c r="N10">
        <v>3</v>
      </c>
      <c r="O10" s="143" t="s">
        <v>294</v>
      </c>
      <c r="P10" s="168" t="b">
        <v>0</v>
      </c>
      <c r="Q10" s="143" t="b">
        <v>0</v>
      </c>
      <c r="R10" s="143" t="s">
        <v>167</v>
      </c>
      <c r="S10" s="143" t="b">
        <v>1</v>
      </c>
      <c r="T10" s="143" t="b">
        <v>0</v>
      </c>
      <c r="U10" s="143" t="s">
        <v>167</v>
      </c>
      <c r="V10" s="143" t="s">
        <v>167</v>
      </c>
      <c r="W10" s="143" t="b">
        <v>0</v>
      </c>
      <c r="X10" s="143" t="s">
        <v>167</v>
      </c>
      <c r="Y10" s="160" t="s">
        <v>173</v>
      </c>
      <c r="Z10" s="160" t="s">
        <v>174</v>
      </c>
      <c r="AA10" s="143">
        <v>999</v>
      </c>
      <c r="AB10" s="160" t="s">
        <v>175</v>
      </c>
      <c r="AC10" s="143">
        <v>10</v>
      </c>
      <c r="AD10" s="143">
        <v>5</v>
      </c>
      <c r="AE10" s="143">
        <v>89</v>
      </c>
      <c r="AF10" s="143">
        <v>91</v>
      </c>
      <c r="AG10" s="143">
        <v>90.49</v>
      </c>
      <c r="AH10" s="143" t="s">
        <v>167</v>
      </c>
      <c r="AI10" s="143" t="s">
        <v>167</v>
      </c>
      <c r="AJ10" s="143" t="s">
        <v>176</v>
      </c>
      <c r="AK10" s="160">
        <v>12.744</v>
      </c>
      <c r="AL10" s="160">
        <v>-78.7393</v>
      </c>
      <c r="AM10" s="160" t="s">
        <v>167</v>
      </c>
      <c r="AN10" s="160" t="s">
        <v>167</v>
      </c>
      <c r="AO10" s="160">
        <v>-2828</v>
      </c>
      <c r="AP10" s="143" t="s">
        <v>167</v>
      </c>
      <c r="AQ10" s="160" t="s">
        <v>167</v>
      </c>
      <c r="AR10" s="143" t="s">
        <v>167</v>
      </c>
      <c r="AS10" s="178">
        <v>2785</v>
      </c>
      <c r="AT10" s="148" t="s">
        <v>167</v>
      </c>
      <c r="AU10" s="143" t="s">
        <v>167</v>
      </c>
      <c r="AV10" s="143" t="s">
        <v>167</v>
      </c>
      <c r="AW10" s="143" t="s">
        <v>167</v>
      </c>
      <c r="AX10" s="143" t="s">
        <v>177</v>
      </c>
      <c r="AY10" s="152" t="s">
        <v>228</v>
      </c>
      <c r="AZ10" s="143" t="s">
        <v>167</v>
      </c>
      <c r="BA10" s="143" t="s">
        <v>167</v>
      </c>
      <c r="BB10" s="143" t="s">
        <v>167</v>
      </c>
      <c r="BC10" s="143" t="s">
        <v>167</v>
      </c>
      <c r="BD10" s="143" t="s">
        <v>167</v>
      </c>
      <c r="BE10" s="143" t="s">
        <v>167</v>
      </c>
      <c r="BF10" s="143" t="s">
        <v>167</v>
      </c>
      <c r="BG10" s="143" t="s">
        <v>293</v>
      </c>
      <c r="BH10" s="160" t="s">
        <v>179</v>
      </c>
      <c r="BI10" s="170" t="s">
        <v>180</v>
      </c>
      <c r="BJ10" s="171" t="s">
        <v>181</v>
      </c>
      <c r="BK10" s="160" t="s">
        <v>182</v>
      </c>
      <c r="BL10" s="160" t="s">
        <v>183</v>
      </c>
      <c r="BM10" s="160" t="s">
        <v>184</v>
      </c>
      <c r="BN10" s="143" t="s">
        <v>229</v>
      </c>
      <c r="BO10" s="143">
        <v>2</v>
      </c>
      <c r="BP10" s="143">
        <v>0.45000000000000284</v>
      </c>
      <c r="BQ10" s="172">
        <v>20.12</v>
      </c>
      <c r="BR10" s="173" t="s">
        <v>186</v>
      </c>
      <c r="BS10" s="172">
        <v>0.14000000000000001</v>
      </c>
      <c r="BT10" s="174" t="s">
        <v>167</v>
      </c>
      <c r="BU10" s="174" t="s">
        <v>167</v>
      </c>
      <c r="BV10" s="175" t="s">
        <v>167</v>
      </c>
      <c r="BW10" s="160">
        <v>0.8</v>
      </c>
      <c r="BX10" s="160" t="s">
        <v>167</v>
      </c>
      <c r="BY10" s="160" t="s">
        <v>167</v>
      </c>
      <c r="BZ10" s="160" t="s">
        <v>187</v>
      </c>
      <c r="CA10" s="160" t="s">
        <v>188</v>
      </c>
      <c r="CB10" s="143" t="s">
        <v>167</v>
      </c>
      <c r="CC10" s="143" t="s">
        <v>167</v>
      </c>
      <c r="CD10" s="143" t="s">
        <v>167</v>
      </c>
      <c r="CE10" s="143" t="s">
        <v>167</v>
      </c>
      <c r="CF10" s="143" t="s">
        <v>167</v>
      </c>
      <c r="CG10" s="143" t="s">
        <v>189</v>
      </c>
      <c r="CH10" s="143" t="s">
        <v>190</v>
      </c>
      <c r="CI10" s="143" t="s">
        <v>190</v>
      </c>
      <c r="CJ10" s="143">
        <v>28.4</v>
      </c>
      <c r="CK10" s="138" t="s">
        <v>167</v>
      </c>
      <c r="CL10" s="143">
        <v>1.5</v>
      </c>
      <c r="CM10" s="143">
        <v>1.5</v>
      </c>
      <c r="CN10" s="143" t="s">
        <v>191</v>
      </c>
      <c r="CO10" s="143" t="s">
        <v>167</v>
      </c>
      <c r="CP10" s="143" t="s">
        <v>167</v>
      </c>
      <c r="CQ10" s="143" t="s">
        <v>167</v>
      </c>
      <c r="CR10" s="143" t="s">
        <v>167</v>
      </c>
      <c r="CS10" s="143" t="s">
        <v>167</v>
      </c>
      <c r="CT10" s="143" t="s">
        <v>167</v>
      </c>
      <c r="CU10" s="143" t="s">
        <v>167</v>
      </c>
      <c r="CV10" s="143" t="s">
        <v>167</v>
      </c>
      <c r="CW10" s="143" t="s">
        <v>167</v>
      </c>
      <c r="CX10" s="143" t="s">
        <v>167</v>
      </c>
      <c r="CY10" s="143" t="s">
        <v>167</v>
      </c>
      <c r="CZ10" s="143" t="s">
        <v>192</v>
      </c>
      <c r="DA10" s="143" t="s">
        <v>193</v>
      </c>
      <c r="DB10" s="145" t="s">
        <v>167</v>
      </c>
      <c r="DC10" s="145" t="s">
        <v>167</v>
      </c>
      <c r="DD10" s="143" t="s">
        <v>167</v>
      </c>
      <c r="DE10" s="143" t="s">
        <v>194</v>
      </c>
      <c r="DF10" s="143" t="s">
        <v>195</v>
      </c>
      <c r="DG10" s="143">
        <v>36</v>
      </c>
      <c r="DH10" s="160" t="s">
        <v>196</v>
      </c>
      <c r="DI10" s="160">
        <v>0</v>
      </c>
      <c r="DJ10" s="160" t="s">
        <v>197</v>
      </c>
      <c r="DK10" s="143" t="s">
        <v>198</v>
      </c>
      <c r="DL10" s="172" t="s">
        <v>199</v>
      </c>
      <c r="DM10" s="172" t="s">
        <v>199</v>
      </c>
      <c r="DN10" s="172" t="s">
        <v>199</v>
      </c>
      <c r="DO10" s="143" t="s">
        <v>198</v>
      </c>
      <c r="DP10" s="172" t="s">
        <v>199</v>
      </c>
      <c r="DQ10" s="172" t="s">
        <v>199</v>
      </c>
      <c r="DR10" s="172" t="s">
        <v>199</v>
      </c>
      <c r="DS10" s="143" t="s">
        <v>198</v>
      </c>
      <c r="DT10" s="172" t="s">
        <v>199</v>
      </c>
      <c r="DU10" s="172" t="s">
        <v>199</v>
      </c>
      <c r="DV10" s="172" t="s">
        <v>199</v>
      </c>
      <c r="DW10" s="143">
        <v>413.7</v>
      </c>
      <c r="DX10" s="143" t="s">
        <v>167</v>
      </c>
      <c r="DY10" s="143" t="s">
        <v>167</v>
      </c>
      <c r="DZ10" s="176" t="s">
        <v>200</v>
      </c>
      <c r="EA10" s="160">
        <v>39.5</v>
      </c>
      <c r="EB10" s="143" t="s">
        <v>201</v>
      </c>
      <c r="EC10" s="145" t="s">
        <v>167</v>
      </c>
      <c r="ED10" s="143" t="s">
        <v>217</v>
      </c>
      <c r="EE10" s="143" t="s">
        <v>203</v>
      </c>
      <c r="EF10" s="143" t="s">
        <v>204</v>
      </c>
      <c r="EG10" s="143">
        <v>1.0271999999999999</v>
      </c>
      <c r="EH10" s="143" t="s">
        <v>199</v>
      </c>
      <c r="EI10" s="143" t="s">
        <v>199</v>
      </c>
      <c r="EJ10" s="143" t="s">
        <v>205</v>
      </c>
      <c r="EK10" s="143" t="s">
        <v>199</v>
      </c>
      <c r="EL10" s="143" t="s">
        <v>199</v>
      </c>
      <c r="EM10" s="145" t="s">
        <v>167</v>
      </c>
      <c r="EN10" s="143" t="s">
        <v>230</v>
      </c>
      <c r="EO10" s="143" t="s">
        <v>207</v>
      </c>
      <c r="EP10" s="143" t="s">
        <v>207</v>
      </c>
      <c r="EQ10" s="145" t="s">
        <v>167</v>
      </c>
      <c r="ER10" s="145" t="s">
        <v>167</v>
      </c>
      <c r="ES10" s="145" t="s">
        <v>167</v>
      </c>
      <c r="ET10" s="143" t="s">
        <v>208</v>
      </c>
      <c r="EU10" s="143" t="s">
        <v>197</v>
      </c>
      <c r="EV10" s="145" t="s">
        <v>167</v>
      </c>
      <c r="EW10" s="177">
        <v>2330</v>
      </c>
      <c r="EX10" s="145" t="s">
        <v>209</v>
      </c>
      <c r="EY10" s="145">
        <f t="shared" si="8"/>
        <v>116.5</v>
      </c>
      <c r="EZ10" s="145">
        <f t="shared" si="9"/>
        <v>116.5</v>
      </c>
      <c r="FA10" s="143" t="s">
        <v>167</v>
      </c>
      <c r="FB10" s="143" t="s">
        <v>167</v>
      </c>
      <c r="FC10" s="143" t="s">
        <v>167</v>
      </c>
      <c r="FD10" s="143" t="s">
        <v>167</v>
      </c>
      <c r="FE10" s="143">
        <v>8.16</v>
      </c>
      <c r="FF10" s="160" t="s">
        <v>210</v>
      </c>
      <c r="FG10" s="160">
        <v>0.02</v>
      </c>
      <c r="FH10" s="160">
        <v>0.02</v>
      </c>
      <c r="FI10" s="143">
        <v>297</v>
      </c>
      <c r="FJ10" s="143" t="s">
        <v>167</v>
      </c>
      <c r="FK10" s="143" t="s">
        <v>167</v>
      </c>
      <c r="FL10" s="143">
        <v>297</v>
      </c>
      <c r="FM10" s="143">
        <v>25</v>
      </c>
      <c r="FN10" s="143">
        <v>25</v>
      </c>
      <c r="FO10" s="160" t="s">
        <v>167</v>
      </c>
      <c r="FP10" s="160" t="s">
        <v>211</v>
      </c>
      <c r="FQ10" s="143" t="s">
        <v>212</v>
      </c>
      <c r="FR10" s="143" t="s">
        <v>212</v>
      </c>
      <c r="FS10" s="143" t="s">
        <v>212</v>
      </c>
      <c r="FT10" s="143" t="s">
        <v>212</v>
      </c>
      <c r="FU10" s="143" t="s">
        <v>212</v>
      </c>
      <c r="FV10" s="143" t="s">
        <v>212</v>
      </c>
      <c r="FW10" s="143" t="s">
        <v>212</v>
      </c>
      <c r="FX10" s="143" t="s">
        <v>212</v>
      </c>
      <c r="FY10" s="143" t="s">
        <v>212</v>
      </c>
      <c r="FZ10" s="143" t="s">
        <v>212</v>
      </c>
      <c r="GA10" s="143" t="s">
        <v>212</v>
      </c>
      <c r="GB10" s="143" t="s">
        <v>212</v>
      </c>
    </row>
    <row r="11" spans="1:185" s="143" customFormat="1" ht="16" x14ac:dyDescent="0.2">
      <c r="A11" s="143" t="s">
        <v>171</v>
      </c>
      <c r="B11" s="165" t="s">
        <v>172</v>
      </c>
      <c r="C11" s="138" t="s">
        <v>168</v>
      </c>
      <c r="D11" s="143" t="s">
        <v>273</v>
      </c>
      <c r="E11" s="143">
        <v>2010</v>
      </c>
      <c r="F11" s="143" t="str">
        <f t="shared" si="1"/>
        <v>10.1016/j.epsl.2010.01.037</v>
      </c>
      <c r="G11" s="166">
        <f t="shared" si="2"/>
        <v>2890</v>
      </c>
      <c r="H11" s="143" t="str">
        <f t="shared" si="3"/>
        <v>NA</v>
      </c>
      <c r="I11" s="143" t="str">
        <f t="shared" si="4"/>
        <v>NA</v>
      </c>
      <c r="J11" s="167">
        <f t="shared" si="5"/>
        <v>386</v>
      </c>
      <c r="K11" s="167">
        <f t="shared" si="6"/>
        <v>25</v>
      </c>
      <c r="L11" s="167">
        <f t="shared" si="7"/>
        <v>25</v>
      </c>
      <c r="M11" s="143" t="b">
        <v>1</v>
      </c>
      <c r="N11">
        <v>3</v>
      </c>
      <c r="O11" s="143" t="s">
        <v>294</v>
      </c>
      <c r="P11" s="168" t="b">
        <v>0</v>
      </c>
      <c r="Q11" s="143" t="b">
        <v>0</v>
      </c>
      <c r="R11" s="143" t="s">
        <v>167</v>
      </c>
      <c r="S11" s="143" t="b">
        <v>1</v>
      </c>
      <c r="T11" s="143" t="b">
        <v>0</v>
      </c>
      <c r="U11" s="143" t="s">
        <v>167</v>
      </c>
      <c r="V11" s="143" t="s">
        <v>167</v>
      </c>
      <c r="W11" s="143" t="b">
        <v>0</v>
      </c>
      <c r="X11" s="143" t="s">
        <v>167</v>
      </c>
      <c r="Y11" s="160" t="s">
        <v>173</v>
      </c>
      <c r="Z11" s="160" t="s">
        <v>174</v>
      </c>
      <c r="AA11" s="143">
        <v>999</v>
      </c>
      <c r="AB11" s="160" t="s">
        <v>175</v>
      </c>
      <c r="AC11" s="143">
        <v>10</v>
      </c>
      <c r="AD11" s="143" t="s">
        <v>231</v>
      </c>
      <c r="AE11" s="143">
        <v>31.5</v>
      </c>
      <c r="AG11" s="143">
        <v>93.59</v>
      </c>
      <c r="AH11" s="143" t="s">
        <v>167</v>
      </c>
      <c r="AI11" s="143" t="s">
        <v>167</v>
      </c>
      <c r="AJ11" s="143" t="s">
        <v>176</v>
      </c>
      <c r="AK11" s="160">
        <v>12.744</v>
      </c>
      <c r="AL11" s="160">
        <v>-78.7393</v>
      </c>
      <c r="AM11" s="160" t="s">
        <v>167</v>
      </c>
      <c r="AN11" s="160" t="s">
        <v>167</v>
      </c>
      <c r="AO11" s="160">
        <v>-2828</v>
      </c>
      <c r="AP11" s="143" t="s">
        <v>167</v>
      </c>
      <c r="AQ11" s="160" t="s">
        <v>167</v>
      </c>
      <c r="AR11" s="143" t="s">
        <v>167</v>
      </c>
      <c r="AS11" s="178">
        <v>2890</v>
      </c>
      <c r="AT11" s="148" t="s">
        <v>167</v>
      </c>
      <c r="AU11" s="143" t="s">
        <v>167</v>
      </c>
      <c r="AV11" s="143" t="s">
        <v>167</v>
      </c>
      <c r="AW11" s="143" t="s">
        <v>167</v>
      </c>
      <c r="AX11" s="143" t="s">
        <v>177</v>
      </c>
      <c r="AY11" s="152" t="s">
        <v>232</v>
      </c>
      <c r="AZ11" s="143" t="s">
        <v>167</v>
      </c>
      <c r="BA11" s="143" t="s">
        <v>167</v>
      </c>
      <c r="BB11" s="143" t="s">
        <v>167</v>
      </c>
      <c r="BC11" s="143" t="s">
        <v>167</v>
      </c>
      <c r="BD11" s="143" t="s">
        <v>167</v>
      </c>
      <c r="BE11" s="143" t="s">
        <v>167</v>
      </c>
      <c r="BF11" s="143" t="s">
        <v>167</v>
      </c>
      <c r="BG11" s="143" t="s">
        <v>293</v>
      </c>
      <c r="BH11" s="160" t="s">
        <v>179</v>
      </c>
      <c r="BI11" s="170" t="s">
        <v>180</v>
      </c>
      <c r="BJ11" s="171" t="s">
        <v>181</v>
      </c>
      <c r="BK11" s="160" t="s">
        <v>182</v>
      </c>
      <c r="BL11" s="160" t="s">
        <v>183</v>
      </c>
      <c r="BM11" s="160" t="s">
        <v>184</v>
      </c>
      <c r="BN11" s="143" t="s">
        <v>233</v>
      </c>
      <c r="BO11" s="143">
        <v>2</v>
      </c>
      <c r="BP11" s="143">
        <v>5.9999999999998714E-2</v>
      </c>
      <c r="BQ11" s="172">
        <v>19.3</v>
      </c>
      <c r="BR11" s="173" t="s">
        <v>186</v>
      </c>
      <c r="BS11" s="172">
        <v>0.1</v>
      </c>
      <c r="BT11" s="174" t="s">
        <v>167</v>
      </c>
      <c r="BU11" s="174" t="s">
        <v>167</v>
      </c>
      <c r="BV11" s="175" t="s">
        <v>167</v>
      </c>
      <c r="BW11" s="160">
        <v>0.8</v>
      </c>
      <c r="BX11" s="160" t="s">
        <v>167</v>
      </c>
      <c r="BY11" s="160" t="s">
        <v>167</v>
      </c>
      <c r="BZ11" s="160" t="s">
        <v>187</v>
      </c>
      <c r="CA11" s="160" t="s">
        <v>188</v>
      </c>
      <c r="CB11" s="143" t="s">
        <v>167</v>
      </c>
      <c r="CC11" s="143" t="s">
        <v>167</v>
      </c>
      <c r="CD11" s="143" t="s">
        <v>167</v>
      </c>
      <c r="CE11" s="143" t="s">
        <v>167</v>
      </c>
      <c r="CF11" s="143" t="s">
        <v>167</v>
      </c>
      <c r="CG11" s="143" t="s">
        <v>189</v>
      </c>
      <c r="CH11" s="143" t="s">
        <v>190</v>
      </c>
      <c r="CI11" s="143" t="s">
        <v>190</v>
      </c>
      <c r="CJ11" s="143">
        <v>28.7</v>
      </c>
      <c r="CK11" s="138" t="s">
        <v>167</v>
      </c>
      <c r="CL11" s="143">
        <v>1.5</v>
      </c>
      <c r="CM11" s="143">
        <v>1.5</v>
      </c>
      <c r="CN11" s="143" t="s">
        <v>191</v>
      </c>
      <c r="CO11" s="143" t="s">
        <v>167</v>
      </c>
      <c r="CP11" s="143" t="s">
        <v>167</v>
      </c>
      <c r="CQ11" s="143" t="s">
        <v>167</v>
      </c>
      <c r="CR11" s="143" t="s">
        <v>167</v>
      </c>
      <c r="CS11" s="143" t="s">
        <v>167</v>
      </c>
      <c r="CT11" s="143" t="s">
        <v>167</v>
      </c>
      <c r="CU11" s="143" t="s">
        <v>167</v>
      </c>
      <c r="CV11" s="143" t="s">
        <v>167</v>
      </c>
      <c r="CW11" s="143" t="s">
        <v>167</v>
      </c>
      <c r="CX11" s="143" t="s">
        <v>167</v>
      </c>
      <c r="CY11" s="143" t="s">
        <v>167</v>
      </c>
      <c r="CZ11" s="143" t="s">
        <v>192</v>
      </c>
      <c r="DA11" s="143" t="s">
        <v>193</v>
      </c>
      <c r="DB11" s="145" t="s">
        <v>167</v>
      </c>
      <c r="DC11" s="145" t="s">
        <v>167</v>
      </c>
      <c r="DD11" s="143" t="s">
        <v>167</v>
      </c>
      <c r="DE11" s="143" t="s">
        <v>194</v>
      </c>
      <c r="DF11" s="143" t="s">
        <v>195</v>
      </c>
      <c r="DG11" s="143">
        <v>36</v>
      </c>
      <c r="DH11" s="160" t="s">
        <v>196</v>
      </c>
      <c r="DI11" s="160">
        <v>0</v>
      </c>
      <c r="DJ11" s="160" t="s">
        <v>197</v>
      </c>
      <c r="DK11" s="143" t="s">
        <v>198</v>
      </c>
      <c r="DL11" s="172" t="s">
        <v>199</v>
      </c>
      <c r="DM11" s="172" t="s">
        <v>199</v>
      </c>
      <c r="DN11" s="172" t="s">
        <v>199</v>
      </c>
      <c r="DO11" s="143" t="s">
        <v>198</v>
      </c>
      <c r="DP11" s="172" t="s">
        <v>199</v>
      </c>
      <c r="DQ11" s="172" t="s">
        <v>199</v>
      </c>
      <c r="DR11" s="172" t="s">
        <v>199</v>
      </c>
      <c r="DS11" s="143" t="s">
        <v>198</v>
      </c>
      <c r="DT11" s="172" t="s">
        <v>199</v>
      </c>
      <c r="DU11" s="172" t="s">
        <v>199</v>
      </c>
      <c r="DV11" s="172" t="s">
        <v>199</v>
      </c>
      <c r="DW11" s="143">
        <v>413.7</v>
      </c>
      <c r="DX11" s="143" t="s">
        <v>167</v>
      </c>
      <c r="DY11" s="143" t="s">
        <v>167</v>
      </c>
      <c r="DZ11" s="176" t="s">
        <v>200</v>
      </c>
      <c r="EA11" s="160">
        <v>39.5</v>
      </c>
      <c r="EB11" s="143" t="s">
        <v>201</v>
      </c>
      <c r="EC11" s="145" t="s">
        <v>167</v>
      </c>
      <c r="ED11" s="143" t="s">
        <v>217</v>
      </c>
      <c r="EE11" s="143" t="s">
        <v>203</v>
      </c>
      <c r="EF11" s="143" t="s">
        <v>204</v>
      </c>
      <c r="EG11" s="143">
        <v>1.0271999999999999</v>
      </c>
      <c r="EH11" s="143" t="s">
        <v>199</v>
      </c>
      <c r="EI11" s="143" t="s">
        <v>199</v>
      </c>
      <c r="EJ11" s="143" t="s">
        <v>205</v>
      </c>
      <c r="EK11" s="143" t="s">
        <v>199</v>
      </c>
      <c r="EL11" s="143" t="s">
        <v>199</v>
      </c>
      <c r="EM11" s="145" t="s">
        <v>167</v>
      </c>
      <c r="EN11" s="143" t="s">
        <v>234</v>
      </c>
      <c r="EO11" s="143" t="s">
        <v>207</v>
      </c>
      <c r="EP11" s="143" t="s">
        <v>207</v>
      </c>
      <c r="EQ11" s="145" t="s">
        <v>167</v>
      </c>
      <c r="ER11" s="145" t="s">
        <v>167</v>
      </c>
      <c r="ES11" s="145" t="s">
        <v>167</v>
      </c>
      <c r="ET11" s="143" t="s">
        <v>208</v>
      </c>
      <c r="EU11" s="143" t="s">
        <v>197</v>
      </c>
      <c r="EV11" s="145" t="s">
        <v>167</v>
      </c>
      <c r="EW11" s="177">
        <v>2330</v>
      </c>
      <c r="EX11" s="145" t="s">
        <v>209</v>
      </c>
      <c r="EY11" s="145">
        <f t="shared" si="8"/>
        <v>116.5</v>
      </c>
      <c r="EZ11" s="145">
        <f t="shared" si="9"/>
        <v>116.5</v>
      </c>
      <c r="FA11" s="143" t="s">
        <v>167</v>
      </c>
      <c r="FB11" s="143" t="s">
        <v>167</v>
      </c>
      <c r="FC11" s="143" t="s">
        <v>167</v>
      </c>
      <c r="FD11" s="143" t="s">
        <v>167</v>
      </c>
      <c r="FE11" s="143">
        <v>8.07</v>
      </c>
      <c r="FF11" s="160" t="s">
        <v>210</v>
      </c>
      <c r="FG11" s="160">
        <v>0.02</v>
      </c>
      <c r="FH11" s="160">
        <v>0.02</v>
      </c>
      <c r="FI11" s="143">
        <v>386</v>
      </c>
      <c r="FJ11" s="143" t="s">
        <v>167</v>
      </c>
      <c r="FK11" s="143" t="s">
        <v>167</v>
      </c>
      <c r="FL11" s="143">
        <v>386</v>
      </c>
      <c r="FM11" s="143">
        <v>25</v>
      </c>
      <c r="FN11" s="143">
        <v>25</v>
      </c>
      <c r="FO11" s="160" t="s">
        <v>167</v>
      </c>
      <c r="FP11" s="160" t="s">
        <v>211</v>
      </c>
      <c r="FQ11" s="143" t="s">
        <v>212</v>
      </c>
      <c r="FR11" s="143" t="s">
        <v>212</v>
      </c>
      <c r="FS11" s="143" t="s">
        <v>212</v>
      </c>
      <c r="FT11" s="143" t="s">
        <v>212</v>
      </c>
      <c r="FU11" s="143" t="s">
        <v>212</v>
      </c>
      <c r="FV11" s="143" t="s">
        <v>212</v>
      </c>
      <c r="FW11" s="143" t="s">
        <v>212</v>
      </c>
      <c r="FX11" s="143" t="s">
        <v>212</v>
      </c>
      <c r="FY11" s="143" t="s">
        <v>212</v>
      </c>
      <c r="FZ11" s="143" t="s">
        <v>212</v>
      </c>
      <c r="GA11" s="143" t="s">
        <v>212</v>
      </c>
      <c r="GB11" s="143" t="s">
        <v>212</v>
      </c>
    </row>
    <row r="12" spans="1:185" s="143" customFormat="1" ht="16" x14ac:dyDescent="0.2">
      <c r="A12" s="143" t="s">
        <v>171</v>
      </c>
      <c r="B12" s="165" t="s">
        <v>172</v>
      </c>
      <c r="C12" s="138" t="s">
        <v>168</v>
      </c>
      <c r="D12" s="143" t="s">
        <v>273</v>
      </c>
      <c r="E12" s="143">
        <v>2010</v>
      </c>
      <c r="F12" s="143" t="str">
        <f t="shared" si="1"/>
        <v>10.1016/j.epsl.2010.01.037</v>
      </c>
      <c r="G12" s="166">
        <f t="shared" si="2"/>
        <v>2985</v>
      </c>
      <c r="H12" s="143" t="str">
        <f t="shared" si="3"/>
        <v>NA</v>
      </c>
      <c r="I12" s="143" t="str">
        <f t="shared" si="4"/>
        <v>NA</v>
      </c>
      <c r="J12" s="167">
        <f t="shared" si="5"/>
        <v>390</v>
      </c>
      <c r="K12" s="167">
        <f t="shared" si="6"/>
        <v>25</v>
      </c>
      <c r="L12" s="167">
        <f t="shared" si="7"/>
        <v>25</v>
      </c>
      <c r="M12" s="143" t="b">
        <v>1</v>
      </c>
      <c r="N12">
        <v>3</v>
      </c>
      <c r="O12" s="143" t="s">
        <v>294</v>
      </c>
      <c r="P12" s="168" t="b">
        <v>0</v>
      </c>
      <c r="Q12" s="143" t="b">
        <v>0</v>
      </c>
      <c r="R12" s="143" t="s">
        <v>167</v>
      </c>
      <c r="S12" s="143" t="b">
        <v>1</v>
      </c>
      <c r="T12" s="143" t="b">
        <v>0</v>
      </c>
      <c r="U12" s="143" t="s">
        <v>167</v>
      </c>
      <c r="V12" s="143" t="s">
        <v>167</v>
      </c>
      <c r="W12" s="143" t="b">
        <v>0</v>
      </c>
      <c r="X12" s="143" t="s">
        <v>167</v>
      </c>
      <c r="Y12" s="160" t="s">
        <v>173</v>
      </c>
      <c r="Z12" s="160" t="s">
        <v>174</v>
      </c>
      <c r="AA12" s="143">
        <v>999</v>
      </c>
      <c r="AB12" s="160" t="s">
        <v>175</v>
      </c>
      <c r="AC12" s="143">
        <v>11</v>
      </c>
      <c r="AD12" s="143">
        <v>3</v>
      </c>
      <c r="AE12" s="143">
        <v>13</v>
      </c>
      <c r="AF12" s="143">
        <v>15</v>
      </c>
      <c r="AG12" s="143">
        <v>96.23</v>
      </c>
      <c r="AH12" s="143" t="s">
        <v>167</v>
      </c>
      <c r="AI12" s="143" t="s">
        <v>167</v>
      </c>
      <c r="AJ12" s="143" t="s">
        <v>176</v>
      </c>
      <c r="AK12" s="160">
        <v>12.744</v>
      </c>
      <c r="AL12" s="160">
        <v>-78.7393</v>
      </c>
      <c r="AM12" s="160" t="s">
        <v>167</v>
      </c>
      <c r="AN12" s="160" t="s">
        <v>167</v>
      </c>
      <c r="AO12" s="160">
        <v>-2828</v>
      </c>
      <c r="AP12" s="143" t="s">
        <v>167</v>
      </c>
      <c r="AQ12" s="160" t="s">
        <v>167</v>
      </c>
      <c r="AR12" s="143" t="s">
        <v>167</v>
      </c>
      <c r="AS12" s="178">
        <v>2985</v>
      </c>
      <c r="AT12" s="148" t="s">
        <v>167</v>
      </c>
      <c r="AU12" s="143" t="s">
        <v>167</v>
      </c>
      <c r="AV12" s="143" t="s">
        <v>167</v>
      </c>
      <c r="AW12" s="143" t="s">
        <v>167</v>
      </c>
      <c r="AX12" s="143" t="s">
        <v>177</v>
      </c>
      <c r="AY12" s="152" t="s">
        <v>235</v>
      </c>
      <c r="AZ12" s="143" t="s">
        <v>167</v>
      </c>
      <c r="BA12" s="143" t="s">
        <v>167</v>
      </c>
      <c r="BB12" s="143" t="s">
        <v>167</v>
      </c>
      <c r="BC12" s="143" t="s">
        <v>167</v>
      </c>
      <c r="BD12" s="143" t="s">
        <v>167</v>
      </c>
      <c r="BE12" s="143" t="s">
        <v>167</v>
      </c>
      <c r="BF12" s="143" t="s">
        <v>167</v>
      </c>
      <c r="BG12" s="143" t="s">
        <v>293</v>
      </c>
      <c r="BH12" s="160" t="s">
        <v>179</v>
      </c>
      <c r="BI12" s="170" t="s">
        <v>180</v>
      </c>
      <c r="BJ12" s="171" t="s">
        <v>181</v>
      </c>
      <c r="BK12" s="160" t="s">
        <v>182</v>
      </c>
      <c r="BL12" s="160" t="s">
        <v>183</v>
      </c>
      <c r="BM12" s="160" t="s">
        <v>184</v>
      </c>
      <c r="BN12" s="143" t="s">
        <v>236</v>
      </c>
      <c r="BO12" s="143">
        <v>2</v>
      </c>
      <c r="BP12" s="143">
        <v>0.22999999999999685</v>
      </c>
      <c r="BQ12" s="172">
        <v>19.29</v>
      </c>
      <c r="BR12" s="173" t="s">
        <v>186</v>
      </c>
      <c r="BS12" s="172">
        <v>0.1</v>
      </c>
      <c r="BT12" s="174" t="s">
        <v>167</v>
      </c>
      <c r="BU12" s="174" t="s">
        <v>167</v>
      </c>
      <c r="BV12" s="175" t="s">
        <v>167</v>
      </c>
      <c r="BW12" s="160">
        <v>0.8</v>
      </c>
      <c r="BX12" s="160" t="s">
        <v>167</v>
      </c>
      <c r="BY12" s="160" t="s">
        <v>167</v>
      </c>
      <c r="BZ12" s="160" t="s">
        <v>187</v>
      </c>
      <c r="CA12" s="160" t="s">
        <v>188</v>
      </c>
      <c r="CB12" s="143" t="s">
        <v>167</v>
      </c>
      <c r="CC12" s="143" t="s">
        <v>167</v>
      </c>
      <c r="CD12" s="143" t="s">
        <v>167</v>
      </c>
      <c r="CE12" s="143" t="s">
        <v>167</v>
      </c>
      <c r="CF12" s="143" t="s">
        <v>167</v>
      </c>
      <c r="CG12" s="143" t="s">
        <v>189</v>
      </c>
      <c r="CH12" s="143" t="s">
        <v>190</v>
      </c>
      <c r="CI12" s="143" t="s">
        <v>190</v>
      </c>
      <c r="CJ12" s="143">
        <v>28.9</v>
      </c>
      <c r="CK12" s="138" t="s">
        <v>167</v>
      </c>
      <c r="CL12" s="143">
        <v>1.5</v>
      </c>
      <c r="CM12" s="143">
        <v>1.5</v>
      </c>
      <c r="CN12" s="143" t="s">
        <v>191</v>
      </c>
      <c r="CO12" s="143" t="s">
        <v>167</v>
      </c>
      <c r="CP12" s="143" t="s">
        <v>167</v>
      </c>
      <c r="CQ12" s="143" t="s">
        <v>167</v>
      </c>
      <c r="CR12" s="143" t="s">
        <v>167</v>
      </c>
      <c r="CS12" s="143" t="s">
        <v>167</v>
      </c>
      <c r="CT12" s="143" t="s">
        <v>167</v>
      </c>
      <c r="CU12" s="143" t="s">
        <v>167</v>
      </c>
      <c r="CV12" s="143" t="s">
        <v>167</v>
      </c>
      <c r="CW12" s="143" t="s">
        <v>167</v>
      </c>
      <c r="CX12" s="143" t="s">
        <v>167</v>
      </c>
      <c r="CY12" s="143" t="s">
        <v>167</v>
      </c>
      <c r="CZ12" s="143" t="s">
        <v>192</v>
      </c>
      <c r="DA12" s="143" t="s">
        <v>193</v>
      </c>
      <c r="DB12" s="145" t="s">
        <v>167</v>
      </c>
      <c r="DC12" s="145" t="s">
        <v>167</v>
      </c>
      <c r="DD12" s="143" t="s">
        <v>167</v>
      </c>
      <c r="DE12" s="143" t="s">
        <v>194</v>
      </c>
      <c r="DF12" s="143" t="s">
        <v>195</v>
      </c>
      <c r="DG12" s="143">
        <v>36</v>
      </c>
      <c r="DH12" s="160" t="s">
        <v>196</v>
      </c>
      <c r="DI12" s="160">
        <v>0</v>
      </c>
      <c r="DJ12" s="160" t="s">
        <v>197</v>
      </c>
      <c r="DK12" s="143" t="s">
        <v>198</v>
      </c>
      <c r="DL12" s="172" t="s">
        <v>199</v>
      </c>
      <c r="DM12" s="172" t="s">
        <v>199</v>
      </c>
      <c r="DN12" s="172" t="s">
        <v>199</v>
      </c>
      <c r="DO12" s="143" t="s">
        <v>198</v>
      </c>
      <c r="DP12" s="172" t="s">
        <v>199</v>
      </c>
      <c r="DQ12" s="172" t="s">
        <v>199</v>
      </c>
      <c r="DR12" s="172" t="s">
        <v>199</v>
      </c>
      <c r="DS12" s="143" t="s">
        <v>198</v>
      </c>
      <c r="DT12" s="172" t="s">
        <v>199</v>
      </c>
      <c r="DU12" s="172" t="s">
        <v>199</v>
      </c>
      <c r="DV12" s="172" t="s">
        <v>199</v>
      </c>
      <c r="DW12" s="143">
        <v>413.7</v>
      </c>
      <c r="DX12" s="143" t="s">
        <v>167</v>
      </c>
      <c r="DY12" s="143" t="s">
        <v>167</v>
      </c>
      <c r="DZ12" s="176" t="s">
        <v>200</v>
      </c>
      <c r="EA12" s="160">
        <v>39.5</v>
      </c>
      <c r="EB12" s="143" t="s">
        <v>201</v>
      </c>
      <c r="EC12" s="145" t="s">
        <v>167</v>
      </c>
      <c r="ED12" s="143" t="s">
        <v>217</v>
      </c>
      <c r="EE12" s="143" t="s">
        <v>203</v>
      </c>
      <c r="EF12" s="143" t="s">
        <v>204</v>
      </c>
      <c r="EG12" s="143">
        <v>1.0271999999999999</v>
      </c>
      <c r="EH12" s="143" t="s">
        <v>199</v>
      </c>
      <c r="EI12" s="143" t="s">
        <v>199</v>
      </c>
      <c r="EJ12" s="143" t="s">
        <v>205</v>
      </c>
      <c r="EK12" s="143" t="s">
        <v>199</v>
      </c>
      <c r="EL12" s="143" t="s">
        <v>199</v>
      </c>
      <c r="EM12" s="145" t="s">
        <v>167</v>
      </c>
      <c r="EN12" s="143" t="s">
        <v>237</v>
      </c>
      <c r="EO12" s="143" t="s">
        <v>207</v>
      </c>
      <c r="EP12" s="143" t="s">
        <v>207</v>
      </c>
      <c r="EQ12" s="145" t="s">
        <v>167</v>
      </c>
      <c r="ER12" s="145" t="s">
        <v>167</v>
      </c>
      <c r="ES12" s="145" t="s">
        <v>167</v>
      </c>
      <c r="ET12" s="143" t="s">
        <v>208</v>
      </c>
      <c r="EU12" s="143" t="s">
        <v>197</v>
      </c>
      <c r="EV12" s="145" t="s">
        <v>167</v>
      </c>
      <c r="EW12" s="177">
        <v>2330</v>
      </c>
      <c r="EX12" s="145" t="s">
        <v>209</v>
      </c>
      <c r="EY12" s="145">
        <f t="shared" si="8"/>
        <v>116.5</v>
      </c>
      <c r="EZ12" s="145">
        <f t="shared" si="9"/>
        <v>116.5</v>
      </c>
      <c r="FA12" s="143" t="s">
        <v>167</v>
      </c>
      <c r="FB12" s="143" t="s">
        <v>167</v>
      </c>
      <c r="FC12" s="143" t="s">
        <v>167</v>
      </c>
      <c r="FD12" s="143" t="s">
        <v>167</v>
      </c>
      <c r="FE12" s="143">
        <v>8.07</v>
      </c>
      <c r="FF12" s="160" t="s">
        <v>210</v>
      </c>
      <c r="FG12" s="160">
        <v>0.02</v>
      </c>
      <c r="FH12" s="160">
        <v>0.02</v>
      </c>
      <c r="FI12" s="143">
        <v>390</v>
      </c>
      <c r="FJ12" s="143" t="s">
        <v>167</v>
      </c>
      <c r="FK12" s="143" t="s">
        <v>167</v>
      </c>
      <c r="FL12" s="143">
        <v>390</v>
      </c>
      <c r="FM12" s="143">
        <v>25</v>
      </c>
      <c r="FN12" s="143">
        <v>25</v>
      </c>
      <c r="FO12" s="160" t="s">
        <v>167</v>
      </c>
      <c r="FP12" s="160" t="s">
        <v>211</v>
      </c>
      <c r="FQ12" s="143" t="s">
        <v>212</v>
      </c>
      <c r="FR12" s="143" t="s">
        <v>212</v>
      </c>
      <c r="FS12" s="143" t="s">
        <v>212</v>
      </c>
      <c r="FT12" s="143" t="s">
        <v>212</v>
      </c>
      <c r="FU12" s="143" t="s">
        <v>212</v>
      </c>
      <c r="FV12" s="143" t="s">
        <v>212</v>
      </c>
      <c r="FW12" s="143" t="s">
        <v>212</v>
      </c>
      <c r="FX12" s="143" t="s">
        <v>212</v>
      </c>
      <c r="FY12" s="143" t="s">
        <v>212</v>
      </c>
      <c r="FZ12" s="143" t="s">
        <v>212</v>
      </c>
      <c r="GA12" s="143" t="s">
        <v>212</v>
      </c>
      <c r="GB12" s="143" t="s">
        <v>212</v>
      </c>
    </row>
    <row r="13" spans="1:185" s="143" customFormat="1" ht="16" x14ac:dyDescent="0.2">
      <c r="A13" s="143" t="s">
        <v>171</v>
      </c>
      <c r="B13" s="165" t="s">
        <v>172</v>
      </c>
      <c r="C13" s="138" t="s">
        <v>168</v>
      </c>
      <c r="D13" s="143" t="s">
        <v>273</v>
      </c>
      <c r="E13" s="143">
        <v>2010</v>
      </c>
      <c r="F13" s="143" t="str">
        <f t="shared" si="1"/>
        <v>10.1016/j.epsl.2010.01.037</v>
      </c>
      <c r="G13" s="166">
        <f t="shared" si="2"/>
        <v>3050</v>
      </c>
      <c r="H13" s="143" t="str">
        <f t="shared" si="3"/>
        <v>NA</v>
      </c>
      <c r="I13" s="143" t="str">
        <f t="shared" si="4"/>
        <v>NA</v>
      </c>
      <c r="J13" s="167">
        <f t="shared" si="5"/>
        <v>408</v>
      </c>
      <c r="K13" s="167">
        <f t="shared" si="6"/>
        <v>25</v>
      </c>
      <c r="L13" s="167">
        <f t="shared" si="7"/>
        <v>25</v>
      </c>
      <c r="M13" s="143" t="b">
        <v>1</v>
      </c>
      <c r="N13">
        <v>3</v>
      </c>
      <c r="O13" s="143" t="s">
        <v>294</v>
      </c>
      <c r="P13" s="168" t="b">
        <v>0</v>
      </c>
      <c r="Q13" s="143" t="b">
        <v>0</v>
      </c>
      <c r="R13" s="143" t="s">
        <v>167</v>
      </c>
      <c r="S13" s="143" t="b">
        <v>1</v>
      </c>
      <c r="T13" s="143" t="b">
        <v>0</v>
      </c>
      <c r="U13" s="143" t="s">
        <v>167</v>
      </c>
      <c r="V13" s="143" t="s">
        <v>167</v>
      </c>
      <c r="W13" s="143" t="b">
        <v>0</v>
      </c>
      <c r="X13" s="143" t="s">
        <v>167</v>
      </c>
      <c r="Y13" s="160" t="s">
        <v>173</v>
      </c>
      <c r="Z13" s="160" t="s">
        <v>174</v>
      </c>
      <c r="AA13" s="143">
        <v>999</v>
      </c>
      <c r="AB13" s="160" t="s">
        <v>175</v>
      </c>
      <c r="AC13" s="143">
        <v>11</v>
      </c>
      <c r="AD13" s="143">
        <v>4</v>
      </c>
      <c r="AE13" s="143">
        <v>17</v>
      </c>
      <c r="AF13" s="143">
        <v>19</v>
      </c>
      <c r="AG13" s="143">
        <v>97.77</v>
      </c>
      <c r="AH13" s="143" t="s">
        <v>167</v>
      </c>
      <c r="AI13" s="143" t="s">
        <v>167</v>
      </c>
      <c r="AJ13" s="143" t="s">
        <v>176</v>
      </c>
      <c r="AK13" s="160">
        <v>12.744</v>
      </c>
      <c r="AL13" s="160">
        <v>-78.7393</v>
      </c>
      <c r="AM13" s="160" t="s">
        <v>167</v>
      </c>
      <c r="AN13" s="160" t="s">
        <v>167</v>
      </c>
      <c r="AO13" s="160">
        <v>-2828</v>
      </c>
      <c r="AP13" s="143" t="s">
        <v>167</v>
      </c>
      <c r="AQ13" s="160" t="s">
        <v>167</v>
      </c>
      <c r="AR13" s="143" t="s">
        <v>167</v>
      </c>
      <c r="AS13" s="178">
        <v>3050</v>
      </c>
      <c r="AT13" s="148" t="s">
        <v>167</v>
      </c>
      <c r="AU13" s="143" t="s">
        <v>167</v>
      </c>
      <c r="AV13" s="143" t="s">
        <v>167</v>
      </c>
      <c r="AW13" s="143" t="s">
        <v>167</v>
      </c>
      <c r="AX13" s="143" t="s">
        <v>177</v>
      </c>
      <c r="AY13" s="152" t="s">
        <v>238</v>
      </c>
      <c r="AZ13" s="143" t="s">
        <v>167</v>
      </c>
      <c r="BA13" s="143" t="s">
        <v>167</v>
      </c>
      <c r="BB13" s="143" t="s">
        <v>167</v>
      </c>
      <c r="BC13" s="143" t="s">
        <v>167</v>
      </c>
      <c r="BD13" s="143" t="s">
        <v>167</v>
      </c>
      <c r="BE13" s="143" t="s">
        <v>167</v>
      </c>
      <c r="BF13" s="143" t="s">
        <v>167</v>
      </c>
      <c r="BG13" s="143" t="s">
        <v>293</v>
      </c>
      <c r="BH13" s="160" t="s">
        <v>179</v>
      </c>
      <c r="BI13" s="170" t="s">
        <v>180</v>
      </c>
      <c r="BJ13" s="171" t="s">
        <v>181</v>
      </c>
      <c r="BK13" s="160" t="s">
        <v>182</v>
      </c>
      <c r="BL13" s="160" t="s">
        <v>183</v>
      </c>
      <c r="BM13" s="160" t="s">
        <v>184</v>
      </c>
      <c r="BN13" s="143" t="s">
        <v>239</v>
      </c>
      <c r="BO13" s="143">
        <v>2</v>
      </c>
      <c r="BP13" s="143">
        <v>3.9999999999999147E-2</v>
      </c>
      <c r="BQ13" s="172">
        <v>19.11</v>
      </c>
      <c r="BR13" s="173" t="s">
        <v>186</v>
      </c>
      <c r="BS13" s="172">
        <v>0.16</v>
      </c>
      <c r="BT13" s="174" t="s">
        <v>167</v>
      </c>
      <c r="BU13" s="174" t="s">
        <v>167</v>
      </c>
      <c r="BV13" s="175" t="s">
        <v>167</v>
      </c>
      <c r="BW13" s="160">
        <v>0.8</v>
      </c>
      <c r="BX13" s="160" t="s">
        <v>167</v>
      </c>
      <c r="BY13" s="160" t="s">
        <v>167</v>
      </c>
      <c r="BZ13" s="160" t="s">
        <v>187</v>
      </c>
      <c r="CA13" s="160" t="s">
        <v>188</v>
      </c>
      <c r="CB13" s="143" t="s">
        <v>167</v>
      </c>
      <c r="CC13" s="143" t="s">
        <v>167</v>
      </c>
      <c r="CD13" s="143" t="s">
        <v>167</v>
      </c>
      <c r="CE13" s="143" t="s">
        <v>167</v>
      </c>
      <c r="CF13" s="143" t="s">
        <v>167</v>
      </c>
      <c r="CG13" s="143" t="s">
        <v>189</v>
      </c>
      <c r="CH13" s="143" t="s">
        <v>190</v>
      </c>
      <c r="CI13" s="143" t="s">
        <v>190</v>
      </c>
      <c r="CJ13" s="143">
        <v>28.7</v>
      </c>
      <c r="CK13" s="138" t="s">
        <v>167</v>
      </c>
      <c r="CL13" s="143">
        <v>1.5</v>
      </c>
      <c r="CM13" s="143">
        <v>1.5</v>
      </c>
      <c r="CN13" s="143" t="s">
        <v>191</v>
      </c>
      <c r="CO13" s="143" t="s">
        <v>167</v>
      </c>
      <c r="CP13" s="143" t="s">
        <v>167</v>
      </c>
      <c r="CQ13" s="143" t="s">
        <v>167</v>
      </c>
      <c r="CR13" s="143" t="s">
        <v>167</v>
      </c>
      <c r="CS13" s="143" t="s">
        <v>167</v>
      </c>
      <c r="CT13" s="143" t="s">
        <v>167</v>
      </c>
      <c r="CU13" s="143" t="s">
        <v>167</v>
      </c>
      <c r="CV13" s="143" t="s">
        <v>167</v>
      </c>
      <c r="CW13" s="143" t="s">
        <v>167</v>
      </c>
      <c r="CX13" s="143" t="s">
        <v>167</v>
      </c>
      <c r="CY13" s="143" t="s">
        <v>167</v>
      </c>
      <c r="CZ13" s="143" t="s">
        <v>192</v>
      </c>
      <c r="DA13" s="143" t="s">
        <v>193</v>
      </c>
      <c r="DB13" s="145" t="s">
        <v>167</v>
      </c>
      <c r="DC13" s="145" t="s">
        <v>167</v>
      </c>
      <c r="DD13" s="143" t="s">
        <v>167</v>
      </c>
      <c r="DE13" s="143" t="s">
        <v>194</v>
      </c>
      <c r="DF13" s="143" t="s">
        <v>195</v>
      </c>
      <c r="DG13" s="143">
        <v>36</v>
      </c>
      <c r="DH13" s="160" t="s">
        <v>196</v>
      </c>
      <c r="DI13" s="160">
        <v>0</v>
      </c>
      <c r="DJ13" s="160" t="s">
        <v>197</v>
      </c>
      <c r="DK13" s="143" t="s">
        <v>198</v>
      </c>
      <c r="DL13" s="172" t="s">
        <v>199</v>
      </c>
      <c r="DM13" s="172" t="s">
        <v>199</v>
      </c>
      <c r="DN13" s="172" t="s">
        <v>199</v>
      </c>
      <c r="DO13" s="143" t="s">
        <v>198</v>
      </c>
      <c r="DP13" s="172" t="s">
        <v>199</v>
      </c>
      <c r="DQ13" s="172" t="s">
        <v>199</v>
      </c>
      <c r="DR13" s="172" t="s">
        <v>199</v>
      </c>
      <c r="DS13" s="143" t="s">
        <v>198</v>
      </c>
      <c r="DT13" s="172" t="s">
        <v>199</v>
      </c>
      <c r="DU13" s="172" t="s">
        <v>199</v>
      </c>
      <c r="DV13" s="172" t="s">
        <v>199</v>
      </c>
      <c r="DW13" s="143">
        <v>413.7</v>
      </c>
      <c r="DX13" s="143" t="s">
        <v>167</v>
      </c>
      <c r="DY13" s="143" t="s">
        <v>167</v>
      </c>
      <c r="DZ13" s="176" t="s">
        <v>200</v>
      </c>
      <c r="EA13" s="160">
        <v>39.5</v>
      </c>
      <c r="EB13" s="143" t="s">
        <v>201</v>
      </c>
      <c r="EC13" s="145" t="s">
        <v>167</v>
      </c>
      <c r="ED13" s="143" t="s">
        <v>217</v>
      </c>
      <c r="EE13" s="143" t="s">
        <v>203</v>
      </c>
      <c r="EF13" s="143" t="s">
        <v>204</v>
      </c>
      <c r="EG13" s="143">
        <v>1.0271999999999999</v>
      </c>
      <c r="EH13" s="143" t="s">
        <v>199</v>
      </c>
      <c r="EI13" s="143" t="s">
        <v>199</v>
      </c>
      <c r="EJ13" s="143" t="s">
        <v>205</v>
      </c>
      <c r="EK13" s="143" t="s">
        <v>199</v>
      </c>
      <c r="EL13" s="143" t="s">
        <v>199</v>
      </c>
      <c r="EM13" s="145" t="s">
        <v>167</v>
      </c>
      <c r="EN13" s="143" t="s">
        <v>240</v>
      </c>
      <c r="EO13" s="143" t="s">
        <v>207</v>
      </c>
      <c r="EP13" s="143" t="s">
        <v>207</v>
      </c>
      <c r="EQ13" s="145" t="s">
        <v>167</v>
      </c>
      <c r="ER13" s="145" t="s">
        <v>167</v>
      </c>
      <c r="ES13" s="145" t="s">
        <v>167</v>
      </c>
      <c r="ET13" s="143" t="s">
        <v>208</v>
      </c>
      <c r="EU13" s="143" t="s">
        <v>197</v>
      </c>
      <c r="EV13" s="145" t="s">
        <v>167</v>
      </c>
      <c r="EW13" s="177">
        <v>2330</v>
      </c>
      <c r="EX13" s="145" t="s">
        <v>209</v>
      </c>
      <c r="EY13" s="145">
        <f t="shared" si="8"/>
        <v>116.5</v>
      </c>
      <c r="EZ13" s="145">
        <f t="shared" si="9"/>
        <v>116.5</v>
      </c>
      <c r="FA13" s="143" t="s">
        <v>167</v>
      </c>
      <c r="FB13" s="143" t="s">
        <v>167</v>
      </c>
      <c r="FC13" s="143" t="s">
        <v>167</v>
      </c>
      <c r="FD13" s="143" t="s">
        <v>167</v>
      </c>
      <c r="FE13" s="143">
        <v>8.0500000000000007</v>
      </c>
      <c r="FF13" s="160" t="s">
        <v>210</v>
      </c>
      <c r="FG13" s="160">
        <v>0.02</v>
      </c>
      <c r="FH13" s="160">
        <v>0.02</v>
      </c>
      <c r="FI13" s="143">
        <v>408</v>
      </c>
      <c r="FJ13" s="143" t="s">
        <v>167</v>
      </c>
      <c r="FK13" s="143" t="s">
        <v>167</v>
      </c>
      <c r="FL13" s="143">
        <v>408</v>
      </c>
      <c r="FM13" s="143">
        <v>25</v>
      </c>
      <c r="FN13" s="143">
        <v>25</v>
      </c>
      <c r="FO13" s="160" t="s">
        <v>167</v>
      </c>
      <c r="FP13" s="160" t="s">
        <v>211</v>
      </c>
      <c r="FQ13" s="143" t="s">
        <v>212</v>
      </c>
      <c r="FR13" s="143" t="s">
        <v>212</v>
      </c>
      <c r="FS13" s="143" t="s">
        <v>212</v>
      </c>
      <c r="FT13" s="143" t="s">
        <v>212</v>
      </c>
      <c r="FU13" s="143" t="s">
        <v>212</v>
      </c>
      <c r="FV13" s="143" t="s">
        <v>212</v>
      </c>
      <c r="FW13" s="143" t="s">
        <v>212</v>
      </c>
      <c r="FX13" s="143" t="s">
        <v>212</v>
      </c>
      <c r="FY13" s="143" t="s">
        <v>212</v>
      </c>
      <c r="FZ13" s="143" t="s">
        <v>212</v>
      </c>
      <c r="GA13" s="143" t="s">
        <v>212</v>
      </c>
      <c r="GB13" s="143" t="s">
        <v>212</v>
      </c>
    </row>
    <row r="14" spans="1:185" s="143" customFormat="1" ht="16" x14ac:dyDescent="0.2">
      <c r="A14" s="143" t="s">
        <v>171</v>
      </c>
      <c r="B14" s="165" t="s">
        <v>172</v>
      </c>
      <c r="C14" s="138" t="s">
        <v>168</v>
      </c>
      <c r="D14" s="143" t="s">
        <v>273</v>
      </c>
      <c r="E14" s="143">
        <v>2010</v>
      </c>
      <c r="F14" s="143" t="str">
        <f t="shared" si="1"/>
        <v>10.1016/j.epsl.2010.01.037</v>
      </c>
      <c r="G14" s="166">
        <f t="shared" si="2"/>
        <v>3172</v>
      </c>
      <c r="H14" s="143" t="str">
        <f t="shared" si="3"/>
        <v>NA</v>
      </c>
      <c r="I14" s="143" t="str">
        <f t="shared" si="4"/>
        <v>NA</v>
      </c>
      <c r="J14" s="167">
        <f t="shared" si="5"/>
        <v>340</v>
      </c>
      <c r="K14" s="167">
        <f t="shared" si="6"/>
        <v>25</v>
      </c>
      <c r="L14" s="167">
        <f t="shared" si="7"/>
        <v>25</v>
      </c>
      <c r="M14" s="143" t="b">
        <v>1</v>
      </c>
      <c r="N14">
        <v>3</v>
      </c>
      <c r="O14" s="143" t="s">
        <v>294</v>
      </c>
      <c r="P14" s="168" t="b">
        <v>0</v>
      </c>
      <c r="Q14" s="143" t="b">
        <v>0</v>
      </c>
      <c r="R14" s="143" t="s">
        <v>167</v>
      </c>
      <c r="S14" s="143" t="b">
        <v>1</v>
      </c>
      <c r="T14" s="143" t="b">
        <v>0</v>
      </c>
      <c r="U14" s="143" t="s">
        <v>167</v>
      </c>
      <c r="V14" s="143" t="s">
        <v>167</v>
      </c>
      <c r="W14" s="143" t="b">
        <v>0</v>
      </c>
      <c r="X14" s="143" t="s">
        <v>167</v>
      </c>
      <c r="Y14" s="160" t="s">
        <v>173</v>
      </c>
      <c r="Z14" s="160" t="s">
        <v>174</v>
      </c>
      <c r="AA14" s="143">
        <v>999</v>
      </c>
      <c r="AB14" s="160" t="s">
        <v>175</v>
      </c>
      <c r="AC14" s="143">
        <v>11</v>
      </c>
      <c r="AD14" s="143">
        <v>7</v>
      </c>
      <c r="AE14" s="143">
        <v>29</v>
      </c>
      <c r="AF14" s="143">
        <v>31</v>
      </c>
      <c r="AG14" s="143">
        <v>102.39</v>
      </c>
      <c r="AH14" s="143" t="s">
        <v>167</v>
      </c>
      <c r="AI14" s="143" t="s">
        <v>167</v>
      </c>
      <c r="AJ14" s="143" t="s">
        <v>176</v>
      </c>
      <c r="AK14" s="160">
        <v>12.744</v>
      </c>
      <c r="AL14" s="160">
        <v>-78.7393</v>
      </c>
      <c r="AM14" s="160" t="s">
        <v>167</v>
      </c>
      <c r="AN14" s="160" t="s">
        <v>167</v>
      </c>
      <c r="AO14" s="160">
        <v>-2828</v>
      </c>
      <c r="AP14" s="143" t="s">
        <v>167</v>
      </c>
      <c r="AQ14" s="160" t="s">
        <v>167</v>
      </c>
      <c r="AR14" s="143" t="s">
        <v>167</v>
      </c>
      <c r="AS14" s="178">
        <v>3172</v>
      </c>
      <c r="AT14" s="148" t="s">
        <v>167</v>
      </c>
      <c r="AU14" s="143" t="s">
        <v>167</v>
      </c>
      <c r="AV14" s="143" t="s">
        <v>167</v>
      </c>
      <c r="AW14" s="143" t="s">
        <v>167</v>
      </c>
      <c r="AX14" s="143" t="s">
        <v>177</v>
      </c>
      <c r="AY14" s="152" t="s">
        <v>241</v>
      </c>
      <c r="AZ14" s="143" t="s">
        <v>167</v>
      </c>
      <c r="BA14" s="143" t="s">
        <v>167</v>
      </c>
      <c r="BB14" s="143" t="s">
        <v>167</v>
      </c>
      <c r="BC14" s="143" t="s">
        <v>167</v>
      </c>
      <c r="BD14" s="143" t="s">
        <v>167</v>
      </c>
      <c r="BE14" s="143" t="s">
        <v>167</v>
      </c>
      <c r="BF14" s="143" t="s">
        <v>167</v>
      </c>
      <c r="BG14" s="143" t="s">
        <v>293</v>
      </c>
      <c r="BH14" s="160" t="s">
        <v>179</v>
      </c>
      <c r="BI14" s="170" t="s">
        <v>180</v>
      </c>
      <c r="BJ14" s="171" t="s">
        <v>181</v>
      </c>
      <c r="BK14" s="160" t="s">
        <v>182</v>
      </c>
      <c r="BL14" s="160" t="s">
        <v>183</v>
      </c>
      <c r="BM14" s="160" t="s">
        <v>184</v>
      </c>
      <c r="BN14" s="143" t="s">
        <v>242</v>
      </c>
      <c r="BO14" s="143">
        <v>2</v>
      </c>
      <c r="BP14" s="143">
        <v>0.21999999999999886</v>
      </c>
      <c r="BQ14" s="172">
        <v>19.79</v>
      </c>
      <c r="BR14" s="173" t="s">
        <v>186</v>
      </c>
      <c r="BS14" s="172">
        <v>0.09</v>
      </c>
      <c r="BT14" s="174" t="s">
        <v>167</v>
      </c>
      <c r="BU14" s="174" t="s">
        <v>167</v>
      </c>
      <c r="BV14" s="175" t="s">
        <v>167</v>
      </c>
      <c r="BW14" s="160">
        <v>0.8</v>
      </c>
      <c r="BX14" s="160" t="s">
        <v>167</v>
      </c>
      <c r="BY14" s="160" t="s">
        <v>167</v>
      </c>
      <c r="BZ14" s="160" t="s">
        <v>187</v>
      </c>
      <c r="CA14" s="160" t="s">
        <v>188</v>
      </c>
      <c r="CB14" s="143" t="s">
        <v>167</v>
      </c>
      <c r="CC14" s="143" t="s">
        <v>167</v>
      </c>
      <c r="CD14" s="143" t="s">
        <v>167</v>
      </c>
      <c r="CE14" s="143" t="s">
        <v>167</v>
      </c>
      <c r="CF14" s="143" t="s">
        <v>167</v>
      </c>
      <c r="CG14" s="143" t="s">
        <v>189</v>
      </c>
      <c r="CH14" s="143" t="s">
        <v>190</v>
      </c>
      <c r="CI14" s="143" t="s">
        <v>190</v>
      </c>
      <c r="CJ14" s="143">
        <v>28.5</v>
      </c>
      <c r="CK14" s="138" t="s">
        <v>167</v>
      </c>
      <c r="CL14" s="143">
        <v>1.5</v>
      </c>
      <c r="CM14" s="143">
        <v>1.5</v>
      </c>
      <c r="CN14" s="143" t="s">
        <v>191</v>
      </c>
      <c r="CO14" s="143" t="s">
        <v>167</v>
      </c>
      <c r="CP14" s="143" t="s">
        <v>167</v>
      </c>
      <c r="CQ14" s="143" t="s">
        <v>167</v>
      </c>
      <c r="CR14" s="143" t="s">
        <v>167</v>
      </c>
      <c r="CS14" s="143" t="s">
        <v>167</v>
      </c>
      <c r="CT14" s="143" t="s">
        <v>167</v>
      </c>
      <c r="CU14" s="143" t="s">
        <v>167</v>
      </c>
      <c r="CV14" s="143" t="s">
        <v>167</v>
      </c>
      <c r="CW14" s="143" t="s">
        <v>167</v>
      </c>
      <c r="CX14" s="143" t="s">
        <v>167</v>
      </c>
      <c r="CY14" s="143" t="s">
        <v>167</v>
      </c>
      <c r="CZ14" s="143" t="s">
        <v>192</v>
      </c>
      <c r="DA14" s="143" t="s">
        <v>193</v>
      </c>
      <c r="DB14" s="145" t="s">
        <v>167</v>
      </c>
      <c r="DC14" s="145" t="s">
        <v>167</v>
      </c>
      <c r="DD14" s="143" t="s">
        <v>167</v>
      </c>
      <c r="DE14" s="143" t="s">
        <v>194</v>
      </c>
      <c r="DF14" s="143" t="s">
        <v>195</v>
      </c>
      <c r="DG14" s="143">
        <v>36</v>
      </c>
      <c r="DH14" s="160" t="s">
        <v>196</v>
      </c>
      <c r="DI14" s="160">
        <v>0</v>
      </c>
      <c r="DJ14" s="160" t="s">
        <v>197</v>
      </c>
      <c r="DK14" s="143" t="s">
        <v>198</v>
      </c>
      <c r="DL14" s="172" t="s">
        <v>199</v>
      </c>
      <c r="DM14" s="172" t="s">
        <v>199</v>
      </c>
      <c r="DN14" s="172" t="s">
        <v>199</v>
      </c>
      <c r="DO14" s="143" t="s">
        <v>198</v>
      </c>
      <c r="DP14" s="172" t="s">
        <v>199</v>
      </c>
      <c r="DQ14" s="172" t="s">
        <v>199</v>
      </c>
      <c r="DR14" s="172" t="s">
        <v>199</v>
      </c>
      <c r="DS14" s="143" t="s">
        <v>198</v>
      </c>
      <c r="DT14" s="172" t="s">
        <v>199</v>
      </c>
      <c r="DU14" s="172" t="s">
        <v>199</v>
      </c>
      <c r="DV14" s="172" t="s">
        <v>199</v>
      </c>
      <c r="DW14" s="143">
        <v>413.7</v>
      </c>
      <c r="DX14" s="143" t="s">
        <v>167</v>
      </c>
      <c r="DY14" s="143" t="s">
        <v>167</v>
      </c>
      <c r="DZ14" s="176" t="s">
        <v>200</v>
      </c>
      <c r="EA14" s="160">
        <v>39.5</v>
      </c>
      <c r="EB14" s="143" t="s">
        <v>201</v>
      </c>
      <c r="EC14" s="145" t="s">
        <v>167</v>
      </c>
      <c r="ED14" s="143" t="s">
        <v>217</v>
      </c>
      <c r="EE14" s="143" t="s">
        <v>203</v>
      </c>
      <c r="EF14" s="143" t="s">
        <v>204</v>
      </c>
      <c r="EG14" s="143">
        <v>1.0271999999999999</v>
      </c>
      <c r="EH14" s="143" t="s">
        <v>199</v>
      </c>
      <c r="EI14" s="143" t="s">
        <v>199</v>
      </c>
      <c r="EJ14" s="143" t="s">
        <v>205</v>
      </c>
      <c r="EK14" s="143" t="s">
        <v>199</v>
      </c>
      <c r="EL14" s="143" t="s">
        <v>199</v>
      </c>
      <c r="EM14" s="145" t="s">
        <v>167</v>
      </c>
      <c r="EN14" s="143" t="s">
        <v>243</v>
      </c>
      <c r="EO14" s="143" t="s">
        <v>207</v>
      </c>
      <c r="EP14" s="143" t="s">
        <v>207</v>
      </c>
      <c r="EQ14" s="145" t="s">
        <v>167</v>
      </c>
      <c r="ER14" s="145" t="s">
        <v>167</v>
      </c>
      <c r="ES14" s="145" t="s">
        <v>167</v>
      </c>
      <c r="ET14" s="143" t="s">
        <v>208</v>
      </c>
      <c r="EU14" s="143" t="s">
        <v>197</v>
      </c>
      <c r="EV14" s="145" t="s">
        <v>167</v>
      </c>
      <c r="EW14" s="177">
        <v>2330</v>
      </c>
      <c r="EX14" s="145" t="s">
        <v>209</v>
      </c>
      <c r="EY14" s="145">
        <f t="shared" si="8"/>
        <v>116.5</v>
      </c>
      <c r="EZ14" s="145">
        <f t="shared" si="9"/>
        <v>116.5</v>
      </c>
      <c r="FA14" s="143" t="s">
        <v>167</v>
      </c>
      <c r="FB14" s="143" t="s">
        <v>167</v>
      </c>
      <c r="FC14" s="143" t="s">
        <v>167</v>
      </c>
      <c r="FD14" s="143" t="s">
        <v>167</v>
      </c>
      <c r="FE14" s="143">
        <v>8.11</v>
      </c>
      <c r="FF14" s="160" t="s">
        <v>210</v>
      </c>
      <c r="FG14" s="160">
        <v>0.02</v>
      </c>
      <c r="FH14" s="160">
        <v>0.02</v>
      </c>
      <c r="FI14" s="143">
        <v>340</v>
      </c>
      <c r="FJ14" s="143" t="s">
        <v>167</v>
      </c>
      <c r="FK14" s="143" t="s">
        <v>167</v>
      </c>
      <c r="FL14" s="143">
        <v>340</v>
      </c>
      <c r="FM14" s="143">
        <v>25</v>
      </c>
      <c r="FN14" s="143">
        <v>25</v>
      </c>
      <c r="FO14" s="160" t="s">
        <v>167</v>
      </c>
      <c r="FP14" s="160" t="s">
        <v>211</v>
      </c>
      <c r="FQ14" s="143" t="s">
        <v>212</v>
      </c>
      <c r="FR14" s="143" t="s">
        <v>212</v>
      </c>
      <c r="FS14" s="143" t="s">
        <v>212</v>
      </c>
      <c r="FT14" s="143" t="s">
        <v>212</v>
      </c>
      <c r="FU14" s="143" t="s">
        <v>212</v>
      </c>
      <c r="FV14" s="143" t="s">
        <v>212</v>
      </c>
      <c r="FW14" s="143" t="s">
        <v>212</v>
      </c>
      <c r="FX14" s="143" t="s">
        <v>212</v>
      </c>
      <c r="FY14" s="143" t="s">
        <v>212</v>
      </c>
      <c r="FZ14" s="143" t="s">
        <v>212</v>
      </c>
      <c r="GA14" s="143" t="s">
        <v>212</v>
      </c>
      <c r="GB14" s="143" t="s">
        <v>212</v>
      </c>
    </row>
    <row r="15" spans="1:185" s="143" customFormat="1" ht="16" x14ac:dyDescent="0.2">
      <c r="A15" s="143" t="s">
        <v>171</v>
      </c>
      <c r="B15" s="165" t="s">
        <v>172</v>
      </c>
      <c r="C15" s="138" t="s">
        <v>168</v>
      </c>
      <c r="D15" s="143" t="s">
        <v>273</v>
      </c>
      <c r="E15" s="143">
        <v>2010</v>
      </c>
      <c r="F15" s="143" t="str">
        <f t="shared" si="1"/>
        <v>10.1016/j.epsl.2010.01.037</v>
      </c>
      <c r="G15" s="166">
        <f t="shared" si="2"/>
        <v>3496</v>
      </c>
      <c r="H15" s="143" t="str">
        <f t="shared" si="3"/>
        <v>NA</v>
      </c>
      <c r="I15" s="143" t="str">
        <f t="shared" si="4"/>
        <v>NA</v>
      </c>
      <c r="J15" s="167">
        <f t="shared" si="5"/>
        <v>365</v>
      </c>
      <c r="K15" s="167">
        <f t="shared" si="6"/>
        <v>25</v>
      </c>
      <c r="L15" s="167">
        <f t="shared" si="7"/>
        <v>25</v>
      </c>
      <c r="M15" s="143" t="b">
        <v>1</v>
      </c>
      <c r="N15">
        <v>3</v>
      </c>
      <c r="O15" s="143" t="s">
        <v>294</v>
      </c>
      <c r="P15" s="168" t="b">
        <v>0</v>
      </c>
      <c r="Q15" s="143" t="b">
        <v>0</v>
      </c>
      <c r="R15" s="143" t="s">
        <v>167</v>
      </c>
      <c r="S15" s="143" t="b">
        <v>1</v>
      </c>
      <c r="T15" s="143" t="b">
        <v>0</v>
      </c>
      <c r="U15" s="143" t="s">
        <v>167</v>
      </c>
      <c r="V15" s="143" t="s">
        <v>167</v>
      </c>
      <c r="W15" s="143" t="b">
        <v>0</v>
      </c>
      <c r="X15" s="143" t="s">
        <v>167</v>
      </c>
      <c r="Y15" s="160" t="s">
        <v>173</v>
      </c>
      <c r="Z15" s="160" t="s">
        <v>174</v>
      </c>
      <c r="AA15" s="143">
        <v>999</v>
      </c>
      <c r="AB15" s="160" t="s">
        <v>175</v>
      </c>
      <c r="AC15" s="143">
        <v>12</v>
      </c>
      <c r="AD15" s="143">
        <v>6</v>
      </c>
      <c r="AE15" s="143">
        <v>78</v>
      </c>
      <c r="AF15" s="143">
        <v>79</v>
      </c>
      <c r="AG15" s="143">
        <v>110.88</v>
      </c>
      <c r="AH15" s="143" t="s">
        <v>167</v>
      </c>
      <c r="AI15" s="143" t="s">
        <v>167</v>
      </c>
      <c r="AJ15" s="143" t="s">
        <v>176</v>
      </c>
      <c r="AK15" s="160">
        <v>12.744</v>
      </c>
      <c r="AL15" s="160">
        <v>-78.7393</v>
      </c>
      <c r="AM15" s="160" t="s">
        <v>167</v>
      </c>
      <c r="AN15" s="160" t="s">
        <v>167</v>
      </c>
      <c r="AO15" s="160">
        <v>-2828</v>
      </c>
      <c r="AP15" s="143" t="s">
        <v>167</v>
      </c>
      <c r="AQ15" s="160" t="s">
        <v>167</v>
      </c>
      <c r="AR15" s="143" t="s">
        <v>167</v>
      </c>
      <c r="AS15" s="178">
        <v>3496</v>
      </c>
      <c r="AT15" s="148" t="s">
        <v>167</v>
      </c>
      <c r="AU15" s="143" t="s">
        <v>167</v>
      </c>
      <c r="AV15" s="143" t="s">
        <v>167</v>
      </c>
      <c r="AW15" s="143" t="s">
        <v>167</v>
      </c>
      <c r="AX15" s="143" t="s">
        <v>177</v>
      </c>
      <c r="AY15" s="152" t="s">
        <v>244</v>
      </c>
      <c r="AZ15" s="143" t="s">
        <v>167</v>
      </c>
      <c r="BA15" s="143" t="s">
        <v>167</v>
      </c>
      <c r="BB15" s="143" t="s">
        <v>167</v>
      </c>
      <c r="BC15" s="143" t="s">
        <v>167</v>
      </c>
      <c r="BD15" s="143" t="s">
        <v>167</v>
      </c>
      <c r="BE15" s="143" t="s">
        <v>167</v>
      </c>
      <c r="BF15" s="143" t="s">
        <v>167</v>
      </c>
      <c r="BG15" s="143" t="s">
        <v>293</v>
      </c>
      <c r="BH15" s="160" t="s">
        <v>179</v>
      </c>
      <c r="BI15" s="170" t="s">
        <v>180</v>
      </c>
      <c r="BJ15" s="171" t="s">
        <v>181</v>
      </c>
      <c r="BK15" s="160" t="s">
        <v>182</v>
      </c>
      <c r="BL15" s="160" t="s">
        <v>183</v>
      </c>
      <c r="BM15" s="160" t="s">
        <v>184</v>
      </c>
      <c r="BN15" s="143" t="s">
        <v>245</v>
      </c>
      <c r="BO15" s="143">
        <v>2</v>
      </c>
      <c r="BP15" s="143">
        <v>0.14000000000000054</v>
      </c>
      <c r="BQ15" s="172">
        <v>19.53</v>
      </c>
      <c r="BR15" s="173" t="s">
        <v>186</v>
      </c>
      <c r="BS15" s="172">
        <v>0.17</v>
      </c>
      <c r="BT15" s="174" t="s">
        <v>167</v>
      </c>
      <c r="BU15" s="174" t="s">
        <v>167</v>
      </c>
      <c r="BV15" s="175" t="s">
        <v>167</v>
      </c>
      <c r="BW15" s="160">
        <v>0.8</v>
      </c>
      <c r="BX15" s="160" t="s">
        <v>167</v>
      </c>
      <c r="BY15" s="160" t="s">
        <v>167</v>
      </c>
      <c r="BZ15" s="160" t="s">
        <v>187</v>
      </c>
      <c r="CA15" s="160" t="s">
        <v>188</v>
      </c>
      <c r="CB15" s="143" t="s">
        <v>167</v>
      </c>
      <c r="CC15" s="143" t="s">
        <v>167</v>
      </c>
      <c r="CD15" s="143" t="s">
        <v>167</v>
      </c>
      <c r="CE15" s="143" t="s">
        <v>167</v>
      </c>
      <c r="CF15" s="143" t="s">
        <v>167</v>
      </c>
      <c r="CG15" s="143" t="s">
        <v>189</v>
      </c>
      <c r="CH15" s="143" t="s">
        <v>190</v>
      </c>
      <c r="CI15" s="143" t="s">
        <v>190</v>
      </c>
      <c r="CJ15" s="143">
        <v>28.7</v>
      </c>
      <c r="CK15" s="138" t="s">
        <v>167</v>
      </c>
      <c r="CL15" s="143">
        <v>1.5</v>
      </c>
      <c r="CM15" s="143">
        <v>1.5</v>
      </c>
      <c r="CN15" s="143" t="s">
        <v>191</v>
      </c>
      <c r="CO15" s="143" t="s">
        <v>167</v>
      </c>
      <c r="CP15" s="143" t="s">
        <v>167</v>
      </c>
      <c r="CQ15" s="143" t="s">
        <v>167</v>
      </c>
      <c r="CR15" s="143" t="s">
        <v>167</v>
      </c>
      <c r="CS15" s="143" t="s">
        <v>167</v>
      </c>
      <c r="CT15" s="143" t="s">
        <v>167</v>
      </c>
      <c r="CU15" s="143" t="s">
        <v>167</v>
      </c>
      <c r="CV15" s="143" t="s">
        <v>167</v>
      </c>
      <c r="CW15" s="143" t="s">
        <v>167</v>
      </c>
      <c r="CX15" s="143" t="s">
        <v>167</v>
      </c>
      <c r="CY15" s="143" t="s">
        <v>167</v>
      </c>
      <c r="CZ15" s="143" t="s">
        <v>192</v>
      </c>
      <c r="DA15" s="143" t="s">
        <v>193</v>
      </c>
      <c r="DB15" s="145" t="s">
        <v>167</v>
      </c>
      <c r="DC15" s="145" t="s">
        <v>167</v>
      </c>
      <c r="DD15" s="143" t="s">
        <v>167</v>
      </c>
      <c r="DE15" s="143" t="s">
        <v>194</v>
      </c>
      <c r="DF15" s="143" t="s">
        <v>195</v>
      </c>
      <c r="DG15" s="143">
        <v>36</v>
      </c>
      <c r="DH15" s="160" t="s">
        <v>196</v>
      </c>
      <c r="DI15" s="160">
        <v>0</v>
      </c>
      <c r="DJ15" s="160" t="s">
        <v>197</v>
      </c>
      <c r="DK15" s="143" t="s">
        <v>198</v>
      </c>
      <c r="DL15" s="172" t="s">
        <v>199</v>
      </c>
      <c r="DM15" s="172" t="s">
        <v>199</v>
      </c>
      <c r="DN15" s="172" t="s">
        <v>199</v>
      </c>
      <c r="DO15" s="143" t="s">
        <v>198</v>
      </c>
      <c r="DP15" s="172" t="s">
        <v>199</v>
      </c>
      <c r="DQ15" s="172" t="s">
        <v>199</v>
      </c>
      <c r="DR15" s="172" t="s">
        <v>199</v>
      </c>
      <c r="DS15" s="143" t="s">
        <v>198</v>
      </c>
      <c r="DT15" s="172" t="s">
        <v>199</v>
      </c>
      <c r="DU15" s="172" t="s">
        <v>199</v>
      </c>
      <c r="DV15" s="172" t="s">
        <v>199</v>
      </c>
      <c r="DW15" s="143">
        <v>413.7</v>
      </c>
      <c r="DX15" s="143" t="s">
        <v>167</v>
      </c>
      <c r="DY15" s="143" t="s">
        <v>167</v>
      </c>
      <c r="DZ15" s="176" t="s">
        <v>200</v>
      </c>
      <c r="EA15" s="160">
        <v>39.5</v>
      </c>
      <c r="EB15" s="143" t="s">
        <v>201</v>
      </c>
      <c r="EC15" s="145" t="s">
        <v>167</v>
      </c>
      <c r="ED15" s="143" t="s">
        <v>217</v>
      </c>
      <c r="EE15" s="143" t="s">
        <v>203</v>
      </c>
      <c r="EF15" s="143" t="s">
        <v>204</v>
      </c>
      <c r="EG15" s="143">
        <v>1.0271999999999999</v>
      </c>
      <c r="EH15" s="143" t="s">
        <v>199</v>
      </c>
      <c r="EI15" s="143" t="s">
        <v>199</v>
      </c>
      <c r="EJ15" s="143" t="s">
        <v>205</v>
      </c>
      <c r="EK15" s="143" t="s">
        <v>199</v>
      </c>
      <c r="EL15" s="143" t="s">
        <v>199</v>
      </c>
      <c r="EM15" s="145" t="s">
        <v>167</v>
      </c>
      <c r="EN15" s="143" t="s">
        <v>246</v>
      </c>
      <c r="EO15" s="143" t="s">
        <v>207</v>
      </c>
      <c r="EP15" s="143" t="s">
        <v>207</v>
      </c>
      <c r="EQ15" s="145" t="s">
        <v>167</v>
      </c>
      <c r="ER15" s="145" t="s">
        <v>167</v>
      </c>
      <c r="ES15" s="145" t="s">
        <v>167</v>
      </c>
      <c r="ET15" s="143" t="s">
        <v>208</v>
      </c>
      <c r="EU15" s="143" t="s">
        <v>197</v>
      </c>
      <c r="EV15" s="145" t="s">
        <v>167</v>
      </c>
      <c r="EW15" s="177">
        <v>2330</v>
      </c>
      <c r="EX15" s="145" t="s">
        <v>209</v>
      </c>
      <c r="EY15" s="145">
        <f t="shared" si="8"/>
        <v>116.5</v>
      </c>
      <c r="EZ15" s="145">
        <f t="shared" si="9"/>
        <v>116.5</v>
      </c>
      <c r="FA15" s="143" t="s">
        <v>167</v>
      </c>
      <c r="FB15" s="143" t="s">
        <v>167</v>
      </c>
      <c r="FC15" s="143" t="s">
        <v>167</v>
      </c>
      <c r="FD15" s="143" t="s">
        <v>167</v>
      </c>
      <c r="FE15" s="143">
        <v>8.09</v>
      </c>
      <c r="FF15" s="160" t="s">
        <v>210</v>
      </c>
      <c r="FG15" s="160">
        <v>0.02</v>
      </c>
      <c r="FH15" s="160">
        <v>0.02</v>
      </c>
      <c r="FI15" s="143">
        <v>365</v>
      </c>
      <c r="FJ15" s="143" t="s">
        <v>167</v>
      </c>
      <c r="FK15" s="143" t="s">
        <v>167</v>
      </c>
      <c r="FL15" s="143">
        <v>365</v>
      </c>
      <c r="FM15" s="143">
        <v>25</v>
      </c>
      <c r="FN15" s="143">
        <v>25</v>
      </c>
      <c r="FO15" s="160" t="s">
        <v>167</v>
      </c>
      <c r="FP15" s="160" t="s">
        <v>211</v>
      </c>
      <c r="FQ15" s="143" t="s">
        <v>212</v>
      </c>
      <c r="FR15" s="143" t="s">
        <v>212</v>
      </c>
      <c r="FS15" s="143" t="s">
        <v>212</v>
      </c>
      <c r="FT15" s="143" t="s">
        <v>212</v>
      </c>
      <c r="FU15" s="143" t="s">
        <v>212</v>
      </c>
      <c r="FV15" s="143" t="s">
        <v>212</v>
      </c>
      <c r="FW15" s="143" t="s">
        <v>212</v>
      </c>
      <c r="FX15" s="143" t="s">
        <v>212</v>
      </c>
      <c r="FY15" s="143" t="s">
        <v>212</v>
      </c>
      <c r="FZ15" s="143" t="s">
        <v>212</v>
      </c>
      <c r="GA15" s="143" t="s">
        <v>212</v>
      </c>
      <c r="GB15" s="143" t="s">
        <v>212</v>
      </c>
    </row>
    <row r="16" spans="1:185" ht="16" x14ac:dyDescent="0.2">
      <c r="A16" t="s">
        <v>171</v>
      </c>
      <c r="B16" s="142" t="s">
        <v>172</v>
      </c>
      <c r="C16" s="138" t="s">
        <v>168</v>
      </c>
      <c r="D16" t="s">
        <v>273</v>
      </c>
      <c r="E16">
        <v>2010</v>
      </c>
      <c r="F16" t="str">
        <f t="shared" si="1"/>
        <v>10.1016/j.epsl.2010.01.037</v>
      </c>
      <c r="G16" s="144">
        <f t="shared" si="2"/>
        <v>4</v>
      </c>
      <c r="H16" s="143" t="str">
        <f t="shared" si="3"/>
        <v>NA</v>
      </c>
      <c r="I16" s="143" t="str">
        <f t="shared" si="4"/>
        <v>NA</v>
      </c>
      <c r="J16" s="147">
        <f t="shared" si="5"/>
        <v>294</v>
      </c>
      <c r="K16" s="147">
        <f t="shared" si="6"/>
        <v>25</v>
      </c>
      <c r="L16" s="147">
        <f t="shared" si="7"/>
        <v>25</v>
      </c>
      <c r="M16" t="b">
        <v>1</v>
      </c>
      <c r="N16">
        <v>3</v>
      </c>
      <c r="O16" t="s">
        <v>169</v>
      </c>
      <c r="P16" s="164" t="s">
        <v>170</v>
      </c>
      <c r="Q16" t="b">
        <v>0</v>
      </c>
      <c r="R16" t="s">
        <v>167</v>
      </c>
      <c r="S16" t="b">
        <v>1</v>
      </c>
      <c r="T16" t="b">
        <v>0</v>
      </c>
      <c r="U16" t="s">
        <v>167</v>
      </c>
      <c r="V16" t="s">
        <v>167</v>
      </c>
      <c r="W16" t="b">
        <v>0</v>
      </c>
      <c r="X16" t="s">
        <v>167</v>
      </c>
      <c r="Y16" s="139" t="s">
        <v>173</v>
      </c>
      <c r="Z16" s="139" t="s">
        <v>174</v>
      </c>
      <c r="AA16">
        <v>999</v>
      </c>
      <c r="AB16" s="139" t="s">
        <v>175</v>
      </c>
      <c r="AC16" s="139">
        <v>1</v>
      </c>
      <c r="AD16" s="139">
        <v>1</v>
      </c>
      <c r="AE16" s="139">
        <v>4</v>
      </c>
      <c r="AF16" s="139">
        <v>5</v>
      </c>
      <c r="AG16">
        <v>0.05</v>
      </c>
      <c r="AH16" t="s">
        <v>167</v>
      </c>
      <c r="AI16" t="s">
        <v>167</v>
      </c>
      <c r="AJ16" t="s">
        <v>176</v>
      </c>
      <c r="AK16" s="139">
        <v>12.744</v>
      </c>
      <c r="AL16" s="139">
        <v>-78.7393</v>
      </c>
      <c r="AM16" s="139" t="s">
        <v>167</v>
      </c>
      <c r="AN16" s="139" t="s">
        <v>167</v>
      </c>
      <c r="AO16" s="139">
        <v>-2828</v>
      </c>
      <c r="AP16" t="s">
        <v>167</v>
      </c>
      <c r="AQ16" s="139" t="s">
        <v>167</v>
      </c>
      <c r="AR16" s="143" t="s">
        <v>167</v>
      </c>
      <c r="AS16" s="161">
        <v>4</v>
      </c>
      <c r="AT16" s="148" t="s">
        <v>167</v>
      </c>
      <c r="AU16" s="143" t="s">
        <v>167</v>
      </c>
      <c r="AV16" s="143" t="s">
        <v>167</v>
      </c>
      <c r="AW16" s="143" t="s">
        <v>167</v>
      </c>
      <c r="AX16" t="s">
        <v>177</v>
      </c>
      <c r="AY16" s="152" t="s">
        <v>247</v>
      </c>
      <c r="AZ16" t="s">
        <v>167</v>
      </c>
      <c r="BA16" t="s">
        <v>167</v>
      </c>
      <c r="BB16" t="s">
        <v>167</v>
      </c>
      <c r="BC16" t="s">
        <v>167</v>
      </c>
      <c r="BD16" t="s">
        <v>167</v>
      </c>
      <c r="BE16" t="s">
        <v>167</v>
      </c>
      <c r="BF16" t="s">
        <v>167</v>
      </c>
      <c r="BG16" s="139" t="s">
        <v>248</v>
      </c>
      <c r="BH16" s="139" t="s">
        <v>179</v>
      </c>
      <c r="BI16" s="162">
        <v>100</v>
      </c>
      <c r="BJ16" s="154" t="s">
        <v>181</v>
      </c>
      <c r="BK16" s="139" t="s">
        <v>182</v>
      </c>
      <c r="BL16" s="139" t="s">
        <v>183</v>
      </c>
      <c r="BM16" s="139" t="s">
        <v>184</v>
      </c>
      <c r="BN16" t="s">
        <v>249</v>
      </c>
      <c r="BO16">
        <v>2</v>
      </c>
      <c r="BP16">
        <v>7.000000000000027E-2</v>
      </c>
      <c r="BQ16" s="146">
        <v>19.170000000000002</v>
      </c>
      <c r="BR16" s="155" t="s">
        <v>186</v>
      </c>
      <c r="BS16" s="146">
        <v>0.11</v>
      </c>
      <c r="BT16" s="156" t="s">
        <v>167</v>
      </c>
      <c r="BU16" s="156" t="s">
        <v>167</v>
      </c>
      <c r="BV16" s="157" t="s">
        <v>167</v>
      </c>
      <c r="BW16" s="139">
        <v>-0.4</v>
      </c>
      <c r="BX16" s="139" t="s">
        <v>167</v>
      </c>
      <c r="BY16" s="139" t="s">
        <v>167</v>
      </c>
      <c r="BZ16" s="139" t="s">
        <v>187</v>
      </c>
      <c r="CA16" s="139" t="s">
        <v>188</v>
      </c>
      <c r="CB16" s="143" t="s">
        <v>167</v>
      </c>
      <c r="CC16" s="143" t="s">
        <v>167</v>
      </c>
      <c r="CD16" s="143" t="s">
        <v>167</v>
      </c>
      <c r="CE16" s="143" t="s">
        <v>167</v>
      </c>
      <c r="CF16" s="143" t="s">
        <v>167</v>
      </c>
      <c r="CG16" s="143" t="s">
        <v>250</v>
      </c>
      <c r="CH16" s="143" t="s">
        <v>190</v>
      </c>
      <c r="CI16" s="143" t="s">
        <v>190</v>
      </c>
      <c r="CJ16">
        <v>28.3</v>
      </c>
      <c r="CK16" s="138" t="s">
        <v>167</v>
      </c>
      <c r="CL16" s="143">
        <v>1.5</v>
      </c>
      <c r="CM16" s="143">
        <v>1.5</v>
      </c>
      <c r="CN16" t="s">
        <v>191</v>
      </c>
      <c r="CO16" t="s">
        <v>167</v>
      </c>
      <c r="CP16" t="s">
        <v>167</v>
      </c>
      <c r="CQ16" t="s">
        <v>167</v>
      </c>
      <c r="CR16" t="s">
        <v>167</v>
      </c>
      <c r="CS16" t="s">
        <v>167</v>
      </c>
      <c r="CT16" t="s">
        <v>167</v>
      </c>
      <c r="CU16" t="s">
        <v>167</v>
      </c>
      <c r="CV16" t="s">
        <v>167</v>
      </c>
      <c r="CW16" t="s">
        <v>167</v>
      </c>
      <c r="CX16" t="s">
        <v>167</v>
      </c>
      <c r="CY16" t="s">
        <v>167</v>
      </c>
      <c r="CZ16" t="s">
        <v>192</v>
      </c>
      <c r="DA16" s="143" t="s">
        <v>193</v>
      </c>
      <c r="DB16" s="145" t="s">
        <v>167</v>
      </c>
      <c r="DC16" s="145" t="s">
        <v>167</v>
      </c>
      <c r="DD16" s="143" t="s">
        <v>167</v>
      </c>
      <c r="DE16" s="143" t="s">
        <v>194</v>
      </c>
      <c r="DF16" s="143" t="s">
        <v>195</v>
      </c>
      <c r="DG16">
        <v>36</v>
      </c>
      <c r="DH16" s="139" t="s">
        <v>196</v>
      </c>
      <c r="DI16" s="139">
        <v>0</v>
      </c>
      <c r="DJ16" s="139" t="s">
        <v>197</v>
      </c>
      <c r="DK16" t="s">
        <v>198</v>
      </c>
      <c r="DL16" s="146" t="s">
        <v>199</v>
      </c>
      <c r="DM16" s="146" t="s">
        <v>199</v>
      </c>
      <c r="DN16" s="146" t="s">
        <v>199</v>
      </c>
      <c r="DO16" t="s">
        <v>198</v>
      </c>
      <c r="DP16" s="146" t="s">
        <v>199</v>
      </c>
      <c r="DQ16" s="146" t="s">
        <v>199</v>
      </c>
      <c r="DR16" s="146" t="s">
        <v>199</v>
      </c>
      <c r="DS16" t="s">
        <v>198</v>
      </c>
      <c r="DT16" s="146" t="s">
        <v>199</v>
      </c>
      <c r="DU16" s="146" t="s">
        <v>199</v>
      </c>
      <c r="DV16" s="146" t="s">
        <v>199</v>
      </c>
      <c r="DW16" s="143">
        <v>413.7</v>
      </c>
      <c r="DX16" s="143" t="s">
        <v>167</v>
      </c>
      <c r="DY16" s="143" t="s">
        <v>167</v>
      </c>
      <c r="DZ16" s="149" t="s">
        <v>200</v>
      </c>
      <c r="EA16" s="139">
        <v>39.5</v>
      </c>
      <c r="EB16" t="s">
        <v>201</v>
      </c>
      <c r="EC16" s="150" t="s">
        <v>167</v>
      </c>
      <c r="ED16" t="s">
        <v>217</v>
      </c>
      <c r="EE16" t="s">
        <v>203</v>
      </c>
      <c r="EF16" t="s">
        <v>204</v>
      </c>
      <c r="EG16">
        <v>1.0271999999999999</v>
      </c>
      <c r="EH16" t="s">
        <v>199</v>
      </c>
      <c r="EI16" t="s">
        <v>199</v>
      </c>
      <c r="EJ16" t="s">
        <v>205</v>
      </c>
      <c r="EK16" t="s">
        <v>199</v>
      </c>
      <c r="EL16" t="s">
        <v>199</v>
      </c>
      <c r="EM16" s="145" t="s">
        <v>167</v>
      </c>
      <c r="EN16" s="143" t="s">
        <v>251</v>
      </c>
      <c r="EO16" s="143" t="s">
        <v>207</v>
      </c>
      <c r="EP16" s="143" t="s">
        <v>207</v>
      </c>
      <c r="EQ16" s="145" t="s">
        <v>167</v>
      </c>
      <c r="ER16" s="145" t="s">
        <v>167</v>
      </c>
      <c r="ES16" s="145" t="s">
        <v>167</v>
      </c>
      <c r="ET16" t="s">
        <v>208</v>
      </c>
      <c r="EU16" t="s">
        <v>197</v>
      </c>
      <c r="EV16" s="150" t="s">
        <v>167</v>
      </c>
      <c r="EW16" s="159">
        <v>2330</v>
      </c>
      <c r="EX16" s="150" t="s">
        <v>209</v>
      </c>
      <c r="EY16" s="150">
        <f t="shared" si="8"/>
        <v>116.5</v>
      </c>
      <c r="EZ16" s="150">
        <f t="shared" si="9"/>
        <v>116.5</v>
      </c>
      <c r="FA16" s="143" t="s">
        <v>167</v>
      </c>
      <c r="FB16" s="143" t="s">
        <v>167</v>
      </c>
      <c r="FC16" s="143" t="s">
        <v>167</v>
      </c>
      <c r="FD16" s="143" t="s">
        <v>167</v>
      </c>
      <c r="FE16">
        <v>8.15</v>
      </c>
      <c r="FF16" s="139" t="s">
        <v>210</v>
      </c>
      <c r="FG16" s="139">
        <v>0.02</v>
      </c>
      <c r="FH16" s="139">
        <v>0.02</v>
      </c>
      <c r="FI16">
        <v>294</v>
      </c>
      <c r="FJ16" t="s">
        <v>167</v>
      </c>
      <c r="FK16" t="s">
        <v>167</v>
      </c>
      <c r="FL16">
        <v>294</v>
      </c>
      <c r="FM16">
        <v>25</v>
      </c>
      <c r="FN16">
        <v>25</v>
      </c>
      <c r="FO16" s="160" t="s">
        <v>167</v>
      </c>
      <c r="FP16" s="139" t="s">
        <v>211</v>
      </c>
      <c r="FQ16" t="s">
        <v>212</v>
      </c>
      <c r="FR16" t="s">
        <v>212</v>
      </c>
      <c r="FS16" t="s">
        <v>212</v>
      </c>
      <c r="FT16" t="s">
        <v>212</v>
      </c>
      <c r="FU16" t="s">
        <v>212</v>
      </c>
      <c r="FV16" t="s">
        <v>212</v>
      </c>
      <c r="FW16" t="s">
        <v>212</v>
      </c>
      <c r="FX16" t="s">
        <v>212</v>
      </c>
      <c r="FY16" t="s">
        <v>212</v>
      </c>
      <c r="FZ16" t="s">
        <v>212</v>
      </c>
      <c r="GA16" t="s">
        <v>212</v>
      </c>
      <c r="GB16" t="s">
        <v>212</v>
      </c>
    </row>
    <row r="17" spans="1:184" ht="16" x14ac:dyDescent="0.2">
      <c r="A17" t="s">
        <v>171</v>
      </c>
      <c r="B17" s="142" t="s">
        <v>172</v>
      </c>
      <c r="C17" s="138" t="s">
        <v>168</v>
      </c>
      <c r="D17" t="s">
        <v>273</v>
      </c>
      <c r="E17">
        <v>2010</v>
      </c>
      <c r="F17" t="str">
        <f t="shared" si="1"/>
        <v>10.1016/j.epsl.2010.01.037</v>
      </c>
      <c r="G17" s="144">
        <f t="shared" si="2"/>
        <v>900</v>
      </c>
      <c r="H17" s="143" t="str">
        <f t="shared" si="3"/>
        <v>NA</v>
      </c>
      <c r="I17" s="143" t="str">
        <f t="shared" si="4"/>
        <v>NA</v>
      </c>
      <c r="J17" s="147">
        <f t="shared" si="5"/>
        <v>280</v>
      </c>
      <c r="K17" s="147">
        <f t="shared" si="6"/>
        <v>25</v>
      </c>
      <c r="L17" s="147">
        <f t="shared" si="7"/>
        <v>25</v>
      </c>
      <c r="M17" t="b">
        <v>1</v>
      </c>
      <c r="N17">
        <v>3</v>
      </c>
      <c r="O17" t="s">
        <v>169</v>
      </c>
      <c r="P17" s="163" t="s">
        <v>274</v>
      </c>
      <c r="Q17" t="b">
        <v>0</v>
      </c>
      <c r="R17" t="s">
        <v>167</v>
      </c>
      <c r="S17" t="b">
        <v>1</v>
      </c>
      <c r="T17" t="b">
        <v>0</v>
      </c>
      <c r="U17" t="s">
        <v>167</v>
      </c>
      <c r="V17" t="s">
        <v>167</v>
      </c>
      <c r="W17" t="b">
        <v>0</v>
      </c>
      <c r="X17" t="s">
        <v>167</v>
      </c>
      <c r="Y17" s="139" t="s">
        <v>173</v>
      </c>
      <c r="Z17" s="139" t="s">
        <v>174</v>
      </c>
      <c r="AA17">
        <v>999</v>
      </c>
      <c r="AB17" s="139" t="s">
        <v>175</v>
      </c>
      <c r="AC17">
        <v>4</v>
      </c>
      <c r="AD17">
        <v>4</v>
      </c>
      <c r="AE17">
        <v>33</v>
      </c>
      <c r="AF17">
        <v>35</v>
      </c>
      <c r="AG17">
        <v>31.43</v>
      </c>
      <c r="AH17" t="s">
        <v>167</v>
      </c>
      <c r="AI17" t="s">
        <v>167</v>
      </c>
      <c r="AJ17" t="s">
        <v>176</v>
      </c>
      <c r="AK17" s="139">
        <v>12.744</v>
      </c>
      <c r="AL17" s="139">
        <v>-78.7393</v>
      </c>
      <c r="AM17" s="139" t="s">
        <v>167</v>
      </c>
      <c r="AN17" s="139" t="s">
        <v>167</v>
      </c>
      <c r="AO17" s="139">
        <v>-2828</v>
      </c>
      <c r="AP17" t="s">
        <v>167</v>
      </c>
      <c r="AQ17" s="139" t="s">
        <v>167</v>
      </c>
      <c r="AR17" s="143" t="s">
        <v>167</v>
      </c>
      <c r="AS17" s="161">
        <v>900</v>
      </c>
      <c r="AT17" s="148" t="s">
        <v>167</v>
      </c>
      <c r="AU17" s="143" t="s">
        <v>167</v>
      </c>
      <c r="AV17" s="143" t="s">
        <v>167</v>
      </c>
      <c r="AW17" s="143" t="s">
        <v>167</v>
      </c>
      <c r="AX17" t="s">
        <v>177</v>
      </c>
      <c r="AY17" s="152" t="s">
        <v>252</v>
      </c>
      <c r="AZ17" t="s">
        <v>167</v>
      </c>
      <c r="BA17" t="s">
        <v>167</v>
      </c>
      <c r="BB17" t="s">
        <v>167</v>
      </c>
      <c r="BC17" t="s">
        <v>167</v>
      </c>
      <c r="BD17" t="s">
        <v>167</v>
      </c>
      <c r="BE17" t="s">
        <v>167</v>
      </c>
      <c r="BF17" t="s">
        <v>167</v>
      </c>
      <c r="BG17" s="139" t="s">
        <v>248</v>
      </c>
      <c r="BH17" s="139" t="s">
        <v>179</v>
      </c>
      <c r="BI17" s="162">
        <v>100</v>
      </c>
      <c r="BJ17" s="154" t="s">
        <v>181</v>
      </c>
      <c r="BK17" s="139" t="s">
        <v>182</v>
      </c>
      <c r="BL17" s="139" t="s">
        <v>183</v>
      </c>
      <c r="BM17" s="139" t="s">
        <v>184</v>
      </c>
      <c r="BN17" t="s">
        <v>253</v>
      </c>
      <c r="BO17">
        <v>2</v>
      </c>
      <c r="BP17">
        <v>0.12999999999999901</v>
      </c>
      <c r="BQ17" s="146">
        <v>18.989999999999998</v>
      </c>
      <c r="BR17" s="155" t="s">
        <v>186</v>
      </c>
      <c r="BS17" s="146">
        <v>0.09</v>
      </c>
      <c r="BT17" s="156" t="s">
        <v>167</v>
      </c>
      <c r="BU17" s="156" t="s">
        <v>167</v>
      </c>
      <c r="BV17" s="157" t="s">
        <v>167</v>
      </c>
      <c r="BW17" s="139">
        <v>-0.4</v>
      </c>
      <c r="BX17" s="139" t="s">
        <v>167</v>
      </c>
      <c r="BY17" s="139" t="s">
        <v>167</v>
      </c>
      <c r="BZ17" s="139" t="s">
        <v>187</v>
      </c>
      <c r="CA17" s="139" t="s">
        <v>188</v>
      </c>
      <c r="CB17" s="143" t="s">
        <v>167</v>
      </c>
      <c r="CC17" s="143" t="s">
        <v>167</v>
      </c>
      <c r="CD17" s="143" t="s">
        <v>167</v>
      </c>
      <c r="CE17" s="143" t="s">
        <v>167</v>
      </c>
      <c r="CF17" s="143" t="s">
        <v>167</v>
      </c>
      <c r="CG17" s="143" t="s">
        <v>250</v>
      </c>
      <c r="CH17" s="143" t="s">
        <v>190</v>
      </c>
      <c r="CI17" s="143" t="s">
        <v>190</v>
      </c>
      <c r="CJ17">
        <v>25.3</v>
      </c>
      <c r="CK17" s="138" t="s">
        <v>167</v>
      </c>
      <c r="CL17" s="143">
        <v>1.5</v>
      </c>
      <c r="CM17" s="143">
        <v>1.5</v>
      </c>
      <c r="CN17" t="s">
        <v>191</v>
      </c>
      <c r="CO17" t="s">
        <v>167</v>
      </c>
      <c r="CP17" t="s">
        <v>167</v>
      </c>
      <c r="CQ17" t="s">
        <v>167</v>
      </c>
      <c r="CR17" t="s">
        <v>167</v>
      </c>
      <c r="CS17" t="s">
        <v>167</v>
      </c>
      <c r="CT17" t="s">
        <v>167</v>
      </c>
      <c r="CU17" t="s">
        <v>167</v>
      </c>
      <c r="CV17" t="s">
        <v>167</v>
      </c>
      <c r="CW17" t="s">
        <v>167</v>
      </c>
      <c r="CX17" t="s">
        <v>167</v>
      </c>
      <c r="CY17" t="s">
        <v>167</v>
      </c>
      <c r="CZ17" t="s">
        <v>192</v>
      </c>
      <c r="DA17" s="143" t="s">
        <v>193</v>
      </c>
      <c r="DB17" s="145" t="s">
        <v>167</v>
      </c>
      <c r="DC17" s="145" t="s">
        <v>167</v>
      </c>
      <c r="DD17" s="143" t="s">
        <v>167</v>
      </c>
      <c r="DE17" s="143" t="s">
        <v>194</v>
      </c>
      <c r="DF17" s="143" t="s">
        <v>195</v>
      </c>
      <c r="DG17">
        <v>36</v>
      </c>
      <c r="DH17" s="139" t="s">
        <v>196</v>
      </c>
      <c r="DI17" s="139">
        <v>0</v>
      </c>
      <c r="DJ17" s="139" t="s">
        <v>197</v>
      </c>
      <c r="DK17" t="s">
        <v>198</v>
      </c>
      <c r="DL17" s="146" t="s">
        <v>199</v>
      </c>
      <c r="DM17" s="146" t="s">
        <v>199</v>
      </c>
      <c r="DN17" s="146" t="s">
        <v>199</v>
      </c>
      <c r="DO17" t="s">
        <v>198</v>
      </c>
      <c r="DP17" s="146" t="s">
        <v>199</v>
      </c>
      <c r="DQ17" s="146" t="s">
        <v>199</v>
      </c>
      <c r="DR17" s="146" t="s">
        <v>199</v>
      </c>
      <c r="DS17" t="s">
        <v>198</v>
      </c>
      <c r="DT17" s="146" t="s">
        <v>199</v>
      </c>
      <c r="DU17" s="146" t="s">
        <v>199</v>
      </c>
      <c r="DV17" s="146" t="s">
        <v>199</v>
      </c>
      <c r="DW17" s="143">
        <v>413.7</v>
      </c>
      <c r="DX17" s="143" t="s">
        <v>167</v>
      </c>
      <c r="DY17" s="143" t="s">
        <v>167</v>
      </c>
      <c r="DZ17" s="149" t="s">
        <v>200</v>
      </c>
      <c r="EA17" s="139">
        <v>39.5</v>
      </c>
      <c r="EB17" t="s">
        <v>201</v>
      </c>
      <c r="EC17" s="150" t="s">
        <v>167</v>
      </c>
      <c r="ED17" t="s">
        <v>217</v>
      </c>
      <c r="EE17" t="s">
        <v>203</v>
      </c>
      <c r="EF17" t="s">
        <v>204</v>
      </c>
      <c r="EG17">
        <v>1.0271999999999999</v>
      </c>
      <c r="EH17" t="s">
        <v>199</v>
      </c>
      <c r="EI17" t="s">
        <v>199</v>
      </c>
      <c r="EJ17" t="s">
        <v>205</v>
      </c>
      <c r="EK17" t="s">
        <v>199</v>
      </c>
      <c r="EL17" t="s">
        <v>199</v>
      </c>
      <c r="EM17" s="145" t="s">
        <v>167</v>
      </c>
      <c r="EN17" s="143" t="s">
        <v>254</v>
      </c>
      <c r="EO17" s="143" t="s">
        <v>207</v>
      </c>
      <c r="EP17" s="143" t="s">
        <v>207</v>
      </c>
      <c r="EQ17" s="145" t="s">
        <v>167</v>
      </c>
      <c r="ER17" s="145" t="s">
        <v>167</v>
      </c>
      <c r="ES17" s="145" t="s">
        <v>167</v>
      </c>
      <c r="ET17" t="s">
        <v>208</v>
      </c>
      <c r="EU17" t="s">
        <v>197</v>
      </c>
      <c r="EV17" s="150" t="s">
        <v>167</v>
      </c>
      <c r="EW17" s="159">
        <v>2330</v>
      </c>
      <c r="EX17" s="150" t="s">
        <v>209</v>
      </c>
      <c r="EY17" s="150">
        <f t="shared" si="8"/>
        <v>116.5</v>
      </c>
      <c r="EZ17" s="150">
        <f t="shared" si="9"/>
        <v>116.5</v>
      </c>
      <c r="FA17" s="143" t="s">
        <v>167</v>
      </c>
      <c r="FB17" s="143" t="s">
        <v>167</v>
      </c>
      <c r="FC17" s="143" t="s">
        <v>167</v>
      </c>
      <c r="FD17" s="143" t="s">
        <v>167</v>
      </c>
      <c r="FE17">
        <v>8.17</v>
      </c>
      <c r="FF17" s="139" t="s">
        <v>210</v>
      </c>
      <c r="FG17" s="139">
        <v>0.02</v>
      </c>
      <c r="FH17" s="139">
        <v>0.02</v>
      </c>
      <c r="FI17">
        <v>280</v>
      </c>
      <c r="FJ17" t="s">
        <v>167</v>
      </c>
      <c r="FK17" t="s">
        <v>167</v>
      </c>
      <c r="FL17">
        <v>280</v>
      </c>
      <c r="FM17">
        <v>25</v>
      </c>
      <c r="FN17">
        <v>25</v>
      </c>
      <c r="FO17" s="160" t="s">
        <v>167</v>
      </c>
      <c r="FP17" s="139" t="s">
        <v>211</v>
      </c>
      <c r="FQ17" t="s">
        <v>212</v>
      </c>
      <c r="FR17" t="s">
        <v>212</v>
      </c>
      <c r="FS17" t="s">
        <v>212</v>
      </c>
      <c r="FT17" t="s">
        <v>212</v>
      </c>
      <c r="FU17" t="s">
        <v>212</v>
      </c>
      <c r="FV17" t="s">
        <v>212</v>
      </c>
      <c r="FW17" t="s">
        <v>212</v>
      </c>
      <c r="FX17" t="s">
        <v>212</v>
      </c>
      <c r="FY17" t="s">
        <v>212</v>
      </c>
      <c r="FZ17" t="s">
        <v>212</v>
      </c>
      <c r="GA17" t="s">
        <v>212</v>
      </c>
      <c r="GB17" t="s">
        <v>212</v>
      </c>
    </row>
    <row r="18" spans="1:184" ht="16" x14ac:dyDescent="0.2">
      <c r="A18" t="s">
        <v>171</v>
      </c>
      <c r="B18" s="142" t="s">
        <v>172</v>
      </c>
      <c r="C18" s="138" t="s">
        <v>168</v>
      </c>
      <c r="D18" t="s">
        <v>273</v>
      </c>
      <c r="E18">
        <v>2010</v>
      </c>
      <c r="F18" t="str">
        <f t="shared" si="1"/>
        <v>10.1016/j.epsl.2010.01.037</v>
      </c>
      <c r="G18" s="144">
        <f t="shared" si="2"/>
        <v>1500</v>
      </c>
      <c r="H18" s="143" t="str">
        <f t="shared" si="3"/>
        <v>NA</v>
      </c>
      <c r="I18" s="143" t="str">
        <f t="shared" si="4"/>
        <v>NA</v>
      </c>
      <c r="J18" s="147">
        <f t="shared" si="5"/>
        <v>254</v>
      </c>
      <c r="K18" s="147">
        <f t="shared" si="6"/>
        <v>25</v>
      </c>
      <c r="L18" s="147">
        <f t="shared" si="7"/>
        <v>25</v>
      </c>
      <c r="M18" t="b">
        <v>1</v>
      </c>
      <c r="N18">
        <v>3</v>
      </c>
      <c r="O18" t="s">
        <v>169</v>
      </c>
      <c r="P18" s="163" t="s">
        <v>275</v>
      </c>
      <c r="Q18" t="b">
        <v>0</v>
      </c>
      <c r="R18" t="s">
        <v>167</v>
      </c>
      <c r="S18" t="b">
        <v>1</v>
      </c>
      <c r="T18" t="b">
        <v>0</v>
      </c>
      <c r="U18" t="s">
        <v>167</v>
      </c>
      <c r="V18" t="s">
        <v>167</v>
      </c>
      <c r="W18" t="b">
        <v>0</v>
      </c>
      <c r="X18" t="s">
        <v>167</v>
      </c>
      <c r="Y18" s="139" t="s">
        <v>173</v>
      </c>
      <c r="Z18" s="139" t="s">
        <v>174</v>
      </c>
      <c r="AA18">
        <v>999</v>
      </c>
      <c r="AB18" s="139" t="s">
        <v>175</v>
      </c>
      <c r="AC18">
        <v>6</v>
      </c>
      <c r="AD18">
        <v>3</v>
      </c>
      <c r="AE18">
        <v>108</v>
      </c>
      <c r="AF18">
        <v>110</v>
      </c>
      <c r="AG18">
        <v>49.68</v>
      </c>
      <c r="AH18" t="s">
        <v>167</v>
      </c>
      <c r="AI18" t="s">
        <v>167</v>
      </c>
      <c r="AJ18" t="s">
        <v>176</v>
      </c>
      <c r="AK18" s="139">
        <v>12.744</v>
      </c>
      <c r="AL18" s="139">
        <v>-78.7393</v>
      </c>
      <c r="AM18" s="139" t="s">
        <v>167</v>
      </c>
      <c r="AN18" s="139" t="s">
        <v>167</v>
      </c>
      <c r="AO18" s="139">
        <v>-2828</v>
      </c>
      <c r="AP18" t="s">
        <v>167</v>
      </c>
      <c r="AQ18" s="139" t="s">
        <v>167</v>
      </c>
      <c r="AR18" s="143" t="s">
        <v>167</v>
      </c>
      <c r="AS18" s="161">
        <v>1500</v>
      </c>
      <c r="AT18" s="148" t="s">
        <v>167</v>
      </c>
      <c r="AU18" s="143" t="s">
        <v>167</v>
      </c>
      <c r="AV18" s="143" t="s">
        <v>167</v>
      </c>
      <c r="AW18" s="143" t="s">
        <v>167</v>
      </c>
      <c r="AX18" t="s">
        <v>177</v>
      </c>
      <c r="AY18" s="152" t="s">
        <v>255</v>
      </c>
      <c r="AZ18" t="s">
        <v>167</v>
      </c>
      <c r="BA18" t="s">
        <v>167</v>
      </c>
      <c r="BB18" t="s">
        <v>167</v>
      </c>
      <c r="BC18" t="s">
        <v>167</v>
      </c>
      <c r="BD18" t="s">
        <v>167</v>
      </c>
      <c r="BE18" t="s">
        <v>167</v>
      </c>
      <c r="BF18" t="s">
        <v>167</v>
      </c>
      <c r="BG18" s="139" t="s">
        <v>248</v>
      </c>
      <c r="BH18" s="139" t="s">
        <v>179</v>
      </c>
      <c r="BI18" s="162">
        <v>100</v>
      </c>
      <c r="BJ18" s="154" t="s">
        <v>181</v>
      </c>
      <c r="BK18" s="139" t="s">
        <v>182</v>
      </c>
      <c r="BL18" s="139" t="s">
        <v>183</v>
      </c>
      <c r="BM18" s="139" t="s">
        <v>184</v>
      </c>
      <c r="BN18" t="s">
        <v>256</v>
      </c>
      <c r="BO18">
        <v>2</v>
      </c>
      <c r="BP18">
        <v>7.9999999999998295E-2</v>
      </c>
      <c r="BQ18" s="146">
        <v>19.77</v>
      </c>
      <c r="BR18" s="155" t="s">
        <v>186</v>
      </c>
      <c r="BS18" s="146">
        <v>0.12</v>
      </c>
      <c r="BT18" s="156" t="s">
        <v>167</v>
      </c>
      <c r="BU18" s="156" t="s">
        <v>167</v>
      </c>
      <c r="BV18" s="157" t="s">
        <v>167</v>
      </c>
      <c r="BW18" s="139">
        <v>-0.4</v>
      </c>
      <c r="BX18" s="139" t="s">
        <v>167</v>
      </c>
      <c r="BY18" s="139" t="s">
        <v>167</v>
      </c>
      <c r="BZ18" s="139" t="s">
        <v>187</v>
      </c>
      <c r="CA18" s="139" t="s">
        <v>188</v>
      </c>
      <c r="CB18" s="143" t="s">
        <v>167</v>
      </c>
      <c r="CC18" s="143" t="s">
        <v>167</v>
      </c>
      <c r="CD18" s="143" t="s">
        <v>167</v>
      </c>
      <c r="CE18" s="143" t="s">
        <v>167</v>
      </c>
      <c r="CF18" s="143" t="s">
        <v>167</v>
      </c>
      <c r="CG18" s="143" t="s">
        <v>250</v>
      </c>
      <c r="CH18" s="143" t="s">
        <v>190</v>
      </c>
      <c r="CI18" s="143" t="s">
        <v>190</v>
      </c>
      <c r="CJ18">
        <v>28</v>
      </c>
      <c r="CK18" s="138" t="s">
        <v>167</v>
      </c>
      <c r="CL18" s="143">
        <v>1.5</v>
      </c>
      <c r="CM18" s="143">
        <v>1.5</v>
      </c>
      <c r="CN18" t="s">
        <v>191</v>
      </c>
      <c r="CO18" t="s">
        <v>167</v>
      </c>
      <c r="CP18" t="s">
        <v>167</v>
      </c>
      <c r="CQ18" t="s">
        <v>167</v>
      </c>
      <c r="CR18" t="s">
        <v>167</v>
      </c>
      <c r="CS18" t="s">
        <v>167</v>
      </c>
      <c r="CT18" t="s">
        <v>167</v>
      </c>
      <c r="CU18" t="s">
        <v>167</v>
      </c>
      <c r="CV18" t="s">
        <v>167</v>
      </c>
      <c r="CW18" t="s">
        <v>167</v>
      </c>
      <c r="CX18" t="s">
        <v>167</v>
      </c>
      <c r="CY18" t="s">
        <v>167</v>
      </c>
      <c r="CZ18" t="s">
        <v>192</v>
      </c>
      <c r="DA18" s="143" t="s">
        <v>193</v>
      </c>
      <c r="DB18" s="145" t="s">
        <v>167</v>
      </c>
      <c r="DC18" s="145" t="s">
        <v>167</v>
      </c>
      <c r="DD18" s="143" t="s">
        <v>167</v>
      </c>
      <c r="DE18" s="143" t="s">
        <v>194</v>
      </c>
      <c r="DF18" s="143" t="s">
        <v>195</v>
      </c>
      <c r="DG18">
        <v>36</v>
      </c>
      <c r="DH18" s="139" t="s">
        <v>196</v>
      </c>
      <c r="DI18" s="139">
        <v>0</v>
      </c>
      <c r="DJ18" s="139" t="s">
        <v>197</v>
      </c>
      <c r="DK18" t="s">
        <v>198</v>
      </c>
      <c r="DL18" s="146" t="s">
        <v>199</v>
      </c>
      <c r="DM18" s="146" t="s">
        <v>199</v>
      </c>
      <c r="DN18" s="146" t="s">
        <v>199</v>
      </c>
      <c r="DO18" t="s">
        <v>198</v>
      </c>
      <c r="DP18" s="146" t="s">
        <v>199</v>
      </c>
      <c r="DQ18" s="146" t="s">
        <v>199</v>
      </c>
      <c r="DR18" s="146" t="s">
        <v>199</v>
      </c>
      <c r="DS18" t="s">
        <v>198</v>
      </c>
      <c r="DT18" s="146" t="s">
        <v>199</v>
      </c>
      <c r="DU18" s="146" t="s">
        <v>199</v>
      </c>
      <c r="DV18" s="146" t="s">
        <v>199</v>
      </c>
      <c r="DW18" s="143">
        <v>413.7</v>
      </c>
      <c r="DX18" s="143" t="s">
        <v>167</v>
      </c>
      <c r="DY18" s="143" t="s">
        <v>167</v>
      </c>
      <c r="DZ18" s="149" t="s">
        <v>200</v>
      </c>
      <c r="EA18" s="139">
        <v>39.5</v>
      </c>
      <c r="EB18" t="s">
        <v>201</v>
      </c>
      <c r="EC18" s="150" t="s">
        <v>167</v>
      </c>
      <c r="ED18" t="s">
        <v>217</v>
      </c>
      <c r="EE18" t="s">
        <v>203</v>
      </c>
      <c r="EF18" t="s">
        <v>204</v>
      </c>
      <c r="EG18">
        <v>1.0271999999999999</v>
      </c>
      <c r="EH18" t="s">
        <v>199</v>
      </c>
      <c r="EI18" t="s">
        <v>199</v>
      </c>
      <c r="EJ18" t="s">
        <v>205</v>
      </c>
      <c r="EK18" t="s">
        <v>199</v>
      </c>
      <c r="EL18" t="s">
        <v>199</v>
      </c>
      <c r="EM18" s="145" t="s">
        <v>167</v>
      </c>
      <c r="EN18" s="143" t="s">
        <v>257</v>
      </c>
      <c r="EO18" s="143" t="s">
        <v>207</v>
      </c>
      <c r="EP18" s="143" t="s">
        <v>207</v>
      </c>
      <c r="EQ18" s="145" t="s">
        <v>167</v>
      </c>
      <c r="ER18" s="145" t="s">
        <v>167</v>
      </c>
      <c r="ES18" s="145" t="s">
        <v>167</v>
      </c>
      <c r="ET18" t="s">
        <v>208</v>
      </c>
      <c r="EU18" t="s">
        <v>197</v>
      </c>
      <c r="EV18" s="150" t="s">
        <v>167</v>
      </c>
      <c r="EW18" s="159">
        <v>2330</v>
      </c>
      <c r="EX18" s="150" t="s">
        <v>209</v>
      </c>
      <c r="EY18" s="150">
        <f t="shared" si="8"/>
        <v>116.5</v>
      </c>
      <c r="EZ18" s="150">
        <f t="shared" si="9"/>
        <v>116.5</v>
      </c>
      <c r="FA18" s="143" t="s">
        <v>167</v>
      </c>
      <c r="FB18" s="143" t="s">
        <v>167</v>
      </c>
      <c r="FC18" s="143" t="s">
        <v>167</v>
      </c>
      <c r="FD18" s="143" t="s">
        <v>167</v>
      </c>
      <c r="FE18">
        <v>8.1999999999999993</v>
      </c>
      <c r="FF18" s="139" t="s">
        <v>210</v>
      </c>
      <c r="FG18" s="139">
        <v>0.02</v>
      </c>
      <c r="FH18" s="139">
        <v>0.02</v>
      </c>
      <c r="FI18">
        <v>254</v>
      </c>
      <c r="FJ18" t="s">
        <v>167</v>
      </c>
      <c r="FK18" t="s">
        <v>167</v>
      </c>
      <c r="FL18">
        <v>254</v>
      </c>
      <c r="FM18">
        <v>25</v>
      </c>
      <c r="FN18">
        <v>25</v>
      </c>
      <c r="FO18" s="160" t="s">
        <v>167</v>
      </c>
      <c r="FP18" s="139" t="s">
        <v>211</v>
      </c>
      <c r="FQ18" t="s">
        <v>212</v>
      </c>
      <c r="FR18" t="s">
        <v>212</v>
      </c>
      <c r="FS18" t="s">
        <v>212</v>
      </c>
      <c r="FT18" t="s">
        <v>212</v>
      </c>
      <c r="FU18" t="s">
        <v>212</v>
      </c>
      <c r="FV18" t="s">
        <v>212</v>
      </c>
      <c r="FW18" t="s">
        <v>212</v>
      </c>
      <c r="FX18" t="s">
        <v>212</v>
      </c>
      <c r="FY18" t="s">
        <v>212</v>
      </c>
      <c r="FZ18" t="s">
        <v>212</v>
      </c>
      <c r="GA18" t="s">
        <v>212</v>
      </c>
      <c r="GB18" t="s">
        <v>212</v>
      </c>
    </row>
    <row r="19" spans="1:184" ht="16" x14ac:dyDescent="0.2">
      <c r="A19" t="s">
        <v>171</v>
      </c>
      <c r="B19" s="142" t="s">
        <v>172</v>
      </c>
      <c r="C19" s="138" t="s">
        <v>168</v>
      </c>
      <c r="D19" t="s">
        <v>273</v>
      </c>
      <c r="E19">
        <v>2010</v>
      </c>
      <c r="F19" t="str">
        <f t="shared" si="1"/>
        <v>10.1016/j.epsl.2010.01.037</v>
      </c>
      <c r="G19" s="144">
        <f t="shared" si="2"/>
        <v>2109</v>
      </c>
      <c r="H19" s="143" t="str">
        <f t="shared" si="3"/>
        <v>NA</v>
      </c>
      <c r="I19" s="143" t="str">
        <f t="shared" si="4"/>
        <v>NA</v>
      </c>
      <c r="J19" s="147">
        <f t="shared" si="5"/>
        <v>369</v>
      </c>
      <c r="K19" s="147">
        <f t="shared" si="6"/>
        <v>25</v>
      </c>
      <c r="L19" s="147">
        <f t="shared" si="7"/>
        <v>25</v>
      </c>
      <c r="M19" t="b">
        <v>1</v>
      </c>
      <c r="N19">
        <v>3</v>
      </c>
      <c r="O19" t="s">
        <v>169</v>
      </c>
      <c r="P19" s="163" t="s">
        <v>276</v>
      </c>
      <c r="Q19" t="b">
        <v>0</v>
      </c>
      <c r="R19" t="s">
        <v>167</v>
      </c>
      <c r="S19" t="b">
        <v>1</v>
      </c>
      <c r="T19" t="b">
        <v>0</v>
      </c>
      <c r="U19" t="s">
        <v>167</v>
      </c>
      <c r="V19" t="s">
        <v>167</v>
      </c>
      <c r="W19" t="b">
        <v>0</v>
      </c>
      <c r="X19" t="s">
        <v>167</v>
      </c>
      <c r="Y19" s="139" t="s">
        <v>173</v>
      </c>
      <c r="Z19" s="139" t="s">
        <v>174</v>
      </c>
      <c r="AA19">
        <v>999</v>
      </c>
      <c r="AB19" s="139" t="s">
        <v>175</v>
      </c>
      <c r="AC19">
        <v>8</v>
      </c>
      <c r="AD19">
        <v>4</v>
      </c>
      <c r="AE19">
        <v>51</v>
      </c>
      <c r="AF19">
        <v>53</v>
      </c>
      <c r="AG19">
        <v>69.61</v>
      </c>
      <c r="AH19" t="s">
        <v>167</v>
      </c>
      <c r="AI19" t="s">
        <v>167</v>
      </c>
      <c r="AJ19" t="s">
        <v>176</v>
      </c>
      <c r="AK19" s="139">
        <v>12.744</v>
      </c>
      <c r="AL19" s="139">
        <v>-78.7393</v>
      </c>
      <c r="AM19" s="139" t="s">
        <v>167</v>
      </c>
      <c r="AN19" s="139" t="s">
        <v>167</v>
      </c>
      <c r="AO19" s="139">
        <v>-2828</v>
      </c>
      <c r="AP19" t="s">
        <v>167</v>
      </c>
      <c r="AQ19" s="139" t="s">
        <v>167</v>
      </c>
      <c r="AR19" s="143" t="s">
        <v>167</v>
      </c>
      <c r="AS19" s="161">
        <v>2109</v>
      </c>
      <c r="AT19" s="148" t="s">
        <v>167</v>
      </c>
      <c r="AU19" s="143" t="s">
        <v>167</v>
      </c>
      <c r="AV19" s="143" t="s">
        <v>167</v>
      </c>
      <c r="AW19" s="143" t="s">
        <v>167</v>
      </c>
      <c r="AX19" t="s">
        <v>177</v>
      </c>
      <c r="AY19" s="152" t="s">
        <v>258</v>
      </c>
      <c r="AZ19" t="s">
        <v>167</v>
      </c>
      <c r="BA19" t="s">
        <v>167</v>
      </c>
      <c r="BB19" t="s">
        <v>167</v>
      </c>
      <c r="BC19" t="s">
        <v>167</v>
      </c>
      <c r="BD19" t="s">
        <v>167</v>
      </c>
      <c r="BE19" t="s">
        <v>167</v>
      </c>
      <c r="BF19" t="s">
        <v>167</v>
      </c>
      <c r="BG19" s="139" t="s">
        <v>248</v>
      </c>
      <c r="BH19" s="139" t="s">
        <v>179</v>
      </c>
      <c r="BI19" s="162">
        <v>100</v>
      </c>
      <c r="BJ19" s="154" t="s">
        <v>181</v>
      </c>
      <c r="BK19" s="139" t="s">
        <v>182</v>
      </c>
      <c r="BL19" s="139" t="s">
        <v>183</v>
      </c>
      <c r="BM19" s="139" t="s">
        <v>184</v>
      </c>
      <c r="BN19" t="s">
        <v>259</v>
      </c>
      <c r="BO19">
        <v>2</v>
      </c>
      <c r="BP19">
        <v>6.0000000000002267E-2</v>
      </c>
      <c r="BQ19" s="146">
        <v>17.82</v>
      </c>
      <c r="BR19" s="155" t="s">
        <v>186</v>
      </c>
      <c r="BS19" s="146">
        <v>0.16</v>
      </c>
      <c r="BT19" s="156" t="s">
        <v>167</v>
      </c>
      <c r="BU19" s="156" t="s">
        <v>167</v>
      </c>
      <c r="BV19" s="157" t="s">
        <v>167</v>
      </c>
      <c r="BW19" s="139">
        <v>-0.4</v>
      </c>
      <c r="BX19" s="139" t="s">
        <v>167</v>
      </c>
      <c r="BY19" s="139" t="s">
        <v>167</v>
      </c>
      <c r="BZ19" s="139" t="s">
        <v>187</v>
      </c>
      <c r="CA19" s="139" t="s">
        <v>188</v>
      </c>
      <c r="CB19" s="143" t="s">
        <v>167</v>
      </c>
      <c r="CC19" s="143" t="s">
        <v>167</v>
      </c>
      <c r="CD19" s="143" t="s">
        <v>167</v>
      </c>
      <c r="CE19" s="143" t="s">
        <v>167</v>
      </c>
      <c r="CF19" s="143" t="s">
        <v>167</v>
      </c>
      <c r="CG19" s="143" t="s">
        <v>250</v>
      </c>
      <c r="CH19" s="143" t="s">
        <v>190</v>
      </c>
      <c r="CI19" s="143" t="s">
        <v>190</v>
      </c>
      <c r="CJ19">
        <v>27.3</v>
      </c>
      <c r="CK19" s="138" t="s">
        <v>167</v>
      </c>
      <c r="CL19" s="143">
        <v>1.5</v>
      </c>
      <c r="CM19" s="143">
        <v>1.5</v>
      </c>
      <c r="CN19" t="s">
        <v>191</v>
      </c>
      <c r="CO19" t="s">
        <v>167</v>
      </c>
      <c r="CP19" t="s">
        <v>167</v>
      </c>
      <c r="CQ19" t="s">
        <v>167</v>
      </c>
      <c r="CR19" t="s">
        <v>167</v>
      </c>
      <c r="CS19" t="s">
        <v>167</v>
      </c>
      <c r="CT19" t="s">
        <v>167</v>
      </c>
      <c r="CU19" t="s">
        <v>167</v>
      </c>
      <c r="CV19" t="s">
        <v>167</v>
      </c>
      <c r="CW19" t="s">
        <v>167</v>
      </c>
      <c r="CX19" t="s">
        <v>167</v>
      </c>
      <c r="CY19" t="s">
        <v>167</v>
      </c>
      <c r="CZ19" t="s">
        <v>192</v>
      </c>
      <c r="DA19" s="143" t="s">
        <v>193</v>
      </c>
      <c r="DB19" s="145" t="s">
        <v>167</v>
      </c>
      <c r="DC19" s="145" t="s">
        <v>167</v>
      </c>
      <c r="DD19" s="143" t="s">
        <v>167</v>
      </c>
      <c r="DE19" s="143" t="s">
        <v>194</v>
      </c>
      <c r="DF19" s="143" t="s">
        <v>195</v>
      </c>
      <c r="DG19">
        <v>36</v>
      </c>
      <c r="DH19" s="139" t="s">
        <v>196</v>
      </c>
      <c r="DI19" s="139">
        <v>0</v>
      </c>
      <c r="DJ19" s="139" t="s">
        <v>197</v>
      </c>
      <c r="DK19" t="s">
        <v>198</v>
      </c>
      <c r="DL19" s="146" t="s">
        <v>199</v>
      </c>
      <c r="DM19" s="146" t="s">
        <v>199</v>
      </c>
      <c r="DN19" s="146" t="s">
        <v>199</v>
      </c>
      <c r="DO19" t="s">
        <v>198</v>
      </c>
      <c r="DP19" s="146" t="s">
        <v>199</v>
      </c>
      <c r="DQ19" s="146" t="s">
        <v>199</v>
      </c>
      <c r="DR19" s="146" t="s">
        <v>199</v>
      </c>
      <c r="DS19" t="s">
        <v>198</v>
      </c>
      <c r="DT19" s="146" t="s">
        <v>199</v>
      </c>
      <c r="DU19" s="146" t="s">
        <v>199</v>
      </c>
      <c r="DV19" s="146" t="s">
        <v>199</v>
      </c>
      <c r="DW19" s="143">
        <v>413.7</v>
      </c>
      <c r="DX19" s="143" t="s">
        <v>167</v>
      </c>
      <c r="DY19" s="143" t="s">
        <v>167</v>
      </c>
      <c r="DZ19" s="149" t="s">
        <v>200</v>
      </c>
      <c r="EA19" s="139">
        <v>39.5</v>
      </c>
      <c r="EB19" t="s">
        <v>201</v>
      </c>
      <c r="EC19" s="150" t="s">
        <v>167</v>
      </c>
      <c r="ED19" t="s">
        <v>217</v>
      </c>
      <c r="EE19" t="s">
        <v>203</v>
      </c>
      <c r="EF19" t="s">
        <v>204</v>
      </c>
      <c r="EG19">
        <v>1.0271999999999999</v>
      </c>
      <c r="EH19" t="s">
        <v>199</v>
      </c>
      <c r="EI19" t="s">
        <v>199</v>
      </c>
      <c r="EJ19" t="s">
        <v>205</v>
      </c>
      <c r="EK19" t="s">
        <v>199</v>
      </c>
      <c r="EL19" t="s">
        <v>199</v>
      </c>
      <c r="EM19" s="145" t="s">
        <v>167</v>
      </c>
      <c r="EN19" s="143" t="s">
        <v>260</v>
      </c>
      <c r="EO19" s="143" t="s">
        <v>207</v>
      </c>
      <c r="EP19" s="143" t="s">
        <v>207</v>
      </c>
      <c r="EQ19" s="145" t="s">
        <v>167</v>
      </c>
      <c r="ER19" s="145" t="s">
        <v>167</v>
      </c>
      <c r="ES19" s="145" t="s">
        <v>167</v>
      </c>
      <c r="ET19" t="s">
        <v>208</v>
      </c>
      <c r="EU19" t="s">
        <v>197</v>
      </c>
      <c r="EV19" s="150" t="s">
        <v>167</v>
      </c>
      <c r="EW19" s="159">
        <v>2330</v>
      </c>
      <c r="EX19" s="150" t="s">
        <v>209</v>
      </c>
      <c r="EY19" s="150">
        <f t="shared" si="8"/>
        <v>116.5</v>
      </c>
      <c r="EZ19" s="150">
        <f t="shared" si="9"/>
        <v>116.5</v>
      </c>
      <c r="FA19" s="143" t="s">
        <v>167</v>
      </c>
      <c r="FB19" s="143" t="s">
        <v>167</v>
      </c>
      <c r="FC19" s="143" t="s">
        <v>167</v>
      </c>
      <c r="FD19" s="143" t="s">
        <v>167</v>
      </c>
      <c r="FE19">
        <v>8.0399999999999991</v>
      </c>
      <c r="FF19" s="139" t="s">
        <v>210</v>
      </c>
      <c r="FG19" s="139">
        <v>0.02</v>
      </c>
      <c r="FH19" s="139">
        <v>0.02</v>
      </c>
      <c r="FI19">
        <v>369</v>
      </c>
      <c r="FJ19" t="s">
        <v>167</v>
      </c>
      <c r="FK19" t="s">
        <v>167</v>
      </c>
      <c r="FL19">
        <v>369</v>
      </c>
      <c r="FM19">
        <v>25</v>
      </c>
      <c r="FN19">
        <v>25</v>
      </c>
      <c r="FO19" s="160" t="s">
        <v>167</v>
      </c>
      <c r="FP19" s="139" t="s">
        <v>211</v>
      </c>
      <c r="FQ19" t="s">
        <v>212</v>
      </c>
      <c r="FR19" t="s">
        <v>212</v>
      </c>
      <c r="FS19" t="s">
        <v>212</v>
      </c>
      <c r="FT19" t="s">
        <v>212</v>
      </c>
      <c r="FU19" t="s">
        <v>212</v>
      </c>
      <c r="FV19" t="s">
        <v>212</v>
      </c>
      <c r="FW19" t="s">
        <v>212</v>
      </c>
      <c r="FX19" t="s">
        <v>212</v>
      </c>
      <c r="FY19" t="s">
        <v>212</v>
      </c>
      <c r="FZ19" t="s">
        <v>212</v>
      </c>
      <c r="GA19" t="s">
        <v>212</v>
      </c>
      <c r="GB19" t="s">
        <v>212</v>
      </c>
    </row>
    <row r="20" spans="1:184" ht="16" x14ac:dyDescent="0.2">
      <c r="A20" t="s">
        <v>171</v>
      </c>
      <c r="B20" s="142" t="s">
        <v>172</v>
      </c>
      <c r="C20" s="138" t="s">
        <v>168</v>
      </c>
      <c r="D20" t="s">
        <v>273</v>
      </c>
      <c r="E20">
        <v>2010</v>
      </c>
      <c r="F20" t="str">
        <f t="shared" si="1"/>
        <v>10.1016/j.epsl.2010.01.037</v>
      </c>
      <c r="G20" s="144">
        <f t="shared" si="2"/>
        <v>2985</v>
      </c>
      <c r="H20" s="143" t="str">
        <f t="shared" si="3"/>
        <v>NA</v>
      </c>
      <c r="I20" s="143" t="str">
        <f t="shared" si="4"/>
        <v>NA</v>
      </c>
      <c r="J20" s="147">
        <f t="shared" si="5"/>
        <v>379</v>
      </c>
      <c r="K20" s="147">
        <f t="shared" si="6"/>
        <v>25</v>
      </c>
      <c r="L20" s="147">
        <f t="shared" si="7"/>
        <v>25</v>
      </c>
      <c r="M20" t="b">
        <v>1</v>
      </c>
      <c r="N20">
        <v>3</v>
      </c>
      <c r="O20" t="s">
        <v>169</v>
      </c>
      <c r="P20" s="163" t="s">
        <v>277</v>
      </c>
      <c r="Q20" t="b">
        <v>0</v>
      </c>
      <c r="R20" t="s">
        <v>167</v>
      </c>
      <c r="S20" t="b">
        <v>1</v>
      </c>
      <c r="T20" t="b">
        <v>0</v>
      </c>
      <c r="U20" t="s">
        <v>167</v>
      </c>
      <c r="V20" t="s">
        <v>167</v>
      </c>
      <c r="W20" t="b">
        <v>0</v>
      </c>
      <c r="X20" t="s">
        <v>167</v>
      </c>
      <c r="Y20" s="139" t="s">
        <v>173</v>
      </c>
      <c r="Z20" s="139" t="s">
        <v>174</v>
      </c>
      <c r="AA20">
        <v>999</v>
      </c>
      <c r="AB20" s="139" t="s">
        <v>175</v>
      </c>
      <c r="AC20">
        <v>11</v>
      </c>
      <c r="AD20">
        <v>3</v>
      </c>
      <c r="AE20">
        <v>13</v>
      </c>
      <c r="AF20">
        <v>15</v>
      </c>
      <c r="AG20">
        <v>96.23</v>
      </c>
      <c r="AH20" t="s">
        <v>167</v>
      </c>
      <c r="AI20" t="s">
        <v>167</v>
      </c>
      <c r="AJ20" t="s">
        <v>176</v>
      </c>
      <c r="AK20" s="139">
        <v>12.744</v>
      </c>
      <c r="AL20" s="139">
        <v>-78.7393</v>
      </c>
      <c r="AM20" s="139" t="s">
        <v>167</v>
      </c>
      <c r="AN20" s="139" t="s">
        <v>167</v>
      </c>
      <c r="AO20" s="139">
        <v>-2828</v>
      </c>
      <c r="AP20" t="s">
        <v>167</v>
      </c>
      <c r="AQ20" s="139" t="s">
        <v>167</v>
      </c>
      <c r="AR20" s="143" t="s">
        <v>167</v>
      </c>
      <c r="AS20" s="161">
        <v>2985</v>
      </c>
      <c r="AT20" s="148" t="s">
        <v>167</v>
      </c>
      <c r="AU20" s="143" t="s">
        <v>167</v>
      </c>
      <c r="AV20" s="143" t="s">
        <v>167</v>
      </c>
      <c r="AW20" s="143" t="s">
        <v>167</v>
      </c>
      <c r="AX20" t="s">
        <v>177</v>
      </c>
      <c r="AY20" s="152" t="s">
        <v>261</v>
      </c>
      <c r="AZ20" t="s">
        <v>167</v>
      </c>
      <c r="BA20" t="s">
        <v>167</v>
      </c>
      <c r="BB20" t="s">
        <v>167</v>
      </c>
      <c r="BC20" t="s">
        <v>167</v>
      </c>
      <c r="BD20" t="s">
        <v>167</v>
      </c>
      <c r="BE20" t="s">
        <v>167</v>
      </c>
      <c r="BF20" t="s">
        <v>167</v>
      </c>
      <c r="BG20" s="139" t="s">
        <v>248</v>
      </c>
      <c r="BH20" s="139" t="s">
        <v>179</v>
      </c>
      <c r="BI20" s="162">
        <v>100</v>
      </c>
      <c r="BJ20" s="154" t="s">
        <v>181</v>
      </c>
      <c r="BK20" s="139" t="s">
        <v>182</v>
      </c>
      <c r="BL20" s="139" t="s">
        <v>183</v>
      </c>
      <c r="BM20" s="139" t="s">
        <v>184</v>
      </c>
      <c r="BN20" t="s">
        <v>262</v>
      </c>
      <c r="BO20">
        <v>2</v>
      </c>
      <c r="BP20">
        <v>0.23000000000000043</v>
      </c>
      <c r="BQ20" s="146">
        <v>18.2</v>
      </c>
      <c r="BR20" s="155" t="s">
        <v>186</v>
      </c>
      <c r="BS20" s="146">
        <v>0.17</v>
      </c>
      <c r="BT20" s="156" t="s">
        <v>167</v>
      </c>
      <c r="BU20" s="156" t="s">
        <v>167</v>
      </c>
      <c r="BV20" s="157" t="s">
        <v>167</v>
      </c>
      <c r="BW20" s="139">
        <v>-0.4</v>
      </c>
      <c r="BX20" s="139" t="s">
        <v>167</v>
      </c>
      <c r="BY20" s="139" t="s">
        <v>167</v>
      </c>
      <c r="BZ20" s="139" t="s">
        <v>187</v>
      </c>
      <c r="CA20" s="139" t="s">
        <v>188</v>
      </c>
      <c r="CB20" s="143" t="s">
        <v>167</v>
      </c>
      <c r="CC20" s="143" t="s">
        <v>167</v>
      </c>
      <c r="CD20" s="143" t="s">
        <v>167</v>
      </c>
      <c r="CE20" s="143" t="s">
        <v>167</v>
      </c>
      <c r="CF20" s="143" t="s">
        <v>167</v>
      </c>
      <c r="CG20" s="143" t="s">
        <v>250</v>
      </c>
      <c r="CH20" s="143" t="s">
        <v>190</v>
      </c>
      <c r="CI20" s="143" t="s">
        <v>190</v>
      </c>
      <c r="CJ20">
        <v>28.9</v>
      </c>
      <c r="CK20" s="138" t="s">
        <v>167</v>
      </c>
      <c r="CL20" s="143">
        <v>1.5</v>
      </c>
      <c r="CM20" s="143">
        <v>1.5</v>
      </c>
      <c r="CN20" t="s">
        <v>191</v>
      </c>
      <c r="CO20" t="s">
        <v>167</v>
      </c>
      <c r="CP20" t="s">
        <v>167</v>
      </c>
      <c r="CQ20" t="s">
        <v>167</v>
      </c>
      <c r="CR20" t="s">
        <v>167</v>
      </c>
      <c r="CS20" t="s">
        <v>167</v>
      </c>
      <c r="CT20" t="s">
        <v>167</v>
      </c>
      <c r="CU20" t="s">
        <v>167</v>
      </c>
      <c r="CV20" t="s">
        <v>167</v>
      </c>
      <c r="CW20" t="s">
        <v>167</v>
      </c>
      <c r="CX20" t="s">
        <v>167</v>
      </c>
      <c r="CY20" t="s">
        <v>167</v>
      </c>
      <c r="CZ20" t="s">
        <v>192</v>
      </c>
      <c r="DA20" s="143" t="s">
        <v>193</v>
      </c>
      <c r="DB20" s="145" t="s">
        <v>167</v>
      </c>
      <c r="DC20" s="145" t="s">
        <v>167</v>
      </c>
      <c r="DD20" s="143" t="s">
        <v>167</v>
      </c>
      <c r="DE20" s="143" t="s">
        <v>194</v>
      </c>
      <c r="DF20" s="143" t="s">
        <v>195</v>
      </c>
      <c r="DG20">
        <v>36</v>
      </c>
      <c r="DH20" s="139" t="s">
        <v>196</v>
      </c>
      <c r="DI20" s="139">
        <v>0</v>
      </c>
      <c r="DJ20" s="139" t="s">
        <v>197</v>
      </c>
      <c r="DK20" t="s">
        <v>198</v>
      </c>
      <c r="DL20" s="146" t="s">
        <v>199</v>
      </c>
      <c r="DM20" s="146" t="s">
        <v>199</v>
      </c>
      <c r="DN20" s="146" t="s">
        <v>199</v>
      </c>
      <c r="DO20" t="s">
        <v>198</v>
      </c>
      <c r="DP20" s="146" t="s">
        <v>199</v>
      </c>
      <c r="DQ20" s="146" t="s">
        <v>199</v>
      </c>
      <c r="DR20" s="146" t="s">
        <v>199</v>
      </c>
      <c r="DS20" t="s">
        <v>198</v>
      </c>
      <c r="DT20" s="146" t="s">
        <v>199</v>
      </c>
      <c r="DU20" s="146" t="s">
        <v>199</v>
      </c>
      <c r="DV20" s="146" t="s">
        <v>199</v>
      </c>
      <c r="DW20" s="143">
        <v>413.7</v>
      </c>
      <c r="DX20" s="143" t="s">
        <v>167</v>
      </c>
      <c r="DY20" s="143" t="s">
        <v>167</v>
      </c>
      <c r="DZ20" s="149" t="s">
        <v>200</v>
      </c>
      <c r="EA20" s="139">
        <v>39.5</v>
      </c>
      <c r="EB20" t="s">
        <v>201</v>
      </c>
      <c r="EC20" s="150" t="s">
        <v>167</v>
      </c>
      <c r="ED20" t="s">
        <v>217</v>
      </c>
      <c r="EE20" t="s">
        <v>203</v>
      </c>
      <c r="EF20" t="s">
        <v>204</v>
      </c>
      <c r="EG20">
        <v>1.0271999999999999</v>
      </c>
      <c r="EH20" t="s">
        <v>199</v>
      </c>
      <c r="EI20" t="s">
        <v>199</v>
      </c>
      <c r="EJ20" t="s">
        <v>205</v>
      </c>
      <c r="EK20" t="s">
        <v>199</v>
      </c>
      <c r="EL20" t="s">
        <v>199</v>
      </c>
      <c r="EM20" s="145" t="s">
        <v>167</v>
      </c>
      <c r="EN20" s="143" t="s">
        <v>263</v>
      </c>
      <c r="EO20" s="143" t="s">
        <v>207</v>
      </c>
      <c r="EP20" s="143" t="s">
        <v>207</v>
      </c>
      <c r="EQ20" s="145" t="s">
        <v>167</v>
      </c>
      <c r="ER20" s="145" t="s">
        <v>167</v>
      </c>
      <c r="ES20" s="145" t="s">
        <v>167</v>
      </c>
      <c r="ET20" t="s">
        <v>208</v>
      </c>
      <c r="EU20" t="s">
        <v>197</v>
      </c>
      <c r="EV20" s="150" t="s">
        <v>167</v>
      </c>
      <c r="EW20" s="159">
        <v>2330</v>
      </c>
      <c r="EX20" s="150" t="s">
        <v>209</v>
      </c>
      <c r="EY20" s="150">
        <f t="shared" si="8"/>
        <v>116.5</v>
      </c>
      <c r="EZ20" s="150">
        <f t="shared" si="9"/>
        <v>116.5</v>
      </c>
      <c r="FA20" s="143" t="s">
        <v>167</v>
      </c>
      <c r="FB20" s="143" t="s">
        <v>167</v>
      </c>
      <c r="FC20" s="143" t="s">
        <v>167</v>
      </c>
      <c r="FD20" s="143" t="s">
        <v>167</v>
      </c>
      <c r="FE20">
        <v>8.06</v>
      </c>
      <c r="FF20" s="139" t="s">
        <v>210</v>
      </c>
      <c r="FG20" s="139">
        <v>0.02</v>
      </c>
      <c r="FH20" s="139">
        <v>0.02</v>
      </c>
      <c r="FI20">
        <v>379</v>
      </c>
      <c r="FJ20" t="s">
        <v>167</v>
      </c>
      <c r="FK20" t="s">
        <v>167</v>
      </c>
      <c r="FL20">
        <v>379</v>
      </c>
      <c r="FM20">
        <v>25</v>
      </c>
      <c r="FN20">
        <v>25</v>
      </c>
      <c r="FO20" s="160" t="s">
        <v>167</v>
      </c>
      <c r="FP20" s="139" t="s">
        <v>211</v>
      </c>
      <c r="FQ20" t="s">
        <v>212</v>
      </c>
      <c r="FR20" t="s">
        <v>212</v>
      </c>
      <c r="FS20" t="s">
        <v>212</v>
      </c>
      <c r="FT20" t="s">
        <v>212</v>
      </c>
      <c r="FU20" t="s">
        <v>212</v>
      </c>
      <c r="FV20" t="s">
        <v>212</v>
      </c>
      <c r="FW20" t="s">
        <v>212</v>
      </c>
      <c r="FX20" t="s">
        <v>212</v>
      </c>
      <c r="FY20" t="s">
        <v>212</v>
      </c>
      <c r="FZ20" t="s">
        <v>212</v>
      </c>
      <c r="GA20" t="s">
        <v>212</v>
      </c>
      <c r="GB20" t="s">
        <v>212</v>
      </c>
    </row>
    <row r="21" spans="1:184" ht="16" x14ac:dyDescent="0.2">
      <c r="A21" t="s">
        <v>171</v>
      </c>
      <c r="B21" s="142" t="s">
        <v>172</v>
      </c>
      <c r="C21" s="138" t="s">
        <v>168</v>
      </c>
      <c r="D21" t="s">
        <v>273</v>
      </c>
      <c r="E21">
        <v>2010</v>
      </c>
      <c r="F21" t="str">
        <f t="shared" si="1"/>
        <v>10.1016/j.epsl.2010.01.037</v>
      </c>
      <c r="G21" s="144">
        <f t="shared" si="2"/>
        <v>3229</v>
      </c>
      <c r="H21" s="143" t="str">
        <f t="shared" si="3"/>
        <v>NA</v>
      </c>
      <c r="I21" s="143" t="str">
        <f t="shared" si="4"/>
        <v>NA</v>
      </c>
      <c r="J21" s="147">
        <f t="shared" si="5"/>
        <v>376</v>
      </c>
      <c r="K21" s="147">
        <f t="shared" si="6"/>
        <v>25</v>
      </c>
      <c r="L21" s="147">
        <f t="shared" si="7"/>
        <v>25</v>
      </c>
      <c r="M21" t="b">
        <v>1</v>
      </c>
      <c r="N21">
        <v>3</v>
      </c>
      <c r="O21" t="s">
        <v>169</v>
      </c>
      <c r="P21" s="163" t="s">
        <v>278</v>
      </c>
      <c r="Q21" t="b">
        <v>0</v>
      </c>
      <c r="R21" t="s">
        <v>167</v>
      </c>
      <c r="S21" t="b">
        <v>1</v>
      </c>
      <c r="T21" t="b">
        <v>0</v>
      </c>
      <c r="U21" t="s">
        <v>167</v>
      </c>
      <c r="V21" t="s">
        <v>167</v>
      </c>
      <c r="W21" t="b">
        <v>0</v>
      </c>
      <c r="X21" t="s">
        <v>167</v>
      </c>
      <c r="Y21" s="139" t="s">
        <v>173</v>
      </c>
      <c r="Z21" s="139" t="s">
        <v>174</v>
      </c>
      <c r="AA21">
        <v>999</v>
      </c>
      <c r="AB21" s="139" t="s">
        <v>175</v>
      </c>
      <c r="AC21">
        <v>12</v>
      </c>
      <c r="AD21">
        <v>1</v>
      </c>
      <c r="AE21">
        <v>81</v>
      </c>
      <c r="AF21">
        <v>83</v>
      </c>
      <c r="AG21">
        <v>103.41</v>
      </c>
      <c r="AH21" t="s">
        <v>167</v>
      </c>
      <c r="AI21" t="s">
        <v>167</v>
      </c>
      <c r="AJ21" t="s">
        <v>176</v>
      </c>
      <c r="AK21" s="139">
        <v>12.744</v>
      </c>
      <c r="AL21" s="139">
        <v>-78.7393</v>
      </c>
      <c r="AM21" s="139" t="s">
        <v>167</v>
      </c>
      <c r="AN21" s="139" t="s">
        <v>167</v>
      </c>
      <c r="AO21" s="139">
        <v>-2828</v>
      </c>
      <c r="AP21" t="s">
        <v>167</v>
      </c>
      <c r="AQ21" s="139" t="s">
        <v>167</v>
      </c>
      <c r="AR21" s="143" t="s">
        <v>167</v>
      </c>
      <c r="AS21" s="161">
        <v>3229</v>
      </c>
      <c r="AT21" s="148" t="s">
        <v>167</v>
      </c>
      <c r="AU21" s="143" t="s">
        <v>167</v>
      </c>
      <c r="AV21" s="143" t="s">
        <v>167</v>
      </c>
      <c r="AW21" s="143" t="s">
        <v>167</v>
      </c>
      <c r="AX21" t="s">
        <v>177</v>
      </c>
      <c r="AY21" s="152" t="s">
        <v>264</v>
      </c>
      <c r="AZ21" t="s">
        <v>167</v>
      </c>
      <c r="BA21" t="s">
        <v>167</v>
      </c>
      <c r="BB21" t="s">
        <v>167</v>
      </c>
      <c r="BC21" t="s">
        <v>167</v>
      </c>
      <c r="BD21" t="s">
        <v>167</v>
      </c>
      <c r="BE21" t="s">
        <v>167</v>
      </c>
      <c r="BF21" t="s">
        <v>167</v>
      </c>
      <c r="BG21" s="139" t="s">
        <v>248</v>
      </c>
      <c r="BH21" s="139" t="s">
        <v>179</v>
      </c>
      <c r="BI21" s="162">
        <v>100</v>
      </c>
      <c r="BJ21" s="154" t="s">
        <v>181</v>
      </c>
      <c r="BK21" s="139" t="s">
        <v>182</v>
      </c>
      <c r="BL21" s="139" t="s">
        <v>183</v>
      </c>
      <c r="BM21" s="139" t="s">
        <v>184</v>
      </c>
      <c r="BN21" t="s">
        <v>265</v>
      </c>
      <c r="BO21">
        <v>2</v>
      </c>
      <c r="BP21">
        <v>0.28000000000000108</v>
      </c>
      <c r="BQ21" s="146">
        <v>18</v>
      </c>
      <c r="BR21" s="155" t="s">
        <v>186</v>
      </c>
      <c r="BS21" s="146">
        <v>0.13</v>
      </c>
      <c r="BT21" s="156" t="s">
        <v>167</v>
      </c>
      <c r="BU21" s="156" t="s">
        <v>167</v>
      </c>
      <c r="BV21" s="157" t="s">
        <v>167</v>
      </c>
      <c r="BW21" s="139">
        <v>-0.4</v>
      </c>
      <c r="BX21" s="139" t="s">
        <v>167</v>
      </c>
      <c r="BY21" s="139" t="s">
        <v>167</v>
      </c>
      <c r="BZ21" s="139" t="s">
        <v>187</v>
      </c>
      <c r="CA21" s="139" t="s">
        <v>188</v>
      </c>
      <c r="CB21" s="143" t="s">
        <v>167</v>
      </c>
      <c r="CC21" s="143" t="s">
        <v>167</v>
      </c>
      <c r="CD21" s="143" t="s">
        <v>167</v>
      </c>
      <c r="CE21" s="143" t="s">
        <v>167</v>
      </c>
      <c r="CF21" s="143" t="s">
        <v>167</v>
      </c>
      <c r="CG21" s="143" t="s">
        <v>250</v>
      </c>
      <c r="CH21" s="143" t="s">
        <v>190</v>
      </c>
      <c r="CI21" s="143" t="s">
        <v>190</v>
      </c>
      <c r="CJ21">
        <v>28.4</v>
      </c>
      <c r="CK21" s="138" t="s">
        <v>167</v>
      </c>
      <c r="CL21" s="143">
        <v>1.5</v>
      </c>
      <c r="CM21" s="143">
        <v>1.5</v>
      </c>
      <c r="CN21" t="s">
        <v>191</v>
      </c>
      <c r="CO21" t="s">
        <v>167</v>
      </c>
      <c r="CP21" t="s">
        <v>167</v>
      </c>
      <c r="CQ21" t="s">
        <v>167</v>
      </c>
      <c r="CR21" t="s">
        <v>167</v>
      </c>
      <c r="CS21" t="s">
        <v>167</v>
      </c>
      <c r="CT21" t="s">
        <v>167</v>
      </c>
      <c r="CU21" t="s">
        <v>167</v>
      </c>
      <c r="CV21" t="s">
        <v>167</v>
      </c>
      <c r="CW21" t="s">
        <v>167</v>
      </c>
      <c r="CX21" t="s">
        <v>167</v>
      </c>
      <c r="CY21" t="s">
        <v>167</v>
      </c>
      <c r="CZ21" t="s">
        <v>192</v>
      </c>
      <c r="DA21" s="143" t="s">
        <v>193</v>
      </c>
      <c r="DB21" s="145" t="s">
        <v>167</v>
      </c>
      <c r="DC21" s="145" t="s">
        <v>167</v>
      </c>
      <c r="DD21" s="143" t="s">
        <v>167</v>
      </c>
      <c r="DE21" s="143" t="s">
        <v>194</v>
      </c>
      <c r="DF21" s="143" t="s">
        <v>195</v>
      </c>
      <c r="DG21">
        <v>36</v>
      </c>
      <c r="DH21" s="139" t="s">
        <v>196</v>
      </c>
      <c r="DI21" s="139">
        <v>0</v>
      </c>
      <c r="DJ21" s="139" t="s">
        <v>197</v>
      </c>
      <c r="DK21" t="s">
        <v>198</v>
      </c>
      <c r="DL21" s="146" t="s">
        <v>199</v>
      </c>
      <c r="DM21" s="146" t="s">
        <v>199</v>
      </c>
      <c r="DN21" s="146" t="s">
        <v>199</v>
      </c>
      <c r="DO21" t="s">
        <v>198</v>
      </c>
      <c r="DP21" s="146" t="s">
        <v>199</v>
      </c>
      <c r="DQ21" s="146" t="s">
        <v>199</v>
      </c>
      <c r="DR21" s="146" t="s">
        <v>199</v>
      </c>
      <c r="DS21" t="s">
        <v>198</v>
      </c>
      <c r="DT21" s="146" t="s">
        <v>199</v>
      </c>
      <c r="DU21" s="146" t="s">
        <v>199</v>
      </c>
      <c r="DV21" s="146" t="s">
        <v>199</v>
      </c>
      <c r="DW21" s="143">
        <v>413.7</v>
      </c>
      <c r="DX21" s="143" t="s">
        <v>167</v>
      </c>
      <c r="DY21" s="143" t="s">
        <v>167</v>
      </c>
      <c r="DZ21" s="149" t="s">
        <v>200</v>
      </c>
      <c r="EA21" s="139">
        <v>39.5</v>
      </c>
      <c r="EB21" t="s">
        <v>201</v>
      </c>
      <c r="EC21" s="150" t="s">
        <v>167</v>
      </c>
      <c r="ED21" t="s">
        <v>217</v>
      </c>
      <c r="EE21" t="s">
        <v>203</v>
      </c>
      <c r="EF21" t="s">
        <v>204</v>
      </c>
      <c r="EG21">
        <v>1.0271999999999999</v>
      </c>
      <c r="EH21" t="s">
        <v>199</v>
      </c>
      <c r="EI21" t="s">
        <v>199</v>
      </c>
      <c r="EJ21" t="s">
        <v>205</v>
      </c>
      <c r="EK21" t="s">
        <v>199</v>
      </c>
      <c r="EL21" t="s">
        <v>199</v>
      </c>
      <c r="EM21" s="145" t="s">
        <v>167</v>
      </c>
      <c r="EN21" s="143" t="s">
        <v>266</v>
      </c>
      <c r="EO21" s="143" t="s">
        <v>207</v>
      </c>
      <c r="EP21" s="143" t="s">
        <v>207</v>
      </c>
      <c r="EQ21" s="145" t="s">
        <v>167</v>
      </c>
      <c r="ER21" s="145" t="s">
        <v>167</v>
      </c>
      <c r="ES21" s="145" t="s">
        <v>167</v>
      </c>
      <c r="ET21" t="s">
        <v>208</v>
      </c>
      <c r="EU21" t="s">
        <v>197</v>
      </c>
      <c r="EV21" s="150" t="s">
        <v>167</v>
      </c>
      <c r="EW21" s="159">
        <v>2330</v>
      </c>
      <c r="EX21" s="150" t="s">
        <v>209</v>
      </c>
      <c r="EY21" s="150">
        <f t="shared" si="8"/>
        <v>116.5</v>
      </c>
      <c r="EZ21" s="150">
        <f t="shared" si="9"/>
        <v>116.5</v>
      </c>
      <c r="FA21" s="143" t="s">
        <v>167</v>
      </c>
      <c r="FB21" s="143" t="s">
        <v>167</v>
      </c>
      <c r="FC21" s="143" t="s">
        <v>167</v>
      </c>
      <c r="FD21" s="143" t="s">
        <v>167</v>
      </c>
      <c r="FE21">
        <v>8.0500000000000007</v>
      </c>
      <c r="FF21" s="139" t="s">
        <v>210</v>
      </c>
      <c r="FG21" s="139">
        <v>0.02</v>
      </c>
      <c r="FH21" s="139">
        <v>0.02</v>
      </c>
      <c r="FI21">
        <v>376</v>
      </c>
      <c r="FJ21" t="s">
        <v>167</v>
      </c>
      <c r="FK21" t="s">
        <v>167</v>
      </c>
      <c r="FL21">
        <v>376</v>
      </c>
      <c r="FM21">
        <v>25</v>
      </c>
      <c r="FN21">
        <v>25</v>
      </c>
      <c r="FO21" s="160" t="s">
        <v>167</v>
      </c>
      <c r="FP21" s="139" t="s">
        <v>211</v>
      </c>
      <c r="FQ21" t="s">
        <v>212</v>
      </c>
      <c r="FR21" t="s">
        <v>212</v>
      </c>
      <c r="FS21" t="s">
        <v>212</v>
      </c>
      <c r="FT21" t="s">
        <v>212</v>
      </c>
      <c r="FU21" t="s">
        <v>212</v>
      </c>
      <c r="FV21" t="s">
        <v>212</v>
      </c>
      <c r="FW21" t="s">
        <v>212</v>
      </c>
      <c r="FX21" t="s">
        <v>212</v>
      </c>
      <c r="FY21" t="s">
        <v>212</v>
      </c>
      <c r="FZ21" t="s">
        <v>212</v>
      </c>
      <c r="GA21" t="s">
        <v>212</v>
      </c>
      <c r="GB21" t="s">
        <v>212</v>
      </c>
    </row>
    <row r="22" spans="1:184" ht="16" x14ac:dyDescent="0.2">
      <c r="A22" t="s">
        <v>171</v>
      </c>
      <c r="B22" s="142" t="s">
        <v>172</v>
      </c>
      <c r="C22" s="138" t="s">
        <v>168</v>
      </c>
      <c r="D22" t="s">
        <v>273</v>
      </c>
      <c r="E22">
        <v>2010</v>
      </c>
      <c r="F22" t="str">
        <f t="shared" si="1"/>
        <v>10.1016/j.epsl.2010.01.037</v>
      </c>
      <c r="G22" s="144">
        <f t="shared" si="2"/>
        <v>4027.9999999999995</v>
      </c>
      <c r="H22" s="143" t="str">
        <f t="shared" si="3"/>
        <v>NA</v>
      </c>
      <c r="I22" s="143" t="str">
        <f t="shared" si="4"/>
        <v>NA</v>
      </c>
      <c r="J22" s="147">
        <f t="shared" si="5"/>
        <v>427</v>
      </c>
      <c r="K22" s="147">
        <f t="shared" si="6"/>
        <v>25</v>
      </c>
      <c r="L22" s="147">
        <f t="shared" si="7"/>
        <v>25</v>
      </c>
      <c r="M22" t="b">
        <v>1</v>
      </c>
      <c r="N22">
        <v>3</v>
      </c>
      <c r="O22" t="s">
        <v>169</v>
      </c>
      <c r="P22" s="163" t="s">
        <v>279</v>
      </c>
      <c r="Q22" t="b">
        <v>0</v>
      </c>
      <c r="R22" t="s">
        <v>167</v>
      </c>
      <c r="S22" t="b">
        <v>1</v>
      </c>
      <c r="T22" t="b">
        <v>0</v>
      </c>
      <c r="U22" t="s">
        <v>167</v>
      </c>
      <c r="V22" t="s">
        <v>167</v>
      </c>
      <c r="W22" t="b">
        <v>0</v>
      </c>
      <c r="X22" t="s">
        <v>167</v>
      </c>
      <c r="Y22" s="139" t="s">
        <v>173</v>
      </c>
      <c r="Z22" s="139" t="s">
        <v>174</v>
      </c>
      <c r="AA22">
        <v>999</v>
      </c>
      <c r="AB22" s="139" t="s">
        <v>175</v>
      </c>
      <c r="AC22">
        <v>14</v>
      </c>
      <c r="AD22">
        <v>4</v>
      </c>
      <c r="AE22">
        <v>52</v>
      </c>
      <c r="AF22">
        <v>54</v>
      </c>
      <c r="AG22">
        <v>126.62</v>
      </c>
      <c r="AH22" t="s">
        <v>167</v>
      </c>
      <c r="AI22" t="s">
        <v>167</v>
      </c>
      <c r="AJ22" t="s">
        <v>176</v>
      </c>
      <c r="AK22" s="139">
        <v>12.744</v>
      </c>
      <c r="AL22" s="139">
        <v>-78.7393</v>
      </c>
      <c r="AM22" s="139" t="s">
        <v>167</v>
      </c>
      <c r="AN22" s="139" t="s">
        <v>167</v>
      </c>
      <c r="AO22" s="139">
        <v>-2828</v>
      </c>
      <c r="AP22" t="s">
        <v>167</v>
      </c>
      <c r="AQ22" s="139" t="s">
        <v>167</v>
      </c>
      <c r="AR22" s="143" t="s">
        <v>167</v>
      </c>
      <c r="AS22" s="161">
        <v>4027.9999999999995</v>
      </c>
      <c r="AT22" s="148" t="s">
        <v>167</v>
      </c>
      <c r="AU22" s="143" t="s">
        <v>167</v>
      </c>
      <c r="AV22" s="143" t="s">
        <v>167</v>
      </c>
      <c r="AW22" s="143" t="s">
        <v>167</v>
      </c>
      <c r="AX22" t="s">
        <v>177</v>
      </c>
      <c r="AY22" s="152" t="s">
        <v>267</v>
      </c>
      <c r="AZ22" t="s">
        <v>167</v>
      </c>
      <c r="BA22" t="s">
        <v>167</v>
      </c>
      <c r="BB22" t="s">
        <v>167</v>
      </c>
      <c r="BC22" t="s">
        <v>167</v>
      </c>
      <c r="BD22" t="s">
        <v>167</v>
      </c>
      <c r="BE22" t="s">
        <v>167</v>
      </c>
      <c r="BF22" t="s">
        <v>167</v>
      </c>
      <c r="BG22" s="139" t="s">
        <v>248</v>
      </c>
      <c r="BH22" s="139" t="s">
        <v>179</v>
      </c>
      <c r="BI22" s="162">
        <v>100</v>
      </c>
      <c r="BJ22" s="154" t="s">
        <v>181</v>
      </c>
      <c r="BK22" s="139" t="s">
        <v>182</v>
      </c>
      <c r="BL22" s="139" t="s">
        <v>183</v>
      </c>
      <c r="BM22" s="139" t="s">
        <v>184</v>
      </c>
      <c r="BN22" t="s">
        <v>268</v>
      </c>
      <c r="BO22">
        <v>2</v>
      </c>
      <c r="BP22">
        <v>5.0000000000000711E-2</v>
      </c>
      <c r="BQ22" s="146">
        <v>17.739999999999998</v>
      </c>
      <c r="BR22" s="155" t="s">
        <v>186</v>
      </c>
      <c r="BS22" s="146">
        <v>0.25</v>
      </c>
      <c r="BT22" s="156" t="s">
        <v>167</v>
      </c>
      <c r="BU22" s="156" t="s">
        <v>167</v>
      </c>
      <c r="BV22" s="157" t="s">
        <v>167</v>
      </c>
      <c r="BW22" s="139">
        <v>-0.4</v>
      </c>
      <c r="BX22" s="139" t="s">
        <v>167</v>
      </c>
      <c r="BY22" s="139" t="s">
        <v>167</v>
      </c>
      <c r="BZ22" s="139" t="s">
        <v>187</v>
      </c>
      <c r="CA22" s="139" t="s">
        <v>188</v>
      </c>
      <c r="CB22" s="143" t="s">
        <v>167</v>
      </c>
      <c r="CC22" s="143" t="s">
        <v>167</v>
      </c>
      <c r="CD22" s="143" t="s">
        <v>167</v>
      </c>
      <c r="CE22" s="143" t="s">
        <v>167</v>
      </c>
      <c r="CF22" s="143" t="s">
        <v>167</v>
      </c>
      <c r="CG22" s="143" t="s">
        <v>250</v>
      </c>
      <c r="CH22" s="143" t="s">
        <v>190</v>
      </c>
      <c r="CI22" s="143" t="s">
        <v>190</v>
      </c>
      <c r="CJ22">
        <v>29.8</v>
      </c>
      <c r="CK22" s="138" t="s">
        <v>167</v>
      </c>
      <c r="CL22" s="143">
        <v>1.5</v>
      </c>
      <c r="CM22" s="143">
        <v>1.5</v>
      </c>
      <c r="CN22" t="s">
        <v>191</v>
      </c>
      <c r="CO22" t="s">
        <v>167</v>
      </c>
      <c r="CP22" t="s">
        <v>167</v>
      </c>
      <c r="CQ22" t="s">
        <v>167</v>
      </c>
      <c r="CR22" t="s">
        <v>167</v>
      </c>
      <c r="CS22" t="s">
        <v>167</v>
      </c>
      <c r="CT22" t="s">
        <v>167</v>
      </c>
      <c r="CU22" t="s">
        <v>167</v>
      </c>
      <c r="CV22" t="s">
        <v>167</v>
      </c>
      <c r="CW22" t="s">
        <v>167</v>
      </c>
      <c r="CX22" t="s">
        <v>167</v>
      </c>
      <c r="CY22" t="s">
        <v>167</v>
      </c>
      <c r="CZ22" t="s">
        <v>192</v>
      </c>
      <c r="DA22" s="143" t="s">
        <v>193</v>
      </c>
      <c r="DB22" s="145" t="s">
        <v>167</v>
      </c>
      <c r="DC22" s="145" t="s">
        <v>167</v>
      </c>
      <c r="DD22" s="143" t="s">
        <v>167</v>
      </c>
      <c r="DE22" s="143" t="s">
        <v>194</v>
      </c>
      <c r="DF22" s="143" t="s">
        <v>195</v>
      </c>
      <c r="DG22">
        <v>36</v>
      </c>
      <c r="DH22" s="139" t="s">
        <v>196</v>
      </c>
      <c r="DI22" s="139">
        <v>0</v>
      </c>
      <c r="DJ22" s="139" t="s">
        <v>197</v>
      </c>
      <c r="DK22" t="s">
        <v>198</v>
      </c>
      <c r="DL22" s="146" t="s">
        <v>199</v>
      </c>
      <c r="DM22" s="146" t="s">
        <v>199</v>
      </c>
      <c r="DN22" s="146" t="s">
        <v>199</v>
      </c>
      <c r="DO22" t="s">
        <v>198</v>
      </c>
      <c r="DP22" s="146" t="s">
        <v>199</v>
      </c>
      <c r="DQ22" s="146" t="s">
        <v>199</v>
      </c>
      <c r="DR22" s="146" t="s">
        <v>199</v>
      </c>
      <c r="DS22" t="s">
        <v>198</v>
      </c>
      <c r="DT22" s="146" t="s">
        <v>199</v>
      </c>
      <c r="DU22" s="146" t="s">
        <v>199</v>
      </c>
      <c r="DV22" s="146" t="s">
        <v>199</v>
      </c>
      <c r="DW22" s="143">
        <v>413.7</v>
      </c>
      <c r="DX22" s="143" t="s">
        <v>167</v>
      </c>
      <c r="DY22" s="143" t="s">
        <v>167</v>
      </c>
      <c r="DZ22" s="149" t="s">
        <v>200</v>
      </c>
      <c r="EA22" s="139">
        <v>39.5</v>
      </c>
      <c r="EB22" t="s">
        <v>201</v>
      </c>
      <c r="EC22" s="150" t="s">
        <v>167</v>
      </c>
      <c r="ED22" t="s">
        <v>217</v>
      </c>
      <c r="EE22" t="s">
        <v>203</v>
      </c>
      <c r="EF22" t="s">
        <v>204</v>
      </c>
      <c r="EG22">
        <v>1.0271999999999999</v>
      </c>
      <c r="EH22" t="s">
        <v>199</v>
      </c>
      <c r="EI22" t="s">
        <v>199</v>
      </c>
      <c r="EJ22" t="s">
        <v>205</v>
      </c>
      <c r="EK22" t="s">
        <v>199</v>
      </c>
      <c r="EL22" t="s">
        <v>199</v>
      </c>
      <c r="EM22" s="145" t="s">
        <v>167</v>
      </c>
      <c r="EN22" s="143" t="s">
        <v>269</v>
      </c>
      <c r="EO22" s="143" t="s">
        <v>207</v>
      </c>
      <c r="EP22" s="143" t="s">
        <v>207</v>
      </c>
      <c r="EQ22" s="145" t="s">
        <v>167</v>
      </c>
      <c r="ER22" s="145" t="s">
        <v>167</v>
      </c>
      <c r="ES22" s="145" t="s">
        <v>167</v>
      </c>
      <c r="ET22" t="s">
        <v>208</v>
      </c>
      <c r="EU22" t="s">
        <v>197</v>
      </c>
      <c r="EV22" s="150" t="s">
        <v>167</v>
      </c>
      <c r="EW22" s="159">
        <v>2330</v>
      </c>
      <c r="EX22" s="150" t="s">
        <v>209</v>
      </c>
      <c r="EY22" s="150">
        <f t="shared" si="8"/>
        <v>116.5</v>
      </c>
      <c r="EZ22" s="150">
        <f t="shared" si="9"/>
        <v>116.5</v>
      </c>
      <c r="FA22" s="143" t="s">
        <v>167</v>
      </c>
      <c r="FB22" s="143" t="s">
        <v>167</v>
      </c>
      <c r="FC22" s="143" t="s">
        <v>167</v>
      </c>
      <c r="FD22" s="143" t="s">
        <v>167</v>
      </c>
      <c r="FE22">
        <v>8.01</v>
      </c>
      <c r="FF22" s="139" t="s">
        <v>210</v>
      </c>
      <c r="FG22" s="139">
        <v>0.02</v>
      </c>
      <c r="FH22" s="139">
        <v>0.02</v>
      </c>
      <c r="FI22">
        <v>427</v>
      </c>
      <c r="FJ22" t="s">
        <v>167</v>
      </c>
      <c r="FK22" t="s">
        <v>167</v>
      </c>
      <c r="FL22">
        <v>427</v>
      </c>
      <c r="FM22">
        <v>25</v>
      </c>
      <c r="FN22">
        <v>25</v>
      </c>
      <c r="FO22" s="160" t="s">
        <v>167</v>
      </c>
      <c r="FP22" s="139" t="s">
        <v>211</v>
      </c>
      <c r="FQ22" t="s">
        <v>212</v>
      </c>
      <c r="FR22" t="s">
        <v>212</v>
      </c>
      <c r="FS22" t="s">
        <v>212</v>
      </c>
      <c r="FT22" t="s">
        <v>212</v>
      </c>
      <c r="FU22" t="s">
        <v>212</v>
      </c>
      <c r="FV22" t="s">
        <v>212</v>
      </c>
      <c r="FW22" t="s">
        <v>212</v>
      </c>
      <c r="FX22" t="s">
        <v>212</v>
      </c>
      <c r="FY22" t="s">
        <v>212</v>
      </c>
      <c r="FZ22" t="s">
        <v>212</v>
      </c>
      <c r="GA22" t="s">
        <v>212</v>
      </c>
      <c r="GB22" t="s">
        <v>212</v>
      </c>
    </row>
    <row r="23" spans="1:184" ht="16" x14ac:dyDescent="0.2">
      <c r="A23" t="s">
        <v>171</v>
      </c>
      <c r="B23" s="142" t="s">
        <v>172</v>
      </c>
      <c r="C23" s="138" t="s">
        <v>168</v>
      </c>
      <c r="D23" t="s">
        <v>273</v>
      </c>
      <c r="E23">
        <v>2010</v>
      </c>
      <c r="F23" t="str">
        <f t="shared" si="1"/>
        <v>10.1016/j.epsl.2010.01.037</v>
      </c>
      <c r="G23" s="144">
        <f t="shared" si="2"/>
        <v>4342</v>
      </c>
      <c r="H23" s="143" t="str">
        <f t="shared" si="3"/>
        <v>NA</v>
      </c>
      <c r="I23" s="143" t="str">
        <f t="shared" si="4"/>
        <v>NA</v>
      </c>
      <c r="J23" s="147">
        <f t="shared" si="5"/>
        <v>422</v>
      </c>
      <c r="K23" s="147">
        <f t="shared" si="6"/>
        <v>25</v>
      </c>
      <c r="L23" s="147">
        <f t="shared" si="7"/>
        <v>25</v>
      </c>
      <c r="M23" t="b">
        <v>1</v>
      </c>
      <c r="N23">
        <v>3</v>
      </c>
      <c r="O23" t="s">
        <v>169</v>
      </c>
      <c r="P23" s="163" t="s">
        <v>280</v>
      </c>
      <c r="Q23" t="b">
        <v>0</v>
      </c>
      <c r="R23" t="s">
        <v>167</v>
      </c>
      <c r="S23" t="b">
        <v>1</v>
      </c>
      <c r="T23" t="b">
        <v>0</v>
      </c>
      <c r="U23" t="s">
        <v>167</v>
      </c>
      <c r="V23" t="s">
        <v>167</v>
      </c>
      <c r="W23" t="b">
        <v>0</v>
      </c>
      <c r="X23" t="s">
        <v>167</v>
      </c>
      <c r="Y23" s="139" t="s">
        <v>173</v>
      </c>
      <c r="Z23" s="139" t="s">
        <v>174</v>
      </c>
      <c r="AA23">
        <v>999</v>
      </c>
      <c r="AB23" s="139" t="s">
        <v>175</v>
      </c>
      <c r="AC23">
        <v>15</v>
      </c>
      <c r="AD23">
        <v>3</v>
      </c>
      <c r="AE23">
        <v>53</v>
      </c>
      <c r="AF23">
        <v>55</v>
      </c>
      <c r="AG23">
        <v>134.63</v>
      </c>
      <c r="AH23" t="s">
        <v>167</v>
      </c>
      <c r="AI23" t="s">
        <v>167</v>
      </c>
      <c r="AJ23" t="s">
        <v>176</v>
      </c>
      <c r="AK23" s="139">
        <v>12.744</v>
      </c>
      <c r="AL23" s="139">
        <v>-78.7393</v>
      </c>
      <c r="AM23" s="139" t="s">
        <v>167</v>
      </c>
      <c r="AN23" s="139" t="s">
        <v>167</v>
      </c>
      <c r="AO23" s="139">
        <v>-2828</v>
      </c>
      <c r="AP23" t="s">
        <v>167</v>
      </c>
      <c r="AQ23" s="139" t="s">
        <v>167</v>
      </c>
      <c r="AR23" s="143" t="s">
        <v>167</v>
      </c>
      <c r="AS23" s="161">
        <v>4342</v>
      </c>
      <c r="AT23" s="148" t="s">
        <v>167</v>
      </c>
      <c r="AU23" s="143" t="s">
        <v>167</v>
      </c>
      <c r="AV23" s="143" t="s">
        <v>167</v>
      </c>
      <c r="AW23" s="143" t="s">
        <v>167</v>
      </c>
      <c r="AX23" t="s">
        <v>177</v>
      </c>
      <c r="AY23" s="152" t="s">
        <v>270</v>
      </c>
      <c r="AZ23" t="s">
        <v>167</v>
      </c>
      <c r="BA23" t="s">
        <v>167</v>
      </c>
      <c r="BB23" t="s">
        <v>167</v>
      </c>
      <c r="BC23" t="s">
        <v>167</v>
      </c>
      <c r="BD23" t="s">
        <v>167</v>
      </c>
      <c r="BE23" t="s">
        <v>167</v>
      </c>
      <c r="BF23" t="s">
        <v>167</v>
      </c>
      <c r="BG23" s="139" t="s">
        <v>248</v>
      </c>
      <c r="BH23" s="139" t="s">
        <v>179</v>
      </c>
      <c r="BI23" s="162">
        <v>100</v>
      </c>
      <c r="BJ23" s="154" t="s">
        <v>181</v>
      </c>
      <c r="BK23" s="139" t="s">
        <v>182</v>
      </c>
      <c r="BL23" s="139" t="s">
        <v>183</v>
      </c>
      <c r="BM23" s="139" t="s">
        <v>184</v>
      </c>
      <c r="BN23" t="s">
        <v>271</v>
      </c>
      <c r="BO23">
        <v>2</v>
      </c>
      <c r="BP23">
        <v>0.14999999999999855</v>
      </c>
      <c r="BQ23" s="146">
        <v>17.920000000000002</v>
      </c>
      <c r="BR23" s="155" t="s">
        <v>186</v>
      </c>
      <c r="BS23" s="146">
        <v>0.16</v>
      </c>
      <c r="BT23" s="156" t="s">
        <v>167</v>
      </c>
      <c r="BU23" s="156" t="s">
        <v>167</v>
      </c>
      <c r="BV23" s="157" t="s">
        <v>167</v>
      </c>
      <c r="BW23" s="139">
        <v>-0.4</v>
      </c>
      <c r="BX23" s="139" t="s">
        <v>167</v>
      </c>
      <c r="BY23" s="139" t="s">
        <v>167</v>
      </c>
      <c r="BZ23" s="139" t="s">
        <v>187</v>
      </c>
      <c r="CA23" s="139" t="s">
        <v>188</v>
      </c>
      <c r="CB23" s="143" t="s">
        <v>167</v>
      </c>
      <c r="CC23" s="143" t="s">
        <v>167</v>
      </c>
      <c r="CD23" s="143" t="s">
        <v>167</v>
      </c>
      <c r="CE23" s="143" t="s">
        <v>167</v>
      </c>
      <c r="CF23" s="143" t="s">
        <v>167</v>
      </c>
      <c r="CG23" s="143" t="s">
        <v>250</v>
      </c>
      <c r="CH23" s="143" t="s">
        <v>190</v>
      </c>
      <c r="CI23" s="143" t="s">
        <v>190</v>
      </c>
      <c r="CJ23">
        <v>30.1</v>
      </c>
      <c r="CK23" s="138" t="s">
        <v>167</v>
      </c>
      <c r="CL23" s="143">
        <v>1.5</v>
      </c>
      <c r="CM23" s="143">
        <v>1.5</v>
      </c>
      <c r="CN23" t="s">
        <v>191</v>
      </c>
      <c r="CO23" t="s">
        <v>167</v>
      </c>
      <c r="CP23" t="s">
        <v>167</v>
      </c>
      <c r="CQ23" t="s">
        <v>167</v>
      </c>
      <c r="CR23" t="s">
        <v>167</v>
      </c>
      <c r="CS23" t="s">
        <v>167</v>
      </c>
      <c r="CT23" t="s">
        <v>167</v>
      </c>
      <c r="CU23" t="s">
        <v>167</v>
      </c>
      <c r="CV23" t="s">
        <v>167</v>
      </c>
      <c r="CW23" t="s">
        <v>167</v>
      </c>
      <c r="CX23" t="s">
        <v>167</v>
      </c>
      <c r="CY23" t="s">
        <v>167</v>
      </c>
      <c r="CZ23" t="s">
        <v>192</v>
      </c>
      <c r="DA23" s="143" t="s">
        <v>193</v>
      </c>
      <c r="DB23" s="145" t="s">
        <v>167</v>
      </c>
      <c r="DC23" s="145" t="s">
        <v>167</v>
      </c>
      <c r="DD23" s="143" t="s">
        <v>167</v>
      </c>
      <c r="DE23" s="143" t="s">
        <v>194</v>
      </c>
      <c r="DF23" s="143" t="s">
        <v>195</v>
      </c>
      <c r="DG23">
        <v>36</v>
      </c>
      <c r="DH23" s="139" t="s">
        <v>196</v>
      </c>
      <c r="DI23" s="139">
        <v>0</v>
      </c>
      <c r="DJ23" s="139" t="s">
        <v>197</v>
      </c>
      <c r="DK23" t="s">
        <v>198</v>
      </c>
      <c r="DL23" s="146" t="s">
        <v>199</v>
      </c>
      <c r="DM23" s="146" t="s">
        <v>199</v>
      </c>
      <c r="DN23" s="146" t="s">
        <v>199</v>
      </c>
      <c r="DO23" t="s">
        <v>198</v>
      </c>
      <c r="DP23" s="146" t="s">
        <v>199</v>
      </c>
      <c r="DQ23" s="146" t="s">
        <v>199</v>
      </c>
      <c r="DR23" s="146" t="s">
        <v>199</v>
      </c>
      <c r="DS23" t="s">
        <v>198</v>
      </c>
      <c r="DT23" s="146" t="s">
        <v>199</v>
      </c>
      <c r="DU23" s="146" t="s">
        <v>199</v>
      </c>
      <c r="DV23" s="146" t="s">
        <v>199</v>
      </c>
      <c r="DW23" s="143">
        <v>413.7</v>
      </c>
      <c r="DX23" s="143" t="s">
        <v>167</v>
      </c>
      <c r="DY23" s="143" t="s">
        <v>167</v>
      </c>
      <c r="DZ23" s="149" t="s">
        <v>200</v>
      </c>
      <c r="EA23" s="139">
        <v>39.5</v>
      </c>
      <c r="EB23" t="s">
        <v>201</v>
      </c>
      <c r="EC23" s="150" t="s">
        <v>167</v>
      </c>
      <c r="ED23" t="s">
        <v>217</v>
      </c>
      <c r="EE23" t="s">
        <v>203</v>
      </c>
      <c r="EF23" t="s">
        <v>204</v>
      </c>
      <c r="EG23">
        <v>1.0271999999999999</v>
      </c>
      <c r="EH23" t="s">
        <v>199</v>
      </c>
      <c r="EI23" t="s">
        <v>199</v>
      </c>
      <c r="EJ23" t="s">
        <v>205</v>
      </c>
      <c r="EK23" t="s">
        <v>199</v>
      </c>
      <c r="EL23" t="s">
        <v>199</v>
      </c>
      <c r="EM23" s="145" t="s">
        <v>167</v>
      </c>
      <c r="EN23" s="143" t="s">
        <v>272</v>
      </c>
      <c r="EO23" s="143" t="s">
        <v>207</v>
      </c>
      <c r="EP23" s="143" t="s">
        <v>207</v>
      </c>
      <c r="EQ23" s="145" t="s">
        <v>167</v>
      </c>
      <c r="ER23" s="145" t="s">
        <v>167</v>
      </c>
      <c r="ES23" s="145" t="s">
        <v>167</v>
      </c>
      <c r="ET23" t="s">
        <v>208</v>
      </c>
      <c r="EU23" t="s">
        <v>197</v>
      </c>
      <c r="EV23" s="150" t="s">
        <v>167</v>
      </c>
      <c r="EW23" s="159">
        <v>2330</v>
      </c>
      <c r="EX23" s="150" t="s">
        <v>209</v>
      </c>
      <c r="EY23" s="150">
        <f t="shared" si="8"/>
        <v>116.5</v>
      </c>
      <c r="EZ23" s="150">
        <f t="shared" si="9"/>
        <v>116.5</v>
      </c>
      <c r="FA23" s="143" t="s">
        <v>167</v>
      </c>
      <c r="FB23" s="143" t="s">
        <v>167</v>
      </c>
      <c r="FC23" s="143" t="s">
        <v>167</v>
      </c>
      <c r="FD23" s="143" t="s">
        <v>167</v>
      </c>
      <c r="FE23">
        <v>8.02</v>
      </c>
      <c r="FF23" s="139" t="s">
        <v>210</v>
      </c>
      <c r="FG23" s="139">
        <v>0.02</v>
      </c>
      <c r="FH23" s="139">
        <v>0.02</v>
      </c>
      <c r="FI23">
        <v>422</v>
      </c>
      <c r="FJ23" t="s">
        <v>167</v>
      </c>
      <c r="FK23" t="s">
        <v>167</v>
      </c>
      <c r="FL23">
        <v>422</v>
      </c>
      <c r="FM23">
        <v>25</v>
      </c>
      <c r="FN23">
        <v>25</v>
      </c>
      <c r="FO23" s="160" t="s">
        <v>167</v>
      </c>
      <c r="FP23" s="139" t="s">
        <v>211</v>
      </c>
      <c r="FQ23" t="s">
        <v>212</v>
      </c>
      <c r="FR23" t="s">
        <v>212</v>
      </c>
      <c r="FS23" t="s">
        <v>212</v>
      </c>
      <c r="FT23" t="s">
        <v>212</v>
      </c>
      <c r="FU23" t="s">
        <v>212</v>
      </c>
      <c r="FV23" t="s">
        <v>212</v>
      </c>
      <c r="FW23" t="s">
        <v>212</v>
      </c>
      <c r="FX23" t="s">
        <v>212</v>
      </c>
      <c r="FY23" t="s">
        <v>212</v>
      </c>
      <c r="FZ23" t="s">
        <v>212</v>
      </c>
      <c r="GA23" t="s">
        <v>212</v>
      </c>
      <c r="GB23" t="s">
        <v>212</v>
      </c>
    </row>
  </sheetData>
  <mergeCells count="1">
    <mergeCell ref="S2:W2"/>
  </mergeCells>
  <hyperlinks>
    <hyperlink ref="B4" r:id="rId1" display="hoenisch@ldeo.columbia.edu" xr:uid="{02C473F4-3048-E54B-9049-1391ED183BC9}"/>
    <hyperlink ref="B5" r:id="rId2" display="hoenisch@ldeo.columbia.edu" xr:uid="{A391B361-85DF-AA44-8DFB-3270DF0F87B5}"/>
    <hyperlink ref="B6" r:id="rId3" display="hoenisch@ldeo.columbia.edu" xr:uid="{48C4B024-F1AE-084A-90EE-163719328C2F}"/>
    <hyperlink ref="B7" r:id="rId4" display="hoenisch@ldeo.columbia.edu" xr:uid="{5463486B-70A8-6747-9F6A-963EF7611962}"/>
    <hyperlink ref="B8" r:id="rId5" display="hoenisch@ldeo.columbia.edu" xr:uid="{35ACC9CE-B12C-9D42-90F9-02D25ED0A6DF}"/>
    <hyperlink ref="B9" r:id="rId6" display="hoenisch@ldeo.columbia.edu" xr:uid="{84C47807-551A-8B45-8046-119E8CA9B85D}"/>
    <hyperlink ref="B10" r:id="rId7" display="hoenisch@ldeo.columbia.edu" xr:uid="{6EC3B9AD-ED4C-2346-8A21-2183F7414A34}"/>
    <hyperlink ref="B11" r:id="rId8" display="hoenisch@ldeo.columbia.edu" xr:uid="{957B62B2-EC03-3B4E-9E00-005EA5C60A7A}"/>
    <hyperlink ref="B12" r:id="rId9" display="hoenisch@ldeo.columbia.edu" xr:uid="{97A22483-4C0C-8C45-943D-55404882EA69}"/>
    <hyperlink ref="B13" r:id="rId10" display="hoenisch@ldeo.columbia.edu" xr:uid="{9BD99B3F-4E81-A74D-B190-B80852F05F67}"/>
    <hyperlink ref="B14" r:id="rId11" display="hoenisch@ldeo.columbia.edu" xr:uid="{B356879E-0A48-0343-B68A-7F7DBD9982A5}"/>
    <hyperlink ref="B15" r:id="rId12" display="hoenisch@ldeo.columbia.edu" xr:uid="{4BB90F11-39DE-4940-9E93-EE68B40C24FF}"/>
    <hyperlink ref="B16" r:id="rId13" display="hoenisch@ldeo.columbia.edu" xr:uid="{3B8A37BD-F4E1-D54F-A83D-948C47E9CBB5}"/>
    <hyperlink ref="B17" r:id="rId14" display="hoenisch@ldeo.columbia.edu" xr:uid="{DCB804AE-FA14-1E4B-ACD0-97CE9800040C}"/>
    <hyperlink ref="B18" r:id="rId15" display="hoenisch@ldeo.columbia.edu" xr:uid="{4D84B248-7332-A14C-8C69-A9C62966B495}"/>
    <hyperlink ref="B19" r:id="rId16" display="hoenisch@ldeo.columbia.edu" xr:uid="{BC5CBF61-6135-F846-A5F7-9C426ADFA681}"/>
    <hyperlink ref="B20" r:id="rId17" display="hoenisch@ldeo.columbia.edu" xr:uid="{75E382D6-C89F-2849-A4BA-3805AD4563D7}"/>
    <hyperlink ref="B21" r:id="rId18" display="hoenisch@ldeo.columbia.edu" xr:uid="{2BF82724-81DA-6344-80EC-95EACB504E32}"/>
    <hyperlink ref="B22" r:id="rId19" display="hoenisch@ldeo.columbia.edu" xr:uid="{2DE9FA8F-1D5B-0943-AAA9-66019041F86F}"/>
    <hyperlink ref="B23" r:id="rId20" display="hoenisch@ldeo.columbia.edu" xr:uid="{BA29A3EF-247C-CF4B-A39E-7854E51A74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2022-03-17T18:07:17Z</dcterms:modified>
</cp:coreProperties>
</file>