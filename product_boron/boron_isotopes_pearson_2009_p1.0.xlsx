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D1D03D99-5417-E744-85C5-59726A445BB2}" xr6:coauthVersionLast="47" xr6:coauthVersionMax="47" xr10:uidLastSave="{00000000-0000-0000-0000-000000000000}"/>
  <bookViews>
    <workbookView xWindow="1240" yWindow="378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5" i="1" l="1"/>
  <c r="H5" i="1"/>
  <c r="I5" i="1"/>
  <c r="G6" i="1"/>
  <c r="H6" i="1"/>
  <c r="I6" i="1"/>
  <c r="G7" i="1"/>
  <c r="H7" i="1"/>
  <c r="I7" i="1"/>
  <c r="G8" i="1"/>
  <c r="H8" i="1"/>
  <c r="I8" i="1"/>
  <c r="G9" i="1"/>
  <c r="H9" i="1"/>
  <c r="I9" i="1"/>
  <c r="G10" i="1"/>
  <c r="H10" i="1"/>
  <c r="I10" i="1"/>
  <c r="G11" i="1"/>
  <c r="H11" i="1"/>
  <c r="I11" i="1"/>
  <c r="G12" i="1"/>
  <c r="H12" i="1"/>
  <c r="I12" i="1"/>
  <c r="I4" i="1" l="1"/>
  <c r="H4" i="1"/>
  <c r="G4" i="1"/>
</calcChain>
</file>

<file path=xl/sharedStrings.xml><?xml version="1.0" encoding="utf-8"?>
<sst xmlns="http://schemas.openxmlformats.org/spreadsheetml/2006/main" count="1412" uniqueCount="247">
  <si>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</si>
  <si>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</si>
  <si>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</si>
  <si>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</si>
  <si>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</si>
  <si>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</si>
  <si>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</si>
  <si>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</si>
  <si>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</si>
  <si>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</si>
  <si>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</si>
  <si>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</si>
  <si>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</si>
  <si>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</si>
  <si>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</si>
  <si>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</si>
  <si>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</si>
  <si>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</si>
  <si>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</si>
  <si>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</si>
  <si>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</si>
  <si>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</si>
  <si>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</si>
  <si>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</si>
  <si>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</si>
  <si>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</si>
  <si>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</si>
  <si>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</si>
  <si>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</si>
  <si>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</si>
  <si>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</si>
  <si>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</si>
  <si>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</si>
  <si>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</si>
  <si>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</si>
  <si>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</si>
  <si>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</si>
  <si>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</si>
  <si>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</si>
  <si>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</si>
  <si>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</si>
  <si>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</si>
  <si>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</si>
  <si>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</si>
  <si>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</si>
  <si>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</si>
  <si>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</si>
  <si>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</si>
  <si>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</si>
  <si>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</si>
  <si>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</si>
  <si>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</si>
  <si>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</si>
  <si>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</si>
  <si>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</si>
  <si>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</si>
  <si>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</si>
  <si>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</si>
  <si>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</si>
  <si>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</si>
  <si>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</si>
  <si>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</si>
  <si>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</si>
  <si>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</si>
  <si>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</si>
  <si>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</si>
  <si>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</si>
  <si>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</si>
  <si>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</si>
  <si>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</si>
  <si>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</si>
  <si>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</si>
  <si>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</si>
  <si>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</si>
  <si>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</si>
  <si>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</si>
  <si>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</si>
  <si>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</si>
  <si>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</si>
  <si>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</si>
  <si>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</si>
  <si>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</si>
  <si>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</si>
  <si>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</si>
  <si>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</si>
  <si>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</si>
  <si>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</si>
  <si>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</si>
  <si>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</si>
  <si>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</si>
  <si>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</si>
  <si>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</si>
  <si>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</si>
  <si>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</si>
  <si>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</si>
  <si>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</si>
  <si>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</si>
  <si>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</si>
  <si>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</si>
  <si>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</si>
  <si>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</si>
  <si>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</si>
  <si>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</si>
  <si>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</si>
  <si>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</si>
  <si>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</si>
  <si>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</si>
  <si>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</si>
  <si>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</si>
  <si>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</si>
  <si>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</si>
  <si>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</si>
  <si>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</si>
  <si>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</si>
  <si>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</si>
  <si>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</si>
  <si>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</si>
  <si>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</si>
  <si>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</si>
  <si>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</si>
  <si>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</si>
  <si>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</si>
  <si>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</si>
  <si>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</si>
  <si>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</si>
  <si>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</si>
  <si>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</si>
  <si>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</si>
  <si>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</si>
  <si>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</si>
  <si>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</si>
  <si>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</si>
  <si>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</si>
  <si>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</si>
  <si>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</si>
  <si>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</si>
  <si>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</si>
  <si>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</si>
  <si>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</si>
  <si>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</si>
  <si>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</si>
  <si>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</si>
  <si>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</si>
  <si>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</si>
  <si>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</si>
  <si>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</si>
  <si>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</si>
  <si>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</si>
  <si>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</si>
  <si>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</si>
  <si>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</si>
  <si>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</si>
  <si>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</si>
  <si>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</si>
  <si>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</si>
  <si>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</si>
  <si>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</si>
  <si>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</si>
  <si>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</si>
  <si>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</si>
  <si>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</si>
  <si>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</si>
  <si>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</si>
  <si>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</si>
  <si>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</si>
  <si>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</si>
  <si>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</si>
  <si>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</si>
  <si>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</si>
  <si>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newer calculation available</t>
  </si>
  <si>
    <t>notes about uncertainty estimate: e.g., included calibration slope and intercept</t>
  </si>
  <si>
    <t xml:space="preserve">Pearson, P. N., G. L. Foster, and B. S. Wade (2009), Atmospheric carbon dioxide through the Eocene-Oligocene climate transition, Nature, 461(7267)
</t>
  </si>
  <si>
    <t>10.1038/nature08447</t>
  </si>
  <si>
    <t>TDP17</t>
  </si>
  <si>
    <t>Tanzania</t>
  </si>
  <si>
    <t>-300 to -500</t>
  </si>
  <si>
    <t>Nicholas et al. 2006</t>
  </si>
  <si>
    <t>range ±</t>
  </si>
  <si>
    <t>Cande &amp; Kent 1995</t>
  </si>
  <si>
    <t>biostrat</t>
  </si>
  <si>
    <t xml:space="preserve">Pearson, P. N. et al. Extinction and environmental change across the Eocene–Oligocene boundary in Tanzania. Geology 36, 179–182 (2008). </t>
  </si>
  <si>
    <t>Turborotalia ampliapertura offseted to mixed layer</t>
  </si>
  <si>
    <t>212-250</t>
  </si>
  <si>
    <t xml:space="preserve">300-1000 </t>
  </si>
  <si>
    <t>Barker et al. 2003, Rae et al. 2011</t>
  </si>
  <si>
    <t>column chemistry</t>
  </si>
  <si>
    <t>MC-ICP-MS (Neptune)</t>
  </si>
  <si>
    <t>14.7,14.73</t>
  </si>
  <si>
    <t>2sd</t>
  </si>
  <si>
    <t>Slope uncertainty not applied</t>
  </si>
  <si>
    <t>Intercept uncertainty was not applied</t>
  </si>
  <si>
    <t>Calibration was not applied</t>
  </si>
  <si>
    <t>No calibration uncertainty introduced, so only analytical</t>
  </si>
  <si>
    <t>corrected to mixed layer, for both Temp and d11B</t>
  </si>
  <si>
    <t>None applied</t>
  </si>
  <si>
    <t>set value</t>
  </si>
  <si>
    <t>long term % reproducibility</t>
  </si>
  <si>
    <t xml:space="preserve">Mg/Ca = 0.38 (±0.02) exp 0.090 (±0.003)T </t>
  </si>
  <si>
    <t>Anand et al. (2003)</t>
  </si>
  <si>
    <t>Wilkinson &amp; Algeo (1989)</t>
  </si>
  <si>
    <t>not applied</t>
  </si>
  <si>
    <t>arbitrary</t>
  </si>
  <si>
    <t>Horita et al. (2002)</t>
  </si>
  <si>
    <t>not specified; assume modern</t>
  </si>
  <si>
    <t>Uppström (1974)</t>
  </si>
  <si>
    <t>flat probability</t>
  </si>
  <si>
    <t>assumed, also did a sensitivity study with 37 and 39‰</t>
  </si>
  <si>
    <t>Dickson 1990</t>
  </si>
  <si>
    <t>Millero 1979</t>
  </si>
  <si>
    <t>Not applied</t>
  </si>
  <si>
    <t>Klochko et al. (2006)</t>
  </si>
  <si>
    <t>Tyrrell &amp; Zeebe 2004</t>
  </si>
  <si>
    <t>Tyrrell &amp; Zeebe 2005</t>
  </si>
  <si>
    <t>[CO32-]</t>
  </si>
  <si>
    <t>box model based on varying CCD and surface ocean calcitesaturation</t>
  </si>
  <si>
    <t>total</t>
  </si>
  <si>
    <t>assumed based on oligotrophic core site</t>
  </si>
  <si>
    <t>quadratic addition</t>
  </si>
  <si>
    <t>T, S, CO32-, d11B</t>
  </si>
  <si>
    <t>selected d11Bsw=38‰ and variable [CO32-] scenario of original calculations</t>
  </si>
  <si>
    <t>14.47,14.09</t>
  </si>
  <si>
    <t>13.94,13.86</t>
  </si>
  <si>
    <t>TDP12</t>
  </si>
  <si>
    <t>13.78,13.78</t>
  </si>
  <si>
    <t>300-1000</t>
  </si>
  <si>
    <t>14.33,14.31</t>
  </si>
  <si>
    <t>13.73,14.03</t>
  </si>
  <si>
    <t>13.83,13.69</t>
  </si>
  <si>
    <t>13.95,13.59</t>
  </si>
  <si>
    <t>14.14,13.92</t>
  </si>
  <si>
    <t>Eleni Anagnostou, Bärbel Hönisch</t>
  </si>
  <si>
    <t>eanagnostou@geomar.de, hoenisch@ldeo.columbia.edu</t>
  </si>
  <si>
    <t>Pearson</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</si>
  <si>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</si>
  <si>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</si>
  <si>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</si>
  <si>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</si>
  <si>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</si>
  <si>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</si>
  <si>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</si>
  <si>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</si>
  <si>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</si>
  <si>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</si>
  <si>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</si>
  <si>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10.1038/s41467-020-17887-x</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</si>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</sst>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1"/>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
      <sz val="10"/>
      <color theme="1"/>
      <name val="AdvTT5843c571"/>
    </font>
    <font>
      <sz val="10"/>
      <color theme="1"/>
      <name val="Arial"/>
      <family val="2"/>
    </font>
    <font>
      <i/>
      <sz val="10"/>
      <color theme="1"/>
      <name val="Helvetica"/>
      <family val="2"/>
    </font>
    <font>
      <sz val="10"/>
      <color theme="1"/>
      <name val="Helvetica"/>
      <family val="2"/>
    </font>
    <font>
      <sz val="10"/>
      <color theme="1"/>
      <name val="MS Sans Serif"/>
    </font>
    <font>
      <sz val="11"/>
      <color theme="1"/>
      <name val="AdvTT5843c571"/>
    </font>
    <font>
      <sz val="10"/>
      <name val="Arial"/>
      <family val="2"/>
    </font>
    <font>
      <sz val="10"/>
      <color theme="1"/>
      <name val="Calibri"/>
      <family val="2"/>
      <scheme val="minor"/>
    </font>
    <font>
      <u/>
      <sz val="12"/>
      <color theme="1"/>
      <name val="Calibri"/>
      <family val="2"/>
      <scheme val="minor"/>
    </font>
    <font>
      <sz val="10"/>
      <name val="Arial"/>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6" fillId="0" borderId="0" applyNumberFormat="0" applyFill="0" applyBorder="0" applyAlignment="0" applyProtection="0"/>
    <xf numFmtId="0" fontId="27" fillId="0" borderId="0"/>
  </cellStyleXfs>
  <cellXfs count="163">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0" fillId="0" borderId="2" xfId="0" applyBorder="1" applyAlignment="1">
      <alignment vertical="top"/>
    </xf>
    <xf numFmtId="0" fontId="2" fillId="2" borderId="1" xfId="0" applyFont="1" applyFill="1" applyBorder="1"/>
    <xf numFmtId="0" fontId="2" fillId="2" borderId="2" xfId="0" applyFont="1" applyFill="1" applyBorder="1"/>
    <xf numFmtId="0" fontId="0" fillId="2" borderId="2" xfId="0" applyFill="1" applyBorder="1"/>
    <xf numFmtId="0" fontId="0" fillId="2" borderId="3" xfId="0" applyFill="1" applyBorder="1"/>
    <xf numFmtId="0" fontId="2" fillId="3" borderId="6" xfId="0" applyFont="1" applyFill="1" applyBorder="1" applyAlignment="1">
      <alignment horizontal="left" vertical="center"/>
    </xf>
    <xf numFmtId="0" fontId="2" fillId="3" borderId="7" xfId="0" applyFont="1" applyFill="1" applyBorder="1" applyAlignment="1">
      <alignment wrapText="1"/>
    </xf>
    <xf numFmtId="0" fontId="2" fillId="3" borderId="7" xfId="0" applyFont="1" applyFill="1" applyBorder="1"/>
    <xf numFmtId="0" fontId="0" fillId="3" borderId="7" xfId="0" applyFill="1" applyBorder="1"/>
    <xf numFmtId="0" fontId="3" fillId="3" borderId="6" xfId="0" applyFont="1" applyFill="1" applyBorder="1"/>
    <xf numFmtId="0" fontId="2"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2" fillId="4" borderId="2" xfId="0" applyFont="1" applyFill="1" applyBorder="1"/>
    <xf numFmtId="0" fontId="2" fillId="4" borderId="3" xfId="0" applyFont="1" applyFill="1" applyBorder="1"/>
    <xf numFmtId="0" fontId="2" fillId="5" borderId="1" xfId="0" applyFont="1" applyFill="1" applyBorder="1"/>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4" fillId="5" borderId="7" xfId="0" applyFont="1" applyFill="1" applyBorder="1" applyAlignment="1">
      <alignment horizontal="left" vertical="center"/>
    </xf>
    <xf numFmtId="0" fontId="3" fillId="5" borderId="7" xfId="0" applyFont="1" applyFill="1" applyBorder="1" applyAlignment="1">
      <alignment horizontal="center" vertical="center" wrapText="1"/>
    </xf>
    <xf numFmtId="0" fontId="2" fillId="6" borderId="1" xfId="0" applyFont="1" applyFill="1" applyBorder="1"/>
    <xf numFmtId="0" fontId="2" fillId="7" borderId="2" xfId="0" applyFont="1" applyFill="1" applyBorder="1"/>
    <xf numFmtId="0" fontId="2" fillId="7" borderId="3" xfId="0" applyFont="1" applyFill="1" applyBorder="1"/>
    <xf numFmtId="0" fontId="2" fillId="6" borderId="2" xfId="0" applyFont="1" applyFill="1" applyBorder="1"/>
    <xf numFmtId="0" fontId="2" fillId="6" borderId="3" xfId="0" applyFont="1" applyFill="1" applyBorder="1"/>
    <xf numFmtId="0" fontId="0" fillId="6" borderId="2" xfId="0" applyFill="1" applyBorder="1"/>
    <xf numFmtId="0" fontId="0" fillId="6" borderId="6" xfId="0" applyFill="1" applyBorder="1"/>
    <xf numFmtId="0" fontId="2" fillId="7" borderId="1" xfId="0" applyFont="1" applyFill="1" applyBorder="1"/>
    <xf numFmtId="0" fontId="2" fillId="7" borderId="7" xfId="0" applyFont="1" applyFill="1" applyBorder="1"/>
    <xf numFmtId="0" fontId="2" fillId="8" borderId="6" xfId="0" applyFont="1" applyFill="1" applyBorder="1"/>
    <xf numFmtId="0" fontId="2" fillId="8" borderId="7" xfId="0" applyFont="1" applyFill="1" applyBorder="1"/>
    <xf numFmtId="0" fontId="2" fillId="8" borderId="2" xfId="0" applyFont="1" applyFill="1" applyBorder="1"/>
    <xf numFmtId="0" fontId="2" fillId="9" borderId="1" xfId="0" applyFont="1" applyFill="1" applyBorder="1"/>
    <xf numFmtId="0" fontId="2"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2" fillId="2" borderId="4" xfId="0" applyFont="1" applyFill="1" applyBorder="1"/>
    <xf numFmtId="0" fontId="0" fillId="2" borderId="4" xfId="0" applyFill="1" applyBorder="1"/>
    <xf numFmtId="0" fontId="0" fillId="2" borderId="8" xfId="0" applyFill="1" applyBorder="1"/>
    <xf numFmtId="0" fontId="2" fillId="3" borderId="6" xfId="0" applyFont="1" applyFill="1" applyBorder="1" applyAlignment="1">
      <alignment horizontal="center" vertical="center"/>
    </xf>
    <xf numFmtId="0" fontId="3" fillId="4" borderId="1" xfId="0" applyFont="1" applyFill="1" applyBorder="1" applyAlignment="1">
      <alignment horizontal="left" vertical="center"/>
    </xf>
    <xf numFmtId="0" fontId="3" fillId="4" borderId="2" xfId="0" applyFont="1" applyFill="1" applyBorder="1" applyAlignment="1">
      <alignment horizontal="left" vertical="center"/>
    </xf>
    <xf numFmtId="0" fontId="12" fillId="5" borderId="0" xfId="0" applyFont="1" applyFill="1" applyBorder="1"/>
    <xf numFmtId="0" fontId="3" fillId="5" borderId="0" xfId="0" applyFont="1" applyFill="1" applyBorder="1" applyAlignment="1">
      <alignment horizontal="center" vertical="center" wrapText="1"/>
    </xf>
    <xf numFmtId="0" fontId="4" fillId="5" borderId="9" xfId="0" applyFont="1" applyFill="1" applyBorder="1" applyAlignment="1">
      <alignment horizontal="left" vertical="center"/>
    </xf>
    <xf numFmtId="0" fontId="4"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4" fillId="5" borderId="2" xfId="0" applyFont="1" applyFill="1" applyBorder="1" applyAlignment="1">
      <alignment horizontal="left" vertical="center"/>
    </xf>
    <xf numFmtId="0" fontId="2" fillId="7" borderId="6" xfId="0" applyFont="1" applyFill="1" applyBorder="1"/>
    <xf numFmtId="0" fontId="2" fillId="7" borderId="0" xfId="0" applyFont="1" applyFill="1" applyBorder="1"/>
    <xf numFmtId="0" fontId="2" fillId="7" borderId="10" xfId="0" applyFont="1" applyFill="1" applyBorder="1"/>
    <xf numFmtId="0" fontId="2" fillId="6" borderId="11" xfId="0" applyFont="1" applyFill="1" applyBorder="1"/>
    <xf numFmtId="0" fontId="2" fillId="6" borderId="0" xfId="0" applyFont="1" applyFill="1" applyBorder="1"/>
    <xf numFmtId="0" fontId="4" fillId="6" borderId="11" xfId="0" applyFont="1" applyFill="1" applyBorder="1" applyAlignment="1">
      <alignment horizontal="left" vertical="center"/>
    </xf>
    <xf numFmtId="0" fontId="0" fillId="6" borderId="0" xfId="0" applyFill="1"/>
    <xf numFmtId="0" fontId="4" fillId="7" borderId="6" xfId="0" applyFont="1" applyFill="1" applyBorder="1" applyAlignment="1">
      <alignment horizontal="left" vertical="center"/>
    </xf>
    <xf numFmtId="0" fontId="3" fillId="7" borderId="7" xfId="0" applyFont="1" applyFill="1" applyBorder="1" applyAlignment="1">
      <alignment horizontal="left" vertical="center"/>
    </xf>
    <xf numFmtId="0" fontId="3" fillId="7" borderId="12" xfId="0" applyFont="1" applyFill="1" applyBorder="1" applyAlignment="1">
      <alignment horizontal="left" vertical="center"/>
    </xf>
    <xf numFmtId="0" fontId="2" fillId="7" borderId="12" xfId="0" applyFont="1" applyFill="1" applyBorder="1"/>
    <xf numFmtId="0" fontId="12" fillId="7" borderId="6" xfId="0" applyFont="1" applyFill="1" applyBorder="1"/>
    <xf numFmtId="0" fontId="4" fillId="7" borderId="0" xfId="0" applyFont="1" applyFill="1" applyBorder="1" applyAlignment="1">
      <alignment horizontal="left" vertical="center"/>
    </xf>
    <xf numFmtId="0" fontId="3" fillId="7" borderId="0" xfId="0" applyFont="1" applyFill="1" applyBorder="1" applyAlignment="1">
      <alignment horizontal="left" vertical="center"/>
    </xf>
    <xf numFmtId="0" fontId="2" fillId="6" borderId="6" xfId="0" applyFont="1" applyFill="1" applyBorder="1"/>
    <xf numFmtId="0" fontId="2" fillId="6" borderId="10" xfId="0" applyFont="1" applyFill="1" applyBorder="1"/>
    <xf numFmtId="0" fontId="4" fillId="7" borderId="11"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2" fillId="7" borderId="11" xfId="0" applyFont="1" applyFill="1" applyBorder="1"/>
    <xf numFmtId="0" fontId="2" fillId="8" borderId="1" xfId="0" applyFont="1" applyFill="1" applyBorder="1"/>
    <xf numFmtId="0" fontId="2" fillId="8" borderId="0" xfId="0" applyFont="1" applyFill="1" applyBorder="1"/>
    <xf numFmtId="0" fontId="2" fillId="8" borderId="4" xfId="0" applyFont="1" applyFill="1" applyBorder="1"/>
    <xf numFmtId="0" fontId="2" fillId="2" borderId="9" xfId="0" applyFont="1" applyFill="1" applyBorder="1"/>
    <xf numFmtId="0" fontId="0" fillId="0" borderId="13" xfId="0" applyBorder="1"/>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3" fillId="6" borderId="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3"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3" fillId="16" borderId="4" xfId="0" quotePrefix="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0" borderId="13" xfId="0" applyFont="1" applyBorder="1" applyAlignment="1">
      <alignment horizontal="center" vertical="center" wrapText="1"/>
    </xf>
    <xf numFmtId="0" fontId="0" fillId="0" borderId="0" xfId="0" applyFill="1" applyBorder="1"/>
    <xf numFmtId="0" fontId="0" fillId="0" borderId="0" xfId="0" applyAlignment="1">
      <alignment vertical="top"/>
    </xf>
    <xf numFmtId="0" fontId="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0" fillId="0" borderId="0" xfId="0" applyFill="1"/>
    <xf numFmtId="164" fontId="0" fillId="0" borderId="0" xfId="0" applyNumberFormat="1"/>
    <xf numFmtId="2" fontId="0" fillId="0" borderId="0" xfId="0" applyNumberFormat="1"/>
    <xf numFmtId="2" fontId="0" fillId="0" borderId="0" xfId="0" applyNumberFormat="1" applyAlignment="1">
      <alignment horizontal="center"/>
    </xf>
    <xf numFmtId="0" fontId="28" fillId="0" borderId="0" xfId="0" quotePrefix="1" applyFont="1"/>
    <xf numFmtId="164" fontId="29" fillId="0" borderId="0" xfId="0" applyNumberFormat="1" applyFont="1" applyAlignment="1">
      <alignment horizontal="center"/>
    </xf>
    <xf numFmtId="2" fontId="30" fillId="0" borderId="0" xfId="0" applyNumberFormat="1" applyFont="1" applyAlignment="1">
      <alignment horizontal="left" vertical="center"/>
    </xf>
    <xf numFmtId="2" fontId="31" fillId="0" borderId="0" xfId="0" applyNumberFormat="1" applyFont="1" applyAlignment="1">
      <alignment horizontal="center"/>
    </xf>
    <xf numFmtId="2" fontId="31" fillId="0" borderId="0" xfId="0" applyNumberFormat="1" applyFont="1" applyFill="1" applyAlignment="1">
      <alignment horizontal="center"/>
    </xf>
    <xf numFmtId="164" fontId="0" fillId="0" borderId="0" xfId="0" applyNumberFormat="1" applyAlignment="1">
      <alignment horizontal="center"/>
    </xf>
    <xf numFmtId="2" fontId="32" fillId="0" borderId="0" xfId="0" applyNumberFormat="1" applyFont="1"/>
    <xf numFmtId="0" fontId="33" fillId="0" borderId="0" xfId="0" applyFont="1" applyFill="1"/>
    <xf numFmtId="1" fontId="34" fillId="0" borderId="0" xfId="0" applyNumberFormat="1" applyFont="1" applyFill="1" applyBorder="1" applyAlignment="1">
      <alignment horizontal="center"/>
    </xf>
    <xf numFmtId="2" fontId="31" fillId="0" borderId="0" xfId="0" applyNumberFormat="1" applyFont="1" applyFill="1" applyBorder="1" applyAlignment="1">
      <alignment horizontal="center"/>
    </xf>
    <xf numFmtId="1" fontId="34" fillId="0" borderId="0" xfId="0" applyNumberFormat="1" applyFont="1" applyAlignment="1">
      <alignment horizontal="center"/>
    </xf>
    <xf numFmtId="1" fontId="31" fillId="0" borderId="0" xfId="0" applyNumberFormat="1" applyFont="1" applyFill="1" applyAlignment="1">
      <alignment horizontal="center"/>
    </xf>
    <xf numFmtId="164" fontId="35" fillId="0" borderId="0" xfId="0" applyNumberFormat="1" applyFont="1" applyAlignment="1">
      <alignment horizontal="center"/>
    </xf>
    <xf numFmtId="0" fontId="36" fillId="0" borderId="0" xfId="1" applyFont="1"/>
    <xf numFmtId="1" fontId="37" fillId="0" borderId="0" xfId="0" applyNumberFormat="1" applyFont="1" applyAlignment="1">
      <alignment horizontal="center"/>
    </xf>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eanagnostou@geomar.de" TargetMode="External"/><Relationship Id="rId3" Type="http://schemas.openxmlformats.org/officeDocument/2006/relationships/hyperlink" Target="mailto:eanagnostou@geomar.de" TargetMode="External"/><Relationship Id="rId7" Type="http://schemas.openxmlformats.org/officeDocument/2006/relationships/hyperlink" Target="mailto:eanagnostou@geomar.de" TargetMode="External"/><Relationship Id="rId2" Type="http://schemas.openxmlformats.org/officeDocument/2006/relationships/hyperlink" Target="mailto:eanagnostou@geomar.de" TargetMode="External"/><Relationship Id="rId1" Type="http://schemas.openxmlformats.org/officeDocument/2006/relationships/hyperlink" Target="mailto:eanagnostou@geomar.de" TargetMode="External"/><Relationship Id="rId6" Type="http://schemas.openxmlformats.org/officeDocument/2006/relationships/hyperlink" Target="mailto:eanagnostou@geomar.de" TargetMode="External"/><Relationship Id="rId5" Type="http://schemas.openxmlformats.org/officeDocument/2006/relationships/hyperlink" Target="mailto:eanagnostou@geomar.de" TargetMode="External"/><Relationship Id="rId4" Type="http://schemas.openxmlformats.org/officeDocument/2006/relationships/hyperlink" Target="mailto:eanagnostou@geomar.de" TargetMode="External"/><Relationship Id="rId9" Type="http://schemas.openxmlformats.org/officeDocument/2006/relationships/hyperlink" Target="mailto:eanagnostou@geomar.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12"/>
  <sheetViews>
    <sheetView tabSelected="1" workbookViewId="0">
      <selection activeCell="N3" sqref="N3:O3"/>
    </sheetView>
  </sheetViews>
  <sheetFormatPr baseColWidth="10" defaultColWidth="8.83203125" defaultRowHeight="15"/>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c r="A2" s="1"/>
      <c r="B2" s="2"/>
      <c r="C2" s="2"/>
      <c r="D2" s="2"/>
      <c r="E2" s="2"/>
      <c r="F2" s="2"/>
      <c r="G2" s="2"/>
      <c r="H2" s="2"/>
      <c r="I2" s="2"/>
      <c r="J2" s="2"/>
      <c r="K2" s="2"/>
      <c r="L2" s="3"/>
      <c r="M2" s="4"/>
      <c r="N2" s="4"/>
      <c r="O2" s="4"/>
      <c r="P2" s="4"/>
      <c r="R2" s="5"/>
      <c r="S2" s="161"/>
      <c r="T2" s="161"/>
      <c r="U2" s="161"/>
      <c r="V2" s="161"/>
      <c r="W2" s="161"/>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c r="A3" s="6" t="s">
        <v>0</v>
      </c>
      <c r="B3" s="7" t="s">
        <v>1</v>
      </c>
      <c r="C3" s="8" t="s">
        <v>2</v>
      </c>
      <c r="D3" s="9" t="s">
        <v>3</v>
      </c>
      <c r="E3" s="9" t="s">
        <v>4</v>
      </c>
      <c r="F3" s="10" t="s">
        <v>5</v>
      </c>
      <c r="G3" s="10" t="s">
        <v>6</v>
      </c>
      <c r="H3" s="11" t="s">
        <v>7</v>
      </c>
      <c r="I3" s="11" t="s">
        <v>8</v>
      </c>
      <c r="J3" s="9" t="s">
        <v>233</v>
      </c>
      <c r="K3" s="11" t="s">
        <v>234</v>
      </c>
      <c r="L3" s="12" t="s">
        <v>243</v>
      </c>
      <c r="M3" s="13" t="s">
        <v>235</v>
      </c>
      <c r="N3" s="162" t="s">
        <v>245</v>
      </c>
      <c r="O3" s="162" t="s">
        <v>246</v>
      </c>
      <c r="P3" s="13" t="s">
        <v>236</v>
      </c>
      <c r="Q3" s="14" t="s">
        <v>237</v>
      </c>
      <c r="R3" s="15" t="s">
        <v>238</v>
      </c>
      <c r="S3" s="16" t="s">
        <v>239</v>
      </c>
      <c r="T3" s="13" t="s">
        <v>240</v>
      </c>
      <c r="U3" s="13" t="s">
        <v>9</v>
      </c>
      <c r="V3" s="13" t="s">
        <v>241</v>
      </c>
      <c r="W3" s="17" t="s">
        <v>242</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170</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40" t="s">
        <v>133</v>
      </c>
      <c r="EU3" s="141" t="s">
        <v>134</v>
      </c>
      <c r="EV3" s="141"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6">
      <c r="A4" t="s">
        <v>230</v>
      </c>
      <c r="B4" s="159" t="s">
        <v>231</v>
      </c>
      <c r="C4" s="138" t="s">
        <v>168</v>
      </c>
      <c r="D4" t="s">
        <v>232</v>
      </c>
      <c r="E4">
        <v>2009</v>
      </c>
      <c r="F4" t="s">
        <v>172</v>
      </c>
      <c r="G4" s="143">
        <f>AS4</f>
        <v>32980</v>
      </c>
      <c r="H4" t="str">
        <f>AU4</f>
        <v>NA</v>
      </c>
      <c r="I4" t="str">
        <f>AV4</f>
        <v>NA</v>
      </c>
      <c r="J4" s="160">
        <v>623.52911283263586</v>
      </c>
      <c r="K4" s="160">
        <v>72.816934346118728</v>
      </c>
      <c r="L4" s="160">
        <v>86.388322829287858</v>
      </c>
      <c r="M4" t="b">
        <v>1</v>
      </c>
      <c r="N4">
        <v>3</v>
      </c>
      <c r="O4" t="s">
        <v>169</v>
      </c>
      <c r="P4" s="142" t="s">
        <v>244</v>
      </c>
      <c r="Q4" t="b">
        <v>0</v>
      </c>
      <c r="R4" t="s">
        <v>167</v>
      </c>
      <c r="S4" t="b">
        <v>1</v>
      </c>
      <c r="T4" t="b">
        <v>0</v>
      </c>
      <c r="U4" t="s">
        <v>167</v>
      </c>
      <c r="V4" t="s">
        <v>167</v>
      </c>
      <c r="W4" t="b">
        <v>0</v>
      </c>
      <c r="X4" t="s">
        <v>167</v>
      </c>
      <c r="Y4" s="139" t="s">
        <v>171</v>
      </c>
      <c r="Z4" t="s">
        <v>172</v>
      </c>
      <c r="AA4" t="s">
        <v>173</v>
      </c>
      <c r="AB4" t="s">
        <v>167</v>
      </c>
      <c r="AC4">
        <v>13</v>
      </c>
      <c r="AD4">
        <v>2</v>
      </c>
      <c r="AE4">
        <v>0</v>
      </c>
      <c r="AF4">
        <v>50</v>
      </c>
      <c r="AG4" t="s">
        <v>167</v>
      </c>
      <c r="AH4" s="145">
        <v>42.7</v>
      </c>
      <c r="AI4" t="s">
        <v>167</v>
      </c>
      <c r="AJ4" t="s">
        <v>174</v>
      </c>
      <c r="AK4">
        <v>-9.1863888899999999</v>
      </c>
      <c r="AL4">
        <v>39.551111110000001</v>
      </c>
      <c r="AM4">
        <v>-19</v>
      </c>
      <c r="AN4" t="s">
        <v>167</v>
      </c>
      <c r="AO4" t="s">
        <v>167</v>
      </c>
      <c r="AP4" s="146" t="s">
        <v>175</v>
      </c>
      <c r="AQ4" t="s">
        <v>176</v>
      </c>
      <c r="AR4" t="s">
        <v>167</v>
      </c>
      <c r="AS4" s="147">
        <v>32980</v>
      </c>
      <c r="AT4" t="s">
        <v>177</v>
      </c>
      <c r="AU4" t="s">
        <v>167</v>
      </c>
      <c r="AV4" t="s">
        <v>167</v>
      </c>
      <c r="AW4" t="s">
        <v>178</v>
      </c>
      <c r="AX4" t="s">
        <v>179</v>
      </c>
      <c r="AY4" t="s">
        <v>180</v>
      </c>
      <c r="AZ4" t="s">
        <v>167</v>
      </c>
      <c r="BA4" t="s">
        <v>167</v>
      </c>
      <c r="BB4" t="s">
        <v>167</v>
      </c>
      <c r="BC4" t="s">
        <v>167</v>
      </c>
      <c r="BD4" t="s">
        <v>167</v>
      </c>
      <c r="BE4" t="s">
        <v>167</v>
      </c>
      <c r="BF4" t="s">
        <v>167</v>
      </c>
      <c r="BG4" s="148" t="s">
        <v>181</v>
      </c>
      <c r="BH4" s="149" t="s">
        <v>182</v>
      </c>
      <c r="BI4" s="149" t="s">
        <v>183</v>
      </c>
      <c r="BJ4" t="s">
        <v>167</v>
      </c>
      <c r="BK4" t="s">
        <v>184</v>
      </c>
      <c r="BL4" t="s">
        <v>185</v>
      </c>
      <c r="BM4" t="s">
        <v>186</v>
      </c>
      <c r="BN4" t="s">
        <v>187</v>
      </c>
      <c r="BO4">
        <v>2</v>
      </c>
      <c r="BP4">
        <v>3.0000000000001133E-2</v>
      </c>
      <c r="BQ4" s="150">
        <v>15.758716915017333</v>
      </c>
      <c r="BR4" t="s">
        <v>188</v>
      </c>
      <c r="BS4" s="150">
        <v>0.26727070847108353</v>
      </c>
      <c r="BT4">
        <v>1</v>
      </c>
      <c r="BU4" t="s">
        <v>189</v>
      </c>
      <c r="BV4" t="s">
        <v>189</v>
      </c>
      <c r="BW4">
        <v>0</v>
      </c>
      <c r="BX4" t="s">
        <v>190</v>
      </c>
      <c r="BY4" t="s">
        <v>190</v>
      </c>
      <c r="BZ4" t="s">
        <v>191</v>
      </c>
      <c r="CA4" t="s">
        <v>167</v>
      </c>
      <c r="CB4" s="144">
        <v>15.758716915017333</v>
      </c>
      <c r="CC4" t="s">
        <v>192</v>
      </c>
      <c r="CD4" s="144">
        <v>0.26727070847108353</v>
      </c>
      <c r="CE4" t="s">
        <v>192</v>
      </c>
      <c r="CF4" t="s">
        <v>167</v>
      </c>
      <c r="CG4" t="s">
        <v>193</v>
      </c>
      <c r="CH4" t="s">
        <v>194</v>
      </c>
      <c r="CI4" t="s">
        <v>194</v>
      </c>
      <c r="CJ4" s="151">
        <v>27.925315695288841</v>
      </c>
      <c r="CK4" t="s">
        <v>195</v>
      </c>
      <c r="CL4" s="142">
        <v>2</v>
      </c>
      <c r="CM4" s="142">
        <v>2</v>
      </c>
      <c r="CN4" t="s">
        <v>167</v>
      </c>
      <c r="CO4" s="152">
        <v>4.1329370403052499</v>
      </c>
      <c r="CP4" t="s">
        <v>196</v>
      </c>
      <c r="CQ4" s="144">
        <v>8.2658740806104997E-2</v>
      </c>
      <c r="CR4" s="144">
        <v>8.2658740806104997E-2</v>
      </c>
      <c r="CS4" s="153" t="s">
        <v>197</v>
      </c>
      <c r="CT4" s="142" t="s">
        <v>198</v>
      </c>
      <c r="CU4" s="142">
        <v>4.3</v>
      </c>
      <c r="CV4" t="s">
        <v>199</v>
      </c>
      <c r="CW4" t="s">
        <v>200</v>
      </c>
      <c r="CX4" t="s">
        <v>200</v>
      </c>
      <c r="CY4" t="s">
        <v>200</v>
      </c>
      <c r="CZ4" t="s">
        <v>167</v>
      </c>
      <c r="DA4" t="s">
        <v>167</v>
      </c>
      <c r="DB4" t="s">
        <v>167</v>
      </c>
      <c r="DC4" t="s">
        <v>167</v>
      </c>
      <c r="DD4" t="s">
        <v>167</v>
      </c>
      <c r="DE4" t="s">
        <v>167</v>
      </c>
      <c r="DF4" t="s">
        <v>167</v>
      </c>
      <c r="DG4">
        <v>35</v>
      </c>
      <c r="DH4" t="s">
        <v>195</v>
      </c>
      <c r="DI4" s="142">
        <v>2</v>
      </c>
      <c r="DJ4" t="s">
        <v>201</v>
      </c>
      <c r="DK4">
        <v>1.7000000000000001E-2</v>
      </c>
      <c r="DL4" t="s">
        <v>167</v>
      </c>
      <c r="DM4" t="s">
        <v>167</v>
      </c>
      <c r="DN4" t="s">
        <v>202</v>
      </c>
      <c r="DO4" t="s">
        <v>203</v>
      </c>
      <c r="DP4" t="s">
        <v>167</v>
      </c>
      <c r="DQ4" t="s">
        <v>167</v>
      </c>
      <c r="DR4" t="s">
        <v>167</v>
      </c>
      <c r="DS4" t="s">
        <v>203</v>
      </c>
      <c r="DT4" t="s">
        <v>167</v>
      </c>
      <c r="DU4" t="s">
        <v>167</v>
      </c>
      <c r="DV4" t="s">
        <v>167</v>
      </c>
      <c r="DW4">
        <v>416</v>
      </c>
      <c r="DX4" t="s">
        <v>167</v>
      </c>
      <c r="DY4" t="s">
        <v>167</v>
      </c>
      <c r="DZ4" t="s">
        <v>204</v>
      </c>
      <c r="EA4" s="142">
        <v>38</v>
      </c>
      <c r="EB4" s="142" t="s">
        <v>205</v>
      </c>
      <c r="EC4" s="142">
        <v>0.25</v>
      </c>
      <c r="ED4" s="142" t="s">
        <v>206</v>
      </c>
      <c r="EE4" t="s">
        <v>207</v>
      </c>
      <c r="EF4" t="s">
        <v>208</v>
      </c>
      <c r="EG4">
        <v>1.0271999999999999</v>
      </c>
      <c r="EH4" t="s">
        <v>209</v>
      </c>
      <c r="EI4" t="s">
        <v>209</v>
      </c>
      <c r="EJ4" t="s">
        <v>210</v>
      </c>
      <c r="EK4" t="s">
        <v>209</v>
      </c>
      <c r="EL4" t="s">
        <v>209</v>
      </c>
      <c r="EM4" s="142" t="s">
        <v>167</v>
      </c>
      <c r="EN4" s="142" t="s">
        <v>167</v>
      </c>
      <c r="EO4" s="142" t="s">
        <v>211</v>
      </c>
      <c r="EP4" s="142" t="s">
        <v>212</v>
      </c>
      <c r="EQ4" s="142" t="s">
        <v>167</v>
      </c>
      <c r="ER4" s="142" t="s">
        <v>167</v>
      </c>
      <c r="ES4" s="142" t="s">
        <v>167</v>
      </c>
      <c r="ET4" s="142" t="s">
        <v>213</v>
      </c>
      <c r="EU4" s="142" t="s">
        <v>214</v>
      </c>
      <c r="EV4" s="142" t="s">
        <v>167</v>
      </c>
      <c r="EW4" s="154">
        <v>119.45500015251456</v>
      </c>
      <c r="EX4" s="142" t="s">
        <v>167</v>
      </c>
      <c r="EY4" s="142" t="s">
        <v>167</v>
      </c>
      <c r="EZ4" s="142" t="s">
        <v>167</v>
      </c>
      <c r="FA4" s="142">
        <v>6.5</v>
      </c>
      <c r="FB4" s="142" t="s">
        <v>167</v>
      </c>
      <c r="FC4" s="142" t="s">
        <v>167</v>
      </c>
      <c r="FD4" s="142" t="s">
        <v>167</v>
      </c>
      <c r="FE4" s="145">
        <v>7.8369786355312483</v>
      </c>
      <c r="FF4" s="142" t="s">
        <v>215</v>
      </c>
      <c r="FG4" s="150" t="s">
        <v>167</v>
      </c>
      <c r="FH4" s="155" t="s">
        <v>167</v>
      </c>
      <c r="FI4" s="156">
        <v>623.52911283263586</v>
      </c>
      <c r="FJ4" s="138">
        <v>0</v>
      </c>
      <c r="FK4" s="138" t="s">
        <v>216</v>
      </c>
      <c r="FL4" s="160">
        <v>623.52911283263586</v>
      </c>
      <c r="FM4" s="160">
        <v>72.816934346118728</v>
      </c>
      <c r="FN4" s="160">
        <v>86.388322829287858</v>
      </c>
      <c r="FO4" t="s">
        <v>217</v>
      </c>
      <c r="FP4" s="142" t="s">
        <v>218</v>
      </c>
      <c r="FQ4" s="157" t="s">
        <v>167</v>
      </c>
      <c r="FR4" s="157" t="s">
        <v>167</v>
      </c>
      <c r="FS4" s="157" t="s">
        <v>167</v>
      </c>
      <c r="FT4" s="157" t="s">
        <v>167</v>
      </c>
      <c r="FU4" s="157" t="s">
        <v>167</v>
      </c>
      <c r="FV4" s="157" t="s">
        <v>167</v>
      </c>
      <c r="FW4" s="157" t="s">
        <v>167</v>
      </c>
      <c r="FX4" s="157" t="s">
        <v>167</v>
      </c>
      <c r="FY4" s="157" t="s">
        <v>167</v>
      </c>
      <c r="FZ4" s="157" t="s">
        <v>167</v>
      </c>
      <c r="GA4" t="s">
        <v>167</v>
      </c>
      <c r="GB4" t="s">
        <v>167</v>
      </c>
      <c r="GC4" t="s">
        <v>219</v>
      </c>
    </row>
    <row r="5" spans="1:185" ht="16">
      <c r="A5" t="s">
        <v>230</v>
      </c>
      <c r="B5" s="159" t="s">
        <v>231</v>
      </c>
      <c r="C5" s="138" t="s">
        <v>168</v>
      </c>
      <c r="D5" t="s">
        <v>232</v>
      </c>
      <c r="E5">
        <v>2009</v>
      </c>
      <c r="F5" t="s">
        <v>172</v>
      </c>
      <c r="G5" s="143">
        <f t="shared" ref="G5:G12" si="0">AS5</f>
        <v>33170</v>
      </c>
      <c r="H5" t="str">
        <f t="shared" ref="H5:H12" si="1">AU5</f>
        <v>NA</v>
      </c>
      <c r="I5" t="str">
        <f t="shared" ref="I5:I12" si="2">AV5</f>
        <v>NA</v>
      </c>
      <c r="J5" s="160">
        <v>786.41738123326536</v>
      </c>
      <c r="K5" s="160">
        <v>100.1577758937683</v>
      </c>
      <c r="L5" s="160">
        <v>121.16688406142111</v>
      </c>
      <c r="M5" t="b">
        <v>1</v>
      </c>
      <c r="N5">
        <v>3</v>
      </c>
      <c r="O5" t="s">
        <v>169</v>
      </c>
      <c r="P5" s="142" t="s">
        <v>244</v>
      </c>
      <c r="Q5" t="b">
        <v>0</v>
      </c>
      <c r="R5" t="s">
        <v>167</v>
      </c>
      <c r="S5" t="b">
        <v>1</v>
      </c>
      <c r="T5" t="b">
        <v>0</v>
      </c>
      <c r="U5" t="s">
        <v>167</v>
      </c>
      <c r="V5" t="s">
        <v>167</v>
      </c>
      <c r="W5" t="b">
        <v>0</v>
      </c>
      <c r="X5" t="s">
        <v>167</v>
      </c>
      <c r="Y5" s="139" t="s">
        <v>171</v>
      </c>
      <c r="Z5" t="s">
        <v>172</v>
      </c>
      <c r="AA5" t="s">
        <v>173</v>
      </c>
      <c r="AB5" t="s">
        <v>167</v>
      </c>
      <c r="AC5">
        <v>19</v>
      </c>
      <c r="AD5">
        <v>1</v>
      </c>
      <c r="AE5">
        <v>0</v>
      </c>
      <c r="AF5">
        <v>50</v>
      </c>
      <c r="AG5" t="s">
        <v>167</v>
      </c>
      <c r="AH5" s="145">
        <v>59.7</v>
      </c>
      <c r="AI5" t="s">
        <v>167</v>
      </c>
      <c r="AJ5" t="s">
        <v>174</v>
      </c>
      <c r="AK5">
        <v>-9.1863888899999999</v>
      </c>
      <c r="AL5">
        <v>39.551111110000001</v>
      </c>
      <c r="AM5">
        <v>-19</v>
      </c>
      <c r="AN5" t="s">
        <v>167</v>
      </c>
      <c r="AO5" t="s">
        <v>167</v>
      </c>
      <c r="AP5" s="146" t="s">
        <v>175</v>
      </c>
      <c r="AQ5" t="s">
        <v>176</v>
      </c>
      <c r="AR5" t="s">
        <v>167</v>
      </c>
      <c r="AS5" s="158">
        <v>33170</v>
      </c>
      <c r="AT5" t="s">
        <v>177</v>
      </c>
      <c r="AU5" t="s">
        <v>167</v>
      </c>
      <c r="AV5" t="s">
        <v>167</v>
      </c>
      <c r="AW5" t="s">
        <v>178</v>
      </c>
      <c r="AX5" t="s">
        <v>179</v>
      </c>
      <c r="AY5" t="s">
        <v>180</v>
      </c>
      <c r="AZ5" t="s">
        <v>167</v>
      </c>
      <c r="BA5" t="s">
        <v>167</v>
      </c>
      <c r="BB5" t="s">
        <v>167</v>
      </c>
      <c r="BC5" t="s">
        <v>167</v>
      </c>
      <c r="BD5" t="s">
        <v>167</v>
      </c>
      <c r="BE5" t="s">
        <v>167</v>
      </c>
      <c r="BF5" t="s">
        <v>167</v>
      </c>
      <c r="BG5" s="148" t="s">
        <v>181</v>
      </c>
      <c r="BH5" s="149" t="s">
        <v>182</v>
      </c>
      <c r="BI5" s="149" t="s">
        <v>183</v>
      </c>
      <c r="BJ5" t="s">
        <v>167</v>
      </c>
      <c r="BK5" t="s">
        <v>184</v>
      </c>
      <c r="BL5" t="s">
        <v>185</v>
      </c>
      <c r="BM5" t="s">
        <v>186</v>
      </c>
      <c r="BN5" t="s">
        <v>220</v>
      </c>
      <c r="BO5">
        <v>2</v>
      </c>
      <c r="BP5">
        <v>0.38000000000000073</v>
      </c>
      <c r="BQ5" s="150">
        <v>15.31090196348655</v>
      </c>
      <c r="BR5" t="s">
        <v>188</v>
      </c>
      <c r="BS5" s="150">
        <v>0.26793015211683424</v>
      </c>
      <c r="BT5">
        <v>1</v>
      </c>
      <c r="BU5" t="s">
        <v>189</v>
      </c>
      <c r="BV5" t="s">
        <v>189</v>
      </c>
      <c r="BW5">
        <v>0</v>
      </c>
      <c r="BX5" t="s">
        <v>190</v>
      </c>
      <c r="BY5" t="s">
        <v>190</v>
      </c>
      <c r="BZ5" t="s">
        <v>191</v>
      </c>
      <c r="CA5" t="s">
        <v>167</v>
      </c>
      <c r="CB5" s="144">
        <v>15.31090196348655</v>
      </c>
      <c r="CC5" t="s">
        <v>192</v>
      </c>
      <c r="CD5" s="144">
        <v>0.26793015211683424</v>
      </c>
      <c r="CE5" t="s">
        <v>192</v>
      </c>
      <c r="CF5" t="s">
        <v>167</v>
      </c>
      <c r="CG5" t="s">
        <v>193</v>
      </c>
      <c r="CH5" t="s">
        <v>194</v>
      </c>
      <c r="CI5" t="s">
        <v>194</v>
      </c>
      <c r="CJ5" s="151">
        <v>28.450562402423493</v>
      </c>
      <c r="CK5" t="s">
        <v>195</v>
      </c>
      <c r="CL5" s="142">
        <v>2</v>
      </c>
      <c r="CM5" s="142">
        <v>2</v>
      </c>
      <c r="CN5" t="s">
        <v>167</v>
      </c>
      <c r="CO5" s="152">
        <v>4.1877376849825874</v>
      </c>
      <c r="CP5" t="s">
        <v>196</v>
      </c>
      <c r="CQ5" s="144">
        <v>8.3754753699651754E-2</v>
      </c>
      <c r="CR5" s="144">
        <v>8.3754753699651754E-2</v>
      </c>
      <c r="CS5" s="153" t="s">
        <v>197</v>
      </c>
      <c r="CT5" s="142" t="s">
        <v>198</v>
      </c>
      <c r="CU5" s="142">
        <v>4.3</v>
      </c>
      <c r="CV5" t="s">
        <v>199</v>
      </c>
      <c r="CW5" t="s">
        <v>200</v>
      </c>
      <c r="CX5" t="s">
        <v>200</v>
      </c>
      <c r="CY5" t="s">
        <v>200</v>
      </c>
      <c r="CZ5" t="s">
        <v>167</v>
      </c>
      <c r="DA5" t="s">
        <v>167</v>
      </c>
      <c r="DB5" t="s">
        <v>167</v>
      </c>
      <c r="DC5" t="s">
        <v>167</v>
      </c>
      <c r="DD5" t="s">
        <v>167</v>
      </c>
      <c r="DE5" t="s">
        <v>167</v>
      </c>
      <c r="DF5" t="s">
        <v>167</v>
      </c>
      <c r="DG5">
        <v>35</v>
      </c>
      <c r="DH5" t="s">
        <v>195</v>
      </c>
      <c r="DI5" s="142">
        <v>2</v>
      </c>
      <c r="DJ5" t="s">
        <v>201</v>
      </c>
      <c r="DK5">
        <v>1.7000000000000001E-2</v>
      </c>
      <c r="DL5" t="s">
        <v>167</v>
      </c>
      <c r="DM5" t="s">
        <v>167</v>
      </c>
      <c r="DN5" t="s">
        <v>202</v>
      </c>
      <c r="DO5" t="s">
        <v>203</v>
      </c>
      <c r="DP5" t="s">
        <v>167</v>
      </c>
      <c r="DQ5" t="s">
        <v>167</v>
      </c>
      <c r="DR5" t="s">
        <v>167</v>
      </c>
      <c r="DS5" t="s">
        <v>203</v>
      </c>
      <c r="DT5" t="s">
        <v>167</v>
      </c>
      <c r="DU5" t="s">
        <v>167</v>
      </c>
      <c r="DV5" t="s">
        <v>167</v>
      </c>
      <c r="DW5">
        <v>416</v>
      </c>
      <c r="DX5" t="s">
        <v>167</v>
      </c>
      <c r="DY5" t="s">
        <v>167</v>
      </c>
      <c r="DZ5" t="s">
        <v>204</v>
      </c>
      <c r="EA5" s="142">
        <v>38</v>
      </c>
      <c r="EB5" s="142" t="s">
        <v>205</v>
      </c>
      <c r="EC5" s="142">
        <v>0.25</v>
      </c>
      <c r="ED5" s="142" t="s">
        <v>206</v>
      </c>
      <c r="EE5" t="s">
        <v>207</v>
      </c>
      <c r="EF5" t="s">
        <v>208</v>
      </c>
      <c r="EG5">
        <v>1.0271999999999999</v>
      </c>
      <c r="EH5" t="s">
        <v>209</v>
      </c>
      <c r="EI5" t="s">
        <v>209</v>
      </c>
      <c r="EJ5" t="s">
        <v>210</v>
      </c>
      <c r="EK5" t="s">
        <v>209</v>
      </c>
      <c r="EL5" t="s">
        <v>209</v>
      </c>
      <c r="EM5" s="142" t="s">
        <v>167</v>
      </c>
      <c r="EN5" s="142" t="s">
        <v>167</v>
      </c>
      <c r="EO5" s="142" t="s">
        <v>211</v>
      </c>
      <c r="EP5" s="142" t="s">
        <v>212</v>
      </c>
      <c r="EQ5" s="142" t="s">
        <v>167</v>
      </c>
      <c r="ER5" s="142" t="s">
        <v>167</v>
      </c>
      <c r="ES5" s="142" t="s">
        <v>167</v>
      </c>
      <c r="ET5" s="142" t="s">
        <v>213</v>
      </c>
      <c r="EU5" s="142" t="s">
        <v>214</v>
      </c>
      <c r="EV5" s="142" t="s">
        <v>167</v>
      </c>
      <c r="EW5" s="154">
        <v>114.69203911032093</v>
      </c>
      <c r="EX5" s="142" t="s">
        <v>167</v>
      </c>
      <c r="EY5" s="142" t="s">
        <v>167</v>
      </c>
      <c r="EZ5" s="142" t="s">
        <v>167</v>
      </c>
      <c r="FA5" s="142">
        <v>6.5</v>
      </c>
      <c r="FB5" s="142" t="s">
        <v>167</v>
      </c>
      <c r="FC5" s="142" t="s">
        <v>167</v>
      </c>
      <c r="FD5" s="142" t="s">
        <v>167</v>
      </c>
      <c r="FE5" s="145">
        <v>7.7742522198260513</v>
      </c>
      <c r="FF5" s="142" t="s">
        <v>215</v>
      </c>
      <c r="FG5" s="150" t="s">
        <v>167</v>
      </c>
      <c r="FH5" s="155" t="s">
        <v>167</v>
      </c>
      <c r="FI5" s="156">
        <v>786.41738123326536</v>
      </c>
      <c r="FJ5" s="138">
        <v>0</v>
      </c>
      <c r="FK5" s="138" t="s">
        <v>216</v>
      </c>
      <c r="FL5" s="160">
        <v>786.41738123326536</v>
      </c>
      <c r="FM5" s="160">
        <v>100.1577758937683</v>
      </c>
      <c r="FN5" s="160">
        <v>121.16688406142111</v>
      </c>
      <c r="FO5" t="s">
        <v>217</v>
      </c>
      <c r="FP5" s="142" t="s">
        <v>218</v>
      </c>
      <c r="FQ5" s="157" t="s">
        <v>167</v>
      </c>
      <c r="FR5" s="157" t="s">
        <v>167</v>
      </c>
      <c r="FS5" s="157" t="s">
        <v>167</v>
      </c>
      <c r="FT5" s="157" t="s">
        <v>167</v>
      </c>
      <c r="FU5" s="157" t="s">
        <v>167</v>
      </c>
      <c r="FV5" s="157" t="s">
        <v>167</v>
      </c>
      <c r="FW5" s="157" t="s">
        <v>167</v>
      </c>
      <c r="FX5" s="157" t="s">
        <v>167</v>
      </c>
      <c r="FY5" s="157" t="s">
        <v>167</v>
      </c>
      <c r="FZ5" s="157" t="s">
        <v>167</v>
      </c>
      <c r="GA5" t="s">
        <v>167</v>
      </c>
      <c r="GB5" t="s">
        <v>167</v>
      </c>
      <c r="GC5" t="s">
        <v>219</v>
      </c>
    </row>
    <row r="6" spans="1:185" ht="16">
      <c r="A6" t="s">
        <v>230</v>
      </c>
      <c r="B6" s="159" t="s">
        <v>231</v>
      </c>
      <c r="C6" s="138" t="s">
        <v>168</v>
      </c>
      <c r="D6" t="s">
        <v>232</v>
      </c>
      <c r="E6">
        <v>2009</v>
      </c>
      <c r="F6" t="s">
        <v>172</v>
      </c>
      <c r="G6" s="143">
        <f t="shared" si="0"/>
        <v>33330</v>
      </c>
      <c r="H6" t="str">
        <f t="shared" si="1"/>
        <v>NA</v>
      </c>
      <c r="I6" t="str">
        <f t="shared" si="2"/>
        <v>NA</v>
      </c>
      <c r="J6" s="160">
        <v>1105.2400080684433</v>
      </c>
      <c r="K6" s="160">
        <v>147.61404693701627</v>
      </c>
      <c r="L6" s="160">
        <v>180.82835584886197</v>
      </c>
      <c r="M6" t="b">
        <v>1</v>
      </c>
      <c r="N6">
        <v>3</v>
      </c>
      <c r="O6" t="s">
        <v>169</v>
      </c>
      <c r="P6" s="142" t="s">
        <v>244</v>
      </c>
      <c r="Q6" t="b">
        <v>0</v>
      </c>
      <c r="R6" t="s">
        <v>167</v>
      </c>
      <c r="S6" t="b">
        <v>1</v>
      </c>
      <c r="T6" t="b">
        <v>0</v>
      </c>
      <c r="U6" t="s">
        <v>167</v>
      </c>
      <c r="V6" t="s">
        <v>167</v>
      </c>
      <c r="W6" t="b">
        <v>0</v>
      </c>
      <c r="X6" t="s">
        <v>167</v>
      </c>
      <c r="Y6" s="139" t="s">
        <v>171</v>
      </c>
      <c r="Z6" t="s">
        <v>172</v>
      </c>
      <c r="AA6" t="s">
        <v>173</v>
      </c>
      <c r="AB6" t="s">
        <v>167</v>
      </c>
      <c r="AC6">
        <v>26</v>
      </c>
      <c r="AD6">
        <v>1</v>
      </c>
      <c r="AE6">
        <v>40</v>
      </c>
      <c r="AF6">
        <v>90</v>
      </c>
      <c r="AG6" t="s">
        <v>167</v>
      </c>
      <c r="AH6" s="145">
        <v>75.45</v>
      </c>
      <c r="AI6" t="s">
        <v>167</v>
      </c>
      <c r="AJ6" t="s">
        <v>174</v>
      </c>
      <c r="AK6">
        <v>-9.1863888899999999</v>
      </c>
      <c r="AL6">
        <v>39.551111110000001</v>
      </c>
      <c r="AM6">
        <v>-19</v>
      </c>
      <c r="AN6" t="s">
        <v>167</v>
      </c>
      <c r="AO6" t="s">
        <v>167</v>
      </c>
      <c r="AP6" s="146" t="s">
        <v>175</v>
      </c>
      <c r="AQ6" t="s">
        <v>176</v>
      </c>
      <c r="AR6" t="s">
        <v>167</v>
      </c>
      <c r="AS6" s="147">
        <v>33330</v>
      </c>
      <c r="AT6" t="s">
        <v>177</v>
      </c>
      <c r="AU6" t="s">
        <v>167</v>
      </c>
      <c r="AV6" t="s">
        <v>167</v>
      </c>
      <c r="AW6" t="s">
        <v>178</v>
      </c>
      <c r="AX6" t="s">
        <v>179</v>
      </c>
      <c r="AY6" t="s">
        <v>180</v>
      </c>
      <c r="AZ6" t="s">
        <v>167</v>
      </c>
      <c r="BA6" t="s">
        <v>167</v>
      </c>
      <c r="BB6" t="s">
        <v>167</v>
      </c>
      <c r="BC6" t="s">
        <v>167</v>
      </c>
      <c r="BD6" t="s">
        <v>167</v>
      </c>
      <c r="BE6" t="s">
        <v>167</v>
      </c>
      <c r="BF6" t="s">
        <v>167</v>
      </c>
      <c r="BG6" s="148" t="s">
        <v>181</v>
      </c>
      <c r="BH6" s="149" t="s">
        <v>182</v>
      </c>
      <c r="BI6" s="149" t="s">
        <v>183</v>
      </c>
      <c r="BJ6" t="s">
        <v>167</v>
      </c>
      <c r="BK6" t="s">
        <v>184</v>
      </c>
      <c r="BL6" t="s">
        <v>185</v>
      </c>
      <c r="BM6" t="s">
        <v>186</v>
      </c>
      <c r="BN6" t="s">
        <v>221</v>
      </c>
      <c r="BO6">
        <v>2</v>
      </c>
      <c r="BP6">
        <v>8.0000000000000071E-2</v>
      </c>
      <c r="BQ6" s="150">
        <v>14.928367132844311</v>
      </c>
      <c r="BR6" t="s">
        <v>188</v>
      </c>
      <c r="BS6" s="150">
        <v>0.26091628653420895</v>
      </c>
      <c r="BT6">
        <v>1</v>
      </c>
      <c r="BU6" t="s">
        <v>189</v>
      </c>
      <c r="BV6" t="s">
        <v>189</v>
      </c>
      <c r="BW6">
        <v>0</v>
      </c>
      <c r="BX6" t="s">
        <v>190</v>
      </c>
      <c r="BY6" t="s">
        <v>190</v>
      </c>
      <c r="BZ6" t="s">
        <v>191</v>
      </c>
      <c r="CA6" t="s">
        <v>167</v>
      </c>
      <c r="CB6" s="144">
        <v>14.928367132844311</v>
      </c>
      <c r="CC6" t="s">
        <v>192</v>
      </c>
      <c r="CD6" s="144">
        <v>0.26091628653420895</v>
      </c>
      <c r="CE6" t="s">
        <v>192</v>
      </c>
      <c r="CF6" t="s">
        <v>167</v>
      </c>
      <c r="CG6" t="s">
        <v>193</v>
      </c>
      <c r="CH6" t="s">
        <v>194</v>
      </c>
      <c r="CI6" t="s">
        <v>194</v>
      </c>
      <c r="CJ6" s="151">
        <v>29.037153247391789</v>
      </c>
      <c r="CK6" t="s">
        <v>195</v>
      </c>
      <c r="CL6" s="142">
        <v>2</v>
      </c>
      <c r="CM6" s="142">
        <v>2</v>
      </c>
      <c r="CN6" t="s">
        <v>167</v>
      </c>
      <c r="CO6" s="152">
        <v>4.6603652712700114</v>
      </c>
      <c r="CP6" t="s">
        <v>196</v>
      </c>
      <c r="CQ6" s="144">
        <v>9.3207305425400233E-2</v>
      </c>
      <c r="CR6" s="144">
        <v>9.3207305425400233E-2</v>
      </c>
      <c r="CS6" s="153" t="s">
        <v>197</v>
      </c>
      <c r="CT6" s="142" t="s">
        <v>198</v>
      </c>
      <c r="CU6" s="142">
        <v>4.3</v>
      </c>
      <c r="CV6" t="s">
        <v>199</v>
      </c>
      <c r="CW6" t="s">
        <v>200</v>
      </c>
      <c r="CX6" t="s">
        <v>200</v>
      </c>
      <c r="CY6" t="s">
        <v>200</v>
      </c>
      <c r="CZ6" t="s">
        <v>167</v>
      </c>
      <c r="DA6" t="s">
        <v>167</v>
      </c>
      <c r="DB6" t="s">
        <v>167</v>
      </c>
      <c r="DC6" t="s">
        <v>167</v>
      </c>
      <c r="DD6" t="s">
        <v>167</v>
      </c>
      <c r="DE6" t="s">
        <v>167</v>
      </c>
      <c r="DF6" t="s">
        <v>167</v>
      </c>
      <c r="DG6">
        <v>35</v>
      </c>
      <c r="DH6" t="s">
        <v>195</v>
      </c>
      <c r="DI6" s="142">
        <v>2</v>
      </c>
      <c r="DJ6" t="s">
        <v>201</v>
      </c>
      <c r="DK6">
        <v>1.7000000000000001E-2</v>
      </c>
      <c r="DL6" t="s">
        <v>167</v>
      </c>
      <c r="DM6" t="s">
        <v>167</v>
      </c>
      <c r="DN6" t="s">
        <v>202</v>
      </c>
      <c r="DO6" t="s">
        <v>203</v>
      </c>
      <c r="DP6" t="s">
        <v>167</v>
      </c>
      <c r="DQ6" t="s">
        <v>167</v>
      </c>
      <c r="DR6" t="s">
        <v>167</v>
      </c>
      <c r="DS6" t="s">
        <v>203</v>
      </c>
      <c r="DT6" t="s">
        <v>167</v>
      </c>
      <c r="DU6" t="s">
        <v>167</v>
      </c>
      <c r="DV6" t="s">
        <v>167</v>
      </c>
      <c r="DW6">
        <v>416</v>
      </c>
      <c r="DX6" t="s">
        <v>167</v>
      </c>
      <c r="DY6" t="s">
        <v>167</v>
      </c>
      <c r="DZ6" t="s">
        <v>204</v>
      </c>
      <c r="EA6" s="142">
        <v>38</v>
      </c>
      <c r="EB6" s="142" t="s">
        <v>205</v>
      </c>
      <c r="EC6" s="142">
        <v>0.25</v>
      </c>
      <c r="ED6" s="142" t="s">
        <v>206</v>
      </c>
      <c r="EE6" t="s">
        <v>207</v>
      </c>
      <c r="EF6" t="s">
        <v>208</v>
      </c>
      <c r="EG6">
        <v>1.0271999999999999</v>
      </c>
      <c r="EH6" t="s">
        <v>209</v>
      </c>
      <c r="EI6" t="s">
        <v>209</v>
      </c>
      <c r="EJ6" t="s">
        <v>210</v>
      </c>
      <c r="EK6" t="s">
        <v>209</v>
      </c>
      <c r="EL6" t="s">
        <v>209</v>
      </c>
      <c r="EM6" s="142" t="s">
        <v>167</v>
      </c>
      <c r="EN6" s="142" t="s">
        <v>167</v>
      </c>
      <c r="EO6" s="142" t="s">
        <v>211</v>
      </c>
      <c r="EP6" s="142" t="s">
        <v>212</v>
      </c>
      <c r="EQ6" s="142" t="s">
        <v>167</v>
      </c>
      <c r="ER6" s="142" t="s">
        <v>167</v>
      </c>
      <c r="ES6" s="142" t="s">
        <v>167</v>
      </c>
      <c r="ET6" s="142" t="s">
        <v>213</v>
      </c>
      <c r="EU6" s="142" t="s">
        <v>214</v>
      </c>
      <c r="EV6" s="142" t="s">
        <v>167</v>
      </c>
      <c r="EW6" s="154">
        <v>124.61133380490946</v>
      </c>
      <c r="EX6" s="142" t="s">
        <v>167</v>
      </c>
      <c r="EY6" s="142" t="s">
        <v>167</v>
      </c>
      <c r="EZ6" s="142" t="s">
        <v>167</v>
      </c>
      <c r="FA6" s="142">
        <v>6.5</v>
      </c>
      <c r="FB6" s="142" t="s">
        <v>167</v>
      </c>
      <c r="FC6" s="142" t="s">
        <v>167</v>
      </c>
      <c r="FD6" s="142" t="s">
        <v>167</v>
      </c>
      <c r="FE6" s="145">
        <v>7.7144667348962566</v>
      </c>
      <c r="FF6" s="142" t="s">
        <v>215</v>
      </c>
      <c r="FG6" s="150" t="s">
        <v>167</v>
      </c>
      <c r="FH6" s="155" t="s">
        <v>167</v>
      </c>
      <c r="FI6" s="156">
        <v>1105.2400080684433</v>
      </c>
      <c r="FJ6" s="138">
        <v>0</v>
      </c>
      <c r="FK6" s="138" t="s">
        <v>216</v>
      </c>
      <c r="FL6" s="160">
        <v>1105.2400080684433</v>
      </c>
      <c r="FM6" s="160">
        <v>147.61404693701627</v>
      </c>
      <c r="FN6" s="160">
        <v>180.82835584886197</v>
      </c>
      <c r="FO6" t="s">
        <v>217</v>
      </c>
      <c r="FP6" s="142" t="s">
        <v>218</v>
      </c>
      <c r="FQ6" s="157" t="s">
        <v>167</v>
      </c>
      <c r="FR6" s="157" t="s">
        <v>167</v>
      </c>
      <c r="FS6" s="157" t="s">
        <v>167</v>
      </c>
      <c r="FT6" s="157" t="s">
        <v>167</v>
      </c>
      <c r="FU6" s="157" t="s">
        <v>167</v>
      </c>
      <c r="FV6" s="157" t="s">
        <v>167</v>
      </c>
      <c r="FW6" s="157" t="s">
        <v>167</v>
      </c>
      <c r="FX6" s="157" t="s">
        <v>167</v>
      </c>
      <c r="FY6" s="157" t="s">
        <v>167</v>
      </c>
      <c r="FZ6" s="157" t="s">
        <v>167</v>
      </c>
      <c r="GA6" t="s">
        <v>167</v>
      </c>
      <c r="GB6" t="s">
        <v>167</v>
      </c>
      <c r="GC6" t="s">
        <v>219</v>
      </c>
    </row>
    <row r="7" spans="1:185" ht="16">
      <c r="A7" t="s">
        <v>230</v>
      </c>
      <c r="B7" s="159" t="s">
        <v>231</v>
      </c>
      <c r="C7" s="138" t="s">
        <v>168</v>
      </c>
      <c r="D7" t="s">
        <v>232</v>
      </c>
      <c r="E7">
        <v>2009</v>
      </c>
      <c r="F7" t="s">
        <v>172</v>
      </c>
      <c r="G7" s="143">
        <f t="shared" si="0"/>
        <v>33470</v>
      </c>
      <c r="H7" t="str">
        <f t="shared" si="1"/>
        <v>NA</v>
      </c>
      <c r="I7" t="str">
        <f t="shared" si="2"/>
        <v>NA</v>
      </c>
      <c r="J7" s="160">
        <v>1159.5747497368488</v>
      </c>
      <c r="K7" s="160">
        <v>162.14646363730265</v>
      </c>
      <c r="L7" s="160">
        <v>200.90314832842614</v>
      </c>
      <c r="M7" t="b">
        <v>1</v>
      </c>
      <c r="N7">
        <v>3</v>
      </c>
      <c r="O7" t="s">
        <v>169</v>
      </c>
      <c r="P7" s="142" t="s">
        <v>244</v>
      </c>
      <c r="Q7" t="b">
        <v>0</v>
      </c>
      <c r="R7" t="s">
        <v>167</v>
      </c>
      <c r="S7" t="b">
        <v>1</v>
      </c>
      <c r="T7" t="b">
        <v>0</v>
      </c>
      <c r="U7" t="s">
        <v>167</v>
      </c>
      <c r="V7" t="s">
        <v>167</v>
      </c>
      <c r="W7" t="b">
        <v>0</v>
      </c>
      <c r="X7" t="s">
        <v>167</v>
      </c>
      <c r="Y7" s="139" t="s">
        <v>171</v>
      </c>
      <c r="Z7" t="s">
        <v>172</v>
      </c>
      <c r="AA7" t="s">
        <v>222</v>
      </c>
      <c r="AB7" t="s">
        <v>167</v>
      </c>
      <c r="AC7">
        <v>11</v>
      </c>
      <c r="AD7">
        <v>2</v>
      </c>
      <c r="AE7">
        <v>0</v>
      </c>
      <c r="AF7">
        <v>50</v>
      </c>
      <c r="AG7" t="s">
        <v>167</v>
      </c>
      <c r="AH7" s="145">
        <v>94.25</v>
      </c>
      <c r="AI7" t="s">
        <v>167</v>
      </c>
      <c r="AJ7" t="s">
        <v>174</v>
      </c>
      <c r="AK7">
        <v>-9.2152777799999992</v>
      </c>
      <c r="AL7">
        <v>39.548333329999998</v>
      </c>
      <c r="AM7">
        <v>-19</v>
      </c>
      <c r="AN7" t="s">
        <v>167</v>
      </c>
      <c r="AO7" t="s">
        <v>167</v>
      </c>
      <c r="AP7" s="146" t="s">
        <v>175</v>
      </c>
      <c r="AQ7" t="s">
        <v>176</v>
      </c>
      <c r="AR7" t="s">
        <v>167</v>
      </c>
      <c r="AS7" s="158">
        <v>33470</v>
      </c>
      <c r="AT7" t="s">
        <v>177</v>
      </c>
      <c r="AU7" t="s">
        <v>167</v>
      </c>
      <c r="AV7" t="s">
        <v>167</v>
      </c>
      <c r="AW7" t="s">
        <v>178</v>
      </c>
      <c r="AX7" t="s">
        <v>179</v>
      </c>
      <c r="AY7" t="s">
        <v>180</v>
      </c>
      <c r="AZ7" t="s">
        <v>167</v>
      </c>
      <c r="BA7" t="s">
        <v>167</v>
      </c>
      <c r="BB7" t="s">
        <v>167</v>
      </c>
      <c r="BC7" t="s">
        <v>167</v>
      </c>
      <c r="BD7" t="s">
        <v>167</v>
      </c>
      <c r="BE7" t="s">
        <v>167</v>
      </c>
      <c r="BF7" t="s">
        <v>167</v>
      </c>
      <c r="BG7" s="148" t="s">
        <v>181</v>
      </c>
      <c r="BH7" s="149" t="s">
        <v>182</v>
      </c>
      <c r="BI7" s="149" t="s">
        <v>183</v>
      </c>
      <c r="BJ7" t="s">
        <v>167</v>
      </c>
      <c r="BK7" t="s">
        <v>184</v>
      </c>
      <c r="BL7" t="s">
        <v>185</v>
      </c>
      <c r="BM7" t="s">
        <v>186</v>
      </c>
      <c r="BN7" t="s">
        <v>223</v>
      </c>
      <c r="BO7">
        <v>2</v>
      </c>
      <c r="BP7">
        <v>0</v>
      </c>
      <c r="BQ7" s="150">
        <v>14.8078066504938</v>
      </c>
      <c r="BR7" t="s">
        <v>188</v>
      </c>
      <c r="BS7" s="149">
        <v>0.26471819330941693</v>
      </c>
      <c r="BT7">
        <v>1</v>
      </c>
      <c r="BU7" t="s">
        <v>189</v>
      </c>
      <c r="BV7" t="s">
        <v>189</v>
      </c>
      <c r="BW7">
        <v>0</v>
      </c>
      <c r="BX7" t="s">
        <v>190</v>
      </c>
      <c r="BY7" t="s">
        <v>190</v>
      </c>
      <c r="BZ7" t="s">
        <v>191</v>
      </c>
      <c r="CA7" t="s">
        <v>167</v>
      </c>
      <c r="CB7" s="144">
        <v>14.8078066504938</v>
      </c>
      <c r="CC7" t="s">
        <v>192</v>
      </c>
      <c r="CD7" s="144">
        <v>0.26471819330941693</v>
      </c>
      <c r="CE7" t="s">
        <v>192</v>
      </c>
      <c r="CF7" t="s">
        <v>167</v>
      </c>
      <c r="CG7" t="s">
        <v>193</v>
      </c>
      <c r="CH7" t="s">
        <v>194</v>
      </c>
      <c r="CI7" t="s">
        <v>194</v>
      </c>
      <c r="CJ7" s="151">
        <v>27.505852159477485</v>
      </c>
      <c r="CK7" t="s">
        <v>195</v>
      </c>
      <c r="CL7" s="142">
        <v>2</v>
      </c>
      <c r="CM7" s="142">
        <v>2</v>
      </c>
      <c r="CN7" t="s">
        <v>167</v>
      </c>
      <c r="CO7" s="152">
        <v>4.0266311512116291</v>
      </c>
      <c r="CP7" t="s">
        <v>196</v>
      </c>
      <c r="CQ7" s="144">
        <v>8.0532623024232586E-2</v>
      </c>
      <c r="CR7" s="144">
        <v>8.0532623024232586E-2</v>
      </c>
      <c r="CS7" s="153" t="s">
        <v>197</v>
      </c>
      <c r="CT7" s="142" t="s">
        <v>198</v>
      </c>
      <c r="CU7" s="142">
        <v>4.3</v>
      </c>
      <c r="CV7" t="s">
        <v>199</v>
      </c>
      <c r="CW7" t="s">
        <v>200</v>
      </c>
      <c r="CX7" t="s">
        <v>200</v>
      </c>
      <c r="CY7" t="s">
        <v>200</v>
      </c>
      <c r="CZ7" t="s">
        <v>167</v>
      </c>
      <c r="DA7" t="s">
        <v>167</v>
      </c>
      <c r="DB7" t="s">
        <v>167</v>
      </c>
      <c r="DC7" t="s">
        <v>167</v>
      </c>
      <c r="DD7" t="s">
        <v>167</v>
      </c>
      <c r="DE7" t="s">
        <v>167</v>
      </c>
      <c r="DF7" t="s">
        <v>167</v>
      </c>
      <c r="DG7">
        <v>35</v>
      </c>
      <c r="DH7" t="s">
        <v>195</v>
      </c>
      <c r="DI7" s="142">
        <v>2</v>
      </c>
      <c r="DJ7" t="s">
        <v>201</v>
      </c>
      <c r="DK7">
        <v>1.7000000000000001E-2</v>
      </c>
      <c r="DL7" t="s">
        <v>167</v>
      </c>
      <c r="DM7" t="s">
        <v>167</v>
      </c>
      <c r="DN7" t="s">
        <v>202</v>
      </c>
      <c r="DO7" t="s">
        <v>203</v>
      </c>
      <c r="DP7" t="s">
        <v>167</v>
      </c>
      <c r="DQ7" t="s">
        <v>167</v>
      </c>
      <c r="DR7" t="s">
        <v>167</v>
      </c>
      <c r="DS7" t="s">
        <v>203</v>
      </c>
      <c r="DT7" t="s">
        <v>167</v>
      </c>
      <c r="DU7" t="s">
        <v>167</v>
      </c>
      <c r="DV7" t="s">
        <v>167</v>
      </c>
      <c r="DW7">
        <v>416</v>
      </c>
      <c r="DX7" t="s">
        <v>167</v>
      </c>
      <c r="DY7" t="s">
        <v>167</v>
      </c>
      <c r="DZ7" t="s">
        <v>204</v>
      </c>
      <c r="EA7" s="142">
        <v>38</v>
      </c>
      <c r="EB7" s="142" t="s">
        <v>205</v>
      </c>
      <c r="EC7" s="142">
        <v>0.25</v>
      </c>
      <c r="ED7" s="142" t="s">
        <v>206</v>
      </c>
      <c r="EE7" t="s">
        <v>207</v>
      </c>
      <c r="EF7" t="s">
        <v>208</v>
      </c>
      <c r="EG7">
        <v>1.0271999999999999</v>
      </c>
      <c r="EH7" t="s">
        <v>209</v>
      </c>
      <c r="EI7" t="s">
        <v>209</v>
      </c>
      <c r="EJ7" t="s">
        <v>210</v>
      </c>
      <c r="EK7" t="s">
        <v>209</v>
      </c>
      <c r="EL7" t="s">
        <v>209</v>
      </c>
      <c r="EM7" s="142" t="s">
        <v>167</v>
      </c>
      <c r="EN7" s="142" t="s">
        <v>167</v>
      </c>
      <c r="EO7" s="142" t="s">
        <v>211</v>
      </c>
      <c r="EP7" s="142" t="s">
        <v>212</v>
      </c>
      <c r="EQ7" s="142" t="s">
        <v>167</v>
      </c>
      <c r="ER7" s="142" t="s">
        <v>167</v>
      </c>
      <c r="ES7" s="142" t="s">
        <v>167</v>
      </c>
      <c r="ET7" s="142" t="s">
        <v>213</v>
      </c>
      <c r="EU7" s="142" t="s">
        <v>214</v>
      </c>
      <c r="EV7" s="142" t="s">
        <v>167</v>
      </c>
      <c r="EW7" s="154">
        <v>124.61133380490946</v>
      </c>
      <c r="EX7" s="142" t="s">
        <v>167</v>
      </c>
      <c r="EY7" s="142" t="s">
        <v>167</v>
      </c>
      <c r="EZ7" s="142" t="s">
        <v>167</v>
      </c>
      <c r="FA7" s="142">
        <v>6.5</v>
      </c>
      <c r="FB7" s="142" t="s">
        <v>167</v>
      </c>
      <c r="FC7" s="142" t="s">
        <v>167</v>
      </c>
      <c r="FD7" s="142" t="s">
        <v>167</v>
      </c>
      <c r="FE7" s="145">
        <v>7.7142264147064488</v>
      </c>
      <c r="FF7" s="142" t="s">
        <v>215</v>
      </c>
      <c r="FG7" s="150" t="s">
        <v>167</v>
      </c>
      <c r="FH7" s="155" t="s">
        <v>167</v>
      </c>
      <c r="FI7" s="156">
        <v>1159.5747497368488</v>
      </c>
      <c r="FJ7" s="138">
        <v>0</v>
      </c>
      <c r="FK7" s="138" t="s">
        <v>216</v>
      </c>
      <c r="FL7" s="160">
        <v>1159.5747497368488</v>
      </c>
      <c r="FM7" s="160">
        <v>162.14646363730265</v>
      </c>
      <c r="FN7" s="160">
        <v>200.90314832842614</v>
      </c>
      <c r="FO7" t="s">
        <v>217</v>
      </c>
      <c r="FP7" s="142" t="s">
        <v>218</v>
      </c>
      <c r="FQ7" s="157" t="s">
        <v>167</v>
      </c>
      <c r="FR7" s="157" t="s">
        <v>167</v>
      </c>
      <c r="FS7" s="157" t="s">
        <v>167</v>
      </c>
      <c r="FT7" s="157" t="s">
        <v>167</v>
      </c>
      <c r="FU7" s="157" t="s">
        <v>167</v>
      </c>
      <c r="FV7" s="157" t="s">
        <v>167</v>
      </c>
      <c r="FW7" s="157" t="s">
        <v>167</v>
      </c>
      <c r="FX7" s="157" t="s">
        <v>167</v>
      </c>
      <c r="FY7" s="157" t="s">
        <v>167</v>
      </c>
      <c r="FZ7" s="157" t="s">
        <v>167</v>
      </c>
      <c r="GA7" t="s">
        <v>167</v>
      </c>
      <c r="GB7" t="s">
        <v>167</v>
      </c>
      <c r="GC7" t="s">
        <v>219</v>
      </c>
    </row>
    <row r="8" spans="1:185" ht="16">
      <c r="A8" t="s">
        <v>230</v>
      </c>
      <c r="B8" s="159" t="s">
        <v>231</v>
      </c>
      <c r="C8" s="138" t="s">
        <v>168</v>
      </c>
      <c r="D8" t="s">
        <v>232</v>
      </c>
      <c r="E8">
        <v>2009</v>
      </c>
      <c r="F8" t="s">
        <v>172</v>
      </c>
      <c r="G8" s="143">
        <f t="shared" si="0"/>
        <v>33590</v>
      </c>
      <c r="H8" t="str">
        <f t="shared" si="1"/>
        <v>NA</v>
      </c>
      <c r="I8" t="str">
        <f t="shared" si="2"/>
        <v>NA</v>
      </c>
      <c r="J8" s="160">
        <v>763.2929120075803</v>
      </c>
      <c r="K8" s="160">
        <v>94.341836205854634</v>
      </c>
      <c r="L8" s="160">
        <v>113.41073860749714</v>
      </c>
      <c r="M8" t="b">
        <v>1</v>
      </c>
      <c r="N8">
        <v>3</v>
      </c>
      <c r="O8" t="s">
        <v>169</v>
      </c>
      <c r="P8" s="142" t="s">
        <v>244</v>
      </c>
      <c r="Q8" t="b">
        <v>0</v>
      </c>
      <c r="R8" t="s">
        <v>167</v>
      </c>
      <c r="S8" t="b">
        <v>1</v>
      </c>
      <c r="T8" t="b">
        <v>0</v>
      </c>
      <c r="U8" t="s">
        <v>167</v>
      </c>
      <c r="V8" t="s">
        <v>167</v>
      </c>
      <c r="W8" t="b">
        <v>0</v>
      </c>
      <c r="X8" t="s">
        <v>167</v>
      </c>
      <c r="Y8" s="139" t="s">
        <v>171</v>
      </c>
      <c r="Z8" t="s">
        <v>172</v>
      </c>
      <c r="AA8" t="s">
        <v>173</v>
      </c>
      <c r="AB8" t="s">
        <v>167</v>
      </c>
      <c r="AC8">
        <v>34</v>
      </c>
      <c r="AD8">
        <v>2</v>
      </c>
      <c r="AE8">
        <v>0</v>
      </c>
      <c r="AF8">
        <v>50</v>
      </c>
      <c r="AG8" t="s">
        <v>167</v>
      </c>
      <c r="AH8" s="145">
        <v>99.15</v>
      </c>
      <c r="AI8" t="s">
        <v>167</v>
      </c>
      <c r="AJ8" t="s">
        <v>174</v>
      </c>
      <c r="AK8">
        <v>-9.1863888899999999</v>
      </c>
      <c r="AL8">
        <v>39.551111110000001</v>
      </c>
      <c r="AM8">
        <v>-19</v>
      </c>
      <c r="AN8" t="s">
        <v>167</v>
      </c>
      <c r="AO8" t="s">
        <v>167</v>
      </c>
      <c r="AP8" s="146" t="s">
        <v>175</v>
      </c>
      <c r="AQ8" t="s">
        <v>176</v>
      </c>
      <c r="AR8" t="s">
        <v>167</v>
      </c>
      <c r="AS8" s="158">
        <v>33590</v>
      </c>
      <c r="AT8" t="s">
        <v>177</v>
      </c>
      <c r="AU8" t="s">
        <v>167</v>
      </c>
      <c r="AV8" t="s">
        <v>167</v>
      </c>
      <c r="AW8" t="s">
        <v>178</v>
      </c>
      <c r="AX8" t="s">
        <v>179</v>
      </c>
      <c r="AY8" t="s">
        <v>180</v>
      </c>
      <c r="AZ8" t="s">
        <v>167</v>
      </c>
      <c r="BA8" t="s">
        <v>167</v>
      </c>
      <c r="BB8" t="s">
        <v>167</v>
      </c>
      <c r="BC8" t="s">
        <v>167</v>
      </c>
      <c r="BD8" t="s">
        <v>167</v>
      </c>
      <c r="BE8" t="s">
        <v>167</v>
      </c>
      <c r="BF8" t="s">
        <v>167</v>
      </c>
      <c r="BG8" s="148" t="s">
        <v>181</v>
      </c>
      <c r="BH8" s="149" t="s">
        <v>182</v>
      </c>
      <c r="BI8" s="149" t="s">
        <v>224</v>
      </c>
      <c r="BJ8" t="s">
        <v>167</v>
      </c>
      <c r="BK8" t="s">
        <v>184</v>
      </c>
      <c r="BL8" t="s">
        <v>185</v>
      </c>
      <c r="BM8" t="s">
        <v>186</v>
      </c>
      <c r="BN8" t="s">
        <v>225</v>
      </c>
      <c r="BO8">
        <v>2</v>
      </c>
      <c r="BP8">
        <v>1.9999999999999574E-2</v>
      </c>
      <c r="BQ8" s="149">
        <v>15.340449235763177</v>
      </c>
      <c r="BR8" t="s">
        <v>188</v>
      </c>
      <c r="BS8" s="149">
        <v>0.26286998285863372</v>
      </c>
      <c r="BT8">
        <v>1</v>
      </c>
      <c r="BU8" t="s">
        <v>189</v>
      </c>
      <c r="BV8" t="s">
        <v>189</v>
      </c>
      <c r="BW8">
        <v>0</v>
      </c>
      <c r="BX8" t="s">
        <v>190</v>
      </c>
      <c r="BY8" t="s">
        <v>190</v>
      </c>
      <c r="BZ8" t="s">
        <v>191</v>
      </c>
      <c r="CA8" t="s">
        <v>167</v>
      </c>
      <c r="CB8" s="144">
        <v>15.340449235763177</v>
      </c>
      <c r="CC8" t="s">
        <v>192</v>
      </c>
      <c r="CD8" s="144">
        <v>0.26286998285863372</v>
      </c>
      <c r="CE8" t="s">
        <v>192</v>
      </c>
      <c r="CF8" t="s">
        <v>167</v>
      </c>
      <c r="CG8" t="s">
        <v>193</v>
      </c>
      <c r="CH8" t="s">
        <v>194</v>
      </c>
      <c r="CI8" t="s">
        <v>194</v>
      </c>
      <c r="CJ8" s="151">
        <v>27.915637361690671</v>
      </c>
      <c r="CK8" t="s">
        <v>195</v>
      </c>
      <c r="CL8" s="142">
        <v>2</v>
      </c>
      <c r="CM8" s="142">
        <v>2</v>
      </c>
      <c r="CN8" t="s">
        <v>167</v>
      </c>
      <c r="CO8" s="152">
        <v>4.2866574869922482</v>
      </c>
      <c r="CP8" t="s">
        <v>196</v>
      </c>
      <c r="CQ8" s="144">
        <v>8.5733149739844972E-2</v>
      </c>
      <c r="CR8" s="144">
        <v>8.5733149739844972E-2</v>
      </c>
      <c r="CS8" s="153" t="s">
        <v>197</v>
      </c>
      <c r="CT8" s="142" t="s">
        <v>198</v>
      </c>
      <c r="CU8" s="142">
        <v>4.3</v>
      </c>
      <c r="CV8" t="s">
        <v>199</v>
      </c>
      <c r="CW8" t="s">
        <v>200</v>
      </c>
      <c r="CX8" t="s">
        <v>200</v>
      </c>
      <c r="CY8" t="s">
        <v>200</v>
      </c>
      <c r="CZ8" t="s">
        <v>167</v>
      </c>
      <c r="DA8" t="s">
        <v>167</v>
      </c>
      <c r="DB8" t="s">
        <v>167</v>
      </c>
      <c r="DC8" t="s">
        <v>167</v>
      </c>
      <c r="DD8" t="s">
        <v>167</v>
      </c>
      <c r="DE8" t="s">
        <v>167</v>
      </c>
      <c r="DF8" t="s">
        <v>167</v>
      </c>
      <c r="DG8">
        <v>35</v>
      </c>
      <c r="DH8" t="s">
        <v>195</v>
      </c>
      <c r="DI8" s="142">
        <v>2</v>
      </c>
      <c r="DJ8" t="s">
        <v>201</v>
      </c>
      <c r="DK8">
        <v>1.7000000000000001E-2</v>
      </c>
      <c r="DL8" t="s">
        <v>167</v>
      </c>
      <c r="DM8" t="s">
        <v>167</v>
      </c>
      <c r="DN8" t="s">
        <v>202</v>
      </c>
      <c r="DO8" t="s">
        <v>203</v>
      </c>
      <c r="DP8" t="s">
        <v>167</v>
      </c>
      <c r="DQ8" t="s">
        <v>167</v>
      </c>
      <c r="DR8" t="s">
        <v>167</v>
      </c>
      <c r="DS8" t="s">
        <v>203</v>
      </c>
      <c r="DT8" t="s">
        <v>167</v>
      </c>
      <c r="DU8" t="s">
        <v>167</v>
      </c>
      <c r="DV8" t="s">
        <v>167</v>
      </c>
      <c r="DW8">
        <v>416</v>
      </c>
      <c r="DX8" t="s">
        <v>167</v>
      </c>
      <c r="DY8" t="s">
        <v>167</v>
      </c>
      <c r="DZ8" t="s">
        <v>204</v>
      </c>
      <c r="EA8" s="142">
        <v>38</v>
      </c>
      <c r="EB8" s="142" t="s">
        <v>205</v>
      </c>
      <c r="EC8" s="142">
        <v>0.25</v>
      </c>
      <c r="ED8" s="142" t="s">
        <v>206</v>
      </c>
      <c r="EE8" t="s">
        <v>207</v>
      </c>
      <c r="EF8" t="s">
        <v>208</v>
      </c>
      <c r="EG8">
        <v>1.0271999999999999</v>
      </c>
      <c r="EH8" t="s">
        <v>209</v>
      </c>
      <c r="EI8" t="s">
        <v>209</v>
      </c>
      <c r="EJ8" t="s">
        <v>210</v>
      </c>
      <c r="EK8" t="s">
        <v>209</v>
      </c>
      <c r="EL8" t="s">
        <v>209</v>
      </c>
      <c r="EM8" s="142" t="s">
        <v>167</v>
      </c>
      <c r="EN8" s="142" t="s">
        <v>167</v>
      </c>
      <c r="EO8" s="142" t="s">
        <v>211</v>
      </c>
      <c r="EP8" s="142" t="s">
        <v>212</v>
      </c>
      <c r="EQ8" s="142" t="s">
        <v>167</v>
      </c>
      <c r="ER8" s="142" t="s">
        <v>167</v>
      </c>
      <c r="ES8" s="142" t="s">
        <v>167</v>
      </c>
      <c r="ET8" s="142" t="s">
        <v>213</v>
      </c>
      <c r="EU8" s="142" t="s">
        <v>214</v>
      </c>
      <c r="EV8" s="142" t="s">
        <v>167</v>
      </c>
      <c r="EW8" s="154">
        <v>114.69203911032093</v>
      </c>
      <c r="EX8" s="142" t="s">
        <v>167</v>
      </c>
      <c r="EY8" s="142" t="s">
        <v>167</v>
      </c>
      <c r="EZ8" s="142" t="s">
        <v>167</v>
      </c>
      <c r="FA8" s="142">
        <v>6.5</v>
      </c>
      <c r="FB8" s="142" t="s">
        <v>167</v>
      </c>
      <c r="FC8" s="142" t="s">
        <v>167</v>
      </c>
      <c r="FD8" s="142" t="s">
        <v>167</v>
      </c>
      <c r="FE8" s="145">
        <v>7.7842902543499832</v>
      </c>
      <c r="FF8" s="142" t="s">
        <v>215</v>
      </c>
      <c r="FG8" s="150" t="s">
        <v>167</v>
      </c>
      <c r="FH8" s="155" t="s">
        <v>167</v>
      </c>
      <c r="FI8" s="156">
        <v>763.2929120075803</v>
      </c>
      <c r="FJ8" s="138">
        <v>0</v>
      </c>
      <c r="FK8" s="138" t="s">
        <v>216</v>
      </c>
      <c r="FL8" s="160">
        <v>763.2929120075803</v>
      </c>
      <c r="FM8" s="160">
        <v>94.341836205854634</v>
      </c>
      <c r="FN8" s="160">
        <v>113.41073860749714</v>
      </c>
      <c r="FO8" t="s">
        <v>217</v>
      </c>
      <c r="FP8" s="142" t="s">
        <v>218</v>
      </c>
      <c r="FQ8" s="157" t="s">
        <v>167</v>
      </c>
      <c r="FR8" s="157" t="s">
        <v>167</v>
      </c>
      <c r="FS8" s="157" t="s">
        <v>167</v>
      </c>
      <c r="FT8" s="157" t="s">
        <v>167</v>
      </c>
      <c r="FU8" s="157" t="s">
        <v>167</v>
      </c>
      <c r="FV8" s="157" t="s">
        <v>167</v>
      </c>
      <c r="FW8" s="157" t="s">
        <v>167</v>
      </c>
      <c r="FX8" s="157" t="s">
        <v>167</v>
      </c>
      <c r="FY8" s="157" t="s">
        <v>167</v>
      </c>
      <c r="FZ8" s="157" t="s">
        <v>167</v>
      </c>
      <c r="GA8" t="s">
        <v>167</v>
      </c>
      <c r="GB8" t="s">
        <v>167</v>
      </c>
      <c r="GC8" t="s">
        <v>219</v>
      </c>
    </row>
    <row r="9" spans="1:185" ht="16">
      <c r="A9" t="s">
        <v>230</v>
      </c>
      <c r="B9" s="159" t="s">
        <v>231</v>
      </c>
      <c r="C9" s="138" t="s">
        <v>168</v>
      </c>
      <c r="D9" t="s">
        <v>232</v>
      </c>
      <c r="E9">
        <v>2009</v>
      </c>
      <c r="F9" t="s">
        <v>172</v>
      </c>
      <c r="G9" s="143">
        <f t="shared" si="0"/>
        <v>33960</v>
      </c>
      <c r="H9" t="str">
        <f t="shared" si="1"/>
        <v>NA</v>
      </c>
      <c r="I9" t="str">
        <f t="shared" si="2"/>
        <v>NA</v>
      </c>
      <c r="J9" s="160">
        <v>959.41344253001955</v>
      </c>
      <c r="K9" s="160">
        <v>133.96849554621349</v>
      </c>
      <c r="L9" s="160">
        <v>165.81178864504375</v>
      </c>
      <c r="M9" t="b">
        <v>1</v>
      </c>
      <c r="N9">
        <v>3</v>
      </c>
      <c r="O9" t="s">
        <v>169</v>
      </c>
      <c r="P9" s="142" t="s">
        <v>244</v>
      </c>
      <c r="Q9" t="b">
        <v>0</v>
      </c>
      <c r="R9" t="s">
        <v>167</v>
      </c>
      <c r="S9" t="b">
        <v>1</v>
      </c>
      <c r="T9" t="b">
        <v>0</v>
      </c>
      <c r="U9" t="s">
        <v>167</v>
      </c>
      <c r="V9" t="s">
        <v>167</v>
      </c>
      <c r="W9" t="b">
        <v>0</v>
      </c>
      <c r="X9" t="s">
        <v>167</v>
      </c>
      <c r="Y9" s="139" t="s">
        <v>171</v>
      </c>
      <c r="Z9" t="s">
        <v>172</v>
      </c>
      <c r="AA9" t="s">
        <v>222</v>
      </c>
      <c r="AB9" t="s">
        <v>167</v>
      </c>
      <c r="AC9">
        <v>21</v>
      </c>
      <c r="AD9">
        <v>3</v>
      </c>
      <c r="AE9">
        <v>20</v>
      </c>
      <c r="AF9">
        <v>50</v>
      </c>
      <c r="AG9" t="s">
        <v>167</v>
      </c>
      <c r="AH9" s="145">
        <v>125.4</v>
      </c>
      <c r="AI9" t="s">
        <v>167</v>
      </c>
      <c r="AJ9" t="s">
        <v>174</v>
      </c>
      <c r="AK9">
        <v>-9.2152777799999992</v>
      </c>
      <c r="AL9">
        <v>39.548333329999998</v>
      </c>
      <c r="AM9">
        <v>-19</v>
      </c>
      <c r="AN9" t="s">
        <v>167</v>
      </c>
      <c r="AO9" t="s">
        <v>167</v>
      </c>
      <c r="AP9" s="146" t="s">
        <v>175</v>
      </c>
      <c r="AQ9" t="s">
        <v>176</v>
      </c>
      <c r="AR9" t="s">
        <v>167</v>
      </c>
      <c r="AS9" s="147">
        <v>33960</v>
      </c>
      <c r="AT9" t="s">
        <v>177</v>
      </c>
      <c r="AU9" t="s">
        <v>167</v>
      </c>
      <c r="AV9" t="s">
        <v>167</v>
      </c>
      <c r="AW9" t="s">
        <v>178</v>
      </c>
      <c r="AX9" t="s">
        <v>179</v>
      </c>
      <c r="AY9" t="s">
        <v>180</v>
      </c>
      <c r="AZ9" t="s">
        <v>167</v>
      </c>
      <c r="BA9" t="s">
        <v>167</v>
      </c>
      <c r="BB9" t="s">
        <v>167</v>
      </c>
      <c r="BC9" t="s">
        <v>167</v>
      </c>
      <c r="BD9" t="s">
        <v>167</v>
      </c>
      <c r="BE9" t="s">
        <v>167</v>
      </c>
      <c r="BF9" t="s">
        <v>167</v>
      </c>
      <c r="BG9" s="148" t="s">
        <v>181</v>
      </c>
      <c r="BH9" s="149" t="s">
        <v>182</v>
      </c>
      <c r="BI9" s="149" t="s">
        <v>224</v>
      </c>
      <c r="BJ9" t="s">
        <v>167</v>
      </c>
      <c r="BK9" t="s">
        <v>184</v>
      </c>
      <c r="BL9" t="s">
        <v>185</v>
      </c>
      <c r="BM9" t="s">
        <v>186</v>
      </c>
      <c r="BN9" t="s">
        <v>226</v>
      </c>
      <c r="BO9">
        <v>2</v>
      </c>
      <c r="BP9">
        <v>0.29999999999999893</v>
      </c>
      <c r="BQ9" s="149">
        <v>14.925336183078613</v>
      </c>
      <c r="BR9" t="s">
        <v>188</v>
      </c>
      <c r="BS9" s="149">
        <v>0.27021214397028526</v>
      </c>
      <c r="BT9">
        <v>1</v>
      </c>
      <c r="BU9" t="s">
        <v>189</v>
      </c>
      <c r="BV9" t="s">
        <v>189</v>
      </c>
      <c r="BW9">
        <v>0</v>
      </c>
      <c r="BX9" t="s">
        <v>190</v>
      </c>
      <c r="BY9" t="s">
        <v>190</v>
      </c>
      <c r="BZ9" t="s">
        <v>191</v>
      </c>
      <c r="CA9" t="s">
        <v>167</v>
      </c>
      <c r="CB9" s="144">
        <v>14.925336183078613</v>
      </c>
      <c r="CC9" t="s">
        <v>192</v>
      </c>
      <c r="CD9" s="144">
        <v>0.27021214397028526</v>
      </c>
      <c r="CE9" t="s">
        <v>192</v>
      </c>
      <c r="CF9" t="s">
        <v>167</v>
      </c>
      <c r="CG9" t="s">
        <v>193</v>
      </c>
      <c r="CH9" t="s">
        <v>194</v>
      </c>
      <c r="CI9" t="s">
        <v>194</v>
      </c>
      <c r="CJ9" s="151">
        <v>29.758949804047344</v>
      </c>
      <c r="CK9" t="s">
        <v>195</v>
      </c>
      <c r="CL9" s="142">
        <v>2</v>
      </c>
      <c r="CM9" s="142">
        <v>2</v>
      </c>
      <c r="CN9" t="s">
        <v>167</v>
      </c>
      <c r="CO9" s="152">
        <v>4.7396422174020643</v>
      </c>
      <c r="CP9" t="s">
        <v>196</v>
      </c>
      <c r="CQ9" s="144">
        <v>9.4792844348041291E-2</v>
      </c>
      <c r="CR9" s="144">
        <v>9.4792844348041291E-2</v>
      </c>
      <c r="CS9" s="153" t="s">
        <v>197</v>
      </c>
      <c r="CT9" s="142" t="s">
        <v>198</v>
      </c>
      <c r="CU9" s="142">
        <v>4.3</v>
      </c>
      <c r="CV9" t="s">
        <v>199</v>
      </c>
      <c r="CW9" t="s">
        <v>200</v>
      </c>
      <c r="CX9" t="s">
        <v>200</v>
      </c>
      <c r="CY9" t="s">
        <v>200</v>
      </c>
      <c r="CZ9" t="s">
        <v>167</v>
      </c>
      <c r="DA9" t="s">
        <v>167</v>
      </c>
      <c r="DB9" t="s">
        <v>167</v>
      </c>
      <c r="DC9" t="s">
        <v>167</v>
      </c>
      <c r="DD9" t="s">
        <v>167</v>
      </c>
      <c r="DE9" t="s">
        <v>167</v>
      </c>
      <c r="DF9" t="s">
        <v>167</v>
      </c>
      <c r="DG9">
        <v>35</v>
      </c>
      <c r="DH9" t="s">
        <v>195</v>
      </c>
      <c r="DI9" s="142">
        <v>2</v>
      </c>
      <c r="DJ9" t="s">
        <v>201</v>
      </c>
      <c r="DK9">
        <v>1.7000000000000001E-2</v>
      </c>
      <c r="DL9" t="s">
        <v>167</v>
      </c>
      <c r="DM9" t="s">
        <v>167</v>
      </c>
      <c r="DN9" t="s">
        <v>202</v>
      </c>
      <c r="DO9" t="s">
        <v>203</v>
      </c>
      <c r="DP9" t="s">
        <v>167</v>
      </c>
      <c r="DQ9" t="s">
        <v>167</v>
      </c>
      <c r="DR9" t="s">
        <v>167</v>
      </c>
      <c r="DS9" t="s">
        <v>203</v>
      </c>
      <c r="DT9" t="s">
        <v>167</v>
      </c>
      <c r="DU9" t="s">
        <v>167</v>
      </c>
      <c r="DV9" t="s">
        <v>167</v>
      </c>
      <c r="DW9">
        <v>416</v>
      </c>
      <c r="DX9" t="s">
        <v>167</v>
      </c>
      <c r="DY9" t="s">
        <v>167</v>
      </c>
      <c r="DZ9" t="s">
        <v>204</v>
      </c>
      <c r="EA9" s="142">
        <v>38</v>
      </c>
      <c r="EB9" s="142" t="s">
        <v>205</v>
      </c>
      <c r="EC9" s="142">
        <v>0.25</v>
      </c>
      <c r="ED9" s="142" t="s">
        <v>206</v>
      </c>
      <c r="EE9" t="s">
        <v>207</v>
      </c>
      <c r="EF9" t="s">
        <v>208</v>
      </c>
      <c r="EG9">
        <v>1.0271999999999999</v>
      </c>
      <c r="EH9" t="s">
        <v>209</v>
      </c>
      <c r="EI9" t="s">
        <v>209</v>
      </c>
      <c r="EJ9" t="s">
        <v>210</v>
      </c>
      <c r="EK9" t="s">
        <v>209</v>
      </c>
      <c r="EL9" t="s">
        <v>209</v>
      </c>
      <c r="EM9" s="142" t="s">
        <v>167</v>
      </c>
      <c r="EN9" s="142" t="s">
        <v>167</v>
      </c>
      <c r="EO9" s="142" t="s">
        <v>211</v>
      </c>
      <c r="EP9" s="142" t="s">
        <v>212</v>
      </c>
      <c r="EQ9" s="142" t="s">
        <v>167</v>
      </c>
      <c r="ER9" s="142" t="s">
        <v>167</v>
      </c>
      <c r="ES9" s="142" t="s">
        <v>167</v>
      </c>
      <c r="ET9" s="142" t="s">
        <v>213</v>
      </c>
      <c r="EU9" s="142" t="s">
        <v>214</v>
      </c>
      <c r="EV9" s="142" t="s">
        <v>167</v>
      </c>
      <c r="EW9" s="154">
        <v>106.24849277465665</v>
      </c>
      <c r="EX9" s="142" t="s">
        <v>167</v>
      </c>
      <c r="EY9" s="142" t="s">
        <v>167</v>
      </c>
      <c r="EZ9" s="142" t="s">
        <v>167</v>
      </c>
      <c r="FA9" s="142">
        <v>6.5</v>
      </c>
      <c r="FB9" s="142" t="s">
        <v>167</v>
      </c>
      <c r="FC9" s="142" t="s">
        <v>167</v>
      </c>
      <c r="FD9" s="142" t="s">
        <v>167</v>
      </c>
      <c r="FE9" s="145">
        <v>7.7057877300899049</v>
      </c>
      <c r="FF9" s="142" t="s">
        <v>215</v>
      </c>
      <c r="FG9" s="150" t="s">
        <v>167</v>
      </c>
      <c r="FH9" s="155" t="s">
        <v>167</v>
      </c>
      <c r="FI9" s="156">
        <v>959.41344253001955</v>
      </c>
      <c r="FJ9" s="138">
        <v>0</v>
      </c>
      <c r="FK9" s="138" t="s">
        <v>216</v>
      </c>
      <c r="FL9" s="160">
        <v>959.41344253001955</v>
      </c>
      <c r="FM9" s="160">
        <v>133.96849554621349</v>
      </c>
      <c r="FN9" s="160">
        <v>165.81178864504375</v>
      </c>
      <c r="FO9" t="s">
        <v>217</v>
      </c>
      <c r="FP9" s="142" t="s">
        <v>218</v>
      </c>
      <c r="FQ9" s="157" t="s">
        <v>167</v>
      </c>
      <c r="FR9" s="157" t="s">
        <v>167</v>
      </c>
      <c r="FS9" s="157" t="s">
        <v>167</v>
      </c>
      <c r="FT9" s="157" t="s">
        <v>167</v>
      </c>
      <c r="FU9" s="157" t="s">
        <v>167</v>
      </c>
      <c r="FV9" s="157" t="s">
        <v>167</v>
      </c>
      <c r="FW9" s="157" t="s">
        <v>167</v>
      </c>
      <c r="FX9" s="157" t="s">
        <v>167</v>
      </c>
      <c r="FY9" s="157" t="s">
        <v>167</v>
      </c>
      <c r="FZ9" s="157" t="s">
        <v>167</v>
      </c>
      <c r="GA9" t="s">
        <v>167</v>
      </c>
      <c r="GB9" t="s">
        <v>167</v>
      </c>
      <c r="GC9" t="s">
        <v>219</v>
      </c>
    </row>
    <row r="10" spans="1:185" ht="16">
      <c r="A10" t="s">
        <v>230</v>
      </c>
      <c r="B10" s="159" t="s">
        <v>231</v>
      </c>
      <c r="C10" s="138" t="s">
        <v>168</v>
      </c>
      <c r="D10" t="s">
        <v>232</v>
      </c>
      <c r="E10">
        <v>2009</v>
      </c>
      <c r="F10" t="s">
        <v>172</v>
      </c>
      <c r="G10" s="143">
        <f t="shared" si="0"/>
        <v>34210</v>
      </c>
      <c r="H10" t="str">
        <f t="shared" si="1"/>
        <v>NA</v>
      </c>
      <c r="I10" t="str">
        <f t="shared" si="2"/>
        <v>NA</v>
      </c>
      <c r="J10" s="160">
        <v>1074.2669367869516</v>
      </c>
      <c r="K10" s="160">
        <v>155.02928962172859</v>
      </c>
      <c r="L10" s="160">
        <v>193.55930581348457</v>
      </c>
      <c r="M10" t="b">
        <v>1</v>
      </c>
      <c r="N10">
        <v>3</v>
      </c>
      <c r="O10" t="s">
        <v>169</v>
      </c>
      <c r="P10" s="142" t="s">
        <v>244</v>
      </c>
      <c r="Q10" t="b">
        <v>0</v>
      </c>
      <c r="R10" t="s">
        <v>167</v>
      </c>
      <c r="S10" t="b">
        <v>1</v>
      </c>
      <c r="T10" t="b">
        <v>0</v>
      </c>
      <c r="U10" t="s">
        <v>167</v>
      </c>
      <c r="V10" t="s">
        <v>167</v>
      </c>
      <c r="W10" t="b">
        <v>0</v>
      </c>
      <c r="X10" t="s">
        <v>167</v>
      </c>
      <c r="Y10" s="139" t="s">
        <v>171</v>
      </c>
      <c r="Z10" t="s">
        <v>172</v>
      </c>
      <c r="AA10" t="s">
        <v>222</v>
      </c>
      <c r="AB10" t="s">
        <v>167</v>
      </c>
      <c r="AC10">
        <v>32</v>
      </c>
      <c r="AD10">
        <v>1</v>
      </c>
      <c r="AE10">
        <v>0</v>
      </c>
      <c r="AF10">
        <v>50</v>
      </c>
      <c r="AG10" t="s">
        <v>167</v>
      </c>
      <c r="AH10" s="145">
        <v>154.69999999999999</v>
      </c>
      <c r="AI10" t="s">
        <v>167</v>
      </c>
      <c r="AJ10" t="s">
        <v>174</v>
      </c>
      <c r="AK10">
        <v>-9.2152777799999992</v>
      </c>
      <c r="AL10">
        <v>39.548333329999998</v>
      </c>
      <c r="AM10">
        <v>-19</v>
      </c>
      <c r="AN10" t="s">
        <v>167</v>
      </c>
      <c r="AO10" t="s">
        <v>167</v>
      </c>
      <c r="AP10" s="146" t="s">
        <v>175</v>
      </c>
      <c r="AQ10" t="s">
        <v>176</v>
      </c>
      <c r="AR10" t="s">
        <v>167</v>
      </c>
      <c r="AS10" s="147">
        <v>34210</v>
      </c>
      <c r="AT10" t="s">
        <v>177</v>
      </c>
      <c r="AU10" t="s">
        <v>167</v>
      </c>
      <c r="AV10" t="s">
        <v>167</v>
      </c>
      <c r="AW10" t="s">
        <v>178</v>
      </c>
      <c r="AX10" t="s">
        <v>179</v>
      </c>
      <c r="AY10" t="s">
        <v>180</v>
      </c>
      <c r="AZ10" t="s">
        <v>167</v>
      </c>
      <c r="BA10" t="s">
        <v>167</v>
      </c>
      <c r="BB10" t="s">
        <v>167</v>
      </c>
      <c r="BC10" t="s">
        <v>167</v>
      </c>
      <c r="BD10" t="s">
        <v>167</v>
      </c>
      <c r="BE10" t="s">
        <v>167</v>
      </c>
      <c r="BF10" t="s">
        <v>167</v>
      </c>
      <c r="BG10" s="148" t="s">
        <v>181</v>
      </c>
      <c r="BH10" s="149" t="s">
        <v>182</v>
      </c>
      <c r="BI10" s="149" t="s">
        <v>224</v>
      </c>
      <c r="BJ10" t="s">
        <v>167</v>
      </c>
      <c r="BK10" t="s">
        <v>184</v>
      </c>
      <c r="BL10" t="s">
        <v>185</v>
      </c>
      <c r="BM10" t="s">
        <v>186</v>
      </c>
      <c r="BN10" t="s">
        <v>227</v>
      </c>
      <c r="BO10">
        <v>2</v>
      </c>
      <c r="BP10">
        <v>0.14000000000000054</v>
      </c>
      <c r="BQ10" s="149">
        <v>14.812571373081299</v>
      </c>
      <c r="BR10" t="s">
        <v>188</v>
      </c>
      <c r="BS10" s="149">
        <v>0.27180134397961231</v>
      </c>
      <c r="BT10">
        <v>1</v>
      </c>
      <c r="BU10" t="s">
        <v>189</v>
      </c>
      <c r="BV10" t="s">
        <v>189</v>
      </c>
      <c r="BW10">
        <v>0</v>
      </c>
      <c r="BX10" t="s">
        <v>190</v>
      </c>
      <c r="BY10" t="s">
        <v>190</v>
      </c>
      <c r="BZ10" t="s">
        <v>191</v>
      </c>
      <c r="CA10" t="s">
        <v>167</v>
      </c>
      <c r="CB10" s="144">
        <v>14.812571373081299</v>
      </c>
      <c r="CC10" t="s">
        <v>192</v>
      </c>
      <c r="CD10" s="144">
        <v>0.27180134397961231</v>
      </c>
      <c r="CE10" t="s">
        <v>192</v>
      </c>
      <c r="CF10" t="s">
        <v>167</v>
      </c>
      <c r="CG10" t="s">
        <v>193</v>
      </c>
      <c r="CH10" t="s">
        <v>194</v>
      </c>
      <c r="CI10" t="s">
        <v>194</v>
      </c>
      <c r="CJ10" s="151">
        <v>29.717710206016267</v>
      </c>
      <c r="CK10" t="s">
        <v>195</v>
      </c>
      <c r="CL10" s="142">
        <v>2</v>
      </c>
      <c r="CM10" s="142">
        <v>2</v>
      </c>
      <c r="CN10" t="s">
        <v>167</v>
      </c>
      <c r="CO10" s="152">
        <v>4.6966318901264659</v>
      </c>
      <c r="CP10" t="s">
        <v>196</v>
      </c>
      <c r="CQ10" s="144">
        <v>9.393263780252932E-2</v>
      </c>
      <c r="CR10" s="144">
        <v>9.393263780252932E-2</v>
      </c>
      <c r="CS10" s="153" t="s">
        <v>197</v>
      </c>
      <c r="CT10" s="142" t="s">
        <v>198</v>
      </c>
      <c r="CU10" s="142">
        <v>4.3</v>
      </c>
      <c r="CV10" t="s">
        <v>199</v>
      </c>
      <c r="CW10" t="s">
        <v>200</v>
      </c>
      <c r="CX10" t="s">
        <v>200</v>
      </c>
      <c r="CY10" t="s">
        <v>200</v>
      </c>
      <c r="CZ10" t="s">
        <v>167</v>
      </c>
      <c r="DA10" t="s">
        <v>167</v>
      </c>
      <c r="DB10" t="s">
        <v>167</v>
      </c>
      <c r="DC10" t="s">
        <v>167</v>
      </c>
      <c r="DD10" t="s">
        <v>167</v>
      </c>
      <c r="DE10" t="s">
        <v>167</v>
      </c>
      <c r="DF10" t="s">
        <v>167</v>
      </c>
      <c r="DG10">
        <v>35</v>
      </c>
      <c r="DH10" t="s">
        <v>195</v>
      </c>
      <c r="DI10" s="142">
        <v>2</v>
      </c>
      <c r="DJ10" t="s">
        <v>201</v>
      </c>
      <c r="DK10">
        <v>1.7000000000000001E-2</v>
      </c>
      <c r="DL10" t="s">
        <v>167</v>
      </c>
      <c r="DM10" t="s">
        <v>167</v>
      </c>
      <c r="DN10" t="s">
        <v>202</v>
      </c>
      <c r="DO10" t="s">
        <v>203</v>
      </c>
      <c r="DP10" t="s">
        <v>167</v>
      </c>
      <c r="DQ10" t="s">
        <v>167</v>
      </c>
      <c r="DR10" t="s">
        <v>167</v>
      </c>
      <c r="DS10" t="s">
        <v>203</v>
      </c>
      <c r="DT10" t="s">
        <v>167</v>
      </c>
      <c r="DU10" t="s">
        <v>167</v>
      </c>
      <c r="DV10" t="s">
        <v>167</v>
      </c>
      <c r="DW10">
        <v>416</v>
      </c>
      <c r="DX10" t="s">
        <v>167</v>
      </c>
      <c r="DY10" t="s">
        <v>167</v>
      </c>
      <c r="DZ10" t="s">
        <v>204</v>
      </c>
      <c r="EA10" s="142">
        <v>38</v>
      </c>
      <c r="EB10" s="142" t="s">
        <v>205</v>
      </c>
      <c r="EC10" s="142">
        <v>0.25</v>
      </c>
      <c r="ED10" s="142" t="s">
        <v>206</v>
      </c>
      <c r="EE10" t="s">
        <v>207</v>
      </c>
      <c r="EF10" t="s">
        <v>208</v>
      </c>
      <c r="EG10">
        <v>1.0271999999999999</v>
      </c>
      <c r="EH10" t="s">
        <v>209</v>
      </c>
      <c r="EI10" t="s">
        <v>209</v>
      </c>
      <c r="EJ10" t="s">
        <v>210</v>
      </c>
      <c r="EK10" t="s">
        <v>209</v>
      </c>
      <c r="EL10" t="s">
        <v>209</v>
      </c>
      <c r="EM10" s="142" t="s">
        <v>167</v>
      </c>
      <c r="EN10" s="142" t="s">
        <v>167</v>
      </c>
      <c r="EO10" s="142" t="s">
        <v>211</v>
      </c>
      <c r="EP10" s="142" t="s">
        <v>212</v>
      </c>
      <c r="EQ10" s="142" t="s">
        <v>167</v>
      </c>
      <c r="ER10" s="142" t="s">
        <v>167</v>
      </c>
      <c r="ES10" s="142" t="s">
        <v>167</v>
      </c>
      <c r="ET10" s="142" t="s">
        <v>213</v>
      </c>
      <c r="EU10" s="142" t="s">
        <v>214</v>
      </c>
      <c r="EV10" s="142" t="s">
        <v>167</v>
      </c>
      <c r="EW10" s="154">
        <v>110.29775446638561</v>
      </c>
      <c r="EX10" s="142" t="s">
        <v>167</v>
      </c>
      <c r="EY10" s="142" t="s">
        <v>167</v>
      </c>
      <c r="EZ10" s="142" t="s">
        <v>167</v>
      </c>
      <c r="FA10" s="142">
        <v>6.5</v>
      </c>
      <c r="FB10" s="142" t="s">
        <v>167</v>
      </c>
      <c r="FC10" s="142" t="s">
        <v>167</v>
      </c>
      <c r="FD10" s="142" t="s">
        <v>167</v>
      </c>
      <c r="FE10" s="145">
        <v>7.6896297740997763</v>
      </c>
      <c r="FF10" s="142" t="s">
        <v>215</v>
      </c>
      <c r="FG10" s="150" t="s">
        <v>167</v>
      </c>
      <c r="FH10" s="155" t="s">
        <v>167</v>
      </c>
      <c r="FI10" s="156">
        <v>1074.2669367869516</v>
      </c>
      <c r="FJ10" s="138">
        <v>0</v>
      </c>
      <c r="FK10" s="138" t="s">
        <v>216</v>
      </c>
      <c r="FL10" s="160">
        <v>1074.2669367869516</v>
      </c>
      <c r="FM10" s="160">
        <v>155.02928962172859</v>
      </c>
      <c r="FN10" s="160">
        <v>193.55930581348457</v>
      </c>
      <c r="FO10" t="s">
        <v>217</v>
      </c>
      <c r="FP10" s="142" t="s">
        <v>218</v>
      </c>
      <c r="FQ10" s="157" t="s">
        <v>167</v>
      </c>
      <c r="FR10" s="157" t="s">
        <v>167</v>
      </c>
      <c r="FS10" s="157" t="s">
        <v>167</v>
      </c>
      <c r="FT10" s="157" t="s">
        <v>167</v>
      </c>
      <c r="FU10" s="157" t="s">
        <v>167</v>
      </c>
      <c r="FV10" s="157" t="s">
        <v>167</v>
      </c>
      <c r="FW10" s="157" t="s">
        <v>167</v>
      </c>
      <c r="FX10" s="157" t="s">
        <v>167</v>
      </c>
      <c r="FY10" s="157" t="s">
        <v>167</v>
      </c>
      <c r="FZ10" s="157" t="s">
        <v>167</v>
      </c>
      <c r="GA10" t="s">
        <v>167</v>
      </c>
      <c r="GB10" t="s">
        <v>167</v>
      </c>
      <c r="GC10" t="s">
        <v>219</v>
      </c>
    </row>
    <row r="11" spans="1:185" ht="16">
      <c r="A11" t="s">
        <v>230</v>
      </c>
      <c r="B11" s="159" t="s">
        <v>231</v>
      </c>
      <c r="C11" s="138" t="s">
        <v>168</v>
      </c>
      <c r="D11" t="s">
        <v>232</v>
      </c>
      <c r="E11">
        <v>2009</v>
      </c>
      <c r="F11" t="s">
        <v>172</v>
      </c>
      <c r="G11" s="143">
        <f t="shared" si="0"/>
        <v>34420</v>
      </c>
      <c r="H11" t="str">
        <f t="shared" si="1"/>
        <v>NA</v>
      </c>
      <c r="I11" t="str">
        <f t="shared" si="2"/>
        <v>NA</v>
      </c>
      <c r="J11" s="160">
        <v>1045.939410438423</v>
      </c>
      <c r="K11" s="160">
        <v>217.13181589944088</v>
      </c>
      <c r="L11" s="160">
        <v>304.01888890573719</v>
      </c>
      <c r="M11" t="b">
        <v>1</v>
      </c>
      <c r="N11">
        <v>3</v>
      </c>
      <c r="O11" t="s">
        <v>169</v>
      </c>
      <c r="P11" s="142" t="s">
        <v>244</v>
      </c>
      <c r="Q11" t="b">
        <v>0</v>
      </c>
      <c r="R11" t="s">
        <v>167</v>
      </c>
      <c r="S11" t="b">
        <v>1</v>
      </c>
      <c r="T11" t="b">
        <v>0</v>
      </c>
      <c r="U11" t="s">
        <v>167</v>
      </c>
      <c r="V11" t="s">
        <v>167</v>
      </c>
      <c r="W11" t="b">
        <v>0</v>
      </c>
      <c r="X11" t="s">
        <v>167</v>
      </c>
      <c r="Y11" s="139" t="s">
        <v>171</v>
      </c>
      <c r="Z11" t="s">
        <v>172</v>
      </c>
      <c r="AA11" t="s">
        <v>222</v>
      </c>
      <c r="AB11" t="s">
        <v>167</v>
      </c>
      <c r="AC11">
        <v>40</v>
      </c>
      <c r="AD11">
        <v>3</v>
      </c>
      <c r="AE11">
        <v>0</v>
      </c>
      <c r="AF11">
        <v>50</v>
      </c>
      <c r="AG11" t="s">
        <v>167</v>
      </c>
      <c r="AH11" s="145">
        <v>179.5</v>
      </c>
      <c r="AI11" t="s">
        <v>167</v>
      </c>
      <c r="AJ11" t="s">
        <v>174</v>
      </c>
      <c r="AK11">
        <v>-9.2152777799999992</v>
      </c>
      <c r="AL11">
        <v>39.548333329999998</v>
      </c>
      <c r="AM11">
        <v>-19</v>
      </c>
      <c r="AN11" t="s">
        <v>167</v>
      </c>
      <c r="AO11" t="s">
        <v>167</v>
      </c>
      <c r="AP11" s="146" t="s">
        <v>175</v>
      </c>
      <c r="AQ11" t="s">
        <v>176</v>
      </c>
      <c r="AR11" t="s">
        <v>167</v>
      </c>
      <c r="AS11" s="147">
        <v>34420</v>
      </c>
      <c r="AT11" t="s">
        <v>177</v>
      </c>
      <c r="AU11" t="s">
        <v>167</v>
      </c>
      <c r="AV11" t="s">
        <v>167</v>
      </c>
      <c r="AW11" t="s">
        <v>178</v>
      </c>
      <c r="AX11" t="s">
        <v>179</v>
      </c>
      <c r="AY11" t="s">
        <v>180</v>
      </c>
      <c r="AZ11" t="s">
        <v>167</v>
      </c>
      <c r="BA11" t="s">
        <v>167</v>
      </c>
      <c r="BB11" t="s">
        <v>167</v>
      </c>
      <c r="BC11" t="s">
        <v>167</v>
      </c>
      <c r="BD11" t="s">
        <v>167</v>
      </c>
      <c r="BE11" t="s">
        <v>167</v>
      </c>
      <c r="BF11" t="s">
        <v>167</v>
      </c>
      <c r="BG11" s="148" t="s">
        <v>181</v>
      </c>
      <c r="BH11" s="149" t="s">
        <v>182</v>
      </c>
      <c r="BI11" s="149" t="s">
        <v>224</v>
      </c>
      <c r="BJ11" t="s">
        <v>167</v>
      </c>
      <c r="BK11" t="s">
        <v>184</v>
      </c>
      <c r="BL11" t="s">
        <v>185</v>
      </c>
      <c r="BM11" t="s">
        <v>186</v>
      </c>
      <c r="BN11" t="s">
        <v>228</v>
      </c>
      <c r="BO11">
        <v>2</v>
      </c>
      <c r="BP11">
        <v>0.35999999999999943</v>
      </c>
      <c r="BQ11" s="149">
        <v>14.864717039831351</v>
      </c>
      <c r="BR11" t="s">
        <v>188</v>
      </c>
      <c r="BS11" s="149">
        <v>0.38405724771970828</v>
      </c>
      <c r="BT11">
        <v>1</v>
      </c>
      <c r="BU11" t="s">
        <v>189</v>
      </c>
      <c r="BV11" t="s">
        <v>189</v>
      </c>
      <c r="BW11">
        <v>0</v>
      </c>
      <c r="BX11" t="s">
        <v>190</v>
      </c>
      <c r="BY11" t="s">
        <v>190</v>
      </c>
      <c r="BZ11" t="s">
        <v>191</v>
      </c>
      <c r="CA11" t="s">
        <v>167</v>
      </c>
      <c r="CB11" s="144">
        <v>14.864717039831351</v>
      </c>
      <c r="CC11" t="s">
        <v>192</v>
      </c>
      <c r="CD11" s="144">
        <v>0.38405724771970828</v>
      </c>
      <c r="CE11" t="s">
        <v>192</v>
      </c>
      <c r="CF11" t="s">
        <v>167</v>
      </c>
      <c r="CG11" t="s">
        <v>193</v>
      </c>
      <c r="CH11" t="s">
        <v>194</v>
      </c>
      <c r="CI11" t="s">
        <v>194</v>
      </c>
      <c r="CJ11" s="151">
        <v>30.125604414986686</v>
      </c>
      <c r="CK11" t="s">
        <v>195</v>
      </c>
      <c r="CL11" s="142">
        <v>2</v>
      </c>
      <c r="CM11" s="142">
        <v>2</v>
      </c>
      <c r="CN11" t="s">
        <v>167</v>
      </c>
      <c r="CO11" s="152">
        <v>4.8631536575199501</v>
      </c>
      <c r="CP11" t="s">
        <v>196</v>
      </c>
      <c r="CQ11" s="144">
        <v>9.7263073150399004E-2</v>
      </c>
      <c r="CR11" s="144">
        <v>9.7263073150399004E-2</v>
      </c>
      <c r="CS11" s="153" t="s">
        <v>197</v>
      </c>
      <c r="CT11" s="142" t="s">
        <v>198</v>
      </c>
      <c r="CU11" s="142">
        <v>4.3</v>
      </c>
      <c r="CV11" t="s">
        <v>199</v>
      </c>
      <c r="CW11" t="s">
        <v>200</v>
      </c>
      <c r="CX11" t="s">
        <v>200</v>
      </c>
      <c r="CY11" t="s">
        <v>200</v>
      </c>
      <c r="CZ11" t="s">
        <v>167</v>
      </c>
      <c r="DA11" t="s">
        <v>167</v>
      </c>
      <c r="DB11" t="s">
        <v>167</v>
      </c>
      <c r="DC11" t="s">
        <v>167</v>
      </c>
      <c r="DD11" t="s">
        <v>167</v>
      </c>
      <c r="DE11" t="s">
        <v>167</v>
      </c>
      <c r="DF11" t="s">
        <v>167</v>
      </c>
      <c r="DG11">
        <v>35</v>
      </c>
      <c r="DH11" t="s">
        <v>195</v>
      </c>
      <c r="DI11" s="142">
        <v>2</v>
      </c>
      <c r="DJ11" t="s">
        <v>201</v>
      </c>
      <c r="DK11">
        <v>1.7000000000000001E-2</v>
      </c>
      <c r="DL11" t="s">
        <v>167</v>
      </c>
      <c r="DM11" t="s">
        <v>167</v>
      </c>
      <c r="DN11" t="s">
        <v>202</v>
      </c>
      <c r="DO11" t="s">
        <v>203</v>
      </c>
      <c r="DP11" t="s">
        <v>167</v>
      </c>
      <c r="DQ11" t="s">
        <v>167</v>
      </c>
      <c r="DR11" t="s">
        <v>167</v>
      </c>
      <c r="DS11" t="s">
        <v>203</v>
      </c>
      <c r="DT11" t="s">
        <v>167</v>
      </c>
      <c r="DU11" t="s">
        <v>167</v>
      </c>
      <c r="DV11" t="s">
        <v>167</v>
      </c>
      <c r="DW11">
        <v>416</v>
      </c>
      <c r="DX11" t="s">
        <v>167</v>
      </c>
      <c r="DY11" t="s">
        <v>167</v>
      </c>
      <c r="DZ11" t="s">
        <v>204</v>
      </c>
      <c r="EA11" s="142">
        <v>38</v>
      </c>
      <c r="EB11" s="142" t="s">
        <v>205</v>
      </c>
      <c r="EC11" s="142">
        <v>0.25</v>
      </c>
      <c r="ED11" s="142" t="s">
        <v>206</v>
      </c>
      <c r="EE11" t="s">
        <v>207</v>
      </c>
      <c r="EF11" t="s">
        <v>208</v>
      </c>
      <c r="EG11">
        <v>1.0271999999999999</v>
      </c>
      <c r="EH11" t="s">
        <v>209</v>
      </c>
      <c r="EI11" t="s">
        <v>209</v>
      </c>
      <c r="EJ11" t="s">
        <v>210</v>
      </c>
      <c r="EK11" t="s">
        <v>209</v>
      </c>
      <c r="EL11" t="s">
        <v>209</v>
      </c>
      <c r="EM11" s="142" t="s">
        <v>167</v>
      </c>
      <c r="EN11" s="142" t="s">
        <v>167</v>
      </c>
      <c r="EO11" s="142" t="s">
        <v>211</v>
      </c>
      <c r="EP11" s="142" t="s">
        <v>212</v>
      </c>
      <c r="EQ11" s="142" t="s">
        <v>167</v>
      </c>
      <c r="ER11" s="142" t="s">
        <v>167</v>
      </c>
      <c r="ES11" s="142" t="s">
        <v>167</v>
      </c>
      <c r="ET11" s="142" t="s">
        <v>213</v>
      </c>
      <c r="EU11" s="142" t="s">
        <v>214</v>
      </c>
      <c r="EV11" s="142" t="s">
        <v>167</v>
      </c>
      <c r="EW11" s="154">
        <v>110.29775446638561</v>
      </c>
      <c r="EX11" s="142" t="s">
        <v>167</v>
      </c>
      <c r="EY11" s="142" t="s">
        <v>167</v>
      </c>
      <c r="EZ11" s="142" t="s">
        <v>167</v>
      </c>
      <c r="FA11" s="142">
        <v>6.5</v>
      </c>
      <c r="FB11" s="142" t="s">
        <v>167</v>
      </c>
      <c r="FC11" s="142" t="s">
        <v>167</v>
      </c>
      <c r="FD11" s="142" t="s">
        <v>167</v>
      </c>
      <c r="FE11" s="145">
        <v>7.6927304947384174</v>
      </c>
      <c r="FF11" s="142" t="s">
        <v>215</v>
      </c>
      <c r="FG11" s="150" t="s">
        <v>167</v>
      </c>
      <c r="FH11" s="155" t="s">
        <v>167</v>
      </c>
      <c r="FI11" s="156">
        <v>1045.939410438423</v>
      </c>
      <c r="FJ11" s="138">
        <v>0</v>
      </c>
      <c r="FK11" s="138" t="s">
        <v>216</v>
      </c>
      <c r="FL11" s="160">
        <v>1045.939410438423</v>
      </c>
      <c r="FM11" s="160">
        <v>217.13181589944088</v>
      </c>
      <c r="FN11" s="160">
        <v>304.01888890573719</v>
      </c>
      <c r="FO11" t="s">
        <v>217</v>
      </c>
      <c r="FP11" s="142" t="s">
        <v>218</v>
      </c>
      <c r="FQ11" s="157" t="s">
        <v>167</v>
      </c>
      <c r="FR11" s="157" t="s">
        <v>167</v>
      </c>
      <c r="FS11" s="157" t="s">
        <v>167</v>
      </c>
      <c r="FT11" s="157" t="s">
        <v>167</v>
      </c>
      <c r="FU11" s="157" t="s">
        <v>167</v>
      </c>
      <c r="FV11" s="157" t="s">
        <v>167</v>
      </c>
      <c r="FW11" s="157" t="s">
        <v>167</v>
      </c>
      <c r="FX11" s="157" t="s">
        <v>167</v>
      </c>
      <c r="FY11" s="157" t="s">
        <v>167</v>
      </c>
      <c r="FZ11" s="157" t="s">
        <v>167</v>
      </c>
      <c r="GA11" t="s">
        <v>167</v>
      </c>
      <c r="GB11" t="s">
        <v>167</v>
      </c>
      <c r="GC11" t="s">
        <v>219</v>
      </c>
    </row>
    <row r="12" spans="1:185" ht="16">
      <c r="A12" t="s">
        <v>230</v>
      </c>
      <c r="B12" s="159" t="s">
        <v>231</v>
      </c>
      <c r="C12" s="138" t="s">
        <v>168</v>
      </c>
      <c r="D12" t="s">
        <v>232</v>
      </c>
      <c r="E12">
        <v>2009</v>
      </c>
      <c r="F12" t="s">
        <v>172</v>
      </c>
      <c r="G12" s="143">
        <f t="shared" si="0"/>
        <v>34630</v>
      </c>
      <c r="H12" t="str">
        <f t="shared" si="1"/>
        <v>NA</v>
      </c>
      <c r="I12" t="str">
        <f t="shared" si="2"/>
        <v>NA</v>
      </c>
      <c r="J12" s="160">
        <v>876.07761773392656</v>
      </c>
      <c r="K12" s="160">
        <v>186.64830784127571</v>
      </c>
      <c r="L12" s="160">
        <v>263.42504171711346</v>
      </c>
      <c r="M12" t="b">
        <v>1</v>
      </c>
      <c r="N12">
        <v>3</v>
      </c>
      <c r="O12" t="s">
        <v>169</v>
      </c>
      <c r="P12" s="142" t="s">
        <v>244</v>
      </c>
      <c r="Q12" t="b">
        <v>0</v>
      </c>
      <c r="R12" t="s">
        <v>167</v>
      </c>
      <c r="S12" t="b">
        <v>1</v>
      </c>
      <c r="T12" t="b">
        <v>0</v>
      </c>
      <c r="U12" t="s">
        <v>167</v>
      </c>
      <c r="V12" t="s">
        <v>167</v>
      </c>
      <c r="W12" t="b">
        <v>0</v>
      </c>
      <c r="X12" t="s">
        <v>167</v>
      </c>
      <c r="Y12" s="139" t="s">
        <v>171</v>
      </c>
      <c r="Z12" t="s">
        <v>172</v>
      </c>
      <c r="AA12" t="s">
        <v>222</v>
      </c>
      <c r="AB12" t="s">
        <v>167</v>
      </c>
      <c r="AC12">
        <v>47</v>
      </c>
      <c r="AD12">
        <v>3</v>
      </c>
      <c r="AE12">
        <v>0</v>
      </c>
      <c r="AF12">
        <v>50</v>
      </c>
      <c r="AG12" t="s">
        <v>167</v>
      </c>
      <c r="AH12" s="145">
        <v>204.7</v>
      </c>
      <c r="AI12" t="s">
        <v>167</v>
      </c>
      <c r="AJ12" t="s">
        <v>174</v>
      </c>
      <c r="AK12">
        <v>-9.2152777799999992</v>
      </c>
      <c r="AL12">
        <v>39.548333329999998</v>
      </c>
      <c r="AM12">
        <v>-19</v>
      </c>
      <c r="AN12" t="s">
        <v>167</v>
      </c>
      <c r="AO12" t="s">
        <v>167</v>
      </c>
      <c r="AP12" s="146" t="s">
        <v>175</v>
      </c>
      <c r="AQ12" t="s">
        <v>176</v>
      </c>
      <c r="AR12" t="s">
        <v>167</v>
      </c>
      <c r="AS12" s="147">
        <v>34630</v>
      </c>
      <c r="AT12" t="s">
        <v>177</v>
      </c>
      <c r="AU12" t="s">
        <v>167</v>
      </c>
      <c r="AV12" t="s">
        <v>167</v>
      </c>
      <c r="AW12" t="s">
        <v>178</v>
      </c>
      <c r="AX12" t="s">
        <v>179</v>
      </c>
      <c r="AY12" t="s">
        <v>180</v>
      </c>
      <c r="AZ12" t="s">
        <v>167</v>
      </c>
      <c r="BA12" t="s">
        <v>167</v>
      </c>
      <c r="BB12" t="s">
        <v>167</v>
      </c>
      <c r="BC12" t="s">
        <v>167</v>
      </c>
      <c r="BD12" t="s">
        <v>167</v>
      </c>
      <c r="BE12" t="s">
        <v>167</v>
      </c>
      <c r="BF12" t="s">
        <v>167</v>
      </c>
      <c r="BG12" s="148" t="s">
        <v>181</v>
      </c>
      <c r="BH12" s="149" t="s">
        <v>182</v>
      </c>
      <c r="BI12" s="149" t="s">
        <v>224</v>
      </c>
      <c r="BJ12" t="s">
        <v>167</v>
      </c>
      <c r="BK12" t="s">
        <v>184</v>
      </c>
      <c r="BL12" t="s">
        <v>185</v>
      </c>
      <c r="BM12" t="s">
        <v>186</v>
      </c>
      <c r="BN12" t="s">
        <v>229</v>
      </c>
      <c r="BO12">
        <v>2</v>
      </c>
      <c r="BP12">
        <v>0.22000000000000061</v>
      </c>
      <c r="BQ12" s="149">
        <v>15.101862568699548</v>
      </c>
      <c r="BR12" t="s">
        <v>188</v>
      </c>
      <c r="BS12" s="149">
        <v>0.41485655550830691</v>
      </c>
      <c r="BT12">
        <v>1</v>
      </c>
      <c r="BU12" t="s">
        <v>189</v>
      </c>
      <c r="BV12" t="s">
        <v>189</v>
      </c>
      <c r="BW12">
        <v>0</v>
      </c>
      <c r="BX12" t="s">
        <v>190</v>
      </c>
      <c r="BY12" t="s">
        <v>190</v>
      </c>
      <c r="BZ12" t="s">
        <v>191</v>
      </c>
      <c r="CA12" t="s">
        <v>167</v>
      </c>
      <c r="CB12" s="144">
        <v>15.101862568699548</v>
      </c>
      <c r="CC12" t="s">
        <v>192</v>
      </c>
      <c r="CD12" s="144">
        <v>0.41485655550830691</v>
      </c>
      <c r="CE12" t="s">
        <v>192</v>
      </c>
      <c r="CF12" t="s">
        <v>167</v>
      </c>
      <c r="CG12" t="s">
        <v>193</v>
      </c>
      <c r="CH12" t="s">
        <v>194</v>
      </c>
      <c r="CI12" t="s">
        <v>194</v>
      </c>
      <c r="CJ12" s="151">
        <v>29.184532048114061</v>
      </c>
      <c r="CK12" t="s">
        <v>195</v>
      </c>
      <c r="CL12" s="142">
        <v>2</v>
      </c>
      <c r="CM12" s="142">
        <v>2</v>
      </c>
      <c r="CN12" t="s">
        <v>167</v>
      </c>
      <c r="CO12" s="152">
        <v>4.5158479550980921</v>
      </c>
      <c r="CP12" t="s">
        <v>196</v>
      </c>
      <c r="CQ12" s="144">
        <v>9.0316959101961844E-2</v>
      </c>
      <c r="CR12" s="144">
        <v>9.0316959101961844E-2</v>
      </c>
      <c r="CS12" s="153" t="s">
        <v>197</v>
      </c>
      <c r="CT12" s="142" t="s">
        <v>198</v>
      </c>
      <c r="CU12" s="142">
        <v>4.3</v>
      </c>
      <c r="CV12" t="s">
        <v>199</v>
      </c>
      <c r="CW12" t="s">
        <v>200</v>
      </c>
      <c r="CX12" t="s">
        <v>200</v>
      </c>
      <c r="CY12" t="s">
        <v>200</v>
      </c>
      <c r="CZ12" t="s">
        <v>167</v>
      </c>
      <c r="DA12" t="s">
        <v>167</v>
      </c>
      <c r="DB12" t="s">
        <v>167</v>
      </c>
      <c r="DC12" t="s">
        <v>167</v>
      </c>
      <c r="DD12" t="s">
        <v>167</v>
      </c>
      <c r="DE12" t="s">
        <v>167</v>
      </c>
      <c r="DF12" t="s">
        <v>167</v>
      </c>
      <c r="DG12">
        <v>35</v>
      </c>
      <c r="DH12" t="s">
        <v>195</v>
      </c>
      <c r="DI12" s="142">
        <v>2</v>
      </c>
      <c r="DJ12" t="s">
        <v>201</v>
      </c>
      <c r="DK12">
        <v>1.7000000000000001E-2</v>
      </c>
      <c r="DL12" t="s">
        <v>167</v>
      </c>
      <c r="DM12" t="s">
        <v>167</v>
      </c>
      <c r="DN12" t="s">
        <v>202</v>
      </c>
      <c r="DO12" t="s">
        <v>203</v>
      </c>
      <c r="DP12" t="s">
        <v>167</v>
      </c>
      <c r="DQ12" t="s">
        <v>167</v>
      </c>
      <c r="DR12" t="s">
        <v>167</v>
      </c>
      <c r="DS12" t="s">
        <v>203</v>
      </c>
      <c r="DT12" t="s">
        <v>167</v>
      </c>
      <c r="DU12" t="s">
        <v>167</v>
      </c>
      <c r="DV12" t="s">
        <v>167</v>
      </c>
      <c r="DW12">
        <v>416</v>
      </c>
      <c r="DX12" t="s">
        <v>167</v>
      </c>
      <c r="DY12" t="s">
        <v>167</v>
      </c>
      <c r="DZ12" t="s">
        <v>204</v>
      </c>
      <c r="EA12" s="142">
        <v>38</v>
      </c>
      <c r="EB12" s="142" t="s">
        <v>205</v>
      </c>
      <c r="EC12" s="142">
        <v>0.25</v>
      </c>
      <c r="ED12" s="142" t="s">
        <v>206</v>
      </c>
      <c r="EE12" t="s">
        <v>207</v>
      </c>
      <c r="EF12" t="s">
        <v>208</v>
      </c>
      <c r="EG12">
        <v>1.0271999999999999</v>
      </c>
      <c r="EH12" t="s">
        <v>209</v>
      </c>
      <c r="EI12" t="s">
        <v>209</v>
      </c>
      <c r="EJ12" t="s">
        <v>210</v>
      </c>
      <c r="EK12" t="s">
        <v>209</v>
      </c>
      <c r="EL12" t="s">
        <v>209</v>
      </c>
      <c r="EM12" s="142" t="s">
        <v>167</v>
      </c>
      <c r="EN12" s="142" t="s">
        <v>167</v>
      </c>
      <c r="EO12" s="142" t="s">
        <v>211</v>
      </c>
      <c r="EP12" s="142" t="s">
        <v>212</v>
      </c>
      <c r="EQ12" s="142" t="s">
        <v>167</v>
      </c>
      <c r="ER12" s="142" t="s">
        <v>167</v>
      </c>
      <c r="ES12" s="142" t="s">
        <v>167</v>
      </c>
      <c r="ET12" s="142" t="s">
        <v>213</v>
      </c>
      <c r="EU12" s="142" t="s">
        <v>214</v>
      </c>
      <c r="EV12" s="142" t="s">
        <v>167</v>
      </c>
      <c r="EW12" s="154">
        <v>110.29775446638561</v>
      </c>
      <c r="EX12" s="142" t="s">
        <v>167</v>
      </c>
      <c r="EY12" s="142" t="s">
        <v>167</v>
      </c>
      <c r="EZ12" s="142" t="s">
        <v>167</v>
      </c>
      <c r="FA12" s="142">
        <v>6.5</v>
      </c>
      <c r="FB12" s="142" t="s">
        <v>167</v>
      </c>
      <c r="FC12" s="142" t="s">
        <v>167</v>
      </c>
      <c r="FD12" s="142" t="s">
        <v>167</v>
      </c>
      <c r="FE12" s="145">
        <v>7.7374502639483964</v>
      </c>
      <c r="FF12" s="142" t="s">
        <v>215</v>
      </c>
      <c r="FG12" s="150" t="s">
        <v>167</v>
      </c>
      <c r="FH12" s="155" t="s">
        <v>167</v>
      </c>
      <c r="FI12" s="156">
        <v>876.07761773392656</v>
      </c>
      <c r="FJ12" s="138">
        <v>0</v>
      </c>
      <c r="FK12" s="138" t="s">
        <v>216</v>
      </c>
      <c r="FL12" s="160">
        <v>876.07761773392656</v>
      </c>
      <c r="FM12" s="160">
        <v>186.64830784127571</v>
      </c>
      <c r="FN12" s="160">
        <v>263.42504171711346</v>
      </c>
      <c r="FO12" t="s">
        <v>217</v>
      </c>
      <c r="FP12" s="142" t="s">
        <v>218</v>
      </c>
      <c r="FQ12" s="157" t="s">
        <v>167</v>
      </c>
      <c r="FR12" s="157" t="s">
        <v>167</v>
      </c>
      <c r="FS12" s="157" t="s">
        <v>167</v>
      </c>
      <c r="FT12" s="157" t="s">
        <v>167</v>
      </c>
      <c r="FU12" s="157" t="s">
        <v>167</v>
      </c>
      <c r="FV12" s="157" t="s">
        <v>167</v>
      </c>
      <c r="FW12" s="157" t="s">
        <v>167</v>
      </c>
      <c r="FX12" s="157" t="s">
        <v>167</v>
      </c>
      <c r="FY12" s="157" t="s">
        <v>167</v>
      </c>
      <c r="FZ12" s="157" t="s">
        <v>167</v>
      </c>
      <c r="GA12" t="s">
        <v>167</v>
      </c>
      <c r="GB12" t="s">
        <v>167</v>
      </c>
      <c r="GC12" t="s">
        <v>219</v>
      </c>
    </row>
  </sheetData>
  <mergeCells count="1">
    <mergeCell ref="S2:W2"/>
  </mergeCells>
  <hyperlinks>
    <hyperlink ref="B4" r:id="rId1" display="eanagnostou@geomar.de" xr:uid="{E0FC93B5-1532-CD43-97FE-C5AB653E73C5}"/>
    <hyperlink ref="B5" r:id="rId2" display="eanagnostou@geomar.de" xr:uid="{93BB5970-8BCA-8341-A7D4-52E1E76C2CDE}"/>
    <hyperlink ref="B6" r:id="rId3" display="eanagnostou@geomar.de" xr:uid="{762F7A42-A54D-164B-A498-8A5FB621CD9B}"/>
    <hyperlink ref="B7" r:id="rId4" display="eanagnostou@geomar.de" xr:uid="{0B900357-9D1D-7A4E-B62F-BBDBB555936C}"/>
    <hyperlink ref="B8" r:id="rId5" display="eanagnostou@geomar.de" xr:uid="{80CB0EDB-55DA-FD4F-B4BB-B7C717635677}"/>
    <hyperlink ref="B9" r:id="rId6" display="eanagnostou@geomar.de" xr:uid="{764F6241-3B2C-DA4B-97E2-E7EDB47B166E}"/>
    <hyperlink ref="B10" r:id="rId7" display="eanagnostou@geomar.de" xr:uid="{4B831410-EEF5-754C-8E20-39596F3E2CE3}"/>
    <hyperlink ref="B11" r:id="rId8" display="eanagnostou@geomar.de" xr:uid="{A21113C9-06B7-9041-994B-F6E82A61AEA5}"/>
    <hyperlink ref="B12" r:id="rId9" display="eanagnostou@geomar.de" xr:uid="{043CA729-D437-0946-BBA1-0FE8EC50FC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2022-03-17T18:06:59Z</dcterms:modified>
</cp:coreProperties>
</file>