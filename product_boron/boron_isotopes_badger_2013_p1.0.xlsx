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13"/>
  <workbookPr/>
  <mc:AlternateContent xmlns:mc="http://schemas.openxmlformats.org/markup-compatibility/2006">
    <mc:Choice Requires="x15">
      <x15ac:absPath xmlns:x15ac="http://schemas.microsoft.com/office/spreadsheetml/2010/11/ac" url="/Users/Daphnia/Desktop/paleo-CO2 data base/product/product March 2022/"/>
    </mc:Choice>
  </mc:AlternateContent>
  <xr:revisionPtr revIDLastSave="0" documentId="13_ncr:1_{80D76F06-4C9E-504F-BCE1-901E27651464}" xr6:coauthVersionLast="47" xr6:coauthVersionMax="47" xr10:uidLastSave="{00000000-0000-0000-0000-000000000000}"/>
  <bookViews>
    <workbookView xWindow="2560" yWindow="2340" windowWidth="25960" windowHeight="1534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CD9" i="1" l="1"/>
  <c r="CD8" i="1"/>
  <c r="CD7" i="1"/>
  <c r="CD6" i="1"/>
  <c r="CD5" i="1"/>
  <c r="CD4" i="1"/>
  <c r="G5" i="1"/>
  <c r="H5" i="1"/>
  <c r="I5" i="1"/>
  <c r="J5" i="1"/>
  <c r="K5" i="1"/>
  <c r="L5" i="1"/>
  <c r="G6" i="1"/>
  <c r="H6" i="1"/>
  <c r="I6" i="1"/>
  <c r="J6" i="1"/>
  <c r="K6" i="1"/>
  <c r="L6" i="1"/>
  <c r="G7" i="1"/>
  <c r="H7" i="1"/>
  <c r="I7" i="1"/>
  <c r="J7" i="1"/>
  <c r="K7" i="1"/>
  <c r="L7" i="1"/>
  <c r="G8" i="1"/>
  <c r="H8" i="1"/>
  <c r="I8" i="1"/>
  <c r="J8" i="1"/>
  <c r="K8" i="1"/>
  <c r="L8" i="1"/>
  <c r="G9" i="1"/>
  <c r="H9" i="1"/>
  <c r="I9" i="1"/>
  <c r="J9" i="1"/>
  <c r="K9" i="1"/>
  <c r="L9" i="1"/>
  <c r="K4" i="1" l="1"/>
  <c r="L4" i="1"/>
  <c r="J4" i="1"/>
  <c r="I4" i="1"/>
  <c r="H4" i="1"/>
  <c r="G4" i="1"/>
</calcChain>
</file>

<file path=xl/sharedStrings.xml><?xml version="1.0" encoding="utf-8"?>
<sst xmlns="http://schemas.openxmlformats.org/spreadsheetml/2006/main" count="1045" uniqueCount="241">
  <si>
    <t>true/false</t>
  </si>
  <si>
    <t>name of person entering product data</t>
  </si>
  <si>
    <t>email of person entering product data</t>
  </si>
  <si>
    <t>proxy</t>
  </si>
  <si>
    <t>first_author_last_name</t>
  </si>
  <si>
    <t>publication_year</t>
  </si>
  <si>
    <t>doi</t>
  </si>
  <si>
    <t>age_ka</t>
  </si>
  <si>
    <t>Age_uncertainty_pos_ka</t>
  </si>
  <si>
    <t>Age_uncertainty_neg_ka</t>
  </si>
  <si>
    <t>specify reason for quarantine</t>
  </si>
  <si>
    <t>specify reason for age revision</t>
  </si>
  <si>
    <t>SAMPLE IDENTIFICATION</t>
  </si>
  <si>
    <t>AGE CONSTRAINTS</t>
  </si>
  <si>
    <t>ANALYTICAL SPECIFICATIONS</t>
  </si>
  <si>
    <t>VITAL EFFECT</t>
    <phoneticPr fontId="0" type="noConversion"/>
  </si>
  <si>
    <r>
      <rPr>
        <b/>
        <sz val="12"/>
        <rFont val="Calibri (Body)"/>
      </rPr>
      <t>CALCULATED</t>
    </r>
    <r>
      <rPr>
        <b/>
        <sz val="12"/>
        <rFont val="Symbol"/>
        <charset val="2"/>
      </rPr>
      <t xml:space="preserve"> d</t>
    </r>
    <r>
      <rPr>
        <b/>
        <vertAlign val="superscript"/>
        <sz val="12"/>
        <rFont val="Verdana"/>
        <family val="2"/>
      </rPr>
      <t>11</t>
    </r>
    <r>
      <rPr>
        <b/>
        <sz val="12"/>
        <rFont val="Verdana"/>
        <family val="2"/>
      </rPr>
      <t>B</t>
    </r>
    <r>
      <rPr>
        <b/>
        <vertAlign val="subscript"/>
        <sz val="12"/>
        <rFont val="Verdana"/>
        <family val="2"/>
      </rPr>
      <t>borate</t>
    </r>
  </si>
  <si>
    <t>ACCESSORY INPUTS</t>
  </si>
  <si>
    <t>METHOD OF TEMPERATURE DETERMINATION</t>
  </si>
  <si>
    <t>ALTERNATIVE METHOD OF TEMPERATURE RECONSTRUCTION</t>
  </si>
  <si>
    <t>SEAWATER COMPOSITION</t>
  </si>
  <si>
    <t>AQUEOUS BORON ISOTOPE FRACTIONATION</t>
  </si>
  <si>
    <r>
      <t>PARAMETERIZATION OF CO</t>
    </r>
    <r>
      <rPr>
        <b/>
        <vertAlign val="subscript"/>
        <sz val="12"/>
        <color indexed="8"/>
        <rFont val="Calibri"/>
        <family val="2"/>
      </rPr>
      <t>2</t>
    </r>
    <r>
      <rPr>
        <b/>
        <sz val="12"/>
        <color indexed="8"/>
        <rFont val="Calibri"/>
        <family val="2"/>
      </rPr>
      <t xml:space="preserve"> CALCULATION</t>
    </r>
  </si>
  <si>
    <t>SECOND PARAMETER OF THE CARBONATE SYSTEM</t>
  </si>
  <si>
    <t>CALCULATED PARAMETERS OF THE CARBONATE SYSTEM</t>
  </si>
  <si>
    <t>alternative Age (in case different models are available)</t>
  </si>
  <si>
    <r>
      <rPr>
        <sz val="12"/>
        <rFont val="Symbol"/>
        <charset val="2"/>
      </rPr>
      <t>d</t>
    </r>
    <r>
      <rPr>
        <vertAlign val="superscript"/>
        <sz val="12"/>
        <rFont val="Verdana"/>
        <family val="2"/>
      </rPr>
      <t>11</t>
    </r>
    <r>
      <rPr>
        <sz val="12"/>
        <rFont val="Verdana"/>
        <family val="2"/>
      </rPr>
      <t>B (relative to SRM 951)</t>
    </r>
  </si>
  <si>
    <r>
      <rPr>
        <b/>
        <sz val="12"/>
        <color indexed="8"/>
        <rFont val="Symbol"/>
        <charset val="2"/>
      </rPr>
      <t>d</t>
    </r>
    <r>
      <rPr>
        <b/>
        <vertAlign val="superscript"/>
        <sz val="12"/>
        <color indexed="8"/>
        <rFont val="Verdana"/>
        <family val="2"/>
      </rPr>
      <t>11</t>
    </r>
    <r>
      <rPr>
        <b/>
        <sz val="12"/>
        <color indexed="8"/>
        <rFont val="Verdana"/>
        <family val="2"/>
      </rPr>
      <t>B</t>
    </r>
    <r>
      <rPr>
        <b/>
        <vertAlign val="subscript"/>
        <sz val="12"/>
        <color indexed="8"/>
        <rFont val="Verdana"/>
        <family val="2"/>
      </rPr>
      <t>c</t>
    </r>
    <r>
      <rPr>
        <b/>
        <sz val="12"/>
        <color indexed="8"/>
        <rFont val="Verdana"/>
        <family val="2"/>
      </rPr>
      <t>/</t>
    </r>
    <r>
      <rPr>
        <b/>
        <sz val="12"/>
        <color indexed="8"/>
        <rFont val="Symbol"/>
        <charset val="2"/>
      </rPr>
      <t>d</t>
    </r>
    <r>
      <rPr>
        <b/>
        <vertAlign val="superscript"/>
        <sz val="12"/>
        <color indexed="8"/>
        <rFont val="Verdana"/>
        <family val="2"/>
      </rPr>
      <t>11</t>
    </r>
    <r>
      <rPr>
        <b/>
        <sz val="12"/>
        <color indexed="8"/>
        <rFont val="Verdana"/>
        <family val="2"/>
      </rPr>
      <t>B</t>
    </r>
    <r>
      <rPr>
        <b/>
        <vertAlign val="subscript"/>
        <sz val="12"/>
        <color indexed="8"/>
        <rFont val="Verdana"/>
        <family val="2"/>
      </rPr>
      <t>borate</t>
    </r>
    <r>
      <rPr>
        <b/>
        <sz val="12"/>
        <color indexed="8"/>
        <rFont val="Verdana"/>
        <family val="2"/>
      </rPr>
      <t xml:space="preserve"> calibration slope</t>
    </r>
  </si>
  <si>
    <r>
      <rPr>
        <b/>
        <sz val="12"/>
        <rFont val="Symbol"/>
        <charset val="2"/>
      </rPr>
      <t>d</t>
    </r>
    <r>
      <rPr>
        <b/>
        <vertAlign val="superscript"/>
        <sz val="12"/>
        <rFont val="Verdana"/>
        <family val="2"/>
      </rPr>
      <t>11</t>
    </r>
    <r>
      <rPr>
        <b/>
        <sz val="12"/>
        <rFont val="Verdana"/>
        <family val="2"/>
      </rPr>
      <t>B</t>
    </r>
    <r>
      <rPr>
        <b/>
        <vertAlign val="subscript"/>
        <sz val="12"/>
        <rFont val="Verdana"/>
        <family val="2"/>
      </rPr>
      <t>c</t>
    </r>
    <r>
      <rPr>
        <b/>
        <sz val="12"/>
        <rFont val="Verdana"/>
        <family val="2"/>
      </rPr>
      <t>/</t>
    </r>
    <r>
      <rPr>
        <b/>
        <sz val="12"/>
        <rFont val="Symbol"/>
        <charset val="2"/>
      </rPr>
      <t>d</t>
    </r>
    <r>
      <rPr>
        <b/>
        <vertAlign val="superscript"/>
        <sz val="12"/>
        <rFont val="Verdana"/>
        <family val="2"/>
      </rPr>
      <t>11</t>
    </r>
    <r>
      <rPr>
        <b/>
        <sz val="12"/>
        <rFont val="Verdana"/>
        <family val="2"/>
      </rPr>
      <t>B</t>
    </r>
    <r>
      <rPr>
        <b/>
        <vertAlign val="subscript"/>
        <sz val="12"/>
        <rFont val="Verdana"/>
        <family val="2"/>
      </rPr>
      <t>borate</t>
    </r>
    <r>
      <rPr>
        <b/>
        <sz val="12"/>
        <rFont val="Verdana"/>
        <family val="2"/>
      </rPr>
      <t xml:space="preserve"> calibration intercept</t>
    </r>
  </si>
  <si>
    <t>pressure (i.e. depth of foraminifer habitat)</t>
  </si>
  <si>
    <t xml:space="preserve">Temperature </t>
  </si>
  <si>
    <t xml:space="preserve"> Mg/Ca</t>
  </si>
  <si>
    <t>e.g., Alkenone UK'37, TEX 86</t>
  </si>
  <si>
    <t>Salinity</t>
  </si>
  <si>
    <t>[Ca] of seawater at S=35</t>
  </si>
  <si>
    <t>[Mg] of seawater at S=35</t>
  </si>
  <si>
    <t>[SO4] of seawater at S=35</t>
  </si>
  <si>
    <r>
      <t>[B]</t>
    </r>
    <r>
      <rPr>
        <b/>
        <vertAlign val="subscript"/>
        <sz val="12"/>
        <rFont val="Verdana"/>
        <family val="2"/>
      </rPr>
      <t>T</t>
    </r>
    <r>
      <rPr>
        <b/>
        <sz val="12"/>
        <rFont val="Verdana"/>
        <family val="2"/>
      </rPr>
      <t xml:space="preserve"> of seawater at S=35</t>
    </r>
  </si>
  <si>
    <r>
      <rPr>
        <b/>
        <sz val="12"/>
        <color indexed="8"/>
        <rFont val="Symbol"/>
        <charset val="2"/>
      </rPr>
      <t>d</t>
    </r>
    <r>
      <rPr>
        <b/>
        <vertAlign val="superscript"/>
        <sz val="12"/>
        <color indexed="8"/>
        <rFont val="Calibri"/>
        <family val="2"/>
      </rPr>
      <t>11</t>
    </r>
    <r>
      <rPr>
        <b/>
        <sz val="12"/>
        <color indexed="8"/>
        <rFont val="Calibri"/>
        <family val="2"/>
      </rPr>
      <t>B</t>
    </r>
    <r>
      <rPr>
        <b/>
        <vertAlign val="subscript"/>
        <sz val="12"/>
        <color indexed="8"/>
        <rFont val="Calibri"/>
        <family val="2"/>
      </rPr>
      <t>sw</t>
    </r>
  </si>
  <si>
    <t>pKB</t>
  </si>
  <si>
    <r>
      <rPr>
        <b/>
        <sz val="12"/>
        <rFont val="Symbol"/>
        <charset val="2"/>
      </rPr>
      <t>a</t>
    </r>
    <r>
      <rPr>
        <b/>
        <vertAlign val="subscript"/>
        <sz val="12"/>
        <rFont val="Verdana"/>
        <family val="2"/>
      </rPr>
      <t>B3-B4</t>
    </r>
    <r>
      <rPr>
        <b/>
        <sz val="12"/>
        <rFont val="Verdana"/>
        <family val="2"/>
      </rPr>
      <t xml:space="preserve"> </t>
    </r>
  </si>
  <si>
    <t>if applicable</t>
  </si>
  <si>
    <t>Reference of the data product</t>
  </si>
  <si>
    <t>DOI link to reference</t>
  </si>
  <si>
    <t>Site (DSDP/ODP/IODP or other site number)</t>
  </si>
  <si>
    <t>Hole</t>
  </si>
  <si>
    <t>Core</t>
  </si>
  <si>
    <t>Section</t>
  </si>
  <si>
    <t>top cm</t>
  </si>
  <si>
    <t>bottom cm</t>
  </si>
  <si>
    <r>
      <t>core depth below seafloor (meters, specify CSF-A or CSF-B where applicable, original IODP record)</t>
    </r>
    <r>
      <rPr>
        <vertAlign val="superscript"/>
        <sz val="12"/>
        <rFont val="Verdana"/>
        <family val="2"/>
      </rPr>
      <t>a</t>
    </r>
  </si>
  <si>
    <r>
      <t>core composite depth below seafloor (meters, CCSF)</t>
    </r>
    <r>
      <rPr>
        <vertAlign val="superscript"/>
        <sz val="12"/>
        <rFont val="Verdana"/>
        <family val="2"/>
      </rPr>
      <t>a</t>
    </r>
  </si>
  <si>
    <t>reference for composite depth</t>
  </si>
  <si>
    <t>Location (e.g., Atlantic, Carribbean, South China Sea etc.)</t>
  </si>
  <si>
    <t>Modern Latitude (decimal degree, south negative)</t>
  </si>
  <si>
    <t>Modern Longitude (decimal degree, west negative)</t>
  </si>
  <si>
    <t>Paleo Latitude (decimal degree, south negative)</t>
  </si>
  <si>
    <t>Paleo Longitude (decimal degree, west negative)</t>
  </si>
  <si>
    <t>Modern elevation (m), below sea level negative</t>
  </si>
  <si>
    <t>Paleo elevation (m), below sea level negative</t>
  </si>
  <si>
    <t>reference and Method to determine Paleo position</t>
  </si>
  <si>
    <t>notes about any flags in the studied core section</t>
  </si>
  <si>
    <t>Age (ka)</t>
  </si>
  <si>
    <t>type of uncertainty (e.g., set value, normal distribution, +/- range)</t>
  </si>
  <si>
    <r>
      <t>2</t>
    </r>
    <r>
      <rPr>
        <sz val="12"/>
        <color theme="1"/>
        <rFont val="Symbol"/>
        <charset val="2"/>
      </rPr>
      <t>s</t>
    </r>
    <r>
      <rPr>
        <sz val="11"/>
        <color theme="1"/>
        <rFont val="Calibri"/>
        <family val="2"/>
        <scheme val="minor"/>
      </rPr>
      <t xml:space="preserve"> Age uncertainty pos (ka)</t>
    </r>
  </si>
  <si>
    <r>
      <t>2</t>
    </r>
    <r>
      <rPr>
        <sz val="12"/>
        <color theme="1"/>
        <rFont val="Symbol"/>
        <charset val="2"/>
      </rPr>
      <t>s</t>
    </r>
    <r>
      <rPr>
        <sz val="11"/>
        <color theme="1"/>
        <rFont val="Calibri"/>
        <family val="2"/>
        <scheme val="minor"/>
      </rPr>
      <t xml:space="preserve"> Age uncertainty neg (ka)</t>
    </r>
  </si>
  <si>
    <t>Age Scale (GTS 20XX)</t>
  </si>
  <si>
    <t>age method (nannofossil biostratigraphy, radiolaria, magnetic polarity, radiometric etc.)</t>
  </si>
  <si>
    <t>reference to age model, if different from primary reference of data set</t>
  </si>
  <si>
    <t>foraminifer species analyzed</t>
  </si>
  <si>
    <t>foraminifer size class (µm)</t>
  </si>
  <si>
    <t xml:space="preserve">number of foraminifera shells per sample </t>
  </si>
  <si>
    <t>total sample weight (mg)</t>
  </si>
  <si>
    <t>Reference for sample  cleaning procedure</t>
  </si>
  <si>
    <t>Boron separation method (e.g., column chemistry, microsublimation)</t>
  </si>
  <si>
    <t>analytical Method (e.g., MC-ICP-MS, P-TIMS, N-TIMS etc)</t>
  </si>
  <si>
    <r>
      <rPr>
        <sz val="12"/>
        <rFont val="Symbol"/>
        <charset val="2"/>
      </rPr>
      <t>d</t>
    </r>
    <r>
      <rPr>
        <vertAlign val="superscript"/>
        <sz val="12"/>
        <rFont val="Verdana"/>
        <family val="2"/>
      </rPr>
      <t>11</t>
    </r>
    <r>
      <rPr>
        <sz val="12"/>
        <rFont val="Verdana"/>
        <family val="2"/>
      </rPr>
      <t>B of individual replicate measurements of the same solution; separate by commas</t>
    </r>
  </si>
  <si>
    <t>n of replicate measurements</t>
  </si>
  <si>
    <t>2se of replicates ( [ 2* (sd/sqrt(n))] )</t>
  </si>
  <si>
    <r>
      <rPr>
        <sz val="12"/>
        <color theme="1"/>
        <rFont val="Symbol"/>
        <charset val="2"/>
      </rPr>
      <t>d</t>
    </r>
    <r>
      <rPr>
        <vertAlign val="superscript"/>
        <sz val="12"/>
        <color theme="1"/>
        <rFont val="Verdana"/>
        <family val="2"/>
      </rPr>
      <t>11</t>
    </r>
    <r>
      <rPr>
        <sz val="12"/>
        <color theme="1"/>
        <rFont val="Verdana"/>
        <family val="2"/>
      </rPr>
      <t>B (‰, average of replicates)</t>
    </r>
  </si>
  <si>
    <t>type of uncertainty (e.g., set value, normal distribution, specify whether uncertainty is presented as standard deviation or standard error)</t>
  </si>
  <si>
    <r>
      <t>2</t>
    </r>
    <r>
      <rPr>
        <sz val="12"/>
        <color rgb="FF000000"/>
        <rFont val="Symbol"/>
        <charset val="2"/>
      </rPr>
      <t>s</t>
    </r>
    <r>
      <rPr>
        <sz val="12"/>
        <color rgb="FF000000"/>
        <rFont val="Verdana"/>
        <family val="2"/>
      </rPr>
      <t xml:space="preserve"> uncertainty (report internal or external reproducibility, whichever is larger)</t>
    </r>
  </si>
  <si>
    <t>slope value</t>
  </si>
  <si>
    <t>type of uncertainty (e.g., set value, normal distribution)</t>
  </si>
  <si>
    <r>
      <t>2</t>
    </r>
    <r>
      <rPr>
        <sz val="12"/>
        <color theme="1"/>
        <rFont val="Symbol"/>
        <charset val="2"/>
      </rPr>
      <t xml:space="preserve">s </t>
    </r>
    <r>
      <rPr>
        <sz val="12"/>
        <color theme="1"/>
        <rFont val="Verdana"/>
        <family val="2"/>
      </rPr>
      <t>uncertainty</t>
    </r>
  </si>
  <si>
    <t>intercept value</t>
  </si>
  <si>
    <t>Reference for calibration slope</t>
  </si>
  <si>
    <t>Notes (e.g., shell size corrected?)</t>
  </si>
  <si>
    <r>
      <rPr>
        <sz val="12"/>
        <color theme="1"/>
        <rFont val="Symbol"/>
        <charset val="2"/>
      </rPr>
      <t>d</t>
    </r>
    <r>
      <rPr>
        <vertAlign val="superscript"/>
        <sz val="12"/>
        <color theme="1"/>
        <rFont val="Verdana"/>
        <family val="2"/>
      </rPr>
      <t>11</t>
    </r>
    <r>
      <rPr>
        <sz val="12"/>
        <color theme="1"/>
        <rFont val="Verdana"/>
        <family val="2"/>
      </rPr>
      <t>B</t>
    </r>
    <r>
      <rPr>
        <vertAlign val="subscript"/>
        <sz val="12"/>
        <color theme="1"/>
        <rFont val="Verdana"/>
        <family val="2"/>
      </rPr>
      <t xml:space="preserve">borate </t>
    </r>
    <r>
      <rPr>
        <sz val="12"/>
        <color theme="1"/>
        <rFont val="Verdana"/>
        <family val="2"/>
      </rPr>
      <t>(‰)</t>
    </r>
  </si>
  <si>
    <t>Error propagation method</t>
  </si>
  <si>
    <t>depth habitat (m)</t>
  </si>
  <si>
    <r>
      <t>2</t>
    </r>
    <r>
      <rPr>
        <sz val="12"/>
        <color rgb="FF000000"/>
        <rFont val="Symbol"/>
        <charset val="2"/>
      </rPr>
      <t>s</t>
    </r>
    <r>
      <rPr>
        <sz val="12"/>
        <color rgb="FF000000"/>
        <rFont val="Verdana"/>
        <family val="2"/>
      </rPr>
      <t xml:space="preserve"> uncertainty</t>
    </r>
  </si>
  <si>
    <t>temperature (°C)</t>
  </si>
  <si>
    <r>
      <t>2</t>
    </r>
    <r>
      <rPr>
        <sz val="12"/>
        <color theme="1"/>
        <rFont val="Symbol"/>
        <charset val="2"/>
      </rPr>
      <t>s</t>
    </r>
    <r>
      <rPr>
        <sz val="11"/>
        <color theme="1"/>
        <rFont val="Calibri"/>
        <family val="2"/>
        <scheme val="minor"/>
      </rPr>
      <t xml:space="preserve"> temperature pos (°C)</t>
    </r>
  </si>
  <si>
    <r>
      <t>2</t>
    </r>
    <r>
      <rPr>
        <sz val="12"/>
        <color theme="1"/>
        <rFont val="Symbol"/>
        <charset val="2"/>
      </rPr>
      <t>s</t>
    </r>
    <r>
      <rPr>
        <sz val="11"/>
        <color theme="1"/>
        <rFont val="Calibri"/>
        <family val="2"/>
        <scheme val="minor"/>
      </rPr>
      <t xml:space="preserve"> temperature neg (°C)</t>
    </r>
  </si>
  <si>
    <t>Mg/Ca of individual replicate measurements; separate replicates by commas</t>
  </si>
  <si>
    <t>Mg/Ca  (mmol/mol, average of replicates)</t>
  </si>
  <si>
    <r>
      <t>2</t>
    </r>
    <r>
      <rPr>
        <sz val="12"/>
        <color theme="1"/>
        <rFont val="Symbol"/>
        <charset val="2"/>
      </rPr>
      <t>s</t>
    </r>
    <r>
      <rPr>
        <sz val="11"/>
        <color theme="1"/>
        <rFont val="Calibri"/>
        <family val="2"/>
        <scheme val="minor"/>
      </rPr>
      <t xml:space="preserve"> Mg uncertainty pos (mmol/mol)</t>
    </r>
  </si>
  <si>
    <r>
      <t>2</t>
    </r>
    <r>
      <rPr>
        <sz val="12"/>
        <color theme="1"/>
        <rFont val="Symbol"/>
        <charset val="2"/>
      </rPr>
      <t>s</t>
    </r>
    <r>
      <rPr>
        <sz val="11"/>
        <color theme="1"/>
        <rFont val="Calibri"/>
        <family val="2"/>
        <scheme val="minor"/>
      </rPr>
      <t xml:space="preserve"> Mg/Ca uncertainty neg (mmol/mol)</t>
    </r>
  </si>
  <si>
    <t>temperature calibration equation</t>
  </si>
  <si>
    <t>reference for temperature calibration equation</t>
  </si>
  <si>
    <t>salinity correction (list reference if applied)</t>
  </si>
  <si>
    <t>dissolution correction (list reference if applied)</t>
  </si>
  <si>
    <t>pH correction (list reference if applied)</t>
  </si>
  <si>
    <t>proxy value of individual replicate measurements; separate replicates by commas</t>
  </si>
  <si>
    <t>average proxy value (please specify units)</t>
  </si>
  <si>
    <r>
      <t>2</t>
    </r>
    <r>
      <rPr>
        <sz val="12"/>
        <color rgb="FF000000"/>
        <rFont val="Symbol"/>
        <charset val="2"/>
      </rPr>
      <t>s</t>
    </r>
    <r>
      <rPr>
        <sz val="12"/>
        <color rgb="FF000000"/>
        <rFont val="Verdana"/>
        <family val="2"/>
      </rPr>
      <t xml:space="preserve"> uncertainty </t>
    </r>
  </si>
  <si>
    <t xml:space="preserve">temperature calibration equation </t>
  </si>
  <si>
    <r>
      <t xml:space="preserve">used same sample material as for </t>
    </r>
    <r>
      <rPr>
        <sz val="12"/>
        <rFont val="Symbol"/>
        <charset val="2"/>
      </rPr>
      <t>d</t>
    </r>
    <r>
      <rPr>
        <vertAlign val="superscript"/>
        <sz val="12"/>
        <rFont val="Verdana"/>
        <family val="2"/>
      </rPr>
      <t>11</t>
    </r>
    <r>
      <rPr>
        <sz val="12"/>
        <rFont val="Verdana"/>
        <family val="2"/>
      </rPr>
      <t>B analyses? If not, provide details</t>
    </r>
  </si>
  <si>
    <t>Salinity (unit-less)</t>
  </si>
  <si>
    <t>method of salinity estimation (list reference if applicable)</t>
  </si>
  <si>
    <t>[Ca] (mol/kg)</t>
  </si>
  <si>
    <t xml:space="preserve">reference for [Ca] of seawater value </t>
  </si>
  <si>
    <t>[Mg] (mol/kg)</t>
  </si>
  <si>
    <t>reference for [Mg] of seawater value</t>
  </si>
  <si>
    <t>[SO4] (mol/kg)</t>
  </si>
  <si>
    <t>reference for [SO4] of seawater value</t>
  </si>
  <si>
    <r>
      <t>[B]</t>
    </r>
    <r>
      <rPr>
        <vertAlign val="subscript"/>
        <sz val="12"/>
        <color theme="1"/>
        <rFont val="Verdana"/>
        <family val="2"/>
      </rPr>
      <t xml:space="preserve">T </t>
    </r>
    <r>
      <rPr>
        <sz val="12"/>
        <color theme="1"/>
        <rFont val="Verdana"/>
        <family val="2"/>
      </rPr>
      <t>(µmol/kg)</t>
    </r>
  </si>
  <si>
    <r>
      <t>reference for [B]</t>
    </r>
    <r>
      <rPr>
        <vertAlign val="subscript"/>
        <sz val="12"/>
        <rFont val="Verdana"/>
        <family val="2"/>
      </rPr>
      <t>T</t>
    </r>
    <r>
      <rPr>
        <sz val="12"/>
        <rFont val="Verdana"/>
        <family val="2"/>
      </rPr>
      <t xml:space="preserve"> value</t>
    </r>
  </si>
  <si>
    <r>
      <rPr>
        <sz val="12"/>
        <color theme="1"/>
        <rFont val="Symbol"/>
        <charset val="2"/>
      </rPr>
      <t>d</t>
    </r>
    <r>
      <rPr>
        <vertAlign val="superscript"/>
        <sz val="12"/>
        <color theme="1"/>
        <rFont val="Verdana"/>
        <family val="2"/>
      </rPr>
      <t>11</t>
    </r>
    <r>
      <rPr>
        <sz val="12"/>
        <color theme="1"/>
        <rFont val="Verdana"/>
        <family val="2"/>
      </rPr>
      <t>B</t>
    </r>
    <r>
      <rPr>
        <vertAlign val="subscript"/>
        <sz val="12"/>
        <color theme="1"/>
        <rFont val="Verdana"/>
        <family val="2"/>
      </rPr>
      <t>sw</t>
    </r>
    <r>
      <rPr>
        <sz val="12"/>
        <color theme="1"/>
        <rFont val="Verdana"/>
        <family val="2"/>
      </rPr>
      <t xml:space="preserve"> (‰)</t>
    </r>
  </si>
  <si>
    <r>
      <t xml:space="preserve">reference  for </t>
    </r>
    <r>
      <rPr>
        <sz val="12"/>
        <rFont val="Symbol"/>
        <charset val="2"/>
      </rPr>
      <t>d</t>
    </r>
    <r>
      <rPr>
        <vertAlign val="superscript"/>
        <sz val="12"/>
        <rFont val="Verdana"/>
        <family val="2"/>
      </rPr>
      <t>11</t>
    </r>
    <r>
      <rPr>
        <sz val="12"/>
        <rFont val="Verdana"/>
        <family val="2"/>
      </rPr>
      <t>B</t>
    </r>
    <r>
      <rPr>
        <vertAlign val="subscript"/>
        <sz val="12"/>
        <rFont val="Verdana"/>
        <family val="2"/>
      </rPr>
      <t>sw</t>
    </r>
  </si>
  <si>
    <t>reference for pKB and for correction of major ion composition, if applied</t>
  </si>
  <si>
    <t>reference for pressure effect on pKB</t>
  </si>
  <si>
    <r>
      <t xml:space="preserve">value for </t>
    </r>
    <r>
      <rPr>
        <sz val="12"/>
        <color theme="1"/>
        <rFont val="Symbol"/>
        <charset val="2"/>
      </rPr>
      <t>a</t>
    </r>
    <r>
      <rPr>
        <vertAlign val="subscript"/>
        <sz val="12"/>
        <color theme="1"/>
        <rFont val="Verdana"/>
        <family val="2"/>
      </rPr>
      <t>B3-B4</t>
    </r>
    <r>
      <rPr>
        <sz val="12"/>
        <color theme="1"/>
        <rFont val="Verdana"/>
        <family val="2"/>
      </rPr>
      <t xml:space="preserve"> </t>
    </r>
  </si>
  <si>
    <r>
      <t xml:space="preserve">reference for </t>
    </r>
    <r>
      <rPr>
        <sz val="12"/>
        <color rgb="FF000000"/>
        <rFont val="Symbol"/>
        <charset val="2"/>
      </rPr>
      <t>a</t>
    </r>
    <r>
      <rPr>
        <vertAlign val="subscript"/>
        <sz val="12"/>
        <color rgb="FF000000"/>
        <rFont val="Verdana"/>
        <family val="2"/>
      </rPr>
      <t>B3-B4</t>
    </r>
  </si>
  <si>
    <r>
      <t xml:space="preserve">equation for temperature correction of </t>
    </r>
    <r>
      <rPr>
        <sz val="12"/>
        <rFont val="Symbol"/>
        <charset val="2"/>
      </rPr>
      <t>a</t>
    </r>
    <r>
      <rPr>
        <vertAlign val="subscript"/>
        <sz val="12"/>
        <rFont val="Verdana"/>
        <family val="2"/>
      </rPr>
      <t>B3-B4</t>
    </r>
    <r>
      <rPr>
        <sz val="12"/>
        <rFont val="Verdana"/>
        <family val="2"/>
      </rPr>
      <t xml:space="preserve"> (if applied)</t>
    </r>
  </si>
  <si>
    <r>
      <t xml:space="preserve">reference for temperature correction of </t>
    </r>
    <r>
      <rPr>
        <sz val="12"/>
        <rFont val="Symbol"/>
        <charset val="2"/>
      </rPr>
      <t>a</t>
    </r>
    <r>
      <rPr>
        <vertAlign val="subscript"/>
        <sz val="12"/>
        <rFont val="Verdana"/>
        <family val="2"/>
      </rPr>
      <t>B3-B4</t>
    </r>
    <r>
      <rPr>
        <sz val="12"/>
        <rFont val="Verdana"/>
        <family val="2"/>
      </rPr>
      <t xml:space="preserve"> (if applied)</t>
    </r>
  </si>
  <si>
    <r>
      <t>CO</t>
    </r>
    <r>
      <rPr>
        <vertAlign val="subscript"/>
        <sz val="12"/>
        <rFont val="Verdana"/>
        <family val="2"/>
      </rPr>
      <t>2</t>
    </r>
    <r>
      <rPr>
        <sz val="12"/>
        <rFont val="Verdana"/>
        <family val="2"/>
      </rPr>
      <t xml:space="preserve"> calculation program and version, e.g. CO2SYS, seacarb, other (please specify)</t>
    </r>
  </si>
  <si>
    <t>reference for pK0 and for correction of major ion composition, if applied</t>
  </si>
  <si>
    <t>reference for pK1 and for correction of major ion composition, if applied</t>
  </si>
  <si>
    <t>reference for pK2 and for correction of major ion composition, if applied</t>
  </si>
  <si>
    <r>
      <t>reference for pKHSO</t>
    </r>
    <r>
      <rPr>
        <vertAlign val="subscript"/>
        <sz val="12"/>
        <color theme="1"/>
        <rFont val="Verdana"/>
        <family val="2"/>
      </rPr>
      <t>4</t>
    </r>
  </si>
  <si>
    <r>
      <t>reference for pKsp</t>
    </r>
    <r>
      <rPr>
        <vertAlign val="subscript"/>
        <sz val="12"/>
        <rFont val="Verdana"/>
        <family val="2"/>
      </rPr>
      <t xml:space="preserve">calcite </t>
    </r>
    <r>
      <rPr>
        <sz val="12"/>
        <rFont val="Verdana"/>
        <family val="2"/>
      </rPr>
      <t>and pKsp</t>
    </r>
    <r>
      <rPr>
        <vertAlign val="subscript"/>
        <sz val="12"/>
        <rFont val="Verdana"/>
        <family val="2"/>
      </rPr>
      <t xml:space="preserve">aragonite </t>
    </r>
    <r>
      <rPr>
        <sz val="12"/>
        <rFont val="Verdana"/>
        <family val="2"/>
      </rPr>
      <t>and for correction of major ion composition, if applied</t>
    </r>
  </si>
  <si>
    <r>
      <t>reference for pressure effect on pKsp</t>
    </r>
    <r>
      <rPr>
        <vertAlign val="subscript"/>
        <sz val="12"/>
        <rFont val="Verdana"/>
        <family val="2"/>
      </rPr>
      <t xml:space="preserve">calcite </t>
    </r>
    <r>
      <rPr>
        <sz val="12"/>
        <rFont val="Verdana"/>
        <family val="2"/>
      </rPr>
      <t>and pKsp</t>
    </r>
    <r>
      <rPr>
        <vertAlign val="subscript"/>
        <sz val="12"/>
        <rFont val="Verdana"/>
        <family val="2"/>
      </rPr>
      <t>aragonite</t>
    </r>
  </si>
  <si>
    <r>
      <t>Parameter used (e.g., alkalinity</t>
    </r>
    <r>
      <rPr>
        <sz val="12"/>
        <rFont val="Verdana"/>
        <family val="2"/>
      </rPr>
      <t>, DIC, [CO</t>
    </r>
    <r>
      <rPr>
        <vertAlign val="subscript"/>
        <sz val="12"/>
        <rFont val="Verdana"/>
        <family val="2"/>
      </rPr>
      <t>3</t>
    </r>
    <r>
      <rPr>
        <vertAlign val="superscript"/>
        <sz val="12"/>
        <rFont val="Verdana"/>
        <family val="2"/>
      </rPr>
      <t>2-</t>
    </r>
    <r>
      <rPr>
        <sz val="12"/>
        <rFont val="Verdana"/>
        <family val="2"/>
      </rPr>
      <t>]</t>
    </r>
  </si>
  <si>
    <r>
      <t xml:space="preserve">Method for deriving 2nd parameter (e.g., CCD, </t>
    </r>
    <r>
      <rPr>
        <sz val="12"/>
        <rFont val="Symbol"/>
        <charset val="2"/>
      </rPr>
      <t>W</t>
    </r>
    <r>
      <rPr>
        <sz val="12"/>
        <rFont val="Verdana"/>
        <family val="2"/>
      </rPr>
      <t>, LOSCAR, GENIE, code can be submitted as supplement)</t>
    </r>
  </si>
  <si>
    <t>Reference for second parameter (if not primary reference of data set)</t>
  </si>
  <si>
    <t>central value (µmol/kg)</t>
  </si>
  <si>
    <r>
      <rPr>
        <sz val="12"/>
        <color theme="1"/>
        <rFont val="Symbol"/>
        <charset val="2"/>
      </rPr>
      <t>W</t>
    </r>
    <r>
      <rPr>
        <vertAlign val="subscript"/>
        <sz val="12"/>
        <color theme="1"/>
        <rFont val="Verdana"/>
        <family val="2"/>
      </rPr>
      <t xml:space="preserve">calcite </t>
    </r>
    <r>
      <rPr>
        <sz val="12"/>
        <color theme="1"/>
        <rFont val="Verdana"/>
        <family val="2"/>
      </rPr>
      <t>(if used as a constraint)</t>
    </r>
  </si>
  <si>
    <t>pH</t>
  </si>
  <si>
    <t>pH scale reported (e.g., total scale, seawater scale)</t>
  </si>
  <si>
    <r>
      <t>2</t>
    </r>
    <r>
      <rPr>
        <sz val="12"/>
        <color theme="1"/>
        <rFont val="Symbol"/>
        <charset val="2"/>
      </rPr>
      <t>s</t>
    </r>
    <r>
      <rPr>
        <sz val="11"/>
        <color theme="1"/>
        <rFont val="Calibri"/>
        <family val="2"/>
        <scheme val="minor"/>
      </rPr>
      <t xml:space="preserve"> uncertainty pos</t>
    </r>
  </si>
  <si>
    <r>
      <t>2</t>
    </r>
    <r>
      <rPr>
        <sz val="12"/>
        <color theme="1"/>
        <rFont val="Symbol"/>
        <charset val="2"/>
      </rPr>
      <t>s</t>
    </r>
    <r>
      <rPr>
        <sz val="11"/>
        <color theme="1"/>
        <rFont val="Calibri"/>
        <family val="2"/>
        <scheme val="minor"/>
      </rPr>
      <t xml:space="preserve"> uncertainty neg</t>
    </r>
  </si>
  <si>
    <r>
      <t>Aqueous pCO</t>
    </r>
    <r>
      <rPr>
        <vertAlign val="subscript"/>
        <sz val="12"/>
        <rFont val="Verdana"/>
        <family val="2"/>
      </rPr>
      <t>2</t>
    </r>
    <r>
      <rPr>
        <sz val="12"/>
        <rFont val="Verdana"/>
        <family val="2"/>
      </rPr>
      <t xml:space="preserve"> (µatm)</t>
    </r>
  </si>
  <si>
    <r>
      <t>Air-sea pCO</t>
    </r>
    <r>
      <rPr>
        <vertAlign val="subscript"/>
        <sz val="12"/>
        <rFont val="Verdana"/>
        <family val="2"/>
      </rPr>
      <t>2</t>
    </r>
    <r>
      <rPr>
        <sz val="12"/>
        <rFont val="Verdana"/>
        <family val="2"/>
      </rPr>
      <t xml:space="preserve"> disequilibrium (µatm)</t>
    </r>
  </si>
  <si>
    <t xml:space="preserve">Notes about air-sea disequilibrium: what is the estimate based on; are there assumptions on seasonality? </t>
  </si>
  <si>
    <r>
      <rPr>
        <vertAlign val="superscript"/>
        <sz val="12"/>
        <rFont val="Verdana"/>
        <family val="2"/>
      </rPr>
      <t>b</t>
    </r>
    <r>
      <rPr>
        <sz val="12"/>
        <rFont val="Verdana"/>
        <family val="2"/>
      </rPr>
      <t>Atmospheric pCO</t>
    </r>
    <r>
      <rPr>
        <vertAlign val="subscript"/>
        <sz val="12"/>
        <rFont val="Verdana"/>
        <family val="2"/>
      </rPr>
      <t>2</t>
    </r>
    <r>
      <rPr>
        <sz val="12"/>
        <rFont val="Verdana"/>
        <family val="2"/>
      </rPr>
      <t xml:space="preserve"> (i.e. after correction for any modern air-sea disequilibrium, µatm)</t>
    </r>
  </si>
  <si>
    <r>
      <t>2</t>
    </r>
    <r>
      <rPr>
        <sz val="12"/>
        <color theme="1"/>
        <rFont val="Symbol"/>
        <charset val="2"/>
      </rPr>
      <t>s</t>
    </r>
    <r>
      <rPr>
        <sz val="11"/>
        <color theme="1"/>
        <rFont val="Calibri"/>
        <family val="2"/>
        <scheme val="minor"/>
      </rPr>
      <t xml:space="preserve"> pCO2 uncertainty pos</t>
    </r>
  </si>
  <si>
    <r>
      <t>2</t>
    </r>
    <r>
      <rPr>
        <sz val="12"/>
        <color theme="1"/>
        <rFont val="Symbol"/>
        <charset val="2"/>
      </rPr>
      <t>s</t>
    </r>
    <r>
      <rPr>
        <sz val="11"/>
        <color theme="1"/>
        <rFont val="Calibri"/>
        <family val="2"/>
        <scheme val="minor"/>
      </rPr>
      <t xml:space="preserve"> pCO2 uncertainty neg</t>
    </r>
  </si>
  <si>
    <t>Error propagation method (code can be provided in supplement)</t>
  </si>
  <si>
    <r>
      <t>parameters included in the error propagation (e.g., calibration uncertainty,</t>
    </r>
    <r>
      <rPr>
        <sz val="12"/>
        <rFont val="Symbol"/>
        <charset val="2"/>
      </rPr>
      <t xml:space="preserve"> d</t>
    </r>
    <r>
      <rPr>
        <vertAlign val="superscript"/>
        <sz val="12"/>
        <rFont val="Verdana"/>
        <family val="2"/>
      </rPr>
      <t>11</t>
    </r>
    <r>
      <rPr>
        <sz val="12"/>
        <rFont val="Verdana"/>
        <family val="2"/>
      </rPr>
      <t>B</t>
    </r>
    <r>
      <rPr>
        <vertAlign val="subscript"/>
        <sz val="12"/>
        <rFont val="Verdana"/>
        <family val="2"/>
      </rPr>
      <t>sw</t>
    </r>
    <r>
      <rPr>
        <sz val="12"/>
        <rFont val="Verdana"/>
        <family val="2"/>
      </rPr>
      <t>, T, S, second parameter of the carbonate system)</t>
    </r>
  </si>
  <si>
    <r>
      <rPr>
        <vertAlign val="superscript"/>
        <sz val="12"/>
        <rFont val="Verdana"/>
        <family val="2"/>
      </rPr>
      <t>c</t>
    </r>
    <r>
      <rPr>
        <sz val="12"/>
        <rFont val="Verdana"/>
        <family val="2"/>
      </rPr>
      <t>Alkalinity (µmol/kg, if not used as an input parameter)</t>
    </r>
  </si>
  <si>
    <r>
      <t>2</t>
    </r>
    <r>
      <rPr>
        <sz val="12"/>
        <rFont val="Symbol"/>
        <charset val="2"/>
      </rPr>
      <t>s</t>
    </r>
    <r>
      <rPr>
        <sz val="12"/>
        <rFont val="Verdana"/>
        <family val="2"/>
      </rPr>
      <t xml:space="preserve"> alkalinity uncertainty pos</t>
    </r>
  </si>
  <si>
    <r>
      <t>2</t>
    </r>
    <r>
      <rPr>
        <sz val="12"/>
        <rFont val="Symbol"/>
        <charset val="2"/>
      </rPr>
      <t>s</t>
    </r>
    <r>
      <rPr>
        <sz val="12"/>
        <rFont val="Verdana"/>
        <family val="2"/>
      </rPr>
      <t xml:space="preserve"> alkalinity uncertainty neg</t>
    </r>
  </si>
  <si>
    <t>DIC (µmol/kg, if not used as an input parameter</t>
  </si>
  <si>
    <r>
      <t>2</t>
    </r>
    <r>
      <rPr>
        <sz val="12"/>
        <rFont val="Symbol"/>
        <charset val="2"/>
      </rPr>
      <t xml:space="preserve">s </t>
    </r>
    <r>
      <rPr>
        <sz val="12"/>
        <rFont val="Verdana"/>
        <family val="2"/>
      </rPr>
      <t>DIC uncertainty pos</t>
    </r>
  </si>
  <si>
    <r>
      <t>2</t>
    </r>
    <r>
      <rPr>
        <sz val="12"/>
        <rFont val="Symbol"/>
        <charset val="2"/>
      </rPr>
      <t>s</t>
    </r>
    <r>
      <rPr>
        <sz val="12"/>
        <rFont val="Verdana"/>
        <family val="2"/>
      </rPr>
      <t xml:space="preserve"> DIC uncertainty neg</t>
    </r>
  </si>
  <si>
    <r>
      <rPr>
        <sz val="12"/>
        <rFont val="Symbol"/>
        <charset val="2"/>
      </rPr>
      <t>W</t>
    </r>
    <r>
      <rPr>
        <vertAlign val="subscript"/>
        <sz val="12"/>
        <rFont val="Verdana"/>
        <family val="2"/>
      </rPr>
      <t>calcite</t>
    </r>
    <r>
      <rPr>
        <sz val="12"/>
        <rFont val="Verdana"/>
        <family val="2"/>
      </rPr>
      <t>, if not used as an input parameter</t>
    </r>
  </si>
  <si>
    <r>
      <t>2</t>
    </r>
    <r>
      <rPr>
        <sz val="12"/>
        <rFont val="Symbol"/>
        <charset val="2"/>
      </rPr>
      <t>s</t>
    </r>
    <r>
      <rPr>
        <sz val="12"/>
        <rFont val="Verdana"/>
        <family val="2"/>
      </rPr>
      <t xml:space="preserve"> uncertainty </t>
    </r>
    <r>
      <rPr>
        <sz val="12"/>
        <rFont val="Symbol"/>
        <charset val="2"/>
      </rPr>
      <t>W</t>
    </r>
    <r>
      <rPr>
        <vertAlign val="subscript"/>
        <sz val="12"/>
        <rFont val="Verdana"/>
        <family val="2"/>
      </rPr>
      <t xml:space="preserve">calcite </t>
    </r>
    <r>
      <rPr>
        <sz val="12"/>
        <rFont val="Verdana"/>
        <family val="2"/>
      </rPr>
      <t>pos</t>
    </r>
  </si>
  <si>
    <r>
      <t>2</t>
    </r>
    <r>
      <rPr>
        <sz val="12"/>
        <rFont val="Symbol"/>
        <charset val="2"/>
      </rPr>
      <t>s</t>
    </r>
    <r>
      <rPr>
        <sz val="12"/>
        <rFont val="Verdana"/>
        <family val="2"/>
      </rPr>
      <t xml:space="preserve"> uncertainty </t>
    </r>
    <r>
      <rPr>
        <sz val="12"/>
        <rFont val="Symbol"/>
        <charset val="2"/>
      </rPr>
      <t>W</t>
    </r>
    <r>
      <rPr>
        <vertAlign val="subscript"/>
        <sz val="12"/>
        <rFont val="Verdana"/>
        <family val="2"/>
      </rPr>
      <t>calcite neg</t>
    </r>
  </si>
  <si>
    <r>
      <rPr>
        <sz val="12"/>
        <rFont val="Symbol"/>
        <charset val="2"/>
      </rPr>
      <t>W</t>
    </r>
    <r>
      <rPr>
        <vertAlign val="subscript"/>
        <sz val="12"/>
        <rFont val="Verdana"/>
        <family val="2"/>
      </rPr>
      <t>aragonite</t>
    </r>
    <r>
      <rPr>
        <sz val="12"/>
        <rFont val="Verdana"/>
        <family val="2"/>
      </rPr>
      <t>, if not used as an input parameter</t>
    </r>
  </si>
  <si>
    <r>
      <t>2</t>
    </r>
    <r>
      <rPr>
        <sz val="12"/>
        <rFont val="Symbol"/>
        <charset val="2"/>
      </rPr>
      <t>s</t>
    </r>
    <r>
      <rPr>
        <sz val="12"/>
        <rFont val="Verdana"/>
        <family val="2"/>
      </rPr>
      <t xml:space="preserve"> uncertainty </t>
    </r>
    <r>
      <rPr>
        <sz val="12"/>
        <rFont val="Symbol"/>
        <charset val="2"/>
      </rPr>
      <t>W</t>
    </r>
    <r>
      <rPr>
        <vertAlign val="subscript"/>
        <sz val="12"/>
        <rFont val="Verdana"/>
        <family val="2"/>
      </rPr>
      <t xml:space="preserve">aragonite </t>
    </r>
    <r>
      <rPr>
        <sz val="12"/>
        <rFont val="Verdana"/>
        <family val="2"/>
      </rPr>
      <t>pos</t>
    </r>
  </si>
  <si>
    <t>Additional Notes</t>
  </si>
  <si>
    <t>Elwyn De La Vega and Michael Henehan</t>
  </si>
  <si>
    <t>E.De-La-Vega@soton.ac.uk</t>
  </si>
  <si>
    <t>boron isotopes</t>
  </si>
  <si>
    <t>Badger</t>
  </si>
  <si>
    <t>10.1002/palo.20015</t>
  </si>
  <si>
    <t>NA</t>
  </si>
  <si>
    <t>Badger, Marcus P. S., Lear, Caroline H., Pancost, Richard D.,  Foster, Gavin L., Bailey, Trevor R., Leng, Melanie J. and Abels, Hemmo A. 2013. CO2 drawdown following the middle Miocene expansion of the Antarctic Ice Sheet. Paleoceanography 28, 42-53.</t>
  </si>
  <si>
    <t>Blue Clay Formation of Malta (at Ras il-Pellegrin)</t>
  </si>
  <si>
    <t>Height in section from this same Badger paper</t>
  </si>
  <si>
    <t>Meditteranean</t>
  </si>
  <si>
    <t>terrestrial section</t>
  </si>
  <si>
    <t>-500-600</t>
  </si>
  <si>
    <r>
      <t>Palaeolatitude from paleolatitude.org. Palaeodepth from Bellanca et al</t>
    </r>
    <r>
      <rPr>
        <sz val="10"/>
        <color theme="1"/>
        <rFont val="AdvTT182ff89e"/>
      </rPr>
      <t xml:space="preserve">., </t>
    </r>
    <r>
      <rPr>
        <sz val="10"/>
        <color theme="1"/>
        <rFont val="AdvTT73b978ed.I"/>
      </rPr>
      <t>2002; Bonaduce and Barra, 2002</t>
    </r>
  </si>
  <si>
    <t xml:space="preserve">no uncertainty calculated </t>
  </si>
  <si>
    <t>combined biostratigraphic and astronomical age model</t>
  </si>
  <si>
    <t xml:space="preserve">Mourik, A. A., H. A. Abels, F. J. Hilgen, A. Di Stefano, and W. J. Zachariasse (2011), Improved astronomical age constraints for the middle Miocene climate transition based on high‐resolution stable isotope records from the central Mediterranean Maltese Islands, Paleoceanography, 26, PA1210, doi:10.1029/2010PA001981. </t>
  </si>
  <si>
    <t xml:space="preserve">Globigerinoides trilobus </t>
  </si>
  <si>
    <t>250-355</t>
  </si>
  <si>
    <t>~100</t>
  </si>
  <si>
    <t>~2mg</t>
  </si>
  <si>
    <t>Barker et al. (2003)</t>
  </si>
  <si>
    <t>ion exchange chromatography</t>
  </si>
  <si>
    <t>MC-ICPMS</t>
  </si>
  <si>
    <t>normal, stdev, external</t>
  </si>
  <si>
    <t>not propagated</t>
  </si>
  <si>
    <t>no calibration uncertainty incorporated</t>
  </si>
  <si>
    <t>Foster et al., 2012</t>
  </si>
  <si>
    <t>The calibration is for ~about the same size fraction. No further corrections made.</t>
  </si>
  <si>
    <t>normal</t>
  </si>
  <si>
    <t>Since no calibration uncertainty is included, uncertainty = analytical only</t>
  </si>
  <si>
    <t>none</t>
  </si>
  <si>
    <t>set value</t>
  </si>
  <si>
    <t>set value, 2%</t>
  </si>
  <si>
    <t>Mg/Ca=0.32*EXP(0.09*T)</t>
  </si>
  <si>
    <t>Anand et al. 2003</t>
  </si>
  <si>
    <t>Evans et al. (2012)</t>
  </si>
  <si>
    <t>none assigned</t>
  </si>
  <si>
    <t>arbitrary</t>
  </si>
  <si>
    <t>no uncertainty has been applied</t>
  </si>
  <si>
    <t>Horita et al. (2002)</t>
  </si>
  <si>
    <t>modern values used</t>
  </si>
  <si>
    <t>no uncertainty applied</t>
  </si>
  <si>
    <t>Lee et al. (2010)</t>
  </si>
  <si>
    <t>Dickson, 1990</t>
  </si>
  <si>
    <t>none applied</t>
  </si>
  <si>
    <t>Klochko et al. (2006)</t>
  </si>
  <si>
    <t>Excel</t>
  </si>
  <si>
    <t>Tyrell and Zeebe 2004</t>
  </si>
  <si>
    <t>Dickson 1990</t>
  </si>
  <si>
    <t>not applied</t>
  </si>
  <si>
    <t>Alkalinity</t>
  </si>
  <si>
    <t xml:space="preserve">CCD depth </t>
  </si>
  <si>
    <t>None applied</t>
  </si>
  <si>
    <t>Quadratic Addition</t>
  </si>
  <si>
    <t>Alkalinity, Temperature, measured d11B</t>
  </si>
  <si>
    <t>?</t>
  </si>
  <si>
    <r>
      <t>Palaeolatitude from paleolatitude.org. Palaeodepth from Bellanca et al</t>
    </r>
    <r>
      <rPr>
        <sz val="10"/>
        <color theme="1"/>
        <rFont val="AdvTT182ff89e"/>
      </rPr>
      <t xml:space="preserve">., </t>
    </r>
    <r>
      <rPr>
        <sz val="10"/>
        <color theme="1"/>
        <rFont val="AdvTT73b978ed.I"/>
      </rPr>
      <t>2002; Bonaduce and Barra, 2002</t>
    </r>
    <r>
      <rPr>
        <sz val="11"/>
        <color theme="1"/>
        <rFont val="Calibri"/>
        <family val="2"/>
        <scheme val="minor"/>
      </rPr>
      <t/>
    </r>
  </si>
  <si>
    <r>
      <t>2</t>
    </r>
    <r>
      <rPr>
        <sz val="12"/>
        <color theme="1"/>
        <rFont val="Symbol"/>
        <charset val="2"/>
      </rPr>
      <t>s</t>
    </r>
    <r>
      <rPr>
        <sz val="11"/>
        <color theme="1"/>
        <rFont val="Calibri"/>
        <family val="2"/>
        <scheme val="minor"/>
      </rPr>
      <t xml:space="preserve"> uncertainty pos (µmol/kg)</t>
    </r>
  </si>
  <si>
    <r>
      <t>2</t>
    </r>
    <r>
      <rPr>
        <sz val="12"/>
        <color theme="1"/>
        <rFont val="Symbol"/>
        <charset val="2"/>
      </rPr>
      <t>s</t>
    </r>
    <r>
      <rPr>
        <sz val="11"/>
        <color theme="1"/>
        <rFont val="Calibri"/>
        <family val="2"/>
        <scheme val="minor"/>
      </rPr>
      <t xml:space="preserve"> uncertainty neg (µmol/kg)</t>
    </r>
  </si>
  <si>
    <r>
      <t>Mg/Ca</t>
    </r>
    <r>
      <rPr>
        <vertAlign val="subscript"/>
        <sz val="12"/>
        <rFont val="Verdana"/>
        <family val="2"/>
      </rPr>
      <t xml:space="preserve">sw </t>
    </r>
    <r>
      <rPr>
        <sz val="12"/>
        <rFont val="Verdana"/>
        <family val="2"/>
      </rPr>
      <t>correction</t>
    </r>
  </si>
  <si>
    <r>
      <t>Mg/Ca</t>
    </r>
    <r>
      <rPr>
        <vertAlign val="subscript"/>
        <sz val="12"/>
        <rFont val="Verdana"/>
        <family val="2"/>
      </rPr>
      <t xml:space="preserve">sw </t>
    </r>
    <r>
      <rPr>
        <sz val="12"/>
        <rFont val="Verdana"/>
        <family val="2"/>
      </rPr>
      <t xml:space="preserve">correction  reference </t>
    </r>
  </si>
  <si>
    <r>
      <t>2</t>
    </r>
    <r>
      <rPr>
        <sz val="12"/>
        <rFont val="Symbol"/>
        <charset val="2"/>
      </rPr>
      <t>s</t>
    </r>
    <r>
      <rPr>
        <sz val="12"/>
        <rFont val="Verdana"/>
        <family val="2"/>
      </rPr>
      <t xml:space="preserve"> uncertainty </t>
    </r>
    <r>
      <rPr>
        <sz val="12"/>
        <rFont val="Symbol"/>
        <charset val="2"/>
      </rPr>
      <t>W</t>
    </r>
    <r>
      <rPr>
        <vertAlign val="subscript"/>
        <sz val="12"/>
        <rFont val="Verdana"/>
        <family val="2"/>
      </rPr>
      <t>aragonite neg</t>
    </r>
  </si>
  <si>
    <t>notes about uncertainty estimate: e.g., included calibration slope and intercept</t>
  </si>
  <si>
    <t>CO2_ppm</t>
  </si>
  <si>
    <t>CO2_uncertainty_pos_ppm</t>
  </si>
  <si>
    <t>CO2 data as originally published (TRUE or FALSE)</t>
  </si>
  <si>
    <t>CO2 data superseded by (please list doi if TRUE, otherwise FALSE)</t>
  </si>
  <si>
    <t>CO2 recalculated by paleo-CO2.org (TRUE or FALSE)</t>
  </si>
  <si>
    <t>specify reason for CO2 revision</t>
  </si>
  <si>
    <t>age data as originally published (TRUE or FALSE)</t>
  </si>
  <si>
    <t>age data quarantined (TRUE of FALSE)</t>
  </si>
  <si>
    <t>age data superseded by (please list doi if TRUE, otherwise FALSE)</t>
  </si>
  <si>
    <t>age recalculated by paleo-CO2.org (TRUE or FALSE)</t>
  </si>
  <si>
    <t>newer calculations published</t>
  </si>
  <si>
    <t>10.1016/j.epsl.2018.06.017</t>
  </si>
  <si>
    <t>CO2_uncertainty_neg_ppm</t>
  </si>
  <si>
    <t>proxy category: enter (1) if  data are of high quality and uncertainty estimation is fully developed, (2) if data are of high quality but uncertainty estimation is not yet fully constrained, or (3) if data collection method is outdated and/or uncertainty estimation is not fully quantifiable</t>
  </si>
  <si>
    <t>specify reason for choice of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</si>
</sst>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32">
    <font>
      <sz val="11"/>
      <color theme="1"/>
      <name val="Calibri"/>
      <family val="2"/>
      <scheme val="minor"/>
    </font>
    <font>
      <sz val="12"/>
      <color rgb="FF000000"/>
      <name val="Calibri"/>
      <family val="2"/>
      <scheme val="minor"/>
    </font>
    <font>
      <b/>
      <sz val="12"/>
      <color indexed="8"/>
      <name val="Calibri"/>
      <family val="2"/>
    </font>
    <font>
      <sz val="12"/>
      <name val="Verdana"/>
      <family val="2"/>
    </font>
    <font>
      <b/>
      <sz val="12"/>
      <name val="Verdana"/>
      <family val="2"/>
    </font>
    <font>
      <b/>
      <sz val="12"/>
      <name val="Calibri (Body)"/>
    </font>
    <font>
      <b/>
      <sz val="12"/>
      <name val="Symbol"/>
      <charset val="2"/>
    </font>
    <font>
      <b/>
      <vertAlign val="superscript"/>
      <sz val="12"/>
      <name val="Verdana"/>
      <family val="2"/>
    </font>
    <font>
      <b/>
      <vertAlign val="subscript"/>
      <sz val="12"/>
      <name val="Verdana"/>
      <family val="2"/>
    </font>
    <font>
      <b/>
      <vertAlign val="subscript"/>
      <sz val="12"/>
      <color indexed="8"/>
      <name val="Calibri"/>
      <family val="2"/>
    </font>
    <font>
      <sz val="12"/>
      <name val="Symbol"/>
      <charset val="2"/>
    </font>
    <font>
      <vertAlign val="superscript"/>
      <sz val="12"/>
      <name val="Verdana"/>
      <family val="2"/>
    </font>
    <font>
      <b/>
      <sz val="12"/>
      <color indexed="8"/>
      <name val="Verdana"/>
      <family val="2"/>
    </font>
    <font>
      <b/>
      <sz val="12"/>
      <color indexed="8"/>
      <name val="Symbol"/>
      <charset val="2"/>
    </font>
    <font>
      <b/>
      <vertAlign val="superscript"/>
      <sz val="12"/>
      <color indexed="8"/>
      <name val="Verdana"/>
      <family val="2"/>
    </font>
    <font>
      <b/>
      <vertAlign val="subscript"/>
      <sz val="12"/>
      <color indexed="8"/>
      <name val="Verdana"/>
      <family val="2"/>
    </font>
    <font>
      <b/>
      <vertAlign val="superscript"/>
      <sz val="12"/>
      <color indexed="8"/>
      <name val="Calibri"/>
      <family val="2"/>
    </font>
    <font>
      <sz val="12"/>
      <color theme="1"/>
      <name val="Verdana"/>
      <family val="2"/>
    </font>
    <font>
      <sz val="12"/>
      <color rgb="FF000000"/>
      <name val="Verdana"/>
      <family val="2"/>
    </font>
    <font>
      <sz val="12"/>
      <color theme="1"/>
      <name val="Symbol"/>
      <charset val="2"/>
    </font>
    <font>
      <sz val="12"/>
      <name val="Verdana"/>
      <family val="2"/>
      <charset val="2"/>
    </font>
    <font>
      <vertAlign val="superscript"/>
      <sz val="12"/>
      <color theme="1"/>
      <name val="Verdana"/>
      <family val="2"/>
    </font>
    <font>
      <sz val="12"/>
      <color rgb="FF000000"/>
      <name val="Symbol"/>
      <charset val="2"/>
    </font>
    <font>
      <vertAlign val="subscript"/>
      <sz val="12"/>
      <color theme="1"/>
      <name val="Verdana"/>
      <family val="2"/>
    </font>
    <font>
      <vertAlign val="subscript"/>
      <sz val="12"/>
      <name val="Verdana"/>
      <family val="2"/>
    </font>
    <font>
      <vertAlign val="subscript"/>
      <sz val="12"/>
      <color rgb="FF000000"/>
      <name val="Verdana"/>
      <family val="2"/>
    </font>
    <font>
      <sz val="10"/>
      <color theme="1"/>
      <name val="AdvTT182ff89e"/>
    </font>
    <font>
      <sz val="10"/>
      <color theme="1"/>
      <name val="AdvTT73b978ed.I"/>
    </font>
    <font>
      <sz val="10"/>
      <name val="Arial"/>
      <family val="2"/>
    </font>
    <font>
      <i/>
      <sz val="10"/>
      <color theme="1"/>
      <name val="AdvTT73b978ed.I"/>
    </font>
    <font>
      <sz val="9"/>
      <color theme="1"/>
      <name val="Helvetica"/>
      <family val="2"/>
    </font>
    <font>
      <b/>
      <sz val="10"/>
      <name val="Arial"/>
      <family val="2"/>
    </font>
  </fonts>
  <fills count="17">
    <fill>
      <patternFill patternType="none"/>
    </fill>
    <fill>
      <patternFill patternType="gray125"/>
    </fill>
    <fill>
      <patternFill patternType="solid">
        <fgColor indexed="43"/>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rgb="FFD38EFF"/>
        <bgColor indexed="64"/>
      </patternFill>
    </fill>
    <fill>
      <patternFill patternType="solid">
        <fgColor rgb="FFCDFDCC"/>
        <bgColor indexed="64"/>
      </patternFill>
    </fill>
    <fill>
      <patternFill patternType="solid">
        <fgColor indexed="42"/>
        <bgColor indexed="64"/>
      </patternFill>
    </fill>
    <fill>
      <patternFill patternType="solid">
        <fgColor theme="9" tint="0.59999389629810485"/>
        <bgColor indexed="64"/>
      </patternFill>
    </fill>
    <fill>
      <patternFill patternType="solid">
        <fgColor rgb="FFFFFD99"/>
        <bgColor indexed="64"/>
      </patternFill>
    </fill>
    <fill>
      <patternFill patternType="solid">
        <fgColor theme="0"/>
        <bgColor indexed="64"/>
      </patternFill>
    </fill>
    <fill>
      <patternFill patternType="solid">
        <fgColor rgb="FFA9D08D"/>
        <bgColor indexed="64"/>
      </patternFill>
    </fill>
    <fill>
      <patternFill patternType="solid">
        <fgColor rgb="FFCEFDCC"/>
        <bgColor indexed="64"/>
      </patternFill>
    </fill>
    <fill>
      <patternFill patternType="solid">
        <fgColor rgb="FFCDFDCC"/>
        <bgColor rgb="FF000000"/>
      </patternFill>
    </fill>
    <fill>
      <patternFill patternType="solid">
        <fgColor rgb="FFC6E0B4"/>
        <bgColor indexed="64"/>
      </patternFill>
    </fill>
    <fill>
      <patternFill patternType="solid">
        <fgColor rgb="FFFFFF9A"/>
        <bgColor indexed="64"/>
      </patternFill>
    </fill>
    <fill>
      <patternFill patternType="solid">
        <fgColor rgb="FFFFFF98"/>
        <bgColor indexed="64"/>
      </patternFill>
    </fill>
  </fills>
  <borders count="16">
    <border>
      <left/>
      <right/>
      <top/>
      <bottom/>
      <diagonal/>
    </border>
    <border>
      <left style="thin">
        <color indexed="64"/>
      </left>
      <right/>
      <top style="thin">
        <color indexed="64"/>
      </top>
      <bottom style="thin">
        <color indexed="64"/>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style="thin">
        <color auto="1"/>
      </top>
      <bottom/>
      <diagonal/>
    </border>
    <border>
      <left/>
      <right/>
      <top style="thin">
        <color auto="1"/>
      </top>
      <bottom/>
      <diagonal/>
    </border>
    <border>
      <left/>
      <right style="thin">
        <color auto="1"/>
      </right>
      <top/>
      <bottom style="thin">
        <color auto="1"/>
      </bottom>
      <diagonal/>
    </border>
    <border>
      <left style="thin">
        <color auto="1"/>
      </left>
      <right/>
      <top/>
      <bottom style="thin">
        <color auto="1"/>
      </bottom>
      <diagonal/>
    </border>
    <border>
      <left/>
      <right style="thin">
        <color auto="1"/>
      </right>
      <top/>
      <bottom/>
      <diagonal/>
    </border>
    <border>
      <left style="thin">
        <color auto="1"/>
      </left>
      <right/>
      <top/>
      <bottom/>
      <diagonal/>
    </border>
    <border>
      <left/>
      <right style="thin">
        <color auto="1"/>
      </right>
      <top style="thin">
        <color auto="1"/>
      </top>
      <bottom/>
      <diagonal/>
    </border>
    <border>
      <left style="thin">
        <color auto="1"/>
      </left>
      <right style="thin">
        <color auto="1"/>
      </right>
      <top/>
      <bottom style="thin">
        <color auto="1"/>
      </bottom>
      <diagonal/>
    </border>
    <border>
      <left style="hair">
        <color auto="1"/>
      </left>
      <right style="hair">
        <color auto="1"/>
      </right>
      <top/>
      <bottom style="thin">
        <color auto="1"/>
      </bottom>
      <diagonal/>
    </border>
    <border>
      <left style="hair">
        <color auto="1"/>
      </left>
      <right style="thin">
        <color auto="1"/>
      </right>
      <top/>
      <bottom style="thin">
        <color auto="1"/>
      </bottom>
      <diagonal/>
    </border>
  </borders>
  <cellStyleXfs count="1">
    <xf numFmtId="0" fontId="0" fillId="0" borderId="0"/>
  </cellStyleXfs>
  <cellXfs count="159">
    <xf numFmtId="0" fontId="0" fillId="0" borderId="0" xfId="0"/>
    <xf numFmtId="0" fontId="0" fillId="0" borderId="1" xfId="0" applyBorder="1"/>
    <xf numFmtId="0" fontId="0" fillId="0" borderId="2" xfId="0" applyBorder="1"/>
    <xf numFmtId="0" fontId="0" fillId="0" borderId="3" xfId="0" applyBorder="1"/>
    <xf numFmtId="0" fontId="0" fillId="0" borderId="4" xfId="0" applyBorder="1" applyAlignment="1"/>
    <xf numFmtId="0" fontId="0" fillId="0" borderId="5" xfId="0" applyBorder="1"/>
    <xf numFmtId="0" fontId="1" fillId="0" borderId="1" xfId="0" applyFont="1" applyBorder="1" applyAlignment="1">
      <alignment wrapText="1"/>
    </xf>
    <xf numFmtId="0" fontId="1" fillId="0" borderId="2" xfId="0" applyFont="1" applyBorder="1" applyAlignment="1">
      <alignment wrapText="1"/>
    </xf>
    <xf numFmtId="0" fontId="1" fillId="0" borderId="2" xfId="0" applyFont="1" applyBorder="1"/>
    <xf numFmtId="0" fontId="0" fillId="0" borderId="2" xfId="0" applyFont="1" applyBorder="1" applyAlignment="1">
      <alignment wrapText="1"/>
    </xf>
    <xf numFmtId="0" fontId="0" fillId="0" borderId="2" xfId="0" applyFont="1" applyBorder="1"/>
    <xf numFmtId="0" fontId="0" fillId="0" borderId="2" xfId="0" quotePrefix="1" applyFont="1" applyBorder="1" applyAlignment="1">
      <alignment wrapText="1"/>
    </xf>
    <xf numFmtId="0" fontId="0" fillId="0" borderId="3" xfId="0" quotePrefix="1" applyFont="1" applyBorder="1" applyAlignment="1">
      <alignment wrapText="1"/>
    </xf>
    <xf numFmtId="0" fontId="0" fillId="0" borderId="2" xfId="0" applyFont="1" applyFill="1" applyBorder="1" applyAlignment="1">
      <alignment wrapText="1"/>
    </xf>
    <xf numFmtId="0" fontId="0" fillId="0" borderId="3" xfId="0" applyFont="1" applyFill="1" applyBorder="1" applyAlignment="1">
      <alignment wrapText="1"/>
    </xf>
    <xf numFmtId="0" fontId="0" fillId="0" borderId="5" xfId="0" applyFont="1" applyFill="1" applyBorder="1" applyAlignment="1">
      <alignment wrapText="1"/>
    </xf>
    <xf numFmtId="0" fontId="0" fillId="0" borderId="1" xfId="0" applyFont="1" applyFill="1" applyBorder="1" applyAlignment="1">
      <alignment wrapText="1"/>
    </xf>
    <xf numFmtId="0" fontId="1" fillId="0" borderId="3" xfId="0" applyFont="1" applyBorder="1" applyAlignment="1">
      <alignment wrapText="1"/>
    </xf>
    <xf numFmtId="0" fontId="1" fillId="0" borderId="5" xfId="0" applyFont="1" applyBorder="1" applyAlignment="1">
      <alignment wrapText="1"/>
    </xf>
    <xf numFmtId="0" fontId="0" fillId="0" borderId="2" xfId="0" applyBorder="1" applyAlignment="1">
      <alignment vertical="top"/>
    </xf>
    <xf numFmtId="0" fontId="2" fillId="2" borderId="1" xfId="0" applyFont="1" applyFill="1" applyBorder="1"/>
    <xf numFmtId="0" fontId="2" fillId="2" borderId="2" xfId="0" applyFont="1" applyFill="1" applyBorder="1"/>
    <xf numFmtId="0" fontId="0" fillId="2" borderId="2" xfId="0" applyFill="1" applyBorder="1"/>
    <xf numFmtId="0" fontId="0" fillId="2" borderId="3" xfId="0" applyFill="1" applyBorder="1"/>
    <xf numFmtId="0" fontId="2" fillId="3" borderId="6" xfId="0" applyFont="1" applyFill="1" applyBorder="1" applyAlignment="1">
      <alignment horizontal="left" vertical="center"/>
    </xf>
    <xf numFmtId="0" fontId="2" fillId="3" borderId="7" xfId="0" applyFont="1" applyFill="1" applyBorder="1" applyAlignment="1">
      <alignment wrapText="1"/>
    </xf>
    <xf numFmtId="0" fontId="2" fillId="3" borderId="7" xfId="0" applyFont="1" applyFill="1" applyBorder="1"/>
    <xf numFmtId="0" fontId="0" fillId="3" borderId="7" xfId="0" applyFill="1" applyBorder="1"/>
    <xf numFmtId="0" fontId="3" fillId="3" borderId="6" xfId="0" applyFont="1" applyFill="1" applyBorder="1"/>
    <xf numFmtId="0" fontId="2" fillId="4" borderId="6" xfId="0" applyFont="1" applyFill="1" applyBorder="1"/>
    <xf numFmtId="0" fontId="0" fillId="4" borderId="7" xfId="0" applyFill="1" applyBorder="1"/>
    <xf numFmtId="0" fontId="0" fillId="4" borderId="1" xfId="0" applyFill="1" applyBorder="1"/>
    <xf numFmtId="0" fontId="0" fillId="4" borderId="2" xfId="0" applyFill="1" applyBorder="1"/>
    <xf numFmtId="0" fontId="2" fillId="4" borderId="2" xfId="0" applyFont="1" applyFill="1" applyBorder="1"/>
    <xf numFmtId="0" fontId="2" fillId="4" borderId="3" xfId="0" applyFont="1" applyFill="1" applyBorder="1"/>
    <xf numFmtId="0" fontId="2" fillId="5" borderId="1" xfId="0" applyFont="1" applyFill="1" applyBorder="1"/>
    <xf numFmtId="0" fontId="3" fillId="5" borderId="2" xfId="0" applyFont="1" applyFill="1" applyBorder="1" applyAlignment="1">
      <alignment horizontal="center" vertical="center" wrapText="1"/>
    </xf>
    <xf numFmtId="0" fontId="3" fillId="5" borderId="3" xfId="0" applyFont="1" applyFill="1" applyBorder="1" applyAlignment="1">
      <alignment horizontal="center" vertical="center" wrapText="1"/>
    </xf>
    <xf numFmtId="0" fontId="4" fillId="5" borderId="7" xfId="0" applyFont="1" applyFill="1" applyBorder="1" applyAlignment="1">
      <alignment horizontal="left" vertical="center"/>
    </xf>
    <xf numFmtId="0" fontId="3" fillId="5" borderId="7" xfId="0" applyFont="1" applyFill="1" applyBorder="1" applyAlignment="1">
      <alignment horizontal="center" vertical="center" wrapText="1"/>
    </xf>
    <xf numFmtId="0" fontId="2" fillId="6" borderId="1" xfId="0" applyFont="1" applyFill="1" applyBorder="1"/>
    <xf numFmtId="0" fontId="2" fillId="7" borderId="2" xfId="0" applyFont="1" applyFill="1" applyBorder="1"/>
    <xf numFmtId="0" fontId="2" fillId="7" borderId="3" xfId="0" applyFont="1" applyFill="1" applyBorder="1"/>
    <xf numFmtId="0" fontId="2" fillId="6" borderId="2" xfId="0" applyFont="1" applyFill="1" applyBorder="1"/>
    <xf numFmtId="0" fontId="2" fillId="6" borderId="3" xfId="0" applyFont="1" applyFill="1" applyBorder="1"/>
    <xf numFmtId="0" fontId="0" fillId="6" borderId="2" xfId="0" applyFill="1" applyBorder="1"/>
    <xf numFmtId="0" fontId="0" fillId="6" borderId="6" xfId="0" applyFill="1" applyBorder="1"/>
    <xf numFmtId="0" fontId="2" fillId="7" borderId="1" xfId="0" applyFont="1" applyFill="1" applyBorder="1"/>
    <xf numFmtId="0" fontId="2" fillId="7" borderId="7" xfId="0" applyFont="1" applyFill="1" applyBorder="1"/>
    <xf numFmtId="0" fontId="2" fillId="8" borderId="6" xfId="0" applyFont="1" applyFill="1" applyBorder="1"/>
    <xf numFmtId="0" fontId="2" fillId="8" borderId="7" xfId="0" applyFont="1" applyFill="1" applyBorder="1"/>
    <xf numFmtId="0" fontId="2" fillId="8" borderId="2" xfId="0" applyFont="1" applyFill="1" applyBorder="1"/>
    <xf numFmtId="0" fontId="2" fillId="9" borderId="1" xfId="0" applyFont="1" applyFill="1" applyBorder="1"/>
    <xf numFmtId="0" fontId="2" fillId="9" borderId="2" xfId="0" applyFont="1" applyFill="1" applyBorder="1"/>
    <xf numFmtId="0" fontId="0" fillId="9" borderId="2" xfId="0" applyFill="1" applyBorder="1"/>
    <xf numFmtId="0" fontId="0" fillId="0" borderId="4" xfId="0" applyBorder="1" applyAlignment="1">
      <alignment vertical="top"/>
    </xf>
    <xf numFmtId="0" fontId="0" fillId="0" borderId="8" xfId="0" applyBorder="1"/>
    <xf numFmtId="0" fontId="2" fillId="2" borderId="4" xfId="0" applyFont="1" applyFill="1" applyBorder="1"/>
    <xf numFmtId="0" fontId="0" fillId="2" borderId="4" xfId="0" applyFill="1" applyBorder="1"/>
    <xf numFmtId="0" fontId="0" fillId="2" borderId="8" xfId="0" applyFill="1" applyBorder="1"/>
    <xf numFmtId="0" fontId="2" fillId="3" borderId="6" xfId="0" applyFont="1" applyFill="1" applyBorder="1" applyAlignment="1">
      <alignment horizontal="center" vertical="center"/>
    </xf>
    <xf numFmtId="0" fontId="3" fillId="4" borderId="1" xfId="0" applyFont="1" applyFill="1" applyBorder="1" applyAlignment="1">
      <alignment horizontal="left" vertical="center"/>
    </xf>
    <xf numFmtId="0" fontId="3" fillId="4" borderId="2" xfId="0" applyFont="1" applyFill="1" applyBorder="1" applyAlignment="1">
      <alignment horizontal="left" vertical="center"/>
    </xf>
    <xf numFmtId="0" fontId="12" fillId="5" borderId="0" xfId="0" applyFont="1" applyFill="1" applyBorder="1"/>
    <xf numFmtId="0" fontId="3" fillId="5" borderId="0" xfId="0" applyFont="1" applyFill="1" applyBorder="1" applyAlignment="1">
      <alignment horizontal="center" vertical="center" wrapText="1"/>
    </xf>
    <xf numFmtId="0" fontId="4" fillId="5" borderId="9" xfId="0" applyFont="1" applyFill="1" applyBorder="1" applyAlignment="1">
      <alignment horizontal="left" vertical="center"/>
    </xf>
    <xf numFmtId="0" fontId="4" fillId="5" borderId="4" xfId="0" applyFont="1" applyFill="1" applyBorder="1" applyAlignment="1">
      <alignment horizontal="left" vertical="center"/>
    </xf>
    <xf numFmtId="0" fontId="3" fillId="5" borderId="4" xfId="0" applyFont="1" applyFill="1" applyBorder="1" applyAlignment="1">
      <alignment horizontal="center" vertical="center" wrapText="1"/>
    </xf>
    <xf numFmtId="0" fontId="3" fillId="5" borderId="8" xfId="0" applyFont="1" applyFill="1" applyBorder="1" applyAlignment="1">
      <alignment horizontal="center" vertical="center" wrapText="1"/>
    </xf>
    <xf numFmtId="0" fontId="4" fillId="5" borderId="2" xfId="0" applyFont="1" applyFill="1" applyBorder="1" applyAlignment="1">
      <alignment horizontal="left" vertical="center"/>
    </xf>
    <xf numFmtId="0" fontId="2" fillId="7" borderId="6" xfId="0" applyFont="1" applyFill="1" applyBorder="1"/>
    <xf numFmtId="0" fontId="2" fillId="7" borderId="0" xfId="0" applyFont="1" applyFill="1" applyBorder="1"/>
    <xf numFmtId="0" fontId="2" fillId="7" borderId="10" xfId="0" applyFont="1" applyFill="1" applyBorder="1"/>
    <xf numFmtId="0" fontId="2" fillId="6" borderId="11" xfId="0" applyFont="1" applyFill="1" applyBorder="1"/>
    <xf numFmtId="0" fontId="2" fillId="6" borderId="0" xfId="0" applyFont="1" applyFill="1" applyBorder="1"/>
    <xf numFmtId="0" fontId="4" fillId="6" borderId="11" xfId="0" applyFont="1" applyFill="1" applyBorder="1" applyAlignment="1">
      <alignment horizontal="left" vertical="center"/>
    </xf>
    <xf numFmtId="0" fontId="0" fillId="6" borderId="0" xfId="0" applyFill="1"/>
    <xf numFmtId="0" fontId="4" fillId="7" borderId="6" xfId="0" applyFont="1" applyFill="1" applyBorder="1" applyAlignment="1">
      <alignment horizontal="left" vertical="center"/>
    </xf>
    <xf numFmtId="0" fontId="3" fillId="7" borderId="7" xfId="0" applyFont="1" applyFill="1" applyBorder="1" applyAlignment="1">
      <alignment horizontal="left" vertical="center"/>
    </xf>
    <xf numFmtId="0" fontId="3" fillId="7" borderId="12" xfId="0" applyFont="1" applyFill="1" applyBorder="1" applyAlignment="1">
      <alignment horizontal="left" vertical="center"/>
    </xf>
    <xf numFmtId="0" fontId="2" fillId="7" borderId="12" xfId="0" applyFont="1" applyFill="1" applyBorder="1"/>
    <xf numFmtId="0" fontId="12" fillId="7" borderId="6" xfId="0" applyFont="1" applyFill="1" applyBorder="1"/>
    <xf numFmtId="0" fontId="4" fillId="7" borderId="0" xfId="0" applyFont="1" applyFill="1" applyBorder="1" applyAlignment="1">
      <alignment horizontal="left" vertical="center"/>
    </xf>
    <xf numFmtId="0" fontId="3" fillId="7" borderId="0" xfId="0" applyFont="1" applyFill="1" applyBorder="1" applyAlignment="1">
      <alignment horizontal="left" vertical="center"/>
    </xf>
    <xf numFmtId="0" fontId="2" fillId="6" borderId="6" xfId="0" applyFont="1" applyFill="1" applyBorder="1"/>
    <xf numFmtId="0" fontId="2" fillId="6" borderId="10" xfId="0" applyFont="1" applyFill="1" applyBorder="1"/>
    <xf numFmtId="0" fontId="4" fillId="7" borderId="11" xfId="0" applyFont="1" applyFill="1" applyBorder="1" applyAlignment="1">
      <alignment horizontal="center" vertical="center" wrapText="1"/>
    </xf>
    <xf numFmtId="0" fontId="3" fillId="7" borderId="0" xfId="0" applyFont="1" applyFill="1" applyBorder="1" applyAlignment="1">
      <alignment horizontal="center" vertical="center" wrapText="1"/>
    </xf>
    <xf numFmtId="0" fontId="2" fillId="7" borderId="11" xfId="0" applyFont="1" applyFill="1" applyBorder="1"/>
    <xf numFmtId="0" fontId="2" fillId="8" borderId="1" xfId="0" applyFont="1" applyFill="1" applyBorder="1"/>
    <xf numFmtId="0" fontId="2" fillId="8" borderId="0" xfId="0" applyFont="1" applyFill="1" applyBorder="1"/>
    <xf numFmtId="0" fontId="2" fillId="8" borderId="4" xfId="0" applyFont="1" applyFill="1" applyBorder="1"/>
    <xf numFmtId="0" fontId="2" fillId="2" borderId="9" xfId="0" applyFont="1" applyFill="1" applyBorder="1"/>
    <xf numFmtId="0" fontId="0" fillId="0" borderId="13" xfId="0" applyBorder="1"/>
    <xf numFmtId="0" fontId="17" fillId="10" borderId="14" xfId="0" applyFont="1" applyFill="1" applyBorder="1" applyAlignment="1">
      <alignment horizontal="center" vertical="center" wrapText="1"/>
    </xf>
    <xf numFmtId="0" fontId="17" fillId="10" borderId="15"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18" fillId="3" borderId="1" xfId="0" applyFont="1" applyFill="1" applyBorder="1" applyAlignment="1">
      <alignment horizontal="center" vertical="center" wrapText="1"/>
    </xf>
    <xf numFmtId="0" fontId="18" fillId="3" borderId="2" xfId="0" applyFont="1" applyFill="1" applyBorder="1" applyAlignment="1">
      <alignment horizontal="center" vertical="center" wrapText="1"/>
    </xf>
    <xf numFmtId="0" fontId="0" fillId="11" borderId="2" xfId="0" quotePrefix="1" applyFill="1" applyBorder="1" applyAlignment="1">
      <alignment horizontal="center" vertical="center" wrapText="1"/>
    </xf>
    <xf numFmtId="0" fontId="3" fillId="3"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20" fillId="4" borderId="1" xfId="0" applyFont="1" applyFill="1" applyBorder="1" applyAlignment="1">
      <alignment horizontal="center" vertical="center" wrapText="1"/>
    </xf>
    <xf numFmtId="0" fontId="20" fillId="4" borderId="2" xfId="0" applyFont="1" applyFill="1" applyBorder="1" applyAlignment="1">
      <alignment horizontal="center" vertical="center" wrapText="1"/>
    </xf>
    <xf numFmtId="0" fontId="17" fillId="4" borderId="2" xfId="0" applyFont="1" applyFill="1" applyBorder="1" applyAlignment="1">
      <alignment horizontal="center" vertical="center" wrapText="1"/>
    </xf>
    <xf numFmtId="0" fontId="18" fillId="4" borderId="2" xfId="0" applyFont="1" applyFill="1" applyBorder="1" applyAlignment="1">
      <alignment horizontal="center" vertical="center" wrapText="1"/>
    </xf>
    <xf numFmtId="0" fontId="17" fillId="5" borderId="1" xfId="0" applyFont="1" applyFill="1" applyBorder="1" applyAlignment="1">
      <alignment horizontal="center" vertical="center" wrapText="1"/>
    </xf>
    <xf numFmtId="0" fontId="18" fillId="5" borderId="2" xfId="0" applyFont="1" applyFill="1" applyBorder="1" applyAlignment="1">
      <alignment horizontal="center" vertical="center" wrapText="1"/>
    </xf>
    <xf numFmtId="0" fontId="17" fillId="5" borderId="2" xfId="0" applyFont="1" applyFill="1" applyBorder="1" applyAlignment="1">
      <alignment horizontal="center" vertical="center" wrapText="1"/>
    </xf>
    <xf numFmtId="0" fontId="17" fillId="5" borderId="9" xfId="0" applyFont="1" applyFill="1" applyBorder="1" applyAlignment="1">
      <alignment horizontal="center" vertical="center" wrapText="1"/>
    </xf>
    <xf numFmtId="0" fontId="18" fillId="5" borderId="4" xfId="0" applyFont="1" applyFill="1" applyBorder="1" applyAlignment="1">
      <alignment horizontal="center" vertical="center" wrapText="1"/>
    </xf>
    <xf numFmtId="0" fontId="17" fillId="5" borderId="4" xfId="0" applyFont="1" applyFill="1" applyBorder="1" applyAlignment="1">
      <alignment horizontal="center" vertical="center" wrapText="1"/>
    </xf>
    <xf numFmtId="0" fontId="17" fillId="6" borderId="1" xfId="0" applyFont="1" applyFill="1" applyBorder="1" applyAlignment="1">
      <alignment horizontal="center" vertical="center" wrapText="1"/>
    </xf>
    <xf numFmtId="0" fontId="18" fillId="6" borderId="2" xfId="0" applyFont="1" applyFill="1" applyBorder="1" applyAlignment="1">
      <alignment horizontal="center" vertical="center" wrapText="1"/>
    </xf>
    <xf numFmtId="0" fontId="18" fillId="6" borderId="3" xfId="0" applyFont="1" applyFill="1" applyBorder="1" applyAlignment="1">
      <alignment horizontal="center" vertical="center" wrapText="1"/>
    </xf>
    <xf numFmtId="0" fontId="17" fillId="6" borderId="2" xfId="0" applyFont="1" applyFill="1" applyBorder="1" applyAlignment="1">
      <alignment horizontal="center" vertical="center" wrapText="1"/>
    </xf>
    <xf numFmtId="0" fontId="0" fillId="12" borderId="2" xfId="0" quotePrefix="1" applyFill="1" applyBorder="1" applyAlignment="1">
      <alignment horizontal="center" vertical="center" wrapText="1"/>
    </xf>
    <xf numFmtId="0" fontId="0" fillId="12" borderId="3" xfId="0" quotePrefix="1" applyFill="1" applyBorder="1" applyAlignment="1">
      <alignment horizontal="center" vertical="center" wrapText="1"/>
    </xf>
    <xf numFmtId="0" fontId="3" fillId="6" borderId="2" xfId="0" applyFont="1" applyFill="1" applyBorder="1" applyAlignment="1">
      <alignment horizontal="center" vertical="center" wrapText="1"/>
    </xf>
    <xf numFmtId="0" fontId="3" fillId="13" borderId="1" xfId="0" applyFont="1" applyFill="1" applyBorder="1" applyAlignment="1">
      <alignment horizontal="center" vertical="center" wrapText="1"/>
    </xf>
    <xf numFmtId="0" fontId="3" fillId="7" borderId="3" xfId="0" applyFont="1" applyFill="1" applyBorder="1" applyAlignment="1">
      <alignment horizontal="center" vertical="center" wrapText="1"/>
    </xf>
    <xf numFmtId="0" fontId="3" fillId="7" borderId="2" xfId="0" applyFont="1" applyFill="1" applyBorder="1" applyAlignment="1">
      <alignment horizontal="center" vertical="center" wrapText="1"/>
    </xf>
    <xf numFmtId="0" fontId="3" fillId="6" borderId="3" xfId="0" applyFont="1" applyFill="1" applyBorder="1" applyAlignment="1">
      <alignment horizontal="center" vertical="center" wrapText="1"/>
    </xf>
    <xf numFmtId="0" fontId="17" fillId="7" borderId="2"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17" fillId="8" borderId="2" xfId="0" applyFont="1" applyFill="1" applyBorder="1" applyAlignment="1">
      <alignment horizontal="center" vertical="center" wrapText="1"/>
    </xf>
    <xf numFmtId="0" fontId="18" fillId="8" borderId="2" xfId="0" applyFont="1" applyFill="1" applyBorder="1" applyAlignment="1">
      <alignment horizontal="center" vertical="center" wrapText="1"/>
    </xf>
    <xf numFmtId="0" fontId="0" fillId="14" borderId="2" xfId="0" quotePrefix="1" applyFill="1" applyBorder="1" applyAlignment="1">
      <alignment horizontal="center" vertical="center" wrapText="1"/>
    </xf>
    <xf numFmtId="0" fontId="0" fillId="14" borderId="3" xfId="0" quotePrefix="1" applyFill="1" applyBorder="1" applyAlignment="1">
      <alignment horizontal="center" vertical="center" wrapText="1"/>
    </xf>
    <xf numFmtId="0" fontId="3" fillId="2" borderId="9" xfId="0" applyFont="1" applyFill="1" applyBorder="1" applyAlignment="1">
      <alignment horizontal="center" vertical="center" wrapText="1"/>
    </xf>
    <xf numFmtId="0" fontId="0" fillId="15" borderId="2" xfId="0" quotePrefix="1" applyFill="1" applyBorder="1" applyAlignment="1">
      <alignment horizontal="center" vertical="center" wrapText="1"/>
    </xf>
    <xf numFmtId="0" fontId="3" fillId="16" borderId="4" xfId="0" quotePrefix="1"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16" borderId="2" xfId="0" applyFont="1" applyFill="1" applyBorder="1" applyAlignment="1">
      <alignment horizontal="center" vertical="center" wrapText="1"/>
    </xf>
    <xf numFmtId="0" fontId="3" fillId="0" borderId="13" xfId="0" applyFont="1" applyBorder="1" applyAlignment="1">
      <alignment horizontal="center" vertical="center" wrapText="1"/>
    </xf>
    <xf numFmtId="0" fontId="0" fillId="0" borderId="0" xfId="0" applyFill="1" applyBorder="1"/>
    <xf numFmtId="0" fontId="0" fillId="0" borderId="0" xfId="0" applyAlignment="1"/>
    <xf numFmtId="0" fontId="0" fillId="0" borderId="0" xfId="0" applyFill="1"/>
    <xf numFmtId="2" fontId="0" fillId="0" borderId="0" xfId="0" applyNumberFormat="1"/>
    <xf numFmtId="0" fontId="26" fillId="0" borderId="0" xfId="0" applyFont="1"/>
    <xf numFmtId="0" fontId="26" fillId="0" borderId="0" xfId="0" applyFont="1" applyFill="1"/>
    <xf numFmtId="0" fontId="26" fillId="0" borderId="0" xfId="0" quotePrefix="1" applyFont="1"/>
    <xf numFmtId="0" fontId="27" fillId="0" borderId="0" xfId="0" applyFont="1"/>
    <xf numFmtId="0" fontId="28" fillId="0" borderId="0" xfId="0" applyFont="1" applyFill="1" applyBorder="1" applyAlignment="1">
      <alignment horizontal="center"/>
    </xf>
    <xf numFmtId="0" fontId="0" fillId="0" borderId="0" xfId="0" applyFill="1" applyAlignment="1"/>
    <xf numFmtId="0" fontId="29" fillId="0" borderId="0" xfId="0" applyFont="1"/>
    <xf numFmtId="2" fontId="28" fillId="0" borderId="0" xfId="0" applyNumberFormat="1" applyFont="1" applyFill="1"/>
    <xf numFmtId="164" fontId="31" fillId="0" borderId="0" xfId="0" applyNumberFormat="1" applyFont="1" applyFill="1" applyBorder="1" applyAlignment="1">
      <alignment horizontal="center"/>
    </xf>
    <xf numFmtId="2" fontId="28" fillId="0" borderId="0" xfId="0" applyNumberFormat="1" applyFont="1" applyFill="1" applyBorder="1" applyAlignment="1">
      <alignment horizontal="center"/>
    </xf>
    <xf numFmtId="0" fontId="3" fillId="8" borderId="1" xfId="0" applyFont="1" applyFill="1" applyBorder="1" applyAlignment="1">
      <alignment horizontal="center" vertical="center" wrapText="1"/>
    </xf>
    <xf numFmtId="0" fontId="3" fillId="8" borderId="2" xfId="0" applyFont="1" applyFill="1" applyBorder="1" applyAlignment="1">
      <alignment horizontal="center" vertical="center" wrapText="1"/>
    </xf>
    <xf numFmtId="1" fontId="0" fillId="0" borderId="0" xfId="0" applyNumberFormat="1"/>
    <xf numFmtId="1" fontId="28" fillId="0" borderId="0" xfId="0" applyNumberFormat="1" applyFont="1" applyFill="1" applyBorder="1" applyAlignment="1">
      <alignment horizontal="center"/>
    </xf>
    <xf numFmtId="0" fontId="30" fillId="0" borderId="0" xfId="0" quotePrefix="1" applyFont="1" applyAlignment="1">
      <alignment horizontal="left"/>
    </xf>
    <xf numFmtId="0" fontId="0" fillId="0" borderId="0" xfId="0" applyAlignment="1">
      <alignment horizontal="center"/>
    </xf>
    <xf numFmtId="0" fontId="0" fillId="0" borderId="2" xfId="0"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C9"/>
  <sheetViews>
    <sheetView tabSelected="1" topLeftCell="D1" workbookViewId="0">
      <selection activeCell="N3" sqref="N3:O3"/>
    </sheetView>
  </sheetViews>
  <sheetFormatPr baseColWidth="10" defaultColWidth="8.83203125" defaultRowHeight="15"/>
  <cols>
    <col min="4" max="5" width="10.33203125" customWidth="1"/>
    <col min="8" max="8" width="12.33203125" customWidth="1"/>
    <col min="9" max="9" width="11.5" customWidth="1"/>
    <col min="10" max="10" width="12.5" customWidth="1"/>
    <col min="11" max="11" width="17.5" customWidth="1"/>
    <col min="12" max="12" width="11.83203125" customWidth="1"/>
    <col min="13" max="13" width="13.33203125" customWidth="1"/>
    <col min="14" max="14" width="11.33203125" customWidth="1"/>
    <col min="15" max="15" width="11" customWidth="1"/>
    <col min="16" max="16" width="11.83203125" customWidth="1"/>
    <col min="17" max="17" width="13.83203125" customWidth="1"/>
    <col min="18" max="18" width="12.6640625" customWidth="1"/>
    <col min="19" max="19" width="12.1640625" customWidth="1"/>
    <col min="20" max="20" width="13.1640625" customWidth="1"/>
    <col min="21" max="21" width="11.1640625" customWidth="1"/>
    <col min="22" max="22" width="15" customWidth="1"/>
    <col min="27" max="27" width="13.83203125" customWidth="1"/>
    <col min="33" max="33" width="18" customWidth="1"/>
    <col min="34" max="34" width="13.5" customWidth="1"/>
    <col min="35" max="35" width="12.33203125" customWidth="1"/>
    <col min="36" max="36" width="13.6640625" customWidth="1"/>
    <col min="37" max="37" width="14" customWidth="1"/>
    <col min="38" max="38" width="13" customWidth="1"/>
    <col min="39" max="39" width="13.83203125" customWidth="1"/>
    <col min="40" max="40" width="14.33203125" customWidth="1"/>
    <col min="41" max="42" width="14.1640625" customWidth="1"/>
    <col min="43" max="43" width="14.83203125" customWidth="1"/>
    <col min="44" max="44" width="15.33203125" customWidth="1"/>
    <col min="46" max="46" width="14.6640625" customWidth="1"/>
    <col min="47" max="47" width="11.5" customWidth="1"/>
    <col min="48" max="48" width="12.33203125" customWidth="1"/>
    <col min="49" max="49" width="12.83203125" customWidth="1"/>
    <col min="50" max="50" width="15.6640625" customWidth="1"/>
    <col min="51" max="51" width="15.1640625" customWidth="1"/>
    <col min="53" max="53" width="15" customWidth="1"/>
    <col min="54" max="54" width="13.6640625" customWidth="1"/>
    <col min="55" max="55" width="12.5" customWidth="1"/>
    <col min="56" max="56" width="11.83203125" customWidth="1"/>
    <col min="57" max="57" width="17.5" customWidth="1"/>
    <col min="58" max="59" width="15" customWidth="1"/>
    <col min="60" max="61" width="17.33203125" customWidth="1"/>
    <col min="62" max="62" width="14.1640625" customWidth="1"/>
    <col min="63" max="63" width="14.83203125" customWidth="1"/>
    <col min="64" max="64" width="19.6640625" customWidth="1"/>
    <col min="65" max="65" width="16.6640625" customWidth="1"/>
    <col min="66" max="66" width="17.33203125" customWidth="1"/>
    <col min="67" max="67" width="13.33203125" customWidth="1"/>
    <col min="68" max="69" width="14.1640625" customWidth="1"/>
    <col min="70" max="70" width="22.6640625" customWidth="1"/>
    <col min="71" max="71" width="15.33203125" customWidth="1"/>
    <col min="72" max="72" width="11.33203125" customWidth="1"/>
    <col min="73" max="73" width="15.1640625" customWidth="1"/>
    <col min="74" max="74" width="13.83203125" customWidth="1"/>
    <col min="75" max="75" width="14" customWidth="1"/>
    <col min="76" max="76" width="15.33203125" customWidth="1"/>
    <col min="77" max="77" width="12.83203125" customWidth="1"/>
    <col min="78" max="78" width="16" customWidth="1"/>
    <col min="79" max="79" width="15.83203125" customWidth="1"/>
    <col min="80" max="80" width="16.1640625" customWidth="1"/>
    <col min="81" max="81" width="15.83203125" customWidth="1"/>
    <col min="82" max="82" width="15.6640625" customWidth="1"/>
    <col min="83" max="83" width="16.5" customWidth="1"/>
    <col min="84" max="84" width="14" customWidth="1"/>
    <col min="85" max="85" width="15.1640625" customWidth="1"/>
    <col min="86" max="86" width="15.83203125" customWidth="1"/>
    <col min="87" max="87" width="16" customWidth="1"/>
    <col min="88" max="88" width="17.6640625" customWidth="1"/>
    <col min="89" max="89" width="17.5" customWidth="1"/>
    <col min="90" max="90" width="14.6640625" customWidth="1"/>
    <col min="91" max="91" width="17.83203125" customWidth="1"/>
    <col min="92" max="92" width="19.83203125" customWidth="1"/>
    <col min="93" max="93" width="14.5" customWidth="1"/>
    <col min="94" max="94" width="16" customWidth="1"/>
    <col min="95" max="96" width="16.6640625" customWidth="1"/>
    <col min="97" max="97" width="15.83203125" customWidth="1"/>
    <col min="98" max="98" width="16.33203125" customWidth="1"/>
    <col min="99" max="100" width="16.1640625" customWidth="1"/>
    <col min="101" max="101" width="18.33203125" customWidth="1"/>
    <col min="102" max="102" width="17" customWidth="1"/>
    <col min="103" max="103" width="16.1640625" customWidth="1"/>
    <col min="104" max="104" width="17.33203125" customWidth="1"/>
    <col min="105" max="105" width="13.83203125" customWidth="1"/>
    <col min="106" max="106" width="15.1640625" customWidth="1"/>
    <col min="107" max="107" width="14.33203125" customWidth="1"/>
    <col min="108" max="108" width="14" customWidth="1"/>
    <col min="109" max="109" width="15.6640625" customWidth="1"/>
    <col min="110" max="110" width="17.6640625" customWidth="1"/>
    <col min="111" max="111" width="13" customWidth="1"/>
    <col min="112" max="112" width="16" customWidth="1"/>
    <col min="113" max="113" width="13.1640625" customWidth="1"/>
    <col min="114" max="114" width="18.1640625" customWidth="1"/>
    <col min="115" max="115" width="16.1640625" customWidth="1"/>
    <col min="116" max="116" width="16.5" customWidth="1"/>
    <col min="117" max="117" width="16.6640625" customWidth="1"/>
    <col min="118" max="118" width="17.1640625" customWidth="1"/>
    <col min="119" max="119" width="13.5" customWidth="1"/>
    <col min="120" max="120" width="14" customWidth="1"/>
    <col min="121" max="121" width="13.1640625" customWidth="1"/>
    <col min="122" max="122" width="14.6640625" customWidth="1"/>
    <col min="123" max="123" width="12.33203125" customWidth="1"/>
    <col min="124" max="124" width="16.33203125" customWidth="1"/>
    <col min="125" max="125" width="13.1640625" customWidth="1"/>
    <col min="126" max="126" width="13.6640625" customWidth="1"/>
    <col min="127" max="127" width="12" customWidth="1"/>
    <col min="128" max="128" width="14.5" customWidth="1"/>
    <col min="129" max="129" width="13.33203125" customWidth="1"/>
    <col min="130" max="130" width="13.5" customWidth="1"/>
    <col min="131" max="131" width="10.5" customWidth="1"/>
    <col min="132" max="132" width="16.33203125" customWidth="1"/>
    <col min="133" max="133" width="16.83203125" customWidth="1"/>
    <col min="134" max="134" width="15.6640625" customWidth="1"/>
    <col min="135" max="135" width="19.5" customWidth="1"/>
    <col min="136" max="136" width="15.83203125" customWidth="1"/>
    <col min="137" max="137" width="12.6640625" customWidth="1"/>
    <col min="138" max="138" width="15.5" customWidth="1"/>
    <col min="139" max="139" width="13" customWidth="1"/>
    <col min="140" max="140" width="13.6640625" customWidth="1"/>
    <col min="141" max="141" width="15.1640625" customWidth="1"/>
    <col min="142" max="142" width="16.6640625" customWidth="1"/>
    <col min="143" max="143" width="15.5" customWidth="1"/>
    <col min="144" max="144" width="16.1640625" customWidth="1"/>
    <col min="145" max="145" width="15.6640625" customWidth="1"/>
    <col min="146" max="146" width="16.6640625" customWidth="1"/>
    <col min="147" max="147" width="12.6640625" customWidth="1"/>
    <col min="148" max="148" width="17.83203125" customWidth="1"/>
    <col min="149" max="149" width="16.83203125" customWidth="1"/>
    <col min="150" max="150" width="16.1640625" customWidth="1"/>
    <col min="151" max="151" width="17.6640625" customWidth="1"/>
    <col min="152" max="152" width="19.33203125" customWidth="1"/>
    <col min="153" max="153" width="13.6640625" customWidth="1"/>
    <col min="154" max="154" width="20.1640625" customWidth="1"/>
    <col min="155" max="155" width="13.33203125" customWidth="1"/>
    <col min="156" max="156" width="14.33203125" customWidth="1"/>
    <col min="157" max="157" width="14" customWidth="1"/>
    <col min="158" max="158" width="17.6640625" customWidth="1"/>
    <col min="159" max="159" width="15.6640625" customWidth="1"/>
    <col min="160" max="160" width="17" customWidth="1"/>
    <col min="162" max="162" width="14.33203125" customWidth="1"/>
    <col min="163" max="163" width="12.83203125" customWidth="1"/>
    <col min="164" max="164" width="15.5" customWidth="1"/>
    <col min="165" max="165" width="17.6640625" customWidth="1"/>
    <col min="166" max="166" width="15.83203125" customWidth="1"/>
    <col min="167" max="167" width="16.1640625" customWidth="1"/>
    <col min="168" max="168" width="19" customWidth="1"/>
    <col min="169" max="169" width="14" customWidth="1"/>
    <col min="170" max="170" width="17.83203125" customWidth="1"/>
    <col min="171" max="171" width="21.1640625" customWidth="1"/>
    <col min="172" max="172" width="21.5" customWidth="1"/>
    <col min="173" max="173" width="14.83203125" customWidth="1"/>
    <col min="174" max="174" width="13.33203125" customWidth="1"/>
    <col min="175" max="175" width="14.1640625" customWidth="1"/>
    <col min="176" max="176" width="14.6640625" customWidth="1"/>
    <col min="177" max="177" width="14.5" customWidth="1"/>
    <col min="178" max="178" width="14" customWidth="1"/>
    <col min="179" max="179" width="15" customWidth="1"/>
    <col min="180" max="180" width="15.33203125" customWidth="1"/>
    <col min="181" max="181" width="16.5" customWidth="1"/>
    <col min="182" max="182" width="19.33203125" customWidth="1"/>
    <col min="183" max="185" width="15" customWidth="1"/>
  </cols>
  <sheetData>
    <row r="1" spans="1:185" ht="18">
      <c r="Y1" s="19"/>
      <c r="Z1" s="3"/>
      <c r="AA1" s="20" t="s">
        <v>12</v>
      </c>
      <c r="AB1" s="21"/>
      <c r="AC1" s="21"/>
      <c r="AD1" s="21"/>
      <c r="AE1" s="21"/>
      <c r="AF1" s="21"/>
      <c r="AG1" s="22"/>
      <c r="AH1" s="23"/>
      <c r="AI1" s="22"/>
      <c r="AJ1" s="21"/>
      <c r="AK1" s="21"/>
      <c r="AL1" s="21"/>
      <c r="AM1" s="21"/>
      <c r="AN1" s="21"/>
      <c r="AO1" s="21"/>
      <c r="AP1" s="21"/>
      <c r="AQ1" s="21"/>
      <c r="AR1" s="21"/>
      <c r="AS1" s="24" t="s">
        <v>13</v>
      </c>
      <c r="AT1" s="25"/>
      <c r="AU1" s="26"/>
      <c r="AV1" s="26"/>
      <c r="AW1" s="27"/>
      <c r="AX1" s="27"/>
      <c r="AY1" s="27"/>
      <c r="AZ1" s="28"/>
      <c r="BA1" s="27"/>
      <c r="BB1" s="27"/>
      <c r="BC1" s="27"/>
      <c r="BD1" s="27"/>
      <c r="BE1" s="27"/>
      <c r="BF1" s="27"/>
      <c r="BG1" s="29" t="s">
        <v>14</v>
      </c>
      <c r="BH1" s="30"/>
      <c r="BI1" s="30"/>
      <c r="BJ1" s="30"/>
      <c r="BK1" s="30"/>
      <c r="BL1" s="30"/>
      <c r="BM1" s="30"/>
      <c r="BN1" s="31"/>
      <c r="BO1" s="32"/>
      <c r="BP1" s="32"/>
      <c r="BQ1" s="32"/>
      <c r="BR1" s="33"/>
      <c r="BS1" s="34"/>
      <c r="BT1" s="35" t="s">
        <v>15</v>
      </c>
      <c r="BU1" s="36"/>
      <c r="BV1" s="36"/>
      <c r="BW1" s="36"/>
      <c r="BX1" s="36"/>
      <c r="BY1" s="36"/>
      <c r="BZ1" s="36"/>
      <c r="CA1" s="37"/>
      <c r="CB1" s="38" t="s">
        <v>16</v>
      </c>
      <c r="CC1" s="38"/>
      <c r="CD1" s="39"/>
      <c r="CE1" s="39"/>
      <c r="CF1" s="39"/>
      <c r="CG1" s="40" t="s">
        <v>17</v>
      </c>
      <c r="CH1" s="41"/>
      <c r="CI1" s="42"/>
      <c r="CJ1" s="40"/>
      <c r="CK1" s="43"/>
      <c r="CL1" s="43"/>
      <c r="CM1" s="44"/>
      <c r="CN1" s="40" t="s">
        <v>18</v>
      </c>
      <c r="CO1" s="45"/>
      <c r="CP1" s="43"/>
      <c r="CQ1" s="43"/>
      <c r="CR1" s="43"/>
      <c r="CS1" s="43"/>
      <c r="CT1" s="43"/>
      <c r="CU1" s="43"/>
      <c r="CV1" s="43"/>
      <c r="CW1" s="43"/>
      <c r="CX1" s="43"/>
      <c r="CY1" s="43"/>
      <c r="CZ1" s="40" t="s">
        <v>19</v>
      </c>
      <c r="DA1" s="43"/>
      <c r="DB1" s="43"/>
      <c r="DC1" s="43"/>
      <c r="DD1" s="43"/>
      <c r="DE1" s="43"/>
      <c r="DF1" s="44"/>
      <c r="DG1" s="41" t="s">
        <v>20</v>
      </c>
      <c r="DH1" s="41"/>
      <c r="DI1" s="41"/>
      <c r="DJ1" s="41"/>
      <c r="DK1" s="41"/>
      <c r="DL1" s="41"/>
      <c r="DM1" s="41"/>
      <c r="DN1" s="41"/>
      <c r="DO1" s="41"/>
      <c r="DP1" s="41"/>
      <c r="DQ1" s="41"/>
      <c r="DR1" s="41"/>
      <c r="DS1" s="41"/>
      <c r="DT1" s="41"/>
      <c r="DU1" s="41"/>
      <c r="DV1" s="41"/>
      <c r="DW1" s="41"/>
      <c r="DX1" s="41"/>
      <c r="DY1" s="41"/>
      <c r="DZ1" s="41"/>
      <c r="EA1" s="46"/>
      <c r="EB1" s="43"/>
      <c r="EC1" s="43"/>
      <c r="ED1" s="44"/>
      <c r="EE1" s="41"/>
      <c r="EF1" s="41"/>
      <c r="EG1" s="47" t="s">
        <v>21</v>
      </c>
      <c r="EH1" s="41"/>
      <c r="EI1" s="41"/>
      <c r="EJ1" s="41"/>
      <c r="EK1" s="41"/>
      <c r="EL1" s="42"/>
      <c r="EM1" s="47" t="s">
        <v>22</v>
      </c>
      <c r="EN1" s="41"/>
      <c r="EO1" s="41"/>
      <c r="EP1" s="41"/>
      <c r="EQ1" s="41"/>
      <c r="ER1" s="48"/>
      <c r="ES1" s="48"/>
      <c r="ET1" s="49" t="s">
        <v>23</v>
      </c>
      <c r="EU1" s="50"/>
      <c r="EV1" s="50"/>
      <c r="EW1" s="51"/>
      <c r="EX1" s="51"/>
      <c r="EY1" s="51"/>
      <c r="EZ1" s="51"/>
      <c r="FA1" s="51"/>
      <c r="FB1" s="51"/>
      <c r="FC1" s="51"/>
      <c r="FD1" s="51"/>
      <c r="FE1" s="52" t="s">
        <v>24</v>
      </c>
      <c r="FF1" s="53"/>
      <c r="FG1" s="53"/>
      <c r="FH1" s="53"/>
      <c r="FI1" s="54"/>
      <c r="FJ1" s="54"/>
      <c r="FK1" s="54"/>
      <c r="FL1" s="54"/>
      <c r="FM1" s="53"/>
      <c r="FN1" s="53"/>
      <c r="FO1" s="53"/>
      <c r="FP1" s="53"/>
      <c r="FQ1" s="52"/>
      <c r="FR1" s="53"/>
      <c r="FS1" s="53"/>
      <c r="FT1" s="53"/>
      <c r="FU1" s="53"/>
      <c r="FV1" s="53"/>
      <c r="FW1" s="21"/>
      <c r="FX1" s="21"/>
      <c r="FY1" s="21"/>
      <c r="FZ1" s="21"/>
      <c r="GA1" s="21"/>
      <c r="GB1" s="21"/>
      <c r="GC1" s="5"/>
    </row>
    <row r="2" spans="1:185" ht="20">
      <c r="A2" s="1"/>
      <c r="B2" s="2"/>
      <c r="C2" s="2"/>
      <c r="D2" s="2"/>
      <c r="E2" s="2"/>
      <c r="F2" s="2"/>
      <c r="G2" s="2"/>
      <c r="H2" s="2"/>
      <c r="I2" s="2"/>
      <c r="J2" s="2"/>
      <c r="K2" s="2"/>
      <c r="L2" s="3"/>
      <c r="M2" s="4" t="s">
        <v>0</v>
      </c>
      <c r="N2" s="4"/>
      <c r="O2" s="4"/>
      <c r="P2" s="4"/>
      <c r="R2" s="5"/>
      <c r="S2" s="157"/>
      <c r="T2" s="157"/>
      <c r="U2" s="157"/>
      <c r="V2" s="157"/>
      <c r="W2" s="157"/>
      <c r="X2" s="5"/>
      <c r="Y2" s="55"/>
      <c r="Z2" s="56"/>
      <c r="AA2" s="57"/>
      <c r="AB2" s="57"/>
      <c r="AC2" s="57"/>
      <c r="AD2" s="57"/>
      <c r="AE2" s="57"/>
      <c r="AF2" s="57"/>
      <c r="AG2" s="58"/>
      <c r="AH2" s="59"/>
      <c r="AI2" s="58"/>
      <c r="AJ2" s="57"/>
      <c r="AK2" s="57"/>
      <c r="AL2" s="57"/>
      <c r="AM2" s="57"/>
      <c r="AN2" s="57"/>
      <c r="AO2" s="57"/>
      <c r="AP2" s="57"/>
      <c r="AQ2" s="57"/>
      <c r="AR2" s="57"/>
      <c r="AS2" s="60"/>
      <c r="AT2" s="25"/>
      <c r="AU2" s="26"/>
      <c r="AV2" s="26"/>
      <c r="AW2" s="27"/>
      <c r="AX2" s="27"/>
      <c r="AY2" s="27"/>
      <c r="AZ2" s="28" t="s">
        <v>25</v>
      </c>
      <c r="BA2" s="27"/>
      <c r="BB2" s="27"/>
      <c r="BC2" s="27"/>
      <c r="BD2" s="27"/>
      <c r="BE2" s="27"/>
      <c r="BF2" s="27"/>
      <c r="BG2" s="31"/>
      <c r="BH2" s="32"/>
      <c r="BI2" s="30"/>
      <c r="BJ2" s="30"/>
      <c r="BK2" s="30"/>
      <c r="BL2" s="30"/>
      <c r="BM2" s="32"/>
      <c r="BN2" s="61" t="s">
        <v>26</v>
      </c>
      <c r="BO2" s="62"/>
      <c r="BP2" s="62"/>
      <c r="BQ2" s="32"/>
      <c r="BR2" s="33"/>
      <c r="BS2" s="34"/>
      <c r="BT2" s="63" t="s">
        <v>27</v>
      </c>
      <c r="BU2" s="64"/>
      <c r="BV2" s="64"/>
      <c r="BW2" s="65" t="s">
        <v>28</v>
      </c>
      <c r="BX2" s="66"/>
      <c r="BY2" s="67"/>
      <c r="BZ2" s="67"/>
      <c r="CA2" s="68"/>
      <c r="CB2" s="69"/>
      <c r="CC2" s="69"/>
      <c r="CD2" s="36"/>
      <c r="CE2" s="36"/>
      <c r="CF2" s="36"/>
      <c r="CG2" s="70" t="s">
        <v>29</v>
      </c>
      <c r="CH2" s="71"/>
      <c r="CI2" s="72"/>
      <c r="CJ2" s="73" t="s">
        <v>30</v>
      </c>
      <c r="CK2" s="74"/>
      <c r="CL2" s="74"/>
      <c r="CM2" s="74"/>
      <c r="CN2" s="75" t="s">
        <v>31</v>
      </c>
      <c r="CO2" s="76"/>
      <c r="CP2" s="74"/>
      <c r="CQ2" s="74"/>
      <c r="CR2" s="74"/>
      <c r="CS2" s="74"/>
      <c r="CT2" s="74"/>
      <c r="CU2" s="74"/>
      <c r="CV2" s="74"/>
      <c r="CW2" s="74"/>
      <c r="CX2" s="74"/>
      <c r="CY2" s="74"/>
      <c r="CZ2" s="40" t="s">
        <v>32</v>
      </c>
      <c r="DA2" s="45"/>
      <c r="DB2" s="43"/>
      <c r="DC2" s="43"/>
      <c r="DD2" s="43"/>
      <c r="DE2" s="43"/>
      <c r="DF2" s="44"/>
      <c r="DG2" s="71" t="s">
        <v>33</v>
      </c>
      <c r="DH2" s="71"/>
      <c r="DI2" s="71"/>
      <c r="DJ2" s="71"/>
      <c r="DK2" s="77" t="s">
        <v>34</v>
      </c>
      <c r="DL2" s="78"/>
      <c r="DM2" s="78"/>
      <c r="DN2" s="79"/>
      <c r="DO2" s="77" t="s">
        <v>35</v>
      </c>
      <c r="DP2" s="48"/>
      <c r="DQ2" s="48"/>
      <c r="DR2" s="80"/>
      <c r="DS2" s="81" t="s">
        <v>36</v>
      </c>
      <c r="DT2" s="48"/>
      <c r="DU2" s="48"/>
      <c r="DV2" s="80"/>
      <c r="DW2" s="82" t="s">
        <v>37</v>
      </c>
      <c r="DX2" s="83"/>
      <c r="DY2" s="71"/>
      <c r="DZ2" s="71"/>
      <c r="EA2" s="84" t="s">
        <v>38</v>
      </c>
      <c r="EB2" s="74"/>
      <c r="EC2" s="74"/>
      <c r="ED2" s="85"/>
      <c r="EE2" s="71" t="s">
        <v>39</v>
      </c>
      <c r="EF2" s="71"/>
      <c r="EG2" s="86" t="s">
        <v>40</v>
      </c>
      <c r="EH2" s="87"/>
      <c r="EI2" s="87"/>
      <c r="EJ2" s="87"/>
      <c r="EK2" s="71"/>
      <c r="EL2" s="71"/>
      <c r="EM2" s="88"/>
      <c r="EN2" s="71"/>
      <c r="EO2" s="71"/>
      <c r="EP2" s="71"/>
      <c r="EQ2" s="48"/>
      <c r="ER2" s="70" t="s">
        <v>41</v>
      </c>
      <c r="ES2" s="48"/>
      <c r="ET2" s="89"/>
      <c r="EU2" s="51"/>
      <c r="EV2" s="51"/>
      <c r="EW2" s="90"/>
      <c r="EX2" s="90"/>
      <c r="EY2" s="90"/>
      <c r="EZ2" s="90"/>
      <c r="FA2" s="91"/>
      <c r="FB2" s="91"/>
      <c r="FC2" s="91"/>
      <c r="FD2" s="91"/>
      <c r="FE2" s="92"/>
      <c r="FF2" s="57"/>
      <c r="FG2" s="57"/>
      <c r="FH2" s="57"/>
      <c r="FI2" s="57"/>
      <c r="FJ2" s="57"/>
      <c r="FK2" s="57"/>
      <c r="FL2" s="57"/>
      <c r="FM2" s="57"/>
      <c r="FN2" s="57"/>
      <c r="FO2" s="57"/>
      <c r="FP2" s="57"/>
      <c r="FQ2" s="20"/>
      <c r="FR2" s="21"/>
      <c r="FS2" s="21"/>
      <c r="FT2" s="21"/>
      <c r="FU2" s="21"/>
      <c r="FV2" s="21"/>
      <c r="FW2" s="21"/>
      <c r="FX2" s="21"/>
      <c r="FY2" s="21"/>
      <c r="FZ2" s="21"/>
      <c r="GA2" s="21"/>
      <c r="GB2" s="57"/>
      <c r="GC2" s="93"/>
    </row>
    <row r="3" spans="1:185" ht="409.6">
      <c r="A3" s="6" t="s">
        <v>1</v>
      </c>
      <c r="B3" s="7" t="s">
        <v>2</v>
      </c>
      <c r="C3" s="8" t="s">
        <v>3</v>
      </c>
      <c r="D3" s="9" t="s">
        <v>4</v>
      </c>
      <c r="E3" s="9" t="s">
        <v>5</v>
      </c>
      <c r="F3" s="10" t="s">
        <v>6</v>
      </c>
      <c r="G3" s="10" t="s">
        <v>7</v>
      </c>
      <c r="H3" s="11" t="s">
        <v>8</v>
      </c>
      <c r="I3" s="11" t="s">
        <v>9</v>
      </c>
      <c r="J3" s="9" t="s">
        <v>226</v>
      </c>
      <c r="K3" s="11" t="s">
        <v>227</v>
      </c>
      <c r="L3" s="12" t="s">
        <v>238</v>
      </c>
      <c r="M3" s="13" t="s">
        <v>228</v>
      </c>
      <c r="N3" s="158" t="s">
        <v>239</v>
      </c>
      <c r="O3" s="158" t="s">
        <v>240</v>
      </c>
      <c r="P3" s="13" t="s">
        <v>229</v>
      </c>
      <c r="Q3" s="14" t="s">
        <v>230</v>
      </c>
      <c r="R3" s="15" t="s">
        <v>231</v>
      </c>
      <c r="S3" s="16" t="s">
        <v>232</v>
      </c>
      <c r="T3" s="13" t="s">
        <v>233</v>
      </c>
      <c r="U3" s="13" t="s">
        <v>10</v>
      </c>
      <c r="V3" s="13" t="s">
        <v>234</v>
      </c>
      <c r="W3" s="17" t="s">
        <v>235</v>
      </c>
      <c r="X3" s="18" t="s">
        <v>11</v>
      </c>
      <c r="Y3" s="94" t="s">
        <v>42</v>
      </c>
      <c r="Z3" s="95" t="s">
        <v>43</v>
      </c>
      <c r="AA3" s="96" t="s">
        <v>44</v>
      </c>
      <c r="AB3" s="96" t="s">
        <v>45</v>
      </c>
      <c r="AC3" s="96" t="s">
        <v>46</v>
      </c>
      <c r="AD3" s="96" t="s">
        <v>47</v>
      </c>
      <c r="AE3" s="96" t="s">
        <v>48</v>
      </c>
      <c r="AF3" s="96" t="s">
        <v>49</v>
      </c>
      <c r="AG3" s="96" t="s">
        <v>50</v>
      </c>
      <c r="AH3" s="97" t="s">
        <v>51</v>
      </c>
      <c r="AI3" s="96" t="s">
        <v>52</v>
      </c>
      <c r="AJ3" s="96" t="s">
        <v>53</v>
      </c>
      <c r="AK3" s="96" t="s">
        <v>54</v>
      </c>
      <c r="AL3" s="96" t="s">
        <v>55</v>
      </c>
      <c r="AM3" s="96" t="s">
        <v>56</v>
      </c>
      <c r="AN3" s="96" t="s">
        <v>57</v>
      </c>
      <c r="AO3" s="96" t="s">
        <v>58</v>
      </c>
      <c r="AP3" s="96" t="s">
        <v>59</v>
      </c>
      <c r="AQ3" s="96" t="s">
        <v>60</v>
      </c>
      <c r="AR3" s="96" t="s">
        <v>61</v>
      </c>
      <c r="AS3" s="98" t="s">
        <v>62</v>
      </c>
      <c r="AT3" s="99" t="s">
        <v>63</v>
      </c>
      <c r="AU3" s="100" t="s">
        <v>64</v>
      </c>
      <c r="AV3" s="100" t="s">
        <v>65</v>
      </c>
      <c r="AW3" s="101" t="s">
        <v>66</v>
      </c>
      <c r="AX3" s="101" t="s">
        <v>67</v>
      </c>
      <c r="AY3" s="102" t="s">
        <v>68</v>
      </c>
      <c r="AZ3" s="98" t="s">
        <v>62</v>
      </c>
      <c r="BA3" s="99" t="s">
        <v>63</v>
      </c>
      <c r="BB3" s="100" t="s">
        <v>64</v>
      </c>
      <c r="BC3" s="100" t="s">
        <v>65</v>
      </c>
      <c r="BD3" s="101" t="s">
        <v>66</v>
      </c>
      <c r="BE3" s="101" t="s">
        <v>67</v>
      </c>
      <c r="BF3" s="101" t="s">
        <v>68</v>
      </c>
      <c r="BG3" s="103" t="s">
        <v>69</v>
      </c>
      <c r="BH3" s="104" t="s">
        <v>70</v>
      </c>
      <c r="BI3" s="104" t="s">
        <v>71</v>
      </c>
      <c r="BJ3" s="104" t="s">
        <v>72</v>
      </c>
      <c r="BK3" s="104" t="s">
        <v>73</v>
      </c>
      <c r="BL3" s="104" t="s">
        <v>74</v>
      </c>
      <c r="BM3" s="104" t="s">
        <v>75</v>
      </c>
      <c r="BN3" s="105" t="s">
        <v>76</v>
      </c>
      <c r="BO3" s="106" t="s">
        <v>77</v>
      </c>
      <c r="BP3" s="106" t="s">
        <v>78</v>
      </c>
      <c r="BQ3" s="107" t="s">
        <v>79</v>
      </c>
      <c r="BR3" s="108" t="s">
        <v>80</v>
      </c>
      <c r="BS3" s="108" t="s">
        <v>81</v>
      </c>
      <c r="BT3" s="109" t="s">
        <v>82</v>
      </c>
      <c r="BU3" s="110" t="s">
        <v>83</v>
      </c>
      <c r="BV3" s="111" t="s">
        <v>84</v>
      </c>
      <c r="BW3" s="112" t="s">
        <v>85</v>
      </c>
      <c r="BX3" s="113" t="s">
        <v>83</v>
      </c>
      <c r="BY3" s="114" t="s">
        <v>84</v>
      </c>
      <c r="BZ3" s="67" t="s">
        <v>86</v>
      </c>
      <c r="CA3" s="68" t="s">
        <v>87</v>
      </c>
      <c r="CB3" s="114" t="s">
        <v>88</v>
      </c>
      <c r="CC3" s="110" t="s">
        <v>83</v>
      </c>
      <c r="CD3" s="111" t="s">
        <v>84</v>
      </c>
      <c r="CE3" s="67" t="s">
        <v>225</v>
      </c>
      <c r="CF3" s="67" t="s">
        <v>89</v>
      </c>
      <c r="CG3" s="115" t="s">
        <v>90</v>
      </c>
      <c r="CH3" s="116" t="s">
        <v>63</v>
      </c>
      <c r="CI3" s="117" t="s">
        <v>91</v>
      </c>
      <c r="CJ3" s="118" t="s">
        <v>92</v>
      </c>
      <c r="CK3" s="116" t="s">
        <v>63</v>
      </c>
      <c r="CL3" s="119" t="s">
        <v>93</v>
      </c>
      <c r="CM3" s="120" t="s">
        <v>94</v>
      </c>
      <c r="CN3" s="121" t="s">
        <v>95</v>
      </c>
      <c r="CO3" s="118" t="s">
        <v>96</v>
      </c>
      <c r="CP3" s="116" t="s">
        <v>63</v>
      </c>
      <c r="CQ3" s="119" t="s">
        <v>97</v>
      </c>
      <c r="CR3" s="120" t="s">
        <v>98</v>
      </c>
      <c r="CS3" s="121" t="s">
        <v>99</v>
      </c>
      <c r="CT3" s="121" t="s">
        <v>100</v>
      </c>
      <c r="CU3" s="121" t="s">
        <v>222</v>
      </c>
      <c r="CV3" s="121" t="s">
        <v>223</v>
      </c>
      <c r="CW3" s="121" t="s">
        <v>101</v>
      </c>
      <c r="CX3" s="121" t="s">
        <v>102</v>
      </c>
      <c r="CY3" s="121" t="s">
        <v>103</v>
      </c>
      <c r="CZ3" s="122" t="s">
        <v>104</v>
      </c>
      <c r="DA3" s="118" t="s">
        <v>105</v>
      </c>
      <c r="DB3" s="116" t="s">
        <v>63</v>
      </c>
      <c r="DC3" s="116" t="s">
        <v>106</v>
      </c>
      <c r="DD3" s="121" t="s">
        <v>107</v>
      </c>
      <c r="DE3" s="121" t="s">
        <v>100</v>
      </c>
      <c r="DF3" s="121" t="s">
        <v>108</v>
      </c>
      <c r="DG3" s="115" t="s">
        <v>109</v>
      </c>
      <c r="DH3" s="116" t="s">
        <v>63</v>
      </c>
      <c r="DI3" s="116" t="s">
        <v>106</v>
      </c>
      <c r="DJ3" s="123" t="s">
        <v>110</v>
      </c>
      <c r="DK3" s="118" t="s">
        <v>111</v>
      </c>
      <c r="DL3" s="116" t="s">
        <v>63</v>
      </c>
      <c r="DM3" s="116" t="s">
        <v>106</v>
      </c>
      <c r="DN3" s="123" t="s">
        <v>112</v>
      </c>
      <c r="DO3" s="118" t="s">
        <v>113</v>
      </c>
      <c r="DP3" s="116" t="s">
        <v>63</v>
      </c>
      <c r="DQ3" s="116" t="s">
        <v>106</v>
      </c>
      <c r="DR3" s="123" t="s">
        <v>114</v>
      </c>
      <c r="DS3" s="118" t="s">
        <v>115</v>
      </c>
      <c r="DT3" s="116" t="s">
        <v>63</v>
      </c>
      <c r="DU3" s="116" t="s">
        <v>106</v>
      </c>
      <c r="DV3" s="123" t="s">
        <v>116</v>
      </c>
      <c r="DW3" s="118" t="s">
        <v>117</v>
      </c>
      <c r="DX3" s="116" t="s">
        <v>63</v>
      </c>
      <c r="DY3" s="116" t="s">
        <v>106</v>
      </c>
      <c r="DZ3" s="124" t="s">
        <v>118</v>
      </c>
      <c r="EA3" s="115" t="s">
        <v>119</v>
      </c>
      <c r="EB3" s="116" t="s">
        <v>63</v>
      </c>
      <c r="EC3" s="116" t="s">
        <v>106</v>
      </c>
      <c r="ED3" s="125" t="s">
        <v>120</v>
      </c>
      <c r="EE3" s="124" t="s">
        <v>121</v>
      </c>
      <c r="EF3" s="124" t="s">
        <v>122</v>
      </c>
      <c r="EG3" s="115" t="s">
        <v>123</v>
      </c>
      <c r="EH3" s="116" t="s">
        <v>63</v>
      </c>
      <c r="EI3" s="116" t="s">
        <v>106</v>
      </c>
      <c r="EJ3" s="116" t="s">
        <v>124</v>
      </c>
      <c r="EK3" s="124" t="s">
        <v>125</v>
      </c>
      <c r="EL3" s="123" t="s">
        <v>126</v>
      </c>
      <c r="EM3" s="121" t="s">
        <v>127</v>
      </c>
      <c r="EN3" s="124" t="s">
        <v>128</v>
      </c>
      <c r="EO3" s="124" t="s">
        <v>129</v>
      </c>
      <c r="EP3" s="124" t="s">
        <v>130</v>
      </c>
      <c r="EQ3" s="126" t="s">
        <v>131</v>
      </c>
      <c r="ER3" s="127" t="s">
        <v>132</v>
      </c>
      <c r="ES3" s="124" t="s">
        <v>133</v>
      </c>
      <c r="ET3" s="152" t="s">
        <v>134</v>
      </c>
      <c r="EU3" s="153" t="s">
        <v>135</v>
      </c>
      <c r="EV3" s="153" t="s">
        <v>136</v>
      </c>
      <c r="EW3" s="128" t="s">
        <v>137</v>
      </c>
      <c r="EX3" s="129" t="s">
        <v>63</v>
      </c>
      <c r="EY3" s="130" t="s">
        <v>220</v>
      </c>
      <c r="EZ3" s="131" t="s">
        <v>221</v>
      </c>
      <c r="FA3" s="128" t="s">
        <v>138</v>
      </c>
      <c r="FB3" s="129" t="s">
        <v>63</v>
      </c>
      <c r="FC3" s="130" t="s">
        <v>141</v>
      </c>
      <c r="FD3" s="131" t="s">
        <v>142</v>
      </c>
      <c r="FE3" s="132" t="s">
        <v>139</v>
      </c>
      <c r="FF3" s="96" t="s">
        <v>140</v>
      </c>
      <c r="FG3" s="133" t="s">
        <v>141</v>
      </c>
      <c r="FH3" s="133" t="s">
        <v>142</v>
      </c>
      <c r="FI3" s="96" t="s">
        <v>143</v>
      </c>
      <c r="FJ3" s="96" t="s">
        <v>144</v>
      </c>
      <c r="FK3" s="96" t="s">
        <v>145</v>
      </c>
      <c r="FL3" s="96" t="s">
        <v>146</v>
      </c>
      <c r="FM3" s="133" t="s">
        <v>147</v>
      </c>
      <c r="FN3" s="133" t="s">
        <v>148</v>
      </c>
      <c r="FO3" s="96" t="s">
        <v>149</v>
      </c>
      <c r="FP3" s="96" t="s">
        <v>150</v>
      </c>
      <c r="FQ3" s="132" t="s">
        <v>151</v>
      </c>
      <c r="FR3" s="134" t="s">
        <v>152</v>
      </c>
      <c r="FS3" s="134" t="s">
        <v>153</v>
      </c>
      <c r="FT3" s="96" t="s">
        <v>154</v>
      </c>
      <c r="FU3" s="134" t="s">
        <v>155</v>
      </c>
      <c r="FV3" s="134" t="s">
        <v>156</v>
      </c>
      <c r="FW3" s="135" t="s">
        <v>157</v>
      </c>
      <c r="FX3" s="135" t="s">
        <v>158</v>
      </c>
      <c r="FY3" s="135" t="s">
        <v>159</v>
      </c>
      <c r="FZ3" s="135" t="s">
        <v>160</v>
      </c>
      <c r="GA3" s="136" t="s">
        <v>161</v>
      </c>
      <c r="GB3" s="136" t="s">
        <v>224</v>
      </c>
      <c r="GC3" s="137" t="s">
        <v>162</v>
      </c>
    </row>
    <row r="4" spans="1:185" ht="17" customHeight="1">
      <c r="A4" t="s">
        <v>163</v>
      </c>
      <c r="B4" t="s">
        <v>164</v>
      </c>
      <c r="C4" s="138" t="s">
        <v>165</v>
      </c>
      <c r="D4" t="s">
        <v>166</v>
      </c>
      <c r="E4">
        <v>2013</v>
      </c>
      <c r="F4" t="s">
        <v>167</v>
      </c>
      <c r="G4">
        <f>AS4</f>
        <v>13798.50762</v>
      </c>
      <c r="H4" s="140" t="str">
        <f>AU4</f>
        <v>NA</v>
      </c>
      <c r="I4" s="140" t="str">
        <f>AV4</f>
        <v>NA</v>
      </c>
      <c r="J4" s="154">
        <f>FL4</f>
        <v>310.6649136327635</v>
      </c>
      <c r="K4" s="154">
        <f t="shared" ref="K4:L4" si="0">FM4</f>
        <v>57.664913632763501</v>
      </c>
      <c r="L4" s="154">
        <f t="shared" si="0"/>
        <v>58.335086367236499</v>
      </c>
      <c r="M4" t="b">
        <v>1</v>
      </c>
      <c r="N4">
        <v>3</v>
      </c>
      <c r="O4" s="140" t="s">
        <v>236</v>
      </c>
      <c r="P4" s="140" t="s">
        <v>237</v>
      </c>
      <c r="Q4" t="b">
        <v>0</v>
      </c>
      <c r="R4" t="s">
        <v>168</v>
      </c>
      <c r="S4" t="b">
        <v>1</v>
      </c>
      <c r="T4" t="b">
        <v>0</v>
      </c>
      <c r="U4" t="s">
        <v>168</v>
      </c>
      <c r="V4" t="s">
        <v>168</v>
      </c>
      <c r="W4" t="b">
        <v>0</v>
      </c>
      <c r="X4" t="s">
        <v>168</v>
      </c>
      <c r="Y4" s="139" t="s">
        <v>169</v>
      </c>
      <c r="Z4" t="s">
        <v>167</v>
      </c>
      <c r="AA4" s="140" t="s">
        <v>170</v>
      </c>
      <c r="AB4" s="140" t="s">
        <v>168</v>
      </c>
      <c r="AC4" s="140" t="s">
        <v>168</v>
      </c>
      <c r="AD4" s="140" t="s">
        <v>168</v>
      </c>
      <c r="AE4" s="140" t="s">
        <v>168</v>
      </c>
      <c r="AF4" s="140" t="s">
        <v>168</v>
      </c>
      <c r="AG4" s="141">
        <v>13798.50762</v>
      </c>
      <c r="AH4" s="140">
        <v>0</v>
      </c>
      <c r="AI4" s="140" t="s">
        <v>171</v>
      </c>
      <c r="AJ4" s="142" t="s">
        <v>172</v>
      </c>
      <c r="AK4" s="143">
        <v>35.926000000000002</v>
      </c>
      <c r="AL4" s="143">
        <v>4.335</v>
      </c>
      <c r="AM4" s="142">
        <v>32.5</v>
      </c>
      <c r="AN4" s="142" t="s">
        <v>168</v>
      </c>
      <c r="AO4" s="142" t="s">
        <v>173</v>
      </c>
      <c r="AP4" s="144" t="s">
        <v>174</v>
      </c>
      <c r="AQ4" s="145" t="s">
        <v>175</v>
      </c>
      <c r="AR4" s="142" t="s">
        <v>168</v>
      </c>
      <c r="AS4" s="146">
        <v>13798.50762</v>
      </c>
      <c r="AT4" s="147" t="s">
        <v>176</v>
      </c>
      <c r="AU4" t="s">
        <v>168</v>
      </c>
      <c r="AV4" t="s">
        <v>168</v>
      </c>
      <c r="AW4" t="s">
        <v>168</v>
      </c>
      <c r="AX4" s="140" t="s">
        <v>177</v>
      </c>
      <c r="AY4" s="140" t="s">
        <v>178</v>
      </c>
      <c r="AZ4" t="s">
        <v>168</v>
      </c>
      <c r="BA4" t="s">
        <v>168</v>
      </c>
      <c r="BB4" t="s">
        <v>168</v>
      </c>
      <c r="BC4" t="s">
        <v>168</v>
      </c>
      <c r="BD4" t="s">
        <v>168</v>
      </c>
      <c r="BE4" t="s">
        <v>168</v>
      </c>
      <c r="BF4" t="s">
        <v>168</v>
      </c>
      <c r="BG4" s="148" t="s">
        <v>179</v>
      </c>
      <c r="BH4" t="s">
        <v>180</v>
      </c>
      <c r="BI4" t="s">
        <v>181</v>
      </c>
      <c r="BJ4" t="s">
        <v>182</v>
      </c>
      <c r="BK4" s="140" t="s">
        <v>183</v>
      </c>
      <c r="BL4" t="s">
        <v>184</v>
      </c>
      <c r="BM4" t="s">
        <v>185</v>
      </c>
      <c r="BN4" t="s">
        <v>168</v>
      </c>
      <c r="BO4">
        <v>2</v>
      </c>
      <c r="BP4" t="s">
        <v>168</v>
      </c>
      <c r="BQ4">
        <v>15.83</v>
      </c>
      <c r="BR4" t="s">
        <v>186</v>
      </c>
      <c r="BS4">
        <v>0.23</v>
      </c>
      <c r="BT4">
        <v>0.88</v>
      </c>
      <c r="BU4" s="140" t="s">
        <v>187</v>
      </c>
      <c r="BV4" s="140" t="s">
        <v>187</v>
      </c>
      <c r="BW4">
        <v>1.85</v>
      </c>
      <c r="BX4" s="140" t="s">
        <v>188</v>
      </c>
      <c r="BY4" s="140" t="s">
        <v>168</v>
      </c>
      <c r="BZ4" t="s">
        <v>189</v>
      </c>
      <c r="CA4" s="140" t="s">
        <v>190</v>
      </c>
      <c r="CB4" s="149">
        <v>15.859620888294611</v>
      </c>
      <c r="CC4" t="s">
        <v>191</v>
      </c>
      <c r="CD4" s="140">
        <f>BS4</f>
        <v>0.23</v>
      </c>
      <c r="CE4" s="140" t="s">
        <v>192</v>
      </c>
      <c r="CF4" s="140" t="s">
        <v>193</v>
      </c>
      <c r="CG4" s="140">
        <v>0</v>
      </c>
      <c r="CH4" s="140" t="s">
        <v>168</v>
      </c>
      <c r="CI4" s="140" t="s">
        <v>168</v>
      </c>
      <c r="CJ4">
        <v>33.5</v>
      </c>
      <c r="CK4" t="s">
        <v>194</v>
      </c>
      <c r="CL4" s="140">
        <v>1</v>
      </c>
      <c r="CM4" s="140">
        <v>1</v>
      </c>
      <c r="CN4" s="146" t="s">
        <v>168</v>
      </c>
      <c r="CO4" s="140">
        <v>6.56</v>
      </c>
      <c r="CP4" s="140" t="s">
        <v>195</v>
      </c>
      <c r="CQ4" s="140">
        <v>0.13119999999999998</v>
      </c>
      <c r="CR4" s="140">
        <v>0.13119999999999998</v>
      </c>
      <c r="CS4" s="156" t="s">
        <v>196</v>
      </c>
      <c r="CT4" t="s">
        <v>197</v>
      </c>
      <c r="CU4" t="s">
        <v>168</v>
      </c>
      <c r="CV4" t="s">
        <v>198</v>
      </c>
      <c r="CW4" t="s">
        <v>168</v>
      </c>
      <c r="CX4" t="s">
        <v>168</v>
      </c>
      <c r="CY4" t="s">
        <v>168</v>
      </c>
      <c r="CZ4" t="s">
        <v>168</v>
      </c>
      <c r="DA4" t="s">
        <v>168</v>
      </c>
      <c r="DB4" t="s">
        <v>168</v>
      </c>
      <c r="DC4" t="s">
        <v>168</v>
      </c>
      <c r="DD4" t="s">
        <v>168</v>
      </c>
      <c r="DE4" t="s">
        <v>168</v>
      </c>
      <c r="DF4" t="s">
        <v>168</v>
      </c>
      <c r="DG4">
        <v>35</v>
      </c>
      <c r="DH4" t="s">
        <v>199</v>
      </c>
      <c r="DI4" t="s">
        <v>199</v>
      </c>
      <c r="DJ4" s="140" t="s">
        <v>200</v>
      </c>
      <c r="DK4" s="140">
        <v>1.4E-2</v>
      </c>
      <c r="DL4" s="140" t="s">
        <v>201</v>
      </c>
      <c r="DM4" s="140" t="s">
        <v>201</v>
      </c>
      <c r="DN4" s="140" t="s">
        <v>202</v>
      </c>
      <c r="DO4">
        <v>4.8000000000000001E-2</v>
      </c>
      <c r="DP4" s="140" t="s">
        <v>201</v>
      </c>
      <c r="DQ4" s="140" t="s">
        <v>201</v>
      </c>
      <c r="DR4" s="140" t="s">
        <v>202</v>
      </c>
      <c r="DS4" s="140" t="s">
        <v>203</v>
      </c>
      <c r="DT4" s="140" t="s">
        <v>201</v>
      </c>
      <c r="DU4" s="140" t="s">
        <v>201</v>
      </c>
      <c r="DV4" s="140" t="s">
        <v>168</v>
      </c>
      <c r="DW4" s="140">
        <v>432.6</v>
      </c>
      <c r="DX4" s="140" t="s">
        <v>204</v>
      </c>
      <c r="DY4" s="140" t="s">
        <v>204</v>
      </c>
      <c r="DZ4" s="140" t="s">
        <v>205</v>
      </c>
      <c r="EA4">
        <v>37.799999999999997</v>
      </c>
      <c r="EB4" t="s">
        <v>204</v>
      </c>
      <c r="EC4" t="s">
        <v>204</v>
      </c>
      <c r="ED4" t="s">
        <v>189</v>
      </c>
      <c r="EE4" s="140" t="s">
        <v>168</v>
      </c>
      <c r="EF4" s="140" t="s">
        <v>206</v>
      </c>
      <c r="EG4">
        <v>1.0271999999999999</v>
      </c>
      <c r="EH4" t="s">
        <v>207</v>
      </c>
      <c r="EI4" t="s">
        <v>207</v>
      </c>
      <c r="EJ4" t="s">
        <v>208</v>
      </c>
      <c r="EK4" t="s">
        <v>193</v>
      </c>
      <c r="EL4" t="s">
        <v>193</v>
      </c>
      <c r="EM4" s="140" t="s">
        <v>209</v>
      </c>
      <c r="EN4" s="140" t="s">
        <v>210</v>
      </c>
      <c r="EO4" s="140" t="s">
        <v>210</v>
      </c>
      <c r="EP4" s="140" t="s">
        <v>210</v>
      </c>
      <c r="EQ4" s="140" t="s">
        <v>211</v>
      </c>
      <c r="ER4" s="140" t="s">
        <v>210</v>
      </c>
      <c r="ES4" s="140" t="s">
        <v>212</v>
      </c>
      <c r="ET4" t="s">
        <v>213</v>
      </c>
      <c r="EU4" t="s">
        <v>214</v>
      </c>
      <c r="EV4" t="s">
        <v>189</v>
      </c>
      <c r="EW4">
        <v>1293</v>
      </c>
      <c r="EX4" t="s">
        <v>194</v>
      </c>
      <c r="EY4">
        <v>200</v>
      </c>
      <c r="EZ4">
        <v>200</v>
      </c>
      <c r="FA4" t="s">
        <v>168</v>
      </c>
      <c r="FB4" t="s">
        <v>168</v>
      </c>
      <c r="FC4" t="s">
        <v>168</v>
      </c>
      <c r="FD4" t="s">
        <v>168</v>
      </c>
      <c r="FE4" s="150">
        <v>7.9172038186827134</v>
      </c>
      <c r="FF4" t="s">
        <v>168</v>
      </c>
      <c r="FG4" s="140" t="s">
        <v>168</v>
      </c>
      <c r="FH4" s="140" t="s">
        <v>168</v>
      </c>
      <c r="FI4" s="151">
        <v>310.6649136327635</v>
      </c>
      <c r="FJ4" t="s">
        <v>215</v>
      </c>
      <c r="FK4" t="s">
        <v>215</v>
      </c>
      <c r="FL4" s="155">
        <v>310.6649136327635</v>
      </c>
      <c r="FM4" s="154">
        <v>57.664913632763501</v>
      </c>
      <c r="FN4" s="154">
        <v>58.335086367236499</v>
      </c>
      <c r="FO4" s="140" t="s">
        <v>216</v>
      </c>
      <c r="FP4" s="140" t="s">
        <v>217</v>
      </c>
      <c r="FQ4" t="s">
        <v>168</v>
      </c>
      <c r="FR4" t="s">
        <v>168</v>
      </c>
      <c r="FS4" t="s">
        <v>168</v>
      </c>
      <c r="FT4" t="s">
        <v>168</v>
      </c>
      <c r="FU4" t="s">
        <v>168</v>
      </c>
      <c r="FV4" t="s">
        <v>168</v>
      </c>
      <c r="FW4" t="s">
        <v>168</v>
      </c>
      <c r="FX4" t="s">
        <v>168</v>
      </c>
      <c r="FY4" t="s">
        <v>168</v>
      </c>
      <c r="FZ4" t="s">
        <v>168</v>
      </c>
      <c r="GA4" t="s">
        <v>168</v>
      </c>
      <c r="GB4" t="s">
        <v>168</v>
      </c>
      <c r="GC4" t="s">
        <v>168</v>
      </c>
    </row>
    <row r="5" spans="1:185" ht="17" customHeight="1">
      <c r="A5" t="s">
        <v>163</v>
      </c>
      <c r="B5" t="s">
        <v>164</v>
      </c>
      <c r="C5" s="138" t="s">
        <v>165</v>
      </c>
      <c r="D5" t="s">
        <v>166</v>
      </c>
      <c r="E5">
        <v>2013</v>
      </c>
      <c r="F5" t="s">
        <v>167</v>
      </c>
      <c r="G5">
        <f t="shared" ref="G5:G9" si="1">AS5</f>
        <v>13785.6227</v>
      </c>
      <c r="H5" s="140" t="str">
        <f t="shared" ref="H5:H9" si="2">AU5</f>
        <v>NA</v>
      </c>
      <c r="I5" s="140" t="str">
        <f t="shared" ref="I5:I9" si="3">AV5</f>
        <v>NA</v>
      </c>
      <c r="J5" s="154">
        <f t="shared" ref="J5:J9" si="4">FL5</f>
        <v>284.64508425932229</v>
      </c>
      <c r="K5" s="154">
        <f t="shared" ref="K5:K9" si="5">FM5</f>
        <v>53.645084259322289</v>
      </c>
      <c r="L5" s="154">
        <f t="shared" ref="L5:L9" si="6">FN5</f>
        <v>51.354915740677711</v>
      </c>
      <c r="M5" t="b">
        <v>1</v>
      </c>
      <c r="N5">
        <v>3</v>
      </c>
      <c r="O5" s="140" t="s">
        <v>236</v>
      </c>
      <c r="P5" s="140" t="s">
        <v>237</v>
      </c>
      <c r="Q5" t="b">
        <v>0</v>
      </c>
      <c r="R5" t="s">
        <v>168</v>
      </c>
      <c r="S5" t="b">
        <v>1</v>
      </c>
      <c r="T5" t="b">
        <v>0</v>
      </c>
      <c r="U5" t="s">
        <v>168</v>
      </c>
      <c r="V5" t="s">
        <v>168</v>
      </c>
      <c r="W5" t="b">
        <v>0</v>
      </c>
      <c r="X5" t="s">
        <v>168</v>
      </c>
      <c r="Y5" s="139" t="s">
        <v>169</v>
      </c>
      <c r="Z5" t="s">
        <v>167</v>
      </c>
      <c r="AA5" s="140" t="s">
        <v>170</v>
      </c>
      <c r="AB5" s="140" t="s">
        <v>168</v>
      </c>
      <c r="AC5" s="140" t="s">
        <v>168</v>
      </c>
      <c r="AD5" s="140" t="s">
        <v>168</v>
      </c>
      <c r="AE5" s="140" t="s">
        <v>168</v>
      </c>
      <c r="AF5" s="140" t="s">
        <v>168</v>
      </c>
      <c r="AG5" s="141">
        <v>13785.6227</v>
      </c>
      <c r="AH5" s="140">
        <v>0.7</v>
      </c>
      <c r="AI5" s="140" t="s">
        <v>171</v>
      </c>
      <c r="AJ5" s="142" t="s">
        <v>172</v>
      </c>
      <c r="AK5" s="143">
        <v>35.926000000000002</v>
      </c>
      <c r="AL5" s="143">
        <v>4.335</v>
      </c>
      <c r="AM5" s="142">
        <v>32.5</v>
      </c>
      <c r="AN5" s="142" t="s">
        <v>168</v>
      </c>
      <c r="AO5" s="142" t="s">
        <v>173</v>
      </c>
      <c r="AP5" s="144" t="s">
        <v>174</v>
      </c>
      <c r="AQ5" s="145" t="s">
        <v>175</v>
      </c>
      <c r="AR5" s="142" t="s">
        <v>168</v>
      </c>
      <c r="AS5" s="146">
        <v>13785.6227</v>
      </c>
      <c r="AT5" s="147" t="s">
        <v>176</v>
      </c>
      <c r="AU5" t="s">
        <v>168</v>
      </c>
      <c r="AV5" t="s">
        <v>168</v>
      </c>
      <c r="AW5" t="s">
        <v>168</v>
      </c>
      <c r="AX5" s="140" t="s">
        <v>177</v>
      </c>
      <c r="AY5" s="140" t="s">
        <v>178</v>
      </c>
      <c r="AZ5" t="s">
        <v>168</v>
      </c>
      <c r="BA5" t="s">
        <v>168</v>
      </c>
      <c r="BB5" t="s">
        <v>168</v>
      </c>
      <c r="BC5" t="s">
        <v>168</v>
      </c>
      <c r="BD5" t="s">
        <v>168</v>
      </c>
      <c r="BE5" t="s">
        <v>168</v>
      </c>
      <c r="BF5" t="s">
        <v>168</v>
      </c>
      <c r="BG5" s="148" t="s">
        <v>179</v>
      </c>
      <c r="BH5" t="s">
        <v>180</v>
      </c>
      <c r="BI5" t="s">
        <v>181</v>
      </c>
      <c r="BJ5" t="s">
        <v>182</v>
      </c>
      <c r="BK5" s="140" t="s">
        <v>183</v>
      </c>
      <c r="BL5" t="s">
        <v>184</v>
      </c>
      <c r="BM5" t="s">
        <v>185</v>
      </c>
      <c r="BN5" t="s">
        <v>168</v>
      </c>
      <c r="BO5">
        <v>2</v>
      </c>
      <c r="BP5" t="s">
        <v>168</v>
      </c>
      <c r="BQ5">
        <v>15.85</v>
      </c>
      <c r="BR5" t="s">
        <v>186</v>
      </c>
      <c r="BS5">
        <v>0.23</v>
      </c>
      <c r="BT5">
        <v>0.88</v>
      </c>
      <c r="BU5" s="140" t="s">
        <v>187</v>
      </c>
      <c r="BV5" s="140" t="s">
        <v>187</v>
      </c>
      <c r="BW5">
        <v>1.85</v>
      </c>
      <c r="BX5" s="140" t="s">
        <v>188</v>
      </c>
      <c r="BY5" s="140" t="s">
        <v>168</v>
      </c>
      <c r="BZ5" t="s">
        <v>189</v>
      </c>
      <c r="CA5" s="140" t="s">
        <v>190</v>
      </c>
      <c r="CB5" s="149">
        <v>15.885537244574834</v>
      </c>
      <c r="CC5" t="s">
        <v>191</v>
      </c>
      <c r="CD5" s="140">
        <f t="shared" ref="CD5:CD9" si="7">BS5</f>
        <v>0.23</v>
      </c>
      <c r="CE5" s="140" t="s">
        <v>192</v>
      </c>
      <c r="CF5" s="140" t="s">
        <v>193</v>
      </c>
      <c r="CG5" s="140">
        <v>0</v>
      </c>
      <c r="CH5" s="140" t="s">
        <v>168</v>
      </c>
      <c r="CI5" s="140" t="s">
        <v>168</v>
      </c>
      <c r="CJ5">
        <v>30.6</v>
      </c>
      <c r="CK5" t="s">
        <v>194</v>
      </c>
      <c r="CL5" s="140">
        <v>1</v>
      </c>
      <c r="CM5" s="140">
        <v>1</v>
      </c>
      <c r="CN5" s="146" t="s">
        <v>168</v>
      </c>
      <c r="CO5" s="140">
        <v>5.03</v>
      </c>
      <c r="CP5" s="140" t="s">
        <v>195</v>
      </c>
      <c r="CQ5" s="140">
        <v>0.10060000000000001</v>
      </c>
      <c r="CR5" s="140">
        <v>0.10060000000000001</v>
      </c>
      <c r="CS5" s="156" t="s">
        <v>196</v>
      </c>
      <c r="CT5" t="s">
        <v>197</v>
      </c>
      <c r="CU5" t="s">
        <v>168</v>
      </c>
      <c r="CV5" t="s">
        <v>198</v>
      </c>
      <c r="CW5" t="s">
        <v>168</v>
      </c>
      <c r="CX5" t="s">
        <v>168</v>
      </c>
      <c r="CY5" t="s">
        <v>168</v>
      </c>
      <c r="CZ5" t="s">
        <v>168</v>
      </c>
      <c r="DA5" t="s">
        <v>168</v>
      </c>
      <c r="DB5" t="s">
        <v>168</v>
      </c>
      <c r="DC5" t="s">
        <v>168</v>
      </c>
      <c r="DD5" t="s">
        <v>168</v>
      </c>
      <c r="DE5" t="s">
        <v>168</v>
      </c>
      <c r="DF5" t="s">
        <v>168</v>
      </c>
      <c r="DG5">
        <v>35</v>
      </c>
      <c r="DH5" t="s">
        <v>199</v>
      </c>
      <c r="DI5" t="s">
        <v>199</v>
      </c>
      <c r="DJ5" s="140" t="s">
        <v>200</v>
      </c>
      <c r="DK5" s="140">
        <v>1.4E-2</v>
      </c>
      <c r="DL5" s="140" t="s">
        <v>201</v>
      </c>
      <c r="DM5" s="140" t="s">
        <v>201</v>
      </c>
      <c r="DN5" s="140" t="s">
        <v>202</v>
      </c>
      <c r="DO5">
        <v>4.8000000000000001E-2</v>
      </c>
      <c r="DP5" s="140" t="s">
        <v>201</v>
      </c>
      <c r="DQ5" s="140" t="s">
        <v>201</v>
      </c>
      <c r="DR5" s="140" t="s">
        <v>202</v>
      </c>
      <c r="DS5" s="140" t="s">
        <v>203</v>
      </c>
      <c r="DT5" s="140" t="s">
        <v>201</v>
      </c>
      <c r="DU5" s="140" t="s">
        <v>201</v>
      </c>
      <c r="DV5" s="140" t="s">
        <v>168</v>
      </c>
      <c r="DW5" s="140">
        <v>432.6</v>
      </c>
      <c r="DX5" s="140" t="s">
        <v>204</v>
      </c>
      <c r="DY5" s="140" t="s">
        <v>204</v>
      </c>
      <c r="DZ5" s="140" t="s">
        <v>205</v>
      </c>
      <c r="EA5">
        <v>37.799999999999997</v>
      </c>
      <c r="EB5" t="s">
        <v>204</v>
      </c>
      <c r="EC5" t="s">
        <v>204</v>
      </c>
      <c r="ED5" t="s">
        <v>189</v>
      </c>
      <c r="EE5" s="140" t="s">
        <v>168</v>
      </c>
      <c r="EF5" s="140" t="s">
        <v>206</v>
      </c>
      <c r="EG5">
        <v>1.0271999999999999</v>
      </c>
      <c r="EH5" t="s">
        <v>207</v>
      </c>
      <c r="EI5" t="s">
        <v>207</v>
      </c>
      <c r="EJ5" t="s">
        <v>208</v>
      </c>
      <c r="EK5" t="s">
        <v>193</v>
      </c>
      <c r="EL5" t="s">
        <v>193</v>
      </c>
      <c r="EM5" s="140" t="s">
        <v>209</v>
      </c>
      <c r="EN5" s="140" t="s">
        <v>210</v>
      </c>
      <c r="EO5" s="140" t="s">
        <v>210</v>
      </c>
      <c r="EP5" s="140" t="s">
        <v>210</v>
      </c>
      <c r="EQ5" s="140" t="s">
        <v>211</v>
      </c>
      <c r="ER5" s="140" t="s">
        <v>210</v>
      </c>
      <c r="ES5" s="140" t="s">
        <v>212</v>
      </c>
      <c r="ET5" t="s">
        <v>213</v>
      </c>
      <c r="EU5" t="s">
        <v>214</v>
      </c>
      <c r="EV5" t="s">
        <v>189</v>
      </c>
      <c r="EW5">
        <v>1293</v>
      </c>
      <c r="EX5" t="s">
        <v>194</v>
      </c>
      <c r="EY5">
        <v>200</v>
      </c>
      <c r="EZ5">
        <v>200</v>
      </c>
      <c r="FA5" t="s">
        <v>168</v>
      </c>
      <c r="FB5" t="s">
        <v>168</v>
      </c>
      <c r="FC5" t="s">
        <v>168</v>
      </c>
      <c r="FD5" t="s">
        <v>168</v>
      </c>
      <c r="FE5" s="150">
        <v>7.9504905197991125</v>
      </c>
      <c r="FF5" t="s">
        <v>168</v>
      </c>
      <c r="FG5" s="140" t="s">
        <v>168</v>
      </c>
      <c r="FH5" s="140" t="s">
        <v>168</v>
      </c>
      <c r="FI5" s="151">
        <v>284.64508425932229</v>
      </c>
      <c r="FJ5" t="s">
        <v>215</v>
      </c>
      <c r="FK5" t="s">
        <v>215</v>
      </c>
      <c r="FL5" s="155">
        <v>284.64508425932229</v>
      </c>
      <c r="FM5" s="154">
        <v>53.645084259322289</v>
      </c>
      <c r="FN5" s="154">
        <v>51.354915740677711</v>
      </c>
      <c r="FO5" s="140" t="s">
        <v>216</v>
      </c>
      <c r="FP5" s="140" t="s">
        <v>217</v>
      </c>
      <c r="FQ5" t="s">
        <v>168</v>
      </c>
      <c r="FR5" t="s">
        <v>168</v>
      </c>
      <c r="FS5" t="s">
        <v>168</v>
      </c>
      <c r="FT5" t="s">
        <v>168</v>
      </c>
      <c r="FU5" t="s">
        <v>168</v>
      </c>
      <c r="FV5" t="s">
        <v>168</v>
      </c>
      <c r="FW5" t="s">
        <v>168</v>
      </c>
      <c r="FX5" t="s">
        <v>168</v>
      </c>
      <c r="FY5" t="s">
        <v>168</v>
      </c>
      <c r="FZ5" t="s">
        <v>168</v>
      </c>
      <c r="GA5" t="s">
        <v>168</v>
      </c>
      <c r="GB5" t="s">
        <v>168</v>
      </c>
      <c r="GC5" t="s">
        <v>168</v>
      </c>
    </row>
    <row r="6" spans="1:185" ht="17" customHeight="1">
      <c r="A6" t="s">
        <v>163</v>
      </c>
      <c r="B6" t="s">
        <v>164</v>
      </c>
      <c r="C6" s="138" t="s">
        <v>165</v>
      </c>
      <c r="D6" t="s">
        <v>166</v>
      </c>
      <c r="E6">
        <v>2013</v>
      </c>
      <c r="F6" t="s">
        <v>167</v>
      </c>
      <c r="G6">
        <f t="shared" si="1"/>
        <v>13766</v>
      </c>
      <c r="H6" s="140" t="str">
        <f t="shared" si="2"/>
        <v>NA</v>
      </c>
      <c r="I6" s="140" t="str">
        <f t="shared" si="3"/>
        <v>NA</v>
      </c>
      <c r="J6" s="154">
        <f t="shared" si="4"/>
        <v>298.50006447832828</v>
      </c>
      <c r="K6" s="154">
        <f t="shared" si="5"/>
        <v>54.500064478328284</v>
      </c>
      <c r="L6" s="154">
        <f t="shared" si="6"/>
        <v>57.499935521671716</v>
      </c>
      <c r="M6" t="b">
        <v>1</v>
      </c>
      <c r="N6">
        <v>3</v>
      </c>
      <c r="O6" s="140" t="s">
        <v>236</v>
      </c>
      <c r="P6" s="140" t="s">
        <v>237</v>
      </c>
      <c r="Q6" t="b">
        <v>0</v>
      </c>
      <c r="R6" t="s">
        <v>168</v>
      </c>
      <c r="S6" t="b">
        <v>1</v>
      </c>
      <c r="T6" t="b">
        <v>0</v>
      </c>
      <c r="U6" t="s">
        <v>168</v>
      </c>
      <c r="V6" t="s">
        <v>168</v>
      </c>
      <c r="W6" t="b">
        <v>0</v>
      </c>
      <c r="X6" t="s">
        <v>168</v>
      </c>
      <c r="Y6" s="139" t="s">
        <v>169</v>
      </c>
      <c r="Z6" t="s">
        <v>167</v>
      </c>
      <c r="AA6" s="140" t="s">
        <v>170</v>
      </c>
      <c r="AB6" s="140" t="s">
        <v>168</v>
      </c>
      <c r="AC6" s="140" t="s">
        <v>168</v>
      </c>
      <c r="AD6" s="140" t="s">
        <v>168</v>
      </c>
      <c r="AE6" s="140" t="s">
        <v>168</v>
      </c>
      <c r="AF6" s="140" t="s">
        <v>168</v>
      </c>
      <c r="AG6" s="141">
        <v>13772.737789999999</v>
      </c>
      <c r="AH6" s="140" t="s">
        <v>218</v>
      </c>
      <c r="AI6" s="140" t="s">
        <v>171</v>
      </c>
      <c r="AJ6" s="142" t="s">
        <v>172</v>
      </c>
      <c r="AK6" s="143">
        <v>35.926000000000002</v>
      </c>
      <c r="AL6" s="143">
        <v>4.335</v>
      </c>
      <c r="AM6" s="142">
        <v>32.5</v>
      </c>
      <c r="AN6" s="142" t="s">
        <v>168</v>
      </c>
      <c r="AO6" s="142" t="s">
        <v>173</v>
      </c>
      <c r="AP6" s="144" t="s">
        <v>174</v>
      </c>
      <c r="AQ6" s="145" t="s">
        <v>175</v>
      </c>
      <c r="AR6" s="142" t="s">
        <v>168</v>
      </c>
      <c r="AS6" s="146">
        <v>13766</v>
      </c>
      <c r="AT6" s="147" t="s">
        <v>176</v>
      </c>
      <c r="AU6" t="s">
        <v>168</v>
      </c>
      <c r="AV6" t="s">
        <v>168</v>
      </c>
      <c r="AW6" t="s">
        <v>168</v>
      </c>
      <c r="AX6" s="140" t="s">
        <v>177</v>
      </c>
      <c r="AY6" s="140" t="s">
        <v>178</v>
      </c>
      <c r="AZ6" t="s">
        <v>168</v>
      </c>
      <c r="BA6" t="s">
        <v>168</v>
      </c>
      <c r="BB6" t="s">
        <v>168</v>
      </c>
      <c r="BC6" t="s">
        <v>168</v>
      </c>
      <c r="BD6" t="s">
        <v>168</v>
      </c>
      <c r="BE6" t="s">
        <v>168</v>
      </c>
      <c r="BF6" t="s">
        <v>168</v>
      </c>
      <c r="BG6" s="148" t="s">
        <v>179</v>
      </c>
      <c r="BH6" t="s">
        <v>180</v>
      </c>
      <c r="BI6" t="s">
        <v>181</v>
      </c>
      <c r="BJ6" t="s">
        <v>182</v>
      </c>
      <c r="BK6" s="140" t="s">
        <v>183</v>
      </c>
      <c r="BL6" t="s">
        <v>184</v>
      </c>
      <c r="BM6" t="s">
        <v>185</v>
      </c>
      <c r="BN6" t="s">
        <v>168</v>
      </c>
      <c r="BO6">
        <v>2</v>
      </c>
      <c r="BP6" t="s">
        <v>168</v>
      </c>
      <c r="BQ6">
        <v>15.75</v>
      </c>
      <c r="BR6" t="s">
        <v>186</v>
      </c>
      <c r="BS6">
        <v>0.23</v>
      </c>
      <c r="BT6">
        <v>0.88</v>
      </c>
      <c r="BU6" s="140" t="s">
        <v>187</v>
      </c>
      <c r="BV6" s="140" t="s">
        <v>187</v>
      </c>
      <c r="BW6">
        <v>1.85</v>
      </c>
      <c r="BX6" s="140" t="s">
        <v>188</v>
      </c>
      <c r="BY6" s="140" t="s">
        <v>168</v>
      </c>
      <c r="BZ6" t="s">
        <v>189</v>
      </c>
      <c r="CA6" s="140" t="s">
        <v>190</v>
      </c>
      <c r="CB6" s="149">
        <v>15.770836500469056</v>
      </c>
      <c r="CC6" t="s">
        <v>191</v>
      </c>
      <c r="CD6" s="140">
        <f t="shared" si="7"/>
        <v>0.23</v>
      </c>
      <c r="CE6" s="140" t="s">
        <v>192</v>
      </c>
      <c r="CF6" s="140" t="s">
        <v>193</v>
      </c>
      <c r="CG6" s="140">
        <v>0</v>
      </c>
      <c r="CH6" s="140" t="s">
        <v>168</v>
      </c>
      <c r="CI6" s="140" t="s">
        <v>168</v>
      </c>
      <c r="CJ6">
        <v>31.4</v>
      </c>
      <c r="CK6" t="s">
        <v>194</v>
      </c>
      <c r="CL6" s="140">
        <v>1</v>
      </c>
      <c r="CM6" s="140">
        <v>1</v>
      </c>
      <c r="CN6" s="146" t="s">
        <v>168</v>
      </c>
      <c r="CO6" s="140">
        <v>5.43</v>
      </c>
      <c r="CP6" s="140" t="s">
        <v>195</v>
      </c>
      <c r="CQ6" s="140">
        <v>0.1086</v>
      </c>
      <c r="CR6" s="140">
        <v>0.1086</v>
      </c>
      <c r="CS6" s="156" t="s">
        <v>196</v>
      </c>
      <c r="CT6" t="s">
        <v>197</v>
      </c>
      <c r="CU6" t="s">
        <v>168</v>
      </c>
      <c r="CV6" t="s">
        <v>198</v>
      </c>
      <c r="CW6" t="s">
        <v>168</v>
      </c>
      <c r="CX6" t="s">
        <v>168</v>
      </c>
      <c r="CY6" t="s">
        <v>168</v>
      </c>
      <c r="CZ6" t="s">
        <v>168</v>
      </c>
      <c r="DA6" t="s">
        <v>168</v>
      </c>
      <c r="DB6" t="s">
        <v>168</v>
      </c>
      <c r="DC6" t="s">
        <v>168</v>
      </c>
      <c r="DD6" t="s">
        <v>168</v>
      </c>
      <c r="DE6" t="s">
        <v>168</v>
      </c>
      <c r="DF6" t="s">
        <v>168</v>
      </c>
      <c r="DG6">
        <v>35</v>
      </c>
      <c r="DH6" t="s">
        <v>199</v>
      </c>
      <c r="DI6" t="s">
        <v>199</v>
      </c>
      <c r="DJ6" s="140" t="s">
        <v>200</v>
      </c>
      <c r="DK6" s="140">
        <v>1.4E-2</v>
      </c>
      <c r="DL6" s="140" t="s">
        <v>201</v>
      </c>
      <c r="DM6" s="140" t="s">
        <v>201</v>
      </c>
      <c r="DN6" s="140" t="s">
        <v>202</v>
      </c>
      <c r="DO6">
        <v>4.8000000000000001E-2</v>
      </c>
      <c r="DP6" s="140" t="s">
        <v>201</v>
      </c>
      <c r="DQ6" s="140" t="s">
        <v>201</v>
      </c>
      <c r="DR6" s="140" t="s">
        <v>202</v>
      </c>
      <c r="DS6" s="140" t="s">
        <v>203</v>
      </c>
      <c r="DT6" s="140" t="s">
        <v>201</v>
      </c>
      <c r="DU6" s="140" t="s">
        <v>201</v>
      </c>
      <c r="DV6" s="140" t="s">
        <v>168</v>
      </c>
      <c r="DW6" s="140">
        <v>432.6</v>
      </c>
      <c r="DX6" s="140" t="s">
        <v>204</v>
      </c>
      <c r="DY6" s="140" t="s">
        <v>204</v>
      </c>
      <c r="DZ6" s="140" t="s">
        <v>205</v>
      </c>
      <c r="EA6">
        <v>37.799999999999997</v>
      </c>
      <c r="EB6" t="s">
        <v>204</v>
      </c>
      <c r="EC6" t="s">
        <v>204</v>
      </c>
      <c r="ED6" t="s">
        <v>189</v>
      </c>
      <c r="EE6" s="140" t="s">
        <v>168</v>
      </c>
      <c r="EF6" s="140" t="s">
        <v>206</v>
      </c>
      <c r="EG6">
        <v>1.0271999999999999</v>
      </c>
      <c r="EH6" t="s">
        <v>207</v>
      </c>
      <c r="EI6" t="s">
        <v>207</v>
      </c>
      <c r="EJ6" t="s">
        <v>208</v>
      </c>
      <c r="EK6" t="s">
        <v>193</v>
      </c>
      <c r="EL6" t="s">
        <v>193</v>
      </c>
      <c r="EM6" s="140" t="s">
        <v>209</v>
      </c>
      <c r="EN6" s="140" t="s">
        <v>210</v>
      </c>
      <c r="EO6" s="140" t="s">
        <v>210</v>
      </c>
      <c r="EP6" s="140" t="s">
        <v>210</v>
      </c>
      <c r="EQ6" s="140" t="s">
        <v>211</v>
      </c>
      <c r="ER6" s="140" t="s">
        <v>210</v>
      </c>
      <c r="ES6" s="140" t="s">
        <v>212</v>
      </c>
      <c r="ET6" t="s">
        <v>213</v>
      </c>
      <c r="EU6" t="s">
        <v>214</v>
      </c>
      <c r="EV6" t="s">
        <v>189</v>
      </c>
      <c r="EW6">
        <v>1293</v>
      </c>
      <c r="EX6" t="s">
        <v>194</v>
      </c>
      <c r="EY6">
        <v>200</v>
      </c>
      <c r="EZ6">
        <v>200</v>
      </c>
      <c r="FA6" t="s">
        <v>168</v>
      </c>
      <c r="FB6" t="s">
        <v>168</v>
      </c>
      <c r="FC6" t="s">
        <v>168</v>
      </c>
      <c r="FD6" t="s">
        <v>168</v>
      </c>
      <c r="FE6" s="150">
        <v>7.9333496536337176</v>
      </c>
      <c r="FF6" t="s">
        <v>168</v>
      </c>
      <c r="FG6" s="140" t="s">
        <v>168</v>
      </c>
      <c r="FH6" s="140" t="s">
        <v>168</v>
      </c>
      <c r="FI6" s="151">
        <v>298.50006447832828</v>
      </c>
      <c r="FJ6" t="s">
        <v>215</v>
      </c>
      <c r="FK6" t="s">
        <v>215</v>
      </c>
      <c r="FL6" s="155">
        <v>298.50006447832828</v>
      </c>
      <c r="FM6" s="154">
        <v>54.500064478328284</v>
      </c>
      <c r="FN6" s="154">
        <v>57.499935521671716</v>
      </c>
      <c r="FO6" s="140" t="s">
        <v>216</v>
      </c>
      <c r="FP6" s="140" t="s">
        <v>217</v>
      </c>
      <c r="FQ6" t="s">
        <v>168</v>
      </c>
      <c r="FR6" t="s">
        <v>168</v>
      </c>
      <c r="FS6" t="s">
        <v>168</v>
      </c>
      <c r="FT6" t="s">
        <v>168</v>
      </c>
      <c r="FU6" t="s">
        <v>168</v>
      </c>
      <c r="FV6" t="s">
        <v>168</v>
      </c>
      <c r="FW6" t="s">
        <v>168</v>
      </c>
      <c r="FX6" t="s">
        <v>168</v>
      </c>
      <c r="FY6" t="s">
        <v>168</v>
      </c>
      <c r="FZ6" t="s">
        <v>168</v>
      </c>
      <c r="GA6" t="s">
        <v>168</v>
      </c>
      <c r="GB6" t="s">
        <v>168</v>
      </c>
      <c r="GC6" t="s">
        <v>168</v>
      </c>
    </row>
    <row r="7" spans="1:185" ht="17" customHeight="1">
      <c r="A7" t="s">
        <v>163</v>
      </c>
      <c r="B7" t="s">
        <v>164</v>
      </c>
      <c r="C7" s="138" t="s">
        <v>165</v>
      </c>
      <c r="D7" t="s">
        <v>166</v>
      </c>
      <c r="E7">
        <v>2013</v>
      </c>
      <c r="F7" t="s">
        <v>167</v>
      </c>
      <c r="G7">
        <f t="shared" si="1"/>
        <v>13740.5255</v>
      </c>
      <c r="H7" s="140" t="str">
        <f t="shared" si="2"/>
        <v>NA</v>
      </c>
      <c r="I7" s="140" t="str">
        <f t="shared" si="3"/>
        <v>NA</v>
      </c>
      <c r="J7" s="154">
        <f t="shared" si="4"/>
        <v>233.5263595284151</v>
      </c>
      <c r="K7" s="154">
        <f t="shared" si="5"/>
        <v>46.526359528415099</v>
      </c>
      <c r="L7" s="154">
        <f t="shared" si="6"/>
        <v>39.473640471584901</v>
      </c>
      <c r="M7" t="b">
        <v>1</v>
      </c>
      <c r="N7">
        <v>3</v>
      </c>
      <c r="O7" s="140" t="s">
        <v>236</v>
      </c>
      <c r="P7" s="140" t="s">
        <v>237</v>
      </c>
      <c r="Q7" t="b">
        <v>0</v>
      </c>
      <c r="R7" t="s">
        <v>168</v>
      </c>
      <c r="S7" t="b">
        <v>1</v>
      </c>
      <c r="T7" t="b">
        <v>0</v>
      </c>
      <c r="U7" t="s">
        <v>168</v>
      </c>
      <c r="V7" t="s">
        <v>168</v>
      </c>
      <c r="W7" t="b">
        <v>0</v>
      </c>
      <c r="X7" t="s">
        <v>168</v>
      </c>
      <c r="Y7" s="139" t="s">
        <v>169</v>
      </c>
      <c r="Z7" t="s">
        <v>167</v>
      </c>
      <c r="AA7" s="140" t="s">
        <v>170</v>
      </c>
      <c r="AB7" s="140" t="s">
        <v>168</v>
      </c>
      <c r="AC7" s="140" t="s">
        <v>168</v>
      </c>
      <c r="AD7" s="140" t="s">
        <v>168</v>
      </c>
      <c r="AE7" s="140" t="s">
        <v>168</v>
      </c>
      <c r="AF7" s="140" t="s">
        <v>168</v>
      </c>
      <c r="AG7" s="141">
        <v>13740.5255</v>
      </c>
      <c r="AH7" s="140">
        <v>3.15</v>
      </c>
      <c r="AI7" s="140" t="s">
        <v>171</v>
      </c>
      <c r="AJ7" s="142" t="s">
        <v>172</v>
      </c>
      <c r="AK7" s="143">
        <v>35.926000000000002</v>
      </c>
      <c r="AL7" s="143">
        <v>4.335</v>
      </c>
      <c r="AM7" s="142">
        <v>32.5</v>
      </c>
      <c r="AN7" s="142" t="s">
        <v>168</v>
      </c>
      <c r="AO7" s="142" t="s">
        <v>173</v>
      </c>
      <c r="AP7" s="144" t="s">
        <v>174</v>
      </c>
      <c r="AQ7" s="145" t="s">
        <v>219</v>
      </c>
      <c r="AR7" s="142" t="s">
        <v>168</v>
      </c>
      <c r="AS7" s="146">
        <v>13740.5255</v>
      </c>
      <c r="AT7" s="147" t="s">
        <v>176</v>
      </c>
      <c r="AU7" t="s">
        <v>168</v>
      </c>
      <c r="AV7" t="s">
        <v>168</v>
      </c>
      <c r="AW7" t="s">
        <v>168</v>
      </c>
      <c r="AX7" s="140" t="s">
        <v>177</v>
      </c>
      <c r="AY7" s="140" t="s">
        <v>178</v>
      </c>
      <c r="AZ7" t="s">
        <v>168</v>
      </c>
      <c r="BA7" t="s">
        <v>168</v>
      </c>
      <c r="BB7" t="s">
        <v>168</v>
      </c>
      <c r="BC7" t="s">
        <v>168</v>
      </c>
      <c r="BD7" t="s">
        <v>168</v>
      </c>
      <c r="BE7" t="s">
        <v>168</v>
      </c>
      <c r="BF7" t="s">
        <v>168</v>
      </c>
      <c r="BG7" s="148" t="s">
        <v>179</v>
      </c>
      <c r="BH7" t="s">
        <v>180</v>
      </c>
      <c r="BI7" t="s">
        <v>181</v>
      </c>
      <c r="BJ7" t="s">
        <v>182</v>
      </c>
      <c r="BK7" s="140" t="s">
        <v>183</v>
      </c>
      <c r="BL7" t="s">
        <v>184</v>
      </c>
      <c r="BM7" t="s">
        <v>185</v>
      </c>
      <c r="BN7" t="s">
        <v>168</v>
      </c>
      <c r="BO7">
        <v>2</v>
      </c>
      <c r="BP7" t="s">
        <v>168</v>
      </c>
      <c r="BQ7">
        <v>16.53</v>
      </c>
      <c r="BR7" t="s">
        <v>186</v>
      </c>
      <c r="BS7">
        <v>0.23</v>
      </c>
      <c r="BT7">
        <v>0.88</v>
      </c>
      <c r="BU7" s="140" t="s">
        <v>187</v>
      </c>
      <c r="BV7" s="140" t="s">
        <v>187</v>
      </c>
      <c r="BW7">
        <v>1.85</v>
      </c>
      <c r="BX7" s="140" t="s">
        <v>188</v>
      </c>
      <c r="BY7" s="140" t="s">
        <v>168</v>
      </c>
      <c r="BZ7" t="s">
        <v>189</v>
      </c>
      <c r="CA7" s="140" t="s">
        <v>190</v>
      </c>
      <c r="CB7" s="149">
        <v>16.65558748411064</v>
      </c>
      <c r="CC7" t="s">
        <v>191</v>
      </c>
      <c r="CD7" s="140">
        <f t="shared" si="7"/>
        <v>0.23</v>
      </c>
      <c r="CE7" s="140" t="s">
        <v>192</v>
      </c>
      <c r="CF7" s="140" t="s">
        <v>193</v>
      </c>
      <c r="CG7" s="140">
        <v>0</v>
      </c>
      <c r="CH7" s="140" t="s">
        <v>168</v>
      </c>
      <c r="CI7" s="140" t="s">
        <v>168</v>
      </c>
      <c r="CJ7">
        <v>30.5</v>
      </c>
      <c r="CK7" t="s">
        <v>194</v>
      </c>
      <c r="CL7" s="140">
        <v>1</v>
      </c>
      <c r="CM7" s="140">
        <v>1</v>
      </c>
      <c r="CN7" s="146" t="s">
        <v>168</v>
      </c>
      <c r="CO7" s="140">
        <v>5</v>
      </c>
      <c r="CP7" s="140" t="s">
        <v>195</v>
      </c>
      <c r="CQ7" s="140">
        <v>0.1</v>
      </c>
      <c r="CR7" s="140">
        <v>0.1</v>
      </c>
      <c r="CS7" s="156" t="s">
        <v>196</v>
      </c>
      <c r="CT7" t="s">
        <v>197</v>
      </c>
      <c r="CU7" t="s">
        <v>168</v>
      </c>
      <c r="CV7" t="s">
        <v>198</v>
      </c>
      <c r="CW7" t="s">
        <v>168</v>
      </c>
      <c r="CX7" t="s">
        <v>168</v>
      </c>
      <c r="CY7" t="s">
        <v>168</v>
      </c>
      <c r="CZ7" t="s">
        <v>168</v>
      </c>
      <c r="DA7" t="s">
        <v>168</v>
      </c>
      <c r="DB7" t="s">
        <v>168</v>
      </c>
      <c r="DC7" t="s">
        <v>168</v>
      </c>
      <c r="DD7" t="s">
        <v>168</v>
      </c>
      <c r="DE7" t="s">
        <v>168</v>
      </c>
      <c r="DF7" t="s">
        <v>168</v>
      </c>
      <c r="DG7">
        <v>35</v>
      </c>
      <c r="DH7" t="s">
        <v>199</v>
      </c>
      <c r="DI7" t="s">
        <v>199</v>
      </c>
      <c r="DJ7" s="140" t="s">
        <v>200</v>
      </c>
      <c r="DK7" s="140">
        <v>1.4E-2</v>
      </c>
      <c r="DL7" s="140" t="s">
        <v>201</v>
      </c>
      <c r="DM7" s="140" t="s">
        <v>201</v>
      </c>
      <c r="DN7" s="140" t="s">
        <v>202</v>
      </c>
      <c r="DO7">
        <v>4.8000000000000001E-2</v>
      </c>
      <c r="DP7" s="140" t="s">
        <v>201</v>
      </c>
      <c r="DQ7" s="140" t="s">
        <v>201</v>
      </c>
      <c r="DR7" s="140" t="s">
        <v>202</v>
      </c>
      <c r="DS7" s="140" t="s">
        <v>203</v>
      </c>
      <c r="DT7" s="140" t="s">
        <v>201</v>
      </c>
      <c r="DU7" s="140" t="s">
        <v>201</v>
      </c>
      <c r="DV7" s="140" t="s">
        <v>168</v>
      </c>
      <c r="DW7" s="140">
        <v>432.6</v>
      </c>
      <c r="DX7" s="140" t="s">
        <v>204</v>
      </c>
      <c r="DY7" s="140" t="s">
        <v>204</v>
      </c>
      <c r="DZ7" s="140" t="s">
        <v>205</v>
      </c>
      <c r="EA7">
        <v>37.799999999999997</v>
      </c>
      <c r="EB7" t="s">
        <v>204</v>
      </c>
      <c r="EC7" t="s">
        <v>204</v>
      </c>
      <c r="ED7" t="s">
        <v>189</v>
      </c>
      <c r="EE7" s="140" t="s">
        <v>168</v>
      </c>
      <c r="EF7" s="140" t="s">
        <v>206</v>
      </c>
      <c r="EG7">
        <v>1.0271999999999999</v>
      </c>
      <c r="EH7" t="s">
        <v>207</v>
      </c>
      <c r="EI7" t="s">
        <v>207</v>
      </c>
      <c r="EJ7" t="s">
        <v>208</v>
      </c>
      <c r="EK7" t="s">
        <v>193</v>
      </c>
      <c r="EL7" t="s">
        <v>193</v>
      </c>
      <c r="EM7" s="140" t="s">
        <v>209</v>
      </c>
      <c r="EN7" s="140" t="s">
        <v>210</v>
      </c>
      <c r="EO7" s="140" t="s">
        <v>210</v>
      </c>
      <c r="EP7" s="140" t="s">
        <v>210</v>
      </c>
      <c r="EQ7" s="140" t="s">
        <v>211</v>
      </c>
      <c r="ER7" s="140" t="s">
        <v>210</v>
      </c>
      <c r="ES7" s="140" t="s">
        <v>212</v>
      </c>
      <c r="ET7" t="s">
        <v>213</v>
      </c>
      <c r="EU7" t="s">
        <v>214</v>
      </c>
      <c r="EV7" t="s">
        <v>189</v>
      </c>
      <c r="EW7">
        <v>1293</v>
      </c>
      <c r="EX7" t="s">
        <v>194</v>
      </c>
      <c r="EY7">
        <v>200</v>
      </c>
      <c r="EZ7">
        <v>200</v>
      </c>
      <c r="FA7" t="s">
        <v>168</v>
      </c>
      <c r="FB7" t="s">
        <v>168</v>
      </c>
      <c r="FC7" t="s">
        <v>168</v>
      </c>
      <c r="FD7" t="s">
        <v>168</v>
      </c>
      <c r="FE7" s="150">
        <v>8.0184879917277474</v>
      </c>
      <c r="FF7" t="s">
        <v>168</v>
      </c>
      <c r="FG7" s="140" t="s">
        <v>168</v>
      </c>
      <c r="FH7" s="140" t="s">
        <v>168</v>
      </c>
      <c r="FI7" s="151">
        <v>233.5263595284151</v>
      </c>
      <c r="FJ7" t="s">
        <v>215</v>
      </c>
      <c r="FK7" t="s">
        <v>215</v>
      </c>
      <c r="FL7" s="155">
        <v>233.5263595284151</v>
      </c>
      <c r="FM7" s="154">
        <v>46.526359528415099</v>
      </c>
      <c r="FN7" s="154">
        <v>39.473640471584901</v>
      </c>
      <c r="FO7" s="140" t="s">
        <v>216</v>
      </c>
      <c r="FP7" s="140" t="s">
        <v>217</v>
      </c>
      <c r="FQ7" t="s">
        <v>168</v>
      </c>
      <c r="FR7" t="s">
        <v>168</v>
      </c>
      <c r="FS7" t="s">
        <v>168</v>
      </c>
      <c r="FT7" t="s">
        <v>168</v>
      </c>
      <c r="FU7" t="s">
        <v>168</v>
      </c>
      <c r="FV7" t="s">
        <v>168</v>
      </c>
      <c r="FW7" t="s">
        <v>168</v>
      </c>
      <c r="FX7" t="s">
        <v>168</v>
      </c>
      <c r="FY7" t="s">
        <v>168</v>
      </c>
      <c r="FZ7" t="s">
        <v>168</v>
      </c>
      <c r="GA7" t="s">
        <v>168</v>
      </c>
      <c r="GB7" t="s">
        <v>168</v>
      </c>
      <c r="GC7" t="s">
        <v>168</v>
      </c>
    </row>
    <row r="8" spans="1:185" ht="17" customHeight="1">
      <c r="A8" t="s">
        <v>163</v>
      </c>
      <c r="B8" t="s">
        <v>164</v>
      </c>
      <c r="C8" s="138" t="s">
        <v>165</v>
      </c>
      <c r="D8" t="s">
        <v>166</v>
      </c>
      <c r="E8">
        <v>2013</v>
      </c>
      <c r="F8" t="s">
        <v>167</v>
      </c>
      <c r="G8">
        <f t="shared" si="1"/>
        <v>13735.67484</v>
      </c>
      <c r="H8" s="140" t="str">
        <f t="shared" si="2"/>
        <v>NA</v>
      </c>
      <c r="I8" s="140" t="str">
        <f t="shared" si="3"/>
        <v>NA</v>
      </c>
      <c r="J8" s="154">
        <f t="shared" si="4"/>
        <v>264.54570081331531</v>
      </c>
      <c r="K8" s="154">
        <f t="shared" si="5"/>
        <v>56.545700813315307</v>
      </c>
      <c r="L8" s="154">
        <f t="shared" si="6"/>
        <v>38.454299186684693</v>
      </c>
      <c r="M8" t="b">
        <v>1</v>
      </c>
      <c r="N8">
        <v>3</v>
      </c>
      <c r="O8" s="140" t="s">
        <v>236</v>
      </c>
      <c r="P8" s="140" t="s">
        <v>237</v>
      </c>
      <c r="Q8" t="b">
        <v>0</v>
      </c>
      <c r="R8" t="s">
        <v>168</v>
      </c>
      <c r="S8" t="b">
        <v>1</v>
      </c>
      <c r="T8" t="b">
        <v>0</v>
      </c>
      <c r="U8" t="s">
        <v>168</v>
      </c>
      <c r="V8" t="s">
        <v>168</v>
      </c>
      <c r="W8" t="b">
        <v>0</v>
      </c>
      <c r="X8" t="s">
        <v>168</v>
      </c>
      <c r="Y8" s="139" t="s">
        <v>169</v>
      </c>
      <c r="Z8" t="s">
        <v>167</v>
      </c>
      <c r="AA8" s="140" t="s">
        <v>170</v>
      </c>
      <c r="AB8" s="140" t="s">
        <v>168</v>
      </c>
      <c r="AC8" s="140" t="s">
        <v>168</v>
      </c>
      <c r="AD8" s="140" t="s">
        <v>168</v>
      </c>
      <c r="AE8" s="140" t="s">
        <v>168</v>
      </c>
      <c r="AF8" s="140" t="s">
        <v>168</v>
      </c>
      <c r="AG8" s="141">
        <v>13735.67484</v>
      </c>
      <c r="AH8" s="140">
        <v>3.5</v>
      </c>
      <c r="AI8" s="140" t="s">
        <v>171</v>
      </c>
      <c r="AJ8" s="142" t="s">
        <v>172</v>
      </c>
      <c r="AK8" s="143">
        <v>35.926000000000002</v>
      </c>
      <c r="AL8" s="143">
        <v>4.335</v>
      </c>
      <c r="AM8" s="142">
        <v>32.5</v>
      </c>
      <c r="AN8" s="142" t="s">
        <v>168</v>
      </c>
      <c r="AO8" s="142" t="s">
        <v>173</v>
      </c>
      <c r="AP8" s="144" t="s">
        <v>174</v>
      </c>
      <c r="AQ8" s="145" t="s">
        <v>219</v>
      </c>
      <c r="AR8" s="142" t="s">
        <v>168</v>
      </c>
      <c r="AS8" s="146">
        <v>13735.67484</v>
      </c>
      <c r="AT8" s="147" t="s">
        <v>176</v>
      </c>
      <c r="AU8" t="s">
        <v>168</v>
      </c>
      <c r="AV8" t="s">
        <v>168</v>
      </c>
      <c r="AW8" t="s">
        <v>168</v>
      </c>
      <c r="AX8" s="140" t="s">
        <v>177</v>
      </c>
      <c r="AY8" s="140" t="s">
        <v>178</v>
      </c>
      <c r="AZ8" t="s">
        <v>168</v>
      </c>
      <c r="BA8" t="s">
        <v>168</v>
      </c>
      <c r="BB8" t="s">
        <v>168</v>
      </c>
      <c r="BC8" t="s">
        <v>168</v>
      </c>
      <c r="BD8" t="s">
        <v>168</v>
      </c>
      <c r="BE8" t="s">
        <v>168</v>
      </c>
      <c r="BF8" t="s">
        <v>168</v>
      </c>
      <c r="BG8" s="148" t="s">
        <v>179</v>
      </c>
      <c r="BH8" t="s">
        <v>180</v>
      </c>
      <c r="BI8" t="s">
        <v>181</v>
      </c>
      <c r="BJ8" t="s">
        <v>182</v>
      </c>
      <c r="BK8" s="140" t="s">
        <v>183</v>
      </c>
      <c r="BL8" t="s">
        <v>184</v>
      </c>
      <c r="BM8" t="s">
        <v>185</v>
      </c>
      <c r="BN8" t="s">
        <v>168</v>
      </c>
      <c r="BO8">
        <v>2</v>
      </c>
      <c r="BP8" t="s">
        <v>168</v>
      </c>
      <c r="BQ8">
        <v>15.98</v>
      </c>
      <c r="BR8" t="s">
        <v>186</v>
      </c>
      <c r="BS8">
        <v>0.23</v>
      </c>
      <c r="BT8">
        <v>0.88</v>
      </c>
      <c r="BU8" s="140" t="s">
        <v>187</v>
      </c>
      <c r="BV8" s="140" t="s">
        <v>187</v>
      </c>
      <c r="BW8">
        <v>1.85</v>
      </c>
      <c r="BX8" s="140" t="s">
        <v>188</v>
      </c>
      <c r="BY8" s="140" t="s">
        <v>168</v>
      </c>
      <c r="BZ8" t="s">
        <v>189</v>
      </c>
      <c r="CA8" s="140" t="s">
        <v>190</v>
      </c>
      <c r="CB8" s="149">
        <v>16.027506482167354</v>
      </c>
      <c r="CC8" t="s">
        <v>191</v>
      </c>
      <c r="CD8" s="140">
        <f t="shared" si="7"/>
        <v>0.23</v>
      </c>
      <c r="CE8" s="140" t="s">
        <v>192</v>
      </c>
      <c r="CF8" s="140" t="s">
        <v>193</v>
      </c>
      <c r="CG8" s="140">
        <v>0</v>
      </c>
      <c r="CH8" s="140" t="s">
        <v>168</v>
      </c>
      <c r="CI8" s="140" t="s">
        <v>168</v>
      </c>
      <c r="CJ8">
        <v>28.4</v>
      </c>
      <c r="CK8" t="s">
        <v>194</v>
      </c>
      <c r="CL8" s="140">
        <v>1</v>
      </c>
      <c r="CM8" s="140">
        <v>1</v>
      </c>
      <c r="CN8" s="146" t="s">
        <v>168</v>
      </c>
      <c r="CO8" s="140">
        <v>4.13</v>
      </c>
      <c r="CP8" s="140" t="s">
        <v>195</v>
      </c>
      <c r="CQ8" s="140">
        <v>8.2599999999999993E-2</v>
      </c>
      <c r="CR8" s="140">
        <v>8.2599999999999993E-2</v>
      </c>
      <c r="CS8" s="156" t="s">
        <v>196</v>
      </c>
      <c r="CT8" t="s">
        <v>197</v>
      </c>
      <c r="CU8" t="s">
        <v>168</v>
      </c>
      <c r="CV8" t="s">
        <v>198</v>
      </c>
      <c r="CW8" t="s">
        <v>168</v>
      </c>
      <c r="CX8" t="s">
        <v>168</v>
      </c>
      <c r="CY8" t="s">
        <v>168</v>
      </c>
      <c r="CZ8" t="s">
        <v>168</v>
      </c>
      <c r="DA8" t="s">
        <v>168</v>
      </c>
      <c r="DB8" t="s">
        <v>168</v>
      </c>
      <c r="DC8" t="s">
        <v>168</v>
      </c>
      <c r="DD8" t="s">
        <v>168</v>
      </c>
      <c r="DE8" t="s">
        <v>168</v>
      </c>
      <c r="DF8" t="s">
        <v>168</v>
      </c>
      <c r="DG8">
        <v>35</v>
      </c>
      <c r="DH8" t="s">
        <v>199</v>
      </c>
      <c r="DI8" t="s">
        <v>199</v>
      </c>
      <c r="DJ8" s="140" t="s">
        <v>200</v>
      </c>
      <c r="DK8" s="140">
        <v>1.4E-2</v>
      </c>
      <c r="DL8" s="140" t="s">
        <v>201</v>
      </c>
      <c r="DM8" s="140" t="s">
        <v>201</v>
      </c>
      <c r="DN8" s="140" t="s">
        <v>202</v>
      </c>
      <c r="DO8">
        <v>4.8000000000000001E-2</v>
      </c>
      <c r="DP8" s="140" t="s">
        <v>201</v>
      </c>
      <c r="DQ8" s="140" t="s">
        <v>201</v>
      </c>
      <c r="DR8" s="140" t="s">
        <v>202</v>
      </c>
      <c r="DS8" s="140" t="s">
        <v>203</v>
      </c>
      <c r="DT8" s="140" t="s">
        <v>201</v>
      </c>
      <c r="DU8" s="140" t="s">
        <v>201</v>
      </c>
      <c r="DV8" s="140" t="s">
        <v>168</v>
      </c>
      <c r="DW8" s="140">
        <v>432.6</v>
      </c>
      <c r="DX8" s="140" t="s">
        <v>204</v>
      </c>
      <c r="DY8" s="140" t="s">
        <v>204</v>
      </c>
      <c r="DZ8" s="140" t="s">
        <v>205</v>
      </c>
      <c r="EA8">
        <v>37.799999999999997</v>
      </c>
      <c r="EB8" t="s">
        <v>204</v>
      </c>
      <c r="EC8" t="s">
        <v>204</v>
      </c>
      <c r="ED8" t="s">
        <v>189</v>
      </c>
      <c r="EE8" s="140" t="s">
        <v>168</v>
      </c>
      <c r="EF8" s="140" t="s">
        <v>206</v>
      </c>
      <c r="EG8">
        <v>1.0271999999999999</v>
      </c>
      <c r="EH8" t="s">
        <v>207</v>
      </c>
      <c r="EI8" t="s">
        <v>207</v>
      </c>
      <c r="EJ8" t="s">
        <v>208</v>
      </c>
      <c r="EK8" t="s">
        <v>193</v>
      </c>
      <c r="EL8" t="s">
        <v>193</v>
      </c>
      <c r="EM8" s="140" t="s">
        <v>209</v>
      </c>
      <c r="EN8" s="140" t="s">
        <v>210</v>
      </c>
      <c r="EO8" s="140" t="s">
        <v>210</v>
      </c>
      <c r="EP8" s="140" t="s">
        <v>210</v>
      </c>
      <c r="EQ8" s="140" t="s">
        <v>211</v>
      </c>
      <c r="ER8" s="140" t="s">
        <v>210</v>
      </c>
      <c r="ES8" s="140" t="s">
        <v>212</v>
      </c>
      <c r="ET8" t="s">
        <v>213</v>
      </c>
      <c r="EU8" t="s">
        <v>214</v>
      </c>
      <c r="EV8" t="s">
        <v>189</v>
      </c>
      <c r="EW8">
        <v>1293</v>
      </c>
      <c r="EX8" t="s">
        <v>194</v>
      </c>
      <c r="EY8">
        <v>200</v>
      </c>
      <c r="EZ8">
        <v>200</v>
      </c>
      <c r="FA8" t="s">
        <v>168</v>
      </c>
      <c r="FB8" t="s">
        <v>168</v>
      </c>
      <c r="FC8" t="s">
        <v>168</v>
      </c>
      <c r="FD8" t="s">
        <v>168</v>
      </c>
      <c r="FE8" s="150">
        <v>7.9771692503461047</v>
      </c>
      <c r="FF8" t="s">
        <v>168</v>
      </c>
      <c r="FG8" s="140" t="s">
        <v>168</v>
      </c>
      <c r="FH8" s="140" t="s">
        <v>168</v>
      </c>
      <c r="FI8" s="151">
        <v>264.54570081331531</v>
      </c>
      <c r="FJ8" t="s">
        <v>215</v>
      </c>
      <c r="FK8" t="s">
        <v>215</v>
      </c>
      <c r="FL8" s="155">
        <v>264.54570081331531</v>
      </c>
      <c r="FM8" s="154">
        <v>56.545700813315307</v>
      </c>
      <c r="FN8" s="154">
        <v>38.454299186684693</v>
      </c>
      <c r="FO8" s="140" t="s">
        <v>216</v>
      </c>
      <c r="FP8" s="140" t="s">
        <v>217</v>
      </c>
      <c r="FQ8" t="s">
        <v>168</v>
      </c>
      <c r="FR8" t="s">
        <v>168</v>
      </c>
      <c r="FS8" t="s">
        <v>168</v>
      </c>
      <c r="FT8" t="s">
        <v>168</v>
      </c>
      <c r="FU8" t="s">
        <v>168</v>
      </c>
      <c r="FV8" t="s">
        <v>168</v>
      </c>
      <c r="FW8" t="s">
        <v>168</v>
      </c>
      <c r="FX8" t="s">
        <v>168</v>
      </c>
      <c r="FY8" t="s">
        <v>168</v>
      </c>
      <c r="FZ8" t="s">
        <v>168</v>
      </c>
      <c r="GA8" t="s">
        <v>168</v>
      </c>
      <c r="GB8" t="s">
        <v>168</v>
      </c>
      <c r="GC8" t="s">
        <v>168</v>
      </c>
    </row>
    <row r="9" spans="1:185" ht="17" customHeight="1">
      <c r="A9" t="s">
        <v>163</v>
      </c>
      <c r="B9" t="s">
        <v>164</v>
      </c>
      <c r="C9" s="138" t="s">
        <v>165</v>
      </c>
      <c r="D9" t="s">
        <v>166</v>
      </c>
      <c r="E9">
        <v>2013</v>
      </c>
      <c r="F9" t="s">
        <v>167</v>
      </c>
      <c r="G9">
        <f t="shared" si="1"/>
        <v>13698.231089999999</v>
      </c>
      <c r="H9" s="140" t="str">
        <f t="shared" si="2"/>
        <v>NA</v>
      </c>
      <c r="I9" s="140" t="str">
        <f t="shared" si="3"/>
        <v>NA</v>
      </c>
      <c r="J9" s="154">
        <f t="shared" si="4"/>
        <v>256.32665703148416</v>
      </c>
      <c r="K9" s="154">
        <f t="shared" si="5"/>
        <v>52.32665703148416</v>
      </c>
      <c r="L9" s="154">
        <f t="shared" si="6"/>
        <v>41.67334296851584</v>
      </c>
      <c r="M9" t="b">
        <v>1</v>
      </c>
      <c r="N9">
        <v>3</v>
      </c>
      <c r="O9" s="140" t="s">
        <v>236</v>
      </c>
      <c r="P9" s="140" t="s">
        <v>237</v>
      </c>
      <c r="Q9" t="b">
        <v>0</v>
      </c>
      <c r="R9" t="s">
        <v>168</v>
      </c>
      <c r="S9" t="b">
        <v>1</v>
      </c>
      <c r="T9" t="b">
        <v>0</v>
      </c>
      <c r="U9" t="s">
        <v>168</v>
      </c>
      <c r="V9" t="s">
        <v>168</v>
      </c>
      <c r="W9" t="b">
        <v>0</v>
      </c>
      <c r="X9" t="s">
        <v>168</v>
      </c>
      <c r="Y9" s="139" t="s">
        <v>169</v>
      </c>
      <c r="Z9" t="s">
        <v>167</v>
      </c>
      <c r="AA9" s="140" t="s">
        <v>170</v>
      </c>
      <c r="AB9" s="140" t="s">
        <v>168</v>
      </c>
      <c r="AC9" s="140" t="s">
        <v>168</v>
      </c>
      <c r="AD9" s="140" t="s">
        <v>168</v>
      </c>
      <c r="AE9" s="140" t="s">
        <v>168</v>
      </c>
      <c r="AF9" s="140" t="s">
        <v>168</v>
      </c>
      <c r="AG9" s="141">
        <v>13730.82418</v>
      </c>
      <c r="AH9" s="140">
        <v>3.85</v>
      </c>
      <c r="AI9" s="140" t="s">
        <v>171</v>
      </c>
      <c r="AJ9" s="142" t="s">
        <v>172</v>
      </c>
      <c r="AK9" s="143">
        <v>35.926000000000002</v>
      </c>
      <c r="AL9" s="143">
        <v>4.335</v>
      </c>
      <c r="AM9" s="142">
        <v>32.5</v>
      </c>
      <c r="AN9" s="142" t="s">
        <v>168</v>
      </c>
      <c r="AO9" s="142" t="s">
        <v>173</v>
      </c>
      <c r="AP9" s="144" t="s">
        <v>174</v>
      </c>
      <c r="AQ9" s="145" t="s">
        <v>219</v>
      </c>
      <c r="AR9" s="142" t="s">
        <v>168</v>
      </c>
      <c r="AS9" s="146">
        <v>13698.231089999999</v>
      </c>
      <c r="AT9" s="147" t="s">
        <v>176</v>
      </c>
      <c r="AU9" t="s">
        <v>168</v>
      </c>
      <c r="AV9" t="s">
        <v>168</v>
      </c>
      <c r="AW9" t="s">
        <v>168</v>
      </c>
      <c r="AX9" s="140" t="s">
        <v>177</v>
      </c>
      <c r="AY9" s="140" t="s">
        <v>178</v>
      </c>
      <c r="AZ9" t="s">
        <v>168</v>
      </c>
      <c r="BA9" t="s">
        <v>168</v>
      </c>
      <c r="BB9" t="s">
        <v>168</v>
      </c>
      <c r="BC9" t="s">
        <v>168</v>
      </c>
      <c r="BD9" t="s">
        <v>168</v>
      </c>
      <c r="BE9" t="s">
        <v>168</v>
      </c>
      <c r="BF9" t="s">
        <v>168</v>
      </c>
      <c r="BG9" s="148" t="s">
        <v>179</v>
      </c>
      <c r="BH9" t="s">
        <v>180</v>
      </c>
      <c r="BI9" t="s">
        <v>181</v>
      </c>
      <c r="BJ9" t="s">
        <v>182</v>
      </c>
      <c r="BK9" s="140" t="s">
        <v>183</v>
      </c>
      <c r="BL9" t="s">
        <v>184</v>
      </c>
      <c r="BM9" t="s">
        <v>185</v>
      </c>
      <c r="BN9" t="s">
        <v>168</v>
      </c>
      <c r="BO9">
        <v>2</v>
      </c>
      <c r="BP9" t="s">
        <v>168</v>
      </c>
      <c r="BQ9">
        <v>16.170000000000002</v>
      </c>
      <c r="BR9" t="s">
        <v>186</v>
      </c>
      <c r="BS9">
        <v>0.23</v>
      </c>
      <c r="BT9">
        <v>0.88</v>
      </c>
      <c r="BU9" s="140" t="s">
        <v>187</v>
      </c>
      <c r="BV9" s="140" t="s">
        <v>187</v>
      </c>
      <c r="BW9">
        <v>1.85</v>
      </c>
      <c r="BX9" s="140" t="s">
        <v>188</v>
      </c>
      <c r="BY9" s="140" t="s">
        <v>168</v>
      </c>
      <c r="BZ9" t="s">
        <v>189</v>
      </c>
      <c r="CA9" s="140" t="s">
        <v>190</v>
      </c>
      <c r="CB9" s="149">
        <v>16.251013764518948</v>
      </c>
      <c r="CC9" t="s">
        <v>191</v>
      </c>
      <c r="CD9" s="140">
        <f t="shared" si="7"/>
        <v>0.23</v>
      </c>
      <c r="CE9" s="140" t="s">
        <v>192</v>
      </c>
      <c r="CF9" s="140" t="s">
        <v>193</v>
      </c>
      <c r="CG9" s="140">
        <v>0</v>
      </c>
      <c r="CH9" s="140" t="s">
        <v>168</v>
      </c>
      <c r="CI9" s="140" t="s">
        <v>168</v>
      </c>
      <c r="CJ9">
        <v>29.9</v>
      </c>
      <c r="CK9" t="s">
        <v>194</v>
      </c>
      <c r="CL9" s="140">
        <v>1</v>
      </c>
      <c r="CM9" s="140">
        <v>1</v>
      </c>
      <c r="CN9" s="146" t="s">
        <v>168</v>
      </c>
      <c r="CO9" s="140">
        <v>4.72</v>
      </c>
      <c r="CP9" s="140" t="s">
        <v>195</v>
      </c>
      <c r="CQ9" s="140">
        <v>9.4399999999999998E-2</v>
      </c>
      <c r="CR9" s="140">
        <v>9.4399999999999998E-2</v>
      </c>
      <c r="CS9" s="156" t="s">
        <v>196</v>
      </c>
      <c r="CT9" t="s">
        <v>197</v>
      </c>
      <c r="CU9" t="s">
        <v>168</v>
      </c>
      <c r="CV9" t="s">
        <v>198</v>
      </c>
      <c r="CW9" t="s">
        <v>168</v>
      </c>
      <c r="CX9" t="s">
        <v>168</v>
      </c>
      <c r="CY9" t="s">
        <v>168</v>
      </c>
      <c r="CZ9" t="s">
        <v>168</v>
      </c>
      <c r="DA9" t="s">
        <v>168</v>
      </c>
      <c r="DB9" t="s">
        <v>168</v>
      </c>
      <c r="DC9" t="s">
        <v>168</v>
      </c>
      <c r="DD9" t="s">
        <v>168</v>
      </c>
      <c r="DE9" t="s">
        <v>168</v>
      </c>
      <c r="DF9" t="s">
        <v>168</v>
      </c>
      <c r="DG9">
        <v>35</v>
      </c>
      <c r="DH9" t="s">
        <v>199</v>
      </c>
      <c r="DI9" t="s">
        <v>199</v>
      </c>
      <c r="DJ9" s="140" t="s">
        <v>200</v>
      </c>
      <c r="DK9" s="140">
        <v>1.4E-2</v>
      </c>
      <c r="DL9" s="140" t="s">
        <v>201</v>
      </c>
      <c r="DM9" s="140" t="s">
        <v>201</v>
      </c>
      <c r="DN9" s="140" t="s">
        <v>202</v>
      </c>
      <c r="DO9">
        <v>4.8000000000000001E-2</v>
      </c>
      <c r="DP9" s="140" t="s">
        <v>201</v>
      </c>
      <c r="DQ9" s="140" t="s">
        <v>201</v>
      </c>
      <c r="DR9" s="140" t="s">
        <v>202</v>
      </c>
      <c r="DS9" s="140" t="s">
        <v>203</v>
      </c>
      <c r="DT9" s="140" t="s">
        <v>201</v>
      </c>
      <c r="DU9" s="140" t="s">
        <v>201</v>
      </c>
      <c r="DV9" s="140" t="s">
        <v>168</v>
      </c>
      <c r="DW9" s="140">
        <v>432.6</v>
      </c>
      <c r="DX9" s="140" t="s">
        <v>204</v>
      </c>
      <c r="DY9" s="140" t="s">
        <v>204</v>
      </c>
      <c r="DZ9" s="140" t="s">
        <v>205</v>
      </c>
      <c r="EA9">
        <v>37.799999999999997</v>
      </c>
      <c r="EB9" t="s">
        <v>204</v>
      </c>
      <c r="EC9" t="s">
        <v>204</v>
      </c>
      <c r="ED9" t="s">
        <v>189</v>
      </c>
      <c r="EE9" s="140" t="s">
        <v>168</v>
      </c>
      <c r="EF9" s="140" t="s">
        <v>206</v>
      </c>
      <c r="EG9">
        <v>1.0271999999999999</v>
      </c>
      <c r="EH9" t="s">
        <v>207</v>
      </c>
      <c r="EI9" t="s">
        <v>207</v>
      </c>
      <c r="EJ9" t="s">
        <v>208</v>
      </c>
      <c r="EK9" t="s">
        <v>193</v>
      </c>
      <c r="EL9" t="s">
        <v>193</v>
      </c>
      <c r="EM9" s="140" t="s">
        <v>209</v>
      </c>
      <c r="EN9" s="140" t="s">
        <v>210</v>
      </c>
      <c r="EO9" s="140" t="s">
        <v>210</v>
      </c>
      <c r="EP9" s="140" t="s">
        <v>210</v>
      </c>
      <c r="EQ9" s="140" t="s">
        <v>211</v>
      </c>
      <c r="ER9" s="140" t="s">
        <v>210</v>
      </c>
      <c r="ES9" s="140" t="s">
        <v>212</v>
      </c>
      <c r="ET9" t="s">
        <v>213</v>
      </c>
      <c r="EU9" t="s">
        <v>214</v>
      </c>
      <c r="EV9" t="s">
        <v>189</v>
      </c>
      <c r="EW9">
        <v>1293</v>
      </c>
      <c r="EX9" t="s">
        <v>194</v>
      </c>
      <c r="EY9">
        <v>200</v>
      </c>
      <c r="EZ9">
        <v>200</v>
      </c>
      <c r="FA9" t="s">
        <v>168</v>
      </c>
      <c r="FB9" t="s">
        <v>168</v>
      </c>
      <c r="FC9" t="s">
        <v>168</v>
      </c>
      <c r="FD9" t="s">
        <v>168</v>
      </c>
      <c r="FE9" s="150">
        <v>7.9870940630076701</v>
      </c>
      <c r="FF9" t="s">
        <v>168</v>
      </c>
      <c r="FG9" s="140" t="s">
        <v>168</v>
      </c>
      <c r="FH9" s="140" t="s">
        <v>168</v>
      </c>
      <c r="FI9" s="151">
        <v>256.32665703148416</v>
      </c>
      <c r="FJ9" t="s">
        <v>215</v>
      </c>
      <c r="FK9" t="s">
        <v>215</v>
      </c>
      <c r="FL9" s="155">
        <v>256.32665703148416</v>
      </c>
      <c r="FM9" s="154">
        <v>52.32665703148416</v>
      </c>
      <c r="FN9" s="154">
        <v>41.67334296851584</v>
      </c>
      <c r="FO9" s="140" t="s">
        <v>216</v>
      </c>
      <c r="FP9" s="140" t="s">
        <v>217</v>
      </c>
      <c r="FQ9" t="s">
        <v>168</v>
      </c>
      <c r="FR9" t="s">
        <v>168</v>
      </c>
      <c r="FS9" t="s">
        <v>168</v>
      </c>
      <c r="FT9" t="s">
        <v>168</v>
      </c>
      <c r="FU9" t="s">
        <v>168</v>
      </c>
      <c r="FV9" t="s">
        <v>168</v>
      </c>
      <c r="FW9" t="s">
        <v>168</v>
      </c>
      <c r="FX9" t="s">
        <v>168</v>
      </c>
      <c r="FY9" t="s">
        <v>168</v>
      </c>
      <c r="FZ9" t="s">
        <v>168</v>
      </c>
      <c r="GA9" t="s">
        <v>168</v>
      </c>
      <c r="GB9" t="s">
        <v>168</v>
      </c>
      <c r="GC9" t="s">
        <v>168</v>
      </c>
    </row>
  </sheetData>
  <mergeCells count="1">
    <mergeCell ref="S2:W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Wesleyan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Dana Royer</dc:creator>
  <cp:lastModifiedBy>Bärbel Hönisch</cp:lastModifiedBy>
  <dcterms:created xsi:type="dcterms:W3CDTF">2019-02-20T15:43:35Z</dcterms:created>
  <dcterms:modified xsi:type="dcterms:W3CDTF">2022-03-17T17:58:45Z</dcterms:modified>
</cp:coreProperties>
</file>