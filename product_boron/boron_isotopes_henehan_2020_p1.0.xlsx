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0"/>
  <workbookPr/>
  <mc:AlternateContent xmlns:mc="http://schemas.openxmlformats.org/markup-compatibility/2006">
    <mc:Choice Requires="x15">
      <x15ac:absPath xmlns:x15ac="http://schemas.microsoft.com/office/spreadsheetml/2010/11/ac" url="/Users/Daphnia/Desktop/"/>
    </mc:Choice>
  </mc:AlternateContent>
  <xr:revisionPtr revIDLastSave="0" documentId="13_ncr:1_{1DB4BF56-6835-EA4D-B8A2-14B428C340B6}" xr6:coauthVersionLast="47" xr6:coauthVersionMax="47" xr10:uidLastSave="{00000000-0000-0000-0000-000000000000}"/>
  <bookViews>
    <workbookView xWindow="4680" yWindow="460" windowWidth="28800" windowHeight="16260" xr2:uid="{00000000-000D-0000-FFFF-FFFF00000000}"/>
  </bookViews>
  <sheets>
    <sheet name="Sheet1"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F69" i="1" l="1"/>
  <c r="AF66" i="1"/>
  <c r="AF25" i="1"/>
  <c r="AF22" i="1"/>
</calcChain>
</file>

<file path=xl/sharedStrings.xml><?xml version="1.0" encoding="utf-8"?>
<sst xmlns="http://schemas.openxmlformats.org/spreadsheetml/2006/main" count="10189" uniqueCount="333">
  <si>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</si>
  <si>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</si>
  <si>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</si>
  <si>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</si>
  <si>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</si>
  <si>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</si>
  <si>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</si>
  <si>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</si>
  <si>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</si>
  <si>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</si>
  <si>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</si>
  <si>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</si>
  <si>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</si>
  <si>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</si>
  <si>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</si>
  <si>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</si>
  <si>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</si>
  <si>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</si>
  <si>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</si>
  <si>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</si>
  <si>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</si>
  <si>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</si>
  <si>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</si>
  <si>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</si>
  <si>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</si>
  <si>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</si>
  <si>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</si>
  <si>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</si>
  <si>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</si>
  <si>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</si>
  <si>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</si>
  <si>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</si>
  <si>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</si>
  <si>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</si>
  <si>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</si>
  <si>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</si>
  <si>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</si>
  <si>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</si>
  <si>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</si>
  <si>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</si>
  <si>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</si>
  <si>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</si>
  <si>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</si>
  <si>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</si>
  <si>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</si>
  <si>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</si>
  <si>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</si>
  <si>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</si>
  <si>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</si>
  <si>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</si>
  <si>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</si>
  <si>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</si>
  <si>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</si>
  <si>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</si>
  <si>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</si>
  <si>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</si>
  <si>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</si>
  <si>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</si>
  <si>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</si>
  <si>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</si>
  <si>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</si>
  <si>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</si>
  <si>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</si>
  <si>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</si>
  <si>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</si>
  <si>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</si>
  <si>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</si>
  <si>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</si>
  <si>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</si>
  <si>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</si>
  <si>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</si>
  <si>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</si>
  <si>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</si>
  <si>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</si>
  <si>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</si>
  <si>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</si>
  <si>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</si>
  <si>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</si>
  <si>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</si>
  <si>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</si>
  <si>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</si>
  <si>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</si>
  <si>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</si>
  <si>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</si>
  <si>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</si>
  <si>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</si>
  <si>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</si>
  <si>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</si>
  <si>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</si>
  <si>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</si>
  <si>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</si>
  <si>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</si>
  <si>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</si>
  <si>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</si>
  <si>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</si>
  <si>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</si>
  <si>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</si>
  <si>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</si>
  <si>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</si>
  <si>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</si>
  <si>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</si>
  <si>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</si>
  <si>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</si>
  <si>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</si>
  <si>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</si>
  <si>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</si>
  <si>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</si>
  <si>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</si>
  <si>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</si>
  <si>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</si>
  <si>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</si>
  <si>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</si>
  <si>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</si>
  <si>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</si>
  <si>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</si>
  <si>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</si>
  <si>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</si>
  <si>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</si>
  <si>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</si>
  <si>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</si>
  <si>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</si>
  <si>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</si>
  <si>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</si>
  <si>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</si>
  <si>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</si>
  <si>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</si>
  <si>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</si>
  <si>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</si>
  <si>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</si>
  <si>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</si>
  <si>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</si>
  <si>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</si>
  <si>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</si>
  <si>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</si>
  <si>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</si>
  <si>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</si>
  <si>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</si>
  <si>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</si>
  <si>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</si>
  <si>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</si>
  <si>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</si>
  <si>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</si>
  <si>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</si>
  <si>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</si>
  <si>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</si>
  <si>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</si>
  <si>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</si>
  <si>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</si>
  <si>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</si>
  <si>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</si>
  <si>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</si>
  <si>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</si>
  <si>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</si>
  <si>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</si>
  <si>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</si>
  <si>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</si>
  <si>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</si>
  <si>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</si>
  <si>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</si>
  <si>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</si>
  <si>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</si>
  <si>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</si>
  <si>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</si>
  <si>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</si>
  <si>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</si>
  <si>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</si>
  <si>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</si>
  <si>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</si>
  <si>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</si>
  <si>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notes about uncertainty estimate: e.g., included calibration slope and intercept</t>
  </si>
  <si>
    <t>CO2_uncertainty_pos_ppm</t>
  </si>
  <si>
    <t>CO2_ppm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</si>
  <si>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</si>
  <si>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</si>
  <si>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</si>
  <si>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</si>
  <si>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</si>
  <si>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</si>
  <si>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</si>
  <si>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</si>
  <si>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Michael Henehan</t>
  </si>
  <si>
    <t>henehan@gfz-potsdam.de</t>
  </si>
  <si>
    <t>Henehan</t>
  </si>
  <si>
    <t>10.1029/2019PA003713</t>
  </si>
  <si>
    <t xml:space="preserve">Henehan et al., 2020. Revisiting the Middle Eocene Climatic Optimum ‘Carbon Cycle Conundrum’ with new estimates of atmospheric pCO2 from boron isotopes. Paleoceanography and Paleoclimatology </t>
  </si>
  <si>
    <t>ODP 1260</t>
  </si>
  <si>
    <t>A</t>
  </si>
  <si>
    <t>Westerhold and Rohl (2013); rmcd</t>
  </si>
  <si>
    <t>Tropical Atlantic</t>
  </si>
  <si>
    <t>http://www.paleolatitude.org; paleolongitude not given. Paleodepth= Sexton, Wilson, &amp; Norris, 2006; Shipboard Scientific Party, 2004a</t>
  </si>
  <si>
    <t>none</t>
  </si>
  <si>
    <t>B</t>
  </si>
  <si>
    <t>ODP 865</t>
  </si>
  <si>
    <t>C</t>
  </si>
  <si>
    <t>Edgar et al. (in review, 10.31223/osf.io/m64gk); amcd</t>
  </si>
  <si>
    <t>Tropical Pacific</t>
  </si>
  <si>
    <t>http://www.paleolatitude.org; paleolongitude not given; Palaeodepth= Bralower et al., 1995</t>
  </si>
  <si>
    <t>CC</t>
  </si>
  <si>
    <t>ODP 702</t>
  </si>
  <si>
    <t xml:space="preserve">No composite </t>
  </si>
  <si>
    <t>High-Lat South Atlantic</t>
  </si>
  <si>
    <t>http://www.paleolatitude.org; paleolongitude not given; paleodepth = Katz &amp; Miller, 1991; Shipboard Scientific Party, 1988</t>
  </si>
  <si>
    <t>ODP 1263</t>
  </si>
  <si>
    <t>Westerhold et al. (2015); rmcd</t>
  </si>
  <si>
    <t>South Atlantic</t>
  </si>
  <si>
    <t>http://www.paleolatitude.org; paleolongitude not given; palaeodepth= Shipboard Scientific Party, 2004b</t>
  </si>
  <si>
    <t>set value, derived from the amount of time combined within the thickness of the sample interval</t>
  </si>
  <si>
    <t>GTS2012</t>
  </si>
  <si>
    <t>Correlating magnetostratigraphic tie points from ODP 702 with features in isotope records, also site specific magnetostrat and biostrat</t>
  </si>
  <si>
    <t>in primary dataset</t>
  </si>
  <si>
    <t>Cyclostratigraphy</t>
  </si>
  <si>
    <t>Westerhold et al. (2013)</t>
  </si>
  <si>
    <t>Edgar et al. (in review; 10.31223/osf.io/m64gk)</t>
  </si>
  <si>
    <t>Magneto- and Cyclostratigraphy</t>
  </si>
  <si>
    <t>Westerhold et al. (2018)</t>
  </si>
  <si>
    <t>Rivero-Cuesta et al. (2019; 10.1029/2019PA003806)</t>
  </si>
  <si>
    <t>M. crassatus</t>
  </si>
  <si>
    <t>250-300</t>
  </si>
  <si>
    <t>not known</t>
  </si>
  <si>
    <t>Henehan et al. 2016, EPSL (based on Barker et al. 2003)
2006PA001337.</t>
  </si>
  <si>
    <t>Column Chemistry</t>
  </si>
  <si>
    <t>MC-ICPMS</t>
  </si>
  <si>
    <t>A. praetopilensis</t>
  </si>
  <si>
    <t>G. kugleri</t>
  </si>
  <si>
    <t>M crassatus</t>
  </si>
  <si>
    <t>G. index</t>
  </si>
  <si>
    <t>1-4</t>
  </si>
  <si>
    <t>14.66750115, 14.90847553</t>
  </si>
  <si>
    <t>relationship between long term reproducibility of standards and sample size</t>
  </si>
  <si>
    <t>15.09600064, 15.06736474</t>
  </si>
  <si>
    <t>15.07759998, 15.08881841</t>
  </si>
  <si>
    <t>14.55559926, 14.57357561</t>
  </si>
  <si>
    <t>14.6152073, 14.75497786</t>
  </si>
  <si>
    <t>14.95384115, 15.02138117</t>
  </si>
  <si>
    <t>15.01270122, 15.13946401</t>
  </si>
  <si>
    <t>15.05857707, 15.0078036</t>
  </si>
  <si>
    <t>14.89788303, 15.26191018</t>
  </si>
  <si>
    <t>14.62124205, 14.8070375</t>
  </si>
  <si>
    <t>15.33208014, 15.39914219</t>
  </si>
  <si>
    <t>15.12372266, 15.00327498</t>
  </si>
  <si>
    <t>15.20404725, 15.02423879</t>
  </si>
  <si>
    <t>15.19688354, 15.17109222</t>
  </si>
  <si>
    <t>14.88224391, 14.92500794</t>
  </si>
  <si>
    <t>14.56853397, 14.43621244</t>
  </si>
  <si>
    <t>14.45084688, 14.51371373</t>
  </si>
  <si>
    <t>14.48032768, 14.56449192</t>
  </si>
  <si>
    <t>14.04765836, 14.16931472</t>
  </si>
  <si>
    <t>15.11421454, 15.01028045</t>
  </si>
  <si>
    <t>15.01371026, 15.00209998</t>
  </si>
  <si>
    <t>14.91567857, 15.29682387</t>
  </si>
  <si>
    <t>14.87501497, 14.93824526</t>
  </si>
  <si>
    <t>14.76628408, 14.70721225</t>
  </si>
  <si>
    <t>15.11244433, 14.53355169</t>
  </si>
  <si>
    <t>14.93292557, 15.17116288</t>
  </si>
  <si>
    <t>15.40763142, 14.97259704</t>
  </si>
  <si>
    <t>11.90981175, 11.94472022</t>
  </si>
  <si>
    <t>12.24491924, 12.33721003</t>
  </si>
  <si>
    <t>12.29709375, 12.25685051</t>
  </si>
  <si>
    <t>11.33946161, 11.42430342</t>
  </si>
  <si>
    <t>12.20767193, 12.32021376</t>
  </si>
  <si>
    <t>12.91503999, 12.92973918</t>
  </si>
  <si>
    <t>11.9728752, 12.07674476</t>
  </si>
  <si>
    <t>13.56172909, 13.24312177</t>
  </si>
  <si>
    <t>13.73013491, 13.43593407</t>
  </si>
  <si>
    <t>13.41285912, 13.55092861</t>
  </si>
  <si>
    <t>13.15408512, 13.188134</t>
  </si>
  <si>
    <t>13.05301974, 13.34083366</t>
  </si>
  <si>
    <t>13.05310695, 13.1554833</t>
  </si>
  <si>
    <t>13.27446554, 13.42006961</t>
  </si>
  <si>
    <t>13.66055038, 13.72953993</t>
  </si>
  <si>
    <t>13.47999943, 13.71947212</t>
  </si>
  <si>
    <t>Calibration uncertainty not given</t>
  </si>
  <si>
    <t>Foster et al. 2012, EPSL 341, 243-254.</t>
  </si>
  <si>
    <t>Foster et al 2012 chosen as closer to correct size fraction, calibration corrected in each monte carlo rep for δ11Bsw</t>
  </si>
  <si>
    <t>95% interquantile of MC replicates</t>
  </si>
  <si>
    <t>Monte Carlo, 95% interquantile of slopes</t>
  </si>
  <si>
    <t xml:space="preserve">Monte Carlo, 95% interquantile of intercepts. </t>
  </si>
  <si>
    <t xml:space="preserve">Martinez Boti et al. 2015, Nature 518 (7538), 219-222. </t>
  </si>
  <si>
    <t>Calibration corrected in each monte carlo rep for δ11Bsw, following Greenop et al. 2019</t>
  </si>
  <si>
    <t>Henehan et al. 2016, EPSL 454, 282-292.</t>
  </si>
  <si>
    <t>not applied</t>
  </si>
  <si>
    <t>95% quantile of MC Mg/Ca temps, incorporating error on δ11Bsw, pH correction and Mg/Ca measurement, amongst other things</t>
  </si>
  <si>
    <t>NA, measured only once</t>
  </si>
  <si>
    <t>set percentage (3%)</t>
  </si>
  <si>
    <t>Temp=ln(MgCa/B)/A</t>
  </si>
  <si>
    <t>yes, corrected</t>
  </si>
  <si>
    <t>Evans et al. 2016 EPSL 438, 139-148</t>
  </si>
  <si>
    <t>Yes, Evans et al. 2016</t>
  </si>
  <si>
    <t>set value</t>
  </si>
  <si>
    <t>arbitrary value</t>
  </si>
  <si>
    <t>none applied</t>
  </si>
  <si>
    <t>Followed Anagnostou et al. (2016)</t>
  </si>
  <si>
    <t>modern</t>
  </si>
  <si>
    <t>NA- none applied</t>
  </si>
  <si>
    <t>set salinity value- uncertainty on B/Salinity relationship not included</t>
  </si>
  <si>
    <t>Lee et al 2010</t>
  </si>
  <si>
    <t>uniform distribution</t>
  </si>
  <si>
    <t>None applied, negligible pressure effect</t>
  </si>
  <si>
    <t>Klochko et al. (2006)</t>
  </si>
  <si>
    <t>R code, written myself</t>
  </si>
  <si>
    <t>Henry's law, as of Weiss 1974, Zeebe Wolf-Gladrow 2001</t>
  </si>
  <si>
    <t>total scale</t>
  </si>
  <si>
    <t>no constraints- not applied</t>
  </si>
  <si>
    <t>95% interquantile range MC replicates</t>
  </si>
  <si>
    <t>Mg/Ca analysis, salinity±1, alkalinity±150, d11B analysis, δ11Bsw,</t>
  </si>
  <si>
    <t xml:space="preserve">NA </t>
  </si>
  <si>
    <t>Henehan et al., 2020. Revisiting the Middle Eocene Climatic Optimum ‘Carbon Cycle Conundrum’ with new estimates of atmospheric pCO2 from boron isotopes. Paleoceanography and Paleoclimatology … this d11B data point was originally published in Edgar et al. 2015's paper on diagenetic influence on d11B</t>
  </si>
  <si>
    <t>Total Alkalinity</t>
  </si>
  <si>
    <t>from pre-MECO Loscar spinup</t>
  </si>
  <si>
    <t xml:space="preserve">set value </t>
  </si>
  <si>
    <t>used as a constrain in other formulation below</t>
  </si>
  <si>
    <t xml:space="preserve">Unsure whether silicate weathering feedback was operating as 'usual', hence calculated with two baseline assumptions- one that alkalinity remained the same (this one) and one that omega remained the same - i.e. silicate weathering was buffering CO2 rise as 'normal'. </t>
  </si>
  <si>
    <t xml:space="preserve">boron measurement from Edgar et al 2015; Unsure whether silicate weathering feedback was operating as 'usual', hence calculated with two baseline assumptions- one that alkalinity remained the same (this one) and one that omega remained the same - i.e. silicate weathering was buffering CO2 rise as 'normal'. </t>
  </si>
  <si>
    <t>Omega</t>
  </si>
  <si>
    <t>Used Eocene GENIE Run for latitudinal Ω variation</t>
  </si>
  <si>
    <t>Think the GENIE run was with Anagnostou et al. 2016</t>
  </si>
  <si>
    <t>used as a constraint in the formulation option above only</t>
  </si>
  <si>
    <t>Mg/Ca analysis, salinity±1, Omega uniform dist, d11B analysis, δ11Bsw,</t>
  </si>
  <si>
    <t>Unsure whether silicate weathering feedback was operating as 'usual', hence calculated with two baseline assumptions- one that alkalinity remained the same and one that omega remained the same - i.e. silicate weathering was buffering CO2 rise as 'normal' (this one)</t>
  </si>
  <si>
    <t>Boron measurement from Edgar et al 2015; Unsure whether silicate weathering feedback was operating as 'usual', hence calculated with two baseline assumptions- one that alkalinity remained the same and one that omega remained the same - i.e. silicate weathering was buffering CO2 rise as 'normal' (this one)</t>
  </si>
  <si>
    <t>CO2_uncertainty_neg_ppm</t>
  </si>
  <si>
    <t>newer calculations published</t>
  </si>
  <si>
    <t>10.1038/s41467-020-17887-x</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</si>
  <si>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</si>
  <si>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</si>
  <si>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Published data uses original lookup table from Hain et al. GBC 2015, which contains errors. These calculations used fixed values from Raitzsch et al. 2021 (10.5281/zenodo.4432146)</t>
  </si>
  <si>
    <t>Uncertainty on δ11Bborate does not include calibration uncertainty, but does include d11Bswcorrection uncertainty</t>
  </si>
  <si>
    <t>error on d11Bborate that goes into Monte Carlo includes δ11Bsw &amp; d11B measurement error</t>
  </si>
  <si>
    <t>Anagnostou et al. (2020, Nature Communications)</t>
  </si>
  <si>
    <t>Hain et al. (2015, GBC), with erroneous table corrected in Raitzsch et al. 2021 (10.5281/zenodo.4432146)</t>
  </si>
  <si>
    <t>Anagnostou et al 2020 omitted these sites to avoid applying vitals. Since the constant Ω assumption values for Anagnostou et al. 2020 have been deemed a reasonable assumption, we accept this as the most reasonable assumption here too</t>
  </si>
  <si>
    <t>newer calculations published in Anagnostou et al.- for consistency with this longer-term record, these data are superseded</t>
  </si>
  <si>
    <t xml:space="preserve">consistency with Anagnostou et al. (2020) mean we take the constant alkalinity assumption.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</si>
</sst>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36">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2"/>
      <name val="Calibri"/>
      <family val="2"/>
      <scheme val="minor"/>
    </font>
    <font>
      <sz val="10"/>
      <name val="Verdana"/>
      <family val="2"/>
    </font>
    <font>
      <sz val="12"/>
      <color theme="1"/>
      <name val="Calibri"/>
      <family val="2"/>
    </font>
    <font>
      <sz val="12"/>
      <color theme="1"/>
      <name val="ArialMT"/>
    </font>
    <font>
      <sz val="12"/>
      <name val="Arial"/>
      <family val="2"/>
    </font>
    <font>
      <sz val="12"/>
      <color indexed="8"/>
      <name val="Calibri"/>
      <family val="2"/>
      <scheme val="minor"/>
    </font>
    <font>
      <sz val="10"/>
      <name val="Arial"/>
      <family val="2"/>
    </font>
    <font>
      <sz val="12"/>
      <color theme="1"/>
      <name val="Arial"/>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7" fillId="0" borderId="0" applyNumberFormat="0" applyFill="0" applyBorder="0" applyAlignment="0" applyProtection="0"/>
    <xf numFmtId="0" fontId="29" fillId="0" borderId="0"/>
  </cellStyleXfs>
  <cellXfs count="21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Border="1" applyAlignment="1">
      <alignment wrapText="1"/>
    </xf>
    <xf numFmtId="0" fontId="0" fillId="0" borderId="2" xfId="0" quotePrefix="1" applyBorder="1" applyAlignment="1">
      <alignment wrapText="1"/>
    </xf>
    <xf numFmtId="0" fontId="0" fillId="0" borderId="3" xfId="0" quotePrefix="1"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1" xfId="0"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xf numFmtId="0" fontId="4" fillId="5" borderId="0" xfId="0" applyFont="1" applyFill="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xf numFmtId="0" fontId="3" fillId="7" borderId="10" xfId="0" applyFont="1" applyFill="1" applyBorder="1"/>
    <xf numFmtId="0" fontId="3" fillId="6" borderId="11" xfId="0" applyFont="1" applyFill="1" applyBorder="1"/>
    <xf numFmtId="0" fontId="3" fillId="6" borderId="0" xfId="0" applyFont="1" applyFill="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Alignment="1">
      <alignment horizontal="left" vertical="center"/>
    </xf>
    <xf numFmtId="0" fontId="4" fillId="7" borderId="0" xfId="0" applyFont="1" applyFill="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xf numFmtId="0" fontId="3" fillId="8" borderId="4" xfId="0" applyFont="1" applyFill="1" applyBorder="1"/>
    <xf numFmtId="0" fontId="3" fillId="2" borderId="9" xfId="0" applyFont="1" applyFill="1" applyBorder="1"/>
    <xf numFmtId="0" fontId="0" fillId="0" borderId="13" xfId="0" applyBorder="1"/>
    <xf numFmtId="0" fontId="18" fillId="10" borderId="14"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165" fontId="0" fillId="0" borderId="0" xfId="0" applyNumberFormat="1"/>
    <xf numFmtId="2" fontId="0" fillId="0" borderId="0" xfId="0" applyNumberFormat="1"/>
    <xf numFmtId="164" fontId="0" fillId="0" borderId="0" xfId="0" applyNumberFormat="1"/>
    <xf numFmtId="1" fontId="0" fillId="0" borderId="0" xfId="0" applyNumberFormat="1"/>
    <xf numFmtId="0" fontId="1" fillId="0" borderId="0" xfId="0" applyFont="1"/>
    <xf numFmtId="0" fontId="30" fillId="0" borderId="0" xfId="0" applyFont="1"/>
    <xf numFmtId="0" fontId="27" fillId="0" borderId="0" xfId="1" applyFill="1" applyAlignment="1">
      <alignment horizontal="left"/>
    </xf>
    <xf numFmtId="1" fontId="0" fillId="0" borderId="7" xfId="0" applyNumberFormat="1" applyBorder="1"/>
    <xf numFmtId="166" fontId="0" fillId="0" borderId="0" xfId="0" applyNumberFormat="1" applyAlignment="1">
      <alignment horizontal="center"/>
    </xf>
    <xf numFmtId="0" fontId="31" fillId="0" borderId="0" xfId="0" applyFont="1"/>
    <xf numFmtId="0" fontId="32" fillId="0" borderId="0" xfId="0" applyFont="1" applyAlignment="1">
      <alignment horizontal="center"/>
    </xf>
    <xf numFmtId="0" fontId="0" fillId="0" borderId="7" xfId="0" applyBorder="1"/>
    <xf numFmtId="0" fontId="31" fillId="0" borderId="7" xfId="0" applyFont="1" applyBorder="1"/>
    <xf numFmtId="0" fontId="32" fillId="0" borderId="7" xfId="0" applyFont="1" applyBorder="1" applyAlignment="1">
      <alignment horizontal="center"/>
    </xf>
    <xf numFmtId="2" fontId="0" fillId="0" borderId="7" xfId="0" applyNumberFormat="1" applyBorder="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0" fillId="0" borderId="7" xfId="0" applyBorder="1" applyAlignment="1">
      <alignment horizontal="right"/>
    </xf>
    <xf numFmtId="49" fontId="0" fillId="0" borderId="0" xfId="0" applyNumberFormat="1" applyAlignment="1">
      <alignment horizontal="right"/>
    </xf>
    <xf numFmtId="0" fontId="0" fillId="0" borderId="0" xfId="0" applyAlignment="1">
      <alignment horizontal="right"/>
    </xf>
    <xf numFmtId="164" fontId="0" fillId="0" borderId="0" xfId="0" applyNumberFormat="1" applyAlignment="1">
      <alignment horizontal="right"/>
    </xf>
    <xf numFmtId="0" fontId="28" fillId="0" borderId="0" xfId="0" applyFont="1" applyAlignment="1">
      <alignment horizontal="right" wrapText="1"/>
    </xf>
    <xf numFmtId="164" fontId="0" fillId="0" borderId="7" xfId="0" applyNumberFormat="1" applyBorder="1"/>
    <xf numFmtId="2" fontId="0" fillId="0" borderId="7" xfId="0" applyNumberFormat="1" applyBorder="1"/>
    <xf numFmtId="164" fontId="34" fillId="0" borderId="0" xfId="0" applyNumberFormat="1" applyFont="1" applyAlignment="1">
      <alignment horizontal="right"/>
    </xf>
    <xf numFmtId="0" fontId="0" fillId="0" borderId="0" xfId="0" applyAlignment="1">
      <alignment wrapText="1"/>
    </xf>
    <xf numFmtId="2" fontId="35" fillId="0" borderId="0" xfId="0" applyNumberFormat="1" applyFont="1" applyAlignment="1">
      <alignment horizontal="center"/>
    </xf>
    <xf numFmtId="2" fontId="35" fillId="0" borderId="0" xfId="0" applyNumberFormat="1" applyFont="1" applyAlignment="1">
      <alignment horizontal="left"/>
    </xf>
    <xf numFmtId="0" fontId="35" fillId="0" borderId="0" xfId="0" applyFont="1" applyAlignment="1">
      <alignment horizontal="center"/>
    </xf>
    <xf numFmtId="1" fontId="35" fillId="0" borderId="0" xfId="0" applyNumberFormat="1" applyFont="1" applyAlignment="1">
      <alignment horizontal="center"/>
    </xf>
    <xf numFmtId="164" fontId="35" fillId="0" borderId="0" xfId="0" applyNumberFormat="1" applyFont="1" applyAlignment="1">
      <alignment horizontal="center"/>
    </xf>
    <xf numFmtId="164" fontId="0" fillId="0" borderId="7" xfId="0" applyNumberFormat="1" applyBorder="1" applyAlignment="1">
      <alignment horizontal="center"/>
    </xf>
    <xf numFmtId="9" fontId="0" fillId="0" borderId="0" xfId="0" applyNumberFormat="1"/>
    <xf numFmtId="165" fontId="0" fillId="0" borderId="7" xfId="0" applyNumberFormat="1" applyBorder="1"/>
    <xf numFmtId="0" fontId="27" fillId="0" borderId="0" xfId="1" applyFill="1" applyBorder="1" applyAlignment="1">
      <alignment horizontal="left"/>
    </xf>
    <xf numFmtId="0" fontId="27" fillId="0" borderId="4" xfId="1" applyFill="1" applyBorder="1" applyAlignment="1">
      <alignment horizontal="left"/>
    </xf>
    <xf numFmtId="1" fontId="0" fillId="0" borderId="4" xfId="0" applyNumberFormat="1" applyBorder="1"/>
    <xf numFmtId="0" fontId="1" fillId="0" borderId="4" xfId="0" applyFont="1" applyBorder="1"/>
    <xf numFmtId="0" fontId="30" fillId="0" borderId="4" xfId="0" applyFont="1" applyBorder="1"/>
    <xf numFmtId="0" fontId="31" fillId="0" borderId="4" xfId="0" applyFont="1" applyBorder="1"/>
    <xf numFmtId="0" fontId="32" fillId="0" borderId="4" xfId="0" applyFont="1" applyBorder="1" applyAlignment="1">
      <alignment horizontal="center"/>
    </xf>
    <xf numFmtId="165" fontId="0" fillId="0" borderId="4" xfId="0" applyNumberFormat="1" applyBorder="1"/>
    <xf numFmtId="0" fontId="0" fillId="0" borderId="4" xfId="0" applyBorder="1" applyAlignment="1">
      <alignment horizontal="right"/>
    </xf>
    <xf numFmtId="164" fontId="0" fillId="0" borderId="4" xfId="0" applyNumberFormat="1" applyBorder="1"/>
    <xf numFmtId="2" fontId="0" fillId="0" borderId="4" xfId="0" applyNumberFormat="1" applyBorder="1"/>
    <xf numFmtId="2" fontId="0" fillId="0" borderId="4" xfId="0" applyNumberFormat="1" applyBorder="1" applyAlignment="1">
      <alignment horizontal="center"/>
    </xf>
    <xf numFmtId="2" fontId="35" fillId="0" borderId="4" xfId="0" applyNumberFormat="1" applyFont="1" applyBorder="1" applyAlignment="1">
      <alignment horizontal="left"/>
    </xf>
    <xf numFmtId="0" fontId="35" fillId="0" borderId="4" xfId="0" applyFont="1" applyBorder="1" applyAlignment="1">
      <alignment horizontal="center"/>
    </xf>
    <xf numFmtId="1" fontId="35" fillId="0" borderId="4" xfId="0" applyNumberFormat="1" applyFont="1" applyBorder="1" applyAlignment="1">
      <alignment horizontal="center"/>
    </xf>
    <xf numFmtId="2" fontId="35" fillId="0" borderId="4" xfId="0" applyNumberFormat="1" applyFont="1" applyBorder="1" applyAlignment="1">
      <alignment horizontal="center"/>
    </xf>
    <xf numFmtId="164" fontId="0" fillId="0" borderId="4" xfId="0" applyNumberFormat="1" applyBorder="1" applyAlignment="1">
      <alignment horizontal="center"/>
    </xf>
    <xf numFmtId="9" fontId="0" fillId="0" borderId="4" xfId="0" applyNumberFormat="1" applyBorder="1"/>
    <xf numFmtId="0" fontId="27" fillId="0" borderId="7" xfId="1" applyFill="1" applyBorder="1" applyAlignment="1">
      <alignment horizontal="left"/>
    </xf>
    <xf numFmtId="0" fontId="1" fillId="0" borderId="7" xfId="0" applyFont="1" applyBorder="1"/>
    <xf numFmtId="0" fontId="30" fillId="0" borderId="7" xfId="0" applyFont="1" applyBorder="1"/>
    <xf numFmtId="0" fontId="33" fillId="0" borderId="7" xfId="0" applyFont="1" applyBorder="1" applyAlignment="1">
      <alignment horizontal="right" wrapText="1"/>
    </xf>
    <xf numFmtId="2" fontId="35" fillId="0" borderId="7" xfId="0" applyNumberFormat="1" applyFont="1" applyBorder="1" applyAlignment="1">
      <alignment horizontal="left"/>
    </xf>
    <xf numFmtId="0" fontId="35" fillId="0" borderId="7" xfId="0" applyFont="1" applyBorder="1" applyAlignment="1">
      <alignment horizontal="center"/>
    </xf>
    <xf numFmtId="1" fontId="35" fillId="0" borderId="7" xfId="0" applyNumberFormat="1" applyFont="1" applyBorder="1" applyAlignment="1">
      <alignment horizontal="center"/>
    </xf>
    <xf numFmtId="2" fontId="35" fillId="0" borderId="7" xfId="0" applyNumberFormat="1" applyFont="1" applyBorder="1" applyAlignment="1">
      <alignment horizontal="center"/>
    </xf>
    <xf numFmtId="9" fontId="0" fillId="0" borderId="7" xfId="0" applyNumberFormat="1" applyBorder="1"/>
    <xf numFmtId="0" fontId="2" fillId="0" borderId="0" xfId="0" applyFont="1" applyAlignment="1">
      <alignment wrapText="1"/>
    </xf>
    <xf numFmtId="0" fontId="27" fillId="0" borderId="0" xfId="1"/>
    <xf numFmtId="0" fontId="27" fillId="0" borderId="7" xfId="1" applyBorder="1"/>
    <xf numFmtId="0" fontId="27" fillId="0" borderId="0" xfId="1" applyFill="1"/>
    <xf numFmtId="0" fontId="27" fillId="0" borderId="7" xfId="1" applyFill="1" applyBorder="1"/>
    <xf numFmtId="1" fontId="32" fillId="0" borderId="0" xfId="0" applyNumberFormat="1" applyFont="1" applyAlignment="1">
      <alignment horizontal="center"/>
    </xf>
    <xf numFmtId="0" fontId="33" fillId="0" borderId="0" xfId="0" applyFont="1" applyAlignment="1">
      <alignment horizontal="right" wrapText="1"/>
    </xf>
    <xf numFmtId="1" fontId="32" fillId="0" borderId="7" xfId="0" applyNumberFormat="1" applyFont="1" applyBorder="1" applyAlignment="1">
      <alignment horizontal="center"/>
    </xf>
    <xf numFmtId="0" fontId="0" fillId="0" borderId="7" xfId="0" applyBorder="1" applyAlignment="1">
      <alignment wrapText="1"/>
    </xf>
    <xf numFmtId="0" fontId="2" fillId="0" borderId="7" xfId="0" applyFont="1" applyBorder="1" applyAlignment="1">
      <alignment wrapText="1"/>
    </xf>
    <xf numFmtId="166" fontId="0" fillId="0" borderId="7" xfId="0" applyNumberFormat="1" applyBorder="1" applyAlignment="1">
      <alignment horizontal="center"/>
    </xf>
    <xf numFmtId="49" fontId="0" fillId="0" borderId="7" xfId="0" applyNumberFormat="1" applyBorder="1" applyAlignment="1">
      <alignment horizontal="right"/>
    </xf>
    <xf numFmtId="164" fontId="35" fillId="0" borderId="7" xfId="0" applyNumberFormat="1" applyFont="1" applyBorder="1" applyAlignment="1">
      <alignment horizontal="center"/>
    </xf>
    <xf numFmtId="0" fontId="0" fillId="0" borderId="0" xfId="0" applyAlignment="1"/>
    <xf numFmtId="0" fontId="0" fillId="0" borderId="0" xfId="0" applyAlignment="1">
      <alignment horizontal="center"/>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henehan@gfz-potsdam.de" TargetMode="External"/><Relationship Id="rId21" Type="http://schemas.openxmlformats.org/officeDocument/2006/relationships/hyperlink" Target="mailto:henehan@gfz-potsdam.de" TargetMode="External"/><Relationship Id="rId42" Type="http://schemas.openxmlformats.org/officeDocument/2006/relationships/hyperlink" Target="mailto:henehan@gfz-potsdam.de" TargetMode="External"/><Relationship Id="rId47" Type="http://schemas.openxmlformats.org/officeDocument/2006/relationships/hyperlink" Target="mailto:henehan@gfz-potsdam.de" TargetMode="External"/><Relationship Id="rId63" Type="http://schemas.openxmlformats.org/officeDocument/2006/relationships/hyperlink" Target="mailto:henehan@gfz-potsdam.de" TargetMode="External"/><Relationship Id="rId68" Type="http://schemas.openxmlformats.org/officeDocument/2006/relationships/hyperlink" Target="mailto:henehan@gfz-potsdam.de" TargetMode="External"/><Relationship Id="rId84" Type="http://schemas.openxmlformats.org/officeDocument/2006/relationships/hyperlink" Target="mailto:henehan@gfz-potsdam.de" TargetMode="External"/><Relationship Id="rId16" Type="http://schemas.openxmlformats.org/officeDocument/2006/relationships/hyperlink" Target="mailto:henehan@gfz-potsdam.de" TargetMode="External"/><Relationship Id="rId11" Type="http://schemas.openxmlformats.org/officeDocument/2006/relationships/hyperlink" Target="mailto:henehan@gfz-potsdam.de" TargetMode="External"/><Relationship Id="rId32" Type="http://schemas.openxmlformats.org/officeDocument/2006/relationships/hyperlink" Target="mailto:henehan@gfz-potsdam.de" TargetMode="External"/><Relationship Id="rId37" Type="http://schemas.openxmlformats.org/officeDocument/2006/relationships/hyperlink" Target="mailto:henehan@gfz-potsdam.de" TargetMode="External"/><Relationship Id="rId53" Type="http://schemas.openxmlformats.org/officeDocument/2006/relationships/hyperlink" Target="mailto:henehan@gfz-potsdam.de" TargetMode="External"/><Relationship Id="rId58" Type="http://schemas.openxmlformats.org/officeDocument/2006/relationships/hyperlink" Target="mailto:henehan@gfz-potsdam.de" TargetMode="External"/><Relationship Id="rId74" Type="http://schemas.openxmlformats.org/officeDocument/2006/relationships/hyperlink" Target="mailto:henehan@gfz-potsdam.de" TargetMode="External"/><Relationship Id="rId79" Type="http://schemas.openxmlformats.org/officeDocument/2006/relationships/hyperlink" Target="mailto:henehan@gfz-potsdam.de" TargetMode="External"/><Relationship Id="rId5" Type="http://schemas.openxmlformats.org/officeDocument/2006/relationships/hyperlink" Target="mailto:henehan@gfz-potsdam.de" TargetMode="External"/><Relationship Id="rId19" Type="http://schemas.openxmlformats.org/officeDocument/2006/relationships/hyperlink" Target="mailto:henehan@gfz-potsdam.de" TargetMode="External"/><Relationship Id="rId14" Type="http://schemas.openxmlformats.org/officeDocument/2006/relationships/hyperlink" Target="mailto:henehan@gfz-potsdam.de" TargetMode="External"/><Relationship Id="rId22" Type="http://schemas.openxmlformats.org/officeDocument/2006/relationships/hyperlink" Target="mailto:henehan@gfz-potsdam.de" TargetMode="External"/><Relationship Id="rId27" Type="http://schemas.openxmlformats.org/officeDocument/2006/relationships/hyperlink" Target="mailto:henehan@gfz-potsdam.de" TargetMode="External"/><Relationship Id="rId30" Type="http://schemas.openxmlformats.org/officeDocument/2006/relationships/hyperlink" Target="mailto:henehan@gfz-potsdam.de" TargetMode="External"/><Relationship Id="rId35" Type="http://schemas.openxmlformats.org/officeDocument/2006/relationships/hyperlink" Target="mailto:henehan@gfz-potsdam.de" TargetMode="External"/><Relationship Id="rId43" Type="http://schemas.openxmlformats.org/officeDocument/2006/relationships/hyperlink" Target="mailto:henehan@gfz-potsdam.de" TargetMode="External"/><Relationship Id="rId48" Type="http://schemas.openxmlformats.org/officeDocument/2006/relationships/hyperlink" Target="mailto:henehan@gfz-potsdam.de" TargetMode="External"/><Relationship Id="rId56" Type="http://schemas.openxmlformats.org/officeDocument/2006/relationships/hyperlink" Target="mailto:henehan@gfz-potsdam.de" TargetMode="External"/><Relationship Id="rId64" Type="http://schemas.openxmlformats.org/officeDocument/2006/relationships/hyperlink" Target="mailto:henehan@gfz-potsdam.de" TargetMode="External"/><Relationship Id="rId69" Type="http://schemas.openxmlformats.org/officeDocument/2006/relationships/hyperlink" Target="mailto:henehan@gfz-potsdam.de" TargetMode="External"/><Relationship Id="rId77" Type="http://schemas.openxmlformats.org/officeDocument/2006/relationships/hyperlink" Target="mailto:henehan@gfz-potsdam.de" TargetMode="External"/><Relationship Id="rId8" Type="http://schemas.openxmlformats.org/officeDocument/2006/relationships/hyperlink" Target="mailto:henehan@gfz-potsdam.de" TargetMode="External"/><Relationship Id="rId51" Type="http://schemas.openxmlformats.org/officeDocument/2006/relationships/hyperlink" Target="mailto:henehan@gfz-potsdam.de" TargetMode="External"/><Relationship Id="rId72" Type="http://schemas.openxmlformats.org/officeDocument/2006/relationships/hyperlink" Target="mailto:henehan@gfz-potsdam.de" TargetMode="External"/><Relationship Id="rId80" Type="http://schemas.openxmlformats.org/officeDocument/2006/relationships/hyperlink" Target="mailto:henehan@gfz-potsdam.de" TargetMode="External"/><Relationship Id="rId85" Type="http://schemas.openxmlformats.org/officeDocument/2006/relationships/hyperlink" Target="mailto:henehan@gfz-potsdam.de" TargetMode="External"/><Relationship Id="rId3" Type="http://schemas.openxmlformats.org/officeDocument/2006/relationships/hyperlink" Target="mailto:henehan@gfz-potsdam.de" TargetMode="External"/><Relationship Id="rId12" Type="http://schemas.openxmlformats.org/officeDocument/2006/relationships/hyperlink" Target="mailto:henehan@gfz-potsdam.de" TargetMode="External"/><Relationship Id="rId17" Type="http://schemas.openxmlformats.org/officeDocument/2006/relationships/hyperlink" Target="mailto:henehan@gfz-potsdam.de" TargetMode="External"/><Relationship Id="rId25" Type="http://schemas.openxmlformats.org/officeDocument/2006/relationships/hyperlink" Target="mailto:henehan@gfz-potsdam.de" TargetMode="External"/><Relationship Id="rId33" Type="http://schemas.openxmlformats.org/officeDocument/2006/relationships/hyperlink" Target="mailto:henehan@gfz-potsdam.de" TargetMode="External"/><Relationship Id="rId38" Type="http://schemas.openxmlformats.org/officeDocument/2006/relationships/hyperlink" Target="mailto:henehan@gfz-potsdam.de" TargetMode="External"/><Relationship Id="rId46" Type="http://schemas.openxmlformats.org/officeDocument/2006/relationships/hyperlink" Target="mailto:henehan@gfz-potsdam.de" TargetMode="External"/><Relationship Id="rId59" Type="http://schemas.openxmlformats.org/officeDocument/2006/relationships/hyperlink" Target="mailto:henehan@gfz-potsdam.de" TargetMode="External"/><Relationship Id="rId67" Type="http://schemas.openxmlformats.org/officeDocument/2006/relationships/hyperlink" Target="mailto:henehan@gfz-potsdam.de" TargetMode="External"/><Relationship Id="rId20" Type="http://schemas.openxmlformats.org/officeDocument/2006/relationships/hyperlink" Target="mailto:henehan@gfz-potsdam.de" TargetMode="External"/><Relationship Id="rId41" Type="http://schemas.openxmlformats.org/officeDocument/2006/relationships/hyperlink" Target="mailto:henehan@gfz-potsdam.de" TargetMode="External"/><Relationship Id="rId54" Type="http://schemas.openxmlformats.org/officeDocument/2006/relationships/hyperlink" Target="mailto:henehan@gfz-potsdam.de" TargetMode="External"/><Relationship Id="rId62" Type="http://schemas.openxmlformats.org/officeDocument/2006/relationships/hyperlink" Target="mailto:henehan@gfz-potsdam.de" TargetMode="External"/><Relationship Id="rId70" Type="http://schemas.openxmlformats.org/officeDocument/2006/relationships/hyperlink" Target="mailto:henehan@gfz-potsdam.de" TargetMode="External"/><Relationship Id="rId75" Type="http://schemas.openxmlformats.org/officeDocument/2006/relationships/hyperlink" Target="mailto:henehan@gfz-potsdam.de" TargetMode="External"/><Relationship Id="rId83" Type="http://schemas.openxmlformats.org/officeDocument/2006/relationships/hyperlink" Target="mailto:henehan@gfz-potsdam.de" TargetMode="External"/><Relationship Id="rId88" Type="http://schemas.openxmlformats.org/officeDocument/2006/relationships/hyperlink" Target="mailto:henehan@gfz-potsdam.de" TargetMode="External"/><Relationship Id="rId1" Type="http://schemas.openxmlformats.org/officeDocument/2006/relationships/hyperlink" Target="mailto:henehan@gfz-potsdam.de" TargetMode="External"/><Relationship Id="rId6" Type="http://schemas.openxmlformats.org/officeDocument/2006/relationships/hyperlink" Target="mailto:henehan@gfz-potsdam.de" TargetMode="External"/><Relationship Id="rId15" Type="http://schemas.openxmlformats.org/officeDocument/2006/relationships/hyperlink" Target="mailto:henehan@gfz-potsdam.de" TargetMode="External"/><Relationship Id="rId23" Type="http://schemas.openxmlformats.org/officeDocument/2006/relationships/hyperlink" Target="mailto:henehan@gfz-potsdam.de" TargetMode="External"/><Relationship Id="rId28" Type="http://schemas.openxmlformats.org/officeDocument/2006/relationships/hyperlink" Target="mailto:henehan@gfz-potsdam.de" TargetMode="External"/><Relationship Id="rId36" Type="http://schemas.openxmlformats.org/officeDocument/2006/relationships/hyperlink" Target="mailto:henehan@gfz-potsdam.de" TargetMode="External"/><Relationship Id="rId49" Type="http://schemas.openxmlformats.org/officeDocument/2006/relationships/hyperlink" Target="mailto:henehan@gfz-potsdam.de" TargetMode="External"/><Relationship Id="rId57" Type="http://schemas.openxmlformats.org/officeDocument/2006/relationships/hyperlink" Target="mailto:henehan@gfz-potsdam.de" TargetMode="External"/><Relationship Id="rId10" Type="http://schemas.openxmlformats.org/officeDocument/2006/relationships/hyperlink" Target="mailto:henehan@gfz-potsdam.de" TargetMode="External"/><Relationship Id="rId31" Type="http://schemas.openxmlformats.org/officeDocument/2006/relationships/hyperlink" Target="mailto:henehan@gfz-potsdam.de" TargetMode="External"/><Relationship Id="rId44" Type="http://schemas.openxmlformats.org/officeDocument/2006/relationships/hyperlink" Target="mailto:henehan@gfz-potsdam.de" TargetMode="External"/><Relationship Id="rId52" Type="http://schemas.openxmlformats.org/officeDocument/2006/relationships/hyperlink" Target="mailto:henehan@gfz-potsdam.de" TargetMode="External"/><Relationship Id="rId60" Type="http://schemas.openxmlformats.org/officeDocument/2006/relationships/hyperlink" Target="mailto:henehan@gfz-potsdam.de" TargetMode="External"/><Relationship Id="rId65" Type="http://schemas.openxmlformats.org/officeDocument/2006/relationships/hyperlink" Target="mailto:henehan@gfz-potsdam.de" TargetMode="External"/><Relationship Id="rId73" Type="http://schemas.openxmlformats.org/officeDocument/2006/relationships/hyperlink" Target="mailto:henehan@gfz-potsdam.de" TargetMode="External"/><Relationship Id="rId78" Type="http://schemas.openxmlformats.org/officeDocument/2006/relationships/hyperlink" Target="mailto:henehan@gfz-potsdam.de" TargetMode="External"/><Relationship Id="rId81" Type="http://schemas.openxmlformats.org/officeDocument/2006/relationships/hyperlink" Target="mailto:henehan@gfz-potsdam.de" TargetMode="External"/><Relationship Id="rId86" Type="http://schemas.openxmlformats.org/officeDocument/2006/relationships/hyperlink" Target="mailto:henehan@gfz-potsdam.de" TargetMode="External"/><Relationship Id="rId4" Type="http://schemas.openxmlformats.org/officeDocument/2006/relationships/hyperlink" Target="mailto:henehan@gfz-potsdam.de" TargetMode="External"/><Relationship Id="rId9" Type="http://schemas.openxmlformats.org/officeDocument/2006/relationships/hyperlink" Target="mailto:henehan@gfz-potsdam.de" TargetMode="External"/><Relationship Id="rId13" Type="http://schemas.openxmlformats.org/officeDocument/2006/relationships/hyperlink" Target="mailto:henehan@gfz-potsdam.de" TargetMode="External"/><Relationship Id="rId18" Type="http://schemas.openxmlformats.org/officeDocument/2006/relationships/hyperlink" Target="mailto:henehan@gfz-potsdam.de" TargetMode="External"/><Relationship Id="rId39" Type="http://schemas.openxmlformats.org/officeDocument/2006/relationships/hyperlink" Target="mailto:henehan@gfz-potsdam.de" TargetMode="External"/><Relationship Id="rId34" Type="http://schemas.openxmlformats.org/officeDocument/2006/relationships/hyperlink" Target="mailto:henehan@gfz-potsdam.de" TargetMode="External"/><Relationship Id="rId50" Type="http://schemas.openxmlformats.org/officeDocument/2006/relationships/hyperlink" Target="mailto:henehan@gfz-potsdam.de" TargetMode="External"/><Relationship Id="rId55" Type="http://schemas.openxmlformats.org/officeDocument/2006/relationships/hyperlink" Target="mailto:henehan@gfz-potsdam.de" TargetMode="External"/><Relationship Id="rId76" Type="http://schemas.openxmlformats.org/officeDocument/2006/relationships/hyperlink" Target="mailto:henehan@gfz-potsdam.de" TargetMode="External"/><Relationship Id="rId7" Type="http://schemas.openxmlformats.org/officeDocument/2006/relationships/hyperlink" Target="mailto:henehan@gfz-potsdam.de" TargetMode="External"/><Relationship Id="rId71" Type="http://schemas.openxmlformats.org/officeDocument/2006/relationships/hyperlink" Target="mailto:henehan@gfz-potsdam.de" TargetMode="External"/><Relationship Id="rId2" Type="http://schemas.openxmlformats.org/officeDocument/2006/relationships/hyperlink" Target="mailto:henehan@gfz-potsdam.de" TargetMode="External"/><Relationship Id="rId29" Type="http://schemas.openxmlformats.org/officeDocument/2006/relationships/hyperlink" Target="mailto:henehan@gfz-potsdam.de" TargetMode="External"/><Relationship Id="rId24" Type="http://schemas.openxmlformats.org/officeDocument/2006/relationships/hyperlink" Target="mailto:henehan@gfz-potsdam.de" TargetMode="External"/><Relationship Id="rId40" Type="http://schemas.openxmlformats.org/officeDocument/2006/relationships/hyperlink" Target="mailto:henehan@gfz-potsdam.de" TargetMode="External"/><Relationship Id="rId45" Type="http://schemas.openxmlformats.org/officeDocument/2006/relationships/hyperlink" Target="mailto:henehan@gfz-potsdam.de" TargetMode="External"/><Relationship Id="rId66" Type="http://schemas.openxmlformats.org/officeDocument/2006/relationships/hyperlink" Target="mailto:henehan@gfz-potsdam.de" TargetMode="External"/><Relationship Id="rId87" Type="http://schemas.openxmlformats.org/officeDocument/2006/relationships/hyperlink" Target="mailto:henehan@gfz-potsdam.de" TargetMode="External"/><Relationship Id="rId61" Type="http://schemas.openxmlformats.org/officeDocument/2006/relationships/hyperlink" Target="mailto:henehan@gfz-potsdam.de" TargetMode="External"/><Relationship Id="rId82" Type="http://schemas.openxmlformats.org/officeDocument/2006/relationships/hyperlink" Target="mailto:henehan@gfz-potsdam.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135"/>
  <sheetViews>
    <sheetView tabSelected="1" topLeftCell="A4" workbookViewId="0">
      <selection activeCell="C4" sqref="C4:X91"/>
    </sheetView>
  </sheetViews>
  <sheetFormatPr baseColWidth="10" defaultColWidth="8.83203125" defaultRowHeight="15"/>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7"/>
      <c r="Z1" s="3"/>
      <c r="AA1" s="18" t="s">
        <v>11</v>
      </c>
      <c r="AB1" s="19"/>
      <c r="AC1" s="19"/>
      <c r="AD1" s="19"/>
      <c r="AE1" s="19"/>
      <c r="AF1" s="19"/>
      <c r="AG1" s="20"/>
      <c r="AH1" s="21"/>
      <c r="AI1" s="20"/>
      <c r="AJ1" s="19"/>
      <c r="AK1" s="19"/>
      <c r="AL1" s="19"/>
      <c r="AM1" s="19"/>
      <c r="AN1" s="19"/>
      <c r="AO1" s="19"/>
      <c r="AP1" s="19"/>
      <c r="AQ1" s="19"/>
      <c r="AR1" s="19"/>
      <c r="AS1" s="22" t="s">
        <v>12</v>
      </c>
      <c r="AT1" s="23"/>
      <c r="AU1" s="24"/>
      <c r="AV1" s="24"/>
      <c r="AW1" s="25"/>
      <c r="AX1" s="25"/>
      <c r="AY1" s="25"/>
      <c r="AZ1" s="26"/>
      <c r="BA1" s="25"/>
      <c r="BB1" s="25"/>
      <c r="BC1" s="25"/>
      <c r="BD1" s="25"/>
      <c r="BE1" s="25"/>
      <c r="BF1" s="25"/>
      <c r="BG1" s="27" t="s">
        <v>13</v>
      </c>
      <c r="BH1" s="28"/>
      <c r="BI1" s="28"/>
      <c r="BJ1" s="28"/>
      <c r="BK1" s="28"/>
      <c r="BL1" s="28"/>
      <c r="BM1" s="28"/>
      <c r="BN1" s="29"/>
      <c r="BO1" s="30"/>
      <c r="BP1" s="30"/>
      <c r="BQ1" s="30"/>
      <c r="BR1" s="31"/>
      <c r="BS1" s="32"/>
      <c r="BT1" s="33" t="s">
        <v>14</v>
      </c>
      <c r="BU1" s="34"/>
      <c r="BV1" s="34"/>
      <c r="BW1" s="34"/>
      <c r="BX1" s="34"/>
      <c r="BY1" s="34"/>
      <c r="BZ1" s="34"/>
      <c r="CA1" s="35"/>
      <c r="CB1" s="36" t="s">
        <v>15</v>
      </c>
      <c r="CC1" s="36"/>
      <c r="CD1" s="37"/>
      <c r="CE1" s="37"/>
      <c r="CF1" s="37"/>
      <c r="CG1" s="38" t="s">
        <v>16</v>
      </c>
      <c r="CH1" s="39"/>
      <c r="CI1" s="40"/>
      <c r="CJ1" s="38"/>
      <c r="CK1" s="41"/>
      <c r="CL1" s="41"/>
      <c r="CM1" s="42"/>
      <c r="CN1" s="38" t="s">
        <v>17</v>
      </c>
      <c r="CO1" s="43"/>
      <c r="CP1" s="41"/>
      <c r="CQ1" s="41"/>
      <c r="CR1" s="41"/>
      <c r="CS1" s="41"/>
      <c r="CT1" s="41"/>
      <c r="CU1" s="41"/>
      <c r="CV1" s="41"/>
      <c r="CW1" s="41"/>
      <c r="CX1" s="41"/>
      <c r="CY1" s="41"/>
      <c r="CZ1" s="38" t="s">
        <v>18</v>
      </c>
      <c r="DA1" s="41"/>
      <c r="DB1" s="41"/>
      <c r="DC1" s="41"/>
      <c r="DD1" s="41"/>
      <c r="DE1" s="41"/>
      <c r="DF1" s="42"/>
      <c r="DG1" s="39" t="s">
        <v>19</v>
      </c>
      <c r="DH1" s="39"/>
      <c r="DI1" s="39"/>
      <c r="DJ1" s="39"/>
      <c r="DK1" s="39"/>
      <c r="DL1" s="39"/>
      <c r="DM1" s="39"/>
      <c r="DN1" s="39"/>
      <c r="DO1" s="39"/>
      <c r="DP1" s="39"/>
      <c r="DQ1" s="39"/>
      <c r="DR1" s="39"/>
      <c r="DS1" s="39"/>
      <c r="DT1" s="39"/>
      <c r="DU1" s="39"/>
      <c r="DV1" s="39"/>
      <c r="DW1" s="39"/>
      <c r="DX1" s="39"/>
      <c r="DY1" s="39"/>
      <c r="DZ1" s="39"/>
      <c r="EA1" s="44"/>
      <c r="EB1" s="41"/>
      <c r="EC1" s="41"/>
      <c r="ED1" s="42"/>
      <c r="EE1" s="39"/>
      <c r="EF1" s="39"/>
      <c r="EG1" s="45" t="s">
        <v>20</v>
      </c>
      <c r="EH1" s="39"/>
      <c r="EI1" s="39"/>
      <c r="EJ1" s="39"/>
      <c r="EK1" s="39"/>
      <c r="EL1" s="40"/>
      <c r="EM1" s="45" t="s">
        <v>21</v>
      </c>
      <c r="EN1" s="39"/>
      <c r="EO1" s="39"/>
      <c r="EP1" s="39"/>
      <c r="EQ1" s="39"/>
      <c r="ER1" s="46"/>
      <c r="ES1" s="46"/>
      <c r="ET1" s="47" t="s">
        <v>22</v>
      </c>
      <c r="EU1" s="48"/>
      <c r="EV1" s="48"/>
      <c r="EW1" s="49"/>
      <c r="EX1" s="49"/>
      <c r="EY1" s="49"/>
      <c r="EZ1" s="49"/>
      <c r="FA1" s="49"/>
      <c r="FB1" s="49"/>
      <c r="FC1" s="49"/>
      <c r="FD1" s="49"/>
      <c r="FE1" s="50" t="s">
        <v>23</v>
      </c>
      <c r="FF1" s="51"/>
      <c r="FG1" s="51"/>
      <c r="FH1" s="51"/>
      <c r="FI1" s="52"/>
      <c r="FJ1" s="52"/>
      <c r="FK1" s="52"/>
      <c r="FL1" s="52"/>
      <c r="FM1" s="51"/>
      <c r="FN1" s="51"/>
      <c r="FO1" s="51"/>
      <c r="FP1" s="51"/>
      <c r="FQ1" s="50"/>
      <c r="FR1" s="51"/>
      <c r="FS1" s="51"/>
      <c r="FT1" s="51"/>
      <c r="FU1" s="51"/>
      <c r="FV1" s="51"/>
      <c r="FW1" s="19"/>
      <c r="FX1" s="19"/>
      <c r="FY1" s="19"/>
      <c r="FZ1" s="19"/>
      <c r="GA1" s="19"/>
      <c r="GB1" s="19"/>
      <c r="GC1" s="5"/>
    </row>
    <row r="2" spans="1:185" ht="20">
      <c r="A2" s="1"/>
      <c r="B2" s="2"/>
      <c r="C2" s="2"/>
      <c r="D2" s="2"/>
      <c r="E2" s="2"/>
      <c r="F2" s="2"/>
      <c r="G2" s="2"/>
      <c r="H2" s="2"/>
      <c r="I2" s="2"/>
      <c r="J2" s="2"/>
      <c r="K2" s="2"/>
      <c r="L2" s="3"/>
      <c r="M2" s="4"/>
      <c r="N2" s="4"/>
      <c r="O2" s="4"/>
      <c r="P2" s="4"/>
      <c r="R2" s="5"/>
      <c r="S2" s="213"/>
      <c r="T2" s="213"/>
      <c r="U2" s="213"/>
      <c r="V2" s="213"/>
      <c r="W2" s="213"/>
      <c r="X2" s="5"/>
      <c r="Y2" s="53"/>
      <c r="Z2" s="54"/>
      <c r="AA2" s="55"/>
      <c r="AB2" s="55"/>
      <c r="AC2" s="55"/>
      <c r="AD2" s="55"/>
      <c r="AE2" s="55"/>
      <c r="AF2" s="55"/>
      <c r="AG2" s="56"/>
      <c r="AH2" s="57"/>
      <c r="AI2" s="56"/>
      <c r="AJ2" s="55"/>
      <c r="AK2" s="55"/>
      <c r="AL2" s="55"/>
      <c r="AM2" s="55"/>
      <c r="AN2" s="55"/>
      <c r="AO2" s="55"/>
      <c r="AP2" s="55"/>
      <c r="AQ2" s="55"/>
      <c r="AR2" s="55"/>
      <c r="AS2" s="58"/>
      <c r="AT2" s="23"/>
      <c r="AU2" s="24"/>
      <c r="AV2" s="24"/>
      <c r="AW2" s="25"/>
      <c r="AX2" s="25"/>
      <c r="AY2" s="25"/>
      <c r="AZ2" s="26" t="s">
        <v>24</v>
      </c>
      <c r="BA2" s="25"/>
      <c r="BB2" s="25"/>
      <c r="BC2" s="25"/>
      <c r="BD2" s="25"/>
      <c r="BE2" s="25"/>
      <c r="BF2" s="25"/>
      <c r="BG2" s="29"/>
      <c r="BH2" s="30"/>
      <c r="BI2" s="28"/>
      <c r="BJ2" s="28"/>
      <c r="BK2" s="28"/>
      <c r="BL2" s="28"/>
      <c r="BM2" s="30"/>
      <c r="BN2" s="59" t="s">
        <v>25</v>
      </c>
      <c r="BO2" s="60"/>
      <c r="BP2" s="60"/>
      <c r="BQ2" s="30"/>
      <c r="BR2" s="31"/>
      <c r="BS2" s="32"/>
      <c r="BT2" s="61" t="s">
        <v>26</v>
      </c>
      <c r="BU2" s="62"/>
      <c r="BV2" s="62"/>
      <c r="BW2" s="63" t="s">
        <v>27</v>
      </c>
      <c r="BX2" s="64"/>
      <c r="BY2" s="65"/>
      <c r="BZ2" s="65"/>
      <c r="CA2" s="66"/>
      <c r="CB2" s="67"/>
      <c r="CC2" s="67"/>
      <c r="CD2" s="34"/>
      <c r="CE2" s="34"/>
      <c r="CF2" s="34"/>
      <c r="CG2" s="68" t="s">
        <v>28</v>
      </c>
      <c r="CH2" s="69"/>
      <c r="CI2" s="70"/>
      <c r="CJ2" s="71" t="s">
        <v>29</v>
      </c>
      <c r="CK2" s="72"/>
      <c r="CL2" s="72"/>
      <c r="CM2" s="72"/>
      <c r="CN2" s="73" t="s">
        <v>30</v>
      </c>
      <c r="CO2" s="74"/>
      <c r="CP2" s="72"/>
      <c r="CQ2" s="72"/>
      <c r="CR2" s="72"/>
      <c r="CS2" s="72"/>
      <c r="CT2" s="72"/>
      <c r="CU2" s="72"/>
      <c r="CV2" s="72"/>
      <c r="CW2" s="72"/>
      <c r="CX2" s="72"/>
      <c r="CY2" s="72"/>
      <c r="CZ2" s="38" t="s">
        <v>31</v>
      </c>
      <c r="DA2" s="43"/>
      <c r="DB2" s="41"/>
      <c r="DC2" s="41"/>
      <c r="DD2" s="41"/>
      <c r="DE2" s="41"/>
      <c r="DF2" s="42"/>
      <c r="DG2" s="69" t="s">
        <v>32</v>
      </c>
      <c r="DH2" s="69"/>
      <c r="DI2" s="69"/>
      <c r="DJ2" s="69"/>
      <c r="DK2" s="75" t="s">
        <v>33</v>
      </c>
      <c r="DL2" s="76"/>
      <c r="DM2" s="76"/>
      <c r="DN2" s="77"/>
      <c r="DO2" s="75" t="s">
        <v>34</v>
      </c>
      <c r="DP2" s="46"/>
      <c r="DQ2" s="46"/>
      <c r="DR2" s="78"/>
      <c r="DS2" s="79" t="s">
        <v>35</v>
      </c>
      <c r="DT2" s="46"/>
      <c r="DU2" s="46"/>
      <c r="DV2" s="78"/>
      <c r="DW2" s="80" t="s">
        <v>36</v>
      </c>
      <c r="DX2" s="81"/>
      <c r="DY2" s="69"/>
      <c r="DZ2" s="69"/>
      <c r="EA2" s="82" t="s">
        <v>37</v>
      </c>
      <c r="EB2" s="72"/>
      <c r="EC2" s="72"/>
      <c r="ED2" s="83"/>
      <c r="EE2" s="69" t="s">
        <v>38</v>
      </c>
      <c r="EF2" s="69"/>
      <c r="EG2" s="84" t="s">
        <v>39</v>
      </c>
      <c r="EH2" s="85"/>
      <c r="EI2" s="85"/>
      <c r="EJ2" s="85"/>
      <c r="EK2" s="69"/>
      <c r="EL2" s="69"/>
      <c r="EM2" s="86"/>
      <c r="EN2" s="69"/>
      <c r="EO2" s="69"/>
      <c r="EP2" s="69"/>
      <c r="EQ2" s="46"/>
      <c r="ER2" s="68" t="s">
        <v>40</v>
      </c>
      <c r="ES2" s="46"/>
      <c r="ET2" s="87"/>
      <c r="EU2" s="49"/>
      <c r="EV2" s="49"/>
      <c r="EW2" s="88"/>
      <c r="EX2" s="88"/>
      <c r="EY2" s="88"/>
      <c r="EZ2" s="88"/>
      <c r="FA2" s="89"/>
      <c r="FB2" s="89"/>
      <c r="FC2" s="89"/>
      <c r="FD2" s="89"/>
      <c r="FE2" s="90"/>
      <c r="FF2" s="55"/>
      <c r="FG2" s="55"/>
      <c r="FH2" s="55"/>
      <c r="FI2" s="55"/>
      <c r="FJ2" s="55"/>
      <c r="FK2" s="55"/>
      <c r="FL2" s="55"/>
      <c r="FM2" s="55"/>
      <c r="FN2" s="55"/>
      <c r="FO2" s="55"/>
      <c r="FP2" s="55"/>
      <c r="FQ2" s="18"/>
      <c r="FR2" s="19"/>
      <c r="FS2" s="19"/>
      <c r="FT2" s="19"/>
      <c r="FU2" s="19"/>
      <c r="FV2" s="19"/>
      <c r="FW2" s="19"/>
      <c r="FX2" s="19"/>
      <c r="FY2" s="19"/>
      <c r="FZ2" s="19"/>
      <c r="GA2" s="19"/>
      <c r="GB2" s="55"/>
      <c r="GC2" s="91"/>
    </row>
    <row r="3" spans="1:185" ht="409.6">
      <c r="A3" s="6" t="s">
        <v>0</v>
      </c>
      <c r="B3" s="7" t="s">
        <v>1</v>
      </c>
      <c r="C3" s="8" t="s">
        <v>2</v>
      </c>
      <c r="D3" s="9" t="s">
        <v>3</v>
      </c>
      <c r="E3" s="9" t="s">
        <v>4</v>
      </c>
      <c r="F3" s="2" t="s">
        <v>5</v>
      </c>
      <c r="G3" s="2" t="s">
        <v>6</v>
      </c>
      <c r="H3" s="10" t="s">
        <v>7</v>
      </c>
      <c r="I3" s="10" t="s">
        <v>8</v>
      </c>
      <c r="J3" s="9" t="s">
        <v>171</v>
      </c>
      <c r="K3" s="10" t="s">
        <v>170</v>
      </c>
      <c r="L3" s="11" t="s">
        <v>320</v>
      </c>
      <c r="M3" s="9" t="s">
        <v>172</v>
      </c>
      <c r="N3" s="9" t="s">
        <v>323</v>
      </c>
      <c r="O3" s="9" t="s">
        <v>324</v>
      </c>
      <c r="P3" s="9" t="s">
        <v>173</v>
      </c>
      <c r="Q3" s="12" t="s">
        <v>174</v>
      </c>
      <c r="R3" s="13" t="s">
        <v>175</v>
      </c>
      <c r="S3" s="14" t="s">
        <v>176</v>
      </c>
      <c r="T3" s="9" t="s">
        <v>177</v>
      </c>
      <c r="U3" s="9" t="s">
        <v>9</v>
      </c>
      <c r="V3" s="9" t="s">
        <v>178</v>
      </c>
      <c r="W3" s="15" t="s">
        <v>179</v>
      </c>
      <c r="X3" s="16" t="s">
        <v>10</v>
      </c>
      <c r="Y3" s="92" t="s">
        <v>41</v>
      </c>
      <c r="Z3" s="93" t="s">
        <v>42</v>
      </c>
      <c r="AA3" s="94" t="s">
        <v>43</v>
      </c>
      <c r="AB3" s="94" t="s">
        <v>44</v>
      </c>
      <c r="AC3" s="94" t="s">
        <v>45</v>
      </c>
      <c r="AD3" s="94" t="s">
        <v>46</v>
      </c>
      <c r="AE3" s="94" t="s">
        <v>47</v>
      </c>
      <c r="AF3" s="94" t="s">
        <v>48</v>
      </c>
      <c r="AG3" s="94" t="s">
        <v>49</v>
      </c>
      <c r="AH3" s="95" t="s">
        <v>50</v>
      </c>
      <c r="AI3" s="94" t="s">
        <v>51</v>
      </c>
      <c r="AJ3" s="94" t="s">
        <v>52</v>
      </c>
      <c r="AK3" s="94" t="s">
        <v>53</v>
      </c>
      <c r="AL3" s="94" t="s">
        <v>54</v>
      </c>
      <c r="AM3" s="94" t="s">
        <v>55</v>
      </c>
      <c r="AN3" s="94" t="s">
        <v>56</v>
      </c>
      <c r="AO3" s="94" t="s">
        <v>57</v>
      </c>
      <c r="AP3" s="94" t="s">
        <v>58</v>
      </c>
      <c r="AQ3" s="94" t="s">
        <v>59</v>
      </c>
      <c r="AR3" s="94" t="s">
        <v>60</v>
      </c>
      <c r="AS3" s="96" t="s">
        <v>61</v>
      </c>
      <c r="AT3" s="97" t="s">
        <v>62</v>
      </c>
      <c r="AU3" s="98" t="s">
        <v>63</v>
      </c>
      <c r="AV3" s="98" t="s">
        <v>64</v>
      </c>
      <c r="AW3" s="99" t="s">
        <v>65</v>
      </c>
      <c r="AX3" s="99" t="s">
        <v>66</v>
      </c>
      <c r="AY3" s="100" t="s">
        <v>67</v>
      </c>
      <c r="AZ3" s="96" t="s">
        <v>61</v>
      </c>
      <c r="BA3" s="97" t="s">
        <v>62</v>
      </c>
      <c r="BB3" s="98" t="s">
        <v>63</v>
      </c>
      <c r="BC3" s="98" t="s">
        <v>64</v>
      </c>
      <c r="BD3" s="99" t="s">
        <v>65</v>
      </c>
      <c r="BE3" s="99" t="s">
        <v>66</v>
      </c>
      <c r="BF3" s="99" t="s">
        <v>67</v>
      </c>
      <c r="BG3" s="101" t="s">
        <v>68</v>
      </c>
      <c r="BH3" s="102" t="s">
        <v>69</v>
      </c>
      <c r="BI3" s="102" t="s">
        <v>70</v>
      </c>
      <c r="BJ3" s="102" t="s">
        <v>71</v>
      </c>
      <c r="BK3" s="102" t="s">
        <v>72</v>
      </c>
      <c r="BL3" s="102" t="s">
        <v>73</v>
      </c>
      <c r="BM3" s="102" t="s">
        <v>74</v>
      </c>
      <c r="BN3" s="103" t="s">
        <v>75</v>
      </c>
      <c r="BO3" s="104" t="s">
        <v>76</v>
      </c>
      <c r="BP3" s="104" t="s">
        <v>77</v>
      </c>
      <c r="BQ3" s="105" t="s">
        <v>78</v>
      </c>
      <c r="BR3" s="106" t="s">
        <v>79</v>
      </c>
      <c r="BS3" s="106" t="s">
        <v>80</v>
      </c>
      <c r="BT3" s="107" t="s">
        <v>81</v>
      </c>
      <c r="BU3" s="108" t="s">
        <v>82</v>
      </c>
      <c r="BV3" s="109" t="s">
        <v>83</v>
      </c>
      <c r="BW3" s="110" t="s">
        <v>84</v>
      </c>
      <c r="BX3" s="111" t="s">
        <v>82</v>
      </c>
      <c r="BY3" s="112" t="s">
        <v>83</v>
      </c>
      <c r="BZ3" s="65" t="s">
        <v>85</v>
      </c>
      <c r="CA3" s="66" t="s">
        <v>86</v>
      </c>
      <c r="CB3" s="112" t="s">
        <v>87</v>
      </c>
      <c r="CC3" s="108" t="s">
        <v>82</v>
      </c>
      <c r="CD3" s="109" t="s">
        <v>83</v>
      </c>
      <c r="CE3" s="65" t="s">
        <v>169</v>
      </c>
      <c r="CF3" s="65" t="s">
        <v>88</v>
      </c>
      <c r="CG3" s="113" t="s">
        <v>89</v>
      </c>
      <c r="CH3" s="114" t="s">
        <v>62</v>
      </c>
      <c r="CI3" s="115" t="s">
        <v>90</v>
      </c>
      <c r="CJ3" s="116" t="s">
        <v>91</v>
      </c>
      <c r="CK3" s="114" t="s">
        <v>62</v>
      </c>
      <c r="CL3" s="117" t="s">
        <v>92</v>
      </c>
      <c r="CM3" s="118" t="s">
        <v>93</v>
      </c>
      <c r="CN3" s="119" t="s">
        <v>94</v>
      </c>
      <c r="CO3" s="116" t="s">
        <v>95</v>
      </c>
      <c r="CP3" s="114" t="s">
        <v>62</v>
      </c>
      <c r="CQ3" s="117" t="s">
        <v>96</v>
      </c>
      <c r="CR3" s="118" t="s">
        <v>97</v>
      </c>
      <c r="CS3" s="119" t="s">
        <v>98</v>
      </c>
      <c r="CT3" s="119" t="s">
        <v>99</v>
      </c>
      <c r="CU3" s="119" t="s">
        <v>165</v>
      </c>
      <c r="CV3" s="119" t="s">
        <v>164</v>
      </c>
      <c r="CW3" s="119" t="s">
        <v>100</v>
      </c>
      <c r="CX3" s="119" t="s">
        <v>101</v>
      </c>
      <c r="CY3" s="119" t="s">
        <v>102</v>
      </c>
      <c r="CZ3" s="120" t="s">
        <v>103</v>
      </c>
      <c r="DA3" s="116" t="s">
        <v>104</v>
      </c>
      <c r="DB3" s="114" t="s">
        <v>62</v>
      </c>
      <c r="DC3" s="114" t="s">
        <v>105</v>
      </c>
      <c r="DD3" s="119" t="s">
        <v>106</v>
      </c>
      <c r="DE3" s="119" t="s">
        <v>99</v>
      </c>
      <c r="DF3" s="119" t="s">
        <v>107</v>
      </c>
      <c r="DG3" s="113" t="s">
        <v>108</v>
      </c>
      <c r="DH3" s="114" t="s">
        <v>62</v>
      </c>
      <c r="DI3" s="114" t="s">
        <v>105</v>
      </c>
      <c r="DJ3" s="121" t="s">
        <v>109</v>
      </c>
      <c r="DK3" s="116" t="s">
        <v>110</v>
      </c>
      <c r="DL3" s="114" t="s">
        <v>62</v>
      </c>
      <c r="DM3" s="114" t="s">
        <v>105</v>
      </c>
      <c r="DN3" s="121" t="s">
        <v>111</v>
      </c>
      <c r="DO3" s="116" t="s">
        <v>112</v>
      </c>
      <c r="DP3" s="114" t="s">
        <v>62</v>
      </c>
      <c r="DQ3" s="114" t="s">
        <v>105</v>
      </c>
      <c r="DR3" s="121" t="s">
        <v>113</v>
      </c>
      <c r="DS3" s="116" t="s">
        <v>114</v>
      </c>
      <c r="DT3" s="114" t="s">
        <v>62</v>
      </c>
      <c r="DU3" s="114" t="s">
        <v>105</v>
      </c>
      <c r="DV3" s="121" t="s">
        <v>115</v>
      </c>
      <c r="DW3" s="116" t="s">
        <v>116</v>
      </c>
      <c r="DX3" s="114" t="s">
        <v>62</v>
      </c>
      <c r="DY3" s="114" t="s">
        <v>105</v>
      </c>
      <c r="DZ3" s="122" t="s">
        <v>117</v>
      </c>
      <c r="EA3" s="113" t="s">
        <v>118</v>
      </c>
      <c r="EB3" s="114" t="s">
        <v>62</v>
      </c>
      <c r="EC3" s="114" t="s">
        <v>105</v>
      </c>
      <c r="ED3" s="123" t="s">
        <v>119</v>
      </c>
      <c r="EE3" s="122" t="s">
        <v>120</v>
      </c>
      <c r="EF3" s="122" t="s">
        <v>121</v>
      </c>
      <c r="EG3" s="113" t="s">
        <v>122</v>
      </c>
      <c r="EH3" s="114" t="s">
        <v>62</v>
      </c>
      <c r="EI3" s="114" t="s">
        <v>105</v>
      </c>
      <c r="EJ3" s="114" t="s">
        <v>123</v>
      </c>
      <c r="EK3" s="122" t="s">
        <v>124</v>
      </c>
      <c r="EL3" s="121" t="s">
        <v>125</v>
      </c>
      <c r="EM3" s="119" t="s">
        <v>126</v>
      </c>
      <c r="EN3" s="122" t="s">
        <v>127</v>
      </c>
      <c r="EO3" s="122" t="s">
        <v>128</v>
      </c>
      <c r="EP3" s="122" t="s">
        <v>129</v>
      </c>
      <c r="EQ3" s="124" t="s">
        <v>130</v>
      </c>
      <c r="ER3" s="125" t="s">
        <v>131</v>
      </c>
      <c r="ES3" s="122" t="s">
        <v>132</v>
      </c>
      <c r="ET3" s="136" t="s">
        <v>133</v>
      </c>
      <c r="EU3" s="137" t="s">
        <v>134</v>
      </c>
      <c r="EV3" s="137" t="s">
        <v>135</v>
      </c>
      <c r="EW3" s="126" t="s">
        <v>136</v>
      </c>
      <c r="EX3" s="127" t="s">
        <v>62</v>
      </c>
      <c r="EY3" s="128" t="s">
        <v>162</v>
      </c>
      <c r="EZ3" s="129" t="s">
        <v>163</v>
      </c>
      <c r="FA3" s="126" t="s">
        <v>137</v>
      </c>
      <c r="FB3" s="127" t="s">
        <v>62</v>
      </c>
      <c r="FC3" s="128" t="s">
        <v>140</v>
      </c>
      <c r="FD3" s="129" t="s">
        <v>141</v>
      </c>
      <c r="FE3" s="130" t="s">
        <v>138</v>
      </c>
      <c r="FF3" s="94" t="s">
        <v>139</v>
      </c>
      <c r="FG3" s="131" t="s">
        <v>140</v>
      </c>
      <c r="FH3" s="131" t="s">
        <v>141</v>
      </c>
      <c r="FI3" s="94" t="s">
        <v>142</v>
      </c>
      <c r="FJ3" s="94" t="s">
        <v>143</v>
      </c>
      <c r="FK3" s="94" t="s">
        <v>144</v>
      </c>
      <c r="FL3" s="94" t="s">
        <v>145</v>
      </c>
      <c r="FM3" s="131" t="s">
        <v>146</v>
      </c>
      <c r="FN3" s="131" t="s">
        <v>147</v>
      </c>
      <c r="FO3" s="94" t="s">
        <v>148</v>
      </c>
      <c r="FP3" s="94" t="s">
        <v>149</v>
      </c>
      <c r="FQ3" s="130" t="s">
        <v>150</v>
      </c>
      <c r="FR3" s="132" t="s">
        <v>151</v>
      </c>
      <c r="FS3" s="132" t="s">
        <v>152</v>
      </c>
      <c r="FT3" s="94" t="s">
        <v>153</v>
      </c>
      <c r="FU3" s="132" t="s">
        <v>154</v>
      </c>
      <c r="FV3" s="132" t="s">
        <v>155</v>
      </c>
      <c r="FW3" s="133" t="s">
        <v>156</v>
      </c>
      <c r="FX3" s="133" t="s">
        <v>157</v>
      </c>
      <c r="FY3" s="133" t="s">
        <v>158</v>
      </c>
      <c r="FZ3" s="133" t="s">
        <v>159</v>
      </c>
      <c r="GA3" s="134" t="s">
        <v>160</v>
      </c>
      <c r="GB3" s="134" t="s">
        <v>166</v>
      </c>
      <c r="GC3" s="135" t="s">
        <v>161</v>
      </c>
    </row>
    <row r="4" spans="1:185" ht="17">
      <c r="A4" t="s">
        <v>180</v>
      </c>
      <c r="B4" s="200" t="s">
        <v>181</v>
      </c>
      <c r="C4" t="s">
        <v>168</v>
      </c>
      <c r="D4" t="s">
        <v>182</v>
      </c>
      <c r="E4">
        <v>2020</v>
      </c>
      <c r="F4" t="s">
        <v>183</v>
      </c>
      <c r="G4" s="141">
        <v>39807.929992675781</v>
      </c>
      <c r="H4">
        <v>1</v>
      </c>
      <c r="I4">
        <v>1</v>
      </c>
      <c r="J4">
        <v>794.40659611590104</v>
      </c>
      <c r="K4">
        <v>127.85554859404294</v>
      </c>
      <c r="L4">
        <v>119.01032891072305</v>
      </c>
      <c r="M4" s="163" t="b">
        <v>0</v>
      </c>
      <c r="N4" s="163">
        <v>3</v>
      </c>
      <c r="O4" t="s">
        <v>321</v>
      </c>
      <c r="P4" t="s">
        <v>322</v>
      </c>
      <c r="Q4" s="163" t="b">
        <v>1</v>
      </c>
      <c r="R4" s="212" t="s">
        <v>325</v>
      </c>
      <c r="S4" s="163" t="b">
        <v>1</v>
      </c>
      <c r="T4" s="163" t="b">
        <v>0</v>
      </c>
      <c r="U4" s="163" t="s">
        <v>167</v>
      </c>
      <c r="V4" s="163" t="s">
        <v>167</v>
      </c>
      <c r="W4" s="199" t="s">
        <v>167</v>
      </c>
      <c r="X4" s="199" t="s">
        <v>167</v>
      </c>
      <c r="Y4" s="143" t="s">
        <v>184</v>
      </c>
      <c r="Z4" t="s">
        <v>183</v>
      </c>
      <c r="AA4" t="s">
        <v>185</v>
      </c>
      <c r="AB4" t="s">
        <v>186</v>
      </c>
      <c r="AC4">
        <v>6</v>
      </c>
      <c r="AD4">
        <v>1</v>
      </c>
      <c r="AE4">
        <v>7</v>
      </c>
      <c r="AF4">
        <v>8.5</v>
      </c>
      <c r="AG4" s="146">
        <v>38.277500000000003</v>
      </c>
      <c r="AH4">
        <v>38.270000000000003</v>
      </c>
      <c r="AI4" t="s">
        <v>187</v>
      </c>
      <c r="AJ4" t="s">
        <v>188</v>
      </c>
      <c r="AK4" s="147">
        <v>9.2656670000000005</v>
      </c>
      <c r="AL4" s="147">
        <v>-54.544032999999999</v>
      </c>
      <c r="AM4" s="147">
        <v>0.8</v>
      </c>
      <c r="AN4" s="148" t="s">
        <v>167</v>
      </c>
      <c r="AO4" s="148">
        <v>-2549</v>
      </c>
      <c r="AP4" s="148">
        <v>-2850</v>
      </c>
      <c r="AQ4" t="s">
        <v>189</v>
      </c>
      <c r="AR4" t="s">
        <v>190</v>
      </c>
      <c r="AS4" s="141">
        <v>39807.929992675781</v>
      </c>
      <c r="AT4" t="s">
        <v>206</v>
      </c>
      <c r="AU4">
        <v>1</v>
      </c>
      <c r="AV4">
        <v>1</v>
      </c>
      <c r="AW4" t="s">
        <v>207</v>
      </c>
      <c r="AX4" t="s">
        <v>208</v>
      </c>
      <c r="AY4" s="138" t="s">
        <v>209</v>
      </c>
      <c r="AZ4">
        <v>39.816597656250003</v>
      </c>
      <c r="BA4" t="s">
        <v>167</v>
      </c>
      <c r="BB4" t="s">
        <v>167</v>
      </c>
      <c r="BC4" t="s">
        <v>167</v>
      </c>
      <c r="BD4" t="s">
        <v>207</v>
      </c>
      <c r="BE4" t="s">
        <v>210</v>
      </c>
      <c r="BF4" t="s">
        <v>211</v>
      </c>
      <c r="BG4" t="s">
        <v>216</v>
      </c>
      <c r="BH4" t="s">
        <v>217</v>
      </c>
      <c r="BI4" s="155" t="s">
        <v>218</v>
      </c>
      <c r="BJ4" s="156" t="s">
        <v>226</v>
      </c>
      <c r="BK4" t="s">
        <v>219</v>
      </c>
      <c r="BL4" t="s">
        <v>220</v>
      </c>
      <c r="BM4" t="s">
        <v>221</v>
      </c>
      <c r="BN4" t="s">
        <v>227</v>
      </c>
      <c r="BO4">
        <v>2</v>
      </c>
      <c r="BP4" s="140">
        <v>0.24097437922295306</v>
      </c>
      <c r="BQ4" s="139">
        <v>14.788</v>
      </c>
      <c r="BR4" t="s">
        <v>228</v>
      </c>
      <c r="BS4">
        <v>0.22818629847806901</v>
      </c>
      <c r="BT4">
        <v>0.88</v>
      </c>
      <c r="BU4" t="s">
        <v>271</v>
      </c>
      <c r="BV4" t="s">
        <v>271</v>
      </c>
      <c r="BW4" s="163">
        <v>1.85</v>
      </c>
      <c r="BX4" t="s">
        <v>271</v>
      </c>
      <c r="BY4" t="s">
        <v>271</v>
      </c>
      <c r="BZ4" t="s">
        <v>272</v>
      </c>
      <c r="CA4" t="s">
        <v>273</v>
      </c>
      <c r="CB4">
        <v>14.8200999180557</v>
      </c>
      <c r="CC4" t="s">
        <v>274</v>
      </c>
      <c r="CD4" s="165">
        <v>0.2648186433898001</v>
      </c>
      <c r="CE4" t="s">
        <v>326</v>
      </c>
      <c r="CF4" t="s">
        <v>327</v>
      </c>
      <c r="CG4">
        <v>25</v>
      </c>
      <c r="CH4" t="s">
        <v>280</v>
      </c>
      <c r="CI4" t="s">
        <v>280</v>
      </c>
      <c r="CJ4" s="139">
        <v>30.031004411728102</v>
      </c>
      <c r="CK4" t="s">
        <v>281</v>
      </c>
      <c r="CL4" s="140">
        <v>0.62494737089036101</v>
      </c>
      <c r="CM4" s="140">
        <v>0.57968430434253504</v>
      </c>
      <c r="CN4" t="s">
        <v>282</v>
      </c>
      <c r="CO4">
        <v>3.8488323985577302</v>
      </c>
      <c r="CP4" t="s">
        <v>283</v>
      </c>
      <c r="CQ4">
        <v>0.1154649719567319</v>
      </c>
      <c r="CR4">
        <v>0.1154649719567319</v>
      </c>
      <c r="CS4" t="s">
        <v>284</v>
      </c>
      <c r="CT4" t="s">
        <v>167</v>
      </c>
      <c r="CU4" t="s">
        <v>285</v>
      </c>
      <c r="CV4" t="s">
        <v>286</v>
      </c>
      <c r="CW4" t="s">
        <v>280</v>
      </c>
      <c r="CX4" t="s">
        <v>280</v>
      </c>
      <c r="CY4" t="s">
        <v>287</v>
      </c>
      <c r="CZ4" t="s">
        <v>167</v>
      </c>
      <c r="DA4" t="s">
        <v>167</v>
      </c>
      <c r="DB4" t="s">
        <v>167</v>
      </c>
      <c r="DC4" t="s">
        <v>167</v>
      </c>
      <c r="DD4" t="s">
        <v>167</v>
      </c>
      <c r="DE4" t="s">
        <v>167</v>
      </c>
      <c r="DF4" t="s">
        <v>167</v>
      </c>
      <c r="DG4" s="166">
        <v>35</v>
      </c>
      <c r="DH4" t="s">
        <v>288</v>
      </c>
      <c r="DI4">
        <v>1</v>
      </c>
      <c r="DJ4" t="s">
        <v>289</v>
      </c>
      <c r="DK4">
        <v>17</v>
      </c>
      <c r="DL4" t="s">
        <v>290</v>
      </c>
      <c r="DM4" t="s">
        <v>290</v>
      </c>
      <c r="DN4" t="s">
        <v>291</v>
      </c>
      <c r="DO4">
        <v>38</v>
      </c>
      <c r="DP4" t="s">
        <v>290</v>
      </c>
      <c r="DQ4" t="s">
        <v>290</v>
      </c>
      <c r="DR4" t="s">
        <v>291</v>
      </c>
      <c r="DS4" t="s">
        <v>292</v>
      </c>
      <c r="DT4" t="s">
        <v>293</v>
      </c>
      <c r="DU4" t="s">
        <v>293</v>
      </c>
      <c r="DV4" t="s">
        <v>293</v>
      </c>
      <c r="DW4" s="138">
        <v>432.5624421831638</v>
      </c>
      <c r="DX4" t="s">
        <v>294</v>
      </c>
      <c r="DY4" s="138">
        <v>12.358926919518979</v>
      </c>
      <c r="DZ4" t="s">
        <v>295</v>
      </c>
      <c r="EA4">
        <v>38.75</v>
      </c>
      <c r="EB4" t="s">
        <v>296</v>
      </c>
      <c r="EC4">
        <v>0.15</v>
      </c>
      <c r="ED4" t="s">
        <v>328</v>
      </c>
      <c r="EE4" t="s">
        <v>329</v>
      </c>
      <c r="EF4" t="s">
        <v>297</v>
      </c>
      <c r="EG4">
        <v>1.0271999999999999</v>
      </c>
      <c r="EH4" t="s">
        <v>290</v>
      </c>
      <c r="EI4" t="s">
        <v>290</v>
      </c>
      <c r="EJ4" t="s">
        <v>298</v>
      </c>
      <c r="EK4" t="s">
        <v>290</v>
      </c>
      <c r="EL4" t="s">
        <v>290</v>
      </c>
      <c r="EM4" t="s">
        <v>299</v>
      </c>
      <c r="EN4" t="s">
        <v>300</v>
      </c>
      <c r="EO4" t="s">
        <v>329</v>
      </c>
      <c r="EP4" t="s">
        <v>329</v>
      </c>
      <c r="EQ4" t="s">
        <v>329</v>
      </c>
      <c r="ER4" t="s">
        <v>329</v>
      </c>
      <c r="ES4" t="s">
        <v>167</v>
      </c>
      <c r="ET4" t="s">
        <v>307</v>
      </c>
      <c r="EU4" t="s">
        <v>308</v>
      </c>
      <c r="EV4" t="s">
        <v>167</v>
      </c>
      <c r="EW4" s="167">
        <v>1750</v>
      </c>
      <c r="EX4" t="s">
        <v>309</v>
      </c>
      <c r="EY4">
        <v>150</v>
      </c>
      <c r="EZ4">
        <v>150</v>
      </c>
      <c r="FA4" t="s">
        <v>310</v>
      </c>
      <c r="FB4" t="s">
        <v>310</v>
      </c>
      <c r="FC4" t="s">
        <v>310</v>
      </c>
      <c r="FD4" t="s">
        <v>310</v>
      </c>
      <c r="FE4">
        <v>7.7388425783666301</v>
      </c>
      <c r="FF4" s="164" t="s">
        <v>301</v>
      </c>
      <c r="FG4">
        <v>4.0563892893310083E-2</v>
      </c>
      <c r="FH4">
        <v>4.5113207099260144E-2</v>
      </c>
      <c r="FI4">
        <v>794.40659611590104</v>
      </c>
      <c r="FJ4" s="164">
        <v>0</v>
      </c>
      <c r="FK4" s="164" t="s">
        <v>302</v>
      </c>
      <c r="FL4">
        <v>794.40659611590104</v>
      </c>
      <c r="FM4">
        <v>127.85554859404294</v>
      </c>
      <c r="FN4">
        <v>119.01032891072305</v>
      </c>
      <c r="FO4" s="170" t="s">
        <v>303</v>
      </c>
      <c r="FP4" t="s">
        <v>304</v>
      </c>
      <c r="FQ4" t="s">
        <v>305</v>
      </c>
      <c r="FR4" t="s">
        <v>305</v>
      </c>
      <c r="FS4" t="s">
        <v>305</v>
      </c>
      <c r="FT4">
        <v>1840.9669394329901</v>
      </c>
      <c r="FU4">
        <v>180.50739155822998</v>
      </c>
      <c r="FV4">
        <v>185.09273871616006</v>
      </c>
      <c r="FW4">
        <v>4.8051542373313803</v>
      </c>
      <c r="FX4">
        <v>0.65724270826448983</v>
      </c>
      <c r="FY4">
        <v>0.63439227777300022</v>
      </c>
      <c r="FZ4">
        <v>3.2105024554185402</v>
      </c>
      <c r="GA4">
        <v>0.4440379971109798</v>
      </c>
      <c r="GB4">
        <v>0.4202143627464201</v>
      </c>
      <c r="GC4" t="s">
        <v>311</v>
      </c>
    </row>
    <row r="5" spans="1:185" ht="17">
      <c r="A5" t="s">
        <v>180</v>
      </c>
      <c r="B5" s="200" t="s">
        <v>181</v>
      </c>
      <c r="C5" t="s">
        <v>168</v>
      </c>
      <c r="D5" t="s">
        <v>182</v>
      </c>
      <c r="E5">
        <v>2020</v>
      </c>
      <c r="F5" t="s">
        <v>183</v>
      </c>
      <c r="G5" s="141">
        <v>39910.953521728516</v>
      </c>
      <c r="H5">
        <v>1</v>
      </c>
      <c r="I5">
        <v>1</v>
      </c>
      <c r="J5">
        <v>694.92865509974899</v>
      </c>
      <c r="K5">
        <v>108.65408146376103</v>
      </c>
      <c r="L5">
        <v>102.56497833070898</v>
      </c>
      <c r="M5" s="163" t="b">
        <v>0</v>
      </c>
      <c r="N5" s="163">
        <v>3</v>
      </c>
      <c r="O5" t="s">
        <v>321</v>
      </c>
      <c r="P5" t="s">
        <v>322</v>
      </c>
      <c r="Q5" s="163" t="b">
        <v>1</v>
      </c>
      <c r="R5" s="212" t="s">
        <v>325</v>
      </c>
      <c r="S5" s="163" t="b">
        <v>1</v>
      </c>
      <c r="T5" s="163" t="b">
        <v>0</v>
      </c>
      <c r="U5" s="163" t="s">
        <v>167</v>
      </c>
      <c r="V5" s="163" t="s">
        <v>167</v>
      </c>
      <c r="W5" s="199" t="s">
        <v>167</v>
      </c>
      <c r="X5" s="199" t="s">
        <v>167</v>
      </c>
      <c r="Y5" s="143" t="s">
        <v>184</v>
      </c>
      <c r="Z5" t="s">
        <v>183</v>
      </c>
      <c r="AA5" t="s">
        <v>185</v>
      </c>
      <c r="AB5" t="s">
        <v>186</v>
      </c>
      <c r="AC5">
        <v>6</v>
      </c>
      <c r="AD5">
        <v>2</v>
      </c>
      <c r="AE5" s="141">
        <v>77</v>
      </c>
      <c r="AF5">
        <v>78.5</v>
      </c>
      <c r="AG5" s="146">
        <v>40.477499999999999</v>
      </c>
      <c r="AH5">
        <v>40.477499999999999</v>
      </c>
      <c r="AI5" t="s">
        <v>187</v>
      </c>
      <c r="AJ5" t="s">
        <v>188</v>
      </c>
      <c r="AK5" s="147">
        <v>9.2656670000000005</v>
      </c>
      <c r="AL5" s="147">
        <v>-54.544032999999999</v>
      </c>
      <c r="AM5" s="147">
        <v>0.8</v>
      </c>
      <c r="AN5" s="148" t="s">
        <v>167</v>
      </c>
      <c r="AO5" s="148">
        <v>-2549</v>
      </c>
      <c r="AP5" s="148">
        <v>-2850</v>
      </c>
      <c r="AQ5" t="s">
        <v>189</v>
      </c>
      <c r="AR5" t="s">
        <v>190</v>
      </c>
      <c r="AS5" s="141">
        <v>39910.953521728516</v>
      </c>
      <c r="AT5" t="s">
        <v>206</v>
      </c>
      <c r="AU5">
        <v>1</v>
      </c>
      <c r="AV5">
        <v>1</v>
      </c>
      <c r="AW5" t="s">
        <v>207</v>
      </c>
      <c r="AX5" t="s">
        <v>208</v>
      </c>
      <c r="AY5" s="138" t="s">
        <v>209</v>
      </c>
      <c r="AZ5">
        <v>39.915953125000001</v>
      </c>
      <c r="BA5" t="s">
        <v>167</v>
      </c>
      <c r="BB5" t="s">
        <v>167</v>
      </c>
      <c r="BC5" t="s">
        <v>167</v>
      </c>
      <c r="BD5" t="s">
        <v>207</v>
      </c>
      <c r="BE5" t="s">
        <v>210</v>
      </c>
      <c r="BF5" t="s">
        <v>211</v>
      </c>
      <c r="BG5" t="s">
        <v>216</v>
      </c>
      <c r="BH5" t="s">
        <v>217</v>
      </c>
      <c r="BI5" s="157">
        <v>369</v>
      </c>
      <c r="BJ5" s="158">
        <v>3.9780000000000002</v>
      </c>
      <c r="BK5" t="s">
        <v>219</v>
      </c>
      <c r="BL5" t="s">
        <v>220</v>
      </c>
      <c r="BM5" t="s">
        <v>221</v>
      </c>
      <c r="BN5" t="s">
        <v>229</v>
      </c>
      <c r="BO5">
        <v>2</v>
      </c>
      <c r="BP5" s="140">
        <v>2.8635900266495536E-2</v>
      </c>
      <c r="BQ5" s="139">
        <v>15.0816826879439</v>
      </c>
      <c r="BR5" t="s">
        <v>228</v>
      </c>
      <c r="BS5">
        <v>0.216868805109839</v>
      </c>
      <c r="BT5">
        <v>0.88</v>
      </c>
      <c r="BU5" t="s">
        <v>271</v>
      </c>
      <c r="BV5" t="s">
        <v>271</v>
      </c>
      <c r="BW5" s="163">
        <v>1.85</v>
      </c>
      <c r="BX5" t="s">
        <v>271</v>
      </c>
      <c r="BY5" t="s">
        <v>271</v>
      </c>
      <c r="BZ5" t="s">
        <v>272</v>
      </c>
      <c r="CA5" t="s">
        <v>273</v>
      </c>
      <c r="CB5">
        <v>15.164026363317801</v>
      </c>
      <c r="CC5" t="s">
        <v>274</v>
      </c>
      <c r="CD5" s="165">
        <v>0.2640464053188003</v>
      </c>
      <c r="CE5" t="s">
        <v>326</v>
      </c>
      <c r="CF5" t="s">
        <v>327</v>
      </c>
      <c r="CG5">
        <v>25</v>
      </c>
      <c r="CH5" t="s">
        <v>280</v>
      </c>
      <c r="CI5" t="s">
        <v>280</v>
      </c>
      <c r="CJ5" s="139">
        <v>29.2983679917911</v>
      </c>
      <c r="CK5" t="s">
        <v>281</v>
      </c>
      <c r="CL5" s="140">
        <v>0.61307245311199299</v>
      </c>
      <c r="CM5" s="140">
        <v>0.60514714898958699</v>
      </c>
      <c r="CN5" t="s">
        <v>282</v>
      </c>
      <c r="CO5">
        <v>3.5847105076075398</v>
      </c>
      <c r="CP5" t="s">
        <v>283</v>
      </c>
      <c r="CQ5">
        <v>0.10754131522822619</v>
      </c>
      <c r="CR5">
        <v>0.10754131522822619</v>
      </c>
      <c r="CS5" t="s">
        <v>284</v>
      </c>
      <c r="CT5" t="s">
        <v>167</v>
      </c>
      <c r="CU5" t="s">
        <v>285</v>
      </c>
      <c r="CV5" t="s">
        <v>286</v>
      </c>
      <c r="CW5" t="s">
        <v>280</v>
      </c>
      <c r="CX5" t="s">
        <v>280</v>
      </c>
      <c r="CY5" t="s">
        <v>287</v>
      </c>
      <c r="CZ5" t="s">
        <v>167</v>
      </c>
      <c r="DA5" t="s">
        <v>167</v>
      </c>
      <c r="DB5" t="s">
        <v>167</v>
      </c>
      <c r="DC5" t="s">
        <v>167</v>
      </c>
      <c r="DD5" t="s">
        <v>167</v>
      </c>
      <c r="DE5" t="s">
        <v>167</v>
      </c>
      <c r="DF5" t="s">
        <v>167</v>
      </c>
      <c r="DG5" s="166">
        <v>35</v>
      </c>
      <c r="DH5" t="s">
        <v>288</v>
      </c>
      <c r="DI5">
        <v>1</v>
      </c>
      <c r="DJ5" t="s">
        <v>289</v>
      </c>
      <c r="DK5">
        <v>17</v>
      </c>
      <c r="DL5" t="s">
        <v>290</v>
      </c>
      <c r="DM5" t="s">
        <v>290</v>
      </c>
      <c r="DN5" t="s">
        <v>291</v>
      </c>
      <c r="DO5">
        <v>38</v>
      </c>
      <c r="DP5" t="s">
        <v>290</v>
      </c>
      <c r="DQ5" t="s">
        <v>290</v>
      </c>
      <c r="DR5" t="s">
        <v>291</v>
      </c>
      <c r="DS5" t="s">
        <v>292</v>
      </c>
      <c r="DT5" t="s">
        <v>293</v>
      </c>
      <c r="DU5" t="s">
        <v>293</v>
      </c>
      <c r="DV5" t="s">
        <v>293</v>
      </c>
      <c r="DW5" s="138">
        <v>432.5624421831638</v>
      </c>
      <c r="DX5" t="s">
        <v>294</v>
      </c>
      <c r="DY5" s="138">
        <v>12.358926919519092</v>
      </c>
      <c r="DZ5" t="s">
        <v>295</v>
      </c>
      <c r="EA5">
        <v>38.75</v>
      </c>
      <c r="EB5" t="s">
        <v>296</v>
      </c>
      <c r="EC5">
        <v>0.15</v>
      </c>
      <c r="ED5" t="s">
        <v>328</v>
      </c>
      <c r="EE5" t="s">
        <v>329</v>
      </c>
      <c r="EF5" t="s">
        <v>297</v>
      </c>
      <c r="EG5">
        <v>1.0271999999999999</v>
      </c>
      <c r="EH5" t="s">
        <v>290</v>
      </c>
      <c r="EI5" t="s">
        <v>290</v>
      </c>
      <c r="EJ5" t="s">
        <v>298</v>
      </c>
      <c r="EK5" t="s">
        <v>290</v>
      </c>
      <c r="EL5" t="s">
        <v>290</v>
      </c>
      <c r="EM5" t="s">
        <v>299</v>
      </c>
      <c r="EN5" t="s">
        <v>300</v>
      </c>
      <c r="EO5" t="s">
        <v>329</v>
      </c>
      <c r="EP5" t="s">
        <v>329</v>
      </c>
      <c r="EQ5" t="s">
        <v>329</v>
      </c>
      <c r="ER5" t="s">
        <v>329</v>
      </c>
      <c r="ES5" t="s">
        <v>167</v>
      </c>
      <c r="ET5" t="s">
        <v>307</v>
      </c>
      <c r="EU5" t="s">
        <v>308</v>
      </c>
      <c r="EV5" t="s">
        <v>167</v>
      </c>
      <c r="EW5" s="167">
        <v>1750</v>
      </c>
      <c r="EX5" t="s">
        <v>309</v>
      </c>
      <c r="EY5">
        <v>150</v>
      </c>
      <c r="EZ5">
        <v>150</v>
      </c>
      <c r="FA5" t="s">
        <v>310</v>
      </c>
      <c r="FB5" t="s">
        <v>310</v>
      </c>
      <c r="FC5" t="s">
        <v>310</v>
      </c>
      <c r="FD5" t="s">
        <v>310</v>
      </c>
      <c r="FE5">
        <v>7.79228900549899</v>
      </c>
      <c r="FF5" s="164" t="s">
        <v>301</v>
      </c>
      <c r="FG5">
        <v>3.8802136848960167E-2</v>
      </c>
      <c r="FH5">
        <v>3.9090962594349854E-2</v>
      </c>
      <c r="FI5">
        <v>694.92865509974899</v>
      </c>
      <c r="FJ5" s="164">
        <v>0</v>
      </c>
      <c r="FK5" s="164" t="s">
        <v>302</v>
      </c>
      <c r="FL5">
        <v>694.92865509974899</v>
      </c>
      <c r="FM5">
        <v>108.65408146376103</v>
      </c>
      <c r="FN5">
        <v>102.56497833070898</v>
      </c>
      <c r="FO5" s="170" t="s">
        <v>303</v>
      </c>
      <c r="FP5" t="s">
        <v>304</v>
      </c>
      <c r="FQ5" t="s">
        <v>305</v>
      </c>
      <c r="FR5" t="s">
        <v>305</v>
      </c>
      <c r="FS5" t="s">
        <v>305</v>
      </c>
      <c r="FT5">
        <v>1838.8943813354599</v>
      </c>
      <c r="FU5">
        <v>182.75406253767005</v>
      </c>
      <c r="FV5">
        <v>180.59969670741998</v>
      </c>
      <c r="FW5">
        <v>5.2511059010719201</v>
      </c>
      <c r="FX5">
        <v>0.69397805213348018</v>
      </c>
      <c r="FY5">
        <v>0.60394827218449976</v>
      </c>
      <c r="FZ5">
        <v>3.5003409530480298</v>
      </c>
      <c r="GA5">
        <v>0.46978115727516023</v>
      </c>
      <c r="GB5">
        <v>0.41282123975512963</v>
      </c>
      <c r="GC5" t="s">
        <v>311</v>
      </c>
    </row>
    <row r="6" spans="1:185" ht="17">
      <c r="A6" t="s">
        <v>180</v>
      </c>
      <c r="B6" s="200" t="s">
        <v>181</v>
      </c>
      <c r="C6" t="s">
        <v>168</v>
      </c>
      <c r="D6" t="s">
        <v>182</v>
      </c>
      <c r="E6">
        <v>2020</v>
      </c>
      <c r="F6" t="s">
        <v>183</v>
      </c>
      <c r="G6" s="141">
        <v>39982.666015625</v>
      </c>
      <c r="H6">
        <v>1</v>
      </c>
      <c r="I6">
        <v>1</v>
      </c>
      <c r="J6">
        <v>670.60132784203802</v>
      </c>
      <c r="K6">
        <v>101.42519409957504</v>
      </c>
      <c r="L6">
        <v>94.962443036314994</v>
      </c>
      <c r="M6" s="163" t="b">
        <v>0</v>
      </c>
      <c r="N6" s="163">
        <v>3</v>
      </c>
      <c r="O6" t="s">
        <v>321</v>
      </c>
      <c r="P6" t="s">
        <v>322</v>
      </c>
      <c r="Q6" s="163" t="b">
        <v>1</v>
      </c>
      <c r="R6" s="212" t="s">
        <v>325</v>
      </c>
      <c r="S6" s="163" t="b">
        <v>1</v>
      </c>
      <c r="T6" s="163" t="b">
        <v>0</v>
      </c>
      <c r="U6" s="163" t="s">
        <v>167</v>
      </c>
      <c r="V6" s="163" t="s">
        <v>167</v>
      </c>
      <c r="W6" s="199" t="s">
        <v>167</v>
      </c>
      <c r="X6" s="199" t="s">
        <v>167</v>
      </c>
      <c r="Y6" s="143" t="s">
        <v>184</v>
      </c>
      <c r="Z6" t="s">
        <v>183</v>
      </c>
      <c r="AA6" t="s">
        <v>185</v>
      </c>
      <c r="AB6" t="s">
        <v>186</v>
      </c>
      <c r="AC6">
        <v>6</v>
      </c>
      <c r="AD6">
        <v>3</v>
      </c>
      <c r="AE6">
        <v>77</v>
      </c>
      <c r="AF6">
        <v>78.5</v>
      </c>
      <c r="AG6" s="146">
        <v>41.977499999999999</v>
      </c>
      <c r="AH6">
        <v>41.977499999999999</v>
      </c>
      <c r="AI6" t="s">
        <v>187</v>
      </c>
      <c r="AJ6" t="s">
        <v>188</v>
      </c>
      <c r="AK6" s="147">
        <v>9.2656670000000005</v>
      </c>
      <c r="AL6" s="147">
        <v>-54.544032999999999</v>
      </c>
      <c r="AM6" s="147">
        <v>0.8</v>
      </c>
      <c r="AN6" s="148" t="s">
        <v>167</v>
      </c>
      <c r="AO6" s="148">
        <v>-2549</v>
      </c>
      <c r="AP6" s="148">
        <v>-2850</v>
      </c>
      <c r="AQ6" t="s">
        <v>189</v>
      </c>
      <c r="AR6" t="s">
        <v>190</v>
      </c>
      <c r="AS6" s="141">
        <v>39982.666015625</v>
      </c>
      <c r="AT6" t="s">
        <v>206</v>
      </c>
      <c r="AU6">
        <v>1</v>
      </c>
      <c r="AV6">
        <v>1</v>
      </c>
      <c r="AW6" t="s">
        <v>207</v>
      </c>
      <c r="AX6" t="s">
        <v>208</v>
      </c>
      <c r="AY6" s="138" t="s">
        <v>209</v>
      </c>
      <c r="AZ6">
        <v>39.983695312499997</v>
      </c>
      <c r="BA6" t="s">
        <v>167</v>
      </c>
      <c r="BB6" t="s">
        <v>167</v>
      </c>
      <c r="BC6" t="s">
        <v>167</v>
      </c>
      <c r="BD6" t="s">
        <v>207</v>
      </c>
      <c r="BE6" t="s">
        <v>210</v>
      </c>
      <c r="BF6" t="s">
        <v>211</v>
      </c>
      <c r="BG6" t="s">
        <v>216</v>
      </c>
      <c r="BH6" t="s">
        <v>217</v>
      </c>
      <c r="BI6" s="157">
        <v>343</v>
      </c>
      <c r="BJ6" s="158">
        <v>3.9119999999999999</v>
      </c>
      <c r="BK6" t="s">
        <v>219</v>
      </c>
      <c r="BL6" t="s">
        <v>220</v>
      </c>
      <c r="BM6" t="s">
        <v>221</v>
      </c>
      <c r="BN6" t="s">
        <v>230</v>
      </c>
      <c r="BO6">
        <v>2</v>
      </c>
      <c r="BP6" s="140">
        <v>1.1218428802209244E-2</v>
      </c>
      <c r="BQ6" s="139">
        <v>15.0832091925013</v>
      </c>
      <c r="BR6" t="s">
        <v>228</v>
      </c>
      <c r="BS6">
        <v>0.23231578006946199</v>
      </c>
      <c r="BT6">
        <v>0.88</v>
      </c>
      <c r="BU6" t="s">
        <v>271</v>
      </c>
      <c r="BV6" t="s">
        <v>271</v>
      </c>
      <c r="BW6" s="163">
        <v>1.85</v>
      </c>
      <c r="BX6" t="s">
        <v>271</v>
      </c>
      <c r="BY6" t="s">
        <v>271</v>
      </c>
      <c r="BZ6" t="s">
        <v>272</v>
      </c>
      <c r="CA6" t="s">
        <v>273</v>
      </c>
      <c r="CB6">
        <v>15.1590211033832</v>
      </c>
      <c r="CC6" t="s">
        <v>274</v>
      </c>
      <c r="CD6" s="165">
        <v>0.26659034192844988</v>
      </c>
      <c r="CE6" t="s">
        <v>326</v>
      </c>
      <c r="CF6" t="s">
        <v>327</v>
      </c>
      <c r="CG6">
        <v>25</v>
      </c>
      <c r="CH6" t="s">
        <v>280</v>
      </c>
      <c r="CI6" t="s">
        <v>280</v>
      </c>
      <c r="CJ6" s="139">
        <v>27.981210931459199</v>
      </c>
      <c r="CK6" t="s">
        <v>281</v>
      </c>
      <c r="CL6" s="140">
        <v>0.62654955039274496</v>
      </c>
      <c r="CM6" s="140">
        <v>0.58833051281905202</v>
      </c>
      <c r="CN6" t="s">
        <v>282</v>
      </c>
      <c r="CO6">
        <v>3.2988223896752</v>
      </c>
      <c r="CP6" t="s">
        <v>283</v>
      </c>
      <c r="CQ6">
        <v>9.8964671690255995E-2</v>
      </c>
      <c r="CR6">
        <v>9.8964671690255995E-2</v>
      </c>
      <c r="CS6" t="s">
        <v>284</v>
      </c>
      <c r="CT6" t="s">
        <v>167</v>
      </c>
      <c r="CU6" t="s">
        <v>285</v>
      </c>
      <c r="CV6" t="s">
        <v>286</v>
      </c>
      <c r="CW6" t="s">
        <v>280</v>
      </c>
      <c r="CX6" t="s">
        <v>280</v>
      </c>
      <c r="CY6" t="s">
        <v>287</v>
      </c>
      <c r="CZ6" t="s">
        <v>167</v>
      </c>
      <c r="DA6" t="s">
        <v>167</v>
      </c>
      <c r="DB6" t="s">
        <v>167</v>
      </c>
      <c r="DC6" t="s">
        <v>167</v>
      </c>
      <c r="DD6" t="s">
        <v>167</v>
      </c>
      <c r="DE6" t="s">
        <v>167</v>
      </c>
      <c r="DF6" t="s">
        <v>167</v>
      </c>
      <c r="DG6" s="166">
        <v>35</v>
      </c>
      <c r="DH6" t="s">
        <v>288</v>
      </c>
      <c r="DI6">
        <v>1</v>
      </c>
      <c r="DJ6" t="s">
        <v>289</v>
      </c>
      <c r="DK6">
        <v>17</v>
      </c>
      <c r="DL6" t="s">
        <v>290</v>
      </c>
      <c r="DM6" t="s">
        <v>290</v>
      </c>
      <c r="DN6" t="s">
        <v>291</v>
      </c>
      <c r="DO6">
        <v>38</v>
      </c>
      <c r="DP6" t="s">
        <v>290</v>
      </c>
      <c r="DQ6" t="s">
        <v>290</v>
      </c>
      <c r="DR6" t="s">
        <v>291</v>
      </c>
      <c r="DS6" t="s">
        <v>292</v>
      </c>
      <c r="DT6" t="s">
        <v>293</v>
      </c>
      <c r="DU6" t="s">
        <v>293</v>
      </c>
      <c r="DV6" t="s">
        <v>293</v>
      </c>
      <c r="DW6" s="138">
        <v>432.5624421831638</v>
      </c>
      <c r="DX6" t="s">
        <v>294</v>
      </c>
      <c r="DY6" s="138">
        <v>12.358926919519092</v>
      </c>
      <c r="DZ6" t="s">
        <v>295</v>
      </c>
      <c r="EA6">
        <v>38.75</v>
      </c>
      <c r="EB6" t="s">
        <v>296</v>
      </c>
      <c r="EC6">
        <v>0.15</v>
      </c>
      <c r="ED6" t="s">
        <v>328</v>
      </c>
      <c r="EE6" t="s">
        <v>329</v>
      </c>
      <c r="EF6" t="s">
        <v>297</v>
      </c>
      <c r="EG6">
        <v>1.0271999999999999</v>
      </c>
      <c r="EH6" t="s">
        <v>290</v>
      </c>
      <c r="EI6" t="s">
        <v>290</v>
      </c>
      <c r="EJ6" t="s">
        <v>298</v>
      </c>
      <c r="EK6" t="s">
        <v>290</v>
      </c>
      <c r="EL6" t="s">
        <v>290</v>
      </c>
      <c r="EM6" t="s">
        <v>299</v>
      </c>
      <c r="EN6" t="s">
        <v>300</v>
      </c>
      <c r="EO6" t="s">
        <v>329</v>
      </c>
      <c r="EP6" t="s">
        <v>329</v>
      </c>
      <c r="EQ6" t="s">
        <v>329</v>
      </c>
      <c r="ER6" t="s">
        <v>329</v>
      </c>
      <c r="ES6" t="s">
        <v>167</v>
      </c>
      <c r="ET6" t="s">
        <v>307</v>
      </c>
      <c r="EU6" t="s">
        <v>308</v>
      </c>
      <c r="EV6" t="s">
        <v>167</v>
      </c>
      <c r="EW6" s="167">
        <v>1750</v>
      </c>
      <c r="EX6" t="s">
        <v>309</v>
      </c>
      <c r="EY6">
        <v>150</v>
      </c>
      <c r="EZ6">
        <v>150</v>
      </c>
      <c r="FA6" t="s">
        <v>310</v>
      </c>
      <c r="FB6" t="s">
        <v>310</v>
      </c>
      <c r="FC6" t="s">
        <v>310</v>
      </c>
      <c r="FD6" t="s">
        <v>310</v>
      </c>
      <c r="FE6">
        <v>7.8071244356798699</v>
      </c>
      <c r="FF6" s="164" t="s">
        <v>301</v>
      </c>
      <c r="FG6">
        <v>3.7495788551449749E-2</v>
      </c>
      <c r="FH6">
        <v>4.1596005166209871E-2</v>
      </c>
      <c r="FI6">
        <v>670.60132784203802</v>
      </c>
      <c r="FJ6" s="164">
        <v>0</v>
      </c>
      <c r="FK6" s="164" t="s">
        <v>302</v>
      </c>
      <c r="FL6">
        <v>670.60132784203802</v>
      </c>
      <c r="FM6">
        <v>101.42519409957504</v>
      </c>
      <c r="FN6">
        <v>94.962443036314994</v>
      </c>
      <c r="FO6" s="170" t="s">
        <v>303</v>
      </c>
      <c r="FP6" t="s">
        <v>304</v>
      </c>
      <c r="FQ6" t="s">
        <v>305</v>
      </c>
      <c r="FR6" t="s">
        <v>305</v>
      </c>
      <c r="FS6" t="s">
        <v>305</v>
      </c>
      <c r="FT6">
        <v>1848.23603730228</v>
      </c>
      <c r="FU6">
        <v>171.79324671732002</v>
      </c>
      <c r="FV6">
        <v>182.98926718595999</v>
      </c>
      <c r="FW6">
        <v>5.1784200946745598</v>
      </c>
      <c r="FX6">
        <v>0.70531775910465999</v>
      </c>
      <c r="FY6">
        <v>0.60579086563725948</v>
      </c>
      <c r="FZ6">
        <v>3.43855821110964</v>
      </c>
      <c r="GA6">
        <v>0.47049590401221009</v>
      </c>
      <c r="GB6">
        <v>0.40290532913983013</v>
      </c>
      <c r="GC6" t="s">
        <v>311</v>
      </c>
    </row>
    <row r="7" spans="1:185" ht="17">
      <c r="A7" t="s">
        <v>180</v>
      </c>
      <c r="B7" s="200" t="s">
        <v>181</v>
      </c>
      <c r="C7" t="s">
        <v>168</v>
      </c>
      <c r="D7" t="s">
        <v>182</v>
      </c>
      <c r="E7">
        <v>2020</v>
      </c>
      <c r="F7" t="s">
        <v>183</v>
      </c>
      <c r="G7" s="141">
        <v>40061.538696289062</v>
      </c>
      <c r="H7">
        <v>1</v>
      </c>
      <c r="I7">
        <v>1</v>
      </c>
      <c r="J7">
        <v>784.42981451925402</v>
      </c>
      <c r="K7">
        <v>138.60216103848893</v>
      </c>
      <c r="L7">
        <v>116.04235199831101</v>
      </c>
      <c r="M7" s="163" t="b">
        <v>0</v>
      </c>
      <c r="N7" s="163">
        <v>3</v>
      </c>
      <c r="O7" t="s">
        <v>321</v>
      </c>
      <c r="P7" t="s">
        <v>322</v>
      </c>
      <c r="Q7" s="163" t="b">
        <v>1</v>
      </c>
      <c r="R7" s="212" t="s">
        <v>325</v>
      </c>
      <c r="S7" s="163" t="b">
        <v>1</v>
      </c>
      <c r="T7" s="163" t="b">
        <v>0</v>
      </c>
      <c r="U7" s="163" t="s">
        <v>167</v>
      </c>
      <c r="V7" s="163" t="s">
        <v>167</v>
      </c>
      <c r="W7" s="199" t="s">
        <v>167</v>
      </c>
      <c r="X7" s="199" t="s">
        <v>167</v>
      </c>
      <c r="Y7" s="143" t="s">
        <v>184</v>
      </c>
      <c r="Z7" t="s">
        <v>183</v>
      </c>
      <c r="AA7" t="s">
        <v>185</v>
      </c>
      <c r="AB7" t="s">
        <v>186</v>
      </c>
      <c r="AC7">
        <v>6</v>
      </c>
      <c r="AD7">
        <v>4</v>
      </c>
      <c r="AE7">
        <v>67</v>
      </c>
      <c r="AF7">
        <v>78.5</v>
      </c>
      <c r="AG7" s="146">
        <v>43.427500000000002</v>
      </c>
      <c r="AH7">
        <v>43.427500000000002</v>
      </c>
      <c r="AI7" t="s">
        <v>187</v>
      </c>
      <c r="AJ7" t="s">
        <v>188</v>
      </c>
      <c r="AK7" s="147">
        <v>9.2656670000000005</v>
      </c>
      <c r="AL7" s="147">
        <v>-54.544032999999999</v>
      </c>
      <c r="AM7" s="147">
        <v>0.8</v>
      </c>
      <c r="AN7" s="148" t="s">
        <v>167</v>
      </c>
      <c r="AO7" s="148">
        <v>-2549</v>
      </c>
      <c r="AP7" s="148">
        <v>-2850</v>
      </c>
      <c r="AQ7" t="s">
        <v>189</v>
      </c>
      <c r="AR7" t="s">
        <v>190</v>
      </c>
      <c r="AS7" s="141">
        <v>40061.538696289062</v>
      </c>
      <c r="AT7" t="s">
        <v>206</v>
      </c>
      <c r="AU7">
        <v>1</v>
      </c>
      <c r="AV7">
        <v>1</v>
      </c>
      <c r="AW7" t="s">
        <v>207</v>
      </c>
      <c r="AX7" t="s">
        <v>208</v>
      </c>
      <c r="AY7" s="138" t="s">
        <v>209</v>
      </c>
      <c r="AZ7">
        <v>40.04917578125</v>
      </c>
      <c r="BA7" t="s">
        <v>167</v>
      </c>
      <c r="BB7" t="s">
        <v>167</v>
      </c>
      <c r="BC7" t="s">
        <v>167</v>
      </c>
      <c r="BD7" t="s">
        <v>207</v>
      </c>
      <c r="BE7" t="s">
        <v>210</v>
      </c>
      <c r="BF7" t="s">
        <v>211</v>
      </c>
      <c r="BG7" t="s">
        <v>216</v>
      </c>
      <c r="BH7" t="s">
        <v>217</v>
      </c>
      <c r="BI7" s="157">
        <v>184</v>
      </c>
      <c r="BJ7" s="158">
        <v>1.782</v>
      </c>
      <c r="BK7" t="s">
        <v>219</v>
      </c>
      <c r="BL7" t="s">
        <v>220</v>
      </c>
      <c r="BM7" t="s">
        <v>221</v>
      </c>
      <c r="BN7" t="s">
        <v>231</v>
      </c>
      <c r="BO7">
        <v>2</v>
      </c>
      <c r="BP7" s="140">
        <v>1.7976348343292869E-2</v>
      </c>
      <c r="BQ7" s="139">
        <v>14.564587436053801</v>
      </c>
      <c r="BR7" t="s">
        <v>228</v>
      </c>
      <c r="BS7">
        <v>0.24700593412319299</v>
      </c>
      <c r="BT7">
        <v>0.88</v>
      </c>
      <c r="BU7" t="s">
        <v>271</v>
      </c>
      <c r="BV7" t="s">
        <v>271</v>
      </c>
      <c r="BW7" s="163">
        <v>1.85</v>
      </c>
      <c r="BX7" t="s">
        <v>271</v>
      </c>
      <c r="BY7" t="s">
        <v>271</v>
      </c>
      <c r="BZ7" t="s">
        <v>272</v>
      </c>
      <c r="CA7" t="s">
        <v>273</v>
      </c>
      <c r="CB7">
        <v>14.5619540256004</v>
      </c>
      <c r="CC7" t="s">
        <v>274</v>
      </c>
      <c r="CD7" s="165">
        <v>0.2742189038038001</v>
      </c>
      <c r="CE7" t="s">
        <v>326</v>
      </c>
      <c r="CF7" t="s">
        <v>327</v>
      </c>
      <c r="CG7">
        <v>25</v>
      </c>
      <c r="CH7" t="s">
        <v>280</v>
      </c>
      <c r="CI7" t="s">
        <v>280</v>
      </c>
      <c r="CJ7" s="139">
        <v>27.042587194886799</v>
      </c>
      <c r="CK7" t="s">
        <v>281</v>
      </c>
      <c r="CL7" s="140">
        <v>0.66298860204977605</v>
      </c>
      <c r="CM7" s="140">
        <v>0.60758422748585905</v>
      </c>
      <c r="CN7" t="s">
        <v>282</v>
      </c>
      <c r="CO7">
        <v>3.2522327185689699</v>
      </c>
      <c r="CP7" t="s">
        <v>283</v>
      </c>
      <c r="CQ7">
        <v>9.7566981557069096E-2</v>
      </c>
      <c r="CR7">
        <v>9.7566981557069096E-2</v>
      </c>
      <c r="CS7" t="s">
        <v>284</v>
      </c>
      <c r="CT7" t="s">
        <v>167</v>
      </c>
      <c r="CU7" t="s">
        <v>285</v>
      </c>
      <c r="CV7" t="s">
        <v>286</v>
      </c>
      <c r="CW7" t="s">
        <v>280</v>
      </c>
      <c r="CX7" t="s">
        <v>280</v>
      </c>
      <c r="CY7" t="s">
        <v>287</v>
      </c>
      <c r="CZ7" t="s">
        <v>167</v>
      </c>
      <c r="DA7" t="s">
        <v>167</v>
      </c>
      <c r="DB7" t="s">
        <v>167</v>
      </c>
      <c r="DC7" t="s">
        <v>167</v>
      </c>
      <c r="DD7" t="s">
        <v>167</v>
      </c>
      <c r="DE7" t="s">
        <v>167</v>
      </c>
      <c r="DF7" t="s">
        <v>167</v>
      </c>
      <c r="DG7" s="166">
        <v>35</v>
      </c>
      <c r="DH7" t="s">
        <v>288</v>
      </c>
      <c r="DI7">
        <v>1</v>
      </c>
      <c r="DJ7" t="s">
        <v>289</v>
      </c>
      <c r="DK7">
        <v>17</v>
      </c>
      <c r="DL7" t="s">
        <v>290</v>
      </c>
      <c r="DM7" t="s">
        <v>290</v>
      </c>
      <c r="DN7" t="s">
        <v>291</v>
      </c>
      <c r="DO7">
        <v>38</v>
      </c>
      <c r="DP7" t="s">
        <v>290</v>
      </c>
      <c r="DQ7" t="s">
        <v>290</v>
      </c>
      <c r="DR7" t="s">
        <v>291</v>
      </c>
      <c r="DS7" t="s">
        <v>292</v>
      </c>
      <c r="DT7" t="s">
        <v>293</v>
      </c>
      <c r="DU7" t="s">
        <v>293</v>
      </c>
      <c r="DV7" t="s">
        <v>293</v>
      </c>
      <c r="DW7" s="138">
        <v>432.56244218316402</v>
      </c>
      <c r="DX7" t="s">
        <v>294</v>
      </c>
      <c r="DY7" s="138">
        <v>12.3589269195193</v>
      </c>
      <c r="DZ7" t="s">
        <v>295</v>
      </c>
      <c r="EA7">
        <v>38.75</v>
      </c>
      <c r="EB7" t="s">
        <v>296</v>
      </c>
      <c r="EC7">
        <v>0.15</v>
      </c>
      <c r="ED7" t="s">
        <v>328</v>
      </c>
      <c r="EE7" t="s">
        <v>329</v>
      </c>
      <c r="EF7" t="s">
        <v>297</v>
      </c>
      <c r="EG7">
        <v>1.0271999999999999</v>
      </c>
      <c r="EH7" t="s">
        <v>290</v>
      </c>
      <c r="EI7" t="s">
        <v>290</v>
      </c>
      <c r="EJ7" t="s">
        <v>298</v>
      </c>
      <c r="EK7" t="s">
        <v>290</v>
      </c>
      <c r="EL7" t="s">
        <v>290</v>
      </c>
      <c r="EM7" t="s">
        <v>299</v>
      </c>
      <c r="EN7" t="s">
        <v>300</v>
      </c>
      <c r="EO7" t="s">
        <v>329</v>
      </c>
      <c r="EP7" t="s">
        <v>329</v>
      </c>
      <c r="EQ7" t="s">
        <v>329</v>
      </c>
      <c r="ER7" t="s">
        <v>329</v>
      </c>
      <c r="ES7" t="s">
        <v>167</v>
      </c>
      <c r="ET7" t="s">
        <v>307</v>
      </c>
      <c r="EU7" t="s">
        <v>308</v>
      </c>
      <c r="EV7" t="s">
        <v>167</v>
      </c>
      <c r="EW7" s="167">
        <v>1750</v>
      </c>
      <c r="EX7" t="s">
        <v>309</v>
      </c>
      <c r="EY7">
        <v>150</v>
      </c>
      <c r="EZ7">
        <v>150</v>
      </c>
      <c r="FA7" t="s">
        <v>310</v>
      </c>
      <c r="FB7" t="s">
        <v>310</v>
      </c>
      <c r="FC7" t="s">
        <v>310</v>
      </c>
      <c r="FD7" t="s">
        <v>310</v>
      </c>
      <c r="FE7">
        <v>7.7366602298309903</v>
      </c>
      <c r="FF7" s="164" t="s">
        <v>301</v>
      </c>
      <c r="FG7">
        <v>4.0987022040019916E-2</v>
      </c>
      <c r="FH7">
        <v>4.7168997080960118E-2</v>
      </c>
      <c r="FI7">
        <v>784.42981451925402</v>
      </c>
      <c r="FJ7" s="164">
        <v>0</v>
      </c>
      <c r="FK7" s="164" t="s">
        <v>302</v>
      </c>
      <c r="FL7">
        <v>784.42981451925402</v>
      </c>
      <c r="FM7">
        <v>138.60216103848893</v>
      </c>
      <c r="FN7">
        <v>116.04235199831101</v>
      </c>
      <c r="FO7" s="170" t="s">
        <v>303</v>
      </c>
      <c r="FP7" t="s">
        <v>304</v>
      </c>
      <c r="FQ7" t="s">
        <v>305</v>
      </c>
      <c r="FR7" t="s">
        <v>305</v>
      </c>
      <c r="FS7" t="s">
        <v>305</v>
      </c>
      <c r="FT7">
        <v>1825.62088362494</v>
      </c>
      <c r="FU7">
        <v>181.9590451731699</v>
      </c>
      <c r="FV7">
        <v>181.32593092032994</v>
      </c>
      <c r="FW7">
        <v>4.2494205549911097</v>
      </c>
      <c r="FX7">
        <v>0.60554830746053057</v>
      </c>
      <c r="FY7">
        <v>0.5223583160976899</v>
      </c>
      <c r="FZ7">
        <v>2.81325833683634</v>
      </c>
      <c r="GA7">
        <v>0.39799258680102012</v>
      </c>
      <c r="GB7">
        <v>0.34473632269280996</v>
      </c>
      <c r="GC7" t="s">
        <v>311</v>
      </c>
    </row>
    <row r="8" spans="1:185" ht="17">
      <c r="A8" t="s">
        <v>180</v>
      </c>
      <c r="B8" s="200" t="s">
        <v>181</v>
      </c>
      <c r="C8" t="s">
        <v>168</v>
      </c>
      <c r="D8" t="s">
        <v>182</v>
      </c>
      <c r="E8">
        <v>2020</v>
      </c>
      <c r="F8" t="s">
        <v>183</v>
      </c>
      <c r="G8" s="141">
        <v>40110.877990722656</v>
      </c>
      <c r="H8">
        <v>1</v>
      </c>
      <c r="I8">
        <v>1</v>
      </c>
      <c r="J8">
        <v>860.07661390209103</v>
      </c>
      <c r="K8">
        <v>158.92651035381903</v>
      </c>
      <c r="L8">
        <v>134.35788513827106</v>
      </c>
      <c r="M8" s="163" t="b">
        <v>0</v>
      </c>
      <c r="N8" s="163">
        <v>3</v>
      </c>
      <c r="O8" t="s">
        <v>321</v>
      </c>
      <c r="P8" t="s">
        <v>322</v>
      </c>
      <c r="Q8" s="163" t="b">
        <v>1</v>
      </c>
      <c r="R8" s="212" t="s">
        <v>325</v>
      </c>
      <c r="S8" s="163" t="b">
        <v>1</v>
      </c>
      <c r="T8" s="163" t="b">
        <v>0</v>
      </c>
      <c r="U8" s="163" t="s">
        <v>167</v>
      </c>
      <c r="V8" s="163" t="s">
        <v>167</v>
      </c>
      <c r="W8" s="199" t="s">
        <v>167</v>
      </c>
      <c r="X8" s="199" t="s">
        <v>167</v>
      </c>
      <c r="Y8" s="143" t="s">
        <v>184</v>
      </c>
      <c r="Z8" t="s">
        <v>183</v>
      </c>
      <c r="AA8" t="s">
        <v>185</v>
      </c>
      <c r="AB8" t="s">
        <v>186</v>
      </c>
      <c r="AC8">
        <v>6</v>
      </c>
      <c r="AD8">
        <v>5</v>
      </c>
      <c r="AE8">
        <v>7</v>
      </c>
      <c r="AF8">
        <v>8.5</v>
      </c>
      <c r="AG8" s="146">
        <v>44.277500000000003</v>
      </c>
      <c r="AH8">
        <v>44.277500000000003</v>
      </c>
      <c r="AI8" t="s">
        <v>187</v>
      </c>
      <c r="AJ8" t="s">
        <v>188</v>
      </c>
      <c r="AK8" s="147">
        <v>9.2656670000000005</v>
      </c>
      <c r="AL8" s="147">
        <v>-54.544032999999999</v>
      </c>
      <c r="AM8" s="147">
        <v>0.8</v>
      </c>
      <c r="AN8" s="148" t="s">
        <v>167</v>
      </c>
      <c r="AO8" s="148">
        <v>-2549</v>
      </c>
      <c r="AP8" s="148">
        <v>-2850</v>
      </c>
      <c r="AQ8" t="s">
        <v>189</v>
      </c>
      <c r="AR8" t="s">
        <v>190</v>
      </c>
      <c r="AS8" s="141">
        <v>40110.877990722656</v>
      </c>
      <c r="AT8" t="s">
        <v>206</v>
      </c>
      <c r="AU8">
        <v>1</v>
      </c>
      <c r="AV8">
        <v>1</v>
      </c>
      <c r="AW8" t="s">
        <v>207</v>
      </c>
      <c r="AX8" t="s">
        <v>208</v>
      </c>
      <c r="AY8" s="138" t="s">
        <v>209</v>
      </c>
      <c r="AZ8">
        <v>40.087566406249998</v>
      </c>
      <c r="BA8" t="s">
        <v>167</v>
      </c>
      <c r="BB8" t="s">
        <v>167</v>
      </c>
      <c r="BC8" t="s">
        <v>167</v>
      </c>
      <c r="BD8" t="s">
        <v>207</v>
      </c>
      <c r="BE8" t="s">
        <v>210</v>
      </c>
      <c r="BF8" t="s">
        <v>211</v>
      </c>
      <c r="BG8" t="s">
        <v>216</v>
      </c>
      <c r="BH8" t="s">
        <v>217</v>
      </c>
      <c r="BI8" s="157">
        <v>308</v>
      </c>
      <c r="BJ8" s="158">
        <v>3.6960000000000002</v>
      </c>
      <c r="BK8" t="s">
        <v>219</v>
      </c>
      <c r="BL8" t="s">
        <v>220</v>
      </c>
      <c r="BM8" t="s">
        <v>221</v>
      </c>
      <c r="BN8" t="s">
        <v>232</v>
      </c>
      <c r="BO8">
        <v>2</v>
      </c>
      <c r="BP8" s="140">
        <v>0.13977055823046489</v>
      </c>
      <c r="BQ8" s="139">
        <v>14.6850925764235</v>
      </c>
      <c r="BR8" t="s">
        <v>228</v>
      </c>
      <c r="BS8">
        <v>0.22685732109957599</v>
      </c>
      <c r="BT8">
        <v>0.88</v>
      </c>
      <c r="BU8" t="s">
        <v>271</v>
      </c>
      <c r="BV8" t="s">
        <v>271</v>
      </c>
      <c r="BW8" s="163">
        <v>1.85</v>
      </c>
      <c r="BX8" t="s">
        <v>271</v>
      </c>
      <c r="BY8" t="s">
        <v>271</v>
      </c>
      <c r="BZ8" t="s">
        <v>272</v>
      </c>
      <c r="CA8" t="s">
        <v>273</v>
      </c>
      <c r="CB8">
        <v>14.7092392791425</v>
      </c>
      <c r="CC8" t="s">
        <v>274</v>
      </c>
      <c r="CD8" s="165">
        <v>0.26695196526304965</v>
      </c>
      <c r="CE8" t="s">
        <v>326</v>
      </c>
      <c r="CF8" t="s">
        <v>327</v>
      </c>
      <c r="CG8">
        <v>25</v>
      </c>
      <c r="CH8" t="s">
        <v>280</v>
      </c>
      <c r="CI8" t="s">
        <v>280</v>
      </c>
      <c r="CJ8" s="139">
        <v>31.499835113216001</v>
      </c>
      <c r="CK8" t="s">
        <v>281</v>
      </c>
      <c r="CL8" s="140">
        <v>0.63602442980875995</v>
      </c>
      <c r="CM8" s="140">
        <v>0.58471185076744403</v>
      </c>
      <c r="CN8" t="s">
        <v>282</v>
      </c>
      <c r="CO8">
        <v>4.2620540789519401</v>
      </c>
      <c r="CP8" t="s">
        <v>283</v>
      </c>
      <c r="CQ8">
        <v>0.12786162236855819</v>
      </c>
      <c r="CR8">
        <v>0.12786162236855819</v>
      </c>
      <c r="CS8" t="s">
        <v>284</v>
      </c>
      <c r="CT8" t="s">
        <v>167</v>
      </c>
      <c r="CU8" t="s">
        <v>285</v>
      </c>
      <c r="CV8" t="s">
        <v>286</v>
      </c>
      <c r="CW8" t="s">
        <v>280</v>
      </c>
      <c r="CX8" t="s">
        <v>280</v>
      </c>
      <c r="CY8" t="s">
        <v>287</v>
      </c>
      <c r="CZ8" t="s">
        <v>167</v>
      </c>
      <c r="DA8" t="s">
        <v>167</v>
      </c>
      <c r="DB8" t="s">
        <v>167</v>
      </c>
      <c r="DC8" t="s">
        <v>167</v>
      </c>
      <c r="DD8" t="s">
        <v>167</v>
      </c>
      <c r="DE8" t="s">
        <v>167</v>
      </c>
      <c r="DF8" t="s">
        <v>167</v>
      </c>
      <c r="DG8" s="166">
        <v>35</v>
      </c>
      <c r="DH8" t="s">
        <v>288</v>
      </c>
      <c r="DI8">
        <v>1</v>
      </c>
      <c r="DJ8" t="s">
        <v>289</v>
      </c>
      <c r="DK8">
        <v>17</v>
      </c>
      <c r="DL8" t="s">
        <v>290</v>
      </c>
      <c r="DM8" t="s">
        <v>290</v>
      </c>
      <c r="DN8" t="s">
        <v>291</v>
      </c>
      <c r="DO8">
        <v>38</v>
      </c>
      <c r="DP8" t="s">
        <v>290</v>
      </c>
      <c r="DQ8" t="s">
        <v>290</v>
      </c>
      <c r="DR8" t="s">
        <v>291</v>
      </c>
      <c r="DS8" t="s">
        <v>292</v>
      </c>
      <c r="DT8" t="s">
        <v>293</v>
      </c>
      <c r="DU8" t="s">
        <v>293</v>
      </c>
      <c r="DV8" t="s">
        <v>293</v>
      </c>
      <c r="DW8" s="138">
        <v>432.56244218316402</v>
      </c>
      <c r="DX8" t="s">
        <v>294</v>
      </c>
      <c r="DY8" s="138">
        <v>12.3589269195194</v>
      </c>
      <c r="DZ8" t="s">
        <v>295</v>
      </c>
      <c r="EA8">
        <v>38.75</v>
      </c>
      <c r="EB8" t="s">
        <v>296</v>
      </c>
      <c r="EC8">
        <v>0.15</v>
      </c>
      <c r="ED8" t="s">
        <v>328</v>
      </c>
      <c r="EE8" t="s">
        <v>329</v>
      </c>
      <c r="EF8" t="s">
        <v>297</v>
      </c>
      <c r="EG8">
        <v>1.0271999999999999</v>
      </c>
      <c r="EH8" t="s">
        <v>290</v>
      </c>
      <c r="EI8" t="s">
        <v>290</v>
      </c>
      <c r="EJ8" t="s">
        <v>298</v>
      </c>
      <c r="EK8" t="s">
        <v>290</v>
      </c>
      <c r="EL8" t="s">
        <v>290</v>
      </c>
      <c r="EM8" t="s">
        <v>299</v>
      </c>
      <c r="EN8" t="s">
        <v>300</v>
      </c>
      <c r="EO8" t="s">
        <v>329</v>
      </c>
      <c r="EP8" t="s">
        <v>329</v>
      </c>
      <c r="EQ8" t="s">
        <v>329</v>
      </c>
      <c r="ER8" t="s">
        <v>329</v>
      </c>
      <c r="ES8" t="s">
        <v>167</v>
      </c>
      <c r="ET8" t="s">
        <v>307</v>
      </c>
      <c r="EU8" t="s">
        <v>308</v>
      </c>
      <c r="EV8" t="s">
        <v>167</v>
      </c>
      <c r="EW8" s="167">
        <v>1750</v>
      </c>
      <c r="EX8" t="s">
        <v>309</v>
      </c>
      <c r="EY8">
        <v>150</v>
      </c>
      <c r="EZ8">
        <v>150</v>
      </c>
      <c r="FA8" t="s">
        <v>310</v>
      </c>
      <c r="FB8" t="s">
        <v>310</v>
      </c>
      <c r="FC8" t="s">
        <v>310</v>
      </c>
      <c r="FD8" t="s">
        <v>310</v>
      </c>
      <c r="FE8">
        <v>7.7065255186334198</v>
      </c>
      <c r="FF8" s="164" t="s">
        <v>301</v>
      </c>
      <c r="FG8">
        <v>4.0891953349849963E-2</v>
      </c>
      <c r="FH8">
        <v>4.7108372302269608E-2</v>
      </c>
      <c r="FI8">
        <v>860.07661390209103</v>
      </c>
      <c r="FJ8" s="164">
        <v>0</v>
      </c>
      <c r="FK8" s="164" t="s">
        <v>302</v>
      </c>
      <c r="FL8">
        <v>860.07661390209103</v>
      </c>
      <c r="FM8">
        <v>158.92651035381903</v>
      </c>
      <c r="FN8">
        <v>134.35788513827106</v>
      </c>
      <c r="FO8" s="170" t="s">
        <v>303</v>
      </c>
      <c r="FP8" t="s">
        <v>304</v>
      </c>
      <c r="FQ8" t="s">
        <v>305</v>
      </c>
      <c r="FR8" t="s">
        <v>305</v>
      </c>
      <c r="FS8" t="s">
        <v>305</v>
      </c>
      <c r="FT8">
        <v>1833.7580252241</v>
      </c>
      <c r="FU8">
        <v>184.52015881206989</v>
      </c>
      <c r="FV8">
        <v>183.41631265895012</v>
      </c>
      <c r="FW8">
        <v>4.7270253106148497</v>
      </c>
      <c r="FX8">
        <v>0.63955113774465033</v>
      </c>
      <c r="FY8">
        <v>0.58249451783485995</v>
      </c>
      <c r="FZ8">
        <v>3.17480478331766</v>
      </c>
      <c r="GA8">
        <v>0.43600414376432006</v>
      </c>
      <c r="GB8">
        <v>0.39198445962883</v>
      </c>
      <c r="GC8" t="s">
        <v>311</v>
      </c>
    </row>
    <row r="9" spans="1:185" ht="17">
      <c r="A9" t="s">
        <v>180</v>
      </c>
      <c r="B9" s="200" t="s">
        <v>181</v>
      </c>
      <c r="C9" t="s">
        <v>168</v>
      </c>
      <c r="D9" t="s">
        <v>182</v>
      </c>
      <c r="E9">
        <v>2020</v>
      </c>
      <c r="F9" t="s">
        <v>183</v>
      </c>
      <c r="G9" s="141">
        <v>40250.213623046875</v>
      </c>
      <c r="H9">
        <v>1</v>
      </c>
      <c r="I9">
        <v>1</v>
      </c>
      <c r="J9">
        <v>728.91637116647598</v>
      </c>
      <c r="K9">
        <v>123.259489162367</v>
      </c>
      <c r="L9">
        <v>105.60900737729401</v>
      </c>
      <c r="M9" s="163" t="b">
        <v>0</v>
      </c>
      <c r="N9" s="163">
        <v>3</v>
      </c>
      <c r="O9" t="s">
        <v>321</v>
      </c>
      <c r="P9" t="s">
        <v>322</v>
      </c>
      <c r="Q9" s="163" t="b">
        <v>1</v>
      </c>
      <c r="R9" s="212" t="s">
        <v>325</v>
      </c>
      <c r="S9" s="163" t="b">
        <v>1</v>
      </c>
      <c r="T9" s="163" t="b">
        <v>0</v>
      </c>
      <c r="U9" s="163" t="s">
        <v>167</v>
      </c>
      <c r="V9" s="163" t="s">
        <v>167</v>
      </c>
      <c r="W9" s="199" t="s">
        <v>167</v>
      </c>
      <c r="X9" s="199" t="s">
        <v>167</v>
      </c>
      <c r="Y9" s="143" t="s">
        <v>184</v>
      </c>
      <c r="Z9" t="s">
        <v>183</v>
      </c>
      <c r="AA9" t="s">
        <v>185</v>
      </c>
      <c r="AB9" t="s">
        <v>191</v>
      </c>
      <c r="AC9">
        <v>1</v>
      </c>
      <c r="AD9">
        <v>5</v>
      </c>
      <c r="AE9">
        <v>87</v>
      </c>
      <c r="AF9">
        <v>88.5</v>
      </c>
      <c r="AG9" s="146">
        <v>47.077500000000001</v>
      </c>
      <c r="AH9">
        <v>47.077500000000001</v>
      </c>
      <c r="AI9" t="s">
        <v>187</v>
      </c>
      <c r="AJ9" t="s">
        <v>188</v>
      </c>
      <c r="AK9" s="147">
        <v>9.2656670000000005</v>
      </c>
      <c r="AL9" s="147">
        <v>-54.544032999999999</v>
      </c>
      <c r="AM9" s="147">
        <v>0.8</v>
      </c>
      <c r="AN9" s="148" t="s">
        <v>167</v>
      </c>
      <c r="AO9" s="148">
        <v>-2549</v>
      </c>
      <c r="AP9" s="148">
        <v>-2850</v>
      </c>
      <c r="AQ9" t="s">
        <v>189</v>
      </c>
      <c r="AR9" t="s">
        <v>190</v>
      </c>
      <c r="AS9" s="141">
        <v>40250.213623046875</v>
      </c>
      <c r="AT9" t="s">
        <v>206</v>
      </c>
      <c r="AU9">
        <v>1</v>
      </c>
      <c r="AV9">
        <v>1</v>
      </c>
      <c r="AW9" t="s">
        <v>207</v>
      </c>
      <c r="AX9" t="s">
        <v>208</v>
      </c>
      <c r="AY9" s="138" t="s">
        <v>209</v>
      </c>
      <c r="AZ9">
        <v>40.23960546875</v>
      </c>
      <c r="BA9" t="s">
        <v>167</v>
      </c>
      <c r="BB9" t="s">
        <v>167</v>
      </c>
      <c r="BC9" t="s">
        <v>167</v>
      </c>
      <c r="BD9" t="s">
        <v>207</v>
      </c>
      <c r="BE9" t="s">
        <v>210</v>
      </c>
      <c r="BF9" t="s">
        <v>211</v>
      </c>
      <c r="BG9" t="s">
        <v>216</v>
      </c>
      <c r="BH9" t="s">
        <v>217</v>
      </c>
      <c r="BI9" s="157">
        <v>282</v>
      </c>
      <c r="BJ9" s="158">
        <v>4.548</v>
      </c>
      <c r="BK9" t="s">
        <v>219</v>
      </c>
      <c r="BL9" t="s">
        <v>220</v>
      </c>
      <c r="BM9" t="s">
        <v>221</v>
      </c>
      <c r="BN9" t="s">
        <v>233</v>
      </c>
      <c r="BO9">
        <v>2</v>
      </c>
      <c r="BP9" s="140">
        <v>6.7540019185246422E-2</v>
      </c>
      <c r="BQ9" s="139">
        <v>14.987611163078199</v>
      </c>
      <c r="BR9" t="s">
        <v>228</v>
      </c>
      <c r="BS9">
        <v>0.21420067332152301</v>
      </c>
      <c r="BT9">
        <v>0.88</v>
      </c>
      <c r="BU9" t="s">
        <v>271</v>
      </c>
      <c r="BV9" t="s">
        <v>271</v>
      </c>
      <c r="BW9" s="163">
        <v>1.85</v>
      </c>
      <c r="BX9" t="s">
        <v>271</v>
      </c>
      <c r="BY9" t="s">
        <v>271</v>
      </c>
      <c r="BZ9" t="s">
        <v>272</v>
      </c>
      <c r="CA9" t="s">
        <v>273</v>
      </c>
      <c r="CB9">
        <v>15.046869854316</v>
      </c>
      <c r="CC9" t="s">
        <v>274</v>
      </c>
      <c r="CD9" s="165">
        <v>0.27031172363714973</v>
      </c>
      <c r="CE9" t="s">
        <v>326</v>
      </c>
      <c r="CF9" t="s">
        <v>327</v>
      </c>
      <c r="CG9">
        <v>25</v>
      </c>
      <c r="CH9" t="s">
        <v>280</v>
      </c>
      <c r="CI9" t="s">
        <v>280</v>
      </c>
      <c r="CJ9" s="139">
        <v>29.6465877153347</v>
      </c>
      <c r="CK9" t="s">
        <v>281</v>
      </c>
      <c r="CL9" s="140">
        <v>0.55950257636001099</v>
      </c>
      <c r="CM9" s="140">
        <v>0.63579357946594295</v>
      </c>
      <c r="CN9" t="s">
        <v>282</v>
      </c>
      <c r="CO9">
        <v>3.6954073926253899</v>
      </c>
      <c r="CP9" t="s">
        <v>283</v>
      </c>
      <c r="CQ9">
        <v>0.11086222177876169</v>
      </c>
      <c r="CR9">
        <v>0.11086222177876169</v>
      </c>
      <c r="CS9" t="s">
        <v>284</v>
      </c>
      <c r="CT9" t="s">
        <v>167</v>
      </c>
      <c r="CU9" t="s">
        <v>285</v>
      </c>
      <c r="CV9" t="s">
        <v>286</v>
      </c>
      <c r="CW9" t="s">
        <v>280</v>
      </c>
      <c r="CX9" t="s">
        <v>280</v>
      </c>
      <c r="CY9" t="s">
        <v>287</v>
      </c>
      <c r="CZ9" t="s">
        <v>167</v>
      </c>
      <c r="DA9" t="s">
        <v>167</v>
      </c>
      <c r="DB9" t="s">
        <v>167</v>
      </c>
      <c r="DC9" t="s">
        <v>167</v>
      </c>
      <c r="DD9" t="s">
        <v>167</v>
      </c>
      <c r="DE9" t="s">
        <v>167</v>
      </c>
      <c r="DF9" t="s">
        <v>167</v>
      </c>
      <c r="DG9" s="166">
        <v>35</v>
      </c>
      <c r="DH9" t="s">
        <v>288</v>
      </c>
      <c r="DI9">
        <v>1</v>
      </c>
      <c r="DJ9" t="s">
        <v>289</v>
      </c>
      <c r="DK9">
        <v>17</v>
      </c>
      <c r="DL9" t="s">
        <v>290</v>
      </c>
      <c r="DM9" t="s">
        <v>290</v>
      </c>
      <c r="DN9" t="s">
        <v>291</v>
      </c>
      <c r="DO9">
        <v>38</v>
      </c>
      <c r="DP9" t="s">
        <v>290</v>
      </c>
      <c r="DQ9" t="s">
        <v>290</v>
      </c>
      <c r="DR9" t="s">
        <v>291</v>
      </c>
      <c r="DS9" t="s">
        <v>292</v>
      </c>
      <c r="DT9" t="s">
        <v>293</v>
      </c>
      <c r="DU9" t="s">
        <v>293</v>
      </c>
      <c r="DV9" t="s">
        <v>293</v>
      </c>
      <c r="DW9" s="138">
        <v>432.56244218316402</v>
      </c>
      <c r="DX9" t="s">
        <v>294</v>
      </c>
      <c r="DY9" s="138">
        <v>12.358926919519501</v>
      </c>
      <c r="DZ9" t="s">
        <v>295</v>
      </c>
      <c r="EA9">
        <v>38.75</v>
      </c>
      <c r="EB9" t="s">
        <v>296</v>
      </c>
      <c r="EC9">
        <v>0.15</v>
      </c>
      <c r="ED9" t="s">
        <v>328</v>
      </c>
      <c r="EE9" t="s">
        <v>329</v>
      </c>
      <c r="EF9" t="s">
        <v>297</v>
      </c>
      <c r="EG9">
        <v>1.0271999999999999</v>
      </c>
      <c r="EH9" t="s">
        <v>290</v>
      </c>
      <c r="EI9" t="s">
        <v>290</v>
      </c>
      <c r="EJ9" t="s">
        <v>298</v>
      </c>
      <c r="EK9" t="s">
        <v>290</v>
      </c>
      <c r="EL9" t="s">
        <v>290</v>
      </c>
      <c r="EM9" t="s">
        <v>299</v>
      </c>
      <c r="EN9" t="s">
        <v>300</v>
      </c>
      <c r="EO9" t="s">
        <v>329</v>
      </c>
      <c r="EP9" t="s">
        <v>329</v>
      </c>
      <c r="EQ9" t="s">
        <v>329</v>
      </c>
      <c r="ER9" t="s">
        <v>329</v>
      </c>
      <c r="ES9" t="s">
        <v>167</v>
      </c>
      <c r="ET9" t="s">
        <v>307</v>
      </c>
      <c r="EU9" t="s">
        <v>308</v>
      </c>
      <c r="EV9" t="s">
        <v>167</v>
      </c>
      <c r="EW9" s="167">
        <v>1750</v>
      </c>
      <c r="EX9" t="s">
        <v>309</v>
      </c>
      <c r="EY9">
        <v>150</v>
      </c>
      <c r="EZ9">
        <v>150</v>
      </c>
      <c r="FA9" t="s">
        <v>310</v>
      </c>
      <c r="FB9" t="s">
        <v>310</v>
      </c>
      <c r="FC9" t="s">
        <v>310</v>
      </c>
      <c r="FD9" t="s">
        <v>310</v>
      </c>
      <c r="FE9">
        <v>7.7739400933955203</v>
      </c>
      <c r="FF9" s="164" t="s">
        <v>301</v>
      </c>
      <c r="FG9">
        <v>3.568425265735975E-2</v>
      </c>
      <c r="FH9">
        <v>4.3979157444690387E-2</v>
      </c>
      <c r="FI9">
        <v>728.91637116647598</v>
      </c>
      <c r="FJ9" s="164">
        <v>0</v>
      </c>
      <c r="FK9" s="164" t="s">
        <v>302</v>
      </c>
      <c r="FL9">
        <v>728.91637116647598</v>
      </c>
      <c r="FM9">
        <v>123.259489162367</v>
      </c>
      <c r="FN9">
        <v>105.60900737729401</v>
      </c>
      <c r="FO9" s="170" t="s">
        <v>303</v>
      </c>
      <c r="FP9" t="s">
        <v>304</v>
      </c>
      <c r="FQ9" t="s">
        <v>305</v>
      </c>
      <c r="FR9" t="s">
        <v>305</v>
      </c>
      <c r="FS9" t="s">
        <v>305</v>
      </c>
      <c r="FT9">
        <v>1843.59177088151</v>
      </c>
      <c r="FU9">
        <v>178.98805194498004</v>
      </c>
      <c r="FV9">
        <v>187.85031467502995</v>
      </c>
      <c r="FW9">
        <v>5.1079262636972302</v>
      </c>
      <c r="FX9">
        <v>0.73097163850551983</v>
      </c>
      <c r="FY9">
        <v>0.60085098797796022</v>
      </c>
      <c r="FZ9">
        <v>3.4105016844790201</v>
      </c>
      <c r="GA9">
        <v>0.4929318190175298</v>
      </c>
      <c r="GB9">
        <v>0.4085389603932601</v>
      </c>
      <c r="GC9" t="s">
        <v>311</v>
      </c>
    </row>
    <row r="10" spans="1:185" ht="17">
      <c r="A10" t="s">
        <v>180</v>
      </c>
      <c r="B10" s="200" t="s">
        <v>181</v>
      </c>
      <c r="C10" t="s">
        <v>168</v>
      </c>
      <c r="D10" t="s">
        <v>182</v>
      </c>
      <c r="E10">
        <v>2020</v>
      </c>
      <c r="F10" t="s">
        <v>183</v>
      </c>
      <c r="G10" s="141">
        <v>40394.073486328125</v>
      </c>
      <c r="H10">
        <v>1</v>
      </c>
      <c r="I10">
        <v>1</v>
      </c>
      <c r="J10">
        <v>751.56086272533503</v>
      </c>
      <c r="K10">
        <v>115.97683032079499</v>
      </c>
      <c r="L10">
        <v>101.75415883422704</v>
      </c>
      <c r="M10" s="163" t="b">
        <v>0</v>
      </c>
      <c r="N10" s="163">
        <v>3</v>
      </c>
      <c r="O10" t="s">
        <v>321</v>
      </c>
      <c r="P10" t="s">
        <v>322</v>
      </c>
      <c r="Q10" s="163" t="b">
        <v>1</v>
      </c>
      <c r="R10" s="212" t="s">
        <v>325</v>
      </c>
      <c r="S10" s="163" t="b">
        <v>1</v>
      </c>
      <c r="T10" s="163" t="b">
        <v>0</v>
      </c>
      <c r="U10" s="163" t="s">
        <v>167</v>
      </c>
      <c r="V10" s="163" t="s">
        <v>167</v>
      </c>
      <c r="W10" s="199" t="s">
        <v>167</v>
      </c>
      <c r="X10" s="199" t="s">
        <v>167</v>
      </c>
      <c r="Y10" s="143" t="s">
        <v>184</v>
      </c>
      <c r="Z10" t="s">
        <v>183</v>
      </c>
      <c r="AA10" t="s">
        <v>185</v>
      </c>
      <c r="AB10" t="s">
        <v>186</v>
      </c>
      <c r="AC10">
        <v>7</v>
      </c>
      <c r="AD10">
        <v>1</v>
      </c>
      <c r="AE10">
        <v>127</v>
      </c>
      <c r="AF10">
        <v>128.5</v>
      </c>
      <c r="AG10" s="146">
        <v>48.777500000000003</v>
      </c>
      <c r="AH10">
        <v>49.277500000000003</v>
      </c>
      <c r="AI10" t="s">
        <v>187</v>
      </c>
      <c r="AJ10" t="s">
        <v>188</v>
      </c>
      <c r="AK10" s="147">
        <v>9.2656670000000005</v>
      </c>
      <c r="AL10" s="147">
        <v>-54.544032999999999</v>
      </c>
      <c r="AM10" s="147">
        <v>0.8</v>
      </c>
      <c r="AN10" s="148" t="s">
        <v>167</v>
      </c>
      <c r="AO10" s="148">
        <v>-2549</v>
      </c>
      <c r="AP10" s="148">
        <v>-2850</v>
      </c>
      <c r="AQ10" t="s">
        <v>189</v>
      </c>
      <c r="AR10" t="s">
        <v>190</v>
      </c>
      <c r="AS10" s="141">
        <v>40394.073486328125</v>
      </c>
      <c r="AT10" t="s">
        <v>206</v>
      </c>
      <c r="AU10">
        <v>1</v>
      </c>
      <c r="AV10">
        <v>1</v>
      </c>
      <c r="AW10" t="s">
        <v>207</v>
      </c>
      <c r="AX10" t="s">
        <v>208</v>
      </c>
      <c r="AY10" s="138" t="s">
        <v>209</v>
      </c>
      <c r="AZ10">
        <v>40.36436328125</v>
      </c>
      <c r="BA10" t="s">
        <v>167</v>
      </c>
      <c r="BB10" t="s">
        <v>167</v>
      </c>
      <c r="BC10" t="s">
        <v>167</v>
      </c>
      <c r="BD10" t="s">
        <v>207</v>
      </c>
      <c r="BE10" t="s">
        <v>210</v>
      </c>
      <c r="BF10" t="s">
        <v>211</v>
      </c>
      <c r="BG10" t="s">
        <v>216</v>
      </c>
      <c r="BH10" t="s">
        <v>217</v>
      </c>
      <c r="BI10" s="157">
        <v>239</v>
      </c>
      <c r="BJ10" s="158">
        <v>2.6560000000000001</v>
      </c>
      <c r="BK10" t="s">
        <v>219</v>
      </c>
      <c r="BL10" t="s">
        <v>220</v>
      </c>
      <c r="BM10" t="s">
        <v>221</v>
      </c>
      <c r="BN10" t="s">
        <v>234</v>
      </c>
      <c r="BO10">
        <v>2</v>
      </c>
      <c r="BP10" s="140">
        <v>0.12676279350029063</v>
      </c>
      <c r="BQ10" s="139">
        <v>15.076082614402701</v>
      </c>
      <c r="BR10" t="s">
        <v>228</v>
      </c>
      <c r="BS10">
        <v>0.24129436801325399</v>
      </c>
      <c r="BT10">
        <v>0.88</v>
      </c>
      <c r="BU10" t="s">
        <v>271</v>
      </c>
      <c r="BV10" t="s">
        <v>271</v>
      </c>
      <c r="BW10" s="163">
        <v>1.85</v>
      </c>
      <c r="BX10" t="s">
        <v>271</v>
      </c>
      <c r="BY10" t="s">
        <v>271</v>
      </c>
      <c r="BZ10" t="s">
        <v>272</v>
      </c>
      <c r="CA10" t="s">
        <v>273</v>
      </c>
      <c r="CB10">
        <v>15.143971938752401</v>
      </c>
      <c r="CC10" t="s">
        <v>274</v>
      </c>
      <c r="CD10" s="165">
        <v>0.2635107142500992</v>
      </c>
      <c r="CE10" t="s">
        <v>326</v>
      </c>
      <c r="CF10" t="s">
        <v>327</v>
      </c>
      <c r="CG10">
        <v>25</v>
      </c>
      <c r="CH10" t="s">
        <v>280</v>
      </c>
      <c r="CI10" t="s">
        <v>280</v>
      </c>
      <c r="CJ10" s="139">
        <v>31.539173055419798</v>
      </c>
      <c r="CK10" t="s">
        <v>281</v>
      </c>
      <c r="CL10" s="140">
        <v>0.58592413957018896</v>
      </c>
      <c r="CM10" s="140">
        <v>0.63078049535222602</v>
      </c>
      <c r="CN10" t="s">
        <v>282</v>
      </c>
      <c r="CO10">
        <v>4.13722042729081</v>
      </c>
      <c r="CP10" t="s">
        <v>283</v>
      </c>
      <c r="CQ10">
        <v>0.1241166128187243</v>
      </c>
      <c r="CR10">
        <v>0.1241166128187243</v>
      </c>
      <c r="CS10" t="s">
        <v>284</v>
      </c>
      <c r="CT10" t="s">
        <v>167</v>
      </c>
      <c r="CU10" t="s">
        <v>285</v>
      </c>
      <c r="CV10" t="s">
        <v>286</v>
      </c>
      <c r="CW10" t="s">
        <v>280</v>
      </c>
      <c r="CX10" t="s">
        <v>280</v>
      </c>
      <c r="CY10" t="s">
        <v>287</v>
      </c>
      <c r="CZ10" t="s">
        <v>167</v>
      </c>
      <c r="DA10" t="s">
        <v>167</v>
      </c>
      <c r="DB10" t="s">
        <v>167</v>
      </c>
      <c r="DC10" t="s">
        <v>167</v>
      </c>
      <c r="DD10" t="s">
        <v>167</v>
      </c>
      <c r="DE10" t="s">
        <v>167</v>
      </c>
      <c r="DF10" t="s">
        <v>167</v>
      </c>
      <c r="DG10" s="166">
        <v>35</v>
      </c>
      <c r="DH10" t="s">
        <v>288</v>
      </c>
      <c r="DI10">
        <v>1</v>
      </c>
      <c r="DJ10" t="s">
        <v>289</v>
      </c>
      <c r="DK10">
        <v>17</v>
      </c>
      <c r="DL10" t="s">
        <v>290</v>
      </c>
      <c r="DM10" t="s">
        <v>290</v>
      </c>
      <c r="DN10" t="s">
        <v>291</v>
      </c>
      <c r="DO10">
        <v>38</v>
      </c>
      <c r="DP10" t="s">
        <v>290</v>
      </c>
      <c r="DQ10" t="s">
        <v>290</v>
      </c>
      <c r="DR10" t="s">
        <v>291</v>
      </c>
      <c r="DS10" t="s">
        <v>292</v>
      </c>
      <c r="DT10" t="s">
        <v>293</v>
      </c>
      <c r="DU10" t="s">
        <v>293</v>
      </c>
      <c r="DV10" t="s">
        <v>293</v>
      </c>
      <c r="DW10" s="138">
        <v>432.56244218316402</v>
      </c>
      <c r="DX10" t="s">
        <v>294</v>
      </c>
      <c r="DY10" s="138">
        <v>12.3589269195197</v>
      </c>
      <c r="DZ10" t="s">
        <v>295</v>
      </c>
      <c r="EA10">
        <v>38.75</v>
      </c>
      <c r="EB10" t="s">
        <v>296</v>
      </c>
      <c r="EC10">
        <v>0.15</v>
      </c>
      <c r="ED10" t="s">
        <v>328</v>
      </c>
      <c r="EE10" t="s">
        <v>329</v>
      </c>
      <c r="EF10" t="s">
        <v>297</v>
      </c>
      <c r="EG10">
        <v>1.0271999999999999</v>
      </c>
      <c r="EH10" t="s">
        <v>290</v>
      </c>
      <c r="EI10" t="s">
        <v>290</v>
      </c>
      <c r="EJ10" t="s">
        <v>298</v>
      </c>
      <c r="EK10" t="s">
        <v>290</v>
      </c>
      <c r="EL10" t="s">
        <v>290</v>
      </c>
      <c r="EM10" t="s">
        <v>299</v>
      </c>
      <c r="EN10" t="s">
        <v>300</v>
      </c>
      <c r="EO10" t="s">
        <v>329</v>
      </c>
      <c r="EP10" t="s">
        <v>329</v>
      </c>
      <c r="EQ10" t="s">
        <v>329</v>
      </c>
      <c r="ER10" t="s">
        <v>329</v>
      </c>
      <c r="ES10" t="s">
        <v>167</v>
      </c>
      <c r="ET10" t="s">
        <v>307</v>
      </c>
      <c r="EU10" t="s">
        <v>308</v>
      </c>
      <c r="EV10" t="s">
        <v>167</v>
      </c>
      <c r="EW10" s="167">
        <v>1750</v>
      </c>
      <c r="EX10" t="s">
        <v>309</v>
      </c>
      <c r="EY10">
        <v>150</v>
      </c>
      <c r="EZ10">
        <v>150</v>
      </c>
      <c r="FA10" t="s">
        <v>310</v>
      </c>
      <c r="FB10" t="s">
        <v>310</v>
      </c>
      <c r="FC10" t="s">
        <v>310</v>
      </c>
      <c r="FD10" t="s">
        <v>310</v>
      </c>
      <c r="FE10">
        <v>7.76436480912969</v>
      </c>
      <c r="FF10" s="164" t="s">
        <v>301</v>
      </c>
      <c r="FG10">
        <v>3.8737165611109958E-2</v>
      </c>
      <c r="FH10">
        <v>3.6285660921869578E-2</v>
      </c>
      <c r="FI10">
        <v>751.56086272533503</v>
      </c>
      <c r="FJ10" s="164">
        <v>0</v>
      </c>
      <c r="FK10" s="164" t="s">
        <v>302</v>
      </c>
      <c r="FL10">
        <v>751.56086272533503</v>
      </c>
      <c r="FM10">
        <v>115.97683032079499</v>
      </c>
      <c r="FN10">
        <v>101.75415883422704</v>
      </c>
      <c r="FO10" s="170" t="s">
        <v>303</v>
      </c>
      <c r="FP10" t="s">
        <v>304</v>
      </c>
      <c r="FQ10" t="s">
        <v>305</v>
      </c>
      <c r="FR10" t="s">
        <v>305</v>
      </c>
      <c r="FS10" t="s">
        <v>305</v>
      </c>
      <c r="FT10">
        <v>1848.92075291643</v>
      </c>
      <c r="FU10">
        <v>172.90495112824988</v>
      </c>
      <c r="FV10">
        <v>181.22083482063999</v>
      </c>
      <c r="FW10">
        <v>5.3998027442491399</v>
      </c>
      <c r="FX10">
        <v>0.69665822818718048</v>
      </c>
      <c r="FY10">
        <v>0.62021832989104997</v>
      </c>
      <c r="FZ10">
        <v>3.6267349416393899</v>
      </c>
      <c r="GA10">
        <v>0.46798183688391015</v>
      </c>
      <c r="GB10">
        <v>0.41422654662163971</v>
      </c>
      <c r="GC10" t="s">
        <v>311</v>
      </c>
    </row>
    <row r="11" spans="1:185" ht="17">
      <c r="A11" t="s">
        <v>180</v>
      </c>
      <c r="B11" s="200" t="s">
        <v>181</v>
      </c>
      <c r="C11" t="s">
        <v>168</v>
      </c>
      <c r="D11" t="s">
        <v>182</v>
      </c>
      <c r="E11">
        <v>2020</v>
      </c>
      <c r="F11" t="s">
        <v>183</v>
      </c>
      <c r="G11" s="141">
        <v>40517.196655273438</v>
      </c>
      <c r="H11">
        <v>1</v>
      </c>
      <c r="I11">
        <v>1</v>
      </c>
      <c r="J11">
        <v>729.01487454166204</v>
      </c>
      <c r="K11">
        <v>114.47097072020995</v>
      </c>
      <c r="L11">
        <v>101.69194479004102</v>
      </c>
      <c r="M11" s="163" t="b">
        <v>0</v>
      </c>
      <c r="N11" s="163">
        <v>3</v>
      </c>
      <c r="O11" t="s">
        <v>321</v>
      </c>
      <c r="P11" t="s">
        <v>322</v>
      </c>
      <c r="Q11" s="163" t="b">
        <v>1</v>
      </c>
      <c r="R11" s="212" t="s">
        <v>325</v>
      </c>
      <c r="S11" s="163" t="b">
        <v>1</v>
      </c>
      <c r="T11" s="163" t="b">
        <v>0</v>
      </c>
      <c r="U11" s="163" t="s">
        <v>167</v>
      </c>
      <c r="V11" s="163" t="s">
        <v>167</v>
      </c>
      <c r="W11" s="199" t="s">
        <v>167</v>
      </c>
      <c r="X11" s="199" t="s">
        <v>167</v>
      </c>
      <c r="Y11" s="143" t="s">
        <v>184</v>
      </c>
      <c r="Z11" t="s">
        <v>183</v>
      </c>
      <c r="AA11" t="s">
        <v>185</v>
      </c>
      <c r="AB11" t="s">
        <v>186</v>
      </c>
      <c r="AC11">
        <v>7</v>
      </c>
      <c r="AD11">
        <v>3</v>
      </c>
      <c r="AE11">
        <v>57</v>
      </c>
      <c r="AF11">
        <v>58.5</v>
      </c>
      <c r="AG11" s="146">
        <v>51.077500000000001</v>
      </c>
      <c r="AH11">
        <v>51.577500000000001</v>
      </c>
      <c r="AI11" t="s">
        <v>187</v>
      </c>
      <c r="AJ11" t="s">
        <v>188</v>
      </c>
      <c r="AK11" s="147">
        <v>9.2656670000000005</v>
      </c>
      <c r="AL11" s="147">
        <v>-54.544032999999999</v>
      </c>
      <c r="AM11" s="147">
        <v>0.8</v>
      </c>
      <c r="AN11" s="148" t="s">
        <v>167</v>
      </c>
      <c r="AO11" s="148">
        <v>-2549</v>
      </c>
      <c r="AP11" s="148">
        <v>-2850</v>
      </c>
      <c r="AQ11" t="s">
        <v>189</v>
      </c>
      <c r="AR11" t="s">
        <v>190</v>
      </c>
      <c r="AS11" s="141">
        <v>40517.196655273438</v>
      </c>
      <c r="AT11" t="s">
        <v>206</v>
      </c>
      <c r="AU11">
        <v>1</v>
      </c>
      <c r="AV11">
        <v>1</v>
      </c>
      <c r="AW11" t="s">
        <v>207</v>
      </c>
      <c r="AX11" t="s">
        <v>208</v>
      </c>
      <c r="AY11" s="138" t="s">
        <v>209</v>
      </c>
      <c r="AZ11">
        <v>40.484824218749999</v>
      </c>
      <c r="BA11" t="s">
        <v>167</v>
      </c>
      <c r="BB11" t="s">
        <v>167</v>
      </c>
      <c r="BC11" t="s">
        <v>167</v>
      </c>
      <c r="BD11" t="s">
        <v>207</v>
      </c>
      <c r="BE11" t="s">
        <v>210</v>
      </c>
      <c r="BF11" t="s">
        <v>211</v>
      </c>
      <c r="BG11" t="s">
        <v>216</v>
      </c>
      <c r="BH11" t="s">
        <v>217</v>
      </c>
      <c r="BI11" s="157">
        <v>311</v>
      </c>
      <c r="BJ11" s="158">
        <v>4.2889999999999997</v>
      </c>
      <c r="BK11" t="s">
        <v>219</v>
      </c>
      <c r="BL11" t="s">
        <v>220</v>
      </c>
      <c r="BM11" t="s">
        <v>221</v>
      </c>
      <c r="BN11" t="s">
        <v>235</v>
      </c>
      <c r="BO11">
        <v>2</v>
      </c>
      <c r="BP11" s="140">
        <v>5.077347405562093E-2</v>
      </c>
      <c r="BQ11" s="139">
        <v>15.033190335811099</v>
      </c>
      <c r="BR11" t="s">
        <v>228</v>
      </c>
      <c r="BS11">
        <v>0.21811436540529699</v>
      </c>
      <c r="BT11">
        <v>0.88</v>
      </c>
      <c r="BU11" t="s">
        <v>271</v>
      </c>
      <c r="BV11" t="s">
        <v>271</v>
      </c>
      <c r="BW11" s="163">
        <v>1.85</v>
      </c>
      <c r="BX11" t="s">
        <v>271</v>
      </c>
      <c r="BY11" t="s">
        <v>271</v>
      </c>
      <c r="BZ11" t="s">
        <v>272</v>
      </c>
      <c r="CA11" t="s">
        <v>273</v>
      </c>
      <c r="CB11">
        <v>15.096186707305399</v>
      </c>
      <c r="CC11" t="s">
        <v>274</v>
      </c>
      <c r="CD11" s="165">
        <v>0.2734944082791495</v>
      </c>
      <c r="CE11" t="s">
        <v>326</v>
      </c>
      <c r="CF11" t="s">
        <v>327</v>
      </c>
      <c r="CG11">
        <v>25</v>
      </c>
      <c r="CH11" t="s">
        <v>280</v>
      </c>
      <c r="CI11" t="s">
        <v>280</v>
      </c>
      <c r="CJ11" s="139">
        <v>30.162601209417701</v>
      </c>
      <c r="CK11" t="s">
        <v>281</v>
      </c>
      <c r="CL11" s="140">
        <v>0.59760506025843796</v>
      </c>
      <c r="CM11" s="140">
        <v>0.58630719987136404</v>
      </c>
      <c r="CN11" t="s">
        <v>282</v>
      </c>
      <c r="CO11">
        <v>3.7999497926307901</v>
      </c>
      <c r="CP11" t="s">
        <v>283</v>
      </c>
      <c r="CQ11">
        <v>0.1139984937789237</v>
      </c>
      <c r="CR11">
        <v>0.1139984937789237</v>
      </c>
      <c r="CS11" t="s">
        <v>284</v>
      </c>
      <c r="CT11" t="s">
        <v>167</v>
      </c>
      <c r="CU11" t="s">
        <v>285</v>
      </c>
      <c r="CV11" t="s">
        <v>286</v>
      </c>
      <c r="CW11" t="s">
        <v>280</v>
      </c>
      <c r="CX11" t="s">
        <v>280</v>
      </c>
      <c r="CY11" t="s">
        <v>287</v>
      </c>
      <c r="CZ11" t="s">
        <v>167</v>
      </c>
      <c r="DA11" t="s">
        <v>167</v>
      </c>
      <c r="DB11" t="s">
        <v>167</v>
      </c>
      <c r="DC11" t="s">
        <v>167</v>
      </c>
      <c r="DD11" t="s">
        <v>167</v>
      </c>
      <c r="DE11" t="s">
        <v>167</v>
      </c>
      <c r="DF11" t="s">
        <v>167</v>
      </c>
      <c r="DG11" s="166">
        <v>35</v>
      </c>
      <c r="DH11" t="s">
        <v>288</v>
      </c>
      <c r="DI11">
        <v>1</v>
      </c>
      <c r="DJ11" t="s">
        <v>289</v>
      </c>
      <c r="DK11">
        <v>17</v>
      </c>
      <c r="DL11" t="s">
        <v>290</v>
      </c>
      <c r="DM11" t="s">
        <v>290</v>
      </c>
      <c r="DN11" t="s">
        <v>291</v>
      </c>
      <c r="DO11">
        <v>38</v>
      </c>
      <c r="DP11" t="s">
        <v>290</v>
      </c>
      <c r="DQ11" t="s">
        <v>290</v>
      </c>
      <c r="DR11" t="s">
        <v>291</v>
      </c>
      <c r="DS11" t="s">
        <v>292</v>
      </c>
      <c r="DT11" t="s">
        <v>293</v>
      </c>
      <c r="DU11" t="s">
        <v>293</v>
      </c>
      <c r="DV11" t="s">
        <v>293</v>
      </c>
      <c r="DW11" s="138">
        <v>432.56244218316402</v>
      </c>
      <c r="DX11" t="s">
        <v>294</v>
      </c>
      <c r="DY11" s="138">
        <v>12.358926919519799</v>
      </c>
      <c r="DZ11" t="s">
        <v>295</v>
      </c>
      <c r="EA11">
        <v>38.75</v>
      </c>
      <c r="EB11" t="s">
        <v>296</v>
      </c>
      <c r="EC11">
        <v>0.15</v>
      </c>
      <c r="ED11" t="s">
        <v>328</v>
      </c>
      <c r="EE11" t="s">
        <v>329</v>
      </c>
      <c r="EF11" t="s">
        <v>297</v>
      </c>
      <c r="EG11">
        <v>1.0271999999999999</v>
      </c>
      <c r="EH11" t="s">
        <v>290</v>
      </c>
      <c r="EI11" t="s">
        <v>290</v>
      </c>
      <c r="EJ11" t="s">
        <v>298</v>
      </c>
      <c r="EK11" t="s">
        <v>290</v>
      </c>
      <c r="EL11" t="s">
        <v>290</v>
      </c>
      <c r="EM11" t="s">
        <v>299</v>
      </c>
      <c r="EN11" t="s">
        <v>300</v>
      </c>
      <c r="EO11" t="s">
        <v>329</v>
      </c>
      <c r="EP11" t="s">
        <v>329</v>
      </c>
      <c r="EQ11" t="s">
        <v>329</v>
      </c>
      <c r="ER11" t="s">
        <v>329</v>
      </c>
      <c r="ES11" t="s">
        <v>167</v>
      </c>
      <c r="ET11" t="s">
        <v>307</v>
      </c>
      <c r="EU11" t="s">
        <v>308</v>
      </c>
      <c r="EV11" t="s">
        <v>167</v>
      </c>
      <c r="EW11" s="167">
        <v>1750</v>
      </c>
      <c r="EX11" t="s">
        <v>309</v>
      </c>
      <c r="EY11">
        <v>150</v>
      </c>
      <c r="EZ11">
        <v>150</v>
      </c>
      <c r="FA11" t="s">
        <v>310</v>
      </c>
      <c r="FB11" t="s">
        <v>310</v>
      </c>
      <c r="FC11" t="s">
        <v>310</v>
      </c>
      <c r="FD11" t="s">
        <v>310</v>
      </c>
      <c r="FE11">
        <v>7.7744310864918402</v>
      </c>
      <c r="FF11" s="164" t="s">
        <v>301</v>
      </c>
      <c r="FG11">
        <v>4.0737422218869668E-2</v>
      </c>
      <c r="FH11">
        <v>4.2349137421529903E-2</v>
      </c>
      <c r="FI11">
        <v>729.01487454166204</v>
      </c>
      <c r="FJ11" s="164">
        <v>0</v>
      </c>
      <c r="FK11" s="164" t="s">
        <v>302</v>
      </c>
      <c r="FL11">
        <v>729.01487454166204</v>
      </c>
      <c r="FM11">
        <v>114.47097072020995</v>
      </c>
      <c r="FN11">
        <v>101.69194479004102</v>
      </c>
      <c r="FO11" s="170" t="s">
        <v>303</v>
      </c>
      <c r="FP11" t="s">
        <v>304</v>
      </c>
      <c r="FQ11" t="s">
        <v>305</v>
      </c>
      <c r="FR11" t="s">
        <v>305</v>
      </c>
      <c r="FS11" t="s">
        <v>305</v>
      </c>
      <c r="FT11">
        <v>1843.6324750866399</v>
      </c>
      <c r="FU11">
        <v>182.20772070591011</v>
      </c>
      <c r="FV11">
        <v>179.03005989743997</v>
      </c>
      <c r="FW11">
        <v>5.2271977541122698</v>
      </c>
      <c r="FX11">
        <v>0.74440014851087977</v>
      </c>
      <c r="FY11">
        <v>0.64712216816814028</v>
      </c>
      <c r="FZ11">
        <v>3.4952674062370299</v>
      </c>
      <c r="GA11">
        <v>0.50078605346112992</v>
      </c>
      <c r="GB11">
        <v>0.43829972179581977</v>
      </c>
      <c r="GC11" t="s">
        <v>311</v>
      </c>
    </row>
    <row r="12" spans="1:185" ht="17">
      <c r="A12" t="s">
        <v>180</v>
      </c>
      <c r="B12" s="200" t="s">
        <v>181</v>
      </c>
      <c r="C12" t="s">
        <v>168</v>
      </c>
      <c r="D12" t="s">
        <v>182</v>
      </c>
      <c r="E12">
        <v>2020</v>
      </c>
      <c r="F12" t="s">
        <v>183</v>
      </c>
      <c r="G12" s="141">
        <v>40648.937225341797</v>
      </c>
      <c r="H12">
        <v>1</v>
      </c>
      <c r="I12">
        <v>1</v>
      </c>
      <c r="J12">
        <v>706.02215272550404</v>
      </c>
      <c r="K12">
        <v>112.06895747065801</v>
      </c>
      <c r="L12">
        <v>92.785717856226029</v>
      </c>
      <c r="M12" s="163" t="b">
        <v>0</v>
      </c>
      <c r="N12" s="163">
        <v>3</v>
      </c>
      <c r="O12" t="s">
        <v>321</v>
      </c>
      <c r="P12" t="s">
        <v>322</v>
      </c>
      <c r="Q12" s="163" t="b">
        <v>1</v>
      </c>
      <c r="R12" s="212" t="s">
        <v>325</v>
      </c>
      <c r="S12" s="163" t="b">
        <v>1</v>
      </c>
      <c r="T12" s="163" t="b">
        <v>0</v>
      </c>
      <c r="U12" s="163" t="s">
        <v>167</v>
      </c>
      <c r="V12" s="163" t="s">
        <v>167</v>
      </c>
      <c r="W12" s="199" t="s">
        <v>167</v>
      </c>
      <c r="X12" s="199" t="s">
        <v>167</v>
      </c>
      <c r="Y12" s="143" t="s">
        <v>184</v>
      </c>
      <c r="Z12" t="s">
        <v>183</v>
      </c>
      <c r="AA12" t="s">
        <v>185</v>
      </c>
      <c r="AB12" t="s">
        <v>186</v>
      </c>
      <c r="AC12">
        <v>7</v>
      </c>
      <c r="AD12">
        <v>4</v>
      </c>
      <c r="AE12">
        <v>37</v>
      </c>
      <c r="AF12">
        <v>38.5</v>
      </c>
      <c r="AG12" s="146">
        <v>52.377499999999998</v>
      </c>
      <c r="AH12">
        <v>52.877499999999998</v>
      </c>
      <c r="AI12" t="s">
        <v>187</v>
      </c>
      <c r="AJ12" t="s">
        <v>188</v>
      </c>
      <c r="AK12" s="147">
        <v>9.2656670000000005</v>
      </c>
      <c r="AL12" s="147">
        <v>-54.544032999999999</v>
      </c>
      <c r="AM12" s="147">
        <v>0.8</v>
      </c>
      <c r="AN12" s="148" t="s">
        <v>167</v>
      </c>
      <c r="AO12" s="148">
        <v>-2549</v>
      </c>
      <c r="AP12" s="148">
        <v>-2850</v>
      </c>
      <c r="AQ12" t="s">
        <v>189</v>
      </c>
      <c r="AR12" t="s">
        <v>190</v>
      </c>
      <c r="AS12" s="141">
        <v>40648.937225341797</v>
      </c>
      <c r="AT12" t="s">
        <v>206</v>
      </c>
      <c r="AU12">
        <v>1</v>
      </c>
      <c r="AV12">
        <v>1</v>
      </c>
      <c r="AW12" t="s">
        <v>207</v>
      </c>
      <c r="AX12" t="s">
        <v>208</v>
      </c>
      <c r="AY12" s="138" t="s">
        <v>209</v>
      </c>
      <c r="AZ12">
        <v>40.555140625</v>
      </c>
      <c r="BA12" t="s">
        <v>167</v>
      </c>
      <c r="BB12" t="s">
        <v>167</v>
      </c>
      <c r="BC12" t="s">
        <v>167</v>
      </c>
      <c r="BD12" t="s">
        <v>207</v>
      </c>
      <c r="BE12" t="s">
        <v>210</v>
      </c>
      <c r="BF12" t="s">
        <v>211</v>
      </c>
      <c r="BG12" t="s">
        <v>216</v>
      </c>
      <c r="BH12" t="s">
        <v>217</v>
      </c>
      <c r="BI12" s="157">
        <v>208</v>
      </c>
      <c r="BJ12" s="158">
        <v>2.4929999999999999</v>
      </c>
      <c r="BK12" t="s">
        <v>219</v>
      </c>
      <c r="BL12" t="s">
        <v>220</v>
      </c>
      <c r="BM12" t="s">
        <v>221</v>
      </c>
      <c r="BN12" t="s">
        <v>236</v>
      </c>
      <c r="BO12">
        <v>2</v>
      </c>
      <c r="BP12" s="140">
        <v>0.36365173896322561</v>
      </c>
      <c r="BQ12" s="139">
        <v>15.0891171811212</v>
      </c>
      <c r="BR12" t="s">
        <v>228</v>
      </c>
      <c r="BS12">
        <v>0.23835600480119501</v>
      </c>
      <c r="BT12">
        <v>0.88</v>
      </c>
      <c r="BU12" t="s">
        <v>271</v>
      </c>
      <c r="BV12" t="s">
        <v>271</v>
      </c>
      <c r="BW12" s="163">
        <v>1.85</v>
      </c>
      <c r="BX12" t="s">
        <v>271</v>
      </c>
      <c r="BY12" t="s">
        <v>271</v>
      </c>
      <c r="BZ12" t="s">
        <v>272</v>
      </c>
      <c r="CA12" t="s">
        <v>273</v>
      </c>
      <c r="CB12">
        <v>15.1671206292253</v>
      </c>
      <c r="CC12" t="s">
        <v>274</v>
      </c>
      <c r="CD12" s="165">
        <v>0.26202543073850038</v>
      </c>
      <c r="CE12" t="s">
        <v>326</v>
      </c>
      <c r="CF12" t="s">
        <v>327</v>
      </c>
      <c r="CG12">
        <v>25</v>
      </c>
      <c r="CH12" t="s">
        <v>280</v>
      </c>
      <c r="CI12" t="s">
        <v>280</v>
      </c>
      <c r="CJ12" s="139">
        <v>29.9876635629604</v>
      </c>
      <c r="CK12" t="s">
        <v>281</v>
      </c>
      <c r="CL12" s="140">
        <v>0.57449210588723798</v>
      </c>
      <c r="CM12" s="140">
        <v>0.57093862698790698</v>
      </c>
      <c r="CN12" t="s">
        <v>282</v>
      </c>
      <c r="CO12">
        <v>3.7409461680991498</v>
      </c>
      <c r="CP12" t="s">
        <v>283</v>
      </c>
      <c r="CQ12">
        <v>0.11222838504297449</v>
      </c>
      <c r="CR12">
        <v>0.11222838504297449</v>
      </c>
      <c r="CS12" t="s">
        <v>284</v>
      </c>
      <c r="CT12" t="s">
        <v>167</v>
      </c>
      <c r="CU12" t="s">
        <v>285</v>
      </c>
      <c r="CV12" t="s">
        <v>286</v>
      </c>
      <c r="CW12" t="s">
        <v>280</v>
      </c>
      <c r="CX12" t="s">
        <v>280</v>
      </c>
      <c r="CY12" t="s">
        <v>287</v>
      </c>
      <c r="CZ12" t="s">
        <v>167</v>
      </c>
      <c r="DA12" t="s">
        <v>167</v>
      </c>
      <c r="DB12" t="s">
        <v>167</v>
      </c>
      <c r="DC12" t="s">
        <v>167</v>
      </c>
      <c r="DD12" t="s">
        <v>167</v>
      </c>
      <c r="DE12" t="s">
        <v>167</v>
      </c>
      <c r="DF12" t="s">
        <v>167</v>
      </c>
      <c r="DG12" s="166">
        <v>35</v>
      </c>
      <c r="DH12" t="s">
        <v>288</v>
      </c>
      <c r="DI12">
        <v>1</v>
      </c>
      <c r="DJ12" t="s">
        <v>289</v>
      </c>
      <c r="DK12">
        <v>17</v>
      </c>
      <c r="DL12" t="s">
        <v>290</v>
      </c>
      <c r="DM12" t="s">
        <v>290</v>
      </c>
      <c r="DN12" t="s">
        <v>291</v>
      </c>
      <c r="DO12">
        <v>38</v>
      </c>
      <c r="DP12" t="s">
        <v>290</v>
      </c>
      <c r="DQ12" t="s">
        <v>290</v>
      </c>
      <c r="DR12" t="s">
        <v>291</v>
      </c>
      <c r="DS12" t="s">
        <v>292</v>
      </c>
      <c r="DT12" t="s">
        <v>293</v>
      </c>
      <c r="DU12" t="s">
        <v>293</v>
      </c>
      <c r="DV12" t="s">
        <v>293</v>
      </c>
      <c r="DW12" s="138">
        <v>432.56244218316402</v>
      </c>
      <c r="DX12" t="s">
        <v>294</v>
      </c>
      <c r="DY12" s="138">
        <v>12.358926919519901</v>
      </c>
      <c r="DZ12" t="s">
        <v>295</v>
      </c>
      <c r="EA12">
        <v>38.75</v>
      </c>
      <c r="EB12" t="s">
        <v>296</v>
      </c>
      <c r="EC12">
        <v>0.15</v>
      </c>
      <c r="ED12" t="s">
        <v>328</v>
      </c>
      <c r="EE12" t="s">
        <v>329</v>
      </c>
      <c r="EF12" t="s">
        <v>297</v>
      </c>
      <c r="EG12">
        <v>1.0271999999999999</v>
      </c>
      <c r="EH12" t="s">
        <v>290</v>
      </c>
      <c r="EI12" t="s">
        <v>290</v>
      </c>
      <c r="EJ12" t="s">
        <v>298</v>
      </c>
      <c r="EK12" t="s">
        <v>290</v>
      </c>
      <c r="EL12" t="s">
        <v>290</v>
      </c>
      <c r="EM12" t="s">
        <v>299</v>
      </c>
      <c r="EN12" t="s">
        <v>300</v>
      </c>
      <c r="EO12" t="s">
        <v>329</v>
      </c>
      <c r="EP12" t="s">
        <v>329</v>
      </c>
      <c r="EQ12" t="s">
        <v>329</v>
      </c>
      <c r="ER12" t="s">
        <v>329</v>
      </c>
      <c r="ES12" t="s">
        <v>167</v>
      </c>
      <c r="ET12" t="s">
        <v>307</v>
      </c>
      <c r="EU12" t="s">
        <v>308</v>
      </c>
      <c r="EV12" t="s">
        <v>167</v>
      </c>
      <c r="EW12" s="167">
        <v>1750</v>
      </c>
      <c r="EX12" t="s">
        <v>309</v>
      </c>
      <c r="EY12">
        <v>150</v>
      </c>
      <c r="EZ12">
        <v>150</v>
      </c>
      <c r="FA12" t="s">
        <v>310</v>
      </c>
      <c r="FB12" t="s">
        <v>310</v>
      </c>
      <c r="FC12" t="s">
        <v>310</v>
      </c>
      <c r="FD12" t="s">
        <v>310</v>
      </c>
      <c r="FE12">
        <v>7.7853982335475402</v>
      </c>
      <c r="FF12" s="164" t="s">
        <v>301</v>
      </c>
      <c r="FG12">
        <v>3.7136106005609903E-2</v>
      </c>
      <c r="FH12">
        <v>3.8481857746090142E-2</v>
      </c>
      <c r="FI12">
        <v>706.02215272550404</v>
      </c>
      <c r="FJ12" s="164">
        <v>0</v>
      </c>
      <c r="FK12" s="164" t="s">
        <v>302</v>
      </c>
      <c r="FL12">
        <v>706.02215272550404</v>
      </c>
      <c r="FM12">
        <v>112.06895747065801</v>
      </c>
      <c r="FN12">
        <v>92.785717856226029</v>
      </c>
      <c r="FO12" s="170" t="s">
        <v>303</v>
      </c>
      <c r="FP12" t="s">
        <v>304</v>
      </c>
      <c r="FQ12" t="s">
        <v>305</v>
      </c>
      <c r="FR12" t="s">
        <v>305</v>
      </c>
      <c r="FS12" t="s">
        <v>305</v>
      </c>
      <c r="FT12">
        <v>1834.0769085132099</v>
      </c>
      <c r="FU12">
        <v>189.37906905010004</v>
      </c>
      <c r="FV12">
        <v>169.9508705495798</v>
      </c>
      <c r="FW12">
        <v>5.30547183165453</v>
      </c>
      <c r="FX12">
        <v>0.67535168563631043</v>
      </c>
      <c r="FY12">
        <v>0.6348081053514596</v>
      </c>
      <c r="FZ12">
        <v>3.5453777589314499</v>
      </c>
      <c r="GA12">
        <v>0.4566311098836997</v>
      </c>
      <c r="GB12">
        <v>0.42874034558145979</v>
      </c>
      <c r="GC12" t="s">
        <v>311</v>
      </c>
    </row>
    <row r="13" spans="1:185" ht="17">
      <c r="A13" t="s">
        <v>180</v>
      </c>
      <c r="B13" s="200" t="s">
        <v>181</v>
      </c>
      <c r="C13" t="s">
        <v>168</v>
      </c>
      <c r="D13" t="s">
        <v>182</v>
      </c>
      <c r="E13">
        <v>2020</v>
      </c>
      <c r="F13" t="s">
        <v>183</v>
      </c>
      <c r="G13" s="141">
        <v>41012.3291015625</v>
      </c>
      <c r="H13">
        <v>1</v>
      </c>
      <c r="I13">
        <v>1</v>
      </c>
      <c r="J13">
        <v>842.93296604675402</v>
      </c>
      <c r="K13">
        <v>145.92409907828096</v>
      </c>
      <c r="L13">
        <v>119.52424445996201</v>
      </c>
      <c r="M13" s="163" t="b">
        <v>0</v>
      </c>
      <c r="N13" s="163">
        <v>3</v>
      </c>
      <c r="O13" t="s">
        <v>321</v>
      </c>
      <c r="P13" t="s">
        <v>322</v>
      </c>
      <c r="Q13" s="163" t="b">
        <v>1</v>
      </c>
      <c r="R13" s="212" t="s">
        <v>325</v>
      </c>
      <c r="S13" s="163" t="b">
        <v>1</v>
      </c>
      <c r="T13" s="163" t="b">
        <v>0</v>
      </c>
      <c r="U13" s="163" t="s">
        <v>167</v>
      </c>
      <c r="V13" s="163" t="s">
        <v>167</v>
      </c>
      <c r="W13" s="199" t="s">
        <v>167</v>
      </c>
      <c r="X13" s="199" t="s">
        <v>167</v>
      </c>
      <c r="Y13" s="143" t="s">
        <v>184</v>
      </c>
      <c r="Z13" t="s">
        <v>183</v>
      </c>
      <c r="AA13" t="s">
        <v>185</v>
      </c>
      <c r="AB13" t="s">
        <v>186</v>
      </c>
      <c r="AC13">
        <v>8</v>
      </c>
      <c r="AD13">
        <v>2</v>
      </c>
      <c r="AE13">
        <v>77</v>
      </c>
      <c r="AF13">
        <v>78.5</v>
      </c>
      <c r="AG13" s="146">
        <v>59.477499999999999</v>
      </c>
      <c r="AH13">
        <v>59.977499999999999</v>
      </c>
      <c r="AI13" t="s">
        <v>187</v>
      </c>
      <c r="AJ13" t="s">
        <v>188</v>
      </c>
      <c r="AK13" s="147">
        <v>9.2656670000000005</v>
      </c>
      <c r="AL13" s="147">
        <v>-54.544032999999999</v>
      </c>
      <c r="AM13" s="147">
        <v>0.8</v>
      </c>
      <c r="AN13" s="148" t="s">
        <v>167</v>
      </c>
      <c r="AO13" s="148">
        <v>-2549</v>
      </c>
      <c r="AP13" s="148">
        <v>-2850</v>
      </c>
      <c r="AQ13" t="s">
        <v>189</v>
      </c>
      <c r="AR13" t="s">
        <v>190</v>
      </c>
      <c r="AS13" s="141">
        <v>41012.3291015625</v>
      </c>
      <c r="AT13" t="s">
        <v>206</v>
      </c>
      <c r="AU13">
        <v>1</v>
      </c>
      <c r="AV13">
        <v>1</v>
      </c>
      <c r="AW13" t="s">
        <v>207</v>
      </c>
      <c r="AX13" t="s">
        <v>208</v>
      </c>
      <c r="AY13" s="138" t="s">
        <v>209</v>
      </c>
      <c r="AZ13">
        <v>40.906917968750001</v>
      </c>
      <c r="BA13" t="s">
        <v>167</v>
      </c>
      <c r="BB13" t="s">
        <v>167</v>
      </c>
      <c r="BC13" t="s">
        <v>167</v>
      </c>
      <c r="BD13" t="s">
        <v>207</v>
      </c>
      <c r="BE13" t="s">
        <v>210</v>
      </c>
      <c r="BF13" t="s">
        <v>211</v>
      </c>
      <c r="BG13" t="s">
        <v>222</v>
      </c>
      <c r="BH13" t="s">
        <v>217</v>
      </c>
      <c r="BI13" s="157" t="s">
        <v>218</v>
      </c>
      <c r="BJ13" s="156" t="s">
        <v>226</v>
      </c>
      <c r="BK13" t="s">
        <v>219</v>
      </c>
      <c r="BL13" t="s">
        <v>220</v>
      </c>
      <c r="BM13" t="s">
        <v>221</v>
      </c>
      <c r="BN13" t="s">
        <v>237</v>
      </c>
      <c r="BO13">
        <v>2</v>
      </c>
      <c r="BP13" s="140">
        <v>0.18579545743171441</v>
      </c>
      <c r="BQ13" s="139">
        <v>14.714</v>
      </c>
      <c r="BR13" t="s">
        <v>228</v>
      </c>
      <c r="BS13">
        <v>0.23042416639152299</v>
      </c>
      <c r="BT13">
        <v>0.88</v>
      </c>
      <c r="BU13" t="s">
        <v>271</v>
      </c>
      <c r="BV13" t="s">
        <v>271</v>
      </c>
      <c r="BW13" s="163">
        <v>1.85</v>
      </c>
      <c r="BX13" t="s">
        <v>271</v>
      </c>
      <c r="BY13" t="s">
        <v>271</v>
      </c>
      <c r="BZ13" t="s">
        <v>272</v>
      </c>
      <c r="CA13" t="s">
        <v>273</v>
      </c>
      <c r="CB13">
        <v>14.7340054840089</v>
      </c>
      <c r="CC13" t="s">
        <v>274</v>
      </c>
      <c r="CD13" s="165">
        <v>0.27271370877299983</v>
      </c>
      <c r="CE13" t="s">
        <v>326</v>
      </c>
      <c r="CF13" t="s">
        <v>327</v>
      </c>
      <c r="CG13">
        <v>25</v>
      </c>
      <c r="CH13" t="s">
        <v>280</v>
      </c>
      <c r="CI13" t="s">
        <v>280</v>
      </c>
      <c r="CJ13" s="139">
        <v>31.0711919347705</v>
      </c>
      <c r="CK13" t="s">
        <v>281</v>
      </c>
      <c r="CL13" s="140">
        <v>0.63643490587646701</v>
      </c>
      <c r="CM13" s="140">
        <v>0.62058295020579701</v>
      </c>
      <c r="CN13" t="s">
        <v>282</v>
      </c>
      <c r="CO13">
        <v>4.1407746563944201</v>
      </c>
      <c r="CP13" t="s">
        <v>283</v>
      </c>
      <c r="CQ13">
        <v>0.1242232396918326</v>
      </c>
      <c r="CR13">
        <v>0.1242232396918326</v>
      </c>
      <c r="CS13" t="s">
        <v>284</v>
      </c>
      <c r="CT13" t="s">
        <v>167</v>
      </c>
      <c r="CU13" t="s">
        <v>285</v>
      </c>
      <c r="CV13" t="s">
        <v>286</v>
      </c>
      <c r="CW13" t="s">
        <v>280</v>
      </c>
      <c r="CX13" t="s">
        <v>280</v>
      </c>
      <c r="CY13" t="s">
        <v>287</v>
      </c>
      <c r="CZ13" t="s">
        <v>167</v>
      </c>
      <c r="DA13" t="s">
        <v>167</v>
      </c>
      <c r="DB13" t="s">
        <v>167</v>
      </c>
      <c r="DC13" t="s">
        <v>167</v>
      </c>
      <c r="DD13" t="s">
        <v>167</v>
      </c>
      <c r="DE13" t="s">
        <v>167</v>
      </c>
      <c r="DF13" t="s">
        <v>167</v>
      </c>
      <c r="DG13" s="166">
        <v>35</v>
      </c>
      <c r="DH13" t="s">
        <v>288</v>
      </c>
      <c r="DI13">
        <v>1</v>
      </c>
      <c r="DJ13" t="s">
        <v>289</v>
      </c>
      <c r="DK13">
        <v>17</v>
      </c>
      <c r="DL13" t="s">
        <v>290</v>
      </c>
      <c r="DM13" t="s">
        <v>290</v>
      </c>
      <c r="DN13" t="s">
        <v>291</v>
      </c>
      <c r="DO13">
        <v>38</v>
      </c>
      <c r="DP13" t="s">
        <v>290</v>
      </c>
      <c r="DQ13" t="s">
        <v>290</v>
      </c>
      <c r="DR13" t="s">
        <v>291</v>
      </c>
      <c r="DS13" t="s">
        <v>292</v>
      </c>
      <c r="DT13" t="s">
        <v>293</v>
      </c>
      <c r="DU13" t="s">
        <v>293</v>
      </c>
      <c r="DV13" t="s">
        <v>293</v>
      </c>
      <c r="DW13" s="138">
        <v>432.56244218316402</v>
      </c>
      <c r="DX13" t="s">
        <v>294</v>
      </c>
      <c r="DY13" s="138">
        <v>12.35892691952</v>
      </c>
      <c r="DZ13" t="s">
        <v>295</v>
      </c>
      <c r="EA13">
        <v>38.75</v>
      </c>
      <c r="EB13" t="s">
        <v>296</v>
      </c>
      <c r="EC13">
        <v>0.15</v>
      </c>
      <c r="ED13" t="s">
        <v>328</v>
      </c>
      <c r="EE13" t="s">
        <v>329</v>
      </c>
      <c r="EF13" t="s">
        <v>297</v>
      </c>
      <c r="EG13">
        <v>1.0271999999999999</v>
      </c>
      <c r="EH13" t="s">
        <v>290</v>
      </c>
      <c r="EI13" t="s">
        <v>290</v>
      </c>
      <c r="EJ13" t="s">
        <v>298</v>
      </c>
      <c r="EK13" t="s">
        <v>290</v>
      </c>
      <c r="EL13" t="s">
        <v>290</v>
      </c>
      <c r="EM13" t="s">
        <v>299</v>
      </c>
      <c r="EN13" t="s">
        <v>300</v>
      </c>
      <c r="EO13" t="s">
        <v>329</v>
      </c>
      <c r="EP13" t="s">
        <v>329</v>
      </c>
      <c r="EQ13" t="s">
        <v>329</v>
      </c>
      <c r="ER13" t="s">
        <v>329</v>
      </c>
      <c r="ES13" t="s">
        <v>167</v>
      </c>
      <c r="ET13" t="s">
        <v>307</v>
      </c>
      <c r="EU13" t="s">
        <v>308</v>
      </c>
      <c r="EV13" t="s">
        <v>167</v>
      </c>
      <c r="EW13" s="167">
        <v>1750</v>
      </c>
      <c r="EX13" t="s">
        <v>309</v>
      </c>
      <c r="EY13">
        <v>150</v>
      </c>
      <c r="EZ13">
        <v>150</v>
      </c>
      <c r="FA13" t="s">
        <v>310</v>
      </c>
      <c r="FB13" t="s">
        <v>310</v>
      </c>
      <c r="FC13" t="s">
        <v>310</v>
      </c>
      <c r="FD13" t="s">
        <v>310</v>
      </c>
      <c r="FE13">
        <v>7.7153552379410604</v>
      </c>
      <c r="FF13" s="164" t="s">
        <v>301</v>
      </c>
      <c r="FG13">
        <v>4.3313411584139594E-2</v>
      </c>
      <c r="FH13">
        <v>4.821299853872052E-2</v>
      </c>
      <c r="FI13">
        <v>842.93296604675402</v>
      </c>
      <c r="FJ13" s="164">
        <v>0</v>
      </c>
      <c r="FK13" s="164" t="s">
        <v>302</v>
      </c>
      <c r="FL13">
        <v>842.93296604675402</v>
      </c>
      <c r="FM13">
        <v>145.92409907828096</v>
      </c>
      <c r="FN13">
        <v>119.52424445996201</v>
      </c>
      <c r="FO13" s="170" t="s">
        <v>303</v>
      </c>
      <c r="FP13" t="s">
        <v>304</v>
      </c>
      <c r="FQ13" t="s">
        <v>305</v>
      </c>
      <c r="FR13" t="s">
        <v>305</v>
      </c>
      <c r="FS13" t="s">
        <v>305</v>
      </c>
      <c r="FT13">
        <v>1836.97662495289</v>
      </c>
      <c r="FU13">
        <v>177.89101305276995</v>
      </c>
      <c r="FV13">
        <v>176.50356411423991</v>
      </c>
      <c r="FW13">
        <v>4.7330681705668498</v>
      </c>
      <c r="FX13">
        <v>0.68866180754853001</v>
      </c>
      <c r="FY13">
        <v>0.5964790593980096</v>
      </c>
      <c r="FZ13">
        <v>3.1745227860741299</v>
      </c>
      <c r="GA13">
        <v>0.46794767891454025</v>
      </c>
      <c r="GB13">
        <v>0.40215525285376996</v>
      </c>
      <c r="GC13" t="s">
        <v>311</v>
      </c>
    </row>
    <row r="14" spans="1:185" ht="17">
      <c r="A14" s="149" t="s">
        <v>180</v>
      </c>
      <c r="B14" s="201" t="s">
        <v>181</v>
      </c>
      <c r="C14" s="149" t="s">
        <v>168</v>
      </c>
      <c r="D14" s="149" t="s">
        <v>182</v>
      </c>
      <c r="E14" s="149">
        <v>2020</v>
      </c>
      <c r="F14" s="149" t="s">
        <v>183</v>
      </c>
      <c r="G14" s="141">
        <v>39123.607635498047</v>
      </c>
      <c r="H14" s="149">
        <v>10.28</v>
      </c>
      <c r="I14" s="149">
        <v>10.28</v>
      </c>
      <c r="J14">
        <v>680.01894932926496</v>
      </c>
      <c r="K14">
        <v>118.88112166903306</v>
      </c>
      <c r="L14">
        <v>102.27569221495196</v>
      </c>
      <c r="M14" s="163" t="b">
        <v>0</v>
      </c>
      <c r="N14" s="163">
        <v>3</v>
      </c>
      <c r="O14" t="s">
        <v>321</v>
      </c>
      <c r="P14" t="s">
        <v>322</v>
      </c>
      <c r="Q14" s="163" t="b">
        <v>1</v>
      </c>
      <c r="R14" s="212" t="s">
        <v>325</v>
      </c>
      <c r="S14" s="163" t="b">
        <v>1</v>
      </c>
      <c r="T14" s="163" t="b">
        <v>0</v>
      </c>
      <c r="U14" s="163" t="s">
        <v>167</v>
      </c>
      <c r="V14" s="163" t="s">
        <v>167</v>
      </c>
      <c r="W14" s="199" t="s">
        <v>167</v>
      </c>
      <c r="X14" s="199" t="s">
        <v>167</v>
      </c>
      <c r="Y14" s="192" t="s">
        <v>184</v>
      </c>
      <c r="Z14" s="149" t="s">
        <v>183</v>
      </c>
      <c r="AA14" s="149" t="s">
        <v>192</v>
      </c>
      <c r="AB14" s="149" t="s">
        <v>193</v>
      </c>
      <c r="AC14" s="149">
        <v>4</v>
      </c>
      <c r="AD14" s="149">
        <v>5</v>
      </c>
      <c r="AE14" s="149">
        <v>65</v>
      </c>
      <c r="AF14" s="149">
        <v>77</v>
      </c>
      <c r="AG14" s="149">
        <v>29.01</v>
      </c>
      <c r="AH14" s="149">
        <v>29</v>
      </c>
      <c r="AI14" s="149" t="s">
        <v>194</v>
      </c>
      <c r="AJ14" s="149" t="s">
        <v>195</v>
      </c>
      <c r="AK14" s="150">
        <v>18.4404</v>
      </c>
      <c r="AL14" s="150">
        <v>-179.55500000000001</v>
      </c>
      <c r="AM14" s="150">
        <v>11.3</v>
      </c>
      <c r="AN14" s="151" t="s">
        <v>167</v>
      </c>
      <c r="AO14" s="151">
        <v>-1518</v>
      </c>
      <c r="AP14" s="151">
        <v>-1400</v>
      </c>
      <c r="AQ14" s="149" t="s">
        <v>196</v>
      </c>
      <c r="AR14" s="149" t="s">
        <v>190</v>
      </c>
      <c r="AS14" s="141">
        <v>39123.607635498047</v>
      </c>
      <c r="AT14" s="149" t="s">
        <v>206</v>
      </c>
      <c r="AU14" s="149">
        <v>10.28</v>
      </c>
      <c r="AV14" s="149">
        <v>10.28</v>
      </c>
      <c r="AW14" s="149" t="s">
        <v>207</v>
      </c>
      <c r="AX14" s="149" t="s">
        <v>208</v>
      </c>
      <c r="AY14" s="149" t="s">
        <v>212</v>
      </c>
      <c r="AZ14" s="149" t="s">
        <v>167</v>
      </c>
      <c r="BA14" s="149" t="s">
        <v>167</v>
      </c>
      <c r="BB14" s="149" t="s">
        <v>167</v>
      </c>
      <c r="BC14" s="149" t="s">
        <v>167</v>
      </c>
      <c r="BD14" s="149" t="s">
        <v>167</v>
      </c>
      <c r="BE14" s="149" t="s">
        <v>167</v>
      </c>
      <c r="BF14" s="149" t="s">
        <v>167</v>
      </c>
      <c r="BG14" s="149" t="s">
        <v>222</v>
      </c>
      <c r="BH14" s="149" t="s">
        <v>217</v>
      </c>
      <c r="BI14" s="155">
        <v>297</v>
      </c>
      <c r="BJ14" s="155">
        <v>3.1760000000000002</v>
      </c>
      <c r="BK14" s="149" t="s">
        <v>219</v>
      </c>
      <c r="BL14" s="149" t="s">
        <v>220</v>
      </c>
      <c r="BM14" s="149" t="s">
        <v>221</v>
      </c>
      <c r="BN14" s="149" t="s">
        <v>238</v>
      </c>
      <c r="BO14" s="149">
        <v>2</v>
      </c>
      <c r="BP14" s="160">
        <v>6.7062051908314046E-2</v>
      </c>
      <c r="BQ14" s="161">
        <v>15.365611162235799</v>
      </c>
      <c r="BR14" s="149" t="s">
        <v>228</v>
      </c>
      <c r="BS14" s="149">
        <v>0.242792739580516</v>
      </c>
      <c r="BT14">
        <v>0.88</v>
      </c>
      <c r="BU14" t="s">
        <v>271</v>
      </c>
      <c r="BV14" t="s">
        <v>271</v>
      </c>
      <c r="BW14" s="163">
        <v>1.85</v>
      </c>
      <c r="BX14" t="s">
        <v>271</v>
      </c>
      <c r="BY14" t="s">
        <v>271</v>
      </c>
      <c r="BZ14" t="s">
        <v>272</v>
      </c>
      <c r="CA14" t="s">
        <v>273</v>
      </c>
      <c r="CB14">
        <v>15.4749127958963</v>
      </c>
      <c r="CC14" t="s">
        <v>274</v>
      </c>
      <c r="CD14" s="165">
        <v>0.28037557447514949</v>
      </c>
      <c r="CE14" t="s">
        <v>326</v>
      </c>
      <c r="CF14" t="s">
        <v>327</v>
      </c>
      <c r="CG14">
        <v>25</v>
      </c>
      <c r="CH14" t="s">
        <v>280</v>
      </c>
      <c r="CI14" t="s">
        <v>280</v>
      </c>
      <c r="CJ14" s="139">
        <v>31.524967229433301</v>
      </c>
      <c r="CK14" t="s">
        <v>281</v>
      </c>
      <c r="CL14" s="140">
        <v>0.60921945379783105</v>
      </c>
      <c r="CM14" s="140">
        <v>0.55262011114709297</v>
      </c>
      <c r="CN14" t="s">
        <v>282</v>
      </c>
      <c r="CO14">
        <v>4.0367166214332197</v>
      </c>
      <c r="CP14" t="s">
        <v>283</v>
      </c>
      <c r="CQ14" s="149">
        <v>0.12110149864299659</v>
      </c>
      <c r="CR14" s="149">
        <v>0.12110149864299659</v>
      </c>
      <c r="CS14" t="s">
        <v>284</v>
      </c>
      <c r="CT14" t="s">
        <v>167</v>
      </c>
      <c r="CU14" t="s">
        <v>285</v>
      </c>
      <c r="CV14" t="s">
        <v>286</v>
      </c>
      <c r="CW14" t="s">
        <v>280</v>
      </c>
      <c r="CX14" t="s">
        <v>280</v>
      </c>
      <c r="CY14" t="s">
        <v>287</v>
      </c>
      <c r="CZ14" t="s">
        <v>167</v>
      </c>
      <c r="DA14" t="s">
        <v>167</v>
      </c>
      <c r="DB14" t="s">
        <v>167</v>
      </c>
      <c r="DC14" t="s">
        <v>167</v>
      </c>
      <c r="DD14" t="s">
        <v>167</v>
      </c>
      <c r="DE14" t="s">
        <v>167</v>
      </c>
      <c r="DF14" t="s">
        <v>167</v>
      </c>
      <c r="DG14" s="166">
        <v>35</v>
      </c>
      <c r="DH14" t="s">
        <v>288</v>
      </c>
      <c r="DI14">
        <v>1</v>
      </c>
      <c r="DJ14" t="s">
        <v>289</v>
      </c>
      <c r="DK14">
        <v>17</v>
      </c>
      <c r="DL14" t="s">
        <v>290</v>
      </c>
      <c r="DM14" t="s">
        <v>290</v>
      </c>
      <c r="DN14" t="s">
        <v>291</v>
      </c>
      <c r="DO14">
        <v>38</v>
      </c>
      <c r="DP14" t="s">
        <v>290</v>
      </c>
      <c r="DQ14" t="s">
        <v>290</v>
      </c>
      <c r="DR14" t="s">
        <v>291</v>
      </c>
      <c r="DS14" t="s">
        <v>292</v>
      </c>
      <c r="DT14" t="s">
        <v>293</v>
      </c>
      <c r="DU14" t="s">
        <v>293</v>
      </c>
      <c r="DV14" t="s">
        <v>293</v>
      </c>
      <c r="DW14" s="138">
        <v>432.56244218316402</v>
      </c>
      <c r="DX14" t="s">
        <v>294</v>
      </c>
      <c r="DY14" s="138">
        <v>12.358926919520099</v>
      </c>
      <c r="DZ14" t="s">
        <v>295</v>
      </c>
      <c r="EA14">
        <v>38.75</v>
      </c>
      <c r="EB14" t="s">
        <v>296</v>
      </c>
      <c r="EC14">
        <v>0.15</v>
      </c>
      <c r="ED14" t="s">
        <v>328</v>
      </c>
      <c r="EE14" t="s">
        <v>329</v>
      </c>
      <c r="EF14" t="s">
        <v>297</v>
      </c>
      <c r="EG14">
        <v>1.0271999999999999</v>
      </c>
      <c r="EH14" t="s">
        <v>290</v>
      </c>
      <c r="EI14" t="s">
        <v>290</v>
      </c>
      <c r="EJ14" t="s">
        <v>298</v>
      </c>
      <c r="EK14" t="s">
        <v>290</v>
      </c>
      <c r="EL14" t="s">
        <v>290</v>
      </c>
      <c r="EM14" t="s">
        <v>299</v>
      </c>
      <c r="EN14" t="s">
        <v>300</v>
      </c>
      <c r="EO14" t="s">
        <v>329</v>
      </c>
      <c r="EP14" t="s">
        <v>329</v>
      </c>
      <c r="EQ14" t="s">
        <v>329</v>
      </c>
      <c r="ER14" t="s">
        <v>329</v>
      </c>
      <c r="ES14" t="s">
        <v>167</v>
      </c>
      <c r="ET14" t="s">
        <v>307</v>
      </c>
      <c r="EU14" t="s">
        <v>308</v>
      </c>
      <c r="EV14" t="s">
        <v>167</v>
      </c>
      <c r="EW14" s="167">
        <v>1750</v>
      </c>
      <c r="EX14" t="s">
        <v>309</v>
      </c>
      <c r="EY14">
        <v>150</v>
      </c>
      <c r="EZ14">
        <v>150</v>
      </c>
      <c r="FA14" t="s">
        <v>310</v>
      </c>
      <c r="FB14" t="s">
        <v>310</v>
      </c>
      <c r="FC14" t="s">
        <v>310</v>
      </c>
      <c r="FD14" t="s">
        <v>310</v>
      </c>
      <c r="FE14">
        <v>7.8078545695298898</v>
      </c>
      <c r="FF14" s="164" t="s">
        <v>301</v>
      </c>
      <c r="FG14">
        <v>3.6262160489690665E-2</v>
      </c>
      <c r="FH14">
        <v>4.2319512816820115E-2</v>
      </c>
      <c r="FI14">
        <v>680.01894932926496</v>
      </c>
      <c r="FJ14" s="164">
        <v>0</v>
      </c>
      <c r="FK14" s="164" t="s">
        <v>302</v>
      </c>
      <c r="FL14">
        <v>680.01894932926496</v>
      </c>
      <c r="FM14">
        <v>118.88112166903306</v>
      </c>
      <c r="FN14">
        <v>102.27569221495196</v>
      </c>
      <c r="FO14" s="170" t="s">
        <v>303</v>
      </c>
      <c r="FP14" t="s">
        <v>304</v>
      </c>
      <c r="FQ14" t="s">
        <v>305</v>
      </c>
      <c r="FR14" t="s">
        <v>305</v>
      </c>
      <c r="FS14" t="s">
        <v>305</v>
      </c>
      <c r="FT14">
        <v>1851.0657860538699</v>
      </c>
      <c r="FU14" s="149">
        <v>179.24612832256003</v>
      </c>
      <c r="FV14" s="149">
        <v>193.53634154814995</v>
      </c>
      <c r="FW14">
        <v>5.9246935278075696</v>
      </c>
      <c r="FX14">
        <v>0.72283877061664015</v>
      </c>
      <c r="FY14">
        <v>0.73202023402767935</v>
      </c>
      <c r="FZ14">
        <v>3.9837494531462001</v>
      </c>
      <c r="GA14">
        <v>0.49425377382787961</v>
      </c>
      <c r="GB14">
        <v>0.4986392476048902</v>
      </c>
      <c r="GC14" t="s">
        <v>311</v>
      </c>
    </row>
    <row r="15" spans="1:185" ht="17">
      <c r="A15" t="s">
        <v>180</v>
      </c>
      <c r="B15" s="200" t="s">
        <v>181</v>
      </c>
      <c r="C15" t="s">
        <v>168</v>
      </c>
      <c r="D15" t="s">
        <v>182</v>
      </c>
      <c r="E15">
        <v>2020</v>
      </c>
      <c r="F15" t="s">
        <v>183</v>
      </c>
      <c r="G15" s="141">
        <v>39327.358245849609</v>
      </c>
      <c r="H15">
        <v>1.1299999999999999</v>
      </c>
      <c r="I15">
        <v>1.1299999999999999</v>
      </c>
      <c r="J15">
        <v>693.15282563782705</v>
      </c>
      <c r="K15">
        <v>109.45384893206597</v>
      </c>
      <c r="L15">
        <v>100.36391743509705</v>
      </c>
      <c r="M15" s="163" t="b">
        <v>0</v>
      </c>
      <c r="N15" s="163">
        <v>3</v>
      </c>
      <c r="O15" t="s">
        <v>321</v>
      </c>
      <c r="P15" t="s">
        <v>322</v>
      </c>
      <c r="Q15" s="163" t="b">
        <v>1</v>
      </c>
      <c r="R15" s="212" t="s">
        <v>325</v>
      </c>
      <c r="S15" s="163" t="b">
        <v>1</v>
      </c>
      <c r="T15" s="163" t="b">
        <v>0</v>
      </c>
      <c r="U15" s="163" t="s">
        <v>167</v>
      </c>
      <c r="V15" s="163" t="s">
        <v>167</v>
      </c>
      <c r="W15" s="199" t="s">
        <v>167</v>
      </c>
      <c r="X15" s="199" t="s">
        <v>167</v>
      </c>
      <c r="Y15" s="143" t="s">
        <v>184</v>
      </c>
      <c r="Z15" t="s">
        <v>183</v>
      </c>
      <c r="AA15" t="s">
        <v>192</v>
      </c>
      <c r="AB15" t="s">
        <v>193</v>
      </c>
      <c r="AC15">
        <v>4</v>
      </c>
      <c r="AD15">
        <v>6</v>
      </c>
      <c r="AE15">
        <v>25</v>
      </c>
      <c r="AF15">
        <v>27</v>
      </c>
      <c r="AG15">
        <v>30.06</v>
      </c>
      <c r="AH15">
        <v>30.076189041137695</v>
      </c>
      <c r="AI15" t="s">
        <v>194</v>
      </c>
      <c r="AJ15" t="s">
        <v>195</v>
      </c>
      <c r="AK15" s="147">
        <v>18.4404</v>
      </c>
      <c r="AL15" s="147">
        <v>-179.55500000000001</v>
      </c>
      <c r="AM15" s="147">
        <v>11.3</v>
      </c>
      <c r="AN15" s="148" t="s">
        <v>167</v>
      </c>
      <c r="AO15" s="148">
        <v>-1518</v>
      </c>
      <c r="AP15" s="148">
        <v>-1400</v>
      </c>
      <c r="AQ15" t="s">
        <v>196</v>
      </c>
      <c r="AR15" t="s">
        <v>190</v>
      </c>
      <c r="AS15" s="141">
        <v>39327.358245849609</v>
      </c>
      <c r="AT15" t="s">
        <v>206</v>
      </c>
      <c r="AU15">
        <v>1.1299999999999999</v>
      </c>
      <c r="AV15">
        <v>1.1299999999999999</v>
      </c>
      <c r="AW15" t="s">
        <v>207</v>
      </c>
      <c r="AX15" t="s">
        <v>208</v>
      </c>
      <c r="AY15" t="s">
        <v>212</v>
      </c>
      <c r="AZ15" t="s">
        <v>167</v>
      </c>
      <c r="BA15" t="s">
        <v>167</v>
      </c>
      <c r="BB15" t="s">
        <v>167</v>
      </c>
      <c r="BC15" t="s">
        <v>167</v>
      </c>
      <c r="BD15" t="s">
        <v>167</v>
      </c>
      <c r="BE15" t="s">
        <v>167</v>
      </c>
      <c r="BF15" t="s">
        <v>167</v>
      </c>
      <c r="BG15" t="s">
        <v>224</v>
      </c>
      <c r="BH15" t="s">
        <v>217</v>
      </c>
      <c r="BI15" s="157" t="s">
        <v>218</v>
      </c>
      <c r="BJ15" s="156" t="s">
        <v>226</v>
      </c>
      <c r="BK15" t="s">
        <v>219</v>
      </c>
      <c r="BL15" t="s">
        <v>220</v>
      </c>
      <c r="BM15" t="s">
        <v>221</v>
      </c>
      <c r="BN15" t="s">
        <v>239</v>
      </c>
      <c r="BO15">
        <v>2</v>
      </c>
      <c r="BP15" s="140">
        <v>0.12044767479109984</v>
      </c>
      <c r="BQ15" s="139">
        <v>15.063498821330001</v>
      </c>
      <c r="BR15" t="s">
        <v>228</v>
      </c>
      <c r="BS15">
        <v>0.231410993780505</v>
      </c>
      <c r="BT15">
        <v>0.88</v>
      </c>
      <c r="BU15" t="s">
        <v>271</v>
      </c>
      <c r="BV15" t="s">
        <v>271</v>
      </c>
      <c r="BW15" s="163">
        <v>1.85</v>
      </c>
      <c r="BX15" t="s">
        <v>271</v>
      </c>
      <c r="BY15" t="s">
        <v>271</v>
      </c>
      <c r="BZ15" t="s">
        <v>272</v>
      </c>
      <c r="CA15" t="s">
        <v>273</v>
      </c>
      <c r="CB15">
        <v>15.1325517651727</v>
      </c>
      <c r="CC15" t="s">
        <v>274</v>
      </c>
      <c r="CD15" s="165">
        <v>0.25999352080634974</v>
      </c>
      <c r="CE15" t="s">
        <v>326</v>
      </c>
      <c r="CF15" t="s">
        <v>327</v>
      </c>
      <c r="CG15">
        <v>25</v>
      </c>
      <c r="CH15" t="s">
        <v>280</v>
      </c>
      <c r="CI15" t="s">
        <v>280</v>
      </c>
      <c r="CJ15" s="139">
        <v>28.951180422793001</v>
      </c>
      <c r="CK15" t="s">
        <v>281</v>
      </c>
      <c r="CL15" s="140">
        <v>0.64647872664202699</v>
      </c>
      <c r="CM15" s="140">
        <v>0.58322469983979297</v>
      </c>
      <c r="CN15" t="s">
        <v>282</v>
      </c>
      <c r="CO15">
        <v>3.51055801497992</v>
      </c>
      <c r="CP15" t="s">
        <v>283</v>
      </c>
      <c r="CQ15">
        <v>0.10531674044939759</v>
      </c>
      <c r="CR15">
        <v>0.10531674044939759</v>
      </c>
      <c r="CS15" t="s">
        <v>284</v>
      </c>
      <c r="CT15" t="s">
        <v>167</v>
      </c>
      <c r="CU15" t="s">
        <v>285</v>
      </c>
      <c r="CV15" t="s">
        <v>286</v>
      </c>
      <c r="CW15" t="s">
        <v>280</v>
      </c>
      <c r="CX15" t="s">
        <v>280</v>
      </c>
      <c r="CY15" t="s">
        <v>287</v>
      </c>
      <c r="CZ15" t="s">
        <v>167</v>
      </c>
      <c r="DA15" t="s">
        <v>167</v>
      </c>
      <c r="DB15" t="s">
        <v>167</v>
      </c>
      <c r="DC15" t="s">
        <v>167</v>
      </c>
      <c r="DD15" t="s">
        <v>167</v>
      </c>
      <c r="DE15" t="s">
        <v>167</v>
      </c>
      <c r="DF15" t="s">
        <v>167</v>
      </c>
      <c r="DG15" s="166">
        <v>35</v>
      </c>
      <c r="DH15" t="s">
        <v>288</v>
      </c>
      <c r="DI15">
        <v>1</v>
      </c>
      <c r="DJ15" t="s">
        <v>289</v>
      </c>
      <c r="DK15">
        <v>17</v>
      </c>
      <c r="DL15" t="s">
        <v>290</v>
      </c>
      <c r="DM15" t="s">
        <v>290</v>
      </c>
      <c r="DN15" t="s">
        <v>291</v>
      </c>
      <c r="DO15">
        <v>38</v>
      </c>
      <c r="DP15" t="s">
        <v>290</v>
      </c>
      <c r="DQ15" t="s">
        <v>290</v>
      </c>
      <c r="DR15" t="s">
        <v>291</v>
      </c>
      <c r="DS15" t="s">
        <v>292</v>
      </c>
      <c r="DT15" t="s">
        <v>293</v>
      </c>
      <c r="DU15" t="s">
        <v>293</v>
      </c>
      <c r="DV15" t="s">
        <v>293</v>
      </c>
      <c r="DW15" s="138">
        <v>432.56244218316402</v>
      </c>
      <c r="DX15" t="s">
        <v>294</v>
      </c>
      <c r="DY15" s="138">
        <v>12.358926919520201</v>
      </c>
      <c r="DZ15" t="s">
        <v>295</v>
      </c>
      <c r="EA15">
        <v>38.75</v>
      </c>
      <c r="EB15" t="s">
        <v>296</v>
      </c>
      <c r="EC15">
        <v>0.15</v>
      </c>
      <c r="ED15" t="s">
        <v>328</v>
      </c>
      <c r="EE15" t="s">
        <v>329</v>
      </c>
      <c r="EF15" t="s">
        <v>297</v>
      </c>
      <c r="EG15">
        <v>1.0271999999999999</v>
      </c>
      <c r="EH15" t="s">
        <v>290</v>
      </c>
      <c r="EI15" t="s">
        <v>290</v>
      </c>
      <c r="EJ15" t="s">
        <v>298</v>
      </c>
      <c r="EK15" t="s">
        <v>290</v>
      </c>
      <c r="EL15" t="s">
        <v>290</v>
      </c>
      <c r="EM15" t="s">
        <v>299</v>
      </c>
      <c r="EN15" t="s">
        <v>300</v>
      </c>
      <c r="EO15" t="s">
        <v>329</v>
      </c>
      <c r="EP15" t="s">
        <v>329</v>
      </c>
      <c r="EQ15" t="s">
        <v>329</v>
      </c>
      <c r="ER15" t="s">
        <v>329</v>
      </c>
      <c r="ES15" t="s">
        <v>167</v>
      </c>
      <c r="ET15" t="s">
        <v>307</v>
      </c>
      <c r="EU15" t="s">
        <v>308</v>
      </c>
      <c r="EV15" t="s">
        <v>167</v>
      </c>
      <c r="EW15" s="167">
        <v>1750</v>
      </c>
      <c r="EX15" t="s">
        <v>309</v>
      </c>
      <c r="EY15">
        <v>150</v>
      </c>
      <c r="EZ15">
        <v>150</v>
      </c>
      <c r="FA15" t="s">
        <v>310</v>
      </c>
      <c r="FB15" t="s">
        <v>310</v>
      </c>
      <c r="FC15" t="s">
        <v>310</v>
      </c>
      <c r="FD15" t="s">
        <v>310</v>
      </c>
      <c r="FE15">
        <v>7.7942933112410104</v>
      </c>
      <c r="FF15" s="164" t="s">
        <v>301</v>
      </c>
      <c r="FG15">
        <v>3.990512007008995E-2</v>
      </c>
      <c r="FH15">
        <v>4.0882904574180756E-2</v>
      </c>
      <c r="FI15">
        <v>693.15282563782705</v>
      </c>
      <c r="FJ15" s="164">
        <v>0</v>
      </c>
      <c r="FK15" s="164" t="s">
        <v>302</v>
      </c>
      <c r="FL15">
        <v>693.15282563782705</v>
      </c>
      <c r="FM15">
        <v>109.45384893206597</v>
      </c>
      <c r="FN15">
        <v>100.36391743509705</v>
      </c>
      <c r="FO15" s="170" t="s">
        <v>303</v>
      </c>
      <c r="FP15" t="s">
        <v>304</v>
      </c>
      <c r="FQ15" t="s">
        <v>305</v>
      </c>
      <c r="FR15" t="s">
        <v>305</v>
      </c>
      <c r="FS15" t="s">
        <v>305</v>
      </c>
      <c r="FT15">
        <v>1835.93614692439</v>
      </c>
      <c r="FU15">
        <v>176.85752917567015</v>
      </c>
      <c r="FV15">
        <v>181.51262426097992</v>
      </c>
      <c r="FW15">
        <v>5.2160055387911299</v>
      </c>
      <c r="FX15">
        <v>0.6529143379147202</v>
      </c>
      <c r="FY15">
        <v>0.61279433246440007</v>
      </c>
      <c r="FZ15">
        <v>3.4751066128483501</v>
      </c>
      <c r="GA15">
        <v>0.44249124230098991</v>
      </c>
      <c r="GB15">
        <v>0.41216253488863019</v>
      </c>
      <c r="GC15" t="s">
        <v>311</v>
      </c>
    </row>
    <row r="16" spans="1:185" ht="17">
      <c r="A16" t="s">
        <v>180</v>
      </c>
      <c r="B16" s="200" t="s">
        <v>181</v>
      </c>
      <c r="C16" t="s">
        <v>168</v>
      </c>
      <c r="D16" t="s">
        <v>182</v>
      </c>
      <c r="E16">
        <v>2020</v>
      </c>
      <c r="F16" t="s">
        <v>183</v>
      </c>
      <c r="G16" s="141">
        <v>39958.087921142578</v>
      </c>
      <c r="H16">
        <v>2.25</v>
      </c>
      <c r="I16">
        <v>2.25</v>
      </c>
      <c r="J16">
        <v>743.93840527781799</v>
      </c>
      <c r="K16">
        <v>129.98580748442305</v>
      </c>
      <c r="L16">
        <v>104.31471748642798</v>
      </c>
      <c r="M16" s="163" t="b">
        <v>0</v>
      </c>
      <c r="N16" s="163">
        <v>3</v>
      </c>
      <c r="O16" t="s">
        <v>321</v>
      </c>
      <c r="P16" t="s">
        <v>322</v>
      </c>
      <c r="Q16" s="163" t="b">
        <v>1</v>
      </c>
      <c r="R16" s="212" t="s">
        <v>325</v>
      </c>
      <c r="S16" s="163" t="b">
        <v>1</v>
      </c>
      <c r="T16" s="163" t="b">
        <v>0</v>
      </c>
      <c r="U16" s="163" t="s">
        <v>167</v>
      </c>
      <c r="V16" s="163" t="s">
        <v>167</v>
      </c>
      <c r="W16" s="199" t="s">
        <v>167</v>
      </c>
      <c r="X16" s="199" t="s">
        <v>167</v>
      </c>
      <c r="Y16" s="143" t="s">
        <v>184</v>
      </c>
      <c r="Z16" t="s">
        <v>183</v>
      </c>
      <c r="AA16" t="s">
        <v>192</v>
      </c>
      <c r="AB16" t="s">
        <v>191</v>
      </c>
      <c r="AC16">
        <v>4</v>
      </c>
      <c r="AD16">
        <v>4</v>
      </c>
      <c r="AE16">
        <v>88</v>
      </c>
      <c r="AF16">
        <v>92</v>
      </c>
      <c r="AG16">
        <v>32.9</v>
      </c>
      <c r="AH16">
        <v>33.68</v>
      </c>
      <c r="AI16" t="s">
        <v>194</v>
      </c>
      <c r="AJ16" t="s">
        <v>195</v>
      </c>
      <c r="AK16" s="147">
        <v>18.4404</v>
      </c>
      <c r="AL16" s="147">
        <v>-179.55500000000001</v>
      </c>
      <c r="AM16" s="147">
        <v>11.3</v>
      </c>
      <c r="AN16" s="148" t="s">
        <v>167</v>
      </c>
      <c r="AO16" s="148">
        <v>-1518</v>
      </c>
      <c r="AP16" s="148">
        <v>-1400</v>
      </c>
      <c r="AQ16" t="s">
        <v>196</v>
      </c>
      <c r="AR16" t="s">
        <v>190</v>
      </c>
      <c r="AS16" s="141">
        <v>39958.087921142578</v>
      </c>
      <c r="AT16" t="s">
        <v>206</v>
      </c>
      <c r="AU16">
        <v>2.25</v>
      </c>
      <c r="AV16">
        <v>2.25</v>
      </c>
      <c r="AW16" t="s">
        <v>207</v>
      </c>
      <c r="AX16" t="s">
        <v>208</v>
      </c>
      <c r="AY16" t="s">
        <v>212</v>
      </c>
      <c r="AZ16" t="s">
        <v>167</v>
      </c>
      <c r="BA16" t="s">
        <v>167</v>
      </c>
      <c r="BB16" t="s">
        <v>167</v>
      </c>
      <c r="BC16" t="s">
        <v>167</v>
      </c>
      <c r="BD16" t="s">
        <v>167</v>
      </c>
      <c r="BE16" t="s">
        <v>167</v>
      </c>
      <c r="BF16" t="s">
        <v>167</v>
      </c>
      <c r="BG16" t="s">
        <v>222</v>
      </c>
      <c r="BH16" t="s">
        <v>217</v>
      </c>
      <c r="BI16" s="157">
        <v>303</v>
      </c>
      <c r="BJ16" s="157">
        <v>3.1219999999999999</v>
      </c>
      <c r="BK16" t="s">
        <v>219</v>
      </c>
      <c r="BL16" t="s">
        <v>220</v>
      </c>
      <c r="BM16" t="s">
        <v>221</v>
      </c>
      <c r="BN16" t="s">
        <v>240</v>
      </c>
      <c r="BO16">
        <v>2</v>
      </c>
      <c r="BP16" s="140">
        <v>0.17980846078171095</v>
      </c>
      <c r="BQ16" s="139">
        <v>15.114143020923301</v>
      </c>
      <c r="BR16" t="s">
        <v>228</v>
      </c>
      <c r="BS16">
        <v>0.24217459745852801</v>
      </c>
      <c r="BT16">
        <v>0.88</v>
      </c>
      <c r="BU16" t="s">
        <v>271</v>
      </c>
      <c r="BV16" t="s">
        <v>271</v>
      </c>
      <c r="BW16" s="163">
        <v>1.85</v>
      </c>
      <c r="BX16" t="s">
        <v>271</v>
      </c>
      <c r="BY16" t="s">
        <v>271</v>
      </c>
      <c r="BZ16" t="s">
        <v>272</v>
      </c>
      <c r="CA16" t="s">
        <v>273</v>
      </c>
      <c r="CB16">
        <v>15.2010917563086</v>
      </c>
      <c r="CC16" t="s">
        <v>274</v>
      </c>
      <c r="CD16" s="165">
        <v>0.27213260997680067</v>
      </c>
      <c r="CE16" t="s">
        <v>326</v>
      </c>
      <c r="CF16" t="s">
        <v>327</v>
      </c>
      <c r="CG16">
        <v>25</v>
      </c>
      <c r="CH16" t="s">
        <v>280</v>
      </c>
      <c r="CI16" t="s">
        <v>280</v>
      </c>
      <c r="CJ16" s="139">
        <v>32.010918748839302</v>
      </c>
      <c r="CK16" t="s">
        <v>281</v>
      </c>
      <c r="CL16" s="140">
        <v>0.59908826191437803</v>
      </c>
      <c r="CM16" s="140">
        <v>0.61500256129666298</v>
      </c>
      <c r="CN16" t="s">
        <v>282</v>
      </c>
      <c r="CO16">
        <v>4.2456543477265596</v>
      </c>
      <c r="CP16" t="s">
        <v>283</v>
      </c>
      <c r="CQ16">
        <v>0.12736963043179678</v>
      </c>
      <c r="CR16">
        <v>0.12736963043179678</v>
      </c>
      <c r="CS16" t="s">
        <v>284</v>
      </c>
      <c r="CT16" t="s">
        <v>167</v>
      </c>
      <c r="CU16" t="s">
        <v>285</v>
      </c>
      <c r="CV16" t="s">
        <v>286</v>
      </c>
      <c r="CW16" t="s">
        <v>280</v>
      </c>
      <c r="CX16" t="s">
        <v>280</v>
      </c>
      <c r="CY16" t="s">
        <v>287</v>
      </c>
      <c r="CZ16" t="s">
        <v>167</v>
      </c>
      <c r="DA16" t="s">
        <v>167</v>
      </c>
      <c r="DB16" t="s">
        <v>167</v>
      </c>
      <c r="DC16" t="s">
        <v>167</v>
      </c>
      <c r="DD16" t="s">
        <v>167</v>
      </c>
      <c r="DE16" t="s">
        <v>167</v>
      </c>
      <c r="DF16" t="s">
        <v>167</v>
      </c>
      <c r="DG16" s="166">
        <v>35</v>
      </c>
      <c r="DH16" t="s">
        <v>288</v>
      </c>
      <c r="DI16">
        <v>1</v>
      </c>
      <c r="DJ16" t="s">
        <v>289</v>
      </c>
      <c r="DK16">
        <v>17</v>
      </c>
      <c r="DL16" t="s">
        <v>290</v>
      </c>
      <c r="DM16" t="s">
        <v>290</v>
      </c>
      <c r="DN16" t="s">
        <v>291</v>
      </c>
      <c r="DO16">
        <v>38</v>
      </c>
      <c r="DP16" t="s">
        <v>290</v>
      </c>
      <c r="DQ16" t="s">
        <v>290</v>
      </c>
      <c r="DR16" t="s">
        <v>291</v>
      </c>
      <c r="DS16" t="s">
        <v>292</v>
      </c>
      <c r="DT16" t="s">
        <v>293</v>
      </c>
      <c r="DU16" t="s">
        <v>293</v>
      </c>
      <c r="DV16" t="s">
        <v>293</v>
      </c>
      <c r="DW16" s="138">
        <v>432.56244218316402</v>
      </c>
      <c r="DX16" t="s">
        <v>294</v>
      </c>
      <c r="DY16" s="138">
        <v>12.3589269195203</v>
      </c>
      <c r="DZ16" t="s">
        <v>295</v>
      </c>
      <c r="EA16">
        <v>38.75</v>
      </c>
      <c r="EB16" t="s">
        <v>296</v>
      </c>
      <c r="EC16">
        <v>0.15</v>
      </c>
      <c r="ED16" t="s">
        <v>328</v>
      </c>
      <c r="EE16" t="s">
        <v>329</v>
      </c>
      <c r="EF16" t="s">
        <v>297</v>
      </c>
      <c r="EG16">
        <v>1.0271999999999999</v>
      </c>
      <c r="EH16" t="s">
        <v>290</v>
      </c>
      <c r="EI16" t="s">
        <v>290</v>
      </c>
      <c r="EJ16" t="s">
        <v>298</v>
      </c>
      <c r="EK16" t="s">
        <v>290</v>
      </c>
      <c r="EL16" t="s">
        <v>290</v>
      </c>
      <c r="EM16" t="s">
        <v>299</v>
      </c>
      <c r="EN16" t="s">
        <v>300</v>
      </c>
      <c r="EO16" t="s">
        <v>329</v>
      </c>
      <c r="EP16" t="s">
        <v>329</v>
      </c>
      <c r="EQ16" t="s">
        <v>329</v>
      </c>
      <c r="ER16" t="s">
        <v>329</v>
      </c>
      <c r="ES16" t="s">
        <v>167</v>
      </c>
      <c r="ET16" t="s">
        <v>307</v>
      </c>
      <c r="EU16" t="s">
        <v>308</v>
      </c>
      <c r="EV16" t="s">
        <v>167</v>
      </c>
      <c r="EW16" s="167">
        <v>1750</v>
      </c>
      <c r="EX16" t="s">
        <v>309</v>
      </c>
      <c r="EY16">
        <v>150</v>
      </c>
      <c r="EZ16">
        <v>150</v>
      </c>
      <c r="FA16" t="s">
        <v>310</v>
      </c>
      <c r="FB16" t="s">
        <v>310</v>
      </c>
      <c r="FC16" t="s">
        <v>310</v>
      </c>
      <c r="FD16" t="s">
        <v>310</v>
      </c>
      <c r="FE16">
        <v>7.7679438339295697</v>
      </c>
      <c r="FF16" s="164" t="s">
        <v>301</v>
      </c>
      <c r="FG16">
        <v>3.9951483476320604E-2</v>
      </c>
      <c r="FH16">
        <v>4.1024163902629418E-2</v>
      </c>
      <c r="FI16">
        <v>743.93840527781799</v>
      </c>
      <c r="FJ16" s="164">
        <v>0</v>
      </c>
      <c r="FK16" s="164" t="s">
        <v>302</v>
      </c>
      <c r="FL16">
        <v>743.93840527781799</v>
      </c>
      <c r="FM16">
        <v>129.98580748442305</v>
      </c>
      <c r="FN16">
        <v>104.31471748642798</v>
      </c>
      <c r="FO16" s="170" t="s">
        <v>303</v>
      </c>
      <c r="FP16" t="s">
        <v>304</v>
      </c>
      <c r="FQ16" t="s">
        <v>305</v>
      </c>
      <c r="FR16" t="s">
        <v>305</v>
      </c>
      <c r="FS16" t="s">
        <v>305</v>
      </c>
      <c r="FT16">
        <v>1836.6064006762599</v>
      </c>
      <c r="FU16">
        <v>196.29170855182019</v>
      </c>
      <c r="FV16">
        <v>175.5175300828198</v>
      </c>
      <c r="FW16">
        <v>5.4956538786342497</v>
      </c>
      <c r="FX16">
        <v>0.74264285189248991</v>
      </c>
      <c r="FY16">
        <v>0.61393001730453989</v>
      </c>
      <c r="FZ16">
        <v>3.6990971086178299</v>
      </c>
      <c r="GA16">
        <v>0.50082918712349977</v>
      </c>
      <c r="GB16">
        <v>0.41980194948123994</v>
      </c>
      <c r="GC16" t="s">
        <v>311</v>
      </c>
    </row>
    <row r="17" spans="1:185" ht="17">
      <c r="A17" t="s">
        <v>180</v>
      </c>
      <c r="B17" s="200" t="s">
        <v>181</v>
      </c>
      <c r="C17" t="s">
        <v>168</v>
      </c>
      <c r="D17" t="s">
        <v>182</v>
      </c>
      <c r="E17">
        <v>2020</v>
      </c>
      <c r="F17" t="s">
        <v>183</v>
      </c>
      <c r="G17" s="141">
        <v>40000.175476074219</v>
      </c>
      <c r="H17">
        <v>0.76</v>
      </c>
      <c r="I17">
        <v>0.76</v>
      </c>
      <c r="J17">
        <v>737.44880199720603</v>
      </c>
      <c r="K17">
        <v>112.52734028506893</v>
      </c>
      <c r="L17">
        <v>103.82687834771207</v>
      </c>
      <c r="M17" s="163" t="b">
        <v>0</v>
      </c>
      <c r="N17" s="163">
        <v>3</v>
      </c>
      <c r="O17" t="s">
        <v>321</v>
      </c>
      <c r="P17" t="s">
        <v>322</v>
      </c>
      <c r="Q17" s="163" t="b">
        <v>1</v>
      </c>
      <c r="R17" s="212" t="s">
        <v>325</v>
      </c>
      <c r="S17" s="163" t="b">
        <v>1</v>
      </c>
      <c r="T17" s="163" t="b">
        <v>0</v>
      </c>
      <c r="U17" s="163" t="s">
        <v>167</v>
      </c>
      <c r="V17" s="163" t="s">
        <v>167</v>
      </c>
      <c r="W17" s="199" t="s">
        <v>167</v>
      </c>
      <c r="X17" s="199" t="s">
        <v>167</v>
      </c>
      <c r="Y17" s="143" t="s">
        <v>184</v>
      </c>
      <c r="Z17" t="s">
        <v>183</v>
      </c>
      <c r="AA17" t="s">
        <v>192</v>
      </c>
      <c r="AB17" t="s">
        <v>191</v>
      </c>
      <c r="AC17">
        <v>4</v>
      </c>
      <c r="AD17">
        <v>4</v>
      </c>
      <c r="AE17">
        <v>140</v>
      </c>
      <c r="AF17">
        <v>142</v>
      </c>
      <c r="AG17">
        <v>33.409999999999997</v>
      </c>
      <c r="AH17">
        <v>34.19</v>
      </c>
      <c r="AI17" t="s">
        <v>194</v>
      </c>
      <c r="AJ17" t="s">
        <v>195</v>
      </c>
      <c r="AK17" s="147">
        <v>18.4404</v>
      </c>
      <c r="AL17" s="147">
        <v>-179.55500000000001</v>
      </c>
      <c r="AM17" s="147">
        <v>11.3</v>
      </c>
      <c r="AN17" s="148" t="s">
        <v>167</v>
      </c>
      <c r="AO17" s="148">
        <v>-1518</v>
      </c>
      <c r="AP17" s="148">
        <v>-1400</v>
      </c>
      <c r="AQ17" t="s">
        <v>196</v>
      </c>
      <c r="AR17" t="s">
        <v>190</v>
      </c>
      <c r="AS17" s="141">
        <v>40000.175476074219</v>
      </c>
      <c r="AT17" t="s">
        <v>206</v>
      </c>
      <c r="AU17">
        <v>0.76</v>
      </c>
      <c r="AV17">
        <v>0.76</v>
      </c>
      <c r="AW17" t="s">
        <v>207</v>
      </c>
      <c r="AX17" t="s">
        <v>208</v>
      </c>
      <c r="AY17" t="s">
        <v>212</v>
      </c>
      <c r="AZ17" t="s">
        <v>167</v>
      </c>
      <c r="BA17" t="s">
        <v>167</v>
      </c>
      <c r="BB17" t="s">
        <v>167</v>
      </c>
      <c r="BC17" t="s">
        <v>167</v>
      </c>
      <c r="BD17" t="s">
        <v>167</v>
      </c>
      <c r="BE17" t="s">
        <v>167</v>
      </c>
      <c r="BF17" t="s">
        <v>167</v>
      </c>
      <c r="BG17" t="s">
        <v>222</v>
      </c>
      <c r="BH17" t="s">
        <v>217</v>
      </c>
      <c r="BI17" s="157">
        <v>296</v>
      </c>
      <c r="BJ17" s="157">
        <v>2.996</v>
      </c>
      <c r="BK17" t="s">
        <v>219</v>
      </c>
      <c r="BL17" t="s">
        <v>220</v>
      </c>
      <c r="BM17" t="s">
        <v>221</v>
      </c>
      <c r="BN17" t="s">
        <v>241</v>
      </c>
      <c r="BO17">
        <v>2</v>
      </c>
      <c r="BP17" s="140">
        <v>2.5791316004335485E-2</v>
      </c>
      <c r="BQ17" s="139">
        <v>15.183987882513801</v>
      </c>
      <c r="BR17" t="s">
        <v>228</v>
      </c>
      <c r="BS17">
        <v>0.24753033540988401</v>
      </c>
      <c r="BT17">
        <v>0.88</v>
      </c>
      <c r="BU17" t="s">
        <v>271</v>
      </c>
      <c r="BV17" t="s">
        <v>271</v>
      </c>
      <c r="BW17" s="163">
        <v>1.85</v>
      </c>
      <c r="BX17" t="s">
        <v>271</v>
      </c>
      <c r="BY17" t="s">
        <v>271</v>
      </c>
      <c r="BZ17" t="s">
        <v>272</v>
      </c>
      <c r="CA17" t="s">
        <v>273</v>
      </c>
      <c r="CB17">
        <v>15.276287134569101</v>
      </c>
      <c r="CC17" t="s">
        <v>274</v>
      </c>
      <c r="CD17" s="165">
        <v>0.25789196168959982</v>
      </c>
      <c r="CE17" t="s">
        <v>326</v>
      </c>
      <c r="CF17" t="s">
        <v>327</v>
      </c>
      <c r="CG17">
        <v>25</v>
      </c>
      <c r="CH17" t="s">
        <v>280</v>
      </c>
      <c r="CI17" t="s">
        <v>280</v>
      </c>
      <c r="CJ17" s="139">
        <v>32.278317504693902</v>
      </c>
      <c r="CK17" t="s">
        <v>281</v>
      </c>
      <c r="CL17" s="140">
        <v>0.59954885582301298</v>
      </c>
      <c r="CM17" s="140">
        <v>0.57399083552223795</v>
      </c>
      <c r="CN17" t="s">
        <v>282</v>
      </c>
      <c r="CO17">
        <v>4.2950698803647498</v>
      </c>
      <c r="CP17" t="s">
        <v>283</v>
      </c>
      <c r="CQ17">
        <v>0.1288520964109425</v>
      </c>
      <c r="CR17">
        <v>0.1288520964109425</v>
      </c>
      <c r="CS17" t="s">
        <v>284</v>
      </c>
      <c r="CT17" t="s">
        <v>167</v>
      </c>
      <c r="CU17" t="s">
        <v>285</v>
      </c>
      <c r="CV17" t="s">
        <v>286</v>
      </c>
      <c r="CW17" t="s">
        <v>280</v>
      </c>
      <c r="CX17" t="s">
        <v>280</v>
      </c>
      <c r="CY17" t="s">
        <v>287</v>
      </c>
      <c r="CZ17" t="s">
        <v>167</v>
      </c>
      <c r="DA17" t="s">
        <v>167</v>
      </c>
      <c r="DB17" t="s">
        <v>167</v>
      </c>
      <c r="DC17" t="s">
        <v>167</v>
      </c>
      <c r="DD17" t="s">
        <v>167</v>
      </c>
      <c r="DE17" t="s">
        <v>167</v>
      </c>
      <c r="DF17" t="s">
        <v>167</v>
      </c>
      <c r="DG17" s="166">
        <v>35</v>
      </c>
      <c r="DH17" t="s">
        <v>288</v>
      </c>
      <c r="DI17">
        <v>1</v>
      </c>
      <c r="DJ17" t="s">
        <v>289</v>
      </c>
      <c r="DK17">
        <v>17</v>
      </c>
      <c r="DL17" t="s">
        <v>290</v>
      </c>
      <c r="DM17" t="s">
        <v>290</v>
      </c>
      <c r="DN17" t="s">
        <v>291</v>
      </c>
      <c r="DO17">
        <v>38</v>
      </c>
      <c r="DP17" t="s">
        <v>290</v>
      </c>
      <c r="DQ17" t="s">
        <v>290</v>
      </c>
      <c r="DR17" t="s">
        <v>291</v>
      </c>
      <c r="DS17" t="s">
        <v>292</v>
      </c>
      <c r="DT17" t="s">
        <v>293</v>
      </c>
      <c r="DU17" t="s">
        <v>293</v>
      </c>
      <c r="DV17" t="s">
        <v>293</v>
      </c>
      <c r="DW17" s="138">
        <v>432.56244218316402</v>
      </c>
      <c r="DX17" t="s">
        <v>294</v>
      </c>
      <c r="DY17" s="138">
        <v>12.358926919520499</v>
      </c>
      <c r="DZ17" t="s">
        <v>295</v>
      </c>
      <c r="EA17">
        <v>38.75</v>
      </c>
      <c r="EB17" t="s">
        <v>296</v>
      </c>
      <c r="EC17">
        <v>0.15</v>
      </c>
      <c r="ED17" t="s">
        <v>328</v>
      </c>
      <c r="EE17" t="s">
        <v>329</v>
      </c>
      <c r="EF17" t="s">
        <v>297</v>
      </c>
      <c r="EG17">
        <v>1.0271999999999999</v>
      </c>
      <c r="EH17" t="s">
        <v>290</v>
      </c>
      <c r="EI17" t="s">
        <v>290</v>
      </c>
      <c r="EJ17" t="s">
        <v>298</v>
      </c>
      <c r="EK17" t="s">
        <v>290</v>
      </c>
      <c r="EL17" t="s">
        <v>290</v>
      </c>
      <c r="EM17" t="s">
        <v>299</v>
      </c>
      <c r="EN17" t="s">
        <v>300</v>
      </c>
      <c r="EO17" t="s">
        <v>329</v>
      </c>
      <c r="EP17" t="s">
        <v>329</v>
      </c>
      <c r="EQ17" t="s">
        <v>329</v>
      </c>
      <c r="ER17" t="s">
        <v>329</v>
      </c>
      <c r="ES17" t="s">
        <v>167</v>
      </c>
      <c r="ET17" t="s">
        <v>307</v>
      </c>
      <c r="EU17" t="s">
        <v>308</v>
      </c>
      <c r="EV17" t="s">
        <v>167</v>
      </c>
      <c r="EW17" s="167">
        <v>1750</v>
      </c>
      <c r="EX17" t="s">
        <v>309</v>
      </c>
      <c r="EY17">
        <v>150</v>
      </c>
      <c r="EZ17">
        <v>150</v>
      </c>
      <c r="FA17" t="s">
        <v>310</v>
      </c>
      <c r="FB17" t="s">
        <v>310</v>
      </c>
      <c r="FC17" t="s">
        <v>310</v>
      </c>
      <c r="FD17" t="s">
        <v>310</v>
      </c>
      <c r="FE17">
        <v>7.7730019888617097</v>
      </c>
      <c r="FF17" s="164" t="s">
        <v>301</v>
      </c>
      <c r="FG17">
        <v>3.8210439149560571E-2</v>
      </c>
      <c r="FH17">
        <v>4.1289371125979635E-2</v>
      </c>
      <c r="FI17">
        <v>737.44880199720603</v>
      </c>
      <c r="FJ17" s="164">
        <v>0</v>
      </c>
      <c r="FK17" s="164" t="s">
        <v>302</v>
      </c>
      <c r="FL17">
        <v>737.44880199720603</v>
      </c>
      <c r="FM17">
        <v>112.52734028506893</v>
      </c>
      <c r="FN17">
        <v>103.82687834771207</v>
      </c>
      <c r="FO17" s="170" t="s">
        <v>303</v>
      </c>
      <c r="FP17" t="s">
        <v>304</v>
      </c>
      <c r="FQ17" t="s">
        <v>305</v>
      </c>
      <c r="FR17" t="s">
        <v>305</v>
      </c>
      <c r="FS17" t="s">
        <v>305</v>
      </c>
      <c r="FT17">
        <v>1846.3191467602901</v>
      </c>
      <c r="FU17">
        <v>187.23668789489989</v>
      </c>
      <c r="FV17">
        <v>176.96789675152013</v>
      </c>
      <c r="FW17">
        <v>5.6368294123851799</v>
      </c>
      <c r="FX17">
        <v>0.74182360023038996</v>
      </c>
      <c r="FY17">
        <v>0.64990612424598027</v>
      </c>
      <c r="FZ17">
        <v>3.7982452164498999</v>
      </c>
      <c r="GA17">
        <v>0.50691976021991048</v>
      </c>
      <c r="GB17">
        <v>0.44336567914914982</v>
      </c>
      <c r="GC17" t="s">
        <v>311</v>
      </c>
    </row>
    <row r="18" spans="1:185" ht="17">
      <c r="A18" t="s">
        <v>180</v>
      </c>
      <c r="B18" s="200" t="s">
        <v>181</v>
      </c>
      <c r="C18" t="s">
        <v>168</v>
      </c>
      <c r="D18" t="s">
        <v>182</v>
      </c>
      <c r="E18">
        <v>2020</v>
      </c>
      <c r="F18" t="s">
        <v>183</v>
      </c>
      <c r="G18" s="141">
        <v>40031.204223632812</v>
      </c>
      <c r="H18">
        <v>2.1</v>
      </c>
      <c r="I18">
        <v>2.1</v>
      </c>
      <c r="J18">
        <v>810.52313965418</v>
      </c>
      <c r="K18">
        <v>135.58687430273903</v>
      </c>
      <c r="L18">
        <v>122.23586676878597</v>
      </c>
      <c r="M18" s="163" t="b">
        <v>0</v>
      </c>
      <c r="N18" s="163">
        <v>3</v>
      </c>
      <c r="O18" t="s">
        <v>321</v>
      </c>
      <c r="P18" t="s">
        <v>322</v>
      </c>
      <c r="Q18" s="163" t="b">
        <v>1</v>
      </c>
      <c r="R18" s="212" t="s">
        <v>325</v>
      </c>
      <c r="S18" s="163" t="b">
        <v>1</v>
      </c>
      <c r="T18" s="163" t="b">
        <v>0</v>
      </c>
      <c r="U18" s="163" t="s">
        <v>167</v>
      </c>
      <c r="V18" s="163" t="s">
        <v>167</v>
      </c>
      <c r="W18" s="199" t="s">
        <v>167</v>
      </c>
      <c r="X18" s="199" t="s">
        <v>167</v>
      </c>
      <c r="Y18" s="143" t="s">
        <v>184</v>
      </c>
      <c r="Z18" t="s">
        <v>183</v>
      </c>
      <c r="AA18" t="s">
        <v>192</v>
      </c>
      <c r="AB18" t="s">
        <v>191</v>
      </c>
      <c r="AC18">
        <v>4</v>
      </c>
      <c r="AD18">
        <v>5</v>
      </c>
      <c r="AE18">
        <v>30</v>
      </c>
      <c r="AF18">
        <v>32</v>
      </c>
      <c r="AG18">
        <v>33.81</v>
      </c>
      <c r="AH18">
        <v>34.590000000000003</v>
      </c>
      <c r="AI18" t="s">
        <v>194</v>
      </c>
      <c r="AJ18" t="s">
        <v>195</v>
      </c>
      <c r="AK18" s="147">
        <v>18.4404</v>
      </c>
      <c r="AL18" s="147">
        <v>-179.55500000000001</v>
      </c>
      <c r="AM18" s="147">
        <v>11.3</v>
      </c>
      <c r="AN18" s="148" t="s">
        <v>167</v>
      </c>
      <c r="AO18" s="148">
        <v>-1518</v>
      </c>
      <c r="AP18" s="148">
        <v>-1400</v>
      </c>
      <c r="AQ18" t="s">
        <v>196</v>
      </c>
      <c r="AR18" t="s">
        <v>190</v>
      </c>
      <c r="AS18" s="141">
        <v>40031.204223632812</v>
      </c>
      <c r="AT18" t="s">
        <v>206</v>
      </c>
      <c r="AU18">
        <v>2.1</v>
      </c>
      <c r="AV18">
        <v>2.1</v>
      </c>
      <c r="AW18" t="s">
        <v>207</v>
      </c>
      <c r="AX18" t="s">
        <v>208</v>
      </c>
      <c r="AY18" t="s">
        <v>212</v>
      </c>
      <c r="AZ18" t="s">
        <v>167</v>
      </c>
      <c r="BA18" t="s">
        <v>167</v>
      </c>
      <c r="BB18" t="s">
        <v>167</v>
      </c>
      <c r="BC18" t="s">
        <v>167</v>
      </c>
      <c r="BD18" t="s">
        <v>167</v>
      </c>
      <c r="BE18" t="s">
        <v>167</v>
      </c>
      <c r="BF18" t="s">
        <v>167</v>
      </c>
      <c r="BG18" t="s">
        <v>222</v>
      </c>
      <c r="BH18" t="s">
        <v>217</v>
      </c>
      <c r="BI18" s="157">
        <v>298</v>
      </c>
      <c r="BJ18" s="157">
        <v>2.9969999999999999</v>
      </c>
      <c r="BK18" t="s">
        <v>219</v>
      </c>
      <c r="BL18" t="s">
        <v>220</v>
      </c>
      <c r="BM18" t="s">
        <v>221</v>
      </c>
      <c r="BN18" t="s">
        <v>242</v>
      </c>
      <c r="BO18">
        <v>2</v>
      </c>
      <c r="BP18" s="140">
        <v>4.2764023403554674E-2</v>
      </c>
      <c r="BQ18" s="139">
        <v>14.903625924380499</v>
      </c>
      <c r="BR18" t="s">
        <v>228</v>
      </c>
      <c r="BS18">
        <v>0.24704139021315</v>
      </c>
      <c r="BT18">
        <v>0.88</v>
      </c>
      <c r="BU18" t="s">
        <v>271</v>
      </c>
      <c r="BV18" t="s">
        <v>271</v>
      </c>
      <c r="BW18" s="163">
        <v>1.85</v>
      </c>
      <c r="BX18" t="s">
        <v>271</v>
      </c>
      <c r="BY18" t="s">
        <v>271</v>
      </c>
      <c r="BZ18" t="s">
        <v>272</v>
      </c>
      <c r="CA18" t="s">
        <v>273</v>
      </c>
      <c r="CB18">
        <v>14.9496759377865</v>
      </c>
      <c r="CC18" t="s">
        <v>274</v>
      </c>
      <c r="CD18" s="165">
        <v>0.26194044084619961</v>
      </c>
      <c r="CE18" t="s">
        <v>326</v>
      </c>
      <c r="CF18" t="s">
        <v>327</v>
      </c>
      <c r="CG18">
        <v>25</v>
      </c>
      <c r="CH18" t="s">
        <v>280</v>
      </c>
      <c r="CI18" t="s">
        <v>280</v>
      </c>
      <c r="CJ18" s="139">
        <v>32.0141790901205</v>
      </c>
      <c r="CK18" t="s">
        <v>281</v>
      </c>
      <c r="CL18" s="140">
        <v>0.57254779335739803</v>
      </c>
      <c r="CM18" s="140">
        <v>0.60700380575504898</v>
      </c>
      <c r="CN18" t="s">
        <v>282</v>
      </c>
      <c r="CO18">
        <v>4.3237229613521304</v>
      </c>
      <c r="CP18" t="s">
        <v>283</v>
      </c>
      <c r="CQ18">
        <v>0.12971168884056392</v>
      </c>
      <c r="CR18">
        <v>0.12971168884056392</v>
      </c>
      <c r="CS18" t="s">
        <v>284</v>
      </c>
      <c r="CT18" t="s">
        <v>167</v>
      </c>
      <c r="CU18" t="s">
        <v>285</v>
      </c>
      <c r="CV18" t="s">
        <v>286</v>
      </c>
      <c r="CW18" t="s">
        <v>280</v>
      </c>
      <c r="CX18" t="s">
        <v>280</v>
      </c>
      <c r="CY18" t="s">
        <v>287</v>
      </c>
      <c r="CZ18" t="s">
        <v>167</v>
      </c>
      <c r="DA18" t="s">
        <v>167</v>
      </c>
      <c r="DB18" t="s">
        <v>167</v>
      </c>
      <c r="DC18" t="s">
        <v>167</v>
      </c>
      <c r="DD18" t="s">
        <v>167</v>
      </c>
      <c r="DE18" t="s">
        <v>167</v>
      </c>
      <c r="DF18" t="s">
        <v>167</v>
      </c>
      <c r="DG18" s="166">
        <v>35</v>
      </c>
      <c r="DH18" t="s">
        <v>288</v>
      </c>
      <c r="DI18">
        <v>1</v>
      </c>
      <c r="DJ18" t="s">
        <v>289</v>
      </c>
      <c r="DK18">
        <v>17</v>
      </c>
      <c r="DL18" t="s">
        <v>290</v>
      </c>
      <c r="DM18" t="s">
        <v>290</v>
      </c>
      <c r="DN18" t="s">
        <v>291</v>
      </c>
      <c r="DO18">
        <v>38</v>
      </c>
      <c r="DP18" t="s">
        <v>290</v>
      </c>
      <c r="DQ18" t="s">
        <v>290</v>
      </c>
      <c r="DR18" t="s">
        <v>291</v>
      </c>
      <c r="DS18" t="s">
        <v>292</v>
      </c>
      <c r="DT18" t="s">
        <v>293</v>
      </c>
      <c r="DU18" t="s">
        <v>293</v>
      </c>
      <c r="DV18" t="s">
        <v>293</v>
      </c>
      <c r="DW18" s="138">
        <v>432.56244218316402</v>
      </c>
      <c r="DX18" t="s">
        <v>294</v>
      </c>
      <c r="DY18" s="138">
        <v>12.3589269195206</v>
      </c>
      <c r="DZ18" t="s">
        <v>295</v>
      </c>
      <c r="EA18">
        <v>38.75</v>
      </c>
      <c r="EB18" t="s">
        <v>296</v>
      </c>
      <c r="EC18">
        <v>0.15</v>
      </c>
      <c r="ED18" t="s">
        <v>328</v>
      </c>
      <c r="EE18" t="s">
        <v>329</v>
      </c>
      <c r="EF18" t="s">
        <v>297</v>
      </c>
      <c r="EG18">
        <v>1.0271999999999999</v>
      </c>
      <c r="EH18" t="s">
        <v>290</v>
      </c>
      <c r="EI18" t="s">
        <v>290</v>
      </c>
      <c r="EJ18" t="s">
        <v>298</v>
      </c>
      <c r="EK18" t="s">
        <v>290</v>
      </c>
      <c r="EL18" t="s">
        <v>290</v>
      </c>
      <c r="EM18" t="s">
        <v>299</v>
      </c>
      <c r="EN18" t="s">
        <v>300</v>
      </c>
      <c r="EO18" t="s">
        <v>329</v>
      </c>
      <c r="EP18" t="s">
        <v>329</v>
      </c>
      <c r="EQ18" t="s">
        <v>329</v>
      </c>
      <c r="ER18" t="s">
        <v>329</v>
      </c>
      <c r="ES18" t="s">
        <v>167</v>
      </c>
      <c r="ET18" t="s">
        <v>307</v>
      </c>
      <c r="EU18" t="s">
        <v>308</v>
      </c>
      <c r="EV18" t="s">
        <v>167</v>
      </c>
      <c r="EW18" s="167">
        <v>1750</v>
      </c>
      <c r="EX18" t="s">
        <v>309</v>
      </c>
      <c r="EY18">
        <v>150</v>
      </c>
      <c r="EZ18">
        <v>150</v>
      </c>
      <c r="FA18" t="s">
        <v>310</v>
      </c>
      <c r="FB18" t="s">
        <v>310</v>
      </c>
      <c r="FC18" t="s">
        <v>310</v>
      </c>
      <c r="FD18" t="s">
        <v>310</v>
      </c>
      <c r="FE18">
        <v>7.7337562470248402</v>
      </c>
      <c r="FF18" s="164" t="s">
        <v>301</v>
      </c>
      <c r="FG18">
        <v>3.8945703927390163E-2</v>
      </c>
      <c r="FH18">
        <v>4.3989068636430595E-2</v>
      </c>
      <c r="FI18">
        <v>810.52313965418</v>
      </c>
      <c r="FJ18" s="164">
        <v>0</v>
      </c>
      <c r="FK18" s="164" t="s">
        <v>302</v>
      </c>
      <c r="FL18">
        <v>810.52313965418</v>
      </c>
      <c r="FM18">
        <v>135.58687430273903</v>
      </c>
      <c r="FN18">
        <v>122.23586676878597</v>
      </c>
      <c r="FO18" s="170" t="s">
        <v>303</v>
      </c>
      <c r="FP18" t="s">
        <v>304</v>
      </c>
      <c r="FQ18" t="s">
        <v>305</v>
      </c>
      <c r="FR18" t="s">
        <v>305</v>
      </c>
      <c r="FS18" t="s">
        <v>305</v>
      </c>
      <c r="FT18">
        <v>1836.68339969934</v>
      </c>
      <c r="FU18">
        <v>180.33791877396993</v>
      </c>
      <c r="FV18">
        <v>176.17010538002</v>
      </c>
      <c r="FW18">
        <v>5.1201589694521301</v>
      </c>
      <c r="FX18">
        <v>0.6277529244642901</v>
      </c>
      <c r="FY18">
        <v>0.61147916476384001</v>
      </c>
      <c r="FZ18">
        <v>3.4443248805589901</v>
      </c>
      <c r="GA18">
        <v>0.43098406519997967</v>
      </c>
      <c r="GB18">
        <v>0.41332627002058997</v>
      </c>
      <c r="GC18" t="s">
        <v>311</v>
      </c>
    </row>
    <row r="19" spans="1:185" ht="17">
      <c r="A19" t="s">
        <v>180</v>
      </c>
      <c r="B19" s="200" t="s">
        <v>181</v>
      </c>
      <c r="C19" t="s">
        <v>168</v>
      </c>
      <c r="D19" t="s">
        <v>182</v>
      </c>
      <c r="E19">
        <v>2020</v>
      </c>
      <c r="F19" t="s">
        <v>183</v>
      </c>
      <c r="G19" s="141">
        <v>40092.166900634766</v>
      </c>
      <c r="H19">
        <v>2.1</v>
      </c>
      <c r="I19">
        <v>2.1</v>
      </c>
      <c r="J19">
        <v>938.28419559470399</v>
      </c>
      <c r="K19">
        <v>169.79632959410606</v>
      </c>
      <c r="L19">
        <v>150.71568368543001</v>
      </c>
      <c r="M19" s="163" t="b">
        <v>0</v>
      </c>
      <c r="N19" s="163">
        <v>3</v>
      </c>
      <c r="O19" t="s">
        <v>321</v>
      </c>
      <c r="P19" t="s">
        <v>322</v>
      </c>
      <c r="Q19" s="163" t="b">
        <v>1</v>
      </c>
      <c r="R19" s="212" t="s">
        <v>325</v>
      </c>
      <c r="S19" s="163" t="b">
        <v>1</v>
      </c>
      <c r="T19" s="163" t="b">
        <v>0</v>
      </c>
      <c r="U19" s="163" t="s">
        <v>167</v>
      </c>
      <c r="V19" s="163" t="s">
        <v>167</v>
      </c>
      <c r="W19" s="199" t="s">
        <v>167</v>
      </c>
      <c r="X19" s="199" t="s">
        <v>167</v>
      </c>
      <c r="Y19" s="143" t="s">
        <v>184</v>
      </c>
      <c r="Z19" t="s">
        <v>183</v>
      </c>
      <c r="AA19" t="s">
        <v>192</v>
      </c>
      <c r="AB19" t="s">
        <v>191</v>
      </c>
      <c r="AC19">
        <v>4</v>
      </c>
      <c r="AD19">
        <v>5</v>
      </c>
      <c r="AE19">
        <v>60</v>
      </c>
      <c r="AF19">
        <v>62</v>
      </c>
      <c r="AG19">
        <v>34.11</v>
      </c>
      <c r="AH19">
        <v>34.89</v>
      </c>
      <c r="AI19" t="s">
        <v>194</v>
      </c>
      <c r="AJ19" t="s">
        <v>195</v>
      </c>
      <c r="AK19" s="147">
        <v>18.4404</v>
      </c>
      <c r="AL19" s="147">
        <v>-179.55500000000001</v>
      </c>
      <c r="AM19" s="147">
        <v>11.3</v>
      </c>
      <c r="AN19" s="148" t="s">
        <v>167</v>
      </c>
      <c r="AO19" s="148">
        <v>-1518</v>
      </c>
      <c r="AP19" s="148">
        <v>-1400</v>
      </c>
      <c r="AQ19" t="s">
        <v>196</v>
      </c>
      <c r="AR19" t="s">
        <v>190</v>
      </c>
      <c r="AS19" s="141">
        <v>40092.166900634766</v>
      </c>
      <c r="AT19" t="s">
        <v>206</v>
      </c>
      <c r="AU19">
        <v>2.1</v>
      </c>
      <c r="AV19">
        <v>2.1</v>
      </c>
      <c r="AW19" t="s">
        <v>207</v>
      </c>
      <c r="AX19" t="s">
        <v>208</v>
      </c>
      <c r="AY19" t="s">
        <v>212</v>
      </c>
      <c r="AZ19" t="s">
        <v>167</v>
      </c>
      <c r="BA19" t="s">
        <v>167</v>
      </c>
      <c r="BB19" t="s">
        <v>167</v>
      </c>
      <c r="BC19" t="s">
        <v>167</v>
      </c>
      <c r="BD19" t="s">
        <v>167</v>
      </c>
      <c r="BE19" t="s">
        <v>167</v>
      </c>
      <c r="BF19" t="s">
        <v>167</v>
      </c>
      <c r="BG19" t="s">
        <v>222</v>
      </c>
      <c r="BH19" t="s">
        <v>217</v>
      </c>
      <c r="BI19" s="157">
        <v>274</v>
      </c>
      <c r="BJ19" s="157">
        <v>2.7360000000000002</v>
      </c>
      <c r="BK19" t="s">
        <v>219</v>
      </c>
      <c r="BL19" t="s">
        <v>220</v>
      </c>
      <c r="BM19" t="s">
        <v>221</v>
      </c>
      <c r="BN19" t="s">
        <v>243</v>
      </c>
      <c r="BO19">
        <v>2</v>
      </c>
      <c r="BP19" s="140">
        <v>0.13232152808946293</v>
      </c>
      <c r="BQ19" s="139">
        <v>14.5023732064193</v>
      </c>
      <c r="BR19" t="s">
        <v>228</v>
      </c>
      <c r="BS19">
        <v>0.24730822813623099</v>
      </c>
      <c r="BT19">
        <v>0.88</v>
      </c>
      <c r="BU19" t="s">
        <v>271</v>
      </c>
      <c r="BV19" t="s">
        <v>271</v>
      </c>
      <c r="BW19" s="163">
        <v>1.85</v>
      </c>
      <c r="BX19" t="s">
        <v>271</v>
      </c>
      <c r="BY19" t="s">
        <v>271</v>
      </c>
      <c r="BZ19" t="s">
        <v>272</v>
      </c>
      <c r="CA19" t="s">
        <v>273</v>
      </c>
      <c r="CB19">
        <v>14.4944606368734</v>
      </c>
      <c r="CC19" t="s">
        <v>274</v>
      </c>
      <c r="CD19" s="165">
        <v>0.26945416640274988</v>
      </c>
      <c r="CE19" t="s">
        <v>326</v>
      </c>
      <c r="CF19" t="s">
        <v>327</v>
      </c>
      <c r="CG19">
        <v>25</v>
      </c>
      <c r="CH19" t="s">
        <v>280</v>
      </c>
      <c r="CI19" t="s">
        <v>280</v>
      </c>
      <c r="CJ19" s="139">
        <v>31.850546921347402</v>
      </c>
      <c r="CK19" t="s">
        <v>281</v>
      </c>
      <c r="CL19" s="140">
        <v>0.61997354630858603</v>
      </c>
      <c r="CM19" s="140">
        <v>0.61166251503952696</v>
      </c>
      <c r="CN19" t="s">
        <v>282</v>
      </c>
      <c r="CO19">
        <v>4.4332690387495903</v>
      </c>
      <c r="CP19" t="s">
        <v>283</v>
      </c>
      <c r="CQ19">
        <v>0.13299807116248771</v>
      </c>
      <c r="CR19">
        <v>0.13299807116248771</v>
      </c>
      <c r="CS19" t="s">
        <v>284</v>
      </c>
      <c r="CT19" t="s">
        <v>167</v>
      </c>
      <c r="CU19" t="s">
        <v>285</v>
      </c>
      <c r="CV19" t="s">
        <v>286</v>
      </c>
      <c r="CW19" t="s">
        <v>280</v>
      </c>
      <c r="CX19" t="s">
        <v>280</v>
      </c>
      <c r="CY19" t="s">
        <v>287</v>
      </c>
      <c r="CZ19" t="s">
        <v>167</v>
      </c>
      <c r="DA19" t="s">
        <v>167</v>
      </c>
      <c r="DB19" t="s">
        <v>167</v>
      </c>
      <c r="DC19" t="s">
        <v>167</v>
      </c>
      <c r="DD19" t="s">
        <v>167</v>
      </c>
      <c r="DE19" t="s">
        <v>167</v>
      </c>
      <c r="DF19" t="s">
        <v>167</v>
      </c>
      <c r="DG19" s="166">
        <v>35</v>
      </c>
      <c r="DH19" t="s">
        <v>288</v>
      </c>
      <c r="DI19">
        <v>1</v>
      </c>
      <c r="DJ19" t="s">
        <v>289</v>
      </c>
      <c r="DK19">
        <v>17</v>
      </c>
      <c r="DL19" t="s">
        <v>290</v>
      </c>
      <c r="DM19" t="s">
        <v>290</v>
      </c>
      <c r="DN19" t="s">
        <v>291</v>
      </c>
      <c r="DO19">
        <v>38</v>
      </c>
      <c r="DP19" t="s">
        <v>290</v>
      </c>
      <c r="DQ19" t="s">
        <v>290</v>
      </c>
      <c r="DR19" t="s">
        <v>291</v>
      </c>
      <c r="DS19" t="s">
        <v>292</v>
      </c>
      <c r="DT19" t="s">
        <v>293</v>
      </c>
      <c r="DU19" t="s">
        <v>293</v>
      </c>
      <c r="DV19" t="s">
        <v>293</v>
      </c>
      <c r="DW19" s="138">
        <v>432.56244218316402</v>
      </c>
      <c r="DX19" t="s">
        <v>294</v>
      </c>
      <c r="DY19" s="138">
        <v>12.3589269195207</v>
      </c>
      <c r="DZ19" t="s">
        <v>295</v>
      </c>
      <c r="EA19">
        <v>38.75</v>
      </c>
      <c r="EB19" t="s">
        <v>296</v>
      </c>
      <c r="EC19">
        <v>0.15</v>
      </c>
      <c r="ED19" t="s">
        <v>328</v>
      </c>
      <c r="EE19" t="s">
        <v>329</v>
      </c>
      <c r="EF19" t="s">
        <v>297</v>
      </c>
      <c r="EG19">
        <v>1.0271999999999999</v>
      </c>
      <c r="EH19" t="s">
        <v>290</v>
      </c>
      <c r="EI19" t="s">
        <v>290</v>
      </c>
      <c r="EJ19" t="s">
        <v>298</v>
      </c>
      <c r="EK19" t="s">
        <v>290</v>
      </c>
      <c r="EL19" t="s">
        <v>290</v>
      </c>
      <c r="EM19" t="s">
        <v>299</v>
      </c>
      <c r="EN19" t="s">
        <v>300</v>
      </c>
      <c r="EO19" t="s">
        <v>329</v>
      </c>
      <c r="EP19" t="s">
        <v>329</v>
      </c>
      <c r="EQ19" t="s">
        <v>329</v>
      </c>
      <c r="ER19" t="s">
        <v>329</v>
      </c>
      <c r="ES19" t="s">
        <v>167</v>
      </c>
      <c r="ET19" t="s">
        <v>307</v>
      </c>
      <c r="EU19" t="s">
        <v>308</v>
      </c>
      <c r="EV19" t="s">
        <v>167</v>
      </c>
      <c r="EW19" s="167">
        <v>1750</v>
      </c>
      <c r="EX19" t="s">
        <v>309</v>
      </c>
      <c r="EY19">
        <v>150</v>
      </c>
      <c r="EZ19">
        <v>150</v>
      </c>
      <c r="FA19" t="s">
        <v>310</v>
      </c>
      <c r="FB19" t="s">
        <v>310</v>
      </c>
      <c r="FC19" t="s">
        <v>310</v>
      </c>
      <c r="FD19" t="s">
        <v>310</v>
      </c>
      <c r="FE19">
        <v>7.6703014894326396</v>
      </c>
      <c r="FF19" s="164" t="s">
        <v>301</v>
      </c>
      <c r="FG19">
        <v>4.4998185301890814E-2</v>
      </c>
      <c r="FH19">
        <v>4.8647077626319479E-2</v>
      </c>
      <c r="FI19">
        <v>938.28419559470399</v>
      </c>
      <c r="FJ19" s="164">
        <v>0</v>
      </c>
      <c r="FK19" s="164" t="s">
        <v>302</v>
      </c>
      <c r="FL19">
        <v>938.28419559470399</v>
      </c>
      <c r="FM19">
        <v>169.79632959410606</v>
      </c>
      <c r="FN19">
        <v>150.71568368543001</v>
      </c>
      <c r="FO19" s="170" t="s">
        <v>303</v>
      </c>
      <c r="FP19" t="s">
        <v>304</v>
      </c>
      <c r="FQ19" t="s">
        <v>305</v>
      </c>
      <c r="FR19" t="s">
        <v>305</v>
      </c>
      <c r="FS19" t="s">
        <v>305</v>
      </c>
      <c r="FT19">
        <v>1831.39668286907</v>
      </c>
      <c r="FU19">
        <v>186.99650323933997</v>
      </c>
      <c r="FV19">
        <v>183.01747378787991</v>
      </c>
      <c r="FW19">
        <v>4.4273100046793301</v>
      </c>
      <c r="FX19">
        <v>0.62366690582484008</v>
      </c>
      <c r="FY19">
        <v>0.62463937230393007</v>
      </c>
      <c r="FZ19">
        <v>2.9769605485169599</v>
      </c>
      <c r="GA19">
        <v>0.42987196519383009</v>
      </c>
      <c r="GB19">
        <v>0.42047805443626984</v>
      </c>
      <c r="GC19" t="s">
        <v>311</v>
      </c>
    </row>
    <row r="20" spans="1:185" ht="17">
      <c r="A20" t="s">
        <v>180</v>
      </c>
      <c r="B20" s="200" t="s">
        <v>181</v>
      </c>
      <c r="C20" t="s">
        <v>168</v>
      </c>
      <c r="D20" t="s">
        <v>182</v>
      </c>
      <c r="E20">
        <v>2020</v>
      </c>
      <c r="F20" t="s">
        <v>183</v>
      </c>
      <c r="G20" s="141">
        <v>40139.675140380859</v>
      </c>
      <c r="H20">
        <v>2.82</v>
      </c>
      <c r="I20">
        <v>2.82</v>
      </c>
      <c r="J20">
        <v>976.55208926377202</v>
      </c>
      <c r="K20">
        <v>172.42776235066788</v>
      </c>
      <c r="L20">
        <v>147.57473805222605</v>
      </c>
      <c r="M20" s="163" t="b">
        <v>0</v>
      </c>
      <c r="N20" s="163">
        <v>3</v>
      </c>
      <c r="O20" t="s">
        <v>321</v>
      </c>
      <c r="P20" t="s">
        <v>322</v>
      </c>
      <c r="Q20" s="163" t="b">
        <v>1</v>
      </c>
      <c r="R20" s="212" t="s">
        <v>325</v>
      </c>
      <c r="S20" s="163" t="b">
        <v>1</v>
      </c>
      <c r="T20" s="163" t="b">
        <v>0</v>
      </c>
      <c r="U20" s="163" t="s">
        <v>167</v>
      </c>
      <c r="V20" s="163" t="s">
        <v>167</v>
      </c>
      <c r="W20" s="199" t="s">
        <v>167</v>
      </c>
      <c r="X20" s="199" t="s">
        <v>167</v>
      </c>
      <c r="Y20" s="143" t="s">
        <v>184</v>
      </c>
      <c r="Z20" t="s">
        <v>183</v>
      </c>
      <c r="AA20" t="s">
        <v>192</v>
      </c>
      <c r="AB20" t="s">
        <v>193</v>
      </c>
      <c r="AC20">
        <v>5</v>
      </c>
      <c r="AD20">
        <v>1</v>
      </c>
      <c r="AE20">
        <v>5</v>
      </c>
      <c r="AF20">
        <v>7</v>
      </c>
      <c r="AG20">
        <v>31.86</v>
      </c>
      <c r="AH20">
        <v>35.075981140136719</v>
      </c>
      <c r="AI20" t="s">
        <v>194</v>
      </c>
      <c r="AJ20" t="s">
        <v>195</v>
      </c>
      <c r="AK20" s="147">
        <v>18.4404</v>
      </c>
      <c r="AL20" s="147">
        <v>-179.55500000000001</v>
      </c>
      <c r="AM20" s="147">
        <v>11.3</v>
      </c>
      <c r="AN20" s="148" t="s">
        <v>167</v>
      </c>
      <c r="AO20" s="148">
        <v>-1518</v>
      </c>
      <c r="AP20" s="148">
        <v>-1400</v>
      </c>
      <c r="AQ20" t="s">
        <v>196</v>
      </c>
      <c r="AR20" t="s">
        <v>190</v>
      </c>
      <c r="AS20" s="141">
        <v>40139.675140380859</v>
      </c>
      <c r="AT20" t="s">
        <v>206</v>
      </c>
      <c r="AU20">
        <v>2.82</v>
      </c>
      <c r="AV20">
        <v>2.82</v>
      </c>
      <c r="AW20" t="s">
        <v>207</v>
      </c>
      <c r="AX20" t="s">
        <v>208</v>
      </c>
      <c r="AY20" t="s">
        <v>212</v>
      </c>
      <c r="AZ20" t="s">
        <v>167</v>
      </c>
      <c r="BA20" t="s">
        <v>167</v>
      </c>
      <c r="BB20" t="s">
        <v>167</v>
      </c>
      <c r="BC20" t="s">
        <v>167</v>
      </c>
      <c r="BD20" t="s">
        <v>167</v>
      </c>
      <c r="BE20" t="s">
        <v>167</v>
      </c>
      <c r="BF20" t="s">
        <v>167</v>
      </c>
      <c r="BG20" t="s">
        <v>222</v>
      </c>
      <c r="BH20" t="s">
        <v>217</v>
      </c>
      <c r="BI20" s="157" t="s">
        <v>218</v>
      </c>
      <c r="BJ20" s="156" t="s">
        <v>226</v>
      </c>
      <c r="BK20" t="s">
        <v>219</v>
      </c>
      <c r="BL20" t="s">
        <v>220</v>
      </c>
      <c r="BM20" t="s">
        <v>221</v>
      </c>
      <c r="BN20" t="s">
        <v>244</v>
      </c>
      <c r="BO20">
        <v>2</v>
      </c>
      <c r="BP20" s="162">
        <v>6.2866847382430535E-2</v>
      </c>
      <c r="BQ20" s="139">
        <v>14.4822803056653</v>
      </c>
      <c r="BR20" t="s">
        <v>228</v>
      </c>
      <c r="BS20">
        <v>0.24396455644627901</v>
      </c>
      <c r="BT20">
        <v>0.88</v>
      </c>
      <c r="BU20" t="s">
        <v>271</v>
      </c>
      <c r="BV20" t="s">
        <v>271</v>
      </c>
      <c r="BW20" s="163">
        <v>1.85</v>
      </c>
      <c r="BX20" t="s">
        <v>271</v>
      </c>
      <c r="BY20" t="s">
        <v>271</v>
      </c>
      <c r="BZ20" t="s">
        <v>272</v>
      </c>
      <c r="CA20" t="s">
        <v>273</v>
      </c>
      <c r="CB20">
        <v>14.4717659843752</v>
      </c>
      <c r="CC20" t="s">
        <v>274</v>
      </c>
      <c r="CD20" s="165">
        <v>0.26380082536425054</v>
      </c>
      <c r="CE20" t="s">
        <v>326</v>
      </c>
      <c r="CF20" t="s">
        <v>327</v>
      </c>
      <c r="CG20">
        <v>25</v>
      </c>
      <c r="CH20" t="s">
        <v>280</v>
      </c>
      <c r="CI20" t="s">
        <v>280</v>
      </c>
      <c r="CJ20" s="139">
        <v>32.855103927654802</v>
      </c>
      <c r="CK20" t="s">
        <v>281</v>
      </c>
      <c r="CL20" s="140">
        <v>0.66835915812046698</v>
      </c>
      <c r="CM20" s="140">
        <v>0.59496052462144899</v>
      </c>
      <c r="CN20" t="s">
        <v>282</v>
      </c>
      <c r="CO20">
        <v>4.7280185784437698</v>
      </c>
      <c r="CP20" t="s">
        <v>283</v>
      </c>
      <c r="CQ20">
        <v>0.14184055735331308</v>
      </c>
      <c r="CR20">
        <v>0.14184055735331308</v>
      </c>
      <c r="CS20" t="s">
        <v>284</v>
      </c>
      <c r="CT20" t="s">
        <v>167</v>
      </c>
      <c r="CU20" t="s">
        <v>285</v>
      </c>
      <c r="CV20" t="s">
        <v>286</v>
      </c>
      <c r="CW20" t="s">
        <v>280</v>
      </c>
      <c r="CX20" t="s">
        <v>280</v>
      </c>
      <c r="CY20" t="s">
        <v>287</v>
      </c>
      <c r="CZ20" t="s">
        <v>167</v>
      </c>
      <c r="DA20" t="s">
        <v>167</v>
      </c>
      <c r="DB20" t="s">
        <v>167</v>
      </c>
      <c r="DC20" t="s">
        <v>167</v>
      </c>
      <c r="DD20" t="s">
        <v>167</v>
      </c>
      <c r="DE20" t="s">
        <v>167</v>
      </c>
      <c r="DF20" t="s">
        <v>167</v>
      </c>
      <c r="DG20" s="166">
        <v>35</v>
      </c>
      <c r="DH20" t="s">
        <v>288</v>
      </c>
      <c r="DI20">
        <v>1</v>
      </c>
      <c r="DJ20" t="s">
        <v>289</v>
      </c>
      <c r="DK20">
        <v>17</v>
      </c>
      <c r="DL20" t="s">
        <v>290</v>
      </c>
      <c r="DM20" t="s">
        <v>290</v>
      </c>
      <c r="DN20" t="s">
        <v>291</v>
      </c>
      <c r="DO20">
        <v>38</v>
      </c>
      <c r="DP20" t="s">
        <v>290</v>
      </c>
      <c r="DQ20" t="s">
        <v>290</v>
      </c>
      <c r="DR20" t="s">
        <v>291</v>
      </c>
      <c r="DS20" t="s">
        <v>292</v>
      </c>
      <c r="DT20" t="s">
        <v>293</v>
      </c>
      <c r="DU20" t="s">
        <v>293</v>
      </c>
      <c r="DV20" t="s">
        <v>293</v>
      </c>
      <c r="DW20" s="138">
        <v>432.56244218316402</v>
      </c>
      <c r="DX20" t="s">
        <v>294</v>
      </c>
      <c r="DY20" s="138">
        <v>12.358926919520799</v>
      </c>
      <c r="DZ20" t="s">
        <v>295</v>
      </c>
      <c r="EA20">
        <v>38.75</v>
      </c>
      <c r="EB20" t="s">
        <v>296</v>
      </c>
      <c r="EC20">
        <v>0.15</v>
      </c>
      <c r="ED20" t="s">
        <v>328</v>
      </c>
      <c r="EE20" t="s">
        <v>329</v>
      </c>
      <c r="EF20" t="s">
        <v>297</v>
      </c>
      <c r="EG20">
        <v>1.0271999999999999</v>
      </c>
      <c r="EH20" t="s">
        <v>290</v>
      </c>
      <c r="EI20" t="s">
        <v>290</v>
      </c>
      <c r="EJ20" t="s">
        <v>298</v>
      </c>
      <c r="EK20" t="s">
        <v>290</v>
      </c>
      <c r="EL20" t="s">
        <v>290</v>
      </c>
      <c r="EM20" t="s">
        <v>299</v>
      </c>
      <c r="EN20" t="s">
        <v>300</v>
      </c>
      <c r="EO20" t="s">
        <v>329</v>
      </c>
      <c r="EP20" t="s">
        <v>329</v>
      </c>
      <c r="EQ20" t="s">
        <v>329</v>
      </c>
      <c r="ER20" t="s">
        <v>329</v>
      </c>
      <c r="ES20" t="s">
        <v>167</v>
      </c>
      <c r="ET20" t="s">
        <v>307</v>
      </c>
      <c r="EU20" t="s">
        <v>308</v>
      </c>
      <c r="EV20" t="s">
        <v>167</v>
      </c>
      <c r="EW20" s="167">
        <v>1750</v>
      </c>
      <c r="EX20" t="s">
        <v>309</v>
      </c>
      <c r="EY20">
        <v>150</v>
      </c>
      <c r="EZ20">
        <v>150</v>
      </c>
      <c r="FA20" t="s">
        <v>310</v>
      </c>
      <c r="FB20" t="s">
        <v>310</v>
      </c>
      <c r="FC20" t="s">
        <v>310</v>
      </c>
      <c r="FD20" t="s">
        <v>310</v>
      </c>
      <c r="FE20">
        <v>7.6571248467532902</v>
      </c>
      <c r="FF20" s="164" t="s">
        <v>301</v>
      </c>
      <c r="FG20">
        <v>4.1505616352289998E-2</v>
      </c>
      <c r="FH20">
        <v>4.9859222748279919E-2</v>
      </c>
      <c r="FI20">
        <v>976.55208926377202</v>
      </c>
      <c r="FJ20" s="164">
        <v>0</v>
      </c>
      <c r="FK20" s="164" t="s">
        <v>302</v>
      </c>
      <c r="FL20">
        <v>976.55208926377202</v>
      </c>
      <c r="FM20">
        <v>172.42776235066788</v>
      </c>
      <c r="FN20">
        <v>147.57473805222605</v>
      </c>
      <c r="FO20" s="170" t="s">
        <v>303</v>
      </c>
      <c r="FP20" t="s">
        <v>304</v>
      </c>
      <c r="FQ20" t="s">
        <v>305</v>
      </c>
      <c r="FR20" t="s">
        <v>305</v>
      </c>
      <c r="FS20" t="s">
        <v>305</v>
      </c>
      <c r="FT20">
        <v>1827.34192074916</v>
      </c>
      <c r="FU20">
        <v>193.23627989104011</v>
      </c>
      <c r="FV20">
        <v>165.90336435787003</v>
      </c>
      <c r="FW20">
        <v>4.4258078825891296</v>
      </c>
      <c r="FX20">
        <v>0.6120131758435905</v>
      </c>
      <c r="FY20">
        <v>0.57386120767376969</v>
      </c>
      <c r="FZ20">
        <v>2.9882583474204401</v>
      </c>
      <c r="GA20">
        <v>0.42103010416769981</v>
      </c>
      <c r="GB20">
        <v>0.38372167833093007</v>
      </c>
      <c r="GC20" t="s">
        <v>311</v>
      </c>
    </row>
    <row r="21" spans="1:185" ht="17">
      <c r="A21" t="s">
        <v>180</v>
      </c>
      <c r="B21" s="200" t="s">
        <v>181</v>
      </c>
      <c r="C21" t="s">
        <v>168</v>
      </c>
      <c r="D21" t="s">
        <v>182</v>
      </c>
      <c r="E21">
        <v>2020</v>
      </c>
      <c r="F21" t="s">
        <v>183</v>
      </c>
      <c r="G21" s="141">
        <v>40139.675140380859</v>
      </c>
      <c r="H21">
        <v>2.82</v>
      </c>
      <c r="I21">
        <v>2.82</v>
      </c>
      <c r="J21">
        <v>928.72124261221597</v>
      </c>
      <c r="K21">
        <v>168.968057385164</v>
      </c>
      <c r="L21">
        <v>144.31315957507695</v>
      </c>
      <c r="M21" s="163" t="b">
        <v>0</v>
      </c>
      <c r="N21" s="163">
        <v>3</v>
      </c>
      <c r="O21" t="s">
        <v>321</v>
      </c>
      <c r="P21" t="s">
        <v>322</v>
      </c>
      <c r="Q21" s="163" t="b">
        <v>1</v>
      </c>
      <c r="R21" s="212" t="s">
        <v>325</v>
      </c>
      <c r="S21" s="163" t="b">
        <v>1</v>
      </c>
      <c r="T21" s="163" t="b">
        <v>0</v>
      </c>
      <c r="U21" s="163" t="s">
        <v>167</v>
      </c>
      <c r="V21" s="163" t="s">
        <v>167</v>
      </c>
      <c r="W21" s="199" t="s">
        <v>167</v>
      </c>
      <c r="X21" s="199" t="s">
        <v>167</v>
      </c>
      <c r="Y21" s="143" t="s">
        <v>184</v>
      </c>
      <c r="Z21" t="s">
        <v>183</v>
      </c>
      <c r="AA21" t="s">
        <v>192</v>
      </c>
      <c r="AB21" t="s">
        <v>193</v>
      </c>
      <c r="AC21">
        <v>5</v>
      </c>
      <c r="AD21">
        <v>1</v>
      </c>
      <c r="AE21">
        <v>5</v>
      </c>
      <c r="AF21">
        <v>7</v>
      </c>
      <c r="AG21">
        <v>31.86</v>
      </c>
      <c r="AH21">
        <v>35.075981140136719</v>
      </c>
      <c r="AI21" t="s">
        <v>194</v>
      </c>
      <c r="AJ21" t="s">
        <v>195</v>
      </c>
      <c r="AK21" s="147">
        <v>18.4404</v>
      </c>
      <c r="AL21" s="147">
        <v>-179.55500000000001</v>
      </c>
      <c r="AM21" s="147">
        <v>11.3</v>
      </c>
      <c r="AN21" s="148" t="s">
        <v>167</v>
      </c>
      <c r="AO21" s="148">
        <v>-1518</v>
      </c>
      <c r="AP21" s="148">
        <v>-1400</v>
      </c>
      <c r="AQ21" t="s">
        <v>196</v>
      </c>
      <c r="AR21" t="s">
        <v>190</v>
      </c>
      <c r="AS21" s="141">
        <v>40139.675140380859</v>
      </c>
      <c r="AT21" t="s">
        <v>206</v>
      </c>
      <c r="AU21">
        <v>2.82</v>
      </c>
      <c r="AV21">
        <v>2.82</v>
      </c>
      <c r="AW21" t="s">
        <v>207</v>
      </c>
      <c r="AX21" t="s">
        <v>208</v>
      </c>
      <c r="AY21" t="s">
        <v>212</v>
      </c>
      <c r="AZ21" t="s">
        <v>167</v>
      </c>
      <c r="BA21" t="s">
        <v>167</v>
      </c>
      <c r="BB21" t="s">
        <v>167</v>
      </c>
      <c r="BC21" t="s">
        <v>167</v>
      </c>
      <c r="BD21" t="s">
        <v>167</v>
      </c>
      <c r="BE21" t="s">
        <v>167</v>
      </c>
      <c r="BF21" t="s">
        <v>167</v>
      </c>
      <c r="BG21" t="s">
        <v>216</v>
      </c>
      <c r="BH21" t="s">
        <v>217</v>
      </c>
      <c r="BI21" s="157" t="s">
        <v>218</v>
      </c>
      <c r="BJ21" s="156" t="s">
        <v>226</v>
      </c>
      <c r="BK21" t="s">
        <v>219</v>
      </c>
      <c r="BL21" t="s">
        <v>220</v>
      </c>
      <c r="BM21" t="s">
        <v>221</v>
      </c>
      <c r="BN21" t="s">
        <v>245</v>
      </c>
      <c r="BO21">
        <v>2</v>
      </c>
      <c r="BP21" s="162">
        <v>8.4164235866516876E-2</v>
      </c>
      <c r="BQ21" s="139">
        <v>14.522409800270299</v>
      </c>
      <c r="BR21" t="s">
        <v>228</v>
      </c>
      <c r="BS21">
        <v>0.23537649627877399</v>
      </c>
      <c r="BT21">
        <v>0.88</v>
      </c>
      <c r="BU21" t="s">
        <v>271</v>
      </c>
      <c r="BV21" t="s">
        <v>271</v>
      </c>
      <c r="BW21" s="163">
        <v>1.85</v>
      </c>
      <c r="BX21" t="s">
        <v>271</v>
      </c>
      <c r="BY21" t="s">
        <v>271</v>
      </c>
      <c r="BZ21" t="s">
        <v>272</v>
      </c>
      <c r="CA21" t="s">
        <v>273</v>
      </c>
      <c r="CB21">
        <v>14.5175783393753</v>
      </c>
      <c r="CC21" t="s">
        <v>274</v>
      </c>
      <c r="CD21" s="165">
        <v>0.25642883204039979</v>
      </c>
      <c r="CE21" t="s">
        <v>326</v>
      </c>
      <c r="CF21" t="s">
        <v>327</v>
      </c>
      <c r="CG21">
        <v>25</v>
      </c>
      <c r="CH21" t="s">
        <v>280</v>
      </c>
      <c r="CI21" t="s">
        <v>280</v>
      </c>
      <c r="CJ21" s="139">
        <v>31.778817048236199</v>
      </c>
      <c r="CK21" t="s">
        <v>281</v>
      </c>
      <c r="CL21" s="140">
        <v>0.59400009170593304</v>
      </c>
      <c r="CM21" s="140">
        <v>0.59281316032297604</v>
      </c>
      <c r="CN21" t="s">
        <v>282</v>
      </c>
      <c r="CO21">
        <v>4.4030665158598499</v>
      </c>
      <c r="CP21" t="s">
        <v>283</v>
      </c>
      <c r="CQ21">
        <v>0.1320919954757955</v>
      </c>
      <c r="CR21">
        <v>0.1320919954757955</v>
      </c>
      <c r="CS21" t="s">
        <v>284</v>
      </c>
      <c r="CT21" t="s">
        <v>167</v>
      </c>
      <c r="CU21" t="s">
        <v>285</v>
      </c>
      <c r="CV21" t="s">
        <v>286</v>
      </c>
      <c r="CW21" t="s">
        <v>280</v>
      </c>
      <c r="CX21" t="s">
        <v>280</v>
      </c>
      <c r="CY21" t="s">
        <v>287</v>
      </c>
      <c r="CZ21" t="s">
        <v>167</v>
      </c>
      <c r="DA21" t="s">
        <v>167</v>
      </c>
      <c r="DB21" t="s">
        <v>167</v>
      </c>
      <c r="DC21" t="s">
        <v>167</v>
      </c>
      <c r="DD21" t="s">
        <v>167</v>
      </c>
      <c r="DE21" t="s">
        <v>167</v>
      </c>
      <c r="DF21" t="s">
        <v>167</v>
      </c>
      <c r="DG21" s="166">
        <v>35</v>
      </c>
      <c r="DH21" t="s">
        <v>288</v>
      </c>
      <c r="DI21">
        <v>1</v>
      </c>
      <c r="DJ21" t="s">
        <v>289</v>
      </c>
      <c r="DK21">
        <v>17</v>
      </c>
      <c r="DL21" t="s">
        <v>290</v>
      </c>
      <c r="DM21" t="s">
        <v>290</v>
      </c>
      <c r="DN21" t="s">
        <v>291</v>
      </c>
      <c r="DO21">
        <v>38</v>
      </c>
      <c r="DP21" t="s">
        <v>290</v>
      </c>
      <c r="DQ21" t="s">
        <v>290</v>
      </c>
      <c r="DR21" t="s">
        <v>291</v>
      </c>
      <c r="DS21" t="s">
        <v>292</v>
      </c>
      <c r="DT21" t="s">
        <v>293</v>
      </c>
      <c r="DU21" t="s">
        <v>293</v>
      </c>
      <c r="DV21" t="s">
        <v>293</v>
      </c>
      <c r="DW21" s="138">
        <v>432.56244218316402</v>
      </c>
      <c r="DX21" t="s">
        <v>294</v>
      </c>
      <c r="DY21" s="138">
        <v>12.358926919520901</v>
      </c>
      <c r="DZ21" t="s">
        <v>295</v>
      </c>
      <c r="EA21">
        <v>38.75</v>
      </c>
      <c r="EB21" t="s">
        <v>296</v>
      </c>
      <c r="EC21">
        <v>0.15</v>
      </c>
      <c r="ED21" t="s">
        <v>328</v>
      </c>
      <c r="EE21" t="s">
        <v>329</v>
      </c>
      <c r="EF21" t="s">
        <v>297</v>
      </c>
      <c r="EG21">
        <v>1.0271999999999999</v>
      </c>
      <c r="EH21" t="s">
        <v>290</v>
      </c>
      <c r="EI21" t="s">
        <v>290</v>
      </c>
      <c r="EJ21" t="s">
        <v>298</v>
      </c>
      <c r="EK21" t="s">
        <v>290</v>
      </c>
      <c r="EL21" t="s">
        <v>290</v>
      </c>
      <c r="EM21" t="s">
        <v>299</v>
      </c>
      <c r="EN21" t="s">
        <v>300</v>
      </c>
      <c r="EO21" t="s">
        <v>329</v>
      </c>
      <c r="EP21" t="s">
        <v>329</v>
      </c>
      <c r="EQ21" t="s">
        <v>329</v>
      </c>
      <c r="ER21" t="s">
        <v>329</v>
      </c>
      <c r="ES21" t="s">
        <v>167</v>
      </c>
      <c r="ET21" t="s">
        <v>307</v>
      </c>
      <c r="EU21" t="s">
        <v>308</v>
      </c>
      <c r="EV21" t="s">
        <v>167</v>
      </c>
      <c r="EW21" s="167">
        <v>1750</v>
      </c>
      <c r="EX21" t="s">
        <v>309</v>
      </c>
      <c r="EY21">
        <v>150</v>
      </c>
      <c r="EZ21">
        <v>150</v>
      </c>
      <c r="FA21" t="s">
        <v>310</v>
      </c>
      <c r="FB21" t="s">
        <v>310</v>
      </c>
      <c r="FC21" t="s">
        <v>310</v>
      </c>
      <c r="FD21" t="s">
        <v>310</v>
      </c>
      <c r="FE21">
        <v>7.6759466212807297</v>
      </c>
      <c r="FF21" s="164" t="s">
        <v>301</v>
      </c>
      <c r="FG21">
        <v>4.4432723887569914E-2</v>
      </c>
      <c r="FH21">
        <v>4.6116761810759854E-2</v>
      </c>
      <c r="FI21">
        <v>928.72124261221597</v>
      </c>
      <c r="FJ21" s="164">
        <v>0</v>
      </c>
      <c r="FK21" s="164" t="s">
        <v>302</v>
      </c>
      <c r="FL21">
        <v>928.72124261221597</v>
      </c>
      <c r="FM21">
        <v>168.968057385164</v>
      </c>
      <c r="FN21">
        <v>144.31315957507695</v>
      </c>
      <c r="FO21" s="170" t="s">
        <v>303</v>
      </c>
      <c r="FP21" t="s">
        <v>304</v>
      </c>
      <c r="FQ21" t="s">
        <v>305</v>
      </c>
      <c r="FR21" t="s">
        <v>305</v>
      </c>
      <c r="FS21" t="s">
        <v>305</v>
      </c>
      <c r="FT21">
        <v>1834.8236899691501</v>
      </c>
      <c r="FU21">
        <v>184.42839150787995</v>
      </c>
      <c r="FV21">
        <v>181.68937514561003</v>
      </c>
      <c r="FW21">
        <v>4.4348160005983601</v>
      </c>
      <c r="FX21">
        <v>0.65287367035525978</v>
      </c>
      <c r="FY21">
        <v>0.5345390648149202</v>
      </c>
      <c r="FZ21">
        <v>2.9828879784535398</v>
      </c>
      <c r="GA21">
        <v>0.43863278797337024</v>
      </c>
      <c r="GB21">
        <v>0.35809334341425991</v>
      </c>
      <c r="GC21" t="s">
        <v>311</v>
      </c>
    </row>
    <row r="22" spans="1:185" ht="17">
      <c r="A22" t="s">
        <v>180</v>
      </c>
      <c r="B22" s="200" t="s">
        <v>181</v>
      </c>
      <c r="C22" t="s">
        <v>168</v>
      </c>
      <c r="D22" t="s">
        <v>182</v>
      </c>
      <c r="E22">
        <v>2020</v>
      </c>
      <c r="F22" t="s">
        <v>183</v>
      </c>
      <c r="G22" s="141">
        <v>40168.716430664062</v>
      </c>
      <c r="H22">
        <v>2.82</v>
      </c>
      <c r="I22">
        <v>2.82</v>
      </c>
      <c r="J22">
        <v>1154.2789111070599</v>
      </c>
      <c r="K22">
        <v>227.92531199248015</v>
      </c>
      <c r="L22">
        <v>183.40900432784292</v>
      </c>
      <c r="M22" s="163" t="b">
        <v>0</v>
      </c>
      <c r="N22" s="163">
        <v>3</v>
      </c>
      <c r="O22" t="s">
        <v>321</v>
      </c>
      <c r="P22" t="s">
        <v>322</v>
      </c>
      <c r="Q22" s="163" t="b">
        <v>1</v>
      </c>
      <c r="R22" s="212" t="s">
        <v>325</v>
      </c>
      <c r="S22" s="163" t="b">
        <v>1</v>
      </c>
      <c r="T22" s="163" t="b">
        <v>0</v>
      </c>
      <c r="U22" s="163" t="s">
        <v>167</v>
      </c>
      <c r="V22" s="163" t="s">
        <v>167</v>
      </c>
      <c r="W22" s="199" t="s">
        <v>167</v>
      </c>
      <c r="X22" s="199" t="s">
        <v>167</v>
      </c>
      <c r="Y22" s="143" t="s">
        <v>184</v>
      </c>
      <c r="Z22" t="s">
        <v>183</v>
      </c>
      <c r="AA22" t="s">
        <v>192</v>
      </c>
      <c r="AB22" t="s">
        <v>193</v>
      </c>
      <c r="AC22">
        <v>5</v>
      </c>
      <c r="AD22">
        <v>1</v>
      </c>
      <c r="AE22">
        <v>15</v>
      </c>
      <c r="AF22">
        <f>AE22+2</f>
        <v>17</v>
      </c>
      <c r="AG22">
        <v>31.96</v>
      </c>
      <c r="AH22">
        <v>35.171379089355469</v>
      </c>
      <c r="AI22" t="s">
        <v>194</v>
      </c>
      <c r="AJ22" t="s">
        <v>195</v>
      </c>
      <c r="AK22" s="147">
        <v>18.4404</v>
      </c>
      <c r="AL22" s="147">
        <v>-179.55500000000001</v>
      </c>
      <c r="AM22" s="147">
        <v>11.3</v>
      </c>
      <c r="AN22" s="148" t="s">
        <v>167</v>
      </c>
      <c r="AO22" s="148">
        <v>-1518</v>
      </c>
      <c r="AP22" s="148">
        <v>-1400</v>
      </c>
      <c r="AQ22" t="s">
        <v>196</v>
      </c>
      <c r="AR22" t="s">
        <v>190</v>
      </c>
      <c r="AS22" s="141">
        <v>40168.716430664062</v>
      </c>
      <c r="AT22" t="s">
        <v>206</v>
      </c>
      <c r="AU22">
        <v>2.82</v>
      </c>
      <c r="AV22">
        <v>2.82</v>
      </c>
      <c r="AW22" t="s">
        <v>207</v>
      </c>
      <c r="AX22" t="s">
        <v>208</v>
      </c>
      <c r="AY22" t="s">
        <v>212</v>
      </c>
      <c r="AZ22" t="s">
        <v>167</v>
      </c>
      <c r="BA22" t="s">
        <v>167</v>
      </c>
      <c r="BB22" t="s">
        <v>167</v>
      </c>
      <c r="BC22" t="s">
        <v>167</v>
      </c>
      <c r="BD22" t="s">
        <v>167</v>
      </c>
      <c r="BE22" t="s">
        <v>167</v>
      </c>
      <c r="BF22" t="s">
        <v>167</v>
      </c>
      <c r="BG22" t="s">
        <v>222</v>
      </c>
      <c r="BH22" t="s">
        <v>217</v>
      </c>
      <c r="BI22" s="157">
        <v>201</v>
      </c>
      <c r="BJ22" s="157">
        <v>1.9790000000000001</v>
      </c>
      <c r="BK22" t="s">
        <v>219</v>
      </c>
      <c r="BL22" t="s">
        <v>220</v>
      </c>
      <c r="BM22" t="s">
        <v>221</v>
      </c>
      <c r="BN22" t="s">
        <v>246</v>
      </c>
      <c r="BO22">
        <v>2</v>
      </c>
      <c r="BP22" s="140">
        <v>0.12165635629390791</v>
      </c>
      <c r="BQ22" s="139">
        <v>14.108486542101801</v>
      </c>
      <c r="BR22" t="s">
        <v>228</v>
      </c>
      <c r="BS22">
        <v>0.26845199109808299</v>
      </c>
      <c r="BT22">
        <v>0.88</v>
      </c>
      <c r="BU22" t="s">
        <v>271</v>
      </c>
      <c r="BV22" t="s">
        <v>271</v>
      </c>
      <c r="BW22" s="163">
        <v>1.85</v>
      </c>
      <c r="BX22" t="s">
        <v>271</v>
      </c>
      <c r="BY22" t="s">
        <v>271</v>
      </c>
      <c r="BZ22" t="s">
        <v>272</v>
      </c>
      <c r="CA22" t="s">
        <v>273</v>
      </c>
      <c r="CB22">
        <v>14.0521040475498</v>
      </c>
      <c r="CC22" t="s">
        <v>274</v>
      </c>
      <c r="CD22" s="165">
        <v>0.26651236067960049</v>
      </c>
      <c r="CE22" t="s">
        <v>326</v>
      </c>
      <c r="CF22" t="s">
        <v>327</v>
      </c>
      <c r="CG22">
        <v>25</v>
      </c>
      <c r="CH22" t="s">
        <v>280</v>
      </c>
      <c r="CI22" t="s">
        <v>280</v>
      </c>
      <c r="CJ22" s="139">
        <v>33.179280023235997</v>
      </c>
      <c r="CK22" t="s">
        <v>281</v>
      </c>
      <c r="CL22" s="140">
        <v>0.627813443939502</v>
      </c>
      <c r="CM22" s="140">
        <v>0.61840217946762999</v>
      </c>
      <c r="CN22" t="s">
        <v>282</v>
      </c>
      <c r="CO22">
        <v>4.9917055770780596</v>
      </c>
      <c r="CP22" t="s">
        <v>283</v>
      </c>
      <c r="CQ22">
        <v>0.14975116731234178</v>
      </c>
      <c r="CR22">
        <v>0.14975116731234178</v>
      </c>
      <c r="CS22" t="s">
        <v>284</v>
      </c>
      <c r="CT22" t="s">
        <v>167</v>
      </c>
      <c r="CU22" t="s">
        <v>285</v>
      </c>
      <c r="CV22" t="s">
        <v>286</v>
      </c>
      <c r="CW22" t="s">
        <v>280</v>
      </c>
      <c r="CX22" t="s">
        <v>280</v>
      </c>
      <c r="CY22" t="s">
        <v>287</v>
      </c>
      <c r="CZ22" t="s">
        <v>167</v>
      </c>
      <c r="DA22" t="s">
        <v>167</v>
      </c>
      <c r="DB22" t="s">
        <v>167</v>
      </c>
      <c r="DC22" t="s">
        <v>167</v>
      </c>
      <c r="DD22" t="s">
        <v>167</v>
      </c>
      <c r="DE22" t="s">
        <v>167</v>
      </c>
      <c r="DF22" t="s">
        <v>167</v>
      </c>
      <c r="DG22" s="166">
        <v>35</v>
      </c>
      <c r="DH22" t="s">
        <v>288</v>
      </c>
      <c r="DI22">
        <v>1</v>
      </c>
      <c r="DJ22" t="s">
        <v>289</v>
      </c>
      <c r="DK22">
        <v>17</v>
      </c>
      <c r="DL22" t="s">
        <v>290</v>
      </c>
      <c r="DM22" t="s">
        <v>290</v>
      </c>
      <c r="DN22" t="s">
        <v>291</v>
      </c>
      <c r="DO22">
        <v>38</v>
      </c>
      <c r="DP22" t="s">
        <v>290</v>
      </c>
      <c r="DQ22" t="s">
        <v>290</v>
      </c>
      <c r="DR22" t="s">
        <v>291</v>
      </c>
      <c r="DS22" t="s">
        <v>292</v>
      </c>
      <c r="DT22" t="s">
        <v>293</v>
      </c>
      <c r="DU22" t="s">
        <v>293</v>
      </c>
      <c r="DV22" t="s">
        <v>293</v>
      </c>
      <c r="DW22" s="138">
        <v>432.56244218316402</v>
      </c>
      <c r="DX22" t="s">
        <v>294</v>
      </c>
      <c r="DY22" s="138">
        <v>12.358926919521</v>
      </c>
      <c r="DZ22" t="s">
        <v>295</v>
      </c>
      <c r="EA22">
        <v>38.75</v>
      </c>
      <c r="EB22" t="s">
        <v>296</v>
      </c>
      <c r="EC22">
        <v>0.15</v>
      </c>
      <c r="ED22" t="s">
        <v>328</v>
      </c>
      <c r="EE22" t="s">
        <v>329</v>
      </c>
      <c r="EF22" t="s">
        <v>297</v>
      </c>
      <c r="EG22">
        <v>1.0271999999999999</v>
      </c>
      <c r="EH22" t="s">
        <v>290</v>
      </c>
      <c r="EI22" t="s">
        <v>290</v>
      </c>
      <c r="EJ22" t="s">
        <v>298</v>
      </c>
      <c r="EK22" t="s">
        <v>290</v>
      </c>
      <c r="EL22" t="s">
        <v>290</v>
      </c>
      <c r="EM22" t="s">
        <v>299</v>
      </c>
      <c r="EN22" t="s">
        <v>300</v>
      </c>
      <c r="EO22" t="s">
        <v>329</v>
      </c>
      <c r="EP22" t="s">
        <v>329</v>
      </c>
      <c r="EQ22" t="s">
        <v>329</v>
      </c>
      <c r="ER22" t="s">
        <v>329</v>
      </c>
      <c r="ES22" t="s">
        <v>167</v>
      </c>
      <c r="ET22" t="s">
        <v>307</v>
      </c>
      <c r="EU22" t="s">
        <v>308</v>
      </c>
      <c r="EV22" t="s">
        <v>167</v>
      </c>
      <c r="EW22" s="167">
        <v>1750</v>
      </c>
      <c r="EX22" t="s">
        <v>309</v>
      </c>
      <c r="EY22">
        <v>150</v>
      </c>
      <c r="EZ22">
        <v>150</v>
      </c>
      <c r="FA22" t="s">
        <v>310</v>
      </c>
      <c r="FB22" t="s">
        <v>310</v>
      </c>
      <c r="FC22" t="s">
        <v>310</v>
      </c>
      <c r="FD22" t="s">
        <v>310</v>
      </c>
      <c r="FE22">
        <v>7.5841476288407303</v>
      </c>
      <c r="FF22" s="164" t="s">
        <v>301</v>
      </c>
      <c r="FG22">
        <v>5.1144442994839778E-2</v>
      </c>
      <c r="FH22">
        <v>5.2505590373420397E-2</v>
      </c>
      <c r="FI22">
        <v>1154.2789111070599</v>
      </c>
      <c r="FJ22" s="164">
        <v>0</v>
      </c>
      <c r="FK22" s="164" t="s">
        <v>302</v>
      </c>
      <c r="FL22">
        <v>1154.2789111070599</v>
      </c>
      <c r="FM22">
        <v>227.92531199248015</v>
      </c>
      <c r="FN22">
        <v>183.40900432784292</v>
      </c>
      <c r="FO22" s="170" t="s">
        <v>303</v>
      </c>
      <c r="FP22" t="s">
        <v>304</v>
      </c>
      <c r="FQ22" t="s">
        <v>305</v>
      </c>
      <c r="FR22" t="s">
        <v>305</v>
      </c>
      <c r="FS22" t="s">
        <v>305</v>
      </c>
      <c r="FT22">
        <v>1834.89180129497</v>
      </c>
      <c r="FU22">
        <v>188.10876877587998</v>
      </c>
      <c r="FV22">
        <v>180.12945847838</v>
      </c>
      <c r="FW22">
        <v>3.8186583299247601</v>
      </c>
      <c r="FX22">
        <v>0.62350856926148035</v>
      </c>
      <c r="FY22">
        <v>0.50528160547013989</v>
      </c>
      <c r="FZ22">
        <v>2.5820066946070601</v>
      </c>
      <c r="GA22">
        <v>0.41631152169005992</v>
      </c>
      <c r="GB22">
        <v>0.34534564523411992</v>
      </c>
      <c r="GC22" t="s">
        <v>311</v>
      </c>
    </row>
    <row r="23" spans="1:185" ht="17">
      <c r="A23" t="s">
        <v>180</v>
      </c>
      <c r="B23" s="200" t="s">
        <v>181</v>
      </c>
      <c r="C23" t="s">
        <v>168</v>
      </c>
      <c r="D23" t="s">
        <v>182</v>
      </c>
      <c r="E23">
        <v>2020</v>
      </c>
      <c r="F23" t="s">
        <v>183</v>
      </c>
      <c r="G23" s="141">
        <v>40244.403839111328</v>
      </c>
      <c r="H23">
        <v>16.91</v>
      </c>
      <c r="I23">
        <v>16.91</v>
      </c>
      <c r="J23">
        <v>733.05352275124199</v>
      </c>
      <c r="K23">
        <v>114.30269911218602</v>
      </c>
      <c r="L23">
        <v>105.38934257865799</v>
      </c>
      <c r="M23" s="163" t="b">
        <v>0</v>
      </c>
      <c r="N23" s="163">
        <v>3</v>
      </c>
      <c r="O23" t="s">
        <v>321</v>
      </c>
      <c r="P23" t="s">
        <v>322</v>
      </c>
      <c r="Q23" s="163" t="b">
        <v>1</v>
      </c>
      <c r="R23" s="212" t="s">
        <v>325</v>
      </c>
      <c r="S23" s="163" t="b">
        <v>1</v>
      </c>
      <c r="T23" s="163" t="b">
        <v>0</v>
      </c>
      <c r="U23" s="163" t="s">
        <v>167</v>
      </c>
      <c r="V23" s="163" t="s">
        <v>167</v>
      </c>
      <c r="W23" s="199" t="s">
        <v>167</v>
      </c>
      <c r="X23" s="199" t="s">
        <v>167</v>
      </c>
      <c r="Y23" s="143" t="s">
        <v>184</v>
      </c>
      <c r="Z23" t="s">
        <v>183</v>
      </c>
      <c r="AA23" t="s">
        <v>192</v>
      </c>
      <c r="AB23" t="s">
        <v>193</v>
      </c>
      <c r="AC23">
        <v>5</v>
      </c>
      <c r="AD23">
        <v>1</v>
      </c>
      <c r="AE23">
        <v>35</v>
      </c>
      <c r="AF23">
        <v>47</v>
      </c>
      <c r="AG23">
        <v>32.21</v>
      </c>
      <c r="AH23">
        <v>35.420000076293945</v>
      </c>
      <c r="AI23" t="s">
        <v>194</v>
      </c>
      <c r="AJ23" t="s">
        <v>195</v>
      </c>
      <c r="AK23" s="147">
        <v>18.4404</v>
      </c>
      <c r="AL23" s="147">
        <v>-179.55500000000001</v>
      </c>
      <c r="AM23" s="147">
        <v>11.3</v>
      </c>
      <c r="AN23" s="148" t="s">
        <v>167</v>
      </c>
      <c r="AO23" s="148">
        <v>-1518</v>
      </c>
      <c r="AP23" s="148">
        <v>-1400</v>
      </c>
      <c r="AQ23" t="s">
        <v>196</v>
      </c>
      <c r="AR23" t="s">
        <v>190</v>
      </c>
      <c r="AS23" s="141">
        <v>40244.403839111328</v>
      </c>
      <c r="AT23" t="s">
        <v>206</v>
      </c>
      <c r="AU23">
        <v>16.91</v>
      </c>
      <c r="AV23">
        <v>16.91</v>
      </c>
      <c r="AW23" t="s">
        <v>207</v>
      </c>
      <c r="AX23" t="s">
        <v>208</v>
      </c>
      <c r="AY23" t="s">
        <v>212</v>
      </c>
      <c r="AZ23" t="s">
        <v>167</v>
      </c>
      <c r="BA23" t="s">
        <v>167</v>
      </c>
      <c r="BB23" t="s">
        <v>167</v>
      </c>
      <c r="BC23" t="s">
        <v>167</v>
      </c>
      <c r="BD23" t="s">
        <v>167</v>
      </c>
      <c r="BE23" t="s">
        <v>167</v>
      </c>
      <c r="BF23" t="s">
        <v>167</v>
      </c>
      <c r="BG23" t="s">
        <v>222</v>
      </c>
      <c r="BH23" t="s">
        <v>217</v>
      </c>
      <c r="BI23" s="157">
        <v>307</v>
      </c>
      <c r="BJ23" s="158">
        <v>3.0019999999999998</v>
      </c>
      <c r="BK23" t="s">
        <v>219</v>
      </c>
      <c r="BL23" t="s">
        <v>220</v>
      </c>
      <c r="BM23" t="s">
        <v>221</v>
      </c>
      <c r="BN23" t="s">
        <v>247</v>
      </c>
      <c r="BO23">
        <v>2</v>
      </c>
      <c r="BP23" s="140">
        <v>0.10393409289200761</v>
      </c>
      <c r="BQ23" s="139">
        <v>15.0622474937866</v>
      </c>
      <c r="BR23" t="s">
        <v>228</v>
      </c>
      <c r="BS23">
        <v>0.24080855890956901</v>
      </c>
      <c r="BT23">
        <v>0.88</v>
      </c>
      <c r="BU23" t="s">
        <v>271</v>
      </c>
      <c r="BV23" t="s">
        <v>271</v>
      </c>
      <c r="BW23" s="163">
        <v>1.85</v>
      </c>
      <c r="BX23" t="s">
        <v>271</v>
      </c>
      <c r="BY23" t="s">
        <v>271</v>
      </c>
      <c r="BZ23" t="s">
        <v>272</v>
      </c>
      <c r="CA23" t="s">
        <v>273</v>
      </c>
      <c r="CB23">
        <v>15.1345000803873</v>
      </c>
      <c r="CC23" t="s">
        <v>274</v>
      </c>
      <c r="CD23" s="165">
        <v>0.25300303964429993</v>
      </c>
      <c r="CE23" t="s">
        <v>326</v>
      </c>
      <c r="CF23" t="s">
        <v>327</v>
      </c>
      <c r="CG23">
        <v>25</v>
      </c>
      <c r="CH23" t="s">
        <v>280</v>
      </c>
      <c r="CI23" t="s">
        <v>280</v>
      </c>
      <c r="CJ23" s="139">
        <v>30.706021900194699</v>
      </c>
      <c r="CK23" t="s">
        <v>281</v>
      </c>
      <c r="CL23" s="140">
        <v>0.57053667784860096</v>
      </c>
      <c r="CM23" s="140">
        <v>0.58151743222860797</v>
      </c>
      <c r="CN23" t="s">
        <v>282</v>
      </c>
      <c r="CO23">
        <v>3.9300668002412</v>
      </c>
      <c r="CP23" t="s">
        <v>283</v>
      </c>
      <c r="CQ23">
        <v>0.11790200400723599</v>
      </c>
      <c r="CR23">
        <v>0.11790200400723599</v>
      </c>
      <c r="CS23" t="s">
        <v>284</v>
      </c>
      <c r="CT23" t="s">
        <v>167</v>
      </c>
      <c r="CU23" t="s">
        <v>285</v>
      </c>
      <c r="CV23" t="s">
        <v>286</v>
      </c>
      <c r="CW23" t="s">
        <v>280</v>
      </c>
      <c r="CX23" t="s">
        <v>280</v>
      </c>
      <c r="CY23" t="s">
        <v>287</v>
      </c>
      <c r="CZ23" t="s">
        <v>167</v>
      </c>
      <c r="DA23" t="s">
        <v>167</v>
      </c>
      <c r="DB23" t="s">
        <v>167</v>
      </c>
      <c r="DC23" t="s">
        <v>167</v>
      </c>
      <c r="DD23" t="s">
        <v>167</v>
      </c>
      <c r="DE23" t="s">
        <v>167</v>
      </c>
      <c r="DF23" t="s">
        <v>167</v>
      </c>
      <c r="DG23" s="166">
        <v>35</v>
      </c>
      <c r="DH23" t="s">
        <v>288</v>
      </c>
      <c r="DI23">
        <v>1</v>
      </c>
      <c r="DJ23" t="s">
        <v>289</v>
      </c>
      <c r="DK23">
        <v>17</v>
      </c>
      <c r="DL23" t="s">
        <v>290</v>
      </c>
      <c r="DM23" t="s">
        <v>290</v>
      </c>
      <c r="DN23" t="s">
        <v>291</v>
      </c>
      <c r="DO23">
        <v>38</v>
      </c>
      <c r="DP23" t="s">
        <v>290</v>
      </c>
      <c r="DQ23" t="s">
        <v>290</v>
      </c>
      <c r="DR23" t="s">
        <v>291</v>
      </c>
      <c r="DS23" t="s">
        <v>292</v>
      </c>
      <c r="DT23" t="s">
        <v>293</v>
      </c>
      <c r="DU23" t="s">
        <v>293</v>
      </c>
      <c r="DV23" t="s">
        <v>293</v>
      </c>
      <c r="DW23" s="138">
        <v>432.56244218316402</v>
      </c>
      <c r="DX23" t="s">
        <v>294</v>
      </c>
      <c r="DY23" s="138">
        <v>12.3589269195211</v>
      </c>
      <c r="DZ23" t="s">
        <v>295</v>
      </c>
      <c r="EA23">
        <v>38.75</v>
      </c>
      <c r="EB23" t="s">
        <v>296</v>
      </c>
      <c r="EC23">
        <v>0.15</v>
      </c>
      <c r="ED23" t="s">
        <v>328</v>
      </c>
      <c r="EE23" t="s">
        <v>329</v>
      </c>
      <c r="EF23" t="s">
        <v>297</v>
      </c>
      <c r="EG23">
        <v>1.0271999999999999</v>
      </c>
      <c r="EH23" t="s">
        <v>290</v>
      </c>
      <c r="EI23" t="s">
        <v>290</v>
      </c>
      <c r="EJ23" t="s">
        <v>298</v>
      </c>
      <c r="EK23" t="s">
        <v>290</v>
      </c>
      <c r="EL23" t="s">
        <v>290</v>
      </c>
      <c r="EM23" t="s">
        <v>299</v>
      </c>
      <c r="EN23" t="s">
        <v>300</v>
      </c>
      <c r="EO23" t="s">
        <v>329</v>
      </c>
      <c r="EP23" t="s">
        <v>329</v>
      </c>
      <c r="EQ23" t="s">
        <v>329</v>
      </c>
      <c r="ER23" t="s">
        <v>329</v>
      </c>
      <c r="ES23" t="s">
        <v>167</v>
      </c>
      <c r="ET23" t="s">
        <v>307</v>
      </c>
      <c r="EU23" t="s">
        <v>308</v>
      </c>
      <c r="EV23" t="s">
        <v>167</v>
      </c>
      <c r="EW23" s="167">
        <v>1750</v>
      </c>
      <c r="EX23" t="s">
        <v>309</v>
      </c>
      <c r="EY23">
        <v>150</v>
      </c>
      <c r="EZ23">
        <v>150</v>
      </c>
      <c r="FA23" t="s">
        <v>310</v>
      </c>
      <c r="FB23" t="s">
        <v>310</v>
      </c>
      <c r="FC23" t="s">
        <v>310</v>
      </c>
      <c r="FD23" t="s">
        <v>310</v>
      </c>
      <c r="FE23">
        <v>7.7729939036454496</v>
      </c>
      <c r="FF23" s="164" t="s">
        <v>301</v>
      </c>
      <c r="FG23">
        <v>3.7376235273590019E-2</v>
      </c>
      <c r="FH23">
        <v>4.0090662987749326E-2</v>
      </c>
      <c r="FI23">
        <v>733.05352275124199</v>
      </c>
      <c r="FJ23" s="164">
        <v>0</v>
      </c>
      <c r="FK23" s="164" t="s">
        <v>302</v>
      </c>
      <c r="FL23">
        <v>733.05352275124199</v>
      </c>
      <c r="FM23">
        <v>114.30269911218602</v>
      </c>
      <c r="FN23">
        <v>105.38934257865799</v>
      </c>
      <c r="FO23" s="170" t="s">
        <v>303</v>
      </c>
      <c r="FP23" t="s">
        <v>304</v>
      </c>
      <c r="FQ23" t="s">
        <v>305</v>
      </c>
      <c r="FR23" t="s">
        <v>305</v>
      </c>
      <c r="FS23" t="s">
        <v>305</v>
      </c>
      <c r="FT23">
        <v>1837.2916237913901</v>
      </c>
      <c r="FU23">
        <v>183.53278236112988</v>
      </c>
      <c r="FV23">
        <v>186.51690736258001</v>
      </c>
      <c r="FW23">
        <v>5.3183358264438096</v>
      </c>
      <c r="FX23">
        <v>0.65184606896557007</v>
      </c>
      <c r="FY23">
        <v>0.64927725018558924</v>
      </c>
      <c r="FZ23">
        <v>3.5645104833752899</v>
      </c>
      <c r="GA23">
        <v>0.44218577386401003</v>
      </c>
      <c r="GB23">
        <v>0.4375358944006198</v>
      </c>
      <c r="GC23" t="s">
        <v>311</v>
      </c>
    </row>
    <row r="24" spans="1:185" ht="17">
      <c r="A24" t="s">
        <v>180</v>
      </c>
      <c r="B24" s="200" t="s">
        <v>181</v>
      </c>
      <c r="C24" t="s">
        <v>168</v>
      </c>
      <c r="D24" t="s">
        <v>182</v>
      </c>
      <c r="E24">
        <v>2020</v>
      </c>
      <c r="F24" t="s">
        <v>183</v>
      </c>
      <c r="G24" s="141">
        <v>40309.352874755859</v>
      </c>
      <c r="H24">
        <v>16.95</v>
      </c>
      <c r="I24">
        <v>16.95</v>
      </c>
      <c r="J24">
        <v>743.71250894347804</v>
      </c>
      <c r="K24">
        <v>120.71269897250795</v>
      </c>
      <c r="L24">
        <v>108.88242309991608</v>
      </c>
      <c r="M24" s="163" t="b">
        <v>0</v>
      </c>
      <c r="N24" s="163">
        <v>3</v>
      </c>
      <c r="O24" t="s">
        <v>321</v>
      </c>
      <c r="P24" t="s">
        <v>322</v>
      </c>
      <c r="Q24" s="163" t="b">
        <v>1</v>
      </c>
      <c r="R24" s="212" t="s">
        <v>325</v>
      </c>
      <c r="S24" s="163" t="b">
        <v>1</v>
      </c>
      <c r="T24" s="163" t="b">
        <v>0</v>
      </c>
      <c r="U24" s="163" t="s">
        <v>167</v>
      </c>
      <c r="V24" s="163" t="s">
        <v>167</v>
      </c>
      <c r="W24" s="199" t="s">
        <v>167</v>
      </c>
      <c r="X24" s="199" t="s">
        <v>167</v>
      </c>
      <c r="Y24" s="143" t="s">
        <v>184</v>
      </c>
      <c r="Z24" t="s">
        <v>183</v>
      </c>
      <c r="AA24" t="s">
        <v>192</v>
      </c>
      <c r="AB24" t="s">
        <v>193</v>
      </c>
      <c r="AC24">
        <v>5</v>
      </c>
      <c r="AD24">
        <v>1</v>
      </c>
      <c r="AE24">
        <v>55</v>
      </c>
      <c r="AF24">
        <v>67</v>
      </c>
      <c r="AG24">
        <v>32.409999999999997</v>
      </c>
      <c r="AH24">
        <v>35.633332570393883</v>
      </c>
      <c r="AI24" t="s">
        <v>194</v>
      </c>
      <c r="AJ24" t="s">
        <v>195</v>
      </c>
      <c r="AK24" s="147">
        <v>18.4404</v>
      </c>
      <c r="AL24" s="147">
        <v>-179.55500000000001</v>
      </c>
      <c r="AM24" s="147">
        <v>11.3</v>
      </c>
      <c r="AN24" s="148" t="s">
        <v>167</v>
      </c>
      <c r="AO24" s="148">
        <v>-1518</v>
      </c>
      <c r="AP24" s="148">
        <v>-1400</v>
      </c>
      <c r="AQ24" t="s">
        <v>196</v>
      </c>
      <c r="AR24" t="s">
        <v>190</v>
      </c>
      <c r="AS24" s="141">
        <v>40309.352874755859</v>
      </c>
      <c r="AT24" t="s">
        <v>206</v>
      </c>
      <c r="AU24">
        <v>16.95</v>
      </c>
      <c r="AV24">
        <v>16.95</v>
      </c>
      <c r="AW24" t="s">
        <v>207</v>
      </c>
      <c r="AX24" t="s">
        <v>208</v>
      </c>
      <c r="AY24" t="s">
        <v>212</v>
      </c>
      <c r="AZ24" t="s">
        <v>167</v>
      </c>
      <c r="BA24" t="s">
        <v>167</v>
      </c>
      <c r="BB24" t="s">
        <v>167</v>
      </c>
      <c r="BC24" t="s">
        <v>167</v>
      </c>
      <c r="BD24" t="s">
        <v>167</v>
      </c>
      <c r="BE24" t="s">
        <v>167</v>
      </c>
      <c r="BF24" t="s">
        <v>167</v>
      </c>
      <c r="BG24" t="s">
        <v>222</v>
      </c>
      <c r="BH24" t="s">
        <v>217</v>
      </c>
      <c r="BI24" s="157">
        <v>362</v>
      </c>
      <c r="BJ24" s="157">
        <v>3.4420000000000002</v>
      </c>
      <c r="BK24" t="s">
        <v>219</v>
      </c>
      <c r="BL24" t="s">
        <v>220</v>
      </c>
      <c r="BM24" t="s">
        <v>221</v>
      </c>
      <c r="BN24" t="s">
        <v>248</v>
      </c>
      <c r="BO24">
        <v>2</v>
      </c>
      <c r="BP24" s="140">
        <v>1.1610281301638992E-2</v>
      </c>
      <c r="BQ24" s="139">
        <v>15.007905118144199</v>
      </c>
      <c r="BR24" t="s">
        <v>228</v>
      </c>
      <c r="BS24">
        <v>0.240325267128222</v>
      </c>
      <c r="BT24">
        <v>0.88</v>
      </c>
      <c r="BU24" t="s">
        <v>271</v>
      </c>
      <c r="BV24" t="s">
        <v>271</v>
      </c>
      <c r="BW24" s="163">
        <v>1.85</v>
      </c>
      <c r="BX24" t="s">
        <v>271</v>
      </c>
      <c r="BY24" t="s">
        <v>271</v>
      </c>
      <c r="BZ24" t="s">
        <v>272</v>
      </c>
      <c r="CA24" t="s">
        <v>273</v>
      </c>
      <c r="CB24">
        <v>15.0672033044515</v>
      </c>
      <c r="CC24" t="s">
        <v>274</v>
      </c>
      <c r="CD24" s="165">
        <v>0.2825711598981</v>
      </c>
      <c r="CE24" t="s">
        <v>326</v>
      </c>
      <c r="CF24" t="s">
        <v>327</v>
      </c>
      <c r="CG24">
        <v>25</v>
      </c>
      <c r="CH24" t="s">
        <v>280</v>
      </c>
      <c r="CI24" t="s">
        <v>280</v>
      </c>
      <c r="CJ24" s="139">
        <v>30.5835014473017</v>
      </c>
      <c r="CK24" t="s">
        <v>281</v>
      </c>
      <c r="CL24" s="140">
        <v>0.58948005236859302</v>
      </c>
      <c r="CM24" s="140">
        <v>0.63650184710903801</v>
      </c>
      <c r="CN24" t="s">
        <v>282</v>
      </c>
      <c r="CO24">
        <v>3.9175285616990299</v>
      </c>
      <c r="CP24" t="s">
        <v>283</v>
      </c>
      <c r="CQ24">
        <v>0.11752585685097089</v>
      </c>
      <c r="CR24">
        <v>0.11752585685097089</v>
      </c>
      <c r="CS24" t="s">
        <v>284</v>
      </c>
      <c r="CT24" t="s">
        <v>167</v>
      </c>
      <c r="CU24" t="s">
        <v>285</v>
      </c>
      <c r="CV24" t="s">
        <v>286</v>
      </c>
      <c r="CW24" t="s">
        <v>280</v>
      </c>
      <c r="CX24" t="s">
        <v>280</v>
      </c>
      <c r="CY24" t="s">
        <v>287</v>
      </c>
      <c r="CZ24" t="s">
        <v>167</v>
      </c>
      <c r="DA24" t="s">
        <v>167</v>
      </c>
      <c r="DB24" t="s">
        <v>167</v>
      </c>
      <c r="DC24" t="s">
        <v>167</v>
      </c>
      <c r="DD24" t="s">
        <v>167</v>
      </c>
      <c r="DE24" t="s">
        <v>167</v>
      </c>
      <c r="DF24" t="s">
        <v>167</v>
      </c>
      <c r="DG24" s="166">
        <v>35</v>
      </c>
      <c r="DH24" t="s">
        <v>288</v>
      </c>
      <c r="DI24">
        <v>1</v>
      </c>
      <c r="DJ24" t="s">
        <v>289</v>
      </c>
      <c r="DK24">
        <v>17</v>
      </c>
      <c r="DL24" t="s">
        <v>290</v>
      </c>
      <c r="DM24" t="s">
        <v>290</v>
      </c>
      <c r="DN24" t="s">
        <v>291</v>
      </c>
      <c r="DO24">
        <v>38</v>
      </c>
      <c r="DP24" t="s">
        <v>290</v>
      </c>
      <c r="DQ24" t="s">
        <v>290</v>
      </c>
      <c r="DR24" t="s">
        <v>291</v>
      </c>
      <c r="DS24" t="s">
        <v>292</v>
      </c>
      <c r="DT24" t="s">
        <v>293</v>
      </c>
      <c r="DU24" t="s">
        <v>293</v>
      </c>
      <c r="DV24" t="s">
        <v>293</v>
      </c>
      <c r="DW24" s="138">
        <v>432.56244218316402</v>
      </c>
      <c r="DX24" t="s">
        <v>294</v>
      </c>
      <c r="DY24" s="138">
        <v>12.3589269195213</v>
      </c>
      <c r="DZ24" t="s">
        <v>295</v>
      </c>
      <c r="EA24">
        <v>38.75</v>
      </c>
      <c r="EB24" t="s">
        <v>296</v>
      </c>
      <c r="EC24">
        <v>0.15</v>
      </c>
      <c r="ED24" t="s">
        <v>328</v>
      </c>
      <c r="EE24" t="s">
        <v>329</v>
      </c>
      <c r="EF24" t="s">
        <v>297</v>
      </c>
      <c r="EG24">
        <v>1.0271999999999999</v>
      </c>
      <c r="EH24" t="s">
        <v>290</v>
      </c>
      <c r="EI24" t="s">
        <v>290</v>
      </c>
      <c r="EJ24" t="s">
        <v>298</v>
      </c>
      <c r="EK24" t="s">
        <v>290</v>
      </c>
      <c r="EL24" t="s">
        <v>290</v>
      </c>
      <c r="EM24" t="s">
        <v>299</v>
      </c>
      <c r="EN24" t="s">
        <v>300</v>
      </c>
      <c r="EO24" t="s">
        <v>329</v>
      </c>
      <c r="EP24" t="s">
        <v>329</v>
      </c>
      <c r="EQ24" t="s">
        <v>329</v>
      </c>
      <c r="ER24" t="s">
        <v>329</v>
      </c>
      <c r="ES24" t="s">
        <v>167</v>
      </c>
      <c r="ET24" t="s">
        <v>307</v>
      </c>
      <c r="EU24" t="s">
        <v>308</v>
      </c>
      <c r="EV24" t="s">
        <v>167</v>
      </c>
      <c r="EW24" s="167">
        <v>1750</v>
      </c>
      <c r="EX24" t="s">
        <v>309</v>
      </c>
      <c r="EY24">
        <v>150</v>
      </c>
      <c r="EZ24">
        <v>150</v>
      </c>
      <c r="FA24" t="s">
        <v>310</v>
      </c>
      <c r="FB24" t="s">
        <v>310</v>
      </c>
      <c r="FC24" t="s">
        <v>310</v>
      </c>
      <c r="FD24" t="s">
        <v>310</v>
      </c>
      <c r="FE24">
        <v>7.7667327515993803</v>
      </c>
      <c r="FF24" s="164" t="s">
        <v>301</v>
      </c>
      <c r="FG24">
        <v>4.0094768726779861E-2</v>
      </c>
      <c r="FH24">
        <v>4.4223277926640492E-2</v>
      </c>
      <c r="FI24">
        <v>743.71250894347804</v>
      </c>
      <c r="FJ24" s="164">
        <v>0</v>
      </c>
      <c r="FK24" s="164" t="s">
        <v>302</v>
      </c>
      <c r="FL24">
        <v>743.71250894347804</v>
      </c>
      <c r="FM24">
        <v>120.71269897250795</v>
      </c>
      <c r="FN24">
        <v>108.88242309991608</v>
      </c>
      <c r="FO24" s="170" t="s">
        <v>303</v>
      </c>
      <c r="FP24" t="s">
        <v>304</v>
      </c>
      <c r="FQ24" t="s">
        <v>305</v>
      </c>
      <c r="FR24" t="s">
        <v>305</v>
      </c>
      <c r="FS24" t="s">
        <v>305</v>
      </c>
      <c r="FT24">
        <v>1834.73125259534</v>
      </c>
      <c r="FU24">
        <v>189.35302040359988</v>
      </c>
      <c r="FV24">
        <v>176.0239263783601</v>
      </c>
      <c r="FW24">
        <v>5.2172972333712799</v>
      </c>
      <c r="FX24">
        <v>0.71171620693324034</v>
      </c>
      <c r="FY24">
        <v>0.65422160495458037</v>
      </c>
      <c r="FZ24">
        <v>3.49301095930781</v>
      </c>
      <c r="GA24">
        <v>0.47784380863094</v>
      </c>
      <c r="GB24">
        <v>0.43610769243383007</v>
      </c>
      <c r="GC24" t="s">
        <v>311</v>
      </c>
    </row>
    <row r="25" spans="1:185" ht="17">
      <c r="A25" t="s">
        <v>180</v>
      </c>
      <c r="B25" s="200" t="s">
        <v>181</v>
      </c>
      <c r="C25" t="s">
        <v>168</v>
      </c>
      <c r="D25" t="s">
        <v>182</v>
      </c>
      <c r="E25">
        <v>2020</v>
      </c>
      <c r="F25" t="s">
        <v>183</v>
      </c>
      <c r="G25" s="141">
        <v>40377.658843994141</v>
      </c>
      <c r="H25">
        <v>2.8600000000000003</v>
      </c>
      <c r="I25">
        <v>2.8600000000000003</v>
      </c>
      <c r="J25">
        <v>728.49995658326304</v>
      </c>
      <c r="K25">
        <v>124.36530056734091</v>
      </c>
      <c r="L25">
        <v>105.04893745588708</v>
      </c>
      <c r="M25" s="163" t="b">
        <v>0</v>
      </c>
      <c r="N25" s="163">
        <v>3</v>
      </c>
      <c r="O25" t="s">
        <v>321</v>
      </c>
      <c r="P25" t="s">
        <v>322</v>
      </c>
      <c r="Q25" s="163" t="b">
        <v>1</v>
      </c>
      <c r="R25" s="212" t="s">
        <v>325</v>
      </c>
      <c r="S25" s="163" t="b">
        <v>1</v>
      </c>
      <c r="T25" s="163" t="b">
        <v>0</v>
      </c>
      <c r="U25" s="163" t="s">
        <v>167</v>
      </c>
      <c r="V25" s="163" t="s">
        <v>167</v>
      </c>
      <c r="W25" s="199" t="s">
        <v>167</v>
      </c>
      <c r="X25" s="199" t="s">
        <v>167</v>
      </c>
      <c r="Y25" s="143" t="s">
        <v>184</v>
      </c>
      <c r="Z25" t="s">
        <v>183</v>
      </c>
      <c r="AA25" t="s">
        <v>192</v>
      </c>
      <c r="AB25" t="s">
        <v>193</v>
      </c>
      <c r="AC25">
        <v>5</v>
      </c>
      <c r="AD25">
        <v>1</v>
      </c>
      <c r="AE25">
        <v>85</v>
      </c>
      <c r="AF25">
        <f>AE25+2</f>
        <v>87</v>
      </c>
      <c r="AG25">
        <v>32.659999999999997</v>
      </c>
      <c r="AH25">
        <v>35.869998931884766</v>
      </c>
      <c r="AI25" t="s">
        <v>194</v>
      </c>
      <c r="AJ25" t="s">
        <v>195</v>
      </c>
      <c r="AK25" s="147">
        <v>18.4404</v>
      </c>
      <c r="AL25" s="147">
        <v>-179.55500000000001</v>
      </c>
      <c r="AM25" s="147">
        <v>11.3</v>
      </c>
      <c r="AN25" s="148" t="s">
        <v>167</v>
      </c>
      <c r="AO25" s="148">
        <v>-1518</v>
      </c>
      <c r="AP25" s="148">
        <v>-1400</v>
      </c>
      <c r="AQ25" t="s">
        <v>196</v>
      </c>
      <c r="AR25" t="s">
        <v>190</v>
      </c>
      <c r="AS25" s="141">
        <v>40377.658843994141</v>
      </c>
      <c r="AT25" t="s">
        <v>206</v>
      </c>
      <c r="AU25">
        <v>2.8600000000000003</v>
      </c>
      <c r="AV25">
        <v>2.8600000000000003</v>
      </c>
      <c r="AW25" t="s">
        <v>207</v>
      </c>
      <c r="AX25" t="s">
        <v>208</v>
      </c>
      <c r="AY25" t="s">
        <v>212</v>
      </c>
      <c r="AZ25" t="s">
        <v>167</v>
      </c>
      <c r="BA25" t="s">
        <v>167</v>
      </c>
      <c r="BB25" t="s">
        <v>167</v>
      </c>
      <c r="BC25" t="s">
        <v>167</v>
      </c>
      <c r="BD25" t="s">
        <v>167</v>
      </c>
      <c r="BE25" t="s">
        <v>167</v>
      </c>
      <c r="BF25" t="s">
        <v>167</v>
      </c>
      <c r="BG25" t="s">
        <v>222</v>
      </c>
      <c r="BH25" t="s">
        <v>217</v>
      </c>
      <c r="BI25" s="157">
        <v>252</v>
      </c>
      <c r="BJ25" s="157">
        <v>2.3740000000000001</v>
      </c>
      <c r="BK25" t="s">
        <v>219</v>
      </c>
      <c r="BL25" t="s">
        <v>220</v>
      </c>
      <c r="BM25" t="s">
        <v>221</v>
      </c>
      <c r="BN25" t="s">
        <v>249</v>
      </c>
      <c r="BO25">
        <v>2</v>
      </c>
      <c r="BP25" s="140">
        <v>0.38114529601997305</v>
      </c>
      <c r="BQ25" s="139">
        <v>15.1062512201784</v>
      </c>
      <c r="BR25" t="s">
        <v>228</v>
      </c>
      <c r="BS25">
        <v>0.24955055569193799</v>
      </c>
      <c r="BT25">
        <v>0.88</v>
      </c>
      <c r="BU25" t="s">
        <v>271</v>
      </c>
      <c r="BV25" t="s">
        <v>271</v>
      </c>
      <c r="BW25" s="163">
        <v>1.85</v>
      </c>
      <c r="BX25" t="s">
        <v>271</v>
      </c>
      <c r="BY25" t="s">
        <v>271</v>
      </c>
      <c r="BZ25" t="s">
        <v>272</v>
      </c>
      <c r="CA25" t="s">
        <v>273</v>
      </c>
      <c r="CB25">
        <v>15.1770533169937</v>
      </c>
      <c r="CC25" t="s">
        <v>274</v>
      </c>
      <c r="CD25" s="165">
        <v>0.26640079519309978</v>
      </c>
      <c r="CE25" t="s">
        <v>326</v>
      </c>
      <c r="CF25" t="s">
        <v>327</v>
      </c>
      <c r="CG25">
        <v>25</v>
      </c>
      <c r="CH25" t="s">
        <v>280</v>
      </c>
      <c r="CI25" t="s">
        <v>280</v>
      </c>
      <c r="CJ25" s="139">
        <v>31.019398569035701</v>
      </c>
      <c r="CK25" t="s">
        <v>281</v>
      </c>
      <c r="CL25" s="140">
        <v>0.60628012786456198</v>
      </c>
      <c r="CM25" s="140">
        <v>0.56200962767638196</v>
      </c>
      <c r="CN25" t="s">
        <v>282</v>
      </c>
      <c r="CO25">
        <v>3.9918202741871598</v>
      </c>
      <c r="CP25" t="s">
        <v>283</v>
      </c>
      <c r="CQ25">
        <v>0.11975460822561479</v>
      </c>
      <c r="CR25">
        <v>0.11975460822561479</v>
      </c>
      <c r="CS25" t="s">
        <v>284</v>
      </c>
      <c r="CT25" t="s">
        <v>167</v>
      </c>
      <c r="CU25" t="s">
        <v>285</v>
      </c>
      <c r="CV25" t="s">
        <v>286</v>
      </c>
      <c r="CW25" t="s">
        <v>280</v>
      </c>
      <c r="CX25" t="s">
        <v>280</v>
      </c>
      <c r="CY25" t="s">
        <v>287</v>
      </c>
      <c r="CZ25" t="s">
        <v>167</v>
      </c>
      <c r="DA25" t="s">
        <v>167</v>
      </c>
      <c r="DB25" t="s">
        <v>167</v>
      </c>
      <c r="DC25" t="s">
        <v>167</v>
      </c>
      <c r="DD25" t="s">
        <v>167</v>
      </c>
      <c r="DE25" t="s">
        <v>167</v>
      </c>
      <c r="DF25" t="s">
        <v>167</v>
      </c>
      <c r="DG25" s="166">
        <v>35</v>
      </c>
      <c r="DH25" t="s">
        <v>288</v>
      </c>
      <c r="DI25">
        <v>1</v>
      </c>
      <c r="DJ25" t="s">
        <v>289</v>
      </c>
      <c r="DK25">
        <v>17</v>
      </c>
      <c r="DL25" t="s">
        <v>290</v>
      </c>
      <c r="DM25" t="s">
        <v>290</v>
      </c>
      <c r="DN25" t="s">
        <v>291</v>
      </c>
      <c r="DO25">
        <v>38</v>
      </c>
      <c r="DP25" t="s">
        <v>290</v>
      </c>
      <c r="DQ25" t="s">
        <v>290</v>
      </c>
      <c r="DR25" t="s">
        <v>291</v>
      </c>
      <c r="DS25" t="s">
        <v>292</v>
      </c>
      <c r="DT25" t="s">
        <v>293</v>
      </c>
      <c r="DU25" t="s">
        <v>293</v>
      </c>
      <c r="DV25" t="s">
        <v>293</v>
      </c>
      <c r="DW25" s="138">
        <v>432.56244218316402</v>
      </c>
      <c r="DX25" t="s">
        <v>294</v>
      </c>
      <c r="DY25" s="138">
        <v>12.3589269195214</v>
      </c>
      <c r="DZ25" t="s">
        <v>295</v>
      </c>
      <c r="EA25">
        <v>38.75</v>
      </c>
      <c r="EB25" t="s">
        <v>296</v>
      </c>
      <c r="EC25">
        <v>0.15</v>
      </c>
      <c r="ED25" t="s">
        <v>328</v>
      </c>
      <c r="EE25" t="s">
        <v>329</v>
      </c>
      <c r="EF25" t="s">
        <v>297</v>
      </c>
      <c r="EG25">
        <v>1.0271999999999999</v>
      </c>
      <c r="EH25" t="s">
        <v>290</v>
      </c>
      <c r="EI25" t="s">
        <v>290</v>
      </c>
      <c r="EJ25" t="s">
        <v>298</v>
      </c>
      <c r="EK25" t="s">
        <v>290</v>
      </c>
      <c r="EL25" t="s">
        <v>290</v>
      </c>
      <c r="EM25" t="s">
        <v>299</v>
      </c>
      <c r="EN25" t="s">
        <v>300</v>
      </c>
      <c r="EO25" t="s">
        <v>329</v>
      </c>
      <c r="EP25" t="s">
        <v>329</v>
      </c>
      <c r="EQ25" t="s">
        <v>329</v>
      </c>
      <c r="ER25" t="s">
        <v>329</v>
      </c>
      <c r="ES25" t="s">
        <v>167</v>
      </c>
      <c r="ET25" t="s">
        <v>307</v>
      </c>
      <c r="EU25" t="s">
        <v>308</v>
      </c>
      <c r="EV25" t="s">
        <v>167</v>
      </c>
      <c r="EW25" s="167">
        <v>1750</v>
      </c>
      <c r="EX25" t="s">
        <v>309</v>
      </c>
      <c r="EY25">
        <v>150</v>
      </c>
      <c r="EZ25">
        <v>150</v>
      </c>
      <c r="FA25" t="s">
        <v>310</v>
      </c>
      <c r="FB25" t="s">
        <v>310</v>
      </c>
      <c r="FC25" t="s">
        <v>310</v>
      </c>
      <c r="FD25" t="s">
        <v>310</v>
      </c>
      <c r="FE25">
        <v>7.7754585071490396</v>
      </c>
      <c r="FF25" s="164" t="s">
        <v>301</v>
      </c>
      <c r="FG25">
        <v>3.7254174796190753E-2</v>
      </c>
      <c r="FH25">
        <v>4.2392034597429351E-2</v>
      </c>
      <c r="FI25">
        <v>728.49995658326304</v>
      </c>
      <c r="FJ25" s="164">
        <v>0</v>
      </c>
      <c r="FK25" s="164" t="s">
        <v>302</v>
      </c>
      <c r="FL25">
        <v>728.49995658326304</v>
      </c>
      <c r="FM25">
        <v>124.36530056734091</v>
      </c>
      <c r="FN25">
        <v>105.04893745588708</v>
      </c>
      <c r="FO25" s="170" t="s">
        <v>303</v>
      </c>
      <c r="FP25" t="s">
        <v>304</v>
      </c>
      <c r="FQ25" t="s">
        <v>305</v>
      </c>
      <c r="FR25" t="s">
        <v>305</v>
      </c>
      <c r="FS25" t="s">
        <v>305</v>
      </c>
      <c r="FT25">
        <v>1838.43811665828</v>
      </c>
      <c r="FU25">
        <v>184.60168359315003</v>
      </c>
      <c r="FV25">
        <v>187.02900226728002</v>
      </c>
      <c r="FW25">
        <v>5.3903444470521098</v>
      </c>
      <c r="FX25">
        <v>0.71084350878327029</v>
      </c>
      <c r="FY25">
        <v>0.62517024370099961</v>
      </c>
      <c r="FZ25">
        <v>3.61654037079956</v>
      </c>
      <c r="GA25">
        <v>0.47464500844097968</v>
      </c>
      <c r="GB25">
        <v>0.42404576696283014</v>
      </c>
      <c r="GC25" t="s">
        <v>311</v>
      </c>
    </row>
    <row r="26" spans="1:185" ht="17">
      <c r="A26" t="s">
        <v>180</v>
      </c>
      <c r="B26" s="200" t="s">
        <v>181</v>
      </c>
      <c r="C26" t="s">
        <v>168</v>
      </c>
      <c r="D26" t="s">
        <v>182</v>
      </c>
      <c r="E26">
        <v>2020</v>
      </c>
      <c r="F26" t="s">
        <v>183</v>
      </c>
      <c r="G26" s="141">
        <v>40516.803741455078</v>
      </c>
      <c r="H26">
        <v>2.8600000000000003</v>
      </c>
      <c r="I26">
        <v>2.8600000000000003</v>
      </c>
      <c r="J26">
        <v>768.25032400246801</v>
      </c>
      <c r="K26">
        <v>126.77656843406203</v>
      </c>
      <c r="L26">
        <v>112.68670990177202</v>
      </c>
      <c r="M26" s="163" t="b">
        <v>0</v>
      </c>
      <c r="N26" s="163">
        <v>3</v>
      </c>
      <c r="O26" t="s">
        <v>321</v>
      </c>
      <c r="P26" t="s">
        <v>322</v>
      </c>
      <c r="Q26" s="163" t="b">
        <v>1</v>
      </c>
      <c r="R26" s="212" t="s">
        <v>325</v>
      </c>
      <c r="S26" s="163" t="b">
        <v>1</v>
      </c>
      <c r="T26" s="163" t="b">
        <v>0</v>
      </c>
      <c r="U26" s="163" t="s">
        <v>167</v>
      </c>
      <c r="V26" s="163" t="s">
        <v>167</v>
      </c>
      <c r="W26" s="199" t="s">
        <v>167</v>
      </c>
      <c r="X26" s="199" t="s">
        <v>167</v>
      </c>
      <c r="Y26" s="143" t="s">
        <v>184</v>
      </c>
      <c r="Z26" t="s">
        <v>183</v>
      </c>
      <c r="AA26" t="s">
        <v>192</v>
      </c>
      <c r="AB26" t="s">
        <v>191</v>
      </c>
      <c r="AC26">
        <v>4</v>
      </c>
      <c r="AD26" t="s">
        <v>197</v>
      </c>
      <c r="AE26">
        <v>20</v>
      </c>
      <c r="AF26">
        <v>22</v>
      </c>
      <c r="AG26">
        <v>35.47</v>
      </c>
      <c r="AH26">
        <v>36.356999999999999</v>
      </c>
      <c r="AI26" t="s">
        <v>194</v>
      </c>
      <c r="AJ26" t="s">
        <v>195</v>
      </c>
      <c r="AK26" s="147">
        <v>18.4404</v>
      </c>
      <c r="AL26" s="147">
        <v>-179.55500000000001</v>
      </c>
      <c r="AM26" s="147">
        <v>11.3</v>
      </c>
      <c r="AN26" s="148" t="s">
        <v>167</v>
      </c>
      <c r="AO26" s="148">
        <v>-1518</v>
      </c>
      <c r="AP26" s="148">
        <v>-1400</v>
      </c>
      <c r="AQ26" t="s">
        <v>196</v>
      </c>
      <c r="AR26" t="s">
        <v>190</v>
      </c>
      <c r="AS26" s="141">
        <v>40516.803741455078</v>
      </c>
      <c r="AT26" t="s">
        <v>206</v>
      </c>
      <c r="AU26">
        <v>2.8600000000000003</v>
      </c>
      <c r="AV26">
        <v>2.8600000000000003</v>
      </c>
      <c r="AW26" t="s">
        <v>207</v>
      </c>
      <c r="AX26" t="s">
        <v>208</v>
      </c>
      <c r="AY26" t="s">
        <v>212</v>
      </c>
      <c r="AZ26" t="s">
        <v>167</v>
      </c>
      <c r="BA26" t="s">
        <v>167</v>
      </c>
      <c r="BB26" t="s">
        <v>167</v>
      </c>
      <c r="BC26" t="s">
        <v>167</v>
      </c>
      <c r="BD26" t="s">
        <v>167</v>
      </c>
      <c r="BE26" t="s">
        <v>167</v>
      </c>
      <c r="BF26" t="s">
        <v>167</v>
      </c>
      <c r="BG26" t="s">
        <v>222</v>
      </c>
      <c r="BH26" t="s">
        <v>217</v>
      </c>
      <c r="BI26" s="157">
        <v>245</v>
      </c>
      <c r="BJ26" s="157">
        <v>2.4750000000000001</v>
      </c>
      <c r="BK26" t="s">
        <v>219</v>
      </c>
      <c r="BL26" t="s">
        <v>220</v>
      </c>
      <c r="BM26" t="s">
        <v>221</v>
      </c>
      <c r="BN26" t="s">
        <v>250</v>
      </c>
      <c r="BO26">
        <v>2</v>
      </c>
      <c r="BP26" s="140">
        <v>6.3230294249683183E-2</v>
      </c>
      <c r="BQ26" s="139">
        <v>14.9066301168021</v>
      </c>
      <c r="BR26" t="s">
        <v>228</v>
      </c>
      <c r="BS26">
        <v>0.24634099403572701</v>
      </c>
      <c r="BT26">
        <v>0.88</v>
      </c>
      <c r="BU26" t="s">
        <v>271</v>
      </c>
      <c r="BV26" t="s">
        <v>271</v>
      </c>
      <c r="BW26" s="163">
        <v>1.85</v>
      </c>
      <c r="BX26" t="s">
        <v>271</v>
      </c>
      <c r="BY26" t="s">
        <v>271</v>
      </c>
      <c r="BZ26" t="s">
        <v>272</v>
      </c>
      <c r="CA26" t="s">
        <v>273</v>
      </c>
      <c r="CB26">
        <v>14.956393625502299</v>
      </c>
      <c r="CC26" t="s">
        <v>274</v>
      </c>
      <c r="CD26" s="165">
        <v>0.27671244442765008</v>
      </c>
      <c r="CE26" t="s">
        <v>326</v>
      </c>
      <c r="CF26" t="s">
        <v>327</v>
      </c>
      <c r="CG26">
        <v>25</v>
      </c>
      <c r="CH26" t="s">
        <v>280</v>
      </c>
      <c r="CI26" t="s">
        <v>280</v>
      </c>
      <c r="CJ26" s="139">
        <v>30.338648868529202</v>
      </c>
      <c r="CK26" t="s">
        <v>281</v>
      </c>
      <c r="CL26" s="140">
        <v>0.60643279915664305</v>
      </c>
      <c r="CM26" s="140">
        <v>0.63173369750511199</v>
      </c>
      <c r="CN26" t="s">
        <v>282</v>
      </c>
      <c r="CO26">
        <v>3.8892901134823501</v>
      </c>
      <c r="CP26" t="s">
        <v>283</v>
      </c>
      <c r="CQ26">
        <v>0.11667870340447049</v>
      </c>
      <c r="CR26">
        <v>0.11667870340447049</v>
      </c>
      <c r="CS26" t="s">
        <v>284</v>
      </c>
      <c r="CT26" t="s">
        <v>167</v>
      </c>
      <c r="CU26" t="s">
        <v>285</v>
      </c>
      <c r="CV26" t="s">
        <v>286</v>
      </c>
      <c r="CW26" t="s">
        <v>280</v>
      </c>
      <c r="CX26" t="s">
        <v>280</v>
      </c>
      <c r="CY26" t="s">
        <v>287</v>
      </c>
      <c r="CZ26" t="s">
        <v>167</v>
      </c>
      <c r="DA26" t="s">
        <v>167</v>
      </c>
      <c r="DB26" t="s">
        <v>167</v>
      </c>
      <c r="DC26" t="s">
        <v>167</v>
      </c>
      <c r="DD26" t="s">
        <v>167</v>
      </c>
      <c r="DE26" t="s">
        <v>167</v>
      </c>
      <c r="DF26" t="s">
        <v>167</v>
      </c>
      <c r="DG26" s="166">
        <v>35</v>
      </c>
      <c r="DH26" t="s">
        <v>288</v>
      </c>
      <c r="DI26">
        <v>1</v>
      </c>
      <c r="DJ26" t="s">
        <v>289</v>
      </c>
      <c r="DK26">
        <v>17</v>
      </c>
      <c r="DL26" t="s">
        <v>290</v>
      </c>
      <c r="DM26" t="s">
        <v>290</v>
      </c>
      <c r="DN26" t="s">
        <v>291</v>
      </c>
      <c r="DO26">
        <v>38</v>
      </c>
      <c r="DP26" t="s">
        <v>290</v>
      </c>
      <c r="DQ26" t="s">
        <v>290</v>
      </c>
      <c r="DR26" t="s">
        <v>291</v>
      </c>
      <c r="DS26" t="s">
        <v>292</v>
      </c>
      <c r="DT26" t="s">
        <v>293</v>
      </c>
      <c r="DU26" t="s">
        <v>293</v>
      </c>
      <c r="DV26" t="s">
        <v>293</v>
      </c>
      <c r="DW26" s="138">
        <v>432.56244218316402</v>
      </c>
      <c r="DX26" t="s">
        <v>294</v>
      </c>
      <c r="DY26" s="138">
        <v>12.358926919521499</v>
      </c>
      <c r="DZ26" t="s">
        <v>295</v>
      </c>
      <c r="EA26">
        <v>38.75</v>
      </c>
      <c r="EB26" t="s">
        <v>296</v>
      </c>
      <c r="EC26">
        <v>0.15</v>
      </c>
      <c r="ED26" t="s">
        <v>328</v>
      </c>
      <c r="EE26" t="s">
        <v>329</v>
      </c>
      <c r="EF26" t="s">
        <v>297</v>
      </c>
      <c r="EG26">
        <v>1.0271999999999999</v>
      </c>
      <c r="EH26" t="s">
        <v>290</v>
      </c>
      <c r="EI26" t="s">
        <v>290</v>
      </c>
      <c r="EJ26" t="s">
        <v>298</v>
      </c>
      <c r="EK26" t="s">
        <v>290</v>
      </c>
      <c r="EL26" t="s">
        <v>290</v>
      </c>
      <c r="EM26" t="s">
        <v>299</v>
      </c>
      <c r="EN26" t="s">
        <v>300</v>
      </c>
      <c r="EO26" t="s">
        <v>329</v>
      </c>
      <c r="EP26" t="s">
        <v>329</v>
      </c>
      <c r="EQ26" t="s">
        <v>329</v>
      </c>
      <c r="ER26" t="s">
        <v>329</v>
      </c>
      <c r="ES26" t="s">
        <v>167</v>
      </c>
      <c r="ET26" t="s">
        <v>307</v>
      </c>
      <c r="EU26" t="s">
        <v>308</v>
      </c>
      <c r="EV26" t="s">
        <v>167</v>
      </c>
      <c r="EW26" s="167">
        <v>1750</v>
      </c>
      <c r="EX26" t="s">
        <v>309</v>
      </c>
      <c r="EY26">
        <v>150</v>
      </c>
      <c r="EZ26">
        <v>150</v>
      </c>
      <c r="FA26" t="s">
        <v>310</v>
      </c>
      <c r="FB26" t="s">
        <v>310</v>
      </c>
      <c r="FC26" t="s">
        <v>310</v>
      </c>
      <c r="FD26" t="s">
        <v>310</v>
      </c>
      <c r="FE26">
        <v>7.7541785478036598</v>
      </c>
      <c r="FF26" s="164" t="s">
        <v>301</v>
      </c>
      <c r="FG26">
        <v>4.0176277771480251E-2</v>
      </c>
      <c r="FH26">
        <v>4.1733096836059858E-2</v>
      </c>
      <c r="FI26">
        <v>768.25032400246801</v>
      </c>
      <c r="FJ26" s="164">
        <v>0</v>
      </c>
      <c r="FK26" s="164" t="s">
        <v>302</v>
      </c>
      <c r="FL26">
        <v>768.25032400246801</v>
      </c>
      <c r="FM26">
        <v>126.77656843406203</v>
      </c>
      <c r="FN26">
        <v>112.68670990177202</v>
      </c>
      <c r="FO26" s="170" t="s">
        <v>303</v>
      </c>
      <c r="FP26" t="s">
        <v>304</v>
      </c>
      <c r="FQ26" t="s">
        <v>305</v>
      </c>
      <c r="FR26" t="s">
        <v>305</v>
      </c>
      <c r="FS26" t="s">
        <v>305</v>
      </c>
      <c r="FT26">
        <v>1833.8013739952901</v>
      </c>
      <c r="FU26">
        <v>192.40043519285996</v>
      </c>
      <c r="FV26">
        <v>167.55098969285018</v>
      </c>
      <c r="FW26">
        <v>5.0206320487118701</v>
      </c>
      <c r="FX26">
        <v>0.69958054208658993</v>
      </c>
      <c r="FY26">
        <v>0.56162680942698984</v>
      </c>
      <c r="FZ26">
        <v>3.3588082697150399</v>
      </c>
      <c r="GA26">
        <v>0.47227125347132004</v>
      </c>
      <c r="GB26">
        <v>0.37480383614654977</v>
      </c>
      <c r="GC26" t="s">
        <v>311</v>
      </c>
    </row>
    <row r="27" spans="1:185" ht="17">
      <c r="A27" t="s">
        <v>180</v>
      </c>
      <c r="B27" s="200" t="s">
        <v>181</v>
      </c>
      <c r="C27" t="s">
        <v>168</v>
      </c>
      <c r="D27" t="s">
        <v>182</v>
      </c>
      <c r="E27">
        <v>2020</v>
      </c>
      <c r="F27" t="s">
        <v>183</v>
      </c>
      <c r="G27" s="141">
        <v>40629.241943359375</v>
      </c>
      <c r="H27">
        <v>2.5500000000000003</v>
      </c>
      <c r="I27">
        <v>2.5500000000000003</v>
      </c>
      <c r="J27">
        <v>816.93262920117002</v>
      </c>
      <c r="K27">
        <v>139.74692443259198</v>
      </c>
      <c r="L27">
        <v>119.67454886068799</v>
      </c>
      <c r="M27" s="163" t="b">
        <v>0</v>
      </c>
      <c r="N27" s="163">
        <v>3</v>
      </c>
      <c r="O27" t="s">
        <v>321</v>
      </c>
      <c r="P27" t="s">
        <v>322</v>
      </c>
      <c r="Q27" s="163" t="b">
        <v>1</v>
      </c>
      <c r="R27" s="212" t="s">
        <v>325</v>
      </c>
      <c r="S27" s="163" t="b">
        <v>1</v>
      </c>
      <c r="T27" s="163" t="b">
        <v>0</v>
      </c>
      <c r="U27" s="163" t="s">
        <v>167</v>
      </c>
      <c r="V27" s="163" t="s">
        <v>167</v>
      </c>
      <c r="W27" s="199" t="s">
        <v>167</v>
      </c>
      <c r="X27" s="199" t="s">
        <v>167</v>
      </c>
      <c r="Y27" s="143" t="s">
        <v>184</v>
      </c>
      <c r="Z27" t="s">
        <v>183</v>
      </c>
      <c r="AA27" t="s">
        <v>192</v>
      </c>
      <c r="AB27" t="s">
        <v>193</v>
      </c>
      <c r="AC27">
        <v>5</v>
      </c>
      <c r="AD27">
        <v>2</v>
      </c>
      <c r="AE27">
        <v>25</v>
      </c>
      <c r="AF27">
        <v>27</v>
      </c>
      <c r="AG27">
        <v>33.56</v>
      </c>
      <c r="AH27">
        <v>36.770000457763672</v>
      </c>
      <c r="AI27" t="s">
        <v>194</v>
      </c>
      <c r="AJ27" t="s">
        <v>195</v>
      </c>
      <c r="AK27" s="147">
        <v>18.4404</v>
      </c>
      <c r="AL27" s="147">
        <v>-179.55500000000001</v>
      </c>
      <c r="AM27" s="147">
        <v>11.3</v>
      </c>
      <c r="AN27" s="148" t="s">
        <v>167</v>
      </c>
      <c r="AO27" s="148">
        <v>-1518</v>
      </c>
      <c r="AP27" s="148">
        <v>-1400</v>
      </c>
      <c r="AQ27" t="s">
        <v>196</v>
      </c>
      <c r="AR27" t="s">
        <v>190</v>
      </c>
      <c r="AS27" s="141">
        <v>40629.241943359375</v>
      </c>
      <c r="AT27" t="s">
        <v>206</v>
      </c>
      <c r="AU27">
        <v>2.5500000000000003</v>
      </c>
      <c r="AV27">
        <v>2.5500000000000003</v>
      </c>
      <c r="AW27" t="s">
        <v>207</v>
      </c>
      <c r="AX27" t="s">
        <v>208</v>
      </c>
      <c r="AY27" t="s">
        <v>212</v>
      </c>
      <c r="AZ27" t="s">
        <v>167</v>
      </c>
      <c r="BA27" t="s">
        <v>167</v>
      </c>
      <c r="BB27" t="s">
        <v>167</v>
      </c>
      <c r="BC27" t="s">
        <v>167</v>
      </c>
      <c r="BD27" t="s">
        <v>167</v>
      </c>
      <c r="BE27" t="s">
        <v>167</v>
      </c>
      <c r="BF27" t="s">
        <v>167</v>
      </c>
      <c r="BG27" t="s">
        <v>222</v>
      </c>
      <c r="BH27" t="s">
        <v>217</v>
      </c>
      <c r="BI27" s="157">
        <v>309</v>
      </c>
      <c r="BJ27" s="157">
        <v>2.9449999999999998</v>
      </c>
      <c r="BK27" t="s">
        <v>219</v>
      </c>
      <c r="BL27" t="s">
        <v>220</v>
      </c>
      <c r="BM27" t="s">
        <v>221</v>
      </c>
      <c r="BN27" t="s">
        <v>251</v>
      </c>
      <c r="BO27">
        <v>2</v>
      </c>
      <c r="BP27" s="140">
        <v>5.9071832495039438E-2</v>
      </c>
      <c r="BQ27" s="139">
        <v>14.736748166711401</v>
      </c>
      <c r="BR27" t="s">
        <v>228</v>
      </c>
      <c r="BS27">
        <v>0.23964427142036401</v>
      </c>
      <c r="BT27">
        <v>0.88</v>
      </c>
      <c r="BU27" t="s">
        <v>271</v>
      </c>
      <c r="BV27" t="s">
        <v>271</v>
      </c>
      <c r="BW27" s="163">
        <v>1.85</v>
      </c>
      <c r="BX27" t="s">
        <v>271</v>
      </c>
      <c r="BY27" t="s">
        <v>271</v>
      </c>
      <c r="BZ27" t="s">
        <v>272</v>
      </c>
      <c r="CA27" t="s">
        <v>273</v>
      </c>
      <c r="CB27">
        <v>14.7617063118172</v>
      </c>
      <c r="CC27" t="s">
        <v>274</v>
      </c>
      <c r="CD27" s="165">
        <v>0.26988788776600003</v>
      </c>
      <c r="CE27" t="s">
        <v>326</v>
      </c>
      <c r="CF27" t="s">
        <v>327</v>
      </c>
      <c r="CG27">
        <v>25</v>
      </c>
      <c r="CH27" t="s">
        <v>280</v>
      </c>
      <c r="CI27" t="s">
        <v>280</v>
      </c>
      <c r="CJ27" s="139">
        <v>30.455741338584399</v>
      </c>
      <c r="CK27" t="s">
        <v>281</v>
      </c>
      <c r="CL27" s="140">
        <v>0.65902309926715197</v>
      </c>
      <c r="CM27" s="140">
        <v>0.58523662549780697</v>
      </c>
      <c r="CN27" t="s">
        <v>282</v>
      </c>
      <c r="CO27">
        <v>3.9713082068436001</v>
      </c>
      <c r="CP27" t="s">
        <v>283</v>
      </c>
      <c r="CQ27">
        <v>0.119139246205308</v>
      </c>
      <c r="CR27">
        <v>0.119139246205308</v>
      </c>
      <c r="CS27" t="s">
        <v>284</v>
      </c>
      <c r="CT27" t="s">
        <v>167</v>
      </c>
      <c r="CU27" t="s">
        <v>285</v>
      </c>
      <c r="CV27" t="s">
        <v>286</v>
      </c>
      <c r="CW27" t="s">
        <v>280</v>
      </c>
      <c r="CX27" t="s">
        <v>280</v>
      </c>
      <c r="CY27" t="s">
        <v>287</v>
      </c>
      <c r="CZ27" t="s">
        <v>167</v>
      </c>
      <c r="DA27" t="s">
        <v>167</v>
      </c>
      <c r="DB27" t="s">
        <v>167</v>
      </c>
      <c r="DC27" t="s">
        <v>167</v>
      </c>
      <c r="DD27" t="s">
        <v>167</v>
      </c>
      <c r="DE27" t="s">
        <v>167</v>
      </c>
      <c r="DF27" t="s">
        <v>167</v>
      </c>
      <c r="DG27" s="166">
        <v>35</v>
      </c>
      <c r="DH27" t="s">
        <v>288</v>
      </c>
      <c r="DI27">
        <v>1</v>
      </c>
      <c r="DJ27" t="s">
        <v>289</v>
      </c>
      <c r="DK27">
        <v>17</v>
      </c>
      <c r="DL27" t="s">
        <v>290</v>
      </c>
      <c r="DM27" t="s">
        <v>290</v>
      </c>
      <c r="DN27" t="s">
        <v>291</v>
      </c>
      <c r="DO27">
        <v>38</v>
      </c>
      <c r="DP27" t="s">
        <v>290</v>
      </c>
      <c r="DQ27" t="s">
        <v>290</v>
      </c>
      <c r="DR27" t="s">
        <v>291</v>
      </c>
      <c r="DS27" t="s">
        <v>292</v>
      </c>
      <c r="DT27" t="s">
        <v>293</v>
      </c>
      <c r="DU27" t="s">
        <v>293</v>
      </c>
      <c r="DV27" t="s">
        <v>293</v>
      </c>
      <c r="DW27" s="138">
        <v>432.56244218316402</v>
      </c>
      <c r="DX27" t="s">
        <v>294</v>
      </c>
      <c r="DY27" s="138">
        <v>12.3589269195216</v>
      </c>
      <c r="DZ27" t="s">
        <v>295</v>
      </c>
      <c r="EA27">
        <v>38.75</v>
      </c>
      <c r="EB27" t="s">
        <v>296</v>
      </c>
      <c r="EC27">
        <v>0.15</v>
      </c>
      <c r="ED27" t="s">
        <v>328</v>
      </c>
      <c r="EE27" t="s">
        <v>329</v>
      </c>
      <c r="EF27" t="s">
        <v>297</v>
      </c>
      <c r="EG27">
        <v>1.0271999999999999</v>
      </c>
      <c r="EH27" t="s">
        <v>290</v>
      </c>
      <c r="EI27" t="s">
        <v>290</v>
      </c>
      <c r="EJ27" t="s">
        <v>298</v>
      </c>
      <c r="EK27" t="s">
        <v>290</v>
      </c>
      <c r="EL27" t="s">
        <v>290</v>
      </c>
      <c r="EM27" t="s">
        <v>299</v>
      </c>
      <c r="EN27" t="s">
        <v>300</v>
      </c>
      <c r="EO27" t="s">
        <v>329</v>
      </c>
      <c r="EP27" t="s">
        <v>329</v>
      </c>
      <c r="EQ27" t="s">
        <v>329</v>
      </c>
      <c r="ER27" t="s">
        <v>329</v>
      </c>
      <c r="ES27" t="s">
        <v>167</v>
      </c>
      <c r="ET27" t="s">
        <v>307</v>
      </c>
      <c r="EU27" t="s">
        <v>308</v>
      </c>
      <c r="EV27" t="s">
        <v>167</v>
      </c>
      <c r="EW27" s="167">
        <v>1750</v>
      </c>
      <c r="EX27" t="s">
        <v>309</v>
      </c>
      <c r="EY27">
        <v>150</v>
      </c>
      <c r="EZ27">
        <v>150</v>
      </c>
      <c r="FA27" t="s">
        <v>310</v>
      </c>
      <c r="FB27" t="s">
        <v>310</v>
      </c>
      <c r="FC27" t="s">
        <v>310</v>
      </c>
      <c r="FD27" t="s">
        <v>310</v>
      </c>
      <c r="FE27">
        <v>7.7265694689275399</v>
      </c>
      <c r="FF27" s="164" t="s">
        <v>301</v>
      </c>
      <c r="FG27">
        <v>3.8724860544140149E-2</v>
      </c>
      <c r="FH27">
        <v>4.5945155434480078E-2</v>
      </c>
      <c r="FI27">
        <v>816.93262920117002</v>
      </c>
      <c r="FJ27" s="164">
        <v>0</v>
      </c>
      <c r="FK27" s="164" t="s">
        <v>302</v>
      </c>
      <c r="FL27">
        <v>816.93262920117002</v>
      </c>
      <c r="FM27">
        <v>139.74692443259198</v>
      </c>
      <c r="FN27">
        <v>119.67454886068799</v>
      </c>
      <c r="FO27" s="170" t="s">
        <v>303</v>
      </c>
      <c r="FP27" t="s">
        <v>304</v>
      </c>
      <c r="FQ27" t="s">
        <v>305</v>
      </c>
      <c r="FR27" t="s">
        <v>305</v>
      </c>
      <c r="FS27" t="s">
        <v>305</v>
      </c>
      <c r="FT27">
        <v>1832.5946048998201</v>
      </c>
      <c r="FU27">
        <v>176.41448411069996</v>
      </c>
      <c r="FV27">
        <v>178.40606370552996</v>
      </c>
      <c r="FW27">
        <v>4.7057313953453699</v>
      </c>
      <c r="FX27">
        <v>0.6957634881581205</v>
      </c>
      <c r="FY27">
        <v>0.5578182091950703</v>
      </c>
      <c r="FZ27">
        <v>3.1523020418244401</v>
      </c>
      <c r="GA27">
        <v>0.47429255427457973</v>
      </c>
      <c r="GB27">
        <v>0.37504039417133006</v>
      </c>
      <c r="GC27" t="s">
        <v>311</v>
      </c>
    </row>
    <row r="28" spans="1:185" ht="17">
      <c r="A28" t="s">
        <v>180</v>
      </c>
      <c r="B28" s="200" t="s">
        <v>181</v>
      </c>
      <c r="C28" t="s">
        <v>168</v>
      </c>
      <c r="D28" t="s">
        <v>182</v>
      </c>
      <c r="E28">
        <v>2020</v>
      </c>
      <c r="F28" t="s">
        <v>183</v>
      </c>
      <c r="G28" s="141">
        <v>40810.317993164062</v>
      </c>
      <c r="H28">
        <v>1.35</v>
      </c>
      <c r="I28">
        <v>1.35</v>
      </c>
      <c r="J28">
        <v>806.18991755167599</v>
      </c>
      <c r="K28">
        <v>134.44934774706996</v>
      </c>
      <c r="L28">
        <v>121.34499053108402</v>
      </c>
      <c r="M28" s="163" t="b">
        <v>0</v>
      </c>
      <c r="N28" s="163">
        <v>3</v>
      </c>
      <c r="O28" t="s">
        <v>321</v>
      </c>
      <c r="P28" t="s">
        <v>322</v>
      </c>
      <c r="Q28" s="163" t="b">
        <v>1</v>
      </c>
      <c r="R28" s="212" t="s">
        <v>325</v>
      </c>
      <c r="S28" s="163" t="b">
        <v>1</v>
      </c>
      <c r="T28" s="163" t="b">
        <v>0</v>
      </c>
      <c r="U28" s="163" t="s">
        <v>167</v>
      </c>
      <c r="V28" s="163" t="s">
        <v>167</v>
      </c>
      <c r="W28" s="199" t="s">
        <v>167</v>
      </c>
      <c r="X28" s="199" t="s">
        <v>167</v>
      </c>
      <c r="Y28" s="143" t="s">
        <v>184</v>
      </c>
      <c r="Z28" t="s">
        <v>183</v>
      </c>
      <c r="AA28" t="s">
        <v>192</v>
      </c>
      <c r="AB28" t="s">
        <v>193</v>
      </c>
      <c r="AC28">
        <v>5</v>
      </c>
      <c r="AD28">
        <v>2</v>
      </c>
      <c r="AE28">
        <v>105</v>
      </c>
      <c r="AF28">
        <v>107</v>
      </c>
      <c r="AG28">
        <v>34.36</v>
      </c>
      <c r="AH28">
        <v>37.569999694824219</v>
      </c>
      <c r="AI28" t="s">
        <v>194</v>
      </c>
      <c r="AJ28" t="s">
        <v>195</v>
      </c>
      <c r="AK28" s="147">
        <v>18.4404</v>
      </c>
      <c r="AL28" s="147">
        <v>-179.55500000000001</v>
      </c>
      <c r="AM28" s="147">
        <v>11.3</v>
      </c>
      <c r="AN28" s="148" t="s">
        <v>167</v>
      </c>
      <c r="AO28" s="148">
        <v>-1518</v>
      </c>
      <c r="AP28" s="148">
        <v>-1400</v>
      </c>
      <c r="AQ28" t="s">
        <v>196</v>
      </c>
      <c r="AR28" t="s">
        <v>190</v>
      </c>
      <c r="AS28" s="141">
        <v>40810.317993164062</v>
      </c>
      <c r="AT28" t="s">
        <v>206</v>
      </c>
      <c r="AU28">
        <v>1.35</v>
      </c>
      <c r="AV28">
        <v>1.35</v>
      </c>
      <c r="AW28" t="s">
        <v>207</v>
      </c>
      <c r="AX28" t="s">
        <v>208</v>
      </c>
      <c r="AY28" t="s">
        <v>212</v>
      </c>
      <c r="AZ28" t="s">
        <v>167</v>
      </c>
      <c r="BA28" t="s">
        <v>167</v>
      </c>
      <c r="BB28" t="s">
        <v>167</v>
      </c>
      <c r="BC28" t="s">
        <v>167</v>
      </c>
      <c r="BD28" t="s">
        <v>167</v>
      </c>
      <c r="BE28" t="s">
        <v>167</v>
      </c>
      <c r="BF28" t="s">
        <v>167</v>
      </c>
      <c r="BG28" t="s">
        <v>222</v>
      </c>
      <c r="BH28" t="s">
        <v>217</v>
      </c>
      <c r="BI28" s="157">
        <v>233</v>
      </c>
      <c r="BJ28" s="157">
        <v>2.3109999999999999</v>
      </c>
      <c r="BK28" t="s">
        <v>219</v>
      </c>
      <c r="BL28" t="s">
        <v>220</v>
      </c>
      <c r="BM28" t="s">
        <v>221</v>
      </c>
      <c r="BN28" t="s">
        <v>252</v>
      </c>
      <c r="BO28">
        <v>2</v>
      </c>
      <c r="BP28" s="140">
        <v>0.57889264142361618</v>
      </c>
      <c r="BQ28" s="139">
        <v>14.822998009747399</v>
      </c>
      <c r="BR28" t="s">
        <v>228</v>
      </c>
      <c r="BS28">
        <v>0.25211825778203001</v>
      </c>
      <c r="BT28">
        <v>0.88</v>
      </c>
      <c r="BU28" t="s">
        <v>271</v>
      </c>
      <c r="BV28" t="s">
        <v>271</v>
      </c>
      <c r="BW28" s="163">
        <v>1.85</v>
      </c>
      <c r="BX28" t="s">
        <v>271</v>
      </c>
      <c r="BY28" t="s">
        <v>271</v>
      </c>
      <c r="BZ28" t="s">
        <v>272</v>
      </c>
      <c r="CA28" t="s">
        <v>273</v>
      </c>
      <c r="CB28">
        <v>14.857043331016801</v>
      </c>
      <c r="CC28" t="s">
        <v>274</v>
      </c>
      <c r="CD28" s="165">
        <v>0.26455255560395052</v>
      </c>
      <c r="CE28" t="s">
        <v>326</v>
      </c>
      <c r="CF28" t="s">
        <v>327</v>
      </c>
      <c r="CG28">
        <v>25</v>
      </c>
      <c r="CH28" t="s">
        <v>280</v>
      </c>
      <c r="CI28" t="s">
        <v>280</v>
      </c>
      <c r="CJ28" s="139">
        <v>31.0122210823959</v>
      </c>
      <c r="CK28" t="s">
        <v>281</v>
      </c>
      <c r="CL28" s="140">
        <v>0.628044295549262</v>
      </c>
      <c r="CM28" s="140">
        <v>0.61665205692511504</v>
      </c>
      <c r="CN28" t="s">
        <v>282</v>
      </c>
      <c r="CO28">
        <v>4.0871473246201404</v>
      </c>
      <c r="CP28" t="s">
        <v>283</v>
      </c>
      <c r="CQ28">
        <v>0.12261441973860421</v>
      </c>
      <c r="CR28">
        <v>0.12261441973860421</v>
      </c>
      <c r="CS28" t="s">
        <v>284</v>
      </c>
      <c r="CT28" t="s">
        <v>167</v>
      </c>
      <c r="CU28" t="s">
        <v>285</v>
      </c>
      <c r="CV28" t="s">
        <v>286</v>
      </c>
      <c r="CW28" t="s">
        <v>280</v>
      </c>
      <c r="CX28" t="s">
        <v>280</v>
      </c>
      <c r="CY28" t="s">
        <v>287</v>
      </c>
      <c r="CZ28" t="s">
        <v>167</v>
      </c>
      <c r="DA28" t="s">
        <v>167</v>
      </c>
      <c r="DB28" t="s">
        <v>167</v>
      </c>
      <c r="DC28" t="s">
        <v>167</v>
      </c>
      <c r="DD28" t="s">
        <v>167</v>
      </c>
      <c r="DE28" t="s">
        <v>167</v>
      </c>
      <c r="DF28" t="s">
        <v>167</v>
      </c>
      <c r="DG28" s="166">
        <v>35</v>
      </c>
      <c r="DH28" t="s">
        <v>288</v>
      </c>
      <c r="DI28">
        <v>1</v>
      </c>
      <c r="DJ28" t="s">
        <v>289</v>
      </c>
      <c r="DK28">
        <v>17</v>
      </c>
      <c r="DL28" t="s">
        <v>290</v>
      </c>
      <c r="DM28" t="s">
        <v>290</v>
      </c>
      <c r="DN28" t="s">
        <v>291</v>
      </c>
      <c r="DO28">
        <v>38</v>
      </c>
      <c r="DP28" t="s">
        <v>290</v>
      </c>
      <c r="DQ28" t="s">
        <v>290</v>
      </c>
      <c r="DR28" t="s">
        <v>291</v>
      </c>
      <c r="DS28" t="s">
        <v>292</v>
      </c>
      <c r="DT28" t="s">
        <v>293</v>
      </c>
      <c r="DU28" t="s">
        <v>293</v>
      </c>
      <c r="DV28" t="s">
        <v>293</v>
      </c>
      <c r="DW28" s="138">
        <v>432.56244218316402</v>
      </c>
      <c r="DX28" t="s">
        <v>294</v>
      </c>
      <c r="DY28" s="138">
        <v>12.3589269195217</v>
      </c>
      <c r="DZ28" t="s">
        <v>295</v>
      </c>
      <c r="EA28">
        <v>38.75</v>
      </c>
      <c r="EB28" t="s">
        <v>296</v>
      </c>
      <c r="EC28">
        <v>0.15</v>
      </c>
      <c r="ED28" t="s">
        <v>328</v>
      </c>
      <c r="EE28" t="s">
        <v>329</v>
      </c>
      <c r="EF28" t="s">
        <v>297</v>
      </c>
      <c r="EG28">
        <v>1.0271999999999999</v>
      </c>
      <c r="EH28" t="s">
        <v>290</v>
      </c>
      <c r="EI28" t="s">
        <v>290</v>
      </c>
      <c r="EJ28" t="s">
        <v>298</v>
      </c>
      <c r="EK28" t="s">
        <v>290</v>
      </c>
      <c r="EL28" t="s">
        <v>290</v>
      </c>
      <c r="EM28" t="s">
        <v>299</v>
      </c>
      <c r="EN28" t="s">
        <v>300</v>
      </c>
      <c r="EO28" t="s">
        <v>329</v>
      </c>
      <c r="EP28" t="s">
        <v>329</v>
      </c>
      <c r="EQ28" t="s">
        <v>329</v>
      </c>
      <c r="ER28" t="s">
        <v>329</v>
      </c>
      <c r="ES28" t="s">
        <v>167</v>
      </c>
      <c r="ET28" t="s">
        <v>307</v>
      </c>
      <c r="EU28" t="s">
        <v>308</v>
      </c>
      <c r="EV28" t="s">
        <v>167</v>
      </c>
      <c r="EW28" s="167">
        <v>1750</v>
      </c>
      <c r="EX28" t="s">
        <v>309</v>
      </c>
      <c r="EY28">
        <v>150</v>
      </c>
      <c r="EZ28">
        <v>150</v>
      </c>
      <c r="FA28" t="s">
        <v>310</v>
      </c>
      <c r="FB28" t="s">
        <v>310</v>
      </c>
      <c r="FC28" t="s">
        <v>310</v>
      </c>
      <c r="FD28" t="s">
        <v>310</v>
      </c>
      <c r="FE28">
        <v>7.7328712637463299</v>
      </c>
      <c r="FF28" s="164" t="s">
        <v>301</v>
      </c>
      <c r="FG28">
        <v>4.1931376274850329E-2</v>
      </c>
      <c r="FH28">
        <v>4.2644246301850153E-2</v>
      </c>
      <c r="FI28">
        <v>806.18991755167599</v>
      </c>
      <c r="FJ28" s="164">
        <v>0</v>
      </c>
      <c r="FK28" s="164" t="s">
        <v>302</v>
      </c>
      <c r="FL28">
        <v>806.18991755167599</v>
      </c>
      <c r="FM28">
        <v>134.44934774706996</v>
      </c>
      <c r="FN28">
        <v>121.34499053108402</v>
      </c>
      <c r="FO28" s="170" t="s">
        <v>303</v>
      </c>
      <c r="FP28" t="s">
        <v>304</v>
      </c>
      <c r="FQ28" t="s">
        <v>305</v>
      </c>
      <c r="FR28" t="s">
        <v>305</v>
      </c>
      <c r="FS28" t="s">
        <v>305</v>
      </c>
      <c r="FT28">
        <v>1839.7294905651299</v>
      </c>
      <c r="FU28">
        <v>170.73374366476014</v>
      </c>
      <c r="FV28">
        <v>184.70606621909997</v>
      </c>
      <c r="FW28">
        <v>4.9126270125321696</v>
      </c>
      <c r="FX28">
        <v>0.67079314662881018</v>
      </c>
      <c r="FY28">
        <v>0.58962116292433997</v>
      </c>
      <c r="FZ28">
        <v>3.2975955292672698</v>
      </c>
      <c r="GA28">
        <v>0.44793351674852033</v>
      </c>
      <c r="GB28">
        <v>0.40753611539126</v>
      </c>
      <c r="GC28" t="s">
        <v>311</v>
      </c>
    </row>
    <row r="29" spans="1:185" ht="17">
      <c r="A29" t="s">
        <v>180</v>
      </c>
      <c r="B29" s="200" t="s">
        <v>181</v>
      </c>
      <c r="C29" t="s">
        <v>168</v>
      </c>
      <c r="D29" t="s">
        <v>182</v>
      </c>
      <c r="E29">
        <v>2020</v>
      </c>
      <c r="F29" t="s">
        <v>183</v>
      </c>
      <c r="G29" s="141">
        <v>40920.524597167969</v>
      </c>
      <c r="H29">
        <v>1.35</v>
      </c>
      <c r="I29">
        <v>1.35</v>
      </c>
      <c r="J29">
        <v>740.77751933494801</v>
      </c>
      <c r="K29">
        <v>124.28526833724402</v>
      </c>
      <c r="L29">
        <v>105.46109590083597</v>
      </c>
      <c r="M29" s="163" t="b">
        <v>0</v>
      </c>
      <c r="N29" s="163">
        <v>3</v>
      </c>
      <c r="O29" t="s">
        <v>321</v>
      </c>
      <c r="P29" t="s">
        <v>322</v>
      </c>
      <c r="Q29" s="163" t="b">
        <v>1</v>
      </c>
      <c r="R29" s="212" t="s">
        <v>325</v>
      </c>
      <c r="S29" s="163" t="b">
        <v>1</v>
      </c>
      <c r="T29" s="163" t="b">
        <v>0</v>
      </c>
      <c r="U29" s="163" t="s">
        <v>167</v>
      </c>
      <c r="V29" s="163" t="s">
        <v>167</v>
      </c>
      <c r="W29" s="199" t="s">
        <v>167</v>
      </c>
      <c r="X29" s="199" t="s">
        <v>167</v>
      </c>
      <c r="Y29" s="143" t="s">
        <v>184</v>
      </c>
      <c r="Z29" t="s">
        <v>183</v>
      </c>
      <c r="AA29" t="s">
        <v>192</v>
      </c>
      <c r="AB29" t="s">
        <v>193</v>
      </c>
      <c r="AC29">
        <v>5</v>
      </c>
      <c r="AD29">
        <v>3</v>
      </c>
      <c r="AE29">
        <v>25</v>
      </c>
      <c r="AF29">
        <v>27</v>
      </c>
      <c r="AG29">
        <v>35.06</v>
      </c>
      <c r="AH29">
        <v>38.270000457763672</v>
      </c>
      <c r="AI29" t="s">
        <v>194</v>
      </c>
      <c r="AJ29" t="s">
        <v>195</v>
      </c>
      <c r="AK29" s="147">
        <v>18.4404</v>
      </c>
      <c r="AL29" s="147">
        <v>-179.55500000000001</v>
      </c>
      <c r="AM29" s="147">
        <v>11.3</v>
      </c>
      <c r="AN29" s="148" t="s">
        <v>167</v>
      </c>
      <c r="AO29" s="148">
        <v>-1518</v>
      </c>
      <c r="AP29" s="148">
        <v>-1400</v>
      </c>
      <c r="AQ29" t="s">
        <v>196</v>
      </c>
      <c r="AR29" t="s">
        <v>190</v>
      </c>
      <c r="AS29" s="141">
        <v>40920.524597167969</v>
      </c>
      <c r="AT29" t="s">
        <v>206</v>
      </c>
      <c r="AU29">
        <v>1.35</v>
      </c>
      <c r="AV29">
        <v>1.35</v>
      </c>
      <c r="AW29" t="s">
        <v>207</v>
      </c>
      <c r="AX29" t="s">
        <v>208</v>
      </c>
      <c r="AY29" t="s">
        <v>212</v>
      </c>
      <c r="AZ29" t="s">
        <v>167</v>
      </c>
      <c r="BA29" t="s">
        <v>167</v>
      </c>
      <c r="BB29" t="s">
        <v>167</v>
      </c>
      <c r="BC29" t="s">
        <v>167</v>
      </c>
      <c r="BD29" t="s">
        <v>167</v>
      </c>
      <c r="BE29" t="s">
        <v>167</v>
      </c>
      <c r="BF29" t="s">
        <v>167</v>
      </c>
      <c r="BG29" t="s">
        <v>222</v>
      </c>
      <c r="BH29" t="s">
        <v>217</v>
      </c>
      <c r="BI29" s="157" t="s">
        <v>218</v>
      </c>
      <c r="BJ29" s="156" t="s">
        <v>226</v>
      </c>
      <c r="BK29" t="s">
        <v>219</v>
      </c>
      <c r="BL29" t="s">
        <v>220</v>
      </c>
      <c r="BM29" t="s">
        <v>221</v>
      </c>
      <c r="BN29" t="s">
        <v>253</v>
      </c>
      <c r="BO29">
        <v>2</v>
      </c>
      <c r="BP29" s="140">
        <v>0.23823731638247381</v>
      </c>
      <c r="BQ29" s="139">
        <v>15.0520442263749</v>
      </c>
      <c r="BR29" t="s">
        <v>228</v>
      </c>
      <c r="BS29">
        <v>0.24969107500548901</v>
      </c>
      <c r="BT29">
        <v>0.88</v>
      </c>
      <c r="BU29" t="s">
        <v>271</v>
      </c>
      <c r="BV29" t="s">
        <v>271</v>
      </c>
      <c r="BW29" s="163">
        <v>1.85</v>
      </c>
      <c r="BX29" t="s">
        <v>271</v>
      </c>
      <c r="BY29" t="s">
        <v>271</v>
      </c>
      <c r="BZ29" t="s">
        <v>272</v>
      </c>
      <c r="CA29" t="s">
        <v>273</v>
      </c>
      <c r="CB29">
        <v>15.1110647351429</v>
      </c>
      <c r="CC29" t="s">
        <v>274</v>
      </c>
      <c r="CD29" s="165">
        <v>0.25400933563200034</v>
      </c>
      <c r="CE29" t="s">
        <v>326</v>
      </c>
      <c r="CF29" t="s">
        <v>327</v>
      </c>
      <c r="CG29">
        <v>25</v>
      </c>
      <c r="CH29" t="s">
        <v>280</v>
      </c>
      <c r="CI29" t="s">
        <v>280</v>
      </c>
      <c r="CJ29" s="139">
        <v>30.890771131556601</v>
      </c>
      <c r="CK29" t="s">
        <v>281</v>
      </c>
      <c r="CL29" s="140">
        <v>0.60881695880481601</v>
      </c>
      <c r="CM29" s="140">
        <v>0.57101557944939796</v>
      </c>
      <c r="CN29" t="s">
        <v>282</v>
      </c>
      <c r="CO29">
        <v>3.9754866910525402</v>
      </c>
      <c r="CP29" t="s">
        <v>283</v>
      </c>
      <c r="CQ29">
        <v>0.1192646007315762</v>
      </c>
      <c r="CR29">
        <v>0.1192646007315762</v>
      </c>
      <c r="CS29" t="s">
        <v>284</v>
      </c>
      <c r="CT29" t="s">
        <v>167</v>
      </c>
      <c r="CU29" t="s">
        <v>285</v>
      </c>
      <c r="CV29" t="s">
        <v>286</v>
      </c>
      <c r="CW29" t="s">
        <v>280</v>
      </c>
      <c r="CX29" t="s">
        <v>280</v>
      </c>
      <c r="CY29" t="s">
        <v>287</v>
      </c>
      <c r="CZ29" t="s">
        <v>167</v>
      </c>
      <c r="DA29" t="s">
        <v>167</v>
      </c>
      <c r="DB29" t="s">
        <v>167</v>
      </c>
      <c r="DC29" t="s">
        <v>167</v>
      </c>
      <c r="DD29" t="s">
        <v>167</v>
      </c>
      <c r="DE29" t="s">
        <v>167</v>
      </c>
      <c r="DF29" t="s">
        <v>167</v>
      </c>
      <c r="DG29" s="166">
        <v>35</v>
      </c>
      <c r="DH29" t="s">
        <v>288</v>
      </c>
      <c r="DI29">
        <v>1</v>
      </c>
      <c r="DJ29" t="s">
        <v>289</v>
      </c>
      <c r="DK29">
        <v>17</v>
      </c>
      <c r="DL29" t="s">
        <v>290</v>
      </c>
      <c r="DM29" t="s">
        <v>290</v>
      </c>
      <c r="DN29" t="s">
        <v>291</v>
      </c>
      <c r="DO29">
        <v>38</v>
      </c>
      <c r="DP29" t="s">
        <v>290</v>
      </c>
      <c r="DQ29" t="s">
        <v>290</v>
      </c>
      <c r="DR29" t="s">
        <v>291</v>
      </c>
      <c r="DS29" t="s">
        <v>292</v>
      </c>
      <c r="DT29" t="s">
        <v>293</v>
      </c>
      <c r="DU29" t="s">
        <v>293</v>
      </c>
      <c r="DV29" t="s">
        <v>293</v>
      </c>
      <c r="DW29" s="138">
        <v>432.56244218316402</v>
      </c>
      <c r="DX29" t="s">
        <v>294</v>
      </c>
      <c r="DY29" s="138">
        <v>12.358926919521799</v>
      </c>
      <c r="DZ29" t="s">
        <v>295</v>
      </c>
      <c r="EA29">
        <v>38.75</v>
      </c>
      <c r="EB29" t="s">
        <v>296</v>
      </c>
      <c r="EC29">
        <v>0.15</v>
      </c>
      <c r="ED29" t="s">
        <v>328</v>
      </c>
      <c r="EE29" t="s">
        <v>329</v>
      </c>
      <c r="EF29" t="s">
        <v>297</v>
      </c>
      <c r="EG29">
        <v>1.0271999999999999</v>
      </c>
      <c r="EH29" t="s">
        <v>290</v>
      </c>
      <c r="EI29" t="s">
        <v>290</v>
      </c>
      <c r="EJ29" t="s">
        <v>298</v>
      </c>
      <c r="EK29" t="s">
        <v>290</v>
      </c>
      <c r="EL29" t="s">
        <v>290</v>
      </c>
      <c r="EM29" t="s">
        <v>299</v>
      </c>
      <c r="EN29" t="s">
        <v>300</v>
      </c>
      <c r="EO29" t="s">
        <v>329</v>
      </c>
      <c r="EP29" t="s">
        <v>329</v>
      </c>
      <c r="EQ29" t="s">
        <v>329</v>
      </c>
      <c r="ER29" t="s">
        <v>329</v>
      </c>
      <c r="ES29" t="s">
        <v>167</v>
      </c>
      <c r="ET29" t="s">
        <v>307</v>
      </c>
      <c r="EU29" t="s">
        <v>308</v>
      </c>
      <c r="EV29" t="s">
        <v>167</v>
      </c>
      <c r="EW29" s="167">
        <v>1750</v>
      </c>
      <c r="EX29" t="s">
        <v>309</v>
      </c>
      <c r="EY29">
        <v>150</v>
      </c>
      <c r="EZ29">
        <v>150</v>
      </c>
      <c r="FA29" t="s">
        <v>310</v>
      </c>
      <c r="FB29" t="s">
        <v>310</v>
      </c>
      <c r="FC29" t="s">
        <v>310</v>
      </c>
      <c r="FD29" t="s">
        <v>310</v>
      </c>
      <c r="FE29">
        <v>7.7683722099373202</v>
      </c>
      <c r="FF29" s="164" t="s">
        <v>301</v>
      </c>
      <c r="FG29">
        <v>3.7731018558119445E-2</v>
      </c>
      <c r="FH29">
        <v>4.0992777268270331E-2</v>
      </c>
      <c r="FI29">
        <v>740.77751933494801</v>
      </c>
      <c r="FJ29" s="164">
        <v>0</v>
      </c>
      <c r="FK29" s="164" t="s">
        <v>302</v>
      </c>
      <c r="FL29">
        <v>740.77751933494801</v>
      </c>
      <c r="FM29">
        <v>124.28526833724402</v>
      </c>
      <c r="FN29">
        <v>105.46109590083597</v>
      </c>
      <c r="FO29" s="170" t="s">
        <v>303</v>
      </c>
      <c r="FP29" t="s">
        <v>304</v>
      </c>
      <c r="FQ29" t="s">
        <v>305</v>
      </c>
      <c r="FR29" t="s">
        <v>305</v>
      </c>
      <c r="FS29" t="s">
        <v>305</v>
      </c>
      <c r="FT29">
        <v>1844.1109703910299</v>
      </c>
      <c r="FU29">
        <v>174.58505326200998</v>
      </c>
      <c r="FV29">
        <v>188.74101822808984</v>
      </c>
      <c r="FW29">
        <v>5.2880975676860098</v>
      </c>
      <c r="FX29">
        <v>0.70159993237856</v>
      </c>
      <c r="FY29">
        <v>0.64487719438240987</v>
      </c>
      <c r="FZ29">
        <v>3.5416188470384098</v>
      </c>
      <c r="GA29">
        <v>0.47365922860765064</v>
      </c>
      <c r="GB29">
        <v>0.43391254970401993</v>
      </c>
      <c r="GC29" t="s">
        <v>311</v>
      </c>
    </row>
    <row r="30" spans="1:185" ht="17">
      <c r="A30" t="s">
        <v>180</v>
      </c>
      <c r="B30" s="202" t="s">
        <v>181</v>
      </c>
      <c r="C30" t="s">
        <v>168</v>
      </c>
      <c r="D30" t="s">
        <v>182</v>
      </c>
      <c r="E30">
        <v>2020</v>
      </c>
      <c r="F30" t="s">
        <v>183</v>
      </c>
      <c r="G30" s="141">
        <v>41129.554748535156</v>
      </c>
      <c r="H30">
        <v>1.74</v>
      </c>
      <c r="I30">
        <v>1.74</v>
      </c>
      <c r="J30">
        <v>704.82386192383296</v>
      </c>
      <c r="K30">
        <v>115.32956910596704</v>
      </c>
      <c r="L30">
        <v>95.04474892864198</v>
      </c>
      <c r="M30" s="163" t="b">
        <v>0</v>
      </c>
      <c r="N30" s="163">
        <v>3</v>
      </c>
      <c r="O30" t="s">
        <v>321</v>
      </c>
      <c r="P30" t="s">
        <v>322</v>
      </c>
      <c r="Q30" s="163" t="b">
        <v>1</v>
      </c>
      <c r="R30" s="212" t="s">
        <v>325</v>
      </c>
      <c r="S30" s="163" t="b">
        <v>1</v>
      </c>
      <c r="T30" s="163" t="b">
        <v>0</v>
      </c>
      <c r="U30" s="163" t="s">
        <v>167</v>
      </c>
      <c r="V30" s="163" t="s">
        <v>167</v>
      </c>
      <c r="W30" s="199" t="s">
        <v>167</v>
      </c>
      <c r="X30" s="199" t="s">
        <v>167</v>
      </c>
      <c r="Y30" s="143" t="s">
        <v>184</v>
      </c>
      <c r="Z30" t="s">
        <v>183</v>
      </c>
      <c r="AA30" t="s">
        <v>192</v>
      </c>
      <c r="AB30" t="s">
        <v>193</v>
      </c>
      <c r="AC30">
        <v>5</v>
      </c>
      <c r="AD30">
        <v>4</v>
      </c>
      <c r="AE30">
        <v>15</v>
      </c>
      <c r="AF30">
        <v>17</v>
      </c>
      <c r="AG30">
        <v>36.46</v>
      </c>
      <c r="AH30">
        <v>39.669998168945312</v>
      </c>
      <c r="AI30" t="s">
        <v>194</v>
      </c>
      <c r="AJ30" t="s">
        <v>195</v>
      </c>
      <c r="AK30" s="147">
        <v>18.4404</v>
      </c>
      <c r="AL30" s="147">
        <v>-179.55500000000001</v>
      </c>
      <c r="AM30" s="147">
        <v>11.3</v>
      </c>
      <c r="AN30" s="148" t="s">
        <v>167</v>
      </c>
      <c r="AO30" s="148">
        <v>-1518</v>
      </c>
      <c r="AP30" s="148">
        <v>-1400</v>
      </c>
      <c r="AQ30" t="s">
        <v>196</v>
      </c>
      <c r="AR30" t="s">
        <v>190</v>
      </c>
      <c r="AS30" s="141">
        <v>41129.554748535156</v>
      </c>
      <c r="AT30" t="s">
        <v>206</v>
      </c>
      <c r="AU30">
        <v>1.74</v>
      </c>
      <c r="AV30">
        <v>1.74</v>
      </c>
      <c r="AW30" t="s">
        <v>207</v>
      </c>
      <c r="AX30" t="s">
        <v>208</v>
      </c>
      <c r="AY30" t="s">
        <v>212</v>
      </c>
      <c r="AZ30" t="s">
        <v>167</v>
      </c>
      <c r="BA30" t="s">
        <v>167</v>
      </c>
      <c r="BB30" t="s">
        <v>167</v>
      </c>
      <c r="BC30" t="s">
        <v>167</v>
      </c>
      <c r="BD30" t="s">
        <v>167</v>
      </c>
      <c r="BE30" t="s">
        <v>167</v>
      </c>
      <c r="BF30" t="s">
        <v>167</v>
      </c>
      <c r="BG30" t="s">
        <v>222</v>
      </c>
      <c r="BH30" t="s">
        <v>217</v>
      </c>
      <c r="BI30" s="157">
        <v>234</v>
      </c>
      <c r="BJ30" s="157">
        <v>2.504</v>
      </c>
      <c r="BK30" t="s">
        <v>219</v>
      </c>
      <c r="BL30" t="s">
        <v>220</v>
      </c>
      <c r="BM30" t="s">
        <v>221</v>
      </c>
      <c r="BN30" t="s">
        <v>254</v>
      </c>
      <c r="BO30">
        <v>2</v>
      </c>
      <c r="BP30" s="140">
        <v>0.43503437941077999</v>
      </c>
      <c r="BQ30" s="139">
        <v>15.1901142346884</v>
      </c>
      <c r="BR30" t="s">
        <v>228</v>
      </c>
      <c r="BS30">
        <v>0.24794981197117899</v>
      </c>
      <c r="BT30">
        <v>0.88</v>
      </c>
      <c r="BU30" t="s">
        <v>271</v>
      </c>
      <c r="BV30" t="s">
        <v>271</v>
      </c>
      <c r="BW30" s="163">
        <v>1.85</v>
      </c>
      <c r="BX30" t="s">
        <v>271</v>
      </c>
      <c r="BY30" t="s">
        <v>271</v>
      </c>
      <c r="BZ30" t="s">
        <v>272</v>
      </c>
      <c r="CA30" t="s">
        <v>273</v>
      </c>
      <c r="CB30">
        <v>15.282409049539901</v>
      </c>
      <c r="CC30" t="s">
        <v>274</v>
      </c>
      <c r="CD30" s="165">
        <v>0.27020311992285073</v>
      </c>
      <c r="CE30" t="s">
        <v>326</v>
      </c>
      <c r="CF30" t="s">
        <v>327</v>
      </c>
      <c r="CG30">
        <v>25</v>
      </c>
      <c r="CH30" t="s">
        <v>280</v>
      </c>
      <c r="CI30" t="s">
        <v>280</v>
      </c>
      <c r="CJ30" s="139">
        <v>30.896967651625602</v>
      </c>
      <c r="CK30" t="s">
        <v>281</v>
      </c>
      <c r="CL30" s="140">
        <v>0.60904826771368903</v>
      </c>
      <c r="CM30" s="140">
        <v>0.59360521382653197</v>
      </c>
      <c r="CN30" t="s">
        <v>282</v>
      </c>
      <c r="CO30">
        <v>3.9316416120246598</v>
      </c>
      <c r="CP30" t="s">
        <v>283</v>
      </c>
      <c r="CQ30">
        <v>0.11794924836073979</v>
      </c>
      <c r="CR30">
        <v>0.11794924836073979</v>
      </c>
      <c r="CS30" t="s">
        <v>284</v>
      </c>
      <c r="CT30" t="s">
        <v>167</v>
      </c>
      <c r="CU30" t="s">
        <v>285</v>
      </c>
      <c r="CV30" t="s">
        <v>286</v>
      </c>
      <c r="CW30" t="s">
        <v>280</v>
      </c>
      <c r="CX30" t="s">
        <v>280</v>
      </c>
      <c r="CY30" t="s">
        <v>287</v>
      </c>
      <c r="CZ30" t="s">
        <v>167</v>
      </c>
      <c r="DA30" t="s">
        <v>167</v>
      </c>
      <c r="DB30" t="s">
        <v>167</v>
      </c>
      <c r="DC30" t="s">
        <v>167</v>
      </c>
      <c r="DD30" t="s">
        <v>167</v>
      </c>
      <c r="DE30" t="s">
        <v>167</v>
      </c>
      <c r="DF30" t="s">
        <v>167</v>
      </c>
      <c r="DG30" s="166">
        <v>35</v>
      </c>
      <c r="DH30" t="s">
        <v>288</v>
      </c>
      <c r="DI30">
        <v>1</v>
      </c>
      <c r="DJ30" t="s">
        <v>289</v>
      </c>
      <c r="DK30">
        <v>17</v>
      </c>
      <c r="DL30" t="s">
        <v>290</v>
      </c>
      <c r="DM30" t="s">
        <v>290</v>
      </c>
      <c r="DN30" t="s">
        <v>291</v>
      </c>
      <c r="DO30">
        <v>38</v>
      </c>
      <c r="DP30" t="s">
        <v>290</v>
      </c>
      <c r="DQ30" t="s">
        <v>290</v>
      </c>
      <c r="DR30" t="s">
        <v>291</v>
      </c>
      <c r="DS30" t="s">
        <v>292</v>
      </c>
      <c r="DT30" t="s">
        <v>293</v>
      </c>
      <c r="DU30" t="s">
        <v>293</v>
      </c>
      <c r="DV30" t="s">
        <v>293</v>
      </c>
      <c r="DW30" s="138">
        <v>432.56244218316402</v>
      </c>
      <c r="DX30" t="s">
        <v>294</v>
      </c>
      <c r="DY30" s="138">
        <v>12.358926919521901</v>
      </c>
      <c r="DZ30" t="s">
        <v>295</v>
      </c>
      <c r="EA30">
        <v>38.75</v>
      </c>
      <c r="EB30" t="s">
        <v>296</v>
      </c>
      <c r="EC30">
        <v>0.15</v>
      </c>
      <c r="ED30" t="s">
        <v>328</v>
      </c>
      <c r="EE30" t="s">
        <v>329</v>
      </c>
      <c r="EF30" t="s">
        <v>297</v>
      </c>
      <c r="EG30">
        <v>1.0271999999999999</v>
      </c>
      <c r="EH30" t="s">
        <v>290</v>
      </c>
      <c r="EI30" t="s">
        <v>290</v>
      </c>
      <c r="EJ30" t="s">
        <v>298</v>
      </c>
      <c r="EK30" t="s">
        <v>290</v>
      </c>
      <c r="EL30" t="s">
        <v>290</v>
      </c>
      <c r="EM30" t="s">
        <v>299</v>
      </c>
      <c r="EN30" t="s">
        <v>300</v>
      </c>
      <c r="EO30" t="s">
        <v>329</v>
      </c>
      <c r="EP30" t="s">
        <v>329</v>
      </c>
      <c r="EQ30" t="s">
        <v>329</v>
      </c>
      <c r="ER30" t="s">
        <v>329</v>
      </c>
      <c r="ES30" t="s">
        <v>167</v>
      </c>
      <c r="ET30" t="s">
        <v>307</v>
      </c>
      <c r="EU30" t="s">
        <v>308</v>
      </c>
      <c r="EV30" t="s">
        <v>167</v>
      </c>
      <c r="EW30" s="167">
        <v>1750</v>
      </c>
      <c r="EX30" t="s">
        <v>309</v>
      </c>
      <c r="EY30">
        <v>150</v>
      </c>
      <c r="EZ30">
        <v>150</v>
      </c>
      <c r="FA30" t="s">
        <v>310</v>
      </c>
      <c r="FB30" t="s">
        <v>310</v>
      </c>
      <c r="FC30" t="s">
        <v>310</v>
      </c>
      <c r="FD30" t="s">
        <v>310</v>
      </c>
      <c r="FE30">
        <v>7.7896363443886001</v>
      </c>
      <c r="FF30" s="164" t="s">
        <v>301</v>
      </c>
      <c r="FG30">
        <v>3.6795569816339579E-2</v>
      </c>
      <c r="FH30">
        <v>4.1332130330480332E-2</v>
      </c>
      <c r="FI30">
        <v>704.82386192383296</v>
      </c>
      <c r="FJ30" s="164">
        <v>0</v>
      </c>
      <c r="FK30" s="164" t="s">
        <v>302</v>
      </c>
      <c r="FL30">
        <v>704.82386192383296</v>
      </c>
      <c r="FM30">
        <v>115.32956910596704</v>
      </c>
      <c r="FN30">
        <v>95.04474892864198</v>
      </c>
      <c r="FO30" s="170" t="s">
        <v>303</v>
      </c>
      <c r="FP30" t="s">
        <v>304</v>
      </c>
      <c r="FQ30" t="s">
        <v>305</v>
      </c>
      <c r="FR30" t="s">
        <v>305</v>
      </c>
      <c r="FS30" t="s">
        <v>305</v>
      </c>
      <c r="FT30">
        <v>1844.65199675914</v>
      </c>
      <c r="FU30">
        <v>187.48870764623985</v>
      </c>
      <c r="FV30">
        <v>177.20871415165016</v>
      </c>
      <c r="FW30">
        <v>5.5685920231214299</v>
      </c>
      <c r="FX30">
        <v>0.70142791927742021</v>
      </c>
      <c r="FY30">
        <v>0.67384170998215964</v>
      </c>
      <c r="FZ30">
        <v>3.7337414586364899</v>
      </c>
      <c r="GA30">
        <v>0.47428340969898031</v>
      </c>
      <c r="GB30">
        <v>0.45759783067778992</v>
      </c>
      <c r="GC30" t="s">
        <v>311</v>
      </c>
    </row>
    <row r="31" spans="1:185" ht="17">
      <c r="A31" t="s">
        <v>180</v>
      </c>
      <c r="B31" s="202" t="s">
        <v>181</v>
      </c>
      <c r="C31" t="s">
        <v>168</v>
      </c>
      <c r="D31" t="s">
        <v>182</v>
      </c>
      <c r="E31">
        <v>2020</v>
      </c>
      <c r="F31" t="s">
        <v>183</v>
      </c>
      <c r="G31" s="141">
        <v>41529.5</v>
      </c>
      <c r="H31">
        <v>5.71</v>
      </c>
      <c r="I31">
        <v>5.71</v>
      </c>
      <c r="J31">
        <v>727.58037866897996</v>
      </c>
      <c r="K31">
        <v>117.45328229499808</v>
      </c>
      <c r="L31">
        <v>99.745442677852907</v>
      </c>
      <c r="M31" s="163" t="b">
        <v>0</v>
      </c>
      <c r="N31" s="163">
        <v>3</v>
      </c>
      <c r="O31" t="s">
        <v>321</v>
      </c>
      <c r="P31" t="s">
        <v>322</v>
      </c>
      <c r="Q31" s="163" t="b">
        <v>1</v>
      </c>
      <c r="R31" s="212" t="s">
        <v>325</v>
      </c>
      <c r="S31" s="163" t="b">
        <v>1</v>
      </c>
      <c r="T31" s="163" t="b">
        <v>0</v>
      </c>
      <c r="U31" s="163" t="s">
        <v>167</v>
      </c>
      <c r="V31" s="163" t="s">
        <v>167</v>
      </c>
      <c r="W31" s="199" t="s">
        <v>167</v>
      </c>
      <c r="X31" s="199" t="s">
        <v>167</v>
      </c>
      <c r="Y31" s="143" t="s">
        <v>306</v>
      </c>
      <c r="Z31" t="s">
        <v>183</v>
      </c>
      <c r="AA31" t="s">
        <v>192</v>
      </c>
      <c r="AB31" t="s">
        <v>193</v>
      </c>
      <c r="AC31">
        <v>5</v>
      </c>
      <c r="AD31">
        <v>5</v>
      </c>
      <c r="AE31">
        <v>107</v>
      </c>
      <c r="AF31">
        <v>116</v>
      </c>
      <c r="AG31">
        <v>38.914999999999999</v>
      </c>
      <c r="AH31" s="4">
        <v>42.134999999999998</v>
      </c>
      <c r="AI31" t="s">
        <v>194</v>
      </c>
      <c r="AJ31" t="s">
        <v>195</v>
      </c>
      <c r="AK31" s="147">
        <v>18.4404</v>
      </c>
      <c r="AL31" s="147">
        <v>-179.55500000000001</v>
      </c>
      <c r="AM31" s="147">
        <v>11.3</v>
      </c>
      <c r="AN31" s="148" t="s">
        <v>167</v>
      </c>
      <c r="AO31" s="148">
        <v>-1518</v>
      </c>
      <c r="AP31" s="148">
        <v>-1400</v>
      </c>
      <c r="AQ31" t="s">
        <v>196</v>
      </c>
      <c r="AR31" t="s">
        <v>190</v>
      </c>
      <c r="AS31" s="141">
        <v>41529.5</v>
      </c>
      <c r="AT31" t="s">
        <v>206</v>
      </c>
      <c r="AU31">
        <v>5.71</v>
      </c>
      <c r="AV31">
        <v>5.71</v>
      </c>
      <c r="AW31" t="s">
        <v>207</v>
      </c>
      <c r="AX31" t="s">
        <v>208</v>
      </c>
      <c r="AY31" t="s">
        <v>212</v>
      </c>
      <c r="AZ31" t="s">
        <v>167</v>
      </c>
      <c r="BA31" t="s">
        <v>167</v>
      </c>
      <c r="BB31" t="s">
        <v>167</v>
      </c>
      <c r="BC31" t="s">
        <v>167</v>
      </c>
      <c r="BD31" t="s">
        <v>167</v>
      </c>
      <c r="BE31" t="s">
        <v>167</v>
      </c>
      <c r="BF31" t="s">
        <v>167</v>
      </c>
      <c r="BG31" t="s">
        <v>216</v>
      </c>
      <c r="BH31" t="s">
        <v>217</v>
      </c>
      <c r="BI31" s="157" t="s">
        <v>218</v>
      </c>
      <c r="BJ31" s="156" t="s">
        <v>226</v>
      </c>
      <c r="BK31" t="s">
        <v>219</v>
      </c>
      <c r="BL31" t="s">
        <v>220</v>
      </c>
      <c r="BM31" t="s">
        <v>221</v>
      </c>
      <c r="BN31" t="s">
        <v>218</v>
      </c>
      <c r="BO31">
        <v>2</v>
      </c>
      <c r="BP31" s="140" t="s">
        <v>218</v>
      </c>
      <c r="BQ31" s="139">
        <v>15.35</v>
      </c>
      <c r="BR31" t="s">
        <v>228</v>
      </c>
      <c r="BS31">
        <v>0.26</v>
      </c>
      <c r="BT31">
        <v>0.88</v>
      </c>
      <c r="BU31" t="s">
        <v>271</v>
      </c>
      <c r="BV31" t="s">
        <v>271</v>
      </c>
      <c r="BW31" s="163">
        <v>1.85</v>
      </c>
      <c r="BX31" t="s">
        <v>271</v>
      </c>
      <c r="BY31" t="s">
        <v>271</v>
      </c>
      <c r="BZ31" t="s">
        <v>272</v>
      </c>
      <c r="CA31" t="s">
        <v>273</v>
      </c>
      <c r="CB31">
        <v>15.4649141484438</v>
      </c>
      <c r="CC31" t="s">
        <v>274</v>
      </c>
      <c r="CD31" s="165">
        <v>0.27155302444285034</v>
      </c>
      <c r="CE31" t="s">
        <v>326</v>
      </c>
      <c r="CF31" t="s">
        <v>327</v>
      </c>
      <c r="CG31">
        <v>25</v>
      </c>
      <c r="CH31" t="s">
        <v>280</v>
      </c>
      <c r="CI31" t="s">
        <v>280</v>
      </c>
      <c r="CJ31" s="139">
        <v>33.559500117302903</v>
      </c>
      <c r="CK31" t="s">
        <v>281</v>
      </c>
      <c r="CL31" s="140">
        <v>0.56923950840089099</v>
      </c>
      <c r="CM31" s="140">
        <v>0.61286803701497705</v>
      </c>
      <c r="CN31" t="s">
        <v>282</v>
      </c>
      <c r="CO31">
        <v>4.5999999999999996</v>
      </c>
      <c r="CP31" t="s">
        <v>283</v>
      </c>
      <c r="CQ31">
        <v>0.13799999999999998</v>
      </c>
      <c r="CR31">
        <v>0.13799999999999998</v>
      </c>
      <c r="CS31" t="s">
        <v>284</v>
      </c>
      <c r="CT31" t="s">
        <v>167</v>
      </c>
      <c r="CU31" t="s">
        <v>285</v>
      </c>
      <c r="CV31" t="s">
        <v>286</v>
      </c>
      <c r="CW31" t="s">
        <v>280</v>
      </c>
      <c r="CX31" t="s">
        <v>280</v>
      </c>
      <c r="CY31" t="s">
        <v>287</v>
      </c>
      <c r="CZ31" t="s">
        <v>167</v>
      </c>
      <c r="DA31" t="s">
        <v>167</v>
      </c>
      <c r="DB31" t="s">
        <v>167</v>
      </c>
      <c r="DC31" t="s">
        <v>167</v>
      </c>
      <c r="DD31" t="s">
        <v>167</v>
      </c>
      <c r="DE31" t="s">
        <v>167</v>
      </c>
      <c r="DF31" t="s">
        <v>167</v>
      </c>
      <c r="DG31" s="166">
        <v>35</v>
      </c>
      <c r="DH31" t="s">
        <v>288</v>
      </c>
      <c r="DI31">
        <v>1</v>
      </c>
      <c r="DJ31" t="s">
        <v>289</v>
      </c>
      <c r="DK31">
        <v>17</v>
      </c>
      <c r="DL31" t="s">
        <v>290</v>
      </c>
      <c r="DM31" t="s">
        <v>290</v>
      </c>
      <c r="DN31" t="s">
        <v>291</v>
      </c>
      <c r="DO31">
        <v>38</v>
      </c>
      <c r="DP31" t="s">
        <v>290</v>
      </c>
      <c r="DQ31" t="s">
        <v>290</v>
      </c>
      <c r="DR31" t="s">
        <v>291</v>
      </c>
      <c r="DS31" t="s">
        <v>292</v>
      </c>
      <c r="DT31" t="s">
        <v>293</v>
      </c>
      <c r="DU31" t="s">
        <v>293</v>
      </c>
      <c r="DV31" t="s">
        <v>293</v>
      </c>
      <c r="DW31" s="138">
        <v>432.56244218316402</v>
      </c>
      <c r="DX31" t="s">
        <v>294</v>
      </c>
      <c r="DY31" s="138">
        <v>12.358926919522</v>
      </c>
      <c r="DZ31" t="s">
        <v>295</v>
      </c>
      <c r="EA31">
        <v>38.75</v>
      </c>
      <c r="EB31" t="s">
        <v>296</v>
      </c>
      <c r="EC31">
        <v>0.15</v>
      </c>
      <c r="ED31" t="s">
        <v>328</v>
      </c>
      <c r="EE31" t="s">
        <v>329</v>
      </c>
      <c r="EF31" t="s">
        <v>297</v>
      </c>
      <c r="EG31">
        <v>1.0271999999999999</v>
      </c>
      <c r="EH31" t="s">
        <v>290</v>
      </c>
      <c r="EI31" t="s">
        <v>290</v>
      </c>
      <c r="EJ31" t="s">
        <v>298</v>
      </c>
      <c r="EK31" t="s">
        <v>290</v>
      </c>
      <c r="EL31" t="s">
        <v>290</v>
      </c>
      <c r="EM31" t="s">
        <v>299</v>
      </c>
      <c r="EN31" t="s">
        <v>300</v>
      </c>
      <c r="EO31" t="s">
        <v>329</v>
      </c>
      <c r="EP31" t="s">
        <v>329</v>
      </c>
      <c r="EQ31" t="s">
        <v>329</v>
      </c>
      <c r="ER31" t="s">
        <v>329</v>
      </c>
      <c r="ES31" t="s">
        <v>167</v>
      </c>
      <c r="ET31" t="s">
        <v>307</v>
      </c>
      <c r="EU31" t="s">
        <v>308</v>
      </c>
      <c r="EV31" t="s">
        <v>167</v>
      </c>
      <c r="EW31" s="167">
        <v>1750</v>
      </c>
      <c r="EX31" t="s">
        <v>309</v>
      </c>
      <c r="EY31">
        <v>150</v>
      </c>
      <c r="EZ31">
        <v>150</v>
      </c>
      <c r="FA31" t="s">
        <v>310</v>
      </c>
      <c r="FB31" t="s">
        <v>310</v>
      </c>
      <c r="FC31" t="s">
        <v>310</v>
      </c>
      <c r="FD31" t="s">
        <v>310</v>
      </c>
      <c r="FE31">
        <v>7.7823072772679698</v>
      </c>
      <c r="FF31" s="164" t="s">
        <v>301</v>
      </c>
      <c r="FG31">
        <v>3.6150426900769972E-2</v>
      </c>
      <c r="FH31">
        <v>3.9006356197790026E-2</v>
      </c>
      <c r="FI31">
        <v>727.58037866897996</v>
      </c>
      <c r="FJ31" s="164">
        <v>0</v>
      </c>
      <c r="FK31" s="164" t="s">
        <v>302</v>
      </c>
      <c r="FL31">
        <v>727.58037866897996</v>
      </c>
      <c r="FM31">
        <v>117.45328229499808</v>
      </c>
      <c r="FN31">
        <v>99.745442677852907</v>
      </c>
      <c r="FO31" s="170" t="s">
        <v>303</v>
      </c>
      <c r="FP31" t="s">
        <v>304</v>
      </c>
      <c r="FQ31" t="s">
        <v>305</v>
      </c>
      <c r="FR31" t="s">
        <v>305</v>
      </c>
      <c r="FS31" t="s">
        <v>305</v>
      </c>
      <c r="FT31">
        <v>1849.5753589951601</v>
      </c>
      <c r="FU31">
        <v>184.73927192191991</v>
      </c>
      <c r="FV31">
        <v>171.2149373100001</v>
      </c>
      <c r="FW31">
        <v>6.0284675934186103</v>
      </c>
      <c r="FX31">
        <v>0.76448676218369993</v>
      </c>
      <c r="FY31">
        <v>0.69341455872263058</v>
      </c>
      <c r="FZ31">
        <v>4.0775362706914997</v>
      </c>
      <c r="GA31">
        <v>0.52697013412677052</v>
      </c>
      <c r="GB31">
        <v>0.46998589638472987</v>
      </c>
      <c r="GC31" t="s">
        <v>312</v>
      </c>
    </row>
    <row r="32" spans="1:185" ht="17">
      <c r="A32" s="149" t="s">
        <v>180</v>
      </c>
      <c r="B32" s="203" t="s">
        <v>181</v>
      </c>
      <c r="C32" s="149" t="s">
        <v>168</v>
      </c>
      <c r="D32" s="149" t="s">
        <v>182</v>
      </c>
      <c r="E32" s="149">
        <v>2020</v>
      </c>
      <c r="F32" s="149" t="s">
        <v>183</v>
      </c>
      <c r="G32" s="141">
        <v>39918.621063232422</v>
      </c>
      <c r="H32" s="149">
        <v>1</v>
      </c>
      <c r="I32" s="149">
        <v>1</v>
      </c>
      <c r="J32">
        <v>747.20128676654599</v>
      </c>
      <c r="K32">
        <v>133.87538538578804</v>
      </c>
      <c r="L32">
        <v>110.28314119733898</v>
      </c>
      <c r="M32" s="163" t="b">
        <v>0</v>
      </c>
      <c r="N32" s="163">
        <v>3</v>
      </c>
      <c r="O32" t="s">
        <v>332</v>
      </c>
      <c r="P32" t="b">
        <v>0</v>
      </c>
      <c r="Q32" s="163" t="b">
        <v>1</v>
      </c>
      <c r="R32" s="212" t="s">
        <v>325</v>
      </c>
      <c r="S32" s="163" t="b">
        <v>1</v>
      </c>
      <c r="T32" s="163" t="b">
        <v>0</v>
      </c>
      <c r="U32" s="163" t="s">
        <v>167</v>
      </c>
      <c r="V32" s="163" t="s">
        <v>167</v>
      </c>
      <c r="W32" s="199" t="s">
        <v>167</v>
      </c>
      <c r="X32" s="199" t="s">
        <v>167</v>
      </c>
      <c r="Y32" s="192" t="s">
        <v>184</v>
      </c>
      <c r="Z32" s="149" t="s">
        <v>183</v>
      </c>
      <c r="AA32" s="149" t="s">
        <v>198</v>
      </c>
      <c r="AB32" s="149" t="s">
        <v>191</v>
      </c>
      <c r="AC32" s="149">
        <v>8</v>
      </c>
      <c r="AD32" s="149">
        <v>3</v>
      </c>
      <c r="AE32" s="149">
        <v>2</v>
      </c>
      <c r="AF32" s="149">
        <v>4</v>
      </c>
      <c r="AG32" s="149">
        <v>66.33</v>
      </c>
      <c r="AH32" t="s">
        <v>167</v>
      </c>
      <c r="AI32" s="149" t="s">
        <v>199</v>
      </c>
      <c r="AJ32" s="149" t="s">
        <v>200</v>
      </c>
      <c r="AK32" s="150">
        <v>-50.945999999999998</v>
      </c>
      <c r="AL32" s="150">
        <v>-26.368600000000001</v>
      </c>
      <c r="AM32" s="150">
        <v>-57.4</v>
      </c>
      <c r="AN32" s="151" t="s">
        <v>167</v>
      </c>
      <c r="AO32" s="151">
        <v>-3083.4</v>
      </c>
      <c r="AP32" s="150">
        <v>-2250</v>
      </c>
      <c r="AQ32" s="149" t="s">
        <v>201</v>
      </c>
      <c r="AR32" s="149" t="s">
        <v>190</v>
      </c>
      <c r="AS32" s="141">
        <v>39918.621063232422</v>
      </c>
      <c r="AT32" s="149" t="s">
        <v>206</v>
      </c>
      <c r="AU32" s="149">
        <v>1</v>
      </c>
      <c r="AV32" s="149">
        <v>1</v>
      </c>
      <c r="AW32" s="149" t="s">
        <v>207</v>
      </c>
      <c r="AX32" s="149" t="s">
        <v>208</v>
      </c>
      <c r="AY32" s="171" t="s">
        <v>209</v>
      </c>
      <c r="AZ32" s="149">
        <v>39.743250000000003</v>
      </c>
      <c r="BA32" s="149" t="s">
        <v>167</v>
      </c>
      <c r="BB32" s="149" t="s">
        <v>167</v>
      </c>
      <c r="BC32" s="149" t="s">
        <v>167</v>
      </c>
      <c r="BD32" s="149" t="s">
        <v>207</v>
      </c>
      <c r="BE32" s="149" t="s">
        <v>213</v>
      </c>
      <c r="BF32" s="149" t="s">
        <v>214</v>
      </c>
      <c r="BG32" s="149" t="s">
        <v>225</v>
      </c>
      <c r="BH32" s="149" t="s">
        <v>217</v>
      </c>
      <c r="BI32" s="157">
        <v>274</v>
      </c>
      <c r="BJ32" s="205">
        <v>3.8380000000000001</v>
      </c>
      <c r="BK32" s="149" t="s">
        <v>219</v>
      </c>
      <c r="BL32" s="149" t="s">
        <v>220</v>
      </c>
      <c r="BM32" s="149" t="s">
        <v>221</v>
      </c>
      <c r="BN32" s="149" t="s">
        <v>255</v>
      </c>
      <c r="BO32" s="149">
        <v>2</v>
      </c>
      <c r="BP32" s="160">
        <v>3.4908474807378909E-2</v>
      </c>
      <c r="BQ32" s="161">
        <v>11.927265982652001</v>
      </c>
      <c r="BR32" s="149" t="s">
        <v>228</v>
      </c>
      <c r="BS32" s="149">
        <v>0.232330287727259</v>
      </c>
      <c r="BT32" s="149">
        <v>1.02</v>
      </c>
      <c r="BU32" s="149" t="s">
        <v>275</v>
      </c>
      <c r="BV32" s="149">
        <v>0.5</v>
      </c>
      <c r="BW32" s="149">
        <v>-2.4900000000000002</v>
      </c>
      <c r="BX32" s="149" t="s">
        <v>276</v>
      </c>
      <c r="BY32" s="149">
        <v>9.01</v>
      </c>
      <c r="BZ32" s="149" t="s">
        <v>277</v>
      </c>
      <c r="CA32" s="149" t="s">
        <v>278</v>
      </c>
      <c r="CB32">
        <v>14.1124597606953</v>
      </c>
      <c r="CC32" t="s">
        <v>274</v>
      </c>
      <c r="CD32" s="165">
        <v>0.22974278866079967</v>
      </c>
      <c r="CE32" t="s">
        <v>326</v>
      </c>
      <c r="CF32" t="s">
        <v>327</v>
      </c>
      <c r="CG32">
        <v>25</v>
      </c>
      <c r="CH32" t="s">
        <v>280</v>
      </c>
      <c r="CI32" t="s">
        <v>280</v>
      </c>
      <c r="CJ32" s="139">
        <v>20.389098756559498</v>
      </c>
      <c r="CK32" t="s">
        <v>281</v>
      </c>
      <c r="CL32" s="140">
        <v>0.68482769999941695</v>
      </c>
      <c r="CM32" s="140">
        <v>0.62612038912244805</v>
      </c>
      <c r="CN32" t="s">
        <v>282</v>
      </c>
      <c r="CO32">
        <v>2.2155431832969099</v>
      </c>
      <c r="CP32" t="s">
        <v>283</v>
      </c>
      <c r="CQ32" s="149">
        <v>6.6466295498907299E-2</v>
      </c>
      <c r="CR32" s="149">
        <v>6.6466295498907299E-2</v>
      </c>
      <c r="CS32" t="s">
        <v>284</v>
      </c>
      <c r="CT32" t="s">
        <v>167</v>
      </c>
      <c r="CU32" t="s">
        <v>285</v>
      </c>
      <c r="CV32" t="s">
        <v>286</v>
      </c>
      <c r="CW32" t="s">
        <v>280</v>
      </c>
      <c r="CX32" t="s">
        <v>280</v>
      </c>
      <c r="CY32" t="s">
        <v>287</v>
      </c>
      <c r="CZ32" t="s">
        <v>167</v>
      </c>
      <c r="DA32" t="s">
        <v>167</v>
      </c>
      <c r="DB32" t="s">
        <v>167</v>
      </c>
      <c r="DC32" t="s">
        <v>167</v>
      </c>
      <c r="DD32" t="s">
        <v>167</v>
      </c>
      <c r="DE32" t="s">
        <v>167</v>
      </c>
      <c r="DF32" t="s">
        <v>167</v>
      </c>
      <c r="DG32" s="166">
        <v>35</v>
      </c>
      <c r="DH32" t="s">
        <v>288</v>
      </c>
      <c r="DI32">
        <v>1</v>
      </c>
      <c r="DJ32" t="s">
        <v>289</v>
      </c>
      <c r="DK32">
        <v>17</v>
      </c>
      <c r="DL32" t="s">
        <v>290</v>
      </c>
      <c r="DM32" t="s">
        <v>290</v>
      </c>
      <c r="DN32" t="s">
        <v>291</v>
      </c>
      <c r="DO32">
        <v>38</v>
      </c>
      <c r="DP32" t="s">
        <v>290</v>
      </c>
      <c r="DQ32" t="s">
        <v>290</v>
      </c>
      <c r="DR32" t="s">
        <v>291</v>
      </c>
      <c r="DS32" t="s">
        <v>292</v>
      </c>
      <c r="DT32" t="s">
        <v>293</v>
      </c>
      <c r="DU32" t="s">
        <v>293</v>
      </c>
      <c r="DV32" t="s">
        <v>293</v>
      </c>
      <c r="DW32" s="138">
        <v>432.56244218316402</v>
      </c>
      <c r="DX32" t="s">
        <v>294</v>
      </c>
      <c r="DY32" s="138">
        <v>12.358926919522199</v>
      </c>
      <c r="DZ32" t="s">
        <v>295</v>
      </c>
      <c r="EA32">
        <v>38.75</v>
      </c>
      <c r="EB32" t="s">
        <v>296</v>
      </c>
      <c r="EC32">
        <v>0.15</v>
      </c>
      <c r="ED32" t="s">
        <v>328</v>
      </c>
      <c r="EE32" t="s">
        <v>329</v>
      </c>
      <c r="EF32" t="s">
        <v>297</v>
      </c>
      <c r="EG32">
        <v>1.0271999999999999</v>
      </c>
      <c r="EH32" t="s">
        <v>290</v>
      </c>
      <c r="EI32" t="s">
        <v>290</v>
      </c>
      <c r="EJ32" t="s">
        <v>298</v>
      </c>
      <c r="EK32" t="s">
        <v>290</v>
      </c>
      <c r="EL32" t="s">
        <v>290</v>
      </c>
      <c r="EM32" t="s">
        <v>299</v>
      </c>
      <c r="EN32" t="s">
        <v>300</v>
      </c>
      <c r="EO32" t="s">
        <v>329</v>
      </c>
      <c r="EP32" t="s">
        <v>329</v>
      </c>
      <c r="EQ32" t="s">
        <v>329</v>
      </c>
      <c r="ER32" t="s">
        <v>329</v>
      </c>
      <c r="ES32" t="s">
        <v>167</v>
      </c>
      <c r="ET32" t="s">
        <v>307</v>
      </c>
      <c r="EU32" t="s">
        <v>308</v>
      </c>
      <c r="EV32" t="s">
        <v>167</v>
      </c>
      <c r="EW32" s="167">
        <v>1750</v>
      </c>
      <c r="EX32" t="s">
        <v>309</v>
      </c>
      <c r="EY32">
        <v>150</v>
      </c>
      <c r="EZ32">
        <v>150</v>
      </c>
      <c r="FA32" t="s">
        <v>310</v>
      </c>
      <c r="FB32" t="s">
        <v>310</v>
      </c>
      <c r="FC32" t="s">
        <v>310</v>
      </c>
      <c r="FD32" t="s">
        <v>310</v>
      </c>
      <c r="FE32">
        <v>7.7419148739405799</v>
      </c>
      <c r="FF32" s="164" t="s">
        <v>301</v>
      </c>
      <c r="FG32">
        <v>4.2805634877050025E-2</v>
      </c>
      <c r="FH32">
        <v>4.5863999800920041E-2</v>
      </c>
      <c r="FI32">
        <v>747.20128676654599</v>
      </c>
      <c r="FJ32" s="164">
        <v>0</v>
      </c>
      <c r="FK32" s="164" t="s">
        <v>302</v>
      </c>
      <c r="FL32">
        <v>747.20128676654599</v>
      </c>
      <c r="FM32">
        <v>133.87538538578804</v>
      </c>
      <c r="FN32">
        <v>110.28314119733898</v>
      </c>
      <c r="FO32" s="170" t="s">
        <v>303</v>
      </c>
      <c r="FP32" t="s">
        <v>304</v>
      </c>
      <c r="FQ32" t="s">
        <v>305</v>
      </c>
      <c r="FR32" t="s">
        <v>305</v>
      </c>
      <c r="FS32" t="s">
        <v>305</v>
      </c>
      <c r="FT32">
        <v>1822.5863748412301</v>
      </c>
      <c r="FU32" s="149">
        <v>176.44447853780002</v>
      </c>
      <c r="FV32" s="149">
        <v>187.79722746824996</v>
      </c>
      <c r="FW32">
        <v>3.3571709277441402</v>
      </c>
      <c r="FX32">
        <v>0.45638219907711974</v>
      </c>
      <c r="FY32">
        <v>0.43473542338261018</v>
      </c>
      <c r="FZ32">
        <v>2.1792874537284201</v>
      </c>
      <c r="GA32">
        <v>0.29986488748610984</v>
      </c>
      <c r="GB32">
        <v>0.28140284879506017</v>
      </c>
      <c r="GC32" t="s">
        <v>311</v>
      </c>
    </row>
    <row r="33" spans="1:185" ht="17">
      <c r="A33" t="s">
        <v>180</v>
      </c>
      <c r="B33" s="202" t="s">
        <v>181</v>
      </c>
      <c r="C33" t="s">
        <v>168</v>
      </c>
      <c r="D33" t="s">
        <v>182</v>
      </c>
      <c r="E33">
        <v>2020</v>
      </c>
      <c r="F33" t="s">
        <v>183</v>
      </c>
      <c r="G33" s="141">
        <v>40089.321136474609</v>
      </c>
      <c r="H33">
        <v>1</v>
      </c>
      <c r="I33">
        <v>1</v>
      </c>
      <c r="J33">
        <v>693.74532651357299</v>
      </c>
      <c r="K33">
        <v>114.71399104769705</v>
      </c>
      <c r="L33">
        <v>97.794032678020017</v>
      </c>
      <c r="M33" s="163" t="b">
        <v>0</v>
      </c>
      <c r="N33" s="163">
        <v>3</v>
      </c>
      <c r="O33" t="s">
        <v>332</v>
      </c>
      <c r="P33" t="b">
        <v>0</v>
      </c>
      <c r="Q33" s="163" t="b">
        <v>1</v>
      </c>
      <c r="R33" s="212" t="s">
        <v>325</v>
      </c>
      <c r="S33" s="163" t="b">
        <v>1</v>
      </c>
      <c r="T33" s="163" t="b">
        <v>0</v>
      </c>
      <c r="U33" s="163" t="s">
        <v>167</v>
      </c>
      <c r="V33" s="163" t="s">
        <v>167</v>
      </c>
      <c r="W33" s="199" t="s">
        <v>167</v>
      </c>
      <c r="X33" s="199" t="s">
        <v>167</v>
      </c>
      <c r="Y33" s="143" t="s">
        <v>184</v>
      </c>
      <c r="Z33" t="s">
        <v>183</v>
      </c>
      <c r="AA33" t="s">
        <v>198</v>
      </c>
      <c r="AB33" t="s">
        <v>191</v>
      </c>
      <c r="AC33">
        <v>8</v>
      </c>
      <c r="AD33">
        <v>5</v>
      </c>
      <c r="AE33">
        <v>122</v>
      </c>
      <c r="AF33">
        <v>124</v>
      </c>
      <c r="AG33">
        <v>70.53</v>
      </c>
      <c r="AH33" t="s">
        <v>167</v>
      </c>
      <c r="AI33" t="s">
        <v>199</v>
      </c>
      <c r="AJ33" t="s">
        <v>200</v>
      </c>
      <c r="AK33" s="147">
        <v>-50.945999999999998</v>
      </c>
      <c r="AL33" s="147">
        <v>-26.368600000000001</v>
      </c>
      <c r="AM33" s="147">
        <v>-57.4</v>
      </c>
      <c r="AN33" s="148" t="s">
        <v>167</v>
      </c>
      <c r="AO33" s="148">
        <v>-3083.4</v>
      </c>
      <c r="AP33" s="147">
        <v>-2250</v>
      </c>
      <c r="AQ33" t="s">
        <v>201</v>
      </c>
      <c r="AR33" t="s">
        <v>190</v>
      </c>
      <c r="AS33" s="141">
        <v>40089.321136474609</v>
      </c>
      <c r="AT33" t="s">
        <v>206</v>
      </c>
      <c r="AU33">
        <v>1</v>
      </c>
      <c r="AV33">
        <v>1</v>
      </c>
      <c r="AW33" t="s">
        <v>207</v>
      </c>
      <c r="AX33" t="s">
        <v>208</v>
      </c>
      <c r="AY33" s="138" t="s">
        <v>209</v>
      </c>
      <c r="AZ33">
        <v>40.0466328125</v>
      </c>
      <c r="BA33" t="s">
        <v>167</v>
      </c>
      <c r="BB33" t="s">
        <v>167</v>
      </c>
      <c r="BC33" t="s">
        <v>167</v>
      </c>
      <c r="BD33" t="s">
        <v>207</v>
      </c>
      <c r="BE33" t="s">
        <v>213</v>
      </c>
      <c r="BF33" t="s">
        <v>214</v>
      </c>
      <c r="BG33" t="s">
        <v>225</v>
      </c>
      <c r="BH33" t="s">
        <v>217</v>
      </c>
      <c r="BI33" s="157">
        <v>263</v>
      </c>
      <c r="BJ33" s="157">
        <v>4.0979999999999999</v>
      </c>
      <c r="BK33" t="s">
        <v>219</v>
      </c>
      <c r="BL33" t="s">
        <v>220</v>
      </c>
      <c r="BM33" t="s">
        <v>221</v>
      </c>
      <c r="BN33" t="s">
        <v>256</v>
      </c>
      <c r="BO33">
        <v>2</v>
      </c>
      <c r="BP33" s="140">
        <v>9.2290793112351097E-2</v>
      </c>
      <c r="BQ33" s="139">
        <v>12.291064635488</v>
      </c>
      <c r="BR33" t="s">
        <v>228</v>
      </c>
      <c r="BS33">
        <v>0.240231810522294</v>
      </c>
      <c r="BT33" s="149">
        <v>1.02</v>
      </c>
      <c r="BU33" s="149" t="s">
        <v>275</v>
      </c>
      <c r="BV33" s="149">
        <v>0.5</v>
      </c>
      <c r="BW33" s="149">
        <v>-2.4900000000000002</v>
      </c>
      <c r="BX33" s="149" t="s">
        <v>276</v>
      </c>
      <c r="BY33" s="149">
        <v>9.01</v>
      </c>
      <c r="BZ33" s="149" t="s">
        <v>277</v>
      </c>
      <c r="CA33" s="149" t="s">
        <v>278</v>
      </c>
      <c r="CB33">
        <v>14.4710237953212</v>
      </c>
      <c r="CC33" t="s">
        <v>274</v>
      </c>
      <c r="CD33" s="165">
        <v>0.22942129090235053</v>
      </c>
      <c r="CE33" t="s">
        <v>326</v>
      </c>
      <c r="CF33" t="s">
        <v>327</v>
      </c>
      <c r="CG33">
        <v>25</v>
      </c>
      <c r="CH33" t="s">
        <v>280</v>
      </c>
      <c r="CI33" t="s">
        <v>280</v>
      </c>
      <c r="CJ33" s="139">
        <v>22.0779814510175</v>
      </c>
      <c r="CK33" t="s">
        <v>281</v>
      </c>
      <c r="CL33" s="140">
        <v>0.61842444323269397</v>
      </c>
      <c r="CM33" s="140">
        <v>0.58734207646507397</v>
      </c>
      <c r="CN33" t="s">
        <v>282</v>
      </c>
      <c r="CO33">
        <v>2.3896925586496698</v>
      </c>
      <c r="CP33" t="s">
        <v>283</v>
      </c>
      <c r="CQ33">
        <v>7.1690776759490094E-2</v>
      </c>
      <c r="CR33">
        <v>7.1690776759490094E-2</v>
      </c>
      <c r="CS33" t="s">
        <v>284</v>
      </c>
      <c r="CT33" t="s">
        <v>167</v>
      </c>
      <c r="CU33" t="s">
        <v>285</v>
      </c>
      <c r="CV33" t="s">
        <v>286</v>
      </c>
      <c r="CW33" t="s">
        <v>280</v>
      </c>
      <c r="CX33" t="s">
        <v>280</v>
      </c>
      <c r="CY33" t="s">
        <v>287</v>
      </c>
      <c r="CZ33" t="s">
        <v>167</v>
      </c>
      <c r="DA33" t="s">
        <v>167</v>
      </c>
      <c r="DB33" t="s">
        <v>167</v>
      </c>
      <c r="DC33" t="s">
        <v>167</v>
      </c>
      <c r="DD33" t="s">
        <v>167</v>
      </c>
      <c r="DE33" t="s">
        <v>167</v>
      </c>
      <c r="DF33" t="s">
        <v>167</v>
      </c>
      <c r="DG33" s="166">
        <v>35</v>
      </c>
      <c r="DH33" t="s">
        <v>288</v>
      </c>
      <c r="DI33">
        <v>1</v>
      </c>
      <c r="DJ33" t="s">
        <v>289</v>
      </c>
      <c r="DK33">
        <v>17</v>
      </c>
      <c r="DL33" t="s">
        <v>290</v>
      </c>
      <c r="DM33" t="s">
        <v>290</v>
      </c>
      <c r="DN33" t="s">
        <v>291</v>
      </c>
      <c r="DO33">
        <v>38</v>
      </c>
      <c r="DP33" t="s">
        <v>290</v>
      </c>
      <c r="DQ33" t="s">
        <v>290</v>
      </c>
      <c r="DR33" t="s">
        <v>291</v>
      </c>
      <c r="DS33" t="s">
        <v>292</v>
      </c>
      <c r="DT33" t="s">
        <v>293</v>
      </c>
      <c r="DU33" t="s">
        <v>293</v>
      </c>
      <c r="DV33" t="s">
        <v>293</v>
      </c>
      <c r="DW33" s="138">
        <v>432.56244218316402</v>
      </c>
      <c r="DX33" t="s">
        <v>294</v>
      </c>
      <c r="DY33" s="138">
        <v>12.3589269195223</v>
      </c>
      <c r="DZ33" t="s">
        <v>295</v>
      </c>
      <c r="EA33">
        <v>38.75</v>
      </c>
      <c r="EB33" t="s">
        <v>296</v>
      </c>
      <c r="EC33">
        <v>0.15</v>
      </c>
      <c r="ED33" t="s">
        <v>328</v>
      </c>
      <c r="EE33" t="s">
        <v>329</v>
      </c>
      <c r="EF33" t="s">
        <v>297</v>
      </c>
      <c r="EG33">
        <v>1.0271999999999999</v>
      </c>
      <c r="EH33" t="s">
        <v>290</v>
      </c>
      <c r="EI33" t="s">
        <v>290</v>
      </c>
      <c r="EJ33" t="s">
        <v>298</v>
      </c>
      <c r="EK33" t="s">
        <v>290</v>
      </c>
      <c r="EL33" t="s">
        <v>290</v>
      </c>
      <c r="EM33" t="s">
        <v>299</v>
      </c>
      <c r="EN33" t="s">
        <v>300</v>
      </c>
      <c r="EO33" t="s">
        <v>329</v>
      </c>
      <c r="EP33" t="s">
        <v>329</v>
      </c>
      <c r="EQ33" t="s">
        <v>329</v>
      </c>
      <c r="ER33" t="s">
        <v>329</v>
      </c>
      <c r="ES33" t="s">
        <v>167</v>
      </c>
      <c r="ET33" t="s">
        <v>307</v>
      </c>
      <c r="EU33" t="s">
        <v>308</v>
      </c>
      <c r="EV33" t="s">
        <v>167</v>
      </c>
      <c r="EW33" s="167">
        <v>1750</v>
      </c>
      <c r="EX33" t="s">
        <v>309</v>
      </c>
      <c r="EY33">
        <v>150</v>
      </c>
      <c r="EZ33">
        <v>150</v>
      </c>
      <c r="FA33" t="s">
        <v>310</v>
      </c>
      <c r="FB33" t="s">
        <v>310</v>
      </c>
      <c r="FC33" t="s">
        <v>310</v>
      </c>
      <c r="FD33" t="s">
        <v>310</v>
      </c>
      <c r="FE33">
        <v>7.7786076137672202</v>
      </c>
      <c r="FF33" s="164" t="s">
        <v>301</v>
      </c>
      <c r="FG33">
        <v>4.0583914515699426E-2</v>
      </c>
      <c r="FH33">
        <v>3.9804660098030631E-2</v>
      </c>
      <c r="FI33">
        <v>693.74532651357299</v>
      </c>
      <c r="FJ33" s="164">
        <v>0</v>
      </c>
      <c r="FK33" s="164" t="s">
        <v>302</v>
      </c>
      <c r="FL33">
        <v>693.74532651357299</v>
      </c>
      <c r="FM33">
        <v>114.71399104769705</v>
      </c>
      <c r="FN33">
        <v>97.794032678020017</v>
      </c>
      <c r="FO33" s="170" t="s">
        <v>303</v>
      </c>
      <c r="FP33" t="s">
        <v>304</v>
      </c>
      <c r="FQ33" t="s">
        <v>305</v>
      </c>
      <c r="FR33" t="s">
        <v>305</v>
      </c>
      <c r="FS33" t="s">
        <v>305</v>
      </c>
      <c r="FT33">
        <v>1834.06764178243</v>
      </c>
      <c r="FU33">
        <v>164.47821539211009</v>
      </c>
      <c r="FV33">
        <v>183.12204320082992</v>
      </c>
      <c r="FW33">
        <v>3.9129835261099499</v>
      </c>
      <c r="FX33">
        <v>0.51107632064703967</v>
      </c>
      <c r="FY33">
        <v>0.46648500173232987</v>
      </c>
      <c r="FZ33">
        <v>2.5534682432478601</v>
      </c>
      <c r="GA33">
        <v>0.3318028916097</v>
      </c>
      <c r="GB33">
        <v>0.30742493795366999</v>
      </c>
      <c r="GC33" t="s">
        <v>311</v>
      </c>
    </row>
    <row r="34" spans="1:185" ht="17">
      <c r="A34" t="s">
        <v>180</v>
      </c>
      <c r="B34" s="202" t="s">
        <v>181</v>
      </c>
      <c r="C34" t="s">
        <v>168</v>
      </c>
      <c r="D34" t="s">
        <v>182</v>
      </c>
      <c r="E34">
        <v>2020</v>
      </c>
      <c r="F34" t="s">
        <v>183</v>
      </c>
      <c r="G34" s="141">
        <v>40109.642028808594</v>
      </c>
      <c r="H34">
        <v>1</v>
      </c>
      <c r="I34">
        <v>1</v>
      </c>
      <c r="J34">
        <v>701.40026425553401</v>
      </c>
      <c r="K34">
        <v>110.34949711601098</v>
      </c>
      <c r="L34">
        <v>95.924453240367029</v>
      </c>
      <c r="M34" s="163" t="b">
        <v>0</v>
      </c>
      <c r="N34" s="163">
        <v>3</v>
      </c>
      <c r="O34" t="s">
        <v>332</v>
      </c>
      <c r="P34" t="b">
        <v>0</v>
      </c>
      <c r="Q34" s="163" t="b">
        <v>1</v>
      </c>
      <c r="R34" s="212" t="s">
        <v>325</v>
      </c>
      <c r="S34" s="163" t="b">
        <v>1</v>
      </c>
      <c r="T34" s="163" t="b">
        <v>0</v>
      </c>
      <c r="U34" s="163" t="s">
        <v>167</v>
      </c>
      <c r="V34" s="163" t="s">
        <v>167</v>
      </c>
      <c r="W34" s="199" t="s">
        <v>167</v>
      </c>
      <c r="X34" s="199" t="s">
        <v>167</v>
      </c>
      <c r="Y34" s="143" t="s">
        <v>184</v>
      </c>
      <c r="Z34" t="s">
        <v>183</v>
      </c>
      <c r="AA34" t="s">
        <v>198</v>
      </c>
      <c r="AB34" t="s">
        <v>191</v>
      </c>
      <c r="AC34">
        <v>8</v>
      </c>
      <c r="AD34">
        <v>6</v>
      </c>
      <c r="AE34">
        <v>22</v>
      </c>
      <c r="AF34">
        <v>24</v>
      </c>
      <c r="AG34">
        <v>71.03</v>
      </c>
      <c r="AH34" t="s">
        <v>167</v>
      </c>
      <c r="AI34" t="s">
        <v>199</v>
      </c>
      <c r="AJ34" t="s">
        <v>200</v>
      </c>
      <c r="AK34" s="147">
        <v>-50.945999999999998</v>
      </c>
      <c r="AL34" s="147">
        <v>-26.368600000000001</v>
      </c>
      <c r="AM34" s="147">
        <v>-57.4</v>
      </c>
      <c r="AN34" s="148" t="s">
        <v>167</v>
      </c>
      <c r="AO34" s="148">
        <v>-3083.4</v>
      </c>
      <c r="AP34" s="147">
        <v>-2250</v>
      </c>
      <c r="AQ34" t="s">
        <v>201</v>
      </c>
      <c r="AR34" t="s">
        <v>190</v>
      </c>
      <c r="AS34" s="141">
        <v>40109.642028808594</v>
      </c>
      <c r="AT34" t="s">
        <v>206</v>
      </c>
      <c r="AU34">
        <v>1</v>
      </c>
      <c r="AV34">
        <v>1</v>
      </c>
      <c r="AW34" t="s">
        <v>207</v>
      </c>
      <c r="AX34" t="s">
        <v>208</v>
      </c>
      <c r="AY34" s="138" t="s">
        <v>209</v>
      </c>
      <c r="AZ34">
        <v>40.085441406249998</v>
      </c>
      <c r="BA34" t="s">
        <v>167</v>
      </c>
      <c r="BB34" t="s">
        <v>167</v>
      </c>
      <c r="BC34" t="s">
        <v>167</v>
      </c>
      <c r="BD34" t="s">
        <v>207</v>
      </c>
      <c r="BE34" t="s">
        <v>213</v>
      </c>
      <c r="BF34" t="s">
        <v>214</v>
      </c>
      <c r="BG34" t="s">
        <v>225</v>
      </c>
      <c r="BH34" t="s">
        <v>217</v>
      </c>
      <c r="BI34" s="157">
        <v>288</v>
      </c>
      <c r="BJ34" s="159">
        <v>4.0170000000000003</v>
      </c>
      <c r="BK34" t="s">
        <v>219</v>
      </c>
      <c r="BL34" t="s">
        <v>220</v>
      </c>
      <c r="BM34" t="s">
        <v>221</v>
      </c>
      <c r="BN34" t="s">
        <v>257</v>
      </c>
      <c r="BO34">
        <v>2</v>
      </c>
      <c r="BP34" s="140">
        <v>4.024324221663278E-2</v>
      </c>
      <c r="BQ34" s="139">
        <v>12.2769721299899</v>
      </c>
      <c r="BR34" t="s">
        <v>228</v>
      </c>
      <c r="BS34">
        <v>0.24226091255445001</v>
      </c>
      <c r="BT34" s="149">
        <v>1.02</v>
      </c>
      <c r="BU34" s="149" t="s">
        <v>275</v>
      </c>
      <c r="BV34" s="149">
        <v>0.5</v>
      </c>
      <c r="BW34" s="149">
        <v>-2.4900000000000002</v>
      </c>
      <c r="BX34" s="149" t="s">
        <v>276</v>
      </c>
      <c r="BY34" s="149">
        <v>9.01</v>
      </c>
      <c r="BZ34" s="149" t="s">
        <v>277</v>
      </c>
      <c r="CA34" s="149" t="s">
        <v>278</v>
      </c>
      <c r="CB34">
        <v>14.460277690429701</v>
      </c>
      <c r="CC34" t="s">
        <v>274</v>
      </c>
      <c r="CD34" s="165">
        <v>0.22572059750610052</v>
      </c>
      <c r="CE34" t="s">
        <v>326</v>
      </c>
      <c r="CF34" t="s">
        <v>327</v>
      </c>
      <c r="CG34">
        <v>25</v>
      </c>
      <c r="CH34" t="s">
        <v>280</v>
      </c>
      <c r="CI34" t="s">
        <v>280</v>
      </c>
      <c r="CJ34" s="139">
        <v>22.4683845482039</v>
      </c>
      <c r="CK34" t="s">
        <v>281</v>
      </c>
      <c r="CL34" s="140">
        <v>0.61226296794338697</v>
      </c>
      <c r="CM34" s="140">
        <v>0.56244789087942904</v>
      </c>
      <c r="CN34" t="s">
        <v>282</v>
      </c>
      <c r="CO34">
        <v>2.4539213376582301</v>
      </c>
      <c r="CP34" t="s">
        <v>283</v>
      </c>
      <c r="CQ34">
        <v>7.3617640129746906E-2</v>
      </c>
      <c r="CR34">
        <v>7.3617640129746906E-2</v>
      </c>
      <c r="CS34" t="s">
        <v>284</v>
      </c>
      <c r="CT34" t="s">
        <v>167</v>
      </c>
      <c r="CU34" t="s">
        <v>285</v>
      </c>
      <c r="CV34" t="s">
        <v>286</v>
      </c>
      <c r="CW34" t="s">
        <v>280</v>
      </c>
      <c r="CX34" t="s">
        <v>280</v>
      </c>
      <c r="CY34" t="s">
        <v>287</v>
      </c>
      <c r="CZ34" t="s">
        <v>167</v>
      </c>
      <c r="DA34" t="s">
        <v>167</v>
      </c>
      <c r="DB34" t="s">
        <v>167</v>
      </c>
      <c r="DC34" t="s">
        <v>167</v>
      </c>
      <c r="DD34" t="s">
        <v>167</v>
      </c>
      <c r="DE34" t="s">
        <v>167</v>
      </c>
      <c r="DF34" t="s">
        <v>167</v>
      </c>
      <c r="DG34" s="166">
        <v>35</v>
      </c>
      <c r="DH34" t="s">
        <v>288</v>
      </c>
      <c r="DI34">
        <v>1</v>
      </c>
      <c r="DJ34" t="s">
        <v>289</v>
      </c>
      <c r="DK34">
        <v>17</v>
      </c>
      <c r="DL34" t="s">
        <v>290</v>
      </c>
      <c r="DM34" t="s">
        <v>290</v>
      </c>
      <c r="DN34" t="s">
        <v>291</v>
      </c>
      <c r="DO34">
        <v>38</v>
      </c>
      <c r="DP34" t="s">
        <v>290</v>
      </c>
      <c r="DQ34" t="s">
        <v>290</v>
      </c>
      <c r="DR34" t="s">
        <v>291</v>
      </c>
      <c r="DS34" t="s">
        <v>292</v>
      </c>
      <c r="DT34" t="s">
        <v>293</v>
      </c>
      <c r="DU34" t="s">
        <v>293</v>
      </c>
      <c r="DV34" t="s">
        <v>293</v>
      </c>
      <c r="DW34" s="138">
        <v>432.56244218316402</v>
      </c>
      <c r="DX34" t="s">
        <v>294</v>
      </c>
      <c r="DY34" s="138">
        <v>12.3589269195224</v>
      </c>
      <c r="DZ34" t="s">
        <v>295</v>
      </c>
      <c r="EA34">
        <v>38.75</v>
      </c>
      <c r="EB34" t="s">
        <v>296</v>
      </c>
      <c r="EC34">
        <v>0.15</v>
      </c>
      <c r="ED34" t="s">
        <v>328</v>
      </c>
      <c r="EE34" t="s">
        <v>329</v>
      </c>
      <c r="EF34" t="s">
        <v>297</v>
      </c>
      <c r="EG34">
        <v>1.0271999999999999</v>
      </c>
      <c r="EH34" t="s">
        <v>290</v>
      </c>
      <c r="EI34" t="s">
        <v>290</v>
      </c>
      <c r="EJ34" t="s">
        <v>298</v>
      </c>
      <c r="EK34" t="s">
        <v>290</v>
      </c>
      <c r="EL34" t="s">
        <v>290</v>
      </c>
      <c r="EM34" t="s">
        <v>299</v>
      </c>
      <c r="EN34" t="s">
        <v>300</v>
      </c>
      <c r="EO34" t="s">
        <v>329</v>
      </c>
      <c r="EP34" t="s">
        <v>329</v>
      </c>
      <c r="EQ34" t="s">
        <v>329</v>
      </c>
      <c r="ER34" t="s">
        <v>329</v>
      </c>
      <c r="ES34" t="s">
        <v>167</v>
      </c>
      <c r="ET34" t="s">
        <v>307</v>
      </c>
      <c r="EU34" t="s">
        <v>308</v>
      </c>
      <c r="EV34" t="s">
        <v>167</v>
      </c>
      <c r="EW34" s="167">
        <v>1750</v>
      </c>
      <c r="EX34" t="s">
        <v>309</v>
      </c>
      <c r="EY34">
        <v>150</v>
      </c>
      <c r="EZ34">
        <v>150</v>
      </c>
      <c r="FA34" t="s">
        <v>310</v>
      </c>
      <c r="FB34" t="s">
        <v>310</v>
      </c>
      <c r="FC34" t="s">
        <v>310</v>
      </c>
      <c r="FD34" t="s">
        <v>310</v>
      </c>
      <c r="FE34">
        <v>7.7728300446715703</v>
      </c>
      <c r="FF34" s="164" t="s">
        <v>301</v>
      </c>
      <c r="FG34">
        <v>3.9947538862379339E-2</v>
      </c>
      <c r="FH34">
        <v>3.9963796636860671E-2</v>
      </c>
      <c r="FI34">
        <v>701.40026425553401</v>
      </c>
      <c r="FJ34" s="164">
        <v>0</v>
      </c>
      <c r="FK34" s="164" t="s">
        <v>302</v>
      </c>
      <c r="FL34">
        <v>701.40026425553401</v>
      </c>
      <c r="FM34">
        <v>110.34949711601098</v>
      </c>
      <c r="FN34">
        <v>95.924453240367029</v>
      </c>
      <c r="FO34" s="170" t="s">
        <v>303</v>
      </c>
      <c r="FP34" t="s">
        <v>304</v>
      </c>
      <c r="FQ34" t="s">
        <v>305</v>
      </c>
      <c r="FR34" t="s">
        <v>305</v>
      </c>
      <c r="FS34" t="s">
        <v>305</v>
      </c>
      <c r="FT34">
        <v>1819.05110776574</v>
      </c>
      <c r="FU34">
        <v>185.66325551149998</v>
      </c>
      <c r="FV34">
        <v>171.40888812655999</v>
      </c>
      <c r="FW34">
        <v>3.8886276122862</v>
      </c>
      <c r="FX34">
        <v>0.49146292772782019</v>
      </c>
      <c r="FY34">
        <v>0.45210448390914015</v>
      </c>
      <c r="FZ34">
        <v>2.5414917661023799</v>
      </c>
      <c r="GA34">
        <v>0.32136751223915994</v>
      </c>
      <c r="GB34">
        <v>0.29878558037869007</v>
      </c>
      <c r="GC34" t="s">
        <v>311</v>
      </c>
    </row>
    <row r="35" spans="1:185" ht="17">
      <c r="A35" t="s">
        <v>180</v>
      </c>
      <c r="B35" s="202" t="s">
        <v>181</v>
      </c>
      <c r="C35" t="s">
        <v>168</v>
      </c>
      <c r="D35" t="s">
        <v>182</v>
      </c>
      <c r="E35">
        <v>2020</v>
      </c>
      <c r="F35" t="s">
        <v>183</v>
      </c>
      <c r="G35" s="141">
        <v>40137.683868408203</v>
      </c>
      <c r="H35">
        <v>1</v>
      </c>
      <c r="I35">
        <v>1</v>
      </c>
      <c r="J35">
        <v>920.80551005280199</v>
      </c>
      <c r="K35">
        <v>184.7471683118481</v>
      </c>
      <c r="L35">
        <v>146.40043008740099</v>
      </c>
      <c r="M35" s="163" t="b">
        <v>0</v>
      </c>
      <c r="N35" s="163">
        <v>3</v>
      </c>
      <c r="O35" t="s">
        <v>332</v>
      </c>
      <c r="P35" t="b">
        <v>0</v>
      </c>
      <c r="Q35" s="163" t="b">
        <v>1</v>
      </c>
      <c r="R35" s="212" t="s">
        <v>325</v>
      </c>
      <c r="S35" s="163" t="b">
        <v>1</v>
      </c>
      <c r="T35" s="163" t="b">
        <v>0</v>
      </c>
      <c r="U35" s="163" t="s">
        <v>167</v>
      </c>
      <c r="V35" s="163" t="s">
        <v>167</v>
      </c>
      <c r="W35" s="199" t="s">
        <v>167</v>
      </c>
      <c r="X35" s="199" t="s">
        <v>167</v>
      </c>
      <c r="Y35" s="143" t="s">
        <v>184</v>
      </c>
      <c r="Z35" t="s">
        <v>183</v>
      </c>
      <c r="AA35" t="s">
        <v>198</v>
      </c>
      <c r="AB35" t="s">
        <v>191</v>
      </c>
      <c r="AC35">
        <v>8</v>
      </c>
      <c r="AD35">
        <v>6</v>
      </c>
      <c r="AE35">
        <v>91</v>
      </c>
      <c r="AF35">
        <v>93</v>
      </c>
      <c r="AG35">
        <v>71.72</v>
      </c>
      <c r="AH35" t="s">
        <v>167</v>
      </c>
      <c r="AI35" t="s">
        <v>199</v>
      </c>
      <c r="AJ35" t="s">
        <v>200</v>
      </c>
      <c r="AK35" s="147">
        <v>-50.945999999999998</v>
      </c>
      <c r="AL35" s="147">
        <v>-26.368600000000001</v>
      </c>
      <c r="AM35" s="147">
        <v>-57.4</v>
      </c>
      <c r="AN35" s="148" t="s">
        <v>167</v>
      </c>
      <c r="AO35" s="148">
        <v>-3083.4</v>
      </c>
      <c r="AP35" s="147">
        <v>-2250</v>
      </c>
      <c r="AQ35" t="s">
        <v>201</v>
      </c>
      <c r="AR35" t="s">
        <v>190</v>
      </c>
      <c r="AS35" s="141">
        <v>40137.683868408203</v>
      </c>
      <c r="AT35" t="s">
        <v>206</v>
      </c>
      <c r="AU35">
        <v>1</v>
      </c>
      <c r="AV35">
        <v>1</v>
      </c>
      <c r="AW35" t="s">
        <v>207</v>
      </c>
      <c r="AX35" t="s">
        <v>208</v>
      </c>
      <c r="AY35" s="138" t="s">
        <v>209</v>
      </c>
      <c r="AZ35">
        <v>40.137503906249997</v>
      </c>
      <c r="BA35" t="s">
        <v>167</v>
      </c>
      <c r="BB35" t="s">
        <v>167</v>
      </c>
      <c r="BC35" t="s">
        <v>167</v>
      </c>
      <c r="BD35" t="s">
        <v>207</v>
      </c>
      <c r="BE35" t="s">
        <v>213</v>
      </c>
      <c r="BF35" t="s">
        <v>214</v>
      </c>
      <c r="BG35" t="s">
        <v>225</v>
      </c>
      <c r="BH35" t="s">
        <v>217</v>
      </c>
      <c r="BI35" s="157">
        <v>208</v>
      </c>
      <c r="BJ35" s="159">
        <v>3.2</v>
      </c>
      <c r="BK35" t="s">
        <v>219</v>
      </c>
      <c r="BL35" t="s">
        <v>220</v>
      </c>
      <c r="BM35" t="s">
        <v>221</v>
      </c>
      <c r="BN35" t="s">
        <v>258</v>
      </c>
      <c r="BO35">
        <v>2</v>
      </c>
      <c r="BP35" s="140">
        <v>8.4841807363963184E-2</v>
      </c>
      <c r="BQ35" s="139">
        <v>11.3818825150062</v>
      </c>
      <c r="BR35" t="s">
        <v>228</v>
      </c>
      <c r="BS35">
        <v>0.24316067583131001</v>
      </c>
      <c r="BT35" s="149">
        <v>1.02</v>
      </c>
      <c r="BU35" s="149" t="s">
        <v>275</v>
      </c>
      <c r="BV35" s="149">
        <v>0.5</v>
      </c>
      <c r="BW35" s="149">
        <v>-2.4900000000000002</v>
      </c>
      <c r="BX35" s="149" t="s">
        <v>276</v>
      </c>
      <c r="BY35" s="149">
        <v>9.01</v>
      </c>
      <c r="BZ35" s="149" t="s">
        <v>277</v>
      </c>
      <c r="CA35" s="149" t="s">
        <v>278</v>
      </c>
      <c r="CB35">
        <v>13.584597739036401</v>
      </c>
      <c r="CC35" t="s">
        <v>274</v>
      </c>
      <c r="CD35" s="165">
        <v>0.22841147002149942</v>
      </c>
      <c r="CE35" t="s">
        <v>326</v>
      </c>
      <c r="CF35" t="s">
        <v>327</v>
      </c>
      <c r="CG35">
        <v>25</v>
      </c>
      <c r="CH35" t="s">
        <v>280</v>
      </c>
      <c r="CI35" t="s">
        <v>280</v>
      </c>
      <c r="CJ35" s="139">
        <v>19.850612637283302</v>
      </c>
      <c r="CK35" t="s">
        <v>281</v>
      </c>
      <c r="CL35" s="140">
        <v>0.70442852028991298</v>
      </c>
      <c r="CM35" s="140">
        <v>0.61276358502895401</v>
      </c>
      <c r="CN35" t="s">
        <v>282</v>
      </c>
      <c r="CO35">
        <v>2.2545272670658201</v>
      </c>
      <c r="CP35" t="s">
        <v>283</v>
      </c>
      <c r="CQ35">
        <v>6.7635818011974602E-2</v>
      </c>
      <c r="CR35">
        <v>6.7635818011974602E-2</v>
      </c>
      <c r="CS35" t="s">
        <v>284</v>
      </c>
      <c r="CT35" t="s">
        <v>167</v>
      </c>
      <c r="CU35" t="s">
        <v>285</v>
      </c>
      <c r="CV35" t="s">
        <v>286</v>
      </c>
      <c r="CW35" t="s">
        <v>280</v>
      </c>
      <c r="CX35" t="s">
        <v>280</v>
      </c>
      <c r="CY35" t="s">
        <v>287</v>
      </c>
      <c r="CZ35" t="s">
        <v>167</v>
      </c>
      <c r="DA35" t="s">
        <v>167</v>
      </c>
      <c r="DB35" t="s">
        <v>167</v>
      </c>
      <c r="DC35" t="s">
        <v>167</v>
      </c>
      <c r="DD35" t="s">
        <v>167</v>
      </c>
      <c r="DE35" t="s">
        <v>167</v>
      </c>
      <c r="DF35" t="s">
        <v>167</v>
      </c>
      <c r="DG35" s="166">
        <v>35</v>
      </c>
      <c r="DH35" t="s">
        <v>288</v>
      </c>
      <c r="DI35">
        <v>1</v>
      </c>
      <c r="DJ35" t="s">
        <v>289</v>
      </c>
      <c r="DK35">
        <v>17</v>
      </c>
      <c r="DL35" t="s">
        <v>290</v>
      </c>
      <c r="DM35" t="s">
        <v>290</v>
      </c>
      <c r="DN35" t="s">
        <v>291</v>
      </c>
      <c r="DO35">
        <v>38</v>
      </c>
      <c r="DP35" t="s">
        <v>290</v>
      </c>
      <c r="DQ35" t="s">
        <v>290</v>
      </c>
      <c r="DR35" t="s">
        <v>291</v>
      </c>
      <c r="DS35" t="s">
        <v>292</v>
      </c>
      <c r="DT35" t="s">
        <v>293</v>
      </c>
      <c r="DU35" t="s">
        <v>293</v>
      </c>
      <c r="DV35" t="s">
        <v>293</v>
      </c>
      <c r="DW35" s="138">
        <v>432.56244218316402</v>
      </c>
      <c r="DX35" t="s">
        <v>294</v>
      </c>
      <c r="DY35" s="138">
        <v>12.358926919522499</v>
      </c>
      <c r="DZ35" t="s">
        <v>295</v>
      </c>
      <c r="EA35">
        <v>38.75</v>
      </c>
      <c r="EB35" t="s">
        <v>296</v>
      </c>
      <c r="EC35">
        <v>0.15</v>
      </c>
      <c r="ED35" t="s">
        <v>328</v>
      </c>
      <c r="EE35" t="s">
        <v>329</v>
      </c>
      <c r="EF35" t="s">
        <v>297</v>
      </c>
      <c r="EG35">
        <v>1.0271999999999999</v>
      </c>
      <c r="EH35" t="s">
        <v>290</v>
      </c>
      <c r="EI35" t="s">
        <v>290</v>
      </c>
      <c r="EJ35" t="s">
        <v>298</v>
      </c>
      <c r="EK35" t="s">
        <v>290</v>
      </c>
      <c r="EL35" t="s">
        <v>290</v>
      </c>
      <c r="EM35" t="s">
        <v>299</v>
      </c>
      <c r="EN35" t="s">
        <v>300</v>
      </c>
      <c r="EO35" t="s">
        <v>329</v>
      </c>
      <c r="EP35" t="s">
        <v>329</v>
      </c>
      <c r="EQ35" t="s">
        <v>329</v>
      </c>
      <c r="ER35" t="s">
        <v>329</v>
      </c>
      <c r="ES35" t="s">
        <v>167</v>
      </c>
      <c r="ET35" t="s">
        <v>307</v>
      </c>
      <c r="EU35" t="s">
        <v>308</v>
      </c>
      <c r="EV35" t="s">
        <v>167</v>
      </c>
      <c r="EW35" s="167">
        <v>1750</v>
      </c>
      <c r="EX35" t="s">
        <v>309</v>
      </c>
      <c r="EY35">
        <v>150</v>
      </c>
      <c r="EZ35">
        <v>150</v>
      </c>
      <c r="FA35" t="s">
        <v>310</v>
      </c>
      <c r="FB35" t="s">
        <v>310</v>
      </c>
      <c r="FC35" t="s">
        <v>310</v>
      </c>
      <c r="FD35" t="s">
        <v>310</v>
      </c>
      <c r="FE35">
        <v>7.6509726826795603</v>
      </c>
      <c r="FF35" s="164" t="s">
        <v>301</v>
      </c>
      <c r="FG35">
        <v>4.8406502437130072E-2</v>
      </c>
      <c r="FH35">
        <v>5.8114193380010448E-2</v>
      </c>
      <c r="FI35">
        <v>920.80551005280199</v>
      </c>
      <c r="FJ35" s="164">
        <v>0</v>
      </c>
      <c r="FK35" s="164" t="s">
        <v>302</v>
      </c>
      <c r="FL35">
        <v>920.80551005280199</v>
      </c>
      <c r="FM35">
        <v>184.7471683118481</v>
      </c>
      <c r="FN35">
        <v>146.40043008740099</v>
      </c>
      <c r="FO35" s="170" t="s">
        <v>303</v>
      </c>
      <c r="FP35" t="s">
        <v>304</v>
      </c>
      <c r="FQ35" t="s">
        <v>305</v>
      </c>
      <c r="FR35" t="s">
        <v>305</v>
      </c>
      <c r="FS35" t="s">
        <v>305</v>
      </c>
      <c r="FT35">
        <v>1811.49853708725</v>
      </c>
      <c r="FU35">
        <v>186.03113350011995</v>
      </c>
      <c r="FV35">
        <v>174.12597434554004</v>
      </c>
      <c r="FW35">
        <v>2.6689978772875902</v>
      </c>
      <c r="FX35">
        <v>0.40986012665385996</v>
      </c>
      <c r="FY35">
        <v>0.37928084399660023</v>
      </c>
      <c r="FZ35">
        <v>1.73269420508284</v>
      </c>
      <c r="GA35">
        <v>0.26522894929130003</v>
      </c>
      <c r="GB35">
        <v>0.25018161571020991</v>
      </c>
      <c r="GC35" t="s">
        <v>311</v>
      </c>
    </row>
    <row r="36" spans="1:185" ht="17">
      <c r="A36" t="s">
        <v>180</v>
      </c>
      <c r="B36" s="202" t="s">
        <v>181</v>
      </c>
      <c r="C36" t="s">
        <v>168</v>
      </c>
      <c r="D36" t="s">
        <v>182</v>
      </c>
      <c r="E36">
        <v>2020</v>
      </c>
      <c r="F36" t="s">
        <v>183</v>
      </c>
      <c r="G36" s="141">
        <v>40251.941680908203</v>
      </c>
      <c r="H36">
        <v>1</v>
      </c>
      <c r="I36">
        <v>1</v>
      </c>
      <c r="J36">
        <v>668.30779567139496</v>
      </c>
      <c r="K36">
        <v>110.27409281720008</v>
      </c>
      <c r="L36">
        <v>91.867164110151975</v>
      </c>
      <c r="M36" s="163" t="b">
        <v>0</v>
      </c>
      <c r="N36" s="163">
        <v>3</v>
      </c>
      <c r="O36" t="s">
        <v>332</v>
      </c>
      <c r="P36" t="b">
        <v>0</v>
      </c>
      <c r="Q36" s="163" t="b">
        <v>1</v>
      </c>
      <c r="R36" s="212" t="s">
        <v>325</v>
      </c>
      <c r="S36" s="163" t="b">
        <v>1</v>
      </c>
      <c r="T36" s="163" t="b">
        <v>0</v>
      </c>
      <c r="U36" s="163" t="s">
        <v>167</v>
      </c>
      <c r="V36" s="163" t="s">
        <v>167</v>
      </c>
      <c r="W36" s="199" t="s">
        <v>167</v>
      </c>
      <c r="X36" s="199" t="s">
        <v>167</v>
      </c>
      <c r="Y36" s="143" t="s">
        <v>184</v>
      </c>
      <c r="Z36" t="s">
        <v>183</v>
      </c>
      <c r="AA36" t="s">
        <v>198</v>
      </c>
      <c r="AB36" t="s">
        <v>191</v>
      </c>
      <c r="AC36">
        <v>9</v>
      </c>
      <c r="AD36">
        <v>1</v>
      </c>
      <c r="AE36">
        <v>40</v>
      </c>
      <c r="AF36">
        <v>41</v>
      </c>
      <c r="AG36">
        <v>73.209999999999994</v>
      </c>
      <c r="AH36" t="s">
        <v>167</v>
      </c>
      <c r="AI36" t="s">
        <v>199</v>
      </c>
      <c r="AJ36" t="s">
        <v>200</v>
      </c>
      <c r="AK36" s="147">
        <v>-50.945999999999998</v>
      </c>
      <c r="AL36" s="147">
        <v>-26.368600000000001</v>
      </c>
      <c r="AM36" s="147">
        <v>-57.4</v>
      </c>
      <c r="AN36" s="148" t="s">
        <v>167</v>
      </c>
      <c r="AO36" s="148">
        <v>-3083.4</v>
      </c>
      <c r="AP36" s="147">
        <v>-2250</v>
      </c>
      <c r="AQ36" t="s">
        <v>201</v>
      </c>
      <c r="AR36" t="s">
        <v>190</v>
      </c>
      <c r="AS36" s="141">
        <v>40251.941680908203</v>
      </c>
      <c r="AT36" t="s">
        <v>206</v>
      </c>
      <c r="AU36">
        <v>1</v>
      </c>
      <c r="AV36">
        <v>1</v>
      </c>
      <c r="AW36" t="s">
        <v>207</v>
      </c>
      <c r="AX36" t="s">
        <v>208</v>
      </c>
      <c r="AY36" s="138" t="s">
        <v>209</v>
      </c>
      <c r="AZ36">
        <v>40.245468750000001</v>
      </c>
      <c r="BA36" t="s">
        <v>167</v>
      </c>
      <c r="BB36" t="s">
        <v>167</v>
      </c>
      <c r="BC36" t="s">
        <v>167</v>
      </c>
      <c r="BD36" t="s">
        <v>207</v>
      </c>
      <c r="BE36" t="s">
        <v>213</v>
      </c>
      <c r="BF36" t="s">
        <v>214</v>
      </c>
      <c r="BG36" t="s">
        <v>225</v>
      </c>
      <c r="BH36" t="s">
        <v>217</v>
      </c>
      <c r="BI36" s="157">
        <v>199</v>
      </c>
      <c r="BJ36" s="157">
        <v>2.9649999999999999</v>
      </c>
      <c r="BK36" t="s">
        <v>219</v>
      </c>
      <c r="BL36" t="s">
        <v>220</v>
      </c>
      <c r="BM36" t="s">
        <v>221</v>
      </c>
      <c r="BN36" t="s">
        <v>259</v>
      </c>
      <c r="BO36">
        <v>2</v>
      </c>
      <c r="BP36" s="140">
        <v>0.11254182991340754</v>
      </c>
      <c r="BQ36" s="139">
        <v>12.263942840053801</v>
      </c>
      <c r="BR36" t="s">
        <v>228</v>
      </c>
      <c r="BS36">
        <v>0.247223585998394</v>
      </c>
      <c r="BT36" s="149">
        <v>1.02</v>
      </c>
      <c r="BU36" s="149" t="s">
        <v>275</v>
      </c>
      <c r="BV36" s="149">
        <v>0.5</v>
      </c>
      <c r="BW36" s="149">
        <v>-2.4900000000000002</v>
      </c>
      <c r="BX36" s="149" t="s">
        <v>276</v>
      </c>
      <c r="BY36" s="149">
        <v>9.01</v>
      </c>
      <c r="BZ36" s="149" t="s">
        <v>277</v>
      </c>
      <c r="CA36" s="149" t="s">
        <v>278</v>
      </c>
      <c r="CB36">
        <v>14.4480192719653</v>
      </c>
      <c r="CC36" t="s">
        <v>274</v>
      </c>
      <c r="CD36" s="165">
        <v>0.22769360424199991</v>
      </c>
      <c r="CE36" t="s">
        <v>326</v>
      </c>
      <c r="CF36" t="s">
        <v>327</v>
      </c>
      <c r="CG36">
        <v>25</v>
      </c>
      <c r="CH36" t="s">
        <v>280</v>
      </c>
      <c r="CI36" t="s">
        <v>280</v>
      </c>
      <c r="CJ36" s="139">
        <v>20.8667384152164</v>
      </c>
      <c r="CK36" t="s">
        <v>281</v>
      </c>
      <c r="CL36" s="140">
        <v>0.60220035772701397</v>
      </c>
      <c r="CM36" s="140">
        <v>0.606579445491924</v>
      </c>
      <c r="CN36" t="s">
        <v>282</v>
      </c>
      <c r="CO36">
        <v>2.2189287206607702</v>
      </c>
      <c r="CP36" t="s">
        <v>283</v>
      </c>
      <c r="CQ36">
        <v>6.6567861619823102E-2</v>
      </c>
      <c r="CR36">
        <v>6.6567861619823102E-2</v>
      </c>
      <c r="CS36" t="s">
        <v>284</v>
      </c>
      <c r="CT36" t="s">
        <v>167</v>
      </c>
      <c r="CU36" t="s">
        <v>285</v>
      </c>
      <c r="CV36" t="s">
        <v>286</v>
      </c>
      <c r="CW36" t="s">
        <v>280</v>
      </c>
      <c r="CX36" t="s">
        <v>280</v>
      </c>
      <c r="CY36" t="s">
        <v>287</v>
      </c>
      <c r="CZ36" t="s">
        <v>167</v>
      </c>
      <c r="DA36" t="s">
        <v>167</v>
      </c>
      <c r="DB36" t="s">
        <v>167</v>
      </c>
      <c r="DC36" t="s">
        <v>167</v>
      </c>
      <c r="DD36" t="s">
        <v>167</v>
      </c>
      <c r="DE36" t="s">
        <v>167</v>
      </c>
      <c r="DF36" t="s">
        <v>167</v>
      </c>
      <c r="DG36" s="166">
        <v>35</v>
      </c>
      <c r="DH36" t="s">
        <v>288</v>
      </c>
      <c r="DI36">
        <v>1</v>
      </c>
      <c r="DJ36" t="s">
        <v>289</v>
      </c>
      <c r="DK36">
        <v>17</v>
      </c>
      <c r="DL36" t="s">
        <v>290</v>
      </c>
      <c r="DM36" t="s">
        <v>290</v>
      </c>
      <c r="DN36" t="s">
        <v>291</v>
      </c>
      <c r="DO36">
        <v>38</v>
      </c>
      <c r="DP36" t="s">
        <v>290</v>
      </c>
      <c r="DQ36" t="s">
        <v>290</v>
      </c>
      <c r="DR36" t="s">
        <v>291</v>
      </c>
      <c r="DS36" t="s">
        <v>292</v>
      </c>
      <c r="DT36" t="s">
        <v>293</v>
      </c>
      <c r="DU36" t="s">
        <v>293</v>
      </c>
      <c r="DV36" t="s">
        <v>293</v>
      </c>
      <c r="DW36" s="138">
        <v>432.56244218316402</v>
      </c>
      <c r="DX36" t="s">
        <v>294</v>
      </c>
      <c r="DY36" s="138">
        <v>12.358926919522601</v>
      </c>
      <c r="DZ36" t="s">
        <v>295</v>
      </c>
      <c r="EA36">
        <v>38.75</v>
      </c>
      <c r="EB36" t="s">
        <v>296</v>
      </c>
      <c r="EC36">
        <v>0.15</v>
      </c>
      <c r="ED36" t="s">
        <v>328</v>
      </c>
      <c r="EE36" t="s">
        <v>329</v>
      </c>
      <c r="EF36" t="s">
        <v>297</v>
      </c>
      <c r="EG36">
        <v>1.0271999999999999</v>
      </c>
      <c r="EH36" t="s">
        <v>290</v>
      </c>
      <c r="EI36" t="s">
        <v>290</v>
      </c>
      <c r="EJ36" t="s">
        <v>298</v>
      </c>
      <c r="EK36" t="s">
        <v>290</v>
      </c>
      <c r="EL36" t="s">
        <v>290</v>
      </c>
      <c r="EM36" t="s">
        <v>299</v>
      </c>
      <c r="EN36" t="s">
        <v>300</v>
      </c>
      <c r="EO36" t="s">
        <v>329</v>
      </c>
      <c r="EP36" t="s">
        <v>329</v>
      </c>
      <c r="EQ36" t="s">
        <v>329</v>
      </c>
      <c r="ER36" t="s">
        <v>329</v>
      </c>
      <c r="ES36" t="s">
        <v>167</v>
      </c>
      <c r="ET36" t="s">
        <v>307</v>
      </c>
      <c r="EU36" t="s">
        <v>308</v>
      </c>
      <c r="EV36" t="s">
        <v>167</v>
      </c>
      <c r="EW36" s="167">
        <v>1750</v>
      </c>
      <c r="EX36" t="s">
        <v>309</v>
      </c>
      <c r="EY36">
        <v>150</v>
      </c>
      <c r="EZ36">
        <v>150</v>
      </c>
      <c r="FA36" t="s">
        <v>310</v>
      </c>
      <c r="FB36" t="s">
        <v>310</v>
      </c>
      <c r="FC36" t="s">
        <v>310</v>
      </c>
      <c r="FD36" t="s">
        <v>310</v>
      </c>
      <c r="FE36">
        <v>7.79097861094868</v>
      </c>
      <c r="FF36" s="164" t="s">
        <v>301</v>
      </c>
      <c r="FG36">
        <v>3.4625262617139718E-2</v>
      </c>
      <c r="FH36">
        <v>4.188529308386002E-2</v>
      </c>
      <c r="FI36">
        <v>668.30779567139496</v>
      </c>
      <c r="FJ36" s="164">
        <v>0</v>
      </c>
      <c r="FK36" s="164" t="s">
        <v>302</v>
      </c>
      <c r="FL36">
        <v>668.30779567139496</v>
      </c>
      <c r="FM36">
        <v>110.27409281720008</v>
      </c>
      <c r="FN36">
        <v>91.867164110151975</v>
      </c>
      <c r="FO36" s="170" t="s">
        <v>303</v>
      </c>
      <c r="FP36" t="s">
        <v>304</v>
      </c>
      <c r="FQ36" t="s">
        <v>305</v>
      </c>
      <c r="FR36" t="s">
        <v>305</v>
      </c>
      <c r="FS36" t="s">
        <v>305</v>
      </c>
      <c r="FT36">
        <v>1813.9788458588901</v>
      </c>
      <c r="FU36">
        <v>181.84144702230992</v>
      </c>
      <c r="FV36">
        <v>167.78441694148</v>
      </c>
      <c r="FW36">
        <v>3.79873977879828</v>
      </c>
      <c r="FX36">
        <v>0.50073411896435038</v>
      </c>
      <c r="FY36">
        <v>0.44439318247808002</v>
      </c>
      <c r="FZ36">
        <v>2.4681916236995001</v>
      </c>
      <c r="GA36">
        <v>0.33224814446346995</v>
      </c>
      <c r="GB36">
        <v>0.2914870098354001</v>
      </c>
      <c r="GC36" t="s">
        <v>311</v>
      </c>
    </row>
    <row r="37" spans="1:185" ht="17">
      <c r="A37" t="s">
        <v>180</v>
      </c>
      <c r="B37" s="202" t="s">
        <v>181</v>
      </c>
      <c r="C37" t="s">
        <v>168</v>
      </c>
      <c r="D37" t="s">
        <v>182</v>
      </c>
      <c r="E37">
        <v>2020</v>
      </c>
      <c r="F37" t="s">
        <v>183</v>
      </c>
      <c r="G37" s="141">
        <v>40605.419158935547</v>
      </c>
      <c r="H37">
        <v>1</v>
      </c>
      <c r="I37">
        <v>1</v>
      </c>
      <c r="J37">
        <v>576.83735069623697</v>
      </c>
      <c r="K37">
        <v>92.117716520963086</v>
      </c>
      <c r="L37">
        <v>76.875447279184982</v>
      </c>
      <c r="M37" s="163" t="b">
        <v>0</v>
      </c>
      <c r="N37" s="163">
        <v>3</v>
      </c>
      <c r="O37" t="s">
        <v>332</v>
      </c>
      <c r="P37" t="b">
        <v>0</v>
      </c>
      <c r="Q37" s="163" t="b">
        <v>1</v>
      </c>
      <c r="R37" s="212" t="s">
        <v>325</v>
      </c>
      <c r="S37" s="163" t="b">
        <v>1</v>
      </c>
      <c r="T37" s="163" t="b">
        <v>0</v>
      </c>
      <c r="U37" s="163" t="s">
        <v>167</v>
      </c>
      <c r="V37" s="163" t="s">
        <v>167</v>
      </c>
      <c r="W37" s="199" t="s">
        <v>167</v>
      </c>
      <c r="X37" s="199" t="s">
        <v>167</v>
      </c>
      <c r="Y37" s="143" t="s">
        <v>184</v>
      </c>
      <c r="Z37" t="s">
        <v>183</v>
      </c>
      <c r="AA37" t="s">
        <v>198</v>
      </c>
      <c r="AB37" t="s">
        <v>191</v>
      </c>
      <c r="AC37">
        <v>9</v>
      </c>
      <c r="AD37">
        <v>4</v>
      </c>
      <c r="AE37">
        <v>23</v>
      </c>
      <c r="AF37">
        <v>25</v>
      </c>
      <c r="AG37">
        <v>77.540000000000006</v>
      </c>
      <c r="AH37" t="s">
        <v>167</v>
      </c>
      <c r="AI37" t="s">
        <v>199</v>
      </c>
      <c r="AJ37" t="s">
        <v>200</v>
      </c>
      <c r="AK37" s="147">
        <v>-50.945999999999998</v>
      </c>
      <c r="AL37" s="147">
        <v>-26.368600000000001</v>
      </c>
      <c r="AM37" s="147">
        <v>-57.4</v>
      </c>
      <c r="AN37" s="148" t="s">
        <v>167</v>
      </c>
      <c r="AO37" s="148">
        <v>-3083.4</v>
      </c>
      <c r="AP37" s="147">
        <v>-2250</v>
      </c>
      <c r="AQ37" t="s">
        <v>201</v>
      </c>
      <c r="AR37" t="s">
        <v>190</v>
      </c>
      <c r="AS37" s="141">
        <v>40605.419158935547</v>
      </c>
      <c r="AT37" t="s">
        <v>206</v>
      </c>
      <c r="AU37">
        <v>1</v>
      </c>
      <c r="AV37">
        <v>1</v>
      </c>
      <c r="AW37" t="s">
        <v>207</v>
      </c>
      <c r="AX37" t="s">
        <v>208</v>
      </c>
      <c r="AY37" s="138" t="s">
        <v>209</v>
      </c>
      <c r="AZ37">
        <v>40.570257812500003</v>
      </c>
      <c r="BA37" t="s">
        <v>167</v>
      </c>
      <c r="BB37" t="s">
        <v>167</v>
      </c>
      <c r="BC37" t="s">
        <v>167</v>
      </c>
      <c r="BD37" t="s">
        <v>207</v>
      </c>
      <c r="BE37" t="s">
        <v>213</v>
      </c>
      <c r="BF37" t="s">
        <v>214</v>
      </c>
      <c r="BG37" t="s">
        <v>225</v>
      </c>
      <c r="BH37" t="s">
        <v>217</v>
      </c>
      <c r="BI37" s="157">
        <v>206</v>
      </c>
      <c r="BJ37" s="157">
        <v>2.9569999999999999</v>
      </c>
      <c r="BK37" t="s">
        <v>219</v>
      </c>
      <c r="BL37" t="s">
        <v>220</v>
      </c>
      <c r="BM37" t="s">
        <v>221</v>
      </c>
      <c r="BN37" t="s">
        <v>260</v>
      </c>
      <c r="BO37">
        <v>2</v>
      </c>
      <c r="BP37" s="140">
        <v>1.4699195710424105E-2</v>
      </c>
      <c r="BQ37" s="139">
        <v>12.922389584701101</v>
      </c>
      <c r="BR37" t="s">
        <v>228</v>
      </c>
      <c r="BS37">
        <v>0.246004039168633</v>
      </c>
      <c r="BT37" s="149">
        <v>1.02</v>
      </c>
      <c r="BU37" s="149" t="s">
        <v>275</v>
      </c>
      <c r="BV37" s="149">
        <v>0.5</v>
      </c>
      <c r="BW37" s="149">
        <v>-2.4900000000000002</v>
      </c>
      <c r="BX37" s="149" t="s">
        <v>276</v>
      </c>
      <c r="BY37" s="149">
        <v>9.01</v>
      </c>
      <c r="BZ37" s="149" t="s">
        <v>277</v>
      </c>
      <c r="CA37" s="149" t="s">
        <v>278</v>
      </c>
      <c r="CB37">
        <v>15.089343537888199</v>
      </c>
      <c r="CC37" t="s">
        <v>274</v>
      </c>
      <c r="CD37" s="165">
        <v>0.23451364360509963</v>
      </c>
      <c r="CE37" t="s">
        <v>326</v>
      </c>
      <c r="CF37" t="s">
        <v>327</v>
      </c>
      <c r="CG37">
        <v>25</v>
      </c>
      <c r="CH37" t="s">
        <v>280</v>
      </c>
      <c r="CI37" t="s">
        <v>280</v>
      </c>
      <c r="CJ37" s="139">
        <v>22.902962699680501</v>
      </c>
      <c r="CK37" t="s">
        <v>281</v>
      </c>
      <c r="CL37" s="140">
        <v>0.58068429968399804</v>
      </c>
      <c r="CM37" s="140">
        <v>0.596350651203164</v>
      </c>
      <c r="CN37" t="s">
        <v>282</v>
      </c>
      <c r="CO37">
        <v>2.3979546923938799</v>
      </c>
      <c r="CP37" t="s">
        <v>283</v>
      </c>
      <c r="CQ37">
        <v>7.1938640771816401E-2</v>
      </c>
      <c r="CR37">
        <v>7.1938640771816401E-2</v>
      </c>
      <c r="CS37" t="s">
        <v>284</v>
      </c>
      <c r="CT37" t="s">
        <v>167</v>
      </c>
      <c r="CU37" t="s">
        <v>285</v>
      </c>
      <c r="CV37" t="s">
        <v>286</v>
      </c>
      <c r="CW37" t="s">
        <v>280</v>
      </c>
      <c r="CX37" t="s">
        <v>280</v>
      </c>
      <c r="CY37" t="s">
        <v>287</v>
      </c>
      <c r="CZ37" t="s">
        <v>167</v>
      </c>
      <c r="DA37" t="s">
        <v>167</v>
      </c>
      <c r="DB37" t="s">
        <v>167</v>
      </c>
      <c r="DC37" t="s">
        <v>167</v>
      </c>
      <c r="DD37" t="s">
        <v>167</v>
      </c>
      <c r="DE37" t="s">
        <v>167</v>
      </c>
      <c r="DF37" t="s">
        <v>167</v>
      </c>
      <c r="DG37" s="166">
        <v>35</v>
      </c>
      <c r="DH37" t="s">
        <v>288</v>
      </c>
      <c r="DI37">
        <v>1</v>
      </c>
      <c r="DJ37" t="s">
        <v>289</v>
      </c>
      <c r="DK37">
        <v>17</v>
      </c>
      <c r="DL37" t="s">
        <v>290</v>
      </c>
      <c r="DM37" t="s">
        <v>290</v>
      </c>
      <c r="DN37" t="s">
        <v>291</v>
      </c>
      <c r="DO37">
        <v>38</v>
      </c>
      <c r="DP37" t="s">
        <v>290</v>
      </c>
      <c r="DQ37" t="s">
        <v>290</v>
      </c>
      <c r="DR37" t="s">
        <v>291</v>
      </c>
      <c r="DS37" t="s">
        <v>292</v>
      </c>
      <c r="DT37" t="s">
        <v>293</v>
      </c>
      <c r="DU37" t="s">
        <v>293</v>
      </c>
      <c r="DV37" t="s">
        <v>293</v>
      </c>
      <c r="DW37" s="138">
        <v>432.56244218316402</v>
      </c>
      <c r="DX37" t="s">
        <v>294</v>
      </c>
      <c r="DY37" s="138">
        <v>12.3589269195227</v>
      </c>
      <c r="DZ37" t="s">
        <v>295</v>
      </c>
      <c r="EA37">
        <v>38.75</v>
      </c>
      <c r="EB37" t="s">
        <v>296</v>
      </c>
      <c r="EC37">
        <v>0.15</v>
      </c>
      <c r="ED37" t="s">
        <v>328</v>
      </c>
      <c r="EE37" t="s">
        <v>329</v>
      </c>
      <c r="EF37" t="s">
        <v>297</v>
      </c>
      <c r="EG37">
        <v>1.0271999999999999</v>
      </c>
      <c r="EH37" t="s">
        <v>290</v>
      </c>
      <c r="EI37" t="s">
        <v>290</v>
      </c>
      <c r="EJ37" t="s">
        <v>298</v>
      </c>
      <c r="EK37" t="s">
        <v>290</v>
      </c>
      <c r="EL37" t="s">
        <v>290</v>
      </c>
      <c r="EM37" t="s">
        <v>299</v>
      </c>
      <c r="EN37" t="s">
        <v>300</v>
      </c>
      <c r="EO37" t="s">
        <v>329</v>
      </c>
      <c r="EP37" t="s">
        <v>329</v>
      </c>
      <c r="EQ37" t="s">
        <v>329</v>
      </c>
      <c r="ER37" t="s">
        <v>329</v>
      </c>
      <c r="ES37" t="s">
        <v>167</v>
      </c>
      <c r="ET37" t="s">
        <v>307</v>
      </c>
      <c r="EU37" t="s">
        <v>308</v>
      </c>
      <c r="EV37" t="s">
        <v>167</v>
      </c>
      <c r="EW37" s="167">
        <v>1750</v>
      </c>
      <c r="EX37" t="s">
        <v>309</v>
      </c>
      <c r="EY37">
        <v>150</v>
      </c>
      <c r="EZ37">
        <v>150</v>
      </c>
      <c r="FA37" t="s">
        <v>310</v>
      </c>
      <c r="FB37" t="s">
        <v>310</v>
      </c>
      <c r="FC37" t="s">
        <v>310</v>
      </c>
      <c r="FD37" t="s">
        <v>310</v>
      </c>
      <c r="FE37">
        <v>7.8574872781057596</v>
      </c>
      <c r="FF37" s="164" t="s">
        <v>301</v>
      </c>
      <c r="FG37">
        <v>3.5046252877310557E-2</v>
      </c>
      <c r="FH37">
        <v>3.6634683093279996E-2</v>
      </c>
      <c r="FI37">
        <v>576.83735069623697</v>
      </c>
      <c r="FJ37" s="164">
        <v>0</v>
      </c>
      <c r="FK37" s="164" t="s">
        <v>302</v>
      </c>
      <c r="FL37">
        <v>576.83735069623697</v>
      </c>
      <c r="FM37">
        <v>92.117716520963086</v>
      </c>
      <c r="FN37">
        <v>76.875447279184982</v>
      </c>
      <c r="FO37" s="170" t="s">
        <v>303</v>
      </c>
      <c r="FP37" t="s">
        <v>304</v>
      </c>
      <c r="FQ37" t="s">
        <v>305</v>
      </c>
      <c r="FR37" t="s">
        <v>305</v>
      </c>
      <c r="FS37" t="s">
        <v>305</v>
      </c>
      <c r="FT37">
        <v>1831.16269610633</v>
      </c>
      <c r="FU37">
        <v>178.18194471092988</v>
      </c>
      <c r="FV37">
        <v>170.48375016817999</v>
      </c>
      <c r="FW37">
        <v>4.7681650850399597</v>
      </c>
      <c r="FX37">
        <v>0.59501464364532985</v>
      </c>
      <c r="FY37">
        <v>0.48541026042263002</v>
      </c>
      <c r="FZ37">
        <v>3.1166591008081101</v>
      </c>
      <c r="GA37">
        <v>0.3918011230162799</v>
      </c>
      <c r="GB37">
        <v>0.32208469461461009</v>
      </c>
      <c r="GC37" t="s">
        <v>311</v>
      </c>
    </row>
    <row r="38" spans="1:185" ht="17">
      <c r="A38" t="s">
        <v>180</v>
      </c>
      <c r="B38" s="202" t="s">
        <v>181</v>
      </c>
      <c r="C38" t="s">
        <v>168</v>
      </c>
      <c r="D38" t="s">
        <v>182</v>
      </c>
      <c r="E38">
        <v>2020</v>
      </c>
      <c r="F38" t="s">
        <v>183</v>
      </c>
      <c r="G38" s="141">
        <v>40816.848754882812</v>
      </c>
      <c r="H38">
        <v>1</v>
      </c>
      <c r="I38">
        <v>1</v>
      </c>
      <c r="J38">
        <v>719.30039611215602</v>
      </c>
      <c r="K38">
        <v>125.59217374971195</v>
      </c>
      <c r="L38">
        <v>102.70016411509403</v>
      </c>
      <c r="M38" s="163" t="b">
        <v>0</v>
      </c>
      <c r="N38" s="163">
        <v>3</v>
      </c>
      <c r="O38" t="s">
        <v>332</v>
      </c>
      <c r="P38" t="b">
        <v>0</v>
      </c>
      <c r="Q38" s="163" t="b">
        <v>1</v>
      </c>
      <c r="R38" s="212" t="s">
        <v>325</v>
      </c>
      <c r="S38" s="163" t="b">
        <v>1</v>
      </c>
      <c r="T38" s="163" t="b">
        <v>0</v>
      </c>
      <c r="U38" s="163" t="s">
        <v>167</v>
      </c>
      <c r="V38" s="163" t="s">
        <v>167</v>
      </c>
      <c r="W38" s="199" t="s">
        <v>167</v>
      </c>
      <c r="X38" s="199" t="s">
        <v>167</v>
      </c>
      <c r="Y38" s="143" t="s">
        <v>184</v>
      </c>
      <c r="Z38" t="s">
        <v>183</v>
      </c>
      <c r="AA38" t="s">
        <v>198</v>
      </c>
      <c r="AB38" t="s">
        <v>191</v>
      </c>
      <c r="AC38">
        <v>9</v>
      </c>
      <c r="AD38">
        <v>5</v>
      </c>
      <c r="AE38">
        <v>132</v>
      </c>
      <c r="AF38">
        <v>134</v>
      </c>
      <c r="AG38">
        <v>80.13</v>
      </c>
      <c r="AH38" s="4" t="s">
        <v>167</v>
      </c>
      <c r="AI38" t="s">
        <v>199</v>
      </c>
      <c r="AJ38" t="s">
        <v>200</v>
      </c>
      <c r="AK38" s="147">
        <v>-50.945999999999998</v>
      </c>
      <c r="AL38" s="147">
        <v>-26.368600000000001</v>
      </c>
      <c r="AM38" s="147">
        <v>-57.4</v>
      </c>
      <c r="AN38" s="148" t="s">
        <v>167</v>
      </c>
      <c r="AO38" s="148">
        <v>-3083.4</v>
      </c>
      <c r="AP38" s="147">
        <v>-2250</v>
      </c>
      <c r="AQ38" t="s">
        <v>201</v>
      </c>
      <c r="AR38" t="s">
        <v>190</v>
      </c>
      <c r="AS38" s="141">
        <v>40816.848754882812</v>
      </c>
      <c r="AT38" t="s">
        <v>206</v>
      </c>
      <c r="AU38">
        <v>1</v>
      </c>
      <c r="AV38">
        <v>1</v>
      </c>
      <c r="AW38" t="s">
        <v>207</v>
      </c>
      <c r="AX38" t="s">
        <v>208</v>
      </c>
      <c r="AY38" s="138" t="s">
        <v>209</v>
      </c>
      <c r="AZ38">
        <v>40.759441406249998</v>
      </c>
      <c r="BA38" t="s">
        <v>167</v>
      </c>
      <c r="BB38" t="s">
        <v>167</v>
      </c>
      <c r="BC38" t="s">
        <v>167</v>
      </c>
      <c r="BD38" t="s">
        <v>207</v>
      </c>
      <c r="BE38" t="s">
        <v>213</v>
      </c>
      <c r="BF38" t="s">
        <v>214</v>
      </c>
      <c r="BG38" t="s">
        <v>225</v>
      </c>
      <c r="BH38" t="s">
        <v>217</v>
      </c>
      <c r="BI38" s="157">
        <v>238</v>
      </c>
      <c r="BJ38" s="157">
        <v>3.4510000000000001</v>
      </c>
      <c r="BK38" t="s">
        <v>219</v>
      </c>
      <c r="BL38" t="s">
        <v>220</v>
      </c>
      <c r="BM38" t="s">
        <v>221</v>
      </c>
      <c r="BN38" t="s">
        <v>261</v>
      </c>
      <c r="BO38">
        <v>2</v>
      </c>
      <c r="BP38" s="140">
        <v>0.10386956338466824</v>
      </c>
      <c r="BQ38" s="139">
        <v>12.024809980019601</v>
      </c>
      <c r="BR38" t="s">
        <v>228</v>
      </c>
      <c r="BS38">
        <v>0.23392245348705201</v>
      </c>
      <c r="BT38" s="149">
        <v>1.02</v>
      </c>
      <c r="BU38" s="149" t="s">
        <v>275</v>
      </c>
      <c r="BV38" s="149">
        <v>0.5</v>
      </c>
      <c r="BW38" s="149">
        <v>-2.4900000000000002</v>
      </c>
      <c r="BX38" s="149" t="s">
        <v>276</v>
      </c>
      <c r="BY38" s="149">
        <v>9.01</v>
      </c>
      <c r="BZ38" s="149" t="s">
        <v>277</v>
      </c>
      <c r="CA38" s="149" t="s">
        <v>278</v>
      </c>
      <c r="CB38">
        <v>14.2162018241941</v>
      </c>
      <c r="CC38" t="s">
        <v>274</v>
      </c>
      <c r="CD38" s="165">
        <v>0.24111344321830064</v>
      </c>
      <c r="CE38" t="s">
        <v>326</v>
      </c>
      <c r="CF38" t="s">
        <v>327</v>
      </c>
      <c r="CG38">
        <v>25</v>
      </c>
      <c r="CH38" t="s">
        <v>280</v>
      </c>
      <c r="CI38" t="s">
        <v>280</v>
      </c>
      <c r="CJ38" s="139">
        <v>20.4583722685616</v>
      </c>
      <c r="CK38" t="s">
        <v>281</v>
      </c>
      <c r="CL38" s="140">
        <v>0.629201136861678</v>
      </c>
      <c r="CM38" s="140">
        <v>0.5827464102105</v>
      </c>
      <c r="CN38" t="s">
        <v>282</v>
      </c>
      <c r="CO38">
        <v>2.20758192588944</v>
      </c>
      <c r="CP38" t="s">
        <v>283</v>
      </c>
      <c r="CQ38">
        <v>6.6227457776683193E-2</v>
      </c>
      <c r="CR38">
        <v>6.6227457776683193E-2</v>
      </c>
      <c r="CS38" t="s">
        <v>284</v>
      </c>
      <c r="CT38" t="s">
        <v>167</v>
      </c>
      <c r="CU38" t="s">
        <v>285</v>
      </c>
      <c r="CV38" t="s">
        <v>286</v>
      </c>
      <c r="CW38" t="s">
        <v>280</v>
      </c>
      <c r="CX38" t="s">
        <v>280</v>
      </c>
      <c r="CY38" t="s">
        <v>287</v>
      </c>
      <c r="CZ38" t="s">
        <v>167</v>
      </c>
      <c r="DA38" t="s">
        <v>167</v>
      </c>
      <c r="DB38" t="s">
        <v>167</v>
      </c>
      <c r="DC38" t="s">
        <v>167</v>
      </c>
      <c r="DD38" t="s">
        <v>167</v>
      </c>
      <c r="DE38" t="s">
        <v>167</v>
      </c>
      <c r="DF38" t="s">
        <v>167</v>
      </c>
      <c r="DG38" s="166">
        <v>35</v>
      </c>
      <c r="DH38" t="s">
        <v>288</v>
      </c>
      <c r="DI38">
        <v>1</v>
      </c>
      <c r="DJ38" t="s">
        <v>289</v>
      </c>
      <c r="DK38">
        <v>17</v>
      </c>
      <c r="DL38" t="s">
        <v>290</v>
      </c>
      <c r="DM38" t="s">
        <v>290</v>
      </c>
      <c r="DN38" t="s">
        <v>291</v>
      </c>
      <c r="DO38">
        <v>38</v>
      </c>
      <c r="DP38" t="s">
        <v>290</v>
      </c>
      <c r="DQ38" t="s">
        <v>290</v>
      </c>
      <c r="DR38" t="s">
        <v>291</v>
      </c>
      <c r="DS38" t="s">
        <v>292</v>
      </c>
      <c r="DT38" t="s">
        <v>293</v>
      </c>
      <c r="DU38" t="s">
        <v>293</v>
      </c>
      <c r="DV38" t="s">
        <v>293</v>
      </c>
      <c r="DW38" s="138">
        <v>432.56244218316402</v>
      </c>
      <c r="DX38" t="s">
        <v>294</v>
      </c>
      <c r="DY38" s="138">
        <v>12.3589269195228</v>
      </c>
      <c r="DZ38" t="s">
        <v>295</v>
      </c>
      <c r="EA38">
        <v>38.75</v>
      </c>
      <c r="EB38" t="s">
        <v>296</v>
      </c>
      <c r="EC38">
        <v>0.15</v>
      </c>
      <c r="ED38" t="s">
        <v>328</v>
      </c>
      <c r="EE38" t="s">
        <v>329</v>
      </c>
      <c r="EF38" t="s">
        <v>297</v>
      </c>
      <c r="EG38">
        <v>1.0271999999999999</v>
      </c>
      <c r="EH38" t="s">
        <v>290</v>
      </c>
      <c r="EI38" t="s">
        <v>290</v>
      </c>
      <c r="EJ38" t="s">
        <v>298</v>
      </c>
      <c r="EK38" t="s">
        <v>290</v>
      </c>
      <c r="EL38" t="s">
        <v>290</v>
      </c>
      <c r="EM38" t="s">
        <v>299</v>
      </c>
      <c r="EN38" t="s">
        <v>300</v>
      </c>
      <c r="EO38" t="s">
        <v>329</v>
      </c>
      <c r="EP38" t="s">
        <v>329</v>
      </c>
      <c r="EQ38" t="s">
        <v>329</v>
      </c>
      <c r="ER38" t="s">
        <v>329</v>
      </c>
      <c r="ES38" t="s">
        <v>167</v>
      </c>
      <c r="ET38" t="s">
        <v>307</v>
      </c>
      <c r="EU38" t="s">
        <v>308</v>
      </c>
      <c r="EV38" t="s">
        <v>167</v>
      </c>
      <c r="EW38" s="167">
        <v>1750</v>
      </c>
      <c r="EX38" t="s">
        <v>309</v>
      </c>
      <c r="EY38">
        <v>150</v>
      </c>
      <c r="EZ38">
        <v>150</v>
      </c>
      <c r="FA38" t="s">
        <v>310</v>
      </c>
      <c r="FB38" t="s">
        <v>310</v>
      </c>
      <c r="FC38" t="s">
        <v>310</v>
      </c>
      <c r="FD38" t="s">
        <v>310</v>
      </c>
      <c r="FE38">
        <v>7.7577610922335403</v>
      </c>
      <c r="FF38" s="164" t="s">
        <v>301</v>
      </c>
      <c r="FG38">
        <v>4.3657375070119464E-2</v>
      </c>
      <c r="FH38">
        <v>4.3692393362889881E-2</v>
      </c>
      <c r="FI38">
        <v>719.30039611215602</v>
      </c>
      <c r="FJ38" s="164">
        <v>0</v>
      </c>
      <c r="FK38" s="164" t="s">
        <v>302</v>
      </c>
      <c r="FL38">
        <v>719.30039611215602</v>
      </c>
      <c r="FM38">
        <v>125.59217374971195</v>
      </c>
      <c r="FN38">
        <v>102.70016411509403</v>
      </c>
      <c r="FO38" s="170" t="s">
        <v>303</v>
      </c>
      <c r="FP38" t="s">
        <v>304</v>
      </c>
      <c r="FQ38" t="s">
        <v>305</v>
      </c>
      <c r="FR38" t="s">
        <v>305</v>
      </c>
      <c r="FS38" t="s">
        <v>305</v>
      </c>
      <c r="FT38">
        <v>1816.6989218564299</v>
      </c>
      <c r="FU38">
        <v>189.03255602425997</v>
      </c>
      <c r="FV38">
        <v>175.82380616929004</v>
      </c>
      <c r="FW38">
        <v>3.4858205694912998</v>
      </c>
      <c r="FX38">
        <v>0.49107422321324012</v>
      </c>
      <c r="FY38">
        <v>0.4526328247288598</v>
      </c>
      <c r="FZ38">
        <v>2.2628065233028001</v>
      </c>
      <c r="GA38">
        <v>0.31998467066831981</v>
      </c>
      <c r="GB38">
        <v>0.29534225338775011</v>
      </c>
      <c r="GC38" t="s">
        <v>311</v>
      </c>
    </row>
    <row r="39" spans="1:185" ht="17">
      <c r="A39" s="149" t="s">
        <v>180</v>
      </c>
      <c r="B39" s="203" t="s">
        <v>181</v>
      </c>
      <c r="C39" s="149" t="s">
        <v>168</v>
      </c>
      <c r="D39" s="149" t="s">
        <v>182</v>
      </c>
      <c r="E39" s="149">
        <v>2020</v>
      </c>
      <c r="F39" s="149" t="s">
        <v>183</v>
      </c>
      <c r="G39" s="141">
        <v>39933.570861816406</v>
      </c>
      <c r="H39" s="149">
        <v>1</v>
      </c>
      <c r="I39" s="149">
        <v>1</v>
      </c>
      <c r="J39">
        <v>746.24328464264295</v>
      </c>
      <c r="K39">
        <v>126.969591555497</v>
      </c>
      <c r="L39">
        <v>110.15268601757691</v>
      </c>
      <c r="M39" s="163" t="b">
        <v>0</v>
      </c>
      <c r="N39" s="163">
        <v>3</v>
      </c>
      <c r="O39" t="s">
        <v>332</v>
      </c>
      <c r="P39" t="b">
        <v>0</v>
      </c>
      <c r="Q39" s="163" t="b">
        <v>1</v>
      </c>
      <c r="R39" s="212" t="s">
        <v>325</v>
      </c>
      <c r="S39" s="163" t="b">
        <v>1</v>
      </c>
      <c r="T39" s="163" t="b">
        <v>0</v>
      </c>
      <c r="U39" s="163" t="s">
        <v>167</v>
      </c>
      <c r="V39" s="163" t="s">
        <v>167</v>
      </c>
      <c r="W39" s="199" t="s">
        <v>167</v>
      </c>
      <c r="X39" s="199" t="s">
        <v>167</v>
      </c>
      <c r="Y39" s="192" t="s">
        <v>184</v>
      </c>
      <c r="Z39" s="149" t="s">
        <v>183</v>
      </c>
      <c r="AA39" s="149" t="s">
        <v>202</v>
      </c>
      <c r="AB39" s="149" t="s">
        <v>191</v>
      </c>
      <c r="AC39" s="149">
        <v>8</v>
      </c>
      <c r="AD39" s="149">
        <v>2</v>
      </c>
      <c r="AE39" s="149">
        <v>94</v>
      </c>
      <c r="AF39" s="149">
        <v>106</v>
      </c>
      <c r="AG39" s="149">
        <v>115.06</v>
      </c>
      <c r="AH39">
        <v>136.57</v>
      </c>
      <c r="AI39" s="149" t="s">
        <v>203</v>
      </c>
      <c r="AJ39" s="149" t="s">
        <v>204</v>
      </c>
      <c r="AK39" s="150">
        <v>-28.53295</v>
      </c>
      <c r="AL39" s="150">
        <v>2.7795670000000001</v>
      </c>
      <c r="AM39" s="150">
        <v>-38</v>
      </c>
      <c r="AN39" s="151" t="s">
        <v>167</v>
      </c>
      <c r="AO39" s="151">
        <v>-2717</v>
      </c>
      <c r="AP39" s="150">
        <v>-2000</v>
      </c>
      <c r="AQ39" s="149" t="s">
        <v>205</v>
      </c>
      <c r="AR39" s="149" t="s">
        <v>190</v>
      </c>
      <c r="AS39" s="141">
        <v>39933.570861816406</v>
      </c>
      <c r="AT39" s="149" t="s">
        <v>206</v>
      </c>
      <c r="AU39" s="149">
        <v>1</v>
      </c>
      <c r="AV39" s="149">
        <v>1</v>
      </c>
      <c r="AW39" s="149" t="s">
        <v>207</v>
      </c>
      <c r="AX39" s="149" t="s">
        <v>208</v>
      </c>
      <c r="AY39" s="171" t="s">
        <v>209</v>
      </c>
      <c r="AZ39" s="149">
        <v>39.889766693115234</v>
      </c>
      <c r="BA39" s="149" t="s">
        <v>167</v>
      </c>
      <c r="BB39" s="149" t="s">
        <v>167</v>
      </c>
      <c r="BC39" s="149" t="s">
        <v>167</v>
      </c>
      <c r="BD39" s="149" t="s">
        <v>207</v>
      </c>
      <c r="BE39" s="149" t="s">
        <v>210</v>
      </c>
      <c r="BF39" s="149" t="s">
        <v>215</v>
      </c>
      <c r="BG39" s="149" t="s">
        <v>223</v>
      </c>
      <c r="BH39" s="149" t="s">
        <v>217</v>
      </c>
      <c r="BI39" s="157">
        <v>202</v>
      </c>
      <c r="BJ39" s="157">
        <v>2.4380000000000002</v>
      </c>
      <c r="BK39" s="149" t="s">
        <v>219</v>
      </c>
      <c r="BL39" s="149" t="s">
        <v>220</v>
      </c>
      <c r="BM39" s="149" t="s">
        <v>221</v>
      </c>
      <c r="BN39" s="149" t="s">
        <v>262</v>
      </c>
      <c r="BO39" s="149">
        <v>2</v>
      </c>
      <c r="BP39" s="160">
        <v>0.31860731751218196</v>
      </c>
      <c r="BQ39" s="161">
        <v>13.402425431610601</v>
      </c>
      <c r="BR39" s="149" t="s">
        <v>228</v>
      </c>
      <c r="BS39" s="149">
        <v>0.24955060747617999</v>
      </c>
      <c r="BT39">
        <v>0.95</v>
      </c>
      <c r="BU39" t="s">
        <v>275</v>
      </c>
      <c r="BV39">
        <v>0.17</v>
      </c>
      <c r="BW39">
        <v>-0.42</v>
      </c>
      <c r="BX39" t="s">
        <v>276</v>
      </c>
      <c r="BY39">
        <v>2.85</v>
      </c>
      <c r="BZ39" t="s">
        <v>279</v>
      </c>
      <c r="CA39" t="s">
        <v>278</v>
      </c>
      <c r="CB39">
        <v>14.599272964251499</v>
      </c>
      <c r="CC39" t="s">
        <v>274</v>
      </c>
      <c r="CD39" s="165">
        <v>0.26866881128080067</v>
      </c>
      <c r="CE39" t="s">
        <v>326</v>
      </c>
      <c r="CF39" t="s">
        <v>327</v>
      </c>
      <c r="CG39">
        <v>25</v>
      </c>
      <c r="CH39" t="s">
        <v>280</v>
      </c>
      <c r="CI39" t="s">
        <v>280</v>
      </c>
      <c r="CJ39" s="139">
        <v>25.728052386685</v>
      </c>
      <c r="CK39" t="s">
        <v>281</v>
      </c>
      <c r="CL39" s="140">
        <v>0.61073938109034398</v>
      </c>
      <c r="CM39" s="140">
        <v>0.64259723143448999</v>
      </c>
      <c r="CN39" t="s">
        <v>282</v>
      </c>
      <c r="CO39">
        <v>2.98674474342143</v>
      </c>
      <c r="CP39" t="s">
        <v>283</v>
      </c>
      <c r="CQ39" s="149">
        <v>8.9602342302642898E-2</v>
      </c>
      <c r="CR39" s="149">
        <v>8.9602342302642898E-2</v>
      </c>
      <c r="CS39" t="s">
        <v>284</v>
      </c>
      <c r="CT39" t="s">
        <v>167</v>
      </c>
      <c r="CU39" t="s">
        <v>285</v>
      </c>
      <c r="CV39" t="s">
        <v>286</v>
      </c>
      <c r="CW39" t="s">
        <v>280</v>
      </c>
      <c r="CX39" t="s">
        <v>280</v>
      </c>
      <c r="CY39" t="s">
        <v>287</v>
      </c>
      <c r="CZ39" t="s">
        <v>167</v>
      </c>
      <c r="DA39" t="s">
        <v>167</v>
      </c>
      <c r="DB39" t="s">
        <v>167</v>
      </c>
      <c r="DC39" t="s">
        <v>167</v>
      </c>
      <c r="DD39" t="s">
        <v>167</v>
      </c>
      <c r="DE39" t="s">
        <v>167</v>
      </c>
      <c r="DF39" t="s">
        <v>167</v>
      </c>
      <c r="DG39" s="166">
        <v>35</v>
      </c>
      <c r="DH39" t="s">
        <v>288</v>
      </c>
      <c r="DI39">
        <v>1</v>
      </c>
      <c r="DJ39" t="s">
        <v>289</v>
      </c>
      <c r="DK39">
        <v>17</v>
      </c>
      <c r="DL39" t="s">
        <v>290</v>
      </c>
      <c r="DM39" t="s">
        <v>290</v>
      </c>
      <c r="DN39" t="s">
        <v>291</v>
      </c>
      <c r="DO39">
        <v>38</v>
      </c>
      <c r="DP39" t="s">
        <v>290</v>
      </c>
      <c r="DQ39" t="s">
        <v>290</v>
      </c>
      <c r="DR39" t="s">
        <v>291</v>
      </c>
      <c r="DS39" t="s">
        <v>292</v>
      </c>
      <c r="DT39" t="s">
        <v>293</v>
      </c>
      <c r="DU39" t="s">
        <v>293</v>
      </c>
      <c r="DV39" t="s">
        <v>293</v>
      </c>
      <c r="DW39" s="138">
        <v>432.56244218316402</v>
      </c>
      <c r="DX39" t="s">
        <v>294</v>
      </c>
      <c r="DY39" s="138">
        <v>12.358926919523</v>
      </c>
      <c r="DZ39" t="s">
        <v>295</v>
      </c>
      <c r="EA39">
        <v>38.75</v>
      </c>
      <c r="EB39" t="s">
        <v>296</v>
      </c>
      <c r="EC39">
        <v>0.15</v>
      </c>
      <c r="ED39" t="s">
        <v>328</v>
      </c>
      <c r="EE39" t="s">
        <v>329</v>
      </c>
      <c r="EF39" t="s">
        <v>297</v>
      </c>
      <c r="EG39">
        <v>1.0271999999999999</v>
      </c>
      <c r="EH39" t="s">
        <v>290</v>
      </c>
      <c r="EI39" t="s">
        <v>290</v>
      </c>
      <c r="EJ39" t="s">
        <v>298</v>
      </c>
      <c r="EK39" t="s">
        <v>290</v>
      </c>
      <c r="EL39" t="s">
        <v>290</v>
      </c>
      <c r="EM39" t="s">
        <v>299</v>
      </c>
      <c r="EN39" t="s">
        <v>300</v>
      </c>
      <c r="EO39" t="s">
        <v>329</v>
      </c>
      <c r="EP39" t="s">
        <v>329</v>
      </c>
      <c r="EQ39" t="s">
        <v>329</v>
      </c>
      <c r="ER39" t="s">
        <v>329</v>
      </c>
      <c r="ES39" t="s">
        <v>167</v>
      </c>
      <c r="ET39" t="s">
        <v>307</v>
      </c>
      <c r="EU39" t="s">
        <v>308</v>
      </c>
      <c r="EV39" t="s">
        <v>167</v>
      </c>
      <c r="EW39" s="167">
        <v>1750</v>
      </c>
      <c r="EX39" t="s">
        <v>309</v>
      </c>
      <c r="EY39">
        <v>150</v>
      </c>
      <c r="EZ39">
        <v>150</v>
      </c>
      <c r="FA39" t="s">
        <v>310</v>
      </c>
      <c r="FB39" t="s">
        <v>310</v>
      </c>
      <c r="FC39" t="s">
        <v>310</v>
      </c>
      <c r="FD39" t="s">
        <v>310</v>
      </c>
      <c r="FE39">
        <v>7.7548745702156401</v>
      </c>
      <c r="FF39" s="164" t="s">
        <v>301</v>
      </c>
      <c r="FG39">
        <v>4.1660479332500167E-2</v>
      </c>
      <c r="FH39">
        <v>4.2861481155580528E-2</v>
      </c>
      <c r="FI39">
        <v>746.24328464264295</v>
      </c>
      <c r="FJ39" s="164">
        <v>0</v>
      </c>
      <c r="FK39" s="164" t="s">
        <v>302</v>
      </c>
      <c r="FL39">
        <v>746.24328464264295</v>
      </c>
      <c r="FM39">
        <v>126.969591555497</v>
      </c>
      <c r="FN39">
        <v>110.15268601757691</v>
      </c>
      <c r="FO39" s="170" t="s">
        <v>303</v>
      </c>
      <c r="FP39" t="s">
        <v>304</v>
      </c>
      <c r="FQ39" t="s">
        <v>305</v>
      </c>
      <c r="FR39" t="s">
        <v>305</v>
      </c>
      <c r="FS39" t="s">
        <v>305</v>
      </c>
      <c r="FT39">
        <v>1827.9439607874299</v>
      </c>
      <c r="FU39" s="149">
        <v>183.14947591990017</v>
      </c>
      <c r="FV39" s="149">
        <v>170.35606772656979</v>
      </c>
      <c r="FW39">
        <v>4.2645899689625697</v>
      </c>
      <c r="FX39">
        <v>0.53634969179841008</v>
      </c>
      <c r="FY39">
        <v>0.55856820530487949</v>
      </c>
      <c r="FZ39">
        <v>2.8102979100788601</v>
      </c>
      <c r="GA39">
        <v>0.35505486827200006</v>
      </c>
      <c r="GB39">
        <v>0.36673288535481019</v>
      </c>
      <c r="GC39" t="s">
        <v>311</v>
      </c>
    </row>
    <row r="40" spans="1:185" ht="17">
      <c r="A40" t="s">
        <v>180</v>
      </c>
      <c r="B40" s="202" t="s">
        <v>181</v>
      </c>
      <c r="C40" t="s">
        <v>168</v>
      </c>
      <c r="D40" t="s">
        <v>182</v>
      </c>
      <c r="E40">
        <v>2020</v>
      </c>
      <c r="F40" t="s">
        <v>183</v>
      </c>
      <c r="G40" s="141">
        <v>39989.673614501953</v>
      </c>
      <c r="H40">
        <v>1</v>
      </c>
      <c r="I40">
        <v>1</v>
      </c>
      <c r="J40">
        <v>717.54332105062394</v>
      </c>
      <c r="K40">
        <v>118.897766425344</v>
      </c>
      <c r="L40">
        <v>99.256727574750926</v>
      </c>
      <c r="M40" s="163" t="b">
        <v>0</v>
      </c>
      <c r="N40" s="163">
        <v>3</v>
      </c>
      <c r="O40" t="s">
        <v>332</v>
      </c>
      <c r="P40" t="b">
        <v>0</v>
      </c>
      <c r="Q40" s="163" t="b">
        <v>1</v>
      </c>
      <c r="R40" s="212" t="s">
        <v>325</v>
      </c>
      <c r="S40" s="163" t="b">
        <v>1</v>
      </c>
      <c r="T40" s="163" t="b">
        <v>0</v>
      </c>
      <c r="U40" s="163" t="s">
        <v>167</v>
      </c>
      <c r="V40" s="163" t="s">
        <v>167</v>
      </c>
      <c r="W40" s="199" t="s">
        <v>167</v>
      </c>
      <c r="X40" s="199" t="s">
        <v>167</v>
      </c>
      <c r="Y40" s="143" t="s">
        <v>184</v>
      </c>
      <c r="Z40" t="s">
        <v>183</v>
      </c>
      <c r="AA40" t="s">
        <v>202</v>
      </c>
      <c r="AB40" t="s">
        <v>191</v>
      </c>
      <c r="AC40">
        <v>8</v>
      </c>
      <c r="AD40">
        <v>3</v>
      </c>
      <c r="AE40">
        <v>100</v>
      </c>
      <c r="AF40">
        <v>102</v>
      </c>
      <c r="AG40">
        <v>116.52</v>
      </c>
      <c r="AH40">
        <v>138.07999999999998</v>
      </c>
      <c r="AI40" t="s">
        <v>203</v>
      </c>
      <c r="AJ40" t="s">
        <v>204</v>
      </c>
      <c r="AK40" s="147">
        <v>-28.53295</v>
      </c>
      <c r="AL40" s="147">
        <v>2.7795670000000001</v>
      </c>
      <c r="AM40" s="147">
        <v>-38</v>
      </c>
      <c r="AN40" s="148" t="s">
        <v>167</v>
      </c>
      <c r="AO40" s="148">
        <v>-2717</v>
      </c>
      <c r="AP40" s="147">
        <v>-2000</v>
      </c>
      <c r="AQ40" t="s">
        <v>205</v>
      </c>
      <c r="AR40" t="s">
        <v>190</v>
      </c>
      <c r="AS40" s="141">
        <v>39989.673614501953</v>
      </c>
      <c r="AT40" t="s">
        <v>206</v>
      </c>
      <c r="AU40">
        <v>1</v>
      </c>
      <c r="AV40">
        <v>1</v>
      </c>
      <c r="AW40" t="s">
        <v>207</v>
      </c>
      <c r="AX40" t="s">
        <v>208</v>
      </c>
      <c r="AY40" s="138" t="s">
        <v>209</v>
      </c>
      <c r="AZ40">
        <v>40.012306213378906</v>
      </c>
      <c r="BA40" t="s">
        <v>167</v>
      </c>
      <c r="BB40" t="s">
        <v>167</v>
      </c>
      <c r="BC40" t="s">
        <v>167</v>
      </c>
      <c r="BD40" t="s">
        <v>207</v>
      </c>
      <c r="BE40" t="s">
        <v>210</v>
      </c>
      <c r="BF40" t="s">
        <v>215</v>
      </c>
      <c r="BG40" t="s">
        <v>223</v>
      </c>
      <c r="BH40" t="s">
        <v>217</v>
      </c>
      <c r="BI40" s="157">
        <v>206</v>
      </c>
      <c r="BJ40" s="157">
        <v>2.798</v>
      </c>
      <c r="BK40" t="s">
        <v>219</v>
      </c>
      <c r="BL40" t="s">
        <v>220</v>
      </c>
      <c r="BM40" t="s">
        <v>221</v>
      </c>
      <c r="BN40" t="s">
        <v>263</v>
      </c>
      <c r="BO40">
        <v>2</v>
      </c>
      <c r="BP40" s="140">
        <v>0.29420083239582689</v>
      </c>
      <c r="BQ40" s="139">
        <v>13.583034491087901</v>
      </c>
      <c r="BR40" t="s">
        <v>228</v>
      </c>
      <c r="BS40">
        <v>0.24729519744172901</v>
      </c>
      <c r="BT40">
        <v>0.95</v>
      </c>
      <c r="BU40" t="s">
        <v>275</v>
      </c>
      <c r="BV40">
        <v>0.17</v>
      </c>
      <c r="BW40">
        <v>-0.42</v>
      </c>
      <c r="BX40" t="s">
        <v>276</v>
      </c>
      <c r="BY40">
        <v>2.85</v>
      </c>
      <c r="BZ40" t="s">
        <v>279</v>
      </c>
      <c r="CA40" t="s">
        <v>278</v>
      </c>
      <c r="CB40">
        <v>14.7903180960003</v>
      </c>
      <c r="CC40" t="s">
        <v>274</v>
      </c>
      <c r="CD40" s="165">
        <v>0.24870309264040014</v>
      </c>
      <c r="CE40" t="s">
        <v>326</v>
      </c>
      <c r="CF40" t="s">
        <v>327</v>
      </c>
      <c r="CG40">
        <v>25</v>
      </c>
      <c r="CH40" t="s">
        <v>280</v>
      </c>
      <c r="CI40" t="s">
        <v>280</v>
      </c>
      <c r="CJ40" s="139">
        <v>26.6650766209825</v>
      </c>
      <c r="CK40" t="s">
        <v>281</v>
      </c>
      <c r="CL40" s="140">
        <v>0.56503148736489806</v>
      </c>
      <c r="CM40" s="140">
        <v>0.56718178856322499</v>
      </c>
      <c r="CN40" t="s">
        <v>282</v>
      </c>
      <c r="CO40">
        <v>3.1212009256370798</v>
      </c>
      <c r="CP40" t="s">
        <v>283</v>
      </c>
      <c r="CQ40">
        <v>9.3636027769112395E-2</v>
      </c>
      <c r="CR40">
        <v>9.3636027769112395E-2</v>
      </c>
      <c r="CS40" t="s">
        <v>284</v>
      </c>
      <c r="CT40" t="s">
        <v>167</v>
      </c>
      <c r="CU40" t="s">
        <v>285</v>
      </c>
      <c r="CV40" t="s">
        <v>286</v>
      </c>
      <c r="CW40" t="s">
        <v>280</v>
      </c>
      <c r="CX40" t="s">
        <v>280</v>
      </c>
      <c r="CY40" t="s">
        <v>287</v>
      </c>
      <c r="CZ40" t="s">
        <v>167</v>
      </c>
      <c r="DA40" t="s">
        <v>167</v>
      </c>
      <c r="DB40" t="s">
        <v>167</v>
      </c>
      <c r="DC40" t="s">
        <v>167</v>
      </c>
      <c r="DD40" t="s">
        <v>167</v>
      </c>
      <c r="DE40" t="s">
        <v>167</v>
      </c>
      <c r="DF40" t="s">
        <v>167</v>
      </c>
      <c r="DG40" s="166">
        <v>35</v>
      </c>
      <c r="DH40" t="s">
        <v>288</v>
      </c>
      <c r="DI40">
        <v>1</v>
      </c>
      <c r="DJ40" t="s">
        <v>289</v>
      </c>
      <c r="DK40">
        <v>17</v>
      </c>
      <c r="DL40" t="s">
        <v>290</v>
      </c>
      <c r="DM40" t="s">
        <v>290</v>
      </c>
      <c r="DN40" t="s">
        <v>291</v>
      </c>
      <c r="DO40">
        <v>38</v>
      </c>
      <c r="DP40" t="s">
        <v>290</v>
      </c>
      <c r="DQ40" t="s">
        <v>290</v>
      </c>
      <c r="DR40" t="s">
        <v>291</v>
      </c>
      <c r="DS40" t="s">
        <v>292</v>
      </c>
      <c r="DT40" t="s">
        <v>293</v>
      </c>
      <c r="DU40" t="s">
        <v>293</v>
      </c>
      <c r="DV40" t="s">
        <v>293</v>
      </c>
      <c r="DW40" s="138">
        <v>432.56244218316402</v>
      </c>
      <c r="DX40" t="s">
        <v>294</v>
      </c>
      <c r="DY40" s="138">
        <v>12.3589269195231</v>
      </c>
      <c r="DZ40" t="s">
        <v>295</v>
      </c>
      <c r="EA40">
        <v>38.75</v>
      </c>
      <c r="EB40" t="s">
        <v>296</v>
      </c>
      <c r="EC40">
        <v>0.15</v>
      </c>
      <c r="ED40" t="s">
        <v>328</v>
      </c>
      <c r="EE40" t="s">
        <v>329</v>
      </c>
      <c r="EF40" t="s">
        <v>297</v>
      </c>
      <c r="EG40">
        <v>1.0271999999999999</v>
      </c>
      <c r="EH40" t="s">
        <v>290</v>
      </c>
      <c r="EI40" t="s">
        <v>290</v>
      </c>
      <c r="EJ40" t="s">
        <v>298</v>
      </c>
      <c r="EK40" t="s">
        <v>290</v>
      </c>
      <c r="EL40" t="s">
        <v>290</v>
      </c>
      <c r="EM40" t="s">
        <v>299</v>
      </c>
      <c r="EN40" t="s">
        <v>300</v>
      </c>
      <c r="EO40" t="s">
        <v>329</v>
      </c>
      <c r="EP40" t="s">
        <v>329</v>
      </c>
      <c r="EQ40" t="s">
        <v>329</v>
      </c>
      <c r="ER40" t="s">
        <v>329</v>
      </c>
      <c r="ES40" t="s">
        <v>167</v>
      </c>
      <c r="ET40" t="s">
        <v>307</v>
      </c>
      <c r="EU40" t="s">
        <v>308</v>
      </c>
      <c r="EV40" t="s">
        <v>167</v>
      </c>
      <c r="EW40" s="167">
        <v>1750</v>
      </c>
      <c r="EX40" t="s">
        <v>309</v>
      </c>
      <c r="EY40">
        <v>150</v>
      </c>
      <c r="EZ40">
        <v>150</v>
      </c>
      <c r="FA40" t="s">
        <v>310</v>
      </c>
      <c r="FB40" t="s">
        <v>310</v>
      </c>
      <c r="FC40" t="s">
        <v>310</v>
      </c>
      <c r="FD40" t="s">
        <v>310</v>
      </c>
      <c r="FE40">
        <v>7.7735968799683297</v>
      </c>
      <c r="FF40" s="164" t="s">
        <v>301</v>
      </c>
      <c r="FG40">
        <v>3.6390409554500458E-2</v>
      </c>
      <c r="FH40">
        <v>4.3449111857469802E-2</v>
      </c>
      <c r="FI40">
        <v>717.54332105062394</v>
      </c>
      <c r="FJ40" s="164">
        <v>0</v>
      </c>
      <c r="FK40" s="164" t="s">
        <v>302</v>
      </c>
      <c r="FL40">
        <v>717.54332105062394</v>
      </c>
      <c r="FM40">
        <v>118.897766425344</v>
      </c>
      <c r="FN40">
        <v>99.256727574750926</v>
      </c>
      <c r="FO40" s="170" t="s">
        <v>303</v>
      </c>
      <c r="FP40" t="s">
        <v>304</v>
      </c>
      <c r="FQ40" t="s">
        <v>305</v>
      </c>
      <c r="FR40" t="s">
        <v>305</v>
      </c>
      <c r="FS40" t="s">
        <v>305</v>
      </c>
      <c r="FT40">
        <v>1827.93529392032</v>
      </c>
      <c r="FU40">
        <v>177.15320255172014</v>
      </c>
      <c r="FV40">
        <v>173.57246216278986</v>
      </c>
      <c r="FW40">
        <v>4.5465247450197896</v>
      </c>
      <c r="FX40">
        <v>0.5733790622259205</v>
      </c>
      <c r="FY40">
        <v>0.50209841134717959</v>
      </c>
      <c r="FZ40">
        <v>3.0112334454428602</v>
      </c>
      <c r="GA40">
        <v>0.3802044906461397</v>
      </c>
      <c r="GB40">
        <v>0.33901393216844022</v>
      </c>
      <c r="GC40" t="s">
        <v>311</v>
      </c>
    </row>
    <row r="41" spans="1:185" ht="17">
      <c r="A41" t="s">
        <v>180</v>
      </c>
      <c r="B41" s="202" t="s">
        <v>181</v>
      </c>
      <c r="C41" t="s">
        <v>168</v>
      </c>
      <c r="D41" t="s">
        <v>182</v>
      </c>
      <c r="E41">
        <v>2020</v>
      </c>
      <c r="F41" t="s">
        <v>183</v>
      </c>
      <c r="G41" s="141">
        <v>40074.131011962891</v>
      </c>
      <c r="H41">
        <v>1</v>
      </c>
      <c r="I41">
        <v>1</v>
      </c>
      <c r="J41">
        <v>744.77052941547504</v>
      </c>
      <c r="K41">
        <v>126.20588527729296</v>
      </c>
      <c r="L41">
        <v>105.20115937178207</v>
      </c>
      <c r="M41" s="163" t="b">
        <v>0</v>
      </c>
      <c r="N41" s="163">
        <v>3</v>
      </c>
      <c r="O41" t="s">
        <v>332</v>
      </c>
      <c r="P41" t="b">
        <v>0</v>
      </c>
      <c r="Q41" s="163" t="b">
        <v>1</v>
      </c>
      <c r="R41" s="212" t="s">
        <v>325</v>
      </c>
      <c r="S41" s="163" t="b">
        <v>1</v>
      </c>
      <c r="T41" s="163" t="b">
        <v>0</v>
      </c>
      <c r="U41" s="163" t="s">
        <v>167</v>
      </c>
      <c r="V41" s="163" t="s">
        <v>167</v>
      </c>
      <c r="W41" s="199" t="s">
        <v>167</v>
      </c>
      <c r="X41" s="199" t="s">
        <v>167</v>
      </c>
      <c r="Y41" s="143" t="s">
        <v>184</v>
      </c>
      <c r="Z41" t="s">
        <v>183</v>
      </c>
      <c r="AA41" t="s">
        <v>202</v>
      </c>
      <c r="AB41" t="s">
        <v>191</v>
      </c>
      <c r="AC41">
        <v>8</v>
      </c>
      <c r="AD41">
        <v>5</v>
      </c>
      <c r="AE41">
        <v>36</v>
      </c>
      <c r="AF41">
        <v>41</v>
      </c>
      <c r="AG41">
        <v>118.91</v>
      </c>
      <c r="AH41">
        <v>140.45499999999998</v>
      </c>
      <c r="AI41" t="s">
        <v>203</v>
      </c>
      <c r="AJ41" t="s">
        <v>204</v>
      </c>
      <c r="AK41" s="147">
        <v>-28.53295</v>
      </c>
      <c r="AL41" s="147">
        <v>2.7795670000000001</v>
      </c>
      <c r="AM41" s="147">
        <v>-38</v>
      </c>
      <c r="AN41" s="148" t="s">
        <v>167</v>
      </c>
      <c r="AO41" s="148">
        <v>-2717</v>
      </c>
      <c r="AP41" s="147">
        <v>-2000</v>
      </c>
      <c r="AQ41" t="s">
        <v>205</v>
      </c>
      <c r="AR41" t="s">
        <v>190</v>
      </c>
      <c r="AS41" s="141">
        <v>40074.131011962891</v>
      </c>
      <c r="AT41" t="s">
        <v>206</v>
      </c>
      <c r="AU41">
        <v>1</v>
      </c>
      <c r="AV41">
        <v>1</v>
      </c>
      <c r="AW41" t="s">
        <v>207</v>
      </c>
      <c r="AX41" t="s">
        <v>208</v>
      </c>
      <c r="AY41" s="138" t="s">
        <v>209</v>
      </c>
      <c r="AZ41">
        <v>40.204547882080078</v>
      </c>
      <c r="BA41" t="s">
        <v>167</v>
      </c>
      <c r="BB41" t="s">
        <v>167</v>
      </c>
      <c r="BC41" t="s">
        <v>167</v>
      </c>
      <c r="BD41" t="s">
        <v>207</v>
      </c>
      <c r="BE41" t="s">
        <v>210</v>
      </c>
      <c r="BF41" t="s">
        <v>215</v>
      </c>
      <c r="BG41" t="s">
        <v>223</v>
      </c>
      <c r="BH41" t="s">
        <v>217</v>
      </c>
      <c r="BI41" s="157">
        <v>218</v>
      </c>
      <c r="BJ41" s="157">
        <v>3.2490000000000001</v>
      </c>
      <c r="BK41" t="s">
        <v>219</v>
      </c>
      <c r="BL41" t="s">
        <v>220</v>
      </c>
      <c r="BM41" t="s">
        <v>221</v>
      </c>
      <c r="BN41" t="s">
        <v>264</v>
      </c>
      <c r="BO41">
        <v>2</v>
      </c>
      <c r="BP41" s="140">
        <v>0.13806949064024643</v>
      </c>
      <c r="BQ41" s="139">
        <v>13.4818938664553</v>
      </c>
      <c r="BR41" t="s">
        <v>228</v>
      </c>
      <c r="BS41">
        <v>0.24031225151899299</v>
      </c>
      <c r="BT41">
        <v>0.95</v>
      </c>
      <c r="BU41" t="s">
        <v>275</v>
      </c>
      <c r="BV41">
        <v>0.17</v>
      </c>
      <c r="BW41">
        <v>-0.42</v>
      </c>
      <c r="BX41" t="s">
        <v>276</v>
      </c>
      <c r="BY41">
        <v>2.85</v>
      </c>
      <c r="BZ41" t="s">
        <v>279</v>
      </c>
      <c r="CA41" t="s">
        <v>278</v>
      </c>
      <c r="CB41">
        <v>14.6814051822543</v>
      </c>
      <c r="CC41" t="s">
        <v>274</v>
      </c>
      <c r="CD41" s="165">
        <v>0.25993272837849979</v>
      </c>
      <c r="CE41" t="s">
        <v>326</v>
      </c>
      <c r="CF41" t="s">
        <v>327</v>
      </c>
      <c r="CG41">
        <v>25</v>
      </c>
      <c r="CH41" t="s">
        <v>280</v>
      </c>
      <c r="CI41" t="s">
        <v>280</v>
      </c>
      <c r="CJ41" s="139">
        <v>26.650212488818202</v>
      </c>
      <c r="CK41" t="s">
        <v>281</v>
      </c>
      <c r="CL41" s="140">
        <v>0.65382932885680101</v>
      </c>
      <c r="CM41" s="140">
        <v>0.62916458049959101</v>
      </c>
      <c r="CN41" t="s">
        <v>282</v>
      </c>
      <c r="CO41">
        <v>3.1407007473400199</v>
      </c>
      <c r="CP41" t="s">
        <v>283</v>
      </c>
      <c r="CQ41">
        <v>9.4221022420200598E-2</v>
      </c>
      <c r="CR41">
        <v>9.4221022420200598E-2</v>
      </c>
      <c r="CS41" t="s">
        <v>284</v>
      </c>
      <c r="CT41" t="s">
        <v>167</v>
      </c>
      <c r="CU41" t="s">
        <v>285</v>
      </c>
      <c r="CV41" t="s">
        <v>286</v>
      </c>
      <c r="CW41" t="s">
        <v>280</v>
      </c>
      <c r="CX41" t="s">
        <v>280</v>
      </c>
      <c r="CY41" t="s">
        <v>287</v>
      </c>
      <c r="CZ41" t="s">
        <v>167</v>
      </c>
      <c r="DA41" t="s">
        <v>167</v>
      </c>
      <c r="DB41" t="s">
        <v>167</v>
      </c>
      <c r="DC41" t="s">
        <v>167</v>
      </c>
      <c r="DD41" t="s">
        <v>167</v>
      </c>
      <c r="DE41" t="s">
        <v>167</v>
      </c>
      <c r="DF41" t="s">
        <v>167</v>
      </c>
      <c r="DG41" s="166">
        <v>35</v>
      </c>
      <c r="DH41" t="s">
        <v>288</v>
      </c>
      <c r="DI41">
        <v>1</v>
      </c>
      <c r="DJ41" t="s">
        <v>289</v>
      </c>
      <c r="DK41">
        <v>17</v>
      </c>
      <c r="DL41" t="s">
        <v>290</v>
      </c>
      <c r="DM41" t="s">
        <v>290</v>
      </c>
      <c r="DN41" t="s">
        <v>291</v>
      </c>
      <c r="DO41">
        <v>38</v>
      </c>
      <c r="DP41" t="s">
        <v>290</v>
      </c>
      <c r="DQ41" t="s">
        <v>290</v>
      </c>
      <c r="DR41" t="s">
        <v>291</v>
      </c>
      <c r="DS41" t="s">
        <v>292</v>
      </c>
      <c r="DT41" t="s">
        <v>293</v>
      </c>
      <c r="DU41" t="s">
        <v>293</v>
      </c>
      <c r="DV41" t="s">
        <v>293</v>
      </c>
      <c r="DW41" s="138">
        <v>432.56244218316402</v>
      </c>
      <c r="DX41" t="s">
        <v>294</v>
      </c>
      <c r="DY41" s="138">
        <v>12.358926919523199</v>
      </c>
      <c r="DZ41" t="s">
        <v>295</v>
      </c>
      <c r="EA41">
        <v>38.75</v>
      </c>
      <c r="EB41" t="s">
        <v>296</v>
      </c>
      <c r="EC41">
        <v>0.15</v>
      </c>
      <c r="ED41" t="s">
        <v>328</v>
      </c>
      <c r="EE41" t="s">
        <v>329</v>
      </c>
      <c r="EF41" t="s">
        <v>297</v>
      </c>
      <c r="EG41">
        <v>1.0271999999999999</v>
      </c>
      <c r="EH41" t="s">
        <v>290</v>
      </c>
      <c r="EI41" t="s">
        <v>290</v>
      </c>
      <c r="EJ41" t="s">
        <v>298</v>
      </c>
      <c r="EK41" t="s">
        <v>290</v>
      </c>
      <c r="EL41" t="s">
        <v>290</v>
      </c>
      <c r="EM41" t="s">
        <v>299</v>
      </c>
      <c r="EN41" t="s">
        <v>300</v>
      </c>
      <c r="EO41" t="s">
        <v>329</v>
      </c>
      <c r="EP41" t="s">
        <v>329</v>
      </c>
      <c r="EQ41" t="s">
        <v>329</v>
      </c>
      <c r="ER41" t="s">
        <v>329</v>
      </c>
      <c r="ES41" t="s">
        <v>167</v>
      </c>
      <c r="ET41" t="s">
        <v>307</v>
      </c>
      <c r="EU41" t="s">
        <v>308</v>
      </c>
      <c r="EV41" t="s">
        <v>167</v>
      </c>
      <c r="EW41" s="167">
        <v>1750</v>
      </c>
      <c r="EX41" t="s">
        <v>309</v>
      </c>
      <c r="EY41">
        <v>150</v>
      </c>
      <c r="EZ41">
        <v>150</v>
      </c>
      <c r="FA41" t="s">
        <v>310</v>
      </c>
      <c r="FB41" t="s">
        <v>310</v>
      </c>
      <c r="FC41" t="s">
        <v>310</v>
      </c>
      <c r="FD41" t="s">
        <v>310</v>
      </c>
      <c r="FE41">
        <v>7.7582303370975101</v>
      </c>
      <c r="FF41" s="164" t="s">
        <v>301</v>
      </c>
      <c r="FG41">
        <v>3.9966804969010283E-2</v>
      </c>
      <c r="FH41">
        <v>4.4690390650000467E-2</v>
      </c>
      <c r="FI41">
        <v>744.77052941547504</v>
      </c>
      <c r="FJ41" s="164">
        <v>0</v>
      </c>
      <c r="FK41" s="164" t="s">
        <v>302</v>
      </c>
      <c r="FL41">
        <v>744.77052941547504</v>
      </c>
      <c r="FM41">
        <v>126.20588527729296</v>
      </c>
      <c r="FN41">
        <v>105.20115937178207</v>
      </c>
      <c r="FO41" s="170" t="s">
        <v>303</v>
      </c>
      <c r="FP41" t="s">
        <v>304</v>
      </c>
      <c r="FQ41" t="s">
        <v>305</v>
      </c>
      <c r="FR41" t="s">
        <v>305</v>
      </c>
      <c r="FS41" t="s">
        <v>305</v>
      </c>
      <c r="FT41">
        <v>1831.3298902868</v>
      </c>
      <c r="FU41">
        <v>172.94558212156994</v>
      </c>
      <c r="FV41">
        <v>183.28135172202997</v>
      </c>
      <c r="FW41">
        <v>4.40085022757708</v>
      </c>
      <c r="FX41">
        <v>0.60652948577371024</v>
      </c>
      <c r="FY41">
        <v>0.54209230036456013</v>
      </c>
      <c r="FZ41">
        <v>2.91140673107977</v>
      </c>
      <c r="GA41">
        <v>0.40533920520269984</v>
      </c>
      <c r="GB41">
        <v>0.36920786463966992</v>
      </c>
      <c r="GC41" t="s">
        <v>311</v>
      </c>
    </row>
    <row r="42" spans="1:185" ht="17">
      <c r="A42" t="s">
        <v>180</v>
      </c>
      <c r="B42" s="202" t="s">
        <v>181</v>
      </c>
      <c r="C42" t="s">
        <v>168</v>
      </c>
      <c r="D42" t="s">
        <v>182</v>
      </c>
      <c r="E42">
        <v>2020</v>
      </c>
      <c r="F42" t="s">
        <v>183</v>
      </c>
      <c r="G42" s="141">
        <v>40115.573883056641</v>
      </c>
      <c r="H42">
        <v>1</v>
      </c>
      <c r="I42">
        <v>1</v>
      </c>
      <c r="J42">
        <v>822.00799307663306</v>
      </c>
      <c r="K42">
        <v>147.59974955598398</v>
      </c>
      <c r="L42">
        <v>119.95003603641703</v>
      </c>
      <c r="M42" s="163" t="b">
        <v>0</v>
      </c>
      <c r="N42" s="163">
        <v>3</v>
      </c>
      <c r="O42" t="s">
        <v>332</v>
      </c>
      <c r="P42" t="b">
        <v>0</v>
      </c>
      <c r="Q42" s="163" t="b">
        <v>1</v>
      </c>
      <c r="R42" s="212" t="s">
        <v>325</v>
      </c>
      <c r="S42" s="163" t="b">
        <v>1</v>
      </c>
      <c r="T42" s="163" t="b">
        <v>0</v>
      </c>
      <c r="U42" s="163" t="s">
        <v>167</v>
      </c>
      <c r="V42" s="163" t="s">
        <v>167</v>
      </c>
      <c r="W42" s="199" t="s">
        <v>167</v>
      </c>
      <c r="X42" s="199" t="s">
        <v>167</v>
      </c>
      <c r="Y42" s="143" t="s">
        <v>184</v>
      </c>
      <c r="Z42" t="s">
        <v>183</v>
      </c>
      <c r="AA42" t="s">
        <v>202</v>
      </c>
      <c r="AB42" t="s">
        <v>191</v>
      </c>
      <c r="AC42">
        <v>8</v>
      </c>
      <c r="AD42">
        <v>5</v>
      </c>
      <c r="AE42">
        <v>120</v>
      </c>
      <c r="AF42">
        <v>121</v>
      </c>
      <c r="AG42">
        <v>119.71</v>
      </c>
      <c r="AH42">
        <v>141.27500000000001</v>
      </c>
      <c r="AI42" t="s">
        <v>203</v>
      </c>
      <c r="AJ42" t="s">
        <v>204</v>
      </c>
      <c r="AK42" s="147">
        <v>-28.53295</v>
      </c>
      <c r="AL42" s="147">
        <v>2.7795670000000001</v>
      </c>
      <c r="AM42" s="147">
        <v>-38</v>
      </c>
      <c r="AN42" s="148" t="s">
        <v>167</v>
      </c>
      <c r="AO42" s="148">
        <v>-2717</v>
      </c>
      <c r="AP42" s="147">
        <v>-2000</v>
      </c>
      <c r="AQ42" t="s">
        <v>205</v>
      </c>
      <c r="AR42" t="s">
        <v>190</v>
      </c>
      <c r="AS42" s="141">
        <v>40115.573883056641</v>
      </c>
      <c r="AT42" t="s">
        <v>206</v>
      </c>
      <c r="AU42">
        <v>1</v>
      </c>
      <c r="AV42">
        <v>1</v>
      </c>
      <c r="AW42" t="s">
        <v>207</v>
      </c>
      <c r="AX42" t="s">
        <v>208</v>
      </c>
      <c r="AY42" s="138" t="s">
        <v>209</v>
      </c>
      <c r="AZ42">
        <v>40.271011352539062</v>
      </c>
      <c r="BA42" t="s">
        <v>167</v>
      </c>
      <c r="BB42" t="s">
        <v>167</v>
      </c>
      <c r="BC42" t="s">
        <v>167</v>
      </c>
      <c r="BD42" t="s">
        <v>207</v>
      </c>
      <c r="BE42" t="s">
        <v>210</v>
      </c>
      <c r="BF42" t="s">
        <v>215</v>
      </c>
      <c r="BG42" t="s">
        <v>223</v>
      </c>
      <c r="BH42" t="s">
        <v>217</v>
      </c>
      <c r="BI42" s="157">
        <v>280</v>
      </c>
      <c r="BJ42" s="157">
        <v>4.2670000000000003</v>
      </c>
      <c r="BK42" t="s">
        <v>219</v>
      </c>
      <c r="BL42" t="s">
        <v>220</v>
      </c>
      <c r="BM42" t="s">
        <v>221</v>
      </c>
      <c r="BN42" t="s">
        <v>265</v>
      </c>
      <c r="BO42">
        <v>2</v>
      </c>
      <c r="BP42" s="140">
        <v>3.4048880801680781E-2</v>
      </c>
      <c r="BQ42" s="139">
        <v>13.171109563385199</v>
      </c>
      <c r="BR42" t="s">
        <v>228</v>
      </c>
      <c r="BS42">
        <v>0.233724194447264</v>
      </c>
      <c r="BT42">
        <v>0.95</v>
      </c>
      <c r="BU42" t="s">
        <v>275</v>
      </c>
      <c r="BV42">
        <v>0.17</v>
      </c>
      <c r="BW42">
        <v>-0.42</v>
      </c>
      <c r="BX42" t="s">
        <v>276</v>
      </c>
      <c r="BY42">
        <v>2.85</v>
      </c>
      <c r="BZ42" t="s">
        <v>279</v>
      </c>
      <c r="CA42" t="s">
        <v>278</v>
      </c>
      <c r="CB42">
        <v>14.3590708825843</v>
      </c>
      <c r="CC42" t="s">
        <v>274</v>
      </c>
      <c r="CD42" s="165">
        <v>0.2492555786870998</v>
      </c>
      <c r="CE42" t="s">
        <v>326</v>
      </c>
      <c r="CF42" t="s">
        <v>327</v>
      </c>
      <c r="CG42">
        <v>25</v>
      </c>
      <c r="CH42" t="s">
        <v>280</v>
      </c>
      <c r="CI42" t="s">
        <v>280</v>
      </c>
      <c r="CJ42" s="139">
        <v>26.275103736129299</v>
      </c>
      <c r="CK42" t="s">
        <v>281</v>
      </c>
      <c r="CL42" s="140">
        <v>0.65330575154406001</v>
      </c>
      <c r="CM42" s="140">
        <v>0.57865010941821604</v>
      </c>
      <c r="CN42" t="s">
        <v>282</v>
      </c>
      <c r="CO42">
        <v>3.1474811629363399</v>
      </c>
      <c r="CP42" t="s">
        <v>283</v>
      </c>
      <c r="CQ42">
        <v>9.44244348880902E-2</v>
      </c>
      <c r="CR42">
        <v>9.44244348880902E-2</v>
      </c>
      <c r="CS42" t="s">
        <v>284</v>
      </c>
      <c r="CT42" t="s">
        <v>167</v>
      </c>
      <c r="CU42" t="s">
        <v>285</v>
      </c>
      <c r="CV42" t="s">
        <v>286</v>
      </c>
      <c r="CW42" t="s">
        <v>280</v>
      </c>
      <c r="CX42" t="s">
        <v>280</v>
      </c>
      <c r="CY42" t="s">
        <v>287</v>
      </c>
      <c r="CZ42" t="s">
        <v>167</v>
      </c>
      <c r="DA42" t="s">
        <v>167</v>
      </c>
      <c r="DB42" t="s">
        <v>167</v>
      </c>
      <c r="DC42" t="s">
        <v>167</v>
      </c>
      <c r="DD42" t="s">
        <v>167</v>
      </c>
      <c r="DE42" t="s">
        <v>167</v>
      </c>
      <c r="DF42" t="s">
        <v>167</v>
      </c>
      <c r="DG42" s="166">
        <v>35</v>
      </c>
      <c r="DH42" t="s">
        <v>288</v>
      </c>
      <c r="DI42">
        <v>1</v>
      </c>
      <c r="DJ42" t="s">
        <v>289</v>
      </c>
      <c r="DK42">
        <v>17</v>
      </c>
      <c r="DL42" t="s">
        <v>290</v>
      </c>
      <c r="DM42" t="s">
        <v>290</v>
      </c>
      <c r="DN42" t="s">
        <v>291</v>
      </c>
      <c r="DO42">
        <v>38</v>
      </c>
      <c r="DP42" t="s">
        <v>290</v>
      </c>
      <c r="DQ42" t="s">
        <v>290</v>
      </c>
      <c r="DR42" t="s">
        <v>291</v>
      </c>
      <c r="DS42" t="s">
        <v>292</v>
      </c>
      <c r="DT42" t="s">
        <v>293</v>
      </c>
      <c r="DU42" t="s">
        <v>293</v>
      </c>
      <c r="DV42" t="s">
        <v>293</v>
      </c>
      <c r="DW42" s="138">
        <v>432.56244218316402</v>
      </c>
      <c r="DX42" t="s">
        <v>294</v>
      </c>
      <c r="DY42" s="138">
        <v>12.3589269195233</v>
      </c>
      <c r="DZ42" t="s">
        <v>295</v>
      </c>
      <c r="EA42">
        <v>38.75</v>
      </c>
      <c r="EB42" t="s">
        <v>296</v>
      </c>
      <c r="EC42">
        <v>0.15</v>
      </c>
      <c r="ED42" t="s">
        <v>328</v>
      </c>
      <c r="EE42" t="s">
        <v>329</v>
      </c>
      <c r="EF42" t="s">
        <v>297</v>
      </c>
      <c r="EG42">
        <v>1.0271999999999999</v>
      </c>
      <c r="EH42" t="s">
        <v>290</v>
      </c>
      <c r="EI42" t="s">
        <v>290</v>
      </c>
      <c r="EJ42" t="s">
        <v>298</v>
      </c>
      <c r="EK42" t="s">
        <v>290</v>
      </c>
      <c r="EL42" t="s">
        <v>290</v>
      </c>
      <c r="EM42" t="s">
        <v>299</v>
      </c>
      <c r="EN42" t="s">
        <v>300</v>
      </c>
      <c r="EO42" t="s">
        <v>329</v>
      </c>
      <c r="EP42" t="s">
        <v>329</v>
      </c>
      <c r="EQ42" t="s">
        <v>329</v>
      </c>
      <c r="ER42" t="s">
        <v>329</v>
      </c>
      <c r="ES42" t="s">
        <v>167</v>
      </c>
      <c r="ET42" t="s">
        <v>307</v>
      </c>
      <c r="EU42" t="s">
        <v>308</v>
      </c>
      <c r="EV42" t="s">
        <v>167</v>
      </c>
      <c r="EW42" s="167">
        <v>1750</v>
      </c>
      <c r="EX42" t="s">
        <v>309</v>
      </c>
      <c r="EY42">
        <v>150</v>
      </c>
      <c r="EZ42">
        <v>150</v>
      </c>
      <c r="FA42" t="s">
        <v>310</v>
      </c>
      <c r="FB42" t="s">
        <v>310</v>
      </c>
      <c r="FC42" t="s">
        <v>310</v>
      </c>
      <c r="FD42" t="s">
        <v>310</v>
      </c>
      <c r="FE42">
        <v>7.7137867974493997</v>
      </c>
      <c r="FF42" s="164" t="s">
        <v>301</v>
      </c>
      <c r="FG42">
        <v>4.3857399942970332E-2</v>
      </c>
      <c r="FH42">
        <v>4.7330953756959282E-2</v>
      </c>
      <c r="FI42">
        <v>822.00799307663306</v>
      </c>
      <c r="FJ42" s="164">
        <v>0</v>
      </c>
      <c r="FK42" s="164" t="s">
        <v>302</v>
      </c>
      <c r="FL42">
        <v>822.00799307663306</v>
      </c>
      <c r="FM42">
        <v>147.59974955598398</v>
      </c>
      <c r="FN42">
        <v>119.95003603641703</v>
      </c>
      <c r="FO42" s="170" t="s">
        <v>303</v>
      </c>
      <c r="FP42" t="s">
        <v>304</v>
      </c>
      <c r="FQ42" t="s">
        <v>305</v>
      </c>
      <c r="FR42" t="s">
        <v>305</v>
      </c>
      <c r="FS42" t="s">
        <v>305</v>
      </c>
      <c r="FT42">
        <v>1814.77736510829</v>
      </c>
      <c r="FU42">
        <v>180.93204831168987</v>
      </c>
      <c r="FV42">
        <v>167.72749189060005</v>
      </c>
      <c r="FW42">
        <v>3.92479161705625</v>
      </c>
      <c r="FX42">
        <v>0.54861819828372971</v>
      </c>
      <c r="FY42">
        <v>0.5369135172870001</v>
      </c>
      <c r="FZ42">
        <v>2.5922033278963501</v>
      </c>
      <c r="GA42">
        <v>0.36577987429970005</v>
      </c>
      <c r="GB42">
        <v>0.35897462771248989</v>
      </c>
      <c r="GC42" t="s">
        <v>311</v>
      </c>
    </row>
    <row r="43" spans="1:185" ht="17">
      <c r="A43" t="s">
        <v>180</v>
      </c>
      <c r="B43" s="202" t="s">
        <v>181</v>
      </c>
      <c r="C43" t="s">
        <v>168</v>
      </c>
      <c r="D43" t="s">
        <v>182</v>
      </c>
      <c r="E43">
        <v>2020</v>
      </c>
      <c r="F43" t="s">
        <v>183</v>
      </c>
      <c r="G43" s="141">
        <v>40125.328063964844</v>
      </c>
      <c r="H43">
        <v>1</v>
      </c>
      <c r="I43">
        <v>1</v>
      </c>
      <c r="J43">
        <v>865.79797971172695</v>
      </c>
      <c r="K43">
        <v>145.71866734496302</v>
      </c>
      <c r="L43">
        <v>132.96475573959094</v>
      </c>
      <c r="M43" s="163" t="b">
        <v>0</v>
      </c>
      <c r="N43" s="163">
        <v>3</v>
      </c>
      <c r="O43" t="s">
        <v>332</v>
      </c>
      <c r="P43" t="b">
        <v>0</v>
      </c>
      <c r="Q43" s="163" t="b">
        <v>1</v>
      </c>
      <c r="R43" s="212" t="s">
        <v>325</v>
      </c>
      <c r="S43" s="163" t="b">
        <v>1</v>
      </c>
      <c r="T43" s="163" t="b">
        <v>0</v>
      </c>
      <c r="U43" s="163" t="s">
        <v>167</v>
      </c>
      <c r="V43" s="163" t="s">
        <v>167</v>
      </c>
      <c r="W43" s="199" t="s">
        <v>167</v>
      </c>
      <c r="X43" s="199" t="s">
        <v>167</v>
      </c>
      <c r="Y43" s="143" t="s">
        <v>184</v>
      </c>
      <c r="Z43" t="s">
        <v>183</v>
      </c>
      <c r="AA43" t="s">
        <v>202</v>
      </c>
      <c r="AB43" t="s">
        <v>191</v>
      </c>
      <c r="AC43">
        <v>8</v>
      </c>
      <c r="AD43">
        <v>5</v>
      </c>
      <c r="AE43">
        <v>140</v>
      </c>
      <c r="AF43">
        <v>141</v>
      </c>
      <c r="AG43">
        <v>119.91</v>
      </c>
      <c r="AH43">
        <v>141.47499999999999</v>
      </c>
      <c r="AI43" t="s">
        <v>203</v>
      </c>
      <c r="AJ43" t="s">
        <v>204</v>
      </c>
      <c r="AK43" s="147">
        <v>-28.53295</v>
      </c>
      <c r="AL43" s="147">
        <v>2.7795670000000001</v>
      </c>
      <c r="AM43" s="147">
        <v>-38</v>
      </c>
      <c r="AN43" s="148" t="s">
        <v>167</v>
      </c>
      <c r="AO43" s="148">
        <v>-2717</v>
      </c>
      <c r="AP43" s="147">
        <v>-2000</v>
      </c>
      <c r="AQ43" t="s">
        <v>205</v>
      </c>
      <c r="AR43" t="s">
        <v>190</v>
      </c>
      <c r="AS43" s="141">
        <v>40125.328063964844</v>
      </c>
      <c r="AT43" t="s">
        <v>206</v>
      </c>
      <c r="AU43">
        <v>1</v>
      </c>
      <c r="AV43">
        <v>1</v>
      </c>
      <c r="AW43" t="s">
        <v>207</v>
      </c>
      <c r="AX43" t="s">
        <v>208</v>
      </c>
      <c r="AY43" s="138" t="s">
        <v>209</v>
      </c>
      <c r="AZ43">
        <v>40.285324096679688</v>
      </c>
      <c r="BA43" t="s">
        <v>167</v>
      </c>
      <c r="BB43" t="s">
        <v>167</v>
      </c>
      <c r="BC43" t="s">
        <v>167</v>
      </c>
      <c r="BD43" t="s">
        <v>207</v>
      </c>
      <c r="BE43" t="s">
        <v>210</v>
      </c>
      <c r="BF43" t="s">
        <v>215</v>
      </c>
      <c r="BG43" t="s">
        <v>223</v>
      </c>
      <c r="BH43" t="s">
        <v>217</v>
      </c>
      <c r="BI43" s="157">
        <v>227</v>
      </c>
      <c r="BJ43" s="157">
        <v>2.9089999999999998</v>
      </c>
      <c r="BK43" t="s">
        <v>219</v>
      </c>
      <c r="BL43" t="s">
        <v>220</v>
      </c>
      <c r="BM43" t="s">
        <v>221</v>
      </c>
      <c r="BN43" t="s">
        <v>266</v>
      </c>
      <c r="BO43">
        <v>2</v>
      </c>
      <c r="BP43" s="140">
        <v>0.28781391996537131</v>
      </c>
      <c r="BQ43" s="139">
        <v>13.1969267002961</v>
      </c>
      <c r="BR43" t="s">
        <v>228</v>
      </c>
      <c r="BS43">
        <v>0.24535366635762301</v>
      </c>
      <c r="BT43">
        <v>0.95</v>
      </c>
      <c r="BU43" t="s">
        <v>275</v>
      </c>
      <c r="BV43">
        <v>0.17</v>
      </c>
      <c r="BW43">
        <v>-0.42</v>
      </c>
      <c r="BX43" t="s">
        <v>276</v>
      </c>
      <c r="BY43">
        <v>2.85</v>
      </c>
      <c r="BZ43" t="s">
        <v>279</v>
      </c>
      <c r="CA43" t="s">
        <v>278</v>
      </c>
      <c r="CB43">
        <v>14.383429220728701</v>
      </c>
      <c r="CC43" t="s">
        <v>274</v>
      </c>
      <c r="CD43" s="165">
        <v>0.24963590004399983</v>
      </c>
      <c r="CE43" t="s">
        <v>326</v>
      </c>
      <c r="CF43" t="s">
        <v>327</v>
      </c>
      <c r="CG43">
        <v>25</v>
      </c>
      <c r="CH43" t="s">
        <v>280</v>
      </c>
      <c r="CI43" t="s">
        <v>280</v>
      </c>
      <c r="CJ43" s="139">
        <v>27.946631262007099</v>
      </c>
      <c r="CK43" t="s">
        <v>281</v>
      </c>
      <c r="CL43" s="140">
        <v>0.60293177528965802</v>
      </c>
      <c r="CM43" s="140">
        <v>0.65486687350276895</v>
      </c>
      <c r="CN43" t="s">
        <v>282</v>
      </c>
      <c r="CO43">
        <v>3.4971521546523499</v>
      </c>
      <c r="CP43" t="s">
        <v>283</v>
      </c>
      <c r="CQ43">
        <v>0.1049145646395705</v>
      </c>
      <c r="CR43">
        <v>0.1049145646395705</v>
      </c>
      <c r="CS43" t="s">
        <v>284</v>
      </c>
      <c r="CT43" t="s">
        <v>167</v>
      </c>
      <c r="CU43" t="s">
        <v>285</v>
      </c>
      <c r="CV43" t="s">
        <v>286</v>
      </c>
      <c r="CW43" t="s">
        <v>280</v>
      </c>
      <c r="CX43" t="s">
        <v>280</v>
      </c>
      <c r="CY43" t="s">
        <v>287</v>
      </c>
      <c r="CZ43" t="s">
        <v>167</v>
      </c>
      <c r="DA43" t="s">
        <v>167</v>
      </c>
      <c r="DB43" t="s">
        <v>167</v>
      </c>
      <c r="DC43" t="s">
        <v>167</v>
      </c>
      <c r="DD43" t="s">
        <v>167</v>
      </c>
      <c r="DE43" t="s">
        <v>167</v>
      </c>
      <c r="DF43" t="s">
        <v>167</v>
      </c>
      <c r="DG43" s="166">
        <v>35</v>
      </c>
      <c r="DH43" t="s">
        <v>288</v>
      </c>
      <c r="DI43">
        <v>1</v>
      </c>
      <c r="DJ43" t="s">
        <v>289</v>
      </c>
      <c r="DK43">
        <v>17</v>
      </c>
      <c r="DL43" t="s">
        <v>290</v>
      </c>
      <c r="DM43" t="s">
        <v>290</v>
      </c>
      <c r="DN43" t="s">
        <v>291</v>
      </c>
      <c r="DO43">
        <v>38</v>
      </c>
      <c r="DP43" t="s">
        <v>290</v>
      </c>
      <c r="DQ43" t="s">
        <v>290</v>
      </c>
      <c r="DR43" t="s">
        <v>291</v>
      </c>
      <c r="DS43" t="s">
        <v>292</v>
      </c>
      <c r="DT43" t="s">
        <v>293</v>
      </c>
      <c r="DU43" t="s">
        <v>293</v>
      </c>
      <c r="DV43" t="s">
        <v>293</v>
      </c>
      <c r="DW43" s="138">
        <v>432.56244218316402</v>
      </c>
      <c r="DX43" t="s">
        <v>294</v>
      </c>
      <c r="DY43" s="138">
        <v>12.3589269195234</v>
      </c>
      <c r="DZ43" t="s">
        <v>295</v>
      </c>
      <c r="EA43">
        <v>38.75</v>
      </c>
      <c r="EB43" t="s">
        <v>296</v>
      </c>
      <c r="EC43">
        <v>0.15</v>
      </c>
      <c r="ED43" t="s">
        <v>328</v>
      </c>
      <c r="EE43" t="s">
        <v>329</v>
      </c>
      <c r="EF43" t="s">
        <v>297</v>
      </c>
      <c r="EG43">
        <v>1.0271999999999999</v>
      </c>
      <c r="EH43" t="s">
        <v>290</v>
      </c>
      <c r="EI43" t="s">
        <v>290</v>
      </c>
      <c r="EJ43" t="s">
        <v>298</v>
      </c>
      <c r="EK43" t="s">
        <v>290</v>
      </c>
      <c r="EL43" t="s">
        <v>290</v>
      </c>
      <c r="EM43" t="s">
        <v>299</v>
      </c>
      <c r="EN43" t="s">
        <v>300</v>
      </c>
      <c r="EO43" t="s">
        <v>329</v>
      </c>
      <c r="EP43" t="s">
        <v>329</v>
      </c>
      <c r="EQ43" t="s">
        <v>329</v>
      </c>
      <c r="ER43" t="s">
        <v>329</v>
      </c>
      <c r="ES43" t="s">
        <v>167</v>
      </c>
      <c r="ET43" t="s">
        <v>307</v>
      </c>
      <c r="EU43" t="s">
        <v>308</v>
      </c>
      <c r="EV43" t="s">
        <v>167</v>
      </c>
      <c r="EW43" s="167">
        <v>1750</v>
      </c>
      <c r="EX43" t="s">
        <v>309</v>
      </c>
      <c r="EY43">
        <v>150</v>
      </c>
      <c r="EZ43">
        <v>150</v>
      </c>
      <c r="FA43" t="s">
        <v>310</v>
      </c>
      <c r="FB43" t="s">
        <v>310</v>
      </c>
      <c r="FC43" t="s">
        <v>310</v>
      </c>
      <c r="FD43" t="s">
        <v>310</v>
      </c>
      <c r="FE43">
        <v>7.6973660746510397</v>
      </c>
      <c r="FF43" s="164" t="s">
        <v>301</v>
      </c>
      <c r="FG43">
        <v>4.3658755217270695E-2</v>
      </c>
      <c r="FH43">
        <v>4.8303889631559294E-2</v>
      </c>
      <c r="FI43">
        <v>865.79797971172695</v>
      </c>
      <c r="FJ43" s="164">
        <v>0</v>
      </c>
      <c r="FK43" s="164" t="s">
        <v>302</v>
      </c>
      <c r="FL43">
        <v>865.79797971172695</v>
      </c>
      <c r="FM43">
        <v>145.71866734496302</v>
      </c>
      <c r="FN43">
        <v>132.96475573959094</v>
      </c>
      <c r="FO43" s="170" t="s">
        <v>303</v>
      </c>
      <c r="FP43" t="s">
        <v>304</v>
      </c>
      <c r="FQ43" t="s">
        <v>305</v>
      </c>
      <c r="FR43" t="s">
        <v>305</v>
      </c>
      <c r="FS43" t="s">
        <v>305</v>
      </c>
      <c r="FT43">
        <v>1826.7240989883801</v>
      </c>
      <c r="FU43">
        <v>181.38934798976993</v>
      </c>
      <c r="FV43">
        <v>176.90885173419019</v>
      </c>
      <c r="FW43">
        <v>4.0536404319924699</v>
      </c>
      <c r="FX43">
        <v>0.60125706113124</v>
      </c>
      <c r="FY43">
        <v>0.52774756511173004</v>
      </c>
      <c r="FZ43">
        <v>2.6925224896147899</v>
      </c>
      <c r="GA43">
        <v>0.39561311386845022</v>
      </c>
      <c r="GB43">
        <v>0.35905591373175971</v>
      </c>
      <c r="GC43" t="s">
        <v>311</v>
      </c>
    </row>
    <row r="44" spans="1:185" ht="17">
      <c r="A44" t="s">
        <v>180</v>
      </c>
      <c r="B44" s="202" t="s">
        <v>181</v>
      </c>
      <c r="C44" t="s">
        <v>168</v>
      </c>
      <c r="D44" t="s">
        <v>182</v>
      </c>
      <c r="E44">
        <v>2020</v>
      </c>
      <c r="F44" t="s">
        <v>183</v>
      </c>
      <c r="G44" s="141">
        <v>40241.508483886719</v>
      </c>
      <c r="H44">
        <v>1</v>
      </c>
      <c r="I44">
        <v>1</v>
      </c>
      <c r="J44">
        <v>808.94620780484297</v>
      </c>
      <c r="K44">
        <v>143.36821393961009</v>
      </c>
      <c r="L44">
        <v>122.87480566735201</v>
      </c>
      <c r="M44" s="163" t="b">
        <v>0</v>
      </c>
      <c r="N44" s="163">
        <v>3</v>
      </c>
      <c r="O44" t="s">
        <v>332</v>
      </c>
      <c r="P44" t="b">
        <v>0</v>
      </c>
      <c r="Q44" s="163" t="b">
        <v>1</v>
      </c>
      <c r="R44" s="212" t="s">
        <v>325</v>
      </c>
      <c r="S44" s="163" t="b">
        <v>1</v>
      </c>
      <c r="T44" s="163" t="b">
        <v>0</v>
      </c>
      <c r="U44" s="163" t="s">
        <v>167</v>
      </c>
      <c r="V44" s="163" t="s">
        <v>167</v>
      </c>
      <c r="W44" s="199" t="s">
        <v>167</v>
      </c>
      <c r="X44" s="199" t="s">
        <v>167</v>
      </c>
      <c r="Y44" s="143" t="s">
        <v>184</v>
      </c>
      <c r="Z44" t="s">
        <v>183</v>
      </c>
      <c r="AA44" t="s">
        <v>202</v>
      </c>
      <c r="AB44" t="s">
        <v>191</v>
      </c>
      <c r="AC44">
        <v>8</v>
      </c>
      <c r="AD44">
        <v>6</v>
      </c>
      <c r="AE44">
        <v>142</v>
      </c>
      <c r="AF44">
        <v>143</v>
      </c>
      <c r="AG44">
        <v>121.43</v>
      </c>
      <c r="AH44">
        <v>142.995</v>
      </c>
      <c r="AI44" t="s">
        <v>203</v>
      </c>
      <c r="AJ44" t="s">
        <v>204</v>
      </c>
      <c r="AK44" s="147">
        <v>-28.53295</v>
      </c>
      <c r="AL44" s="147">
        <v>2.7795670000000001</v>
      </c>
      <c r="AM44" s="147">
        <v>-38</v>
      </c>
      <c r="AN44" s="148" t="s">
        <v>167</v>
      </c>
      <c r="AO44" s="148">
        <v>-2717</v>
      </c>
      <c r="AP44" s="147">
        <v>-2000</v>
      </c>
      <c r="AQ44" t="s">
        <v>205</v>
      </c>
      <c r="AR44" t="s">
        <v>190</v>
      </c>
      <c r="AS44" s="141">
        <v>40241.508483886719</v>
      </c>
      <c r="AT44" t="s">
        <v>206</v>
      </c>
      <c r="AU44">
        <v>1</v>
      </c>
      <c r="AV44">
        <v>1</v>
      </c>
      <c r="AW44" t="s">
        <v>207</v>
      </c>
      <c r="AX44" t="s">
        <v>208</v>
      </c>
      <c r="AY44" s="138" t="s">
        <v>209</v>
      </c>
      <c r="AZ44">
        <v>40.393211364746094</v>
      </c>
      <c r="BA44" t="s">
        <v>167</v>
      </c>
      <c r="BB44" t="s">
        <v>167</v>
      </c>
      <c r="BC44" t="s">
        <v>167</v>
      </c>
      <c r="BD44" t="s">
        <v>207</v>
      </c>
      <c r="BE44" t="s">
        <v>210</v>
      </c>
      <c r="BF44" t="s">
        <v>215</v>
      </c>
      <c r="BG44" t="s">
        <v>223</v>
      </c>
      <c r="BH44" t="s">
        <v>217</v>
      </c>
      <c r="BI44" s="157">
        <v>251</v>
      </c>
      <c r="BJ44" s="157">
        <v>3.9430000000000001</v>
      </c>
      <c r="BK44" t="s">
        <v>219</v>
      </c>
      <c r="BL44" t="s">
        <v>220</v>
      </c>
      <c r="BM44" t="s">
        <v>221</v>
      </c>
      <c r="BN44" t="s">
        <v>267</v>
      </c>
      <c r="BO44">
        <v>2</v>
      </c>
      <c r="BP44" s="140">
        <v>0.10237634878688162</v>
      </c>
      <c r="BQ44" s="139">
        <v>13.104295128468401</v>
      </c>
      <c r="BR44" t="s">
        <v>228</v>
      </c>
      <c r="BS44">
        <v>0.233759606258234</v>
      </c>
      <c r="BT44">
        <v>0.95</v>
      </c>
      <c r="BU44" t="s">
        <v>275</v>
      </c>
      <c r="BV44">
        <v>0.17</v>
      </c>
      <c r="BW44">
        <v>-0.42</v>
      </c>
      <c r="BX44" t="s">
        <v>276</v>
      </c>
      <c r="BY44">
        <v>2.85</v>
      </c>
      <c r="BZ44" t="s">
        <v>279</v>
      </c>
      <c r="CA44" t="s">
        <v>278</v>
      </c>
      <c r="CB44">
        <v>14.285881643723799</v>
      </c>
      <c r="CC44" t="s">
        <v>274</v>
      </c>
      <c r="CD44" s="165">
        <v>0.22768447651045065</v>
      </c>
      <c r="CE44" t="s">
        <v>326</v>
      </c>
      <c r="CF44" t="s">
        <v>327</v>
      </c>
      <c r="CG44">
        <v>25</v>
      </c>
      <c r="CH44" t="s">
        <v>280</v>
      </c>
      <c r="CI44" t="s">
        <v>280</v>
      </c>
      <c r="CJ44" s="139">
        <v>24.756620118794402</v>
      </c>
      <c r="CK44" t="s">
        <v>281</v>
      </c>
      <c r="CL44" s="140">
        <v>0.61398058328854799</v>
      </c>
      <c r="CM44" s="140">
        <v>0.59121107405052298</v>
      </c>
      <c r="CN44" t="s">
        <v>282</v>
      </c>
      <c r="CO44">
        <v>2.8790303876100598</v>
      </c>
      <c r="CP44" t="s">
        <v>283</v>
      </c>
      <c r="CQ44">
        <v>8.6370911628301794E-2</v>
      </c>
      <c r="CR44">
        <v>8.6370911628301794E-2</v>
      </c>
      <c r="CS44" t="s">
        <v>284</v>
      </c>
      <c r="CT44" t="s">
        <v>167</v>
      </c>
      <c r="CU44" t="s">
        <v>285</v>
      </c>
      <c r="CV44" t="s">
        <v>286</v>
      </c>
      <c r="CW44" t="s">
        <v>280</v>
      </c>
      <c r="CX44" t="s">
        <v>280</v>
      </c>
      <c r="CY44" t="s">
        <v>287</v>
      </c>
      <c r="CZ44" t="s">
        <v>167</v>
      </c>
      <c r="DA44" t="s">
        <v>167</v>
      </c>
      <c r="DB44" t="s">
        <v>167</v>
      </c>
      <c r="DC44" t="s">
        <v>167</v>
      </c>
      <c r="DD44" t="s">
        <v>167</v>
      </c>
      <c r="DE44" t="s">
        <v>167</v>
      </c>
      <c r="DF44" t="s">
        <v>167</v>
      </c>
      <c r="DG44" s="166">
        <v>35</v>
      </c>
      <c r="DH44" t="s">
        <v>288</v>
      </c>
      <c r="DI44">
        <v>1</v>
      </c>
      <c r="DJ44" t="s">
        <v>289</v>
      </c>
      <c r="DK44">
        <v>17</v>
      </c>
      <c r="DL44" t="s">
        <v>290</v>
      </c>
      <c r="DM44" t="s">
        <v>290</v>
      </c>
      <c r="DN44" t="s">
        <v>291</v>
      </c>
      <c r="DO44">
        <v>38</v>
      </c>
      <c r="DP44" t="s">
        <v>290</v>
      </c>
      <c r="DQ44" t="s">
        <v>290</v>
      </c>
      <c r="DR44" t="s">
        <v>291</v>
      </c>
      <c r="DS44" t="s">
        <v>292</v>
      </c>
      <c r="DT44" t="s">
        <v>293</v>
      </c>
      <c r="DU44" t="s">
        <v>293</v>
      </c>
      <c r="DV44" t="s">
        <v>293</v>
      </c>
      <c r="DW44" s="138">
        <v>432.56244218316402</v>
      </c>
      <c r="DX44" t="s">
        <v>294</v>
      </c>
      <c r="DY44" s="138">
        <v>12.358926919523499</v>
      </c>
      <c r="DZ44" t="s">
        <v>295</v>
      </c>
      <c r="EA44">
        <v>38.75</v>
      </c>
      <c r="EB44" t="s">
        <v>296</v>
      </c>
      <c r="EC44">
        <v>0.15</v>
      </c>
      <c r="ED44" t="s">
        <v>328</v>
      </c>
      <c r="EE44" t="s">
        <v>329</v>
      </c>
      <c r="EF44" t="s">
        <v>297</v>
      </c>
      <c r="EG44">
        <v>1.0271999999999999</v>
      </c>
      <c r="EH44" t="s">
        <v>290</v>
      </c>
      <c r="EI44" t="s">
        <v>290</v>
      </c>
      <c r="EJ44" t="s">
        <v>298</v>
      </c>
      <c r="EK44" t="s">
        <v>290</v>
      </c>
      <c r="EL44" t="s">
        <v>290</v>
      </c>
      <c r="EM44" t="s">
        <v>299</v>
      </c>
      <c r="EN44" t="s">
        <v>300</v>
      </c>
      <c r="EO44" t="s">
        <v>329</v>
      </c>
      <c r="EP44" t="s">
        <v>329</v>
      </c>
      <c r="EQ44" t="s">
        <v>329</v>
      </c>
      <c r="ER44" t="s">
        <v>329</v>
      </c>
      <c r="ES44" t="s">
        <v>167</v>
      </c>
      <c r="ET44" t="s">
        <v>307</v>
      </c>
      <c r="EU44" t="s">
        <v>308</v>
      </c>
      <c r="EV44" t="s">
        <v>167</v>
      </c>
      <c r="EW44" s="167">
        <v>1750</v>
      </c>
      <c r="EX44" t="s">
        <v>309</v>
      </c>
      <c r="EY44">
        <v>150</v>
      </c>
      <c r="EZ44">
        <v>150</v>
      </c>
      <c r="FA44" t="s">
        <v>310</v>
      </c>
      <c r="FB44" t="s">
        <v>310</v>
      </c>
      <c r="FC44" t="s">
        <v>310</v>
      </c>
      <c r="FD44" t="s">
        <v>310</v>
      </c>
      <c r="FE44">
        <v>7.7183819038706396</v>
      </c>
      <c r="FF44" s="164" t="s">
        <v>301</v>
      </c>
      <c r="FG44">
        <v>4.4480361941490187E-2</v>
      </c>
      <c r="FH44">
        <v>4.5270871761229792E-2</v>
      </c>
      <c r="FI44">
        <v>808.94620780484297</v>
      </c>
      <c r="FJ44" s="164">
        <v>0</v>
      </c>
      <c r="FK44" s="164" t="s">
        <v>302</v>
      </c>
      <c r="FL44">
        <v>808.94620780484297</v>
      </c>
      <c r="FM44">
        <v>143.36821393961009</v>
      </c>
      <c r="FN44">
        <v>122.87480566735201</v>
      </c>
      <c r="FO44" s="170" t="s">
        <v>303</v>
      </c>
      <c r="FP44" t="s">
        <v>304</v>
      </c>
      <c r="FQ44" t="s">
        <v>305</v>
      </c>
      <c r="FR44" t="s">
        <v>305</v>
      </c>
      <c r="FS44" t="s">
        <v>305</v>
      </c>
      <c r="FT44">
        <v>1825.57016672237</v>
      </c>
      <c r="FU44">
        <v>180.09218536444996</v>
      </c>
      <c r="FV44">
        <v>176.5884883102301</v>
      </c>
      <c r="FW44">
        <v>3.76372145017225</v>
      </c>
      <c r="FX44">
        <v>0.51984851517455954</v>
      </c>
      <c r="FY44">
        <v>0.50115492467024003</v>
      </c>
      <c r="FZ44">
        <v>2.4718410335713998</v>
      </c>
      <c r="GA44">
        <v>0.34759631913099032</v>
      </c>
      <c r="GB44">
        <v>0.33061315375330969</v>
      </c>
      <c r="GC44" t="s">
        <v>311</v>
      </c>
    </row>
    <row r="45" spans="1:185" ht="17">
      <c r="A45" t="s">
        <v>180</v>
      </c>
      <c r="B45" s="202" t="s">
        <v>181</v>
      </c>
      <c r="C45" t="s">
        <v>168</v>
      </c>
      <c r="D45" t="s">
        <v>182</v>
      </c>
      <c r="E45">
        <v>2020</v>
      </c>
      <c r="F45" t="s">
        <v>183</v>
      </c>
      <c r="G45" s="141">
        <v>40337.608337402344</v>
      </c>
      <c r="H45">
        <v>1</v>
      </c>
      <c r="I45">
        <v>1</v>
      </c>
      <c r="J45">
        <v>736.43069014527305</v>
      </c>
      <c r="K45">
        <v>123.43549365442891</v>
      </c>
      <c r="L45">
        <v>104.93776291908102</v>
      </c>
      <c r="M45" s="163" t="b">
        <v>0</v>
      </c>
      <c r="N45" s="163">
        <v>3</v>
      </c>
      <c r="O45" t="s">
        <v>332</v>
      </c>
      <c r="P45" t="b">
        <v>0</v>
      </c>
      <c r="Q45" s="163" t="b">
        <v>1</v>
      </c>
      <c r="R45" s="212" t="s">
        <v>325</v>
      </c>
      <c r="S45" s="163" t="b">
        <v>1</v>
      </c>
      <c r="T45" s="163" t="b">
        <v>0</v>
      </c>
      <c r="U45" s="163" t="s">
        <v>167</v>
      </c>
      <c r="V45" s="163" t="s">
        <v>167</v>
      </c>
      <c r="W45" s="199" t="s">
        <v>167</v>
      </c>
      <c r="X45" s="199" t="s">
        <v>167</v>
      </c>
      <c r="Y45" s="143" t="s">
        <v>184</v>
      </c>
      <c r="Z45" t="s">
        <v>183</v>
      </c>
      <c r="AA45" t="s">
        <v>202</v>
      </c>
      <c r="AB45" t="s">
        <v>191</v>
      </c>
      <c r="AC45">
        <v>8</v>
      </c>
      <c r="AD45">
        <v>7</v>
      </c>
      <c r="AE45">
        <v>57</v>
      </c>
      <c r="AF45">
        <v>58</v>
      </c>
      <c r="AG45">
        <v>122.08</v>
      </c>
      <c r="AH45">
        <v>143.64499999999998</v>
      </c>
      <c r="AI45" t="s">
        <v>203</v>
      </c>
      <c r="AJ45" t="s">
        <v>204</v>
      </c>
      <c r="AK45" s="147">
        <v>-28.53295</v>
      </c>
      <c r="AL45" s="147">
        <v>2.7795670000000001</v>
      </c>
      <c r="AM45" s="147">
        <v>-38</v>
      </c>
      <c r="AN45" s="148" t="s">
        <v>167</v>
      </c>
      <c r="AO45" s="148">
        <v>-2717</v>
      </c>
      <c r="AP45" s="147">
        <v>-2000</v>
      </c>
      <c r="AQ45" t="s">
        <v>205</v>
      </c>
      <c r="AR45" t="s">
        <v>190</v>
      </c>
      <c r="AS45" s="141">
        <v>40337.608337402344</v>
      </c>
      <c r="AT45" t="s">
        <v>206</v>
      </c>
      <c r="AU45">
        <v>1</v>
      </c>
      <c r="AV45">
        <v>1</v>
      </c>
      <c r="AW45" t="s">
        <v>207</v>
      </c>
      <c r="AX45" t="s">
        <v>208</v>
      </c>
      <c r="AY45" s="138" t="s">
        <v>209</v>
      </c>
      <c r="AZ45">
        <v>40.439437866210938</v>
      </c>
      <c r="BA45" t="s">
        <v>167</v>
      </c>
      <c r="BB45" t="s">
        <v>167</v>
      </c>
      <c r="BC45" t="s">
        <v>167</v>
      </c>
      <c r="BD45" t="s">
        <v>207</v>
      </c>
      <c r="BE45" t="s">
        <v>210</v>
      </c>
      <c r="BF45" t="s">
        <v>215</v>
      </c>
      <c r="BG45" t="s">
        <v>223</v>
      </c>
      <c r="BH45" t="s">
        <v>217</v>
      </c>
      <c r="BI45" s="157">
        <v>244</v>
      </c>
      <c r="BJ45" s="157">
        <v>3.8340000000000001</v>
      </c>
      <c r="BK45" t="s">
        <v>219</v>
      </c>
      <c r="BL45" t="s">
        <v>220</v>
      </c>
      <c r="BM45" t="s">
        <v>221</v>
      </c>
      <c r="BN45" t="s">
        <v>268</v>
      </c>
      <c r="BO45">
        <v>2</v>
      </c>
      <c r="BP45" s="140">
        <v>0.1456040600394779</v>
      </c>
      <c r="BQ45" s="139">
        <v>13.3472675749984</v>
      </c>
      <c r="BR45" t="s">
        <v>228</v>
      </c>
      <c r="BS45">
        <v>0.23554168323132299</v>
      </c>
      <c r="BT45">
        <v>0.95</v>
      </c>
      <c r="BU45" t="s">
        <v>275</v>
      </c>
      <c r="BV45">
        <v>0.17</v>
      </c>
      <c r="BW45">
        <v>-0.42</v>
      </c>
      <c r="BX45" t="s">
        <v>276</v>
      </c>
      <c r="BY45">
        <v>2.85</v>
      </c>
      <c r="BZ45" t="s">
        <v>279</v>
      </c>
      <c r="CA45" t="s">
        <v>278</v>
      </c>
      <c r="CB45">
        <v>14.541087943458299</v>
      </c>
      <c r="CC45" t="s">
        <v>274</v>
      </c>
      <c r="CD45" s="165">
        <v>0.24106943010560045</v>
      </c>
      <c r="CE45" t="s">
        <v>326</v>
      </c>
      <c r="CF45" t="s">
        <v>327</v>
      </c>
      <c r="CG45">
        <v>25</v>
      </c>
      <c r="CH45" t="s">
        <v>280</v>
      </c>
      <c r="CI45" t="s">
        <v>280</v>
      </c>
      <c r="CJ45" s="139">
        <v>24.893895210491799</v>
      </c>
      <c r="CK45" t="s">
        <v>281</v>
      </c>
      <c r="CL45" s="140">
        <v>0.60482566358671297</v>
      </c>
      <c r="CM45" s="140">
        <v>0.63173684518343998</v>
      </c>
      <c r="CN45" t="s">
        <v>282</v>
      </c>
      <c r="CO45">
        <v>2.8459356274786001</v>
      </c>
      <c r="CP45" t="s">
        <v>283</v>
      </c>
      <c r="CQ45">
        <v>8.5378068824358E-2</v>
      </c>
      <c r="CR45">
        <v>8.5378068824358E-2</v>
      </c>
      <c r="CS45" t="s">
        <v>284</v>
      </c>
      <c r="CT45" t="s">
        <v>167</v>
      </c>
      <c r="CU45" t="s">
        <v>285</v>
      </c>
      <c r="CV45" t="s">
        <v>286</v>
      </c>
      <c r="CW45" t="s">
        <v>280</v>
      </c>
      <c r="CX45" t="s">
        <v>280</v>
      </c>
      <c r="CY45" t="s">
        <v>287</v>
      </c>
      <c r="CZ45" t="s">
        <v>167</v>
      </c>
      <c r="DA45" t="s">
        <v>167</v>
      </c>
      <c r="DB45" t="s">
        <v>167</v>
      </c>
      <c r="DC45" t="s">
        <v>167</v>
      </c>
      <c r="DD45" t="s">
        <v>167</v>
      </c>
      <c r="DE45" t="s">
        <v>167</v>
      </c>
      <c r="DF45" t="s">
        <v>167</v>
      </c>
      <c r="DG45" s="166">
        <v>35</v>
      </c>
      <c r="DH45" t="s">
        <v>288</v>
      </c>
      <c r="DI45">
        <v>1</v>
      </c>
      <c r="DJ45" t="s">
        <v>289</v>
      </c>
      <c r="DK45">
        <v>17</v>
      </c>
      <c r="DL45" t="s">
        <v>290</v>
      </c>
      <c r="DM45" t="s">
        <v>290</v>
      </c>
      <c r="DN45" t="s">
        <v>291</v>
      </c>
      <c r="DO45">
        <v>38</v>
      </c>
      <c r="DP45" t="s">
        <v>290</v>
      </c>
      <c r="DQ45" t="s">
        <v>290</v>
      </c>
      <c r="DR45" t="s">
        <v>291</v>
      </c>
      <c r="DS45" t="s">
        <v>292</v>
      </c>
      <c r="DT45" t="s">
        <v>293</v>
      </c>
      <c r="DU45" t="s">
        <v>293</v>
      </c>
      <c r="DV45" t="s">
        <v>293</v>
      </c>
      <c r="DW45" s="138">
        <v>432.56244218316402</v>
      </c>
      <c r="DX45" t="s">
        <v>294</v>
      </c>
      <c r="DY45" s="138">
        <v>12.358926919523601</v>
      </c>
      <c r="DZ45" t="s">
        <v>295</v>
      </c>
      <c r="EA45">
        <v>38.75</v>
      </c>
      <c r="EB45" t="s">
        <v>296</v>
      </c>
      <c r="EC45">
        <v>0.15</v>
      </c>
      <c r="ED45" t="s">
        <v>328</v>
      </c>
      <c r="EE45" t="s">
        <v>329</v>
      </c>
      <c r="EF45" t="s">
        <v>297</v>
      </c>
      <c r="EG45">
        <v>1.0271999999999999</v>
      </c>
      <c r="EH45" t="s">
        <v>290</v>
      </c>
      <c r="EI45" t="s">
        <v>290</v>
      </c>
      <c r="EJ45" t="s">
        <v>298</v>
      </c>
      <c r="EK45" t="s">
        <v>290</v>
      </c>
      <c r="EL45" t="s">
        <v>290</v>
      </c>
      <c r="EM45" t="s">
        <v>299</v>
      </c>
      <c r="EN45" t="s">
        <v>300</v>
      </c>
      <c r="EO45" t="s">
        <v>329</v>
      </c>
      <c r="EP45" t="s">
        <v>329</v>
      </c>
      <c r="EQ45" t="s">
        <v>329</v>
      </c>
      <c r="ER45" t="s">
        <v>329</v>
      </c>
      <c r="ES45" t="s">
        <v>167</v>
      </c>
      <c r="ET45" t="s">
        <v>307</v>
      </c>
      <c r="EU45" t="s">
        <v>308</v>
      </c>
      <c r="EV45" t="s">
        <v>167</v>
      </c>
      <c r="EW45" s="167">
        <v>1750</v>
      </c>
      <c r="EX45" t="s">
        <v>309</v>
      </c>
      <c r="EY45">
        <v>150</v>
      </c>
      <c r="EZ45">
        <v>150</v>
      </c>
      <c r="FA45" t="s">
        <v>310</v>
      </c>
      <c r="FB45" t="s">
        <v>310</v>
      </c>
      <c r="FC45" t="s">
        <v>310</v>
      </c>
      <c r="FD45" t="s">
        <v>310</v>
      </c>
      <c r="FE45">
        <v>7.7576596966879103</v>
      </c>
      <c r="FF45" s="164" t="s">
        <v>301</v>
      </c>
      <c r="FG45">
        <v>3.960178836771E-2</v>
      </c>
      <c r="FH45">
        <v>4.2835440401330693E-2</v>
      </c>
      <c r="FI45">
        <v>736.43069014527305</v>
      </c>
      <c r="FJ45" s="164">
        <v>0</v>
      </c>
      <c r="FK45" s="164" t="s">
        <v>302</v>
      </c>
      <c r="FL45">
        <v>736.43069014527305</v>
      </c>
      <c r="FM45">
        <v>123.43549365442891</v>
      </c>
      <c r="FN45">
        <v>104.93776291908102</v>
      </c>
      <c r="FO45" s="170" t="s">
        <v>303</v>
      </c>
      <c r="FP45" t="s">
        <v>304</v>
      </c>
      <c r="FQ45" t="s">
        <v>305</v>
      </c>
      <c r="FR45" t="s">
        <v>305</v>
      </c>
      <c r="FS45" t="s">
        <v>305</v>
      </c>
      <c r="FT45">
        <v>1826.8447512528301</v>
      </c>
      <c r="FU45">
        <v>179.43958565831986</v>
      </c>
      <c r="FV45">
        <v>180.30280616027017</v>
      </c>
      <c r="FW45">
        <v>4.1127228536913796</v>
      </c>
      <c r="FX45">
        <v>0.55907571301678072</v>
      </c>
      <c r="FY45">
        <v>0.49920300075534962</v>
      </c>
      <c r="FZ45">
        <v>2.7029421154295799</v>
      </c>
      <c r="GA45">
        <v>0.37069294397723995</v>
      </c>
      <c r="GB45">
        <v>0.33110234061062993</v>
      </c>
      <c r="GC45" t="s">
        <v>311</v>
      </c>
    </row>
    <row r="46" spans="1:185" ht="17">
      <c r="A46" t="s">
        <v>180</v>
      </c>
      <c r="B46" s="202" t="s">
        <v>181</v>
      </c>
      <c r="C46" t="s">
        <v>168</v>
      </c>
      <c r="D46" t="s">
        <v>182</v>
      </c>
      <c r="E46">
        <v>2020</v>
      </c>
      <c r="F46" t="s">
        <v>183</v>
      </c>
      <c r="G46" s="141">
        <v>40725.719451904297</v>
      </c>
      <c r="H46">
        <v>1</v>
      </c>
      <c r="I46">
        <v>1</v>
      </c>
      <c r="J46">
        <v>649.08409105777503</v>
      </c>
      <c r="K46">
        <v>119.13878932314992</v>
      </c>
      <c r="L46">
        <v>89.659040819362076</v>
      </c>
      <c r="M46" s="163" t="b">
        <v>0</v>
      </c>
      <c r="N46" s="163">
        <v>3</v>
      </c>
      <c r="O46" t="s">
        <v>332</v>
      </c>
      <c r="P46" t="b">
        <v>0</v>
      </c>
      <c r="Q46" s="163" t="b">
        <v>1</v>
      </c>
      <c r="R46" s="212" t="s">
        <v>325</v>
      </c>
      <c r="S46" s="163" t="b">
        <v>1</v>
      </c>
      <c r="T46" s="163" t="b">
        <v>0</v>
      </c>
      <c r="U46" s="163" t="s">
        <v>167</v>
      </c>
      <c r="V46" s="163" t="s">
        <v>167</v>
      </c>
      <c r="W46" s="199" t="s">
        <v>167</v>
      </c>
      <c r="X46" s="199" t="s">
        <v>167</v>
      </c>
      <c r="Y46" s="143" t="s">
        <v>184</v>
      </c>
      <c r="Z46" t="s">
        <v>183</v>
      </c>
      <c r="AA46" t="s">
        <v>202</v>
      </c>
      <c r="AB46" t="s">
        <v>191</v>
      </c>
      <c r="AC46">
        <v>9</v>
      </c>
      <c r="AD46">
        <v>1</v>
      </c>
      <c r="AE46">
        <v>79</v>
      </c>
      <c r="AF46">
        <v>91</v>
      </c>
      <c r="AG46">
        <v>122.91</v>
      </c>
      <c r="AH46">
        <v>146.07999999999998</v>
      </c>
      <c r="AI46" t="s">
        <v>203</v>
      </c>
      <c r="AJ46" t="s">
        <v>204</v>
      </c>
      <c r="AK46" s="147">
        <v>-28.53295</v>
      </c>
      <c r="AL46" s="147">
        <v>2.7795670000000001</v>
      </c>
      <c r="AM46" s="147">
        <v>-38</v>
      </c>
      <c r="AN46" s="148" t="s">
        <v>167</v>
      </c>
      <c r="AO46" s="148">
        <v>-2717</v>
      </c>
      <c r="AP46" s="147">
        <v>-2000</v>
      </c>
      <c r="AQ46" t="s">
        <v>205</v>
      </c>
      <c r="AR46" t="s">
        <v>190</v>
      </c>
      <c r="AS46" s="141">
        <v>40725.719451904297</v>
      </c>
      <c r="AT46" t="s">
        <v>206</v>
      </c>
      <c r="AU46">
        <v>1</v>
      </c>
      <c r="AV46">
        <v>1</v>
      </c>
      <c r="AW46" t="s">
        <v>207</v>
      </c>
      <c r="AX46" t="s">
        <v>208</v>
      </c>
      <c r="AY46" s="138" t="s">
        <v>209</v>
      </c>
      <c r="AZ46">
        <v>40.612617492675781</v>
      </c>
      <c r="BA46" t="s">
        <v>167</v>
      </c>
      <c r="BB46" t="s">
        <v>167</v>
      </c>
      <c r="BC46" t="s">
        <v>167</v>
      </c>
      <c r="BD46" t="s">
        <v>207</v>
      </c>
      <c r="BE46" t="s">
        <v>210</v>
      </c>
      <c r="BF46" t="s">
        <v>215</v>
      </c>
      <c r="BG46" t="s">
        <v>223</v>
      </c>
      <c r="BH46" t="s">
        <v>217</v>
      </c>
      <c r="BI46" s="157">
        <v>221</v>
      </c>
      <c r="BJ46" s="157">
        <v>2.4660000000000002</v>
      </c>
      <c r="BK46" t="s">
        <v>219</v>
      </c>
      <c r="BL46" t="s">
        <v>220</v>
      </c>
      <c r="BM46" t="s">
        <v>221</v>
      </c>
      <c r="BN46" t="s">
        <v>269</v>
      </c>
      <c r="BO46">
        <v>2</v>
      </c>
      <c r="BP46" s="140">
        <v>6.8989552934528575E-2</v>
      </c>
      <c r="BQ46" s="139">
        <v>13.695045156115199</v>
      </c>
      <c r="BR46" t="s">
        <v>228</v>
      </c>
      <c r="BS46">
        <v>0.247946121043088</v>
      </c>
      <c r="BT46">
        <v>0.95</v>
      </c>
      <c r="BU46" t="s">
        <v>275</v>
      </c>
      <c r="BV46">
        <v>0.17</v>
      </c>
      <c r="BW46">
        <v>-0.42</v>
      </c>
      <c r="BX46" t="s">
        <v>276</v>
      </c>
      <c r="BY46">
        <v>2.85</v>
      </c>
      <c r="BZ46" t="s">
        <v>279</v>
      </c>
      <c r="CA46" t="s">
        <v>278</v>
      </c>
      <c r="CB46">
        <v>14.8975045500626</v>
      </c>
      <c r="CC46" t="s">
        <v>274</v>
      </c>
      <c r="CD46" s="165">
        <v>0.25668127104334992</v>
      </c>
      <c r="CE46" t="s">
        <v>326</v>
      </c>
      <c r="CF46" t="s">
        <v>327</v>
      </c>
      <c r="CG46">
        <v>25</v>
      </c>
      <c r="CH46" t="s">
        <v>280</v>
      </c>
      <c r="CI46" t="s">
        <v>280</v>
      </c>
      <c r="CJ46" s="139">
        <v>24.6731638747749</v>
      </c>
      <c r="CK46" t="s">
        <v>281</v>
      </c>
      <c r="CL46" s="140">
        <v>0.62310692476796303</v>
      </c>
      <c r="CM46" s="140">
        <v>0.57508169751007898</v>
      </c>
      <c r="CN46" t="s">
        <v>282</v>
      </c>
      <c r="CO46">
        <v>2.7233608374904801</v>
      </c>
      <c r="CP46" t="s">
        <v>283</v>
      </c>
      <c r="CQ46">
        <v>8.1700825124714396E-2</v>
      </c>
      <c r="CR46">
        <v>8.1700825124714396E-2</v>
      </c>
      <c r="CS46" t="s">
        <v>284</v>
      </c>
      <c r="CT46" t="s">
        <v>167</v>
      </c>
      <c r="CU46" t="s">
        <v>285</v>
      </c>
      <c r="CV46" t="s">
        <v>286</v>
      </c>
      <c r="CW46" t="s">
        <v>280</v>
      </c>
      <c r="CX46" t="s">
        <v>280</v>
      </c>
      <c r="CY46" t="s">
        <v>287</v>
      </c>
      <c r="CZ46" t="s">
        <v>167</v>
      </c>
      <c r="DA46" t="s">
        <v>167</v>
      </c>
      <c r="DB46" t="s">
        <v>167</v>
      </c>
      <c r="DC46" t="s">
        <v>167</v>
      </c>
      <c r="DD46" t="s">
        <v>167</v>
      </c>
      <c r="DE46" t="s">
        <v>167</v>
      </c>
      <c r="DF46" t="s">
        <v>167</v>
      </c>
      <c r="DG46" s="166">
        <v>35</v>
      </c>
      <c r="DH46" t="s">
        <v>288</v>
      </c>
      <c r="DI46">
        <v>1</v>
      </c>
      <c r="DJ46" t="s">
        <v>289</v>
      </c>
      <c r="DK46">
        <v>17</v>
      </c>
      <c r="DL46" t="s">
        <v>290</v>
      </c>
      <c r="DM46" t="s">
        <v>290</v>
      </c>
      <c r="DN46" t="s">
        <v>291</v>
      </c>
      <c r="DO46">
        <v>38</v>
      </c>
      <c r="DP46" t="s">
        <v>290</v>
      </c>
      <c r="DQ46" t="s">
        <v>290</v>
      </c>
      <c r="DR46" t="s">
        <v>291</v>
      </c>
      <c r="DS46" t="s">
        <v>292</v>
      </c>
      <c r="DT46" t="s">
        <v>293</v>
      </c>
      <c r="DU46" t="s">
        <v>293</v>
      </c>
      <c r="DV46" t="s">
        <v>293</v>
      </c>
      <c r="DW46" s="138">
        <v>432.56244218316402</v>
      </c>
      <c r="DX46" t="s">
        <v>294</v>
      </c>
      <c r="DY46" s="138">
        <v>12.3589269195238</v>
      </c>
      <c r="DZ46" t="s">
        <v>295</v>
      </c>
      <c r="EA46">
        <v>38.75</v>
      </c>
      <c r="EB46" t="s">
        <v>296</v>
      </c>
      <c r="EC46">
        <v>0.15</v>
      </c>
      <c r="ED46" t="s">
        <v>328</v>
      </c>
      <c r="EE46" t="s">
        <v>329</v>
      </c>
      <c r="EF46" t="s">
        <v>297</v>
      </c>
      <c r="EG46">
        <v>1.0271999999999999</v>
      </c>
      <c r="EH46" t="s">
        <v>290</v>
      </c>
      <c r="EI46" t="s">
        <v>290</v>
      </c>
      <c r="EJ46" t="s">
        <v>298</v>
      </c>
      <c r="EK46" t="s">
        <v>290</v>
      </c>
      <c r="EL46" t="s">
        <v>290</v>
      </c>
      <c r="EM46" t="s">
        <v>299</v>
      </c>
      <c r="EN46" t="s">
        <v>300</v>
      </c>
      <c r="EO46" t="s">
        <v>329</v>
      </c>
      <c r="EP46" t="s">
        <v>329</v>
      </c>
      <c r="EQ46" t="s">
        <v>329</v>
      </c>
      <c r="ER46" t="s">
        <v>329</v>
      </c>
      <c r="ES46" t="s">
        <v>167</v>
      </c>
      <c r="ET46" t="s">
        <v>307</v>
      </c>
      <c r="EU46" t="s">
        <v>308</v>
      </c>
      <c r="EV46" t="s">
        <v>167</v>
      </c>
      <c r="EW46" s="167">
        <v>1750</v>
      </c>
      <c r="EX46" t="s">
        <v>309</v>
      </c>
      <c r="EY46">
        <v>150</v>
      </c>
      <c r="EZ46">
        <v>150</v>
      </c>
      <c r="FA46" t="s">
        <v>310</v>
      </c>
      <c r="FB46" t="s">
        <v>310</v>
      </c>
      <c r="FC46" t="s">
        <v>310</v>
      </c>
      <c r="FD46" t="s">
        <v>310</v>
      </c>
      <c r="FE46">
        <v>7.8117014283856196</v>
      </c>
      <c r="FF46" s="164" t="s">
        <v>301</v>
      </c>
      <c r="FG46">
        <v>3.7059002291360166E-2</v>
      </c>
      <c r="FH46">
        <v>4.3261009573699383E-2</v>
      </c>
      <c r="FI46">
        <v>649.08409105777503</v>
      </c>
      <c r="FJ46" s="164">
        <v>0</v>
      </c>
      <c r="FK46" s="164" t="s">
        <v>302</v>
      </c>
      <c r="FL46">
        <v>649.08409105777503</v>
      </c>
      <c r="FM46">
        <v>119.13878932314992</v>
      </c>
      <c r="FN46">
        <v>89.659040819362076</v>
      </c>
      <c r="FO46" s="170" t="s">
        <v>303</v>
      </c>
      <c r="FP46" t="s">
        <v>304</v>
      </c>
      <c r="FQ46" t="s">
        <v>305</v>
      </c>
      <c r="FR46" t="s">
        <v>305</v>
      </c>
      <c r="FS46" t="s">
        <v>305</v>
      </c>
      <c r="FT46">
        <v>1835.3731186437101</v>
      </c>
      <c r="FU46">
        <v>175.45290093360995</v>
      </c>
      <c r="FV46">
        <v>177.60789202086016</v>
      </c>
      <c r="FW46">
        <v>4.6058769209152004</v>
      </c>
      <c r="FX46">
        <v>0.59610797333960974</v>
      </c>
      <c r="FY46">
        <v>0.52504226536184007</v>
      </c>
      <c r="FZ46">
        <v>3.0253044852466902</v>
      </c>
      <c r="GA46">
        <v>0.39085354004369988</v>
      </c>
      <c r="GB46">
        <v>0.34740200356435036</v>
      </c>
      <c r="GC46" t="s">
        <v>311</v>
      </c>
    </row>
    <row r="47" spans="1:185" ht="17">
      <c r="A47" t="s">
        <v>180</v>
      </c>
      <c r="B47" s="202" t="s">
        <v>181</v>
      </c>
      <c r="C47" t="s">
        <v>168</v>
      </c>
      <c r="D47" t="s">
        <v>182</v>
      </c>
      <c r="E47">
        <v>2020</v>
      </c>
      <c r="F47" t="s">
        <v>183</v>
      </c>
      <c r="G47" s="141">
        <v>41064.14794921875</v>
      </c>
      <c r="H47">
        <v>1</v>
      </c>
      <c r="I47">
        <v>1</v>
      </c>
      <c r="J47">
        <v>679.51448052622902</v>
      </c>
      <c r="K47">
        <v>115.06438743481795</v>
      </c>
      <c r="L47">
        <v>93.377717001942983</v>
      </c>
      <c r="M47" s="163" t="b">
        <v>0</v>
      </c>
      <c r="N47" s="163">
        <v>3</v>
      </c>
      <c r="O47" t="s">
        <v>332</v>
      </c>
      <c r="P47" t="b">
        <v>0</v>
      </c>
      <c r="Q47" s="163" t="b">
        <v>1</v>
      </c>
      <c r="R47" s="212" t="s">
        <v>325</v>
      </c>
      <c r="S47" s="163" t="b">
        <v>1</v>
      </c>
      <c r="T47" s="163" t="b">
        <v>0</v>
      </c>
      <c r="U47" s="163" t="s">
        <v>167</v>
      </c>
      <c r="V47" s="163" t="s">
        <v>167</v>
      </c>
      <c r="W47" s="199" t="s">
        <v>167</v>
      </c>
      <c r="X47" s="199" t="s">
        <v>167</v>
      </c>
      <c r="Y47" s="143" t="s">
        <v>184</v>
      </c>
      <c r="Z47" t="s">
        <v>183</v>
      </c>
      <c r="AA47" t="s">
        <v>202</v>
      </c>
      <c r="AB47" t="s">
        <v>191</v>
      </c>
      <c r="AC47">
        <v>9</v>
      </c>
      <c r="AD47">
        <v>3</v>
      </c>
      <c r="AE47">
        <v>0</v>
      </c>
      <c r="AF47">
        <v>12</v>
      </c>
      <c r="AG47">
        <v>125.12</v>
      </c>
      <c r="AH47">
        <v>148.29</v>
      </c>
      <c r="AI47" t="s">
        <v>203</v>
      </c>
      <c r="AJ47" t="s">
        <v>204</v>
      </c>
      <c r="AK47" s="147">
        <v>-28.53295</v>
      </c>
      <c r="AL47" s="147">
        <v>2.7795670000000001</v>
      </c>
      <c r="AM47" s="147">
        <v>-38</v>
      </c>
      <c r="AN47" s="148" t="s">
        <v>167</v>
      </c>
      <c r="AO47" s="148">
        <v>-2717</v>
      </c>
      <c r="AP47" s="147">
        <v>-2000</v>
      </c>
      <c r="AQ47" t="s">
        <v>205</v>
      </c>
      <c r="AR47" t="s">
        <v>190</v>
      </c>
      <c r="AS47" s="141">
        <v>41064.14794921875</v>
      </c>
      <c r="AT47" t="s">
        <v>206</v>
      </c>
      <c r="AU47">
        <v>1</v>
      </c>
      <c r="AV47">
        <v>1</v>
      </c>
      <c r="AW47" t="s">
        <v>207</v>
      </c>
      <c r="AX47" t="s">
        <v>208</v>
      </c>
      <c r="AY47" s="138" t="s">
        <v>209</v>
      </c>
      <c r="AZ47">
        <v>40.847396850585938</v>
      </c>
      <c r="BA47" t="s">
        <v>167</v>
      </c>
      <c r="BB47" t="s">
        <v>167</v>
      </c>
      <c r="BC47" t="s">
        <v>167</v>
      </c>
      <c r="BD47" t="s">
        <v>207</v>
      </c>
      <c r="BE47" t="s">
        <v>210</v>
      </c>
      <c r="BF47" t="s">
        <v>215</v>
      </c>
      <c r="BG47" t="s">
        <v>223</v>
      </c>
      <c r="BH47" t="s">
        <v>217</v>
      </c>
      <c r="BI47" s="157">
        <v>225</v>
      </c>
      <c r="BJ47" s="157">
        <v>3.2509999999999999</v>
      </c>
      <c r="BK47" t="s">
        <v>219</v>
      </c>
      <c r="BL47" t="s">
        <v>220</v>
      </c>
      <c r="BM47" t="s">
        <v>221</v>
      </c>
      <c r="BN47" t="s">
        <v>270</v>
      </c>
      <c r="BO47">
        <v>2</v>
      </c>
      <c r="BP47" s="140">
        <v>0.23947269235404534</v>
      </c>
      <c r="BQ47" s="139">
        <v>13.599735772391901</v>
      </c>
      <c r="BR47" t="s">
        <v>228</v>
      </c>
      <c r="BS47">
        <v>0.237604306714638</v>
      </c>
      <c r="BT47">
        <v>0.95</v>
      </c>
      <c r="BU47" t="s">
        <v>275</v>
      </c>
      <c r="BV47">
        <v>0.17</v>
      </c>
      <c r="BW47">
        <v>-0.42</v>
      </c>
      <c r="BX47" t="s">
        <v>276</v>
      </c>
      <c r="BY47">
        <v>2.85</v>
      </c>
      <c r="BZ47" t="s">
        <v>279</v>
      </c>
      <c r="CA47" t="s">
        <v>278</v>
      </c>
      <c r="CB47">
        <v>14.8043737882871</v>
      </c>
      <c r="CC47" t="s">
        <v>274</v>
      </c>
      <c r="CD47" s="165">
        <v>0.24352529235789966</v>
      </c>
      <c r="CE47" t="s">
        <v>326</v>
      </c>
      <c r="CF47" t="s">
        <v>327</v>
      </c>
      <c r="CG47">
        <v>25</v>
      </c>
      <c r="CH47" t="s">
        <v>280</v>
      </c>
      <c r="CI47" t="s">
        <v>280</v>
      </c>
      <c r="CJ47" s="139">
        <v>25.215418613200399</v>
      </c>
      <c r="CK47" t="s">
        <v>281</v>
      </c>
      <c r="CL47" s="140">
        <v>0.55437894615966199</v>
      </c>
      <c r="CM47" s="140">
        <v>0.56884091974858098</v>
      </c>
      <c r="CN47" t="s">
        <v>282</v>
      </c>
      <c r="CO47">
        <v>2.8420855064726198</v>
      </c>
      <c r="CP47" t="s">
        <v>283</v>
      </c>
      <c r="CQ47">
        <v>8.5262565194178588E-2</v>
      </c>
      <c r="CR47">
        <v>8.5262565194178588E-2</v>
      </c>
      <c r="CS47" t="s">
        <v>284</v>
      </c>
      <c r="CT47" t="s">
        <v>167</v>
      </c>
      <c r="CU47" t="s">
        <v>285</v>
      </c>
      <c r="CV47" t="s">
        <v>286</v>
      </c>
      <c r="CW47" t="s">
        <v>280</v>
      </c>
      <c r="CX47" t="s">
        <v>280</v>
      </c>
      <c r="CY47" t="s">
        <v>287</v>
      </c>
      <c r="CZ47" t="s">
        <v>167</v>
      </c>
      <c r="DA47" t="s">
        <v>167</v>
      </c>
      <c r="DB47" t="s">
        <v>167</v>
      </c>
      <c r="DC47" t="s">
        <v>167</v>
      </c>
      <c r="DD47" t="s">
        <v>167</v>
      </c>
      <c r="DE47" t="s">
        <v>167</v>
      </c>
      <c r="DF47" t="s">
        <v>167</v>
      </c>
      <c r="DG47" s="166">
        <v>35</v>
      </c>
      <c r="DH47" t="s">
        <v>288</v>
      </c>
      <c r="DI47">
        <v>1</v>
      </c>
      <c r="DJ47" t="s">
        <v>289</v>
      </c>
      <c r="DK47">
        <v>17</v>
      </c>
      <c r="DL47" t="s">
        <v>290</v>
      </c>
      <c r="DM47" t="s">
        <v>290</v>
      </c>
      <c r="DN47" t="s">
        <v>291</v>
      </c>
      <c r="DO47">
        <v>38</v>
      </c>
      <c r="DP47" t="s">
        <v>290</v>
      </c>
      <c r="DQ47" t="s">
        <v>290</v>
      </c>
      <c r="DR47" t="s">
        <v>291</v>
      </c>
      <c r="DS47" t="s">
        <v>292</v>
      </c>
      <c r="DT47" t="s">
        <v>293</v>
      </c>
      <c r="DU47" t="s">
        <v>293</v>
      </c>
      <c r="DV47" t="s">
        <v>293</v>
      </c>
      <c r="DW47" s="138">
        <v>432.56244218316402</v>
      </c>
      <c r="DX47" t="s">
        <v>294</v>
      </c>
      <c r="DY47" s="138">
        <v>12.358926919523901</v>
      </c>
      <c r="DZ47" t="s">
        <v>295</v>
      </c>
      <c r="EA47">
        <v>38.75</v>
      </c>
      <c r="EB47" t="s">
        <v>296</v>
      </c>
      <c r="EC47">
        <v>0.15</v>
      </c>
      <c r="ED47" t="s">
        <v>328</v>
      </c>
      <c r="EE47" t="s">
        <v>329</v>
      </c>
      <c r="EF47" t="s">
        <v>297</v>
      </c>
      <c r="EG47">
        <v>1.0271999999999999</v>
      </c>
      <c r="EH47" t="s">
        <v>290</v>
      </c>
      <c r="EI47" t="s">
        <v>290</v>
      </c>
      <c r="EJ47" t="s">
        <v>298</v>
      </c>
      <c r="EK47" t="s">
        <v>290</v>
      </c>
      <c r="EL47" t="s">
        <v>290</v>
      </c>
      <c r="EM47" t="s">
        <v>299</v>
      </c>
      <c r="EN47" t="s">
        <v>300</v>
      </c>
      <c r="EO47" t="s">
        <v>329</v>
      </c>
      <c r="EP47" t="s">
        <v>329</v>
      </c>
      <c r="EQ47" t="s">
        <v>329</v>
      </c>
      <c r="ER47" t="s">
        <v>329</v>
      </c>
      <c r="ES47" t="s">
        <v>167</v>
      </c>
      <c r="ET47" t="s">
        <v>307</v>
      </c>
      <c r="EU47" t="s">
        <v>308</v>
      </c>
      <c r="EV47" t="s">
        <v>167</v>
      </c>
      <c r="EW47" s="167">
        <v>1750</v>
      </c>
      <c r="EX47" t="s">
        <v>309</v>
      </c>
      <c r="EY47">
        <v>150</v>
      </c>
      <c r="EZ47">
        <v>150</v>
      </c>
      <c r="FA47" t="s">
        <v>310</v>
      </c>
      <c r="FB47" t="s">
        <v>310</v>
      </c>
      <c r="FC47" t="s">
        <v>310</v>
      </c>
      <c r="FD47" t="s">
        <v>310</v>
      </c>
      <c r="FE47">
        <v>7.7924248412305204</v>
      </c>
      <c r="FF47" s="164" t="s">
        <v>301</v>
      </c>
      <c r="FG47">
        <v>3.6773234913299646E-2</v>
      </c>
      <c r="FH47">
        <v>4.3755901179689971E-2</v>
      </c>
      <c r="FI47">
        <v>679.51448052622902</v>
      </c>
      <c r="FJ47" s="164">
        <v>0</v>
      </c>
      <c r="FK47" s="164" t="s">
        <v>302</v>
      </c>
      <c r="FL47">
        <v>679.51448052622902</v>
      </c>
      <c r="FM47">
        <v>115.06438743481795</v>
      </c>
      <c r="FN47">
        <v>93.377717001942983</v>
      </c>
      <c r="FO47" s="170" t="s">
        <v>303</v>
      </c>
      <c r="FP47" t="s">
        <v>304</v>
      </c>
      <c r="FQ47" t="s">
        <v>305</v>
      </c>
      <c r="FR47" t="s">
        <v>305</v>
      </c>
      <c r="FS47" t="s">
        <v>305</v>
      </c>
      <c r="FT47">
        <v>1821.11576898158</v>
      </c>
      <c r="FU47">
        <v>186.76496654039011</v>
      </c>
      <c r="FV47">
        <v>167.67619143815</v>
      </c>
      <c r="FW47">
        <v>4.5108361763495504</v>
      </c>
      <c r="FX47">
        <v>0.56440322376182994</v>
      </c>
      <c r="FY47">
        <v>0.53014686006773015</v>
      </c>
      <c r="FZ47">
        <v>2.9683154269813299</v>
      </c>
      <c r="GA47">
        <v>0.36906299185315028</v>
      </c>
      <c r="GB47">
        <v>0.3530936582322699</v>
      </c>
      <c r="GC47" t="s">
        <v>311</v>
      </c>
    </row>
    <row r="48" spans="1:185" s="149" customFormat="1" ht="17">
      <c r="A48" s="149" t="s">
        <v>180</v>
      </c>
      <c r="B48" s="203" t="s">
        <v>181</v>
      </c>
      <c r="C48" s="149" t="s">
        <v>168</v>
      </c>
      <c r="D48" s="149" t="s">
        <v>182</v>
      </c>
      <c r="E48" s="149">
        <v>2020</v>
      </c>
      <c r="F48" s="149" t="s">
        <v>183</v>
      </c>
      <c r="G48" s="145">
        <v>39807.929992675781</v>
      </c>
      <c r="H48" s="149">
        <v>1</v>
      </c>
      <c r="I48" s="149">
        <v>1</v>
      </c>
      <c r="J48">
        <v>1101.6431811300799</v>
      </c>
      <c r="K48" s="206">
        <v>295.29361817586005</v>
      </c>
      <c r="L48" s="206">
        <v>238.08530946303199</v>
      </c>
      <c r="M48" s="163" t="b">
        <v>0</v>
      </c>
      <c r="N48" s="207">
        <v>3</v>
      </c>
      <c r="O48" s="149" t="s">
        <v>331</v>
      </c>
      <c r="P48" s="149" t="s">
        <v>322</v>
      </c>
      <c r="Q48" s="163" t="b">
        <v>1</v>
      </c>
      <c r="R48" s="212" t="s">
        <v>325</v>
      </c>
      <c r="S48" s="207" t="b">
        <v>1</v>
      </c>
      <c r="T48" s="207" t="b">
        <v>0</v>
      </c>
      <c r="U48" s="207" t="s">
        <v>167</v>
      </c>
      <c r="V48" s="207" t="s">
        <v>167</v>
      </c>
      <c r="W48" s="208" t="s">
        <v>167</v>
      </c>
      <c r="X48" s="208" t="s">
        <v>167</v>
      </c>
      <c r="Y48" s="192" t="s">
        <v>184</v>
      </c>
      <c r="Z48" s="149" t="s">
        <v>183</v>
      </c>
      <c r="AA48" s="149" t="s">
        <v>185</v>
      </c>
      <c r="AB48" s="149" t="s">
        <v>186</v>
      </c>
      <c r="AC48" s="149">
        <v>6</v>
      </c>
      <c r="AD48" s="149">
        <v>1</v>
      </c>
      <c r="AE48" s="149">
        <v>7</v>
      </c>
      <c r="AF48" s="149">
        <v>8.5</v>
      </c>
      <c r="AG48" s="209">
        <v>38.277500000000003</v>
      </c>
      <c r="AH48" s="149">
        <v>38.270000000000003</v>
      </c>
      <c r="AI48" s="149" t="s">
        <v>187</v>
      </c>
      <c r="AJ48" s="149" t="s">
        <v>188</v>
      </c>
      <c r="AK48" s="150">
        <v>9.2656670000000005</v>
      </c>
      <c r="AL48" s="150">
        <v>-54.544032999999999</v>
      </c>
      <c r="AM48" s="150">
        <v>0.8</v>
      </c>
      <c r="AN48" s="151" t="s">
        <v>167</v>
      </c>
      <c r="AO48" s="151">
        <v>-2549</v>
      </c>
      <c r="AP48" s="151">
        <v>-2850</v>
      </c>
      <c r="AQ48" s="149" t="s">
        <v>189</v>
      </c>
      <c r="AR48" s="149" t="s">
        <v>190</v>
      </c>
      <c r="AS48" s="145">
        <v>39807.929992675781</v>
      </c>
      <c r="AT48" s="149" t="s">
        <v>206</v>
      </c>
      <c r="AU48" s="149">
        <v>1</v>
      </c>
      <c r="AV48" s="149">
        <v>1</v>
      </c>
      <c r="AW48" s="149" t="s">
        <v>207</v>
      </c>
      <c r="AX48" s="149" t="s">
        <v>208</v>
      </c>
      <c r="AY48" s="171" t="s">
        <v>209</v>
      </c>
      <c r="AZ48" s="149">
        <v>39.816597656250003</v>
      </c>
      <c r="BA48" s="149" t="s">
        <v>167</v>
      </c>
      <c r="BB48" s="149" t="s">
        <v>167</v>
      </c>
      <c r="BC48" s="149" t="s">
        <v>167</v>
      </c>
      <c r="BD48" s="149" t="s">
        <v>207</v>
      </c>
      <c r="BE48" s="149" t="s">
        <v>210</v>
      </c>
      <c r="BF48" s="149" t="s">
        <v>211</v>
      </c>
      <c r="BG48" s="149" t="s">
        <v>216</v>
      </c>
      <c r="BH48" s="149" t="s">
        <v>217</v>
      </c>
      <c r="BI48" s="155" t="s">
        <v>218</v>
      </c>
      <c r="BJ48" s="210" t="s">
        <v>226</v>
      </c>
      <c r="BK48" s="149" t="s">
        <v>219</v>
      </c>
      <c r="BL48" s="149" t="s">
        <v>220</v>
      </c>
      <c r="BM48" s="149" t="s">
        <v>221</v>
      </c>
      <c r="BN48" s="149" t="s">
        <v>227</v>
      </c>
      <c r="BO48" s="149">
        <v>2</v>
      </c>
      <c r="BP48" s="160">
        <v>0.24097437922295306</v>
      </c>
      <c r="BQ48" s="161">
        <v>14.788</v>
      </c>
      <c r="BR48" s="149" t="s">
        <v>228</v>
      </c>
      <c r="BS48" s="149">
        <v>0.22818629847806901</v>
      </c>
      <c r="BT48" s="149">
        <v>0.88</v>
      </c>
      <c r="BU48" s="149" t="s">
        <v>271</v>
      </c>
      <c r="BV48" s="149" t="s">
        <v>271</v>
      </c>
      <c r="BW48" s="207">
        <v>1.85</v>
      </c>
      <c r="BX48" s="149" t="s">
        <v>271</v>
      </c>
      <c r="BY48" s="149" t="s">
        <v>271</v>
      </c>
      <c r="BZ48" s="149" t="s">
        <v>272</v>
      </c>
      <c r="CA48" s="149" t="s">
        <v>273</v>
      </c>
      <c r="CB48">
        <v>14.8200999180557</v>
      </c>
      <c r="CC48" s="149" t="s">
        <v>274</v>
      </c>
      <c r="CD48" s="165">
        <v>0.2648186433898001</v>
      </c>
      <c r="CE48" t="s">
        <v>326</v>
      </c>
      <c r="CF48" t="s">
        <v>327</v>
      </c>
      <c r="CG48" s="149">
        <v>25</v>
      </c>
      <c r="CH48" s="149" t="s">
        <v>280</v>
      </c>
      <c r="CI48" s="149" t="s">
        <v>280</v>
      </c>
      <c r="CJ48" s="161">
        <v>30.7085765049525</v>
      </c>
      <c r="CK48" s="149" t="s">
        <v>281</v>
      </c>
      <c r="CL48" s="140">
        <v>0.62494737089036101</v>
      </c>
      <c r="CM48" s="140">
        <v>0.57968430434253504</v>
      </c>
      <c r="CN48" s="149" t="s">
        <v>282</v>
      </c>
      <c r="CO48" s="149">
        <v>3.8488323985577302</v>
      </c>
      <c r="CP48" s="149" t="s">
        <v>283</v>
      </c>
      <c r="CQ48" s="149">
        <v>0.1154649719567319</v>
      </c>
      <c r="CR48" s="149">
        <v>0.1154649719567319</v>
      </c>
      <c r="CS48" s="149" t="s">
        <v>284</v>
      </c>
      <c r="CT48" s="149" t="s">
        <v>167</v>
      </c>
      <c r="CU48" s="149" t="s">
        <v>285</v>
      </c>
      <c r="CV48" s="149" t="s">
        <v>286</v>
      </c>
      <c r="CW48" s="149" t="s">
        <v>280</v>
      </c>
      <c r="CX48" s="149" t="s">
        <v>280</v>
      </c>
      <c r="CY48" s="149" t="s">
        <v>287</v>
      </c>
      <c r="CZ48" s="149" t="s">
        <v>167</v>
      </c>
      <c r="DA48" s="149" t="s">
        <v>167</v>
      </c>
      <c r="DB48" s="149" t="s">
        <v>167</v>
      </c>
      <c r="DC48" s="149" t="s">
        <v>167</v>
      </c>
      <c r="DD48" s="149" t="s">
        <v>167</v>
      </c>
      <c r="DE48" s="149" t="s">
        <v>167</v>
      </c>
      <c r="DF48" s="149" t="s">
        <v>167</v>
      </c>
      <c r="DG48" s="195">
        <v>35</v>
      </c>
      <c r="DH48" s="149" t="s">
        <v>288</v>
      </c>
      <c r="DI48" s="149">
        <v>1</v>
      </c>
      <c r="DJ48" s="149" t="s">
        <v>289</v>
      </c>
      <c r="DK48" s="149">
        <v>17</v>
      </c>
      <c r="DL48" s="149" t="s">
        <v>290</v>
      </c>
      <c r="DM48" s="149" t="s">
        <v>290</v>
      </c>
      <c r="DN48" s="149" t="s">
        <v>291</v>
      </c>
      <c r="DO48" s="149">
        <v>38</v>
      </c>
      <c r="DP48" s="149" t="s">
        <v>290</v>
      </c>
      <c r="DQ48" s="149" t="s">
        <v>290</v>
      </c>
      <c r="DR48" s="149" t="s">
        <v>291</v>
      </c>
      <c r="DS48" s="149" t="s">
        <v>292</v>
      </c>
      <c r="DT48" s="149" t="s">
        <v>293</v>
      </c>
      <c r="DU48" s="149" t="s">
        <v>293</v>
      </c>
      <c r="DV48" s="149" t="s">
        <v>293</v>
      </c>
      <c r="DW48" s="171">
        <v>432.5624421831638</v>
      </c>
      <c r="DX48" s="149" t="s">
        <v>294</v>
      </c>
      <c r="DY48" s="171">
        <v>12.358926919518979</v>
      </c>
      <c r="DZ48" s="149" t="s">
        <v>295</v>
      </c>
      <c r="EA48">
        <v>38.75</v>
      </c>
      <c r="EB48" s="149" t="s">
        <v>296</v>
      </c>
      <c r="EC48">
        <v>0.15</v>
      </c>
      <c r="ED48" t="s">
        <v>328</v>
      </c>
      <c r="EE48" t="s">
        <v>329</v>
      </c>
      <c r="EF48" s="149" t="s">
        <v>297</v>
      </c>
      <c r="EG48" s="149">
        <v>1.0271999999999999</v>
      </c>
      <c r="EH48" s="149" t="s">
        <v>290</v>
      </c>
      <c r="EI48" s="149" t="s">
        <v>290</v>
      </c>
      <c r="EJ48" s="149" t="s">
        <v>298</v>
      </c>
      <c r="EK48" s="149" t="s">
        <v>290</v>
      </c>
      <c r="EL48" s="149" t="s">
        <v>290</v>
      </c>
      <c r="EM48" s="149" t="s">
        <v>299</v>
      </c>
      <c r="EN48" s="149" t="s">
        <v>300</v>
      </c>
      <c r="EO48" t="s">
        <v>329</v>
      </c>
      <c r="EP48" t="s">
        <v>329</v>
      </c>
      <c r="EQ48" t="s">
        <v>329</v>
      </c>
      <c r="ER48" t="s">
        <v>329</v>
      </c>
      <c r="ES48" s="149" t="s">
        <v>167</v>
      </c>
      <c r="ET48" s="149" t="s">
        <v>313</v>
      </c>
      <c r="EU48" s="149" t="s">
        <v>314</v>
      </c>
      <c r="EV48" s="149" t="s">
        <v>315</v>
      </c>
      <c r="EW48" s="149" t="s">
        <v>316</v>
      </c>
      <c r="EX48" s="149" t="s">
        <v>316</v>
      </c>
      <c r="EY48" s="149" t="s">
        <v>316</v>
      </c>
      <c r="EZ48" s="149" t="s">
        <v>316</v>
      </c>
      <c r="FA48" s="149">
        <v>6.625</v>
      </c>
      <c r="FB48" s="149" t="s">
        <v>296</v>
      </c>
      <c r="FC48" s="149">
        <v>0.875</v>
      </c>
      <c r="FD48" s="149">
        <v>0.875</v>
      </c>
      <c r="FE48">
        <v>7.7388425783666301</v>
      </c>
      <c r="FF48" s="197" t="s">
        <v>301</v>
      </c>
      <c r="FG48" s="211">
        <v>3.4286596935735401E-2</v>
      </c>
      <c r="FH48" s="211">
        <v>3.4286596935735401E-2</v>
      </c>
      <c r="FI48">
        <v>1101.6431811300799</v>
      </c>
      <c r="FJ48" s="197">
        <v>0</v>
      </c>
      <c r="FK48" s="197" t="s">
        <v>302</v>
      </c>
      <c r="FL48">
        <v>1101.6431811300799</v>
      </c>
      <c r="FM48" s="145">
        <v>295.29361817586005</v>
      </c>
      <c r="FN48" s="145">
        <v>238.08530946303199</v>
      </c>
      <c r="FO48" s="198" t="s">
        <v>303</v>
      </c>
      <c r="FP48" s="149" t="s">
        <v>317</v>
      </c>
      <c r="FQ48" s="149">
        <v>2732.9622792108398</v>
      </c>
      <c r="FR48" s="149">
        <v>438.65598828445997</v>
      </c>
      <c r="FS48" s="149">
        <v>411.33522901234994</v>
      </c>
      <c r="FT48" s="149">
        <v>2545.9446951240798</v>
      </c>
      <c r="FU48" s="149">
        <v>433.99938103568002</v>
      </c>
      <c r="FV48" s="149">
        <v>402.24786315330977</v>
      </c>
      <c r="FW48" s="149" t="s">
        <v>305</v>
      </c>
      <c r="FX48" s="149" t="s">
        <v>305</v>
      </c>
      <c r="FY48" s="149" t="s">
        <v>305</v>
      </c>
      <c r="FZ48" s="149" t="s">
        <v>305</v>
      </c>
      <c r="GA48" s="149" t="s">
        <v>305</v>
      </c>
      <c r="GB48" s="149" t="s">
        <v>305</v>
      </c>
      <c r="GC48" s="149" t="s">
        <v>318</v>
      </c>
    </row>
    <row r="49" spans="1:185" ht="17">
      <c r="A49" t="s">
        <v>180</v>
      </c>
      <c r="B49" s="202" t="s">
        <v>181</v>
      </c>
      <c r="C49" t="s">
        <v>168</v>
      </c>
      <c r="D49" t="s">
        <v>182</v>
      </c>
      <c r="E49">
        <v>2020</v>
      </c>
      <c r="F49" t="s">
        <v>183</v>
      </c>
      <c r="G49" s="141">
        <v>39910.953521728516</v>
      </c>
      <c r="H49">
        <v>1</v>
      </c>
      <c r="I49">
        <v>1</v>
      </c>
      <c r="J49">
        <v>876.02534945468801</v>
      </c>
      <c r="K49" s="204">
        <v>232.22045097861201</v>
      </c>
      <c r="L49" s="204">
        <v>181.57359914770302</v>
      </c>
      <c r="M49" s="163" t="b">
        <v>0</v>
      </c>
      <c r="N49" s="163">
        <v>3</v>
      </c>
      <c r="O49" t="s">
        <v>331</v>
      </c>
      <c r="P49" t="s">
        <v>322</v>
      </c>
      <c r="Q49" s="163" t="b">
        <v>1</v>
      </c>
      <c r="R49" s="212" t="s">
        <v>325</v>
      </c>
      <c r="S49" s="163" t="b">
        <v>1</v>
      </c>
      <c r="T49" s="163" t="b">
        <v>0</v>
      </c>
      <c r="U49" s="163" t="s">
        <v>167</v>
      </c>
      <c r="V49" s="163" t="s">
        <v>167</v>
      </c>
      <c r="W49" s="199" t="s">
        <v>167</v>
      </c>
      <c r="X49" s="199" t="s">
        <v>167</v>
      </c>
      <c r="Y49" s="143" t="s">
        <v>184</v>
      </c>
      <c r="Z49" t="s">
        <v>183</v>
      </c>
      <c r="AA49" t="s">
        <v>185</v>
      </c>
      <c r="AB49" t="s">
        <v>186</v>
      </c>
      <c r="AC49">
        <v>6</v>
      </c>
      <c r="AD49">
        <v>2</v>
      </c>
      <c r="AE49" s="141">
        <v>77</v>
      </c>
      <c r="AF49">
        <v>78.5</v>
      </c>
      <c r="AG49" s="146">
        <v>40.477499999999999</v>
      </c>
      <c r="AH49">
        <v>40.477499999999999</v>
      </c>
      <c r="AI49" t="s">
        <v>187</v>
      </c>
      <c r="AJ49" t="s">
        <v>188</v>
      </c>
      <c r="AK49" s="147">
        <v>9.2656670000000005</v>
      </c>
      <c r="AL49" s="147">
        <v>-54.544032999999999</v>
      </c>
      <c r="AM49" s="147">
        <v>0.8</v>
      </c>
      <c r="AN49" s="148" t="s">
        <v>167</v>
      </c>
      <c r="AO49" s="148">
        <v>-2549</v>
      </c>
      <c r="AP49" s="148">
        <v>-2850</v>
      </c>
      <c r="AQ49" t="s">
        <v>189</v>
      </c>
      <c r="AR49" t="s">
        <v>190</v>
      </c>
      <c r="AS49" s="141">
        <v>39910.953521728516</v>
      </c>
      <c r="AT49" t="s">
        <v>206</v>
      </c>
      <c r="AU49">
        <v>1</v>
      </c>
      <c r="AV49">
        <v>1</v>
      </c>
      <c r="AW49" t="s">
        <v>207</v>
      </c>
      <c r="AX49" t="s">
        <v>208</v>
      </c>
      <c r="AY49" s="138" t="s">
        <v>209</v>
      </c>
      <c r="AZ49">
        <v>39.915953125000001</v>
      </c>
      <c r="BA49" t="s">
        <v>167</v>
      </c>
      <c r="BB49" t="s">
        <v>167</v>
      </c>
      <c r="BC49" t="s">
        <v>167</v>
      </c>
      <c r="BD49" t="s">
        <v>207</v>
      </c>
      <c r="BE49" t="s">
        <v>210</v>
      </c>
      <c r="BF49" t="s">
        <v>211</v>
      </c>
      <c r="BG49" t="s">
        <v>216</v>
      </c>
      <c r="BH49" t="s">
        <v>217</v>
      </c>
      <c r="BI49" s="157">
        <v>369</v>
      </c>
      <c r="BJ49" s="158">
        <v>3.9780000000000002</v>
      </c>
      <c r="BK49" t="s">
        <v>219</v>
      </c>
      <c r="BL49" t="s">
        <v>220</v>
      </c>
      <c r="BM49" t="s">
        <v>221</v>
      </c>
      <c r="BN49" t="s">
        <v>229</v>
      </c>
      <c r="BO49">
        <v>2</v>
      </c>
      <c r="BP49" s="140">
        <v>2.8635900266495536E-2</v>
      </c>
      <c r="BQ49" s="139">
        <v>15.0816826879439</v>
      </c>
      <c r="BR49" t="s">
        <v>228</v>
      </c>
      <c r="BS49">
        <v>0.216868805109839</v>
      </c>
      <c r="BT49">
        <v>0.88</v>
      </c>
      <c r="BU49" t="s">
        <v>271</v>
      </c>
      <c r="BV49" t="s">
        <v>271</v>
      </c>
      <c r="BW49" s="163">
        <v>1.85</v>
      </c>
      <c r="BX49" t="s">
        <v>271</v>
      </c>
      <c r="BY49" t="s">
        <v>271</v>
      </c>
      <c r="BZ49" t="s">
        <v>272</v>
      </c>
      <c r="CA49" t="s">
        <v>273</v>
      </c>
      <c r="CB49">
        <v>15.164026363317801</v>
      </c>
      <c r="CC49" t="s">
        <v>274</v>
      </c>
      <c r="CD49" s="165">
        <v>0.2640464053188003</v>
      </c>
      <c r="CE49" t="s">
        <v>326</v>
      </c>
      <c r="CF49" t="s">
        <v>327</v>
      </c>
      <c r="CG49">
        <v>25</v>
      </c>
      <c r="CH49" t="s">
        <v>280</v>
      </c>
      <c r="CI49" t="s">
        <v>280</v>
      </c>
      <c r="CJ49" s="139">
        <v>30.001351533272501</v>
      </c>
      <c r="CK49" t="s">
        <v>281</v>
      </c>
      <c r="CL49" s="140">
        <v>0.61307245311199299</v>
      </c>
      <c r="CM49" s="140">
        <v>0.60514714898958699</v>
      </c>
      <c r="CN49" t="s">
        <v>282</v>
      </c>
      <c r="CO49">
        <v>3.5847105076075398</v>
      </c>
      <c r="CP49" t="s">
        <v>283</v>
      </c>
      <c r="CQ49">
        <v>0.10754131522822619</v>
      </c>
      <c r="CR49">
        <v>0.10754131522822619</v>
      </c>
      <c r="CS49" t="s">
        <v>284</v>
      </c>
      <c r="CT49" t="s">
        <v>167</v>
      </c>
      <c r="CU49" t="s">
        <v>285</v>
      </c>
      <c r="CV49" t="s">
        <v>286</v>
      </c>
      <c r="CW49" t="s">
        <v>280</v>
      </c>
      <c r="CX49" t="s">
        <v>280</v>
      </c>
      <c r="CY49" t="s">
        <v>287</v>
      </c>
      <c r="CZ49" t="s">
        <v>167</v>
      </c>
      <c r="DA49" t="s">
        <v>167</v>
      </c>
      <c r="DB49" t="s">
        <v>167</v>
      </c>
      <c r="DC49" t="s">
        <v>167</v>
      </c>
      <c r="DD49" t="s">
        <v>167</v>
      </c>
      <c r="DE49" t="s">
        <v>167</v>
      </c>
      <c r="DF49" t="s">
        <v>167</v>
      </c>
      <c r="DG49" s="166">
        <v>35</v>
      </c>
      <c r="DH49" t="s">
        <v>288</v>
      </c>
      <c r="DI49">
        <v>1</v>
      </c>
      <c r="DJ49" t="s">
        <v>289</v>
      </c>
      <c r="DK49">
        <v>17</v>
      </c>
      <c r="DL49" t="s">
        <v>290</v>
      </c>
      <c r="DM49" t="s">
        <v>290</v>
      </c>
      <c r="DN49" t="s">
        <v>291</v>
      </c>
      <c r="DO49">
        <v>38</v>
      </c>
      <c r="DP49" t="s">
        <v>290</v>
      </c>
      <c r="DQ49" t="s">
        <v>290</v>
      </c>
      <c r="DR49" t="s">
        <v>291</v>
      </c>
      <c r="DS49" t="s">
        <v>292</v>
      </c>
      <c r="DT49" t="s">
        <v>293</v>
      </c>
      <c r="DU49" t="s">
        <v>293</v>
      </c>
      <c r="DV49" t="s">
        <v>293</v>
      </c>
      <c r="DW49" s="138">
        <v>432.5624421831638</v>
      </c>
      <c r="DX49" t="s">
        <v>294</v>
      </c>
      <c r="DY49" s="138">
        <v>12.358926919519092</v>
      </c>
      <c r="DZ49" t="s">
        <v>295</v>
      </c>
      <c r="EA49">
        <v>38.75</v>
      </c>
      <c r="EB49" t="s">
        <v>296</v>
      </c>
      <c r="EC49">
        <v>0.15</v>
      </c>
      <c r="ED49" t="s">
        <v>328</v>
      </c>
      <c r="EE49" t="s">
        <v>329</v>
      </c>
      <c r="EF49" t="s">
        <v>297</v>
      </c>
      <c r="EG49">
        <v>1.0271999999999999</v>
      </c>
      <c r="EH49" t="s">
        <v>290</v>
      </c>
      <c r="EI49" t="s">
        <v>290</v>
      </c>
      <c r="EJ49" t="s">
        <v>298</v>
      </c>
      <c r="EK49" t="s">
        <v>290</v>
      </c>
      <c r="EL49" t="s">
        <v>290</v>
      </c>
      <c r="EM49" t="s">
        <v>299</v>
      </c>
      <c r="EN49" t="s">
        <v>300</v>
      </c>
      <c r="EO49" t="s">
        <v>329</v>
      </c>
      <c r="EP49" t="s">
        <v>329</v>
      </c>
      <c r="EQ49" t="s">
        <v>329</v>
      </c>
      <c r="ER49" t="s">
        <v>329</v>
      </c>
      <c r="ES49" t="s">
        <v>167</v>
      </c>
      <c r="ET49" t="s">
        <v>313</v>
      </c>
      <c r="EU49" t="s">
        <v>314</v>
      </c>
      <c r="EV49" t="s">
        <v>315</v>
      </c>
      <c r="EW49" t="s">
        <v>316</v>
      </c>
      <c r="EX49" t="s">
        <v>316</v>
      </c>
      <c r="EY49" t="s">
        <v>316</v>
      </c>
      <c r="EZ49" t="s">
        <v>316</v>
      </c>
      <c r="FA49">
        <v>6.625</v>
      </c>
      <c r="FB49" t="s">
        <v>296</v>
      </c>
      <c r="FC49">
        <v>0.875</v>
      </c>
      <c r="FD49">
        <v>0.875</v>
      </c>
      <c r="FE49">
        <v>7.79228900549899</v>
      </c>
      <c r="FF49" s="164" t="s">
        <v>301</v>
      </c>
      <c r="FG49" s="168">
        <v>3.1641638202559198E-2</v>
      </c>
      <c r="FH49" s="168">
        <v>3.1641638202559198E-2</v>
      </c>
      <c r="FI49">
        <v>876.02534945468801</v>
      </c>
      <c r="FJ49" s="164">
        <v>0</v>
      </c>
      <c r="FK49" s="164" t="s">
        <v>302</v>
      </c>
      <c r="FL49">
        <v>876.02534945468801</v>
      </c>
      <c r="FM49" s="141">
        <v>232.22045097861201</v>
      </c>
      <c r="FN49" s="141">
        <v>181.57359914770302</v>
      </c>
      <c r="FO49" s="170" t="s">
        <v>303</v>
      </c>
      <c r="FP49" t="s">
        <v>317</v>
      </c>
      <c r="FQ49">
        <v>2521.20007671248</v>
      </c>
      <c r="FR49">
        <v>400.70034493488009</v>
      </c>
      <c r="FS49">
        <v>372.98552461451993</v>
      </c>
      <c r="FT49">
        <v>2326.76150233115</v>
      </c>
      <c r="FU49">
        <v>392.43908405938021</v>
      </c>
      <c r="FV49">
        <v>369.13914012600986</v>
      </c>
      <c r="FW49" t="s">
        <v>305</v>
      </c>
      <c r="FX49" t="s">
        <v>305</v>
      </c>
      <c r="FY49" t="s">
        <v>305</v>
      </c>
      <c r="FZ49" t="s">
        <v>305</v>
      </c>
      <c r="GA49" t="s">
        <v>305</v>
      </c>
      <c r="GB49" t="s">
        <v>305</v>
      </c>
      <c r="GC49" t="s">
        <v>318</v>
      </c>
    </row>
    <row r="50" spans="1:185" ht="17">
      <c r="A50" t="s">
        <v>180</v>
      </c>
      <c r="B50" s="202" t="s">
        <v>181</v>
      </c>
      <c r="C50" t="s">
        <v>168</v>
      </c>
      <c r="D50" t="s">
        <v>182</v>
      </c>
      <c r="E50">
        <v>2020</v>
      </c>
      <c r="F50" t="s">
        <v>183</v>
      </c>
      <c r="G50" s="141">
        <v>39982.666015625</v>
      </c>
      <c r="H50">
        <v>1</v>
      </c>
      <c r="I50">
        <v>1</v>
      </c>
      <c r="J50">
        <v>856.80252526439597</v>
      </c>
      <c r="K50" s="204">
        <v>221.26441492672404</v>
      </c>
      <c r="L50" s="204">
        <v>174.439098172635</v>
      </c>
      <c r="M50" s="163" t="b">
        <v>0</v>
      </c>
      <c r="N50" s="163">
        <v>3</v>
      </c>
      <c r="O50" t="s">
        <v>331</v>
      </c>
      <c r="P50" t="s">
        <v>322</v>
      </c>
      <c r="Q50" s="163" t="b">
        <v>1</v>
      </c>
      <c r="R50" s="212" t="s">
        <v>325</v>
      </c>
      <c r="S50" s="163" t="b">
        <v>1</v>
      </c>
      <c r="T50" s="163" t="b">
        <v>0</v>
      </c>
      <c r="U50" s="163" t="s">
        <v>167</v>
      </c>
      <c r="V50" s="163" t="s">
        <v>167</v>
      </c>
      <c r="W50" s="199" t="s">
        <v>167</v>
      </c>
      <c r="X50" s="199" t="s">
        <v>167</v>
      </c>
      <c r="Y50" s="143" t="s">
        <v>184</v>
      </c>
      <c r="Z50" t="s">
        <v>183</v>
      </c>
      <c r="AA50" t="s">
        <v>185</v>
      </c>
      <c r="AB50" t="s">
        <v>186</v>
      </c>
      <c r="AC50">
        <v>6</v>
      </c>
      <c r="AD50">
        <v>3</v>
      </c>
      <c r="AE50">
        <v>77</v>
      </c>
      <c r="AF50">
        <v>78.5</v>
      </c>
      <c r="AG50" s="146">
        <v>41.977499999999999</v>
      </c>
      <c r="AH50">
        <v>41.977499999999999</v>
      </c>
      <c r="AI50" t="s">
        <v>187</v>
      </c>
      <c r="AJ50" t="s">
        <v>188</v>
      </c>
      <c r="AK50" s="147">
        <v>9.2656670000000005</v>
      </c>
      <c r="AL50" s="147">
        <v>-54.544032999999999</v>
      </c>
      <c r="AM50" s="147">
        <v>0.8</v>
      </c>
      <c r="AN50" s="148" t="s">
        <v>167</v>
      </c>
      <c r="AO50" s="148">
        <v>-2549</v>
      </c>
      <c r="AP50" s="148">
        <v>-2850</v>
      </c>
      <c r="AQ50" t="s">
        <v>189</v>
      </c>
      <c r="AR50" t="s">
        <v>190</v>
      </c>
      <c r="AS50" s="141">
        <v>39982.666015625</v>
      </c>
      <c r="AT50" t="s">
        <v>206</v>
      </c>
      <c r="AU50">
        <v>1</v>
      </c>
      <c r="AV50">
        <v>1</v>
      </c>
      <c r="AW50" t="s">
        <v>207</v>
      </c>
      <c r="AX50" t="s">
        <v>208</v>
      </c>
      <c r="AY50" s="138" t="s">
        <v>209</v>
      </c>
      <c r="AZ50">
        <v>39.983695312499997</v>
      </c>
      <c r="BA50" t="s">
        <v>167</v>
      </c>
      <c r="BB50" t="s">
        <v>167</v>
      </c>
      <c r="BC50" t="s">
        <v>167</v>
      </c>
      <c r="BD50" t="s">
        <v>207</v>
      </c>
      <c r="BE50" t="s">
        <v>210</v>
      </c>
      <c r="BF50" t="s">
        <v>211</v>
      </c>
      <c r="BG50" t="s">
        <v>216</v>
      </c>
      <c r="BH50" t="s">
        <v>217</v>
      </c>
      <c r="BI50" s="157">
        <v>343</v>
      </c>
      <c r="BJ50" s="158">
        <v>3.9119999999999999</v>
      </c>
      <c r="BK50" t="s">
        <v>219</v>
      </c>
      <c r="BL50" t="s">
        <v>220</v>
      </c>
      <c r="BM50" t="s">
        <v>221</v>
      </c>
      <c r="BN50" t="s">
        <v>230</v>
      </c>
      <c r="BO50">
        <v>2</v>
      </c>
      <c r="BP50" s="140">
        <v>1.1218428802209244E-2</v>
      </c>
      <c r="BQ50" s="139">
        <v>15.0832091925013</v>
      </c>
      <c r="BR50" t="s">
        <v>228</v>
      </c>
      <c r="BS50">
        <v>0.23231578006946199</v>
      </c>
      <c r="BT50">
        <v>0.88</v>
      </c>
      <c r="BU50" t="s">
        <v>271</v>
      </c>
      <c r="BV50" t="s">
        <v>271</v>
      </c>
      <c r="BW50" s="163">
        <v>1.85</v>
      </c>
      <c r="BX50" t="s">
        <v>271</v>
      </c>
      <c r="BY50" t="s">
        <v>271</v>
      </c>
      <c r="BZ50" t="s">
        <v>272</v>
      </c>
      <c r="CA50" t="s">
        <v>273</v>
      </c>
      <c r="CB50">
        <v>15.1590211033832</v>
      </c>
      <c r="CC50" t="s">
        <v>274</v>
      </c>
      <c r="CD50" s="165">
        <v>0.26659034192844988</v>
      </c>
      <c r="CE50" t="s">
        <v>326</v>
      </c>
      <c r="CF50" t="s">
        <v>327</v>
      </c>
      <c r="CG50">
        <v>25</v>
      </c>
      <c r="CH50" t="s">
        <v>280</v>
      </c>
      <c r="CI50" t="s">
        <v>280</v>
      </c>
      <c r="CJ50" s="139">
        <v>28.682492073000301</v>
      </c>
      <c r="CK50" t="s">
        <v>281</v>
      </c>
      <c r="CL50" s="140">
        <v>0.62654955039274496</v>
      </c>
      <c r="CM50" s="140">
        <v>0.58833051281905202</v>
      </c>
      <c r="CN50" t="s">
        <v>282</v>
      </c>
      <c r="CO50">
        <v>3.2988223896752</v>
      </c>
      <c r="CP50" t="s">
        <v>283</v>
      </c>
      <c r="CQ50">
        <v>9.8964671690255995E-2</v>
      </c>
      <c r="CR50">
        <v>9.8964671690255995E-2</v>
      </c>
      <c r="CS50" t="s">
        <v>284</v>
      </c>
      <c r="CT50" t="s">
        <v>167</v>
      </c>
      <c r="CU50" t="s">
        <v>285</v>
      </c>
      <c r="CV50" t="s">
        <v>286</v>
      </c>
      <c r="CW50" t="s">
        <v>280</v>
      </c>
      <c r="CX50" t="s">
        <v>280</v>
      </c>
      <c r="CY50" t="s">
        <v>287</v>
      </c>
      <c r="CZ50" t="s">
        <v>167</v>
      </c>
      <c r="DA50" t="s">
        <v>167</v>
      </c>
      <c r="DB50" t="s">
        <v>167</v>
      </c>
      <c r="DC50" t="s">
        <v>167</v>
      </c>
      <c r="DD50" t="s">
        <v>167</v>
      </c>
      <c r="DE50" t="s">
        <v>167</v>
      </c>
      <c r="DF50" t="s">
        <v>167</v>
      </c>
      <c r="DG50" s="166">
        <v>35</v>
      </c>
      <c r="DH50" t="s">
        <v>288</v>
      </c>
      <c r="DI50">
        <v>1</v>
      </c>
      <c r="DJ50" t="s">
        <v>289</v>
      </c>
      <c r="DK50">
        <v>17</v>
      </c>
      <c r="DL50" t="s">
        <v>290</v>
      </c>
      <c r="DM50" t="s">
        <v>290</v>
      </c>
      <c r="DN50" t="s">
        <v>291</v>
      </c>
      <c r="DO50">
        <v>38</v>
      </c>
      <c r="DP50" t="s">
        <v>290</v>
      </c>
      <c r="DQ50" t="s">
        <v>290</v>
      </c>
      <c r="DR50" t="s">
        <v>291</v>
      </c>
      <c r="DS50" t="s">
        <v>292</v>
      </c>
      <c r="DT50" t="s">
        <v>293</v>
      </c>
      <c r="DU50" t="s">
        <v>293</v>
      </c>
      <c r="DV50" t="s">
        <v>293</v>
      </c>
      <c r="DW50" s="138">
        <v>432.5624421831638</v>
      </c>
      <c r="DX50" t="s">
        <v>294</v>
      </c>
      <c r="DY50" s="138">
        <v>12.358926919519092</v>
      </c>
      <c r="DZ50" t="s">
        <v>295</v>
      </c>
      <c r="EA50">
        <v>38.75</v>
      </c>
      <c r="EB50" t="s">
        <v>296</v>
      </c>
      <c r="EC50">
        <v>0.15</v>
      </c>
      <c r="ED50" t="s">
        <v>328</v>
      </c>
      <c r="EE50" t="s">
        <v>329</v>
      </c>
      <c r="EF50" t="s">
        <v>297</v>
      </c>
      <c r="EG50">
        <v>1.0271999999999999</v>
      </c>
      <c r="EH50" t="s">
        <v>290</v>
      </c>
      <c r="EI50" t="s">
        <v>290</v>
      </c>
      <c r="EJ50" t="s">
        <v>298</v>
      </c>
      <c r="EK50" t="s">
        <v>290</v>
      </c>
      <c r="EL50" t="s">
        <v>290</v>
      </c>
      <c r="EM50" t="s">
        <v>299</v>
      </c>
      <c r="EN50" t="s">
        <v>300</v>
      </c>
      <c r="EO50" t="s">
        <v>329</v>
      </c>
      <c r="EP50" t="s">
        <v>329</v>
      </c>
      <c r="EQ50" t="s">
        <v>329</v>
      </c>
      <c r="ER50" t="s">
        <v>329</v>
      </c>
      <c r="ES50" t="s">
        <v>167</v>
      </c>
      <c r="ET50" t="s">
        <v>313</v>
      </c>
      <c r="EU50" t="s">
        <v>314</v>
      </c>
      <c r="EV50" t="s">
        <v>315</v>
      </c>
      <c r="EW50" t="s">
        <v>316</v>
      </c>
      <c r="EX50" t="s">
        <v>316</v>
      </c>
      <c r="EY50" t="s">
        <v>316</v>
      </c>
      <c r="EZ50" t="s">
        <v>316</v>
      </c>
      <c r="FA50">
        <v>6.625</v>
      </c>
      <c r="FB50" t="s">
        <v>296</v>
      </c>
      <c r="FC50">
        <v>0.875</v>
      </c>
      <c r="FD50">
        <v>0.875</v>
      </c>
      <c r="FE50">
        <v>7.8071244356798699</v>
      </c>
      <c r="FF50" s="164" t="s">
        <v>301</v>
      </c>
      <c r="FG50" s="168">
        <v>3.2929114886703803E-2</v>
      </c>
      <c r="FH50" s="168">
        <v>3.2929114886703803E-2</v>
      </c>
      <c r="FI50">
        <v>856.80252526439597</v>
      </c>
      <c r="FJ50" s="164">
        <v>0</v>
      </c>
      <c r="FK50" s="164" t="s">
        <v>302</v>
      </c>
      <c r="FL50">
        <v>856.80252526439597</v>
      </c>
      <c r="FM50" s="141">
        <v>221.26441492672404</v>
      </c>
      <c r="FN50" s="141">
        <v>174.439098172635</v>
      </c>
      <c r="FO50" s="170" t="s">
        <v>303</v>
      </c>
      <c r="FP50" t="s">
        <v>317</v>
      </c>
      <c r="FQ50">
        <v>2551.77281992404</v>
      </c>
      <c r="FR50">
        <v>415.84543490137986</v>
      </c>
      <c r="FS50">
        <v>388.88709025817991</v>
      </c>
      <c r="FT50">
        <v>2353.3619480795101</v>
      </c>
      <c r="FU50">
        <v>415.05866940466996</v>
      </c>
      <c r="FV50">
        <v>380.43444592622978</v>
      </c>
      <c r="FW50" t="s">
        <v>305</v>
      </c>
      <c r="FX50" t="s">
        <v>305</v>
      </c>
      <c r="FY50" t="s">
        <v>305</v>
      </c>
      <c r="FZ50" t="s">
        <v>305</v>
      </c>
      <c r="GA50" t="s">
        <v>305</v>
      </c>
      <c r="GB50" t="s">
        <v>305</v>
      </c>
      <c r="GC50" t="s">
        <v>318</v>
      </c>
    </row>
    <row r="51" spans="1:185" ht="17">
      <c r="A51" t="s">
        <v>180</v>
      </c>
      <c r="B51" s="202" t="s">
        <v>181</v>
      </c>
      <c r="C51" t="s">
        <v>168</v>
      </c>
      <c r="D51" t="s">
        <v>182</v>
      </c>
      <c r="E51">
        <v>2020</v>
      </c>
      <c r="F51" t="s">
        <v>183</v>
      </c>
      <c r="G51" s="141">
        <v>40061.538696289062</v>
      </c>
      <c r="H51">
        <v>1</v>
      </c>
      <c r="I51">
        <v>1</v>
      </c>
      <c r="J51">
        <v>1220.31686478195</v>
      </c>
      <c r="K51" s="204">
        <v>355.1400047392799</v>
      </c>
      <c r="L51" s="204">
        <v>252.05699971756906</v>
      </c>
      <c r="M51" s="163" t="b">
        <v>0</v>
      </c>
      <c r="N51" s="163">
        <v>3</v>
      </c>
      <c r="O51" t="s">
        <v>331</v>
      </c>
      <c r="P51" t="s">
        <v>322</v>
      </c>
      <c r="Q51" s="163" t="b">
        <v>1</v>
      </c>
      <c r="R51" s="212" t="s">
        <v>325</v>
      </c>
      <c r="S51" s="163" t="b">
        <v>1</v>
      </c>
      <c r="T51" s="163" t="b">
        <v>0</v>
      </c>
      <c r="U51" s="163" t="s">
        <v>167</v>
      </c>
      <c r="V51" s="163" t="s">
        <v>167</v>
      </c>
      <c r="W51" s="199" t="s">
        <v>167</v>
      </c>
      <c r="X51" s="199" t="s">
        <v>167</v>
      </c>
      <c r="Y51" s="143" t="s">
        <v>184</v>
      </c>
      <c r="Z51" t="s">
        <v>183</v>
      </c>
      <c r="AA51" t="s">
        <v>185</v>
      </c>
      <c r="AB51" t="s">
        <v>186</v>
      </c>
      <c r="AC51">
        <v>6</v>
      </c>
      <c r="AD51">
        <v>4</v>
      </c>
      <c r="AE51">
        <v>67</v>
      </c>
      <c r="AF51">
        <v>78.5</v>
      </c>
      <c r="AG51" s="146">
        <v>43.427500000000002</v>
      </c>
      <c r="AH51">
        <v>43.427500000000002</v>
      </c>
      <c r="AI51" t="s">
        <v>187</v>
      </c>
      <c r="AJ51" t="s">
        <v>188</v>
      </c>
      <c r="AK51" s="147">
        <v>9.2656670000000005</v>
      </c>
      <c r="AL51" s="147">
        <v>-54.544032999999999</v>
      </c>
      <c r="AM51" s="147">
        <v>0.8</v>
      </c>
      <c r="AN51" s="148" t="s">
        <v>167</v>
      </c>
      <c r="AO51" s="148">
        <v>-2549</v>
      </c>
      <c r="AP51" s="148">
        <v>-2850</v>
      </c>
      <c r="AQ51" t="s">
        <v>189</v>
      </c>
      <c r="AR51" t="s">
        <v>190</v>
      </c>
      <c r="AS51" s="141">
        <v>40061.538696289062</v>
      </c>
      <c r="AT51" t="s">
        <v>206</v>
      </c>
      <c r="AU51">
        <v>1</v>
      </c>
      <c r="AV51">
        <v>1</v>
      </c>
      <c r="AW51" t="s">
        <v>207</v>
      </c>
      <c r="AX51" t="s">
        <v>208</v>
      </c>
      <c r="AY51" s="138" t="s">
        <v>209</v>
      </c>
      <c r="AZ51">
        <v>40.04917578125</v>
      </c>
      <c r="BA51" t="s">
        <v>167</v>
      </c>
      <c r="BB51" t="s">
        <v>167</v>
      </c>
      <c r="BC51" t="s">
        <v>167</v>
      </c>
      <c r="BD51" t="s">
        <v>207</v>
      </c>
      <c r="BE51" t="s">
        <v>210</v>
      </c>
      <c r="BF51" t="s">
        <v>211</v>
      </c>
      <c r="BG51" t="s">
        <v>216</v>
      </c>
      <c r="BH51" t="s">
        <v>217</v>
      </c>
      <c r="BI51" s="157">
        <v>184</v>
      </c>
      <c r="BJ51" s="158">
        <v>1.782</v>
      </c>
      <c r="BK51" t="s">
        <v>219</v>
      </c>
      <c r="BL51" t="s">
        <v>220</v>
      </c>
      <c r="BM51" t="s">
        <v>221</v>
      </c>
      <c r="BN51" t="s">
        <v>231</v>
      </c>
      <c r="BO51">
        <v>2</v>
      </c>
      <c r="BP51" s="140">
        <v>1.7976348343292869E-2</v>
      </c>
      <c r="BQ51" s="139">
        <v>14.564587436053801</v>
      </c>
      <c r="BR51" t="s">
        <v>228</v>
      </c>
      <c r="BS51">
        <v>0.24700593412319299</v>
      </c>
      <c r="BT51">
        <v>0.88</v>
      </c>
      <c r="BU51" t="s">
        <v>271</v>
      </c>
      <c r="BV51" t="s">
        <v>271</v>
      </c>
      <c r="BW51" s="163">
        <v>1.85</v>
      </c>
      <c r="BX51" t="s">
        <v>271</v>
      </c>
      <c r="BY51" t="s">
        <v>271</v>
      </c>
      <c r="BZ51" t="s">
        <v>272</v>
      </c>
      <c r="CA51" t="s">
        <v>273</v>
      </c>
      <c r="CB51">
        <v>14.5619540256004</v>
      </c>
      <c r="CC51" t="s">
        <v>274</v>
      </c>
      <c r="CD51" s="165">
        <v>0.2742189038038001</v>
      </c>
      <c r="CE51" t="s">
        <v>326</v>
      </c>
      <c r="CF51" t="s">
        <v>327</v>
      </c>
      <c r="CG51">
        <v>25</v>
      </c>
      <c r="CH51" t="s">
        <v>280</v>
      </c>
      <c r="CI51" t="s">
        <v>280</v>
      </c>
      <c r="CJ51" s="139">
        <v>27.741484971839299</v>
      </c>
      <c r="CK51" t="s">
        <v>281</v>
      </c>
      <c r="CL51" s="140">
        <v>0.66298860204977605</v>
      </c>
      <c r="CM51" s="140">
        <v>0.60758422748585905</v>
      </c>
      <c r="CN51" t="s">
        <v>282</v>
      </c>
      <c r="CO51">
        <v>3.2522327185689699</v>
      </c>
      <c r="CP51" t="s">
        <v>283</v>
      </c>
      <c r="CQ51">
        <v>9.7566981557069096E-2</v>
      </c>
      <c r="CR51">
        <v>9.7566981557069096E-2</v>
      </c>
      <c r="CS51" t="s">
        <v>284</v>
      </c>
      <c r="CT51" t="s">
        <v>167</v>
      </c>
      <c r="CU51" t="s">
        <v>285</v>
      </c>
      <c r="CV51" t="s">
        <v>286</v>
      </c>
      <c r="CW51" t="s">
        <v>280</v>
      </c>
      <c r="CX51" t="s">
        <v>280</v>
      </c>
      <c r="CY51" t="s">
        <v>287</v>
      </c>
      <c r="CZ51" t="s">
        <v>167</v>
      </c>
      <c r="DA51" t="s">
        <v>167</v>
      </c>
      <c r="DB51" t="s">
        <v>167</v>
      </c>
      <c r="DC51" t="s">
        <v>167</v>
      </c>
      <c r="DD51" t="s">
        <v>167</v>
      </c>
      <c r="DE51" t="s">
        <v>167</v>
      </c>
      <c r="DF51" t="s">
        <v>167</v>
      </c>
      <c r="DG51" s="166">
        <v>35</v>
      </c>
      <c r="DH51" t="s">
        <v>288</v>
      </c>
      <c r="DI51">
        <v>1</v>
      </c>
      <c r="DJ51" t="s">
        <v>289</v>
      </c>
      <c r="DK51">
        <v>17</v>
      </c>
      <c r="DL51" t="s">
        <v>290</v>
      </c>
      <c r="DM51" t="s">
        <v>290</v>
      </c>
      <c r="DN51" t="s">
        <v>291</v>
      </c>
      <c r="DO51">
        <v>38</v>
      </c>
      <c r="DP51" t="s">
        <v>290</v>
      </c>
      <c r="DQ51" t="s">
        <v>290</v>
      </c>
      <c r="DR51" t="s">
        <v>291</v>
      </c>
      <c r="DS51" t="s">
        <v>292</v>
      </c>
      <c r="DT51" t="s">
        <v>293</v>
      </c>
      <c r="DU51" t="s">
        <v>293</v>
      </c>
      <c r="DV51" t="s">
        <v>293</v>
      </c>
      <c r="DW51" s="138">
        <v>432.56244218316402</v>
      </c>
      <c r="DX51" t="s">
        <v>294</v>
      </c>
      <c r="DY51" s="138">
        <v>12.3589269195193</v>
      </c>
      <c r="DZ51" t="s">
        <v>295</v>
      </c>
      <c r="EA51">
        <v>38.75</v>
      </c>
      <c r="EB51" t="s">
        <v>296</v>
      </c>
      <c r="EC51">
        <v>0.15</v>
      </c>
      <c r="ED51" t="s">
        <v>328</v>
      </c>
      <c r="EE51" t="s">
        <v>329</v>
      </c>
      <c r="EF51" t="s">
        <v>297</v>
      </c>
      <c r="EG51">
        <v>1.0271999999999999</v>
      </c>
      <c r="EH51" t="s">
        <v>290</v>
      </c>
      <c r="EI51" t="s">
        <v>290</v>
      </c>
      <c r="EJ51" t="s">
        <v>298</v>
      </c>
      <c r="EK51" t="s">
        <v>290</v>
      </c>
      <c r="EL51" t="s">
        <v>290</v>
      </c>
      <c r="EM51" t="s">
        <v>299</v>
      </c>
      <c r="EN51" t="s">
        <v>300</v>
      </c>
      <c r="EO51" t="s">
        <v>329</v>
      </c>
      <c r="EP51" t="s">
        <v>329</v>
      </c>
      <c r="EQ51" t="s">
        <v>329</v>
      </c>
      <c r="ER51" t="s">
        <v>329</v>
      </c>
      <c r="ES51" t="s">
        <v>167</v>
      </c>
      <c r="ET51" t="s">
        <v>313</v>
      </c>
      <c r="EU51" t="s">
        <v>314</v>
      </c>
      <c r="EV51" t="s">
        <v>315</v>
      </c>
      <c r="EW51" t="s">
        <v>316</v>
      </c>
      <c r="EX51" t="s">
        <v>316</v>
      </c>
      <c r="EY51" t="s">
        <v>316</v>
      </c>
      <c r="EZ51" t="s">
        <v>316</v>
      </c>
      <c r="FA51">
        <v>6.625</v>
      </c>
      <c r="FB51" t="s">
        <v>296</v>
      </c>
      <c r="FC51">
        <v>0.875</v>
      </c>
      <c r="FD51">
        <v>0.875</v>
      </c>
      <c r="FE51">
        <v>7.7366602298309903</v>
      </c>
      <c r="FF51" s="164" t="s">
        <v>301</v>
      </c>
      <c r="FG51" s="154">
        <v>3.5568013260197803E-2</v>
      </c>
      <c r="FH51" s="154">
        <v>3.5568013260197803E-2</v>
      </c>
      <c r="FI51">
        <v>1220.31686478195</v>
      </c>
      <c r="FJ51" s="164">
        <v>0</v>
      </c>
      <c r="FK51" s="164" t="s">
        <v>302</v>
      </c>
      <c r="FL51">
        <v>1220.31686478195</v>
      </c>
      <c r="FM51" s="141">
        <v>355.1400047392799</v>
      </c>
      <c r="FN51" s="141">
        <v>252.05699971756906</v>
      </c>
      <c r="FO51" s="170" t="s">
        <v>303</v>
      </c>
      <c r="FP51" t="s">
        <v>317</v>
      </c>
      <c r="FQ51">
        <v>3024.7896452624</v>
      </c>
      <c r="FR51">
        <v>535.61041973116016</v>
      </c>
      <c r="FS51">
        <v>466.07846542818987</v>
      </c>
      <c r="FT51">
        <v>2850.2481172981402</v>
      </c>
      <c r="FU51">
        <v>541.96383936022016</v>
      </c>
      <c r="FV51">
        <v>459.57259007210024</v>
      </c>
      <c r="FW51" t="s">
        <v>305</v>
      </c>
      <c r="FX51" t="s">
        <v>305</v>
      </c>
      <c r="FY51" t="s">
        <v>305</v>
      </c>
      <c r="FZ51" t="s">
        <v>305</v>
      </c>
      <c r="GA51" t="s">
        <v>305</v>
      </c>
      <c r="GB51" t="s">
        <v>305</v>
      </c>
      <c r="GC51" t="s">
        <v>318</v>
      </c>
    </row>
    <row r="52" spans="1:185" ht="17">
      <c r="A52" t="s">
        <v>180</v>
      </c>
      <c r="B52" s="202" t="s">
        <v>181</v>
      </c>
      <c r="C52" t="s">
        <v>168</v>
      </c>
      <c r="D52" t="s">
        <v>182</v>
      </c>
      <c r="E52">
        <v>2020</v>
      </c>
      <c r="F52" t="s">
        <v>183</v>
      </c>
      <c r="G52" s="141">
        <v>40110.877990722656</v>
      </c>
      <c r="H52">
        <v>1</v>
      </c>
      <c r="I52">
        <v>1</v>
      </c>
      <c r="J52">
        <v>1211.1129762478299</v>
      </c>
      <c r="K52" s="204">
        <v>356.16786965955998</v>
      </c>
      <c r="L52" s="204">
        <v>259.67363274554987</v>
      </c>
      <c r="M52" s="163" t="b">
        <v>0</v>
      </c>
      <c r="N52" s="163">
        <v>3</v>
      </c>
      <c r="O52" t="s">
        <v>331</v>
      </c>
      <c r="P52" t="s">
        <v>322</v>
      </c>
      <c r="Q52" s="163" t="b">
        <v>1</v>
      </c>
      <c r="R52" s="212" t="s">
        <v>325</v>
      </c>
      <c r="S52" s="163" t="b">
        <v>1</v>
      </c>
      <c r="T52" s="163" t="b">
        <v>0</v>
      </c>
      <c r="U52" s="163" t="s">
        <v>167</v>
      </c>
      <c r="V52" s="163" t="s">
        <v>167</v>
      </c>
      <c r="W52" s="199" t="s">
        <v>167</v>
      </c>
      <c r="X52" s="199" t="s">
        <v>167</v>
      </c>
      <c r="Y52" s="143" t="s">
        <v>184</v>
      </c>
      <c r="Z52" t="s">
        <v>183</v>
      </c>
      <c r="AA52" t="s">
        <v>185</v>
      </c>
      <c r="AB52" t="s">
        <v>186</v>
      </c>
      <c r="AC52">
        <v>6</v>
      </c>
      <c r="AD52">
        <v>5</v>
      </c>
      <c r="AE52">
        <v>7</v>
      </c>
      <c r="AF52">
        <v>8.5</v>
      </c>
      <c r="AG52" s="146">
        <v>44.277500000000003</v>
      </c>
      <c r="AH52">
        <v>44.277500000000003</v>
      </c>
      <c r="AI52" t="s">
        <v>187</v>
      </c>
      <c r="AJ52" t="s">
        <v>188</v>
      </c>
      <c r="AK52" s="147">
        <v>9.2656670000000005</v>
      </c>
      <c r="AL52" s="147">
        <v>-54.544032999999999</v>
      </c>
      <c r="AM52" s="147">
        <v>0.8</v>
      </c>
      <c r="AN52" s="148" t="s">
        <v>167</v>
      </c>
      <c r="AO52" s="148">
        <v>-2549</v>
      </c>
      <c r="AP52" s="148">
        <v>-2850</v>
      </c>
      <c r="AQ52" t="s">
        <v>189</v>
      </c>
      <c r="AR52" t="s">
        <v>190</v>
      </c>
      <c r="AS52" s="141">
        <v>40110.877990722656</v>
      </c>
      <c r="AT52" t="s">
        <v>206</v>
      </c>
      <c r="AU52">
        <v>1</v>
      </c>
      <c r="AV52">
        <v>1</v>
      </c>
      <c r="AW52" t="s">
        <v>207</v>
      </c>
      <c r="AX52" t="s">
        <v>208</v>
      </c>
      <c r="AY52" s="138" t="s">
        <v>209</v>
      </c>
      <c r="AZ52">
        <v>40.087566406249998</v>
      </c>
      <c r="BA52" t="s">
        <v>167</v>
      </c>
      <c r="BB52" t="s">
        <v>167</v>
      </c>
      <c r="BC52" t="s">
        <v>167</v>
      </c>
      <c r="BD52" t="s">
        <v>207</v>
      </c>
      <c r="BE52" t="s">
        <v>210</v>
      </c>
      <c r="BF52" t="s">
        <v>211</v>
      </c>
      <c r="BG52" t="s">
        <v>216</v>
      </c>
      <c r="BH52" t="s">
        <v>217</v>
      </c>
      <c r="BI52" s="157">
        <v>308</v>
      </c>
      <c r="BJ52" s="158">
        <v>3.6960000000000002</v>
      </c>
      <c r="BK52" t="s">
        <v>219</v>
      </c>
      <c r="BL52" t="s">
        <v>220</v>
      </c>
      <c r="BM52" t="s">
        <v>221</v>
      </c>
      <c r="BN52" t="s">
        <v>232</v>
      </c>
      <c r="BO52">
        <v>2</v>
      </c>
      <c r="BP52" s="140">
        <v>0.13977055823046489</v>
      </c>
      <c r="BQ52" s="139">
        <v>14.6850925764235</v>
      </c>
      <c r="BR52" t="s">
        <v>228</v>
      </c>
      <c r="BS52">
        <v>0.22685732109957599</v>
      </c>
      <c r="BT52">
        <v>0.88</v>
      </c>
      <c r="BU52" t="s">
        <v>271</v>
      </c>
      <c r="BV52" t="s">
        <v>271</v>
      </c>
      <c r="BW52" s="163">
        <v>1.85</v>
      </c>
      <c r="BX52" t="s">
        <v>271</v>
      </c>
      <c r="BY52" t="s">
        <v>271</v>
      </c>
      <c r="BZ52" t="s">
        <v>272</v>
      </c>
      <c r="CA52" t="s">
        <v>273</v>
      </c>
      <c r="CB52">
        <v>14.7092392791425</v>
      </c>
      <c r="CC52" t="s">
        <v>274</v>
      </c>
      <c r="CD52" s="165">
        <v>0.26695196526304965</v>
      </c>
      <c r="CE52" t="s">
        <v>326</v>
      </c>
      <c r="CF52" t="s">
        <v>327</v>
      </c>
      <c r="CG52">
        <v>25</v>
      </c>
      <c r="CH52" t="s">
        <v>280</v>
      </c>
      <c r="CI52" t="s">
        <v>280</v>
      </c>
      <c r="CJ52" s="139">
        <v>32.183422190586199</v>
      </c>
      <c r="CK52" t="s">
        <v>281</v>
      </c>
      <c r="CL52" s="140">
        <v>0.63602442980875995</v>
      </c>
      <c r="CM52" s="140">
        <v>0.58471185076744403</v>
      </c>
      <c r="CN52" t="s">
        <v>282</v>
      </c>
      <c r="CO52">
        <v>4.2620540789519401</v>
      </c>
      <c r="CP52" t="s">
        <v>283</v>
      </c>
      <c r="CQ52">
        <v>0.12786162236855819</v>
      </c>
      <c r="CR52">
        <v>0.12786162236855819</v>
      </c>
      <c r="CS52" t="s">
        <v>284</v>
      </c>
      <c r="CT52" t="s">
        <v>167</v>
      </c>
      <c r="CU52" t="s">
        <v>285</v>
      </c>
      <c r="CV52" t="s">
        <v>286</v>
      </c>
      <c r="CW52" t="s">
        <v>280</v>
      </c>
      <c r="CX52" t="s">
        <v>280</v>
      </c>
      <c r="CY52" t="s">
        <v>287</v>
      </c>
      <c r="CZ52" t="s">
        <v>167</v>
      </c>
      <c r="DA52" t="s">
        <v>167</v>
      </c>
      <c r="DB52" t="s">
        <v>167</v>
      </c>
      <c r="DC52" t="s">
        <v>167</v>
      </c>
      <c r="DD52" t="s">
        <v>167</v>
      </c>
      <c r="DE52" t="s">
        <v>167</v>
      </c>
      <c r="DF52" t="s">
        <v>167</v>
      </c>
      <c r="DG52" s="166">
        <v>35</v>
      </c>
      <c r="DH52" t="s">
        <v>288</v>
      </c>
      <c r="DI52">
        <v>1</v>
      </c>
      <c r="DJ52" t="s">
        <v>289</v>
      </c>
      <c r="DK52">
        <v>17</v>
      </c>
      <c r="DL52" t="s">
        <v>290</v>
      </c>
      <c r="DM52" t="s">
        <v>290</v>
      </c>
      <c r="DN52" t="s">
        <v>291</v>
      </c>
      <c r="DO52">
        <v>38</v>
      </c>
      <c r="DP52" t="s">
        <v>290</v>
      </c>
      <c r="DQ52" t="s">
        <v>290</v>
      </c>
      <c r="DR52" t="s">
        <v>291</v>
      </c>
      <c r="DS52" t="s">
        <v>292</v>
      </c>
      <c r="DT52" t="s">
        <v>293</v>
      </c>
      <c r="DU52" t="s">
        <v>293</v>
      </c>
      <c r="DV52" t="s">
        <v>293</v>
      </c>
      <c r="DW52" s="138">
        <v>432.56244218316402</v>
      </c>
      <c r="DX52" t="s">
        <v>294</v>
      </c>
      <c r="DY52" s="138">
        <v>12.3589269195194</v>
      </c>
      <c r="DZ52" t="s">
        <v>295</v>
      </c>
      <c r="EA52">
        <v>38.75</v>
      </c>
      <c r="EB52" t="s">
        <v>296</v>
      </c>
      <c r="EC52">
        <v>0.15</v>
      </c>
      <c r="ED52" t="s">
        <v>328</v>
      </c>
      <c r="EE52" t="s">
        <v>329</v>
      </c>
      <c r="EF52" t="s">
        <v>297</v>
      </c>
      <c r="EG52">
        <v>1.0271999999999999</v>
      </c>
      <c r="EH52" t="s">
        <v>290</v>
      </c>
      <c r="EI52" t="s">
        <v>290</v>
      </c>
      <c r="EJ52" t="s">
        <v>298</v>
      </c>
      <c r="EK52" t="s">
        <v>290</v>
      </c>
      <c r="EL52" t="s">
        <v>290</v>
      </c>
      <c r="EM52" t="s">
        <v>299</v>
      </c>
      <c r="EN52" t="s">
        <v>300</v>
      </c>
      <c r="EO52" t="s">
        <v>329</v>
      </c>
      <c r="EP52" t="s">
        <v>329</v>
      </c>
      <c r="EQ52" t="s">
        <v>329</v>
      </c>
      <c r="ER52" t="s">
        <v>329</v>
      </c>
      <c r="ES52" t="s">
        <v>167</v>
      </c>
      <c r="ET52" t="s">
        <v>313</v>
      </c>
      <c r="EU52" t="s">
        <v>314</v>
      </c>
      <c r="EV52" t="s">
        <v>315</v>
      </c>
      <c r="EW52" t="s">
        <v>316</v>
      </c>
      <c r="EX52" t="s">
        <v>316</v>
      </c>
      <c r="EY52" t="s">
        <v>316</v>
      </c>
      <c r="EZ52" t="s">
        <v>316</v>
      </c>
      <c r="FA52">
        <v>6.625</v>
      </c>
      <c r="FB52" t="s">
        <v>296</v>
      </c>
      <c r="FC52">
        <v>0.875</v>
      </c>
      <c r="FD52">
        <v>0.875</v>
      </c>
      <c r="FE52">
        <v>7.7065255186334198</v>
      </c>
      <c r="FF52" s="164" t="s">
        <v>301</v>
      </c>
      <c r="FG52" s="154">
        <v>3.67647873996041E-2</v>
      </c>
      <c r="FH52" s="154">
        <v>3.67647873996041E-2</v>
      </c>
      <c r="FI52">
        <v>1211.1129762478299</v>
      </c>
      <c r="FJ52" s="164">
        <v>0</v>
      </c>
      <c r="FK52" s="164" t="s">
        <v>302</v>
      </c>
      <c r="FL52">
        <v>1211.1129762478299</v>
      </c>
      <c r="FM52" s="141">
        <v>356.16786965955998</v>
      </c>
      <c r="FN52" s="141">
        <v>259.67363274554987</v>
      </c>
      <c r="FO52" s="170" t="s">
        <v>303</v>
      </c>
      <c r="FP52" t="s">
        <v>317</v>
      </c>
      <c r="FQ52">
        <v>2770.73137724154</v>
      </c>
      <c r="FR52">
        <v>466.22681485014022</v>
      </c>
      <c r="FS52">
        <v>423.92277967160004</v>
      </c>
      <c r="FT52">
        <v>2586.3975750301902</v>
      </c>
      <c r="FU52">
        <v>466.82484311700006</v>
      </c>
      <c r="FV52">
        <v>416.24602170858014</v>
      </c>
      <c r="FW52" t="s">
        <v>305</v>
      </c>
      <c r="FX52" t="s">
        <v>305</v>
      </c>
      <c r="FY52" t="s">
        <v>305</v>
      </c>
      <c r="FZ52" t="s">
        <v>305</v>
      </c>
      <c r="GA52" t="s">
        <v>305</v>
      </c>
      <c r="GB52" t="s">
        <v>305</v>
      </c>
      <c r="GC52" t="s">
        <v>318</v>
      </c>
    </row>
    <row r="53" spans="1:185" ht="17">
      <c r="A53" t="s">
        <v>180</v>
      </c>
      <c r="B53" s="202" t="s">
        <v>181</v>
      </c>
      <c r="C53" t="s">
        <v>168</v>
      </c>
      <c r="D53" t="s">
        <v>182</v>
      </c>
      <c r="E53">
        <v>2020</v>
      </c>
      <c r="F53" t="s">
        <v>183</v>
      </c>
      <c r="G53" s="141">
        <v>40250.213623046875</v>
      </c>
      <c r="H53">
        <v>1</v>
      </c>
      <c r="I53">
        <v>1</v>
      </c>
      <c r="J53">
        <v>945.44594206716795</v>
      </c>
      <c r="K53" s="204">
        <v>247.28827419901211</v>
      </c>
      <c r="L53" s="204">
        <v>195.84257602609296</v>
      </c>
      <c r="M53" s="163" t="b">
        <v>0</v>
      </c>
      <c r="N53" s="163">
        <v>3</v>
      </c>
      <c r="O53" t="s">
        <v>331</v>
      </c>
      <c r="P53" t="s">
        <v>322</v>
      </c>
      <c r="Q53" s="163" t="b">
        <v>1</v>
      </c>
      <c r="R53" s="212" t="s">
        <v>325</v>
      </c>
      <c r="S53" s="163" t="b">
        <v>1</v>
      </c>
      <c r="T53" s="163" t="b">
        <v>0</v>
      </c>
      <c r="U53" s="163" t="s">
        <v>167</v>
      </c>
      <c r="V53" s="163" t="s">
        <v>167</v>
      </c>
      <c r="W53" s="199" t="s">
        <v>167</v>
      </c>
      <c r="X53" s="199" t="s">
        <v>167</v>
      </c>
      <c r="Y53" s="143" t="s">
        <v>184</v>
      </c>
      <c r="Z53" t="s">
        <v>183</v>
      </c>
      <c r="AA53" t="s">
        <v>185</v>
      </c>
      <c r="AB53" t="s">
        <v>191</v>
      </c>
      <c r="AC53">
        <v>1</v>
      </c>
      <c r="AD53">
        <v>5</v>
      </c>
      <c r="AE53">
        <v>87</v>
      </c>
      <c r="AF53">
        <v>88.5</v>
      </c>
      <c r="AG53" s="146">
        <v>47.077500000000001</v>
      </c>
      <c r="AH53">
        <v>47.077500000000001</v>
      </c>
      <c r="AI53" t="s">
        <v>187</v>
      </c>
      <c r="AJ53" t="s">
        <v>188</v>
      </c>
      <c r="AK53" s="147">
        <v>9.2656670000000005</v>
      </c>
      <c r="AL53" s="147">
        <v>-54.544032999999999</v>
      </c>
      <c r="AM53" s="147">
        <v>0.8</v>
      </c>
      <c r="AN53" s="148" t="s">
        <v>167</v>
      </c>
      <c r="AO53" s="148">
        <v>-2549</v>
      </c>
      <c r="AP53" s="148">
        <v>-2850</v>
      </c>
      <c r="AQ53" t="s">
        <v>189</v>
      </c>
      <c r="AR53" t="s">
        <v>190</v>
      </c>
      <c r="AS53" s="141">
        <v>40250.213623046875</v>
      </c>
      <c r="AT53" t="s">
        <v>206</v>
      </c>
      <c r="AU53">
        <v>1</v>
      </c>
      <c r="AV53">
        <v>1</v>
      </c>
      <c r="AW53" t="s">
        <v>207</v>
      </c>
      <c r="AX53" t="s">
        <v>208</v>
      </c>
      <c r="AY53" s="138" t="s">
        <v>209</v>
      </c>
      <c r="AZ53">
        <v>40.23960546875</v>
      </c>
      <c r="BA53" t="s">
        <v>167</v>
      </c>
      <c r="BB53" t="s">
        <v>167</v>
      </c>
      <c r="BC53" t="s">
        <v>167</v>
      </c>
      <c r="BD53" t="s">
        <v>207</v>
      </c>
      <c r="BE53" t="s">
        <v>210</v>
      </c>
      <c r="BF53" t="s">
        <v>211</v>
      </c>
      <c r="BG53" t="s">
        <v>216</v>
      </c>
      <c r="BH53" t="s">
        <v>217</v>
      </c>
      <c r="BI53" s="157">
        <v>282</v>
      </c>
      <c r="BJ53" s="158">
        <v>4.548</v>
      </c>
      <c r="BK53" t="s">
        <v>219</v>
      </c>
      <c r="BL53" t="s">
        <v>220</v>
      </c>
      <c r="BM53" t="s">
        <v>221</v>
      </c>
      <c r="BN53" t="s">
        <v>233</v>
      </c>
      <c r="BO53">
        <v>2</v>
      </c>
      <c r="BP53" s="140">
        <v>6.7540019185246422E-2</v>
      </c>
      <c r="BQ53" s="139">
        <v>14.987611163078199</v>
      </c>
      <c r="BR53" t="s">
        <v>228</v>
      </c>
      <c r="BS53">
        <v>0.21420067332152301</v>
      </c>
      <c r="BT53">
        <v>0.88</v>
      </c>
      <c r="BU53" t="s">
        <v>271</v>
      </c>
      <c r="BV53" t="s">
        <v>271</v>
      </c>
      <c r="BW53" s="163">
        <v>1.85</v>
      </c>
      <c r="BX53" t="s">
        <v>271</v>
      </c>
      <c r="BY53" t="s">
        <v>271</v>
      </c>
      <c r="BZ53" t="s">
        <v>272</v>
      </c>
      <c r="CA53" t="s">
        <v>273</v>
      </c>
      <c r="CB53">
        <v>15.046869854316</v>
      </c>
      <c r="CC53" t="s">
        <v>274</v>
      </c>
      <c r="CD53" s="165">
        <v>0.27031172363714973</v>
      </c>
      <c r="CE53" t="s">
        <v>326</v>
      </c>
      <c r="CF53" t="s">
        <v>327</v>
      </c>
      <c r="CG53">
        <v>25</v>
      </c>
      <c r="CH53" t="s">
        <v>280</v>
      </c>
      <c r="CI53" t="s">
        <v>280</v>
      </c>
      <c r="CJ53" s="139">
        <v>30.360656757512899</v>
      </c>
      <c r="CK53" t="s">
        <v>281</v>
      </c>
      <c r="CL53" s="140">
        <v>0.55950257636001099</v>
      </c>
      <c r="CM53" s="140">
        <v>0.63579357946594295</v>
      </c>
      <c r="CN53" t="s">
        <v>282</v>
      </c>
      <c r="CO53">
        <v>3.6954073926253899</v>
      </c>
      <c r="CP53" t="s">
        <v>283</v>
      </c>
      <c r="CQ53">
        <v>0.11086222177876169</v>
      </c>
      <c r="CR53">
        <v>0.11086222177876169</v>
      </c>
      <c r="CS53" t="s">
        <v>284</v>
      </c>
      <c r="CT53" t="s">
        <v>167</v>
      </c>
      <c r="CU53" t="s">
        <v>285</v>
      </c>
      <c r="CV53" t="s">
        <v>286</v>
      </c>
      <c r="CW53" t="s">
        <v>280</v>
      </c>
      <c r="CX53" t="s">
        <v>280</v>
      </c>
      <c r="CY53" t="s">
        <v>287</v>
      </c>
      <c r="CZ53" t="s">
        <v>167</v>
      </c>
      <c r="DA53" t="s">
        <v>167</v>
      </c>
      <c r="DB53" t="s">
        <v>167</v>
      </c>
      <c r="DC53" t="s">
        <v>167</v>
      </c>
      <c r="DD53" t="s">
        <v>167</v>
      </c>
      <c r="DE53" t="s">
        <v>167</v>
      </c>
      <c r="DF53" t="s">
        <v>167</v>
      </c>
      <c r="DG53" s="166">
        <v>35</v>
      </c>
      <c r="DH53" t="s">
        <v>288</v>
      </c>
      <c r="DI53">
        <v>1</v>
      </c>
      <c r="DJ53" t="s">
        <v>289</v>
      </c>
      <c r="DK53">
        <v>17</v>
      </c>
      <c r="DL53" t="s">
        <v>290</v>
      </c>
      <c r="DM53" t="s">
        <v>290</v>
      </c>
      <c r="DN53" t="s">
        <v>291</v>
      </c>
      <c r="DO53">
        <v>38</v>
      </c>
      <c r="DP53" t="s">
        <v>290</v>
      </c>
      <c r="DQ53" t="s">
        <v>290</v>
      </c>
      <c r="DR53" t="s">
        <v>291</v>
      </c>
      <c r="DS53" t="s">
        <v>292</v>
      </c>
      <c r="DT53" t="s">
        <v>293</v>
      </c>
      <c r="DU53" t="s">
        <v>293</v>
      </c>
      <c r="DV53" t="s">
        <v>293</v>
      </c>
      <c r="DW53" s="138">
        <v>432.56244218316402</v>
      </c>
      <c r="DX53" t="s">
        <v>294</v>
      </c>
      <c r="DY53" s="138">
        <v>12.358926919519501</v>
      </c>
      <c r="DZ53" t="s">
        <v>295</v>
      </c>
      <c r="EA53">
        <v>38.75</v>
      </c>
      <c r="EB53" t="s">
        <v>296</v>
      </c>
      <c r="EC53">
        <v>0.15</v>
      </c>
      <c r="ED53" t="s">
        <v>328</v>
      </c>
      <c r="EE53" t="s">
        <v>329</v>
      </c>
      <c r="EF53" t="s">
        <v>297</v>
      </c>
      <c r="EG53">
        <v>1.0271999999999999</v>
      </c>
      <c r="EH53" t="s">
        <v>290</v>
      </c>
      <c r="EI53" t="s">
        <v>290</v>
      </c>
      <c r="EJ53" t="s">
        <v>298</v>
      </c>
      <c r="EK53" t="s">
        <v>290</v>
      </c>
      <c r="EL53" t="s">
        <v>290</v>
      </c>
      <c r="EM53" t="s">
        <v>299</v>
      </c>
      <c r="EN53" t="s">
        <v>300</v>
      </c>
      <c r="EO53" t="s">
        <v>329</v>
      </c>
      <c r="EP53" t="s">
        <v>329</v>
      </c>
      <c r="EQ53" t="s">
        <v>329</v>
      </c>
      <c r="ER53" t="s">
        <v>329</v>
      </c>
      <c r="ES53" t="s">
        <v>167</v>
      </c>
      <c r="ET53" t="s">
        <v>313</v>
      </c>
      <c r="EU53" t="s">
        <v>314</v>
      </c>
      <c r="EV53" t="s">
        <v>315</v>
      </c>
      <c r="EW53" t="s">
        <v>316</v>
      </c>
      <c r="EX53" t="s">
        <v>316</v>
      </c>
      <c r="EY53" t="s">
        <v>316</v>
      </c>
      <c r="EZ53" t="s">
        <v>316</v>
      </c>
      <c r="FA53">
        <v>6.625</v>
      </c>
      <c r="FB53" t="s">
        <v>296</v>
      </c>
      <c r="FC53">
        <v>0.875</v>
      </c>
      <c r="FD53">
        <v>0.875</v>
      </c>
      <c r="FE53">
        <v>7.7739400933955203</v>
      </c>
      <c r="FF53" s="164" t="s">
        <v>301</v>
      </c>
      <c r="FG53" s="154">
        <v>3.1418554113129202E-2</v>
      </c>
      <c r="FH53" s="154">
        <v>3.1418554113129202E-2</v>
      </c>
      <c r="FI53">
        <v>945.44594206716795</v>
      </c>
      <c r="FJ53" s="164">
        <v>0</v>
      </c>
      <c r="FK53" s="164" t="s">
        <v>302</v>
      </c>
      <c r="FL53">
        <v>945.44594206716795</v>
      </c>
      <c r="FM53" s="141">
        <v>247.28827419901211</v>
      </c>
      <c r="FN53" s="141">
        <v>195.84257602609296</v>
      </c>
      <c r="FO53" s="170" t="s">
        <v>303</v>
      </c>
      <c r="FP53" t="s">
        <v>317</v>
      </c>
      <c r="FQ53">
        <v>2582.8718454101299</v>
      </c>
      <c r="FR53">
        <v>404.4327784383799</v>
      </c>
      <c r="FS53">
        <v>388.46163644899997</v>
      </c>
      <c r="FT53">
        <v>2388.1832797137499</v>
      </c>
      <c r="FU53">
        <v>408.59670129311019</v>
      </c>
      <c r="FV53">
        <v>379.20042732672965</v>
      </c>
      <c r="FW53" t="s">
        <v>305</v>
      </c>
      <c r="FX53" t="s">
        <v>305</v>
      </c>
      <c r="FY53" t="s">
        <v>305</v>
      </c>
      <c r="FZ53" t="s">
        <v>305</v>
      </c>
      <c r="GA53" t="s">
        <v>305</v>
      </c>
      <c r="GB53" t="s">
        <v>305</v>
      </c>
      <c r="GC53" t="s">
        <v>318</v>
      </c>
    </row>
    <row r="54" spans="1:185" ht="17">
      <c r="A54" t="s">
        <v>180</v>
      </c>
      <c r="B54" s="202" t="s">
        <v>181</v>
      </c>
      <c r="C54" t="s">
        <v>168</v>
      </c>
      <c r="D54" t="s">
        <v>182</v>
      </c>
      <c r="E54">
        <v>2020</v>
      </c>
      <c r="F54" t="s">
        <v>183</v>
      </c>
      <c r="G54" s="141">
        <v>40394.073486328125</v>
      </c>
      <c r="H54">
        <v>1</v>
      </c>
      <c r="I54">
        <v>1</v>
      </c>
      <c r="J54">
        <v>921.22345463355896</v>
      </c>
      <c r="K54" s="204">
        <v>222.66703260186114</v>
      </c>
      <c r="L54" s="204">
        <v>200.51162468823293</v>
      </c>
      <c r="M54" s="163" t="b">
        <v>0</v>
      </c>
      <c r="N54" s="163">
        <v>3</v>
      </c>
      <c r="O54" t="s">
        <v>331</v>
      </c>
      <c r="P54" t="s">
        <v>322</v>
      </c>
      <c r="Q54" s="163" t="b">
        <v>1</v>
      </c>
      <c r="R54" s="212" t="s">
        <v>325</v>
      </c>
      <c r="S54" s="163" t="b">
        <v>1</v>
      </c>
      <c r="T54" s="163" t="b">
        <v>0</v>
      </c>
      <c r="U54" s="163" t="s">
        <v>167</v>
      </c>
      <c r="V54" s="163" t="s">
        <v>167</v>
      </c>
      <c r="W54" s="199" t="s">
        <v>167</v>
      </c>
      <c r="X54" s="199" t="s">
        <v>167</v>
      </c>
      <c r="Y54" s="143" t="s">
        <v>184</v>
      </c>
      <c r="Z54" t="s">
        <v>183</v>
      </c>
      <c r="AA54" t="s">
        <v>185</v>
      </c>
      <c r="AB54" t="s">
        <v>186</v>
      </c>
      <c r="AC54">
        <v>7</v>
      </c>
      <c r="AD54">
        <v>1</v>
      </c>
      <c r="AE54">
        <v>127</v>
      </c>
      <c r="AF54">
        <v>128.5</v>
      </c>
      <c r="AG54" s="146">
        <v>48.777500000000003</v>
      </c>
      <c r="AH54">
        <v>49.277500000000003</v>
      </c>
      <c r="AI54" t="s">
        <v>187</v>
      </c>
      <c r="AJ54" t="s">
        <v>188</v>
      </c>
      <c r="AK54" s="147">
        <v>9.2656670000000005</v>
      </c>
      <c r="AL54" s="147">
        <v>-54.544032999999999</v>
      </c>
      <c r="AM54" s="147">
        <v>0.8</v>
      </c>
      <c r="AN54" s="148" t="s">
        <v>167</v>
      </c>
      <c r="AO54" s="148">
        <v>-2549</v>
      </c>
      <c r="AP54" s="148">
        <v>-2850</v>
      </c>
      <c r="AQ54" t="s">
        <v>189</v>
      </c>
      <c r="AR54" t="s">
        <v>190</v>
      </c>
      <c r="AS54" s="141">
        <v>40394.073486328125</v>
      </c>
      <c r="AT54" t="s">
        <v>206</v>
      </c>
      <c r="AU54">
        <v>1</v>
      </c>
      <c r="AV54">
        <v>1</v>
      </c>
      <c r="AW54" t="s">
        <v>207</v>
      </c>
      <c r="AX54" t="s">
        <v>208</v>
      </c>
      <c r="AY54" s="138" t="s">
        <v>209</v>
      </c>
      <c r="AZ54">
        <v>40.36436328125</v>
      </c>
      <c r="BA54" t="s">
        <v>167</v>
      </c>
      <c r="BB54" t="s">
        <v>167</v>
      </c>
      <c r="BC54" t="s">
        <v>167</v>
      </c>
      <c r="BD54" t="s">
        <v>207</v>
      </c>
      <c r="BE54" t="s">
        <v>210</v>
      </c>
      <c r="BF54" t="s">
        <v>211</v>
      </c>
      <c r="BG54" t="s">
        <v>216</v>
      </c>
      <c r="BH54" t="s">
        <v>217</v>
      </c>
      <c r="BI54" s="157">
        <v>239</v>
      </c>
      <c r="BJ54" s="158">
        <v>2.6560000000000001</v>
      </c>
      <c r="BK54" t="s">
        <v>219</v>
      </c>
      <c r="BL54" t="s">
        <v>220</v>
      </c>
      <c r="BM54" t="s">
        <v>221</v>
      </c>
      <c r="BN54" t="s">
        <v>234</v>
      </c>
      <c r="BO54">
        <v>2</v>
      </c>
      <c r="BP54" s="140">
        <v>0.12676279350029063</v>
      </c>
      <c r="BQ54" s="139">
        <v>15.076082614402701</v>
      </c>
      <c r="BR54" t="s">
        <v>228</v>
      </c>
      <c r="BS54">
        <v>0.24129436801325399</v>
      </c>
      <c r="BT54">
        <v>0.88</v>
      </c>
      <c r="BU54" t="s">
        <v>271</v>
      </c>
      <c r="BV54" t="s">
        <v>271</v>
      </c>
      <c r="BW54" s="163">
        <v>1.85</v>
      </c>
      <c r="BX54" t="s">
        <v>271</v>
      </c>
      <c r="BY54" t="s">
        <v>271</v>
      </c>
      <c r="BZ54" t="s">
        <v>272</v>
      </c>
      <c r="CA54" t="s">
        <v>273</v>
      </c>
      <c r="CB54">
        <v>15.143971938752401</v>
      </c>
      <c r="CC54" t="s">
        <v>274</v>
      </c>
      <c r="CD54" s="165">
        <v>0.2635107142500992</v>
      </c>
      <c r="CE54" t="s">
        <v>326</v>
      </c>
      <c r="CF54" t="s">
        <v>327</v>
      </c>
      <c r="CG54">
        <v>25</v>
      </c>
      <c r="CH54" t="s">
        <v>280</v>
      </c>
      <c r="CI54" t="s">
        <v>280</v>
      </c>
      <c r="CJ54" s="139">
        <v>32.224107588749497</v>
      </c>
      <c r="CK54" t="s">
        <v>281</v>
      </c>
      <c r="CL54" s="140">
        <v>0.58592413957018896</v>
      </c>
      <c r="CM54" s="140">
        <v>0.63078049535222602</v>
      </c>
      <c r="CN54" t="s">
        <v>282</v>
      </c>
      <c r="CO54">
        <v>4.13722042729081</v>
      </c>
      <c r="CP54" t="s">
        <v>283</v>
      </c>
      <c r="CQ54">
        <v>0.1241166128187243</v>
      </c>
      <c r="CR54">
        <v>0.1241166128187243</v>
      </c>
      <c r="CS54" t="s">
        <v>284</v>
      </c>
      <c r="CT54" t="s">
        <v>167</v>
      </c>
      <c r="CU54" t="s">
        <v>285</v>
      </c>
      <c r="CV54" t="s">
        <v>286</v>
      </c>
      <c r="CW54" t="s">
        <v>280</v>
      </c>
      <c r="CX54" t="s">
        <v>280</v>
      </c>
      <c r="CY54" t="s">
        <v>287</v>
      </c>
      <c r="CZ54" t="s">
        <v>167</v>
      </c>
      <c r="DA54" t="s">
        <v>167</v>
      </c>
      <c r="DB54" t="s">
        <v>167</v>
      </c>
      <c r="DC54" t="s">
        <v>167</v>
      </c>
      <c r="DD54" t="s">
        <v>167</v>
      </c>
      <c r="DE54" t="s">
        <v>167</v>
      </c>
      <c r="DF54" t="s">
        <v>167</v>
      </c>
      <c r="DG54" s="166">
        <v>35</v>
      </c>
      <c r="DH54" t="s">
        <v>288</v>
      </c>
      <c r="DI54">
        <v>1</v>
      </c>
      <c r="DJ54" t="s">
        <v>289</v>
      </c>
      <c r="DK54">
        <v>17</v>
      </c>
      <c r="DL54" t="s">
        <v>290</v>
      </c>
      <c r="DM54" t="s">
        <v>290</v>
      </c>
      <c r="DN54" t="s">
        <v>291</v>
      </c>
      <c r="DO54">
        <v>38</v>
      </c>
      <c r="DP54" t="s">
        <v>290</v>
      </c>
      <c r="DQ54" t="s">
        <v>290</v>
      </c>
      <c r="DR54" t="s">
        <v>291</v>
      </c>
      <c r="DS54" t="s">
        <v>292</v>
      </c>
      <c r="DT54" t="s">
        <v>293</v>
      </c>
      <c r="DU54" t="s">
        <v>293</v>
      </c>
      <c r="DV54" t="s">
        <v>293</v>
      </c>
      <c r="DW54" s="138">
        <v>432.56244218316402</v>
      </c>
      <c r="DX54" t="s">
        <v>294</v>
      </c>
      <c r="DY54" s="138">
        <v>12.3589269195197</v>
      </c>
      <c r="DZ54" t="s">
        <v>295</v>
      </c>
      <c r="EA54">
        <v>38.75</v>
      </c>
      <c r="EB54" t="s">
        <v>296</v>
      </c>
      <c r="EC54">
        <v>0.15</v>
      </c>
      <c r="ED54" t="s">
        <v>328</v>
      </c>
      <c r="EE54" t="s">
        <v>329</v>
      </c>
      <c r="EF54" t="s">
        <v>297</v>
      </c>
      <c r="EG54">
        <v>1.0271999999999999</v>
      </c>
      <c r="EH54" t="s">
        <v>290</v>
      </c>
      <c r="EI54" t="s">
        <v>290</v>
      </c>
      <c r="EJ54" t="s">
        <v>298</v>
      </c>
      <c r="EK54" t="s">
        <v>290</v>
      </c>
      <c r="EL54" t="s">
        <v>290</v>
      </c>
      <c r="EM54" t="s">
        <v>299</v>
      </c>
      <c r="EN54" t="s">
        <v>300</v>
      </c>
      <c r="EO54" t="s">
        <v>329</v>
      </c>
      <c r="EP54" t="s">
        <v>329</v>
      </c>
      <c r="EQ54" t="s">
        <v>329</v>
      </c>
      <c r="ER54" t="s">
        <v>329</v>
      </c>
      <c r="ES54" t="s">
        <v>167</v>
      </c>
      <c r="ET54" t="s">
        <v>313</v>
      </c>
      <c r="EU54" t="s">
        <v>314</v>
      </c>
      <c r="EV54" t="s">
        <v>315</v>
      </c>
      <c r="EW54" t="s">
        <v>316</v>
      </c>
      <c r="EX54" t="s">
        <v>316</v>
      </c>
      <c r="EY54" t="s">
        <v>316</v>
      </c>
      <c r="EZ54" t="s">
        <v>316</v>
      </c>
      <c r="FA54">
        <v>6.625</v>
      </c>
      <c r="FB54" t="s">
        <v>296</v>
      </c>
      <c r="FC54">
        <v>0.875</v>
      </c>
      <c r="FD54">
        <v>0.875</v>
      </c>
      <c r="FE54">
        <v>7.76436480912969</v>
      </c>
      <c r="FF54" s="164" t="s">
        <v>301</v>
      </c>
      <c r="FG54" s="154">
        <v>3.0373861216128901E-2</v>
      </c>
      <c r="FH54" s="154">
        <v>3.0373861216128901E-2</v>
      </c>
      <c r="FI54">
        <v>921.22345463355896</v>
      </c>
      <c r="FJ54" s="164">
        <v>0</v>
      </c>
      <c r="FK54" s="164" t="s">
        <v>302</v>
      </c>
      <c r="FL54">
        <v>921.22345463355896</v>
      </c>
      <c r="FM54" s="141">
        <v>222.66703260186114</v>
      </c>
      <c r="FN54" s="141">
        <v>200.51162468823293</v>
      </c>
      <c r="FO54" s="170" t="s">
        <v>303</v>
      </c>
      <c r="FP54" t="s">
        <v>317</v>
      </c>
      <c r="FQ54">
        <v>2474.2770781148602</v>
      </c>
      <c r="FR54">
        <v>374.43314938054999</v>
      </c>
      <c r="FS54">
        <v>385.88640791600022</v>
      </c>
      <c r="FT54">
        <v>2277.0102781169298</v>
      </c>
      <c r="FU54">
        <v>364.57801482027992</v>
      </c>
      <c r="FV54">
        <v>377.75386253097003</v>
      </c>
      <c r="FW54" t="s">
        <v>305</v>
      </c>
      <c r="FX54" t="s">
        <v>305</v>
      </c>
      <c r="FY54" t="s">
        <v>305</v>
      </c>
      <c r="FZ54" t="s">
        <v>305</v>
      </c>
      <c r="GA54" t="s">
        <v>305</v>
      </c>
      <c r="GB54" t="s">
        <v>305</v>
      </c>
      <c r="GC54" t="s">
        <v>318</v>
      </c>
    </row>
    <row r="55" spans="1:185" ht="17">
      <c r="A55" t="s">
        <v>180</v>
      </c>
      <c r="B55" s="202" t="s">
        <v>181</v>
      </c>
      <c r="C55" t="s">
        <v>168</v>
      </c>
      <c r="D55" t="s">
        <v>182</v>
      </c>
      <c r="E55">
        <v>2020</v>
      </c>
      <c r="F55" t="s">
        <v>183</v>
      </c>
      <c r="G55" s="141">
        <v>40517.196655273438</v>
      </c>
      <c r="H55">
        <v>1</v>
      </c>
      <c r="I55">
        <v>1</v>
      </c>
      <c r="J55">
        <v>921.14684736737195</v>
      </c>
      <c r="K55" s="204">
        <v>245.85451358535806</v>
      </c>
      <c r="L55" s="204">
        <v>183.66811418979796</v>
      </c>
      <c r="M55" s="163" t="b">
        <v>0</v>
      </c>
      <c r="N55" s="163">
        <v>3</v>
      </c>
      <c r="O55" t="s">
        <v>331</v>
      </c>
      <c r="P55" t="s">
        <v>322</v>
      </c>
      <c r="Q55" s="163" t="b">
        <v>1</v>
      </c>
      <c r="R55" s="212" t="s">
        <v>325</v>
      </c>
      <c r="S55" s="163" t="b">
        <v>1</v>
      </c>
      <c r="T55" s="163" t="b">
        <v>0</v>
      </c>
      <c r="U55" s="163" t="s">
        <v>167</v>
      </c>
      <c r="V55" s="163" t="s">
        <v>167</v>
      </c>
      <c r="W55" s="199" t="s">
        <v>167</v>
      </c>
      <c r="X55" s="199" t="s">
        <v>167</v>
      </c>
      <c r="Y55" s="143" t="s">
        <v>184</v>
      </c>
      <c r="Z55" t="s">
        <v>183</v>
      </c>
      <c r="AA55" t="s">
        <v>185</v>
      </c>
      <c r="AB55" t="s">
        <v>186</v>
      </c>
      <c r="AC55">
        <v>7</v>
      </c>
      <c r="AD55">
        <v>3</v>
      </c>
      <c r="AE55">
        <v>57</v>
      </c>
      <c r="AF55">
        <v>58.5</v>
      </c>
      <c r="AG55" s="146">
        <v>51.077500000000001</v>
      </c>
      <c r="AH55">
        <v>51.577500000000001</v>
      </c>
      <c r="AI55" t="s">
        <v>187</v>
      </c>
      <c r="AJ55" t="s">
        <v>188</v>
      </c>
      <c r="AK55" s="147">
        <v>9.2656670000000005</v>
      </c>
      <c r="AL55" s="147">
        <v>-54.544032999999999</v>
      </c>
      <c r="AM55" s="147">
        <v>0.8</v>
      </c>
      <c r="AN55" s="148" t="s">
        <v>167</v>
      </c>
      <c r="AO55" s="148">
        <v>-2549</v>
      </c>
      <c r="AP55" s="148">
        <v>-2850</v>
      </c>
      <c r="AQ55" t="s">
        <v>189</v>
      </c>
      <c r="AR55" t="s">
        <v>190</v>
      </c>
      <c r="AS55" s="141">
        <v>40517.196655273438</v>
      </c>
      <c r="AT55" t="s">
        <v>206</v>
      </c>
      <c r="AU55">
        <v>1</v>
      </c>
      <c r="AV55">
        <v>1</v>
      </c>
      <c r="AW55" t="s">
        <v>207</v>
      </c>
      <c r="AX55" t="s">
        <v>208</v>
      </c>
      <c r="AY55" s="138" t="s">
        <v>209</v>
      </c>
      <c r="AZ55">
        <v>40.484824218749999</v>
      </c>
      <c r="BA55" t="s">
        <v>167</v>
      </c>
      <c r="BB55" t="s">
        <v>167</v>
      </c>
      <c r="BC55" t="s">
        <v>167</v>
      </c>
      <c r="BD55" t="s">
        <v>207</v>
      </c>
      <c r="BE55" t="s">
        <v>210</v>
      </c>
      <c r="BF55" t="s">
        <v>211</v>
      </c>
      <c r="BG55" t="s">
        <v>216</v>
      </c>
      <c r="BH55" t="s">
        <v>217</v>
      </c>
      <c r="BI55" s="157">
        <v>311</v>
      </c>
      <c r="BJ55" s="158">
        <v>4.2889999999999997</v>
      </c>
      <c r="BK55" t="s">
        <v>219</v>
      </c>
      <c r="BL55" t="s">
        <v>220</v>
      </c>
      <c r="BM55" t="s">
        <v>221</v>
      </c>
      <c r="BN55" t="s">
        <v>235</v>
      </c>
      <c r="BO55">
        <v>2</v>
      </c>
      <c r="BP55" s="140">
        <v>5.077347405562093E-2</v>
      </c>
      <c r="BQ55" s="139">
        <v>15.033190335811099</v>
      </c>
      <c r="BR55" t="s">
        <v>228</v>
      </c>
      <c r="BS55">
        <v>0.21811436540529699</v>
      </c>
      <c r="BT55">
        <v>0.88</v>
      </c>
      <c r="BU55" t="s">
        <v>271</v>
      </c>
      <c r="BV55" t="s">
        <v>271</v>
      </c>
      <c r="BW55" s="163">
        <v>1.85</v>
      </c>
      <c r="BX55" t="s">
        <v>271</v>
      </c>
      <c r="BY55" t="s">
        <v>271</v>
      </c>
      <c r="BZ55" t="s">
        <v>272</v>
      </c>
      <c r="CA55" t="s">
        <v>273</v>
      </c>
      <c r="CB55">
        <v>15.096186707305399</v>
      </c>
      <c r="CC55" t="s">
        <v>274</v>
      </c>
      <c r="CD55" s="165">
        <v>0.2734944082791495</v>
      </c>
      <c r="CE55" t="s">
        <v>326</v>
      </c>
      <c r="CF55" t="s">
        <v>327</v>
      </c>
      <c r="CG55">
        <v>25</v>
      </c>
      <c r="CH55" t="s">
        <v>280</v>
      </c>
      <c r="CI55" t="s">
        <v>280</v>
      </c>
      <c r="CJ55" s="139">
        <v>31.039650609651201</v>
      </c>
      <c r="CK55" t="s">
        <v>281</v>
      </c>
      <c r="CL55" s="140">
        <v>0.59760506025843796</v>
      </c>
      <c r="CM55" s="140">
        <v>0.58630719987136404</v>
      </c>
      <c r="CN55" t="s">
        <v>282</v>
      </c>
      <c r="CO55">
        <v>3.7999497926307901</v>
      </c>
      <c r="CP55" t="s">
        <v>283</v>
      </c>
      <c r="CQ55">
        <v>0.1139984937789237</v>
      </c>
      <c r="CR55">
        <v>0.1139984937789237</v>
      </c>
      <c r="CS55" t="s">
        <v>284</v>
      </c>
      <c r="CT55" t="s">
        <v>167</v>
      </c>
      <c r="CU55" t="s">
        <v>285</v>
      </c>
      <c r="CV55" t="s">
        <v>286</v>
      </c>
      <c r="CW55" t="s">
        <v>280</v>
      </c>
      <c r="CX55" t="s">
        <v>280</v>
      </c>
      <c r="CY55" t="s">
        <v>287</v>
      </c>
      <c r="CZ55" t="s">
        <v>167</v>
      </c>
      <c r="DA55" t="s">
        <v>167</v>
      </c>
      <c r="DB55" t="s">
        <v>167</v>
      </c>
      <c r="DC55" t="s">
        <v>167</v>
      </c>
      <c r="DD55" t="s">
        <v>167</v>
      </c>
      <c r="DE55" t="s">
        <v>167</v>
      </c>
      <c r="DF55" t="s">
        <v>167</v>
      </c>
      <c r="DG55" s="166">
        <v>35</v>
      </c>
      <c r="DH55" t="s">
        <v>288</v>
      </c>
      <c r="DI55">
        <v>1</v>
      </c>
      <c r="DJ55" t="s">
        <v>289</v>
      </c>
      <c r="DK55">
        <v>17</v>
      </c>
      <c r="DL55" t="s">
        <v>290</v>
      </c>
      <c r="DM55" t="s">
        <v>290</v>
      </c>
      <c r="DN55" t="s">
        <v>291</v>
      </c>
      <c r="DO55">
        <v>38</v>
      </c>
      <c r="DP55" t="s">
        <v>290</v>
      </c>
      <c r="DQ55" t="s">
        <v>290</v>
      </c>
      <c r="DR55" t="s">
        <v>291</v>
      </c>
      <c r="DS55" t="s">
        <v>292</v>
      </c>
      <c r="DT55" t="s">
        <v>293</v>
      </c>
      <c r="DU55" t="s">
        <v>293</v>
      </c>
      <c r="DV55" t="s">
        <v>293</v>
      </c>
      <c r="DW55" s="138">
        <v>432.56244218316402</v>
      </c>
      <c r="DX55" t="s">
        <v>294</v>
      </c>
      <c r="DY55" s="138">
        <v>12.358926919519799</v>
      </c>
      <c r="DZ55" t="s">
        <v>295</v>
      </c>
      <c r="EA55">
        <v>38.75</v>
      </c>
      <c r="EB55" t="s">
        <v>296</v>
      </c>
      <c r="EC55">
        <v>0.15</v>
      </c>
      <c r="ED55" t="s">
        <v>328</v>
      </c>
      <c r="EE55" t="s">
        <v>329</v>
      </c>
      <c r="EF55" t="s">
        <v>297</v>
      </c>
      <c r="EG55">
        <v>1.0271999999999999</v>
      </c>
      <c r="EH55" t="s">
        <v>290</v>
      </c>
      <c r="EI55" t="s">
        <v>290</v>
      </c>
      <c r="EJ55" t="s">
        <v>298</v>
      </c>
      <c r="EK55" t="s">
        <v>290</v>
      </c>
      <c r="EL55" t="s">
        <v>290</v>
      </c>
      <c r="EM55" t="s">
        <v>299</v>
      </c>
      <c r="EN55" t="s">
        <v>300</v>
      </c>
      <c r="EO55" t="s">
        <v>329</v>
      </c>
      <c r="EP55" t="s">
        <v>329</v>
      </c>
      <c r="EQ55" t="s">
        <v>329</v>
      </c>
      <c r="ER55" t="s">
        <v>329</v>
      </c>
      <c r="ES55" t="s">
        <v>167</v>
      </c>
      <c r="ET55" t="s">
        <v>313</v>
      </c>
      <c r="EU55" t="s">
        <v>314</v>
      </c>
      <c r="EV55" t="s">
        <v>315</v>
      </c>
      <c r="EW55" t="s">
        <v>316</v>
      </c>
      <c r="EX55" t="s">
        <v>316</v>
      </c>
      <c r="EY55" t="s">
        <v>316</v>
      </c>
      <c r="EZ55" t="s">
        <v>316</v>
      </c>
      <c r="FA55">
        <v>6.625</v>
      </c>
      <c r="FB55" t="s">
        <v>296</v>
      </c>
      <c r="FC55">
        <v>0.875</v>
      </c>
      <c r="FD55">
        <v>0.875</v>
      </c>
      <c r="FE55">
        <v>7.7744310864918402</v>
      </c>
      <c r="FF55" s="164" t="s">
        <v>301</v>
      </c>
      <c r="FG55" s="154">
        <v>3.3613588864626599E-2</v>
      </c>
      <c r="FH55" s="154">
        <v>3.3613588864626599E-2</v>
      </c>
      <c r="FI55">
        <v>921.14684736737195</v>
      </c>
      <c r="FJ55" s="164">
        <v>0</v>
      </c>
      <c r="FK55" s="164" t="s">
        <v>302</v>
      </c>
      <c r="FL55">
        <v>921.14684736737195</v>
      </c>
      <c r="FM55" s="141">
        <v>245.85451358535806</v>
      </c>
      <c r="FN55" s="141">
        <v>183.66811418979796</v>
      </c>
      <c r="FO55" s="170" t="s">
        <v>303</v>
      </c>
      <c r="FP55" t="s">
        <v>317</v>
      </c>
      <c r="FQ55">
        <v>2527.7992534575601</v>
      </c>
      <c r="FR55">
        <v>421.38025274412018</v>
      </c>
      <c r="FS55">
        <v>365.96890172932007</v>
      </c>
      <c r="FT55">
        <v>2331.3400860949901</v>
      </c>
      <c r="FU55">
        <v>418.24675603763023</v>
      </c>
      <c r="FV55">
        <v>353.89675641599001</v>
      </c>
      <c r="FW55" t="s">
        <v>305</v>
      </c>
      <c r="FX55" t="s">
        <v>305</v>
      </c>
      <c r="FY55" t="s">
        <v>305</v>
      </c>
      <c r="FZ55" t="s">
        <v>305</v>
      </c>
      <c r="GA55" t="s">
        <v>305</v>
      </c>
      <c r="GB55" t="s">
        <v>305</v>
      </c>
      <c r="GC55" t="s">
        <v>318</v>
      </c>
    </row>
    <row r="56" spans="1:185" ht="17">
      <c r="A56" t="s">
        <v>180</v>
      </c>
      <c r="B56" s="202" t="s">
        <v>181</v>
      </c>
      <c r="C56" t="s">
        <v>168</v>
      </c>
      <c r="D56" t="s">
        <v>182</v>
      </c>
      <c r="E56">
        <v>2020</v>
      </c>
      <c r="F56" t="s">
        <v>183</v>
      </c>
      <c r="G56" s="141">
        <v>40648.937225341797</v>
      </c>
      <c r="H56">
        <v>1</v>
      </c>
      <c r="I56">
        <v>1</v>
      </c>
      <c r="J56">
        <v>884.79278708660502</v>
      </c>
      <c r="K56" s="204">
        <v>215.26945046457502</v>
      </c>
      <c r="L56" s="204">
        <v>186.01916435263001</v>
      </c>
      <c r="M56" s="163" t="b">
        <v>0</v>
      </c>
      <c r="N56" s="163">
        <v>3</v>
      </c>
      <c r="O56" t="s">
        <v>331</v>
      </c>
      <c r="P56" t="s">
        <v>322</v>
      </c>
      <c r="Q56" s="163" t="b">
        <v>1</v>
      </c>
      <c r="R56" s="212" t="s">
        <v>325</v>
      </c>
      <c r="S56" s="163" t="b">
        <v>1</v>
      </c>
      <c r="T56" s="163" t="b">
        <v>0</v>
      </c>
      <c r="U56" s="163" t="s">
        <v>167</v>
      </c>
      <c r="V56" s="163" t="s">
        <v>167</v>
      </c>
      <c r="W56" s="199" t="s">
        <v>167</v>
      </c>
      <c r="X56" s="199" t="s">
        <v>167</v>
      </c>
      <c r="Y56" s="143" t="s">
        <v>184</v>
      </c>
      <c r="Z56" t="s">
        <v>183</v>
      </c>
      <c r="AA56" t="s">
        <v>185</v>
      </c>
      <c r="AB56" t="s">
        <v>186</v>
      </c>
      <c r="AC56">
        <v>7</v>
      </c>
      <c r="AD56">
        <v>4</v>
      </c>
      <c r="AE56">
        <v>37</v>
      </c>
      <c r="AF56">
        <v>38.5</v>
      </c>
      <c r="AG56" s="146">
        <v>52.377499999999998</v>
      </c>
      <c r="AH56">
        <v>52.877499999999998</v>
      </c>
      <c r="AI56" t="s">
        <v>187</v>
      </c>
      <c r="AJ56" t="s">
        <v>188</v>
      </c>
      <c r="AK56" s="147">
        <v>9.2656670000000005</v>
      </c>
      <c r="AL56" s="147">
        <v>-54.544032999999999</v>
      </c>
      <c r="AM56" s="147">
        <v>0.8</v>
      </c>
      <c r="AN56" s="148" t="s">
        <v>167</v>
      </c>
      <c r="AO56" s="148">
        <v>-2549</v>
      </c>
      <c r="AP56" s="148">
        <v>-2850</v>
      </c>
      <c r="AQ56" t="s">
        <v>189</v>
      </c>
      <c r="AR56" t="s">
        <v>190</v>
      </c>
      <c r="AS56" s="141">
        <v>40648.937225341797</v>
      </c>
      <c r="AT56" t="s">
        <v>206</v>
      </c>
      <c r="AU56">
        <v>1</v>
      </c>
      <c r="AV56">
        <v>1</v>
      </c>
      <c r="AW56" t="s">
        <v>207</v>
      </c>
      <c r="AX56" t="s">
        <v>208</v>
      </c>
      <c r="AY56" s="138" t="s">
        <v>209</v>
      </c>
      <c r="AZ56">
        <v>40.555140625</v>
      </c>
      <c r="BA56" t="s">
        <v>167</v>
      </c>
      <c r="BB56" t="s">
        <v>167</v>
      </c>
      <c r="BC56" t="s">
        <v>167</v>
      </c>
      <c r="BD56" t="s">
        <v>207</v>
      </c>
      <c r="BE56" t="s">
        <v>210</v>
      </c>
      <c r="BF56" t="s">
        <v>211</v>
      </c>
      <c r="BG56" t="s">
        <v>216</v>
      </c>
      <c r="BH56" t="s">
        <v>217</v>
      </c>
      <c r="BI56" s="157">
        <v>208</v>
      </c>
      <c r="BJ56" s="158">
        <v>2.4929999999999999</v>
      </c>
      <c r="BK56" t="s">
        <v>219</v>
      </c>
      <c r="BL56" t="s">
        <v>220</v>
      </c>
      <c r="BM56" t="s">
        <v>221</v>
      </c>
      <c r="BN56" t="s">
        <v>236</v>
      </c>
      <c r="BO56">
        <v>2</v>
      </c>
      <c r="BP56" s="140">
        <v>0.36365173896322561</v>
      </c>
      <c r="BQ56" s="139">
        <v>15.0891171811212</v>
      </c>
      <c r="BR56" t="s">
        <v>228</v>
      </c>
      <c r="BS56">
        <v>0.23835600480119501</v>
      </c>
      <c r="BT56">
        <v>0.88</v>
      </c>
      <c r="BU56" t="s">
        <v>271</v>
      </c>
      <c r="BV56" t="s">
        <v>271</v>
      </c>
      <c r="BW56" s="163">
        <v>1.85</v>
      </c>
      <c r="BX56" t="s">
        <v>271</v>
      </c>
      <c r="BY56" t="s">
        <v>271</v>
      </c>
      <c r="BZ56" t="s">
        <v>272</v>
      </c>
      <c r="CA56" t="s">
        <v>273</v>
      </c>
      <c r="CB56">
        <v>15.1671206292253</v>
      </c>
      <c r="CC56" t="s">
        <v>274</v>
      </c>
      <c r="CD56" s="165">
        <v>0.26202543073850038</v>
      </c>
      <c r="CE56" t="s">
        <v>326</v>
      </c>
      <c r="CF56" t="s">
        <v>327</v>
      </c>
      <c r="CG56">
        <v>25</v>
      </c>
      <c r="CH56" t="s">
        <v>280</v>
      </c>
      <c r="CI56" t="s">
        <v>280</v>
      </c>
      <c r="CJ56" s="139">
        <v>31.122968680472599</v>
      </c>
      <c r="CK56" t="s">
        <v>281</v>
      </c>
      <c r="CL56" s="140">
        <v>0.57449210588723798</v>
      </c>
      <c r="CM56" s="140">
        <v>0.57093862698790698</v>
      </c>
      <c r="CN56" t="s">
        <v>282</v>
      </c>
      <c r="CO56">
        <v>3.7409461680991498</v>
      </c>
      <c r="CP56" t="s">
        <v>283</v>
      </c>
      <c r="CQ56">
        <v>0.11222838504297449</v>
      </c>
      <c r="CR56">
        <v>0.11222838504297449</v>
      </c>
      <c r="CS56" t="s">
        <v>284</v>
      </c>
      <c r="CT56" t="s">
        <v>167</v>
      </c>
      <c r="CU56" t="s">
        <v>285</v>
      </c>
      <c r="CV56" t="s">
        <v>286</v>
      </c>
      <c r="CW56" t="s">
        <v>280</v>
      </c>
      <c r="CX56" t="s">
        <v>280</v>
      </c>
      <c r="CY56" t="s">
        <v>287</v>
      </c>
      <c r="CZ56" t="s">
        <v>167</v>
      </c>
      <c r="DA56" t="s">
        <v>167</v>
      </c>
      <c r="DB56" t="s">
        <v>167</v>
      </c>
      <c r="DC56" t="s">
        <v>167</v>
      </c>
      <c r="DD56" t="s">
        <v>167</v>
      </c>
      <c r="DE56" t="s">
        <v>167</v>
      </c>
      <c r="DF56" t="s">
        <v>167</v>
      </c>
      <c r="DG56" s="166">
        <v>35</v>
      </c>
      <c r="DH56" t="s">
        <v>288</v>
      </c>
      <c r="DI56">
        <v>1</v>
      </c>
      <c r="DJ56" t="s">
        <v>289</v>
      </c>
      <c r="DK56">
        <v>17</v>
      </c>
      <c r="DL56" t="s">
        <v>290</v>
      </c>
      <c r="DM56" t="s">
        <v>290</v>
      </c>
      <c r="DN56" t="s">
        <v>291</v>
      </c>
      <c r="DO56">
        <v>38</v>
      </c>
      <c r="DP56" t="s">
        <v>290</v>
      </c>
      <c r="DQ56" t="s">
        <v>290</v>
      </c>
      <c r="DR56" t="s">
        <v>291</v>
      </c>
      <c r="DS56" t="s">
        <v>292</v>
      </c>
      <c r="DT56" t="s">
        <v>293</v>
      </c>
      <c r="DU56" t="s">
        <v>293</v>
      </c>
      <c r="DV56" t="s">
        <v>293</v>
      </c>
      <c r="DW56" s="138">
        <v>432.56244218316402</v>
      </c>
      <c r="DX56" t="s">
        <v>294</v>
      </c>
      <c r="DY56" s="138">
        <v>12.358926919519901</v>
      </c>
      <c r="DZ56" t="s">
        <v>295</v>
      </c>
      <c r="EA56">
        <v>38.75</v>
      </c>
      <c r="EB56" t="s">
        <v>296</v>
      </c>
      <c r="EC56">
        <v>0.15</v>
      </c>
      <c r="ED56" t="s">
        <v>328</v>
      </c>
      <c r="EE56" t="s">
        <v>329</v>
      </c>
      <c r="EF56" t="s">
        <v>297</v>
      </c>
      <c r="EG56">
        <v>1.0271999999999999</v>
      </c>
      <c r="EH56" t="s">
        <v>290</v>
      </c>
      <c r="EI56" t="s">
        <v>290</v>
      </c>
      <c r="EJ56" t="s">
        <v>298</v>
      </c>
      <c r="EK56" t="s">
        <v>290</v>
      </c>
      <c r="EL56" t="s">
        <v>290</v>
      </c>
      <c r="EM56" t="s">
        <v>299</v>
      </c>
      <c r="EN56" t="s">
        <v>300</v>
      </c>
      <c r="EO56" t="s">
        <v>329</v>
      </c>
      <c r="EP56" t="s">
        <v>329</v>
      </c>
      <c r="EQ56" t="s">
        <v>329</v>
      </c>
      <c r="ER56" t="s">
        <v>329</v>
      </c>
      <c r="ES56" t="s">
        <v>167</v>
      </c>
      <c r="ET56" t="s">
        <v>313</v>
      </c>
      <c r="EU56" t="s">
        <v>314</v>
      </c>
      <c r="EV56" t="s">
        <v>315</v>
      </c>
      <c r="EW56" t="s">
        <v>316</v>
      </c>
      <c r="EX56" t="s">
        <v>316</v>
      </c>
      <c r="EY56" t="s">
        <v>316</v>
      </c>
      <c r="EZ56" t="s">
        <v>316</v>
      </c>
      <c r="FA56">
        <v>6.625</v>
      </c>
      <c r="FB56" t="s">
        <v>296</v>
      </c>
      <c r="FC56">
        <v>0.875</v>
      </c>
      <c r="FD56">
        <v>0.875</v>
      </c>
      <c r="FE56">
        <v>7.7853982335475402</v>
      </c>
      <c r="FF56" s="164" t="s">
        <v>301</v>
      </c>
      <c r="FG56" s="154">
        <v>3.0654388402747701E-2</v>
      </c>
      <c r="FH56" s="154">
        <v>3.0654388402747701E-2</v>
      </c>
      <c r="FI56">
        <v>884.79278708660502</v>
      </c>
      <c r="FJ56" s="164">
        <v>0</v>
      </c>
      <c r="FK56" s="164" t="s">
        <v>302</v>
      </c>
      <c r="FL56">
        <v>884.79278708660502</v>
      </c>
      <c r="FM56" s="141">
        <v>215.26945046457502</v>
      </c>
      <c r="FN56" s="141">
        <v>186.01916435263001</v>
      </c>
      <c r="FO56" s="170" t="s">
        <v>303</v>
      </c>
      <c r="FP56" t="s">
        <v>317</v>
      </c>
      <c r="FQ56">
        <v>2501.0581336769801</v>
      </c>
      <c r="FR56">
        <v>386.24621496546973</v>
      </c>
      <c r="FS56">
        <v>374.27996684150003</v>
      </c>
      <c r="FT56">
        <v>2297.9273162734999</v>
      </c>
      <c r="FU56">
        <v>384.4964642413201</v>
      </c>
      <c r="FV56">
        <v>363.52329639167004</v>
      </c>
      <c r="FW56" t="s">
        <v>305</v>
      </c>
      <c r="FX56" t="s">
        <v>305</v>
      </c>
      <c r="FY56" t="s">
        <v>305</v>
      </c>
      <c r="FZ56" t="s">
        <v>305</v>
      </c>
      <c r="GA56" t="s">
        <v>305</v>
      </c>
      <c r="GB56" t="s">
        <v>305</v>
      </c>
      <c r="GC56" t="s">
        <v>318</v>
      </c>
    </row>
    <row r="57" spans="1:185" ht="17">
      <c r="A57" t="s">
        <v>180</v>
      </c>
      <c r="B57" s="202" t="s">
        <v>181</v>
      </c>
      <c r="C57" t="s">
        <v>168</v>
      </c>
      <c r="D57" t="s">
        <v>182</v>
      </c>
      <c r="E57">
        <v>2020</v>
      </c>
      <c r="F57" t="s">
        <v>183</v>
      </c>
      <c r="G57" s="141">
        <v>41012.3291015625</v>
      </c>
      <c r="H57">
        <v>1</v>
      </c>
      <c r="I57">
        <v>1</v>
      </c>
      <c r="J57">
        <v>1177.6633091533799</v>
      </c>
      <c r="K57" s="204">
        <v>331.16887805994998</v>
      </c>
      <c r="L57" s="204">
        <v>247.42663924128794</v>
      </c>
      <c r="M57" s="163" t="b">
        <v>0</v>
      </c>
      <c r="N57" s="163">
        <v>3</v>
      </c>
      <c r="O57" t="s">
        <v>331</v>
      </c>
      <c r="P57" t="s">
        <v>322</v>
      </c>
      <c r="Q57" s="163" t="b">
        <v>1</v>
      </c>
      <c r="R57" s="212" t="s">
        <v>325</v>
      </c>
      <c r="S57" s="163" t="b">
        <v>1</v>
      </c>
      <c r="T57" s="163" t="b">
        <v>0</v>
      </c>
      <c r="U57" s="163" t="s">
        <v>167</v>
      </c>
      <c r="V57" s="163" t="s">
        <v>167</v>
      </c>
      <c r="W57" s="199" t="s">
        <v>167</v>
      </c>
      <c r="X57" s="199" t="s">
        <v>167</v>
      </c>
      <c r="Y57" s="143" t="s">
        <v>184</v>
      </c>
      <c r="Z57" t="s">
        <v>183</v>
      </c>
      <c r="AA57" t="s">
        <v>185</v>
      </c>
      <c r="AB57" t="s">
        <v>186</v>
      </c>
      <c r="AC57">
        <v>8</v>
      </c>
      <c r="AD57">
        <v>2</v>
      </c>
      <c r="AE57">
        <v>77</v>
      </c>
      <c r="AF57">
        <v>78.5</v>
      </c>
      <c r="AG57" s="146">
        <v>59.477499999999999</v>
      </c>
      <c r="AH57">
        <v>59.977499999999999</v>
      </c>
      <c r="AI57" t="s">
        <v>187</v>
      </c>
      <c r="AJ57" t="s">
        <v>188</v>
      </c>
      <c r="AK57" s="147">
        <v>9.2656670000000005</v>
      </c>
      <c r="AL57" s="147">
        <v>-54.544032999999999</v>
      </c>
      <c r="AM57" s="147">
        <v>0.8</v>
      </c>
      <c r="AN57" s="148" t="s">
        <v>167</v>
      </c>
      <c r="AO57" s="148">
        <v>-2549</v>
      </c>
      <c r="AP57" s="148">
        <v>-2850</v>
      </c>
      <c r="AQ57" t="s">
        <v>189</v>
      </c>
      <c r="AR57" t="s">
        <v>190</v>
      </c>
      <c r="AS57" s="141">
        <v>41012.3291015625</v>
      </c>
      <c r="AT57" t="s">
        <v>206</v>
      </c>
      <c r="AU57">
        <v>1</v>
      </c>
      <c r="AV57">
        <v>1</v>
      </c>
      <c r="AW57" t="s">
        <v>207</v>
      </c>
      <c r="AX57" t="s">
        <v>208</v>
      </c>
      <c r="AY57" s="138" t="s">
        <v>209</v>
      </c>
      <c r="AZ57">
        <v>40.906917968750001</v>
      </c>
      <c r="BA57" t="s">
        <v>167</v>
      </c>
      <c r="BB57" t="s">
        <v>167</v>
      </c>
      <c r="BC57" t="s">
        <v>167</v>
      </c>
      <c r="BD57" t="s">
        <v>207</v>
      </c>
      <c r="BE57" t="s">
        <v>210</v>
      </c>
      <c r="BF57" t="s">
        <v>211</v>
      </c>
      <c r="BG57" t="s">
        <v>222</v>
      </c>
      <c r="BH57" t="s">
        <v>217</v>
      </c>
      <c r="BI57" s="157" t="s">
        <v>218</v>
      </c>
      <c r="BJ57" s="156" t="s">
        <v>226</v>
      </c>
      <c r="BK57" t="s">
        <v>219</v>
      </c>
      <c r="BL57" t="s">
        <v>220</v>
      </c>
      <c r="BM57" t="s">
        <v>221</v>
      </c>
      <c r="BN57" t="s">
        <v>237</v>
      </c>
      <c r="BO57">
        <v>2</v>
      </c>
      <c r="BP57" s="140">
        <v>0.18579545743171441</v>
      </c>
      <c r="BQ57" s="139">
        <v>14.714</v>
      </c>
      <c r="BR57" t="s">
        <v>228</v>
      </c>
      <c r="BS57">
        <v>0.23042416639152299</v>
      </c>
      <c r="BT57">
        <v>0.88</v>
      </c>
      <c r="BU57" t="s">
        <v>271</v>
      </c>
      <c r="BV57" t="s">
        <v>271</v>
      </c>
      <c r="BW57" s="163">
        <v>1.85</v>
      </c>
      <c r="BX57" t="s">
        <v>271</v>
      </c>
      <c r="BY57" t="s">
        <v>271</v>
      </c>
      <c r="BZ57" t="s">
        <v>272</v>
      </c>
      <c r="CA57" t="s">
        <v>273</v>
      </c>
      <c r="CB57">
        <v>14.7340054840089</v>
      </c>
      <c r="CC57" t="s">
        <v>274</v>
      </c>
      <c r="CD57" s="165">
        <v>0.27271370877299983</v>
      </c>
      <c r="CE57" t="s">
        <v>326</v>
      </c>
      <c r="CF57" t="s">
        <v>327</v>
      </c>
      <c r="CG57">
        <v>25</v>
      </c>
      <c r="CH57" t="s">
        <v>280</v>
      </c>
      <c r="CI57" t="s">
        <v>280</v>
      </c>
      <c r="CJ57" s="139">
        <v>31.571289763858001</v>
      </c>
      <c r="CK57" t="s">
        <v>281</v>
      </c>
      <c r="CL57" s="140">
        <v>0.63643490587646701</v>
      </c>
      <c r="CM57" s="140">
        <v>0.62058295020579701</v>
      </c>
      <c r="CN57" t="s">
        <v>282</v>
      </c>
      <c r="CO57">
        <v>4.1407746563944201</v>
      </c>
      <c r="CP57" t="s">
        <v>283</v>
      </c>
      <c r="CQ57">
        <v>0.1242232396918326</v>
      </c>
      <c r="CR57">
        <v>0.1242232396918326</v>
      </c>
      <c r="CS57" t="s">
        <v>284</v>
      </c>
      <c r="CT57" t="s">
        <v>167</v>
      </c>
      <c r="CU57" t="s">
        <v>285</v>
      </c>
      <c r="CV57" t="s">
        <v>286</v>
      </c>
      <c r="CW57" t="s">
        <v>280</v>
      </c>
      <c r="CX57" t="s">
        <v>280</v>
      </c>
      <c r="CY57" t="s">
        <v>287</v>
      </c>
      <c r="CZ57" t="s">
        <v>167</v>
      </c>
      <c r="DA57" t="s">
        <v>167</v>
      </c>
      <c r="DB57" t="s">
        <v>167</v>
      </c>
      <c r="DC57" t="s">
        <v>167</v>
      </c>
      <c r="DD57" t="s">
        <v>167</v>
      </c>
      <c r="DE57" t="s">
        <v>167</v>
      </c>
      <c r="DF57" t="s">
        <v>167</v>
      </c>
      <c r="DG57" s="166">
        <v>35</v>
      </c>
      <c r="DH57" t="s">
        <v>288</v>
      </c>
      <c r="DI57">
        <v>1</v>
      </c>
      <c r="DJ57" t="s">
        <v>289</v>
      </c>
      <c r="DK57">
        <v>17</v>
      </c>
      <c r="DL57" t="s">
        <v>290</v>
      </c>
      <c r="DM57" t="s">
        <v>290</v>
      </c>
      <c r="DN57" t="s">
        <v>291</v>
      </c>
      <c r="DO57">
        <v>38</v>
      </c>
      <c r="DP57" t="s">
        <v>290</v>
      </c>
      <c r="DQ57" t="s">
        <v>290</v>
      </c>
      <c r="DR57" t="s">
        <v>291</v>
      </c>
      <c r="DS57" t="s">
        <v>292</v>
      </c>
      <c r="DT57" t="s">
        <v>293</v>
      </c>
      <c r="DU57" t="s">
        <v>293</v>
      </c>
      <c r="DV57" t="s">
        <v>293</v>
      </c>
      <c r="DW57" s="138">
        <v>432.56244218316402</v>
      </c>
      <c r="DX57" t="s">
        <v>294</v>
      </c>
      <c r="DY57" s="138">
        <v>12.35892691952</v>
      </c>
      <c r="DZ57" t="s">
        <v>295</v>
      </c>
      <c r="EA57">
        <v>38.75</v>
      </c>
      <c r="EB57" t="s">
        <v>296</v>
      </c>
      <c r="EC57">
        <v>0.15</v>
      </c>
      <c r="ED57" t="s">
        <v>328</v>
      </c>
      <c r="EE57" t="s">
        <v>329</v>
      </c>
      <c r="EF57" t="s">
        <v>297</v>
      </c>
      <c r="EG57">
        <v>1.0271999999999999</v>
      </c>
      <c r="EH57" t="s">
        <v>290</v>
      </c>
      <c r="EI57" t="s">
        <v>290</v>
      </c>
      <c r="EJ57" t="s">
        <v>298</v>
      </c>
      <c r="EK57" t="s">
        <v>290</v>
      </c>
      <c r="EL57" t="s">
        <v>290</v>
      </c>
      <c r="EM57" t="s">
        <v>299</v>
      </c>
      <c r="EN57" t="s">
        <v>300</v>
      </c>
      <c r="EO57" t="s">
        <v>329</v>
      </c>
      <c r="EP57" t="s">
        <v>329</v>
      </c>
      <c r="EQ57" t="s">
        <v>329</v>
      </c>
      <c r="ER57" t="s">
        <v>329</v>
      </c>
      <c r="ES57" t="s">
        <v>167</v>
      </c>
      <c r="ET57" t="s">
        <v>313</v>
      </c>
      <c r="EU57" t="s">
        <v>314</v>
      </c>
      <c r="EV57" t="s">
        <v>315</v>
      </c>
      <c r="EW57" t="s">
        <v>316</v>
      </c>
      <c r="EX57" t="s">
        <v>316</v>
      </c>
      <c r="EY57" t="s">
        <v>316</v>
      </c>
      <c r="EZ57" t="s">
        <v>316</v>
      </c>
      <c r="FA57">
        <v>6.625</v>
      </c>
      <c r="FB57" t="s">
        <v>296</v>
      </c>
      <c r="FC57">
        <v>0.875</v>
      </c>
      <c r="FD57">
        <v>0.875</v>
      </c>
      <c r="FE57">
        <v>7.7153552379410604</v>
      </c>
      <c r="FF57" s="164" t="s">
        <v>301</v>
      </c>
      <c r="FG57" s="154">
        <v>3.5671444210686701E-2</v>
      </c>
      <c r="FH57" s="154">
        <v>3.5671444210686701E-2</v>
      </c>
      <c r="FI57">
        <v>1177.6633091533799</v>
      </c>
      <c r="FJ57" s="164">
        <v>0</v>
      </c>
      <c r="FK57" s="164" t="s">
        <v>302</v>
      </c>
      <c r="FL57">
        <v>1177.6633091533799</v>
      </c>
      <c r="FM57" s="141">
        <v>331.16887805994998</v>
      </c>
      <c r="FN57" s="141">
        <v>247.42663924128794</v>
      </c>
      <c r="FO57" s="170" t="s">
        <v>303</v>
      </c>
      <c r="FP57" t="s">
        <v>317</v>
      </c>
      <c r="FQ57">
        <v>2760.3100554283501</v>
      </c>
      <c r="FR57">
        <v>474.58188643145991</v>
      </c>
      <c r="FS57">
        <v>429.36921604576003</v>
      </c>
      <c r="FT57">
        <v>2578.0932916265101</v>
      </c>
      <c r="FU57">
        <v>472.46656411863023</v>
      </c>
      <c r="FV57">
        <v>417.64231984201979</v>
      </c>
      <c r="FW57" t="s">
        <v>305</v>
      </c>
      <c r="FX57" t="s">
        <v>305</v>
      </c>
      <c r="FY57" t="s">
        <v>305</v>
      </c>
      <c r="FZ57" t="s">
        <v>305</v>
      </c>
      <c r="GA57" t="s">
        <v>305</v>
      </c>
      <c r="GB57" t="s">
        <v>305</v>
      </c>
      <c r="GC57" t="s">
        <v>318</v>
      </c>
    </row>
    <row r="58" spans="1:185" ht="17">
      <c r="A58" s="149" t="s">
        <v>180</v>
      </c>
      <c r="B58" s="203" t="s">
        <v>181</v>
      </c>
      <c r="C58" s="149" t="s">
        <v>168</v>
      </c>
      <c r="D58" s="149" t="s">
        <v>182</v>
      </c>
      <c r="E58" s="149">
        <v>2020</v>
      </c>
      <c r="F58" s="149" t="s">
        <v>183</v>
      </c>
      <c r="G58" s="141">
        <v>39123.607635498047</v>
      </c>
      <c r="H58" s="149">
        <v>10.28</v>
      </c>
      <c r="I58" s="149">
        <v>10.28</v>
      </c>
      <c r="J58">
        <v>761.72032541999897</v>
      </c>
      <c r="K58" s="204">
        <v>192.94732398948804</v>
      </c>
      <c r="L58" s="204">
        <v>156.14513398955899</v>
      </c>
      <c r="M58" s="163" t="b">
        <v>0</v>
      </c>
      <c r="N58" s="163">
        <v>3</v>
      </c>
      <c r="O58" t="s">
        <v>331</v>
      </c>
      <c r="P58" t="s">
        <v>322</v>
      </c>
      <c r="Q58" s="163" t="b">
        <v>1</v>
      </c>
      <c r="R58" s="212" t="s">
        <v>325</v>
      </c>
      <c r="S58" s="163" t="b">
        <v>1</v>
      </c>
      <c r="T58" s="163" t="b">
        <v>0</v>
      </c>
      <c r="U58" s="163" t="s">
        <v>167</v>
      </c>
      <c r="V58" s="163" t="s">
        <v>167</v>
      </c>
      <c r="W58" s="199" t="s">
        <v>167</v>
      </c>
      <c r="X58" s="199" t="s">
        <v>167</v>
      </c>
      <c r="Y58" s="192" t="s">
        <v>184</v>
      </c>
      <c r="Z58" s="149" t="s">
        <v>183</v>
      </c>
      <c r="AA58" s="149" t="s">
        <v>192</v>
      </c>
      <c r="AB58" s="149" t="s">
        <v>193</v>
      </c>
      <c r="AC58" s="149">
        <v>4</v>
      </c>
      <c r="AD58" s="149">
        <v>5</v>
      </c>
      <c r="AE58" s="149">
        <v>65</v>
      </c>
      <c r="AF58" s="149">
        <v>77</v>
      </c>
      <c r="AG58" s="149">
        <v>29.01</v>
      </c>
      <c r="AH58" s="149">
        <v>29</v>
      </c>
      <c r="AI58" s="149" t="s">
        <v>194</v>
      </c>
      <c r="AJ58" s="149" t="s">
        <v>195</v>
      </c>
      <c r="AK58" s="150">
        <v>18.4404</v>
      </c>
      <c r="AL58" s="150">
        <v>-179.55500000000001</v>
      </c>
      <c r="AM58" s="150">
        <v>11.3</v>
      </c>
      <c r="AN58" s="151" t="s">
        <v>167</v>
      </c>
      <c r="AO58" s="151">
        <v>-1518</v>
      </c>
      <c r="AP58" s="151">
        <v>-1400</v>
      </c>
      <c r="AQ58" s="149" t="s">
        <v>196</v>
      </c>
      <c r="AR58" s="149" t="s">
        <v>190</v>
      </c>
      <c r="AS58" s="141">
        <v>39123.607635498047</v>
      </c>
      <c r="AT58" s="149" t="s">
        <v>206</v>
      </c>
      <c r="AU58" s="149">
        <v>10.28</v>
      </c>
      <c r="AV58" s="149">
        <v>10.28</v>
      </c>
      <c r="AW58" s="149" t="s">
        <v>207</v>
      </c>
      <c r="AX58" s="149" t="s">
        <v>208</v>
      </c>
      <c r="AY58" s="149" t="s">
        <v>212</v>
      </c>
      <c r="AZ58" s="149" t="s">
        <v>167</v>
      </c>
      <c r="BA58" s="149" t="s">
        <v>167</v>
      </c>
      <c r="BB58" s="149" t="s">
        <v>167</v>
      </c>
      <c r="BC58" s="149" t="s">
        <v>167</v>
      </c>
      <c r="BD58" s="149" t="s">
        <v>167</v>
      </c>
      <c r="BE58" s="149" t="s">
        <v>167</v>
      </c>
      <c r="BF58" s="149" t="s">
        <v>167</v>
      </c>
      <c r="BG58" s="149" t="s">
        <v>222</v>
      </c>
      <c r="BH58" s="149" t="s">
        <v>217</v>
      </c>
      <c r="BI58" s="155">
        <v>297</v>
      </c>
      <c r="BJ58" s="155">
        <v>3.1760000000000002</v>
      </c>
      <c r="BK58" s="149" t="s">
        <v>219</v>
      </c>
      <c r="BL58" s="149" t="s">
        <v>220</v>
      </c>
      <c r="BM58" s="149" t="s">
        <v>221</v>
      </c>
      <c r="BN58" s="149" t="s">
        <v>238</v>
      </c>
      <c r="BO58" s="149">
        <v>2</v>
      </c>
      <c r="BP58" s="160">
        <v>6.7062051908314046E-2</v>
      </c>
      <c r="BQ58" s="161">
        <v>15.365611162235799</v>
      </c>
      <c r="BR58" s="149" t="s">
        <v>228</v>
      </c>
      <c r="BS58" s="149">
        <v>0.242792739580516</v>
      </c>
      <c r="BT58">
        <v>0.88</v>
      </c>
      <c r="BU58" t="s">
        <v>271</v>
      </c>
      <c r="BV58" t="s">
        <v>271</v>
      </c>
      <c r="BW58" s="163">
        <v>1.85</v>
      </c>
      <c r="BX58" t="s">
        <v>271</v>
      </c>
      <c r="BY58" t="s">
        <v>271</v>
      </c>
      <c r="BZ58" t="s">
        <v>272</v>
      </c>
      <c r="CA58" t="s">
        <v>273</v>
      </c>
      <c r="CB58">
        <v>15.4749127958963</v>
      </c>
      <c r="CC58" t="s">
        <v>274</v>
      </c>
      <c r="CD58" s="165">
        <v>0.28037557447514949</v>
      </c>
      <c r="CE58" t="s">
        <v>326</v>
      </c>
      <c r="CF58" t="s">
        <v>327</v>
      </c>
      <c r="CG58">
        <v>25</v>
      </c>
      <c r="CH58" t="s">
        <v>280</v>
      </c>
      <c r="CI58" t="s">
        <v>280</v>
      </c>
      <c r="CJ58" s="139">
        <v>32.252958138011302</v>
      </c>
      <c r="CK58" t="s">
        <v>281</v>
      </c>
      <c r="CL58" s="140">
        <v>0.60921945379783105</v>
      </c>
      <c r="CM58" s="140">
        <v>0.55262011114709297</v>
      </c>
      <c r="CN58" t="s">
        <v>282</v>
      </c>
      <c r="CO58">
        <v>4.0367166214332197</v>
      </c>
      <c r="CP58" t="s">
        <v>283</v>
      </c>
      <c r="CQ58" s="149">
        <v>0.12110149864299659</v>
      </c>
      <c r="CR58" s="149">
        <v>0.12110149864299659</v>
      </c>
      <c r="CS58" t="s">
        <v>284</v>
      </c>
      <c r="CT58" t="s">
        <v>167</v>
      </c>
      <c r="CU58" t="s">
        <v>285</v>
      </c>
      <c r="CV58" t="s">
        <v>286</v>
      </c>
      <c r="CW58" t="s">
        <v>280</v>
      </c>
      <c r="CX58" t="s">
        <v>280</v>
      </c>
      <c r="CY58" t="s">
        <v>287</v>
      </c>
      <c r="CZ58" t="s">
        <v>167</v>
      </c>
      <c r="DA58" t="s">
        <v>167</v>
      </c>
      <c r="DB58" t="s">
        <v>167</v>
      </c>
      <c r="DC58" t="s">
        <v>167</v>
      </c>
      <c r="DD58" t="s">
        <v>167</v>
      </c>
      <c r="DE58" t="s">
        <v>167</v>
      </c>
      <c r="DF58" t="s">
        <v>167</v>
      </c>
      <c r="DG58" s="166">
        <v>35</v>
      </c>
      <c r="DH58" t="s">
        <v>288</v>
      </c>
      <c r="DI58">
        <v>1</v>
      </c>
      <c r="DJ58" t="s">
        <v>289</v>
      </c>
      <c r="DK58">
        <v>17</v>
      </c>
      <c r="DL58" t="s">
        <v>290</v>
      </c>
      <c r="DM58" t="s">
        <v>290</v>
      </c>
      <c r="DN58" t="s">
        <v>291</v>
      </c>
      <c r="DO58">
        <v>38</v>
      </c>
      <c r="DP58" t="s">
        <v>290</v>
      </c>
      <c r="DQ58" t="s">
        <v>290</v>
      </c>
      <c r="DR58" t="s">
        <v>291</v>
      </c>
      <c r="DS58" t="s">
        <v>292</v>
      </c>
      <c r="DT58" t="s">
        <v>293</v>
      </c>
      <c r="DU58" t="s">
        <v>293</v>
      </c>
      <c r="DV58" t="s">
        <v>293</v>
      </c>
      <c r="DW58" s="138">
        <v>432.56244218316402</v>
      </c>
      <c r="DX58" t="s">
        <v>294</v>
      </c>
      <c r="DY58" s="138">
        <v>12.358926919520099</v>
      </c>
      <c r="DZ58" t="s">
        <v>295</v>
      </c>
      <c r="EA58">
        <v>38.75</v>
      </c>
      <c r="EB58" t="s">
        <v>296</v>
      </c>
      <c r="EC58">
        <v>0.15</v>
      </c>
      <c r="ED58" t="s">
        <v>328</v>
      </c>
      <c r="EE58" t="s">
        <v>329</v>
      </c>
      <c r="EF58" t="s">
        <v>297</v>
      </c>
      <c r="EG58">
        <v>1.0271999999999999</v>
      </c>
      <c r="EH58" t="s">
        <v>290</v>
      </c>
      <c r="EI58" t="s">
        <v>290</v>
      </c>
      <c r="EJ58" t="s">
        <v>298</v>
      </c>
      <c r="EK58" t="s">
        <v>290</v>
      </c>
      <c r="EL58" t="s">
        <v>290</v>
      </c>
      <c r="EM58" t="s">
        <v>299</v>
      </c>
      <c r="EN58" t="s">
        <v>300</v>
      </c>
      <c r="EO58" t="s">
        <v>329</v>
      </c>
      <c r="EP58" t="s">
        <v>329</v>
      </c>
      <c r="EQ58" t="s">
        <v>329</v>
      </c>
      <c r="ER58" t="s">
        <v>329</v>
      </c>
      <c r="ES58" t="s">
        <v>167</v>
      </c>
      <c r="ET58" t="s">
        <v>313</v>
      </c>
      <c r="EU58" t="s">
        <v>314</v>
      </c>
      <c r="EV58" t="s">
        <v>315</v>
      </c>
      <c r="EW58" t="s">
        <v>316</v>
      </c>
      <c r="EX58" t="s">
        <v>316</v>
      </c>
      <c r="EY58" t="s">
        <v>316</v>
      </c>
      <c r="EZ58" t="s">
        <v>316</v>
      </c>
      <c r="FA58">
        <v>6.625</v>
      </c>
      <c r="FB58" t="s">
        <v>296</v>
      </c>
      <c r="FC58">
        <v>0.875</v>
      </c>
      <c r="FD58">
        <v>0.875</v>
      </c>
      <c r="FE58">
        <v>7.8078545695298898</v>
      </c>
      <c r="FF58" s="164" t="s">
        <v>301</v>
      </c>
      <c r="FG58" s="169">
        <v>2.9694065176374199E-2</v>
      </c>
      <c r="FH58" s="169">
        <v>2.9694065176374199E-2</v>
      </c>
      <c r="FI58">
        <v>761.72032541999897</v>
      </c>
      <c r="FJ58" s="164">
        <v>0</v>
      </c>
      <c r="FK58" s="164" t="s">
        <v>302</v>
      </c>
      <c r="FL58">
        <v>761.72032541999897</v>
      </c>
      <c r="FM58" s="141">
        <v>192.94732398948804</v>
      </c>
      <c r="FN58" s="141">
        <v>156.14513398955899</v>
      </c>
      <c r="FO58" s="170" t="s">
        <v>303</v>
      </c>
      <c r="FP58" t="s">
        <v>317</v>
      </c>
      <c r="FQ58">
        <v>2280.5760614793699</v>
      </c>
      <c r="FR58">
        <v>333.62802251923983</v>
      </c>
      <c r="FS58">
        <v>329.14057862586003</v>
      </c>
      <c r="FT58">
        <v>2076.0683708280999</v>
      </c>
      <c r="FU58">
        <v>327.06843843857996</v>
      </c>
      <c r="FV58">
        <v>321.87866408380989</v>
      </c>
      <c r="FW58" t="s">
        <v>305</v>
      </c>
      <c r="FX58" t="s">
        <v>305</v>
      </c>
      <c r="FY58" t="s">
        <v>305</v>
      </c>
      <c r="FZ58" t="s">
        <v>305</v>
      </c>
      <c r="GA58" t="s">
        <v>305</v>
      </c>
      <c r="GB58" t="s">
        <v>305</v>
      </c>
      <c r="GC58" t="s">
        <v>318</v>
      </c>
    </row>
    <row r="59" spans="1:185" ht="17">
      <c r="A59" t="s">
        <v>180</v>
      </c>
      <c r="B59" s="202" t="s">
        <v>181</v>
      </c>
      <c r="C59" t="s">
        <v>168</v>
      </c>
      <c r="D59" t="s">
        <v>182</v>
      </c>
      <c r="E59">
        <v>2020</v>
      </c>
      <c r="F59" t="s">
        <v>183</v>
      </c>
      <c r="G59" s="141">
        <v>39327.358245849609</v>
      </c>
      <c r="H59">
        <v>1.1299999999999999</v>
      </c>
      <c r="I59">
        <v>1.1299999999999999</v>
      </c>
      <c r="J59">
        <v>884.04161876849605</v>
      </c>
      <c r="K59" s="204">
        <v>231.491777910314</v>
      </c>
      <c r="L59" s="204">
        <v>184.90485094719509</v>
      </c>
      <c r="M59" s="163" t="b">
        <v>0</v>
      </c>
      <c r="N59" s="163">
        <v>3</v>
      </c>
      <c r="O59" t="s">
        <v>331</v>
      </c>
      <c r="P59" t="s">
        <v>322</v>
      </c>
      <c r="Q59" s="163" t="b">
        <v>1</v>
      </c>
      <c r="R59" s="212" t="s">
        <v>325</v>
      </c>
      <c r="S59" s="163" t="b">
        <v>1</v>
      </c>
      <c r="T59" s="163" t="b">
        <v>0</v>
      </c>
      <c r="U59" s="163" t="s">
        <v>167</v>
      </c>
      <c r="V59" s="163" t="s">
        <v>167</v>
      </c>
      <c r="W59" s="199" t="s">
        <v>167</v>
      </c>
      <c r="X59" s="199" t="s">
        <v>167</v>
      </c>
      <c r="Y59" s="143" t="s">
        <v>184</v>
      </c>
      <c r="Z59" t="s">
        <v>183</v>
      </c>
      <c r="AA59" t="s">
        <v>192</v>
      </c>
      <c r="AB59" t="s">
        <v>193</v>
      </c>
      <c r="AC59">
        <v>4</v>
      </c>
      <c r="AD59">
        <v>6</v>
      </c>
      <c r="AE59">
        <v>25</v>
      </c>
      <c r="AF59">
        <v>27</v>
      </c>
      <c r="AG59">
        <v>30.06</v>
      </c>
      <c r="AH59">
        <v>30.076189041137695</v>
      </c>
      <c r="AI59" t="s">
        <v>194</v>
      </c>
      <c r="AJ59" t="s">
        <v>195</v>
      </c>
      <c r="AK59" s="147">
        <v>18.4404</v>
      </c>
      <c r="AL59" s="147">
        <v>-179.55500000000001</v>
      </c>
      <c r="AM59" s="147">
        <v>11.3</v>
      </c>
      <c r="AN59" s="148" t="s">
        <v>167</v>
      </c>
      <c r="AO59" s="148">
        <v>-1518</v>
      </c>
      <c r="AP59" s="148">
        <v>-1400</v>
      </c>
      <c r="AQ59" t="s">
        <v>196</v>
      </c>
      <c r="AR59" t="s">
        <v>190</v>
      </c>
      <c r="AS59" s="141">
        <v>39327.358245849609</v>
      </c>
      <c r="AT59" t="s">
        <v>206</v>
      </c>
      <c r="AU59">
        <v>1.1299999999999999</v>
      </c>
      <c r="AV59">
        <v>1.1299999999999999</v>
      </c>
      <c r="AW59" t="s">
        <v>207</v>
      </c>
      <c r="AX59" t="s">
        <v>208</v>
      </c>
      <c r="AY59" t="s">
        <v>212</v>
      </c>
      <c r="AZ59" t="s">
        <v>167</v>
      </c>
      <c r="BA59" t="s">
        <v>167</v>
      </c>
      <c r="BB59" t="s">
        <v>167</v>
      </c>
      <c r="BC59" t="s">
        <v>167</v>
      </c>
      <c r="BD59" t="s">
        <v>167</v>
      </c>
      <c r="BE59" t="s">
        <v>167</v>
      </c>
      <c r="BF59" t="s">
        <v>167</v>
      </c>
      <c r="BG59" t="s">
        <v>224</v>
      </c>
      <c r="BH59" t="s">
        <v>217</v>
      </c>
      <c r="BI59" s="157" t="s">
        <v>218</v>
      </c>
      <c r="BJ59" s="156" t="s">
        <v>226</v>
      </c>
      <c r="BK59" t="s">
        <v>219</v>
      </c>
      <c r="BL59" t="s">
        <v>220</v>
      </c>
      <c r="BM59" t="s">
        <v>221</v>
      </c>
      <c r="BN59" t="s">
        <v>239</v>
      </c>
      <c r="BO59">
        <v>2</v>
      </c>
      <c r="BP59" s="140">
        <v>0.12044767479109984</v>
      </c>
      <c r="BQ59" s="139">
        <v>15.063498821330001</v>
      </c>
      <c r="BR59" t="s">
        <v>228</v>
      </c>
      <c r="BS59">
        <v>0.231410993780505</v>
      </c>
      <c r="BT59">
        <v>0.88</v>
      </c>
      <c r="BU59" t="s">
        <v>271</v>
      </c>
      <c r="BV59" t="s">
        <v>271</v>
      </c>
      <c r="BW59" s="163">
        <v>1.85</v>
      </c>
      <c r="BX59" t="s">
        <v>271</v>
      </c>
      <c r="BY59" t="s">
        <v>271</v>
      </c>
      <c r="BZ59" t="s">
        <v>272</v>
      </c>
      <c r="CA59" t="s">
        <v>273</v>
      </c>
      <c r="CB59">
        <v>15.1325517651727</v>
      </c>
      <c r="CC59" t="s">
        <v>274</v>
      </c>
      <c r="CD59" s="165">
        <v>0.25999352080634974</v>
      </c>
      <c r="CE59" t="s">
        <v>326</v>
      </c>
      <c r="CF59" t="s">
        <v>327</v>
      </c>
      <c r="CG59">
        <v>25</v>
      </c>
      <c r="CH59" t="s">
        <v>280</v>
      </c>
      <c r="CI59" t="s">
        <v>280</v>
      </c>
      <c r="CJ59" s="139">
        <v>29.651654578524699</v>
      </c>
      <c r="CK59" t="s">
        <v>281</v>
      </c>
      <c r="CL59" s="140">
        <v>0.64647872664202699</v>
      </c>
      <c r="CM59" s="140">
        <v>0.58322469983979297</v>
      </c>
      <c r="CN59" t="s">
        <v>282</v>
      </c>
      <c r="CO59">
        <v>3.51055801497992</v>
      </c>
      <c r="CP59" t="s">
        <v>283</v>
      </c>
      <c r="CQ59">
        <v>0.10531674044939759</v>
      </c>
      <c r="CR59">
        <v>0.10531674044939759</v>
      </c>
      <c r="CS59" t="s">
        <v>284</v>
      </c>
      <c r="CT59" t="s">
        <v>167</v>
      </c>
      <c r="CU59" t="s">
        <v>285</v>
      </c>
      <c r="CV59" t="s">
        <v>286</v>
      </c>
      <c r="CW59" t="s">
        <v>280</v>
      </c>
      <c r="CX59" t="s">
        <v>280</v>
      </c>
      <c r="CY59" t="s">
        <v>287</v>
      </c>
      <c r="CZ59" t="s">
        <v>167</v>
      </c>
      <c r="DA59" t="s">
        <v>167</v>
      </c>
      <c r="DB59" t="s">
        <v>167</v>
      </c>
      <c r="DC59" t="s">
        <v>167</v>
      </c>
      <c r="DD59" t="s">
        <v>167</v>
      </c>
      <c r="DE59" t="s">
        <v>167</v>
      </c>
      <c r="DF59" t="s">
        <v>167</v>
      </c>
      <c r="DG59" s="166">
        <v>35</v>
      </c>
      <c r="DH59" t="s">
        <v>288</v>
      </c>
      <c r="DI59">
        <v>1</v>
      </c>
      <c r="DJ59" t="s">
        <v>289</v>
      </c>
      <c r="DK59">
        <v>17</v>
      </c>
      <c r="DL59" t="s">
        <v>290</v>
      </c>
      <c r="DM59" t="s">
        <v>290</v>
      </c>
      <c r="DN59" t="s">
        <v>291</v>
      </c>
      <c r="DO59">
        <v>38</v>
      </c>
      <c r="DP59" t="s">
        <v>290</v>
      </c>
      <c r="DQ59" t="s">
        <v>290</v>
      </c>
      <c r="DR59" t="s">
        <v>291</v>
      </c>
      <c r="DS59" t="s">
        <v>292</v>
      </c>
      <c r="DT59" t="s">
        <v>293</v>
      </c>
      <c r="DU59" t="s">
        <v>293</v>
      </c>
      <c r="DV59" t="s">
        <v>293</v>
      </c>
      <c r="DW59" s="138">
        <v>432.56244218316402</v>
      </c>
      <c r="DX59" t="s">
        <v>294</v>
      </c>
      <c r="DY59" s="138">
        <v>12.358926919520201</v>
      </c>
      <c r="DZ59" t="s">
        <v>295</v>
      </c>
      <c r="EA59">
        <v>38.75</v>
      </c>
      <c r="EB59" t="s">
        <v>296</v>
      </c>
      <c r="EC59">
        <v>0.15</v>
      </c>
      <c r="ED59" t="s">
        <v>328</v>
      </c>
      <c r="EE59" t="s">
        <v>329</v>
      </c>
      <c r="EF59" t="s">
        <v>297</v>
      </c>
      <c r="EG59">
        <v>1.0271999999999999</v>
      </c>
      <c r="EH59" t="s">
        <v>290</v>
      </c>
      <c r="EI59" t="s">
        <v>290</v>
      </c>
      <c r="EJ59" t="s">
        <v>298</v>
      </c>
      <c r="EK59" t="s">
        <v>290</v>
      </c>
      <c r="EL59" t="s">
        <v>290</v>
      </c>
      <c r="EM59" t="s">
        <v>299</v>
      </c>
      <c r="EN59" t="s">
        <v>300</v>
      </c>
      <c r="EO59" t="s">
        <v>329</v>
      </c>
      <c r="EP59" t="s">
        <v>329</v>
      </c>
      <c r="EQ59" t="s">
        <v>329</v>
      </c>
      <c r="ER59" t="s">
        <v>329</v>
      </c>
      <c r="ES59" t="s">
        <v>167</v>
      </c>
      <c r="ET59" t="s">
        <v>313</v>
      </c>
      <c r="EU59" t="s">
        <v>314</v>
      </c>
      <c r="EV59" t="s">
        <v>315</v>
      </c>
      <c r="EW59" t="s">
        <v>316</v>
      </c>
      <c r="EX59" t="s">
        <v>316</v>
      </c>
      <c r="EY59" t="s">
        <v>316</v>
      </c>
      <c r="EZ59" t="s">
        <v>316</v>
      </c>
      <c r="FA59">
        <v>6.625</v>
      </c>
      <c r="FB59" t="s">
        <v>296</v>
      </c>
      <c r="FC59">
        <v>0.875</v>
      </c>
      <c r="FD59">
        <v>0.875</v>
      </c>
      <c r="FE59">
        <v>7.7942933112410104</v>
      </c>
      <c r="FF59" s="164" t="s">
        <v>301</v>
      </c>
      <c r="FG59" s="154">
        <v>3.1439719368153499E-2</v>
      </c>
      <c r="FH59" s="154">
        <v>3.1439719368153499E-2</v>
      </c>
      <c r="FI59">
        <v>884.04161876849605</v>
      </c>
      <c r="FJ59" s="164">
        <v>0</v>
      </c>
      <c r="FK59" s="164" t="s">
        <v>302</v>
      </c>
      <c r="FL59">
        <v>884.04161876849605</v>
      </c>
      <c r="FM59" s="141">
        <v>231.491777910314</v>
      </c>
      <c r="FN59" s="141">
        <v>184.90485094719509</v>
      </c>
      <c r="FO59" s="170" t="s">
        <v>303</v>
      </c>
      <c r="FP59" t="s">
        <v>317</v>
      </c>
      <c r="FQ59">
        <v>2544.2783710291601</v>
      </c>
      <c r="FR59">
        <v>416.65898032122988</v>
      </c>
      <c r="FS59">
        <v>381.11296667580001</v>
      </c>
      <c r="FT59">
        <v>2348.7670006984999</v>
      </c>
      <c r="FU59">
        <v>413.2363072687898</v>
      </c>
      <c r="FV59">
        <v>370.31088620202019</v>
      </c>
      <c r="FW59" t="s">
        <v>305</v>
      </c>
      <c r="FX59" t="s">
        <v>305</v>
      </c>
      <c r="FY59" t="s">
        <v>305</v>
      </c>
      <c r="FZ59" t="s">
        <v>305</v>
      </c>
      <c r="GA59" t="s">
        <v>305</v>
      </c>
      <c r="GB59" t="s">
        <v>305</v>
      </c>
      <c r="GC59" t="s">
        <v>318</v>
      </c>
    </row>
    <row r="60" spans="1:185" ht="17">
      <c r="A60" t="s">
        <v>180</v>
      </c>
      <c r="B60" s="202" t="s">
        <v>181</v>
      </c>
      <c r="C60" t="s">
        <v>168</v>
      </c>
      <c r="D60" t="s">
        <v>182</v>
      </c>
      <c r="E60">
        <v>2020</v>
      </c>
      <c r="F60" t="s">
        <v>183</v>
      </c>
      <c r="G60" s="141">
        <v>39958.087921142578</v>
      </c>
      <c r="H60">
        <v>2.25</v>
      </c>
      <c r="I60">
        <v>2.25</v>
      </c>
      <c r="J60">
        <v>895.12367541607796</v>
      </c>
      <c r="K60" s="204">
        <v>243.71795706561215</v>
      </c>
      <c r="L60" s="204">
        <v>180.52492460471296</v>
      </c>
      <c r="M60" s="163" t="b">
        <v>0</v>
      </c>
      <c r="N60" s="163">
        <v>3</v>
      </c>
      <c r="O60" t="s">
        <v>331</v>
      </c>
      <c r="P60" t="s">
        <v>322</v>
      </c>
      <c r="Q60" s="163" t="b">
        <v>1</v>
      </c>
      <c r="R60" s="212" t="s">
        <v>325</v>
      </c>
      <c r="S60" s="163" t="b">
        <v>1</v>
      </c>
      <c r="T60" s="163" t="b">
        <v>0</v>
      </c>
      <c r="U60" s="163" t="s">
        <v>167</v>
      </c>
      <c r="V60" s="163" t="s">
        <v>167</v>
      </c>
      <c r="W60" s="199" t="s">
        <v>167</v>
      </c>
      <c r="X60" s="199" t="s">
        <v>167</v>
      </c>
      <c r="Y60" s="143" t="s">
        <v>184</v>
      </c>
      <c r="Z60" t="s">
        <v>183</v>
      </c>
      <c r="AA60" t="s">
        <v>192</v>
      </c>
      <c r="AB60" t="s">
        <v>191</v>
      </c>
      <c r="AC60">
        <v>4</v>
      </c>
      <c r="AD60">
        <v>4</v>
      </c>
      <c r="AE60">
        <v>88</v>
      </c>
      <c r="AF60">
        <v>92</v>
      </c>
      <c r="AG60">
        <v>32.9</v>
      </c>
      <c r="AH60">
        <v>33.68</v>
      </c>
      <c r="AI60" t="s">
        <v>194</v>
      </c>
      <c r="AJ60" t="s">
        <v>195</v>
      </c>
      <c r="AK60" s="147">
        <v>18.4404</v>
      </c>
      <c r="AL60" s="147">
        <v>-179.55500000000001</v>
      </c>
      <c r="AM60" s="147">
        <v>11.3</v>
      </c>
      <c r="AN60" s="148" t="s">
        <v>167</v>
      </c>
      <c r="AO60" s="148">
        <v>-1518</v>
      </c>
      <c r="AP60" s="148">
        <v>-1400</v>
      </c>
      <c r="AQ60" t="s">
        <v>196</v>
      </c>
      <c r="AR60" t="s">
        <v>190</v>
      </c>
      <c r="AS60" s="141">
        <v>39958.087921142578</v>
      </c>
      <c r="AT60" t="s">
        <v>206</v>
      </c>
      <c r="AU60">
        <v>2.25</v>
      </c>
      <c r="AV60">
        <v>2.25</v>
      </c>
      <c r="AW60" t="s">
        <v>207</v>
      </c>
      <c r="AX60" t="s">
        <v>208</v>
      </c>
      <c r="AY60" t="s">
        <v>212</v>
      </c>
      <c r="AZ60" t="s">
        <v>167</v>
      </c>
      <c r="BA60" t="s">
        <v>167</v>
      </c>
      <c r="BB60" t="s">
        <v>167</v>
      </c>
      <c r="BC60" t="s">
        <v>167</v>
      </c>
      <c r="BD60" t="s">
        <v>167</v>
      </c>
      <c r="BE60" t="s">
        <v>167</v>
      </c>
      <c r="BF60" t="s">
        <v>167</v>
      </c>
      <c r="BG60" t="s">
        <v>222</v>
      </c>
      <c r="BH60" t="s">
        <v>217</v>
      </c>
      <c r="BI60" s="157">
        <v>303</v>
      </c>
      <c r="BJ60" s="157">
        <v>3.1219999999999999</v>
      </c>
      <c r="BK60" t="s">
        <v>219</v>
      </c>
      <c r="BL60" t="s">
        <v>220</v>
      </c>
      <c r="BM60" t="s">
        <v>221</v>
      </c>
      <c r="BN60" t="s">
        <v>240</v>
      </c>
      <c r="BO60">
        <v>2</v>
      </c>
      <c r="BP60" s="140">
        <v>0.17980846078171095</v>
      </c>
      <c r="BQ60" s="139">
        <v>15.114143020923301</v>
      </c>
      <c r="BR60" t="s">
        <v>228</v>
      </c>
      <c r="BS60">
        <v>0.24217459745852801</v>
      </c>
      <c r="BT60">
        <v>0.88</v>
      </c>
      <c r="BU60" t="s">
        <v>271</v>
      </c>
      <c r="BV60" t="s">
        <v>271</v>
      </c>
      <c r="BW60" s="163">
        <v>1.85</v>
      </c>
      <c r="BX60" t="s">
        <v>271</v>
      </c>
      <c r="BY60" t="s">
        <v>271</v>
      </c>
      <c r="BZ60" t="s">
        <v>272</v>
      </c>
      <c r="CA60" t="s">
        <v>273</v>
      </c>
      <c r="CB60">
        <v>15.2010917563086</v>
      </c>
      <c r="CC60" t="s">
        <v>274</v>
      </c>
      <c r="CD60" s="165">
        <v>0.27213260997680067</v>
      </c>
      <c r="CE60" t="s">
        <v>326</v>
      </c>
      <c r="CF60" t="s">
        <v>327</v>
      </c>
      <c r="CG60">
        <v>25</v>
      </c>
      <c r="CH60" t="s">
        <v>280</v>
      </c>
      <c r="CI60" t="s">
        <v>280</v>
      </c>
      <c r="CJ60" s="139">
        <v>32.726622757977601</v>
      </c>
      <c r="CK60" t="s">
        <v>281</v>
      </c>
      <c r="CL60" s="140">
        <v>0.59908826191437803</v>
      </c>
      <c r="CM60" s="140">
        <v>0.61500256129666298</v>
      </c>
      <c r="CN60" t="s">
        <v>282</v>
      </c>
      <c r="CO60">
        <v>4.2456543477265596</v>
      </c>
      <c r="CP60" t="s">
        <v>283</v>
      </c>
      <c r="CQ60">
        <v>0.12736963043179678</v>
      </c>
      <c r="CR60">
        <v>0.12736963043179678</v>
      </c>
      <c r="CS60" t="s">
        <v>284</v>
      </c>
      <c r="CT60" t="s">
        <v>167</v>
      </c>
      <c r="CU60" t="s">
        <v>285</v>
      </c>
      <c r="CV60" t="s">
        <v>286</v>
      </c>
      <c r="CW60" t="s">
        <v>280</v>
      </c>
      <c r="CX60" t="s">
        <v>280</v>
      </c>
      <c r="CY60" t="s">
        <v>287</v>
      </c>
      <c r="CZ60" t="s">
        <v>167</v>
      </c>
      <c r="DA60" t="s">
        <v>167</v>
      </c>
      <c r="DB60" t="s">
        <v>167</v>
      </c>
      <c r="DC60" t="s">
        <v>167</v>
      </c>
      <c r="DD60" t="s">
        <v>167</v>
      </c>
      <c r="DE60" t="s">
        <v>167</v>
      </c>
      <c r="DF60" t="s">
        <v>167</v>
      </c>
      <c r="DG60" s="166">
        <v>35</v>
      </c>
      <c r="DH60" t="s">
        <v>288</v>
      </c>
      <c r="DI60">
        <v>1</v>
      </c>
      <c r="DJ60" t="s">
        <v>289</v>
      </c>
      <c r="DK60">
        <v>17</v>
      </c>
      <c r="DL60" t="s">
        <v>290</v>
      </c>
      <c r="DM60" t="s">
        <v>290</v>
      </c>
      <c r="DN60" t="s">
        <v>291</v>
      </c>
      <c r="DO60">
        <v>38</v>
      </c>
      <c r="DP60" t="s">
        <v>290</v>
      </c>
      <c r="DQ60" t="s">
        <v>290</v>
      </c>
      <c r="DR60" t="s">
        <v>291</v>
      </c>
      <c r="DS60" t="s">
        <v>292</v>
      </c>
      <c r="DT60" t="s">
        <v>293</v>
      </c>
      <c r="DU60" t="s">
        <v>293</v>
      </c>
      <c r="DV60" t="s">
        <v>293</v>
      </c>
      <c r="DW60" s="138">
        <v>432.56244218316402</v>
      </c>
      <c r="DX60" t="s">
        <v>294</v>
      </c>
      <c r="DY60" s="138">
        <v>12.3589269195203</v>
      </c>
      <c r="DZ60" t="s">
        <v>295</v>
      </c>
      <c r="EA60">
        <v>38.75</v>
      </c>
      <c r="EB60" t="s">
        <v>296</v>
      </c>
      <c r="EC60">
        <v>0.15</v>
      </c>
      <c r="ED60" t="s">
        <v>328</v>
      </c>
      <c r="EE60" t="s">
        <v>329</v>
      </c>
      <c r="EF60" t="s">
        <v>297</v>
      </c>
      <c r="EG60">
        <v>1.0271999999999999</v>
      </c>
      <c r="EH60" t="s">
        <v>290</v>
      </c>
      <c r="EI60" t="s">
        <v>290</v>
      </c>
      <c r="EJ60" t="s">
        <v>298</v>
      </c>
      <c r="EK60" t="s">
        <v>290</v>
      </c>
      <c r="EL60" t="s">
        <v>290</v>
      </c>
      <c r="EM60" t="s">
        <v>299</v>
      </c>
      <c r="EN60" t="s">
        <v>300</v>
      </c>
      <c r="EO60" t="s">
        <v>329</v>
      </c>
      <c r="EP60" t="s">
        <v>329</v>
      </c>
      <c r="EQ60" t="s">
        <v>329</v>
      </c>
      <c r="ER60" t="s">
        <v>329</v>
      </c>
      <c r="ES60" t="s">
        <v>167</v>
      </c>
      <c r="ET60" t="s">
        <v>313</v>
      </c>
      <c r="EU60" t="s">
        <v>314</v>
      </c>
      <c r="EV60" t="s">
        <v>315</v>
      </c>
      <c r="EW60" t="s">
        <v>316</v>
      </c>
      <c r="EX60" t="s">
        <v>316</v>
      </c>
      <c r="EY60" t="s">
        <v>316</v>
      </c>
      <c r="EZ60" t="s">
        <v>316</v>
      </c>
      <c r="FA60">
        <v>6.625</v>
      </c>
      <c r="FB60" t="s">
        <v>296</v>
      </c>
      <c r="FC60">
        <v>0.875</v>
      </c>
      <c r="FD60">
        <v>0.875</v>
      </c>
      <c r="FE60">
        <v>7.7679438339295697</v>
      </c>
      <c r="FF60" s="164" t="s">
        <v>301</v>
      </c>
      <c r="FG60" s="154">
        <v>3.12595410785972E-2</v>
      </c>
      <c r="FH60" s="154">
        <v>3.12595410785972E-2</v>
      </c>
      <c r="FI60">
        <v>895.12367541607796</v>
      </c>
      <c r="FJ60" s="164">
        <v>0</v>
      </c>
      <c r="FK60" s="164" t="s">
        <v>302</v>
      </c>
      <c r="FL60">
        <v>895.12367541607796</v>
      </c>
      <c r="FM60" s="141">
        <v>243.71795706561215</v>
      </c>
      <c r="FN60" s="141">
        <v>180.52492460471296</v>
      </c>
      <c r="FO60" s="170" t="s">
        <v>303</v>
      </c>
      <c r="FP60" t="s">
        <v>317</v>
      </c>
      <c r="FQ60">
        <v>2422.2230665119696</v>
      </c>
      <c r="FR60">
        <v>384.94671772925034</v>
      </c>
      <c r="FS60">
        <v>356.49454415602986</v>
      </c>
      <c r="FT60">
        <v>2222.84619244942</v>
      </c>
      <c r="FU60">
        <v>383.08573879157007</v>
      </c>
      <c r="FV60">
        <v>348.89842706785987</v>
      </c>
      <c r="FW60" t="s">
        <v>305</v>
      </c>
      <c r="FX60" t="s">
        <v>305</v>
      </c>
      <c r="FY60" t="s">
        <v>305</v>
      </c>
      <c r="FZ60" t="s">
        <v>305</v>
      </c>
      <c r="GA60" t="s">
        <v>305</v>
      </c>
      <c r="GB60" t="s">
        <v>305</v>
      </c>
      <c r="GC60" t="s">
        <v>318</v>
      </c>
    </row>
    <row r="61" spans="1:185" ht="17">
      <c r="A61" t="s">
        <v>180</v>
      </c>
      <c r="B61" s="202" t="s">
        <v>181</v>
      </c>
      <c r="C61" t="s">
        <v>168</v>
      </c>
      <c r="D61" t="s">
        <v>182</v>
      </c>
      <c r="E61">
        <v>2020</v>
      </c>
      <c r="F61" t="s">
        <v>183</v>
      </c>
      <c r="G61" s="141">
        <v>40000.175476074219</v>
      </c>
      <c r="H61">
        <v>0.76</v>
      </c>
      <c r="I61">
        <v>0.76</v>
      </c>
      <c r="J61">
        <v>870.51153839790197</v>
      </c>
      <c r="K61" s="204">
        <v>212.40586117339797</v>
      </c>
      <c r="L61" s="204">
        <v>184.60084996548198</v>
      </c>
      <c r="M61" s="163" t="b">
        <v>0</v>
      </c>
      <c r="N61" s="163">
        <v>3</v>
      </c>
      <c r="O61" t="s">
        <v>331</v>
      </c>
      <c r="P61" t="s">
        <v>322</v>
      </c>
      <c r="Q61" s="163" t="b">
        <v>1</v>
      </c>
      <c r="R61" s="212" t="s">
        <v>325</v>
      </c>
      <c r="S61" s="163" t="b">
        <v>1</v>
      </c>
      <c r="T61" s="163" t="b">
        <v>0</v>
      </c>
      <c r="U61" s="163" t="s">
        <v>167</v>
      </c>
      <c r="V61" s="163" t="s">
        <v>167</v>
      </c>
      <c r="W61" s="199" t="s">
        <v>167</v>
      </c>
      <c r="X61" s="199" t="s">
        <v>167</v>
      </c>
      <c r="Y61" s="143" t="s">
        <v>184</v>
      </c>
      <c r="Z61" t="s">
        <v>183</v>
      </c>
      <c r="AA61" t="s">
        <v>192</v>
      </c>
      <c r="AB61" t="s">
        <v>191</v>
      </c>
      <c r="AC61">
        <v>4</v>
      </c>
      <c r="AD61">
        <v>4</v>
      </c>
      <c r="AE61">
        <v>140</v>
      </c>
      <c r="AF61">
        <v>142</v>
      </c>
      <c r="AG61">
        <v>33.409999999999997</v>
      </c>
      <c r="AH61">
        <v>34.19</v>
      </c>
      <c r="AI61" t="s">
        <v>194</v>
      </c>
      <c r="AJ61" t="s">
        <v>195</v>
      </c>
      <c r="AK61" s="147">
        <v>18.4404</v>
      </c>
      <c r="AL61" s="147">
        <v>-179.55500000000001</v>
      </c>
      <c r="AM61" s="147">
        <v>11.3</v>
      </c>
      <c r="AN61" s="148" t="s">
        <v>167</v>
      </c>
      <c r="AO61" s="148">
        <v>-1518</v>
      </c>
      <c r="AP61" s="148">
        <v>-1400</v>
      </c>
      <c r="AQ61" t="s">
        <v>196</v>
      </c>
      <c r="AR61" t="s">
        <v>190</v>
      </c>
      <c r="AS61" s="141">
        <v>40000.175476074219</v>
      </c>
      <c r="AT61" t="s">
        <v>206</v>
      </c>
      <c r="AU61">
        <v>0.76</v>
      </c>
      <c r="AV61">
        <v>0.76</v>
      </c>
      <c r="AW61" t="s">
        <v>207</v>
      </c>
      <c r="AX61" t="s">
        <v>208</v>
      </c>
      <c r="AY61" t="s">
        <v>212</v>
      </c>
      <c r="AZ61" t="s">
        <v>167</v>
      </c>
      <c r="BA61" t="s">
        <v>167</v>
      </c>
      <c r="BB61" t="s">
        <v>167</v>
      </c>
      <c r="BC61" t="s">
        <v>167</v>
      </c>
      <c r="BD61" t="s">
        <v>167</v>
      </c>
      <c r="BE61" t="s">
        <v>167</v>
      </c>
      <c r="BF61" t="s">
        <v>167</v>
      </c>
      <c r="BG61" t="s">
        <v>222</v>
      </c>
      <c r="BH61" t="s">
        <v>217</v>
      </c>
      <c r="BI61" s="157">
        <v>296</v>
      </c>
      <c r="BJ61" s="157">
        <v>2.996</v>
      </c>
      <c r="BK61" t="s">
        <v>219</v>
      </c>
      <c r="BL61" t="s">
        <v>220</v>
      </c>
      <c r="BM61" t="s">
        <v>221</v>
      </c>
      <c r="BN61" t="s">
        <v>241</v>
      </c>
      <c r="BO61">
        <v>2</v>
      </c>
      <c r="BP61" s="140">
        <v>2.5791316004335485E-2</v>
      </c>
      <c r="BQ61" s="139">
        <v>15.183987882513801</v>
      </c>
      <c r="BR61" t="s">
        <v>228</v>
      </c>
      <c r="BS61">
        <v>0.24753033540988401</v>
      </c>
      <c r="BT61">
        <v>0.88</v>
      </c>
      <c r="BU61" t="s">
        <v>271</v>
      </c>
      <c r="BV61" t="s">
        <v>271</v>
      </c>
      <c r="BW61" s="163">
        <v>1.85</v>
      </c>
      <c r="BX61" t="s">
        <v>271</v>
      </c>
      <c r="BY61" t="s">
        <v>271</v>
      </c>
      <c r="BZ61" t="s">
        <v>272</v>
      </c>
      <c r="CA61" t="s">
        <v>273</v>
      </c>
      <c r="CB61">
        <v>15.276287134569101</v>
      </c>
      <c r="CC61" t="s">
        <v>274</v>
      </c>
      <c r="CD61" s="165">
        <v>0.25789196168959982</v>
      </c>
      <c r="CE61" t="s">
        <v>326</v>
      </c>
      <c r="CF61" t="s">
        <v>327</v>
      </c>
      <c r="CG61">
        <v>25</v>
      </c>
      <c r="CH61" t="s">
        <v>280</v>
      </c>
      <c r="CI61" t="s">
        <v>280</v>
      </c>
      <c r="CJ61" s="139">
        <v>32.960312365902297</v>
      </c>
      <c r="CK61" t="s">
        <v>281</v>
      </c>
      <c r="CL61" s="140">
        <v>0.59954885582301298</v>
      </c>
      <c r="CM61" s="140">
        <v>0.57399083552223795</v>
      </c>
      <c r="CN61" t="s">
        <v>282</v>
      </c>
      <c r="CO61">
        <v>4.2950698803647498</v>
      </c>
      <c r="CP61" t="s">
        <v>283</v>
      </c>
      <c r="CQ61">
        <v>0.1288520964109425</v>
      </c>
      <c r="CR61">
        <v>0.1288520964109425</v>
      </c>
      <c r="CS61" t="s">
        <v>284</v>
      </c>
      <c r="CT61" t="s">
        <v>167</v>
      </c>
      <c r="CU61" t="s">
        <v>285</v>
      </c>
      <c r="CV61" t="s">
        <v>286</v>
      </c>
      <c r="CW61" t="s">
        <v>280</v>
      </c>
      <c r="CX61" t="s">
        <v>280</v>
      </c>
      <c r="CY61" t="s">
        <v>287</v>
      </c>
      <c r="CZ61" t="s">
        <v>167</v>
      </c>
      <c r="DA61" t="s">
        <v>167</v>
      </c>
      <c r="DB61" t="s">
        <v>167</v>
      </c>
      <c r="DC61" t="s">
        <v>167</v>
      </c>
      <c r="DD61" t="s">
        <v>167</v>
      </c>
      <c r="DE61" t="s">
        <v>167</v>
      </c>
      <c r="DF61" t="s">
        <v>167</v>
      </c>
      <c r="DG61" s="166">
        <v>35</v>
      </c>
      <c r="DH61" t="s">
        <v>288</v>
      </c>
      <c r="DI61">
        <v>1</v>
      </c>
      <c r="DJ61" t="s">
        <v>289</v>
      </c>
      <c r="DK61">
        <v>17</v>
      </c>
      <c r="DL61" t="s">
        <v>290</v>
      </c>
      <c r="DM61" t="s">
        <v>290</v>
      </c>
      <c r="DN61" t="s">
        <v>291</v>
      </c>
      <c r="DO61">
        <v>38</v>
      </c>
      <c r="DP61" t="s">
        <v>290</v>
      </c>
      <c r="DQ61" t="s">
        <v>290</v>
      </c>
      <c r="DR61" t="s">
        <v>291</v>
      </c>
      <c r="DS61" t="s">
        <v>292</v>
      </c>
      <c r="DT61" t="s">
        <v>293</v>
      </c>
      <c r="DU61" t="s">
        <v>293</v>
      </c>
      <c r="DV61" t="s">
        <v>293</v>
      </c>
      <c r="DW61" s="138">
        <v>432.56244218316402</v>
      </c>
      <c r="DX61" t="s">
        <v>294</v>
      </c>
      <c r="DY61" s="138">
        <v>12.358926919520499</v>
      </c>
      <c r="DZ61" t="s">
        <v>295</v>
      </c>
      <c r="EA61">
        <v>38.75</v>
      </c>
      <c r="EB61" t="s">
        <v>296</v>
      </c>
      <c r="EC61">
        <v>0.15</v>
      </c>
      <c r="ED61" t="s">
        <v>328</v>
      </c>
      <c r="EE61" t="s">
        <v>329</v>
      </c>
      <c r="EF61" t="s">
        <v>297</v>
      </c>
      <c r="EG61">
        <v>1.0271999999999999</v>
      </c>
      <c r="EH61" t="s">
        <v>290</v>
      </c>
      <c r="EI61" t="s">
        <v>290</v>
      </c>
      <c r="EJ61" t="s">
        <v>298</v>
      </c>
      <c r="EK61" t="s">
        <v>290</v>
      </c>
      <c r="EL61" t="s">
        <v>290</v>
      </c>
      <c r="EM61" t="s">
        <v>299</v>
      </c>
      <c r="EN61" t="s">
        <v>300</v>
      </c>
      <c r="EO61" t="s">
        <v>329</v>
      </c>
      <c r="EP61" t="s">
        <v>329</v>
      </c>
      <c r="EQ61" t="s">
        <v>329</v>
      </c>
      <c r="ER61" t="s">
        <v>329</v>
      </c>
      <c r="ES61" t="s">
        <v>167</v>
      </c>
      <c r="ET61" t="s">
        <v>313</v>
      </c>
      <c r="EU61" t="s">
        <v>314</v>
      </c>
      <c r="EV61" t="s">
        <v>315</v>
      </c>
      <c r="EW61" t="s">
        <v>316</v>
      </c>
      <c r="EX61" t="s">
        <v>316</v>
      </c>
      <c r="EY61" t="s">
        <v>316</v>
      </c>
      <c r="EZ61" t="s">
        <v>316</v>
      </c>
      <c r="FA61">
        <v>6.625</v>
      </c>
      <c r="FB61" t="s">
        <v>296</v>
      </c>
      <c r="FC61">
        <v>0.875</v>
      </c>
      <c r="FD61">
        <v>0.875</v>
      </c>
      <c r="FE61">
        <v>7.7730019888617097</v>
      </c>
      <c r="FF61" s="164" t="s">
        <v>301</v>
      </c>
      <c r="FG61" s="154">
        <v>3.2181352748257598E-2</v>
      </c>
      <c r="FH61" s="154">
        <v>3.2181352748257598E-2</v>
      </c>
      <c r="FI61">
        <v>870.51153839790197</v>
      </c>
      <c r="FJ61" s="164">
        <v>0</v>
      </c>
      <c r="FK61" s="164" t="s">
        <v>302</v>
      </c>
      <c r="FL61">
        <v>870.51153839790197</v>
      </c>
      <c r="FM61" s="141">
        <v>212.40586117339797</v>
      </c>
      <c r="FN61" s="141">
        <v>184.60084996548198</v>
      </c>
      <c r="FO61" s="170" t="s">
        <v>303</v>
      </c>
      <c r="FP61" t="s">
        <v>317</v>
      </c>
      <c r="FQ61">
        <v>2382.6223665032999</v>
      </c>
      <c r="FR61">
        <v>347.00602167013005</v>
      </c>
      <c r="FS61">
        <v>370.74026973980995</v>
      </c>
      <c r="FT61">
        <v>2180.1668845668901</v>
      </c>
      <c r="FU61">
        <v>342.95323565005981</v>
      </c>
      <c r="FV61">
        <v>357.66998320119006</v>
      </c>
      <c r="FW61" t="s">
        <v>305</v>
      </c>
      <c r="FX61" t="s">
        <v>305</v>
      </c>
      <c r="FY61" t="s">
        <v>305</v>
      </c>
      <c r="FZ61" t="s">
        <v>305</v>
      </c>
      <c r="GA61" t="s">
        <v>305</v>
      </c>
      <c r="GB61" t="s">
        <v>305</v>
      </c>
      <c r="GC61" t="s">
        <v>318</v>
      </c>
    </row>
    <row r="62" spans="1:185" ht="17">
      <c r="A62" t="s">
        <v>180</v>
      </c>
      <c r="B62" s="202" t="s">
        <v>181</v>
      </c>
      <c r="C62" t="s">
        <v>168</v>
      </c>
      <c r="D62" t="s">
        <v>182</v>
      </c>
      <c r="E62">
        <v>2020</v>
      </c>
      <c r="F62" t="s">
        <v>183</v>
      </c>
      <c r="G62" s="141">
        <v>40031.204223632812</v>
      </c>
      <c r="H62">
        <v>2.1</v>
      </c>
      <c r="I62">
        <v>2.1</v>
      </c>
      <c r="J62">
        <v>1049.8395857129501</v>
      </c>
      <c r="K62" s="204">
        <v>293.67937437819978</v>
      </c>
      <c r="L62" s="204">
        <v>227.30766252964611</v>
      </c>
      <c r="M62" s="163" t="b">
        <v>0</v>
      </c>
      <c r="N62" s="163">
        <v>3</v>
      </c>
      <c r="O62" t="s">
        <v>331</v>
      </c>
      <c r="P62" t="s">
        <v>322</v>
      </c>
      <c r="Q62" s="163" t="b">
        <v>1</v>
      </c>
      <c r="R62" s="212" t="s">
        <v>325</v>
      </c>
      <c r="S62" s="163" t="b">
        <v>1</v>
      </c>
      <c r="T62" s="163" t="b">
        <v>0</v>
      </c>
      <c r="U62" s="163" t="s">
        <v>167</v>
      </c>
      <c r="V62" s="163" t="s">
        <v>167</v>
      </c>
      <c r="W62" s="199" t="s">
        <v>167</v>
      </c>
      <c r="X62" s="199" t="s">
        <v>167</v>
      </c>
      <c r="Y62" s="143" t="s">
        <v>184</v>
      </c>
      <c r="Z62" t="s">
        <v>183</v>
      </c>
      <c r="AA62" t="s">
        <v>192</v>
      </c>
      <c r="AB62" t="s">
        <v>191</v>
      </c>
      <c r="AC62">
        <v>4</v>
      </c>
      <c r="AD62">
        <v>5</v>
      </c>
      <c r="AE62">
        <v>30</v>
      </c>
      <c r="AF62">
        <v>32</v>
      </c>
      <c r="AG62">
        <v>33.81</v>
      </c>
      <c r="AH62">
        <v>34.590000000000003</v>
      </c>
      <c r="AI62" t="s">
        <v>194</v>
      </c>
      <c r="AJ62" t="s">
        <v>195</v>
      </c>
      <c r="AK62" s="147">
        <v>18.4404</v>
      </c>
      <c r="AL62" s="147">
        <v>-179.55500000000001</v>
      </c>
      <c r="AM62" s="147">
        <v>11.3</v>
      </c>
      <c r="AN62" s="148" t="s">
        <v>167</v>
      </c>
      <c r="AO62" s="148">
        <v>-1518</v>
      </c>
      <c r="AP62" s="148">
        <v>-1400</v>
      </c>
      <c r="AQ62" t="s">
        <v>196</v>
      </c>
      <c r="AR62" t="s">
        <v>190</v>
      </c>
      <c r="AS62" s="141">
        <v>40031.204223632812</v>
      </c>
      <c r="AT62" t="s">
        <v>206</v>
      </c>
      <c r="AU62">
        <v>2.1</v>
      </c>
      <c r="AV62">
        <v>2.1</v>
      </c>
      <c r="AW62" t="s">
        <v>207</v>
      </c>
      <c r="AX62" t="s">
        <v>208</v>
      </c>
      <c r="AY62" t="s">
        <v>212</v>
      </c>
      <c r="AZ62" t="s">
        <v>167</v>
      </c>
      <c r="BA62" t="s">
        <v>167</v>
      </c>
      <c r="BB62" t="s">
        <v>167</v>
      </c>
      <c r="BC62" t="s">
        <v>167</v>
      </c>
      <c r="BD62" t="s">
        <v>167</v>
      </c>
      <c r="BE62" t="s">
        <v>167</v>
      </c>
      <c r="BF62" t="s">
        <v>167</v>
      </c>
      <c r="BG62" t="s">
        <v>222</v>
      </c>
      <c r="BH62" t="s">
        <v>217</v>
      </c>
      <c r="BI62" s="157">
        <v>298</v>
      </c>
      <c r="BJ62" s="157">
        <v>2.9969999999999999</v>
      </c>
      <c r="BK62" t="s">
        <v>219</v>
      </c>
      <c r="BL62" t="s">
        <v>220</v>
      </c>
      <c r="BM62" t="s">
        <v>221</v>
      </c>
      <c r="BN62" t="s">
        <v>242</v>
      </c>
      <c r="BO62">
        <v>2</v>
      </c>
      <c r="BP62" s="140">
        <v>4.2764023403554674E-2</v>
      </c>
      <c r="BQ62" s="139">
        <v>14.903625924380499</v>
      </c>
      <c r="BR62" t="s">
        <v>228</v>
      </c>
      <c r="BS62">
        <v>0.24704139021315</v>
      </c>
      <c r="BT62">
        <v>0.88</v>
      </c>
      <c r="BU62" t="s">
        <v>271</v>
      </c>
      <c r="BV62" t="s">
        <v>271</v>
      </c>
      <c r="BW62" s="163">
        <v>1.85</v>
      </c>
      <c r="BX62" t="s">
        <v>271</v>
      </c>
      <c r="BY62" t="s">
        <v>271</v>
      </c>
      <c r="BZ62" t="s">
        <v>272</v>
      </c>
      <c r="CA62" t="s">
        <v>273</v>
      </c>
      <c r="CB62">
        <v>14.9496759377865</v>
      </c>
      <c r="CC62" t="s">
        <v>274</v>
      </c>
      <c r="CD62" s="165">
        <v>0.26194044084619961</v>
      </c>
      <c r="CE62" t="s">
        <v>326</v>
      </c>
      <c r="CF62" t="s">
        <v>327</v>
      </c>
      <c r="CG62">
        <v>25</v>
      </c>
      <c r="CH62" t="s">
        <v>280</v>
      </c>
      <c r="CI62" t="s">
        <v>280</v>
      </c>
      <c r="CJ62" s="139">
        <v>32.716271924847597</v>
      </c>
      <c r="CK62" t="s">
        <v>281</v>
      </c>
      <c r="CL62" s="140">
        <v>0.57254779335739803</v>
      </c>
      <c r="CM62" s="140">
        <v>0.60700380575504898</v>
      </c>
      <c r="CN62" t="s">
        <v>282</v>
      </c>
      <c r="CO62">
        <v>4.3237229613521304</v>
      </c>
      <c r="CP62" t="s">
        <v>283</v>
      </c>
      <c r="CQ62">
        <v>0.12971168884056392</v>
      </c>
      <c r="CR62">
        <v>0.12971168884056392</v>
      </c>
      <c r="CS62" t="s">
        <v>284</v>
      </c>
      <c r="CT62" t="s">
        <v>167</v>
      </c>
      <c r="CU62" t="s">
        <v>285</v>
      </c>
      <c r="CV62" t="s">
        <v>286</v>
      </c>
      <c r="CW62" t="s">
        <v>280</v>
      </c>
      <c r="CX62" t="s">
        <v>280</v>
      </c>
      <c r="CY62" t="s">
        <v>287</v>
      </c>
      <c r="CZ62" t="s">
        <v>167</v>
      </c>
      <c r="DA62" t="s">
        <v>167</v>
      </c>
      <c r="DB62" t="s">
        <v>167</v>
      </c>
      <c r="DC62" t="s">
        <v>167</v>
      </c>
      <c r="DD62" t="s">
        <v>167</v>
      </c>
      <c r="DE62" t="s">
        <v>167</v>
      </c>
      <c r="DF62" t="s">
        <v>167</v>
      </c>
      <c r="DG62" s="166">
        <v>35</v>
      </c>
      <c r="DH62" t="s">
        <v>288</v>
      </c>
      <c r="DI62">
        <v>1</v>
      </c>
      <c r="DJ62" t="s">
        <v>289</v>
      </c>
      <c r="DK62">
        <v>17</v>
      </c>
      <c r="DL62" t="s">
        <v>290</v>
      </c>
      <c r="DM62" t="s">
        <v>290</v>
      </c>
      <c r="DN62" t="s">
        <v>291</v>
      </c>
      <c r="DO62">
        <v>38</v>
      </c>
      <c r="DP62" t="s">
        <v>290</v>
      </c>
      <c r="DQ62" t="s">
        <v>290</v>
      </c>
      <c r="DR62" t="s">
        <v>291</v>
      </c>
      <c r="DS62" t="s">
        <v>292</v>
      </c>
      <c r="DT62" t="s">
        <v>293</v>
      </c>
      <c r="DU62" t="s">
        <v>293</v>
      </c>
      <c r="DV62" t="s">
        <v>293</v>
      </c>
      <c r="DW62" s="138">
        <v>432.56244218316402</v>
      </c>
      <c r="DX62" t="s">
        <v>294</v>
      </c>
      <c r="DY62" s="138">
        <v>12.3589269195206</v>
      </c>
      <c r="DZ62" t="s">
        <v>295</v>
      </c>
      <c r="EA62">
        <v>38.75</v>
      </c>
      <c r="EB62" t="s">
        <v>296</v>
      </c>
      <c r="EC62">
        <v>0.15</v>
      </c>
      <c r="ED62" t="s">
        <v>328</v>
      </c>
      <c r="EE62" t="s">
        <v>329</v>
      </c>
      <c r="EF62" t="s">
        <v>297</v>
      </c>
      <c r="EG62">
        <v>1.0271999999999999</v>
      </c>
      <c r="EH62" t="s">
        <v>290</v>
      </c>
      <c r="EI62" t="s">
        <v>290</v>
      </c>
      <c r="EJ62" t="s">
        <v>298</v>
      </c>
      <c r="EK62" t="s">
        <v>290</v>
      </c>
      <c r="EL62" t="s">
        <v>290</v>
      </c>
      <c r="EM62" t="s">
        <v>299</v>
      </c>
      <c r="EN62" t="s">
        <v>300</v>
      </c>
      <c r="EO62" t="s">
        <v>329</v>
      </c>
      <c r="EP62" t="s">
        <v>329</v>
      </c>
      <c r="EQ62" t="s">
        <v>329</v>
      </c>
      <c r="ER62" t="s">
        <v>329</v>
      </c>
      <c r="ES62" t="s">
        <v>167</v>
      </c>
      <c r="ET62" t="s">
        <v>313</v>
      </c>
      <c r="EU62" t="s">
        <v>314</v>
      </c>
      <c r="EV62" t="s">
        <v>315</v>
      </c>
      <c r="EW62" t="s">
        <v>316</v>
      </c>
      <c r="EX62" t="s">
        <v>316</v>
      </c>
      <c r="EY62" t="s">
        <v>316</v>
      </c>
      <c r="EZ62" t="s">
        <v>316</v>
      </c>
      <c r="FA62">
        <v>6.625</v>
      </c>
      <c r="FB62" t="s">
        <v>296</v>
      </c>
      <c r="FC62">
        <v>0.875</v>
      </c>
      <c r="FD62">
        <v>0.875</v>
      </c>
      <c r="FE62">
        <v>7.7337562470248402</v>
      </c>
      <c r="FF62" s="164" t="s">
        <v>301</v>
      </c>
      <c r="FG62" s="154">
        <v>3.2084456159895303E-2</v>
      </c>
      <c r="FH62" s="154">
        <v>3.2084456159895303E-2</v>
      </c>
      <c r="FI62">
        <v>1049.8395857129501</v>
      </c>
      <c r="FJ62" s="164">
        <v>0</v>
      </c>
      <c r="FK62" s="164" t="s">
        <v>302</v>
      </c>
      <c r="FL62">
        <v>1049.8395857129501</v>
      </c>
      <c r="FM62" s="141">
        <v>293.67937437819978</v>
      </c>
      <c r="FN62" s="141">
        <v>227.30766252964611</v>
      </c>
      <c r="FO62" s="170" t="s">
        <v>303</v>
      </c>
      <c r="FP62" t="s">
        <v>317</v>
      </c>
      <c r="FQ62">
        <v>2587.2372391535796</v>
      </c>
      <c r="FR62">
        <v>411.52720157492001</v>
      </c>
      <c r="FS62">
        <v>409.63275736772977</v>
      </c>
      <c r="FT62">
        <v>2394.0614015065303</v>
      </c>
      <c r="FU62">
        <v>411.97015271003971</v>
      </c>
      <c r="FV62">
        <v>396.42000013454015</v>
      </c>
      <c r="FW62" t="s">
        <v>305</v>
      </c>
      <c r="FX62" t="s">
        <v>305</v>
      </c>
      <c r="FY62" t="s">
        <v>305</v>
      </c>
      <c r="FZ62" t="s">
        <v>305</v>
      </c>
      <c r="GA62" t="s">
        <v>305</v>
      </c>
      <c r="GB62" t="s">
        <v>305</v>
      </c>
      <c r="GC62" t="s">
        <v>318</v>
      </c>
    </row>
    <row r="63" spans="1:185" ht="17">
      <c r="A63" t="s">
        <v>180</v>
      </c>
      <c r="B63" s="202" t="s">
        <v>181</v>
      </c>
      <c r="C63" t="s">
        <v>168</v>
      </c>
      <c r="D63" t="s">
        <v>182</v>
      </c>
      <c r="E63">
        <v>2020</v>
      </c>
      <c r="F63" t="s">
        <v>183</v>
      </c>
      <c r="G63" s="141">
        <v>40092.166900634766</v>
      </c>
      <c r="H63">
        <v>2.1</v>
      </c>
      <c r="I63">
        <v>2.1</v>
      </c>
      <c r="J63">
        <v>1409.0034098021399</v>
      </c>
      <c r="K63" s="204">
        <v>425.15596967787019</v>
      </c>
      <c r="L63" s="204">
        <v>326.87700446165991</v>
      </c>
      <c r="M63" s="163" t="b">
        <v>0</v>
      </c>
      <c r="N63" s="163">
        <v>3</v>
      </c>
      <c r="O63" t="s">
        <v>331</v>
      </c>
      <c r="P63" t="s">
        <v>322</v>
      </c>
      <c r="Q63" s="163" t="b">
        <v>1</v>
      </c>
      <c r="R63" s="212" t="s">
        <v>325</v>
      </c>
      <c r="S63" s="163" t="b">
        <v>1</v>
      </c>
      <c r="T63" s="163" t="b">
        <v>0</v>
      </c>
      <c r="U63" s="163" t="s">
        <v>167</v>
      </c>
      <c r="V63" s="163" t="s">
        <v>167</v>
      </c>
      <c r="W63" s="199" t="s">
        <v>167</v>
      </c>
      <c r="X63" s="199" t="s">
        <v>167</v>
      </c>
      <c r="Y63" s="143" t="s">
        <v>184</v>
      </c>
      <c r="Z63" t="s">
        <v>183</v>
      </c>
      <c r="AA63" t="s">
        <v>192</v>
      </c>
      <c r="AB63" t="s">
        <v>191</v>
      </c>
      <c r="AC63">
        <v>4</v>
      </c>
      <c r="AD63">
        <v>5</v>
      </c>
      <c r="AE63">
        <v>60</v>
      </c>
      <c r="AF63">
        <v>62</v>
      </c>
      <c r="AG63">
        <v>34.11</v>
      </c>
      <c r="AH63">
        <v>34.89</v>
      </c>
      <c r="AI63" t="s">
        <v>194</v>
      </c>
      <c r="AJ63" t="s">
        <v>195</v>
      </c>
      <c r="AK63" s="147">
        <v>18.4404</v>
      </c>
      <c r="AL63" s="147">
        <v>-179.55500000000001</v>
      </c>
      <c r="AM63" s="147">
        <v>11.3</v>
      </c>
      <c r="AN63" s="148" t="s">
        <v>167</v>
      </c>
      <c r="AO63" s="148">
        <v>-1518</v>
      </c>
      <c r="AP63" s="148">
        <v>-1400</v>
      </c>
      <c r="AQ63" t="s">
        <v>196</v>
      </c>
      <c r="AR63" t="s">
        <v>190</v>
      </c>
      <c r="AS63" s="141">
        <v>40092.166900634766</v>
      </c>
      <c r="AT63" t="s">
        <v>206</v>
      </c>
      <c r="AU63">
        <v>2.1</v>
      </c>
      <c r="AV63">
        <v>2.1</v>
      </c>
      <c r="AW63" t="s">
        <v>207</v>
      </c>
      <c r="AX63" t="s">
        <v>208</v>
      </c>
      <c r="AY63" t="s">
        <v>212</v>
      </c>
      <c r="AZ63" t="s">
        <v>167</v>
      </c>
      <c r="BA63" t="s">
        <v>167</v>
      </c>
      <c r="BB63" t="s">
        <v>167</v>
      </c>
      <c r="BC63" t="s">
        <v>167</v>
      </c>
      <c r="BD63" t="s">
        <v>167</v>
      </c>
      <c r="BE63" t="s">
        <v>167</v>
      </c>
      <c r="BF63" t="s">
        <v>167</v>
      </c>
      <c r="BG63" t="s">
        <v>222</v>
      </c>
      <c r="BH63" t="s">
        <v>217</v>
      </c>
      <c r="BI63" s="157">
        <v>274</v>
      </c>
      <c r="BJ63" s="157">
        <v>2.7360000000000002</v>
      </c>
      <c r="BK63" t="s">
        <v>219</v>
      </c>
      <c r="BL63" t="s">
        <v>220</v>
      </c>
      <c r="BM63" t="s">
        <v>221</v>
      </c>
      <c r="BN63" t="s">
        <v>243</v>
      </c>
      <c r="BO63">
        <v>2</v>
      </c>
      <c r="BP63" s="140">
        <v>0.13232152808946293</v>
      </c>
      <c r="BQ63" s="139">
        <v>14.5023732064193</v>
      </c>
      <c r="BR63" t="s">
        <v>228</v>
      </c>
      <c r="BS63">
        <v>0.24730822813623099</v>
      </c>
      <c r="BT63">
        <v>0.88</v>
      </c>
      <c r="BU63" t="s">
        <v>271</v>
      </c>
      <c r="BV63" t="s">
        <v>271</v>
      </c>
      <c r="BW63" s="163">
        <v>1.85</v>
      </c>
      <c r="BX63" t="s">
        <v>271</v>
      </c>
      <c r="BY63" t="s">
        <v>271</v>
      </c>
      <c r="BZ63" t="s">
        <v>272</v>
      </c>
      <c r="CA63" t="s">
        <v>273</v>
      </c>
      <c r="CB63">
        <v>14.4944606368734</v>
      </c>
      <c r="CC63" t="s">
        <v>274</v>
      </c>
      <c r="CD63" s="165">
        <v>0.26945416640274988</v>
      </c>
      <c r="CE63" t="s">
        <v>326</v>
      </c>
      <c r="CF63" t="s">
        <v>327</v>
      </c>
      <c r="CG63">
        <v>25</v>
      </c>
      <c r="CH63" t="s">
        <v>280</v>
      </c>
      <c r="CI63" t="s">
        <v>280</v>
      </c>
      <c r="CJ63" s="139">
        <v>32.5359743885653</v>
      </c>
      <c r="CK63" t="s">
        <v>281</v>
      </c>
      <c r="CL63" s="140">
        <v>0.61997354630858603</v>
      </c>
      <c r="CM63" s="140">
        <v>0.61166251503952696</v>
      </c>
      <c r="CN63" t="s">
        <v>282</v>
      </c>
      <c r="CO63">
        <v>4.4332690387495903</v>
      </c>
      <c r="CP63" t="s">
        <v>283</v>
      </c>
      <c r="CQ63">
        <v>0.13299807116248771</v>
      </c>
      <c r="CR63">
        <v>0.13299807116248771</v>
      </c>
      <c r="CS63" t="s">
        <v>284</v>
      </c>
      <c r="CT63" t="s">
        <v>167</v>
      </c>
      <c r="CU63" t="s">
        <v>285</v>
      </c>
      <c r="CV63" t="s">
        <v>286</v>
      </c>
      <c r="CW63" t="s">
        <v>280</v>
      </c>
      <c r="CX63" t="s">
        <v>280</v>
      </c>
      <c r="CY63" t="s">
        <v>287</v>
      </c>
      <c r="CZ63" t="s">
        <v>167</v>
      </c>
      <c r="DA63" t="s">
        <v>167</v>
      </c>
      <c r="DB63" t="s">
        <v>167</v>
      </c>
      <c r="DC63" t="s">
        <v>167</v>
      </c>
      <c r="DD63" t="s">
        <v>167</v>
      </c>
      <c r="DE63" t="s">
        <v>167</v>
      </c>
      <c r="DF63" t="s">
        <v>167</v>
      </c>
      <c r="DG63" s="166">
        <v>35</v>
      </c>
      <c r="DH63" t="s">
        <v>288</v>
      </c>
      <c r="DI63">
        <v>1</v>
      </c>
      <c r="DJ63" t="s">
        <v>289</v>
      </c>
      <c r="DK63">
        <v>17</v>
      </c>
      <c r="DL63" t="s">
        <v>290</v>
      </c>
      <c r="DM63" t="s">
        <v>290</v>
      </c>
      <c r="DN63" t="s">
        <v>291</v>
      </c>
      <c r="DO63">
        <v>38</v>
      </c>
      <c r="DP63" t="s">
        <v>290</v>
      </c>
      <c r="DQ63" t="s">
        <v>290</v>
      </c>
      <c r="DR63" t="s">
        <v>291</v>
      </c>
      <c r="DS63" t="s">
        <v>292</v>
      </c>
      <c r="DT63" t="s">
        <v>293</v>
      </c>
      <c r="DU63" t="s">
        <v>293</v>
      </c>
      <c r="DV63" t="s">
        <v>293</v>
      </c>
      <c r="DW63" s="138">
        <v>432.56244218316402</v>
      </c>
      <c r="DX63" t="s">
        <v>294</v>
      </c>
      <c r="DY63" s="138">
        <v>12.3589269195207</v>
      </c>
      <c r="DZ63" t="s">
        <v>295</v>
      </c>
      <c r="EA63">
        <v>38.75</v>
      </c>
      <c r="EB63" t="s">
        <v>296</v>
      </c>
      <c r="EC63">
        <v>0.15</v>
      </c>
      <c r="ED63" t="s">
        <v>328</v>
      </c>
      <c r="EE63" t="s">
        <v>329</v>
      </c>
      <c r="EF63" t="s">
        <v>297</v>
      </c>
      <c r="EG63">
        <v>1.0271999999999999</v>
      </c>
      <c r="EH63" t="s">
        <v>290</v>
      </c>
      <c r="EI63" t="s">
        <v>290</v>
      </c>
      <c r="EJ63" t="s">
        <v>298</v>
      </c>
      <c r="EK63" t="s">
        <v>290</v>
      </c>
      <c r="EL63" t="s">
        <v>290</v>
      </c>
      <c r="EM63" t="s">
        <v>299</v>
      </c>
      <c r="EN63" t="s">
        <v>300</v>
      </c>
      <c r="EO63" t="s">
        <v>329</v>
      </c>
      <c r="EP63" t="s">
        <v>329</v>
      </c>
      <c r="EQ63" t="s">
        <v>329</v>
      </c>
      <c r="ER63" t="s">
        <v>329</v>
      </c>
      <c r="ES63" t="s">
        <v>167</v>
      </c>
      <c r="ET63" t="s">
        <v>313</v>
      </c>
      <c r="EU63" t="s">
        <v>314</v>
      </c>
      <c r="EV63" t="s">
        <v>315</v>
      </c>
      <c r="EW63" t="s">
        <v>316</v>
      </c>
      <c r="EX63" t="s">
        <v>316</v>
      </c>
      <c r="EY63" t="s">
        <v>316</v>
      </c>
      <c r="EZ63" t="s">
        <v>316</v>
      </c>
      <c r="FA63">
        <v>6.625</v>
      </c>
      <c r="FB63" t="s">
        <v>296</v>
      </c>
      <c r="FC63">
        <v>0.875</v>
      </c>
      <c r="FD63">
        <v>0.875</v>
      </c>
      <c r="FE63">
        <v>7.6703014894326396</v>
      </c>
      <c r="FF63" s="164" t="s">
        <v>301</v>
      </c>
      <c r="FG63" s="154">
        <v>3.5387048222757601E-2</v>
      </c>
      <c r="FH63" s="154">
        <v>3.5387048222757601E-2</v>
      </c>
      <c r="FI63">
        <v>1409.0034098021399</v>
      </c>
      <c r="FJ63" s="164">
        <v>0</v>
      </c>
      <c r="FK63" s="164" t="s">
        <v>302</v>
      </c>
      <c r="FL63">
        <v>1409.0034098021399</v>
      </c>
      <c r="FM63" s="141">
        <v>425.15596967787019</v>
      </c>
      <c r="FN63" s="141">
        <v>326.87700446165991</v>
      </c>
      <c r="FO63" s="170" t="s">
        <v>303</v>
      </c>
      <c r="FP63" t="s">
        <v>317</v>
      </c>
      <c r="FQ63">
        <v>2938.97189943279</v>
      </c>
      <c r="FR63">
        <v>480.16563538898998</v>
      </c>
      <c r="FS63">
        <v>485.00745273870979</v>
      </c>
      <c r="FT63">
        <v>2766.3876790936197</v>
      </c>
      <c r="FU63">
        <v>482.42360384400001</v>
      </c>
      <c r="FV63">
        <v>474.58639880656972</v>
      </c>
      <c r="FW63" t="s">
        <v>305</v>
      </c>
      <c r="FX63" t="s">
        <v>305</v>
      </c>
      <c r="FY63" t="s">
        <v>305</v>
      </c>
      <c r="FZ63" t="s">
        <v>305</v>
      </c>
      <c r="GA63" t="s">
        <v>305</v>
      </c>
      <c r="GB63" t="s">
        <v>305</v>
      </c>
      <c r="GC63" t="s">
        <v>318</v>
      </c>
    </row>
    <row r="64" spans="1:185" ht="17">
      <c r="A64" t="s">
        <v>180</v>
      </c>
      <c r="B64" s="202" t="s">
        <v>181</v>
      </c>
      <c r="C64" t="s">
        <v>168</v>
      </c>
      <c r="D64" t="s">
        <v>182</v>
      </c>
      <c r="E64">
        <v>2020</v>
      </c>
      <c r="F64" t="s">
        <v>183</v>
      </c>
      <c r="G64" s="141">
        <v>40139.675140380859</v>
      </c>
      <c r="H64">
        <v>2.82</v>
      </c>
      <c r="I64">
        <v>2.82</v>
      </c>
      <c r="J64">
        <v>1455.89082962114</v>
      </c>
      <c r="K64" s="204">
        <v>430.22532354544001</v>
      </c>
      <c r="L64" s="204">
        <v>314.10588623165995</v>
      </c>
      <c r="M64" s="163" t="b">
        <v>0</v>
      </c>
      <c r="N64" s="163">
        <v>3</v>
      </c>
      <c r="O64" t="s">
        <v>331</v>
      </c>
      <c r="P64" t="s">
        <v>322</v>
      </c>
      <c r="Q64" s="163" t="b">
        <v>1</v>
      </c>
      <c r="R64" s="212" t="s">
        <v>325</v>
      </c>
      <c r="S64" s="163" t="b">
        <v>1</v>
      </c>
      <c r="T64" s="163" t="b">
        <v>0</v>
      </c>
      <c r="U64" s="163" t="s">
        <v>167</v>
      </c>
      <c r="V64" s="163" t="s">
        <v>167</v>
      </c>
      <c r="W64" s="199" t="s">
        <v>167</v>
      </c>
      <c r="X64" s="199" t="s">
        <v>167</v>
      </c>
      <c r="Y64" s="143" t="s">
        <v>184</v>
      </c>
      <c r="Z64" t="s">
        <v>183</v>
      </c>
      <c r="AA64" t="s">
        <v>192</v>
      </c>
      <c r="AB64" t="s">
        <v>193</v>
      </c>
      <c r="AC64">
        <v>5</v>
      </c>
      <c r="AD64">
        <v>1</v>
      </c>
      <c r="AE64">
        <v>5</v>
      </c>
      <c r="AF64">
        <v>7</v>
      </c>
      <c r="AG64">
        <v>31.86</v>
      </c>
      <c r="AH64">
        <v>35.075981140136719</v>
      </c>
      <c r="AI64" t="s">
        <v>194</v>
      </c>
      <c r="AJ64" t="s">
        <v>195</v>
      </c>
      <c r="AK64" s="147">
        <v>18.4404</v>
      </c>
      <c r="AL64" s="147">
        <v>-179.55500000000001</v>
      </c>
      <c r="AM64" s="147">
        <v>11.3</v>
      </c>
      <c r="AN64" s="148" t="s">
        <v>167</v>
      </c>
      <c r="AO64" s="148">
        <v>-1518</v>
      </c>
      <c r="AP64" s="148">
        <v>-1400</v>
      </c>
      <c r="AQ64" t="s">
        <v>196</v>
      </c>
      <c r="AR64" t="s">
        <v>190</v>
      </c>
      <c r="AS64" s="141">
        <v>40139.675140380859</v>
      </c>
      <c r="AT64" t="s">
        <v>206</v>
      </c>
      <c r="AU64">
        <v>2.82</v>
      </c>
      <c r="AV64">
        <v>2.82</v>
      </c>
      <c r="AW64" t="s">
        <v>207</v>
      </c>
      <c r="AX64" t="s">
        <v>208</v>
      </c>
      <c r="AY64" t="s">
        <v>212</v>
      </c>
      <c r="AZ64" t="s">
        <v>167</v>
      </c>
      <c r="BA64" t="s">
        <v>167</v>
      </c>
      <c r="BB64" t="s">
        <v>167</v>
      </c>
      <c r="BC64" t="s">
        <v>167</v>
      </c>
      <c r="BD64" t="s">
        <v>167</v>
      </c>
      <c r="BE64" t="s">
        <v>167</v>
      </c>
      <c r="BF64" t="s">
        <v>167</v>
      </c>
      <c r="BG64" t="s">
        <v>222</v>
      </c>
      <c r="BH64" t="s">
        <v>217</v>
      </c>
      <c r="BI64" s="157" t="s">
        <v>218</v>
      </c>
      <c r="BJ64" s="156" t="s">
        <v>226</v>
      </c>
      <c r="BK64" t="s">
        <v>219</v>
      </c>
      <c r="BL64" t="s">
        <v>220</v>
      </c>
      <c r="BM64" t="s">
        <v>221</v>
      </c>
      <c r="BN64" t="s">
        <v>244</v>
      </c>
      <c r="BO64">
        <v>2</v>
      </c>
      <c r="BP64" s="162">
        <v>6.2866847382430535E-2</v>
      </c>
      <c r="BQ64" s="139">
        <v>14.4822803056653</v>
      </c>
      <c r="BR64" t="s">
        <v>228</v>
      </c>
      <c r="BS64">
        <v>0.24396455644627901</v>
      </c>
      <c r="BT64">
        <v>0.88</v>
      </c>
      <c r="BU64" t="s">
        <v>271</v>
      </c>
      <c r="BV64" t="s">
        <v>271</v>
      </c>
      <c r="BW64" s="163">
        <v>1.85</v>
      </c>
      <c r="BX64" t="s">
        <v>271</v>
      </c>
      <c r="BY64" t="s">
        <v>271</v>
      </c>
      <c r="BZ64" t="s">
        <v>272</v>
      </c>
      <c r="CA64" t="s">
        <v>273</v>
      </c>
      <c r="CB64">
        <v>14.4717659843752</v>
      </c>
      <c r="CC64" t="s">
        <v>274</v>
      </c>
      <c r="CD64" s="165">
        <v>0.26380082536425054</v>
      </c>
      <c r="CE64" t="s">
        <v>326</v>
      </c>
      <c r="CF64" t="s">
        <v>327</v>
      </c>
      <c r="CG64">
        <v>25</v>
      </c>
      <c r="CH64" t="s">
        <v>280</v>
      </c>
      <c r="CI64" t="s">
        <v>280</v>
      </c>
      <c r="CJ64" s="139">
        <v>33.526148922124797</v>
      </c>
      <c r="CK64" t="s">
        <v>281</v>
      </c>
      <c r="CL64" s="140">
        <v>0.66835915812046698</v>
      </c>
      <c r="CM64" s="140">
        <v>0.59496052462144899</v>
      </c>
      <c r="CN64" t="s">
        <v>282</v>
      </c>
      <c r="CO64">
        <v>4.7280185784437698</v>
      </c>
      <c r="CP64" t="s">
        <v>283</v>
      </c>
      <c r="CQ64">
        <v>0.14184055735331308</v>
      </c>
      <c r="CR64">
        <v>0.14184055735331308</v>
      </c>
      <c r="CS64" t="s">
        <v>284</v>
      </c>
      <c r="CT64" t="s">
        <v>167</v>
      </c>
      <c r="CU64" t="s">
        <v>285</v>
      </c>
      <c r="CV64" t="s">
        <v>286</v>
      </c>
      <c r="CW64" t="s">
        <v>280</v>
      </c>
      <c r="CX64" t="s">
        <v>280</v>
      </c>
      <c r="CY64" t="s">
        <v>287</v>
      </c>
      <c r="CZ64" t="s">
        <v>167</v>
      </c>
      <c r="DA64" t="s">
        <v>167</v>
      </c>
      <c r="DB64" t="s">
        <v>167</v>
      </c>
      <c r="DC64" t="s">
        <v>167</v>
      </c>
      <c r="DD64" t="s">
        <v>167</v>
      </c>
      <c r="DE64" t="s">
        <v>167</v>
      </c>
      <c r="DF64" t="s">
        <v>167</v>
      </c>
      <c r="DG64" s="166">
        <v>35</v>
      </c>
      <c r="DH64" t="s">
        <v>288</v>
      </c>
      <c r="DI64">
        <v>1</v>
      </c>
      <c r="DJ64" t="s">
        <v>289</v>
      </c>
      <c r="DK64">
        <v>17</v>
      </c>
      <c r="DL64" t="s">
        <v>290</v>
      </c>
      <c r="DM64" t="s">
        <v>290</v>
      </c>
      <c r="DN64" t="s">
        <v>291</v>
      </c>
      <c r="DO64">
        <v>38</v>
      </c>
      <c r="DP64" t="s">
        <v>290</v>
      </c>
      <c r="DQ64" t="s">
        <v>290</v>
      </c>
      <c r="DR64" t="s">
        <v>291</v>
      </c>
      <c r="DS64" t="s">
        <v>292</v>
      </c>
      <c r="DT64" t="s">
        <v>293</v>
      </c>
      <c r="DU64" t="s">
        <v>293</v>
      </c>
      <c r="DV64" t="s">
        <v>293</v>
      </c>
      <c r="DW64" s="138">
        <v>432.56244218316402</v>
      </c>
      <c r="DX64" t="s">
        <v>294</v>
      </c>
      <c r="DY64" s="138">
        <v>12.358926919520799</v>
      </c>
      <c r="DZ64" t="s">
        <v>295</v>
      </c>
      <c r="EA64">
        <v>38.75</v>
      </c>
      <c r="EB64" t="s">
        <v>296</v>
      </c>
      <c r="EC64">
        <v>0.15</v>
      </c>
      <c r="ED64" t="s">
        <v>328</v>
      </c>
      <c r="EE64" t="s">
        <v>329</v>
      </c>
      <c r="EF64" t="s">
        <v>297</v>
      </c>
      <c r="EG64">
        <v>1.0271999999999999</v>
      </c>
      <c r="EH64" t="s">
        <v>290</v>
      </c>
      <c r="EI64" t="s">
        <v>290</v>
      </c>
      <c r="EJ64" t="s">
        <v>298</v>
      </c>
      <c r="EK64" t="s">
        <v>290</v>
      </c>
      <c r="EL64" t="s">
        <v>290</v>
      </c>
      <c r="EM64" t="s">
        <v>299</v>
      </c>
      <c r="EN64" t="s">
        <v>300</v>
      </c>
      <c r="EO64" t="s">
        <v>329</v>
      </c>
      <c r="EP64" t="s">
        <v>329</v>
      </c>
      <c r="EQ64" t="s">
        <v>329</v>
      </c>
      <c r="ER64" t="s">
        <v>329</v>
      </c>
      <c r="ES64" t="s">
        <v>167</v>
      </c>
      <c r="ET64" t="s">
        <v>313</v>
      </c>
      <c r="EU64" t="s">
        <v>314</v>
      </c>
      <c r="EV64" t="s">
        <v>315</v>
      </c>
      <c r="EW64" t="s">
        <v>316</v>
      </c>
      <c r="EX64" t="s">
        <v>316</v>
      </c>
      <c r="EY64" t="s">
        <v>316</v>
      </c>
      <c r="EZ64" t="s">
        <v>316</v>
      </c>
      <c r="FA64">
        <v>6.625</v>
      </c>
      <c r="FB64" t="s">
        <v>296</v>
      </c>
      <c r="FC64">
        <v>0.875</v>
      </c>
      <c r="FD64">
        <v>0.875</v>
      </c>
      <c r="FE64">
        <v>7.6571248467532902</v>
      </c>
      <c r="FF64" s="164" t="s">
        <v>301</v>
      </c>
      <c r="FG64" s="154">
        <v>3.8341682424334403E-2</v>
      </c>
      <c r="FH64" s="154">
        <v>3.8341682424334403E-2</v>
      </c>
      <c r="FI64">
        <v>1455.89082962114</v>
      </c>
      <c r="FJ64" s="164">
        <v>0</v>
      </c>
      <c r="FK64" s="164" t="s">
        <v>302</v>
      </c>
      <c r="FL64">
        <v>1455.89082962114</v>
      </c>
      <c r="FM64" s="141">
        <v>430.22532354544001</v>
      </c>
      <c r="FN64" s="141">
        <v>314.10588623165995</v>
      </c>
      <c r="FO64" s="170" t="s">
        <v>303</v>
      </c>
      <c r="FP64" t="s">
        <v>317</v>
      </c>
      <c r="FQ64">
        <v>2928.68279970408</v>
      </c>
      <c r="FR64">
        <v>507.38846698200007</v>
      </c>
      <c r="FS64">
        <v>462.54723767516015</v>
      </c>
      <c r="FT64">
        <v>2749.67156347843</v>
      </c>
      <c r="FU64">
        <v>520.16585164285993</v>
      </c>
      <c r="FV64">
        <v>452.73545998057023</v>
      </c>
      <c r="FW64" t="s">
        <v>305</v>
      </c>
      <c r="FX64" t="s">
        <v>305</v>
      </c>
      <c r="FY64" t="s">
        <v>305</v>
      </c>
      <c r="FZ64" t="s">
        <v>305</v>
      </c>
      <c r="GA64" t="s">
        <v>305</v>
      </c>
      <c r="GB64" t="s">
        <v>305</v>
      </c>
      <c r="GC64" t="s">
        <v>318</v>
      </c>
    </row>
    <row r="65" spans="1:185" ht="17">
      <c r="A65" t="s">
        <v>180</v>
      </c>
      <c r="B65" s="202" t="s">
        <v>181</v>
      </c>
      <c r="C65" t="s">
        <v>168</v>
      </c>
      <c r="D65" t="s">
        <v>182</v>
      </c>
      <c r="E65">
        <v>2020</v>
      </c>
      <c r="F65" t="s">
        <v>183</v>
      </c>
      <c r="G65" s="141">
        <v>40139.675140380859</v>
      </c>
      <c r="H65">
        <v>2.82</v>
      </c>
      <c r="I65">
        <v>2.82</v>
      </c>
      <c r="J65">
        <v>1384.4141581971501</v>
      </c>
      <c r="K65" s="204">
        <v>405.50012514385003</v>
      </c>
      <c r="L65" s="204">
        <v>307.06059113543006</v>
      </c>
      <c r="M65" s="163" t="b">
        <v>0</v>
      </c>
      <c r="N65" s="163">
        <v>3</v>
      </c>
      <c r="O65" t="s">
        <v>331</v>
      </c>
      <c r="P65" t="s">
        <v>322</v>
      </c>
      <c r="Q65" s="163" t="b">
        <v>1</v>
      </c>
      <c r="R65" s="212" t="s">
        <v>325</v>
      </c>
      <c r="S65" s="163" t="b">
        <v>1</v>
      </c>
      <c r="T65" s="163" t="b">
        <v>0</v>
      </c>
      <c r="U65" s="163" t="s">
        <v>167</v>
      </c>
      <c r="V65" s="163" t="s">
        <v>167</v>
      </c>
      <c r="W65" s="199" t="s">
        <v>167</v>
      </c>
      <c r="X65" s="199" t="s">
        <v>167</v>
      </c>
      <c r="Y65" s="143" t="s">
        <v>184</v>
      </c>
      <c r="Z65" t="s">
        <v>183</v>
      </c>
      <c r="AA65" t="s">
        <v>192</v>
      </c>
      <c r="AB65" t="s">
        <v>193</v>
      </c>
      <c r="AC65">
        <v>5</v>
      </c>
      <c r="AD65">
        <v>1</v>
      </c>
      <c r="AE65">
        <v>5</v>
      </c>
      <c r="AF65">
        <v>7</v>
      </c>
      <c r="AG65">
        <v>31.86</v>
      </c>
      <c r="AH65">
        <v>35.075981140136719</v>
      </c>
      <c r="AI65" t="s">
        <v>194</v>
      </c>
      <c r="AJ65" t="s">
        <v>195</v>
      </c>
      <c r="AK65" s="147">
        <v>18.4404</v>
      </c>
      <c r="AL65" s="147">
        <v>-179.55500000000001</v>
      </c>
      <c r="AM65" s="147">
        <v>11.3</v>
      </c>
      <c r="AN65" s="148" t="s">
        <v>167</v>
      </c>
      <c r="AO65" s="148">
        <v>-1518</v>
      </c>
      <c r="AP65" s="148">
        <v>-1400</v>
      </c>
      <c r="AQ65" t="s">
        <v>196</v>
      </c>
      <c r="AR65" t="s">
        <v>190</v>
      </c>
      <c r="AS65" s="141">
        <v>40139.675140380859</v>
      </c>
      <c r="AT65" t="s">
        <v>206</v>
      </c>
      <c r="AU65">
        <v>2.82</v>
      </c>
      <c r="AV65">
        <v>2.82</v>
      </c>
      <c r="AW65" t="s">
        <v>207</v>
      </c>
      <c r="AX65" t="s">
        <v>208</v>
      </c>
      <c r="AY65" t="s">
        <v>212</v>
      </c>
      <c r="AZ65" t="s">
        <v>167</v>
      </c>
      <c r="BA65" t="s">
        <v>167</v>
      </c>
      <c r="BB65" t="s">
        <v>167</v>
      </c>
      <c r="BC65" t="s">
        <v>167</v>
      </c>
      <c r="BD65" t="s">
        <v>167</v>
      </c>
      <c r="BE65" t="s">
        <v>167</v>
      </c>
      <c r="BF65" t="s">
        <v>167</v>
      </c>
      <c r="BG65" t="s">
        <v>216</v>
      </c>
      <c r="BH65" t="s">
        <v>217</v>
      </c>
      <c r="BI65" s="157" t="s">
        <v>218</v>
      </c>
      <c r="BJ65" s="156" t="s">
        <v>226</v>
      </c>
      <c r="BK65" t="s">
        <v>219</v>
      </c>
      <c r="BL65" t="s">
        <v>220</v>
      </c>
      <c r="BM65" t="s">
        <v>221</v>
      </c>
      <c r="BN65" t="s">
        <v>245</v>
      </c>
      <c r="BO65">
        <v>2</v>
      </c>
      <c r="BP65" s="162">
        <v>8.4164235866516876E-2</v>
      </c>
      <c r="BQ65" s="139">
        <v>14.522409800270299</v>
      </c>
      <c r="BR65" t="s">
        <v>228</v>
      </c>
      <c r="BS65">
        <v>0.23537649627877399</v>
      </c>
      <c r="BT65">
        <v>0.88</v>
      </c>
      <c r="BU65" t="s">
        <v>271</v>
      </c>
      <c r="BV65" t="s">
        <v>271</v>
      </c>
      <c r="BW65" s="163">
        <v>1.85</v>
      </c>
      <c r="BX65" t="s">
        <v>271</v>
      </c>
      <c r="BY65" t="s">
        <v>271</v>
      </c>
      <c r="BZ65" t="s">
        <v>272</v>
      </c>
      <c r="CA65" t="s">
        <v>273</v>
      </c>
      <c r="CB65">
        <v>14.5175783393753</v>
      </c>
      <c r="CC65" t="s">
        <v>274</v>
      </c>
      <c r="CD65" s="165">
        <v>0.25642883204039979</v>
      </c>
      <c r="CE65" t="s">
        <v>326</v>
      </c>
      <c r="CF65" t="s">
        <v>327</v>
      </c>
      <c r="CG65">
        <v>25</v>
      </c>
      <c r="CH65" t="s">
        <v>280</v>
      </c>
      <c r="CI65" t="s">
        <v>280</v>
      </c>
      <c r="CJ65" s="139">
        <v>32.459925667906198</v>
      </c>
      <c r="CK65" t="s">
        <v>281</v>
      </c>
      <c r="CL65" s="140">
        <v>0.59400009170593304</v>
      </c>
      <c r="CM65" s="140">
        <v>0.59281316032297604</v>
      </c>
      <c r="CN65" t="s">
        <v>282</v>
      </c>
      <c r="CO65">
        <v>4.4030665158598499</v>
      </c>
      <c r="CP65" t="s">
        <v>283</v>
      </c>
      <c r="CQ65">
        <v>0.1320919954757955</v>
      </c>
      <c r="CR65">
        <v>0.1320919954757955</v>
      </c>
      <c r="CS65" t="s">
        <v>284</v>
      </c>
      <c r="CT65" t="s">
        <v>167</v>
      </c>
      <c r="CU65" t="s">
        <v>285</v>
      </c>
      <c r="CV65" t="s">
        <v>286</v>
      </c>
      <c r="CW65" t="s">
        <v>280</v>
      </c>
      <c r="CX65" t="s">
        <v>280</v>
      </c>
      <c r="CY65" t="s">
        <v>287</v>
      </c>
      <c r="CZ65" t="s">
        <v>167</v>
      </c>
      <c r="DA65" t="s">
        <v>167</v>
      </c>
      <c r="DB65" t="s">
        <v>167</v>
      </c>
      <c r="DC65" t="s">
        <v>167</v>
      </c>
      <c r="DD65" t="s">
        <v>167</v>
      </c>
      <c r="DE65" t="s">
        <v>167</v>
      </c>
      <c r="DF65" t="s">
        <v>167</v>
      </c>
      <c r="DG65" s="166">
        <v>35</v>
      </c>
      <c r="DH65" t="s">
        <v>288</v>
      </c>
      <c r="DI65">
        <v>1</v>
      </c>
      <c r="DJ65" t="s">
        <v>289</v>
      </c>
      <c r="DK65">
        <v>17</v>
      </c>
      <c r="DL65" t="s">
        <v>290</v>
      </c>
      <c r="DM65" t="s">
        <v>290</v>
      </c>
      <c r="DN65" t="s">
        <v>291</v>
      </c>
      <c r="DO65">
        <v>38</v>
      </c>
      <c r="DP65" t="s">
        <v>290</v>
      </c>
      <c r="DQ65" t="s">
        <v>290</v>
      </c>
      <c r="DR65" t="s">
        <v>291</v>
      </c>
      <c r="DS65" t="s">
        <v>292</v>
      </c>
      <c r="DT65" t="s">
        <v>293</v>
      </c>
      <c r="DU65" t="s">
        <v>293</v>
      </c>
      <c r="DV65" t="s">
        <v>293</v>
      </c>
      <c r="DW65" s="138">
        <v>432.56244218316402</v>
      </c>
      <c r="DX65" t="s">
        <v>294</v>
      </c>
      <c r="DY65" s="138">
        <v>12.358926919520901</v>
      </c>
      <c r="DZ65" t="s">
        <v>295</v>
      </c>
      <c r="EA65">
        <v>38.75</v>
      </c>
      <c r="EB65" t="s">
        <v>296</v>
      </c>
      <c r="EC65">
        <v>0.15</v>
      </c>
      <c r="ED65" t="s">
        <v>328</v>
      </c>
      <c r="EE65" t="s">
        <v>329</v>
      </c>
      <c r="EF65" t="s">
        <v>297</v>
      </c>
      <c r="EG65">
        <v>1.0271999999999999</v>
      </c>
      <c r="EH65" t="s">
        <v>290</v>
      </c>
      <c r="EI65" t="s">
        <v>290</v>
      </c>
      <c r="EJ65" t="s">
        <v>298</v>
      </c>
      <c r="EK65" t="s">
        <v>290</v>
      </c>
      <c r="EL65" t="s">
        <v>290</v>
      </c>
      <c r="EM65" t="s">
        <v>299</v>
      </c>
      <c r="EN65" t="s">
        <v>300</v>
      </c>
      <c r="EO65" t="s">
        <v>329</v>
      </c>
      <c r="EP65" t="s">
        <v>329</v>
      </c>
      <c r="EQ65" t="s">
        <v>329</v>
      </c>
      <c r="ER65" t="s">
        <v>329</v>
      </c>
      <c r="ES65" t="s">
        <v>167</v>
      </c>
      <c r="ET65" t="s">
        <v>313</v>
      </c>
      <c r="EU65" t="s">
        <v>314</v>
      </c>
      <c r="EV65" t="s">
        <v>315</v>
      </c>
      <c r="EW65" t="s">
        <v>316</v>
      </c>
      <c r="EX65" t="s">
        <v>316</v>
      </c>
      <c r="EY65" t="s">
        <v>316</v>
      </c>
      <c r="EZ65" t="s">
        <v>316</v>
      </c>
      <c r="FA65">
        <v>6.625</v>
      </c>
      <c r="FB65" t="s">
        <v>296</v>
      </c>
      <c r="FC65">
        <v>0.875</v>
      </c>
      <c r="FD65">
        <v>0.875</v>
      </c>
      <c r="FE65">
        <v>7.6759466212807297</v>
      </c>
      <c r="FF65" s="164" t="s">
        <v>301</v>
      </c>
      <c r="FG65" s="154">
        <v>3.7045217893765102E-2</v>
      </c>
      <c r="FH65" s="154">
        <v>3.7045217893765102E-2</v>
      </c>
      <c r="FI65">
        <v>1384.4141581971501</v>
      </c>
      <c r="FJ65" s="164">
        <v>0</v>
      </c>
      <c r="FK65" s="164" t="s">
        <v>302</v>
      </c>
      <c r="FL65">
        <v>1384.4141581971501</v>
      </c>
      <c r="FM65" s="141">
        <v>405.50012514385003</v>
      </c>
      <c r="FN65" s="141">
        <v>307.06059113543006</v>
      </c>
      <c r="FO65" s="170" t="s">
        <v>303</v>
      </c>
      <c r="FP65" t="s">
        <v>317</v>
      </c>
      <c r="FQ65">
        <v>2911.0277719831802</v>
      </c>
      <c r="FR65">
        <v>514.6649451362797</v>
      </c>
      <c r="FS65">
        <v>447.15140159516011</v>
      </c>
      <c r="FT65">
        <v>2737.8432862254599</v>
      </c>
      <c r="FU65">
        <v>509.05287329240008</v>
      </c>
      <c r="FV65">
        <v>445.72936392999958</v>
      </c>
      <c r="FW65" t="s">
        <v>305</v>
      </c>
      <c r="FX65" t="s">
        <v>305</v>
      </c>
      <c r="FY65" t="s">
        <v>305</v>
      </c>
      <c r="FZ65" t="s">
        <v>305</v>
      </c>
      <c r="GA65" t="s">
        <v>305</v>
      </c>
      <c r="GB65" t="s">
        <v>305</v>
      </c>
      <c r="GC65" t="s">
        <v>318</v>
      </c>
    </row>
    <row r="66" spans="1:185" ht="17">
      <c r="A66" t="s">
        <v>180</v>
      </c>
      <c r="B66" s="202" t="s">
        <v>181</v>
      </c>
      <c r="C66" t="s">
        <v>168</v>
      </c>
      <c r="D66" t="s">
        <v>182</v>
      </c>
      <c r="E66">
        <v>2020</v>
      </c>
      <c r="F66" t="s">
        <v>183</v>
      </c>
      <c r="G66" s="141">
        <v>40168.716430664062</v>
      </c>
      <c r="H66">
        <v>2.82</v>
      </c>
      <c r="I66">
        <v>2.82</v>
      </c>
      <c r="J66">
        <v>2002.2925297428801</v>
      </c>
      <c r="K66" s="204">
        <v>699.79082949167969</v>
      </c>
      <c r="L66" s="204">
        <v>477.40886644059015</v>
      </c>
      <c r="M66" s="163" t="b">
        <v>0</v>
      </c>
      <c r="N66" s="163">
        <v>3</v>
      </c>
      <c r="O66" t="s">
        <v>331</v>
      </c>
      <c r="P66" t="s">
        <v>322</v>
      </c>
      <c r="Q66" s="163" t="b">
        <v>1</v>
      </c>
      <c r="R66" s="212" t="s">
        <v>325</v>
      </c>
      <c r="S66" s="163" t="b">
        <v>1</v>
      </c>
      <c r="T66" s="163" t="b">
        <v>0</v>
      </c>
      <c r="U66" s="163" t="s">
        <v>167</v>
      </c>
      <c r="V66" s="163" t="s">
        <v>167</v>
      </c>
      <c r="W66" s="199" t="s">
        <v>167</v>
      </c>
      <c r="X66" s="199" t="s">
        <v>167</v>
      </c>
      <c r="Y66" s="143" t="s">
        <v>184</v>
      </c>
      <c r="Z66" t="s">
        <v>183</v>
      </c>
      <c r="AA66" t="s">
        <v>192</v>
      </c>
      <c r="AB66" t="s">
        <v>193</v>
      </c>
      <c r="AC66">
        <v>5</v>
      </c>
      <c r="AD66">
        <v>1</v>
      </c>
      <c r="AE66">
        <v>15</v>
      </c>
      <c r="AF66">
        <f>AE66+2</f>
        <v>17</v>
      </c>
      <c r="AG66">
        <v>31.96</v>
      </c>
      <c r="AH66">
        <v>35.171379089355469</v>
      </c>
      <c r="AI66" t="s">
        <v>194</v>
      </c>
      <c r="AJ66" t="s">
        <v>195</v>
      </c>
      <c r="AK66" s="147">
        <v>18.4404</v>
      </c>
      <c r="AL66" s="147">
        <v>-179.55500000000001</v>
      </c>
      <c r="AM66" s="147">
        <v>11.3</v>
      </c>
      <c r="AN66" s="148" t="s">
        <v>167</v>
      </c>
      <c r="AO66" s="148">
        <v>-1518</v>
      </c>
      <c r="AP66" s="148">
        <v>-1400</v>
      </c>
      <c r="AQ66" t="s">
        <v>196</v>
      </c>
      <c r="AR66" t="s">
        <v>190</v>
      </c>
      <c r="AS66" s="141">
        <v>40168.716430664062</v>
      </c>
      <c r="AT66" t="s">
        <v>206</v>
      </c>
      <c r="AU66">
        <v>2.82</v>
      </c>
      <c r="AV66">
        <v>2.82</v>
      </c>
      <c r="AW66" t="s">
        <v>207</v>
      </c>
      <c r="AX66" t="s">
        <v>208</v>
      </c>
      <c r="AY66" t="s">
        <v>212</v>
      </c>
      <c r="AZ66" t="s">
        <v>167</v>
      </c>
      <c r="BA66" t="s">
        <v>167</v>
      </c>
      <c r="BB66" t="s">
        <v>167</v>
      </c>
      <c r="BC66" t="s">
        <v>167</v>
      </c>
      <c r="BD66" t="s">
        <v>167</v>
      </c>
      <c r="BE66" t="s">
        <v>167</v>
      </c>
      <c r="BF66" t="s">
        <v>167</v>
      </c>
      <c r="BG66" t="s">
        <v>222</v>
      </c>
      <c r="BH66" t="s">
        <v>217</v>
      </c>
      <c r="BI66" s="157">
        <v>201</v>
      </c>
      <c r="BJ66" s="157">
        <v>1.9790000000000001</v>
      </c>
      <c r="BK66" t="s">
        <v>219</v>
      </c>
      <c r="BL66" t="s">
        <v>220</v>
      </c>
      <c r="BM66" t="s">
        <v>221</v>
      </c>
      <c r="BN66" t="s">
        <v>246</v>
      </c>
      <c r="BO66">
        <v>2</v>
      </c>
      <c r="BP66" s="140">
        <v>0.12165635629390791</v>
      </c>
      <c r="BQ66" s="139">
        <v>14.108486542101801</v>
      </c>
      <c r="BR66" t="s">
        <v>228</v>
      </c>
      <c r="BS66">
        <v>0.26845199109808299</v>
      </c>
      <c r="BT66">
        <v>0.88</v>
      </c>
      <c r="BU66" t="s">
        <v>271</v>
      </c>
      <c r="BV66" t="s">
        <v>271</v>
      </c>
      <c r="BW66" s="163">
        <v>1.85</v>
      </c>
      <c r="BX66" t="s">
        <v>271</v>
      </c>
      <c r="BY66" t="s">
        <v>271</v>
      </c>
      <c r="BZ66" t="s">
        <v>272</v>
      </c>
      <c r="CA66" t="s">
        <v>273</v>
      </c>
      <c r="CB66">
        <v>14.0521040475498</v>
      </c>
      <c r="CC66" t="s">
        <v>274</v>
      </c>
      <c r="CD66" s="165">
        <v>0.26651236067960049</v>
      </c>
      <c r="CE66" t="s">
        <v>326</v>
      </c>
      <c r="CF66" t="s">
        <v>327</v>
      </c>
      <c r="CG66">
        <v>25</v>
      </c>
      <c r="CH66" t="s">
        <v>280</v>
      </c>
      <c r="CI66" t="s">
        <v>280</v>
      </c>
      <c r="CJ66" s="139">
        <v>33.807204392296903</v>
      </c>
      <c r="CK66" t="s">
        <v>281</v>
      </c>
      <c r="CL66" s="140">
        <v>0.627813443939502</v>
      </c>
      <c r="CM66" s="140">
        <v>0.61840217946762999</v>
      </c>
      <c r="CN66" t="s">
        <v>282</v>
      </c>
      <c r="CO66">
        <v>4.9917055770780596</v>
      </c>
      <c r="CP66" t="s">
        <v>283</v>
      </c>
      <c r="CQ66">
        <v>0.14975116731234178</v>
      </c>
      <c r="CR66">
        <v>0.14975116731234178</v>
      </c>
      <c r="CS66" t="s">
        <v>284</v>
      </c>
      <c r="CT66" t="s">
        <v>167</v>
      </c>
      <c r="CU66" t="s">
        <v>285</v>
      </c>
      <c r="CV66" t="s">
        <v>286</v>
      </c>
      <c r="CW66" t="s">
        <v>280</v>
      </c>
      <c r="CX66" t="s">
        <v>280</v>
      </c>
      <c r="CY66" t="s">
        <v>287</v>
      </c>
      <c r="CZ66" t="s">
        <v>167</v>
      </c>
      <c r="DA66" t="s">
        <v>167</v>
      </c>
      <c r="DB66" t="s">
        <v>167</v>
      </c>
      <c r="DC66" t="s">
        <v>167</v>
      </c>
      <c r="DD66" t="s">
        <v>167</v>
      </c>
      <c r="DE66" t="s">
        <v>167</v>
      </c>
      <c r="DF66" t="s">
        <v>167</v>
      </c>
      <c r="DG66" s="166">
        <v>35</v>
      </c>
      <c r="DH66" t="s">
        <v>288</v>
      </c>
      <c r="DI66">
        <v>1</v>
      </c>
      <c r="DJ66" t="s">
        <v>289</v>
      </c>
      <c r="DK66">
        <v>17</v>
      </c>
      <c r="DL66" t="s">
        <v>290</v>
      </c>
      <c r="DM66" t="s">
        <v>290</v>
      </c>
      <c r="DN66" t="s">
        <v>291</v>
      </c>
      <c r="DO66">
        <v>38</v>
      </c>
      <c r="DP66" t="s">
        <v>290</v>
      </c>
      <c r="DQ66" t="s">
        <v>290</v>
      </c>
      <c r="DR66" t="s">
        <v>291</v>
      </c>
      <c r="DS66" t="s">
        <v>292</v>
      </c>
      <c r="DT66" t="s">
        <v>293</v>
      </c>
      <c r="DU66" t="s">
        <v>293</v>
      </c>
      <c r="DV66" t="s">
        <v>293</v>
      </c>
      <c r="DW66" s="138">
        <v>432.56244218316402</v>
      </c>
      <c r="DX66" t="s">
        <v>294</v>
      </c>
      <c r="DY66" s="138">
        <v>12.358926919521</v>
      </c>
      <c r="DZ66" t="s">
        <v>295</v>
      </c>
      <c r="EA66">
        <v>38.75</v>
      </c>
      <c r="EB66" t="s">
        <v>296</v>
      </c>
      <c r="EC66">
        <v>0.15</v>
      </c>
      <c r="ED66" t="s">
        <v>328</v>
      </c>
      <c r="EE66" t="s">
        <v>329</v>
      </c>
      <c r="EF66" t="s">
        <v>297</v>
      </c>
      <c r="EG66">
        <v>1.0271999999999999</v>
      </c>
      <c r="EH66" t="s">
        <v>290</v>
      </c>
      <c r="EI66" t="s">
        <v>290</v>
      </c>
      <c r="EJ66" t="s">
        <v>298</v>
      </c>
      <c r="EK66" t="s">
        <v>290</v>
      </c>
      <c r="EL66" t="s">
        <v>290</v>
      </c>
      <c r="EM66" t="s">
        <v>299</v>
      </c>
      <c r="EN66" t="s">
        <v>300</v>
      </c>
      <c r="EO66" t="s">
        <v>329</v>
      </c>
      <c r="EP66" t="s">
        <v>329</v>
      </c>
      <c r="EQ66" t="s">
        <v>329</v>
      </c>
      <c r="ER66" t="s">
        <v>329</v>
      </c>
      <c r="ES66" t="s">
        <v>167</v>
      </c>
      <c r="ET66" t="s">
        <v>313</v>
      </c>
      <c r="EU66" t="s">
        <v>314</v>
      </c>
      <c r="EV66" t="s">
        <v>315</v>
      </c>
      <c r="EW66" t="s">
        <v>316</v>
      </c>
      <c r="EX66" t="s">
        <v>316</v>
      </c>
      <c r="EY66" t="s">
        <v>316</v>
      </c>
      <c r="EZ66" t="s">
        <v>316</v>
      </c>
      <c r="FA66">
        <v>6.625</v>
      </c>
      <c r="FB66" t="s">
        <v>296</v>
      </c>
      <c r="FC66">
        <v>0.875</v>
      </c>
      <c r="FD66">
        <v>0.875</v>
      </c>
      <c r="FE66">
        <v>7.5841476288407303</v>
      </c>
      <c r="FF66" s="164" t="s">
        <v>301</v>
      </c>
      <c r="FG66" s="154">
        <v>4.2053825530737998E-2</v>
      </c>
      <c r="FH66" s="154">
        <v>4.2053825530737998E-2</v>
      </c>
      <c r="FI66">
        <v>2002.2925297428801</v>
      </c>
      <c r="FJ66" s="164">
        <v>0</v>
      </c>
      <c r="FK66" s="164" t="s">
        <v>302</v>
      </c>
      <c r="FL66">
        <v>2002.2925297428801</v>
      </c>
      <c r="FM66" s="141">
        <v>699.79082949167969</v>
      </c>
      <c r="FN66" s="141">
        <v>477.40886644059015</v>
      </c>
      <c r="FO66" s="170" t="s">
        <v>303</v>
      </c>
      <c r="FP66" t="s">
        <v>317</v>
      </c>
      <c r="FQ66">
        <v>3321.2725122440097</v>
      </c>
      <c r="FR66">
        <v>668.26621219338028</v>
      </c>
      <c r="FS66">
        <v>530.69484547980983</v>
      </c>
      <c r="FT66">
        <v>3163.1097790351</v>
      </c>
      <c r="FU66">
        <v>687.80338610751994</v>
      </c>
      <c r="FV66">
        <v>521.99428498572036</v>
      </c>
      <c r="FW66" t="s">
        <v>305</v>
      </c>
      <c r="FX66" t="s">
        <v>305</v>
      </c>
      <c r="FY66" t="s">
        <v>305</v>
      </c>
      <c r="FZ66" t="s">
        <v>305</v>
      </c>
      <c r="GA66" t="s">
        <v>305</v>
      </c>
      <c r="GB66" t="s">
        <v>305</v>
      </c>
      <c r="GC66" t="s">
        <v>318</v>
      </c>
    </row>
    <row r="67" spans="1:185" ht="17">
      <c r="A67" t="s">
        <v>180</v>
      </c>
      <c r="B67" s="202" t="s">
        <v>181</v>
      </c>
      <c r="C67" t="s">
        <v>168</v>
      </c>
      <c r="D67" t="s">
        <v>182</v>
      </c>
      <c r="E67">
        <v>2020</v>
      </c>
      <c r="F67" t="s">
        <v>183</v>
      </c>
      <c r="G67" s="141">
        <v>40244.403839111328</v>
      </c>
      <c r="H67">
        <v>16.91</v>
      </c>
      <c r="I67">
        <v>16.91</v>
      </c>
      <c r="J67">
        <v>912.02832040490705</v>
      </c>
      <c r="K67" s="204">
        <v>242.024341338113</v>
      </c>
      <c r="L67" s="204">
        <v>179.21279300984008</v>
      </c>
      <c r="M67" s="163" t="b">
        <v>0</v>
      </c>
      <c r="N67" s="163">
        <v>3</v>
      </c>
      <c r="O67" t="s">
        <v>331</v>
      </c>
      <c r="P67" t="s">
        <v>322</v>
      </c>
      <c r="Q67" s="163" t="b">
        <v>1</v>
      </c>
      <c r="R67" s="212" t="s">
        <v>325</v>
      </c>
      <c r="S67" s="163" t="b">
        <v>1</v>
      </c>
      <c r="T67" s="163" t="b">
        <v>0</v>
      </c>
      <c r="U67" s="163" t="s">
        <v>167</v>
      </c>
      <c r="V67" s="163" t="s">
        <v>167</v>
      </c>
      <c r="W67" s="199" t="s">
        <v>167</v>
      </c>
      <c r="X67" s="199" t="s">
        <v>167</v>
      </c>
      <c r="Y67" s="143" t="s">
        <v>184</v>
      </c>
      <c r="Z67" t="s">
        <v>183</v>
      </c>
      <c r="AA67" t="s">
        <v>192</v>
      </c>
      <c r="AB67" t="s">
        <v>193</v>
      </c>
      <c r="AC67">
        <v>5</v>
      </c>
      <c r="AD67">
        <v>1</v>
      </c>
      <c r="AE67">
        <v>35</v>
      </c>
      <c r="AF67">
        <v>47</v>
      </c>
      <c r="AG67">
        <v>32.21</v>
      </c>
      <c r="AH67">
        <v>35.420000076293945</v>
      </c>
      <c r="AI67" t="s">
        <v>194</v>
      </c>
      <c r="AJ67" t="s">
        <v>195</v>
      </c>
      <c r="AK67" s="147">
        <v>18.4404</v>
      </c>
      <c r="AL67" s="147">
        <v>-179.55500000000001</v>
      </c>
      <c r="AM67" s="147">
        <v>11.3</v>
      </c>
      <c r="AN67" s="148" t="s">
        <v>167</v>
      </c>
      <c r="AO67" s="148">
        <v>-1518</v>
      </c>
      <c r="AP67" s="148">
        <v>-1400</v>
      </c>
      <c r="AQ67" t="s">
        <v>196</v>
      </c>
      <c r="AR67" t="s">
        <v>190</v>
      </c>
      <c r="AS67" s="141">
        <v>40244.403839111328</v>
      </c>
      <c r="AT67" t="s">
        <v>206</v>
      </c>
      <c r="AU67">
        <v>16.91</v>
      </c>
      <c r="AV67">
        <v>16.91</v>
      </c>
      <c r="AW67" t="s">
        <v>207</v>
      </c>
      <c r="AX67" t="s">
        <v>208</v>
      </c>
      <c r="AY67" t="s">
        <v>212</v>
      </c>
      <c r="AZ67" t="s">
        <v>167</v>
      </c>
      <c r="BA67" t="s">
        <v>167</v>
      </c>
      <c r="BB67" t="s">
        <v>167</v>
      </c>
      <c r="BC67" t="s">
        <v>167</v>
      </c>
      <c r="BD67" t="s">
        <v>167</v>
      </c>
      <c r="BE67" t="s">
        <v>167</v>
      </c>
      <c r="BF67" t="s">
        <v>167</v>
      </c>
      <c r="BG67" t="s">
        <v>222</v>
      </c>
      <c r="BH67" t="s">
        <v>217</v>
      </c>
      <c r="BI67" s="157">
        <v>307</v>
      </c>
      <c r="BJ67" s="158">
        <v>3.0019999999999998</v>
      </c>
      <c r="BK67" t="s">
        <v>219</v>
      </c>
      <c r="BL67" t="s">
        <v>220</v>
      </c>
      <c r="BM67" t="s">
        <v>221</v>
      </c>
      <c r="BN67" t="s">
        <v>247</v>
      </c>
      <c r="BO67">
        <v>2</v>
      </c>
      <c r="BP67" s="140">
        <v>0.10393409289200761</v>
      </c>
      <c r="BQ67" s="139">
        <v>15.0622474937866</v>
      </c>
      <c r="BR67" t="s">
        <v>228</v>
      </c>
      <c r="BS67">
        <v>0.24080855890956901</v>
      </c>
      <c r="BT67">
        <v>0.88</v>
      </c>
      <c r="BU67" t="s">
        <v>271</v>
      </c>
      <c r="BV67" t="s">
        <v>271</v>
      </c>
      <c r="BW67" s="163">
        <v>1.85</v>
      </c>
      <c r="BX67" t="s">
        <v>271</v>
      </c>
      <c r="BY67" t="s">
        <v>271</v>
      </c>
      <c r="BZ67" t="s">
        <v>272</v>
      </c>
      <c r="CA67" t="s">
        <v>273</v>
      </c>
      <c r="CB67">
        <v>15.1345000803873</v>
      </c>
      <c r="CC67" t="s">
        <v>274</v>
      </c>
      <c r="CD67" s="165">
        <v>0.25300303964429993</v>
      </c>
      <c r="CE67" t="s">
        <v>326</v>
      </c>
      <c r="CF67" t="s">
        <v>327</v>
      </c>
      <c r="CG67">
        <v>25</v>
      </c>
      <c r="CH67" t="s">
        <v>280</v>
      </c>
      <c r="CI67" t="s">
        <v>280</v>
      </c>
      <c r="CJ67" s="139">
        <v>31.42978408251</v>
      </c>
      <c r="CK67" t="s">
        <v>281</v>
      </c>
      <c r="CL67" s="140">
        <v>0.57053667784860096</v>
      </c>
      <c r="CM67" s="140">
        <v>0.58151743222860797</v>
      </c>
      <c r="CN67" t="s">
        <v>282</v>
      </c>
      <c r="CO67">
        <v>3.9300668002412</v>
      </c>
      <c r="CP67" t="s">
        <v>283</v>
      </c>
      <c r="CQ67">
        <v>0.11790200400723599</v>
      </c>
      <c r="CR67">
        <v>0.11790200400723599</v>
      </c>
      <c r="CS67" t="s">
        <v>284</v>
      </c>
      <c r="CT67" t="s">
        <v>167</v>
      </c>
      <c r="CU67" t="s">
        <v>285</v>
      </c>
      <c r="CV67" t="s">
        <v>286</v>
      </c>
      <c r="CW67" t="s">
        <v>280</v>
      </c>
      <c r="CX67" t="s">
        <v>280</v>
      </c>
      <c r="CY67" t="s">
        <v>287</v>
      </c>
      <c r="CZ67" t="s">
        <v>167</v>
      </c>
      <c r="DA67" t="s">
        <v>167</v>
      </c>
      <c r="DB67" t="s">
        <v>167</v>
      </c>
      <c r="DC67" t="s">
        <v>167</v>
      </c>
      <c r="DD67" t="s">
        <v>167</v>
      </c>
      <c r="DE67" t="s">
        <v>167</v>
      </c>
      <c r="DF67" t="s">
        <v>167</v>
      </c>
      <c r="DG67" s="166">
        <v>35</v>
      </c>
      <c r="DH67" t="s">
        <v>288</v>
      </c>
      <c r="DI67">
        <v>1</v>
      </c>
      <c r="DJ67" t="s">
        <v>289</v>
      </c>
      <c r="DK67">
        <v>17</v>
      </c>
      <c r="DL67" t="s">
        <v>290</v>
      </c>
      <c r="DM67" t="s">
        <v>290</v>
      </c>
      <c r="DN67" t="s">
        <v>291</v>
      </c>
      <c r="DO67">
        <v>38</v>
      </c>
      <c r="DP67" t="s">
        <v>290</v>
      </c>
      <c r="DQ67" t="s">
        <v>290</v>
      </c>
      <c r="DR67" t="s">
        <v>291</v>
      </c>
      <c r="DS67" t="s">
        <v>292</v>
      </c>
      <c r="DT67" t="s">
        <v>293</v>
      </c>
      <c r="DU67" t="s">
        <v>293</v>
      </c>
      <c r="DV67" t="s">
        <v>293</v>
      </c>
      <c r="DW67" s="138">
        <v>432.56244218316402</v>
      </c>
      <c r="DX67" t="s">
        <v>294</v>
      </c>
      <c r="DY67" s="138">
        <v>12.3589269195211</v>
      </c>
      <c r="DZ67" t="s">
        <v>295</v>
      </c>
      <c r="EA67">
        <v>38.75</v>
      </c>
      <c r="EB67" t="s">
        <v>296</v>
      </c>
      <c r="EC67">
        <v>0.15</v>
      </c>
      <c r="ED67" t="s">
        <v>328</v>
      </c>
      <c r="EE67" t="s">
        <v>329</v>
      </c>
      <c r="EF67" t="s">
        <v>297</v>
      </c>
      <c r="EG67">
        <v>1.0271999999999999</v>
      </c>
      <c r="EH67" t="s">
        <v>290</v>
      </c>
      <c r="EI67" t="s">
        <v>290</v>
      </c>
      <c r="EJ67" t="s">
        <v>298</v>
      </c>
      <c r="EK67" t="s">
        <v>290</v>
      </c>
      <c r="EL67" t="s">
        <v>290</v>
      </c>
      <c r="EM67" t="s">
        <v>299</v>
      </c>
      <c r="EN67" t="s">
        <v>300</v>
      </c>
      <c r="EO67" t="s">
        <v>329</v>
      </c>
      <c r="EP67" t="s">
        <v>329</v>
      </c>
      <c r="EQ67" t="s">
        <v>329</v>
      </c>
      <c r="ER67" t="s">
        <v>329</v>
      </c>
      <c r="ES67" t="s">
        <v>167</v>
      </c>
      <c r="ET67" t="s">
        <v>313</v>
      </c>
      <c r="EU67" t="s">
        <v>314</v>
      </c>
      <c r="EV67" t="s">
        <v>315</v>
      </c>
      <c r="EW67" t="s">
        <v>316</v>
      </c>
      <c r="EX67" t="s">
        <v>316</v>
      </c>
      <c r="EY67" t="s">
        <v>316</v>
      </c>
      <c r="EZ67" t="s">
        <v>316</v>
      </c>
      <c r="FA67">
        <v>6.625</v>
      </c>
      <c r="FB67" t="s">
        <v>296</v>
      </c>
      <c r="FC67">
        <v>0.875</v>
      </c>
      <c r="FD67">
        <v>0.875</v>
      </c>
      <c r="FE67">
        <v>7.7729939036454496</v>
      </c>
      <c r="FF67" s="164" t="s">
        <v>301</v>
      </c>
      <c r="FG67" s="154">
        <v>3.3339042053861401E-2</v>
      </c>
      <c r="FH67" s="154">
        <v>3.3339042053861401E-2</v>
      </c>
      <c r="FI67">
        <v>912.02832040490705</v>
      </c>
      <c r="FJ67" s="164">
        <v>0</v>
      </c>
      <c r="FK67" s="164" t="s">
        <v>302</v>
      </c>
      <c r="FL67">
        <v>912.02832040490705</v>
      </c>
      <c r="FM67" s="141">
        <v>242.024341338113</v>
      </c>
      <c r="FN67" s="141">
        <v>179.21279300984008</v>
      </c>
      <c r="FO67" s="170" t="s">
        <v>303</v>
      </c>
      <c r="FP67" t="s">
        <v>317</v>
      </c>
      <c r="FQ67">
        <v>2491.5006219759098</v>
      </c>
      <c r="FR67">
        <v>399.91226691267002</v>
      </c>
      <c r="FS67">
        <v>363.19238249317993</v>
      </c>
      <c r="FT67">
        <v>2293.76522071516</v>
      </c>
      <c r="FU67">
        <v>401.12066883680023</v>
      </c>
      <c r="FV67">
        <v>349.23702284939975</v>
      </c>
      <c r="FW67" t="s">
        <v>305</v>
      </c>
      <c r="FX67" t="s">
        <v>305</v>
      </c>
      <c r="FY67" t="s">
        <v>305</v>
      </c>
      <c r="FZ67" t="s">
        <v>305</v>
      </c>
      <c r="GA67" t="s">
        <v>305</v>
      </c>
      <c r="GB67" t="s">
        <v>305</v>
      </c>
      <c r="GC67" t="s">
        <v>318</v>
      </c>
    </row>
    <row r="68" spans="1:185" ht="17">
      <c r="A68" t="s">
        <v>180</v>
      </c>
      <c r="B68" s="202" t="s">
        <v>181</v>
      </c>
      <c r="C68" t="s">
        <v>168</v>
      </c>
      <c r="D68" t="s">
        <v>182</v>
      </c>
      <c r="E68">
        <v>2020</v>
      </c>
      <c r="F68" t="s">
        <v>183</v>
      </c>
      <c r="G68" s="141">
        <v>40309.352874755859</v>
      </c>
      <c r="H68">
        <v>16.95</v>
      </c>
      <c r="I68">
        <v>16.95</v>
      </c>
      <c r="J68">
        <v>944.434395791101</v>
      </c>
      <c r="K68" s="204">
        <v>246.91040105307911</v>
      </c>
      <c r="L68" s="204">
        <v>209.51272009651905</v>
      </c>
      <c r="M68" s="163" t="b">
        <v>0</v>
      </c>
      <c r="N68" s="163">
        <v>3</v>
      </c>
      <c r="O68" t="s">
        <v>331</v>
      </c>
      <c r="P68" t="s">
        <v>322</v>
      </c>
      <c r="Q68" s="163" t="b">
        <v>1</v>
      </c>
      <c r="R68" s="212" t="s">
        <v>325</v>
      </c>
      <c r="S68" s="163" t="b">
        <v>1</v>
      </c>
      <c r="T68" s="163" t="b">
        <v>0</v>
      </c>
      <c r="U68" s="163" t="s">
        <v>167</v>
      </c>
      <c r="V68" s="163" t="s">
        <v>167</v>
      </c>
      <c r="W68" s="199" t="s">
        <v>167</v>
      </c>
      <c r="X68" s="199" t="s">
        <v>167</v>
      </c>
      <c r="Y68" s="143" t="s">
        <v>184</v>
      </c>
      <c r="Z68" t="s">
        <v>183</v>
      </c>
      <c r="AA68" t="s">
        <v>192</v>
      </c>
      <c r="AB68" t="s">
        <v>193</v>
      </c>
      <c r="AC68">
        <v>5</v>
      </c>
      <c r="AD68">
        <v>1</v>
      </c>
      <c r="AE68">
        <v>55</v>
      </c>
      <c r="AF68">
        <v>67</v>
      </c>
      <c r="AG68">
        <v>32.409999999999997</v>
      </c>
      <c r="AH68">
        <v>35.633332570393883</v>
      </c>
      <c r="AI68" t="s">
        <v>194</v>
      </c>
      <c r="AJ68" t="s">
        <v>195</v>
      </c>
      <c r="AK68" s="147">
        <v>18.4404</v>
      </c>
      <c r="AL68" s="147">
        <v>-179.55500000000001</v>
      </c>
      <c r="AM68" s="147">
        <v>11.3</v>
      </c>
      <c r="AN68" s="148" t="s">
        <v>167</v>
      </c>
      <c r="AO68" s="148">
        <v>-1518</v>
      </c>
      <c r="AP68" s="148">
        <v>-1400</v>
      </c>
      <c r="AQ68" t="s">
        <v>196</v>
      </c>
      <c r="AR68" t="s">
        <v>190</v>
      </c>
      <c r="AS68" s="141">
        <v>40309.352874755859</v>
      </c>
      <c r="AT68" t="s">
        <v>206</v>
      </c>
      <c r="AU68">
        <v>16.95</v>
      </c>
      <c r="AV68">
        <v>16.95</v>
      </c>
      <c r="AW68" t="s">
        <v>207</v>
      </c>
      <c r="AX68" t="s">
        <v>208</v>
      </c>
      <c r="AY68" t="s">
        <v>212</v>
      </c>
      <c r="AZ68" t="s">
        <v>167</v>
      </c>
      <c r="BA68" t="s">
        <v>167</v>
      </c>
      <c r="BB68" t="s">
        <v>167</v>
      </c>
      <c r="BC68" t="s">
        <v>167</v>
      </c>
      <c r="BD68" t="s">
        <v>167</v>
      </c>
      <c r="BE68" t="s">
        <v>167</v>
      </c>
      <c r="BF68" t="s">
        <v>167</v>
      </c>
      <c r="BG68" t="s">
        <v>222</v>
      </c>
      <c r="BH68" t="s">
        <v>217</v>
      </c>
      <c r="BI68" s="157">
        <v>362</v>
      </c>
      <c r="BJ68" s="157">
        <v>3.4420000000000002</v>
      </c>
      <c r="BK68" t="s">
        <v>219</v>
      </c>
      <c r="BL68" t="s">
        <v>220</v>
      </c>
      <c r="BM68" t="s">
        <v>221</v>
      </c>
      <c r="BN68" t="s">
        <v>248</v>
      </c>
      <c r="BO68">
        <v>2</v>
      </c>
      <c r="BP68" s="140">
        <v>1.1610281301638992E-2</v>
      </c>
      <c r="BQ68" s="139">
        <v>15.007905118144199</v>
      </c>
      <c r="BR68" t="s">
        <v>228</v>
      </c>
      <c r="BS68">
        <v>0.240325267128222</v>
      </c>
      <c r="BT68">
        <v>0.88</v>
      </c>
      <c r="BU68" t="s">
        <v>271</v>
      </c>
      <c r="BV68" t="s">
        <v>271</v>
      </c>
      <c r="BW68" s="163">
        <v>1.85</v>
      </c>
      <c r="BX68" t="s">
        <v>271</v>
      </c>
      <c r="BY68" t="s">
        <v>271</v>
      </c>
      <c r="BZ68" t="s">
        <v>272</v>
      </c>
      <c r="CA68" t="s">
        <v>273</v>
      </c>
      <c r="CB68">
        <v>15.0672033044515</v>
      </c>
      <c r="CC68" t="s">
        <v>274</v>
      </c>
      <c r="CD68" s="165">
        <v>0.2825711598981</v>
      </c>
      <c r="CE68" t="s">
        <v>326</v>
      </c>
      <c r="CF68" t="s">
        <v>327</v>
      </c>
      <c r="CG68">
        <v>25</v>
      </c>
      <c r="CH68" t="s">
        <v>280</v>
      </c>
      <c r="CI68" t="s">
        <v>280</v>
      </c>
      <c r="CJ68" s="139">
        <v>31.307136893373201</v>
      </c>
      <c r="CK68" t="s">
        <v>281</v>
      </c>
      <c r="CL68" s="140">
        <v>0.58948005236859302</v>
      </c>
      <c r="CM68" s="140">
        <v>0.63650184710903801</v>
      </c>
      <c r="CN68" t="s">
        <v>282</v>
      </c>
      <c r="CO68">
        <v>3.9175285616990299</v>
      </c>
      <c r="CP68" t="s">
        <v>283</v>
      </c>
      <c r="CQ68">
        <v>0.11752585685097089</v>
      </c>
      <c r="CR68">
        <v>0.11752585685097089</v>
      </c>
      <c r="CS68" t="s">
        <v>284</v>
      </c>
      <c r="CT68" t="s">
        <v>167</v>
      </c>
      <c r="CU68" t="s">
        <v>285</v>
      </c>
      <c r="CV68" t="s">
        <v>286</v>
      </c>
      <c r="CW68" t="s">
        <v>280</v>
      </c>
      <c r="CX68" t="s">
        <v>280</v>
      </c>
      <c r="CY68" t="s">
        <v>287</v>
      </c>
      <c r="CZ68" t="s">
        <v>167</v>
      </c>
      <c r="DA68" t="s">
        <v>167</v>
      </c>
      <c r="DB68" t="s">
        <v>167</v>
      </c>
      <c r="DC68" t="s">
        <v>167</v>
      </c>
      <c r="DD68" t="s">
        <v>167</v>
      </c>
      <c r="DE68" t="s">
        <v>167</v>
      </c>
      <c r="DF68" t="s">
        <v>167</v>
      </c>
      <c r="DG68" s="166">
        <v>35</v>
      </c>
      <c r="DH68" t="s">
        <v>288</v>
      </c>
      <c r="DI68">
        <v>1</v>
      </c>
      <c r="DJ68" t="s">
        <v>289</v>
      </c>
      <c r="DK68">
        <v>17</v>
      </c>
      <c r="DL68" t="s">
        <v>290</v>
      </c>
      <c r="DM68" t="s">
        <v>290</v>
      </c>
      <c r="DN68" t="s">
        <v>291</v>
      </c>
      <c r="DO68">
        <v>38</v>
      </c>
      <c r="DP68" t="s">
        <v>290</v>
      </c>
      <c r="DQ68" t="s">
        <v>290</v>
      </c>
      <c r="DR68" t="s">
        <v>291</v>
      </c>
      <c r="DS68" t="s">
        <v>292</v>
      </c>
      <c r="DT68" t="s">
        <v>293</v>
      </c>
      <c r="DU68" t="s">
        <v>293</v>
      </c>
      <c r="DV68" t="s">
        <v>293</v>
      </c>
      <c r="DW68" s="138">
        <v>432.56244218316402</v>
      </c>
      <c r="DX68" t="s">
        <v>294</v>
      </c>
      <c r="DY68" s="138">
        <v>12.3589269195213</v>
      </c>
      <c r="DZ68" t="s">
        <v>295</v>
      </c>
      <c r="EA68">
        <v>38.75</v>
      </c>
      <c r="EB68" t="s">
        <v>296</v>
      </c>
      <c r="EC68">
        <v>0.15</v>
      </c>
      <c r="ED68" t="s">
        <v>328</v>
      </c>
      <c r="EE68" t="s">
        <v>329</v>
      </c>
      <c r="EF68" t="s">
        <v>297</v>
      </c>
      <c r="EG68">
        <v>1.0271999999999999</v>
      </c>
      <c r="EH68" t="s">
        <v>290</v>
      </c>
      <c r="EI68" t="s">
        <v>290</v>
      </c>
      <c r="EJ68" t="s">
        <v>298</v>
      </c>
      <c r="EK68" t="s">
        <v>290</v>
      </c>
      <c r="EL68" t="s">
        <v>290</v>
      </c>
      <c r="EM68" t="s">
        <v>299</v>
      </c>
      <c r="EN68" t="s">
        <v>300</v>
      </c>
      <c r="EO68" t="s">
        <v>329</v>
      </c>
      <c r="EP68" t="s">
        <v>329</v>
      </c>
      <c r="EQ68" t="s">
        <v>329</v>
      </c>
      <c r="ER68" t="s">
        <v>329</v>
      </c>
      <c r="ES68" t="s">
        <v>167</v>
      </c>
      <c r="ET68" t="s">
        <v>313</v>
      </c>
      <c r="EU68" t="s">
        <v>314</v>
      </c>
      <c r="EV68" t="s">
        <v>315</v>
      </c>
      <c r="EW68" t="s">
        <v>316</v>
      </c>
      <c r="EX68" t="s">
        <v>316</v>
      </c>
      <c r="EY68" t="s">
        <v>316</v>
      </c>
      <c r="EZ68" t="s">
        <v>316</v>
      </c>
      <c r="FA68">
        <v>6.625</v>
      </c>
      <c r="FB68" t="s">
        <v>296</v>
      </c>
      <c r="FC68">
        <v>0.875</v>
      </c>
      <c r="FD68">
        <v>0.875</v>
      </c>
      <c r="FE68">
        <v>7.7667327515993803</v>
      </c>
      <c r="FF68" s="164" t="s">
        <v>301</v>
      </c>
      <c r="FG68" s="154">
        <v>3.3781455295709098E-2</v>
      </c>
      <c r="FH68" s="154">
        <v>3.3781455295709098E-2</v>
      </c>
      <c r="FI68">
        <v>944.434395791101</v>
      </c>
      <c r="FJ68" s="164">
        <v>0</v>
      </c>
      <c r="FK68" s="164" t="s">
        <v>302</v>
      </c>
      <c r="FL68">
        <v>944.434395791101</v>
      </c>
      <c r="FM68" s="141">
        <v>246.91040105307911</v>
      </c>
      <c r="FN68" s="141">
        <v>209.51272009651905</v>
      </c>
      <c r="FO68" s="170" t="s">
        <v>303</v>
      </c>
      <c r="FP68" t="s">
        <v>317</v>
      </c>
      <c r="FQ68">
        <v>2534.2850800676397</v>
      </c>
      <c r="FR68">
        <v>414.07389842554016</v>
      </c>
      <c r="FS68">
        <v>384.25702304460987</v>
      </c>
      <c r="FT68">
        <v>2341.8132078261901</v>
      </c>
      <c r="FU68">
        <v>400.68907958669973</v>
      </c>
      <c r="FV68">
        <v>378.45179272773038</v>
      </c>
      <c r="FW68" t="s">
        <v>305</v>
      </c>
      <c r="FX68" t="s">
        <v>305</v>
      </c>
      <c r="FY68" t="s">
        <v>305</v>
      </c>
      <c r="FZ68" t="s">
        <v>305</v>
      </c>
      <c r="GA68" t="s">
        <v>305</v>
      </c>
      <c r="GB68" t="s">
        <v>305</v>
      </c>
      <c r="GC68" t="s">
        <v>318</v>
      </c>
    </row>
    <row r="69" spans="1:185" ht="17">
      <c r="A69" t="s">
        <v>180</v>
      </c>
      <c r="B69" s="202" t="s">
        <v>181</v>
      </c>
      <c r="C69" t="s">
        <v>168</v>
      </c>
      <c r="D69" t="s">
        <v>182</v>
      </c>
      <c r="E69">
        <v>2020</v>
      </c>
      <c r="F69" t="s">
        <v>183</v>
      </c>
      <c r="G69" s="141">
        <v>40377.658843994141</v>
      </c>
      <c r="H69">
        <v>2.8600000000000003</v>
      </c>
      <c r="I69">
        <v>2.8600000000000003</v>
      </c>
      <c r="J69">
        <v>894.087571801173</v>
      </c>
      <c r="K69" s="204">
        <v>226.74687061132704</v>
      </c>
      <c r="L69" s="204">
        <v>180.25383085476301</v>
      </c>
      <c r="M69" s="163" t="b">
        <v>0</v>
      </c>
      <c r="N69" s="163">
        <v>3</v>
      </c>
      <c r="O69" t="s">
        <v>331</v>
      </c>
      <c r="P69" t="s">
        <v>322</v>
      </c>
      <c r="Q69" s="163" t="b">
        <v>1</v>
      </c>
      <c r="R69" s="212" t="s">
        <v>325</v>
      </c>
      <c r="S69" s="163" t="b">
        <v>1</v>
      </c>
      <c r="T69" s="163" t="b">
        <v>0</v>
      </c>
      <c r="U69" s="163" t="s">
        <v>167</v>
      </c>
      <c r="V69" s="163" t="s">
        <v>167</v>
      </c>
      <c r="W69" s="199" t="s">
        <v>167</v>
      </c>
      <c r="X69" s="199" t="s">
        <v>167</v>
      </c>
      <c r="Y69" s="143" t="s">
        <v>184</v>
      </c>
      <c r="Z69" t="s">
        <v>183</v>
      </c>
      <c r="AA69" t="s">
        <v>192</v>
      </c>
      <c r="AB69" t="s">
        <v>193</v>
      </c>
      <c r="AC69">
        <v>5</v>
      </c>
      <c r="AD69">
        <v>1</v>
      </c>
      <c r="AE69">
        <v>85</v>
      </c>
      <c r="AF69">
        <f>AE69+2</f>
        <v>87</v>
      </c>
      <c r="AG69">
        <v>32.659999999999997</v>
      </c>
      <c r="AH69">
        <v>35.869998931884766</v>
      </c>
      <c r="AI69" t="s">
        <v>194</v>
      </c>
      <c r="AJ69" t="s">
        <v>195</v>
      </c>
      <c r="AK69" s="147">
        <v>18.4404</v>
      </c>
      <c r="AL69" s="147">
        <v>-179.55500000000001</v>
      </c>
      <c r="AM69" s="147">
        <v>11.3</v>
      </c>
      <c r="AN69" s="148" t="s">
        <v>167</v>
      </c>
      <c r="AO69" s="148">
        <v>-1518</v>
      </c>
      <c r="AP69" s="148">
        <v>-1400</v>
      </c>
      <c r="AQ69" t="s">
        <v>196</v>
      </c>
      <c r="AR69" t="s">
        <v>190</v>
      </c>
      <c r="AS69" s="141">
        <v>40377.658843994141</v>
      </c>
      <c r="AT69" t="s">
        <v>206</v>
      </c>
      <c r="AU69">
        <v>2.8600000000000003</v>
      </c>
      <c r="AV69">
        <v>2.8600000000000003</v>
      </c>
      <c r="AW69" t="s">
        <v>207</v>
      </c>
      <c r="AX69" t="s">
        <v>208</v>
      </c>
      <c r="AY69" t="s">
        <v>212</v>
      </c>
      <c r="AZ69" t="s">
        <v>167</v>
      </c>
      <c r="BA69" t="s">
        <v>167</v>
      </c>
      <c r="BB69" t="s">
        <v>167</v>
      </c>
      <c r="BC69" t="s">
        <v>167</v>
      </c>
      <c r="BD69" t="s">
        <v>167</v>
      </c>
      <c r="BE69" t="s">
        <v>167</v>
      </c>
      <c r="BF69" t="s">
        <v>167</v>
      </c>
      <c r="BG69" t="s">
        <v>222</v>
      </c>
      <c r="BH69" t="s">
        <v>217</v>
      </c>
      <c r="BI69" s="157">
        <v>252</v>
      </c>
      <c r="BJ69" s="157">
        <v>2.3740000000000001</v>
      </c>
      <c r="BK69" t="s">
        <v>219</v>
      </c>
      <c r="BL69" t="s">
        <v>220</v>
      </c>
      <c r="BM69" t="s">
        <v>221</v>
      </c>
      <c r="BN69" t="s">
        <v>249</v>
      </c>
      <c r="BO69">
        <v>2</v>
      </c>
      <c r="BP69" s="140">
        <v>0.38114529601997305</v>
      </c>
      <c r="BQ69" s="139">
        <v>15.1062512201784</v>
      </c>
      <c r="BR69" t="s">
        <v>228</v>
      </c>
      <c r="BS69">
        <v>0.24955055569193799</v>
      </c>
      <c r="BT69">
        <v>0.88</v>
      </c>
      <c r="BU69" t="s">
        <v>271</v>
      </c>
      <c r="BV69" t="s">
        <v>271</v>
      </c>
      <c r="BW69" s="163">
        <v>1.85</v>
      </c>
      <c r="BX69" t="s">
        <v>271</v>
      </c>
      <c r="BY69" t="s">
        <v>271</v>
      </c>
      <c r="BZ69" t="s">
        <v>272</v>
      </c>
      <c r="CA69" t="s">
        <v>273</v>
      </c>
      <c r="CB69">
        <v>15.1770533169937</v>
      </c>
      <c r="CC69" t="s">
        <v>274</v>
      </c>
      <c r="CD69" s="165">
        <v>0.26640079519309978</v>
      </c>
      <c r="CE69" t="s">
        <v>326</v>
      </c>
      <c r="CF69" t="s">
        <v>327</v>
      </c>
      <c r="CG69">
        <v>25</v>
      </c>
      <c r="CH69" t="s">
        <v>280</v>
      </c>
      <c r="CI69" t="s">
        <v>280</v>
      </c>
      <c r="CJ69" s="139">
        <v>31.721909933479999</v>
      </c>
      <c r="CK69" t="s">
        <v>281</v>
      </c>
      <c r="CL69" s="140">
        <v>0.60628012786456198</v>
      </c>
      <c r="CM69" s="140">
        <v>0.56200962767638196</v>
      </c>
      <c r="CN69" t="s">
        <v>282</v>
      </c>
      <c r="CO69">
        <v>3.9918202741871598</v>
      </c>
      <c r="CP69" t="s">
        <v>283</v>
      </c>
      <c r="CQ69">
        <v>0.11975460822561479</v>
      </c>
      <c r="CR69">
        <v>0.11975460822561479</v>
      </c>
      <c r="CS69" t="s">
        <v>284</v>
      </c>
      <c r="CT69" t="s">
        <v>167</v>
      </c>
      <c r="CU69" t="s">
        <v>285</v>
      </c>
      <c r="CV69" t="s">
        <v>286</v>
      </c>
      <c r="CW69" t="s">
        <v>280</v>
      </c>
      <c r="CX69" t="s">
        <v>280</v>
      </c>
      <c r="CY69" t="s">
        <v>287</v>
      </c>
      <c r="CZ69" t="s">
        <v>167</v>
      </c>
      <c r="DA69" t="s">
        <v>167</v>
      </c>
      <c r="DB69" t="s">
        <v>167</v>
      </c>
      <c r="DC69" t="s">
        <v>167</v>
      </c>
      <c r="DD69" t="s">
        <v>167</v>
      </c>
      <c r="DE69" t="s">
        <v>167</v>
      </c>
      <c r="DF69" t="s">
        <v>167</v>
      </c>
      <c r="DG69" s="166">
        <v>35</v>
      </c>
      <c r="DH69" t="s">
        <v>288</v>
      </c>
      <c r="DI69">
        <v>1</v>
      </c>
      <c r="DJ69" t="s">
        <v>289</v>
      </c>
      <c r="DK69">
        <v>17</v>
      </c>
      <c r="DL69" t="s">
        <v>290</v>
      </c>
      <c r="DM69" t="s">
        <v>290</v>
      </c>
      <c r="DN69" t="s">
        <v>291</v>
      </c>
      <c r="DO69">
        <v>38</v>
      </c>
      <c r="DP69" t="s">
        <v>290</v>
      </c>
      <c r="DQ69" t="s">
        <v>290</v>
      </c>
      <c r="DR69" t="s">
        <v>291</v>
      </c>
      <c r="DS69" t="s">
        <v>292</v>
      </c>
      <c r="DT69" t="s">
        <v>293</v>
      </c>
      <c r="DU69" t="s">
        <v>293</v>
      </c>
      <c r="DV69" t="s">
        <v>293</v>
      </c>
      <c r="DW69" s="138">
        <v>432.56244218316402</v>
      </c>
      <c r="DX69" t="s">
        <v>294</v>
      </c>
      <c r="DY69" s="138">
        <v>12.3589269195214</v>
      </c>
      <c r="DZ69" t="s">
        <v>295</v>
      </c>
      <c r="EA69">
        <v>38.75</v>
      </c>
      <c r="EB69" t="s">
        <v>296</v>
      </c>
      <c r="EC69">
        <v>0.15</v>
      </c>
      <c r="ED69" t="s">
        <v>328</v>
      </c>
      <c r="EE69" t="s">
        <v>329</v>
      </c>
      <c r="EF69" t="s">
        <v>297</v>
      </c>
      <c r="EG69">
        <v>1.0271999999999999</v>
      </c>
      <c r="EH69" t="s">
        <v>290</v>
      </c>
      <c r="EI69" t="s">
        <v>290</v>
      </c>
      <c r="EJ69" t="s">
        <v>298</v>
      </c>
      <c r="EK69" t="s">
        <v>290</v>
      </c>
      <c r="EL69" t="s">
        <v>290</v>
      </c>
      <c r="EM69" t="s">
        <v>299</v>
      </c>
      <c r="EN69" t="s">
        <v>300</v>
      </c>
      <c r="EO69" t="s">
        <v>329</v>
      </c>
      <c r="EP69" t="s">
        <v>329</v>
      </c>
      <c r="EQ69" t="s">
        <v>329</v>
      </c>
      <c r="ER69" t="s">
        <v>329</v>
      </c>
      <c r="ES69" t="s">
        <v>167</v>
      </c>
      <c r="ET69" t="s">
        <v>313</v>
      </c>
      <c r="EU69" t="s">
        <v>314</v>
      </c>
      <c r="EV69" t="s">
        <v>315</v>
      </c>
      <c r="EW69" t="s">
        <v>316</v>
      </c>
      <c r="EX69" t="s">
        <v>316</v>
      </c>
      <c r="EY69" t="s">
        <v>316</v>
      </c>
      <c r="EZ69" t="s">
        <v>316</v>
      </c>
      <c r="FA69">
        <v>6.625</v>
      </c>
      <c r="FB69" t="s">
        <v>296</v>
      </c>
      <c r="FC69">
        <v>0.875</v>
      </c>
      <c r="FD69">
        <v>0.875</v>
      </c>
      <c r="FE69">
        <v>7.7754585071490396</v>
      </c>
      <c r="FF69" s="164" t="s">
        <v>301</v>
      </c>
      <c r="FG69" s="154">
        <v>3.1813429737531797E-2</v>
      </c>
      <c r="FH69" s="154">
        <v>3.1813429737531797E-2</v>
      </c>
      <c r="FI69">
        <v>894.087571801173</v>
      </c>
      <c r="FJ69" s="164">
        <v>0</v>
      </c>
      <c r="FK69" s="164" t="s">
        <v>302</v>
      </c>
      <c r="FL69">
        <v>894.087571801173</v>
      </c>
      <c r="FM69" s="141">
        <v>226.74687061132704</v>
      </c>
      <c r="FN69" s="141">
        <v>180.25383085476301</v>
      </c>
      <c r="FO69" s="170" t="s">
        <v>303</v>
      </c>
      <c r="FP69" t="s">
        <v>317</v>
      </c>
      <c r="FQ69">
        <v>2461.9289232482402</v>
      </c>
      <c r="FR69">
        <v>379.98346190014007</v>
      </c>
      <c r="FS69">
        <v>378.96686851865991</v>
      </c>
      <c r="FT69">
        <v>2261.78426519084</v>
      </c>
      <c r="FU69">
        <v>374.83480472735994</v>
      </c>
      <c r="FV69">
        <v>364.67097419781993</v>
      </c>
      <c r="FW69" t="s">
        <v>305</v>
      </c>
      <c r="FX69" t="s">
        <v>305</v>
      </c>
      <c r="FY69" t="s">
        <v>305</v>
      </c>
      <c r="FZ69" t="s">
        <v>305</v>
      </c>
      <c r="GA69" t="s">
        <v>305</v>
      </c>
      <c r="GB69" t="s">
        <v>305</v>
      </c>
      <c r="GC69" t="s">
        <v>318</v>
      </c>
    </row>
    <row r="70" spans="1:185" ht="17">
      <c r="A70" t="s">
        <v>180</v>
      </c>
      <c r="B70" s="202" t="s">
        <v>181</v>
      </c>
      <c r="C70" t="s">
        <v>168</v>
      </c>
      <c r="D70" t="s">
        <v>182</v>
      </c>
      <c r="E70">
        <v>2020</v>
      </c>
      <c r="F70" t="s">
        <v>183</v>
      </c>
      <c r="G70" s="141">
        <v>40516.803741455078</v>
      </c>
      <c r="H70">
        <v>2.8600000000000003</v>
      </c>
      <c r="I70">
        <v>2.8600000000000003</v>
      </c>
      <c r="J70">
        <v>1007.96464331419</v>
      </c>
      <c r="K70" s="204">
        <v>276.0529679834101</v>
      </c>
      <c r="L70" s="204">
        <v>211.91922399387602</v>
      </c>
      <c r="M70" s="163" t="b">
        <v>0</v>
      </c>
      <c r="N70" s="163">
        <v>3</v>
      </c>
      <c r="O70" t="s">
        <v>331</v>
      </c>
      <c r="P70" t="s">
        <v>322</v>
      </c>
      <c r="Q70" s="163" t="b">
        <v>1</v>
      </c>
      <c r="R70" s="212" t="s">
        <v>325</v>
      </c>
      <c r="S70" s="163" t="b">
        <v>1</v>
      </c>
      <c r="T70" s="163" t="b">
        <v>0</v>
      </c>
      <c r="U70" s="163" t="s">
        <v>167</v>
      </c>
      <c r="V70" s="163" t="s">
        <v>167</v>
      </c>
      <c r="W70" s="199" t="s">
        <v>167</v>
      </c>
      <c r="X70" s="199" t="s">
        <v>167</v>
      </c>
      <c r="Y70" s="143" t="s">
        <v>184</v>
      </c>
      <c r="Z70" t="s">
        <v>183</v>
      </c>
      <c r="AA70" t="s">
        <v>192</v>
      </c>
      <c r="AB70" t="s">
        <v>191</v>
      </c>
      <c r="AC70">
        <v>4</v>
      </c>
      <c r="AD70" t="s">
        <v>197</v>
      </c>
      <c r="AE70">
        <v>20</v>
      </c>
      <c r="AF70">
        <v>22</v>
      </c>
      <c r="AG70">
        <v>35.47</v>
      </c>
      <c r="AH70">
        <v>36.356999999999999</v>
      </c>
      <c r="AI70" t="s">
        <v>194</v>
      </c>
      <c r="AJ70" t="s">
        <v>195</v>
      </c>
      <c r="AK70" s="147">
        <v>18.4404</v>
      </c>
      <c r="AL70" s="147">
        <v>-179.55500000000001</v>
      </c>
      <c r="AM70" s="147">
        <v>11.3</v>
      </c>
      <c r="AN70" s="148" t="s">
        <v>167</v>
      </c>
      <c r="AO70" s="148">
        <v>-1518</v>
      </c>
      <c r="AP70" s="148">
        <v>-1400</v>
      </c>
      <c r="AQ70" t="s">
        <v>196</v>
      </c>
      <c r="AR70" t="s">
        <v>190</v>
      </c>
      <c r="AS70" s="141">
        <v>40516.803741455078</v>
      </c>
      <c r="AT70" t="s">
        <v>206</v>
      </c>
      <c r="AU70">
        <v>2.8600000000000003</v>
      </c>
      <c r="AV70">
        <v>2.8600000000000003</v>
      </c>
      <c r="AW70" t="s">
        <v>207</v>
      </c>
      <c r="AX70" t="s">
        <v>208</v>
      </c>
      <c r="AY70" t="s">
        <v>212</v>
      </c>
      <c r="AZ70" t="s">
        <v>167</v>
      </c>
      <c r="BA70" t="s">
        <v>167</v>
      </c>
      <c r="BB70" t="s">
        <v>167</v>
      </c>
      <c r="BC70" t="s">
        <v>167</v>
      </c>
      <c r="BD70" t="s">
        <v>167</v>
      </c>
      <c r="BE70" t="s">
        <v>167</v>
      </c>
      <c r="BF70" t="s">
        <v>167</v>
      </c>
      <c r="BG70" t="s">
        <v>222</v>
      </c>
      <c r="BH70" t="s">
        <v>217</v>
      </c>
      <c r="BI70" s="157">
        <v>245</v>
      </c>
      <c r="BJ70" s="157">
        <v>2.4750000000000001</v>
      </c>
      <c r="BK70" t="s">
        <v>219</v>
      </c>
      <c r="BL70" t="s">
        <v>220</v>
      </c>
      <c r="BM70" t="s">
        <v>221</v>
      </c>
      <c r="BN70" t="s">
        <v>250</v>
      </c>
      <c r="BO70">
        <v>2</v>
      </c>
      <c r="BP70" s="140">
        <v>6.3230294249683183E-2</v>
      </c>
      <c r="BQ70" s="139">
        <v>14.9066301168021</v>
      </c>
      <c r="BR70" t="s">
        <v>228</v>
      </c>
      <c r="BS70">
        <v>0.24634099403572701</v>
      </c>
      <c r="BT70">
        <v>0.88</v>
      </c>
      <c r="BU70" t="s">
        <v>271</v>
      </c>
      <c r="BV70" t="s">
        <v>271</v>
      </c>
      <c r="BW70" s="163">
        <v>1.85</v>
      </c>
      <c r="BX70" t="s">
        <v>271</v>
      </c>
      <c r="BY70" t="s">
        <v>271</v>
      </c>
      <c r="BZ70" t="s">
        <v>272</v>
      </c>
      <c r="CA70" t="s">
        <v>273</v>
      </c>
      <c r="CB70">
        <v>14.956393625502299</v>
      </c>
      <c r="CC70" t="s">
        <v>274</v>
      </c>
      <c r="CD70" s="165">
        <v>0.27671244442765008</v>
      </c>
      <c r="CE70" t="s">
        <v>326</v>
      </c>
      <c r="CF70" t="s">
        <v>327</v>
      </c>
      <c r="CG70">
        <v>25</v>
      </c>
      <c r="CH70" t="s">
        <v>280</v>
      </c>
      <c r="CI70" t="s">
        <v>280</v>
      </c>
      <c r="CJ70" s="139">
        <v>30.866848612801899</v>
      </c>
      <c r="CK70" t="s">
        <v>281</v>
      </c>
      <c r="CL70" s="140">
        <v>0.60643279915664305</v>
      </c>
      <c r="CM70" s="140">
        <v>0.63173369750511199</v>
      </c>
      <c r="CN70" t="s">
        <v>282</v>
      </c>
      <c r="CO70">
        <v>3.8892901134823501</v>
      </c>
      <c r="CP70" t="s">
        <v>283</v>
      </c>
      <c r="CQ70">
        <v>0.11667870340447049</v>
      </c>
      <c r="CR70">
        <v>0.11667870340447049</v>
      </c>
      <c r="CS70" t="s">
        <v>284</v>
      </c>
      <c r="CT70" t="s">
        <v>167</v>
      </c>
      <c r="CU70" t="s">
        <v>285</v>
      </c>
      <c r="CV70" t="s">
        <v>286</v>
      </c>
      <c r="CW70" t="s">
        <v>280</v>
      </c>
      <c r="CX70" t="s">
        <v>280</v>
      </c>
      <c r="CY70" t="s">
        <v>287</v>
      </c>
      <c r="CZ70" t="s">
        <v>167</v>
      </c>
      <c r="DA70" t="s">
        <v>167</v>
      </c>
      <c r="DB70" t="s">
        <v>167</v>
      </c>
      <c r="DC70" t="s">
        <v>167</v>
      </c>
      <c r="DD70" t="s">
        <v>167</v>
      </c>
      <c r="DE70" t="s">
        <v>167</v>
      </c>
      <c r="DF70" t="s">
        <v>167</v>
      </c>
      <c r="DG70" s="166">
        <v>35</v>
      </c>
      <c r="DH70" t="s">
        <v>288</v>
      </c>
      <c r="DI70">
        <v>1</v>
      </c>
      <c r="DJ70" t="s">
        <v>289</v>
      </c>
      <c r="DK70">
        <v>17</v>
      </c>
      <c r="DL70" t="s">
        <v>290</v>
      </c>
      <c r="DM70" t="s">
        <v>290</v>
      </c>
      <c r="DN70" t="s">
        <v>291</v>
      </c>
      <c r="DO70">
        <v>38</v>
      </c>
      <c r="DP70" t="s">
        <v>290</v>
      </c>
      <c r="DQ70" t="s">
        <v>290</v>
      </c>
      <c r="DR70" t="s">
        <v>291</v>
      </c>
      <c r="DS70" t="s">
        <v>292</v>
      </c>
      <c r="DT70" t="s">
        <v>293</v>
      </c>
      <c r="DU70" t="s">
        <v>293</v>
      </c>
      <c r="DV70" t="s">
        <v>293</v>
      </c>
      <c r="DW70" s="138">
        <v>432.56244218316402</v>
      </c>
      <c r="DX70" t="s">
        <v>294</v>
      </c>
      <c r="DY70" s="138">
        <v>12.358926919521499</v>
      </c>
      <c r="DZ70" t="s">
        <v>295</v>
      </c>
      <c r="EA70">
        <v>38.75</v>
      </c>
      <c r="EB70" t="s">
        <v>296</v>
      </c>
      <c r="EC70">
        <v>0.15</v>
      </c>
      <c r="ED70" t="s">
        <v>328</v>
      </c>
      <c r="EE70" t="s">
        <v>329</v>
      </c>
      <c r="EF70" t="s">
        <v>297</v>
      </c>
      <c r="EG70">
        <v>1.0271999999999999</v>
      </c>
      <c r="EH70" t="s">
        <v>290</v>
      </c>
      <c r="EI70" t="s">
        <v>290</v>
      </c>
      <c r="EJ70" t="s">
        <v>298</v>
      </c>
      <c r="EK70" t="s">
        <v>290</v>
      </c>
      <c r="EL70" t="s">
        <v>290</v>
      </c>
      <c r="EM70" t="s">
        <v>299</v>
      </c>
      <c r="EN70" t="s">
        <v>300</v>
      </c>
      <c r="EO70" t="s">
        <v>329</v>
      </c>
      <c r="EP70" t="s">
        <v>329</v>
      </c>
      <c r="EQ70" t="s">
        <v>329</v>
      </c>
      <c r="ER70" t="s">
        <v>329</v>
      </c>
      <c r="ES70" t="s">
        <v>167</v>
      </c>
      <c r="ET70" t="s">
        <v>313</v>
      </c>
      <c r="EU70" t="s">
        <v>314</v>
      </c>
      <c r="EV70" t="s">
        <v>315</v>
      </c>
      <c r="EW70" t="s">
        <v>316</v>
      </c>
      <c r="EX70" t="s">
        <v>316</v>
      </c>
      <c r="EY70" t="s">
        <v>316</v>
      </c>
      <c r="EZ70" t="s">
        <v>316</v>
      </c>
      <c r="FA70">
        <v>6.625</v>
      </c>
      <c r="FB70" t="s">
        <v>296</v>
      </c>
      <c r="FC70">
        <v>0.875</v>
      </c>
      <c r="FD70">
        <v>0.875</v>
      </c>
      <c r="FE70">
        <v>7.7541785478036598</v>
      </c>
      <c r="FF70" s="164" t="s">
        <v>301</v>
      </c>
      <c r="FG70" s="154">
        <v>3.4333560430370801E-2</v>
      </c>
      <c r="FH70" s="154">
        <v>3.4333560430370801E-2</v>
      </c>
      <c r="FI70">
        <v>1007.96464331419</v>
      </c>
      <c r="FJ70" s="164">
        <v>0</v>
      </c>
      <c r="FK70" s="164" t="s">
        <v>302</v>
      </c>
      <c r="FL70">
        <v>1007.96464331419</v>
      </c>
      <c r="FM70" s="141">
        <v>276.0529679834101</v>
      </c>
      <c r="FN70" s="141">
        <v>211.91922399387602</v>
      </c>
      <c r="FO70" s="170" t="s">
        <v>303</v>
      </c>
      <c r="FP70" t="s">
        <v>317</v>
      </c>
      <c r="FQ70">
        <v>2619.0448935235399</v>
      </c>
      <c r="FR70">
        <v>433.75841095185007</v>
      </c>
      <c r="FS70">
        <v>401.62890211124011</v>
      </c>
      <c r="FT70">
        <v>2427.8347587806302</v>
      </c>
      <c r="FU70">
        <v>423.38893561299966</v>
      </c>
      <c r="FV70">
        <v>392.26601463919008</v>
      </c>
      <c r="FW70" t="s">
        <v>305</v>
      </c>
      <c r="FX70" t="s">
        <v>305</v>
      </c>
      <c r="FY70" t="s">
        <v>305</v>
      </c>
      <c r="FZ70" t="s">
        <v>305</v>
      </c>
      <c r="GA70" t="s">
        <v>305</v>
      </c>
      <c r="GB70" t="s">
        <v>305</v>
      </c>
      <c r="GC70" t="s">
        <v>318</v>
      </c>
    </row>
    <row r="71" spans="1:185" ht="17">
      <c r="A71" t="s">
        <v>180</v>
      </c>
      <c r="B71" s="202" t="s">
        <v>181</v>
      </c>
      <c r="C71" t="s">
        <v>168</v>
      </c>
      <c r="D71" t="s">
        <v>182</v>
      </c>
      <c r="E71">
        <v>2020</v>
      </c>
      <c r="F71" t="s">
        <v>183</v>
      </c>
      <c r="G71" s="141">
        <v>40629.241943359375</v>
      </c>
      <c r="H71">
        <v>2.5500000000000003</v>
      </c>
      <c r="I71">
        <v>2.5500000000000003</v>
      </c>
      <c r="J71">
        <v>1146.2017206391499</v>
      </c>
      <c r="K71" s="204">
        <v>321.14362527955018</v>
      </c>
      <c r="L71" s="204">
        <v>251.44654185888089</v>
      </c>
      <c r="M71" s="163" t="b">
        <v>0</v>
      </c>
      <c r="N71" s="163">
        <v>3</v>
      </c>
      <c r="O71" t="s">
        <v>331</v>
      </c>
      <c r="P71" t="s">
        <v>322</v>
      </c>
      <c r="Q71" s="163" t="b">
        <v>1</v>
      </c>
      <c r="R71" s="212" t="s">
        <v>325</v>
      </c>
      <c r="S71" s="163" t="b">
        <v>1</v>
      </c>
      <c r="T71" s="163" t="b">
        <v>0</v>
      </c>
      <c r="U71" s="163" t="s">
        <v>167</v>
      </c>
      <c r="V71" s="163" t="s">
        <v>167</v>
      </c>
      <c r="W71" s="199" t="s">
        <v>167</v>
      </c>
      <c r="X71" s="199" t="s">
        <v>167</v>
      </c>
      <c r="Y71" s="143" t="s">
        <v>184</v>
      </c>
      <c r="Z71" t="s">
        <v>183</v>
      </c>
      <c r="AA71" t="s">
        <v>192</v>
      </c>
      <c r="AB71" t="s">
        <v>193</v>
      </c>
      <c r="AC71">
        <v>5</v>
      </c>
      <c r="AD71">
        <v>2</v>
      </c>
      <c r="AE71">
        <v>25</v>
      </c>
      <c r="AF71">
        <v>27</v>
      </c>
      <c r="AG71">
        <v>33.56</v>
      </c>
      <c r="AH71">
        <v>36.770000457763672</v>
      </c>
      <c r="AI71" t="s">
        <v>194</v>
      </c>
      <c r="AJ71" t="s">
        <v>195</v>
      </c>
      <c r="AK71" s="147">
        <v>18.4404</v>
      </c>
      <c r="AL71" s="147">
        <v>-179.55500000000001</v>
      </c>
      <c r="AM71" s="147">
        <v>11.3</v>
      </c>
      <c r="AN71" s="148" t="s">
        <v>167</v>
      </c>
      <c r="AO71" s="148">
        <v>-1518</v>
      </c>
      <c r="AP71" s="148">
        <v>-1400</v>
      </c>
      <c r="AQ71" t="s">
        <v>196</v>
      </c>
      <c r="AR71" t="s">
        <v>190</v>
      </c>
      <c r="AS71" s="141">
        <v>40629.241943359375</v>
      </c>
      <c r="AT71" t="s">
        <v>206</v>
      </c>
      <c r="AU71">
        <v>2.5500000000000003</v>
      </c>
      <c r="AV71">
        <v>2.5500000000000003</v>
      </c>
      <c r="AW71" t="s">
        <v>207</v>
      </c>
      <c r="AX71" t="s">
        <v>208</v>
      </c>
      <c r="AY71" t="s">
        <v>212</v>
      </c>
      <c r="AZ71" t="s">
        <v>167</v>
      </c>
      <c r="BA71" t="s">
        <v>167</v>
      </c>
      <c r="BB71" t="s">
        <v>167</v>
      </c>
      <c r="BC71" t="s">
        <v>167</v>
      </c>
      <c r="BD71" t="s">
        <v>167</v>
      </c>
      <c r="BE71" t="s">
        <v>167</v>
      </c>
      <c r="BF71" t="s">
        <v>167</v>
      </c>
      <c r="BG71" t="s">
        <v>222</v>
      </c>
      <c r="BH71" t="s">
        <v>217</v>
      </c>
      <c r="BI71" s="157">
        <v>309</v>
      </c>
      <c r="BJ71" s="157">
        <v>2.9449999999999998</v>
      </c>
      <c r="BK71" t="s">
        <v>219</v>
      </c>
      <c r="BL71" t="s">
        <v>220</v>
      </c>
      <c r="BM71" t="s">
        <v>221</v>
      </c>
      <c r="BN71" t="s">
        <v>251</v>
      </c>
      <c r="BO71">
        <v>2</v>
      </c>
      <c r="BP71" s="140">
        <v>5.9071832495039438E-2</v>
      </c>
      <c r="BQ71" s="139">
        <v>14.736748166711401</v>
      </c>
      <c r="BR71" t="s">
        <v>228</v>
      </c>
      <c r="BS71">
        <v>0.23964427142036401</v>
      </c>
      <c r="BT71">
        <v>0.88</v>
      </c>
      <c r="BU71" t="s">
        <v>271</v>
      </c>
      <c r="BV71" t="s">
        <v>271</v>
      </c>
      <c r="BW71" s="163">
        <v>1.85</v>
      </c>
      <c r="BX71" t="s">
        <v>271</v>
      </c>
      <c r="BY71" t="s">
        <v>271</v>
      </c>
      <c r="BZ71" t="s">
        <v>272</v>
      </c>
      <c r="CA71" t="s">
        <v>273</v>
      </c>
      <c r="CB71">
        <v>14.7617063118172</v>
      </c>
      <c r="CC71" t="s">
        <v>274</v>
      </c>
      <c r="CD71" s="165">
        <v>0.26988788776600003</v>
      </c>
      <c r="CE71" t="s">
        <v>326</v>
      </c>
      <c r="CF71" t="s">
        <v>327</v>
      </c>
      <c r="CG71">
        <v>25</v>
      </c>
      <c r="CH71" t="s">
        <v>280</v>
      </c>
      <c r="CI71" t="s">
        <v>280</v>
      </c>
      <c r="CJ71" s="139">
        <v>30.676226882771601</v>
      </c>
      <c r="CK71" t="s">
        <v>281</v>
      </c>
      <c r="CL71" s="140">
        <v>0.65902309926715197</v>
      </c>
      <c r="CM71" s="140">
        <v>0.58523662549780697</v>
      </c>
      <c r="CN71" t="s">
        <v>282</v>
      </c>
      <c r="CO71">
        <v>3.9713082068436001</v>
      </c>
      <c r="CP71" t="s">
        <v>283</v>
      </c>
      <c r="CQ71">
        <v>0.119139246205308</v>
      </c>
      <c r="CR71">
        <v>0.119139246205308</v>
      </c>
      <c r="CS71" t="s">
        <v>284</v>
      </c>
      <c r="CT71" t="s">
        <v>167</v>
      </c>
      <c r="CU71" t="s">
        <v>285</v>
      </c>
      <c r="CV71" t="s">
        <v>286</v>
      </c>
      <c r="CW71" t="s">
        <v>280</v>
      </c>
      <c r="CX71" t="s">
        <v>280</v>
      </c>
      <c r="CY71" t="s">
        <v>287</v>
      </c>
      <c r="CZ71" t="s">
        <v>167</v>
      </c>
      <c r="DA71" t="s">
        <v>167</v>
      </c>
      <c r="DB71" t="s">
        <v>167</v>
      </c>
      <c r="DC71" t="s">
        <v>167</v>
      </c>
      <c r="DD71" t="s">
        <v>167</v>
      </c>
      <c r="DE71" t="s">
        <v>167</v>
      </c>
      <c r="DF71" t="s">
        <v>167</v>
      </c>
      <c r="DG71" s="166">
        <v>35</v>
      </c>
      <c r="DH71" t="s">
        <v>288</v>
      </c>
      <c r="DI71">
        <v>1</v>
      </c>
      <c r="DJ71" t="s">
        <v>289</v>
      </c>
      <c r="DK71">
        <v>17</v>
      </c>
      <c r="DL71" t="s">
        <v>290</v>
      </c>
      <c r="DM71" t="s">
        <v>290</v>
      </c>
      <c r="DN71" t="s">
        <v>291</v>
      </c>
      <c r="DO71">
        <v>38</v>
      </c>
      <c r="DP71" t="s">
        <v>290</v>
      </c>
      <c r="DQ71" t="s">
        <v>290</v>
      </c>
      <c r="DR71" t="s">
        <v>291</v>
      </c>
      <c r="DS71" t="s">
        <v>292</v>
      </c>
      <c r="DT71" t="s">
        <v>293</v>
      </c>
      <c r="DU71" t="s">
        <v>293</v>
      </c>
      <c r="DV71" t="s">
        <v>293</v>
      </c>
      <c r="DW71" s="138">
        <v>432.56244218316402</v>
      </c>
      <c r="DX71" t="s">
        <v>294</v>
      </c>
      <c r="DY71" s="138">
        <v>12.3589269195216</v>
      </c>
      <c r="DZ71" t="s">
        <v>295</v>
      </c>
      <c r="EA71">
        <v>38.75</v>
      </c>
      <c r="EB71" t="s">
        <v>296</v>
      </c>
      <c r="EC71">
        <v>0.15</v>
      </c>
      <c r="ED71" t="s">
        <v>328</v>
      </c>
      <c r="EE71" t="s">
        <v>329</v>
      </c>
      <c r="EF71" t="s">
        <v>297</v>
      </c>
      <c r="EG71">
        <v>1.0271999999999999</v>
      </c>
      <c r="EH71" t="s">
        <v>290</v>
      </c>
      <c r="EI71" t="s">
        <v>290</v>
      </c>
      <c r="EJ71" t="s">
        <v>298</v>
      </c>
      <c r="EK71" t="s">
        <v>290</v>
      </c>
      <c r="EL71" t="s">
        <v>290</v>
      </c>
      <c r="EM71" t="s">
        <v>299</v>
      </c>
      <c r="EN71" t="s">
        <v>300</v>
      </c>
      <c r="EO71" t="s">
        <v>329</v>
      </c>
      <c r="EP71" t="s">
        <v>329</v>
      </c>
      <c r="EQ71" t="s">
        <v>329</v>
      </c>
      <c r="ER71" t="s">
        <v>329</v>
      </c>
      <c r="ES71" t="s">
        <v>167</v>
      </c>
      <c r="ET71" t="s">
        <v>313</v>
      </c>
      <c r="EU71" t="s">
        <v>314</v>
      </c>
      <c r="EV71" t="s">
        <v>315</v>
      </c>
      <c r="EW71" t="s">
        <v>316</v>
      </c>
      <c r="EX71" t="s">
        <v>316</v>
      </c>
      <c r="EY71" t="s">
        <v>316</v>
      </c>
      <c r="EZ71" t="s">
        <v>316</v>
      </c>
      <c r="FA71">
        <v>6.625</v>
      </c>
      <c r="FB71" t="s">
        <v>296</v>
      </c>
      <c r="FC71">
        <v>0.875</v>
      </c>
      <c r="FD71">
        <v>0.875</v>
      </c>
      <c r="FE71">
        <v>7.7265694689275399</v>
      </c>
      <c r="FF71" s="164" t="s">
        <v>301</v>
      </c>
      <c r="FG71" s="154">
        <v>3.4028186457514202E-2</v>
      </c>
      <c r="FH71" s="154">
        <v>3.4028186457514202E-2</v>
      </c>
      <c r="FI71">
        <v>1146.2017206391499</v>
      </c>
      <c r="FJ71" s="164">
        <v>0</v>
      </c>
      <c r="FK71" s="164" t="s">
        <v>302</v>
      </c>
      <c r="FL71">
        <v>1146.2017206391499</v>
      </c>
      <c r="FM71" s="141">
        <v>321.14362527955018</v>
      </c>
      <c r="FN71" s="141">
        <v>251.44654185888089</v>
      </c>
      <c r="FO71" s="170" t="s">
        <v>303</v>
      </c>
      <c r="FP71" t="s">
        <v>317</v>
      </c>
      <c r="FQ71">
        <v>2763.3579755668202</v>
      </c>
      <c r="FR71">
        <v>469.8279266985698</v>
      </c>
      <c r="FS71">
        <v>436.71605545715033</v>
      </c>
      <c r="FT71">
        <v>2577.4964756904997</v>
      </c>
      <c r="FU71">
        <v>467.93844145892996</v>
      </c>
      <c r="FV71">
        <v>425.66610734970976</v>
      </c>
      <c r="FW71" t="s">
        <v>305</v>
      </c>
      <c r="FX71" t="s">
        <v>305</v>
      </c>
      <c r="FY71" t="s">
        <v>305</v>
      </c>
      <c r="FZ71" t="s">
        <v>305</v>
      </c>
      <c r="GA71" t="s">
        <v>305</v>
      </c>
      <c r="GB71" t="s">
        <v>305</v>
      </c>
      <c r="GC71" t="s">
        <v>318</v>
      </c>
    </row>
    <row r="72" spans="1:185" ht="17">
      <c r="A72" t="s">
        <v>180</v>
      </c>
      <c r="B72" s="202" t="s">
        <v>181</v>
      </c>
      <c r="C72" t="s">
        <v>168</v>
      </c>
      <c r="D72" t="s">
        <v>182</v>
      </c>
      <c r="E72">
        <v>2020</v>
      </c>
      <c r="F72" t="s">
        <v>183</v>
      </c>
      <c r="G72" s="141">
        <v>40810.317993164062</v>
      </c>
      <c r="H72">
        <v>1.35</v>
      </c>
      <c r="I72">
        <v>1.35</v>
      </c>
      <c r="J72">
        <v>1091.62734404966</v>
      </c>
      <c r="K72" s="204">
        <v>282.96742518764995</v>
      </c>
      <c r="L72" s="204">
        <v>248.22823121688702</v>
      </c>
      <c r="M72" s="163" t="b">
        <v>0</v>
      </c>
      <c r="N72" s="163">
        <v>3</v>
      </c>
      <c r="O72" t="s">
        <v>331</v>
      </c>
      <c r="P72" t="s">
        <v>322</v>
      </c>
      <c r="Q72" s="163" t="b">
        <v>1</v>
      </c>
      <c r="R72" s="212" t="s">
        <v>325</v>
      </c>
      <c r="S72" s="163" t="b">
        <v>1</v>
      </c>
      <c r="T72" s="163" t="b">
        <v>0</v>
      </c>
      <c r="U72" s="163" t="s">
        <v>167</v>
      </c>
      <c r="V72" s="163" t="s">
        <v>167</v>
      </c>
      <c r="W72" s="199" t="s">
        <v>167</v>
      </c>
      <c r="X72" s="199" t="s">
        <v>167</v>
      </c>
      <c r="Y72" s="143" t="s">
        <v>184</v>
      </c>
      <c r="Z72" t="s">
        <v>183</v>
      </c>
      <c r="AA72" t="s">
        <v>192</v>
      </c>
      <c r="AB72" t="s">
        <v>193</v>
      </c>
      <c r="AC72">
        <v>5</v>
      </c>
      <c r="AD72">
        <v>2</v>
      </c>
      <c r="AE72">
        <v>105</v>
      </c>
      <c r="AF72">
        <v>107</v>
      </c>
      <c r="AG72">
        <v>34.36</v>
      </c>
      <c r="AH72">
        <v>37.569999694824219</v>
      </c>
      <c r="AI72" t="s">
        <v>194</v>
      </c>
      <c r="AJ72" t="s">
        <v>195</v>
      </c>
      <c r="AK72" s="147">
        <v>18.4404</v>
      </c>
      <c r="AL72" s="147">
        <v>-179.55500000000001</v>
      </c>
      <c r="AM72" s="147">
        <v>11.3</v>
      </c>
      <c r="AN72" s="148" t="s">
        <v>167</v>
      </c>
      <c r="AO72" s="148">
        <v>-1518</v>
      </c>
      <c r="AP72" s="148">
        <v>-1400</v>
      </c>
      <c r="AQ72" t="s">
        <v>196</v>
      </c>
      <c r="AR72" t="s">
        <v>190</v>
      </c>
      <c r="AS72" s="141">
        <v>40810.317993164062</v>
      </c>
      <c r="AT72" t="s">
        <v>206</v>
      </c>
      <c r="AU72">
        <v>1.35</v>
      </c>
      <c r="AV72">
        <v>1.35</v>
      </c>
      <c r="AW72" t="s">
        <v>207</v>
      </c>
      <c r="AX72" t="s">
        <v>208</v>
      </c>
      <c r="AY72" t="s">
        <v>212</v>
      </c>
      <c r="AZ72" t="s">
        <v>167</v>
      </c>
      <c r="BA72" t="s">
        <v>167</v>
      </c>
      <c r="BB72" t="s">
        <v>167</v>
      </c>
      <c r="BC72" t="s">
        <v>167</v>
      </c>
      <c r="BD72" t="s">
        <v>167</v>
      </c>
      <c r="BE72" t="s">
        <v>167</v>
      </c>
      <c r="BF72" t="s">
        <v>167</v>
      </c>
      <c r="BG72" t="s">
        <v>222</v>
      </c>
      <c r="BH72" t="s">
        <v>217</v>
      </c>
      <c r="BI72" s="157">
        <v>233</v>
      </c>
      <c r="BJ72" s="157">
        <v>2.3109999999999999</v>
      </c>
      <c r="BK72" t="s">
        <v>219</v>
      </c>
      <c r="BL72" t="s">
        <v>220</v>
      </c>
      <c r="BM72" t="s">
        <v>221</v>
      </c>
      <c r="BN72" t="s">
        <v>252</v>
      </c>
      <c r="BO72">
        <v>2</v>
      </c>
      <c r="BP72" s="140">
        <v>0.57889264142361618</v>
      </c>
      <c r="BQ72" s="139">
        <v>14.822998009747399</v>
      </c>
      <c r="BR72" t="s">
        <v>228</v>
      </c>
      <c r="BS72">
        <v>0.25211825778203001</v>
      </c>
      <c r="BT72">
        <v>0.88</v>
      </c>
      <c r="BU72" t="s">
        <v>271</v>
      </c>
      <c r="BV72" t="s">
        <v>271</v>
      </c>
      <c r="BW72" s="163">
        <v>1.85</v>
      </c>
      <c r="BX72" t="s">
        <v>271</v>
      </c>
      <c r="BY72" t="s">
        <v>271</v>
      </c>
      <c r="BZ72" t="s">
        <v>272</v>
      </c>
      <c r="CA72" t="s">
        <v>273</v>
      </c>
      <c r="CB72">
        <v>14.857043331016801</v>
      </c>
      <c r="CC72" t="s">
        <v>274</v>
      </c>
      <c r="CD72" s="165">
        <v>0.26455255560395052</v>
      </c>
      <c r="CE72" t="s">
        <v>326</v>
      </c>
      <c r="CF72" t="s">
        <v>327</v>
      </c>
      <c r="CG72">
        <v>25</v>
      </c>
      <c r="CH72" t="s">
        <v>280</v>
      </c>
      <c r="CI72" t="s">
        <v>280</v>
      </c>
      <c r="CJ72" s="139">
        <v>31.717453280750199</v>
      </c>
      <c r="CK72" t="s">
        <v>281</v>
      </c>
      <c r="CL72" s="140">
        <v>0.628044295549262</v>
      </c>
      <c r="CM72" s="140">
        <v>0.61665205692511504</v>
      </c>
      <c r="CN72" t="s">
        <v>282</v>
      </c>
      <c r="CO72">
        <v>4.0871473246201404</v>
      </c>
      <c r="CP72" t="s">
        <v>283</v>
      </c>
      <c r="CQ72">
        <v>0.12261441973860421</v>
      </c>
      <c r="CR72">
        <v>0.12261441973860421</v>
      </c>
      <c r="CS72" t="s">
        <v>284</v>
      </c>
      <c r="CT72" t="s">
        <v>167</v>
      </c>
      <c r="CU72" t="s">
        <v>285</v>
      </c>
      <c r="CV72" t="s">
        <v>286</v>
      </c>
      <c r="CW72" t="s">
        <v>280</v>
      </c>
      <c r="CX72" t="s">
        <v>280</v>
      </c>
      <c r="CY72" t="s">
        <v>287</v>
      </c>
      <c r="CZ72" t="s">
        <v>167</v>
      </c>
      <c r="DA72" t="s">
        <v>167</v>
      </c>
      <c r="DB72" t="s">
        <v>167</v>
      </c>
      <c r="DC72" t="s">
        <v>167</v>
      </c>
      <c r="DD72" t="s">
        <v>167</v>
      </c>
      <c r="DE72" t="s">
        <v>167</v>
      </c>
      <c r="DF72" t="s">
        <v>167</v>
      </c>
      <c r="DG72" s="166">
        <v>35</v>
      </c>
      <c r="DH72" t="s">
        <v>288</v>
      </c>
      <c r="DI72">
        <v>1</v>
      </c>
      <c r="DJ72" t="s">
        <v>289</v>
      </c>
      <c r="DK72">
        <v>17</v>
      </c>
      <c r="DL72" t="s">
        <v>290</v>
      </c>
      <c r="DM72" t="s">
        <v>290</v>
      </c>
      <c r="DN72" t="s">
        <v>291</v>
      </c>
      <c r="DO72">
        <v>38</v>
      </c>
      <c r="DP72" t="s">
        <v>290</v>
      </c>
      <c r="DQ72" t="s">
        <v>290</v>
      </c>
      <c r="DR72" t="s">
        <v>291</v>
      </c>
      <c r="DS72" t="s">
        <v>292</v>
      </c>
      <c r="DT72" t="s">
        <v>293</v>
      </c>
      <c r="DU72" t="s">
        <v>293</v>
      </c>
      <c r="DV72" t="s">
        <v>293</v>
      </c>
      <c r="DW72" s="138">
        <v>432.56244218316402</v>
      </c>
      <c r="DX72" t="s">
        <v>294</v>
      </c>
      <c r="DY72" s="138">
        <v>12.3589269195217</v>
      </c>
      <c r="DZ72" t="s">
        <v>295</v>
      </c>
      <c r="EA72">
        <v>38.75</v>
      </c>
      <c r="EB72" t="s">
        <v>296</v>
      </c>
      <c r="EC72">
        <v>0.15</v>
      </c>
      <c r="ED72" t="s">
        <v>328</v>
      </c>
      <c r="EE72" t="s">
        <v>329</v>
      </c>
      <c r="EF72" t="s">
        <v>297</v>
      </c>
      <c r="EG72">
        <v>1.0271999999999999</v>
      </c>
      <c r="EH72" t="s">
        <v>290</v>
      </c>
      <c r="EI72" t="s">
        <v>290</v>
      </c>
      <c r="EJ72" t="s">
        <v>298</v>
      </c>
      <c r="EK72" t="s">
        <v>290</v>
      </c>
      <c r="EL72" t="s">
        <v>290</v>
      </c>
      <c r="EM72" t="s">
        <v>299</v>
      </c>
      <c r="EN72" t="s">
        <v>300</v>
      </c>
      <c r="EO72" t="s">
        <v>329</v>
      </c>
      <c r="EP72" t="s">
        <v>329</v>
      </c>
      <c r="EQ72" t="s">
        <v>329</v>
      </c>
      <c r="ER72" t="s">
        <v>329</v>
      </c>
      <c r="ES72" t="s">
        <v>167</v>
      </c>
      <c r="ET72" t="s">
        <v>313</v>
      </c>
      <c r="EU72" t="s">
        <v>314</v>
      </c>
      <c r="EV72" t="s">
        <v>315</v>
      </c>
      <c r="EW72" t="s">
        <v>316</v>
      </c>
      <c r="EX72" t="s">
        <v>316</v>
      </c>
      <c r="EY72" t="s">
        <v>316</v>
      </c>
      <c r="EZ72" t="s">
        <v>316</v>
      </c>
      <c r="FA72">
        <v>6.625</v>
      </c>
      <c r="FB72" t="s">
        <v>296</v>
      </c>
      <c r="FC72">
        <v>0.875</v>
      </c>
      <c r="FD72">
        <v>0.875</v>
      </c>
      <c r="FE72">
        <v>7.7328712637463299</v>
      </c>
      <c r="FF72" s="164" t="s">
        <v>301</v>
      </c>
      <c r="FG72" s="154">
        <v>3.4191999331242097E-2</v>
      </c>
      <c r="FH72" s="154">
        <v>3.4191999331242097E-2</v>
      </c>
      <c r="FI72">
        <v>1091.62734404966</v>
      </c>
      <c r="FJ72" s="164">
        <v>0</v>
      </c>
      <c r="FK72" s="164" t="s">
        <v>302</v>
      </c>
      <c r="FL72">
        <v>1091.62734404966</v>
      </c>
      <c r="FM72" s="141">
        <v>282.96742518764995</v>
      </c>
      <c r="FN72" s="141">
        <v>248.22823121688702</v>
      </c>
      <c r="FO72" s="170" t="s">
        <v>303</v>
      </c>
      <c r="FP72" t="s">
        <v>317</v>
      </c>
      <c r="FQ72">
        <v>2670.7634632272102</v>
      </c>
      <c r="FR72">
        <v>430.65645687005974</v>
      </c>
      <c r="FS72">
        <v>421.14083542685006</v>
      </c>
      <c r="FT72">
        <v>2482.2499031776802</v>
      </c>
      <c r="FU72">
        <v>429.23715378561991</v>
      </c>
      <c r="FV72">
        <v>414.34149660246999</v>
      </c>
      <c r="FW72" t="s">
        <v>305</v>
      </c>
      <c r="FX72" t="s">
        <v>305</v>
      </c>
      <c r="FY72" t="s">
        <v>305</v>
      </c>
      <c r="FZ72" t="s">
        <v>305</v>
      </c>
      <c r="GA72" t="s">
        <v>305</v>
      </c>
      <c r="GB72" t="s">
        <v>305</v>
      </c>
      <c r="GC72" t="s">
        <v>318</v>
      </c>
    </row>
    <row r="73" spans="1:185" ht="17">
      <c r="A73" t="s">
        <v>180</v>
      </c>
      <c r="B73" s="202" t="s">
        <v>181</v>
      </c>
      <c r="C73" t="s">
        <v>168</v>
      </c>
      <c r="D73" t="s">
        <v>182</v>
      </c>
      <c r="E73">
        <v>2020</v>
      </c>
      <c r="F73" t="s">
        <v>183</v>
      </c>
      <c r="G73" s="141">
        <v>40920.524597167969</v>
      </c>
      <c r="H73">
        <v>1.35</v>
      </c>
      <c r="I73">
        <v>1.35</v>
      </c>
      <c r="J73">
        <v>927.631846627154</v>
      </c>
      <c r="K73" s="204">
        <v>234.25915104377589</v>
      </c>
      <c r="L73" s="204">
        <v>186.50380269707205</v>
      </c>
      <c r="M73" s="163" t="b">
        <v>0</v>
      </c>
      <c r="N73" s="163">
        <v>3</v>
      </c>
      <c r="O73" t="s">
        <v>331</v>
      </c>
      <c r="P73" t="s">
        <v>322</v>
      </c>
      <c r="Q73" s="163" t="b">
        <v>1</v>
      </c>
      <c r="R73" s="212" t="s">
        <v>325</v>
      </c>
      <c r="S73" s="163" t="b">
        <v>1</v>
      </c>
      <c r="T73" s="163" t="b">
        <v>0</v>
      </c>
      <c r="U73" s="163" t="s">
        <v>167</v>
      </c>
      <c r="V73" s="163" t="s">
        <v>167</v>
      </c>
      <c r="W73" s="199" t="s">
        <v>167</v>
      </c>
      <c r="X73" s="199" t="s">
        <v>167</v>
      </c>
      <c r="Y73" s="143" t="s">
        <v>184</v>
      </c>
      <c r="Z73" t="s">
        <v>183</v>
      </c>
      <c r="AA73" t="s">
        <v>192</v>
      </c>
      <c r="AB73" t="s">
        <v>193</v>
      </c>
      <c r="AC73">
        <v>5</v>
      </c>
      <c r="AD73">
        <v>3</v>
      </c>
      <c r="AE73">
        <v>25</v>
      </c>
      <c r="AF73">
        <v>27</v>
      </c>
      <c r="AG73">
        <v>35.06</v>
      </c>
      <c r="AH73">
        <v>38.270000457763672</v>
      </c>
      <c r="AI73" t="s">
        <v>194</v>
      </c>
      <c r="AJ73" t="s">
        <v>195</v>
      </c>
      <c r="AK73" s="147">
        <v>18.4404</v>
      </c>
      <c r="AL73" s="147">
        <v>-179.55500000000001</v>
      </c>
      <c r="AM73" s="147">
        <v>11.3</v>
      </c>
      <c r="AN73" s="148" t="s">
        <v>167</v>
      </c>
      <c r="AO73" s="148">
        <v>-1518</v>
      </c>
      <c r="AP73" s="148">
        <v>-1400</v>
      </c>
      <c r="AQ73" t="s">
        <v>196</v>
      </c>
      <c r="AR73" t="s">
        <v>190</v>
      </c>
      <c r="AS73" s="141">
        <v>40920.524597167969</v>
      </c>
      <c r="AT73" t="s">
        <v>206</v>
      </c>
      <c r="AU73">
        <v>1.35</v>
      </c>
      <c r="AV73">
        <v>1.35</v>
      </c>
      <c r="AW73" t="s">
        <v>207</v>
      </c>
      <c r="AX73" t="s">
        <v>208</v>
      </c>
      <c r="AY73" t="s">
        <v>212</v>
      </c>
      <c r="AZ73" t="s">
        <v>167</v>
      </c>
      <c r="BA73" t="s">
        <v>167</v>
      </c>
      <c r="BB73" t="s">
        <v>167</v>
      </c>
      <c r="BC73" t="s">
        <v>167</v>
      </c>
      <c r="BD73" t="s">
        <v>167</v>
      </c>
      <c r="BE73" t="s">
        <v>167</v>
      </c>
      <c r="BF73" t="s">
        <v>167</v>
      </c>
      <c r="BG73" t="s">
        <v>222</v>
      </c>
      <c r="BH73" t="s">
        <v>217</v>
      </c>
      <c r="BI73" s="157" t="s">
        <v>218</v>
      </c>
      <c r="BJ73" s="156" t="s">
        <v>226</v>
      </c>
      <c r="BK73" t="s">
        <v>219</v>
      </c>
      <c r="BL73" t="s">
        <v>220</v>
      </c>
      <c r="BM73" t="s">
        <v>221</v>
      </c>
      <c r="BN73" t="s">
        <v>253</v>
      </c>
      <c r="BO73">
        <v>2</v>
      </c>
      <c r="BP73" s="140">
        <v>0.23823731638247381</v>
      </c>
      <c r="BQ73" s="139">
        <v>15.0520442263749</v>
      </c>
      <c r="BR73" t="s">
        <v>228</v>
      </c>
      <c r="BS73">
        <v>0.24969107500548901</v>
      </c>
      <c r="BT73">
        <v>0.88</v>
      </c>
      <c r="BU73" t="s">
        <v>271</v>
      </c>
      <c r="BV73" t="s">
        <v>271</v>
      </c>
      <c r="BW73" s="163">
        <v>1.85</v>
      </c>
      <c r="BX73" t="s">
        <v>271</v>
      </c>
      <c r="BY73" t="s">
        <v>271</v>
      </c>
      <c r="BZ73" t="s">
        <v>272</v>
      </c>
      <c r="CA73" t="s">
        <v>273</v>
      </c>
      <c r="CB73">
        <v>15.1110647351429</v>
      </c>
      <c r="CC73" t="s">
        <v>274</v>
      </c>
      <c r="CD73" s="165">
        <v>0.25400933563200034</v>
      </c>
      <c r="CE73" t="s">
        <v>326</v>
      </c>
      <c r="CF73" t="s">
        <v>327</v>
      </c>
      <c r="CG73">
        <v>25</v>
      </c>
      <c r="CH73" t="s">
        <v>280</v>
      </c>
      <c r="CI73" t="s">
        <v>280</v>
      </c>
      <c r="CJ73" s="139">
        <v>31.766824925017598</v>
      </c>
      <c r="CK73" t="s">
        <v>281</v>
      </c>
      <c r="CL73" s="140">
        <v>0.60881695880481601</v>
      </c>
      <c r="CM73" s="140">
        <v>0.57101557944939796</v>
      </c>
      <c r="CN73" t="s">
        <v>282</v>
      </c>
      <c r="CO73">
        <v>3.9754866910525402</v>
      </c>
      <c r="CP73" t="s">
        <v>283</v>
      </c>
      <c r="CQ73">
        <v>0.1192646007315762</v>
      </c>
      <c r="CR73">
        <v>0.1192646007315762</v>
      </c>
      <c r="CS73" t="s">
        <v>284</v>
      </c>
      <c r="CT73" t="s">
        <v>167</v>
      </c>
      <c r="CU73" t="s">
        <v>285</v>
      </c>
      <c r="CV73" t="s">
        <v>286</v>
      </c>
      <c r="CW73" t="s">
        <v>280</v>
      </c>
      <c r="CX73" t="s">
        <v>280</v>
      </c>
      <c r="CY73" t="s">
        <v>287</v>
      </c>
      <c r="CZ73" t="s">
        <v>167</v>
      </c>
      <c r="DA73" t="s">
        <v>167</v>
      </c>
      <c r="DB73" t="s">
        <v>167</v>
      </c>
      <c r="DC73" t="s">
        <v>167</v>
      </c>
      <c r="DD73" t="s">
        <v>167</v>
      </c>
      <c r="DE73" t="s">
        <v>167</v>
      </c>
      <c r="DF73" t="s">
        <v>167</v>
      </c>
      <c r="DG73" s="166">
        <v>35</v>
      </c>
      <c r="DH73" t="s">
        <v>288</v>
      </c>
      <c r="DI73">
        <v>1</v>
      </c>
      <c r="DJ73" t="s">
        <v>289</v>
      </c>
      <c r="DK73">
        <v>17</v>
      </c>
      <c r="DL73" t="s">
        <v>290</v>
      </c>
      <c r="DM73" t="s">
        <v>290</v>
      </c>
      <c r="DN73" t="s">
        <v>291</v>
      </c>
      <c r="DO73">
        <v>38</v>
      </c>
      <c r="DP73" t="s">
        <v>290</v>
      </c>
      <c r="DQ73" t="s">
        <v>290</v>
      </c>
      <c r="DR73" t="s">
        <v>291</v>
      </c>
      <c r="DS73" t="s">
        <v>292</v>
      </c>
      <c r="DT73" t="s">
        <v>293</v>
      </c>
      <c r="DU73" t="s">
        <v>293</v>
      </c>
      <c r="DV73" t="s">
        <v>293</v>
      </c>
      <c r="DW73" s="138">
        <v>432.56244218316402</v>
      </c>
      <c r="DX73" t="s">
        <v>294</v>
      </c>
      <c r="DY73" s="138">
        <v>12.358926919521799</v>
      </c>
      <c r="DZ73" t="s">
        <v>295</v>
      </c>
      <c r="EA73">
        <v>38.75</v>
      </c>
      <c r="EB73" t="s">
        <v>296</v>
      </c>
      <c r="EC73">
        <v>0.15</v>
      </c>
      <c r="ED73" t="s">
        <v>328</v>
      </c>
      <c r="EE73" t="s">
        <v>329</v>
      </c>
      <c r="EF73" t="s">
        <v>297</v>
      </c>
      <c r="EG73">
        <v>1.0271999999999999</v>
      </c>
      <c r="EH73" t="s">
        <v>290</v>
      </c>
      <c r="EI73" t="s">
        <v>290</v>
      </c>
      <c r="EJ73" t="s">
        <v>298</v>
      </c>
      <c r="EK73" t="s">
        <v>290</v>
      </c>
      <c r="EL73" t="s">
        <v>290</v>
      </c>
      <c r="EM73" t="s">
        <v>299</v>
      </c>
      <c r="EN73" t="s">
        <v>300</v>
      </c>
      <c r="EO73" t="s">
        <v>329</v>
      </c>
      <c r="EP73" t="s">
        <v>329</v>
      </c>
      <c r="EQ73" t="s">
        <v>329</v>
      </c>
      <c r="ER73" t="s">
        <v>329</v>
      </c>
      <c r="ES73" t="s">
        <v>167</v>
      </c>
      <c r="ET73" t="s">
        <v>313</v>
      </c>
      <c r="EU73" t="s">
        <v>314</v>
      </c>
      <c r="EV73" t="s">
        <v>315</v>
      </c>
      <c r="EW73" t="s">
        <v>316</v>
      </c>
      <c r="EX73" t="s">
        <v>316</v>
      </c>
      <c r="EY73" t="s">
        <v>316</v>
      </c>
      <c r="EZ73" t="s">
        <v>316</v>
      </c>
      <c r="FA73">
        <v>6.625</v>
      </c>
      <c r="FB73" t="s">
        <v>296</v>
      </c>
      <c r="FC73">
        <v>0.875</v>
      </c>
      <c r="FD73">
        <v>0.875</v>
      </c>
      <c r="FE73">
        <v>7.7683722099373202</v>
      </c>
      <c r="FF73" s="164" t="s">
        <v>301</v>
      </c>
      <c r="FG73" s="154">
        <v>3.2469185242414399E-2</v>
      </c>
      <c r="FH73" s="154">
        <v>3.2469185242414399E-2</v>
      </c>
      <c r="FI73">
        <v>927.631846627154</v>
      </c>
      <c r="FJ73" s="164">
        <v>0</v>
      </c>
      <c r="FK73" s="164" t="s">
        <v>302</v>
      </c>
      <c r="FL73">
        <v>927.631846627154</v>
      </c>
      <c r="FM73" s="141">
        <v>234.25915104377589</v>
      </c>
      <c r="FN73" s="141">
        <v>186.50380269707205</v>
      </c>
      <c r="FO73" s="170" t="s">
        <v>303</v>
      </c>
      <c r="FP73" t="s">
        <v>317</v>
      </c>
      <c r="FQ73">
        <v>2512.8126087939499</v>
      </c>
      <c r="FR73">
        <v>376.17140207714004</v>
      </c>
      <c r="FS73">
        <v>376.37361782326968</v>
      </c>
      <c r="FT73">
        <v>2316.74465437964</v>
      </c>
      <c r="FU73">
        <v>371.25064362580025</v>
      </c>
      <c r="FV73">
        <v>362.50288793125003</v>
      </c>
      <c r="FW73" t="s">
        <v>305</v>
      </c>
      <c r="FX73" t="s">
        <v>305</v>
      </c>
      <c r="FY73" t="s">
        <v>305</v>
      </c>
      <c r="FZ73" t="s">
        <v>305</v>
      </c>
      <c r="GA73" t="s">
        <v>305</v>
      </c>
      <c r="GB73" t="s">
        <v>305</v>
      </c>
      <c r="GC73" t="s">
        <v>318</v>
      </c>
    </row>
    <row r="74" spans="1:185" ht="17">
      <c r="A74" t="s">
        <v>180</v>
      </c>
      <c r="B74" s="202" t="s">
        <v>181</v>
      </c>
      <c r="C74" t="s">
        <v>168</v>
      </c>
      <c r="D74" t="s">
        <v>182</v>
      </c>
      <c r="E74">
        <v>2020</v>
      </c>
      <c r="F74" t="s">
        <v>183</v>
      </c>
      <c r="G74" s="141">
        <v>41129.554748535156</v>
      </c>
      <c r="H74">
        <v>1.74</v>
      </c>
      <c r="I74">
        <v>1.74</v>
      </c>
      <c r="J74">
        <v>841.40821895491899</v>
      </c>
      <c r="K74" s="204">
        <v>215.58490388847099</v>
      </c>
      <c r="L74" s="204">
        <v>171.81950517226494</v>
      </c>
      <c r="M74" s="163" t="b">
        <v>0</v>
      </c>
      <c r="N74" s="163">
        <v>3</v>
      </c>
      <c r="O74" t="s">
        <v>331</v>
      </c>
      <c r="P74" t="s">
        <v>322</v>
      </c>
      <c r="Q74" s="163" t="b">
        <v>1</v>
      </c>
      <c r="R74" s="212" t="s">
        <v>325</v>
      </c>
      <c r="S74" s="163" t="b">
        <v>1</v>
      </c>
      <c r="T74" s="163" t="b">
        <v>0</v>
      </c>
      <c r="U74" s="163" t="s">
        <v>167</v>
      </c>
      <c r="V74" s="163" t="s">
        <v>167</v>
      </c>
      <c r="W74" s="199" t="s">
        <v>167</v>
      </c>
      <c r="X74" s="199" t="s">
        <v>167</v>
      </c>
      <c r="Y74" s="143" t="s">
        <v>184</v>
      </c>
      <c r="Z74" t="s">
        <v>183</v>
      </c>
      <c r="AA74" t="s">
        <v>192</v>
      </c>
      <c r="AB74" t="s">
        <v>193</v>
      </c>
      <c r="AC74">
        <v>5</v>
      </c>
      <c r="AD74">
        <v>4</v>
      </c>
      <c r="AE74">
        <v>15</v>
      </c>
      <c r="AF74">
        <v>17</v>
      </c>
      <c r="AG74">
        <v>36.46</v>
      </c>
      <c r="AH74">
        <v>39.669998168945312</v>
      </c>
      <c r="AI74" t="s">
        <v>194</v>
      </c>
      <c r="AJ74" t="s">
        <v>195</v>
      </c>
      <c r="AK74" s="147">
        <v>18.4404</v>
      </c>
      <c r="AL74" s="147">
        <v>-179.55500000000001</v>
      </c>
      <c r="AM74" s="147">
        <v>11.3</v>
      </c>
      <c r="AN74" s="148" t="s">
        <v>167</v>
      </c>
      <c r="AO74" s="148">
        <v>-1518</v>
      </c>
      <c r="AP74" s="148">
        <v>-1400</v>
      </c>
      <c r="AQ74" t="s">
        <v>196</v>
      </c>
      <c r="AR74" t="s">
        <v>190</v>
      </c>
      <c r="AS74" s="141">
        <v>41129.554748535156</v>
      </c>
      <c r="AT74" t="s">
        <v>206</v>
      </c>
      <c r="AU74">
        <v>1.74</v>
      </c>
      <c r="AV74">
        <v>1.74</v>
      </c>
      <c r="AW74" t="s">
        <v>207</v>
      </c>
      <c r="AX74" t="s">
        <v>208</v>
      </c>
      <c r="AY74" t="s">
        <v>212</v>
      </c>
      <c r="AZ74" t="s">
        <v>167</v>
      </c>
      <c r="BA74" t="s">
        <v>167</v>
      </c>
      <c r="BB74" t="s">
        <v>167</v>
      </c>
      <c r="BC74" t="s">
        <v>167</v>
      </c>
      <c r="BD74" t="s">
        <v>167</v>
      </c>
      <c r="BE74" t="s">
        <v>167</v>
      </c>
      <c r="BF74" t="s">
        <v>167</v>
      </c>
      <c r="BG74" t="s">
        <v>222</v>
      </c>
      <c r="BH74" t="s">
        <v>217</v>
      </c>
      <c r="BI74" s="157">
        <v>234</v>
      </c>
      <c r="BJ74" s="157">
        <v>2.504</v>
      </c>
      <c r="BK74" t="s">
        <v>219</v>
      </c>
      <c r="BL74" t="s">
        <v>220</v>
      </c>
      <c r="BM74" t="s">
        <v>221</v>
      </c>
      <c r="BN74" t="s">
        <v>254</v>
      </c>
      <c r="BO74">
        <v>2</v>
      </c>
      <c r="BP74" s="140">
        <v>0.43503437941077999</v>
      </c>
      <c r="BQ74" s="139">
        <v>15.1901142346884</v>
      </c>
      <c r="BR74" t="s">
        <v>228</v>
      </c>
      <c r="BS74">
        <v>0.24794981197117899</v>
      </c>
      <c r="BT74">
        <v>0.88</v>
      </c>
      <c r="BU74" t="s">
        <v>271</v>
      </c>
      <c r="BV74" t="s">
        <v>271</v>
      </c>
      <c r="BW74" s="163">
        <v>1.85</v>
      </c>
      <c r="BX74" t="s">
        <v>271</v>
      </c>
      <c r="BY74" t="s">
        <v>271</v>
      </c>
      <c r="BZ74" t="s">
        <v>272</v>
      </c>
      <c r="CA74" t="s">
        <v>273</v>
      </c>
      <c r="CB74">
        <v>15.282409049539901</v>
      </c>
      <c r="CC74" t="s">
        <v>274</v>
      </c>
      <c r="CD74" s="165">
        <v>0.27020311992285073</v>
      </c>
      <c r="CE74" t="s">
        <v>326</v>
      </c>
      <c r="CF74" t="s">
        <v>327</v>
      </c>
      <c r="CG74">
        <v>25</v>
      </c>
      <c r="CH74" t="s">
        <v>280</v>
      </c>
      <c r="CI74" t="s">
        <v>280</v>
      </c>
      <c r="CJ74" s="139">
        <v>31.593645586247298</v>
      </c>
      <c r="CK74" t="s">
        <v>281</v>
      </c>
      <c r="CL74" s="140">
        <v>0.60904826771368903</v>
      </c>
      <c r="CM74" s="140">
        <v>0.59360521382653197</v>
      </c>
      <c r="CN74" t="s">
        <v>282</v>
      </c>
      <c r="CO74">
        <v>3.9316416120246598</v>
      </c>
      <c r="CP74" t="s">
        <v>283</v>
      </c>
      <c r="CQ74">
        <v>0.11794924836073979</v>
      </c>
      <c r="CR74">
        <v>0.11794924836073979</v>
      </c>
      <c r="CS74" t="s">
        <v>284</v>
      </c>
      <c r="CT74" t="s">
        <v>167</v>
      </c>
      <c r="CU74" t="s">
        <v>285</v>
      </c>
      <c r="CV74" t="s">
        <v>286</v>
      </c>
      <c r="CW74" t="s">
        <v>280</v>
      </c>
      <c r="CX74" t="s">
        <v>280</v>
      </c>
      <c r="CY74" t="s">
        <v>287</v>
      </c>
      <c r="CZ74" t="s">
        <v>167</v>
      </c>
      <c r="DA74" t="s">
        <v>167</v>
      </c>
      <c r="DB74" t="s">
        <v>167</v>
      </c>
      <c r="DC74" t="s">
        <v>167</v>
      </c>
      <c r="DD74" t="s">
        <v>167</v>
      </c>
      <c r="DE74" t="s">
        <v>167</v>
      </c>
      <c r="DF74" t="s">
        <v>167</v>
      </c>
      <c r="DG74" s="166">
        <v>35</v>
      </c>
      <c r="DH74" t="s">
        <v>288</v>
      </c>
      <c r="DI74">
        <v>1</v>
      </c>
      <c r="DJ74" t="s">
        <v>289</v>
      </c>
      <c r="DK74">
        <v>17</v>
      </c>
      <c r="DL74" t="s">
        <v>290</v>
      </c>
      <c r="DM74" t="s">
        <v>290</v>
      </c>
      <c r="DN74" t="s">
        <v>291</v>
      </c>
      <c r="DO74">
        <v>38</v>
      </c>
      <c r="DP74" t="s">
        <v>290</v>
      </c>
      <c r="DQ74" t="s">
        <v>290</v>
      </c>
      <c r="DR74" t="s">
        <v>291</v>
      </c>
      <c r="DS74" t="s">
        <v>292</v>
      </c>
      <c r="DT74" t="s">
        <v>293</v>
      </c>
      <c r="DU74" t="s">
        <v>293</v>
      </c>
      <c r="DV74" t="s">
        <v>293</v>
      </c>
      <c r="DW74" s="138">
        <v>432.56244218316402</v>
      </c>
      <c r="DX74" t="s">
        <v>294</v>
      </c>
      <c r="DY74" s="138">
        <v>12.358926919521901</v>
      </c>
      <c r="DZ74" t="s">
        <v>295</v>
      </c>
      <c r="EA74">
        <v>38.75</v>
      </c>
      <c r="EB74" t="s">
        <v>296</v>
      </c>
      <c r="EC74">
        <v>0.15</v>
      </c>
      <c r="ED74" t="s">
        <v>328</v>
      </c>
      <c r="EE74" t="s">
        <v>329</v>
      </c>
      <c r="EF74" t="s">
        <v>297</v>
      </c>
      <c r="EG74">
        <v>1.0271999999999999</v>
      </c>
      <c r="EH74" t="s">
        <v>290</v>
      </c>
      <c r="EI74" t="s">
        <v>290</v>
      </c>
      <c r="EJ74" t="s">
        <v>298</v>
      </c>
      <c r="EK74" t="s">
        <v>290</v>
      </c>
      <c r="EL74" t="s">
        <v>290</v>
      </c>
      <c r="EM74" t="s">
        <v>299</v>
      </c>
      <c r="EN74" t="s">
        <v>300</v>
      </c>
      <c r="EO74" t="s">
        <v>329</v>
      </c>
      <c r="EP74" t="s">
        <v>329</v>
      </c>
      <c r="EQ74" t="s">
        <v>329</v>
      </c>
      <c r="ER74" t="s">
        <v>329</v>
      </c>
      <c r="ES74" t="s">
        <v>167</v>
      </c>
      <c r="ET74" t="s">
        <v>313</v>
      </c>
      <c r="EU74" t="s">
        <v>314</v>
      </c>
      <c r="EV74" t="s">
        <v>315</v>
      </c>
      <c r="EW74" t="s">
        <v>316</v>
      </c>
      <c r="EX74" t="s">
        <v>316</v>
      </c>
      <c r="EY74" t="s">
        <v>316</v>
      </c>
      <c r="EZ74" t="s">
        <v>316</v>
      </c>
      <c r="FA74">
        <v>6.625</v>
      </c>
      <c r="FB74" t="s">
        <v>296</v>
      </c>
      <c r="FC74">
        <v>0.875</v>
      </c>
      <c r="FD74">
        <v>0.875</v>
      </c>
      <c r="FE74">
        <v>7.7896363443886001</v>
      </c>
      <c r="FF74" s="164" t="s">
        <v>301</v>
      </c>
      <c r="FG74" s="154">
        <v>3.0572852922857899E-2</v>
      </c>
      <c r="FH74" s="154">
        <v>3.0572852922857899E-2</v>
      </c>
      <c r="FI74">
        <v>841.40821895491899</v>
      </c>
      <c r="FJ74" s="164">
        <v>0</v>
      </c>
      <c r="FK74" s="164" t="s">
        <v>302</v>
      </c>
      <c r="FL74">
        <v>841.40821895491899</v>
      </c>
      <c r="FM74" s="141">
        <v>215.58490388847099</v>
      </c>
      <c r="FN74" s="141">
        <v>171.81950517226494</v>
      </c>
      <c r="FO74" s="170" t="s">
        <v>303</v>
      </c>
      <c r="FP74" t="s">
        <v>317</v>
      </c>
      <c r="FQ74">
        <v>2409.2593253904902</v>
      </c>
      <c r="FR74">
        <v>370.32363088296967</v>
      </c>
      <c r="FS74">
        <v>365.63764571200016</v>
      </c>
      <c r="FT74">
        <v>2207.7677577582599</v>
      </c>
      <c r="FU74">
        <v>373.03241314300993</v>
      </c>
      <c r="FV74">
        <v>352.75063181499007</v>
      </c>
      <c r="FW74" t="s">
        <v>305</v>
      </c>
      <c r="FX74" t="s">
        <v>305</v>
      </c>
      <c r="FY74" t="s">
        <v>305</v>
      </c>
      <c r="FZ74" t="s">
        <v>305</v>
      </c>
      <c r="GA74" t="s">
        <v>305</v>
      </c>
      <c r="GB74" t="s">
        <v>305</v>
      </c>
      <c r="GC74" t="s">
        <v>318</v>
      </c>
    </row>
    <row r="75" spans="1:185" ht="17">
      <c r="A75" t="s">
        <v>180</v>
      </c>
      <c r="B75" s="202" t="s">
        <v>181</v>
      </c>
      <c r="C75" t="s">
        <v>168</v>
      </c>
      <c r="D75" t="s">
        <v>182</v>
      </c>
      <c r="E75">
        <v>2020</v>
      </c>
      <c r="F75" t="s">
        <v>183</v>
      </c>
      <c r="G75" s="141">
        <v>41529.5</v>
      </c>
      <c r="H75">
        <v>5.71</v>
      </c>
      <c r="I75">
        <v>5.71</v>
      </c>
      <c r="J75">
        <v>795.43541170747801</v>
      </c>
      <c r="K75" s="204">
        <v>208.65591170369203</v>
      </c>
      <c r="L75" s="204">
        <v>162.81877642551797</v>
      </c>
      <c r="M75" s="163" t="b">
        <v>0</v>
      </c>
      <c r="N75" s="163">
        <v>3</v>
      </c>
      <c r="O75" t="s">
        <v>331</v>
      </c>
      <c r="P75" t="s">
        <v>322</v>
      </c>
      <c r="Q75" s="163" t="b">
        <v>1</v>
      </c>
      <c r="R75" s="212" t="s">
        <v>325</v>
      </c>
      <c r="S75" s="163" t="b">
        <v>1</v>
      </c>
      <c r="T75" s="163" t="b">
        <v>0</v>
      </c>
      <c r="U75" s="163" t="s">
        <v>167</v>
      </c>
      <c r="V75" s="163" t="s">
        <v>167</v>
      </c>
      <c r="W75" s="199" t="s">
        <v>167</v>
      </c>
      <c r="X75" s="199" t="s">
        <v>167</v>
      </c>
      <c r="Y75" s="143" t="s">
        <v>306</v>
      </c>
      <c r="Z75" t="s">
        <v>183</v>
      </c>
      <c r="AA75" t="s">
        <v>192</v>
      </c>
      <c r="AB75" t="s">
        <v>193</v>
      </c>
      <c r="AC75">
        <v>5</v>
      </c>
      <c r="AD75">
        <v>5</v>
      </c>
      <c r="AE75">
        <v>107</v>
      </c>
      <c r="AF75">
        <v>116</v>
      </c>
      <c r="AG75">
        <v>38.914999999999999</v>
      </c>
      <c r="AH75">
        <v>42.134999999999998</v>
      </c>
      <c r="AI75" t="s">
        <v>194</v>
      </c>
      <c r="AJ75" t="s">
        <v>195</v>
      </c>
      <c r="AK75" s="147">
        <v>18.4404</v>
      </c>
      <c r="AL75" s="147">
        <v>-179.55500000000001</v>
      </c>
      <c r="AM75" s="147">
        <v>11.3</v>
      </c>
      <c r="AN75" s="148" t="s">
        <v>167</v>
      </c>
      <c r="AO75" s="148">
        <v>-1518</v>
      </c>
      <c r="AP75" s="148">
        <v>-1400</v>
      </c>
      <c r="AQ75" t="s">
        <v>196</v>
      </c>
      <c r="AR75" t="s">
        <v>190</v>
      </c>
      <c r="AS75" s="141">
        <v>41529.5</v>
      </c>
      <c r="AT75" t="s">
        <v>206</v>
      </c>
      <c r="AU75">
        <v>5.71</v>
      </c>
      <c r="AV75">
        <v>5.71</v>
      </c>
      <c r="AW75" t="s">
        <v>207</v>
      </c>
      <c r="AX75" t="s">
        <v>208</v>
      </c>
      <c r="AY75" t="s">
        <v>212</v>
      </c>
      <c r="AZ75" t="s">
        <v>167</v>
      </c>
      <c r="BA75" t="s">
        <v>167</v>
      </c>
      <c r="BB75" t="s">
        <v>167</v>
      </c>
      <c r="BC75" t="s">
        <v>167</v>
      </c>
      <c r="BD75" t="s">
        <v>167</v>
      </c>
      <c r="BE75" t="s">
        <v>167</v>
      </c>
      <c r="BF75" t="s">
        <v>167</v>
      </c>
      <c r="BG75" t="s">
        <v>216</v>
      </c>
      <c r="BH75" t="s">
        <v>217</v>
      </c>
      <c r="BI75" s="157" t="s">
        <v>218</v>
      </c>
      <c r="BJ75" s="156" t="s">
        <v>226</v>
      </c>
      <c r="BK75" t="s">
        <v>219</v>
      </c>
      <c r="BL75" t="s">
        <v>220</v>
      </c>
      <c r="BM75" t="s">
        <v>221</v>
      </c>
      <c r="BN75" t="s">
        <v>218</v>
      </c>
      <c r="BO75">
        <v>2</v>
      </c>
      <c r="BP75" s="140" t="s">
        <v>218</v>
      </c>
      <c r="BQ75" s="139">
        <v>15.35</v>
      </c>
      <c r="BR75" t="s">
        <v>228</v>
      </c>
      <c r="BS75">
        <v>0.26</v>
      </c>
      <c r="BT75">
        <v>0.88</v>
      </c>
      <c r="BU75" t="s">
        <v>271</v>
      </c>
      <c r="BV75" t="s">
        <v>271</v>
      </c>
      <c r="BW75" s="163">
        <v>1.85</v>
      </c>
      <c r="BX75" t="s">
        <v>271</v>
      </c>
      <c r="BY75" t="s">
        <v>271</v>
      </c>
      <c r="BZ75" t="s">
        <v>272</v>
      </c>
      <c r="CA75" t="s">
        <v>273</v>
      </c>
      <c r="CB75">
        <v>15.4649141484438</v>
      </c>
      <c r="CC75" t="s">
        <v>274</v>
      </c>
      <c r="CD75" s="165">
        <v>0.27155302444285034</v>
      </c>
      <c r="CE75" t="s">
        <v>326</v>
      </c>
      <c r="CF75" t="s">
        <v>327</v>
      </c>
      <c r="CG75">
        <v>25</v>
      </c>
      <c r="CH75" t="s">
        <v>280</v>
      </c>
      <c r="CI75" t="s">
        <v>280</v>
      </c>
      <c r="CJ75" s="139">
        <v>34.297509989751603</v>
      </c>
      <c r="CK75" t="s">
        <v>281</v>
      </c>
      <c r="CL75" s="140">
        <v>0.56923950840089099</v>
      </c>
      <c r="CM75" s="140">
        <v>0.61286803701497705</v>
      </c>
      <c r="CN75" t="s">
        <v>282</v>
      </c>
      <c r="CO75">
        <v>4.5999999999999996</v>
      </c>
      <c r="CP75" t="s">
        <v>283</v>
      </c>
      <c r="CQ75">
        <v>0.13799999999999998</v>
      </c>
      <c r="CR75">
        <v>0.13799999999999998</v>
      </c>
      <c r="CS75" t="s">
        <v>284</v>
      </c>
      <c r="CT75" t="s">
        <v>167</v>
      </c>
      <c r="CU75" t="s">
        <v>285</v>
      </c>
      <c r="CV75" t="s">
        <v>286</v>
      </c>
      <c r="CW75" t="s">
        <v>280</v>
      </c>
      <c r="CX75" t="s">
        <v>280</v>
      </c>
      <c r="CY75" t="s">
        <v>287</v>
      </c>
      <c r="CZ75" t="s">
        <v>167</v>
      </c>
      <c r="DA75" t="s">
        <v>167</v>
      </c>
      <c r="DB75" t="s">
        <v>167</v>
      </c>
      <c r="DC75" t="s">
        <v>167</v>
      </c>
      <c r="DD75" t="s">
        <v>167</v>
      </c>
      <c r="DE75" t="s">
        <v>167</v>
      </c>
      <c r="DF75" t="s">
        <v>167</v>
      </c>
      <c r="DG75" s="166">
        <v>35</v>
      </c>
      <c r="DH75" t="s">
        <v>288</v>
      </c>
      <c r="DI75">
        <v>1</v>
      </c>
      <c r="DJ75" t="s">
        <v>289</v>
      </c>
      <c r="DK75">
        <v>17</v>
      </c>
      <c r="DL75" t="s">
        <v>290</v>
      </c>
      <c r="DM75" t="s">
        <v>290</v>
      </c>
      <c r="DN75" t="s">
        <v>291</v>
      </c>
      <c r="DO75">
        <v>38</v>
      </c>
      <c r="DP75" t="s">
        <v>290</v>
      </c>
      <c r="DQ75" t="s">
        <v>290</v>
      </c>
      <c r="DR75" t="s">
        <v>291</v>
      </c>
      <c r="DS75" t="s">
        <v>292</v>
      </c>
      <c r="DT75" t="s">
        <v>293</v>
      </c>
      <c r="DU75" t="s">
        <v>293</v>
      </c>
      <c r="DV75" t="s">
        <v>293</v>
      </c>
      <c r="DW75" s="138">
        <v>432.56244218316402</v>
      </c>
      <c r="DX75" t="s">
        <v>294</v>
      </c>
      <c r="DY75" s="138">
        <v>12.358926919522</v>
      </c>
      <c r="DZ75" t="s">
        <v>295</v>
      </c>
      <c r="EA75">
        <v>38.75</v>
      </c>
      <c r="EB75" t="s">
        <v>296</v>
      </c>
      <c r="EC75">
        <v>0.15</v>
      </c>
      <c r="ED75" t="s">
        <v>328</v>
      </c>
      <c r="EE75" t="s">
        <v>329</v>
      </c>
      <c r="EF75" t="s">
        <v>297</v>
      </c>
      <c r="EG75">
        <v>1.0271999999999999</v>
      </c>
      <c r="EH75" t="s">
        <v>290</v>
      </c>
      <c r="EI75" t="s">
        <v>290</v>
      </c>
      <c r="EJ75" t="s">
        <v>298</v>
      </c>
      <c r="EK75" t="s">
        <v>290</v>
      </c>
      <c r="EL75" t="s">
        <v>290</v>
      </c>
      <c r="EM75" t="s">
        <v>299</v>
      </c>
      <c r="EN75" t="s">
        <v>300</v>
      </c>
      <c r="EO75" t="s">
        <v>329</v>
      </c>
      <c r="EP75" t="s">
        <v>329</v>
      </c>
      <c r="EQ75" t="s">
        <v>329</v>
      </c>
      <c r="ER75" t="s">
        <v>329</v>
      </c>
      <c r="ES75" t="s">
        <v>167</v>
      </c>
      <c r="ET75" t="s">
        <v>313</v>
      </c>
      <c r="EU75" t="s">
        <v>314</v>
      </c>
      <c r="EV75" t="s">
        <v>315</v>
      </c>
      <c r="EW75" t="s">
        <v>316</v>
      </c>
      <c r="EX75" t="s">
        <v>316</v>
      </c>
      <c r="EY75" t="s">
        <v>316</v>
      </c>
      <c r="EZ75" t="s">
        <v>316</v>
      </c>
      <c r="FA75">
        <v>6.625</v>
      </c>
      <c r="FB75" t="s">
        <v>296</v>
      </c>
      <c r="FC75">
        <v>0.875</v>
      </c>
      <c r="FD75">
        <v>0.875</v>
      </c>
      <c r="FE75">
        <v>7.7823072772679698</v>
      </c>
      <c r="FF75" s="164" t="s">
        <v>301</v>
      </c>
      <c r="FG75" s="154">
        <v>2.96185005371234E-2</v>
      </c>
      <c r="FH75" s="154">
        <v>2.96185005371234E-2</v>
      </c>
      <c r="FI75">
        <v>795.43541170747801</v>
      </c>
      <c r="FJ75" s="164">
        <v>0</v>
      </c>
      <c r="FK75" s="164" t="s">
        <v>302</v>
      </c>
      <c r="FL75">
        <v>795.43541170747801</v>
      </c>
      <c r="FM75" s="141">
        <v>208.65591170369203</v>
      </c>
      <c r="FN75" s="141">
        <v>162.81877642551797</v>
      </c>
      <c r="FO75" s="170" t="s">
        <v>303</v>
      </c>
      <c r="FP75" t="s">
        <v>317</v>
      </c>
      <c r="FQ75">
        <v>2240.8112061894999</v>
      </c>
      <c r="FR75">
        <v>358.03495233849986</v>
      </c>
      <c r="FS75">
        <v>332.64902980365991</v>
      </c>
      <c r="FT75">
        <v>2033.2753486888303</v>
      </c>
      <c r="FU75">
        <v>351.35271796062983</v>
      </c>
      <c r="FV75">
        <v>316.52146160539013</v>
      </c>
      <c r="FW75" t="s">
        <v>305</v>
      </c>
      <c r="FX75" t="s">
        <v>305</v>
      </c>
      <c r="FY75" t="s">
        <v>305</v>
      </c>
      <c r="FZ75" t="s">
        <v>305</v>
      </c>
      <c r="GA75" t="s">
        <v>305</v>
      </c>
      <c r="GB75" t="s">
        <v>305</v>
      </c>
      <c r="GC75" t="s">
        <v>319</v>
      </c>
    </row>
    <row r="76" spans="1:185" ht="17">
      <c r="A76" s="149" t="s">
        <v>180</v>
      </c>
      <c r="B76" s="203" t="s">
        <v>181</v>
      </c>
      <c r="C76" s="149" t="s">
        <v>168</v>
      </c>
      <c r="D76" s="149" t="s">
        <v>182</v>
      </c>
      <c r="E76" s="149">
        <v>2020</v>
      </c>
      <c r="F76" s="149" t="s">
        <v>183</v>
      </c>
      <c r="G76" s="141">
        <v>39918.621063232422</v>
      </c>
      <c r="H76" s="149">
        <v>1</v>
      </c>
      <c r="I76" s="149">
        <v>1</v>
      </c>
      <c r="J76">
        <v>998.16023874698794</v>
      </c>
      <c r="K76" s="204">
        <v>355.67759353188217</v>
      </c>
      <c r="L76" s="204">
        <v>244.84961901691895</v>
      </c>
      <c r="M76" s="163" t="b">
        <v>0</v>
      </c>
      <c r="N76" s="163">
        <v>1</v>
      </c>
      <c r="O76" t="s">
        <v>330</v>
      </c>
      <c r="P76" t="b">
        <v>0</v>
      </c>
      <c r="Q76" s="163" t="b">
        <v>1</v>
      </c>
      <c r="R76" s="212" t="s">
        <v>325</v>
      </c>
      <c r="S76" s="163" t="b">
        <v>1</v>
      </c>
      <c r="T76" s="163" t="b">
        <v>0</v>
      </c>
      <c r="U76" s="163" t="s">
        <v>167</v>
      </c>
      <c r="V76" s="163" t="s">
        <v>167</v>
      </c>
      <c r="W76" s="199" t="s">
        <v>167</v>
      </c>
      <c r="X76" s="199" t="s">
        <v>167</v>
      </c>
      <c r="Y76" s="192" t="s">
        <v>184</v>
      </c>
      <c r="Z76" s="149" t="s">
        <v>183</v>
      </c>
      <c r="AA76" s="149" t="s">
        <v>198</v>
      </c>
      <c r="AB76" s="149" t="s">
        <v>191</v>
      </c>
      <c r="AC76" s="149">
        <v>8</v>
      </c>
      <c r="AD76" s="149">
        <v>3</v>
      </c>
      <c r="AE76" s="149">
        <v>2</v>
      </c>
      <c r="AF76" s="149">
        <v>4</v>
      </c>
      <c r="AG76" s="149">
        <v>66.33</v>
      </c>
      <c r="AH76" t="s">
        <v>167</v>
      </c>
      <c r="AI76" s="149" t="s">
        <v>199</v>
      </c>
      <c r="AJ76" s="149" t="s">
        <v>200</v>
      </c>
      <c r="AK76" s="150">
        <v>-50.945999999999998</v>
      </c>
      <c r="AL76" s="150">
        <v>-26.368600000000001</v>
      </c>
      <c r="AM76" s="150">
        <v>-57.4</v>
      </c>
      <c r="AN76" s="151" t="s">
        <v>167</v>
      </c>
      <c r="AO76" s="151">
        <v>-3083.4</v>
      </c>
      <c r="AP76" s="150">
        <v>-2250</v>
      </c>
      <c r="AQ76" s="149" t="s">
        <v>201</v>
      </c>
      <c r="AR76" s="149" t="s">
        <v>190</v>
      </c>
      <c r="AS76" s="141">
        <v>39918.621063232422</v>
      </c>
      <c r="AT76" s="149" t="s">
        <v>206</v>
      </c>
      <c r="AU76" s="149">
        <v>1</v>
      </c>
      <c r="AV76" s="149">
        <v>1</v>
      </c>
      <c r="AW76" s="149" t="s">
        <v>207</v>
      </c>
      <c r="AX76" s="149" t="s">
        <v>208</v>
      </c>
      <c r="AY76" s="171" t="s">
        <v>209</v>
      </c>
      <c r="AZ76" s="149">
        <v>39.743250000000003</v>
      </c>
      <c r="BA76" s="149" t="s">
        <v>167</v>
      </c>
      <c r="BB76" s="149" t="s">
        <v>167</v>
      </c>
      <c r="BC76" s="149" t="s">
        <v>167</v>
      </c>
      <c r="BD76" s="149" t="s">
        <v>207</v>
      </c>
      <c r="BE76" s="149" t="s">
        <v>213</v>
      </c>
      <c r="BF76" s="149" t="s">
        <v>214</v>
      </c>
      <c r="BG76" s="149" t="s">
        <v>225</v>
      </c>
      <c r="BH76" s="149" t="s">
        <v>217</v>
      </c>
      <c r="BI76" s="157">
        <v>274</v>
      </c>
      <c r="BJ76" s="205">
        <v>3.8380000000000001</v>
      </c>
      <c r="BK76" s="149" t="s">
        <v>219</v>
      </c>
      <c r="BL76" s="149" t="s">
        <v>220</v>
      </c>
      <c r="BM76" s="149" t="s">
        <v>221</v>
      </c>
      <c r="BN76" s="149" t="s">
        <v>255</v>
      </c>
      <c r="BO76" s="149">
        <v>2</v>
      </c>
      <c r="BP76" s="160">
        <v>3.4908474807378909E-2</v>
      </c>
      <c r="BQ76" s="161">
        <v>11.927265982652001</v>
      </c>
      <c r="BR76" s="149" t="s">
        <v>228</v>
      </c>
      <c r="BS76" s="149">
        <v>0.232330287727259</v>
      </c>
      <c r="BT76" s="149">
        <v>1.02</v>
      </c>
      <c r="BU76" s="149" t="s">
        <v>275</v>
      </c>
      <c r="BV76" s="149">
        <v>0.5</v>
      </c>
      <c r="BW76" s="149">
        <v>-2.4900000000000002</v>
      </c>
      <c r="BX76" s="149" t="s">
        <v>276</v>
      </c>
      <c r="BY76" s="149">
        <v>9.01</v>
      </c>
      <c r="BZ76" s="149" t="s">
        <v>277</v>
      </c>
      <c r="CA76" s="149" t="s">
        <v>278</v>
      </c>
      <c r="CB76">
        <v>14.1124597606953</v>
      </c>
      <c r="CC76" t="s">
        <v>274</v>
      </c>
      <c r="CD76" s="165">
        <v>0.22974278866079967</v>
      </c>
      <c r="CE76" t="s">
        <v>326</v>
      </c>
      <c r="CF76" t="s">
        <v>327</v>
      </c>
      <c r="CG76">
        <v>25</v>
      </c>
      <c r="CH76" t="s">
        <v>280</v>
      </c>
      <c r="CI76" t="s">
        <v>280</v>
      </c>
      <c r="CJ76" s="139">
        <v>21.0341736480012</v>
      </c>
      <c r="CK76" t="s">
        <v>281</v>
      </c>
      <c r="CL76" s="140">
        <v>0.68482769999941695</v>
      </c>
      <c r="CM76" s="140">
        <v>0.62612038912244805</v>
      </c>
      <c r="CN76" t="s">
        <v>282</v>
      </c>
      <c r="CO76">
        <v>2.2155431832969099</v>
      </c>
      <c r="CP76" t="s">
        <v>283</v>
      </c>
      <c r="CQ76" s="149">
        <v>6.6466295498907299E-2</v>
      </c>
      <c r="CR76" s="149">
        <v>6.6466295498907299E-2</v>
      </c>
      <c r="CS76" t="s">
        <v>284</v>
      </c>
      <c r="CT76" t="s">
        <v>167</v>
      </c>
      <c r="CU76" t="s">
        <v>285</v>
      </c>
      <c r="CV76" t="s">
        <v>286</v>
      </c>
      <c r="CW76" t="s">
        <v>280</v>
      </c>
      <c r="CX76" t="s">
        <v>280</v>
      </c>
      <c r="CY76" t="s">
        <v>287</v>
      </c>
      <c r="CZ76" t="s">
        <v>167</v>
      </c>
      <c r="DA76" t="s">
        <v>167</v>
      </c>
      <c r="DB76" t="s">
        <v>167</v>
      </c>
      <c r="DC76" t="s">
        <v>167</v>
      </c>
      <c r="DD76" t="s">
        <v>167</v>
      </c>
      <c r="DE76" t="s">
        <v>167</v>
      </c>
      <c r="DF76" t="s">
        <v>167</v>
      </c>
      <c r="DG76" s="166">
        <v>35</v>
      </c>
      <c r="DH76" t="s">
        <v>288</v>
      </c>
      <c r="DI76">
        <v>1</v>
      </c>
      <c r="DJ76" t="s">
        <v>289</v>
      </c>
      <c r="DK76">
        <v>17</v>
      </c>
      <c r="DL76" t="s">
        <v>290</v>
      </c>
      <c r="DM76" t="s">
        <v>290</v>
      </c>
      <c r="DN76" t="s">
        <v>291</v>
      </c>
      <c r="DO76">
        <v>38</v>
      </c>
      <c r="DP76" t="s">
        <v>290</v>
      </c>
      <c r="DQ76" t="s">
        <v>290</v>
      </c>
      <c r="DR76" t="s">
        <v>291</v>
      </c>
      <c r="DS76" t="s">
        <v>292</v>
      </c>
      <c r="DT76" t="s">
        <v>293</v>
      </c>
      <c r="DU76" t="s">
        <v>293</v>
      </c>
      <c r="DV76" t="s">
        <v>293</v>
      </c>
      <c r="DW76" s="138">
        <v>432.56244218316402</v>
      </c>
      <c r="DX76" t="s">
        <v>294</v>
      </c>
      <c r="DY76" s="138">
        <v>12.358926919522199</v>
      </c>
      <c r="DZ76" t="s">
        <v>295</v>
      </c>
      <c r="EA76">
        <v>38.75</v>
      </c>
      <c r="EB76" t="s">
        <v>296</v>
      </c>
      <c r="EC76">
        <v>0.15</v>
      </c>
      <c r="ED76" t="s">
        <v>328</v>
      </c>
      <c r="EE76" t="s">
        <v>329</v>
      </c>
      <c r="EF76" t="s">
        <v>297</v>
      </c>
      <c r="EG76">
        <v>1.0271999999999999</v>
      </c>
      <c r="EH76" t="s">
        <v>290</v>
      </c>
      <c r="EI76" t="s">
        <v>290</v>
      </c>
      <c r="EJ76" t="s">
        <v>298</v>
      </c>
      <c r="EK76" t="s">
        <v>290</v>
      </c>
      <c r="EL76" t="s">
        <v>290</v>
      </c>
      <c r="EM76" t="s">
        <v>299</v>
      </c>
      <c r="EN76" t="s">
        <v>300</v>
      </c>
      <c r="EO76" t="s">
        <v>329</v>
      </c>
      <c r="EP76" t="s">
        <v>329</v>
      </c>
      <c r="EQ76" t="s">
        <v>329</v>
      </c>
      <c r="ER76" t="s">
        <v>329</v>
      </c>
      <c r="ES76" t="s">
        <v>167</v>
      </c>
      <c r="ET76" t="s">
        <v>313</v>
      </c>
      <c r="EU76" t="s">
        <v>314</v>
      </c>
      <c r="EV76" t="s">
        <v>315</v>
      </c>
      <c r="EW76" t="s">
        <v>316</v>
      </c>
      <c r="EX76" t="s">
        <v>316</v>
      </c>
      <c r="EY76" t="s">
        <v>316</v>
      </c>
      <c r="EZ76" t="s">
        <v>316</v>
      </c>
      <c r="FA76" s="149">
        <v>4.5</v>
      </c>
      <c r="FB76" t="s">
        <v>296</v>
      </c>
      <c r="FC76" s="149">
        <v>0.75</v>
      </c>
      <c r="FD76" s="149">
        <v>0.75</v>
      </c>
      <c r="FE76">
        <v>7.7419148739405799</v>
      </c>
      <c r="FF76" s="164" t="s">
        <v>301</v>
      </c>
      <c r="FG76" s="169">
        <v>3.53208832253184E-2</v>
      </c>
      <c r="FH76" s="169">
        <v>3.53208832253184E-2</v>
      </c>
      <c r="FI76">
        <v>998.16023874698794</v>
      </c>
      <c r="FJ76" s="164">
        <v>0</v>
      </c>
      <c r="FK76" s="164" t="s">
        <v>302</v>
      </c>
      <c r="FL76">
        <v>998.16023874698794</v>
      </c>
      <c r="FM76" s="141">
        <v>355.67759353188217</v>
      </c>
      <c r="FN76" s="141">
        <v>244.84961901691895</v>
      </c>
      <c r="FO76" s="170" t="s">
        <v>303</v>
      </c>
      <c r="FP76" t="s">
        <v>317</v>
      </c>
      <c r="FQ76">
        <v>2544.0597354004303</v>
      </c>
      <c r="FR76">
        <v>593.0492941827199</v>
      </c>
      <c r="FS76">
        <v>451.51786817637003</v>
      </c>
      <c r="FT76">
        <v>2426.2605600361703</v>
      </c>
      <c r="FU76">
        <v>590.95801160441965</v>
      </c>
      <c r="FV76">
        <v>453.88748666320021</v>
      </c>
      <c r="FW76" t="s">
        <v>305</v>
      </c>
      <c r="FX76" t="s">
        <v>305</v>
      </c>
      <c r="FY76" t="s">
        <v>305</v>
      </c>
      <c r="FZ76" t="s">
        <v>305</v>
      </c>
      <c r="GA76" t="s">
        <v>305</v>
      </c>
      <c r="GB76" t="s">
        <v>305</v>
      </c>
      <c r="GC76" t="s">
        <v>318</v>
      </c>
    </row>
    <row r="77" spans="1:185" ht="17">
      <c r="A77" t="s">
        <v>180</v>
      </c>
      <c r="B77" s="202" t="s">
        <v>181</v>
      </c>
      <c r="C77" t="s">
        <v>168</v>
      </c>
      <c r="D77" t="s">
        <v>182</v>
      </c>
      <c r="E77">
        <v>2020</v>
      </c>
      <c r="F77" t="s">
        <v>183</v>
      </c>
      <c r="G77" s="141">
        <v>40089.321136474609</v>
      </c>
      <c r="H77">
        <v>1</v>
      </c>
      <c r="I77">
        <v>1</v>
      </c>
      <c r="J77">
        <v>794.56356891128996</v>
      </c>
      <c r="K77" s="204">
        <v>235.34852342946999</v>
      </c>
      <c r="L77" s="204">
        <v>170.06225599103595</v>
      </c>
      <c r="M77" s="163" t="b">
        <v>0</v>
      </c>
      <c r="N77" s="163">
        <v>1</v>
      </c>
      <c r="O77" t="s">
        <v>330</v>
      </c>
      <c r="P77" t="b">
        <v>0</v>
      </c>
      <c r="Q77" s="163" t="b">
        <v>1</v>
      </c>
      <c r="R77" s="212" t="s">
        <v>325</v>
      </c>
      <c r="S77" s="163" t="b">
        <v>1</v>
      </c>
      <c r="T77" s="163" t="b">
        <v>0</v>
      </c>
      <c r="U77" s="163" t="s">
        <v>167</v>
      </c>
      <c r="V77" s="163" t="s">
        <v>167</v>
      </c>
      <c r="W77" s="199" t="s">
        <v>167</v>
      </c>
      <c r="X77" s="199" t="s">
        <v>167</v>
      </c>
      <c r="Y77" s="143" t="s">
        <v>184</v>
      </c>
      <c r="Z77" t="s">
        <v>183</v>
      </c>
      <c r="AA77" t="s">
        <v>198</v>
      </c>
      <c r="AB77" t="s">
        <v>191</v>
      </c>
      <c r="AC77">
        <v>8</v>
      </c>
      <c r="AD77">
        <v>5</v>
      </c>
      <c r="AE77">
        <v>122</v>
      </c>
      <c r="AF77">
        <v>124</v>
      </c>
      <c r="AG77">
        <v>70.53</v>
      </c>
      <c r="AH77" t="s">
        <v>167</v>
      </c>
      <c r="AI77" t="s">
        <v>199</v>
      </c>
      <c r="AJ77" t="s">
        <v>200</v>
      </c>
      <c r="AK77" s="147">
        <v>-50.945999999999998</v>
      </c>
      <c r="AL77" s="147">
        <v>-26.368600000000001</v>
      </c>
      <c r="AM77" s="147">
        <v>-57.4</v>
      </c>
      <c r="AN77" s="148" t="s">
        <v>167</v>
      </c>
      <c r="AO77" s="148">
        <v>-3083.4</v>
      </c>
      <c r="AP77" s="147">
        <v>-2250</v>
      </c>
      <c r="AQ77" t="s">
        <v>201</v>
      </c>
      <c r="AR77" t="s">
        <v>190</v>
      </c>
      <c r="AS77" s="141">
        <v>40089.321136474609</v>
      </c>
      <c r="AT77" t="s">
        <v>206</v>
      </c>
      <c r="AU77">
        <v>1</v>
      </c>
      <c r="AV77">
        <v>1</v>
      </c>
      <c r="AW77" t="s">
        <v>207</v>
      </c>
      <c r="AX77" t="s">
        <v>208</v>
      </c>
      <c r="AY77" s="138" t="s">
        <v>209</v>
      </c>
      <c r="AZ77">
        <v>40.0466328125</v>
      </c>
      <c r="BA77" t="s">
        <v>167</v>
      </c>
      <c r="BB77" t="s">
        <v>167</v>
      </c>
      <c r="BC77" t="s">
        <v>167</v>
      </c>
      <c r="BD77" t="s">
        <v>207</v>
      </c>
      <c r="BE77" t="s">
        <v>213</v>
      </c>
      <c r="BF77" t="s">
        <v>214</v>
      </c>
      <c r="BG77" t="s">
        <v>225</v>
      </c>
      <c r="BH77" t="s">
        <v>217</v>
      </c>
      <c r="BI77" s="157">
        <v>263</v>
      </c>
      <c r="BJ77" s="157">
        <v>4.0979999999999999</v>
      </c>
      <c r="BK77" t="s">
        <v>219</v>
      </c>
      <c r="BL77" t="s">
        <v>220</v>
      </c>
      <c r="BM77" t="s">
        <v>221</v>
      </c>
      <c r="BN77" t="s">
        <v>256</v>
      </c>
      <c r="BO77">
        <v>2</v>
      </c>
      <c r="BP77" s="140">
        <v>9.2290793112351097E-2</v>
      </c>
      <c r="BQ77" s="139">
        <v>12.291064635488</v>
      </c>
      <c r="BR77" t="s">
        <v>228</v>
      </c>
      <c r="BS77">
        <v>0.240231810522294</v>
      </c>
      <c r="BT77" s="149">
        <v>1.02</v>
      </c>
      <c r="BU77" s="149" t="s">
        <v>275</v>
      </c>
      <c r="BV77" s="149">
        <v>0.5</v>
      </c>
      <c r="BW77" s="149">
        <v>-2.4900000000000002</v>
      </c>
      <c r="BX77" s="149" t="s">
        <v>276</v>
      </c>
      <c r="BY77" s="149">
        <v>9.01</v>
      </c>
      <c r="BZ77" s="149" t="s">
        <v>277</v>
      </c>
      <c r="CA77" s="149" t="s">
        <v>278</v>
      </c>
      <c r="CB77">
        <v>14.4710237953212</v>
      </c>
      <c r="CC77" t="s">
        <v>274</v>
      </c>
      <c r="CD77" s="165">
        <v>0.22942129090235053</v>
      </c>
      <c r="CE77" t="s">
        <v>326</v>
      </c>
      <c r="CF77" t="s">
        <v>327</v>
      </c>
      <c r="CG77">
        <v>25</v>
      </c>
      <c r="CH77" t="s">
        <v>280</v>
      </c>
      <c r="CI77" t="s">
        <v>280</v>
      </c>
      <c r="CJ77" s="139">
        <v>22.756737359416199</v>
      </c>
      <c r="CK77" t="s">
        <v>281</v>
      </c>
      <c r="CL77" s="140">
        <v>0.61842444323269397</v>
      </c>
      <c r="CM77" s="140">
        <v>0.58734207646507397</v>
      </c>
      <c r="CN77" t="s">
        <v>282</v>
      </c>
      <c r="CO77">
        <v>2.3896925586496698</v>
      </c>
      <c r="CP77" t="s">
        <v>283</v>
      </c>
      <c r="CQ77">
        <v>7.1690776759490094E-2</v>
      </c>
      <c r="CR77">
        <v>7.1690776759490094E-2</v>
      </c>
      <c r="CS77" t="s">
        <v>284</v>
      </c>
      <c r="CT77" t="s">
        <v>167</v>
      </c>
      <c r="CU77" t="s">
        <v>285</v>
      </c>
      <c r="CV77" t="s">
        <v>286</v>
      </c>
      <c r="CW77" t="s">
        <v>280</v>
      </c>
      <c r="CX77" t="s">
        <v>280</v>
      </c>
      <c r="CY77" t="s">
        <v>287</v>
      </c>
      <c r="CZ77" t="s">
        <v>167</v>
      </c>
      <c r="DA77" t="s">
        <v>167</v>
      </c>
      <c r="DB77" t="s">
        <v>167</v>
      </c>
      <c r="DC77" t="s">
        <v>167</v>
      </c>
      <c r="DD77" t="s">
        <v>167</v>
      </c>
      <c r="DE77" t="s">
        <v>167</v>
      </c>
      <c r="DF77" t="s">
        <v>167</v>
      </c>
      <c r="DG77" s="166">
        <v>35</v>
      </c>
      <c r="DH77" t="s">
        <v>288</v>
      </c>
      <c r="DI77">
        <v>1</v>
      </c>
      <c r="DJ77" t="s">
        <v>289</v>
      </c>
      <c r="DK77">
        <v>17</v>
      </c>
      <c r="DL77" t="s">
        <v>290</v>
      </c>
      <c r="DM77" t="s">
        <v>290</v>
      </c>
      <c r="DN77" t="s">
        <v>291</v>
      </c>
      <c r="DO77">
        <v>38</v>
      </c>
      <c r="DP77" t="s">
        <v>290</v>
      </c>
      <c r="DQ77" t="s">
        <v>290</v>
      </c>
      <c r="DR77" t="s">
        <v>291</v>
      </c>
      <c r="DS77" t="s">
        <v>292</v>
      </c>
      <c r="DT77" t="s">
        <v>293</v>
      </c>
      <c r="DU77" t="s">
        <v>293</v>
      </c>
      <c r="DV77" t="s">
        <v>293</v>
      </c>
      <c r="DW77" s="138">
        <v>432.56244218316402</v>
      </c>
      <c r="DX77" t="s">
        <v>294</v>
      </c>
      <c r="DY77" s="138">
        <v>12.3589269195223</v>
      </c>
      <c r="DZ77" t="s">
        <v>295</v>
      </c>
      <c r="EA77">
        <v>38.75</v>
      </c>
      <c r="EB77" t="s">
        <v>296</v>
      </c>
      <c r="EC77">
        <v>0.15</v>
      </c>
      <c r="ED77" t="s">
        <v>328</v>
      </c>
      <c r="EE77" t="s">
        <v>329</v>
      </c>
      <c r="EF77" t="s">
        <v>297</v>
      </c>
      <c r="EG77">
        <v>1.0271999999999999</v>
      </c>
      <c r="EH77" t="s">
        <v>290</v>
      </c>
      <c r="EI77" t="s">
        <v>290</v>
      </c>
      <c r="EJ77" t="s">
        <v>298</v>
      </c>
      <c r="EK77" t="s">
        <v>290</v>
      </c>
      <c r="EL77" t="s">
        <v>290</v>
      </c>
      <c r="EM77" t="s">
        <v>299</v>
      </c>
      <c r="EN77" t="s">
        <v>300</v>
      </c>
      <c r="EO77" t="s">
        <v>329</v>
      </c>
      <c r="EP77" t="s">
        <v>329</v>
      </c>
      <c r="EQ77" t="s">
        <v>329</v>
      </c>
      <c r="ER77" t="s">
        <v>329</v>
      </c>
      <c r="ES77" t="s">
        <v>167</v>
      </c>
      <c r="ET77" t="s">
        <v>313</v>
      </c>
      <c r="EU77" t="s">
        <v>314</v>
      </c>
      <c r="EV77" t="s">
        <v>315</v>
      </c>
      <c r="EW77" t="s">
        <v>316</v>
      </c>
      <c r="EX77" t="s">
        <v>316</v>
      </c>
      <c r="EY77" t="s">
        <v>316</v>
      </c>
      <c r="EZ77" t="s">
        <v>316</v>
      </c>
      <c r="FA77">
        <v>4.5</v>
      </c>
      <c r="FB77" t="s">
        <v>296</v>
      </c>
      <c r="FC77">
        <v>0.75</v>
      </c>
      <c r="FD77">
        <v>0.75</v>
      </c>
      <c r="FE77">
        <v>7.7786076137672202</v>
      </c>
      <c r="FF77" s="164" t="s">
        <v>301</v>
      </c>
      <c r="FG77" s="154">
        <v>3.21846736491435E-2</v>
      </c>
      <c r="FH77" s="154">
        <v>3.21846736491435E-2</v>
      </c>
      <c r="FI77">
        <v>794.56356891128996</v>
      </c>
      <c r="FJ77" s="164">
        <v>0</v>
      </c>
      <c r="FK77" s="164" t="s">
        <v>302</v>
      </c>
      <c r="FL77">
        <v>794.56356891128996</v>
      </c>
      <c r="FM77" s="141">
        <v>235.34852342946999</v>
      </c>
      <c r="FN77" s="141">
        <v>170.06225599103595</v>
      </c>
      <c r="FO77" s="170" t="s">
        <v>303</v>
      </c>
      <c r="FP77" t="s">
        <v>317</v>
      </c>
      <c r="FQ77">
        <v>2225.3748941666699</v>
      </c>
      <c r="FR77">
        <v>463.05542558003992</v>
      </c>
      <c r="FS77">
        <v>367.74438196335996</v>
      </c>
      <c r="FT77">
        <v>2091.9810971642401</v>
      </c>
      <c r="FU77">
        <v>456.73620678545001</v>
      </c>
      <c r="FV77">
        <v>362.65401188908999</v>
      </c>
      <c r="FW77" t="s">
        <v>305</v>
      </c>
      <c r="FX77" t="s">
        <v>305</v>
      </c>
      <c r="FY77" t="s">
        <v>305</v>
      </c>
      <c r="FZ77" t="s">
        <v>305</v>
      </c>
      <c r="GA77" t="s">
        <v>305</v>
      </c>
      <c r="GB77" t="s">
        <v>305</v>
      </c>
      <c r="GC77" t="s">
        <v>318</v>
      </c>
    </row>
    <row r="78" spans="1:185" ht="17">
      <c r="A78" t="s">
        <v>180</v>
      </c>
      <c r="B78" s="202" t="s">
        <v>181</v>
      </c>
      <c r="C78" t="s">
        <v>168</v>
      </c>
      <c r="D78" t="s">
        <v>182</v>
      </c>
      <c r="E78">
        <v>2020</v>
      </c>
      <c r="F78" t="s">
        <v>183</v>
      </c>
      <c r="G78" s="141">
        <v>40109.642028808594</v>
      </c>
      <c r="H78">
        <v>1</v>
      </c>
      <c r="I78">
        <v>1</v>
      </c>
      <c r="J78">
        <v>809.06389039830003</v>
      </c>
      <c r="K78" s="204">
        <v>241.29178644134993</v>
      </c>
      <c r="L78" s="204">
        <v>177.10221588683999</v>
      </c>
      <c r="M78" s="163" t="b">
        <v>0</v>
      </c>
      <c r="N78" s="163">
        <v>1</v>
      </c>
      <c r="O78" t="s">
        <v>330</v>
      </c>
      <c r="P78" t="b">
        <v>0</v>
      </c>
      <c r="Q78" s="163" t="b">
        <v>1</v>
      </c>
      <c r="R78" s="212" t="s">
        <v>325</v>
      </c>
      <c r="S78" s="163" t="b">
        <v>1</v>
      </c>
      <c r="T78" s="163" t="b">
        <v>0</v>
      </c>
      <c r="U78" s="163" t="s">
        <v>167</v>
      </c>
      <c r="V78" s="163" t="s">
        <v>167</v>
      </c>
      <c r="W78" s="199" t="s">
        <v>167</v>
      </c>
      <c r="X78" s="199" t="s">
        <v>167</v>
      </c>
      <c r="Y78" s="143" t="s">
        <v>184</v>
      </c>
      <c r="Z78" t="s">
        <v>183</v>
      </c>
      <c r="AA78" t="s">
        <v>198</v>
      </c>
      <c r="AB78" t="s">
        <v>191</v>
      </c>
      <c r="AC78">
        <v>8</v>
      </c>
      <c r="AD78">
        <v>6</v>
      </c>
      <c r="AE78">
        <v>22</v>
      </c>
      <c r="AF78">
        <v>24</v>
      </c>
      <c r="AG78">
        <v>71.03</v>
      </c>
      <c r="AH78" t="s">
        <v>167</v>
      </c>
      <c r="AI78" t="s">
        <v>199</v>
      </c>
      <c r="AJ78" t="s">
        <v>200</v>
      </c>
      <c r="AK78" s="147">
        <v>-50.945999999999998</v>
      </c>
      <c r="AL78" s="147">
        <v>-26.368600000000001</v>
      </c>
      <c r="AM78" s="147">
        <v>-57.4</v>
      </c>
      <c r="AN78" s="148" t="s">
        <v>167</v>
      </c>
      <c r="AO78" s="148">
        <v>-3083.4</v>
      </c>
      <c r="AP78" s="147">
        <v>-2250</v>
      </c>
      <c r="AQ78" t="s">
        <v>201</v>
      </c>
      <c r="AR78" t="s">
        <v>190</v>
      </c>
      <c r="AS78" s="141">
        <v>40109.642028808594</v>
      </c>
      <c r="AT78" t="s">
        <v>206</v>
      </c>
      <c r="AU78">
        <v>1</v>
      </c>
      <c r="AV78">
        <v>1</v>
      </c>
      <c r="AW78" t="s">
        <v>207</v>
      </c>
      <c r="AX78" t="s">
        <v>208</v>
      </c>
      <c r="AY78" s="138" t="s">
        <v>209</v>
      </c>
      <c r="AZ78">
        <v>40.085441406249998</v>
      </c>
      <c r="BA78" t="s">
        <v>167</v>
      </c>
      <c r="BB78" t="s">
        <v>167</v>
      </c>
      <c r="BC78" t="s">
        <v>167</v>
      </c>
      <c r="BD78" t="s">
        <v>207</v>
      </c>
      <c r="BE78" t="s">
        <v>213</v>
      </c>
      <c r="BF78" t="s">
        <v>214</v>
      </c>
      <c r="BG78" t="s">
        <v>225</v>
      </c>
      <c r="BH78" t="s">
        <v>217</v>
      </c>
      <c r="BI78" s="157">
        <v>288</v>
      </c>
      <c r="BJ78" s="159">
        <v>4.0170000000000003</v>
      </c>
      <c r="BK78" t="s">
        <v>219</v>
      </c>
      <c r="BL78" t="s">
        <v>220</v>
      </c>
      <c r="BM78" t="s">
        <v>221</v>
      </c>
      <c r="BN78" t="s">
        <v>257</v>
      </c>
      <c r="BO78">
        <v>2</v>
      </c>
      <c r="BP78" s="140">
        <v>4.024324221663278E-2</v>
      </c>
      <c r="BQ78" s="139">
        <v>12.2769721299899</v>
      </c>
      <c r="BR78" t="s">
        <v>228</v>
      </c>
      <c r="BS78">
        <v>0.24226091255445001</v>
      </c>
      <c r="BT78" s="149">
        <v>1.02</v>
      </c>
      <c r="BU78" s="149" t="s">
        <v>275</v>
      </c>
      <c r="BV78" s="149">
        <v>0.5</v>
      </c>
      <c r="BW78" s="149">
        <v>-2.4900000000000002</v>
      </c>
      <c r="BX78" s="149" t="s">
        <v>276</v>
      </c>
      <c r="BY78" s="149">
        <v>9.01</v>
      </c>
      <c r="BZ78" s="149" t="s">
        <v>277</v>
      </c>
      <c r="CA78" s="149" t="s">
        <v>278</v>
      </c>
      <c r="CB78">
        <v>14.460277690429701</v>
      </c>
      <c r="CC78" t="s">
        <v>274</v>
      </c>
      <c r="CD78" s="165">
        <v>0.22572059750610052</v>
      </c>
      <c r="CE78" t="s">
        <v>326</v>
      </c>
      <c r="CF78" t="s">
        <v>327</v>
      </c>
      <c r="CG78">
        <v>25</v>
      </c>
      <c r="CH78" t="s">
        <v>280</v>
      </c>
      <c r="CI78" t="s">
        <v>280</v>
      </c>
      <c r="CJ78" s="139">
        <v>23.1325815911242</v>
      </c>
      <c r="CK78" t="s">
        <v>281</v>
      </c>
      <c r="CL78" s="140">
        <v>0.61226296794338697</v>
      </c>
      <c r="CM78" s="140">
        <v>0.56244789087942904</v>
      </c>
      <c r="CN78" t="s">
        <v>282</v>
      </c>
      <c r="CO78">
        <v>2.4539213376582301</v>
      </c>
      <c r="CP78" t="s">
        <v>283</v>
      </c>
      <c r="CQ78">
        <v>7.3617640129746906E-2</v>
      </c>
      <c r="CR78">
        <v>7.3617640129746906E-2</v>
      </c>
      <c r="CS78" t="s">
        <v>284</v>
      </c>
      <c r="CT78" t="s">
        <v>167</v>
      </c>
      <c r="CU78" t="s">
        <v>285</v>
      </c>
      <c r="CV78" t="s">
        <v>286</v>
      </c>
      <c r="CW78" t="s">
        <v>280</v>
      </c>
      <c r="CX78" t="s">
        <v>280</v>
      </c>
      <c r="CY78" t="s">
        <v>287</v>
      </c>
      <c r="CZ78" t="s">
        <v>167</v>
      </c>
      <c r="DA78" t="s">
        <v>167</v>
      </c>
      <c r="DB78" t="s">
        <v>167</v>
      </c>
      <c r="DC78" t="s">
        <v>167</v>
      </c>
      <c r="DD78" t="s">
        <v>167</v>
      </c>
      <c r="DE78" t="s">
        <v>167</v>
      </c>
      <c r="DF78" t="s">
        <v>167</v>
      </c>
      <c r="DG78" s="166">
        <v>35</v>
      </c>
      <c r="DH78" t="s">
        <v>288</v>
      </c>
      <c r="DI78">
        <v>1</v>
      </c>
      <c r="DJ78" t="s">
        <v>289</v>
      </c>
      <c r="DK78">
        <v>17</v>
      </c>
      <c r="DL78" t="s">
        <v>290</v>
      </c>
      <c r="DM78" t="s">
        <v>290</v>
      </c>
      <c r="DN78" t="s">
        <v>291</v>
      </c>
      <c r="DO78">
        <v>38</v>
      </c>
      <c r="DP78" t="s">
        <v>290</v>
      </c>
      <c r="DQ78" t="s">
        <v>290</v>
      </c>
      <c r="DR78" t="s">
        <v>291</v>
      </c>
      <c r="DS78" t="s">
        <v>292</v>
      </c>
      <c r="DT78" t="s">
        <v>293</v>
      </c>
      <c r="DU78" t="s">
        <v>293</v>
      </c>
      <c r="DV78" t="s">
        <v>293</v>
      </c>
      <c r="DW78" s="138">
        <v>432.56244218316402</v>
      </c>
      <c r="DX78" t="s">
        <v>294</v>
      </c>
      <c r="DY78" s="138">
        <v>12.3589269195224</v>
      </c>
      <c r="DZ78" t="s">
        <v>295</v>
      </c>
      <c r="EA78">
        <v>38.75</v>
      </c>
      <c r="EB78" t="s">
        <v>296</v>
      </c>
      <c r="EC78">
        <v>0.15</v>
      </c>
      <c r="ED78" t="s">
        <v>328</v>
      </c>
      <c r="EE78" t="s">
        <v>329</v>
      </c>
      <c r="EF78" t="s">
        <v>297</v>
      </c>
      <c r="EG78">
        <v>1.0271999999999999</v>
      </c>
      <c r="EH78" t="s">
        <v>290</v>
      </c>
      <c r="EI78" t="s">
        <v>290</v>
      </c>
      <c r="EJ78" t="s">
        <v>298</v>
      </c>
      <c r="EK78" t="s">
        <v>290</v>
      </c>
      <c r="EL78" t="s">
        <v>290</v>
      </c>
      <c r="EM78" t="s">
        <v>299</v>
      </c>
      <c r="EN78" t="s">
        <v>300</v>
      </c>
      <c r="EO78" t="s">
        <v>329</v>
      </c>
      <c r="EP78" t="s">
        <v>329</v>
      </c>
      <c r="EQ78" t="s">
        <v>329</v>
      </c>
      <c r="ER78" t="s">
        <v>329</v>
      </c>
      <c r="ES78" t="s">
        <v>167</v>
      </c>
      <c r="ET78" t="s">
        <v>313</v>
      </c>
      <c r="EU78" t="s">
        <v>314</v>
      </c>
      <c r="EV78" t="s">
        <v>315</v>
      </c>
      <c r="EW78" t="s">
        <v>316</v>
      </c>
      <c r="EX78" t="s">
        <v>316</v>
      </c>
      <c r="EY78" t="s">
        <v>316</v>
      </c>
      <c r="EZ78" t="s">
        <v>316</v>
      </c>
      <c r="FA78">
        <v>4.5</v>
      </c>
      <c r="FB78" t="s">
        <v>296</v>
      </c>
      <c r="FC78">
        <v>0.75</v>
      </c>
      <c r="FD78">
        <v>0.75</v>
      </c>
      <c r="FE78">
        <v>7.7728300446715703</v>
      </c>
      <c r="FF78" s="164" t="s">
        <v>301</v>
      </c>
      <c r="FG78" s="154">
        <v>3.12068004625232E-2</v>
      </c>
      <c r="FH78" s="154">
        <v>3.12068004625232E-2</v>
      </c>
      <c r="FI78">
        <v>809.06389039830003</v>
      </c>
      <c r="FJ78" s="164">
        <v>0</v>
      </c>
      <c r="FK78" s="164" t="s">
        <v>302</v>
      </c>
      <c r="FL78">
        <v>809.06389039830003</v>
      </c>
      <c r="FM78" s="141">
        <v>241.29178644134993</v>
      </c>
      <c r="FN78" s="141">
        <v>177.10221588683999</v>
      </c>
      <c r="FO78" s="170" t="s">
        <v>303</v>
      </c>
      <c r="FP78" t="s">
        <v>317</v>
      </c>
      <c r="FQ78">
        <v>2228.3626502331499</v>
      </c>
      <c r="FR78">
        <v>461.06245022966988</v>
      </c>
      <c r="FS78">
        <v>387.43826370025016</v>
      </c>
      <c r="FT78">
        <v>2096.5391493864799</v>
      </c>
      <c r="FU78">
        <v>456.10616834239033</v>
      </c>
      <c r="FV78">
        <v>378.61853451751995</v>
      </c>
      <c r="FW78" t="s">
        <v>305</v>
      </c>
      <c r="FX78" t="s">
        <v>305</v>
      </c>
      <c r="FY78" t="s">
        <v>305</v>
      </c>
      <c r="FZ78" t="s">
        <v>305</v>
      </c>
      <c r="GA78" t="s">
        <v>305</v>
      </c>
      <c r="GB78" t="s">
        <v>305</v>
      </c>
      <c r="GC78" t="s">
        <v>318</v>
      </c>
    </row>
    <row r="79" spans="1:185" ht="17">
      <c r="A79" t="s">
        <v>180</v>
      </c>
      <c r="B79" s="202" t="s">
        <v>181</v>
      </c>
      <c r="C79" t="s">
        <v>168</v>
      </c>
      <c r="D79" t="s">
        <v>182</v>
      </c>
      <c r="E79">
        <v>2020</v>
      </c>
      <c r="F79" t="s">
        <v>183</v>
      </c>
      <c r="G79" s="141">
        <v>40137.683868408203</v>
      </c>
      <c r="H79">
        <v>1</v>
      </c>
      <c r="I79">
        <v>1</v>
      </c>
      <c r="J79">
        <v>1557.31034476833</v>
      </c>
      <c r="K79" s="204">
        <v>577.31031099194001</v>
      </c>
      <c r="L79" s="204">
        <v>390.87111823561986</v>
      </c>
      <c r="M79" s="163" t="b">
        <v>0</v>
      </c>
      <c r="N79" s="163">
        <v>1</v>
      </c>
      <c r="O79" t="s">
        <v>330</v>
      </c>
      <c r="P79" t="b">
        <v>0</v>
      </c>
      <c r="Q79" s="163" t="b">
        <v>1</v>
      </c>
      <c r="R79" s="212" t="s">
        <v>325</v>
      </c>
      <c r="S79" s="163" t="b">
        <v>1</v>
      </c>
      <c r="T79" s="163" t="b">
        <v>0</v>
      </c>
      <c r="U79" s="163" t="s">
        <v>167</v>
      </c>
      <c r="V79" s="163" t="s">
        <v>167</v>
      </c>
      <c r="W79" s="199" t="s">
        <v>167</v>
      </c>
      <c r="X79" s="199" t="s">
        <v>167</v>
      </c>
      <c r="Y79" s="143" t="s">
        <v>184</v>
      </c>
      <c r="Z79" t="s">
        <v>183</v>
      </c>
      <c r="AA79" t="s">
        <v>198</v>
      </c>
      <c r="AB79" t="s">
        <v>191</v>
      </c>
      <c r="AC79">
        <v>8</v>
      </c>
      <c r="AD79">
        <v>6</v>
      </c>
      <c r="AE79">
        <v>91</v>
      </c>
      <c r="AF79">
        <v>93</v>
      </c>
      <c r="AG79">
        <v>71.72</v>
      </c>
      <c r="AH79" t="s">
        <v>167</v>
      </c>
      <c r="AI79" t="s">
        <v>199</v>
      </c>
      <c r="AJ79" t="s">
        <v>200</v>
      </c>
      <c r="AK79" s="147">
        <v>-50.945999999999998</v>
      </c>
      <c r="AL79" s="147">
        <v>-26.368600000000001</v>
      </c>
      <c r="AM79" s="147">
        <v>-57.4</v>
      </c>
      <c r="AN79" s="148" t="s">
        <v>167</v>
      </c>
      <c r="AO79" s="148">
        <v>-3083.4</v>
      </c>
      <c r="AP79" s="147">
        <v>-2250</v>
      </c>
      <c r="AQ79" t="s">
        <v>201</v>
      </c>
      <c r="AR79" t="s">
        <v>190</v>
      </c>
      <c r="AS79" s="141">
        <v>40137.683868408203</v>
      </c>
      <c r="AT79" t="s">
        <v>206</v>
      </c>
      <c r="AU79">
        <v>1</v>
      </c>
      <c r="AV79">
        <v>1</v>
      </c>
      <c r="AW79" t="s">
        <v>207</v>
      </c>
      <c r="AX79" t="s">
        <v>208</v>
      </c>
      <c r="AY79" s="138" t="s">
        <v>209</v>
      </c>
      <c r="AZ79">
        <v>40.137503906249997</v>
      </c>
      <c r="BA79" t="s">
        <v>167</v>
      </c>
      <c r="BB79" t="s">
        <v>167</v>
      </c>
      <c r="BC79" t="s">
        <v>167</v>
      </c>
      <c r="BD79" t="s">
        <v>207</v>
      </c>
      <c r="BE79" t="s">
        <v>213</v>
      </c>
      <c r="BF79" t="s">
        <v>214</v>
      </c>
      <c r="BG79" t="s">
        <v>225</v>
      </c>
      <c r="BH79" t="s">
        <v>217</v>
      </c>
      <c r="BI79" s="157">
        <v>208</v>
      </c>
      <c r="BJ79" s="159">
        <v>3.2</v>
      </c>
      <c r="BK79" t="s">
        <v>219</v>
      </c>
      <c r="BL79" t="s">
        <v>220</v>
      </c>
      <c r="BM79" t="s">
        <v>221</v>
      </c>
      <c r="BN79" t="s">
        <v>258</v>
      </c>
      <c r="BO79">
        <v>2</v>
      </c>
      <c r="BP79" s="140">
        <v>8.4841807363963184E-2</v>
      </c>
      <c r="BQ79" s="139">
        <v>11.3818825150062</v>
      </c>
      <c r="BR79" t="s">
        <v>228</v>
      </c>
      <c r="BS79">
        <v>0.24316067583131001</v>
      </c>
      <c r="BT79" s="149">
        <v>1.02</v>
      </c>
      <c r="BU79" s="149" t="s">
        <v>275</v>
      </c>
      <c r="BV79" s="149">
        <v>0.5</v>
      </c>
      <c r="BW79" s="149">
        <v>-2.4900000000000002</v>
      </c>
      <c r="BX79" s="149" t="s">
        <v>276</v>
      </c>
      <c r="BY79" s="149">
        <v>9.01</v>
      </c>
      <c r="BZ79" s="149" t="s">
        <v>277</v>
      </c>
      <c r="CA79" s="149" t="s">
        <v>278</v>
      </c>
      <c r="CB79">
        <v>13.584597739036401</v>
      </c>
      <c r="CC79" t="s">
        <v>274</v>
      </c>
      <c r="CD79" s="165">
        <v>0.22841147002149942</v>
      </c>
      <c r="CE79" t="s">
        <v>326</v>
      </c>
      <c r="CF79" t="s">
        <v>327</v>
      </c>
      <c r="CG79">
        <v>25</v>
      </c>
      <c r="CH79" t="s">
        <v>280</v>
      </c>
      <c r="CI79" t="s">
        <v>280</v>
      </c>
      <c r="CJ79" s="139">
        <v>20.472318365301899</v>
      </c>
      <c r="CK79" t="s">
        <v>281</v>
      </c>
      <c r="CL79" s="140">
        <v>0.70442852028991298</v>
      </c>
      <c r="CM79" s="140">
        <v>0.61276358502895401</v>
      </c>
      <c r="CN79" t="s">
        <v>282</v>
      </c>
      <c r="CO79">
        <v>2.2545272670658201</v>
      </c>
      <c r="CP79" t="s">
        <v>283</v>
      </c>
      <c r="CQ79">
        <v>6.7635818011974602E-2</v>
      </c>
      <c r="CR79">
        <v>6.7635818011974602E-2</v>
      </c>
      <c r="CS79" t="s">
        <v>284</v>
      </c>
      <c r="CT79" t="s">
        <v>167</v>
      </c>
      <c r="CU79" t="s">
        <v>285</v>
      </c>
      <c r="CV79" t="s">
        <v>286</v>
      </c>
      <c r="CW79" t="s">
        <v>280</v>
      </c>
      <c r="CX79" t="s">
        <v>280</v>
      </c>
      <c r="CY79" t="s">
        <v>287</v>
      </c>
      <c r="CZ79" t="s">
        <v>167</v>
      </c>
      <c r="DA79" t="s">
        <v>167</v>
      </c>
      <c r="DB79" t="s">
        <v>167</v>
      </c>
      <c r="DC79" t="s">
        <v>167</v>
      </c>
      <c r="DD79" t="s">
        <v>167</v>
      </c>
      <c r="DE79" t="s">
        <v>167</v>
      </c>
      <c r="DF79" t="s">
        <v>167</v>
      </c>
      <c r="DG79" s="166">
        <v>35</v>
      </c>
      <c r="DH79" t="s">
        <v>288</v>
      </c>
      <c r="DI79">
        <v>1</v>
      </c>
      <c r="DJ79" t="s">
        <v>289</v>
      </c>
      <c r="DK79">
        <v>17</v>
      </c>
      <c r="DL79" t="s">
        <v>290</v>
      </c>
      <c r="DM79" t="s">
        <v>290</v>
      </c>
      <c r="DN79" t="s">
        <v>291</v>
      </c>
      <c r="DO79">
        <v>38</v>
      </c>
      <c r="DP79" t="s">
        <v>290</v>
      </c>
      <c r="DQ79" t="s">
        <v>290</v>
      </c>
      <c r="DR79" t="s">
        <v>291</v>
      </c>
      <c r="DS79" t="s">
        <v>292</v>
      </c>
      <c r="DT79" t="s">
        <v>293</v>
      </c>
      <c r="DU79" t="s">
        <v>293</v>
      </c>
      <c r="DV79" t="s">
        <v>293</v>
      </c>
      <c r="DW79" s="138">
        <v>432.56244218316402</v>
      </c>
      <c r="DX79" t="s">
        <v>294</v>
      </c>
      <c r="DY79" s="138">
        <v>12.358926919522499</v>
      </c>
      <c r="DZ79" t="s">
        <v>295</v>
      </c>
      <c r="EA79">
        <v>38.75</v>
      </c>
      <c r="EB79" t="s">
        <v>296</v>
      </c>
      <c r="EC79">
        <v>0.15</v>
      </c>
      <c r="ED79" t="s">
        <v>328</v>
      </c>
      <c r="EE79" t="s">
        <v>329</v>
      </c>
      <c r="EF79" t="s">
        <v>297</v>
      </c>
      <c r="EG79">
        <v>1.0271999999999999</v>
      </c>
      <c r="EH79" t="s">
        <v>290</v>
      </c>
      <c r="EI79" t="s">
        <v>290</v>
      </c>
      <c r="EJ79" t="s">
        <v>298</v>
      </c>
      <c r="EK79" t="s">
        <v>290</v>
      </c>
      <c r="EL79" t="s">
        <v>290</v>
      </c>
      <c r="EM79" t="s">
        <v>299</v>
      </c>
      <c r="EN79" t="s">
        <v>300</v>
      </c>
      <c r="EO79" t="s">
        <v>329</v>
      </c>
      <c r="EP79" t="s">
        <v>329</v>
      </c>
      <c r="EQ79" t="s">
        <v>329</v>
      </c>
      <c r="ER79" t="s">
        <v>329</v>
      </c>
      <c r="ES79" t="s">
        <v>167</v>
      </c>
      <c r="ET79" t="s">
        <v>313</v>
      </c>
      <c r="EU79" t="s">
        <v>314</v>
      </c>
      <c r="EV79" t="s">
        <v>315</v>
      </c>
      <c r="EW79" t="s">
        <v>316</v>
      </c>
      <c r="EX79" t="s">
        <v>316</v>
      </c>
      <c r="EY79" t="s">
        <v>316</v>
      </c>
      <c r="EZ79" t="s">
        <v>316</v>
      </c>
      <c r="FA79">
        <v>4.5</v>
      </c>
      <c r="FB79" t="s">
        <v>296</v>
      </c>
      <c r="FC79">
        <v>0.75</v>
      </c>
      <c r="FD79">
        <v>0.75</v>
      </c>
      <c r="FE79">
        <v>7.6509726826795603</v>
      </c>
      <c r="FF79" s="164" t="s">
        <v>301</v>
      </c>
      <c r="FG79" s="154">
        <v>4.5744518664266903E-2</v>
      </c>
      <c r="FH79" s="154">
        <v>4.5744518664266903E-2</v>
      </c>
      <c r="FI79">
        <v>1557.31034476833</v>
      </c>
      <c r="FJ79" s="164">
        <v>0</v>
      </c>
      <c r="FK79" s="164" t="s">
        <v>302</v>
      </c>
      <c r="FL79">
        <v>1557.31034476833</v>
      </c>
      <c r="FM79" s="141">
        <v>577.31031099194001</v>
      </c>
      <c r="FN79" s="141">
        <v>390.87111823561986</v>
      </c>
      <c r="FO79" s="170" t="s">
        <v>303</v>
      </c>
      <c r="FP79" t="s">
        <v>317</v>
      </c>
      <c r="FQ79">
        <v>3134.8522252539101</v>
      </c>
      <c r="FR79">
        <v>749.23542839191998</v>
      </c>
      <c r="FS79">
        <v>575.30538054822</v>
      </c>
      <c r="FT79">
        <v>3042.67818390005</v>
      </c>
      <c r="FU79">
        <v>753.33227327541988</v>
      </c>
      <c r="FV79">
        <v>575.49834116274019</v>
      </c>
      <c r="FW79" t="s">
        <v>305</v>
      </c>
      <c r="FX79" t="s">
        <v>305</v>
      </c>
      <c r="FY79" t="s">
        <v>305</v>
      </c>
      <c r="FZ79" t="s">
        <v>305</v>
      </c>
      <c r="GA79" t="s">
        <v>305</v>
      </c>
      <c r="GB79" t="s">
        <v>305</v>
      </c>
      <c r="GC79" t="s">
        <v>318</v>
      </c>
    </row>
    <row r="80" spans="1:185" ht="17">
      <c r="A80" t="s">
        <v>180</v>
      </c>
      <c r="B80" s="202" t="s">
        <v>181</v>
      </c>
      <c r="C80" t="s">
        <v>168</v>
      </c>
      <c r="D80" t="s">
        <v>182</v>
      </c>
      <c r="E80">
        <v>2020</v>
      </c>
      <c r="F80" t="s">
        <v>183</v>
      </c>
      <c r="G80" s="141">
        <v>40251.941680908203</v>
      </c>
      <c r="H80">
        <v>1</v>
      </c>
      <c r="I80">
        <v>1</v>
      </c>
      <c r="J80">
        <v>786.22969104705703</v>
      </c>
      <c r="K80" s="204">
        <v>246.4971715568829</v>
      </c>
      <c r="L80" s="204">
        <v>171.74355517128799</v>
      </c>
      <c r="M80" s="163" t="b">
        <v>0</v>
      </c>
      <c r="N80" s="163">
        <v>1</v>
      </c>
      <c r="O80" t="s">
        <v>330</v>
      </c>
      <c r="P80" t="b">
        <v>0</v>
      </c>
      <c r="Q80" s="163" t="b">
        <v>1</v>
      </c>
      <c r="R80" s="212" t="s">
        <v>325</v>
      </c>
      <c r="S80" s="163" t="b">
        <v>1</v>
      </c>
      <c r="T80" s="163" t="b">
        <v>0</v>
      </c>
      <c r="U80" s="163" t="s">
        <v>167</v>
      </c>
      <c r="V80" s="163" t="s">
        <v>167</v>
      </c>
      <c r="W80" s="199" t="s">
        <v>167</v>
      </c>
      <c r="X80" s="199" t="s">
        <v>167</v>
      </c>
      <c r="Y80" s="143" t="s">
        <v>184</v>
      </c>
      <c r="Z80" t="s">
        <v>183</v>
      </c>
      <c r="AA80" t="s">
        <v>198</v>
      </c>
      <c r="AB80" t="s">
        <v>191</v>
      </c>
      <c r="AC80">
        <v>9</v>
      </c>
      <c r="AD80">
        <v>1</v>
      </c>
      <c r="AE80">
        <v>40</v>
      </c>
      <c r="AF80">
        <v>41</v>
      </c>
      <c r="AG80">
        <v>73.209999999999994</v>
      </c>
      <c r="AH80" t="s">
        <v>167</v>
      </c>
      <c r="AI80" t="s">
        <v>199</v>
      </c>
      <c r="AJ80" t="s">
        <v>200</v>
      </c>
      <c r="AK80" s="147">
        <v>-50.945999999999998</v>
      </c>
      <c r="AL80" s="147">
        <v>-26.368600000000001</v>
      </c>
      <c r="AM80" s="147">
        <v>-57.4</v>
      </c>
      <c r="AN80" s="148" t="s">
        <v>167</v>
      </c>
      <c r="AO80" s="148">
        <v>-3083.4</v>
      </c>
      <c r="AP80" s="147">
        <v>-2250</v>
      </c>
      <c r="AQ80" t="s">
        <v>201</v>
      </c>
      <c r="AR80" t="s">
        <v>190</v>
      </c>
      <c r="AS80" s="141">
        <v>40251.941680908203</v>
      </c>
      <c r="AT80" t="s">
        <v>206</v>
      </c>
      <c r="AU80">
        <v>1</v>
      </c>
      <c r="AV80">
        <v>1</v>
      </c>
      <c r="AW80" t="s">
        <v>207</v>
      </c>
      <c r="AX80" t="s">
        <v>208</v>
      </c>
      <c r="AY80" s="138" t="s">
        <v>209</v>
      </c>
      <c r="AZ80">
        <v>40.245468750000001</v>
      </c>
      <c r="BA80" t="s">
        <v>167</v>
      </c>
      <c r="BB80" t="s">
        <v>167</v>
      </c>
      <c r="BC80" t="s">
        <v>167</v>
      </c>
      <c r="BD80" t="s">
        <v>207</v>
      </c>
      <c r="BE80" t="s">
        <v>213</v>
      </c>
      <c r="BF80" t="s">
        <v>214</v>
      </c>
      <c r="BG80" t="s">
        <v>225</v>
      </c>
      <c r="BH80" t="s">
        <v>217</v>
      </c>
      <c r="BI80" s="157">
        <v>199</v>
      </c>
      <c r="BJ80" s="157">
        <v>2.9649999999999999</v>
      </c>
      <c r="BK80" t="s">
        <v>219</v>
      </c>
      <c r="BL80" t="s">
        <v>220</v>
      </c>
      <c r="BM80" t="s">
        <v>221</v>
      </c>
      <c r="BN80" t="s">
        <v>259</v>
      </c>
      <c r="BO80">
        <v>2</v>
      </c>
      <c r="BP80" s="140">
        <v>0.11254182991340754</v>
      </c>
      <c r="BQ80" s="139">
        <v>12.263942840053801</v>
      </c>
      <c r="BR80" t="s">
        <v>228</v>
      </c>
      <c r="BS80">
        <v>0.247223585998394</v>
      </c>
      <c r="BT80" s="149">
        <v>1.02</v>
      </c>
      <c r="BU80" s="149" t="s">
        <v>275</v>
      </c>
      <c r="BV80" s="149">
        <v>0.5</v>
      </c>
      <c r="BW80" s="149">
        <v>-2.4900000000000002</v>
      </c>
      <c r="BX80" s="149" t="s">
        <v>276</v>
      </c>
      <c r="BY80" s="149">
        <v>9.01</v>
      </c>
      <c r="BZ80" s="149" t="s">
        <v>277</v>
      </c>
      <c r="CA80" s="149" t="s">
        <v>278</v>
      </c>
      <c r="CB80">
        <v>14.4480192719653</v>
      </c>
      <c r="CC80" t="s">
        <v>274</v>
      </c>
      <c r="CD80" s="165">
        <v>0.22769360424199991</v>
      </c>
      <c r="CE80" t="s">
        <v>326</v>
      </c>
      <c r="CF80" t="s">
        <v>327</v>
      </c>
      <c r="CG80">
        <v>25</v>
      </c>
      <c r="CH80" t="s">
        <v>280</v>
      </c>
      <c r="CI80" t="s">
        <v>280</v>
      </c>
      <c r="CJ80" s="139">
        <v>21.544776114125401</v>
      </c>
      <c r="CK80" t="s">
        <v>281</v>
      </c>
      <c r="CL80" s="140">
        <v>0.60220035772701397</v>
      </c>
      <c r="CM80" s="140">
        <v>0.606579445491924</v>
      </c>
      <c r="CN80" t="s">
        <v>282</v>
      </c>
      <c r="CO80">
        <v>2.2189287206607702</v>
      </c>
      <c r="CP80" t="s">
        <v>283</v>
      </c>
      <c r="CQ80">
        <v>6.6567861619823102E-2</v>
      </c>
      <c r="CR80">
        <v>6.6567861619823102E-2</v>
      </c>
      <c r="CS80" t="s">
        <v>284</v>
      </c>
      <c r="CT80" t="s">
        <v>167</v>
      </c>
      <c r="CU80" t="s">
        <v>285</v>
      </c>
      <c r="CV80" t="s">
        <v>286</v>
      </c>
      <c r="CW80" t="s">
        <v>280</v>
      </c>
      <c r="CX80" t="s">
        <v>280</v>
      </c>
      <c r="CY80" t="s">
        <v>287</v>
      </c>
      <c r="CZ80" t="s">
        <v>167</v>
      </c>
      <c r="DA80" t="s">
        <v>167</v>
      </c>
      <c r="DB80" t="s">
        <v>167</v>
      </c>
      <c r="DC80" t="s">
        <v>167</v>
      </c>
      <c r="DD80" t="s">
        <v>167</v>
      </c>
      <c r="DE80" t="s">
        <v>167</v>
      </c>
      <c r="DF80" t="s">
        <v>167</v>
      </c>
      <c r="DG80" s="166">
        <v>35</v>
      </c>
      <c r="DH80" t="s">
        <v>288</v>
      </c>
      <c r="DI80">
        <v>1</v>
      </c>
      <c r="DJ80" t="s">
        <v>289</v>
      </c>
      <c r="DK80">
        <v>17</v>
      </c>
      <c r="DL80" t="s">
        <v>290</v>
      </c>
      <c r="DM80" t="s">
        <v>290</v>
      </c>
      <c r="DN80" t="s">
        <v>291</v>
      </c>
      <c r="DO80">
        <v>38</v>
      </c>
      <c r="DP80" t="s">
        <v>290</v>
      </c>
      <c r="DQ80" t="s">
        <v>290</v>
      </c>
      <c r="DR80" t="s">
        <v>291</v>
      </c>
      <c r="DS80" t="s">
        <v>292</v>
      </c>
      <c r="DT80" t="s">
        <v>293</v>
      </c>
      <c r="DU80" t="s">
        <v>293</v>
      </c>
      <c r="DV80" t="s">
        <v>293</v>
      </c>
      <c r="DW80" s="138">
        <v>432.56244218316402</v>
      </c>
      <c r="DX80" t="s">
        <v>294</v>
      </c>
      <c r="DY80" s="138">
        <v>12.358926919522601</v>
      </c>
      <c r="DZ80" t="s">
        <v>295</v>
      </c>
      <c r="EA80">
        <v>38.75</v>
      </c>
      <c r="EB80" t="s">
        <v>296</v>
      </c>
      <c r="EC80">
        <v>0.15</v>
      </c>
      <c r="ED80" t="s">
        <v>328</v>
      </c>
      <c r="EE80" t="s">
        <v>329</v>
      </c>
      <c r="EF80" t="s">
        <v>297</v>
      </c>
      <c r="EG80">
        <v>1.0271999999999999</v>
      </c>
      <c r="EH80" t="s">
        <v>290</v>
      </c>
      <c r="EI80" t="s">
        <v>290</v>
      </c>
      <c r="EJ80" t="s">
        <v>298</v>
      </c>
      <c r="EK80" t="s">
        <v>290</v>
      </c>
      <c r="EL80" t="s">
        <v>290</v>
      </c>
      <c r="EM80" t="s">
        <v>299</v>
      </c>
      <c r="EN80" t="s">
        <v>300</v>
      </c>
      <c r="EO80" t="s">
        <v>329</v>
      </c>
      <c r="EP80" t="s">
        <v>329</v>
      </c>
      <c r="EQ80" t="s">
        <v>329</v>
      </c>
      <c r="ER80" t="s">
        <v>329</v>
      </c>
      <c r="ES80" t="s">
        <v>167</v>
      </c>
      <c r="ET80" t="s">
        <v>313</v>
      </c>
      <c r="EU80" t="s">
        <v>314</v>
      </c>
      <c r="EV80" t="s">
        <v>315</v>
      </c>
      <c r="EW80" t="s">
        <v>316</v>
      </c>
      <c r="EX80" t="s">
        <v>316</v>
      </c>
      <c r="EY80" t="s">
        <v>316</v>
      </c>
      <c r="EZ80" t="s">
        <v>316</v>
      </c>
      <c r="FA80">
        <v>4.5</v>
      </c>
      <c r="FB80" t="s">
        <v>296</v>
      </c>
      <c r="FC80">
        <v>0.75</v>
      </c>
      <c r="FD80">
        <v>0.75</v>
      </c>
      <c r="FE80">
        <v>7.79097861094868</v>
      </c>
      <c r="FF80" s="164" t="s">
        <v>301</v>
      </c>
      <c r="FG80" s="154">
        <v>3.2891099435659703E-2</v>
      </c>
      <c r="FH80" s="154">
        <v>3.2891099435659703E-2</v>
      </c>
      <c r="FI80">
        <v>786.22969104705703</v>
      </c>
      <c r="FJ80" s="164">
        <v>0</v>
      </c>
      <c r="FK80" s="164" t="s">
        <v>302</v>
      </c>
      <c r="FL80">
        <v>786.22969104705703</v>
      </c>
      <c r="FM80" s="141">
        <v>246.4971715568829</v>
      </c>
      <c r="FN80" s="141">
        <v>171.74355517128799</v>
      </c>
      <c r="FO80" s="170" t="s">
        <v>303</v>
      </c>
      <c r="FP80" t="s">
        <v>317</v>
      </c>
      <c r="FQ80">
        <v>2273.0334370005503</v>
      </c>
      <c r="FR80">
        <v>467.64050455618985</v>
      </c>
      <c r="FS80">
        <v>394.93034055349005</v>
      </c>
      <c r="FT80">
        <v>2140.1528653425698</v>
      </c>
      <c r="FU80">
        <v>467.91056022906992</v>
      </c>
      <c r="FV80">
        <v>388.54483919300998</v>
      </c>
      <c r="FW80" t="s">
        <v>305</v>
      </c>
      <c r="FX80" t="s">
        <v>305</v>
      </c>
      <c r="FY80" t="s">
        <v>305</v>
      </c>
      <c r="FZ80" t="s">
        <v>305</v>
      </c>
      <c r="GA80" t="s">
        <v>305</v>
      </c>
      <c r="GB80" t="s">
        <v>305</v>
      </c>
      <c r="GC80" t="s">
        <v>318</v>
      </c>
    </row>
    <row r="81" spans="1:185" ht="17">
      <c r="A81" t="s">
        <v>180</v>
      </c>
      <c r="B81" s="202" t="s">
        <v>181</v>
      </c>
      <c r="C81" t="s">
        <v>168</v>
      </c>
      <c r="D81" t="s">
        <v>182</v>
      </c>
      <c r="E81">
        <v>2020</v>
      </c>
      <c r="F81" t="s">
        <v>183</v>
      </c>
      <c r="G81" s="141">
        <v>40605.419158935547</v>
      </c>
      <c r="H81">
        <v>1</v>
      </c>
      <c r="I81">
        <v>1</v>
      </c>
      <c r="J81">
        <v>543.41492277114901</v>
      </c>
      <c r="K81" s="204">
        <v>154.69486148891303</v>
      </c>
      <c r="L81" s="204">
        <v>114.66311048424501</v>
      </c>
      <c r="M81" s="163" t="b">
        <v>0</v>
      </c>
      <c r="N81" s="163">
        <v>1</v>
      </c>
      <c r="O81" t="s">
        <v>330</v>
      </c>
      <c r="P81" t="b">
        <v>0</v>
      </c>
      <c r="Q81" s="163" t="b">
        <v>1</v>
      </c>
      <c r="R81" s="212" t="s">
        <v>325</v>
      </c>
      <c r="S81" s="163" t="b">
        <v>1</v>
      </c>
      <c r="T81" s="163" t="b">
        <v>0</v>
      </c>
      <c r="U81" s="163" t="s">
        <v>167</v>
      </c>
      <c r="V81" s="163" t="s">
        <v>167</v>
      </c>
      <c r="W81" s="199" t="s">
        <v>167</v>
      </c>
      <c r="X81" s="199" t="s">
        <v>167</v>
      </c>
      <c r="Y81" s="143" t="s">
        <v>184</v>
      </c>
      <c r="Z81" t="s">
        <v>183</v>
      </c>
      <c r="AA81" t="s">
        <v>198</v>
      </c>
      <c r="AB81" t="s">
        <v>191</v>
      </c>
      <c r="AC81">
        <v>9</v>
      </c>
      <c r="AD81">
        <v>4</v>
      </c>
      <c r="AE81">
        <v>23</v>
      </c>
      <c r="AF81">
        <v>25</v>
      </c>
      <c r="AG81">
        <v>77.540000000000006</v>
      </c>
      <c r="AH81" t="s">
        <v>167</v>
      </c>
      <c r="AI81" t="s">
        <v>199</v>
      </c>
      <c r="AJ81" t="s">
        <v>200</v>
      </c>
      <c r="AK81" s="147">
        <v>-50.945999999999998</v>
      </c>
      <c r="AL81" s="147">
        <v>-26.368600000000001</v>
      </c>
      <c r="AM81" s="147">
        <v>-57.4</v>
      </c>
      <c r="AN81" s="148" t="s">
        <v>167</v>
      </c>
      <c r="AO81" s="148">
        <v>-3083.4</v>
      </c>
      <c r="AP81" s="147">
        <v>-2250</v>
      </c>
      <c r="AQ81" t="s">
        <v>201</v>
      </c>
      <c r="AR81" t="s">
        <v>190</v>
      </c>
      <c r="AS81" s="141">
        <v>40605.419158935547</v>
      </c>
      <c r="AT81" t="s">
        <v>206</v>
      </c>
      <c r="AU81">
        <v>1</v>
      </c>
      <c r="AV81">
        <v>1</v>
      </c>
      <c r="AW81" t="s">
        <v>207</v>
      </c>
      <c r="AX81" t="s">
        <v>208</v>
      </c>
      <c r="AY81" s="138" t="s">
        <v>209</v>
      </c>
      <c r="AZ81">
        <v>40.570257812500003</v>
      </c>
      <c r="BA81" t="s">
        <v>167</v>
      </c>
      <c r="BB81" t="s">
        <v>167</v>
      </c>
      <c r="BC81" t="s">
        <v>167</v>
      </c>
      <c r="BD81" t="s">
        <v>207</v>
      </c>
      <c r="BE81" t="s">
        <v>213</v>
      </c>
      <c r="BF81" t="s">
        <v>214</v>
      </c>
      <c r="BG81" t="s">
        <v>225</v>
      </c>
      <c r="BH81" t="s">
        <v>217</v>
      </c>
      <c r="BI81" s="157">
        <v>206</v>
      </c>
      <c r="BJ81" s="157">
        <v>2.9569999999999999</v>
      </c>
      <c r="BK81" t="s">
        <v>219</v>
      </c>
      <c r="BL81" t="s">
        <v>220</v>
      </c>
      <c r="BM81" t="s">
        <v>221</v>
      </c>
      <c r="BN81" t="s">
        <v>260</v>
      </c>
      <c r="BO81">
        <v>2</v>
      </c>
      <c r="BP81" s="140">
        <v>1.4699195710424105E-2</v>
      </c>
      <c r="BQ81" s="139">
        <v>12.922389584701101</v>
      </c>
      <c r="BR81" t="s">
        <v>228</v>
      </c>
      <c r="BS81">
        <v>0.246004039168633</v>
      </c>
      <c r="BT81" s="149">
        <v>1.02</v>
      </c>
      <c r="BU81" s="149" t="s">
        <v>275</v>
      </c>
      <c r="BV81" s="149">
        <v>0.5</v>
      </c>
      <c r="BW81" s="149">
        <v>-2.4900000000000002</v>
      </c>
      <c r="BX81" s="149" t="s">
        <v>276</v>
      </c>
      <c r="BY81" s="149">
        <v>9.01</v>
      </c>
      <c r="BZ81" s="149" t="s">
        <v>277</v>
      </c>
      <c r="CA81" s="149" t="s">
        <v>278</v>
      </c>
      <c r="CB81">
        <v>15.089343537888199</v>
      </c>
      <c r="CC81" t="s">
        <v>274</v>
      </c>
      <c r="CD81" s="165">
        <v>0.23451364360509963</v>
      </c>
      <c r="CE81" t="s">
        <v>326</v>
      </c>
      <c r="CF81" t="s">
        <v>327</v>
      </c>
      <c r="CG81">
        <v>25</v>
      </c>
      <c r="CH81" t="s">
        <v>280</v>
      </c>
      <c r="CI81" t="s">
        <v>280</v>
      </c>
      <c r="CJ81" s="139">
        <v>23.612285176098499</v>
      </c>
      <c r="CK81" t="s">
        <v>281</v>
      </c>
      <c r="CL81" s="140">
        <v>0.58068429968399804</v>
      </c>
      <c r="CM81" s="140">
        <v>0.596350651203164</v>
      </c>
      <c r="CN81" t="s">
        <v>282</v>
      </c>
      <c r="CO81">
        <v>2.3979546923938799</v>
      </c>
      <c r="CP81" t="s">
        <v>283</v>
      </c>
      <c r="CQ81">
        <v>7.1938640771816401E-2</v>
      </c>
      <c r="CR81">
        <v>7.1938640771816401E-2</v>
      </c>
      <c r="CS81" t="s">
        <v>284</v>
      </c>
      <c r="CT81" t="s">
        <v>167</v>
      </c>
      <c r="CU81" t="s">
        <v>285</v>
      </c>
      <c r="CV81" t="s">
        <v>286</v>
      </c>
      <c r="CW81" t="s">
        <v>280</v>
      </c>
      <c r="CX81" t="s">
        <v>280</v>
      </c>
      <c r="CY81" t="s">
        <v>287</v>
      </c>
      <c r="CZ81" t="s">
        <v>167</v>
      </c>
      <c r="DA81" t="s">
        <v>167</v>
      </c>
      <c r="DB81" t="s">
        <v>167</v>
      </c>
      <c r="DC81" t="s">
        <v>167</v>
      </c>
      <c r="DD81" t="s">
        <v>167</v>
      </c>
      <c r="DE81" t="s">
        <v>167</v>
      </c>
      <c r="DF81" t="s">
        <v>167</v>
      </c>
      <c r="DG81" s="166">
        <v>35</v>
      </c>
      <c r="DH81" t="s">
        <v>288</v>
      </c>
      <c r="DI81">
        <v>1</v>
      </c>
      <c r="DJ81" t="s">
        <v>289</v>
      </c>
      <c r="DK81">
        <v>17</v>
      </c>
      <c r="DL81" t="s">
        <v>290</v>
      </c>
      <c r="DM81" t="s">
        <v>290</v>
      </c>
      <c r="DN81" t="s">
        <v>291</v>
      </c>
      <c r="DO81">
        <v>38</v>
      </c>
      <c r="DP81" t="s">
        <v>290</v>
      </c>
      <c r="DQ81" t="s">
        <v>290</v>
      </c>
      <c r="DR81" t="s">
        <v>291</v>
      </c>
      <c r="DS81" t="s">
        <v>292</v>
      </c>
      <c r="DT81" t="s">
        <v>293</v>
      </c>
      <c r="DU81" t="s">
        <v>293</v>
      </c>
      <c r="DV81" t="s">
        <v>293</v>
      </c>
      <c r="DW81" s="138">
        <v>432.56244218316402</v>
      </c>
      <c r="DX81" t="s">
        <v>294</v>
      </c>
      <c r="DY81" s="138">
        <v>12.3589269195227</v>
      </c>
      <c r="DZ81" t="s">
        <v>295</v>
      </c>
      <c r="EA81">
        <v>38.75</v>
      </c>
      <c r="EB81" t="s">
        <v>296</v>
      </c>
      <c r="EC81">
        <v>0.15</v>
      </c>
      <c r="ED81" t="s">
        <v>328</v>
      </c>
      <c r="EE81" t="s">
        <v>329</v>
      </c>
      <c r="EF81" t="s">
        <v>297</v>
      </c>
      <c r="EG81">
        <v>1.0271999999999999</v>
      </c>
      <c r="EH81" t="s">
        <v>290</v>
      </c>
      <c r="EI81" t="s">
        <v>290</v>
      </c>
      <c r="EJ81" t="s">
        <v>298</v>
      </c>
      <c r="EK81" t="s">
        <v>290</v>
      </c>
      <c r="EL81" t="s">
        <v>290</v>
      </c>
      <c r="EM81" t="s">
        <v>299</v>
      </c>
      <c r="EN81" t="s">
        <v>300</v>
      </c>
      <c r="EO81" t="s">
        <v>329</v>
      </c>
      <c r="EP81" t="s">
        <v>329</v>
      </c>
      <c r="EQ81" t="s">
        <v>329</v>
      </c>
      <c r="ER81" t="s">
        <v>329</v>
      </c>
      <c r="ES81" t="s">
        <v>167</v>
      </c>
      <c r="ET81" t="s">
        <v>313</v>
      </c>
      <c r="EU81" t="s">
        <v>314</v>
      </c>
      <c r="EV81" t="s">
        <v>315</v>
      </c>
      <c r="EW81" t="s">
        <v>316</v>
      </c>
      <c r="EX81" t="s">
        <v>316</v>
      </c>
      <c r="EY81" t="s">
        <v>316</v>
      </c>
      <c r="EZ81" t="s">
        <v>316</v>
      </c>
      <c r="FA81">
        <v>4.5</v>
      </c>
      <c r="FB81" t="s">
        <v>296</v>
      </c>
      <c r="FC81">
        <v>0.75</v>
      </c>
      <c r="FD81">
        <v>0.75</v>
      </c>
      <c r="FE81">
        <v>7.8574872781057596</v>
      </c>
      <c r="FF81" s="164" t="s">
        <v>301</v>
      </c>
      <c r="FG81" s="154">
        <v>2.7943612058112299E-2</v>
      </c>
      <c r="FH81" s="154">
        <v>2.7943612058112299E-2</v>
      </c>
      <c r="FI81">
        <v>543.41492277114901</v>
      </c>
      <c r="FJ81" s="164">
        <v>0</v>
      </c>
      <c r="FK81" s="164" t="s">
        <v>302</v>
      </c>
      <c r="FL81">
        <v>543.41492277114901</v>
      </c>
      <c r="FM81" s="141">
        <v>154.69486148891303</v>
      </c>
      <c r="FN81" s="141">
        <v>114.66311048424501</v>
      </c>
      <c r="FO81" s="170" t="s">
        <v>303</v>
      </c>
      <c r="FP81" t="s">
        <v>317</v>
      </c>
      <c r="FQ81">
        <v>1871.7588946000499</v>
      </c>
      <c r="FR81">
        <v>372.78156923162993</v>
      </c>
      <c r="FS81">
        <v>310.02588939243992</v>
      </c>
      <c r="FT81">
        <v>1721.18713081345</v>
      </c>
      <c r="FU81">
        <v>363.60608839002015</v>
      </c>
      <c r="FV81">
        <v>301.97406241591011</v>
      </c>
      <c r="FW81" t="s">
        <v>305</v>
      </c>
      <c r="FX81" t="s">
        <v>305</v>
      </c>
      <c r="FY81" t="s">
        <v>305</v>
      </c>
      <c r="FZ81" t="s">
        <v>305</v>
      </c>
      <c r="GA81" t="s">
        <v>305</v>
      </c>
      <c r="GB81" t="s">
        <v>305</v>
      </c>
      <c r="GC81" t="s">
        <v>318</v>
      </c>
    </row>
    <row r="82" spans="1:185" ht="17">
      <c r="A82" t="s">
        <v>180</v>
      </c>
      <c r="B82" s="202" t="s">
        <v>181</v>
      </c>
      <c r="C82" t="s">
        <v>168</v>
      </c>
      <c r="D82" t="s">
        <v>182</v>
      </c>
      <c r="E82">
        <v>2020</v>
      </c>
      <c r="F82" t="s">
        <v>183</v>
      </c>
      <c r="G82" s="141">
        <v>40816.848754882812</v>
      </c>
      <c r="H82">
        <v>1</v>
      </c>
      <c r="I82">
        <v>1</v>
      </c>
      <c r="J82">
        <v>933.33987053284102</v>
      </c>
      <c r="K82" s="204">
        <v>262.94484328561896</v>
      </c>
      <c r="L82" s="204">
        <v>227.87357346468002</v>
      </c>
      <c r="M82" s="163" t="b">
        <v>0</v>
      </c>
      <c r="N82" s="163">
        <v>1</v>
      </c>
      <c r="O82" t="s">
        <v>330</v>
      </c>
      <c r="P82" t="b">
        <v>0</v>
      </c>
      <c r="Q82" s="163" t="b">
        <v>1</v>
      </c>
      <c r="R82" s="212" t="s">
        <v>325</v>
      </c>
      <c r="S82" s="163" t="b">
        <v>1</v>
      </c>
      <c r="T82" s="163" t="b">
        <v>0</v>
      </c>
      <c r="U82" s="163" t="s">
        <v>167</v>
      </c>
      <c r="V82" s="163" t="s">
        <v>167</v>
      </c>
      <c r="W82" s="199" t="s">
        <v>167</v>
      </c>
      <c r="X82" s="199" t="s">
        <v>167</v>
      </c>
      <c r="Y82" s="143" t="s">
        <v>184</v>
      </c>
      <c r="Z82" t="s">
        <v>183</v>
      </c>
      <c r="AA82" t="s">
        <v>198</v>
      </c>
      <c r="AB82" t="s">
        <v>191</v>
      </c>
      <c r="AC82">
        <v>9</v>
      </c>
      <c r="AD82">
        <v>5</v>
      </c>
      <c r="AE82">
        <v>132</v>
      </c>
      <c r="AF82">
        <v>134</v>
      </c>
      <c r="AG82">
        <v>80.13</v>
      </c>
      <c r="AH82" s="4" t="s">
        <v>167</v>
      </c>
      <c r="AI82" t="s">
        <v>199</v>
      </c>
      <c r="AJ82" t="s">
        <v>200</v>
      </c>
      <c r="AK82" s="147">
        <v>-50.945999999999998</v>
      </c>
      <c r="AL82" s="147">
        <v>-26.368600000000001</v>
      </c>
      <c r="AM82" s="147">
        <v>-57.4</v>
      </c>
      <c r="AN82" s="148" t="s">
        <v>167</v>
      </c>
      <c r="AO82" s="148">
        <v>-3083.4</v>
      </c>
      <c r="AP82" s="147">
        <v>-2250</v>
      </c>
      <c r="AQ82" t="s">
        <v>201</v>
      </c>
      <c r="AR82" t="s">
        <v>190</v>
      </c>
      <c r="AS82" s="141">
        <v>40816.848754882812</v>
      </c>
      <c r="AT82" t="s">
        <v>206</v>
      </c>
      <c r="AU82">
        <v>1</v>
      </c>
      <c r="AV82">
        <v>1</v>
      </c>
      <c r="AW82" t="s">
        <v>207</v>
      </c>
      <c r="AX82" t="s">
        <v>208</v>
      </c>
      <c r="AY82" s="138" t="s">
        <v>209</v>
      </c>
      <c r="AZ82">
        <v>40.759441406249998</v>
      </c>
      <c r="BA82" t="s">
        <v>167</v>
      </c>
      <c r="BB82" t="s">
        <v>167</v>
      </c>
      <c r="BC82" t="s">
        <v>167</v>
      </c>
      <c r="BD82" t="s">
        <v>207</v>
      </c>
      <c r="BE82" t="s">
        <v>213</v>
      </c>
      <c r="BF82" t="s">
        <v>214</v>
      </c>
      <c r="BG82" t="s">
        <v>225</v>
      </c>
      <c r="BH82" t="s">
        <v>217</v>
      </c>
      <c r="BI82" s="157">
        <v>238</v>
      </c>
      <c r="BJ82" s="157">
        <v>3.4510000000000001</v>
      </c>
      <c r="BK82" t="s">
        <v>219</v>
      </c>
      <c r="BL82" t="s">
        <v>220</v>
      </c>
      <c r="BM82" t="s">
        <v>221</v>
      </c>
      <c r="BN82" t="s">
        <v>261</v>
      </c>
      <c r="BO82">
        <v>2</v>
      </c>
      <c r="BP82" s="140">
        <v>0.10386956338466824</v>
      </c>
      <c r="BQ82" s="139">
        <v>12.024809980019601</v>
      </c>
      <c r="BR82" t="s">
        <v>228</v>
      </c>
      <c r="BS82">
        <v>0.23392245348705201</v>
      </c>
      <c r="BT82" s="149">
        <v>1.02</v>
      </c>
      <c r="BU82" s="149" t="s">
        <v>275</v>
      </c>
      <c r="BV82" s="149">
        <v>0.5</v>
      </c>
      <c r="BW82" s="149">
        <v>-2.4900000000000002</v>
      </c>
      <c r="BX82" s="149" t="s">
        <v>276</v>
      </c>
      <c r="BY82" s="149">
        <v>9.01</v>
      </c>
      <c r="BZ82" s="149" t="s">
        <v>277</v>
      </c>
      <c r="CA82" s="149" t="s">
        <v>278</v>
      </c>
      <c r="CB82">
        <v>14.2162018241941</v>
      </c>
      <c r="CC82" t="s">
        <v>274</v>
      </c>
      <c r="CD82" s="165">
        <v>0.24111344321830064</v>
      </c>
      <c r="CE82" t="s">
        <v>326</v>
      </c>
      <c r="CF82" t="s">
        <v>327</v>
      </c>
      <c r="CG82">
        <v>25</v>
      </c>
      <c r="CH82" t="s">
        <v>280</v>
      </c>
      <c r="CI82" t="s">
        <v>280</v>
      </c>
      <c r="CJ82" s="139">
        <v>21.109669283472599</v>
      </c>
      <c r="CK82" t="s">
        <v>281</v>
      </c>
      <c r="CL82" s="140">
        <v>0.629201136861678</v>
      </c>
      <c r="CM82" s="140">
        <v>0.5827464102105</v>
      </c>
      <c r="CN82" t="s">
        <v>282</v>
      </c>
      <c r="CO82">
        <v>2.20758192588944</v>
      </c>
      <c r="CP82" t="s">
        <v>283</v>
      </c>
      <c r="CQ82">
        <v>6.6227457776683193E-2</v>
      </c>
      <c r="CR82">
        <v>6.6227457776683193E-2</v>
      </c>
      <c r="CS82" t="s">
        <v>284</v>
      </c>
      <c r="CT82" t="s">
        <v>167</v>
      </c>
      <c r="CU82" t="s">
        <v>285</v>
      </c>
      <c r="CV82" t="s">
        <v>286</v>
      </c>
      <c r="CW82" t="s">
        <v>280</v>
      </c>
      <c r="CX82" t="s">
        <v>280</v>
      </c>
      <c r="CY82" t="s">
        <v>287</v>
      </c>
      <c r="CZ82" t="s">
        <v>167</v>
      </c>
      <c r="DA82" t="s">
        <v>167</v>
      </c>
      <c r="DB82" t="s">
        <v>167</v>
      </c>
      <c r="DC82" t="s">
        <v>167</v>
      </c>
      <c r="DD82" t="s">
        <v>167</v>
      </c>
      <c r="DE82" t="s">
        <v>167</v>
      </c>
      <c r="DF82" t="s">
        <v>167</v>
      </c>
      <c r="DG82" s="166">
        <v>35</v>
      </c>
      <c r="DH82" t="s">
        <v>288</v>
      </c>
      <c r="DI82">
        <v>1</v>
      </c>
      <c r="DJ82" t="s">
        <v>289</v>
      </c>
      <c r="DK82">
        <v>17</v>
      </c>
      <c r="DL82" t="s">
        <v>290</v>
      </c>
      <c r="DM82" t="s">
        <v>290</v>
      </c>
      <c r="DN82" t="s">
        <v>291</v>
      </c>
      <c r="DO82">
        <v>38</v>
      </c>
      <c r="DP82" t="s">
        <v>290</v>
      </c>
      <c r="DQ82" t="s">
        <v>290</v>
      </c>
      <c r="DR82" t="s">
        <v>291</v>
      </c>
      <c r="DS82" t="s">
        <v>292</v>
      </c>
      <c r="DT82" t="s">
        <v>293</v>
      </c>
      <c r="DU82" t="s">
        <v>293</v>
      </c>
      <c r="DV82" t="s">
        <v>293</v>
      </c>
      <c r="DW82" s="138">
        <v>432.56244218316402</v>
      </c>
      <c r="DX82" t="s">
        <v>294</v>
      </c>
      <c r="DY82" s="138">
        <v>12.3589269195228</v>
      </c>
      <c r="DZ82" t="s">
        <v>295</v>
      </c>
      <c r="EA82">
        <v>38.75</v>
      </c>
      <c r="EB82" t="s">
        <v>296</v>
      </c>
      <c r="EC82">
        <v>0.15</v>
      </c>
      <c r="ED82" t="s">
        <v>328</v>
      </c>
      <c r="EE82" t="s">
        <v>329</v>
      </c>
      <c r="EF82" t="s">
        <v>297</v>
      </c>
      <c r="EG82">
        <v>1.0271999999999999</v>
      </c>
      <c r="EH82" t="s">
        <v>290</v>
      </c>
      <c r="EI82" t="s">
        <v>290</v>
      </c>
      <c r="EJ82" t="s">
        <v>298</v>
      </c>
      <c r="EK82" t="s">
        <v>290</v>
      </c>
      <c r="EL82" t="s">
        <v>290</v>
      </c>
      <c r="EM82" t="s">
        <v>299</v>
      </c>
      <c r="EN82" t="s">
        <v>300</v>
      </c>
      <c r="EO82" t="s">
        <v>329</v>
      </c>
      <c r="EP82" t="s">
        <v>329</v>
      </c>
      <c r="EQ82" t="s">
        <v>329</v>
      </c>
      <c r="ER82" t="s">
        <v>329</v>
      </c>
      <c r="ES82" t="s">
        <v>167</v>
      </c>
      <c r="ET82" t="s">
        <v>313</v>
      </c>
      <c r="EU82" t="s">
        <v>314</v>
      </c>
      <c r="EV82" t="s">
        <v>315</v>
      </c>
      <c r="EW82" t="s">
        <v>316</v>
      </c>
      <c r="EX82" t="s">
        <v>316</v>
      </c>
      <c r="EY82" t="s">
        <v>316</v>
      </c>
      <c r="EZ82" t="s">
        <v>316</v>
      </c>
      <c r="FA82">
        <v>4.5</v>
      </c>
      <c r="FB82" t="s">
        <v>296</v>
      </c>
      <c r="FC82">
        <v>0.75</v>
      </c>
      <c r="FD82">
        <v>0.75</v>
      </c>
      <c r="FE82">
        <v>7.7577610922335403</v>
      </c>
      <c r="FF82" s="164" t="s">
        <v>301</v>
      </c>
      <c r="FG82" s="154">
        <v>3.53460575953565E-2</v>
      </c>
      <c r="FH82" s="154">
        <v>3.53460575953565E-2</v>
      </c>
      <c r="FI82">
        <v>933.33987053284102</v>
      </c>
      <c r="FJ82" s="164">
        <v>0</v>
      </c>
      <c r="FK82" s="164" t="s">
        <v>302</v>
      </c>
      <c r="FL82">
        <v>933.33987053284102</v>
      </c>
      <c r="FM82" s="141">
        <v>262.94484328561896</v>
      </c>
      <c r="FN82" s="141">
        <v>227.87357346468002</v>
      </c>
      <c r="FO82" s="170" t="s">
        <v>303</v>
      </c>
      <c r="FP82" t="s">
        <v>317</v>
      </c>
      <c r="FQ82">
        <v>2467.0551225279096</v>
      </c>
      <c r="FR82">
        <v>517.23475147395004</v>
      </c>
      <c r="FS82">
        <v>450.63535625302967</v>
      </c>
      <c r="FT82">
        <v>2344.8469051910602</v>
      </c>
      <c r="FU82">
        <v>511.27385874182983</v>
      </c>
      <c r="FV82">
        <v>449.19990818853</v>
      </c>
      <c r="FW82" t="s">
        <v>305</v>
      </c>
      <c r="FX82" t="s">
        <v>305</v>
      </c>
      <c r="FY82" t="s">
        <v>305</v>
      </c>
      <c r="FZ82" t="s">
        <v>305</v>
      </c>
      <c r="GA82" t="s">
        <v>305</v>
      </c>
      <c r="GB82" t="s">
        <v>305</v>
      </c>
      <c r="GC82" t="s">
        <v>318</v>
      </c>
    </row>
    <row r="83" spans="1:185" ht="17">
      <c r="A83" s="149" t="s">
        <v>180</v>
      </c>
      <c r="B83" s="203" t="s">
        <v>181</v>
      </c>
      <c r="C83" s="149" t="s">
        <v>168</v>
      </c>
      <c r="D83" s="149" t="s">
        <v>182</v>
      </c>
      <c r="E83" s="149">
        <v>2020</v>
      </c>
      <c r="F83" s="149" t="s">
        <v>183</v>
      </c>
      <c r="G83" s="141">
        <v>39933.570861816406</v>
      </c>
      <c r="H83" s="149">
        <v>1</v>
      </c>
      <c r="I83" s="149">
        <v>1</v>
      </c>
      <c r="J83">
        <v>1094.6501865950399</v>
      </c>
      <c r="K83" s="204">
        <v>333.39485782448014</v>
      </c>
      <c r="L83" s="204">
        <v>250.4240142712149</v>
      </c>
      <c r="M83" s="163" t="b">
        <v>0</v>
      </c>
      <c r="N83" s="163">
        <v>1</v>
      </c>
      <c r="O83" t="s">
        <v>330</v>
      </c>
      <c r="P83" t="b">
        <v>0</v>
      </c>
      <c r="Q83" s="163" t="b">
        <v>1</v>
      </c>
      <c r="R83" s="212" t="s">
        <v>325</v>
      </c>
      <c r="S83" s="163" t="b">
        <v>1</v>
      </c>
      <c r="T83" s="163" t="b">
        <v>0</v>
      </c>
      <c r="U83" s="163" t="s">
        <v>167</v>
      </c>
      <c r="V83" s="163" t="s">
        <v>167</v>
      </c>
      <c r="W83" s="199" t="s">
        <v>167</v>
      </c>
      <c r="X83" s="199" t="s">
        <v>167</v>
      </c>
      <c r="Y83" s="192" t="s">
        <v>184</v>
      </c>
      <c r="Z83" s="149" t="s">
        <v>183</v>
      </c>
      <c r="AA83" s="149" t="s">
        <v>202</v>
      </c>
      <c r="AB83" s="149" t="s">
        <v>191</v>
      </c>
      <c r="AC83" s="149">
        <v>8</v>
      </c>
      <c r="AD83" s="149">
        <v>2</v>
      </c>
      <c r="AE83" s="149">
        <v>94</v>
      </c>
      <c r="AF83" s="149">
        <v>106</v>
      </c>
      <c r="AG83" s="149">
        <v>115.06</v>
      </c>
      <c r="AH83" s="149">
        <v>136.57</v>
      </c>
      <c r="AI83" s="149" t="s">
        <v>203</v>
      </c>
      <c r="AJ83" s="149" t="s">
        <v>204</v>
      </c>
      <c r="AK83" s="150">
        <v>-28.53295</v>
      </c>
      <c r="AL83" s="150">
        <v>2.7795670000000001</v>
      </c>
      <c r="AM83" s="150">
        <v>-38</v>
      </c>
      <c r="AN83" s="151" t="s">
        <v>167</v>
      </c>
      <c r="AO83" s="151">
        <v>-2717</v>
      </c>
      <c r="AP83" s="150">
        <v>-2000</v>
      </c>
      <c r="AQ83" s="149" t="s">
        <v>205</v>
      </c>
      <c r="AR83" s="149" t="s">
        <v>190</v>
      </c>
      <c r="AS83" s="141">
        <v>39933.570861816406</v>
      </c>
      <c r="AT83" s="149" t="s">
        <v>206</v>
      </c>
      <c r="AU83" s="149">
        <v>1</v>
      </c>
      <c r="AV83" s="149">
        <v>1</v>
      </c>
      <c r="AW83" s="149" t="s">
        <v>207</v>
      </c>
      <c r="AX83" s="149" t="s">
        <v>208</v>
      </c>
      <c r="AY83" s="171" t="s">
        <v>209</v>
      </c>
      <c r="AZ83" s="149">
        <v>39.889766693115234</v>
      </c>
      <c r="BA83" s="149" t="s">
        <v>167</v>
      </c>
      <c r="BB83" s="149" t="s">
        <v>167</v>
      </c>
      <c r="BC83" s="149" t="s">
        <v>167</v>
      </c>
      <c r="BD83" s="149" t="s">
        <v>207</v>
      </c>
      <c r="BE83" s="149" t="s">
        <v>210</v>
      </c>
      <c r="BF83" s="149" t="s">
        <v>215</v>
      </c>
      <c r="BG83" s="149" t="s">
        <v>223</v>
      </c>
      <c r="BH83" s="149" t="s">
        <v>217</v>
      </c>
      <c r="BI83" s="157">
        <v>202</v>
      </c>
      <c r="BJ83" s="157">
        <v>2.4380000000000002</v>
      </c>
      <c r="BK83" s="149" t="s">
        <v>219</v>
      </c>
      <c r="BL83" s="149" t="s">
        <v>220</v>
      </c>
      <c r="BM83" s="149" t="s">
        <v>221</v>
      </c>
      <c r="BN83" s="149" t="s">
        <v>262</v>
      </c>
      <c r="BO83" s="149">
        <v>2</v>
      </c>
      <c r="BP83" s="160">
        <v>0.31860731751218196</v>
      </c>
      <c r="BQ83" s="161">
        <v>13.402425431610601</v>
      </c>
      <c r="BR83" s="149" t="s">
        <v>228</v>
      </c>
      <c r="BS83" s="149">
        <v>0.24955060747617999</v>
      </c>
      <c r="BT83">
        <v>0.95</v>
      </c>
      <c r="BU83" t="s">
        <v>275</v>
      </c>
      <c r="BV83">
        <v>0.17</v>
      </c>
      <c r="BW83">
        <v>-0.42</v>
      </c>
      <c r="BX83" t="s">
        <v>276</v>
      </c>
      <c r="BY83">
        <v>2.85</v>
      </c>
      <c r="BZ83" t="s">
        <v>279</v>
      </c>
      <c r="CA83" t="s">
        <v>278</v>
      </c>
      <c r="CB83">
        <v>14.599272964251499</v>
      </c>
      <c r="CC83" t="s">
        <v>274</v>
      </c>
      <c r="CD83" s="165">
        <v>0.26866881128080067</v>
      </c>
      <c r="CE83" t="s">
        <v>326</v>
      </c>
      <c r="CF83" t="s">
        <v>327</v>
      </c>
      <c r="CG83">
        <v>25</v>
      </c>
      <c r="CH83" t="s">
        <v>280</v>
      </c>
      <c r="CI83" t="s">
        <v>280</v>
      </c>
      <c r="CJ83" s="139">
        <v>26.410217030301101</v>
      </c>
      <c r="CK83" t="s">
        <v>281</v>
      </c>
      <c r="CL83" s="140">
        <v>0.61073938109034398</v>
      </c>
      <c r="CM83" s="140">
        <v>0.64259723143448999</v>
      </c>
      <c r="CN83" t="s">
        <v>282</v>
      </c>
      <c r="CO83">
        <v>2.98674474342143</v>
      </c>
      <c r="CP83" t="s">
        <v>283</v>
      </c>
      <c r="CQ83" s="149">
        <v>8.9602342302642898E-2</v>
      </c>
      <c r="CR83" s="149">
        <v>8.9602342302642898E-2</v>
      </c>
      <c r="CS83" t="s">
        <v>284</v>
      </c>
      <c r="CT83" t="s">
        <v>167</v>
      </c>
      <c r="CU83" t="s">
        <v>285</v>
      </c>
      <c r="CV83" t="s">
        <v>286</v>
      </c>
      <c r="CW83" t="s">
        <v>280</v>
      </c>
      <c r="CX83" t="s">
        <v>280</v>
      </c>
      <c r="CY83" t="s">
        <v>287</v>
      </c>
      <c r="CZ83" t="s">
        <v>167</v>
      </c>
      <c r="DA83" t="s">
        <v>167</v>
      </c>
      <c r="DB83" t="s">
        <v>167</v>
      </c>
      <c r="DC83" t="s">
        <v>167</v>
      </c>
      <c r="DD83" t="s">
        <v>167</v>
      </c>
      <c r="DE83" t="s">
        <v>167</v>
      </c>
      <c r="DF83" t="s">
        <v>167</v>
      </c>
      <c r="DG83" s="166">
        <v>35</v>
      </c>
      <c r="DH83" t="s">
        <v>288</v>
      </c>
      <c r="DI83">
        <v>1</v>
      </c>
      <c r="DJ83" t="s">
        <v>289</v>
      </c>
      <c r="DK83">
        <v>17</v>
      </c>
      <c r="DL83" t="s">
        <v>290</v>
      </c>
      <c r="DM83" t="s">
        <v>290</v>
      </c>
      <c r="DN83" t="s">
        <v>291</v>
      </c>
      <c r="DO83">
        <v>38</v>
      </c>
      <c r="DP83" t="s">
        <v>290</v>
      </c>
      <c r="DQ83" t="s">
        <v>290</v>
      </c>
      <c r="DR83" t="s">
        <v>291</v>
      </c>
      <c r="DS83" t="s">
        <v>292</v>
      </c>
      <c r="DT83" t="s">
        <v>293</v>
      </c>
      <c r="DU83" t="s">
        <v>293</v>
      </c>
      <c r="DV83" t="s">
        <v>293</v>
      </c>
      <c r="DW83" s="138">
        <v>432.56244218316402</v>
      </c>
      <c r="DX83" t="s">
        <v>294</v>
      </c>
      <c r="DY83" s="138">
        <v>12.358926919523</v>
      </c>
      <c r="DZ83" t="s">
        <v>295</v>
      </c>
      <c r="EA83">
        <v>38.75</v>
      </c>
      <c r="EB83" t="s">
        <v>296</v>
      </c>
      <c r="EC83">
        <v>0.15</v>
      </c>
      <c r="ED83" t="s">
        <v>328</v>
      </c>
      <c r="EE83" t="s">
        <v>329</v>
      </c>
      <c r="EF83" t="s">
        <v>297</v>
      </c>
      <c r="EG83">
        <v>1.0271999999999999</v>
      </c>
      <c r="EH83" t="s">
        <v>290</v>
      </c>
      <c r="EI83" t="s">
        <v>290</v>
      </c>
      <c r="EJ83" t="s">
        <v>298</v>
      </c>
      <c r="EK83" t="s">
        <v>290</v>
      </c>
      <c r="EL83" t="s">
        <v>290</v>
      </c>
      <c r="EM83" t="s">
        <v>299</v>
      </c>
      <c r="EN83" t="s">
        <v>300</v>
      </c>
      <c r="EO83" t="s">
        <v>329</v>
      </c>
      <c r="EP83" t="s">
        <v>329</v>
      </c>
      <c r="EQ83" t="s">
        <v>329</v>
      </c>
      <c r="ER83" t="s">
        <v>329</v>
      </c>
      <c r="ES83" t="s">
        <v>167</v>
      </c>
      <c r="ET83" t="s">
        <v>313</v>
      </c>
      <c r="EU83" t="s">
        <v>314</v>
      </c>
      <c r="EV83" t="s">
        <v>315</v>
      </c>
      <c r="EW83" t="s">
        <v>316</v>
      </c>
      <c r="EX83" t="s">
        <v>316</v>
      </c>
      <c r="EY83" t="s">
        <v>316</v>
      </c>
      <c r="EZ83" t="s">
        <v>316</v>
      </c>
      <c r="FA83">
        <v>6.25</v>
      </c>
      <c r="FB83" t="s">
        <v>296</v>
      </c>
      <c r="FC83">
        <v>1</v>
      </c>
      <c r="FD83">
        <v>1</v>
      </c>
      <c r="FE83">
        <v>7.7548745702156401</v>
      </c>
      <c r="FF83" s="164" t="s">
        <v>301</v>
      </c>
      <c r="FG83" s="169">
        <v>3.39983567727557E-2</v>
      </c>
      <c r="FH83" s="169">
        <v>3.39983567727557E-2</v>
      </c>
      <c r="FI83">
        <v>1094.6501865950399</v>
      </c>
      <c r="FJ83" s="164">
        <v>0</v>
      </c>
      <c r="FK83" s="164" t="s">
        <v>302</v>
      </c>
      <c r="FL83">
        <v>1094.6501865950399</v>
      </c>
      <c r="FM83" s="141">
        <v>333.39485782448014</v>
      </c>
      <c r="FN83" s="141">
        <v>250.4240142712149</v>
      </c>
      <c r="FO83" s="170" t="s">
        <v>303</v>
      </c>
      <c r="FP83" t="s">
        <v>317</v>
      </c>
      <c r="FQ83">
        <v>2861.8161704180302</v>
      </c>
      <c r="FR83">
        <v>574.7467135622702</v>
      </c>
      <c r="FS83">
        <v>497.27489845105987</v>
      </c>
      <c r="FT83">
        <v>2693.5082943706702</v>
      </c>
      <c r="FU83">
        <v>567.56498036935989</v>
      </c>
      <c r="FV83">
        <v>494.37316259236991</v>
      </c>
      <c r="FW83" t="s">
        <v>305</v>
      </c>
      <c r="FX83" t="s">
        <v>305</v>
      </c>
      <c r="FY83" t="s">
        <v>305</v>
      </c>
      <c r="FZ83" t="s">
        <v>305</v>
      </c>
      <c r="GA83" t="s">
        <v>305</v>
      </c>
      <c r="GB83" t="s">
        <v>305</v>
      </c>
      <c r="GC83" t="s">
        <v>318</v>
      </c>
    </row>
    <row r="84" spans="1:185" ht="17">
      <c r="A84" t="s">
        <v>180</v>
      </c>
      <c r="B84" s="202" t="s">
        <v>181</v>
      </c>
      <c r="C84" t="s">
        <v>168</v>
      </c>
      <c r="D84" t="s">
        <v>182</v>
      </c>
      <c r="E84">
        <v>2020</v>
      </c>
      <c r="F84" t="s">
        <v>183</v>
      </c>
      <c r="G84" s="141">
        <v>39989.673614501953</v>
      </c>
      <c r="H84">
        <v>1</v>
      </c>
      <c r="I84">
        <v>1</v>
      </c>
      <c r="J84">
        <v>982.08620040980099</v>
      </c>
      <c r="K84" s="204">
        <v>299.59023758088892</v>
      </c>
      <c r="L84" s="204">
        <v>220.09242611663501</v>
      </c>
      <c r="M84" s="163" t="b">
        <v>0</v>
      </c>
      <c r="N84" s="163">
        <v>1</v>
      </c>
      <c r="O84" t="s">
        <v>330</v>
      </c>
      <c r="P84" t="b">
        <v>0</v>
      </c>
      <c r="Q84" s="163" t="b">
        <v>1</v>
      </c>
      <c r="R84" s="212" t="s">
        <v>325</v>
      </c>
      <c r="S84" s="163" t="b">
        <v>1</v>
      </c>
      <c r="T84" s="163" t="b">
        <v>0</v>
      </c>
      <c r="U84" s="163" t="s">
        <v>167</v>
      </c>
      <c r="V84" s="163" t="s">
        <v>167</v>
      </c>
      <c r="W84" s="199" t="s">
        <v>167</v>
      </c>
      <c r="X84" s="199" t="s">
        <v>167</v>
      </c>
      <c r="Y84" s="143" t="s">
        <v>184</v>
      </c>
      <c r="Z84" t="s">
        <v>183</v>
      </c>
      <c r="AA84" t="s">
        <v>202</v>
      </c>
      <c r="AB84" t="s">
        <v>191</v>
      </c>
      <c r="AC84">
        <v>8</v>
      </c>
      <c r="AD84">
        <v>3</v>
      </c>
      <c r="AE84">
        <v>100</v>
      </c>
      <c r="AF84">
        <v>102</v>
      </c>
      <c r="AG84">
        <v>116.52</v>
      </c>
      <c r="AH84">
        <v>138.07999999999998</v>
      </c>
      <c r="AI84" t="s">
        <v>203</v>
      </c>
      <c r="AJ84" t="s">
        <v>204</v>
      </c>
      <c r="AK84" s="147">
        <v>-28.53295</v>
      </c>
      <c r="AL84" s="147">
        <v>2.7795670000000001</v>
      </c>
      <c r="AM84" s="147">
        <v>-38</v>
      </c>
      <c r="AN84" s="148" t="s">
        <v>167</v>
      </c>
      <c r="AO84" s="148">
        <v>-2717</v>
      </c>
      <c r="AP84" s="147">
        <v>-2000</v>
      </c>
      <c r="AQ84" t="s">
        <v>205</v>
      </c>
      <c r="AR84" t="s">
        <v>190</v>
      </c>
      <c r="AS84" s="141">
        <v>39989.673614501953</v>
      </c>
      <c r="AT84" t="s">
        <v>206</v>
      </c>
      <c r="AU84">
        <v>1</v>
      </c>
      <c r="AV84">
        <v>1</v>
      </c>
      <c r="AW84" t="s">
        <v>207</v>
      </c>
      <c r="AX84" t="s">
        <v>208</v>
      </c>
      <c r="AY84" s="138" t="s">
        <v>209</v>
      </c>
      <c r="AZ84">
        <v>40.012306213378906</v>
      </c>
      <c r="BA84" t="s">
        <v>167</v>
      </c>
      <c r="BB84" t="s">
        <v>167</v>
      </c>
      <c r="BC84" t="s">
        <v>167</v>
      </c>
      <c r="BD84" t="s">
        <v>207</v>
      </c>
      <c r="BE84" t="s">
        <v>210</v>
      </c>
      <c r="BF84" t="s">
        <v>215</v>
      </c>
      <c r="BG84" t="s">
        <v>223</v>
      </c>
      <c r="BH84" t="s">
        <v>217</v>
      </c>
      <c r="BI84" s="157">
        <v>206</v>
      </c>
      <c r="BJ84" s="157">
        <v>2.798</v>
      </c>
      <c r="BK84" t="s">
        <v>219</v>
      </c>
      <c r="BL84" t="s">
        <v>220</v>
      </c>
      <c r="BM84" t="s">
        <v>221</v>
      </c>
      <c r="BN84" t="s">
        <v>263</v>
      </c>
      <c r="BO84">
        <v>2</v>
      </c>
      <c r="BP84" s="140">
        <v>0.29420083239582689</v>
      </c>
      <c r="BQ84" s="139">
        <v>13.583034491087901</v>
      </c>
      <c r="BR84" t="s">
        <v>228</v>
      </c>
      <c r="BS84">
        <v>0.24729519744172901</v>
      </c>
      <c r="BT84">
        <v>0.95</v>
      </c>
      <c r="BU84" t="s">
        <v>275</v>
      </c>
      <c r="BV84">
        <v>0.17</v>
      </c>
      <c r="BW84">
        <v>-0.42</v>
      </c>
      <c r="BX84" t="s">
        <v>276</v>
      </c>
      <c r="BY84">
        <v>2.85</v>
      </c>
      <c r="BZ84" t="s">
        <v>279</v>
      </c>
      <c r="CA84" t="s">
        <v>278</v>
      </c>
      <c r="CB84">
        <v>14.7903180960003</v>
      </c>
      <c r="CC84" t="s">
        <v>274</v>
      </c>
      <c r="CD84" s="165">
        <v>0.24870309264040014</v>
      </c>
      <c r="CE84" t="s">
        <v>326</v>
      </c>
      <c r="CF84" t="s">
        <v>327</v>
      </c>
      <c r="CG84">
        <v>25</v>
      </c>
      <c r="CH84" t="s">
        <v>280</v>
      </c>
      <c r="CI84" t="s">
        <v>280</v>
      </c>
      <c r="CJ84" s="139">
        <v>27.363487498686698</v>
      </c>
      <c r="CK84" t="s">
        <v>281</v>
      </c>
      <c r="CL84" s="140">
        <v>0.56503148736489806</v>
      </c>
      <c r="CM84" s="140">
        <v>0.56718178856322499</v>
      </c>
      <c r="CN84" t="s">
        <v>282</v>
      </c>
      <c r="CO84">
        <v>3.1212009256370798</v>
      </c>
      <c r="CP84" t="s">
        <v>283</v>
      </c>
      <c r="CQ84">
        <v>9.3636027769112395E-2</v>
      </c>
      <c r="CR84">
        <v>9.3636027769112395E-2</v>
      </c>
      <c r="CS84" t="s">
        <v>284</v>
      </c>
      <c r="CT84" t="s">
        <v>167</v>
      </c>
      <c r="CU84" t="s">
        <v>285</v>
      </c>
      <c r="CV84" t="s">
        <v>286</v>
      </c>
      <c r="CW84" t="s">
        <v>280</v>
      </c>
      <c r="CX84" t="s">
        <v>280</v>
      </c>
      <c r="CY84" t="s">
        <v>287</v>
      </c>
      <c r="CZ84" t="s">
        <v>167</v>
      </c>
      <c r="DA84" t="s">
        <v>167</v>
      </c>
      <c r="DB84" t="s">
        <v>167</v>
      </c>
      <c r="DC84" t="s">
        <v>167</v>
      </c>
      <c r="DD84" t="s">
        <v>167</v>
      </c>
      <c r="DE84" t="s">
        <v>167</v>
      </c>
      <c r="DF84" t="s">
        <v>167</v>
      </c>
      <c r="DG84" s="166">
        <v>35</v>
      </c>
      <c r="DH84" t="s">
        <v>288</v>
      </c>
      <c r="DI84">
        <v>1</v>
      </c>
      <c r="DJ84" t="s">
        <v>289</v>
      </c>
      <c r="DK84">
        <v>17</v>
      </c>
      <c r="DL84" t="s">
        <v>290</v>
      </c>
      <c r="DM84" t="s">
        <v>290</v>
      </c>
      <c r="DN84" t="s">
        <v>291</v>
      </c>
      <c r="DO84">
        <v>38</v>
      </c>
      <c r="DP84" t="s">
        <v>290</v>
      </c>
      <c r="DQ84" t="s">
        <v>290</v>
      </c>
      <c r="DR84" t="s">
        <v>291</v>
      </c>
      <c r="DS84" t="s">
        <v>292</v>
      </c>
      <c r="DT84" t="s">
        <v>293</v>
      </c>
      <c r="DU84" t="s">
        <v>293</v>
      </c>
      <c r="DV84" t="s">
        <v>293</v>
      </c>
      <c r="DW84" s="138">
        <v>432.56244218316402</v>
      </c>
      <c r="DX84" t="s">
        <v>294</v>
      </c>
      <c r="DY84" s="138">
        <v>12.3589269195231</v>
      </c>
      <c r="DZ84" t="s">
        <v>295</v>
      </c>
      <c r="EA84">
        <v>38.75</v>
      </c>
      <c r="EB84" t="s">
        <v>296</v>
      </c>
      <c r="EC84">
        <v>0.15</v>
      </c>
      <c r="ED84" t="s">
        <v>328</v>
      </c>
      <c r="EE84" t="s">
        <v>329</v>
      </c>
      <c r="EF84" t="s">
        <v>297</v>
      </c>
      <c r="EG84">
        <v>1.0271999999999999</v>
      </c>
      <c r="EH84" t="s">
        <v>290</v>
      </c>
      <c r="EI84" t="s">
        <v>290</v>
      </c>
      <c r="EJ84" t="s">
        <v>298</v>
      </c>
      <c r="EK84" t="s">
        <v>290</v>
      </c>
      <c r="EL84" t="s">
        <v>290</v>
      </c>
      <c r="EM84" t="s">
        <v>299</v>
      </c>
      <c r="EN84" t="s">
        <v>300</v>
      </c>
      <c r="EO84" t="s">
        <v>329</v>
      </c>
      <c r="EP84" t="s">
        <v>329</v>
      </c>
      <c r="EQ84" t="s">
        <v>329</v>
      </c>
      <c r="ER84" t="s">
        <v>329</v>
      </c>
      <c r="ES84" t="s">
        <v>167</v>
      </c>
      <c r="ET84" t="s">
        <v>313</v>
      </c>
      <c r="EU84" t="s">
        <v>314</v>
      </c>
      <c r="EV84" t="s">
        <v>315</v>
      </c>
      <c r="EW84" t="s">
        <v>316</v>
      </c>
      <c r="EX84" t="s">
        <v>316</v>
      </c>
      <c r="EY84" t="s">
        <v>316</v>
      </c>
      <c r="EZ84" t="s">
        <v>316</v>
      </c>
      <c r="FA84">
        <v>6.25</v>
      </c>
      <c r="FB84" t="s">
        <v>296</v>
      </c>
      <c r="FC84">
        <v>1</v>
      </c>
      <c r="FD84">
        <v>1</v>
      </c>
      <c r="FE84">
        <v>7.7735968799683297</v>
      </c>
      <c r="FF84" s="164" t="s">
        <v>301</v>
      </c>
      <c r="FG84" s="154">
        <v>3.0869326089696902E-2</v>
      </c>
      <c r="FH84" s="154">
        <v>3.0869326089696902E-2</v>
      </c>
      <c r="FI84">
        <v>982.08620040980099</v>
      </c>
      <c r="FJ84" s="164">
        <v>0</v>
      </c>
      <c r="FK84" s="164" t="s">
        <v>302</v>
      </c>
      <c r="FL84">
        <v>982.08620040980099</v>
      </c>
      <c r="FM84" s="141">
        <v>299.59023758088892</v>
      </c>
      <c r="FN84" s="141">
        <v>220.09242611663501</v>
      </c>
      <c r="FO84" s="170" t="s">
        <v>303</v>
      </c>
      <c r="FP84" t="s">
        <v>317</v>
      </c>
      <c r="FQ84">
        <v>2676.1113766573599</v>
      </c>
      <c r="FR84">
        <v>522.59648009406021</v>
      </c>
      <c r="FS84">
        <v>451.34962627096974</v>
      </c>
      <c r="FT84">
        <v>2495.0931974283899</v>
      </c>
      <c r="FU84">
        <v>516.1927156759499</v>
      </c>
      <c r="FV84">
        <v>434.68464668918989</v>
      </c>
      <c r="FW84" t="s">
        <v>305</v>
      </c>
      <c r="FX84" t="s">
        <v>305</v>
      </c>
      <c r="FY84" t="s">
        <v>305</v>
      </c>
      <c r="FZ84" t="s">
        <v>305</v>
      </c>
      <c r="GA84" t="s">
        <v>305</v>
      </c>
      <c r="GB84" t="s">
        <v>305</v>
      </c>
      <c r="GC84" t="s">
        <v>318</v>
      </c>
    </row>
    <row r="85" spans="1:185" ht="17">
      <c r="A85" t="s">
        <v>180</v>
      </c>
      <c r="B85" s="202" t="s">
        <v>181</v>
      </c>
      <c r="C85" t="s">
        <v>168</v>
      </c>
      <c r="D85" t="s">
        <v>182</v>
      </c>
      <c r="E85">
        <v>2020</v>
      </c>
      <c r="F85" t="s">
        <v>183</v>
      </c>
      <c r="G85" s="141">
        <v>40074.131011962891</v>
      </c>
      <c r="H85">
        <v>1</v>
      </c>
      <c r="I85">
        <v>1</v>
      </c>
      <c r="J85">
        <v>1056.5500037331101</v>
      </c>
      <c r="K85" s="204">
        <v>305.50845040650984</v>
      </c>
      <c r="L85" s="204">
        <v>240.68800941948905</v>
      </c>
      <c r="M85" s="163" t="b">
        <v>0</v>
      </c>
      <c r="N85" s="163">
        <v>1</v>
      </c>
      <c r="O85" t="s">
        <v>330</v>
      </c>
      <c r="P85" t="b">
        <v>0</v>
      </c>
      <c r="Q85" s="163" t="b">
        <v>1</v>
      </c>
      <c r="R85" s="212" t="s">
        <v>325</v>
      </c>
      <c r="S85" s="163" t="b">
        <v>1</v>
      </c>
      <c r="T85" s="163" t="b">
        <v>0</v>
      </c>
      <c r="U85" s="163" t="s">
        <v>167</v>
      </c>
      <c r="V85" s="163" t="s">
        <v>167</v>
      </c>
      <c r="W85" s="199" t="s">
        <v>167</v>
      </c>
      <c r="X85" s="199" t="s">
        <v>167</v>
      </c>
      <c r="Y85" s="143" t="s">
        <v>184</v>
      </c>
      <c r="Z85" t="s">
        <v>183</v>
      </c>
      <c r="AA85" t="s">
        <v>202</v>
      </c>
      <c r="AB85" t="s">
        <v>191</v>
      </c>
      <c r="AC85">
        <v>8</v>
      </c>
      <c r="AD85">
        <v>5</v>
      </c>
      <c r="AE85">
        <v>36</v>
      </c>
      <c r="AF85">
        <v>41</v>
      </c>
      <c r="AG85">
        <v>118.91</v>
      </c>
      <c r="AH85">
        <v>140.45499999999998</v>
      </c>
      <c r="AI85" t="s">
        <v>203</v>
      </c>
      <c r="AJ85" t="s">
        <v>204</v>
      </c>
      <c r="AK85" s="147">
        <v>-28.53295</v>
      </c>
      <c r="AL85" s="147">
        <v>2.7795670000000001</v>
      </c>
      <c r="AM85" s="147">
        <v>-38</v>
      </c>
      <c r="AN85" s="148" t="s">
        <v>167</v>
      </c>
      <c r="AO85" s="148">
        <v>-2717</v>
      </c>
      <c r="AP85" s="147">
        <v>-2000</v>
      </c>
      <c r="AQ85" t="s">
        <v>205</v>
      </c>
      <c r="AR85" t="s">
        <v>190</v>
      </c>
      <c r="AS85" s="141">
        <v>40074.131011962891</v>
      </c>
      <c r="AT85" t="s">
        <v>206</v>
      </c>
      <c r="AU85">
        <v>1</v>
      </c>
      <c r="AV85">
        <v>1</v>
      </c>
      <c r="AW85" t="s">
        <v>207</v>
      </c>
      <c r="AX85" t="s">
        <v>208</v>
      </c>
      <c r="AY85" s="138" t="s">
        <v>209</v>
      </c>
      <c r="AZ85">
        <v>40.204547882080078</v>
      </c>
      <c r="BA85" t="s">
        <v>167</v>
      </c>
      <c r="BB85" t="s">
        <v>167</v>
      </c>
      <c r="BC85" t="s">
        <v>167</v>
      </c>
      <c r="BD85" t="s">
        <v>207</v>
      </c>
      <c r="BE85" t="s">
        <v>210</v>
      </c>
      <c r="BF85" t="s">
        <v>215</v>
      </c>
      <c r="BG85" t="s">
        <v>223</v>
      </c>
      <c r="BH85" t="s">
        <v>217</v>
      </c>
      <c r="BI85" s="157">
        <v>218</v>
      </c>
      <c r="BJ85" s="157">
        <v>3.2490000000000001</v>
      </c>
      <c r="BK85" t="s">
        <v>219</v>
      </c>
      <c r="BL85" t="s">
        <v>220</v>
      </c>
      <c r="BM85" t="s">
        <v>221</v>
      </c>
      <c r="BN85" t="s">
        <v>264</v>
      </c>
      <c r="BO85">
        <v>2</v>
      </c>
      <c r="BP85" s="140">
        <v>0.13806949064024643</v>
      </c>
      <c r="BQ85" s="139">
        <v>13.4818938664553</v>
      </c>
      <c r="BR85" t="s">
        <v>228</v>
      </c>
      <c r="BS85">
        <v>0.24031225151899299</v>
      </c>
      <c r="BT85">
        <v>0.95</v>
      </c>
      <c r="BU85" t="s">
        <v>275</v>
      </c>
      <c r="BV85">
        <v>0.17</v>
      </c>
      <c r="BW85">
        <v>-0.42</v>
      </c>
      <c r="BX85" t="s">
        <v>276</v>
      </c>
      <c r="BY85">
        <v>2.85</v>
      </c>
      <c r="BZ85" t="s">
        <v>279</v>
      </c>
      <c r="CA85" t="s">
        <v>278</v>
      </c>
      <c r="CB85">
        <v>14.6814051822543</v>
      </c>
      <c r="CC85" t="s">
        <v>274</v>
      </c>
      <c r="CD85" s="165">
        <v>0.25993272837849979</v>
      </c>
      <c r="CE85" t="s">
        <v>326</v>
      </c>
      <c r="CF85" t="s">
        <v>327</v>
      </c>
      <c r="CG85">
        <v>25</v>
      </c>
      <c r="CH85" t="s">
        <v>280</v>
      </c>
      <c r="CI85" t="s">
        <v>280</v>
      </c>
      <c r="CJ85" s="139">
        <v>27.343046558283799</v>
      </c>
      <c r="CK85" t="s">
        <v>281</v>
      </c>
      <c r="CL85" s="140">
        <v>0.65382932885680101</v>
      </c>
      <c r="CM85" s="140">
        <v>0.62916458049959101</v>
      </c>
      <c r="CN85" t="s">
        <v>282</v>
      </c>
      <c r="CO85">
        <v>3.1407007473400199</v>
      </c>
      <c r="CP85" t="s">
        <v>283</v>
      </c>
      <c r="CQ85">
        <v>9.4221022420200598E-2</v>
      </c>
      <c r="CR85">
        <v>9.4221022420200598E-2</v>
      </c>
      <c r="CS85" t="s">
        <v>284</v>
      </c>
      <c r="CT85" t="s">
        <v>167</v>
      </c>
      <c r="CU85" t="s">
        <v>285</v>
      </c>
      <c r="CV85" t="s">
        <v>286</v>
      </c>
      <c r="CW85" t="s">
        <v>280</v>
      </c>
      <c r="CX85" t="s">
        <v>280</v>
      </c>
      <c r="CY85" t="s">
        <v>287</v>
      </c>
      <c r="CZ85" t="s">
        <v>167</v>
      </c>
      <c r="DA85" t="s">
        <v>167</v>
      </c>
      <c r="DB85" t="s">
        <v>167</v>
      </c>
      <c r="DC85" t="s">
        <v>167</v>
      </c>
      <c r="DD85" t="s">
        <v>167</v>
      </c>
      <c r="DE85" t="s">
        <v>167</v>
      </c>
      <c r="DF85" t="s">
        <v>167</v>
      </c>
      <c r="DG85" s="166">
        <v>35</v>
      </c>
      <c r="DH85" t="s">
        <v>288</v>
      </c>
      <c r="DI85">
        <v>1</v>
      </c>
      <c r="DJ85" t="s">
        <v>289</v>
      </c>
      <c r="DK85">
        <v>17</v>
      </c>
      <c r="DL85" t="s">
        <v>290</v>
      </c>
      <c r="DM85" t="s">
        <v>290</v>
      </c>
      <c r="DN85" t="s">
        <v>291</v>
      </c>
      <c r="DO85">
        <v>38</v>
      </c>
      <c r="DP85" t="s">
        <v>290</v>
      </c>
      <c r="DQ85" t="s">
        <v>290</v>
      </c>
      <c r="DR85" t="s">
        <v>291</v>
      </c>
      <c r="DS85" t="s">
        <v>292</v>
      </c>
      <c r="DT85" t="s">
        <v>293</v>
      </c>
      <c r="DU85" t="s">
        <v>293</v>
      </c>
      <c r="DV85" t="s">
        <v>293</v>
      </c>
      <c r="DW85" s="138">
        <v>432.56244218316402</v>
      </c>
      <c r="DX85" t="s">
        <v>294</v>
      </c>
      <c r="DY85" s="138">
        <v>12.358926919523199</v>
      </c>
      <c r="DZ85" t="s">
        <v>295</v>
      </c>
      <c r="EA85">
        <v>38.75</v>
      </c>
      <c r="EB85" t="s">
        <v>296</v>
      </c>
      <c r="EC85">
        <v>0.15</v>
      </c>
      <c r="ED85" t="s">
        <v>328</v>
      </c>
      <c r="EE85" t="s">
        <v>329</v>
      </c>
      <c r="EF85" t="s">
        <v>297</v>
      </c>
      <c r="EG85">
        <v>1.0271999999999999</v>
      </c>
      <c r="EH85" t="s">
        <v>290</v>
      </c>
      <c r="EI85" t="s">
        <v>290</v>
      </c>
      <c r="EJ85" t="s">
        <v>298</v>
      </c>
      <c r="EK85" t="s">
        <v>290</v>
      </c>
      <c r="EL85" t="s">
        <v>290</v>
      </c>
      <c r="EM85" t="s">
        <v>299</v>
      </c>
      <c r="EN85" t="s">
        <v>300</v>
      </c>
      <c r="EO85" t="s">
        <v>329</v>
      </c>
      <c r="EP85" t="s">
        <v>329</v>
      </c>
      <c r="EQ85" t="s">
        <v>329</v>
      </c>
      <c r="ER85" t="s">
        <v>329</v>
      </c>
      <c r="ES85" t="s">
        <v>167</v>
      </c>
      <c r="ET85" t="s">
        <v>313</v>
      </c>
      <c r="EU85" t="s">
        <v>314</v>
      </c>
      <c r="EV85" t="s">
        <v>315</v>
      </c>
      <c r="EW85" t="s">
        <v>316</v>
      </c>
      <c r="EX85" t="s">
        <v>316</v>
      </c>
      <c r="EY85" t="s">
        <v>316</v>
      </c>
      <c r="EZ85" t="s">
        <v>316</v>
      </c>
      <c r="FA85">
        <v>6.25</v>
      </c>
      <c r="FB85" t="s">
        <v>296</v>
      </c>
      <c r="FC85">
        <v>1</v>
      </c>
      <c r="FD85">
        <v>1</v>
      </c>
      <c r="FE85">
        <v>7.7582303370975101</v>
      </c>
      <c r="FF85" s="164" t="s">
        <v>301</v>
      </c>
      <c r="FG85" s="154">
        <v>3.2422223991734E-2</v>
      </c>
      <c r="FH85" s="154">
        <v>3.2422223991734E-2</v>
      </c>
      <c r="FI85">
        <v>1056.5500037331101</v>
      </c>
      <c r="FJ85" s="164">
        <v>0</v>
      </c>
      <c r="FK85" s="164" t="s">
        <v>302</v>
      </c>
      <c r="FL85">
        <v>1056.5500037331101</v>
      </c>
      <c r="FM85" s="141">
        <v>305.50845040650984</v>
      </c>
      <c r="FN85" s="141">
        <v>240.68800941948905</v>
      </c>
      <c r="FO85" s="170" t="s">
        <v>303</v>
      </c>
      <c r="FP85" t="s">
        <v>317</v>
      </c>
      <c r="FQ85">
        <v>2746.7072500315498</v>
      </c>
      <c r="FR85">
        <v>547.4853014592303</v>
      </c>
      <c r="FS85">
        <v>463.58166662518977</v>
      </c>
      <c r="FT85">
        <v>2576.1443367356901</v>
      </c>
      <c r="FU85">
        <v>539.12546934603006</v>
      </c>
      <c r="FV85">
        <v>459.80031920873995</v>
      </c>
      <c r="FW85" t="s">
        <v>305</v>
      </c>
      <c r="FX85" t="s">
        <v>305</v>
      </c>
      <c r="FY85" t="s">
        <v>305</v>
      </c>
      <c r="FZ85" t="s">
        <v>305</v>
      </c>
      <c r="GA85" t="s">
        <v>305</v>
      </c>
      <c r="GB85" t="s">
        <v>305</v>
      </c>
      <c r="GC85" t="s">
        <v>318</v>
      </c>
    </row>
    <row r="86" spans="1:185" ht="17">
      <c r="A86" t="s">
        <v>180</v>
      </c>
      <c r="B86" s="202" t="s">
        <v>181</v>
      </c>
      <c r="C86" t="s">
        <v>168</v>
      </c>
      <c r="D86" t="s">
        <v>182</v>
      </c>
      <c r="E86">
        <v>2020</v>
      </c>
      <c r="F86" t="s">
        <v>183</v>
      </c>
      <c r="G86" s="141">
        <v>40115.573883056641</v>
      </c>
      <c r="H86">
        <v>1</v>
      </c>
      <c r="I86">
        <v>1</v>
      </c>
      <c r="J86">
        <v>1295.88485100298</v>
      </c>
      <c r="K86" s="204">
        <v>443.96389615418002</v>
      </c>
      <c r="L86" s="204">
        <v>299.10934629963401</v>
      </c>
      <c r="M86" s="163" t="b">
        <v>0</v>
      </c>
      <c r="N86" s="163">
        <v>1</v>
      </c>
      <c r="O86" t="s">
        <v>330</v>
      </c>
      <c r="P86" t="b">
        <v>0</v>
      </c>
      <c r="Q86" s="163" t="b">
        <v>1</v>
      </c>
      <c r="R86" s="212" t="s">
        <v>325</v>
      </c>
      <c r="S86" s="163" t="b">
        <v>1</v>
      </c>
      <c r="T86" s="163" t="b">
        <v>0</v>
      </c>
      <c r="U86" s="163" t="s">
        <v>167</v>
      </c>
      <c r="V86" s="163" t="s">
        <v>167</v>
      </c>
      <c r="W86" s="199" t="s">
        <v>167</v>
      </c>
      <c r="X86" s="199" t="s">
        <v>167</v>
      </c>
      <c r="Y86" s="143" t="s">
        <v>184</v>
      </c>
      <c r="Z86" t="s">
        <v>183</v>
      </c>
      <c r="AA86" t="s">
        <v>202</v>
      </c>
      <c r="AB86" t="s">
        <v>191</v>
      </c>
      <c r="AC86">
        <v>8</v>
      </c>
      <c r="AD86">
        <v>5</v>
      </c>
      <c r="AE86">
        <v>120</v>
      </c>
      <c r="AF86">
        <v>121</v>
      </c>
      <c r="AG86">
        <v>119.71</v>
      </c>
      <c r="AH86">
        <v>141.27500000000001</v>
      </c>
      <c r="AI86" t="s">
        <v>203</v>
      </c>
      <c r="AJ86" t="s">
        <v>204</v>
      </c>
      <c r="AK86" s="147">
        <v>-28.53295</v>
      </c>
      <c r="AL86" s="147">
        <v>2.7795670000000001</v>
      </c>
      <c r="AM86" s="147">
        <v>-38</v>
      </c>
      <c r="AN86" s="148" t="s">
        <v>167</v>
      </c>
      <c r="AO86" s="148">
        <v>-2717</v>
      </c>
      <c r="AP86" s="147">
        <v>-2000</v>
      </c>
      <c r="AQ86" t="s">
        <v>205</v>
      </c>
      <c r="AR86" t="s">
        <v>190</v>
      </c>
      <c r="AS86" s="141">
        <v>40115.573883056641</v>
      </c>
      <c r="AT86" t="s">
        <v>206</v>
      </c>
      <c r="AU86">
        <v>1</v>
      </c>
      <c r="AV86">
        <v>1</v>
      </c>
      <c r="AW86" t="s">
        <v>207</v>
      </c>
      <c r="AX86" t="s">
        <v>208</v>
      </c>
      <c r="AY86" s="138" t="s">
        <v>209</v>
      </c>
      <c r="AZ86">
        <v>40.271011352539062</v>
      </c>
      <c r="BA86" t="s">
        <v>167</v>
      </c>
      <c r="BB86" t="s">
        <v>167</v>
      </c>
      <c r="BC86" t="s">
        <v>167</v>
      </c>
      <c r="BD86" t="s">
        <v>207</v>
      </c>
      <c r="BE86" t="s">
        <v>210</v>
      </c>
      <c r="BF86" t="s">
        <v>215</v>
      </c>
      <c r="BG86" t="s">
        <v>223</v>
      </c>
      <c r="BH86" t="s">
        <v>217</v>
      </c>
      <c r="BI86" s="157">
        <v>280</v>
      </c>
      <c r="BJ86" s="157">
        <v>4.2670000000000003</v>
      </c>
      <c r="BK86" t="s">
        <v>219</v>
      </c>
      <c r="BL86" t="s">
        <v>220</v>
      </c>
      <c r="BM86" t="s">
        <v>221</v>
      </c>
      <c r="BN86" t="s">
        <v>265</v>
      </c>
      <c r="BO86">
        <v>2</v>
      </c>
      <c r="BP86" s="140">
        <v>3.4048880801680781E-2</v>
      </c>
      <c r="BQ86" s="139">
        <v>13.171109563385199</v>
      </c>
      <c r="BR86" t="s">
        <v>228</v>
      </c>
      <c r="BS86">
        <v>0.233724194447264</v>
      </c>
      <c r="BT86">
        <v>0.95</v>
      </c>
      <c r="BU86" t="s">
        <v>275</v>
      </c>
      <c r="BV86">
        <v>0.17</v>
      </c>
      <c r="BW86">
        <v>-0.42</v>
      </c>
      <c r="BX86" t="s">
        <v>276</v>
      </c>
      <c r="BY86">
        <v>2.85</v>
      </c>
      <c r="BZ86" t="s">
        <v>279</v>
      </c>
      <c r="CA86" t="s">
        <v>278</v>
      </c>
      <c r="CB86">
        <v>14.3590708825843</v>
      </c>
      <c r="CC86" t="s">
        <v>274</v>
      </c>
      <c r="CD86" s="165">
        <v>0.2492555786870998</v>
      </c>
      <c r="CE86" t="s">
        <v>326</v>
      </c>
      <c r="CF86" t="s">
        <v>327</v>
      </c>
      <c r="CG86">
        <v>25</v>
      </c>
      <c r="CH86" t="s">
        <v>280</v>
      </c>
      <c r="CI86" t="s">
        <v>280</v>
      </c>
      <c r="CJ86" s="139">
        <v>26.915963212072199</v>
      </c>
      <c r="CK86" t="s">
        <v>281</v>
      </c>
      <c r="CL86" s="140">
        <v>0.65330575154406001</v>
      </c>
      <c r="CM86" s="140">
        <v>0.57865010941821604</v>
      </c>
      <c r="CN86" t="s">
        <v>282</v>
      </c>
      <c r="CO86">
        <v>3.1474811629363399</v>
      </c>
      <c r="CP86" t="s">
        <v>283</v>
      </c>
      <c r="CQ86">
        <v>9.44244348880902E-2</v>
      </c>
      <c r="CR86">
        <v>9.44244348880902E-2</v>
      </c>
      <c r="CS86" t="s">
        <v>284</v>
      </c>
      <c r="CT86" t="s">
        <v>167</v>
      </c>
      <c r="CU86" t="s">
        <v>285</v>
      </c>
      <c r="CV86" t="s">
        <v>286</v>
      </c>
      <c r="CW86" t="s">
        <v>280</v>
      </c>
      <c r="CX86" t="s">
        <v>280</v>
      </c>
      <c r="CY86" t="s">
        <v>287</v>
      </c>
      <c r="CZ86" t="s">
        <v>167</v>
      </c>
      <c r="DA86" t="s">
        <v>167</v>
      </c>
      <c r="DB86" t="s">
        <v>167</v>
      </c>
      <c r="DC86" t="s">
        <v>167</v>
      </c>
      <c r="DD86" t="s">
        <v>167</v>
      </c>
      <c r="DE86" t="s">
        <v>167</v>
      </c>
      <c r="DF86" t="s">
        <v>167</v>
      </c>
      <c r="DG86" s="166">
        <v>35</v>
      </c>
      <c r="DH86" t="s">
        <v>288</v>
      </c>
      <c r="DI86">
        <v>1</v>
      </c>
      <c r="DJ86" t="s">
        <v>289</v>
      </c>
      <c r="DK86">
        <v>17</v>
      </c>
      <c r="DL86" t="s">
        <v>290</v>
      </c>
      <c r="DM86" t="s">
        <v>290</v>
      </c>
      <c r="DN86" t="s">
        <v>291</v>
      </c>
      <c r="DO86">
        <v>38</v>
      </c>
      <c r="DP86" t="s">
        <v>290</v>
      </c>
      <c r="DQ86" t="s">
        <v>290</v>
      </c>
      <c r="DR86" t="s">
        <v>291</v>
      </c>
      <c r="DS86" t="s">
        <v>292</v>
      </c>
      <c r="DT86" t="s">
        <v>293</v>
      </c>
      <c r="DU86" t="s">
        <v>293</v>
      </c>
      <c r="DV86" t="s">
        <v>293</v>
      </c>
      <c r="DW86" s="138">
        <v>432.56244218316402</v>
      </c>
      <c r="DX86" t="s">
        <v>294</v>
      </c>
      <c r="DY86" s="138">
        <v>12.3589269195233</v>
      </c>
      <c r="DZ86" t="s">
        <v>295</v>
      </c>
      <c r="EA86">
        <v>38.75</v>
      </c>
      <c r="EB86" t="s">
        <v>296</v>
      </c>
      <c r="EC86">
        <v>0.15</v>
      </c>
      <c r="ED86" t="s">
        <v>328</v>
      </c>
      <c r="EE86" t="s">
        <v>329</v>
      </c>
      <c r="EF86" t="s">
        <v>297</v>
      </c>
      <c r="EG86">
        <v>1.0271999999999999</v>
      </c>
      <c r="EH86" t="s">
        <v>290</v>
      </c>
      <c r="EI86" t="s">
        <v>290</v>
      </c>
      <c r="EJ86" t="s">
        <v>298</v>
      </c>
      <c r="EK86" t="s">
        <v>290</v>
      </c>
      <c r="EL86" t="s">
        <v>290</v>
      </c>
      <c r="EM86" t="s">
        <v>299</v>
      </c>
      <c r="EN86" t="s">
        <v>300</v>
      </c>
      <c r="EO86" t="s">
        <v>329</v>
      </c>
      <c r="EP86" t="s">
        <v>329</v>
      </c>
      <c r="EQ86" t="s">
        <v>329</v>
      </c>
      <c r="ER86" t="s">
        <v>329</v>
      </c>
      <c r="ES86" t="s">
        <v>167</v>
      </c>
      <c r="ET86" t="s">
        <v>313</v>
      </c>
      <c r="EU86" t="s">
        <v>314</v>
      </c>
      <c r="EV86" t="s">
        <v>315</v>
      </c>
      <c r="EW86" t="s">
        <v>316</v>
      </c>
      <c r="EX86" t="s">
        <v>316</v>
      </c>
      <c r="EY86" t="s">
        <v>316</v>
      </c>
      <c r="EZ86" t="s">
        <v>316</v>
      </c>
      <c r="FA86">
        <v>6.25</v>
      </c>
      <c r="FB86" t="s">
        <v>296</v>
      </c>
      <c r="FC86">
        <v>1</v>
      </c>
      <c r="FD86">
        <v>1</v>
      </c>
      <c r="FE86">
        <v>7.7137867974493997</v>
      </c>
      <c r="FF86" s="164" t="s">
        <v>301</v>
      </c>
      <c r="FG86" s="154">
        <v>3.5318222461363201E-2</v>
      </c>
      <c r="FH86" s="154">
        <v>3.5318222461363201E-2</v>
      </c>
      <c r="FI86">
        <v>1295.88485100298</v>
      </c>
      <c r="FJ86" s="164">
        <v>0</v>
      </c>
      <c r="FK86" s="164" t="s">
        <v>302</v>
      </c>
      <c r="FL86">
        <v>1295.88485100298</v>
      </c>
      <c r="FM86" s="141">
        <v>443.96389615418002</v>
      </c>
      <c r="FN86" s="141">
        <v>299.10934629963401</v>
      </c>
      <c r="FO86" s="170" t="s">
        <v>303</v>
      </c>
      <c r="FP86" t="s">
        <v>317</v>
      </c>
      <c r="FQ86">
        <v>3053.6672251386699</v>
      </c>
      <c r="FR86">
        <v>658.30250173982017</v>
      </c>
      <c r="FS86">
        <v>544.5945936572698</v>
      </c>
      <c r="FT86">
        <v>2891.2488186362398</v>
      </c>
      <c r="FU86">
        <v>654.20321619931008</v>
      </c>
      <c r="FV86">
        <v>530.9973401810397</v>
      </c>
      <c r="FW86" t="s">
        <v>305</v>
      </c>
      <c r="FX86" t="s">
        <v>305</v>
      </c>
      <c r="FY86" t="s">
        <v>305</v>
      </c>
      <c r="FZ86" t="s">
        <v>305</v>
      </c>
      <c r="GA86" t="s">
        <v>305</v>
      </c>
      <c r="GB86" t="s">
        <v>305</v>
      </c>
      <c r="GC86" t="s">
        <v>318</v>
      </c>
    </row>
    <row r="87" spans="1:185" ht="17">
      <c r="A87" t="s">
        <v>180</v>
      </c>
      <c r="B87" s="200" t="s">
        <v>181</v>
      </c>
      <c r="C87" t="s">
        <v>168</v>
      </c>
      <c r="D87" t="s">
        <v>182</v>
      </c>
      <c r="E87">
        <v>2020</v>
      </c>
      <c r="F87" t="s">
        <v>183</v>
      </c>
      <c r="G87" s="141">
        <v>40125.328063964844</v>
      </c>
      <c r="H87">
        <v>1</v>
      </c>
      <c r="I87">
        <v>1</v>
      </c>
      <c r="J87">
        <v>1321.80223304839</v>
      </c>
      <c r="K87" s="204">
        <v>449.7009508511901</v>
      </c>
      <c r="L87" s="204">
        <v>315.74536102155002</v>
      </c>
      <c r="M87" s="163" t="b">
        <v>0</v>
      </c>
      <c r="N87" s="163">
        <v>1</v>
      </c>
      <c r="O87" t="s">
        <v>330</v>
      </c>
      <c r="P87" t="b">
        <v>0</v>
      </c>
      <c r="Q87" s="163" t="b">
        <v>1</v>
      </c>
      <c r="R87" s="212" t="s">
        <v>325</v>
      </c>
      <c r="S87" s="163" t="b">
        <v>1</v>
      </c>
      <c r="T87" s="163" t="b">
        <v>0</v>
      </c>
      <c r="U87" s="163" t="s">
        <v>167</v>
      </c>
      <c r="V87" s="163" t="s">
        <v>167</v>
      </c>
      <c r="W87" s="199" t="s">
        <v>167</v>
      </c>
      <c r="X87" s="199" t="s">
        <v>167</v>
      </c>
      <c r="Y87" s="143" t="s">
        <v>184</v>
      </c>
      <c r="Z87" t="s">
        <v>183</v>
      </c>
      <c r="AA87" t="s">
        <v>202</v>
      </c>
      <c r="AB87" t="s">
        <v>191</v>
      </c>
      <c r="AC87">
        <v>8</v>
      </c>
      <c r="AD87">
        <v>5</v>
      </c>
      <c r="AE87">
        <v>140</v>
      </c>
      <c r="AF87">
        <v>141</v>
      </c>
      <c r="AG87">
        <v>119.91</v>
      </c>
      <c r="AH87">
        <v>141.47499999999999</v>
      </c>
      <c r="AI87" t="s">
        <v>203</v>
      </c>
      <c r="AJ87" t="s">
        <v>204</v>
      </c>
      <c r="AK87" s="147">
        <v>-28.53295</v>
      </c>
      <c r="AL87" s="147">
        <v>2.7795670000000001</v>
      </c>
      <c r="AM87" s="147">
        <v>-38</v>
      </c>
      <c r="AN87" s="148" t="s">
        <v>167</v>
      </c>
      <c r="AO87" s="148">
        <v>-2717</v>
      </c>
      <c r="AP87" s="147">
        <v>-2000</v>
      </c>
      <c r="AQ87" t="s">
        <v>205</v>
      </c>
      <c r="AR87" t="s">
        <v>190</v>
      </c>
      <c r="AS87" s="141">
        <v>40125.328063964844</v>
      </c>
      <c r="AT87" t="s">
        <v>206</v>
      </c>
      <c r="AU87">
        <v>1</v>
      </c>
      <c r="AV87">
        <v>1</v>
      </c>
      <c r="AW87" t="s">
        <v>207</v>
      </c>
      <c r="AX87" t="s">
        <v>208</v>
      </c>
      <c r="AY87" s="138" t="s">
        <v>209</v>
      </c>
      <c r="AZ87">
        <v>40.285324096679688</v>
      </c>
      <c r="BA87" t="s">
        <v>167</v>
      </c>
      <c r="BB87" t="s">
        <v>167</v>
      </c>
      <c r="BC87" t="s">
        <v>167</v>
      </c>
      <c r="BD87" t="s">
        <v>207</v>
      </c>
      <c r="BE87" t="s">
        <v>210</v>
      </c>
      <c r="BF87" t="s">
        <v>215</v>
      </c>
      <c r="BG87" t="s">
        <v>223</v>
      </c>
      <c r="BH87" t="s">
        <v>217</v>
      </c>
      <c r="BI87" s="157">
        <v>227</v>
      </c>
      <c r="BJ87" s="157">
        <v>2.9089999999999998</v>
      </c>
      <c r="BK87" t="s">
        <v>219</v>
      </c>
      <c r="BL87" t="s">
        <v>220</v>
      </c>
      <c r="BM87" t="s">
        <v>221</v>
      </c>
      <c r="BN87" t="s">
        <v>266</v>
      </c>
      <c r="BO87">
        <v>2</v>
      </c>
      <c r="BP87" s="140">
        <v>0.28781391996537131</v>
      </c>
      <c r="BQ87" s="139">
        <v>13.1969267002961</v>
      </c>
      <c r="BR87" t="s">
        <v>228</v>
      </c>
      <c r="BS87">
        <v>0.24535366635762301</v>
      </c>
      <c r="BT87">
        <v>0.95</v>
      </c>
      <c r="BU87" t="s">
        <v>275</v>
      </c>
      <c r="BV87">
        <v>0.17</v>
      </c>
      <c r="BW87">
        <v>-0.42</v>
      </c>
      <c r="BX87" t="s">
        <v>276</v>
      </c>
      <c r="BY87">
        <v>2.85</v>
      </c>
      <c r="BZ87" t="s">
        <v>279</v>
      </c>
      <c r="CA87" t="s">
        <v>278</v>
      </c>
      <c r="CB87">
        <v>14.383429220728701</v>
      </c>
      <c r="CC87" t="s">
        <v>274</v>
      </c>
      <c r="CD87" s="165">
        <v>0.24963590004399983</v>
      </c>
      <c r="CE87" t="s">
        <v>326</v>
      </c>
      <c r="CF87" t="s">
        <v>327</v>
      </c>
      <c r="CG87">
        <v>25</v>
      </c>
      <c r="CH87" t="s">
        <v>280</v>
      </c>
      <c r="CI87" t="s">
        <v>280</v>
      </c>
      <c r="CJ87" s="139">
        <v>28.6347418050659</v>
      </c>
      <c r="CK87" t="s">
        <v>281</v>
      </c>
      <c r="CL87" s="140">
        <v>0.60293177528965802</v>
      </c>
      <c r="CM87" s="140">
        <v>0.65486687350276895</v>
      </c>
      <c r="CN87" t="s">
        <v>282</v>
      </c>
      <c r="CO87">
        <v>3.4971521546523499</v>
      </c>
      <c r="CP87" t="s">
        <v>283</v>
      </c>
      <c r="CQ87">
        <v>0.1049145646395705</v>
      </c>
      <c r="CR87">
        <v>0.1049145646395705</v>
      </c>
      <c r="CS87" t="s">
        <v>284</v>
      </c>
      <c r="CT87" t="s">
        <v>167</v>
      </c>
      <c r="CU87" t="s">
        <v>285</v>
      </c>
      <c r="CV87" t="s">
        <v>286</v>
      </c>
      <c r="CW87" t="s">
        <v>280</v>
      </c>
      <c r="CX87" t="s">
        <v>280</v>
      </c>
      <c r="CY87" t="s">
        <v>287</v>
      </c>
      <c r="CZ87" t="s">
        <v>167</v>
      </c>
      <c r="DA87" t="s">
        <v>167</v>
      </c>
      <c r="DB87" t="s">
        <v>167</v>
      </c>
      <c r="DC87" t="s">
        <v>167</v>
      </c>
      <c r="DD87" t="s">
        <v>167</v>
      </c>
      <c r="DE87" t="s">
        <v>167</v>
      </c>
      <c r="DF87" t="s">
        <v>167</v>
      </c>
      <c r="DG87" s="166">
        <v>35</v>
      </c>
      <c r="DH87" t="s">
        <v>288</v>
      </c>
      <c r="DI87">
        <v>1</v>
      </c>
      <c r="DJ87" t="s">
        <v>289</v>
      </c>
      <c r="DK87">
        <v>17</v>
      </c>
      <c r="DL87" t="s">
        <v>290</v>
      </c>
      <c r="DM87" t="s">
        <v>290</v>
      </c>
      <c r="DN87" t="s">
        <v>291</v>
      </c>
      <c r="DO87">
        <v>38</v>
      </c>
      <c r="DP87" t="s">
        <v>290</v>
      </c>
      <c r="DQ87" t="s">
        <v>290</v>
      </c>
      <c r="DR87" t="s">
        <v>291</v>
      </c>
      <c r="DS87" t="s">
        <v>292</v>
      </c>
      <c r="DT87" t="s">
        <v>293</v>
      </c>
      <c r="DU87" t="s">
        <v>293</v>
      </c>
      <c r="DV87" t="s">
        <v>293</v>
      </c>
      <c r="DW87" s="138">
        <v>432.56244218316402</v>
      </c>
      <c r="DX87" t="s">
        <v>294</v>
      </c>
      <c r="DY87" s="138">
        <v>12.3589269195234</v>
      </c>
      <c r="DZ87" t="s">
        <v>295</v>
      </c>
      <c r="EA87">
        <v>38.75</v>
      </c>
      <c r="EB87" t="s">
        <v>296</v>
      </c>
      <c r="EC87">
        <v>0.15</v>
      </c>
      <c r="ED87" t="s">
        <v>328</v>
      </c>
      <c r="EE87" t="s">
        <v>329</v>
      </c>
      <c r="EF87" t="s">
        <v>297</v>
      </c>
      <c r="EG87">
        <v>1.0271999999999999</v>
      </c>
      <c r="EH87" t="s">
        <v>290</v>
      </c>
      <c r="EI87" t="s">
        <v>290</v>
      </c>
      <c r="EJ87" t="s">
        <v>298</v>
      </c>
      <c r="EK87" t="s">
        <v>290</v>
      </c>
      <c r="EL87" t="s">
        <v>290</v>
      </c>
      <c r="EM87" t="s">
        <v>299</v>
      </c>
      <c r="EN87" t="s">
        <v>300</v>
      </c>
      <c r="EO87" t="s">
        <v>329</v>
      </c>
      <c r="EP87" t="s">
        <v>329</v>
      </c>
      <c r="EQ87" t="s">
        <v>329</v>
      </c>
      <c r="ER87" t="s">
        <v>329</v>
      </c>
      <c r="ES87" t="s">
        <v>167</v>
      </c>
      <c r="ET87" t="s">
        <v>313</v>
      </c>
      <c r="EU87" t="s">
        <v>314</v>
      </c>
      <c r="EV87" t="s">
        <v>315</v>
      </c>
      <c r="EW87" t="s">
        <v>316</v>
      </c>
      <c r="EX87" t="s">
        <v>316</v>
      </c>
      <c r="EY87" t="s">
        <v>316</v>
      </c>
      <c r="EZ87" t="s">
        <v>316</v>
      </c>
      <c r="FA87">
        <v>6.25</v>
      </c>
      <c r="FB87" t="s">
        <v>296</v>
      </c>
      <c r="FC87">
        <v>1</v>
      </c>
      <c r="FD87">
        <v>1</v>
      </c>
      <c r="FE87">
        <v>7.6973660746510397</v>
      </c>
      <c r="FF87" s="164" t="s">
        <v>301</v>
      </c>
      <c r="FG87" s="154">
        <v>3.5352780746350398E-2</v>
      </c>
      <c r="FH87" s="154">
        <v>3.5352780746350398E-2</v>
      </c>
      <c r="FI87">
        <v>1321.80223304839</v>
      </c>
      <c r="FJ87" s="164">
        <v>0</v>
      </c>
      <c r="FK87" s="164" t="s">
        <v>302</v>
      </c>
      <c r="FL87">
        <v>1321.80223304839</v>
      </c>
      <c r="FM87" s="141">
        <v>449.7009508511901</v>
      </c>
      <c r="FN87" s="141">
        <v>315.74536102155002</v>
      </c>
      <c r="FO87" s="170" t="s">
        <v>303</v>
      </c>
      <c r="FP87" t="s">
        <v>317</v>
      </c>
      <c r="FQ87">
        <v>2968.8834075203399</v>
      </c>
      <c r="FR87">
        <v>632.12412612915011</v>
      </c>
      <c r="FS87">
        <v>509.41728070913979</v>
      </c>
      <c r="FT87">
        <v>2806.2809283880601</v>
      </c>
      <c r="FU87">
        <v>628.54518028303016</v>
      </c>
      <c r="FV87">
        <v>503.87508430328006</v>
      </c>
      <c r="FW87" t="s">
        <v>305</v>
      </c>
      <c r="FX87" t="s">
        <v>305</v>
      </c>
      <c r="FY87" t="s">
        <v>305</v>
      </c>
      <c r="FZ87" t="s">
        <v>305</v>
      </c>
      <c r="GA87" t="s">
        <v>305</v>
      </c>
      <c r="GB87" t="s">
        <v>305</v>
      </c>
      <c r="GC87" t="s">
        <v>318</v>
      </c>
    </row>
    <row r="88" spans="1:185" ht="17">
      <c r="A88" t="s">
        <v>180</v>
      </c>
      <c r="B88" s="200" t="s">
        <v>181</v>
      </c>
      <c r="C88" t="s">
        <v>168</v>
      </c>
      <c r="D88" t="s">
        <v>182</v>
      </c>
      <c r="E88">
        <v>2020</v>
      </c>
      <c r="F88" t="s">
        <v>183</v>
      </c>
      <c r="G88" s="141">
        <v>40241.508483886719</v>
      </c>
      <c r="H88">
        <v>1</v>
      </c>
      <c r="I88">
        <v>1</v>
      </c>
      <c r="J88">
        <v>1336.10410720661</v>
      </c>
      <c r="K88" s="204">
        <v>448.60920510565006</v>
      </c>
      <c r="L88" s="204">
        <v>326.03636989132008</v>
      </c>
      <c r="M88" s="163" t="b">
        <v>0</v>
      </c>
      <c r="N88" s="163">
        <v>1</v>
      </c>
      <c r="O88" t="s">
        <v>330</v>
      </c>
      <c r="P88" t="b">
        <v>0</v>
      </c>
      <c r="Q88" s="163" t="b">
        <v>1</v>
      </c>
      <c r="R88" s="212" t="s">
        <v>325</v>
      </c>
      <c r="S88" s="163" t="b">
        <v>1</v>
      </c>
      <c r="T88" s="163" t="b">
        <v>0</v>
      </c>
      <c r="U88" s="163" t="s">
        <v>167</v>
      </c>
      <c r="V88" s="163" t="s">
        <v>167</v>
      </c>
      <c r="W88" s="199" t="s">
        <v>167</v>
      </c>
      <c r="X88" s="199" t="s">
        <v>167</v>
      </c>
      <c r="Y88" s="143" t="s">
        <v>184</v>
      </c>
      <c r="Z88" t="s">
        <v>183</v>
      </c>
      <c r="AA88" t="s">
        <v>202</v>
      </c>
      <c r="AB88" t="s">
        <v>191</v>
      </c>
      <c r="AC88">
        <v>8</v>
      </c>
      <c r="AD88">
        <v>6</v>
      </c>
      <c r="AE88">
        <v>142</v>
      </c>
      <c r="AF88">
        <v>143</v>
      </c>
      <c r="AG88">
        <v>121.43</v>
      </c>
      <c r="AH88">
        <v>142.995</v>
      </c>
      <c r="AI88" t="s">
        <v>203</v>
      </c>
      <c r="AJ88" t="s">
        <v>204</v>
      </c>
      <c r="AK88" s="147">
        <v>-28.53295</v>
      </c>
      <c r="AL88" s="147">
        <v>2.7795670000000001</v>
      </c>
      <c r="AM88" s="147">
        <v>-38</v>
      </c>
      <c r="AN88" s="148" t="s">
        <v>167</v>
      </c>
      <c r="AO88" s="148">
        <v>-2717</v>
      </c>
      <c r="AP88" s="147">
        <v>-2000</v>
      </c>
      <c r="AQ88" t="s">
        <v>205</v>
      </c>
      <c r="AR88" t="s">
        <v>190</v>
      </c>
      <c r="AS88" s="141">
        <v>40241.508483886719</v>
      </c>
      <c r="AT88" t="s">
        <v>206</v>
      </c>
      <c r="AU88">
        <v>1</v>
      </c>
      <c r="AV88">
        <v>1</v>
      </c>
      <c r="AW88" t="s">
        <v>207</v>
      </c>
      <c r="AX88" t="s">
        <v>208</v>
      </c>
      <c r="AY88" s="138" t="s">
        <v>209</v>
      </c>
      <c r="AZ88">
        <v>40.393211364746094</v>
      </c>
      <c r="BA88" t="s">
        <v>167</v>
      </c>
      <c r="BB88" t="s">
        <v>167</v>
      </c>
      <c r="BC88" t="s">
        <v>167</v>
      </c>
      <c r="BD88" t="s">
        <v>207</v>
      </c>
      <c r="BE88" t="s">
        <v>210</v>
      </c>
      <c r="BF88" t="s">
        <v>215</v>
      </c>
      <c r="BG88" t="s">
        <v>223</v>
      </c>
      <c r="BH88" t="s">
        <v>217</v>
      </c>
      <c r="BI88" s="157">
        <v>251</v>
      </c>
      <c r="BJ88" s="157">
        <v>3.9430000000000001</v>
      </c>
      <c r="BK88" t="s">
        <v>219</v>
      </c>
      <c r="BL88" t="s">
        <v>220</v>
      </c>
      <c r="BM88" t="s">
        <v>221</v>
      </c>
      <c r="BN88" t="s">
        <v>267</v>
      </c>
      <c r="BO88">
        <v>2</v>
      </c>
      <c r="BP88" s="140">
        <v>0.10237634878688162</v>
      </c>
      <c r="BQ88" s="139">
        <v>13.104295128468401</v>
      </c>
      <c r="BR88" t="s">
        <v>228</v>
      </c>
      <c r="BS88">
        <v>0.233759606258234</v>
      </c>
      <c r="BT88">
        <v>0.95</v>
      </c>
      <c r="BU88" t="s">
        <v>275</v>
      </c>
      <c r="BV88">
        <v>0.17</v>
      </c>
      <c r="BW88">
        <v>-0.42</v>
      </c>
      <c r="BX88" t="s">
        <v>276</v>
      </c>
      <c r="BY88">
        <v>2.85</v>
      </c>
      <c r="BZ88" t="s">
        <v>279</v>
      </c>
      <c r="CA88" t="s">
        <v>278</v>
      </c>
      <c r="CB88">
        <v>14.285881643723799</v>
      </c>
      <c r="CC88" t="s">
        <v>274</v>
      </c>
      <c r="CD88" s="165">
        <v>0.22768447651045065</v>
      </c>
      <c r="CE88" t="s">
        <v>326</v>
      </c>
      <c r="CF88" t="s">
        <v>327</v>
      </c>
      <c r="CG88">
        <v>25</v>
      </c>
      <c r="CH88" t="s">
        <v>280</v>
      </c>
      <c r="CI88" t="s">
        <v>280</v>
      </c>
      <c r="CJ88" s="139">
        <v>25.429656083201301</v>
      </c>
      <c r="CK88" t="s">
        <v>281</v>
      </c>
      <c r="CL88" s="140">
        <v>0.61398058328854799</v>
      </c>
      <c r="CM88" s="140">
        <v>0.59121107405052298</v>
      </c>
      <c r="CN88" t="s">
        <v>282</v>
      </c>
      <c r="CO88">
        <v>2.8790303876100598</v>
      </c>
      <c r="CP88" t="s">
        <v>283</v>
      </c>
      <c r="CQ88">
        <v>8.6370911628301794E-2</v>
      </c>
      <c r="CR88">
        <v>8.6370911628301794E-2</v>
      </c>
      <c r="CS88" t="s">
        <v>284</v>
      </c>
      <c r="CT88" t="s">
        <v>167</v>
      </c>
      <c r="CU88" t="s">
        <v>285</v>
      </c>
      <c r="CV88" t="s">
        <v>286</v>
      </c>
      <c r="CW88" t="s">
        <v>280</v>
      </c>
      <c r="CX88" t="s">
        <v>280</v>
      </c>
      <c r="CY88" t="s">
        <v>287</v>
      </c>
      <c r="CZ88" t="s">
        <v>167</v>
      </c>
      <c r="DA88" t="s">
        <v>167</v>
      </c>
      <c r="DB88" t="s">
        <v>167</v>
      </c>
      <c r="DC88" t="s">
        <v>167</v>
      </c>
      <c r="DD88" t="s">
        <v>167</v>
      </c>
      <c r="DE88" t="s">
        <v>167</v>
      </c>
      <c r="DF88" t="s">
        <v>167</v>
      </c>
      <c r="DG88" s="166">
        <v>35</v>
      </c>
      <c r="DH88" t="s">
        <v>288</v>
      </c>
      <c r="DI88">
        <v>1</v>
      </c>
      <c r="DJ88" t="s">
        <v>289</v>
      </c>
      <c r="DK88">
        <v>17</v>
      </c>
      <c r="DL88" t="s">
        <v>290</v>
      </c>
      <c r="DM88" t="s">
        <v>290</v>
      </c>
      <c r="DN88" t="s">
        <v>291</v>
      </c>
      <c r="DO88">
        <v>38</v>
      </c>
      <c r="DP88" t="s">
        <v>290</v>
      </c>
      <c r="DQ88" t="s">
        <v>290</v>
      </c>
      <c r="DR88" t="s">
        <v>291</v>
      </c>
      <c r="DS88" t="s">
        <v>292</v>
      </c>
      <c r="DT88" t="s">
        <v>293</v>
      </c>
      <c r="DU88" t="s">
        <v>293</v>
      </c>
      <c r="DV88" t="s">
        <v>293</v>
      </c>
      <c r="DW88" s="138">
        <v>432.56244218316402</v>
      </c>
      <c r="DX88" t="s">
        <v>294</v>
      </c>
      <c r="DY88" s="138">
        <v>12.358926919523499</v>
      </c>
      <c r="DZ88" t="s">
        <v>295</v>
      </c>
      <c r="EA88">
        <v>38.75</v>
      </c>
      <c r="EB88" t="s">
        <v>296</v>
      </c>
      <c r="EC88">
        <v>0.15</v>
      </c>
      <c r="ED88" t="s">
        <v>328</v>
      </c>
      <c r="EE88" t="s">
        <v>329</v>
      </c>
      <c r="EF88" t="s">
        <v>297</v>
      </c>
      <c r="EG88">
        <v>1.0271999999999999</v>
      </c>
      <c r="EH88" t="s">
        <v>290</v>
      </c>
      <c r="EI88" t="s">
        <v>290</v>
      </c>
      <c r="EJ88" t="s">
        <v>298</v>
      </c>
      <c r="EK88" t="s">
        <v>290</v>
      </c>
      <c r="EL88" t="s">
        <v>290</v>
      </c>
      <c r="EM88" t="s">
        <v>299</v>
      </c>
      <c r="EN88" t="s">
        <v>300</v>
      </c>
      <c r="EO88" t="s">
        <v>329</v>
      </c>
      <c r="EP88" t="s">
        <v>329</v>
      </c>
      <c r="EQ88" t="s">
        <v>329</v>
      </c>
      <c r="ER88" t="s">
        <v>329</v>
      </c>
      <c r="ES88" t="s">
        <v>167</v>
      </c>
      <c r="ET88" t="s">
        <v>313</v>
      </c>
      <c r="EU88" t="s">
        <v>314</v>
      </c>
      <c r="EV88" t="s">
        <v>315</v>
      </c>
      <c r="EW88" t="s">
        <v>316</v>
      </c>
      <c r="EX88" t="s">
        <v>316</v>
      </c>
      <c r="EY88" t="s">
        <v>316</v>
      </c>
      <c r="EZ88" t="s">
        <v>316</v>
      </c>
      <c r="FA88">
        <v>6.25</v>
      </c>
      <c r="FB88" t="s">
        <v>296</v>
      </c>
      <c r="FC88">
        <v>1</v>
      </c>
      <c r="FD88">
        <v>1</v>
      </c>
      <c r="FE88">
        <v>7.7183819038706396</v>
      </c>
      <c r="FF88" s="164" t="s">
        <v>301</v>
      </c>
      <c r="FG88" s="154">
        <v>3.7339968349779998E-2</v>
      </c>
      <c r="FH88" s="154">
        <v>3.7339968349779998E-2</v>
      </c>
      <c r="FI88">
        <v>1336.10410720661</v>
      </c>
      <c r="FJ88" s="164">
        <v>0</v>
      </c>
      <c r="FK88" s="164" t="s">
        <v>302</v>
      </c>
      <c r="FL88">
        <v>1336.10410720661</v>
      </c>
      <c r="FM88" s="141">
        <v>448.60920510565006</v>
      </c>
      <c r="FN88" s="141">
        <v>326.03636989132008</v>
      </c>
      <c r="FO88" s="170" t="s">
        <v>303</v>
      </c>
      <c r="FP88" t="s">
        <v>317</v>
      </c>
      <c r="FQ88">
        <v>3169.22874178657</v>
      </c>
      <c r="FR88">
        <v>690.26228053129967</v>
      </c>
      <c r="FS88">
        <v>550.09137010149016</v>
      </c>
      <c r="FT88">
        <v>3013.7045751455798</v>
      </c>
      <c r="FU88">
        <v>689.22665723943021</v>
      </c>
      <c r="FV88">
        <v>549.38207320662968</v>
      </c>
      <c r="FW88" t="s">
        <v>305</v>
      </c>
      <c r="FX88" t="s">
        <v>305</v>
      </c>
      <c r="FY88" t="s">
        <v>305</v>
      </c>
      <c r="FZ88" t="s">
        <v>305</v>
      </c>
      <c r="GA88" t="s">
        <v>305</v>
      </c>
      <c r="GB88" t="s">
        <v>305</v>
      </c>
      <c r="GC88" t="s">
        <v>318</v>
      </c>
    </row>
    <row r="89" spans="1:185" ht="17">
      <c r="A89" t="s">
        <v>180</v>
      </c>
      <c r="B89" s="200" t="s">
        <v>181</v>
      </c>
      <c r="C89" t="s">
        <v>168</v>
      </c>
      <c r="D89" t="s">
        <v>182</v>
      </c>
      <c r="E89">
        <v>2020</v>
      </c>
      <c r="F89" t="s">
        <v>183</v>
      </c>
      <c r="G89" s="141">
        <v>40337.608337402344</v>
      </c>
      <c r="H89">
        <v>1</v>
      </c>
      <c r="I89">
        <v>1</v>
      </c>
      <c r="J89">
        <v>1121.33809772831</v>
      </c>
      <c r="K89" s="204">
        <v>318.05994915383008</v>
      </c>
      <c r="L89" s="204">
        <v>256.67216531775796</v>
      </c>
      <c r="M89" s="163" t="b">
        <v>0</v>
      </c>
      <c r="N89" s="163">
        <v>1</v>
      </c>
      <c r="O89" t="s">
        <v>330</v>
      </c>
      <c r="P89" t="b">
        <v>0</v>
      </c>
      <c r="Q89" s="163" t="b">
        <v>1</v>
      </c>
      <c r="R89" s="212" t="s">
        <v>325</v>
      </c>
      <c r="S89" s="163" t="b">
        <v>1</v>
      </c>
      <c r="T89" s="163" t="b">
        <v>0</v>
      </c>
      <c r="U89" s="163" t="s">
        <v>167</v>
      </c>
      <c r="V89" s="163" t="s">
        <v>167</v>
      </c>
      <c r="W89" s="199" t="s">
        <v>167</v>
      </c>
      <c r="X89" s="199" t="s">
        <v>167</v>
      </c>
      <c r="Y89" s="143" t="s">
        <v>184</v>
      </c>
      <c r="Z89" t="s">
        <v>183</v>
      </c>
      <c r="AA89" t="s">
        <v>202</v>
      </c>
      <c r="AB89" t="s">
        <v>191</v>
      </c>
      <c r="AC89">
        <v>8</v>
      </c>
      <c r="AD89">
        <v>7</v>
      </c>
      <c r="AE89">
        <v>57</v>
      </c>
      <c r="AF89">
        <v>58</v>
      </c>
      <c r="AG89">
        <v>122.08</v>
      </c>
      <c r="AH89">
        <v>143.64499999999998</v>
      </c>
      <c r="AI89" t="s">
        <v>203</v>
      </c>
      <c r="AJ89" t="s">
        <v>204</v>
      </c>
      <c r="AK89" s="147">
        <v>-28.53295</v>
      </c>
      <c r="AL89" s="147">
        <v>2.7795670000000001</v>
      </c>
      <c r="AM89" s="147">
        <v>-38</v>
      </c>
      <c r="AN89" s="148" t="s">
        <v>167</v>
      </c>
      <c r="AO89" s="148">
        <v>-2717</v>
      </c>
      <c r="AP89" s="147">
        <v>-2000</v>
      </c>
      <c r="AQ89" t="s">
        <v>205</v>
      </c>
      <c r="AR89" t="s">
        <v>190</v>
      </c>
      <c r="AS89" s="141">
        <v>40337.608337402344</v>
      </c>
      <c r="AT89" t="s">
        <v>206</v>
      </c>
      <c r="AU89">
        <v>1</v>
      </c>
      <c r="AV89">
        <v>1</v>
      </c>
      <c r="AW89" t="s">
        <v>207</v>
      </c>
      <c r="AX89" t="s">
        <v>208</v>
      </c>
      <c r="AY89" s="138" t="s">
        <v>209</v>
      </c>
      <c r="AZ89">
        <v>40.439437866210938</v>
      </c>
      <c r="BA89" t="s">
        <v>167</v>
      </c>
      <c r="BB89" t="s">
        <v>167</v>
      </c>
      <c r="BC89" t="s">
        <v>167</v>
      </c>
      <c r="BD89" t="s">
        <v>207</v>
      </c>
      <c r="BE89" t="s">
        <v>210</v>
      </c>
      <c r="BF89" t="s">
        <v>215</v>
      </c>
      <c r="BG89" t="s">
        <v>223</v>
      </c>
      <c r="BH89" t="s">
        <v>217</v>
      </c>
      <c r="BI89" s="157">
        <v>244</v>
      </c>
      <c r="BJ89" s="157">
        <v>3.8340000000000001</v>
      </c>
      <c r="BK89" t="s">
        <v>219</v>
      </c>
      <c r="BL89" t="s">
        <v>220</v>
      </c>
      <c r="BM89" t="s">
        <v>221</v>
      </c>
      <c r="BN89" t="s">
        <v>268</v>
      </c>
      <c r="BO89">
        <v>2</v>
      </c>
      <c r="BP89" s="140">
        <v>0.1456040600394779</v>
      </c>
      <c r="BQ89" s="139">
        <v>13.3472675749984</v>
      </c>
      <c r="BR89" t="s">
        <v>228</v>
      </c>
      <c r="BS89">
        <v>0.23554168323132299</v>
      </c>
      <c r="BT89">
        <v>0.95</v>
      </c>
      <c r="BU89" t="s">
        <v>275</v>
      </c>
      <c r="BV89">
        <v>0.17</v>
      </c>
      <c r="BW89">
        <v>-0.42</v>
      </c>
      <c r="BX89" t="s">
        <v>276</v>
      </c>
      <c r="BY89">
        <v>2.85</v>
      </c>
      <c r="BZ89" t="s">
        <v>279</v>
      </c>
      <c r="CA89" t="s">
        <v>278</v>
      </c>
      <c r="CB89">
        <v>14.541087943458299</v>
      </c>
      <c r="CC89" t="s">
        <v>274</v>
      </c>
      <c r="CD89" s="165">
        <v>0.24106943010560045</v>
      </c>
      <c r="CE89" t="s">
        <v>326</v>
      </c>
      <c r="CF89" t="s">
        <v>327</v>
      </c>
      <c r="CG89">
        <v>25</v>
      </c>
      <c r="CH89" t="s">
        <v>280</v>
      </c>
      <c r="CI89" t="s">
        <v>280</v>
      </c>
      <c r="CJ89" s="139">
        <v>25.589366963967802</v>
      </c>
      <c r="CK89" t="s">
        <v>281</v>
      </c>
      <c r="CL89" s="140">
        <v>0.60482566358671297</v>
      </c>
      <c r="CM89" s="140">
        <v>0.63173684518343998</v>
      </c>
      <c r="CN89" t="s">
        <v>282</v>
      </c>
      <c r="CO89">
        <v>2.8459356274786001</v>
      </c>
      <c r="CP89" t="s">
        <v>283</v>
      </c>
      <c r="CQ89">
        <v>8.5378068824358E-2</v>
      </c>
      <c r="CR89">
        <v>8.5378068824358E-2</v>
      </c>
      <c r="CS89" t="s">
        <v>284</v>
      </c>
      <c r="CT89" t="s">
        <v>167</v>
      </c>
      <c r="CU89" t="s">
        <v>285</v>
      </c>
      <c r="CV89" t="s">
        <v>286</v>
      </c>
      <c r="CW89" t="s">
        <v>280</v>
      </c>
      <c r="CX89" t="s">
        <v>280</v>
      </c>
      <c r="CY89" t="s">
        <v>287</v>
      </c>
      <c r="CZ89" t="s">
        <v>167</v>
      </c>
      <c r="DA89" t="s">
        <v>167</v>
      </c>
      <c r="DB89" t="s">
        <v>167</v>
      </c>
      <c r="DC89" t="s">
        <v>167</v>
      </c>
      <c r="DD89" t="s">
        <v>167</v>
      </c>
      <c r="DE89" t="s">
        <v>167</v>
      </c>
      <c r="DF89" t="s">
        <v>167</v>
      </c>
      <c r="DG89" s="166">
        <v>35</v>
      </c>
      <c r="DH89" t="s">
        <v>288</v>
      </c>
      <c r="DI89">
        <v>1</v>
      </c>
      <c r="DJ89" t="s">
        <v>289</v>
      </c>
      <c r="DK89">
        <v>17</v>
      </c>
      <c r="DL89" t="s">
        <v>290</v>
      </c>
      <c r="DM89" t="s">
        <v>290</v>
      </c>
      <c r="DN89" t="s">
        <v>291</v>
      </c>
      <c r="DO89">
        <v>38</v>
      </c>
      <c r="DP89" t="s">
        <v>290</v>
      </c>
      <c r="DQ89" t="s">
        <v>290</v>
      </c>
      <c r="DR89" t="s">
        <v>291</v>
      </c>
      <c r="DS89" t="s">
        <v>292</v>
      </c>
      <c r="DT89" t="s">
        <v>293</v>
      </c>
      <c r="DU89" t="s">
        <v>293</v>
      </c>
      <c r="DV89" t="s">
        <v>293</v>
      </c>
      <c r="DW89" s="138">
        <v>432.56244218316402</v>
      </c>
      <c r="DX89" t="s">
        <v>294</v>
      </c>
      <c r="DY89" s="138">
        <v>12.358926919523601</v>
      </c>
      <c r="DZ89" t="s">
        <v>295</v>
      </c>
      <c r="EA89">
        <v>38.75</v>
      </c>
      <c r="EB89" t="s">
        <v>296</v>
      </c>
      <c r="EC89">
        <v>0.15</v>
      </c>
      <c r="ED89" t="s">
        <v>328</v>
      </c>
      <c r="EE89" t="s">
        <v>329</v>
      </c>
      <c r="EF89" t="s">
        <v>297</v>
      </c>
      <c r="EG89">
        <v>1.0271999999999999</v>
      </c>
      <c r="EH89" t="s">
        <v>290</v>
      </c>
      <c r="EI89" t="s">
        <v>290</v>
      </c>
      <c r="EJ89" t="s">
        <v>298</v>
      </c>
      <c r="EK89" t="s">
        <v>290</v>
      </c>
      <c r="EL89" t="s">
        <v>290</v>
      </c>
      <c r="EM89" t="s">
        <v>299</v>
      </c>
      <c r="EN89" t="s">
        <v>300</v>
      </c>
      <c r="EO89" t="s">
        <v>329</v>
      </c>
      <c r="EP89" t="s">
        <v>329</v>
      </c>
      <c r="EQ89" t="s">
        <v>329</v>
      </c>
      <c r="ER89" t="s">
        <v>329</v>
      </c>
      <c r="ES89" t="s">
        <v>167</v>
      </c>
      <c r="ET89" t="s">
        <v>313</v>
      </c>
      <c r="EU89" t="s">
        <v>314</v>
      </c>
      <c r="EV89" t="s">
        <v>315</v>
      </c>
      <c r="EW89" t="s">
        <v>316</v>
      </c>
      <c r="EX89" t="s">
        <v>316</v>
      </c>
      <c r="EY89" t="s">
        <v>316</v>
      </c>
      <c r="EZ89" t="s">
        <v>316</v>
      </c>
      <c r="FA89">
        <v>6.25</v>
      </c>
      <c r="FB89" t="s">
        <v>296</v>
      </c>
      <c r="FC89">
        <v>1</v>
      </c>
      <c r="FD89">
        <v>1</v>
      </c>
      <c r="FE89">
        <v>7.7576596966879103</v>
      </c>
      <c r="FF89" s="164" t="s">
        <v>301</v>
      </c>
      <c r="FG89" s="154">
        <v>3.37759287966116E-2</v>
      </c>
      <c r="FH89" s="154">
        <v>3.37759287966116E-2</v>
      </c>
      <c r="FI89">
        <v>1121.33809772831</v>
      </c>
      <c r="FJ89" s="164">
        <v>0</v>
      </c>
      <c r="FK89" s="164" t="s">
        <v>302</v>
      </c>
      <c r="FL89">
        <v>1121.33809772831</v>
      </c>
      <c r="FM89" s="141">
        <v>318.05994915383008</v>
      </c>
      <c r="FN89" s="141">
        <v>256.67216531775796</v>
      </c>
      <c r="FO89" s="170" t="s">
        <v>303</v>
      </c>
      <c r="FP89" t="s">
        <v>317</v>
      </c>
      <c r="FQ89">
        <v>2924.88631345148</v>
      </c>
      <c r="FR89">
        <v>595.81809792016998</v>
      </c>
      <c r="FS89">
        <v>487.93296951343996</v>
      </c>
      <c r="FT89">
        <v>2761.4863468512799</v>
      </c>
      <c r="FU89">
        <v>579.98622344137027</v>
      </c>
      <c r="FV89">
        <v>486.68700355304975</v>
      </c>
      <c r="FW89" t="s">
        <v>305</v>
      </c>
      <c r="FX89" t="s">
        <v>305</v>
      </c>
      <c r="FY89" t="s">
        <v>305</v>
      </c>
      <c r="FZ89" t="s">
        <v>305</v>
      </c>
      <c r="GA89" t="s">
        <v>305</v>
      </c>
      <c r="GB89" t="s">
        <v>305</v>
      </c>
      <c r="GC89" t="s">
        <v>318</v>
      </c>
    </row>
    <row r="90" spans="1:185" ht="17">
      <c r="A90" t="s">
        <v>180</v>
      </c>
      <c r="B90" s="200" t="s">
        <v>181</v>
      </c>
      <c r="C90" t="s">
        <v>168</v>
      </c>
      <c r="D90" t="s">
        <v>182</v>
      </c>
      <c r="E90">
        <v>2020</v>
      </c>
      <c r="F90" t="s">
        <v>183</v>
      </c>
      <c r="G90" s="141">
        <v>40725.719451904297</v>
      </c>
      <c r="H90">
        <v>1</v>
      </c>
      <c r="I90">
        <v>1</v>
      </c>
      <c r="J90">
        <v>876.49104519025605</v>
      </c>
      <c r="K90" s="204">
        <v>274.48070909294393</v>
      </c>
      <c r="L90" s="204">
        <v>189.92993846419199</v>
      </c>
      <c r="M90" s="163" t="b">
        <v>0</v>
      </c>
      <c r="N90" s="163">
        <v>1</v>
      </c>
      <c r="O90" t="s">
        <v>330</v>
      </c>
      <c r="P90" t="b">
        <v>0</v>
      </c>
      <c r="Q90" s="163" t="b">
        <v>1</v>
      </c>
      <c r="R90" s="212" t="s">
        <v>325</v>
      </c>
      <c r="S90" s="163" t="b">
        <v>1</v>
      </c>
      <c r="T90" s="163" t="b">
        <v>0</v>
      </c>
      <c r="U90" s="163" t="s">
        <v>167</v>
      </c>
      <c r="V90" s="163" t="s">
        <v>167</v>
      </c>
      <c r="W90" s="199" t="s">
        <v>167</v>
      </c>
      <c r="X90" s="199" t="s">
        <v>167</v>
      </c>
      <c r="Y90" s="143" t="s">
        <v>184</v>
      </c>
      <c r="Z90" t="s">
        <v>183</v>
      </c>
      <c r="AA90" t="s">
        <v>202</v>
      </c>
      <c r="AB90" t="s">
        <v>191</v>
      </c>
      <c r="AC90">
        <v>9</v>
      </c>
      <c r="AD90">
        <v>1</v>
      </c>
      <c r="AE90">
        <v>79</v>
      </c>
      <c r="AF90">
        <v>91</v>
      </c>
      <c r="AG90">
        <v>122.91</v>
      </c>
      <c r="AH90">
        <v>146.07999999999998</v>
      </c>
      <c r="AI90" t="s">
        <v>203</v>
      </c>
      <c r="AJ90" t="s">
        <v>204</v>
      </c>
      <c r="AK90" s="147">
        <v>-28.53295</v>
      </c>
      <c r="AL90" s="147">
        <v>2.7795670000000001</v>
      </c>
      <c r="AM90" s="147">
        <v>-38</v>
      </c>
      <c r="AN90" s="148" t="s">
        <v>167</v>
      </c>
      <c r="AO90" s="148">
        <v>-2717</v>
      </c>
      <c r="AP90" s="147">
        <v>-2000</v>
      </c>
      <c r="AQ90" t="s">
        <v>205</v>
      </c>
      <c r="AR90" t="s">
        <v>190</v>
      </c>
      <c r="AS90" s="141">
        <v>40725.719451904297</v>
      </c>
      <c r="AT90" t="s">
        <v>206</v>
      </c>
      <c r="AU90">
        <v>1</v>
      </c>
      <c r="AV90">
        <v>1</v>
      </c>
      <c r="AW90" t="s">
        <v>207</v>
      </c>
      <c r="AX90" t="s">
        <v>208</v>
      </c>
      <c r="AY90" s="138" t="s">
        <v>209</v>
      </c>
      <c r="AZ90">
        <v>40.612617492675781</v>
      </c>
      <c r="BA90" t="s">
        <v>167</v>
      </c>
      <c r="BB90" t="s">
        <v>167</v>
      </c>
      <c r="BC90" t="s">
        <v>167</v>
      </c>
      <c r="BD90" t="s">
        <v>207</v>
      </c>
      <c r="BE90" t="s">
        <v>210</v>
      </c>
      <c r="BF90" t="s">
        <v>215</v>
      </c>
      <c r="BG90" t="s">
        <v>223</v>
      </c>
      <c r="BH90" t="s">
        <v>217</v>
      </c>
      <c r="BI90" s="157">
        <v>221</v>
      </c>
      <c r="BJ90" s="157">
        <v>2.4660000000000002</v>
      </c>
      <c r="BK90" t="s">
        <v>219</v>
      </c>
      <c r="BL90" t="s">
        <v>220</v>
      </c>
      <c r="BM90" t="s">
        <v>221</v>
      </c>
      <c r="BN90" t="s">
        <v>269</v>
      </c>
      <c r="BO90">
        <v>2</v>
      </c>
      <c r="BP90" s="140">
        <v>6.8989552934528575E-2</v>
      </c>
      <c r="BQ90" s="139">
        <v>13.695045156115199</v>
      </c>
      <c r="BR90" t="s">
        <v>228</v>
      </c>
      <c r="BS90">
        <v>0.247946121043088</v>
      </c>
      <c r="BT90">
        <v>0.95</v>
      </c>
      <c r="BU90" t="s">
        <v>275</v>
      </c>
      <c r="BV90">
        <v>0.17</v>
      </c>
      <c r="BW90">
        <v>-0.42</v>
      </c>
      <c r="BX90" t="s">
        <v>276</v>
      </c>
      <c r="BY90">
        <v>2.85</v>
      </c>
      <c r="BZ90" t="s">
        <v>279</v>
      </c>
      <c r="CA90" t="s">
        <v>278</v>
      </c>
      <c r="CB90">
        <v>14.8975045500626</v>
      </c>
      <c r="CC90" t="s">
        <v>274</v>
      </c>
      <c r="CD90" s="165">
        <v>0.25668127104334992</v>
      </c>
      <c r="CE90" t="s">
        <v>326</v>
      </c>
      <c r="CF90" t="s">
        <v>327</v>
      </c>
      <c r="CG90">
        <v>25</v>
      </c>
      <c r="CH90" t="s">
        <v>280</v>
      </c>
      <c r="CI90" t="s">
        <v>280</v>
      </c>
      <c r="CJ90" s="139">
        <v>25.370628608346902</v>
      </c>
      <c r="CK90" t="s">
        <v>281</v>
      </c>
      <c r="CL90" s="140">
        <v>0.62310692476796303</v>
      </c>
      <c r="CM90" s="140">
        <v>0.57508169751007898</v>
      </c>
      <c r="CN90" t="s">
        <v>282</v>
      </c>
      <c r="CO90">
        <v>2.7233608374904801</v>
      </c>
      <c r="CP90" t="s">
        <v>283</v>
      </c>
      <c r="CQ90">
        <v>8.1700825124714396E-2</v>
      </c>
      <c r="CR90">
        <v>8.1700825124714396E-2</v>
      </c>
      <c r="CS90" t="s">
        <v>284</v>
      </c>
      <c r="CT90" t="s">
        <v>167</v>
      </c>
      <c r="CU90" t="s">
        <v>285</v>
      </c>
      <c r="CV90" t="s">
        <v>286</v>
      </c>
      <c r="CW90" t="s">
        <v>280</v>
      </c>
      <c r="CX90" t="s">
        <v>280</v>
      </c>
      <c r="CY90" t="s">
        <v>287</v>
      </c>
      <c r="CZ90" t="s">
        <v>167</v>
      </c>
      <c r="DA90" t="s">
        <v>167</v>
      </c>
      <c r="DB90" t="s">
        <v>167</v>
      </c>
      <c r="DC90" t="s">
        <v>167</v>
      </c>
      <c r="DD90" t="s">
        <v>167</v>
      </c>
      <c r="DE90" t="s">
        <v>167</v>
      </c>
      <c r="DF90" t="s">
        <v>167</v>
      </c>
      <c r="DG90" s="166">
        <v>35</v>
      </c>
      <c r="DH90" t="s">
        <v>288</v>
      </c>
      <c r="DI90">
        <v>1</v>
      </c>
      <c r="DJ90" t="s">
        <v>289</v>
      </c>
      <c r="DK90">
        <v>17</v>
      </c>
      <c r="DL90" t="s">
        <v>290</v>
      </c>
      <c r="DM90" t="s">
        <v>290</v>
      </c>
      <c r="DN90" t="s">
        <v>291</v>
      </c>
      <c r="DO90">
        <v>38</v>
      </c>
      <c r="DP90" t="s">
        <v>290</v>
      </c>
      <c r="DQ90" t="s">
        <v>290</v>
      </c>
      <c r="DR90" t="s">
        <v>291</v>
      </c>
      <c r="DS90" t="s">
        <v>292</v>
      </c>
      <c r="DT90" t="s">
        <v>293</v>
      </c>
      <c r="DU90" t="s">
        <v>293</v>
      </c>
      <c r="DV90" t="s">
        <v>293</v>
      </c>
      <c r="DW90" s="138">
        <v>432.56244218316402</v>
      </c>
      <c r="DX90" t="s">
        <v>294</v>
      </c>
      <c r="DY90" s="138">
        <v>12.3589269195238</v>
      </c>
      <c r="DZ90" t="s">
        <v>295</v>
      </c>
      <c r="EA90">
        <v>38.75</v>
      </c>
      <c r="EB90" t="s">
        <v>296</v>
      </c>
      <c r="EC90">
        <v>0.15</v>
      </c>
      <c r="ED90" t="s">
        <v>328</v>
      </c>
      <c r="EE90" t="s">
        <v>329</v>
      </c>
      <c r="EF90" t="s">
        <v>297</v>
      </c>
      <c r="EG90">
        <v>1.0271999999999999</v>
      </c>
      <c r="EH90" t="s">
        <v>290</v>
      </c>
      <c r="EI90" t="s">
        <v>290</v>
      </c>
      <c r="EJ90" t="s">
        <v>298</v>
      </c>
      <c r="EK90" t="s">
        <v>290</v>
      </c>
      <c r="EL90" t="s">
        <v>290</v>
      </c>
      <c r="EM90" t="s">
        <v>299</v>
      </c>
      <c r="EN90" t="s">
        <v>300</v>
      </c>
      <c r="EO90" t="s">
        <v>329</v>
      </c>
      <c r="EP90" t="s">
        <v>329</v>
      </c>
      <c r="EQ90" t="s">
        <v>329</v>
      </c>
      <c r="ER90" t="s">
        <v>329</v>
      </c>
      <c r="ES90" t="s">
        <v>167</v>
      </c>
      <c r="ET90" t="s">
        <v>313</v>
      </c>
      <c r="EU90" t="s">
        <v>314</v>
      </c>
      <c r="EV90" t="s">
        <v>315</v>
      </c>
      <c r="EW90" t="s">
        <v>316</v>
      </c>
      <c r="EX90" t="s">
        <v>316</v>
      </c>
      <c r="EY90" t="s">
        <v>316</v>
      </c>
      <c r="EZ90" t="s">
        <v>316</v>
      </c>
      <c r="FA90">
        <v>6.25</v>
      </c>
      <c r="FB90" t="s">
        <v>296</v>
      </c>
      <c r="FC90">
        <v>1</v>
      </c>
      <c r="FD90">
        <v>1</v>
      </c>
      <c r="FE90">
        <v>7.8117014283856196</v>
      </c>
      <c r="FF90" s="164" t="s">
        <v>301</v>
      </c>
      <c r="FG90" s="154">
        <v>3.0441527258193199E-2</v>
      </c>
      <c r="FH90" s="154">
        <v>3.0441527258193199E-2</v>
      </c>
      <c r="FI90">
        <v>876.49104519025605</v>
      </c>
      <c r="FJ90" s="164">
        <v>0</v>
      </c>
      <c r="FK90" s="164" t="s">
        <v>302</v>
      </c>
      <c r="FL90">
        <v>876.49104519025605</v>
      </c>
      <c r="FM90" s="141">
        <v>274.48070909294393</v>
      </c>
      <c r="FN90" s="141">
        <v>189.92993846419199</v>
      </c>
      <c r="FO90" s="170" t="s">
        <v>303</v>
      </c>
      <c r="FP90" t="s">
        <v>317</v>
      </c>
      <c r="FQ90">
        <v>2654.80986704725</v>
      </c>
      <c r="FR90">
        <v>540.69754500330998</v>
      </c>
      <c r="FS90">
        <v>443.41277245763024</v>
      </c>
      <c r="FT90">
        <v>2474.9950502914999</v>
      </c>
      <c r="FU90">
        <v>533.35261422868007</v>
      </c>
      <c r="FV90">
        <v>432.26026441258978</v>
      </c>
      <c r="FW90" t="s">
        <v>305</v>
      </c>
      <c r="FX90" t="s">
        <v>305</v>
      </c>
      <c r="FY90" t="s">
        <v>305</v>
      </c>
      <c r="FZ90" t="s">
        <v>305</v>
      </c>
      <c r="GA90" t="s">
        <v>305</v>
      </c>
      <c r="GB90" t="s">
        <v>305</v>
      </c>
      <c r="GC90" t="s">
        <v>318</v>
      </c>
    </row>
    <row r="91" spans="1:185" ht="17">
      <c r="A91" t="s">
        <v>180</v>
      </c>
      <c r="B91" s="200" t="s">
        <v>181</v>
      </c>
      <c r="C91" t="s">
        <v>168</v>
      </c>
      <c r="D91" t="s">
        <v>182</v>
      </c>
      <c r="E91">
        <v>2020</v>
      </c>
      <c r="F91" t="s">
        <v>183</v>
      </c>
      <c r="G91" s="141">
        <v>41064.14794921875</v>
      </c>
      <c r="H91">
        <v>1</v>
      </c>
      <c r="I91">
        <v>1</v>
      </c>
      <c r="J91">
        <v>937.83287523967704</v>
      </c>
      <c r="K91" s="204">
        <v>295.47704740189295</v>
      </c>
      <c r="L91" s="204">
        <v>206.321141928781</v>
      </c>
      <c r="M91" s="163" t="b">
        <v>0</v>
      </c>
      <c r="N91" s="163">
        <v>1</v>
      </c>
      <c r="O91" t="s">
        <v>330</v>
      </c>
      <c r="P91" t="b">
        <v>0</v>
      </c>
      <c r="Q91" s="163" t="b">
        <v>1</v>
      </c>
      <c r="R91" s="212" t="s">
        <v>325</v>
      </c>
      <c r="S91" s="163" t="b">
        <v>1</v>
      </c>
      <c r="T91" s="163" t="b">
        <v>0</v>
      </c>
      <c r="U91" s="163" t="s">
        <v>167</v>
      </c>
      <c r="V91" s="163" t="s">
        <v>167</v>
      </c>
      <c r="W91" s="199" t="s">
        <v>167</v>
      </c>
      <c r="X91" s="199" t="s">
        <v>167</v>
      </c>
      <c r="Y91" s="143" t="s">
        <v>184</v>
      </c>
      <c r="Z91" t="s">
        <v>183</v>
      </c>
      <c r="AA91" t="s">
        <v>202</v>
      </c>
      <c r="AB91" t="s">
        <v>191</v>
      </c>
      <c r="AC91">
        <v>9</v>
      </c>
      <c r="AD91">
        <v>3</v>
      </c>
      <c r="AE91">
        <v>0</v>
      </c>
      <c r="AF91">
        <v>12</v>
      </c>
      <c r="AG91">
        <v>125.12</v>
      </c>
      <c r="AH91">
        <v>148.29</v>
      </c>
      <c r="AI91" t="s">
        <v>203</v>
      </c>
      <c r="AJ91" t="s">
        <v>204</v>
      </c>
      <c r="AK91" s="147">
        <v>-28.53295</v>
      </c>
      <c r="AL91" s="147">
        <v>2.7795670000000001</v>
      </c>
      <c r="AM91" s="147">
        <v>-38</v>
      </c>
      <c r="AN91" s="148" t="s">
        <v>167</v>
      </c>
      <c r="AO91" s="148">
        <v>-2717</v>
      </c>
      <c r="AP91" s="147">
        <v>-2000</v>
      </c>
      <c r="AQ91" t="s">
        <v>205</v>
      </c>
      <c r="AR91" t="s">
        <v>190</v>
      </c>
      <c r="AS91" s="141">
        <v>41064.14794921875</v>
      </c>
      <c r="AT91" t="s">
        <v>206</v>
      </c>
      <c r="AU91">
        <v>1</v>
      </c>
      <c r="AV91">
        <v>1</v>
      </c>
      <c r="AW91" t="s">
        <v>207</v>
      </c>
      <c r="AX91" t="s">
        <v>208</v>
      </c>
      <c r="AY91" s="138" t="s">
        <v>209</v>
      </c>
      <c r="AZ91">
        <v>40.847396850585938</v>
      </c>
      <c r="BA91" t="s">
        <v>167</v>
      </c>
      <c r="BB91" t="s">
        <v>167</v>
      </c>
      <c r="BC91" t="s">
        <v>167</v>
      </c>
      <c r="BD91" t="s">
        <v>207</v>
      </c>
      <c r="BE91" t="s">
        <v>210</v>
      </c>
      <c r="BF91" t="s">
        <v>215</v>
      </c>
      <c r="BG91" t="s">
        <v>223</v>
      </c>
      <c r="BH91" t="s">
        <v>217</v>
      </c>
      <c r="BI91" s="157">
        <v>225</v>
      </c>
      <c r="BJ91" s="157">
        <v>3.2509999999999999</v>
      </c>
      <c r="BK91" t="s">
        <v>219</v>
      </c>
      <c r="BL91" t="s">
        <v>220</v>
      </c>
      <c r="BM91" t="s">
        <v>221</v>
      </c>
      <c r="BN91" t="s">
        <v>270</v>
      </c>
      <c r="BO91">
        <v>2</v>
      </c>
      <c r="BP91" s="140">
        <v>0.23947269235404534</v>
      </c>
      <c r="BQ91" s="139">
        <v>13.599735772391901</v>
      </c>
      <c r="BR91" t="s">
        <v>228</v>
      </c>
      <c r="BS91">
        <v>0.237604306714638</v>
      </c>
      <c r="BT91">
        <v>0.95</v>
      </c>
      <c r="BU91" t="s">
        <v>275</v>
      </c>
      <c r="BV91">
        <v>0.17</v>
      </c>
      <c r="BW91">
        <v>-0.42</v>
      </c>
      <c r="BX91" t="s">
        <v>276</v>
      </c>
      <c r="BY91">
        <v>2.85</v>
      </c>
      <c r="BZ91" t="s">
        <v>279</v>
      </c>
      <c r="CA91" t="s">
        <v>278</v>
      </c>
      <c r="CB91">
        <v>14.8043737882871</v>
      </c>
      <c r="CC91" t="s">
        <v>274</v>
      </c>
      <c r="CD91" s="165">
        <v>0.24352529235789966</v>
      </c>
      <c r="CE91" t="s">
        <v>326</v>
      </c>
      <c r="CF91" t="s">
        <v>327</v>
      </c>
      <c r="CG91">
        <v>25</v>
      </c>
      <c r="CH91" t="s">
        <v>280</v>
      </c>
      <c r="CI91" t="s">
        <v>280</v>
      </c>
      <c r="CJ91" s="139">
        <v>25.922816213175</v>
      </c>
      <c r="CK91" t="s">
        <v>281</v>
      </c>
      <c r="CL91" s="140">
        <v>0.55437894615966199</v>
      </c>
      <c r="CM91" s="140">
        <v>0.56884091974858098</v>
      </c>
      <c r="CN91" t="s">
        <v>282</v>
      </c>
      <c r="CO91">
        <v>2.8420855064726198</v>
      </c>
      <c r="CP91" t="s">
        <v>283</v>
      </c>
      <c r="CQ91">
        <v>8.5262565194178588E-2</v>
      </c>
      <c r="CR91">
        <v>8.5262565194178588E-2</v>
      </c>
      <c r="CS91" t="s">
        <v>284</v>
      </c>
      <c r="CT91" t="s">
        <v>167</v>
      </c>
      <c r="CU91" t="s">
        <v>285</v>
      </c>
      <c r="CV91" t="s">
        <v>286</v>
      </c>
      <c r="CW91" t="s">
        <v>280</v>
      </c>
      <c r="CX91" t="s">
        <v>280</v>
      </c>
      <c r="CY91" t="s">
        <v>287</v>
      </c>
      <c r="CZ91" t="s">
        <v>167</v>
      </c>
      <c r="DA91" t="s">
        <v>167</v>
      </c>
      <c r="DB91" t="s">
        <v>167</v>
      </c>
      <c r="DC91" t="s">
        <v>167</v>
      </c>
      <c r="DD91" t="s">
        <v>167</v>
      </c>
      <c r="DE91" t="s">
        <v>167</v>
      </c>
      <c r="DF91" t="s">
        <v>167</v>
      </c>
      <c r="DG91" s="166">
        <v>35</v>
      </c>
      <c r="DH91" t="s">
        <v>288</v>
      </c>
      <c r="DI91">
        <v>1</v>
      </c>
      <c r="DJ91" t="s">
        <v>289</v>
      </c>
      <c r="DK91">
        <v>17</v>
      </c>
      <c r="DL91" t="s">
        <v>290</v>
      </c>
      <c r="DM91" t="s">
        <v>290</v>
      </c>
      <c r="DN91" t="s">
        <v>291</v>
      </c>
      <c r="DO91">
        <v>38</v>
      </c>
      <c r="DP91" t="s">
        <v>290</v>
      </c>
      <c r="DQ91" t="s">
        <v>290</v>
      </c>
      <c r="DR91" t="s">
        <v>291</v>
      </c>
      <c r="DS91" t="s">
        <v>292</v>
      </c>
      <c r="DT91" t="s">
        <v>293</v>
      </c>
      <c r="DU91" t="s">
        <v>293</v>
      </c>
      <c r="DV91" t="s">
        <v>293</v>
      </c>
      <c r="DW91" s="138">
        <v>432.56244218316402</v>
      </c>
      <c r="DX91" t="s">
        <v>294</v>
      </c>
      <c r="DY91" s="138">
        <v>12.358926919523901</v>
      </c>
      <c r="DZ91" t="s">
        <v>295</v>
      </c>
      <c r="EA91">
        <v>38.75</v>
      </c>
      <c r="EB91" t="s">
        <v>296</v>
      </c>
      <c r="EC91">
        <v>0.15</v>
      </c>
      <c r="ED91" t="s">
        <v>328</v>
      </c>
      <c r="EE91" t="s">
        <v>329</v>
      </c>
      <c r="EF91" t="s">
        <v>297</v>
      </c>
      <c r="EG91">
        <v>1.0271999999999999</v>
      </c>
      <c r="EH91" t="s">
        <v>290</v>
      </c>
      <c r="EI91" t="s">
        <v>290</v>
      </c>
      <c r="EJ91" t="s">
        <v>298</v>
      </c>
      <c r="EK91" t="s">
        <v>290</v>
      </c>
      <c r="EL91" t="s">
        <v>290</v>
      </c>
      <c r="EM91" t="s">
        <v>299</v>
      </c>
      <c r="EN91" t="s">
        <v>300</v>
      </c>
      <c r="EO91" t="s">
        <v>329</v>
      </c>
      <c r="EP91" t="s">
        <v>329</v>
      </c>
      <c r="EQ91" t="s">
        <v>329</v>
      </c>
      <c r="ER91" t="s">
        <v>329</v>
      </c>
      <c r="ES91" t="s">
        <v>167</v>
      </c>
      <c r="ET91" t="s">
        <v>313</v>
      </c>
      <c r="EU91" t="s">
        <v>314</v>
      </c>
      <c r="EV91" t="s">
        <v>315</v>
      </c>
      <c r="EW91" t="s">
        <v>316</v>
      </c>
      <c r="EX91" t="s">
        <v>316</v>
      </c>
      <c r="EY91" t="s">
        <v>316</v>
      </c>
      <c r="EZ91" t="s">
        <v>316</v>
      </c>
      <c r="FA91">
        <v>6.25</v>
      </c>
      <c r="FB91" t="s">
        <v>296</v>
      </c>
      <c r="FC91">
        <v>1</v>
      </c>
      <c r="FD91">
        <v>1</v>
      </c>
      <c r="FE91">
        <v>7.7924248412305204</v>
      </c>
      <c r="FF91" s="164" t="s">
        <v>301</v>
      </c>
      <c r="FG91" s="154">
        <v>3.2236389793429902E-2</v>
      </c>
      <c r="FH91" s="154">
        <v>3.2236389793429902E-2</v>
      </c>
      <c r="FI91">
        <v>937.83287523967704</v>
      </c>
      <c r="FJ91" s="164">
        <v>0</v>
      </c>
      <c r="FK91" s="164" t="s">
        <v>302</v>
      </c>
      <c r="FL91">
        <v>937.83287523967704</v>
      </c>
      <c r="FM91" s="141">
        <v>295.47704740189295</v>
      </c>
      <c r="FN91" s="141">
        <v>206.321141928781</v>
      </c>
      <c r="FO91" s="170" t="s">
        <v>303</v>
      </c>
      <c r="FP91" t="s">
        <v>317</v>
      </c>
      <c r="FQ91">
        <v>2694.2640006792799</v>
      </c>
      <c r="FR91">
        <v>565.28384215204017</v>
      </c>
      <c r="FS91">
        <v>438.49697705066001</v>
      </c>
      <c r="FT91">
        <v>2513.0872927494897</v>
      </c>
      <c r="FU91">
        <v>564.05517646369037</v>
      </c>
      <c r="FV91">
        <v>423.13795766918969</v>
      </c>
      <c r="FW91" t="s">
        <v>305</v>
      </c>
      <c r="FX91" t="s">
        <v>305</v>
      </c>
      <c r="FY91" t="s">
        <v>305</v>
      </c>
      <c r="FZ91" t="s">
        <v>305</v>
      </c>
      <c r="GA91" t="s">
        <v>305</v>
      </c>
      <c r="GB91" t="s">
        <v>305</v>
      </c>
      <c r="GC91" t="s">
        <v>318</v>
      </c>
    </row>
    <row r="92" spans="1:185" ht="16">
      <c r="B92" s="144"/>
      <c r="G92" s="141"/>
      <c r="H92" s="141"/>
      <c r="I92" s="141"/>
      <c r="J92" s="141"/>
      <c r="K92" s="141"/>
      <c r="L92" s="141"/>
      <c r="P92" s="142"/>
      <c r="Y92" s="143"/>
      <c r="AG92" s="146"/>
      <c r="AK92" s="147"/>
      <c r="AL92" s="147"/>
      <c r="AM92" s="147"/>
      <c r="AN92" s="148"/>
      <c r="AO92" s="148"/>
      <c r="AP92" s="148"/>
      <c r="AS92" s="141"/>
      <c r="AY92" s="138"/>
      <c r="BI92" s="155"/>
      <c r="BJ92" s="156"/>
      <c r="BP92" s="140"/>
      <c r="BQ92" s="139"/>
      <c r="BW92" s="163"/>
      <c r="CB92" s="164"/>
      <c r="CD92" s="165"/>
      <c r="CJ92" s="139"/>
      <c r="CL92" s="140"/>
      <c r="CM92" s="140"/>
      <c r="DG92" s="166"/>
      <c r="DW92" s="138"/>
      <c r="DY92" s="138"/>
      <c r="EW92" s="167"/>
      <c r="FE92" s="168"/>
      <c r="FF92" s="164"/>
      <c r="FG92" s="168"/>
      <c r="FH92" s="168"/>
      <c r="FJ92" s="164"/>
      <c r="FK92" s="164"/>
      <c r="FO92" s="170"/>
      <c r="FT92" s="141"/>
      <c r="FU92" s="141"/>
      <c r="FV92" s="141"/>
    </row>
    <row r="93" spans="1:185" ht="16">
      <c r="B93" s="144"/>
      <c r="G93" s="141"/>
      <c r="H93" s="141"/>
      <c r="I93" s="141"/>
      <c r="J93" s="141"/>
      <c r="K93" s="141"/>
      <c r="L93" s="141"/>
      <c r="P93" s="142"/>
      <c r="Y93" s="143"/>
      <c r="AE93" s="141"/>
      <c r="AG93" s="146"/>
      <c r="AK93" s="147"/>
      <c r="AL93" s="147"/>
      <c r="AM93" s="147"/>
      <c r="AN93" s="148"/>
      <c r="AO93" s="148"/>
      <c r="AP93" s="148"/>
      <c r="AS93" s="141"/>
      <c r="AY93" s="138"/>
      <c r="BI93" s="157"/>
      <c r="BJ93" s="158"/>
      <c r="BP93" s="140"/>
      <c r="BQ93" s="139"/>
      <c r="BW93" s="163"/>
      <c r="CB93" s="164"/>
      <c r="CD93" s="165"/>
      <c r="CJ93" s="139"/>
      <c r="CL93" s="140"/>
      <c r="CM93" s="140"/>
      <c r="DG93" s="166"/>
      <c r="DW93" s="138"/>
      <c r="DY93" s="138"/>
      <c r="EW93" s="167"/>
      <c r="FE93" s="168"/>
      <c r="FF93" s="164"/>
      <c r="FG93" s="168"/>
      <c r="FH93" s="168"/>
      <c r="FJ93" s="164"/>
      <c r="FK93" s="164"/>
      <c r="FO93" s="170"/>
      <c r="FT93" s="141"/>
      <c r="FU93" s="141"/>
      <c r="FV93" s="141"/>
    </row>
    <row r="94" spans="1:185" ht="16">
      <c r="B94" s="144"/>
      <c r="G94" s="141"/>
      <c r="H94" s="141"/>
      <c r="I94" s="141"/>
      <c r="J94" s="141"/>
      <c r="K94" s="141"/>
      <c r="L94" s="141"/>
      <c r="P94" s="142"/>
      <c r="Y94" s="143"/>
      <c r="AG94" s="146"/>
      <c r="AK94" s="147"/>
      <c r="AL94" s="147"/>
      <c r="AM94" s="147"/>
      <c r="AN94" s="148"/>
      <c r="AO94" s="148"/>
      <c r="AP94" s="148"/>
      <c r="AS94" s="141"/>
      <c r="AY94" s="138"/>
      <c r="BI94" s="157"/>
      <c r="BJ94" s="158"/>
      <c r="BP94" s="140"/>
      <c r="BQ94" s="139"/>
      <c r="BW94" s="163"/>
      <c r="CB94" s="164"/>
      <c r="CD94" s="165"/>
      <c r="CJ94" s="139"/>
      <c r="CL94" s="140"/>
      <c r="CM94" s="140"/>
      <c r="DG94" s="166"/>
      <c r="DW94" s="138"/>
      <c r="DY94" s="138"/>
      <c r="EW94" s="167"/>
      <c r="FE94" s="168"/>
      <c r="FF94" s="164"/>
      <c r="FG94" s="168"/>
      <c r="FH94" s="168"/>
      <c r="FJ94" s="164"/>
      <c r="FK94" s="164"/>
      <c r="FO94" s="170"/>
      <c r="FT94" s="141"/>
      <c r="FU94" s="141"/>
      <c r="FV94" s="141"/>
    </row>
    <row r="95" spans="1:185" ht="16">
      <c r="B95" s="144"/>
      <c r="G95" s="141"/>
      <c r="H95" s="141"/>
      <c r="I95" s="141"/>
      <c r="J95" s="141"/>
      <c r="K95" s="141"/>
      <c r="L95" s="141"/>
      <c r="P95" s="142"/>
      <c r="Y95" s="143"/>
      <c r="AG95" s="146"/>
      <c r="AK95" s="147"/>
      <c r="AL95" s="147"/>
      <c r="AM95" s="147"/>
      <c r="AN95" s="148"/>
      <c r="AO95" s="148"/>
      <c r="AP95" s="148"/>
      <c r="AS95" s="141"/>
      <c r="AY95" s="138"/>
      <c r="BI95" s="157"/>
      <c r="BJ95" s="158"/>
      <c r="BP95" s="140"/>
      <c r="BQ95" s="139"/>
      <c r="BW95" s="163"/>
      <c r="CB95" s="153"/>
      <c r="CD95" s="165"/>
      <c r="CJ95" s="139"/>
      <c r="CL95" s="140"/>
      <c r="CM95" s="140"/>
      <c r="DG95" s="166"/>
      <c r="DW95" s="138"/>
      <c r="DY95" s="138"/>
      <c r="EW95" s="167"/>
      <c r="FF95" s="164"/>
      <c r="FG95" s="154"/>
      <c r="FH95" s="154"/>
      <c r="FJ95" s="164"/>
      <c r="FK95" s="164"/>
      <c r="FO95" s="170"/>
      <c r="FT95" s="141"/>
      <c r="FU95" s="141"/>
      <c r="FV95" s="141"/>
    </row>
    <row r="96" spans="1:185" ht="16">
      <c r="B96" s="144"/>
      <c r="G96" s="141"/>
      <c r="H96" s="141"/>
      <c r="I96" s="141"/>
      <c r="J96" s="141"/>
      <c r="K96" s="141"/>
      <c r="L96" s="141"/>
      <c r="P96" s="142"/>
      <c r="Y96" s="143"/>
      <c r="AG96" s="146"/>
      <c r="AK96" s="147"/>
      <c r="AL96" s="147"/>
      <c r="AM96" s="147"/>
      <c r="AN96" s="148"/>
      <c r="AO96" s="148"/>
      <c r="AP96" s="148"/>
      <c r="AS96" s="141"/>
      <c r="AY96" s="138"/>
      <c r="BI96" s="157"/>
      <c r="BJ96" s="158"/>
      <c r="BP96" s="140"/>
      <c r="BQ96" s="139"/>
      <c r="BW96" s="163"/>
      <c r="CB96" s="153"/>
      <c r="CD96" s="165"/>
      <c r="CJ96" s="139"/>
      <c r="CL96" s="140"/>
      <c r="CM96" s="140"/>
      <c r="DG96" s="166"/>
      <c r="DW96" s="138"/>
      <c r="DY96" s="138"/>
      <c r="EW96" s="167"/>
      <c r="FF96" s="164"/>
      <c r="FG96" s="154"/>
      <c r="FH96" s="154"/>
      <c r="FJ96" s="164"/>
      <c r="FK96" s="164"/>
      <c r="FO96" s="170"/>
      <c r="FT96" s="141"/>
      <c r="FU96" s="141"/>
      <c r="FV96" s="141"/>
    </row>
    <row r="97" spans="2:178" ht="16">
      <c r="B97" s="144"/>
      <c r="G97" s="141"/>
      <c r="H97" s="141"/>
      <c r="I97" s="141"/>
      <c r="J97" s="141"/>
      <c r="K97" s="141"/>
      <c r="L97" s="141"/>
      <c r="P97" s="142"/>
      <c r="Y97" s="143"/>
      <c r="AG97" s="146"/>
      <c r="AK97" s="147"/>
      <c r="AL97" s="147"/>
      <c r="AM97" s="147"/>
      <c r="AN97" s="148"/>
      <c r="AO97" s="148"/>
      <c r="AP97" s="148"/>
      <c r="AS97" s="141"/>
      <c r="AY97" s="138"/>
      <c r="BI97" s="157"/>
      <c r="BJ97" s="158"/>
      <c r="BP97" s="140"/>
      <c r="BQ97" s="139"/>
      <c r="BW97" s="163"/>
      <c r="CB97" s="153"/>
      <c r="CD97" s="165"/>
      <c r="CJ97" s="139"/>
      <c r="CL97" s="140"/>
      <c r="CM97" s="140"/>
      <c r="DG97" s="166"/>
      <c r="DW97" s="138"/>
      <c r="DY97" s="138"/>
      <c r="EW97" s="167"/>
      <c r="FF97" s="164"/>
      <c r="FG97" s="154"/>
      <c r="FH97" s="154"/>
      <c r="FJ97" s="164"/>
      <c r="FK97" s="164"/>
      <c r="FO97" s="170"/>
      <c r="FT97" s="141"/>
      <c r="FU97" s="141"/>
      <c r="FV97" s="141"/>
    </row>
    <row r="98" spans="2:178" ht="16">
      <c r="B98" s="144"/>
      <c r="G98" s="141"/>
      <c r="H98" s="141"/>
      <c r="I98" s="141"/>
      <c r="J98" s="141"/>
      <c r="K98" s="141"/>
      <c r="L98" s="141"/>
      <c r="P98" s="142"/>
      <c r="Y98" s="143"/>
      <c r="AG98" s="146"/>
      <c r="AK98" s="147"/>
      <c r="AL98" s="147"/>
      <c r="AM98" s="147"/>
      <c r="AN98" s="148"/>
      <c r="AO98" s="148"/>
      <c r="AP98" s="148"/>
      <c r="AS98" s="141"/>
      <c r="AY98" s="138"/>
      <c r="BI98" s="157"/>
      <c r="BJ98" s="158"/>
      <c r="BP98" s="140"/>
      <c r="BQ98" s="139"/>
      <c r="BW98" s="163"/>
      <c r="CB98" s="153"/>
      <c r="CD98" s="165"/>
      <c r="CJ98" s="139"/>
      <c r="CL98" s="140"/>
      <c r="CM98" s="140"/>
      <c r="DG98" s="166"/>
      <c r="DW98" s="138"/>
      <c r="DY98" s="138"/>
      <c r="EW98" s="167"/>
      <c r="FF98" s="164"/>
      <c r="FG98" s="154"/>
      <c r="FH98" s="154"/>
      <c r="FJ98" s="164"/>
      <c r="FK98" s="164"/>
      <c r="FO98" s="170"/>
      <c r="FT98" s="141"/>
      <c r="FU98" s="141"/>
      <c r="FV98" s="141"/>
    </row>
    <row r="99" spans="2:178" ht="16">
      <c r="B99" s="144"/>
      <c r="G99" s="141"/>
      <c r="H99" s="141"/>
      <c r="I99" s="141"/>
      <c r="J99" s="141"/>
      <c r="K99" s="141"/>
      <c r="L99" s="141"/>
      <c r="P99" s="142"/>
      <c r="Y99" s="143"/>
      <c r="AG99" s="146"/>
      <c r="AK99" s="147"/>
      <c r="AL99" s="147"/>
      <c r="AM99" s="147"/>
      <c r="AN99" s="148"/>
      <c r="AO99" s="148"/>
      <c r="AP99" s="148"/>
      <c r="AS99" s="141"/>
      <c r="AY99" s="138"/>
      <c r="BI99" s="157"/>
      <c r="BJ99" s="158"/>
      <c r="BP99" s="140"/>
      <c r="BQ99" s="139"/>
      <c r="BW99" s="163"/>
      <c r="CB99" s="153"/>
      <c r="CD99" s="165"/>
      <c r="CJ99" s="139"/>
      <c r="CL99" s="140"/>
      <c r="CM99" s="140"/>
      <c r="DG99" s="166"/>
      <c r="DW99" s="138"/>
      <c r="DY99" s="138"/>
      <c r="EW99" s="167"/>
      <c r="FF99" s="164"/>
      <c r="FG99" s="154"/>
      <c r="FH99" s="154"/>
      <c r="FJ99" s="164"/>
      <c r="FK99" s="164"/>
      <c r="FO99" s="170"/>
      <c r="FT99" s="141"/>
      <c r="FU99" s="141"/>
      <c r="FV99" s="141"/>
    </row>
    <row r="100" spans="2:178" ht="16">
      <c r="B100" s="144"/>
      <c r="G100" s="141"/>
      <c r="H100" s="141"/>
      <c r="I100" s="141"/>
      <c r="J100" s="141"/>
      <c r="K100" s="141"/>
      <c r="L100" s="141"/>
      <c r="P100" s="142"/>
      <c r="Y100" s="143"/>
      <c r="AG100" s="146"/>
      <c r="AK100" s="147"/>
      <c r="AL100" s="147"/>
      <c r="AM100" s="147"/>
      <c r="AN100" s="148"/>
      <c r="AO100" s="148"/>
      <c r="AP100" s="148"/>
      <c r="AS100" s="141"/>
      <c r="AY100" s="138"/>
      <c r="BI100" s="157"/>
      <c r="BJ100" s="158"/>
      <c r="BP100" s="140"/>
      <c r="BQ100" s="139"/>
      <c r="BW100" s="163"/>
      <c r="CB100" s="153"/>
      <c r="CD100" s="165"/>
      <c r="CJ100" s="139"/>
      <c r="CL100" s="140"/>
      <c r="CM100" s="140"/>
      <c r="DG100" s="166"/>
      <c r="DW100" s="138"/>
      <c r="DY100" s="138"/>
      <c r="EW100" s="167"/>
      <c r="FF100" s="164"/>
      <c r="FG100" s="154"/>
      <c r="FH100" s="154"/>
      <c r="FJ100" s="164"/>
      <c r="FK100" s="164"/>
      <c r="FO100" s="170"/>
      <c r="FT100" s="141"/>
      <c r="FU100" s="141"/>
      <c r="FV100" s="141"/>
    </row>
    <row r="101" spans="2:178" ht="16">
      <c r="B101" s="144"/>
      <c r="G101" s="141"/>
      <c r="H101" s="141"/>
      <c r="I101" s="141"/>
      <c r="J101" s="141"/>
      <c r="K101" s="141"/>
      <c r="L101" s="141"/>
      <c r="P101" s="142"/>
      <c r="Y101" s="143"/>
      <c r="AG101" s="146"/>
      <c r="AK101" s="147"/>
      <c r="AL101" s="147"/>
      <c r="AM101" s="147"/>
      <c r="AN101" s="148"/>
      <c r="AO101" s="148"/>
      <c r="AP101" s="148"/>
      <c r="AS101" s="141"/>
      <c r="AY101" s="138"/>
      <c r="BI101" s="157"/>
      <c r="BJ101" s="156"/>
      <c r="BP101" s="140"/>
      <c r="BQ101" s="139"/>
      <c r="BW101" s="163"/>
      <c r="CB101" s="153"/>
      <c r="CD101" s="165"/>
      <c r="CJ101" s="139"/>
      <c r="CL101" s="140"/>
      <c r="CM101" s="140"/>
      <c r="DG101" s="166"/>
      <c r="DW101" s="138"/>
      <c r="DY101" s="138"/>
      <c r="EW101" s="167"/>
      <c r="FF101" s="164"/>
      <c r="FG101" s="154"/>
      <c r="FH101" s="154"/>
      <c r="FJ101" s="164"/>
      <c r="FK101" s="164"/>
      <c r="FO101" s="170"/>
      <c r="FT101" s="141"/>
      <c r="FU101" s="141"/>
      <c r="FV101" s="141"/>
    </row>
    <row r="102" spans="2:178" ht="16">
      <c r="B102" s="144"/>
      <c r="G102" s="141"/>
      <c r="H102" s="145"/>
      <c r="I102" s="145"/>
      <c r="J102" s="141"/>
      <c r="K102" s="141"/>
      <c r="L102" s="141"/>
      <c r="P102" s="142"/>
      <c r="Y102" s="143"/>
      <c r="AA102" s="149"/>
      <c r="AB102" s="149"/>
      <c r="AC102" s="149"/>
      <c r="AD102" s="149"/>
      <c r="AE102" s="149"/>
      <c r="AF102" s="149"/>
      <c r="AG102" s="149"/>
      <c r="AH102" s="149"/>
      <c r="AI102" s="149"/>
      <c r="AJ102" s="149"/>
      <c r="AK102" s="150"/>
      <c r="AL102" s="150"/>
      <c r="AM102" s="150"/>
      <c r="AN102" s="151"/>
      <c r="AO102" s="151"/>
      <c r="AP102" s="151"/>
      <c r="AQ102" s="149"/>
      <c r="AR102" s="149"/>
      <c r="AS102" s="141"/>
      <c r="AT102" s="149"/>
      <c r="AU102" s="149"/>
      <c r="AV102" s="149"/>
      <c r="AW102" s="149"/>
      <c r="AX102" s="149"/>
      <c r="AY102" s="149"/>
      <c r="AZ102" s="149"/>
      <c r="BA102" s="149"/>
      <c r="BB102" s="149"/>
      <c r="BC102" s="149"/>
      <c r="BD102" s="149"/>
      <c r="BE102" s="149"/>
      <c r="BF102" s="149"/>
      <c r="BG102" s="149"/>
      <c r="BH102" s="149"/>
      <c r="BI102" s="155"/>
      <c r="BJ102" s="155"/>
      <c r="BK102" s="149"/>
      <c r="BL102" s="149"/>
      <c r="BM102" s="149"/>
      <c r="BN102" s="149"/>
      <c r="BO102" s="149"/>
      <c r="BP102" s="160"/>
      <c r="BQ102" s="161"/>
      <c r="BR102" s="149"/>
      <c r="BS102" s="149"/>
      <c r="BW102" s="163"/>
      <c r="CB102" s="152"/>
      <c r="CD102" s="165"/>
      <c r="CJ102" s="139"/>
      <c r="CL102" s="140"/>
      <c r="CM102" s="140"/>
      <c r="CQ102" s="149"/>
      <c r="CR102" s="149"/>
      <c r="DG102" s="166"/>
      <c r="DW102" s="138"/>
      <c r="DY102" s="138"/>
      <c r="EW102" s="167"/>
      <c r="FE102" s="149"/>
      <c r="FF102" s="164"/>
      <c r="FG102" s="169"/>
      <c r="FH102" s="169"/>
      <c r="FJ102" s="164"/>
      <c r="FK102" s="164"/>
      <c r="FO102" s="170"/>
      <c r="FT102" s="141"/>
      <c r="FU102" s="141"/>
      <c r="FV102" s="141"/>
    </row>
    <row r="103" spans="2:178" ht="16">
      <c r="B103" s="144"/>
      <c r="G103" s="141"/>
      <c r="H103" s="141"/>
      <c r="I103" s="141"/>
      <c r="J103" s="141"/>
      <c r="K103" s="141"/>
      <c r="L103" s="141"/>
      <c r="P103" s="142"/>
      <c r="Y103" s="143"/>
      <c r="AK103" s="147"/>
      <c r="AL103" s="147"/>
      <c r="AM103" s="147"/>
      <c r="AN103" s="148"/>
      <c r="AO103" s="148"/>
      <c r="AP103" s="148"/>
      <c r="AS103" s="141"/>
      <c r="BI103" s="157"/>
      <c r="BJ103" s="156"/>
      <c r="BP103" s="140"/>
      <c r="BQ103" s="139"/>
      <c r="BW103" s="163"/>
      <c r="CB103" s="153"/>
      <c r="CD103" s="165"/>
      <c r="CJ103" s="139"/>
      <c r="CL103" s="140"/>
      <c r="CM103" s="140"/>
      <c r="DG103" s="166"/>
      <c r="DW103" s="138"/>
      <c r="DY103" s="138"/>
      <c r="EW103" s="167"/>
      <c r="FF103" s="164"/>
      <c r="FG103" s="154"/>
      <c r="FH103" s="154"/>
      <c r="FJ103" s="164"/>
      <c r="FK103" s="164"/>
      <c r="FO103" s="170"/>
      <c r="FT103" s="141"/>
      <c r="FU103" s="141"/>
      <c r="FV103" s="141"/>
    </row>
    <row r="104" spans="2:178" ht="16">
      <c r="B104" s="144"/>
      <c r="G104" s="141"/>
      <c r="H104" s="141"/>
      <c r="I104" s="141"/>
      <c r="J104" s="141"/>
      <c r="K104" s="141"/>
      <c r="L104" s="141"/>
      <c r="P104" s="142"/>
      <c r="Y104" s="143"/>
      <c r="AK104" s="147"/>
      <c r="AL104" s="147"/>
      <c r="AM104" s="147"/>
      <c r="AN104" s="148"/>
      <c r="AO104" s="148"/>
      <c r="AP104" s="148"/>
      <c r="AS104" s="141"/>
      <c r="BI104" s="157"/>
      <c r="BJ104" s="157"/>
      <c r="BP104" s="140"/>
      <c r="BQ104" s="139"/>
      <c r="BW104" s="163"/>
      <c r="CB104" s="153"/>
      <c r="CD104" s="165"/>
      <c r="CJ104" s="139"/>
      <c r="CL104" s="140"/>
      <c r="CM104" s="140"/>
      <c r="DG104" s="166"/>
      <c r="DW104" s="138"/>
      <c r="DY104" s="138"/>
      <c r="EW104" s="167"/>
      <c r="FF104" s="164"/>
      <c r="FG104" s="154"/>
      <c r="FH104" s="154"/>
      <c r="FJ104" s="164"/>
      <c r="FK104" s="164"/>
      <c r="FO104" s="170"/>
      <c r="FT104" s="141"/>
      <c r="FU104" s="141"/>
      <c r="FV104" s="141"/>
    </row>
    <row r="105" spans="2:178" ht="16">
      <c r="B105" s="144"/>
      <c r="G105" s="141"/>
      <c r="H105" s="141"/>
      <c r="I105" s="141"/>
      <c r="J105" s="141"/>
      <c r="K105" s="141"/>
      <c r="L105" s="141"/>
      <c r="P105" s="142"/>
      <c r="Y105" s="143"/>
      <c r="AK105" s="147"/>
      <c r="AL105" s="147"/>
      <c r="AM105" s="147"/>
      <c r="AN105" s="148"/>
      <c r="AO105" s="148"/>
      <c r="AP105" s="148"/>
      <c r="AS105" s="141"/>
      <c r="BI105" s="157"/>
      <c r="BJ105" s="157"/>
      <c r="BP105" s="140"/>
      <c r="BQ105" s="139"/>
      <c r="BW105" s="163"/>
      <c r="CB105" s="153"/>
      <c r="CD105" s="165"/>
      <c r="CJ105" s="139"/>
      <c r="CL105" s="140"/>
      <c r="CM105" s="140"/>
      <c r="DG105" s="166"/>
      <c r="DW105" s="138"/>
      <c r="DY105" s="138"/>
      <c r="EW105" s="167"/>
      <c r="FF105" s="164"/>
      <c r="FG105" s="154"/>
      <c r="FH105" s="154"/>
      <c r="FJ105" s="164"/>
      <c r="FK105" s="164"/>
      <c r="FO105" s="170"/>
      <c r="FT105" s="141"/>
      <c r="FU105" s="141"/>
      <c r="FV105" s="141"/>
    </row>
    <row r="106" spans="2:178" ht="16">
      <c r="B106" s="144"/>
      <c r="G106" s="141"/>
      <c r="H106" s="141"/>
      <c r="I106" s="141"/>
      <c r="J106" s="141"/>
      <c r="K106" s="141"/>
      <c r="L106" s="141"/>
      <c r="P106" s="142"/>
      <c r="Y106" s="143"/>
      <c r="AK106" s="147"/>
      <c r="AL106" s="147"/>
      <c r="AM106" s="147"/>
      <c r="AN106" s="148"/>
      <c r="AO106" s="148"/>
      <c r="AP106" s="148"/>
      <c r="AS106" s="141"/>
      <c r="BI106" s="157"/>
      <c r="BJ106" s="157"/>
      <c r="BP106" s="140"/>
      <c r="BQ106" s="139"/>
      <c r="BW106" s="163"/>
      <c r="CB106" s="153"/>
      <c r="CD106" s="165"/>
      <c r="CJ106" s="139"/>
      <c r="CL106" s="140"/>
      <c r="CM106" s="140"/>
      <c r="DG106" s="166"/>
      <c r="DW106" s="138"/>
      <c r="DY106" s="138"/>
      <c r="EW106" s="167"/>
      <c r="FF106" s="164"/>
      <c r="FG106" s="154"/>
      <c r="FH106" s="154"/>
      <c r="FJ106" s="164"/>
      <c r="FK106" s="164"/>
      <c r="FO106" s="170"/>
      <c r="FT106" s="141"/>
      <c r="FU106" s="141"/>
      <c r="FV106" s="141"/>
    </row>
    <row r="107" spans="2:178" ht="16">
      <c r="B107" s="144"/>
      <c r="G107" s="141"/>
      <c r="H107" s="141"/>
      <c r="I107" s="141"/>
      <c r="J107" s="141"/>
      <c r="K107" s="141"/>
      <c r="L107" s="141"/>
      <c r="P107" s="142"/>
      <c r="Y107" s="143"/>
      <c r="AK107" s="147"/>
      <c r="AL107" s="147"/>
      <c r="AM107" s="147"/>
      <c r="AN107" s="148"/>
      <c r="AO107" s="148"/>
      <c r="AP107" s="148"/>
      <c r="AS107" s="141"/>
      <c r="BI107" s="157"/>
      <c r="BJ107" s="157"/>
      <c r="BP107" s="140"/>
      <c r="BQ107" s="139"/>
      <c r="BW107" s="163"/>
      <c r="CB107" s="153"/>
      <c r="CD107" s="165"/>
      <c r="CJ107" s="139"/>
      <c r="CL107" s="140"/>
      <c r="CM107" s="140"/>
      <c r="DG107" s="166"/>
      <c r="DW107" s="138"/>
      <c r="DY107" s="138"/>
      <c r="EW107" s="167"/>
      <c r="FF107" s="164"/>
      <c r="FG107" s="154"/>
      <c r="FH107" s="154"/>
      <c r="FJ107" s="164"/>
      <c r="FK107" s="164"/>
      <c r="FO107" s="170"/>
      <c r="FT107" s="141"/>
      <c r="FU107" s="141"/>
      <c r="FV107" s="141"/>
    </row>
    <row r="108" spans="2:178" ht="16">
      <c r="B108" s="144"/>
      <c r="G108" s="141"/>
      <c r="H108" s="141"/>
      <c r="I108" s="141"/>
      <c r="J108" s="141"/>
      <c r="K108" s="141"/>
      <c r="L108" s="141"/>
      <c r="P108" s="142"/>
      <c r="Y108" s="143"/>
      <c r="AK108" s="147"/>
      <c r="AL108" s="147"/>
      <c r="AM108" s="147"/>
      <c r="AN108" s="148"/>
      <c r="AO108" s="148"/>
      <c r="AP108" s="148"/>
      <c r="AS108" s="141"/>
      <c r="BI108" s="157"/>
      <c r="BJ108" s="156"/>
      <c r="BP108" s="162"/>
      <c r="BQ108" s="139"/>
      <c r="BW108" s="163"/>
      <c r="CB108" s="153"/>
      <c r="CD108" s="165"/>
      <c r="CJ108" s="139"/>
      <c r="CL108" s="140"/>
      <c r="CM108" s="140"/>
      <c r="DG108" s="166"/>
      <c r="DW108" s="138"/>
      <c r="DY108" s="138"/>
      <c r="EW108" s="167"/>
      <c r="FF108" s="164"/>
      <c r="FG108" s="154"/>
      <c r="FH108" s="154"/>
      <c r="FJ108" s="164"/>
      <c r="FK108" s="164"/>
      <c r="FO108" s="170"/>
      <c r="FT108" s="141"/>
      <c r="FU108" s="141"/>
      <c r="FV108" s="141"/>
    </row>
    <row r="109" spans="2:178" ht="16">
      <c r="B109" s="144"/>
      <c r="G109" s="141"/>
      <c r="H109" s="141"/>
      <c r="I109" s="141"/>
      <c r="J109" s="141"/>
      <c r="K109" s="141"/>
      <c r="L109" s="141"/>
      <c r="P109" s="142"/>
      <c r="Y109" s="143"/>
      <c r="AK109" s="147"/>
      <c r="AL109" s="147"/>
      <c r="AM109" s="147"/>
      <c r="AN109" s="148"/>
      <c r="AO109" s="148"/>
      <c r="AP109" s="148"/>
      <c r="AS109" s="141"/>
      <c r="BI109" s="157"/>
      <c r="BJ109" s="156"/>
      <c r="BP109" s="162"/>
      <c r="BQ109" s="139"/>
      <c r="BW109" s="163"/>
      <c r="CB109" s="153"/>
      <c r="CD109" s="165"/>
      <c r="CJ109" s="139"/>
      <c r="CL109" s="140"/>
      <c r="CM109" s="140"/>
      <c r="DG109" s="166"/>
      <c r="DW109" s="138"/>
      <c r="DY109" s="138"/>
      <c r="EW109" s="167"/>
      <c r="FF109" s="164"/>
      <c r="FG109" s="154"/>
      <c r="FH109" s="154"/>
      <c r="FJ109" s="164"/>
      <c r="FK109" s="164"/>
      <c r="FO109" s="170"/>
      <c r="FT109" s="141"/>
      <c r="FU109" s="141"/>
      <c r="FV109" s="141"/>
    </row>
    <row r="110" spans="2:178" ht="16">
      <c r="B110" s="144"/>
      <c r="G110" s="141"/>
      <c r="H110" s="141"/>
      <c r="I110" s="141"/>
      <c r="J110" s="141"/>
      <c r="K110" s="141"/>
      <c r="L110" s="141"/>
      <c r="P110" s="142"/>
      <c r="Y110" s="143"/>
      <c r="AK110" s="147"/>
      <c r="AL110" s="147"/>
      <c r="AM110" s="147"/>
      <c r="AN110" s="148"/>
      <c r="AO110" s="148"/>
      <c r="AP110" s="148"/>
      <c r="AS110" s="141"/>
      <c r="BI110" s="157"/>
      <c r="BJ110" s="157"/>
      <c r="BP110" s="140"/>
      <c r="BQ110" s="139"/>
      <c r="BW110" s="163"/>
      <c r="CB110" s="153"/>
      <c r="CD110" s="165"/>
      <c r="CJ110" s="139"/>
      <c r="CL110" s="140"/>
      <c r="CM110" s="140"/>
      <c r="DG110" s="166"/>
      <c r="DW110" s="138"/>
      <c r="DY110" s="138"/>
      <c r="EW110" s="167"/>
      <c r="FF110" s="164"/>
      <c r="FG110" s="154"/>
      <c r="FH110" s="154"/>
      <c r="FJ110" s="164"/>
      <c r="FK110" s="164"/>
      <c r="FO110" s="170"/>
      <c r="FT110" s="141"/>
      <c r="FU110" s="141"/>
      <c r="FV110" s="141"/>
    </row>
    <row r="111" spans="2:178" ht="16">
      <c r="B111" s="144"/>
      <c r="G111" s="141"/>
      <c r="H111" s="141"/>
      <c r="I111" s="141"/>
      <c r="J111" s="141"/>
      <c r="K111" s="141"/>
      <c r="L111" s="141"/>
      <c r="P111" s="142"/>
      <c r="Y111" s="143"/>
      <c r="AK111" s="147"/>
      <c r="AL111" s="147"/>
      <c r="AM111" s="147"/>
      <c r="AN111" s="148"/>
      <c r="AO111" s="148"/>
      <c r="AP111" s="148"/>
      <c r="AS111" s="141"/>
      <c r="BI111" s="157"/>
      <c r="BJ111" s="158"/>
      <c r="BP111" s="140"/>
      <c r="BQ111" s="139"/>
      <c r="BW111" s="163"/>
      <c r="CB111" s="153"/>
      <c r="CD111" s="165"/>
      <c r="CJ111" s="139"/>
      <c r="CL111" s="140"/>
      <c r="CM111" s="140"/>
      <c r="DG111" s="166"/>
      <c r="DW111" s="138"/>
      <c r="DY111" s="138"/>
      <c r="EW111" s="167"/>
      <c r="FF111" s="164"/>
      <c r="FG111" s="154"/>
      <c r="FH111" s="154"/>
      <c r="FJ111" s="164"/>
      <c r="FK111" s="164"/>
      <c r="FO111" s="170"/>
      <c r="FT111" s="141"/>
      <c r="FU111" s="141"/>
      <c r="FV111" s="141"/>
    </row>
    <row r="112" spans="2:178" ht="16">
      <c r="B112" s="144"/>
      <c r="G112" s="141"/>
      <c r="H112" s="141"/>
      <c r="I112" s="141"/>
      <c r="J112" s="141"/>
      <c r="K112" s="141"/>
      <c r="L112" s="141"/>
      <c r="P112" s="142"/>
      <c r="Y112" s="143"/>
      <c r="AK112" s="147"/>
      <c r="AL112" s="147"/>
      <c r="AM112" s="147"/>
      <c r="AN112" s="148"/>
      <c r="AO112" s="148"/>
      <c r="AP112" s="148"/>
      <c r="AS112" s="141"/>
      <c r="BI112" s="157"/>
      <c r="BJ112" s="157"/>
      <c r="BP112" s="140"/>
      <c r="BQ112" s="139"/>
      <c r="BW112" s="163"/>
      <c r="CB112" s="153"/>
      <c r="CD112" s="165"/>
      <c r="CJ112" s="139"/>
      <c r="CL112" s="140"/>
      <c r="CM112" s="140"/>
      <c r="DG112" s="166"/>
      <c r="DW112" s="138"/>
      <c r="DY112" s="138"/>
      <c r="EW112" s="167"/>
      <c r="FF112" s="164"/>
      <c r="FG112" s="154"/>
      <c r="FH112" s="154"/>
      <c r="FJ112" s="164"/>
      <c r="FK112" s="164"/>
      <c r="FO112" s="170"/>
      <c r="FT112" s="141"/>
      <c r="FU112" s="141"/>
      <c r="FV112" s="141"/>
    </row>
    <row r="113" spans="2:178" ht="16">
      <c r="B113" s="144"/>
      <c r="G113" s="141"/>
      <c r="H113" s="141"/>
      <c r="I113" s="141"/>
      <c r="J113" s="141"/>
      <c r="K113" s="141"/>
      <c r="L113" s="141"/>
      <c r="P113" s="142"/>
      <c r="Y113" s="143"/>
      <c r="AK113" s="147"/>
      <c r="AL113" s="147"/>
      <c r="AM113" s="147"/>
      <c r="AN113" s="148"/>
      <c r="AO113" s="148"/>
      <c r="AP113" s="148"/>
      <c r="AS113" s="141"/>
      <c r="BI113" s="157"/>
      <c r="BJ113" s="157"/>
      <c r="BP113" s="140"/>
      <c r="BQ113" s="139"/>
      <c r="BW113" s="163"/>
      <c r="CB113" s="153"/>
      <c r="CD113" s="165"/>
      <c r="CJ113" s="139"/>
      <c r="CL113" s="140"/>
      <c r="CM113" s="140"/>
      <c r="DG113" s="166"/>
      <c r="DW113" s="138"/>
      <c r="DY113" s="138"/>
      <c r="EW113" s="167"/>
      <c r="FF113" s="164"/>
      <c r="FG113" s="154"/>
      <c r="FH113" s="154"/>
      <c r="FJ113" s="164"/>
      <c r="FK113" s="164"/>
      <c r="FO113" s="170"/>
      <c r="FT113" s="141"/>
      <c r="FU113" s="141"/>
      <c r="FV113" s="141"/>
    </row>
    <row r="114" spans="2:178" ht="16">
      <c r="B114" s="144"/>
      <c r="G114" s="141"/>
      <c r="H114" s="141"/>
      <c r="I114" s="141"/>
      <c r="J114" s="141"/>
      <c r="K114" s="141"/>
      <c r="L114" s="141"/>
      <c r="P114" s="142"/>
      <c r="Y114" s="143"/>
      <c r="AK114" s="147"/>
      <c r="AL114" s="147"/>
      <c r="AM114" s="147"/>
      <c r="AN114" s="148"/>
      <c r="AO114" s="148"/>
      <c r="AP114" s="148"/>
      <c r="AS114" s="141"/>
      <c r="BI114" s="157"/>
      <c r="BJ114" s="157"/>
      <c r="BP114" s="140"/>
      <c r="BQ114" s="139"/>
      <c r="BW114" s="163"/>
      <c r="CB114" s="153"/>
      <c r="CD114" s="165"/>
      <c r="CJ114" s="139"/>
      <c r="CL114" s="140"/>
      <c r="CM114" s="140"/>
      <c r="DG114" s="166"/>
      <c r="DW114" s="138"/>
      <c r="DY114" s="138"/>
      <c r="EW114" s="167"/>
      <c r="FF114" s="164"/>
      <c r="FG114" s="154"/>
      <c r="FH114" s="154"/>
      <c r="FJ114" s="164"/>
      <c r="FK114" s="164"/>
      <c r="FO114" s="170"/>
      <c r="FT114" s="141"/>
      <c r="FU114" s="141"/>
      <c r="FV114" s="141"/>
    </row>
    <row r="115" spans="2:178" ht="16">
      <c r="B115" s="144"/>
      <c r="G115" s="141"/>
      <c r="H115" s="141"/>
      <c r="I115" s="141"/>
      <c r="J115" s="141"/>
      <c r="K115" s="141"/>
      <c r="L115" s="141"/>
      <c r="P115" s="142"/>
      <c r="Y115" s="143"/>
      <c r="AK115" s="147"/>
      <c r="AL115" s="147"/>
      <c r="AM115" s="147"/>
      <c r="AN115" s="148"/>
      <c r="AO115" s="148"/>
      <c r="AP115" s="148"/>
      <c r="AS115" s="141"/>
      <c r="BI115" s="157"/>
      <c r="BJ115" s="157"/>
      <c r="BP115" s="140"/>
      <c r="BQ115" s="139"/>
      <c r="BW115" s="163"/>
      <c r="CB115" s="153"/>
      <c r="CD115" s="165"/>
      <c r="CJ115" s="139"/>
      <c r="CL115" s="140"/>
      <c r="CM115" s="140"/>
      <c r="DG115" s="166"/>
      <c r="DW115" s="138"/>
      <c r="DY115" s="138"/>
      <c r="EW115" s="167"/>
      <c r="FF115" s="164"/>
      <c r="FG115" s="154"/>
      <c r="FH115" s="154"/>
      <c r="FJ115" s="164"/>
      <c r="FK115" s="164"/>
      <c r="FO115" s="170"/>
      <c r="FT115" s="141"/>
      <c r="FU115" s="141"/>
      <c r="FV115" s="141"/>
    </row>
    <row r="116" spans="2:178" ht="16">
      <c r="B116" s="144"/>
      <c r="G116" s="141"/>
      <c r="H116" s="141"/>
      <c r="I116" s="141"/>
      <c r="J116" s="141"/>
      <c r="K116" s="141"/>
      <c r="L116" s="141"/>
      <c r="P116" s="142"/>
      <c r="Y116" s="143"/>
      <c r="AK116" s="147"/>
      <c r="AL116" s="147"/>
      <c r="AM116" s="147"/>
      <c r="AN116" s="148"/>
      <c r="AO116" s="148"/>
      <c r="AP116" s="148"/>
      <c r="AS116" s="141"/>
      <c r="BI116" s="157"/>
      <c r="BJ116" s="157"/>
      <c r="BP116" s="140"/>
      <c r="BQ116" s="139"/>
      <c r="BW116" s="163"/>
      <c r="CB116" s="153"/>
      <c r="CD116" s="165"/>
      <c r="CJ116" s="139"/>
      <c r="CL116" s="140"/>
      <c r="CM116" s="140"/>
      <c r="DG116" s="166"/>
      <c r="DW116" s="138"/>
      <c r="DY116" s="138"/>
      <c r="EW116" s="167"/>
      <c r="FF116" s="164"/>
      <c r="FG116" s="154"/>
      <c r="FH116" s="154"/>
      <c r="FJ116" s="164"/>
      <c r="FK116" s="164"/>
      <c r="FO116" s="170"/>
      <c r="FT116" s="141"/>
      <c r="FU116" s="141"/>
      <c r="FV116" s="141"/>
    </row>
    <row r="117" spans="2:178" ht="16">
      <c r="B117" s="144"/>
      <c r="G117" s="141"/>
      <c r="H117" s="141"/>
      <c r="I117" s="141"/>
      <c r="J117" s="141"/>
      <c r="K117" s="141"/>
      <c r="L117" s="141"/>
      <c r="P117" s="142"/>
      <c r="Y117" s="143"/>
      <c r="AK117" s="147"/>
      <c r="AL117" s="147"/>
      <c r="AM117" s="147"/>
      <c r="AN117" s="148"/>
      <c r="AO117" s="148"/>
      <c r="AP117" s="148"/>
      <c r="AS117" s="141"/>
      <c r="BI117" s="157"/>
      <c r="BJ117" s="156"/>
      <c r="BP117" s="140"/>
      <c r="BQ117" s="139"/>
      <c r="BW117" s="163"/>
      <c r="CB117" s="153"/>
      <c r="CD117" s="165"/>
      <c r="CJ117" s="139"/>
      <c r="CL117" s="140"/>
      <c r="CM117" s="140"/>
      <c r="DG117" s="166"/>
      <c r="DW117" s="138"/>
      <c r="DY117" s="138"/>
      <c r="EW117" s="167"/>
      <c r="FF117" s="164"/>
      <c r="FG117" s="154"/>
      <c r="FH117" s="154"/>
      <c r="FJ117" s="164"/>
      <c r="FK117" s="164"/>
      <c r="FO117" s="170"/>
      <c r="FT117" s="141"/>
      <c r="FU117" s="141"/>
      <c r="FV117" s="141"/>
    </row>
    <row r="118" spans="2:178" ht="16">
      <c r="B118" s="144"/>
      <c r="G118" s="141"/>
      <c r="H118" s="141"/>
      <c r="I118" s="141"/>
      <c r="J118" s="141"/>
      <c r="K118" s="141"/>
      <c r="L118" s="141"/>
      <c r="P118" s="142"/>
      <c r="Y118" s="143"/>
      <c r="AK118" s="147"/>
      <c r="AL118" s="147"/>
      <c r="AM118" s="147"/>
      <c r="AN118" s="148"/>
      <c r="AO118" s="148"/>
      <c r="AP118" s="148"/>
      <c r="AS118" s="141"/>
      <c r="BI118" s="157"/>
      <c r="BJ118" s="157"/>
      <c r="BP118" s="140"/>
      <c r="BQ118" s="139"/>
      <c r="BW118" s="163"/>
      <c r="CB118" s="153"/>
      <c r="CD118" s="165"/>
      <c r="CJ118" s="139"/>
      <c r="CL118" s="140"/>
      <c r="CM118" s="140"/>
      <c r="DG118" s="166"/>
      <c r="DW118" s="138"/>
      <c r="DY118" s="138"/>
      <c r="EW118" s="167"/>
      <c r="FF118" s="164"/>
      <c r="FG118" s="154"/>
      <c r="FH118" s="154"/>
      <c r="FJ118" s="164"/>
      <c r="FK118" s="164"/>
      <c r="FO118" s="170"/>
      <c r="FT118" s="141"/>
      <c r="FU118" s="141"/>
      <c r="FV118" s="141"/>
    </row>
    <row r="119" spans="2:178" ht="16">
      <c r="B119" s="144"/>
      <c r="G119" s="141"/>
      <c r="H119" s="141"/>
      <c r="I119" s="141"/>
      <c r="J119" s="141"/>
      <c r="K119" s="141"/>
      <c r="L119" s="141"/>
      <c r="P119" s="142"/>
      <c r="Y119" s="143"/>
      <c r="AK119" s="147"/>
      <c r="AL119" s="147"/>
      <c r="AM119" s="147"/>
      <c r="AN119" s="148"/>
      <c r="AO119" s="148"/>
      <c r="AP119" s="148"/>
      <c r="AS119" s="141"/>
      <c r="BI119" s="157"/>
      <c r="BJ119" s="156"/>
      <c r="BP119" s="140"/>
      <c r="BQ119" s="139"/>
      <c r="BW119" s="163"/>
      <c r="CB119" s="153"/>
      <c r="CD119" s="165"/>
      <c r="CJ119" s="139"/>
      <c r="CL119" s="140"/>
      <c r="CM119" s="140"/>
      <c r="DG119" s="166"/>
      <c r="DW119" s="138"/>
      <c r="DY119" s="138"/>
      <c r="EW119" s="167"/>
      <c r="FF119" s="164"/>
      <c r="FG119" s="154"/>
      <c r="FH119" s="154"/>
      <c r="FJ119" s="164"/>
      <c r="FK119" s="164"/>
      <c r="FO119" s="170"/>
      <c r="FT119" s="141"/>
      <c r="FU119" s="141"/>
      <c r="FV119" s="141"/>
    </row>
    <row r="120" spans="2:178" s="149" customFormat="1" ht="16">
      <c r="B120" s="190"/>
      <c r="G120" s="141"/>
      <c r="H120" s="145"/>
      <c r="I120" s="145"/>
      <c r="J120" s="145"/>
      <c r="K120" s="145"/>
      <c r="L120" s="145"/>
      <c r="P120" s="191"/>
      <c r="Y120" s="192"/>
      <c r="AK120" s="150"/>
      <c r="AL120" s="150"/>
      <c r="AM120" s="150"/>
      <c r="AN120" s="151"/>
      <c r="AO120" s="151"/>
      <c r="AP120" s="150"/>
      <c r="AS120" s="145"/>
      <c r="AY120" s="171"/>
      <c r="BI120" s="155"/>
      <c r="BJ120" s="193"/>
      <c r="BP120" s="160"/>
      <c r="BQ120" s="161"/>
      <c r="CB120" s="152"/>
      <c r="CD120" s="194"/>
      <c r="CJ120" s="161"/>
      <c r="CL120" s="160"/>
      <c r="CM120" s="160"/>
      <c r="DG120" s="195"/>
      <c r="DW120" s="171"/>
      <c r="DY120" s="171"/>
      <c r="EW120" s="196"/>
      <c r="FF120" s="197"/>
      <c r="FG120" s="169"/>
      <c r="FH120" s="169"/>
      <c r="FJ120" s="197"/>
      <c r="FK120" s="197"/>
      <c r="FO120" s="198"/>
      <c r="FT120" s="145"/>
      <c r="FU120" s="145"/>
      <c r="FV120" s="145"/>
    </row>
    <row r="121" spans="2:178" ht="16">
      <c r="B121" s="172"/>
      <c r="G121" s="141"/>
      <c r="H121" s="141"/>
      <c r="I121" s="141"/>
      <c r="J121" s="141"/>
      <c r="K121" s="141"/>
      <c r="L121" s="141"/>
      <c r="P121" s="142"/>
      <c r="Y121" s="143"/>
      <c r="AK121" s="147"/>
      <c r="AL121" s="147"/>
      <c r="AM121" s="147"/>
      <c r="AN121" s="148"/>
      <c r="AO121" s="148"/>
      <c r="AP121" s="147"/>
      <c r="AS121" s="141"/>
      <c r="AY121" s="138"/>
      <c r="BI121" s="157"/>
      <c r="BJ121" s="157"/>
      <c r="BP121" s="140"/>
      <c r="BQ121" s="139"/>
      <c r="CB121" s="153"/>
      <c r="CD121" s="165"/>
      <c r="CJ121" s="139"/>
      <c r="CL121" s="140"/>
      <c r="CM121" s="140"/>
      <c r="DG121" s="166"/>
      <c r="DW121" s="138"/>
      <c r="DY121" s="138"/>
      <c r="EW121" s="167"/>
      <c r="FF121" s="164"/>
      <c r="FG121" s="154"/>
      <c r="FH121" s="154"/>
      <c r="FJ121" s="164"/>
      <c r="FK121" s="164"/>
      <c r="FO121" s="170"/>
      <c r="FT121" s="141"/>
      <c r="FU121" s="141"/>
      <c r="FV121" s="141"/>
    </row>
    <row r="122" spans="2:178" ht="16">
      <c r="B122" s="172"/>
      <c r="G122" s="141"/>
      <c r="H122" s="141"/>
      <c r="I122" s="141"/>
      <c r="J122" s="141"/>
      <c r="K122" s="141"/>
      <c r="L122" s="141"/>
      <c r="P122" s="142"/>
      <c r="Y122" s="143"/>
      <c r="AK122" s="147"/>
      <c r="AL122" s="147"/>
      <c r="AM122" s="147"/>
      <c r="AN122" s="148"/>
      <c r="AO122" s="148"/>
      <c r="AP122" s="147"/>
      <c r="AS122" s="141"/>
      <c r="AY122" s="138"/>
      <c r="BI122" s="157"/>
      <c r="BJ122" s="159"/>
      <c r="BP122" s="140"/>
      <c r="BQ122" s="139"/>
      <c r="CB122" s="153"/>
      <c r="CD122" s="165"/>
      <c r="CJ122" s="139"/>
      <c r="CL122" s="140"/>
      <c r="CM122" s="140"/>
      <c r="DG122" s="166"/>
      <c r="DW122" s="138"/>
      <c r="DY122" s="138"/>
      <c r="EW122" s="167"/>
      <c r="FF122" s="164"/>
      <c r="FG122" s="154"/>
      <c r="FH122" s="154"/>
      <c r="FJ122" s="164"/>
      <c r="FK122" s="164"/>
      <c r="FO122" s="170"/>
      <c r="FT122" s="141"/>
      <c r="FU122" s="141"/>
      <c r="FV122" s="141"/>
    </row>
    <row r="123" spans="2:178" ht="16">
      <c r="B123" s="172"/>
      <c r="G123" s="141"/>
      <c r="H123" s="141"/>
      <c r="I123" s="141"/>
      <c r="J123" s="141"/>
      <c r="K123" s="141"/>
      <c r="L123" s="141"/>
      <c r="P123" s="142"/>
      <c r="Y123" s="143"/>
      <c r="AK123" s="147"/>
      <c r="AL123" s="147"/>
      <c r="AM123" s="147"/>
      <c r="AN123" s="148"/>
      <c r="AO123" s="148"/>
      <c r="AP123" s="147"/>
      <c r="AS123" s="141"/>
      <c r="AY123" s="138"/>
      <c r="BI123" s="157"/>
      <c r="BJ123" s="159"/>
      <c r="BP123" s="140"/>
      <c r="BQ123" s="139"/>
      <c r="CB123" s="153"/>
      <c r="CD123" s="165"/>
      <c r="CJ123" s="139"/>
      <c r="CL123" s="140"/>
      <c r="CM123" s="140"/>
      <c r="DG123" s="166"/>
      <c r="DW123" s="138"/>
      <c r="DY123" s="138"/>
      <c r="EW123" s="167"/>
      <c r="FF123" s="164"/>
      <c r="FG123" s="154"/>
      <c r="FH123" s="154"/>
      <c r="FJ123" s="164"/>
      <c r="FK123" s="164"/>
      <c r="FO123" s="170"/>
      <c r="FT123" s="141"/>
      <c r="FU123" s="141"/>
      <c r="FV123" s="141"/>
    </row>
    <row r="124" spans="2:178" ht="16">
      <c r="B124" s="172"/>
      <c r="G124" s="141"/>
      <c r="H124" s="141"/>
      <c r="I124" s="141"/>
      <c r="J124" s="141"/>
      <c r="K124" s="141"/>
      <c r="L124" s="141"/>
      <c r="P124" s="142"/>
      <c r="Y124" s="143"/>
      <c r="AK124" s="147"/>
      <c r="AL124" s="147"/>
      <c r="AM124" s="147"/>
      <c r="AN124" s="148"/>
      <c r="AO124" s="148"/>
      <c r="AP124" s="147"/>
      <c r="AS124" s="141"/>
      <c r="AY124" s="138"/>
      <c r="BI124" s="157"/>
      <c r="BJ124" s="157"/>
      <c r="BP124" s="140"/>
      <c r="BQ124" s="139"/>
      <c r="CB124" s="153"/>
      <c r="CD124" s="165"/>
      <c r="CJ124" s="139"/>
      <c r="CL124" s="140"/>
      <c r="CM124" s="140"/>
      <c r="DG124" s="166"/>
      <c r="DW124" s="138"/>
      <c r="DY124" s="138"/>
      <c r="EW124" s="167"/>
      <c r="FF124" s="164"/>
      <c r="FG124" s="154"/>
      <c r="FH124" s="154"/>
      <c r="FJ124" s="164"/>
      <c r="FK124" s="164"/>
      <c r="FO124" s="170"/>
      <c r="FT124" s="141"/>
      <c r="FU124" s="141"/>
      <c r="FV124" s="141"/>
    </row>
    <row r="125" spans="2:178" ht="16">
      <c r="B125" s="172"/>
      <c r="G125" s="141"/>
      <c r="H125" s="141"/>
      <c r="I125" s="141"/>
      <c r="J125" s="141"/>
      <c r="K125" s="141"/>
      <c r="L125" s="141"/>
      <c r="P125" s="142"/>
      <c r="Y125" s="143"/>
      <c r="AK125" s="147"/>
      <c r="AL125" s="147"/>
      <c r="AM125" s="147"/>
      <c r="AN125" s="148"/>
      <c r="AO125" s="148"/>
      <c r="AP125" s="147"/>
      <c r="AS125" s="141"/>
      <c r="AY125" s="138"/>
      <c r="BI125" s="157"/>
      <c r="BJ125" s="157"/>
      <c r="BP125" s="140"/>
      <c r="BQ125" s="139"/>
      <c r="CB125" s="153"/>
      <c r="CD125" s="165"/>
      <c r="CJ125" s="139"/>
      <c r="CL125" s="140"/>
      <c r="CM125" s="140"/>
      <c r="DG125" s="166"/>
      <c r="DW125" s="138"/>
      <c r="DY125" s="138"/>
      <c r="EW125" s="167"/>
      <c r="FF125" s="164"/>
      <c r="FG125" s="154"/>
      <c r="FH125" s="154"/>
      <c r="FJ125" s="164"/>
      <c r="FK125" s="164"/>
      <c r="FO125" s="170"/>
      <c r="FT125" s="141"/>
      <c r="FU125" s="141"/>
      <c r="FV125" s="141"/>
    </row>
    <row r="126" spans="2:178" s="4" customFormat="1" ht="16">
      <c r="B126" s="173"/>
      <c r="G126" s="141"/>
      <c r="H126" s="174"/>
      <c r="I126" s="174"/>
      <c r="J126" s="174"/>
      <c r="K126" s="174"/>
      <c r="L126" s="174"/>
      <c r="P126" s="175"/>
      <c r="Y126" s="176"/>
      <c r="AK126" s="177"/>
      <c r="AL126" s="177"/>
      <c r="AM126" s="177"/>
      <c r="AN126" s="178"/>
      <c r="AO126" s="178"/>
      <c r="AP126" s="177"/>
      <c r="AS126" s="174"/>
      <c r="AY126" s="179"/>
      <c r="BI126" s="180"/>
      <c r="BJ126" s="180"/>
      <c r="BP126" s="181"/>
      <c r="BQ126" s="182"/>
      <c r="CB126" s="183"/>
      <c r="CD126" s="184"/>
      <c r="CJ126" s="182"/>
      <c r="CL126" s="181"/>
      <c r="CM126" s="181"/>
      <c r="DG126" s="185"/>
      <c r="DW126" s="179"/>
      <c r="DY126" s="179"/>
      <c r="EW126" s="186"/>
      <c r="FF126" s="187"/>
      <c r="FG126" s="188"/>
      <c r="FH126" s="188"/>
      <c r="FJ126" s="187"/>
      <c r="FK126" s="187"/>
      <c r="FO126" s="189"/>
      <c r="FT126" s="174"/>
      <c r="FU126" s="174"/>
      <c r="FV126" s="174"/>
    </row>
    <row r="127" spans="2:178" ht="16">
      <c r="B127" s="144"/>
      <c r="G127" s="141"/>
      <c r="H127" s="141"/>
      <c r="I127" s="141"/>
      <c r="J127" s="141"/>
      <c r="K127" s="141"/>
      <c r="L127" s="141"/>
      <c r="P127" s="142"/>
      <c r="Y127" s="143"/>
      <c r="AK127" s="147"/>
      <c r="AL127" s="147"/>
      <c r="AM127" s="147"/>
      <c r="AN127" s="148"/>
      <c r="AO127" s="148"/>
      <c r="AP127" s="147"/>
      <c r="AS127" s="141"/>
      <c r="AY127" s="138"/>
      <c r="BI127" s="157"/>
      <c r="BJ127" s="157"/>
      <c r="BP127" s="140"/>
      <c r="BQ127" s="139"/>
      <c r="CB127" s="153"/>
      <c r="CD127" s="165"/>
      <c r="CJ127" s="139"/>
      <c r="CL127" s="140"/>
      <c r="CM127" s="140"/>
      <c r="DG127" s="166"/>
      <c r="DW127" s="138"/>
      <c r="DY127" s="138"/>
      <c r="EW127" s="167"/>
      <c r="FF127" s="164"/>
      <c r="FG127" s="154"/>
      <c r="FH127" s="154"/>
      <c r="FJ127" s="164"/>
      <c r="FK127" s="164"/>
      <c r="FO127" s="170"/>
      <c r="FT127" s="141"/>
      <c r="FU127" s="141"/>
      <c r="FV127" s="141"/>
    </row>
    <row r="128" spans="2:178" ht="16">
      <c r="B128" s="144"/>
      <c r="G128" s="141"/>
      <c r="H128" s="141"/>
      <c r="I128" s="141"/>
      <c r="J128" s="141"/>
      <c r="K128" s="141"/>
      <c r="L128" s="141"/>
      <c r="P128" s="142"/>
      <c r="Y128" s="143"/>
      <c r="AK128" s="147"/>
      <c r="AL128" s="147"/>
      <c r="AM128" s="147"/>
      <c r="AN128" s="148"/>
      <c r="AO128" s="148"/>
      <c r="AP128" s="147"/>
      <c r="AS128" s="141"/>
      <c r="AY128" s="138"/>
      <c r="BI128" s="157"/>
      <c r="BJ128" s="157"/>
      <c r="BP128" s="140"/>
      <c r="BQ128" s="139"/>
      <c r="CB128" s="153"/>
      <c r="CD128" s="165"/>
      <c r="CJ128" s="139"/>
      <c r="CL128" s="140"/>
      <c r="CM128" s="140"/>
      <c r="DG128" s="166"/>
      <c r="DW128" s="138"/>
      <c r="DY128" s="138"/>
      <c r="EW128" s="167"/>
      <c r="FF128" s="164"/>
      <c r="FG128" s="154"/>
      <c r="FH128" s="154"/>
      <c r="FJ128" s="164"/>
      <c r="FK128" s="164"/>
      <c r="FO128" s="170"/>
      <c r="FT128" s="141"/>
      <c r="FU128" s="141"/>
      <c r="FV128" s="141"/>
    </row>
    <row r="129" spans="2:178" ht="16">
      <c r="B129" s="144"/>
      <c r="G129" s="141"/>
      <c r="H129" s="141"/>
      <c r="I129" s="141"/>
      <c r="J129" s="141"/>
      <c r="K129" s="141"/>
      <c r="L129" s="141"/>
      <c r="P129" s="142"/>
      <c r="Y129" s="143"/>
      <c r="AK129" s="147"/>
      <c r="AL129" s="147"/>
      <c r="AM129" s="147"/>
      <c r="AN129" s="148"/>
      <c r="AO129" s="148"/>
      <c r="AP129" s="147"/>
      <c r="AS129" s="141"/>
      <c r="AY129" s="138"/>
      <c r="BI129" s="157"/>
      <c r="BJ129" s="157"/>
      <c r="BP129" s="140"/>
      <c r="BQ129" s="139"/>
      <c r="CB129" s="153"/>
      <c r="CD129" s="165"/>
      <c r="CJ129" s="139"/>
      <c r="CL129" s="140"/>
      <c r="CM129" s="140"/>
      <c r="DG129" s="166"/>
      <c r="DW129" s="138"/>
      <c r="DY129" s="138"/>
      <c r="EW129" s="167"/>
      <c r="FF129" s="164"/>
      <c r="FG129" s="154"/>
      <c r="FH129" s="154"/>
      <c r="FJ129" s="164"/>
      <c r="FK129" s="164"/>
      <c r="FO129" s="170"/>
      <c r="FT129" s="141"/>
      <c r="FU129" s="141"/>
      <c r="FV129" s="141"/>
    </row>
    <row r="130" spans="2:178" ht="16">
      <c r="B130" s="144"/>
      <c r="G130" s="141"/>
      <c r="H130" s="141"/>
      <c r="I130" s="141"/>
      <c r="J130" s="141"/>
      <c r="K130" s="141"/>
      <c r="L130" s="141"/>
      <c r="P130" s="142"/>
      <c r="Y130" s="143"/>
      <c r="AK130" s="147"/>
      <c r="AL130" s="147"/>
      <c r="AM130" s="147"/>
      <c r="AN130" s="148"/>
      <c r="AO130" s="148"/>
      <c r="AP130" s="147"/>
      <c r="AS130" s="141"/>
      <c r="AY130" s="138"/>
      <c r="BI130" s="157"/>
      <c r="BJ130" s="157"/>
      <c r="BP130" s="140"/>
      <c r="BQ130" s="139"/>
      <c r="CB130" s="153"/>
      <c r="CD130" s="165"/>
      <c r="CJ130" s="139"/>
      <c r="CL130" s="140"/>
      <c r="CM130" s="140"/>
      <c r="DG130" s="166"/>
      <c r="DW130" s="138"/>
      <c r="DY130" s="138"/>
      <c r="EW130" s="167"/>
      <c r="FF130" s="164"/>
      <c r="FG130" s="154"/>
      <c r="FH130" s="154"/>
      <c r="FJ130" s="164"/>
      <c r="FK130" s="164"/>
      <c r="FO130" s="170"/>
      <c r="FT130" s="141"/>
      <c r="FU130" s="141"/>
      <c r="FV130" s="141"/>
    </row>
    <row r="131" spans="2:178" ht="16">
      <c r="B131" s="144"/>
      <c r="G131" s="141"/>
      <c r="H131" s="141"/>
      <c r="I131" s="141"/>
      <c r="J131" s="141"/>
      <c r="K131" s="141"/>
      <c r="L131" s="141"/>
      <c r="P131" s="142"/>
      <c r="Y131" s="143"/>
      <c r="AK131" s="147"/>
      <c r="AL131" s="147"/>
      <c r="AM131" s="147"/>
      <c r="AN131" s="148"/>
      <c r="AO131" s="148"/>
      <c r="AP131" s="147"/>
      <c r="AS131" s="141"/>
      <c r="AY131" s="138"/>
      <c r="BI131" s="157"/>
      <c r="BJ131" s="157"/>
      <c r="BP131" s="140"/>
      <c r="BQ131" s="139"/>
      <c r="CB131" s="153"/>
      <c r="CD131" s="165"/>
      <c r="CJ131" s="139"/>
      <c r="CL131" s="140"/>
      <c r="CM131" s="140"/>
      <c r="DG131" s="166"/>
      <c r="DW131" s="138"/>
      <c r="DY131" s="138"/>
      <c r="EW131" s="167"/>
      <c r="FF131" s="164"/>
      <c r="FG131" s="154"/>
      <c r="FH131" s="154"/>
      <c r="FJ131" s="164"/>
      <c r="FK131" s="164"/>
      <c r="FO131" s="170"/>
      <c r="FT131" s="141"/>
      <c r="FU131" s="141"/>
      <c r="FV131" s="141"/>
    </row>
    <row r="132" spans="2:178" ht="16">
      <c r="B132" s="144"/>
      <c r="G132" s="141"/>
      <c r="H132" s="141"/>
      <c r="I132" s="141"/>
      <c r="J132" s="141"/>
      <c r="K132" s="141"/>
      <c r="L132" s="141"/>
      <c r="P132" s="142"/>
      <c r="Y132" s="143"/>
      <c r="AK132" s="147"/>
      <c r="AL132" s="147"/>
      <c r="AM132" s="147"/>
      <c r="AN132" s="148"/>
      <c r="AO132" s="148"/>
      <c r="AP132" s="147"/>
      <c r="AS132" s="141"/>
      <c r="AY132" s="138"/>
      <c r="BI132" s="157"/>
      <c r="BJ132" s="157"/>
      <c r="BP132" s="140"/>
      <c r="BQ132" s="139"/>
      <c r="CB132" s="153"/>
      <c r="CD132" s="165"/>
      <c r="CJ132" s="139"/>
      <c r="CL132" s="140"/>
      <c r="CM132" s="140"/>
      <c r="DG132" s="166"/>
      <c r="DW132" s="138"/>
      <c r="DY132" s="138"/>
      <c r="EW132" s="167"/>
      <c r="FF132" s="164"/>
      <c r="FG132" s="154"/>
      <c r="FH132" s="154"/>
      <c r="FJ132" s="164"/>
      <c r="FK132" s="164"/>
      <c r="FO132" s="170"/>
      <c r="FT132" s="141"/>
      <c r="FU132" s="141"/>
      <c r="FV132" s="141"/>
    </row>
    <row r="133" spans="2:178" ht="16">
      <c r="B133" s="144"/>
      <c r="G133" s="141"/>
      <c r="H133" s="141"/>
      <c r="I133" s="141"/>
      <c r="J133" s="141"/>
      <c r="K133" s="141"/>
      <c r="L133" s="141"/>
      <c r="P133" s="142"/>
      <c r="Y133" s="143"/>
      <c r="AK133" s="147"/>
      <c r="AL133" s="147"/>
      <c r="AM133" s="147"/>
      <c r="AN133" s="148"/>
      <c r="AO133" s="148"/>
      <c r="AP133" s="147"/>
      <c r="AS133" s="141"/>
      <c r="AY133" s="138"/>
      <c r="BI133" s="157"/>
      <c r="BJ133" s="157"/>
      <c r="BP133" s="140"/>
      <c r="BQ133" s="139"/>
      <c r="CB133" s="153"/>
      <c r="CD133" s="165"/>
      <c r="CJ133" s="139"/>
      <c r="CL133" s="140"/>
      <c r="CM133" s="140"/>
      <c r="DG133" s="166"/>
      <c r="DW133" s="138"/>
      <c r="DY133" s="138"/>
      <c r="EW133" s="167"/>
      <c r="FF133" s="164"/>
      <c r="FG133" s="154"/>
      <c r="FH133" s="154"/>
      <c r="FJ133" s="164"/>
      <c r="FK133" s="164"/>
      <c r="FO133" s="170"/>
      <c r="FT133" s="141"/>
      <c r="FU133" s="141"/>
      <c r="FV133" s="141"/>
    </row>
    <row r="134" spans="2:178" ht="16">
      <c r="B134" s="144"/>
      <c r="G134" s="141"/>
      <c r="H134" s="141"/>
      <c r="I134" s="141"/>
      <c r="J134" s="141"/>
      <c r="K134" s="141"/>
      <c r="L134" s="141"/>
      <c r="P134" s="142"/>
      <c r="Y134" s="143"/>
      <c r="AK134" s="147"/>
      <c r="AL134" s="147"/>
      <c r="AM134" s="147"/>
      <c r="AN134" s="148"/>
      <c r="AO134" s="148"/>
      <c r="AP134" s="147"/>
      <c r="AS134" s="141"/>
      <c r="AY134" s="138"/>
      <c r="BI134" s="157"/>
      <c r="BJ134" s="157"/>
      <c r="BP134" s="140"/>
      <c r="BQ134" s="139"/>
      <c r="CB134" s="153"/>
      <c r="CD134" s="165"/>
      <c r="CJ134" s="139"/>
      <c r="CL134" s="140"/>
      <c r="CM134" s="140"/>
      <c r="DG134" s="166"/>
      <c r="DW134" s="138"/>
      <c r="DY134" s="138"/>
      <c r="EW134" s="167"/>
      <c r="FF134" s="164"/>
      <c r="FG134" s="154"/>
      <c r="FH134" s="154"/>
      <c r="FJ134" s="164"/>
      <c r="FK134" s="164"/>
      <c r="FO134" s="170"/>
      <c r="FT134" s="141"/>
      <c r="FU134" s="141"/>
      <c r="FV134" s="141"/>
    </row>
    <row r="135" spans="2:178" ht="16">
      <c r="B135" s="144"/>
      <c r="G135" s="141"/>
      <c r="H135" s="141"/>
      <c r="I135" s="141"/>
      <c r="J135" s="141"/>
      <c r="K135" s="141"/>
      <c r="L135" s="141"/>
      <c r="P135" s="142"/>
      <c r="Y135" s="143"/>
      <c r="AK135" s="147"/>
      <c r="AL135" s="147"/>
      <c r="AM135" s="147"/>
      <c r="AN135" s="148"/>
      <c r="AO135" s="148"/>
      <c r="AP135" s="147"/>
      <c r="AS135" s="141"/>
      <c r="AY135" s="138"/>
      <c r="BI135" s="157"/>
      <c r="BJ135" s="157"/>
      <c r="BP135" s="140"/>
      <c r="BQ135" s="139"/>
      <c r="CB135" s="153"/>
      <c r="CD135" s="165"/>
      <c r="CJ135" s="139"/>
      <c r="CL135" s="140"/>
      <c r="CM135" s="140"/>
      <c r="DG135" s="166"/>
      <c r="DW135" s="138"/>
      <c r="DY135" s="138"/>
      <c r="EW135" s="167"/>
      <c r="FF135" s="164"/>
      <c r="FG135" s="154"/>
      <c r="FH135" s="154"/>
      <c r="FJ135" s="164"/>
      <c r="FK135" s="164"/>
      <c r="FO135" s="170"/>
      <c r="FT135" s="141"/>
      <c r="FU135" s="141"/>
      <c r="FV135" s="141"/>
    </row>
  </sheetData>
  <sortState xmlns:xlrd2="http://schemas.microsoft.com/office/spreadsheetml/2017/richdata2" ref="BJ105:BS118">
    <sortCondition ref="BP105:BP118"/>
  </sortState>
  <mergeCells count="1">
    <mergeCell ref="S2:W2"/>
  </mergeCells>
  <hyperlinks>
    <hyperlink ref="B4" r:id="rId1" xr:uid="{06D4E4D5-639E-2646-9019-03A13CC5C668}"/>
    <hyperlink ref="B5" r:id="rId2" xr:uid="{9DAE7566-B5DE-8148-8E3E-0B5F85CC95BD}"/>
    <hyperlink ref="B6" r:id="rId3" xr:uid="{5D0FAD87-DABF-0E46-94A2-844E03077FCA}"/>
    <hyperlink ref="B7" r:id="rId4" xr:uid="{66E12BF8-5F05-1643-9D43-70705E08F5B1}"/>
    <hyperlink ref="B9" r:id="rId5" xr:uid="{62B4F849-7E50-4D4A-97EC-AA0A16A8B29B}"/>
    <hyperlink ref="B11" r:id="rId6" xr:uid="{B2CF17D2-2DA1-EE4D-AF6E-90A76B1C7766}"/>
    <hyperlink ref="B13" r:id="rId7" xr:uid="{F5F5CE39-CE9D-EF48-BB1C-AC523AA6B53B}"/>
    <hyperlink ref="B15" r:id="rId8" xr:uid="{AFED5422-6B4F-7A48-8336-FF591D9844D6}"/>
    <hyperlink ref="B17" r:id="rId9" xr:uid="{DB4FF82D-D91C-BE48-BF0C-3D1B0CD007EE}"/>
    <hyperlink ref="B19" r:id="rId10" xr:uid="{589D7976-0982-AC47-9FBB-D7B54C7A3120}"/>
    <hyperlink ref="B21" r:id="rId11" xr:uid="{D06AF2BC-1285-4F4A-A380-29093345EB21}"/>
    <hyperlink ref="B23" r:id="rId12" xr:uid="{34C5705A-194D-B64D-B651-6ADC70C61CF0}"/>
    <hyperlink ref="B25" r:id="rId13" xr:uid="{F6264666-E589-134A-8968-9F173A6DEE6D}"/>
    <hyperlink ref="B27" r:id="rId14" xr:uid="{0BDDF560-59A1-E74E-902A-532A0434F0B3}"/>
    <hyperlink ref="B29" r:id="rId15" xr:uid="{5051E3A0-C003-6542-AAF5-B8B55A089C54}"/>
    <hyperlink ref="B31" r:id="rId16" xr:uid="{E2873D7E-7FEE-C644-9CB2-C959CCD0209B}"/>
    <hyperlink ref="B33" r:id="rId17" xr:uid="{2E018FA8-4F18-4849-8E22-F63095871C22}"/>
    <hyperlink ref="B35" r:id="rId18" xr:uid="{09A1C06F-3A9C-2643-ADC9-900AE9F91D53}"/>
    <hyperlink ref="B37" r:id="rId19" xr:uid="{CBAB2B9C-3FF6-2847-9194-AB2FE1A0E948}"/>
    <hyperlink ref="B39" r:id="rId20" xr:uid="{9E277DFA-D52F-7141-A6C8-8BE558A76E24}"/>
    <hyperlink ref="B41" r:id="rId21" xr:uid="{3A409E6E-D7D0-4B4E-B87F-E044C0487313}"/>
    <hyperlink ref="B43" r:id="rId22" xr:uid="{8F7B1211-A97D-0F47-AF4E-C1E7C59CB766}"/>
    <hyperlink ref="B45" r:id="rId23" xr:uid="{F15106EB-CFA7-8540-8889-2D2D45302433}"/>
    <hyperlink ref="B47" r:id="rId24" xr:uid="{87418BD7-C0E6-974D-BA03-FBB672A8CFFD}"/>
    <hyperlink ref="B8" r:id="rId25" xr:uid="{96D2C484-F8FC-464B-B807-08D1EFCDA8F2}"/>
    <hyperlink ref="B10" r:id="rId26" xr:uid="{ECDE214A-78D3-7542-A715-1A08C39BA480}"/>
    <hyperlink ref="B12" r:id="rId27" xr:uid="{186F45B9-3283-854A-B953-30BD5B783E0B}"/>
    <hyperlink ref="B14" r:id="rId28" xr:uid="{31F8CDCD-8E3F-9F44-A0AF-DE156FD8C6DA}"/>
    <hyperlink ref="B16" r:id="rId29" xr:uid="{170A700F-3281-6B41-9451-920E8682678D}"/>
    <hyperlink ref="B18" r:id="rId30" xr:uid="{4E6ED5CB-2BA1-3044-ACD3-42C6219473B0}"/>
    <hyperlink ref="B20" r:id="rId31" xr:uid="{DBD56513-DFC4-FE47-8A99-1CA64DE0E82A}"/>
    <hyperlink ref="B22" r:id="rId32" xr:uid="{C54DE37E-412D-8042-9EE5-90BE9B68FA36}"/>
    <hyperlink ref="B24" r:id="rId33" xr:uid="{43CB8212-DDB2-D446-8137-087A46254FB1}"/>
    <hyperlink ref="B26" r:id="rId34" xr:uid="{F9079C27-E951-D047-BB3E-B770AD1F5F9A}"/>
    <hyperlink ref="B28" r:id="rId35" xr:uid="{4CAF45F3-FFE4-9F41-ADC2-D1F0F102A2DE}"/>
    <hyperlink ref="B30" r:id="rId36" xr:uid="{B3D392D7-40AF-D447-A2B2-64B33FE06496}"/>
    <hyperlink ref="B32" r:id="rId37" xr:uid="{C3072708-4576-3241-9A5A-54A673A87772}"/>
    <hyperlink ref="B34" r:id="rId38" xr:uid="{7D31ABAA-0614-0642-99E5-7DA0E8E4BA9D}"/>
    <hyperlink ref="B36" r:id="rId39" xr:uid="{CC4B6EAE-09BA-7944-89EF-CA35FD7A07C2}"/>
    <hyperlink ref="B38" r:id="rId40" xr:uid="{D71AAB29-55B6-A94B-A0E2-6D43C048401F}"/>
    <hyperlink ref="B40" r:id="rId41" xr:uid="{2B24F04F-B07D-174A-A671-0A3C1792A0B7}"/>
    <hyperlink ref="B42" r:id="rId42" xr:uid="{3543F61D-2232-0743-9A8E-C0CB667E90C3}"/>
    <hyperlink ref="B44" r:id="rId43" xr:uid="{5A258F23-4418-BA43-ACDD-7E92B49D3FE0}"/>
    <hyperlink ref="B46" r:id="rId44" xr:uid="{FF9DA111-9B39-8247-8883-ED15FD48FC5C}"/>
    <hyperlink ref="B48" r:id="rId45" xr:uid="{5CC4CE4A-8107-DC4E-A5F2-085415E89BE2}"/>
    <hyperlink ref="B49" r:id="rId46" xr:uid="{E78E0E81-DCD4-DC4F-A0C1-73960CD97CB7}"/>
    <hyperlink ref="B50" r:id="rId47" xr:uid="{490A0EE3-A52F-5A46-BCBB-9E8E0FD30066}"/>
    <hyperlink ref="B51" r:id="rId48" xr:uid="{E78B9C49-1CCB-F544-9BA6-621698E6C7AD}"/>
    <hyperlink ref="B53" r:id="rId49" xr:uid="{37581A3F-C7D1-F94B-A498-00494027873A}"/>
    <hyperlink ref="B55" r:id="rId50" xr:uid="{5802D860-6B83-5040-BF8A-09CED8B65483}"/>
    <hyperlink ref="B57" r:id="rId51" xr:uid="{B3603B1E-AA96-5345-A2E6-74309DED9772}"/>
    <hyperlink ref="B59" r:id="rId52" xr:uid="{7A0E9E32-B44B-9941-909F-4FEC7CF246B7}"/>
    <hyperlink ref="B61" r:id="rId53" xr:uid="{6CA383A0-42FC-FF4B-A7F7-F030B8D3468D}"/>
    <hyperlink ref="B63" r:id="rId54" xr:uid="{6225DA46-BDDA-FD49-B392-1CEBE69CFE0B}"/>
    <hyperlink ref="B65" r:id="rId55" xr:uid="{2D242389-899C-3E40-938C-5FFCAF871969}"/>
    <hyperlink ref="B67" r:id="rId56" xr:uid="{4B944EFF-9572-5F4B-B8BC-1ABD56F0847B}"/>
    <hyperlink ref="B69" r:id="rId57" xr:uid="{B88DA528-07B2-784A-8966-E0A233E5E74E}"/>
    <hyperlink ref="B71" r:id="rId58" xr:uid="{CB054AE2-1DC9-3649-911B-561DDC2D67CE}"/>
    <hyperlink ref="B73" r:id="rId59" xr:uid="{BA087C82-6902-7742-8B8C-53D8FA699F48}"/>
    <hyperlink ref="B75" r:id="rId60" xr:uid="{C5277744-5B88-B242-9F24-14B9CAFC750B}"/>
    <hyperlink ref="B77" r:id="rId61" xr:uid="{73BE5E35-26AC-8C4B-9404-05D03AF0CFBF}"/>
    <hyperlink ref="B79" r:id="rId62" xr:uid="{098460DA-7A58-E947-B708-F44DD3D85F18}"/>
    <hyperlink ref="B81" r:id="rId63" xr:uid="{4C6DA6E7-D0FC-6F4A-AB0C-3AF4B273AB65}"/>
    <hyperlink ref="B83" r:id="rId64" xr:uid="{64F8FEAB-1565-F44E-8EC3-F6E23BAF2EBA}"/>
    <hyperlink ref="B85" r:id="rId65" xr:uid="{6C56248A-BC4B-3049-8290-EE97C9020B45}"/>
    <hyperlink ref="B87" r:id="rId66" xr:uid="{95DE73FC-A728-0447-983C-B83C14CC3E3E}"/>
    <hyperlink ref="B89" r:id="rId67" xr:uid="{A0C0AB81-1960-5B41-A51A-BF5B095440B3}"/>
    <hyperlink ref="B91" r:id="rId68" xr:uid="{6158B5E9-CD19-4D42-AA63-6786DBDF4A24}"/>
    <hyperlink ref="B52" r:id="rId69" xr:uid="{628BB580-199B-A44E-9492-D20F67F2BD19}"/>
    <hyperlink ref="B54" r:id="rId70" xr:uid="{F2647BD3-35EF-7243-B1CB-052423C3CDF8}"/>
    <hyperlink ref="B56" r:id="rId71" xr:uid="{0B7589B7-8F4D-1940-8107-6A6AA05B0440}"/>
    <hyperlink ref="B58" r:id="rId72" xr:uid="{6F883C7B-A384-4842-B9E7-8B68C95E527B}"/>
    <hyperlink ref="B60" r:id="rId73" xr:uid="{E356A39C-4F45-0A4F-84BA-3C4197353900}"/>
    <hyperlink ref="B62" r:id="rId74" xr:uid="{0FB3617A-CE97-FE44-8FD5-37D26A18055E}"/>
    <hyperlink ref="B64" r:id="rId75" xr:uid="{5C2CDFD7-C53C-5949-9564-3CAF1747E6B8}"/>
    <hyperlink ref="B66" r:id="rId76" xr:uid="{F1F461A2-7060-7341-97F3-E81BB9595F32}"/>
    <hyperlink ref="B68" r:id="rId77" xr:uid="{B61384AA-E830-6C4F-B3DD-C7E22F9C71A3}"/>
    <hyperlink ref="B70" r:id="rId78" xr:uid="{B38DC64A-C112-BE46-911C-C4AA69F52A04}"/>
    <hyperlink ref="B72" r:id="rId79" xr:uid="{594C6581-5D83-AA49-B485-C8845950C05F}"/>
    <hyperlink ref="B74" r:id="rId80" xr:uid="{89346DB9-29A8-CA46-B82C-A29DAA87841D}"/>
    <hyperlink ref="B76" r:id="rId81" xr:uid="{8ECCB888-B879-DB44-8DE5-4E8F4F6E0DF0}"/>
    <hyperlink ref="B78" r:id="rId82" xr:uid="{408C2CB2-9AB5-194F-8F81-42DB0476C4D6}"/>
    <hyperlink ref="B80" r:id="rId83" xr:uid="{2E34B5BE-E856-1841-8AF4-FE6BC3AC66D6}"/>
    <hyperlink ref="B82" r:id="rId84" xr:uid="{13CDA51B-86C9-F44A-9BF2-A139DF1468C4}"/>
    <hyperlink ref="B84" r:id="rId85" xr:uid="{B9F52798-FFD9-E949-8A0C-D89229F9E6EC}"/>
    <hyperlink ref="B86" r:id="rId86" xr:uid="{B13D3A5E-9F7A-4744-B7B2-2514BFF6E35C}"/>
    <hyperlink ref="B88" r:id="rId87" xr:uid="{B7C265CA-16A4-594B-AAB0-4F30BF827731}"/>
    <hyperlink ref="B90" r:id="rId88" xr:uid="{EE68F998-7EA9-164B-A32B-158FD22C4C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2023-03-24T18:49:13Z</dcterms:modified>
</cp:coreProperties>
</file>