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C503CC47-C30F-E445-B8E1-529C2E0F7512}" xr6:coauthVersionLast="36" xr6:coauthVersionMax="36" xr10:uidLastSave="{00000000-0000-0000-0000-000000000000}"/>
  <bookViews>
    <workbookView xWindow="0" yWindow="460" windowWidth="25660" windowHeight="15040" tabRatio="500" xr2:uid="{00000000-000D-0000-FFFF-FFFF00000000}"/>
  </bookViews>
  <sheets>
    <sheet name="stomatal index" sheetId="1" r:id="rId1"/>
  </sheets>
  <calcPr calcId="181029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J4" i="1" l="1"/>
  <c r="G4" i="1"/>
  <c r="I4" i="1" l="1"/>
  <c r="H4" i="1"/>
  <c r="F4" i="1"/>
  <c r="E4" i="1"/>
  <c r="D4" i="1"/>
</calcChain>
</file>

<file path=xl/sharedStrings.xml><?xml version="1.0" encoding="utf-8"?>
<sst xmlns="http://schemas.openxmlformats.org/spreadsheetml/2006/main" count="76" uniqueCount="72">
  <si>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</si>
  <si>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</si>
  <si>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</si>
  <si>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</si>
  <si>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</si>
  <si>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</si>
  <si>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</si>
  <si>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</si>
  <si>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</si>
  <si>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</si>
  <si>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</si>
  <si>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</si>
  <si>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</si>
  <si>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</si>
  <si>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</si>
  <si>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</si>
  <si>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</si>
  <si>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</si>
  <si>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</si>
  <si>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</si>
  <si>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</si>
  <si>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</si>
  <si>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</si>
  <si>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</si>
  <si>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</si>
  <si>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</si>
  <si>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</si>
  <si>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</si>
  <si>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</si>
  <si>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</si>
  <si>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</si>
  <si>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</si>
  <si>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</si>
  <si>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</si>
  <si>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Ginkgoaceae</t>
  </si>
  <si>
    <t>Ginkgo</t>
  </si>
  <si>
    <t>adiantoides</t>
  </si>
  <si>
    <t>microscope</t>
  </si>
  <si>
    <t>Ginkgo biloba</t>
  </si>
  <si>
    <t>Denver Museum of Nature and Science</t>
  </si>
  <si>
    <t>95% confidence intervals</t>
  </si>
  <si>
    <t>Joseph N. Milligan</t>
  </si>
  <si>
    <t>10.1029/2018PA003356</t>
  </si>
  <si>
    <t>Ginkgo (CR 125)</t>
  </si>
  <si>
    <t>Denver Formation</t>
  </si>
  <si>
    <t>Castle Rock flora; near the top of the "D1" sequence</t>
  </si>
  <si>
    <t>U/Pb geochronology of detrital zircon grains</t>
  </si>
  <si>
    <t>median</t>
  </si>
  <si>
    <t>400X magnification</t>
  </si>
  <si>
    <t>Beerling et al. (2009)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</si>
  <si>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</si>
  <si>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</si>
  <si>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</si>
  <si>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</si>
  <si>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</si>
  <si>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</si>
  <si>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</si>
  <si>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Kowalczyk</t>
  </si>
  <si>
    <t>uncertainties following the resampling procedure in Beerling et al. (2009)</t>
  </si>
  <si>
    <t>right skewed</t>
  </si>
  <si>
    <t>Kowalczyk, J. B., Royer, D. L., Miller, I. M., Anderson, C. W., Beerling, D. J., Franks, P. J., Grein, M., Konrad, W., Roth-Nebelsick, A., Bowring, S. A., Johnson, K. R., and Ramezani, J., 2018, Multiple proxy estimates of atmospheric CO2 from an early Paleocene rainforest: Paleoceanography and Paleoclimatology, v. 33, p. 1427-1438.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</si>
  <si>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</si>
  <si>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</si>
  <si>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</si>
  <si>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</si>
  <si>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</si>
  <si>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</si>
  <si>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</si>
  <si>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Joseph_Milligan@baylor.edu</t>
  </si>
  <si>
    <t>Reference of the data product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</si>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</sst>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3">
    <xf numFmtId="0" fontId="0" fillId="0" borderId="0" xfId="0"/>
    <xf numFmtId="0" fontId="0" fillId="0" borderId="0" xfId="0" applyBorder="1" applyAlignment="1"/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 applyAlignment="1">
      <alignment horizontal="right"/>
    </xf>
    <xf numFmtId="0" fontId="2" fillId="3" borderId="0" xfId="0" applyFont="1" applyFill="1" applyAlignment="1">
      <alignment vertical="top" wrapText="1"/>
    </xf>
    <xf numFmtId="1" fontId="0" fillId="0" borderId="0" xfId="0" applyNumberFormat="1" applyBorder="1" applyAlignment="1"/>
    <xf numFmtId="17" fontId="0" fillId="0" borderId="0" xfId="0" applyNumberFormat="1" applyFill="1" applyBorder="1" applyAlignment="1">
      <alignment horizontal="left"/>
    </xf>
    <xf numFmtId="0" fontId="6" fillId="3" borderId="1" xfId="0" applyFont="1" applyFill="1" applyBorder="1" applyAlignment="1">
      <alignment horizontal="center" vertical="top" wrapText="1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946"/>
  <sheetViews>
    <sheetView tabSelected="1" topLeftCell="S1" workbookViewId="0">
      <selection activeCell="AC3" sqref="AC3:AD4"/>
    </sheetView>
  </sheetViews>
  <sheetFormatPr baseColWidth="10" defaultColWidth="11" defaultRowHeight="16"/>
  <cols>
    <col min="21" max="21" width="12.1640625" customWidth="1"/>
    <col min="23" max="23" width="12.6640625" customWidth="1"/>
    <col min="24" max="24" width="12.1640625" customWidth="1"/>
    <col min="26" max="26" width="12.6640625" customWidth="1"/>
    <col min="31" max="31" width="12.1640625" customWidth="1"/>
    <col min="32" max="32" width="12.5" customWidth="1"/>
    <col min="38" max="38" width="13.6640625" customWidth="1"/>
    <col min="49" max="49" width="16.1640625" customWidth="1"/>
  </cols>
  <sheetData>
    <row r="3" spans="1:50" s="4" customFormat="1" ht="102">
      <c r="A3" s="9" t="s">
        <v>50</v>
      </c>
      <c r="B3" s="9" t="s">
        <v>51</v>
      </c>
      <c r="C3" s="9" t="s">
        <v>52</v>
      </c>
      <c r="D3" s="9" t="s">
        <v>2</v>
      </c>
      <c r="E3" s="9" t="s">
        <v>53</v>
      </c>
      <c r="F3" s="9" t="s">
        <v>54</v>
      </c>
      <c r="G3" s="9" t="s">
        <v>55</v>
      </c>
      <c r="H3" s="9" t="s">
        <v>61</v>
      </c>
      <c r="I3" s="9" t="s">
        <v>62</v>
      </c>
      <c r="J3" s="9" t="s">
        <v>64</v>
      </c>
      <c r="K3" s="2" t="s">
        <v>0</v>
      </c>
      <c r="L3" s="2" t="s">
        <v>67</v>
      </c>
      <c r="M3" s="2" t="s">
        <v>69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65</v>
      </c>
      <c r="AB3" s="2" t="s">
        <v>66</v>
      </c>
      <c r="AC3" s="12" t="s">
        <v>70</v>
      </c>
      <c r="AD3" s="12" t="s">
        <v>71</v>
      </c>
      <c r="AE3" s="3" t="s">
        <v>15</v>
      </c>
      <c r="AF3" s="3" t="s">
        <v>16</v>
      </c>
      <c r="AG3" s="3" t="s">
        <v>17</v>
      </c>
      <c r="AH3" s="3" t="s">
        <v>18</v>
      </c>
      <c r="AI3" s="3" t="s">
        <v>19</v>
      </c>
      <c r="AJ3" s="3" t="s">
        <v>20</v>
      </c>
      <c r="AK3" s="3" t="s">
        <v>21</v>
      </c>
      <c r="AL3" s="3" t="s">
        <v>22</v>
      </c>
      <c r="AM3" s="3" t="s">
        <v>23</v>
      </c>
      <c r="AN3" s="3" t="s">
        <v>24</v>
      </c>
      <c r="AO3" s="3" t="s">
        <v>25</v>
      </c>
      <c r="AP3" s="3" t="s">
        <v>26</v>
      </c>
      <c r="AQ3" s="3" t="s">
        <v>27</v>
      </c>
      <c r="AR3" s="3" t="s">
        <v>28</v>
      </c>
      <c r="AS3" s="2" t="s">
        <v>29</v>
      </c>
      <c r="AT3" s="3" t="s">
        <v>30</v>
      </c>
      <c r="AU3" s="3" t="s">
        <v>31</v>
      </c>
      <c r="AV3" s="2" t="s">
        <v>32</v>
      </c>
      <c r="AW3" s="2" t="s">
        <v>33</v>
      </c>
      <c r="AX3" s="2" t="s">
        <v>1</v>
      </c>
    </row>
    <row r="4" spans="1:50">
      <c r="A4" s="1" t="s">
        <v>56</v>
      </c>
      <c r="B4" s="1" t="s">
        <v>57</v>
      </c>
      <c r="C4" s="1">
        <v>2018</v>
      </c>
      <c r="D4" s="1" t="str">
        <f>N4</f>
        <v>10.1029/2018PA003356</v>
      </c>
      <c r="E4" s="1">
        <f>V4*1000</f>
        <v>63800</v>
      </c>
      <c r="F4" s="1">
        <f>(W4-V4)*1000</f>
        <v>200.00000000000284</v>
      </c>
      <c r="G4" s="1">
        <f>(V4-X4)*1000</f>
        <v>200.00000000000284</v>
      </c>
      <c r="H4" s="10">
        <f>AR4</f>
        <v>470</v>
      </c>
      <c r="I4" s="10">
        <f>AU4-AR4</f>
        <v>296</v>
      </c>
      <c r="J4" s="10">
        <f>AR4-AT4</f>
        <v>150</v>
      </c>
      <c r="K4" s="5" t="s">
        <v>41</v>
      </c>
      <c r="L4" s="11" t="s">
        <v>68</v>
      </c>
      <c r="M4" s="7" t="s">
        <v>60</v>
      </c>
      <c r="N4" s="7" t="s">
        <v>42</v>
      </c>
      <c r="O4" s="7" t="s">
        <v>43</v>
      </c>
      <c r="P4" s="7" t="s">
        <v>34</v>
      </c>
      <c r="Q4" s="7" t="s">
        <v>35</v>
      </c>
      <c r="R4" s="7" t="s">
        <v>36</v>
      </c>
      <c r="S4" s="7" t="s">
        <v>39</v>
      </c>
      <c r="T4" s="7" t="s">
        <v>44</v>
      </c>
      <c r="U4" s="7" t="s">
        <v>45</v>
      </c>
      <c r="V4" s="8">
        <v>63.8</v>
      </c>
      <c r="W4" s="8">
        <v>64</v>
      </c>
      <c r="X4" s="8">
        <v>63.599999999999994</v>
      </c>
      <c r="Y4" s="7" t="s">
        <v>63</v>
      </c>
      <c r="Z4" s="7" t="s">
        <v>46</v>
      </c>
      <c r="AA4" s="8">
        <v>39.380000000000003</v>
      </c>
      <c r="AB4" s="8">
        <v>-104.85</v>
      </c>
      <c r="AC4" s="7" t="s">
        <v>63</v>
      </c>
      <c r="AD4" s="7" t="s">
        <v>63</v>
      </c>
      <c r="AE4" s="6">
        <v>3</v>
      </c>
      <c r="AF4" s="6">
        <v>15</v>
      </c>
      <c r="AG4" s="5" t="s">
        <v>37</v>
      </c>
      <c r="AH4" s="5" t="s">
        <v>48</v>
      </c>
      <c r="AI4" s="5">
        <v>7</v>
      </c>
      <c r="AJ4" s="5">
        <v>66.87</v>
      </c>
      <c r="AK4" s="5">
        <v>172</v>
      </c>
      <c r="AL4" s="6">
        <v>9.48</v>
      </c>
      <c r="AM4" s="5">
        <v>6</v>
      </c>
      <c r="AN4" s="6">
        <v>1.1200000000000001</v>
      </c>
      <c r="AO4" s="5" t="s">
        <v>38</v>
      </c>
      <c r="AP4" s="5" t="s">
        <v>49</v>
      </c>
      <c r="AQ4" s="5" t="s">
        <v>58</v>
      </c>
      <c r="AR4" s="6">
        <v>470</v>
      </c>
      <c r="AS4" s="5" t="s">
        <v>47</v>
      </c>
      <c r="AT4" s="6">
        <v>320</v>
      </c>
      <c r="AU4" s="6">
        <v>766</v>
      </c>
      <c r="AV4" s="5" t="s">
        <v>40</v>
      </c>
      <c r="AW4" s="5" t="s">
        <v>59</v>
      </c>
      <c r="AX4" s="5" t="s">
        <v>63</v>
      </c>
    </row>
    <row r="5" spans="1:50">
      <c r="K5" s="1"/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50"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50"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50"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50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50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50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50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50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50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50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50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1:49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1:49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1:49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1:49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1:49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1:49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1:49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1:49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1:49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1:49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1:49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1:49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1:49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1:49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1:49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1:49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1:49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1:49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1:49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1:49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1:49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1:49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1:49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1:49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1:49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1:49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1:49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1:49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1:49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2017-12-08T17:21:04Z</dcterms:created>
  <dcterms:modified xsi:type="dcterms:W3CDTF">2020-08-04T17:39:47Z</dcterms:modified>
</cp:coreProperties>
</file>