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G:\My Drive\UCD Postdoc\completed templates\Leaves\SI\"/>
    </mc:Choice>
  </mc:AlternateContent>
  <xr:revisionPtr revIDLastSave="0" documentId="8_{4FB0B417-A085-4B94-8DA4-6EBD9BC6A46A}" xr6:coauthVersionLast="47" xr6:coauthVersionMax="47" xr10:uidLastSave="{00000000-0000-0000-0000-000000000000}"/>
  <bookViews>
    <workbookView xWindow="28680" yWindow="-6405" windowWidth="29040" windowHeight="16440" tabRatio="500" xr2:uid="{00000000-000D-0000-FFFF-FFFF00000000}"/>
  </bookViews>
  <sheets>
    <sheet name="stomatal index"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 l="1"/>
  <c r="E4" i="1"/>
  <c r="F4" i="1"/>
  <c r="G4" i="1"/>
  <c r="H4" i="1"/>
  <c r="I4" i="1"/>
  <c r="J4" i="1"/>
  <c r="D5" i="1"/>
  <c r="E5" i="1"/>
  <c r="F5" i="1"/>
  <c r="G5" i="1"/>
  <c r="H5" i="1"/>
  <c r="I5" i="1"/>
  <c r="J5" i="1"/>
  <c r="D6" i="1"/>
  <c r="E6" i="1"/>
  <c r="F6" i="1"/>
  <c r="G6" i="1"/>
  <c r="H6" i="1"/>
  <c r="I6" i="1"/>
  <c r="J6" i="1"/>
  <c r="D7" i="1"/>
  <c r="E7" i="1"/>
  <c r="F7" i="1"/>
  <c r="G7" i="1"/>
  <c r="H7" i="1"/>
  <c r="I7" i="1"/>
  <c r="J7" i="1"/>
  <c r="D8" i="1"/>
  <c r="E8" i="1"/>
  <c r="F8" i="1"/>
  <c r="G8" i="1"/>
  <c r="H8" i="1"/>
  <c r="I8" i="1"/>
  <c r="J8" i="1"/>
  <c r="D9" i="1"/>
  <c r="E9" i="1"/>
  <c r="H9" i="1"/>
  <c r="I9" i="1"/>
  <c r="J9" i="1"/>
  <c r="D10" i="1"/>
  <c r="E10" i="1"/>
  <c r="F10" i="1"/>
  <c r="G10" i="1"/>
  <c r="H10" i="1"/>
  <c r="I10" i="1"/>
  <c r="J10" i="1"/>
  <c r="D11" i="1"/>
  <c r="E11" i="1"/>
  <c r="F11" i="1"/>
  <c r="G11" i="1"/>
  <c r="H11" i="1"/>
  <c r="I11" i="1"/>
  <c r="J11" i="1"/>
  <c r="D12" i="1"/>
  <c r="E12" i="1"/>
  <c r="F12" i="1"/>
  <c r="G12" i="1"/>
  <c r="H12" i="1"/>
  <c r="I12" i="1"/>
  <c r="J12" i="1"/>
  <c r="D13" i="1"/>
  <c r="E13" i="1"/>
  <c r="F13" i="1"/>
  <c r="G13" i="1"/>
  <c r="H13" i="1"/>
  <c r="I13" i="1"/>
  <c r="J13" i="1"/>
  <c r="D14" i="1"/>
  <c r="E14" i="1"/>
  <c r="F14" i="1"/>
  <c r="G14" i="1"/>
  <c r="H14" i="1"/>
  <c r="I14" i="1"/>
  <c r="J14" i="1"/>
  <c r="D15" i="1"/>
  <c r="E15" i="1"/>
  <c r="F15" i="1"/>
  <c r="G15" i="1"/>
  <c r="H15" i="1"/>
  <c r="I15" i="1"/>
  <c r="J15" i="1"/>
  <c r="D16" i="1"/>
  <c r="E16" i="1"/>
  <c r="F16" i="1"/>
  <c r="G16" i="1"/>
  <c r="H16" i="1"/>
  <c r="I16" i="1"/>
  <c r="J16" i="1"/>
  <c r="D17" i="1"/>
  <c r="E17" i="1"/>
  <c r="F17" i="1"/>
  <c r="G17" i="1"/>
  <c r="H17" i="1"/>
  <c r="I17" i="1"/>
  <c r="J17" i="1"/>
  <c r="D18" i="1"/>
  <c r="E18" i="1"/>
  <c r="F18" i="1"/>
  <c r="G18" i="1"/>
  <c r="H18" i="1"/>
  <c r="I18" i="1"/>
  <c r="J18" i="1"/>
  <c r="D19" i="1"/>
  <c r="E19" i="1"/>
  <c r="F19" i="1"/>
  <c r="G19" i="1"/>
  <c r="H19" i="1"/>
  <c r="I19" i="1"/>
  <c r="J19" i="1"/>
  <c r="D20" i="1"/>
  <c r="E20" i="1"/>
  <c r="F20" i="1"/>
  <c r="G20" i="1"/>
  <c r="H20" i="1"/>
  <c r="I20" i="1"/>
  <c r="J20" i="1"/>
  <c r="D21" i="1"/>
  <c r="E21" i="1"/>
  <c r="F21" i="1"/>
  <c r="G21" i="1"/>
  <c r="H21" i="1"/>
  <c r="I21" i="1"/>
  <c r="J21" i="1"/>
  <c r="D22" i="1"/>
  <c r="E22" i="1"/>
  <c r="F22" i="1"/>
  <c r="G22" i="1"/>
  <c r="H22" i="1"/>
  <c r="I22" i="1"/>
  <c r="J22" i="1"/>
  <c r="D23" i="1"/>
  <c r="E23" i="1"/>
  <c r="F23" i="1"/>
  <c r="G23" i="1"/>
  <c r="H23" i="1"/>
  <c r="I23" i="1"/>
  <c r="J23" i="1"/>
  <c r="D24" i="1"/>
  <c r="E24" i="1"/>
  <c r="F24" i="1"/>
  <c r="G24" i="1"/>
  <c r="H24" i="1"/>
  <c r="I24" i="1"/>
  <c r="J24" i="1"/>
  <c r="D25" i="1"/>
  <c r="E25" i="1"/>
  <c r="H25" i="1"/>
  <c r="I25" i="1"/>
  <c r="J25" i="1"/>
  <c r="D26" i="1"/>
  <c r="E26" i="1"/>
  <c r="F26" i="1"/>
  <c r="G26" i="1"/>
  <c r="H26" i="1"/>
  <c r="I26" i="1"/>
  <c r="J26" i="1"/>
  <c r="D27" i="1"/>
  <c r="E27" i="1"/>
  <c r="F27" i="1"/>
  <c r="G27" i="1"/>
  <c r="H27" i="1"/>
  <c r="I27" i="1"/>
  <c r="J27" i="1"/>
  <c r="D28" i="1"/>
  <c r="E28" i="1"/>
  <c r="F28" i="1"/>
  <c r="G28" i="1"/>
  <c r="H28" i="1"/>
  <c r="I28" i="1"/>
  <c r="J28" i="1"/>
  <c r="D29" i="1"/>
  <c r="E29" i="1"/>
  <c r="F29" i="1"/>
  <c r="G29" i="1"/>
  <c r="H29" i="1"/>
  <c r="I29" i="1"/>
  <c r="J29" i="1"/>
  <c r="D30" i="1"/>
  <c r="E30" i="1"/>
  <c r="F30" i="1"/>
  <c r="G30" i="1"/>
  <c r="H30" i="1"/>
  <c r="I30" i="1"/>
  <c r="J30" i="1"/>
  <c r="D31" i="1"/>
  <c r="E31" i="1"/>
  <c r="F31" i="1"/>
  <c r="G31" i="1"/>
  <c r="H31" i="1"/>
  <c r="I31" i="1"/>
  <c r="J31" i="1"/>
  <c r="D32" i="1"/>
  <c r="E32" i="1"/>
  <c r="F32" i="1"/>
  <c r="G32" i="1"/>
  <c r="H32" i="1"/>
  <c r="I32" i="1"/>
  <c r="J32" i="1"/>
  <c r="D33" i="1"/>
  <c r="E33" i="1"/>
  <c r="F33" i="1"/>
  <c r="G33" i="1"/>
  <c r="H33" i="1"/>
  <c r="I33" i="1"/>
  <c r="J33" i="1"/>
  <c r="D34" i="1"/>
  <c r="E34" i="1"/>
  <c r="F34" i="1"/>
  <c r="G34" i="1"/>
  <c r="H34" i="1"/>
  <c r="I34" i="1"/>
  <c r="J34" i="1"/>
  <c r="D35" i="1"/>
  <c r="E35" i="1"/>
  <c r="F35" i="1"/>
  <c r="G35" i="1"/>
  <c r="H35" i="1"/>
  <c r="I35" i="1"/>
  <c r="J35" i="1"/>
  <c r="D36" i="1"/>
  <c r="E36" i="1"/>
  <c r="F36" i="1"/>
  <c r="G36" i="1"/>
  <c r="H36" i="1"/>
  <c r="I36" i="1"/>
  <c r="J36" i="1"/>
  <c r="D37" i="1"/>
  <c r="E37" i="1"/>
  <c r="F37" i="1"/>
  <c r="G37" i="1"/>
  <c r="H37" i="1"/>
  <c r="I37" i="1"/>
  <c r="J37" i="1"/>
</calcChain>
</file>

<file path=xl/sharedStrings.xml><?xml version="1.0" encoding="utf-8"?>
<sst xmlns="http://schemas.openxmlformats.org/spreadsheetml/2006/main" count="1359" uniqueCount="325">
  <si>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</si>
  <si>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</si>
  <si>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</si>
  <si>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</si>
  <si>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</si>
  <si>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</si>
  <si>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</si>
  <si>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</si>
  <si>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</si>
  <si>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</si>
  <si>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</si>
  <si>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</si>
  <si>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</si>
  <si>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</si>
  <si>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</si>
  <si>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</si>
  <si>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</si>
  <si>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</si>
  <si>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</si>
  <si>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</si>
  <si>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</si>
  <si>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</si>
  <si>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</si>
  <si>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</si>
  <si>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</si>
  <si>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</si>
  <si>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</si>
  <si>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</si>
  <si>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Ginkgoaceae</t>
  </si>
  <si>
    <t>Ginkgo</t>
  </si>
  <si>
    <t>adiantoides</t>
  </si>
  <si>
    <t>microscope</t>
  </si>
  <si>
    <t>Ginkgo biloba</t>
  </si>
  <si>
    <t>Denver Museum of Nature and Science</t>
  </si>
  <si>
    <t>median</t>
  </si>
  <si>
    <t>proxy</t>
  </si>
  <si>
    <t>first_author_last_name</t>
  </si>
  <si>
    <t>publication_year</t>
  </si>
  <si>
    <t>age_ka</t>
  </si>
  <si>
    <t>Age_uncertainty_pos_ka</t>
  </si>
  <si>
    <t>Age_uncertainty_neg_ka</t>
  </si>
  <si>
    <t>stomata-SI</t>
  </si>
  <si>
    <t>right skewed</t>
  </si>
  <si>
    <t>CO2_ppm</t>
  </si>
  <si>
    <t>CO2_uncertainty_pos_ppm</t>
  </si>
  <si>
    <t>NA</t>
  </si>
  <si>
    <t>CO2_uncertainty_neg_ppm</t>
  </si>
  <si>
    <t>Modern Latitude (decimal degree, south negative)</t>
  </si>
  <si>
    <t>Modern Longitude (decimal degree, west negative)</t>
  </si>
  <si>
    <t>email of individual entering the data</t>
  </si>
  <si>
    <t>Reference of the data product</t>
  </si>
  <si>
    <t>Paleo Latitude (decimal degree, south negative)</t>
  </si>
  <si>
    <t>Paleo Longitude (decimal degree, west negative)</t>
  </si>
  <si>
    <t>Note: columns D-J autopopulate, enter data in all other columns</t>
  </si>
  <si>
    <t>type in your name</t>
  </si>
  <si>
    <t>Full citation (format is flexible)</t>
  </si>
  <si>
    <t>Where are the fossils?</t>
  </si>
  <si>
    <t>Give as an absolute age (not +/-)</t>
  </si>
  <si>
    <t>important for sites constrained by biostrat</t>
  </si>
  <si>
    <t>Provide a general description; add an extra tab (worksheet) with detailed information, if needed (e.g., a detailed stratigraphic section)</t>
  </si>
  <si>
    <t># of field-of-views</t>
  </si>
  <si>
    <t>dimensions, area, or magnification</t>
  </si>
  <si>
    <t>give the equation or the study</t>
  </si>
  <si>
    <t>you probably don't know this</t>
  </si>
  <si>
    <t>Mean? Median?</t>
  </si>
  <si>
    <t>Give as an absolute value (not +/-)</t>
  </si>
  <si>
    <t>95% confidence? +/- 2 s.e.m.?</t>
  </si>
  <si>
    <t>Symmetrical (gaussian)? Asymmetrical (e.g., right skewed)?</t>
  </si>
  <si>
    <t>Anything else that can help us?</t>
  </si>
  <si>
    <t>what is the regression error? Don't worry if you don't have this information.</t>
  </si>
  <si>
    <t>e.g., specimen or site number</t>
  </si>
  <si>
    <t>e.g., meter level or biostratigraphic age ("Maastrichtian")</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</si>
  <si>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</si>
  <si>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</si>
  <si>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Reported mean CO</t>
    </r>
    <r>
      <rPr>
        <b/>
        <vertAlign val="subscript"/>
        <sz val="12"/>
        <color theme="1"/>
        <rFont val="Calibri"/>
        <family val="2"/>
        <scheme val="minor"/>
      </rPr>
      <t>2</t>
    </r>
    <r>
      <rPr>
        <b/>
        <sz val="12"/>
        <color theme="1"/>
        <rFont val="Calibri"/>
        <family val="2"/>
        <scheme val="minor"/>
      </rPr>
      <t xml:space="preserve"> (ppm)</t>
    </r>
  </si>
  <si>
    <r>
      <t>CO</t>
    </r>
    <r>
      <rPr>
        <b/>
        <vertAlign val="subscript"/>
        <sz val="12"/>
        <color rgb="FF000000"/>
        <rFont val="Calibri"/>
        <family val="2"/>
        <scheme val="minor"/>
      </rPr>
      <t>2</t>
    </r>
    <r>
      <rPr>
        <b/>
        <sz val="12"/>
        <color rgb="FF000000"/>
        <rFont val="Calibri"/>
        <family val="2"/>
        <scheme val="minor"/>
      </rPr>
      <t xml:space="preserve"> type</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</si>
  <si>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</si>
  <si>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</si>
  <si>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are the counts based on microscope work done by the author, or by interpreting already published Figures / Plates?</t>
  </si>
  <si>
    <t>Counting Method
(microscope, published image)</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</si>
  <si>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</si>
  <si>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</si>
  <si>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</si>
  <si>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</si>
  <si>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</si>
  <si>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</si>
  <si>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</si>
  <si>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</si>
  <si>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</si>
  <si>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</si>
  <si>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</si>
  <si>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</si>
  <si>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</si>
  <si>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</si>
  <si>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</si>
  <si>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</si>
  <si>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</si>
  <si>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</si>
  <si>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</si>
  <si>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</si>
  <si>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</si>
  <si>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</si>
  <si>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</si>
  <si>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</si>
  <si>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</si>
  <si>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</si>
  <si>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</si>
  <si>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</si>
  <si>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</si>
  <si>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</si>
  <si>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</si>
  <si>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</si>
  <si>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</si>
  <si>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</si>
  <si>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</si>
  <si>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</si>
  <si>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</si>
  <si>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</si>
  <si>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</si>
  <si>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</si>
  <si>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</si>
  <si>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</si>
  <si>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</si>
  <si>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</si>
  <si>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</si>
  <si>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</si>
  <si>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</si>
  <si>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</si>
  <si>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</si>
  <si>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</si>
  <si>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</si>
  <si>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</si>
  <si>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</si>
  <si>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</si>
  <si>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</si>
  <si>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</si>
  <si>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</si>
  <si>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</si>
  <si>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</si>
  <si>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</si>
  <si>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</si>
  <si>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</si>
  <si>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</si>
  <si>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</si>
  <si>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</si>
  <si>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</si>
  <si>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</si>
  <si>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</si>
  <si>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</si>
  <si>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</si>
  <si>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</si>
  <si>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</si>
  <si>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</si>
  <si>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</si>
  <si>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</si>
  <si>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</si>
  <si>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</si>
  <si>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</si>
  <si>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</si>
  <si>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</si>
  <si>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</si>
  <si>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</si>
  <si>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</si>
  <si>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</si>
  <si>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</si>
  <si>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</si>
  <si>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</si>
  <si>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</si>
  <si>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</si>
  <si>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</si>
  <si>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</si>
  <si>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</si>
  <si>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</si>
  <si>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</si>
  <si>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</si>
  <si>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Beerling</t>
  </si>
  <si>
    <t>Dana L. Royer</t>
  </si>
  <si>
    <t>droyer@wesleyan.edu</t>
  </si>
  <si>
    <t>10.2475/09.2009.01</t>
  </si>
  <si>
    <t>DMNH 566 (Ginkgo Salad)</t>
  </si>
  <si>
    <t>LJH 7659 site</t>
  </si>
  <si>
    <t>LJH 7423 site</t>
  </si>
  <si>
    <t>DMNH 2360 site</t>
  </si>
  <si>
    <t>Basilika site</t>
  </si>
  <si>
    <t>spitsbergensis (considered conspecific with G. adiantoides)</t>
  </si>
  <si>
    <t>DMNH 2644 site</t>
  </si>
  <si>
    <t>Burbank site</t>
  </si>
  <si>
    <t>Joffre Bridge site</t>
  </si>
  <si>
    <t>SLW 0025 site</t>
  </si>
  <si>
    <t>LJH 7132 site</t>
  </si>
  <si>
    <t>SLW 993 site</t>
  </si>
  <si>
    <t>SLW 992 site</t>
  </si>
  <si>
    <t>SLW 991 site</t>
  </si>
  <si>
    <t>LJH 72141-1 site</t>
  </si>
  <si>
    <t>SLW 9155 site</t>
  </si>
  <si>
    <t>SLW 9411 site</t>
  </si>
  <si>
    <t>SLW 9434 site</t>
  </si>
  <si>
    <t>SLW 9715 site</t>
  </si>
  <si>
    <t>SLW 9050 site</t>
  </si>
  <si>
    <t>SLW 9936 site</t>
  </si>
  <si>
    <t>SLW 8612 site</t>
  </si>
  <si>
    <t>gardneri</t>
  </si>
  <si>
    <t>SLW 9812 site</t>
  </si>
  <si>
    <t>SLW 9915 site</t>
  </si>
  <si>
    <t>SLW LB site</t>
  </si>
  <si>
    <t>SLW H site</t>
  </si>
  <si>
    <t>LJH 9915 site</t>
  </si>
  <si>
    <t>Juliaetta site (P6)</t>
  </si>
  <si>
    <t>Clarkia site (P33a)</t>
  </si>
  <si>
    <t>Cupressaceae</t>
  </si>
  <si>
    <t>Metasequoia</t>
  </si>
  <si>
    <t>occidentalis</t>
  </si>
  <si>
    <t>Clarkia site (P33b)</t>
  </si>
  <si>
    <t>Emerald Creek site (P37a)</t>
  </si>
  <si>
    <t>Richard S. Barclay and Dana L. Royer</t>
  </si>
  <si>
    <t>GA</t>
  </si>
  <si>
    <t>biloba</t>
  </si>
  <si>
    <t>HB2/1,HB2/2</t>
  </si>
  <si>
    <t>Literature</t>
  </si>
  <si>
    <t>Denver Museum of Nature and Science (DMNH 20631-20698)</t>
  </si>
  <si>
    <t>Hell Creek Formation</t>
  </si>
  <si>
    <t>~33.5 m below the KPg boundary</t>
  </si>
  <si>
    <t>GTS1989</t>
  </si>
  <si>
    <t>geochronology, magnetostratigraphy,a K-Pg age of 65 Myrs ago, and an assumption of constant sedimentation rates</t>
  </si>
  <si>
    <t>0.1795 mm2</t>
  </si>
  <si>
    <t>fields-of-view were partly comprised of non-stomatal-bearing areas (for example, over top major veins); the field-of-view fraction that was usable was not measured; as such, the measured stomatal densities are not particularly useful.</t>
  </si>
  <si>
    <t>Royer (2003)</t>
  </si>
  <si>
    <t>Uncertainties only in the calibration function are included</t>
  </si>
  <si>
    <t>mean</t>
  </si>
  <si>
    <t>2.5 and 97.5 percentiles</t>
  </si>
  <si>
    <t>Original CO2 estimates made by Beerling et al. (2002 PNAS 99: 7836-7840 doi:10.1073 pnas.122573099) and Royer (2003 GSA Special Paper 369: 79-93 doi:10.1130/0-8137-2369-8.79); revised by Beerling et al. (2009) using a more robust error propagation routine; Milligan et al. (2019 Geophysical Research Letters doi:10.1029/2018GL081215) used the same cuticles to estimate CO2 with the Franks leaf-gas-exchange proxy</t>
  </si>
  <si>
    <t>Yale Peabody Museum (YPM 40794-40800 and YPM 45166-45173)</t>
  </si>
  <si>
    <t>Fort Union (Bighorn Basin)</t>
  </si>
  <si>
    <t>~4 m above KPg boundary; early Puercan NALMA</t>
  </si>
  <si>
    <t>biostratigraphy (early Puercan)</t>
  </si>
  <si>
    <t>Royer (2003 GSA Special Paper 369: 79-93 doi:10.1130/0-8137-2369-8.79) coupled with the Monte Carlo resampling routine of Beerling et al. (2009 American Journal of Science 309: 775-787 doi:10.2475/09.2009.01)</t>
  </si>
  <si>
    <t>Uncertainties in the fossil SI measurement and the calibration function are included</t>
  </si>
  <si>
    <t>Smithsonian Museum of Natural History (USNM 519346-519350)</t>
  </si>
  <si>
    <t>Original CO2 estimates made by Beerling et al. (2002 PNAS 99: 7836-7840 doi:10.1073 pnas.122573099) and Royer (2003 GSA Special Paper 369: 79-93 doi:10.1130/0-8137-2369-8.79); revised by Beerling et al. (2009) using a more robust error propagation routine</t>
  </si>
  <si>
    <t>Denver Museum of Nature and Science (DMNH 23071-23075)</t>
  </si>
  <si>
    <t>Dawson (Denver Basin)</t>
  </si>
  <si>
    <t>radiometric dating (Raynolds et al., 2001, p. 21; see Royer 2003 for citation)</t>
  </si>
  <si>
    <t>Oslo Paleontological Museum and Yale Peabody Museum (PMO PA164.991, PMO PA164.992, PMO PA164.998, PMO PA165.003, PMO PA167.556, PMO PA167.557, YPM 45128)</t>
  </si>
  <si>
    <t>Firkanten</t>
  </si>
  <si>
    <t>early Paleocene (Kvacek et al., 1994; see Royer 2003 for citation)</t>
  </si>
  <si>
    <t>biostratigraphy (early Paleocene)</t>
  </si>
  <si>
    <t>Hanna (Hanna Basin)</t>
  </si>
  <si>
    <t>Torrejonian-Tiffanian NALMA (Dunn, 2003 MS thesis from Univ of Wyoming: "Correlation of Leaf Megafossil and Palynological Data with North American Land Mammal Ages from Paleocene-aged Strata of the Ferris and Hanna Formations, Hanna Basin, South-central Wyoming")</t>
  </si>
  <si>
    <t>biostratigraphy (Torrejonian-Tiffanian)</t>
  </si>
  <si>
    <t>Original CO2 estimates made by Royer (2003 GSA Special Paper 369: 79-93 doi:10.1130/0-8137-2369-8.79); revised by Beerling et al. (2009) using a more robust error propagation routine</t>
  </si>
  <si>
    <t>University of Alberta (dlr 00129-00135)</t>
  </si>
  <si>
    <t>Paskapoo</t>
  </si>
  <si>
    <t>Ti-3 NALMA</t>
  </si>
  <si>
    <t>biostratigraphy (middle Tiffanian, Ti-3)</t>
  </si>
  <si>
    <t>Original CO2 estimates made by Royer et al. (2001 Science 292: 2310-2313 doi:10.1126/science.292.5525.2310) and Royer (2003 GSA Special Paper 369: 79-93 doi:10.1130/0-8137-2369-8.79); revised by Beerling et al. (2009) using a more robust error propagation routine</t>
  </si>
  <si>
    <t>University of Alberta (dlr 00136-00140)</t>
  </si>
  <si>
    <t>Smithsonian Museum of Natural History (USNM 519351-519357)</t>
  </si>
  <si>
    <t>Ti-5 NALMA</t>
  </si>
  <si>
    <t>2.1 Myrs before the PETM (Age Model 2 in Wing et al., 2000, which uses measured sections, biostratigraphy, the PETM carbon isotope excursion, and one Ar/Ar radiometric date; see Royer 2003 for details and for Wing citation)</t>
  </si>
  <si>
    <t>Yale Peabody Museum (USNM 511364, YPM 45196-45198, YPM 45914)</t>
  </si>
  <si>
    <t>Ti-6/Cf-1 NALMA</t>
  </si>
  <si>
    <t>1.2 Myrs before the PETM (Age Model 2 in Wing et al., 2000, which uses measured sections, biostratigraphy, the PETM carbon isotope excursion, and one Ar/Ar radiometric date; see Royer 2003 for details and for Wing citation)</t>
  </si>
  <si>
    <t>Smithsonian Museum of Natural History (USNM 516616-516622)</t>
  </si>
  <si>
    <t>~1195 m above the KPg boundary</t>
  </si>
  <si>
    <t>0.7 Myrs before the PETM (Age Model 2 in Wing et al., 2000, which uses measured sections, biostratigraphy, the PETM carbon isotope excursion, and one Ar/Ar radiometric date; see Royer 2003 for details and for Wing citation)</t>
  </si>
  <si>
    <t>Smithsonian Museum of Natural History (USNM 519363, USNM 519367)</t>
  </si>
  <si>
    <t>Smithsonian Museum of Natural History (USNM 519358-519362)</t>
  </si>
  <si>
    <t>Smithsonian Museum of Natural History and Yale Peabody Museum (YPM 45129-45130)</t>
  </si>
  <si>
    <t>Cf2 NALMA</t>
  </si>
  <si>
    <t>0.6 Myrs before the PETM (Age Model 2 in Wing et al., 2000, which uses measured sections, biostratigraphy, the PETM carbon isotope excursion, and one Ar/Ar radiometric date; see Royer 2003 for details and for Wing citation)</t>
  </si>
  <si>
    <t>Smithsonian Museum of Natural History (USNM 519368-519377)</t>
  </si>
  <si>
    <t>~100 m below Wa-0 NALMA (Cf2/Cf3)</t>
  </si>
  <si>
    <t>0.5 Myrs before the PETM (Age Model 2 in Wing et al., 2000, which uses measured sections, biostratigraphy, the PETM carbon isotope excursion, and one Ar/Ar radiometric date; see Royer 2003 for details and for Wing citation)</t>
  </si>
  <si>
    <t>Smithsonian Museum of Natural History (USNM 519378-519385)</t>
  </si>
  <si>
    <t>~50 m below Wa-0 NALMA</t>
  </si>
  <si>
    <t>0.4 Myrs before the PETM (Age Model 2 in Wing et al., 2000, which uses measured sections, biostratigraphy, the PETM carbon isotope excursion, and one Ar/Ar radiometric date; see Royer 2003 for details and for Wing citation)</t>
  </si>
  <si>
    <t>Smithsonian Museum of Natural History (USNM 519386-519392)</t>
  </si>
  <si>
    <t>~30 m below Wa-0 NALMA</t>
  </si>
  <si>
    <t>0.2 Myrs before the PETM (Age Model 2 in Wing et al., 2000, which uses measured sections, biostratigraphy, the PETM carbon isotope excursion, and one Ar/Ar radiometric date; see Royer 2003 for details and for Wing citation)</t>
  </si>
  <si>
    <t>Smithsonian Museum of Natural History (dlr 0071-0075, 0081-0085, 00100-00101)</t>
  </si>
  <si>
    <t>~1470 m above the KPg boundary</t>
  </si>
  <si>
    <t>0.1 Myrs before the PETM (Age Model 2 in Wing et al., 2000, which uses measured sections, biostratigraphy, the PETM carbon isotope excursion, and one Ar/Ar radiometric date; see Royer 2003 for details and for Wing citation)</t>
  </si>
  <si>
    <t>Smithsonian Museum of Natural History (dlr 00110-00114)</t>
  </si>
  <si>
    <t>~25 m below Wa-0 NALMA</t>
  </si>
  <si>
    <t>Smithsonian Museum of Natural History (dlr 9960-9964, dlr 9939-9942, dlr 9955-9959)</t>
  </si>
  <si>
    <t>Smithsonian Museum of Natural History (dlr 9947-9951, dlr 9943-9944)</t>
  </si>
  <si>
    <t>~15 m below Wa-0 NALMA</t>
  </si>
  <si>
    <t>British Natural History Museum; Oslo Paleontological Museum; Yale Peabody Museum</t>
  </si>
  <si>
    <t>Considered to be from within the PETM by Jolley et al. (2002 Geology 30: 7-10 doi:10.1130/0091-7613(2002)030&lt;0007:PTSMEF&gt;2.0.CO;2); this was subsequently sharply disputed (see May 2003 issue of Geology)</t>
  </si>
  <si>
    <t>Smithsonian Museum of Natural History (dlr 0076-0080, dlr 0086-0099, dlr 00102-00104)</t>
  </si>
  <si>
    <t>Willwood (Bighorn Basin)</t>
  </si>
  <si>
    <t>~1570 m above the KPg boundary</t>
  </si>
  <si>
    <t>0.1 Myrs after the PETM (Age Model 2 in Wing et al., 2000, which uses measured sections, biostratigraphy, the PETM carbon isotope excursion, and one Ar/Ar radiometric date; see Royer 2003 for details and for Wing citation)</t>
  </si>
  <si>
    <t>Smithsonian Museum of Natural History (USNM 519393-519398)</t>
  </si>
  <si>
    <t>~1720 m above the KPg boundary</t>
  </si>
  <si>
    <t>0.4 Myrs after the PETM (Age Model 2 in Wing et al., 2000, which uses measured sections, biostratigraphy, the PETM carbon isotope excursion, and one Ar/Ar radiometric date; see Royer 2003 for details and for Wing citation)</t>
  </si>
  <si>
    <t>Smithsonian Museum of Natural History (USNM 519399-519403)</t>
  </si>
  <si>
    <t>~311 m above the Wa-0 NALMA</t>
  </si>
  <si>
    <t>1.3 Myrs after the PETM (Age Model 2 in Wing et al., 2000, which uses measured sections, biostratigraphy, the PETM carbon isotope excursion, and one Ar/Ar radiometric date; see Royer 2003 for details and for Wing citation)</t>
  </si>
  <si>
    <t>Smithsonian Museum of Natural History (USNM 519404-519412)</t>
  </si>
  <si>
    <t>~420 m above the Wa-0 NALMA</t>
  </si>
  <si>
    <t>1.7 Myrs after the PETM (Age Model 2 in Wing et al., 2000, which uses measured sections, biostratigraphy, the PETM carbon isotope excursion, and one Ar/Ar radiometric date; see Royer 2003 for details and for Wing citation)</t>
  </si>
  <si>
    <t>Yale Peabody Museum (YPM 48029, YPM 48002, YPM 40776, YPM 40777, YPM 40778, YPM 47747, YPM 47754, YPM 47780, YPM 47753, YPM 47802, YPM 47833, YPM 47942, YPM 47971, YPM 47939)</t>
  </si>
  <si>
    <t>~429 m above the Wa-0 NALMA</t>
  </si>
  <si>
    <t>1.8 Myrs after the PETM (Age Model 2 in Wing et al., 2000, which uses measured sections, biostratigraphy, the PETM carbon isotope excursion, and one Ar/Ar radiometric date; see Royer 2003 for details and for Wing citation)</t>
  </si>
  <si>
    <t>Yale Peabody Museum (YPM 45174-45185)</t>
  </si>
  <si>
    <t>Latah</t>
  </si>
  <si>
    <t>radiometric constraints (Reidel &amp; Fecht, 1987; 10.1130/0016-7606(1987)98&lt;664:thfeos&gt;2.0.co;2)</t>
  </si>
  <si>
    <t>Yale Peabody Museum (YPM 45186-45188)</t>
  </si>
  <si>
    <t>Metasequoia glyptostroboides</t>
  </si>
  <si>
    <t>Yale Peabody Museum (YPM 45193-45195)</t>
  </si>
  <si>
    <t>Yale Peabody Museum (YPM 45189-45192)</t>
  </si>
  <si>
    <t>Charles University</t>
  </si>
  <si>
    <t>Zukunft-W</t>
  </si>
  <si>
    <t>GTS 2012; L. Badenian (Schaefer A, Utescher T, Moers T (2004) Newslett Stratigr 40:73-110)</t>
  </si>
  <si>
    <t>Absolute age of the biozone, palaeomagnetic Chron, or geological stage depending upon the age assessment available</t>
  </si>
  <si>
    <t>5-10</t>
  </si>
  <si>
    <t>Original CO2 estimates made by Kürschner et al. (2008 PNAS 105: 449-453 doi.org/10.1073/pnas.0708588105); revised by Beerling et al. (2009) using a more robust error propagation routine</t>
  </si>
  <si>
    <t>Horni Briza</t>
  </si>
  <si>
    <t>GTS 2012; E. Badenian (Němejc F, Kvaček Z, Pacltová B, Konzalová M (2003) Acta Univ Carol Geol 46:121-176)</t>
  </si>
  <si>
    <t>Ledenice</t>
  </si>
  <si>
    <t>GTS 2012; E. Badenian (Retallack GJ (2002) Philos Trans R Soc London A 360:959-673)</t>
  </si>
  <si>
    <t>=</t>
  </si>
  <si>
    <t xml:space="preserve"> age uncertainty (±2s)</t>
  </si>
  <si>
    <t>Beerling, D.J., Fox, A. and Anderson, C.W., 2009. Quantitative uncertainty analyses of ancient atmospheric CO2 estimates from fossil leaves. Am. J. Sci., 309(9): 775–787. https://doi.org/10.2475/09.2009.01.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</si>
</sst>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sz val="12"/>
      <color theme="1"/>
      <name val="Calibri"/>
      <family val="2"/>
    </font>
    <font>
      <sz val="11"/>
      <color theme="1"/>
      <name val="Calibri"/>
      <family val="2"/>
      <scheme val="minor"/>
    </font>
    <font>
      <b/>
      <sz val="12"/>
      <color theme="1"/>
      <name val="Calibri"/>
      <family val="2"/>
    </font>
    <font>
      <sz val="10"/>
      <color theme="1"/>
      <name val="Arial"/>
      <family val="2"/>
    </font>
    <font>
      <u/>
      <sz val="11"/>
      <color theme="10"/>
      <name val="Calibri"/>
      <family val="2"/>
      <scheme val="minor"/>
    </font>
    <font>
      <sz val="13"/>
      <color theme="1"/>
      <name val="Calibri"/>
      <family val="2"/>
      <scheme val="minor"/>
    </font>
    <font>
      <sz val="13"/>
      <color rgb="FF000000"/>
      <name val="Calibri"/>
      <family val="2"/>
      <scheme val="minor"/>
    </font>
  </fonts>
  <fills count="9">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s>
  <borders count="18">
    <border>
      <left/>
      <right/>
      <top/>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medium">
        <color indexed="64"/>
      </top>
      <bottom style="thin">
        <color indexed="64"/>
      </bottom>
      <diagonal/>
    </border>
  </borders>
  <cellStyleXfs count="5">
    <xf numFmtId="0" fontId="0" fillId="0" borderId="0"/>
    <xf numFmtId="0" fontId="4" fillId="0" borderId="0"/>
    <xf numFmtId="0" fontId="1" fillId="0" borderId="0"/>
    <xf numFmtId="0" fontId="11" fillId="0" borderId="0"/>
    <xf numFmtId="0" fontId="14" fillId="0" borderId="0" applyNumberFormat="0" applyFill="0" applyBorder="0" applyAlignment="0" applyProtection="0"/>
  </cellStyleXfs>
  <cellXfs count="86">
    <xf numFmtId="0" fontId="0" fillId="0" borderId="0" xfId="0"/>
    <xf numFmtId="0" fontId="12" fillId="0" borderId="3" xfId="3" applyFont="1" applyBorder="1" applyAlignment="1">
      <alignment wrapText="1"/>
    </xf>
    <xf numFmtId="0" fontId="11" fillId="0" borderId="0" xfId="3"/>
    <xf numFmtId="0" fontId="10" fillId="0" borderId="3" xfId="3" applyFont="1" applyBorder="1" applyAlignment="1">
      <alignment wrapText="1"/>
    </xf>
    <xf numFmtId="0" fontId="13" fillId="0" borderId="3" xfId="3" applyFont="1" applyBorder="1" applyAlignment="1">
      <alignment wrapText="1"/>
    </xf>
    <xf numFmtId="0" fontId="14" fillId="0" borderId="3" xfId="4" applyBorder="1" applyAlignment="1">
      <alignment wrapText="1"/>
    </xf>
    <xf numFmtId="0" fontId="10" fillId="5" borderId="3" xfId="3" applyFont="1" applyFill="1" applyBorder="1" applyAlignment="1">
      <alignment wrapText="1"/>
    </xf>
    <xf numFmtId="0" fontId="13" fillId="5" borderId="3" xfId="3" applyFont="1" applyFill="1" applyBorder="1" applyAlignment="1">
      <alignment wrapText="1"/>
    </xf>
    <xf numFmtId="0" fontId="2" fillId="6" borderId="4" xfId="0" applyFont="1" applyFill="1" applyBorder="1"/>
    <xf numFmtId="0" fontId="15" fillId="6" borderId="16"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0" fillId="0" borderId="0" xfId="0" applyAlignment="1">
      <alignment horizontal="left" vertical="center" wrapText="1"/>
    </xf>
    <xf numFmtId="17" fontId="0" fillId="0" borderId="0" xfId="0" applyNumberFormat="1" applyAlignment="1" applyProtection="1">
      <alignment horizontal="left" vertical="center"/>
      <protection locked="0"/>
    </xf>
    <xf numFmtId="0" fontId="0" fillId="0" borderId="0" xfId="0" applyAlignment="1">
      <alignment horizontal="center" vertical="center"/>
    </xf>
    <xf numFmtId="0" fontId="0" fillId="4" borderId="0" xfId="0" applyFill="1" applyAlignment="1">
      <alignment horizontal="center" vertical="center"/>
    </xf>
    <xf numFmtId="0" fontId="0" fillId="4" borderId="2" xfId="0" applyFill="1" applyBorder="1" applyAlignment="1">
      <alignment horizontal="center" vertical="center"/>
    </xf>
    <xf numFmtId="0" fontId="0" fillId="0" borderId="0" xfId="0" applyAlignment="1">
      <alignment horizontal="center" vertical="center" wrapText="1"/>
    </xf>
    <xf numFmtId="0" fontId="0" fillId="4" borderId="0" xfId="0" applyFill="1" applyAlignment="1">
      <alignment horizontal="center" vertical="center" wrapText="1"/>
    </xf>
    <xf numFmtId="0" fontId="0" fillId="4" borderId="2" xfId="0" applyFill="1" applyBorder="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4" borderId="2"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pplyProtection="1">
      <alignment horizontal="center" vertical="center"/>
      <protection locked="0"/>
    </xf>
    <xf numFmtId="0" fontId="0" fillId="4" borderId="0" xfId="0" applyFill="1" applyAlignment="1" applyProtection="1">
      <alignment horizontal="center" vertical="center"/>
      <protection locked="0"/>
    </xf>
    <xf numFmtId="1" fontId="0" fillId="4" borderId="0" xfId="0" applyNumberFormat="1" applyFill="1" applyAlignment="1" applyProtection="1">
      <alignment horizontal="center" vertical="center"/>
      <protection locked="0"/>
    </xf>
    <xf numFmtId="1" fontId="0" fillId="4" borderId="2" xfId="0" applyNumberFormat="1"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0" borderId="0" xfId="0" applyAlignment="1">
      <alignment horizontal="left" vertical="center"/>
    </xf>
    <xf numFmtId="0" fontId="3" fillId="2" borderId="0" xfId="0" applyFont="1" applyFill="1" applyAlignment="1">
      <alignment horizontal="left" vertical="center" wrapText="1"/>
    </xf>
    <xf numFmtId="0" fontId="0" fillId="0" borderId="0" xfId="0" applyAlignment="1" applyProtection="1">
      <alignment horizontal="left" vertical="center"/>
      <protection locked="0"/>
    </xf>
    <xf numFmtId="0" fontId="2" fillId="0" borderId="1" xfId="0" applyFont="1" applyBorder="1" applyAlignment="1">
      <alignment horizontal="left" vertical="center"/>
    </xf>
    <xf numFmtId="0" fontId="0" fillId="4" borderId="1" xfId="0" applyFill="1" applyBorder="1" applyAlignment="1">
      <alignment horizontal="left" vertical="center" wrapText="1"/>
    </xf>
    <xf numFmtId="0" fontId="2" fillId="4" borderId="1" xfId="0" applyFont="1" applyFill="1" applyBorder="1" applyAlignment="1">
      <alignment horizontal="left" vertical="center" wrapText="1"/>
    </xf>
    <xf numFmtId="0" fontId="0" fillId="4" borderId="1" xfId="0" applyFill="1" applyBorder="1" applyAlignment="1" applyProtection="1">
      <alignment horizontal="left" vertical="center"/>
      <protection locked="0"/>
    </xf>
    <xf numFmtId="0" fontId="0" fillId="4" borderId="1" xfId="0" applyFill="1" applyBorder="1" applyAlignment="1">
      <alignment horizontal="left" vertical="center"/>
    </xf>
    <xf numFmtId="0" fontId="6" fillId="0" borderId="0" xfId="0" applyFont="1" applyAlignment="1">
      <alignment horizontal="left" vertical="center" wrapText="1"/>
    </xf>
    <xf numFmtId="0" fontId="2" fillId="2" borderId="0" xfId="0" applyFont="1" applyFill="1" applyAlignment="1">
      <alignment horizontal="left" vertical="center" wrapText="1"/>
    </xf>
    <xf numFmtId="0" fontId="5" fillId="3" borderId="0" xfId="0" applyFont="1" applyFill="1" applyAlignment="1">
      <alignment horizontal="left" vertical="center" wrapText="1"/>
    </xf>
    <xf numFmtId="0" fontId="16" fillId="6" borderId="8" xfId="0" applyFont="1" applyFill="1" applyBorder="1" applyAlignment="1">
      <alignment horizontal="left" vertical="center" wrapText="1"/>
    </xf>
    <xf numFmtId="0" fontId="0" fillId="6" borderId="5" xfId="0" applyFont="1" applyFill="1" applyBorder="1"/>
    <xf numFmtId="0" fontId="0" fillId="6" borderId="6" xfId="0" applyFont="1" applyFill="1" applyBorder="1"/>
    <xf numFmtId="0" fontId="0" fillId="7" borderId="7" xfId="0" applyFont="1" applyFill="1" applyBorder="1"/>
    <xf numFmtId="0" fontId="0" fillId="8" borderId="4" xfId="0" applyFont="1" applyFill="1" applyBorder="1"/>
    <xf numFmtId="0" fontId="0" fillId="8" borderId="5" xfId="0" applyFont="1" applyFill="1" applyBorder="1"/>
    <xf numFmtId="0" fontId="0" fillId="8" borderId="6" xfId="0" applyFont="1" applyFill="1" applyBorder="1"/>
    <xf numFmtId="0" fontId="0" fillId="0" borderId="8" xfId="0" applyFont="1" applyBorder="1"/>
    <xf numFmtId="0" fontId="0" fillId="0" borderId="0" xfId="0" applyFont="1"/>
    <xf numFmtId="0" fontId="0" fillId="6" borderId="4" xfId="0" applyFont="1" applyFill="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7" borderId="7" xfId="0" applyFont="1" applyFill="1" applyBorder="1" applyAlignment="1">
      <alignment horizontal="center"/>
    </xf>
    <xf numFmtId="0" fontId="0" fillId="8" borderId="4" xfId="0" applyFont="1" applyFill="1" applyBorder="1" applyAlignment="1">
      <alignment horizontal="center" vertical="center"/>
    </xf>
    <xf numFmtId="0" fontId="0" fillId="8" borderId="5" xfId="0" applyFont="1" applyFill="1" applyBorder="1" applyAlignment="1">
      <alignment horizontal="center" vertical="center"/>
    </xf>
    <xf numFmtId="0" fontId="0" fillId="0" borderId="8" xfId="0" applyFont="1" applyBorder="1"/>
    <xf numFmtId="0" fontId="0" fillId="0" borderId="9" xfId="0" applyFont="1" applyBorder="1" applyAlignment="1">
      <alignment horizontal="center" vertical="center"/>
    </xf>
    <xf numFmtId="0" fontId="0" fillId="0" borderId="10" xfId="0" applyFont="1" applyBorder="1" applyAlignment="1">
      <alignment horizontal="center" vertical="center"/>
    </xf>
    <xf numFmtId="0" fontId="0" fillId="0" borderId="11" xfId="0" applyFont="1" applyBorder="1" applyAlignment="1">
      <alignment horizontal="center" vertical="center"/>
    </xf>
    <xf numFmtId="0" fontId="0" fillId="7" borderId="7" xfId="0" applyFont="1" applyFill="1" applyBorder="1" applyAlignment="1">
      <alignment horizontal="center" vertical="center"/>
    </xf>
    <xf numFmtId="0" fontId="0" fillId="0" borderId="7" xfId="0" applyFont="1" applyBorder="1" applyAlignment="1">
      <alignment horizontal="center" vertical="center"/>
    </xf>
    <xf numFmtId="0" fontId="0" fillId="7" borderId="12" xfId="0" applyFont="1" applyFill="1" applyBorder="1" applyAlignment="1">
      <alignment horizontal="center" vertical="center"/>
    </xf>
    <xf numFmtId="0" fontId="0" fillId="0" borderId="13" xfId="0" applyFont="1" applyBorder="1" applyAlignment="1">
      <alignment horizontal="center" vertical="center"/>
    </xf>
    <xf numFmtId="0" fontId="0" fillId="0" borderId="14" xfId="0" applyFont="1" applyBorder="1" applyAlignment="1">
      <alignment horizontal="center" vertical="center"/>
    </xf>
    <xf numFmtId="0" fontId="0" fillId="0" borderId="15" xfId="0" applyFont="1" applyBorder="1"/>
    <xf numFmtId="0" fontId="0" fillId="6" borderId="7" xfId="0" applyFont="1" applyFill="1" applyBorder="1" applyAlignment="1">
      <alignment vertical="center" wrapText="1"/>
    </xf>
    <xf numFmtId="0" fontId="0" fillId="7" borderId="7" xfId="0" applyFont="1" applyFill="1" applyBorder="1" applyAlignment="1">
      <alignment vertical="center" wrapText="1"/>
    </xf>
    <xf numFmtId="0" fontId="0" fillId="8" borderId="7" xfId="0" applyFont="1" applyFill="1" applyBorder="1"/>
    <xf numFmtId="0" fontId="0" fillId="8" borderId="7" xfId="0" applyFont="1" applyFill="1" applyBorder="1" applyAlignment="1">
      <alignment vertical="center" wrapText="1"/>
    </xf>
    <xf numFmtId="0" fontId="0" fillId="8" borderId="15" xfId="0" applyFont="1" applyFill="1" applyBorder="1" applyAlignment="1">
      <alignment vertical="center" wrapText="1"/>
    </xf>
    <xf numFmtId="0" fontId="0" fillId="0" borderId="7" xfId="0" applyFont="1" applyBorder="1" applyAlignment="1">
      <alignment vertical="center" wrapText="1"/>
    </xf>
    <xf numFmtId="0" fontId="0" fillId="0" borderId="0" xfId="0" applyFont="1" applyAlignment="1">
      <alignment vertical="center" wrapText="1"/>
    </xf>
    <xf numFmtId="0" fontId="0" fillId="7" borderId="16" xfId="0" applyFont="1" applyFill="1" applyBorder="1" applyAlignment="1">
      <alignment horizontal="left" vertical="center" wrapText="1"/>
    </xf>
    <xf numFmtId="0" fontId="0" fillId="8" borderId="16" xfId="0" applyFont="1" applyFill="1" applyBorder="1" applyAlignment="1">
      <alignment horizontal="left" vertical="center" wrapText="1"/>
    </xf>
    <xf numFmtId="0" fontId="0" fillId="0" borderId="16" xfId="0" applyFont="1" applyBorder="1" applyAlignment="1">
      <alignment horizontal="left" vertical="center" wrapText="1"/>
    </xf>
    <xf numFmtId="0" fontId="0" fillId="0" borderId="0" xfId="0" applyFont="1" applyAlignment="1">
      <alignment horizontal="left" vertical="center" wrapText="1"/>
    </xf>
    <xf numFmtId="0" fontId="0" fillId="6" borderId="17" xfId="0" applyFont="1" applyFill="1" applyBorder="1" applyAlignment="1" applyProtection="1">
      <alignment horizontal="left" vertical="center"/>
      <protection locked="0"/>
    </xf>
    <xf numFmtId="0" fontId="0" fillId="6" borderId="7" xfId="0" applyFont="1" applyFill="1" applyBorder="1" applyAlignment="1" applyProtection="1">
      <alignment horizontal="left" vertical="center"/>
      <protection locked="0"/>
    </xf>
    <xf numFmtId="0" fontId="0" fillId="6" borderId="15" xfId="0" applyFont="1" applyFill="1" applyBorder="1" applyAlignment="1">
      <alignment horizontal="center"/>
    </xf>
    <xf numFmtId="0" fontId="0" fillId="7" borderId="15" xfId="0" applyFont="1" applyFill="1" applyBorder="1"/>
    <xf numFmtId="0" fontId="0" fillId="8" borderId="15" xfId="0" applyFont="1" applyFill="1" applyBorder="1"/>
    <xf numFmtId="0" fontId="0" fillId="0" borderId="0" xfId="0" applyFont="1" applyAlignment="1" applyProtection="1">
      <alignment horizontal="left" vertical="center"/>
      <protection locked="0"/>
    </xf>
    <xf numFmtId="0" fontId="0" fillId="6" borderId="7" xfId="0" applyFont="1" applyFill="1" applyBorder="1"/>
    <xf numFmtId="0" fontId="0" fillId="6" borderId="7" xfId="0" applyFont="1" applyFill="1" applyBorder="1" applyAlignment="1">
      <alignment horizontal="center"/>
    </xf>
    <xf numFmtId="0" fontId="0" fillId="0" borderId="15" xfId="0" applyFont="1" applyBorder="1"/>
    <xf numFmtId="0" fontId="0" fillId="6" borderId="15" xfId="0" applyFont="1" applyFill="1" applyBorder="1"/>
    <xf numFmtId="0" fontId="0" fillId="0" borderId="7" xfId="0" applyFont="1" applyBorder="1"/>
  </cellXfs>
  <cellStyles count="5">
    <cellStyle name="Hyperlink 2" xfId="4" xr:uid="{B08823BA-F1D1-4573-A235-3C6EE6B80811}"/>
    <cellStyle name="Normal" xfId="0" builtinId="0"/>
    <cellStyle name="Normal 2" xfId="3" xr:uid="{D24CE98E-639D-4E1C-89D5-807C1FF7BD83}"/>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48"/>
  <sheetViews>
    <sheetView tabSelected="1" topLeftCell="F1" workbookViewId="0">
      <pane ySplit="3" topLeftCell="A4" activePane="bottomLeft" state="frozen"/>
      <selection pane="bottomLeft" activeCell="M4" sqref="M4:M37"/>
    </sheetView>
  </sheetViews>
  <sheetFormatPr defaultColWidth="11" defaultRowHeight="15.6" x14ac:dyDescent="0.3"/>
  <cols>
    <col min="1" max="3" width="11" style="13"/>
    <col min="4" max="4" width="11" style="35"/>
    <col min="5" max="9" width="11" style="14"/>
    <col min="10" max="10" width="11" style="15"/>
    <col min="11" max="12" width="11" style="28"/>
    <col min="13" max="13" width="16.69921875" style="28" customWidth="1"/>
    <col min="14" max="20" width="11" style="28"/>
    <col min="21" max="21" width="12.19921875" style="28" customWidth="1"/>
    <col min="22" max="22" width="11" style="28"/>
    <col min="23" max="23" width="12.796875" style="28" customWidth="1"/>
    <col min="24" max="24" width="12.19921875" style="28" customWidth="1"/>
    <col min="25" max="25" width="11" style="28"/>
    <col min="26" max="26" width="12.796875" style="28" customWidth="1"/>
    <col min="27" max="30" width="11" style="28"/>
    <col min="31" max="31" width="12.19921875" style="28" customWidth="1"/>
    <col min="32" max="32" width="12.296875" style="28" customWidth="1"/>
    <col min="33" max="34" width="12.19921875" style="28" customWidth="1"/>
    <col min="35" max="36" width="11" style="28"/>
    <col min="37" max="37" width="12.796875" style="28" customWidth="1"/>
    <col min="38" max="38" width="13.796875" style="28" customWidth="1"/>
    <col min="39" max="48" width="11" style="28"/>
    <col min="49" max="49" width="16.19921875" style="28" customWidth="1"/>
    <col min="50" max="50" width="11" style="28"/>
    <col min="51" max="16384" width="11" style="13"/>
  </cols>
  <sheetData>
    <row r="1" spans="1:50" x14ac:dyDescent="0.3">
      <c r="D1" s="31" t="s">
        <v>53</v>
      </c>
    </row>
    <row r="2" spans="1:50" s="16" customFormat="1" ht="62.55" customHeight="1" x14ac:dyDescent="0.3">
      <c r="D2" s="32"/>
      <c r="E2" s="17"/>
      <c r="F2" s="17"/>
      <c r="G2" s="17"/>
      <c r="H2" s="17"/>
      <c r="I2" s="17"/>
      <c r="J2" s="18"/>
      <c r="K2" s="11" t="s">
        <v>54</v>
      </c>
      <c r="L2" s="11"/>
      <c r="M2" s="11" t="s">
        <v>55</v>
      </c>
      <c r="N2" s="11"/>
      <c r="O2" s="11" t="s">
        <v>70</v>
      </c>
      <c r="P2" s="11"/>
      <c r="Q2" s="11"/>
      <c r="R2" s="11"/>
      <c r="S2" s="11" t="s">
        <v>56</v>
      </c>
      <c r="T2" s="11"/>
      <c r="U2" s="11" t="s">
        <v>71</v>
      </c>
      <c r="V2" s="11"/>
      <c r="W2" s="11" t="s">
        <v>57</v>
      </c>
      <c r="X2" s="11" t="s">
        <v>57</v>
      </c>
      <c r="Y2" s="11" t="s">
        <v>58</v>
      </c>
      <c r="Z2" s="11" t="s">
        <v>59</v>
      </c>
      <c r="AA2" s="11"/>
      <c r="AB2" s="11"/>
      <c r="AC2" s="11" t="s">
        <v>63</v>
      </c>
      <c r="AD2" s="11" t="s">
        <v>63</v>
      </c>
      <c r="AE2" s="11" t="s">
        <v>60</v>
      </c>
      <c r="AF2" s="11"/>
      <c r="AG2" s="11" t="s">
        <v>78</v>
      </c>
      <c r="AH2" s="11" t="s">
        <v>61</v>
      </c>
      <c r="AI2" s="11"/>
      <c r="AJ2" s="11"/>
      <c r="AK2" s="28"/>
      <c r="AL2" s="28"/>
      <c r="AM2" s="36" t="s">
        <v>72</v>
      </c>
      <c r="AN2" s="36" t="s">
        <v>72</v>
      </c>
      <c r="AO2" s="28"/>
      <c r="AP2" s="11" t="s">
        <v>62</v>
      </c>
      <c r="AQ2" s="11" t="s">
        <v>69</v>
      </c>
      <c r="AR2" s="11"/>
      <c r="AS2" s="11" t="s">
        <v>64</v>
      </c>
      <c r="AT2" s="11" t="s">
        <v>65</v>
      </c>
      <c r="AU2" s="11" t="s">
        <v>65</v>
      </c>
      <c r="AV2" s="11" t="s">
        <v>66</v>
      </c>
      <c r="AW2" s="11" t="s">
        <v>67</v>
      </c>
      <c r="AX2" s="11" t="s">
        <v>68</v>
      </c>
    </row>
    <row r="3" spans="1:50" s="22" customFormat="1" ht="66.45" customHeight="1" x14ac:dyDescent="0.3">
      <c r="A3" s="19" t="s">
        <v>35</v>
      </c>
      <c r="B3" s="19" t="s">
        <v>36</v>
      </c>
      <c r="C3" s="19" t="s">
        <v>37</v>
      </c>
      <c r="D3" s="33" t="s">
        <v>2</v>
      </c>
      <c r="E3" s="20" t="s">
        <v>38</v>
      </c>
      <c r="F3" s="20" t="s">
        <v>39</v>
      </c>
      <c r="G3" s="20" t="s">
        <v>40</v>
      </c>
      <c r="H3" s="20" t="s">
        <v>43</v>
      </c>
      <c r="I3" s="20" t="s">
        <v>44</v>
      </c>
      <c r="J3" s="21" t="s">
        <v>46</v>
      </c>
      <c r="K3" s="29" t="s">
        <v>0</v>
      </c>
      <c r="L3" s="29" t="s">
        <v>49</v>
      </c>
      <c r="M3" s="29" t="s">
        <v>50</v>
      </c>
      <c r="N3" s="29" t="s">
        <v>2</v>
      </c>
      <c r="O3" s="29" t="s">
        <v>3</v>
      </c>
      <c r="P3" s="29" t="s">
        <v>4</v>
      </c>
      <c r="Q3" s="29" t="s">
        <v>5</v>
      </c>
      <c r="R3" s="29" t="s">
        <v>6</v>
      </c>
      <c r="S3" s="29" t="s">
        <v>7</v>
      </c>
      <c r="T3" s="29" t="s">
        <v>8</v>
      </c>
      <c r="U3" s="37" t="s">
        <v>9</v>
      </c>
      <c r="V3" s="29" t="s">
        <v>10</v>
      </c>
      <c r="W3" s="29" t="s">
        <v>11</v>
      </c>
      <c r="X3" s="29" t="s">
        <v>12</v>
      </c>
      <c r="Y3" s="29" t="s">
        <v>13</v>
      </c>
      <c r="Z3" s="29" t="s">
        <v>14</v>
      </c>
      <c r="AA3" s="29" t="s">
        <v>47</v>
      </c>
      <c r="AB3" s="29" t="s">
        <v>48</v>
      </c>
      <c r="AC3" s="38" t="s">
        <v>51</v>
      </c>
      <c r="AD3" s="38" t="s">
        <v>52</v>
      </c>
      <c r="AE3" s="37" t="s">
        <v>15</v>
      </c>
      <c r="AF3" s="37" t="s">
        <v>16</v>
      </c>
      <c r="AG3" s="37" t="s">
        <v>79</v>
      </c>
      <c r="AH3" s="37" t="s">
        <v>17</v>
      </c>
      <c r="AI3" s="37" t="s">
        <v>18</v>
      </c>
      <c r="AJ3" s="37" t="s">
        <v>19</v>
      </c>
      <c r="AK3" s="37" t="s">
        <v>73</v>
      </c>
      <c r="AL3" s="37" t="s">
        <v>20</v>
      </c>
      <c r="AM3" s="37" t="s">
        <v>21</v>
      </c>
      <c r="AN3" s="37" t="s">
        <v>22</v>
      </c>
      <c r="AO3" s="37" t="s">
        <v>23</v>
      </c>
      <c r="AP3" s="37" t="s">
        <v>24</v>
      </c>
      <c r="AQ3" s="37" t="s">
        <v>25</v>
      </c>
      <c r="AR3" s="37" t="s">
        <v>74</v>
      </c>
      <c r="AS3" s="29" t="s">
        <v>75</v>
      </c>
      <c r="AT3" s="37" t="s">
        <v>76</v>
      </c>
      <c r="AU3" s="37" t="s">
        <v>77</v>
      </c>
      <c r="AV3" s="29" t="s">
        <v>26</v>
      </c>
      <c r="AW3" s="29" t="s">
        <v>27</v>
      </c>
      <c r="AX3" s="29" t="s">
        <v>1</v>
      </c>
    </row>
    <row r="4" spans="1:50" s="23" customFormat="1" x14ac:dyDescent="0.3">
      <c r="A4" s="23" t="s">
        <v>41</v>
      </c>
      <c r="B4" s="23" t="s">
        <v>175</v>
      </c>
      <c r="C4" s="23">
        <v>2009</v>
      </c>
      <c r="D4" s="34" t="str">
        <f t="shared" ref="D4:D37" si="0">N4</f>
        <v>10.2475/09.2009.01</v>
      </c>
      <c r="E4" s="24">
        <f t="shared" ref="E4:E37" si="1">V4*1000</f>
        <v>65500</v>
      </c>
      <c r="F4" s="24">
        <f t="shared" ref="F4:F37" si="2">(W4-V4)*1000</f>
        <v>200.00000000000284</v>
      </c>
      <c r="G4" s="24">
        <f t="shared" ref="G4:G37" si="3">(V4-X4)*1000</f>
        <v>200.00000000000284</v>
      </c>
      <c r="H4" s="25">
        <f t="shared" ref="H4:H37" si="4">AR4</f>
        <v>538</v>
      </c>
      <c r="I4" s="25">
        <f t="shared" ref="I4:I37" si="5">AU4-AR4</f>
        <v>247</v>
      </c>
      <c r="J4" s="26">
        <f t="shared" ref="J4:J37" si="6">AR4-AT4</f>
        <v>198</v>
      </c>
      <c r="K4" s="30" t="s">
        <v>176</v>
      </c>
      <c r="L4" s="12" t="s">
        <v>177</v>
      </c>
      <c r="M4" s="30" t="s">
        <v>324</v>
      </c>
      <c r="N4" s="30" t="s">
        <v>178</v>
      </c>
      <c r="O4" s="30" t="s">
        <v>179</v>
      </c>
      <c r="P4" s="30" t="s">
        <v>28</v>
      </c>
      <c r="Q4" s="30" t="s">
        <v>29</v>
      </c>
      <c r="R4" s="30" t="s">
        <v>30</v>
      </c>
      <c r="S4" s="30" t="s">
        <v>219</v>
      </c>
      <c r="T4" s="30" t="s">
        <v>220</v>
      </c>
      <c r="U4" s="30" t="s">
        <v>221</v>
      </c>
      <c r="V4" s="30">
        <v>65.5</v>
      </c>
      <c r="W4" s="30">
        <v>65.7</v>
      </c>
      <c r="X4" s="30">
        <v>65.3</v>
      </c>
      <c r="Y4" s="30" t="s">
        <v>222</v>
      </c>
      <c r="Z4" s="30" t="s">
        <v>223</v>
      </c>
      <c r="AA4" s="30">
        <v>46.149722222222223</v>
      </c>
      <c r="AB4" s="30">
        <v>103.76611111111112</v>
      </c>
      <c r="AC4" s="30" t="s">
        <v>45</v>
      </c>
      <c r="AD4" s="30" t="s">
        <v>45</v>
      </c>
      <c r="AE4" s="30">
        <v>3</v>
      </c>
      <c r="AF4" s="30">
        <v>31</v>
      </c>
      <c r="AG4" s="30" t="s">
        <v>31</v>
      </c>
      <c r="AH4" s="30" t="s">
        <v>224</v>
      </c>
      <c r="AI4" s="30" t="s">
        <v>45</v>
      </c>
      <c r="AJ4" s="30" t="s">
        <v>45</v>
      </c>
      <c r="AK4" s="30" t="s">
        <v>225</v>
      </c>
      <c r="AL4" s="30">
        <v>8.32</v>
      </c>
      <c r="AM4" s="30" t="s">
        <v>45</v>
      </c>
      <c r="AN4" s="30">
        <v>0.1</v>
      </c>
      <c r="AO4" s="30" t="s">
        <v>32</v>
      </c>
      <c r="AP4" s="30" t="s">
        <v>226</v>
      </c>
      <c r="AQ4" s="30" t="s">
        <v>227</v>
      </c>
      <c r="AR4" s="30">
        <v>538</v>
      </c>
      <c r="AS4" s="30" t="s">
        <v>228</v>
      </c>
      <c r="AT4" s="30">
        <v>340</v>
      </c>
      <c r="AU4" s="30">
        <v>785</v>
      </c>
      <c r="AV4" s="30" t="s">
        <v>229</v>
      </c>
      <c r="AW4" s="30" t="s">
        <v>42</v>
      </c>
      <c r="AX4" s="30" t="s">
        <v>230</v>
      </c>
    </row>
    <row r="5" spans="1:50" s="23" customFormat="1" x14ac:dyDescent="0.3">
      <c r="A5" s="23" t="s">
        <v>41</v>
      </c>
      <c r="B5" s="23" t="s">
        <v>175</v>
      </c>
      <c r="C5" s="23">
        <v>2009</v>
      </c>
      <c r="D5" s="34" t="str">
        <f t="shared" si="0"/>
        <v>10.2475/09.2009.01</v>
      </c>
      <c r="E5" s="24">
        <f t="shared" si="1"/>
        <v>64500</v>
      </c>
      <c r="F5" s="24">
        <f t="shared" si="2"/>
        <v>299.99999999999716</v>
      </c>
      <c r="G5" s="24">
        <f t="shared" si="3"/>
        <v>299.99999999999716</v>
      </c>
      <c r="H5" s="25">
        <f t="shared" si="4"/>
        <v>343</v>
      </c>
      <c r="I5" s="25">
        <f t="shared" si="5"/>
        <v>330</v>
      </c>
      <c r="J5" s="26">
        <f t="shared" si="6"/>
        <v>19</v>
      </c>
      <c r="K5" s="30" t="s">
        <v>176</v>
      </c>
      <c r="L5" s="30" t="s">
        <v>177</v>
      </c>
      <c r="M5" s="30" t="s">
        <v>324</v>
      </c>
      <c r="N5" s="30" t="s">
        <v>178</v>
      </c>
      <c r="O5" s="30" t="s">
        <v>180</v>
      </c>
      <c r="P5" s="30" t="s">
        <v>28</v>
      </c>
      <c r="Q5" s="30" t="s">
        <v>29</v>
      </c>
      <c r="R5" s="30" t="s">
        <v>30</v>
      </c>
      <c r="S5" s="30" t="s">
        <v>231</v>
      </c>
      <c r="T5" s="30" t="s">
        <v>232</v>
      </c>
      <c r="U5" s="30" t="s">
        <v>233</v>
      </c>
      <c r="V5" s="30">
        <v>64.5</v>
      </c>
      <c r="W5" s="30">
        <v>64.8</v>
      </c>
      <c r="X5" s="30">
        <v>64.2</v>
      </c>
      <c r="Y5" s="30" t="s">
        <v>222</v>
      </c>
      <c r="Z5" s="30" t="s">
        <v>234</v>
      </c>
      <c r="AA5" s="30">
        <v>44.95</v>
      </c>
      <c r="AB5" s="30">
        <v>-108.87</v>
      </c>
      <c r="AC5" s="30" t="s">
        <v>45</v>
      </c>
      <c r="AD5" s="30" t="s">
        <v>45</v>
      </c>
      <c r="AE5" s="30">
        <v>3</v>
      </c>
      <c r="AF5" s="30">
        <v>15</v>
      </c>
      <c r="AG5" s="30" t="s">
        <v>31</v>
      </c>
      <c r="AH5" s="30" t="s">
        <v>224</v>
      </c>
      <c r="AI5" s="30" t="s">
        <v>45</v>
      </c>
      <c r="AJ5" s="30" t="s">
        <v>45</v>
      </c>
      <c r="AK5" s="30" t="s">
        <v>225</v>
      </c>
      <c r="AL5" s="30">
        <v>9.3197777777777766</v>
      </c>
      <c r="AM5" s="30" t="s">
        <v>45</v>
      </c>
      <c r="AN5" s="30">
        <v>0.2306068994794904</v>
      </c>
      <c r="AO5" s="30" t="s">
        <v>32</v>
      </c>
      <c r="AP5" s="30" t="s">
        <v>235</v>
      </c>
      <c r="AQ5" s="30" t="s">
        <v>236</v>
      </c>
      <c r="AR5" s="30">
        <v>343</v>
      </c>
      <c r="AS5" s="30" t="s">
        <v>34</v>
      </c>
      <c r="AT5" s="30">
        <v>324</v>
      </c>
      <c r="AU5" s="30">
        <v>673</v>
      </c>
      <c r="AV5" s="30" t="s">
        <v>229</v>
      </c>
      <c r="AW5" s="30" t="s">
        <v>42</v>
      </c>
      <c r="AX5" s="30" t="s">
        <v>230</v>
      </c>
    </row>
    <row r="6" spans="1:50" s="23" customFormat="1" x14ac:dyDescent="0.3">
      <c r="A6" s="23" t="s">
        <v>41</v>
      </c>
      <c r="B6" s="23" t="s">
        <v>175</v>
      </c>
      <c r="C6" s="23">
        <v>2009</v>
      </c>
      <c r="D6" s="34" t="str">
        <f t="shared" si="0"/>
        <v>10.2475/09.2009.01</v>
      </c>
      <c r="E6" s="24">
        <f t="shared" si="1"/>
        <v>64500</v>
      </c>
      <c r="F6" s="24">
        <f t="shared" si="2"/>
        <v>299.99999999999716</v>
      </c>
      <c r="G6" s="24">
        <f t="shared" si="3"/>
        <v>299.99999999999716</v>
      </c>
      <c r="H6" s="25">
        <f t="shared" si="4"/>
        <v>471</v>
      </c>
      <c r="I6" s="25">
        <f t="shared" si="5"/>
        <v>285</v>
      </c>
      <c r="J6" s="26">
        <f t="shared" si="6"/>
        <v>144</v>
      </c>
      <c r="K6" s="30" t="s">
        <v>176</v>
      </c>
      <c r="L6" s="30" t="s">
        <v>177</v>
      </c>
      <c r="M6" s="30" t="s">
        <v>324</v>
      </c>
      <c r="N6" s="30" t="s">
        <v>178</v>
      </c>
      <c r="O6" s="30" t="s">
        <v>181</v>
      </c>
      <c r="P6" s="30" t="s">
        <v>28</v>
      </c>
      <c r="Q6" s="30" t="s">
        <v>29</v>
      </c>
      <c r="R6" s="30" t="s">
        <v>30</v>
      </c>
      <c r="S6" s="30" t="s">
        <v>237</v>
      </c>
      <c r="T6" s="30" t="s">
        <v>232</v>
      </c>
      <c r="U6" s="30" t="s">
        <v>233</v>
      </c>
      <c r="V6" s="30">
        <v>64.5</v>
      </c>
      <c r="W6" s="30">
        <v>64.8</v>
      </c>
      <c r="X6" s="30">
        <v>64.2</v>
      </c>
      <c r="Y6" s="30" t="s">
        <v>222</v>
      </c>
      <c r="Z6" s="30" t="s">
        <v>234</v>
      </c>
      <c r="AA6" s="30">
        <v>45.07</v>
      </c>
      <c r="AB6" s="30">
        <v>-108.85</v>
      </c>
      <c r="AC6" s="30" t="s">
        <v>45</v>
      </c>
      <c r="AD6" s="30" t="s">
        <v>45</v>
      </c>
      <c r="AE6" s="30">
        <v>3</v>
      </c>
      <c r="AF6" s="30">
        <v>5</v>
      </c>
      <c r="AG6" s="30" t="s">
        <v>31</v>
      </c>
      <c r="AH6" s="30" t="s">
        <v>224</v>
      </c>
      <c r="AI6" s="30" t="s">
        <v>45</v>
      </c>
      <c r="AJ6" s="30" t="s">
        <v>45</v>
      </c>
      <c r="AK6" s="30" t="s">
        <v>225</v>
      </c>
      <c r="AL6" s="30">
        <v>9.4833333333333325</v>
      </c>
      <c r="AM6" s="30" t="s">
        <v>45</v>
      </c>
      <c r="AN6" s="30">
        <v>0.33437646305866026</v>
      </c>
      <c r="AO6" s="30" t="s">
        <v>32</v>
      </c>
      <c r="AP6" s="30" t="s">
        <v>235</v>
      </c>
      <c r="AQ6" s="30" t="s">
        <v>236</v>
      </c>
      <c r="AR6" s="30">
        <v>471</v>
      </c>
      <c r="AS6" s="30" t="s">
        <v>34</v>
      </c>
      <c r="AT6" s="30">
        <v>327</v>
      </c>
      <c r="AU6" s="30">
        <v>756</v>
      </c>
      <c r="AV6" s="30" t="s">
        <v>229</v>
      </c>
      <c r="AW6" s="30" t="s">
        <v>42</v>
      </c>
      <c r="AX6" s="30" t="s">
        <v>238</v>
      </c>
    </row>
    <row r="7" spans="1:50" s="23" customFormat="1" x14ac:dyDescent="0.3">
      <c r="A7" s="23" t="s">
        <v>41</v>
      </c>
      <c r="B7" s="23" t="s">
        <v>175</v>
      </c>
      <c r="C7" s="23">
        <v>2009</v>
      </c>
      <c r="D7" s="34" t="str">
        <f t="shared" si="0"/>
        <v>10.2475/09.2009.01</v>
      </c>
      <c r="E7" s="24">
        <f t="shared" si="1"/>
        <v>64129.999999999993</v>
      </c>
      <c r="F7" s="24">
        <f t="shared" si="2"/>
        <v>209.99999999999375</v>
      </c>
      <c r="G7" s="24">
        <f t="shared" si="3"/>
        <v>210.00000000000085</v>
      </c>
      <c r="H7" s="25">
        <f t="shared" si="4"/>
        <v>331</v>
      </c>
      <c r="I7" s="25">
        <f t="shared" si="5"/>
        <v>118</v>
      </c>
      <c r="J7" s="26">
        <f t="shared" si="6"/>
        <v>13</v>
      </c>
      <c r="K7" s="30" t="s">
        <v>176</v>
      </c>
      <c r="L7" s="30" t="s">
        <v>177</v>
      </c>
      <c r="M7" s="30" t="s">
        <v>324</v>
      </c>
      <c r="N7" s="30" t="s">
        <v>178</v>
      </c>
      <c r="O7" s="30" t="s">
        <v>182</v>
      </c>
      <c r="P7" s="30" t="s">
        <v>28</v>
      </c>
      <c r="Q7" s="30" t="s">
        <v>29</v>
      </c>
      <c r="R7" s="30" t="s">
        <v>30</v>
      </c>
      <c r="S7" s="30" t="s">
        <v>239</v>
      </c>
      <c r="T7" s="30" t="s">
        <v>240</v>
      </c>
      <c r="U7" s="30" t="s">
        <v>241</v>
      </c>
      <c r="V7" s="30">
        <v>64.13</v>
      </c>
      <c r="W7" s="30">
        <v>64.339999999999989</v>
      </c>
      <c r="X7" s="30">
        <v>63.919999999999995</v>
      </c>
      <c r="Y7" s="30" t="s">
        <v>45</v>
      </c>
      <c r="Z7" s="30" t="s">
        <v>241</v>
      </c>
      <c r="AA7" s="30">
        <v>40</v>
      </c>
      <c r="AB7" s="30" t="s">
        <v>45</v>
      </c>
      <c r="AC7" s="30" t="s">
        <v>45</v>
      </c>
      <c r="AD7" s="30" t="s">
        <v>45</v>
      </c>
      <c r="AE7" s="30">
        <v>3</v>
      </c>
      <c r="AF7" s="30">
        <v>5</v>
      </c>
      <c r="AG7" s="30" t="s">
        <v>31</v>
      </c>
      <c r="AH7" s="30" t="s">
        <v>224</v>
      </c>
      <c r="AI7" s="30" t="s">
        <v>45</v>
      </c>
      <c r="AJ7" s="30" t="s">
        <v>45</v>
      </c>
      <c r="AK7" s="30" t="s">
        <v>225</v>
      </c>
      <c r="AL7" s="30">
        <v>9.9040000000000017</v>
      </c>
      <c r="AM7" s="30" t="s">
        <v>45</v>
      </c>
      <c r="AN7" s="30">
        <v>0.58382433757324848</v>
      </c>
      <c r="AO7" s="30" t="s">
        <v>32</v>
      </c>
      <c r="AP7" s="30" t="s">
        <v>235</v>
      </c>
      <c r="AQ7" s="30" t="s">
        <v>236</v>
      </c>
      <c r="AR7" s="30">
        <v>331</v>
      </c>
      <c r="AS7" s="30" t="s">
        <v>34</v>
      </c>
      <c r="AT7" s="30">
        <v>318</v>
      </c>
      <c r="AU7" s="30">
        <v>449</v>
      </c>
      <c r="AV7" s="30" t="s">
        <v>229</v>
      </c>
      <c r="AW7" s="30" t="s">
        <v>42</v>
      </c>
      <c r="AX7" s="30" t="s">
        <v>238</v>
      </c>
    </row>
    <row r="8" spans="1:50" s="23" customFormat="1" x14ac:dyDescent="0.3">
      <c r="A8" s="23" t="s">
        <v>41</v>
      </c>
      <c r="B8" s="23" t="s">
        <v>175</v>
      </c>
      <c r="C8" s="23">
        <v>2009</v>
      </c>
      <c r="D8" s="34" t="str">
        <f t="shared" si="0"/>
        <v>10.2475/09.2009.01</v>
      </c>
      <c r="E8" s="24">
        <f t="shared" si="1"/>
        <v>64000</v>
      </c>
      <c r="F8" s="24">
        <f t="shared" si="2"/>
        <v>950.00000000000284</v>
      </c>
      <c r="G8" s="24">
        <f t="shared" si="3"/>
        <v>950.00000000000284</v>
      </c>
      <c r="H8" s="25">
        <f t="shared" si="4"/>
        <v>367</v>
      </c>
      <c r="I8" s="25">
        <f t="shared" si="5"/>
        <v>340</v>
      </c>
      <c r="J8" s="26">
        <f t="shared" si="6"/>
        <v>43</v>
      </c>
      <c r="K8" s="30" t="s">
        <v>176</v>
      </c>
      <c r="L8" s="30" t="s">
        <v>177</v>
      </c>
      <c r="M8" s="30" t="s">
        <v>324</v>
      </c>
      <c r="N8" s="30" t="s">
        <v>178</v>
      </c>
      <c r="O8" s="30" t="s">
        <v>183</v>
      </c>
      <c r="P8" s="30" t="s">
        <v>28</v>
      </c>
      <c r="Q8" s="30" t="s">
        <v>29</v>
      </c>
      <c r="R8" s="30" t="s">
        <v>184</v>
      </c>
      <c r="S8" s="30" t="s">
        <v>242</v>
      </c>
      <c r="T8" s="30" t="s">
        <v>243</v>
      </c>
      <c r="U8" s="30" t="s">
        <v>244</v>
      </c>
      <c r="V8" s="30">
        <v>64</v>
      </c>
      <c r="W8" s="30">
        <v>64.95</v>
      </c>
      <c r="X8" s="30">
        <v>63.05</v>
      </c>
      <c r="Y8" s="30" t="s">
        <v>222</v>
      </c>
      <c r="Z8" s="30" t="s">
        <v>245</v>
      </c>
      <c r="AA8" s="30">
        <v>77.5</v>
      </c>
      <c r="AB8" s="30" t="s">
        <v>45</v>
      </c>
      <c r="AC8" s="30" t="s">
        <v>45</v>
      </c>
      <c r="AD8" s="30" t="s">
        <v>45</v>
      </c>
      <c r="AE8" s="30">
        <v>3</v>
      </c>
      <c r="AF8" s="30">
        <v>8</v>
      </c>
      <c r="AG8" s="30" t="s">
        <v>31</v>
      </c>
      <c r="AH8" s="30" t="s">
        <v>224</v>
      </c>
      <c r="AI8" s="30" t="s">
        <v>45</v>
      </c>
      <c r="AJ8" s="30" t="s">
        <v>45</v>
      </c>
      <c r="AK8" s="30" t="s">
        <v>225</v>
      </c>
      <c r="AL8" s="30">
        <v>9.4181818181818162</v>
      </c>
      <c r="AM8" s="30" t="s">
        <v>45</v>
      </c>
      <c r="AN8" s="30">
        <v>0.29210573013168295</v>
      </c>
      <c r="AO8" s="30" t="s">
        <v>32</v>
      </c>
      <c r="AP8" s="30" t="s">
        <v>235</v>
      </c>
      <c r="AQ8" s="30" t="s">
        <v>236</v>
      </c>
      <c r="AR8" s="30">
        <v>367</v>
      </c>
      <c r="AS8" s="30" t="s">
        <v>34</v>
      </c>
      <c r="AT8" s="30">
        <v>324</v>
      </c>
      <c r="AU8" s="30">
        <v>707</v>
      </c>
      <c r="AV8" s="30" t="s">
        <v>229</v>
      </c>
      <c r="AW8" s="30" t="s">
        <v>42</v>
      </c>
      <c r="AX8" s="30" t="s">
        <v>238</v>
      </c>
    </row>
    <row r="9" spans="1:50" s="23" customFormat="1" x14ac:dyDescent="0.3">
      <c r="A9" s="23" t="s">
        <v>41</v>
      </c>
      <c r="B9" s="23" t="s">
        <v>175</v>
      </c>
      <c r="C9" s="23">
        <v>2009</v>
      </c>
      <c r="D9" s="34" t="str">
        <f t="shared" si="0"/>
        <v>10.2475/09.2009.01</v>
      </c>
      <c r="E9" s="24">
        <f t="shared" si="1"/>
        <v>61000</v>
      </c>
      <c r="F9" s="24" t="s">
        <v>45</v>
      </c>
      <c r="G9" s="24" t="s">
        <v>45</v>
      </c>
      <c r="H9" s="25">
        <f t="shared" si="4"/>
        <v>317</v>
      </c>
      <c r="I9" s="25">
        <f t="shared" si="5"/>
        <v>13</v>
      </c>
      <c r="J9" s="26">
        <f t="shared" si="6"/>
        <v>10</v>
      </c>
      <c r="K9" s="30" t="s">
        <v>176</v>
      </c>
      <c r="L9" s="30" t="s">
        <v>177</v>
      </c>
      <c r="M9" s="30" t="s">
        <v>324</v>
      </c>
      <c r="N9" s="30" t="s">
        <v>178</v>
      </c>
      <c r="O9" s="30" t="s">
        <v>185</v>
      </c>
      <c r="P9" s="30" t="s">
        <v>28</v>
      </c>
      <c r="Q9" s="30" t="s">
        <v>29</v>
      </c>
      <c r="R9" s="30" t="s">
        <v>30</v>
      </c>
      <c r="S9" s="30" t="s">
        <v>33</v>
      </c>
      <c r="T9" s="30" t="s">
        <v>246</v>
      </c>
      <c r="U9" s="30" t="s">
        <v>247</v>
      </c>
      <c r="V9" s="30">
        <v>61</v>
      </c>
      <c r="W9" s="30" t="s">
        <v>45</v>
      </c>
      <c r="X9" s="30" t="s">
        <v>45</v>
      </c>
      <c r="Y9" s="30" t="s">
        <v>222</v>
      </c>
      <c r="Z9" s="30" t="s">
        <v>248</v>
      </c>
      <c r="AA9" s="30">
        <v>42.5</v>
      </c>
      <c r="AB9" s="30" t="s">
        <v>45</v>
      </c>
      <c r="AC9" s="30" t="s">
        <v>45</v>
      </c>
      <c r="AD9" s="30" t="s">
        <v>45</v>
      </c>
      <c r="AE9" s="30">
        <v>3</v>
      </c>
      <c r="AF9" s="30">
        <v>5</v>
      </c>
      <c r="AG9" s="30" t="s">
        <v>31</v>
      </c>
      <c r="AH9" s="30" t="s">
        <v>224</v>
      </c>
      <c r="AI9" s="30" t="s">
        <v>45</v>
      </c>
      <c r="AJ9" s="30" t="s">
        <v>45</v>
      </c>
      <c r="AK9" s="30" t="s">
        <v>225</v>
      </c>
      <c r="AL9" s="30">
        <v>10.930666666666665</v>
      </c>
      <c r="AM9" s="30" t="s">
        <v>45</v>
      </c>
      <c r="AN9" s="30">
        <v>0.57429078415199419</v>
      </c>
      <c r="AO9" s="30" t="s">
        <v>32</v>
      </c>
      <c r="AP9" s="30" t="s">
        <v>235</v>
      </c>
      <c r="AQ9" s="30" t="s">
        <v>236</v>
      </c>
      <c r="AR9" s="30">
        <v>317</v>
      </c>
      <c r="AS9" s="30" t="s">
        <v>34</v>
      </c>
      <c r="AT9" s="30">
        <v>307</v>
      </c>
      <c r="AU9" s="30">
        <v>330</v>
      </c>
      <c r="AV9" s="30" t="s">
        <v>229</v>
      </c>
      <c r="AW9" s="30" t="s">
        <v>42</v>
      </c>
      <c r="AX9" s="30" t="s">
        <v>249</v>
      </c>
    </row>
    <row r="10" spans="1:50" s="23" customFormat="1" x14ac:dyDescent="0.3">
      <c r="A10" s="23" t="s">
        <v>41</v>
      </c>
      <c r="B10" s="23" t="s">
        <v>175</v>
      </c>
      <c r="C10" s="23">
        <v>2009</v>
      </c>
      <c r="D10" s="34" t="str">
        <f t="shared" si="0"/>
        <v>10.2475/09.2009.01</v>
      </c>
      <c r="E10" s="24">
        <f t="shared" si="1"/>
        <v>58500</v>
      </c>
      <c r="F10" s="24">
        <f t="shared" si="2"/>
        <v>649.99999999999864</v>
      </c>
      <c r="G10" s="24">
        <f t="shared" si="3"/>
        <v>649.99999999999864</v>
      </c>
      <c r="H10" s="25">
        <f t="shared" si="4"/>
        <v>573</v>
      </c>
      <c r="I10" s="25">
        <f t="shared" si="5"/>
        <v>218</v>
      </c>
      <c r="J10" s="26">
        <f t="shared" si="6"/>
        <v>201</v>
      </c>
      <c r="K10" s="30" t="s">
        <v>176</v>
      </c>
      <c r="L10" s="30" t="s">
        <v>177</v>
      </c>
      <c r="M10" s="30" t="s">
        <v>324</v>
      </c>
      <c r="N10" s="30" t="s">
        <v>178</v>
      </c>
      <c r="O10" s="30" t="s">
        <v>186</v>
      </c>
      <c r="P10" s="30" t="s">
        <v>28</v>
      </c>
      <c r="Q10" s="30" t="s">
        <v>29</v>
      </c>
      <c r="R10" s="30" t="s">
        <v>30</v>
      </c>
      <c r="S10" s="30" t="s">
        <v>250</v>
      </c>
      <c r="T10" s="30" t="s">
        <v>251</v>
      </c>
      <c r="U10" s="30" t="s">
        <v>252</v>
      </c>
      <c r="V10" s="30">
        <v>58.5</v>
      </c>
      <c r="W10" s="30">
        <v>59.15</v>
      </c>
      <c r="X10" s="30">
        <v>57.85</v>
      </c>
      <c r="Y10" s="30" t="s">
        <v>222</v>
      </c>
      <c r="Z10" s="30" t="s">
        <v>253</v>
      </c>
      <c r="AA10" s="30">
        <v>52.25</v>
      </c>
      <c r="AB10" s="30" t="s">
        <v>45</v>
      </c>
      <c r="AC10" s="30" t="s">
        <v>45</v>
      </c>
      <c r="AD10" s="30" t="s">
        <v>45</v>
      </c>
      <c r="AE10" s="30">
        <v>3</v>
      </c>
      <c r="AF10" s="30">
        <v>7</v>
      </c>
      <c r="AG10" s="30" t="s">
        <v>31</v>
      </c>
      <c r="AH10" s="30" t="s">
        <v>224</v>
      </c>
      <c r="AI10" s="30" t="s">
        <v>45</v>
      </c>
      <c r="AJ10" s="30" t="s">
        <v>45</v>
      </c>
      <c r="AK10" s="30" t="s">
        <v>225</v>
      </c>
      <c r="AL10" s="30">
        <v>7.5528571428571434</v>
      </c>
      <c r="AM10" s="30" t="s">
        <v>45</v>
      </c>
      <c r="AN10" s="30">
        <v>0.31068850467755305</v>
      </c>
      <c r="AO10" s="30" t="s">
        <v>32</v>
      </c>
      <c r="AP10" s="30" t="s">
        <v>235</v>
      </c>
      <c r="AQ10" s="30" t="s">
        <v>236</v>
      </c>
      <c r="AR10" s="30">
        <v>573</v>
      </c>
      <c r="AS10" s="30" t="s">
        <v>34</v>
      </c>
      <c r="AT10" s="30">
        <v>372</v>
      </c>
      <c r="AU10" s="30">
        <v>791</v>
      </c>
      <c r="AV10" s="30" t="s">
        <v>229</v>
      </c>
      <c r="AW10" s="30" t="s">
        <v>42</v>
      </c>
      <c r="AX10" s="30" t="s">
        <v>254</v>
      </c>
    </row>
    <row r="11" spans="1:50" s="23" customFormat="1" x14ac:dyDescent="0.3">
      <c r="A11" s="23" t="s">
        <v>41</v>
      </c>
      <c r="B11" s="23" t="s">
        <v>175</v>
      </c>
      <c r="C11" s="23">
        <v>2009</v>
      </c>
      <c r="D11" s="34" t="str">
        <f t="shared" si="0"/>
        <v>10.2475/09.2009.01</v>
      </c>
      <c r="E11" s="24">
        <f t="shared" si="1"/>
        <v>58500</v>
      </c>
      <c r="F11" s="24">
        <f t="shared" si="2"/>
        <v>649.99999999999864</v>
      </c>
      <c r="G11" s="24">
        <f t="shared" si="3"/>
        <v>649.99999999999864</v>
      </c>
      <c r="H11" s="25">
        <f t="shared" si="4"/>
        <v>534</v>
      </c>
      <c r="I11" s="25">
        <f t="shared" si="5"/>
        <v>243</v>
      </c>
      <c r="J11" s="26">
        <f t="shared" si="6"/>
        <v>170</v>
      </c>
      <c r="K11" s="30" t="s">
        <v>176</v>
      </c>
      <c r="L11" s="30" t="s">
        <v>177</v>
      </c>
      <c r="M11" s="30" t="s">
        <v>324</v>
      </c>
      <c r="N11" s="30" t="s">
        <v>178</v>
      </c>
      <c r="O11" s="30" t="s">
        <v>187</v>
      </c>
      <c r="P11" s="30" t="s">
        <v>28</v>
      </c>
      <c r="Q11" s="30" t="s">
        <v>29</v>
      </c>
      <c r="R11" s="30" t="s">
        <v>30</v>
      </c>
      <c r="S11" s="30" t="s">
        <v>255</v>
      </c>
      <c r="T11" s="30" t="s">
        <v>251</v>
      </c>
      <c r="U11" s="30" t="s">
        <v>252</v>
      </c>
      <c r="V11" s="30">
        <v>58.5</v>
      </c>
      <c r="W11" s="30">
        <v>59.15</v>
      </c>
      <c r="X11" s="30">
        <v>57.85</v>
      </c>
      <c r="Y11" s="30" t="s">
        <v>222</v>
      </c>
      <c r="Z11" s="30" t="s">
        <v>253</v>
      </c>
      <c r="AA11" s="30">
        <v>52.25</v>
      </c>
      <c r="AB11" s="30" t="s">
        <v>45</v>
      </c>
      <c r="AC11" s="30" t="s">
        <v>45</v>
      </c>
      <c r="AD11" s="30" t="s">
        <v>45</v>
      </c>
      <c r="AE11" s="30">
        <v>3</v>
      </c>
      <c r="AF11" s="30">
        <v>5</v>
      </c>
      <c r="AG11" s="30" t="s">
        <v>31</v>
      </c>
      <c r="AH11" s="30" t="s">
        <v>224</v>
      </c>
      <c r="AI11" s="30" t="s">
        <v>45</v>
      </c>
      <c r="AJ11" s="30" t="s">
        <v>45</v>
      </c>
      <c r="AK11" s="30" t="s">
        <v>225</v>
      </c>
      <c r="AL11" s="30">
        <v>7.9633333333333329</v>
      </c>
      <c r="AM11" s="30" t="s">
        <v>45</v>
      </c>
      <c r="AN11" s="30">
        <v>0.37390474977561289</v>
      </c>
      <c r="AO11" s="30" t="s">
        <v>32</v>
      </c>
      <c r="AP11" s="30" t="s">
        <v>235</v>
      </c>
      <c r="AQ11" s="30" t="s">
        <v>236</v>
      </c>
      <c r="AR11" s="30">
        <v>534</v>
      </c>
      <c r="AS11" s="30" t="s">
        <v>34</v>
      </c>
      <c r="AT11" s="30">
        <v>364</v>
      </c>
      <c r="AU11" s="30">
        <v>777</v>
      </c>
      <c r="AV11" s="30" t="s">
        <v>229</v>
      </c>
      <c r="AW11" s="30" t="s">
        <v>42</v>
      </c>
      <c r="AX11" s="30" t="s">
        <v>254</v>
      </c>
    </row>
    <row r="12" spans="1:50" s="23" customFormat="1" x14ac:dyDescent="0.3">
      <c r="A12" s="23" t="s">
        <v>41</v>
      </c>
      <c r="B12" s="23" t="s">
        <v>175</v>
      </c>
      <c r="C12" s="23">
        <v>2009</v>
      </c>
      <c r="D12" s="34" t="str">
        <f t="shared" si="0"/>
        <v>10.2475/09.2009.01</v>
      </c>
      <c r="E12" s="24">
        <f t="shared" si="1"/>
        <v>57336</v>
      </c>
      <c r="F12" s="24">
        <f t="shared" si="2"/>
        <v>454.99999999999829</v>
      </c>
      <c r="G12" s="24">
        <f t="shared" si="3"/>
        <v>648.00000000000318</v>
      </c>
      <c r="H12" s="25">
        <f t="shared" si="4"/>
        <v>447</v>
      </c>
      <c r="I12" s="25">
        <f t="shared" si="5"/>
        <v>294</v>
      </c>
      <c r="J12" s="26">
        <f t="shared" si="6"/>
        <v>114</v>
      </c>
      <c r="K12" s="30" t="s">
        <v>176</v>
      </c>
      <c r="L12" s="30" t="s">
        <v>177</v>
      </c>
      <c r="M12" s="30" t="s">
        <v>324</v>
      </c>
      <c r="N12" s="30" t="s">
        <v>178</v>
      </c>
      <c r="O12" s="30" t="s">
        <v>188</v>
      </c>
      <c r="P12" s="30" t="s">
        <v>28</v>
      </c>
      <c r="Q12" s="30" t="s">
        <v>29</v>
      </c>
      <c r="R12" s="30" t="s">
        <v>30</v>
      </c>
      <c r="S12" s="30" t="s">
        <v>256</v>
      </c>
      <c r="T12" s="30" t="s">
        <v>232</v>
      </c>
      <c r="U12" s="30" t="s">
        <v>257</v>
      </c>
      <c r="V12" s="30">
        <v>57.335999999999999</v>
      </c>
      <c r="W12" s="30">
        <v>57.790999999999997</v>
      </c>
      <c r="X12" s="30">
        <v>56.687999999999995</v>
      </c>
      <c r="Y12" s="30" t="s">
        <v>222</v>
      </c>
      <c r="Z12" s="30" t="s">
        <v>258</v>
      </c>
      <c r="AA12" s="30">
        <v>44.86</v>
      </c>
      <c r="AB12" s="30">
        <v>-108.88</v>
      </c>
      <c r="AC12" s="30" t="s">
        <v>45</v>
      </c>
      <c r="AD12" s="30" t="s">
        <v>45</v>
      </c>
      <c r="AE12" s="30">
        <v>3</v>
      </c>
      <c r="AF12" s="30">
        <v>7</v>
      </c>
      <c r="AG12" s="30" t="s">
        <v>31</v>
      </c>
      <c r="AH12" s="30" t="s">
        <v>224</v>
      </c>
      <c r="AI12" s="30" t="s">
        <v>45</v>
      </c>
      <c r="AJ12" s="30" t="s">
        <v>45</v>
      </c>
      <c r="AK12" s="30" t="s">
        <v>225</v>
      </c>
      <c r="AL12" s="30">
        <v>9.0080952380952368</v>
      </c>
      <c r="AM12" s="30" t="s">
        <v>45</v>
      </c>
      <c r="AN12" s="30">
        <v>0.26932619374924982</v>
      </c>
      <c r="AO12" s="30" t="s">
        <v>32</v>
      </c>
      <c r="AP12" s="30" t="s">
        <v>235</v>
      </c>
      <c r="AQ12" s="30" t="s">
        <v>236</v>
      </c>
      <c r="AR12" s="30">
        <v>447</v>
      </c>
      <c r="AS12" s="30" t="s">
        <v>34</v>
      </c>
      <c r="AT12" s="30">
        <v>333</v>
      </c>
      <c r="AU12" s="30">
        <v>741</v>
      </c>
      <c r="AV12" s="30" t="s">
        <v>229</v>
      </c>
      <c r="AW12" s="30" t="s">
        <v>42</v>
      </c>
      <c r="AX12" s="30" t="s">
        <v>254</v>
      </c>
    </row>
    <row r="13" spans="1:50" s="23" customFormat="1" x14ac:dyDescent="0.3">
      <c r="A13" s="23" t="s">
        <v>41</v>
      </c>
      <c r="B13" s="23" t="s">
        <v>175</v>
      </c>
      <c r="C13" s="23">
        <v>2009</v>
      </c>
      <c r="D13" s="34" t="str">
        <f t="shared" si="0"/>
        <v>10.2475/09.2009.01</v>
      </c>
      <c r="E13" s="24">
        <f t="shared" si="1"/>
        <v>56354</v>
      </c>
      <c r="F13" s="24">
        <f t="shared" si="2"/>
        <v>335.00000000000085</v>
      </c>
      <c r="G13" s="24">
        <f t="shared" si="3"/>
        <v>335.00000000000085</v>
      </c>
      <c r="H13" s="25">
        <f t="shared" si="4"/>
        <v>469</v>
      </c>
      <c r="I13" s="25">
        <f t="shared" si="5"/>
        <v>269</v>
      </c>
      <c r="J13" s="26">
        <f t="shared" si="6"/>
        <v>129</v>
      </c>
      <c r="K13" s="30" t="s">
        <v>176</v>
      </c>
      <c r="L13" s="30" t="s">
        <v>177</v>
      </c>
      <c r="M13" s="30" t="s">
        <v>324</v>
      </c>
      <c r="N13" s="30" t="s">
        <v>178</v>
      </c>
      <c r="O13" s="30" t="s">
        <v>189</v>
      </c>
      <c r="P13" s="30" t="s">
        <v>28</v>
      </c>
      <c r="Q13" s="30" t="s">
        <v>29</v>
      </c>
      <c r="R13" s="30" t="s">
        <v>30</v>
      </c>
      <c r="S13" s="30" t="s">
        <v>259</v>
      </c>
      <c r="T13" s="30" t="s">
        <v>232</v>
      </c>
      <c r="U13" s="30" t="s">
        <v>260</v>
      </c>
      <c r="V13" s="30">
        <v>56.353999999999999</v>
      </c>
      <c r="W13" s="30">
        <v>56.689</v>
      </c>
      <c r="X13" s="30">
        <v>56.018999999999998</v>
      </c>
      <c r="Y13" s="30" t="s">
        <v>222</v>
      </c>
      <c r="Z13" s="30" t="s">
        <v>261</v>
      </c>
      <c r="AA13" s="30">
        <v>45.03</v>
      </c>
      <c r="AB13" s="30">
        <v>-109.08</v>
      </c>
      <c r="AC13" s="30" t="s">
        <v>45</v>
      </c>
      <c r="AD13" s="30" t="s">
        <v>45</v>
      </c>
      <c r="AE13" s="30">
        <v>3</v>
      </c>
      <c r="AF13" s="30">
        <v>5</v>
      </c>
      <c r="AG13" s="30" t="s">
        <v>31</v>
      </c>
      <c r="AH13" s="30" t="s">
        <v>224</v>
      </c>
      <c r="AI13" s="30" t="s">
        <v>45</v>
      </c>
      <c r="AJ13" s="30" t="s">
        <v>45</v>
      </c>
      <c r="AK13" s="30" t="s">
        <v>225</v>
      </c>
      <c r="AL13" s="30">
        <v>8.7533333333333339</v>
      </c>
      <c r="AM13" s="30" t="s">
        <v>45</v>
      </c>
      <c r="AN13" s="30">
        <v>0.41037497371016207</v>
      </c>
      <c r="AO13" s="30" t="s">
        <v>32</v>
      </c>
      <c r="AP13" s="30" t="s">
        <v>235</v>
      </c>
      <c r="AQ13" s="30" t="s">
        <v>236</v>
      </c>
      <c r="AR13" s="30">
        <v>469</v>
      </c>
      <c r="AS13" s="30" t="s">
        <v>34</v>
      </c>
      <c r="AT13" s="30">
        <v>340</v>
      </c>
      <c r="AU13" s="30">
        <v>738</v>
      </c>
      <c r="AV13" s="30" t="s">
        <v>229</v>
      </c>
      <c r="AW13" s="30" t="s">
        <v>42</v>
      </c>
      <c r="AX13" s="30" t="s">
        <v>254</v>
      </c>
    </row>
    <row r="14" spans="1:50" s="23" customFormat="1" x14ac:dyDescent="0.3">
      <c r="A14" s="23" t="s">
        <v>41</v>
      </c>
      <c r="B14" s="23" t="s">
        <v>175</v>
      </c>
      <c r="C14" s="23">
        <v>2009</v>
      </c>
      <c r="D14" s="34" t="str">
        <f t="shared" si="0"/>
        <v>10.2475/09.2009.01</v>
      </c>
      <c r="E14" s="24">
        <f t="shared" si="1"/>
        <v>55943</v>
      </c>
      <c r="F14" s="24">
        <f t="shared" si="2"/>
        <v>149.99999999999858</v>
      </c>
      <c r="G14" s="24">
        <f t="shared" si="3"/>
        <v>149.99999999999858</v>
      </c>
      <c r="H14" s="25">
        <f t="shared" si="4"/>
        <v>317</v>
      </c>
      <c r="I14" s="25">
        <f t="shared" si="5"/>
        <v>12</v>
      </c>
      <c r="J14" s="26">
        <f t="shared" si="6"/>
        <v>11</v>
      </c>
      <c r="K14" s="30" t="s">
        <v>176</v>
      </c>
      <c r="L14" s="30" t="s">
        <v>177</v>
      </c>
      <c r="M14" s="30" t="s">
        <v>324</v>
      </c>
      <c r="N14" s="30" t="s">
        <v>178</v>
      </c>
      <c r="O14" s="30" t="s">
        <v>190</v>
      </c>
      <c r="P14" s="30" t="s">
        <v>28</v>
      </c>
      <c r="Q14" s="30" t="s">
        <v>29</v>
      </c>
      <c r="R14" s="30" t="s">
        <v>30</v>
      </c>
      <c r="S14" s="30" t="s">
        <v>262</v>
      </c>
      <c r="T14" s="30" t="s">
        <v>232</v>
      </c>
      <c r="U14" s="30" t="s">
        <v>263</v>
      </c>
      <c r="V14" s="30">
        <v>55.942999999999998</v>
      </c>
      <c r="W14" s="30">
        <v>56.092999999999996</v>
      </c>
      <c r="X14" s="30">
        <v>55.792999999999999</v>
      </c>
      <c r="Y14" s="30" t="s">
        <v>222</v>
      </c>
      <c r="Z14" s="30" t="s">
        <v>264</v>
      </c>
      <c r="AA14" s="30">
        <v>44.8</v>
      </c>
      <c r="AB14" s="30" t="s">
        <v>45</v>
      </c>
      <c r="AC14" s="30" t="s">
        <v>45</v>
      </c>
      <c r="AD14" s="30" t="s">
        <v>45</v>
      </c>
      <c r="AE14" s="30">
        <v>3</v>
      </c>
      <c r="AF14" s="30">
        <v>8</v>
      </c>
      <c r="AG14" s="30" t="s">
        <v>31</v>
      </c>
      <c r="AH14" s="30" t="s">
        <v>224</v>
      </c>
      <c r="AI14" s="30" t="s">
        <v>45</v>
      </c>
      <c r="AJ14" s="30" t="s">
        <v>45</v>
      </c>
      <c r="AK14" s="30" t="s">
        <v>225</v>
      </c>
      <c r="AL14" s="30">
        <v>11.432499999999997</v>
      </c>
      <c r="AM14" s="30" t="s">
        <v>45</v>
      </c>
      <c r="AN14" s="30">
        <v>0.44796550963896486</v>
      </c>
      <c r="AO14" s="30" t="s">
        <v>32</v>
      </c>
      <c r="AP14" s="30" t="s">
        <v>235</v>
      </c>
      <c r="AQ14" s="30" t="s">
        <v>236</v>
      </c>
      <c r="AR14" s="30">
        <v>317</v>
      </c>
      <c r="AS14" s="30" t="s">
        <v>34</v>
      </c>
      <c r="AT14" s="30">
        <v>306</v>
      </c>
      <c r="AU14" s="30">
        <v>329</v>
      </c>
      <c r="AV14" s="30" t="s">
        <v>229</v>
      </c>
      <c r="AW14" s="30" t="s">
        <v>42</v>
      </c>
      <c r="AX14" s="30" t="s">
        <v>254</v>
      </c>
    </row>
    <row r="15" spans="1:50" s="23" customFormat="1" x14ac:dyDescent="0.3">
      <c r="A15" s="23" t="s">
        <v>41</v>
      </c>
      <c r="B15" s="23" t="s">
        <v>175</v>
      </c>
      <c r="C15" s="23">
        <v>2009</v>
      </c>
      <c r="D15" s="34" t="str">
        <f t="shared" si="0"/>
        <v>10.2475/09.2009.01</v>
      </c>
      <c r="E15" s="24">
        <f t="shared" si="1"/>
        <v>55943</v>
      </c>
      <c r="F15" s="24">
        <f t="shared" si="2"/>
        <v>149.99999999999858</v>
      </c>
      <c r="G15" s="24">
        <f t="shared" si="3"/>
        <v>149.99999999999858</v>
      </c>
      <c r="H15" s="25">
        <f t="shared" si="4"/>
        <v>319</v>
      </c>
      <c r="I15" s="25">
        <f t="shared" si="5"/>
        <v>16</v>
      </c>
      <c r="J15" s="26">
        <f t="shared" si="6"/>
        <v>13</v>
      </c>
      <c r="K15" s="30" t="s">
        <v>176</v>
      </c>
      <c r="L15" s="30" t="s">
        <v>177</v>
      </c>
      <c r="M15" s="30" t="s">
        <v>324</v>
      </c>
      <c r="N15" s="30" t="s">
        <v>178</v>
      </c>
      <c r="O15" s="30" t="s">
        <v>191</v>
      </c>
      <c r="P15" s="30" t="s">
        <v>28</v>
      </c>
      <c r="Q15" s="30" t="s">
        <v>29</v>
      </c>
      <c r="R15" s="30" t="s">
        <v>30</v>
      </c>
      <c r="S15" s="30" t="s">
        <v>265</v>
      </c>
      <c r="T15" s="30" t="s">
        <v>232</v>
      </c>
      <c r="U15" s="30" t="s">
        <v>263</v>
      </c>
      <c r="V15" s="30">
        <v>55.942999999999998</v>
      </c>
      <c r="W15" s="30">
        <v>56.092999999999996</v>
      </c>
      <c r="X15" s="30">
        <v>55.792999999999999</v>
      </c>
      <c r="Y15" s="30" t="s">
        <v>222</v>
      </c>
      <c r="Z15" s="30" t="s">
        <v>264</v>
      </c>
      <c r="AA15" s="30">
        <v>44.8</v>
      </c>
      <c r="AB15" s="30" t="s">
        <v>45</v>
      </c>
      <c r="AC15" s="30" t="s">
        <v>45</v>
      </c>
      <c r="AD15" s="30" t="s">
        <v>45</v>
      </c>
      <c r="AE15" s="30">
        <v>3</v>
      </c>
      <c r="AF15" s="30">
        <v>8</v>
      </c>
      <c r="AG15" s="30" t="s">
        <v>31</v>
      </c>
      <c r="AH15" s="30" t="s">
        <v>224</v>
      </c>
      <c r="AI15" s="30" t="s">
        <v>45</v>
      </c>
      <c r="AJ15" s="30" t="s">
        <v>45</v>
      </c>
      <c r="AK15" s="30" t="s">
        <v>225</v>
      </c>
      <c r="AL15" s="30">
        <v>10.797499999999999</v>
      </c>
      <c r="AM15" s="30" t="s">
        <v>45</v>
      </c>
      <c r="AN15" s="30">
        <v>0.34089914675878352</v>
      </c>
      <c r="AO15" s="30" t="s">
        <v>32</v>
      </c>
      <c r="AP15" s="30" t="s">
        <v>235</v>
      </c>
      <c r="AQ15" s="30" t="s">
        <v>236</v>
      </c>
      <c r="AR15" s="30">
        <v>319</v>
      </c>
      <c r="AS15" s="30" t="s">
        <v>34</v>
      </c>
      <c r="AT15" s="30">
        <v>306</v>
      </c>
      <c r="AU15" s="30">
        <v>335</v>
      </c>
      <c r="AV15" s="30" t="s">
        <v>229</v>
      </c>
      <c r="AW15" s="30" t="s">
        <v>42</v>
      </c>
      <c r="AX15" s="30" t="s">
        <v>254</v>
      </c>
    </row>
    <row r="16" spans="1:50" s="23" customFormat="1" x14ac:dyDescent="0.3">
      <c r="A16" s="23" t="s">
        <v>41</v>
      </c>
      <c r="B16" s="23" t="s">
        <v>175</v>
      </c>
      <c r="C16" s="23">
        <v>2009</v>
      </c>
      <c r="D16" s="34" t="str">
        <f t="shared" si="0"/>
        <v>10.2475/09.2009.01</v>
      </c>
      <c r="E16" s="24">
        <f t="shared" si="1"/>
        <v>55943</v>
      </c>
      <c r="F16" s="24">
        <f t="shared" si="2"/>
        <v>149.99999999999858</v>
      </c>
      <c r="G16" s="24">
        <f t="shared" si="3"/>
        <v>149.99999999999858</v>
      </c>
      <c r="H16" s="25">
        <f t="shared" si="4"/>
        <v>312</v>
      </c>
      <c r="I16" s="25">
        <f t="shared" si="5"/>
        <v>13</v>
      </c>
      <c r="J16" s="26">
        <f t="shared" si="6"/>
        <v>10</v>
      </c>
      <c r="K16" s="30" t="s">
        <v>176</v>
      </c>
      <c r="L16" s="30" t="s">
        <v>177</v>
      </c>
      <c r="M16" s="30" t="s">
        <v>324</v>
      </c>
      <c r="N16" s="30" t="s">
        <v>178</v>
      </c>
      <c r="O16" s="30" t="s">
        <v>192</v>
      </c>
      <c r="P16" s="30" t="s">
        <v>28</v>
      </c>
      <c r="Q16" s="30" t="s">
        <v>29</v>
      </c>
      <c r="R16" s="30" t="s">
        <v>30</v>
      </c>
      <c r="S16" s="30" t="s">
        <v>266</v>
      </c>
      <c r="T16" s="30" t="s">
        <v>232</v>
      </c>
      <c r="U16" s="30" t="s">
        <v>263</v>
      </c>
      <c r="V16" s="30">
        <v>55.942999999999998</v>
      </c>
      <c r="W16" s="30">
        <v>56.092999999999996</v>
      </c>
      <c r="X16" s="30">
        <v>55.792999999999999</v>
      </c>
      <c r="Y16" s="30" t="s">
        <v>222</v>
      </c>
      <c r="Z16" s="30" t="s">
        <v>264</v>
      </c>
      <c r="AA16" s="30">
        <v>44.8</v>
      </c>
      <c r="AB16" s="30" t="s">
        <v>45</v>
      </c>
      <c r="AC16" s="30" t="s">
        <v>45</v>
      </c>
      <c r="AD16" s="30" t="s">
        <v>45</v>
      </c>
      <c r="AE16" s="30">
        <v>3</v>
      </c>
      <c r="AF16" s="30">
        <v>5</v>
      </c>
      <c r="AG16" s="30" t="s">
        <v>31</v>
      </c>
      <c r="AH16" s="30" t="s">
        <v>224</v>
      </c>
      <c r="AI16" s="30" t="s">
        <v>45</v>
      </c>
      <c r="AJ16" s="30" t="s">
        <v>45</v>
      </c>
      <c r="AK16" s="30" t="s">
        <v>225</v>
      </c>
      <c r="AL16" s="30">
        <v>10.971333333333337</v>
      </c>
      <c r="AM16" s="30" t="s">
        <v>45</v>
      </c>
      <c r="AN16" s="30">
        <v>0.161277243299696</v>
      </c>
      <c r="AO16" s="30" t="s">
        <v>32</v>
      </c>
      <c r="AP16" s="30" t="s">
        <v>235</v>
      </c>
      <c r="AQ16" s="30" t="s">
        <v>236</v>
      </c>
      <c r="AR16" s="30">
        <v>312</v>
      </c>
      <c r="AS16" s="30" t="s">
        <v>34</v>
      </c>
      <c r="AT16" s="30">
        <v>302</v>
      </c>
      <c r="AU16" s="30">
        <v>325</v>
      </c>
      <c r="AV16" s="30" t="s">
        <v>229</v>
      </c>
      <c r="AW16" s="30" t="s">
        <v>42</v>
      </c>
      <c r="AX16" s="30" t="s">
        <v>254</v>
      </c>
    </row>
    <row r="17" spans="1:50" s="23" customFormat="1" x14ac:dyDescent="0.3">
      <c r="A17" s="23" t="s">
        <v>41</v>
      </c>
      <c r="B17" s="23" t="s">
        <v>175</v>
      </c>
      <c r="C17" s="23">
        <v>2009</v>
      </c>
      <c r="D17" s="34" t="str">
        <f t="shared" si="0"/>
        <v>10.2475/09.2009.01</v>
      </c>
      <c r="E17" s="24">
        <f t="shared" si="1"/>
        <v>55807</v>
      </c>
      <c r="F17" s="24">
        <f t="shared" si="2"/>
        <v>213.00000000000097</v>
      </c>
      <c r="G17" s="24">
        <f t="shared" si="3"/>
        <v>213.00000000000097</v>
      </c>
      <c r="H17" s="25">
        <f t="shared" si="4"/>
        <v>321</v>
      </c>
      <c r="I17" s="25">
        <f t="shared" si="5"/>
        <v>24</v>
      </c>
      <c r="J17" s="26">
        <f t="shared" si="6"/>
        <v>16</v>
      </c>
      <c r="K17" s="30" t="s">
        <v>176</v>
      </c>
      <c r="L17" s="30" t="s">
        <v>177</v>
      </c>
      <c r="M17" s="30" t="s">
        <v>324</v>
      </c>
      <c r="N17" s="30" t="s">
        <v>178</v>
      </c>
      <c r="O17" s="30" t="s">
        <v>193</v>
      </c>
      <c r="P17" s="30" t="s">
        <v>28</v>
      </c>
      <c r="Q17" s="30" t="s">
        <v>29</v>
      </c>
      <c r="R17" s="30" t="s">
        <v>30</v>
      </c>
      <c r="S17" s="30" t="s">
        <v>267</v>
      </c>
      <c r="T17" s="30" t="s">
        <v>232</v>
      </c>
      <c r="U17" s="30" t="s">
        <v>268</v>
      </c>
      <c r="V17" s="30">
        <v>55.807000000000002</v>
      </c>
      <c r="W17" s="30">
        <v>56.02</v>
      </c>
      <c r="X17" s="30">
        <v>55.594000000000001</v>
      </c>
      <c r="Y17" s="30" t="s">
        <v>222</v>
      </c>
      <c r="Z17" s="30" t="s">
        <v>269</v>
      </c>
      <c r="AA17" s="30">
        <v>44.73</v>
      </c>
      <c r="AB17" s="30">
        <v>-108.68</v>
      </c>
      <c r="AC17" s="30" t="s">
        <v>45</v>
      </c>
      <c r="AD17" s="30" t="s">
        <v>45</v>
      </c>
      <c r="AE17" s="30">
        <v>3</v>
      </c>
      <c r="AF17" s="30">
        <v>8</v>
      </c>
      <c r="AG17" s="30" t="s">
        <v>31</v>
      </c>
      <c r="AH17" s="30" t="s">
        <v>224</v>
      </c>
      <c r="AI17" s="30" t="s">
        <v>45</v>
      </c>
      <c r="AJ17" s="30" t="s">
        <v>45</v>
      </c>
      <c r="AK17" s="30" t="s">
        <v>225</v>
      </c>
      <c r="AL17" s="30">
        <v>10.633333333333333</v>
      </c>
      <c r="AM17" s="30" t="s">
        <v>45</v>
      </c>
      <c r="AN17" s="30">
        <v>0.57153052661878601</v>
      </c>
      <c r="AO17" s="30" t="s">
        <v>32</v>
      </c>
      <c r="AP17" s="30" t="s">
        <v>235</v>
      </c>
      <c r="AQ17" s="30" t="s">
        <v>236</v>
      </c>
      <c r="AR17" s="30">
        <v>321</v>
      </c>
      <c r="AS17" s="30" t="s">
        <v>34</v>
      </c>
      <c r="AT17" s="30">
        <v>305</v>
      </c>
      <c r="AU17" s="30">
        <v>345</v>
      </c>
      <c r="AV17" s="30" t="s">
        <v>229</v>
      </c>
      <c r="AW17" s="30" t="s">
        <v>42</v>
      </c>
      <c r="AX17" s="30" t="s">
        <v>254</v>
      </c>
    </row>
    <row r="18" spans="1:50" s="23" customFormat="1" x14ac:dyDescent="0.3">
      <c r="A18" s="23" t="s">
        <v>41</v>
      </c>
      <c r="B18" s="23" t="s">
        <v>175</v>
      </c>
      <c r="C18" s="23">
        <v>2009</v>
      </c>
      <c r="D18" s="34" t="str">
        <f t="shared" si="0"/>
        <v>10.2475/09.2009.01</v>
      </c>
      <c r="E18" s="24">
        <f t="shared" si="1"/>
        <v>55664</v>
      </c>
      <c r="F18" s="24">
        <f t="shared" si="2"/>
        <v>125</v>
      </c>
      <c r="G18" s="24">
        <f t="shared" si="3"/>
        <v>125</v>
      </c>
      <c r="H18" s="25">
        <f t="shared" si="4"/>
        <v>315</v>
      </c>
      <c r="I18" s="25">
        <f t="shared" si="5"/>
        <v>16</v>
      </c>
      <c r="J18" s="26">
        <f t="shared" si="6"/>
        <v>13</v>
      </c>
      <c r="K18" s="30" t="s">
        <v>176</v>
      </c>
      <c r="L18" s="30" t="s">
        <v>177</v>
      </c>
      <c r="M18" s="30" t="s">
        <v>324</v>
      </c>
      <c r="N18" s="30" t="s">
        <v>178</v>
      </c>
      <c r="O18" s="30" t="s">
        <v>194</v>
      </c>
      <c r="P18" s="30" t="s">
        <v>28</v>
      </c>
      <c r="Q18" s="30" t="s">
        <v>29</v>
      </c>
      <c r="R18" s="30" t="s">
        <v>30</v>
      </c>
      <c r="S18" s="30" t="s">
        <v>270</v>
      </c>
      <c r="T18" s="30" t="s">
        <v>232</v>
      </c>
      <c r="U18" s="30" t="s">
        <v>271</v>
      </c>
      <c r="V18" s="30">
        <v>55.664000000000001</v>
      </c>
      <c r="W18" s="30">
        <v>55.789000000000001</v>
      </c>
      <c r="X18" s="30">
        <v>55.539000000000001</v>
      </c>
      <c r="Y18" s="30" t="s">
        <v>222</v>
      </c>
      <c r="Z18" s="30" t="s">
        <v>272</v>
      </c>
      <c r="AA18" s="30">
        <v>44.05</v>
      </c>
      <c r="AB18" s="30">
        <v>-107.77</v>
      </c>
      <c r="AC18" s="30" t="s">
        <v>45</v>
      </c>
      <c r="AD18" s="30" t="s">
        <v>45</v>
      </c>
      <c r="AE18" s="30">
        <v>3</v>
      </c>
      <c r="AF18" s="30">
        <v>10</v>
      </c>
      <c r="AG18" s="30" t="s">
        <v>31</v>
      </c>
      <c r="AH18" s="30" t="s">
        <v>224</v>
      </c>
      <c r="AI18" s="30" t="s">
        <v>45</v>
      </c>
      <c r="AJ18" s="30" t="s">
        <v>45</v>
      </c>
      <c r="AK18" s="30" t="s">
        <v>225</v>
      </c>
      <c r="AL18" s="30">
        <v>11.210666666666665</v>
      </c>
      <c r="AM18" s="30" t="s">
        <v>45</v>
      </c>
      <c r="AN18" s="30">
        <v>0.36508471698321182</v>
      </c>
      <c r="AO18" s="30" t="s">
        <v>32</v>
      </c>
      <c r="AP18" s="30" t="s">
        <v>235</v>
      </c>
      <c r="AQ18" s="30" t="s">
        <v>236</v>
      </c>
      <c r="AR18" s="30">
        <v>315</v>
      </c>
      <c r="AS18" s="30" t="s">
        <v>34</v>
      </c>
      <c r="AT18" s="30">
        <v>302</v>
      </c>
      <c r="AU18" s="30">
        <v>331</v>
      </c>
      <c r="AV18" s="30" t="s">
        <v>229</v>
      </c>
      <c r="AW18" s="30" t="s">
        <v>42</v>
      </c>
      <c r="AX18" s="30" t="s">
        <v>254</v>
      </c>
    </row>
    <row r="19" spans="1:50" s="23" customFormat="1" x14ac:dyDescent="0.3">
      <c r="A19" s="23" t="s">
        <v>41</v>
      </c>
      <c r="B19" s="23" t="s">
        <v>175</v>
      </c>
      <c r="C19" s="23">
        <v>2009</v>
      </c>
      <c r="D19" s="34" t="str">
        <f t="shared" si="0"/>
        <v>10.2475/09.2009.01</v>
      </c>
      <c r="E19" s="24">
        <f t="shared" si="1"/>
        <v>55595</v>
      </c>
      <c r="F19" s="24">
        <f t="shared" si="2"/>
        <v>100.00000000000142</v>
      </c>
      <c r="G19" s="24">
        <f t="shared" si="3"/>
        <v>100.00000000000142</v>
      </c>
      <c r="H19" s="25">
        <f t="shared" si="4"/>
        <v>312</v>
      </c>
      <c r="I19" s="25">
        <f t="shared" si="5"/>
        <v>13</v>
      </c>
      <c r="J19" s="26">
        <f t="shared" si="6"/>
        <v>11</v>
      </c>
      <c r="K19" s="30" t="s">
        <v>176</v>
      </c>
      <c r="L19" s="30" t="s">
        <v>177</v>
      </c>
      <c r="M19" s="30" t="s">
        <v>324</v>
      </c>
      <c r="N19" s="30" t="s">
        <v>178</v>
      </c>
      <c r="O19" s="30" t="s">
        <v>195</v>
      </c>
      <c r="P19" s="30" t="s">
        <v>28</v>
      </c>
      <c r="Q19" s="30" t="s">
        <v>29</v>
      </c>
      <c r="R19" s="30" t="s">
        <v>30</v>
      </c>
      <c r="S19" s="30" t="s">
        <v>273</v>
      </c>
      <c r="T19" s="30" t="s">
        <v>232</v>
      </c>
      <c r="U19" s="30" t="s">
        <v>274</v>
      </c>
      <c r="V19" s="30">
        <v>55.594999999999999</v>
      </c>
      <c r="W19" s="30">
        <v>55.695</v>
      </c>
      <c r="X19" s="30">
        <v>55.494999999999997</v>
      </c>
      <c r="Y19" s="30" t="s">
        <v>222</v>
      </c>
      <c r="Z19" s="30" t="s">
        <v>275</v>
      </c>
      <c r="AA19" s="30">
        <v>43.95</v>
      </c>
      <c r="AB19" s="30">
        <v>-107.56</v>
      </c>
      <c r="AC19" s="30" t="s">
        <v>45</v>
      </c>
      <c r="AD19" s="30" t="s">
        <v>45</v>
      </c>
      <c r="AE19" s="30">
        <v>3</v>
      </c>
      <c r="AF19" s="30">
        <v>8</v>
      </c>
      <c r="AG19" s="30" t="s">
        <v>31</v>
      </c>
      <c r="AH19" s="30" t="s">
        <v>224</v>
      </c>
      <c r="AI19" s="30" t="s">
        <v>45</v>
      </c>
      <c r="AJ19" s="30" t="s">
        <v>45</v>
      </c>
      <c r="AK19" s="30" t="s">
        <v>225</v>
      </c>
      <c r="AL19" s="30">
        <v>11.501666666666667</v>
      </c>
      <c r="AM19" s="30" t="s">
        <v>45</v>
      </c>
      <c r="AN19" s="30">
        <v>0.37099699205780784</v>
      </c>
      <c r="AO19" s="30" t="s">
        <v>32</v>
      </c>
      <c r="AP19" s="30" t="s">
        <v>235</v>
      </c>
      <c r="AQ19" s="30" t="s">
        <v>236</v>
      </c>
      <c r="AR19" s="30">
        <v>312</v>
      </c>
      <c r="AS19" s="30" t="s">
        <v>34</v>
      </c>
      <c r="AT19" s="30">
        <v>301</v>
      </c>
      <c r="AU19" s="30">
        <v>325</v>
      </c>
      <c r="AV19" s="30" t="s">
        <v>229</v>
      </c>
      <c r="AW19" s="30" t="s">
        <v>42</v>
      </c>
      <c r="AX19" s="30" t="s">
        <v>254</v>
      </c>
    </row>
    <row r="20" spans="1:50" s="23" customFormat="1" x14ac:dyDescent="0.3">
      <c r="A20" s="23" t="s">
        <v>41</v>
      </c>
      <c r="B20" s="23" t="s">
        <v>175</v>
      </c>
      <c r="C20" s="23">
        <v>2009</v>
      </c>
      <c r="D20" s="34" t="str">
        <f t="shared" si="0"/>
        <v>10.2475/09.2009.01</v>
      </c>
      <c r="E20" s="24">
        <f t="shared" si="1"/>
        <v>55363</v>
      </c>
      <c r="F20" s="24">
        <f t="shared" si="2"/>
        <v>100.00000000000142</v>
      </c>
      <c r="G20" s="24">
        <f t="shared" si="3"/>
        <v>128.99999999999778</v>
      </c>
      <c r="H20" s="25">
        <f t="shared" si="4"/>
        <v>304</v>
      </c>
      <c r="I20" s="25">
        <f t="shared" si="5"/>
        <v>12</v>
      </c>
      <c r="J20" s="26">
        <f t="shared" si="6"/>
        <v>8</v>
      </c>
      <c r="K20" s="30" t="s">
        <v>176</v>
      </c>
      <c r="L20" s="30" t="s">
        <v>177</v>
      </c>
      <c r="M20" s="30" t="s">
        <v>324</v>
      </c>
      <c r="N20" s="30" t="s">
        <v>178</v>
      </c>
      <c r="O20" s="30" t="s">
        <v>196</v>
      </c>
      <c r="P20" s="30" t="s">
        <v>28</v>
      </c>
      <c r="Q20" s="30" t="s">
        <v>29</v>
      </c>
      <c r="R20" s="30" t="s">
        <v>30</v>
      </c>
      <c r="S20" s="30" t="s">
        <v>276</v>
      </c>
      <c r="T20" s="30" t="s">
        <v>232</v>
      </c>
      <c r="U20" s="30" t="s">
        <v>277</v>
      </c>
      <c r="V20" s="30">
        <v>55.363</v>
      </c>
      <c r="W20" s="30">
        <v>55.463000000000001</v>
      </c>
      <c r="X20" s="30">
        <v>55.234000000000002</v>
      </c>
      <c r="Y20" s="30" t="s">
        <v>222</v>
      </c>
      <c r="Z20" s="30" t="s">
        <v>278</v>
      </c>
      <c r="AA20" s="30">
        <v>44.16</v>
      </c>
      <c r="AB20" s="30">
        <v>-107.85</v>
      </c>
      <c r="AC20" s="30" t="s">
        <v>45</v>
      </c>
      <c r="AD20" s="30" t="s">
        <v>45</v>
      </c>
      <c r="AE20" s="30">
        <v>3</v>
      </c>
      <c r="AF20" s="30">
        <v>7</v>
      </c>
      <c r="AG20" s="30" t="s">
        <v>31</v>
      </c>
      <c r="AH20" s="30" t="s">
        <v>224</v>
      </c>
      <c r="AI20" s="30" t="s">
        <v>45</v>
      </c>
      <c r="AJ20" s="30" t="s">
        <v>45</v>
      </c>
      <c r="AK20" s="30" t="s">
        <v>225</v>
      </c>
      <c r="AL20" s="30">
        <v>12.229047619047616</v>
      </c>
      <c r="AM20" s="30" t="s">
        <v>45</v>
      </c>
      <c r="AN20" s="30">
        <v>0.58116496891024338</v>
      </c>
      <c r="AO20" s="30" t="s">
        <v>32</v>
      </c>
      <c r="AP20" s="30" t="s">
        <v>235</v>
      </c>
      <c r="AQ20" s="30" t="s">
        <v>236</v>
      </c>
      <c r="AR20" s="30">
        <v>304</v>
      </c>
      <c r="AS20" s="30" t="s">
        <v>34</v>
      </c>
      <c r="AT20" s="30">
        <v>296</v>
      </c>
      <c r="AU20" s="30">
        <v>316</v>
      </c>
      <c r="AV20" s="30" t="s">
        <v>229</v>
      </c>
      <c r="AW20" s="30" t="s">
        <v>42</v>
      </c>
      <c r="AX20" s="30" t="s">
        <v>254</v>
      </c>
    </row>
    <row r="21" spans="1:50" s="23" customFormat="1" x14ac:dyDescent="0.3">
      <c r="A21" s="23" t="s">
        <v>41</v>
      </c>
      <c r="B21" s="23" t="s">
        <v>175</v>
      </c>
      <c r="C21" s="23">
        <v>2009</v>
      </c>
      <c r="D21" s="34" t="str">
        <f t="shared" si="0"/>
        <v>10.2475/09.2009.01</v>
      </c>
      <c r="E21" s="24">
        <f t="shared" si="1"/>
        <v>55343</v>
      </c>
      <c r="F21" s="24">
        <f t="shared" si="2"/>
        <v>100.00000000000142</v>
      </c>
      <c r="G21" s="24">
        <f t="shared" si="3"/>
        <v>109.00000000000176</v>
      </c>
      <c r="H21" s="25">
        <f t="shared" si="4"/>
        <v>520</v>
      </c>
      <c r="I21" s="25">
        <f t="shared" si="5"/>
        <v>255</v>
      </c>
      <c r="J21" s="26">
        <f t="shared" si="6"/>
        <v>171</v>
      </c>
      <c r="K21" s="30" t="s">
        <v>176</v>
      </c>
      <c r="L21" s="30" t="s">
        <v>177</v>
      </c>
      <c r="M21" s="30" t="s">
        <v>324</v>
      </c>
      <c r="N21" s="30" t="s">
        <v>178</v>
      </c>
      <c r="O21" s="30" t="s">
        <v>197</v>
      </c>
      <c r="P21" s="30" t="s">
        <v>28</v>
      </c>
      <c r="Q21" s="30" t="s">
        <v>29</v>
      </c>
      <c r="R21" s="30" t="s">
        <v>30</v>
      </c>
      <c r="S21" s="30" t="s">
        <v>279</v>
      </c>
      <c r="T21" s="30" t="s">
        <v>232</v>
      </c>
      <c r="U21" s="30" t="s">
        <v>280</v>
      </c>
      <c r="V21" s="30">
        <v>55.343000000000004</v>
      </c>
      <c r="W21" s="30">
        <v>55.443000000000005</v>
      </c>
      <c r="X21" s="30">
        <v>55.234000000000002</v>
      </c>
      <c r="Y21" s="30" t="s">
        <v>222</v>
      </c>
      <c r="Z21" s="30" t="s">
        <v>281</v>
      </c>
      <c r="AA21" s="30">
        <v>44.8</v>
      </c>
      <c r="AB21" s="30" t="s">
        <v>45</v>
      </c>
      <c r="AC21" s="30" t="s">
        <v>45</v>
      </c>
      <c r="AD21" s="30" t="s">
        <v>45</v>
      </c>
      <c r="AE21" s="30">
        <v>3</v>
      </c>
      <c r="AF21" s="30">
        <v>12</v>
      </c>
      <c r="AG21" s="30" t="s">
        <v>31</v>
      </c>
      <c r="AH21" s="30" t="s">
        <v>224</v>
      </c>
      <c r="AI21" s="30" t="s">
        <v>45</v>
      </c>
      <c r="AJ21" s="30" t="s">
        <v>45</v>
      </c>
      <c r="AK21" s="30" t="s">
        <v>225</v>
      </c>
      <c r="AL21" s="30">
        <v>8.2263888888888896</v>
      </c>
      <c r="AM21" s="30" t="s">
        <v>45</v>
      </c>
      <c r="AN21" s="30">
        <v>0.24305609070235321</v>
      </c>
      <c r="AO21" s="30" t="s">
        <v>32</v>
      </c>
      <c r="AP21" s="30" t="s">
        <v>235</v>
      </c>
      <c r="AQ21" s="30" t="s">
        <v>236</v>
      </c>
      <c r="AR21" s="30">
        <v>520</v>
      </c>
      <c r="AS21" s="30" t="s">
        <v>34</v>
      </c>
      <c r="AT21" s="30">
        <v>349</v>
      </c>
      <c r="AU21" s="30">
        <v>775</v>
      </c>
      <c r="AV21" s="30" t="s">
        <v>229</v>
      </c>
      <c r="AW21" s="30" t="s">
        <v>42</v>
      </c>
      <c r="AX21" s="30" t="s">
        <v>254</v>
      </c>
    </row>
    <row r="22" spans="1:50" s="23" customFormat="1" x14ac:dyDescent="0.3">
      <c r="A22" s="23" t="s">
        <v>41</v>
      </c>
      <c r="B22" s="23" t="s">
        <v>175</v>
      </c>
      <c r="C22" s="23">
        <v>2009</v>
      </c>
      <c r="D22" s="34" t="str">
        <f t="shared" si="0"/>
        <v>10.2475/09.2009.01</v>
      </c>
      <c r="E22" s="24">
        <f t="shared" si="1"/>
        <v>55341</v>
      </c>
      <c r="F22" s="24">
        <f t="shared" si="2"/>
        <v>100.00000000000142</v>
      </c>
      <c r="G22" s="24">
        <f t="shared" si="3"/>
        <v>106.99999999999932</v>
      </c>
      <c r="H22" s="25">
        <f t="shared" si="4"/>
        <v>305</v>
      </c>
      <c r="I22" s="25">
        <f t="shared" si="5"/>
        <v>9</v>
      </c>
      <c r="J22" s="26">
        <f t="shared" si="6"/>
        <v>8</v>
      </c>
      <c r="K22" s="30" t="s">
        <v>176</v>
      </c>
      <c r="L22" s="30" t="s">
        <v>177</v>
      </c>
      <c r="M22" s="30" t="s">
        <v>324</v>
      </c>
      <c r="N22" s="30" t="s">
        <v>178</v>
      </c>
      <c r="O22" s="30" t="s">
        <v>198</v>
      </c>
      <c r="P22" s="30" t="s">
        <v>28</v>
      </c>
      <c r="Q22" s="30" t="s">
        <v>29</v>
      </c>
      <c r="R22" s="30" t="s">
        <v>30</v>
      </c>
      <c r="S22" s="30" t="s">
        <v>282</v>
      </c>
      <c r="T22" s="30" t="s">
        <v>232</v>
      </c>
      <c r="U22" s="30" t="s">
        <v>283</v>
      </c>
      <c r="V22" s="30">
        <v>55.341000000000001</v>
      </c>
      <c r="W22" s="30">
        <v>55.441000000000003</v>
      </c>
      <c r="X22" s="30">
        <v>55.234000000000002</v>
      </c>
      <c r="Y22" s="30" t="s">
        <v>222</v>
      </c>
      <c r="Z22" s="30" t="s">
        <v>281</v>
      </c>
      <c r="AA22" s="30">
        <v>43.95</v>
      </c>
      <c r="AB22" s="30" t="s">
        <v>45</v>
      </c>
      <c r="AC22" s="30" t="s">
        <v>45</v>
      </c>
      <c r="AD22" s="30" t="s">
        <v>45</v>
      </c>
      <c r="AE22" s="30">
        <v>3</v>
      </c>
      <c r="AF22" s="30">
        <v>5</v>
      </c>
      <c r="AG22" s="30" t="s">
        <v>31</v>
      </c>
      <c r="AH22" s="30" t="s">
        <v>224</v>
      </c>
      <c r="AI22" s="30" t="s">
        <v>45</v>
      </c>
      <c r="AJ22" s="30" t="s">
        <v>45</v>
      </c>
      <c r="AK22" s="30" t="s">
        <v>225</v>
      </c>
      <c r="AL22" s="30">
        <v>12.177999999999999</v>
      </c>
      <c r="AM22" s="30" t="s">
        <v>45</v>
      </c>
      <c r="AN22" s="30">
        <v>0.58245588428898509</v>
      </c>
      <c r="AO22" s="30" t="s">
        <v>32</v>
      </c>
      <c r="AP22" s="30" t="s">
        <v>235</v>
      </c>
      <c r="AQ22" s="30" t="s">
        <v>236</v>
      </c>
      <c r="AR22" s="30">
        <v>305</v>
      </c>
      <c r="AS22" s="30" t="s">
        <v>34</v>
      </c>
      <c r="AT22" s="30">
        <v>297</v>
      </c>
      <c r="AU22" s="30">
        <v>314</v>
      </c>
      <c r="AV22" s="30" t="s">
        <v>229</v>
      </c>
      <c r="AW22" s="30" t="s">
        <v>42</v>
      </c>
      <c r="AX22" s="30" t="s">
        <v>254</v>
      </c>
    </row>
    <row r="23" spans="1:50" s="23" customFormat="1" x14ac:dyDescent="0.3">
      <c r="A23" s="23" t="s">
        <v>41</v>
      </c>
      <c r="B23" s="23" t="s">
        <v>175</v>
      </c>
      <c r="C23" s="23">
        <v>2009</v>
      </c>
      <c r="D23" s="34" t="str">
        <f t="shared" si="0"/>
        <v>10.2475/09.2009.01</v>
      </c>
      <c r="E23" s="24">
        <f t="shared" si="1"/>
        <v>55300</v>
      </c>
      <c r="F23" s="24">
        <f t="shared" si="2"/>
        <v>100.00000000000142</v>
      </c>
      <c r="G23" s="24">
        <f t="shared" si="3"/>
        <v>66.000000000002501</v>
      </c>
      <c r="H23" s="25">
        <f t="shared" si="4"/>
        <v>310</v>
      </c>
      <c r="I23" s="25">
        <f t="shared" si="5"/>
        <v>21</v>
      </c>
      <c r="J23" s="26">
        <f t="shared" si="6"/>
        <v>14</v>
      </c>
      <c r="K23" s="30" t="s">
        <v>176</v>
      </c>
      <c r="L23" s="30" t="s">
        <v>177</v>
      </c>
      <c r="M23" s="30" t="s">
        <v>324</v>
      </c>
      <c r="N23" s="30" t="s">
        <v>178</v>
      </c>
      <c r="O23" s="30" t="s">
        <v>199</v>
      </c>
      <c r="P23" s="30" t="s">
        <v>28</v>
      </c>
      <c r="Q23" s="30" t="s">
        <v>29</v>
      </c>
      <c r="R23" s="30" t="s">
        <v>30</v>
      </c>
      <c r="S23" s="30" t="s">
        <v>284</v>
      </c>
      <c r="T23" s="30" t="s">
        <v>232</v>
      </c>
      <c r="U23" s="30" t="s">
        <v>277</v>
      </c>
      <c r="V23" s="30">
        <v>55.3</v>
      </c>
      <c r="W23" s="30">
        <v>55.4</v>
      </c>
      <c r="X23" s="30">
        <v>55.233999999999995</v>
      </c>
      <c r="Y23" s="30" t="s">
        <v>222</v>
      </c>
      <c r="Z23" s="30" t="s">
        <v>281</v>
      </c>
      <c r="AA23" s="30">
        <v>43.95</v>
      </c>
      <c r="AB23" s="30" t="s">
        <v>45</v>
      </c>
      <c r="AC23" s="30" t="s">
        <v>45</v>
      </c>
      <c r="AD23" s="30" t="s">
        <v>45</v>
      </c>
      <c r="AE23" s="30">
        <v>3</v>
      </c>
      <c r="AF23" s="30">
        <v>15</v>
      </c>
      <c r="AG23" s="30" t="s">
        <v>31</v>
      </c>
      <c r="AH23" s="30" t="s">
        <v>224</v>
      </c>
      <c r="AI23" s="30" t="s">
        <v>45</v>
      </c>
      <c r="AJ23" s="30" t="s">
        <v>45</v>
      </c>
      <c r="AK23" s="30" t="s">
        <v>225</v>
      </c>
      <c r="AL23" s="30">
        <v>11.774222222222221</v>
      </c>
      <c r="AM23" s="30" t="s">
        <v>45</v>
      </c>
      <c r="AN23" s="30">
        <v>0.23401533806821481</v>
      </c>
      <c r="AO23" s="30" t="s">
        <v>32</v>
      </c>
      <c r="AP23" s="30" t="s">
        <v>235</v>
      </c>
      <c r="AQ23" s="30" t="s">
        <v>236</v>
      </c>
      <c r="AR23" s="30">
        <v>310</v>
      </c>
      <c r="AS23" s="30" t="s">
        <v>34</v>
      </c>
      <c r="AT23" s="30">
        <v>296</v>
      </c>
      <c r="AU23" s="30">
        <v>331</v>
      </c>
      <c r="AV23" s="30" t="s">
        <v>229</v>
      </c>
      <c r="AW23" s="30" t="s">
        <v>42</v>
      </c>
      <c r="AX23" s="30" t="s">
        <v>254</v>
      </c>
    </row>
    <row r="24" spans="1:50" s="23" customFormat="1" x14ac:dyDescent="0.3">
      <c r="A24" s="23" t="s">
        <v>41</v>
      </c>
      <c r="B24" s="23" t="s">
        <v>175</v>
      </c>
      <c r="C24" s="23">
        <v>2009</v>
      </c>
      <c r="D24" s="34" t="str">
        <f t="shared" si="0"/>
        <v>10.2475/09.2009.01</v>
      </c>
      <c r="E24" s="24">
        <f t="shared" si="1"/>
        <v>55298</v>
      </c>
      <c r="F24" s="24">
        <f t="shared" si="2"/>
        <v>100.00000000000142</v>
      </c>
      <c r="G24" s="24">
        <f t="shared" si="3"/>
        <v>64.000000000000057</v>
      </c>
      <c r="H24" s="25">
        <f t="shared" si="4"/>
        <v>303</v>
      </c>
      <c r="I24" s="25">
        <f t="shared" si="5"/>
        <v>11</v>
      </c>
      <c r="J24" s="26">
        <f t="shared" si="6"/>
        <v>9</v>
      </c>
      <c r="K24" s="30" t="s">
        <v>176</v>
      </c>
      <c r="L24" s="30" t="s">
        <v>177</v>
      </c>
      <c r="M24" s="30" t="s">
        <v>324</v>
      </c>
      <c r="N24" s="30" t="s">
        <v>178</v>
      </c>
      <c r="O24" s="30" t="s">
        <v>200</v>
      </c>
      <c r="P24" s="30" t="s">
        <v>28</v>
      </c>
      <c r="Q24" s="30" t="s">
        <v>29</v>
      </c>
      <c r="R24" s="30" t="s">
        <v>30</v>
      </c>
      <c r="S24" s="30" t="s">
        <v>285</v>
      </c>
      <c r="T24" s="30" t="s">
        <v>232</v>
      </c>
      <c r="U24" s="30" t="s">
        <v>286</v>
      </c>
      <c r="V24" s="30">
        <v>55.298000000000002</v>
      </c>
      <c r="W24" s="30">
        <v>55.398000000000003</v>
      </c>
      <c r="X24" s="30">
        <v>55.234000000000002</v>
      </c>
      <c r="Y24" s="30" t="s">
        <v>222</v>
      </c>
      <c r="Z24" s="30" t="s">
        <v>281</v>
      </c>
      <c r="AA24" s="30">
        <v>44.15</v>
      </c>
      <c r="AB24" s="30" t="s">
        <v>45</v>
      </c>
      <c r="AC24" s="30" t="s">
        <v>45</v>
      </c>
      <c r="AD24" s="30" t="s">
        <v>45</v>
      </c>
      <c r="AE24" s="30">
        <v>3</v>
      </c>
      <c r="AF24" s="30">
        <v>7</v>
      </c>
      <c r="AG24" s="30" t="s">
        <v>31</v>
      </c>
      <c r="AH24" s="30" t="s">
        <v>224</v>
      </c>
      <c r="AI24" s="30" t="s">
        <v>45</v>
      </c>
      <c r="AJ24" s="30" t="s">
        <v>45</v>
      </c>
      <c r="AK24" s="30" t="s">
        <v>225</v>
      </c>
      <c r="AL24" s="30">
        <v>12.414761904761903</v>
      </c>
      <c r="AM24" s="30" t="s">
        <v>45</v>
      </c>
      <c r="AN24" s="30">
        <v>0.33175855904046525</v>
      </c>
      <c r="AO24" s="30" t="s">
        <v>32</v>
      </c>
      <c r="AP24" s="30" t="s">
        <v>235</v>
      </c>
      <c r="AQ24" s="30" t="s">
        <v>236</v>
      </c>
      <c r="AR24" s="30">
        <v>303</v>
      </c>
      <c r="AS24" s="30" t="s">
        <v>34</v>
      </c>
      <c r="AT24" s="30">
        <v>294</v>
      </c>
      <c r="AU24" s="30">
        <v>314</v>
      </c>
      <c r="AV24" s="30" t="s">
        <v>229</v>
      </c>
      <c r="AW24" s="30" t="s">
        <v>42</v>
      </c>
      <c r="AX24" s="30" t="s">
        <v>254</v>
      </c>
    </row>
    <row r="25" spans="1:50" s="23" customFormat="1" x14ac:dyDescent="0.3">
      <c r="A25" s="23" t="s">
        <v>41</v>
      </c>
      <c r="B25" s="23" t="s">
        <v>175</v>
      </c>
      <c r="C25" s="23">
        <v>2009</v>
      </c>
      <c r="D25" s="34" t="str">
        <f t="shared" si="0"/>
        <v>10.2475/09.2009.01</v>
      </c>
      <c r="E25" s="24">
        <f t="shared" si="1"/>
        <v>55234</v>
      </c>
      <c r="F25" s="24" t="s">
        <v>45</v>
      </c>
      <c r="G25" s="24" t="s">
        <v>45</v>
      </c>
      <c r="H25" s="25">
        <f t="shared" si="4"/>
        <v>666</v>
      </c>
      <c r="I25" s="25">
        <f t="shared" si="5"/>
        <v>137</v>
      </c>
      <c r="J25" s="26">
        <f t="shared" si="6"/>
        <v>273</v>
      </c>
      <c r="K25" s="30" t="s">
        <v>176</v>
      </c>
      <c r="L25" s="30" t="s">
        <v>177</v>
      </c>
      <c r="M25" s="30" t="s">
        <v>324</v>
      </c>
      <c r="N25" s="30" t="s">
        <v>178</v>
      </c>
      <c r="O25" s="30" t="s">
        <v>45</v>
      </c>
      <c r="P25" s="30" t="s">
        <v>28</v>
      </c>
      <c r="Q25" s="30" t="s">
        <v>29</v>
      </c>
      <c r="R25" s="30" t="s">
        <v>201</v>
      </c>
      <c r="S25" s="30" t="s">
        <v>287</v>
      </c>
      <c r="T25" s="30"/>
      <c r="U25" s="30"/>
      <c r="V25" s="30">
        <v>55.234000000000002</v>
      </c>
      <c r="W25" s="30" t="s">
        <v>45</v>
      </c>
      <c r="X25" s="30" t="s">
        <v>45</v>
      </c>
      <c r="Y25" s="30" t="s">
        <v>222</v>
      </c>
      <c r="Z25" s="30" t="s">
        <v>288</v>
      </c>
      <c r="AA25" s="30">
        <v>56.3</v>
      </c>
      <c r="AB25" s="30">
        <v>-6.2</v>
      </c>
      <c r="AC25" s="30" t="s">
        <v>45</v>
      </c>
      <c r="AD25" s="30" t="s">
        <v>45</v>
      </c>
      <c r="AE25" s="30">
        <v>3</v>
      </c>
      <c r="AF25" s="30">
        <v>13</v>
      </c>
      <c r="AG25" s="30" t="s">
        <v>31</v>
      </c>
      <c r="AH25" s="30" t="s">
        <v>224</v>
      </c>
      <c r="AI25" s="30" t="s">
        <v>45</v>
      </c>
      <c r="AJ25" s="30" t="s">
        <v>45</v>
      </c>
      <c r="AK25" s="30" t="s">
        <v>225</v>
      </c>
      <c r="AL25" s="30">
        <v>6.54</v>
      </c>
      <c r="AM25" s="30" t="s">
        <v>45</v>
      </c>
      <c r="AN25" s="30">
        <v>0.23249121367216166</v>
      </c>
      <c r="AO25" s="30" t="s">
        <v>32</v>
      </c>
      <c r="AP25" s="30" t="s">
        <v>235</v>
      </c>
      <c r="AQ25" s="30" t="s">
        <v>236</v>
      </c>
      <c r="AR25" s="30">
        <v>666</v>
      </c>
      <c r="AS25" s="30" t="s">
        <v>34</v>
      </c>
      <c r="AT25" s="30">
        <v>393</v>
      </c>
      <c r="AU25" s="30">
        <v>803</v>
      </c>
      <c r="AV25" s="30" t="s">
        <v>229</v>
      </c>
      <c r="AW25" s="30" t="s">
        <v>42</v>
      </c>
      <c r="AX25" s="30" t="s">
        <v>254</v>
      </c>
    </row>
    <row r="26" spans="1:50" s="23" customFormat="1" x14ac:dyDescent="0.3">
      <c r="A26" s="23" t="s">
        <v>41</v>
      </c>
      <c r="B26" s="23" t="s">
        <v>175</v>
      </c>
      <c r="C26" s="23">
        <v>2009</v>
      </c>
      <c r="D26" s="34" t="str">
        <f t="shared" si="0"/>
        <v>10.2475/09.2009.01</v>
      </c>
      <c r="E26" s="24">
        <f t="shared" si="1"/>
        <v>55125</v>
      </c>
      <c r="F26" s="24">
        <f t="shared" si="2"/>
        <v>109.00000000000176</v>
      </c>
      <c r="G26" s="24">
        <f t="shared" si="3"/>
        <v>125</v>
      </c>
      <c r="H26" s="25">
        <f t="shared" si="4"/>
        <v>514</v>
      </c>
      <c r="I26" s="25">
        <f t="shared" si="5"/>
        <v>261</v>
      </c>
      <c r="J26" s="26">
        <f t="shared" si="6"/>
        <v>172</v>
      </c>
      <c r="K26" s="30" t="s">
        <v>176</v>
      </c>
      <c r="L26" s="30" t="s">
        <v>177</v>
      </c>
      <c r="M26" s="30" t="s">
        <v>324</v>
      </c>
      <c r="N26" s="30" t="s">
        <v>178</v>
      </c>
      <c r="O26" s="30" t="s">
        <v>202</v>
      </c>
      <c r="P26" s="30" t="s">
        <v>28</v>
      </c>
      <c r="Q26" s="30" t="s">
        <v>29</v>
      </c>
      <c r="R26" s="30" t="s">
        <v>30</v>
      </c>
      <c r="S26" s="30" t="s">
        <v>289</v>
      </c>
      <c r="T26" s="30" t="s">
        <v>290</v>
      </c>
      <c r="U26" s="30" t="s">
        <v>291</v>
      </c>
      <c r="V26" s="30">
        <v>55.125</v>
      </c>
      <c r="W26" s="30">
        <v>55.234000000000002</v>
      </c>
      <c r="X26" s="30">
        <v>55</v>
      </c>
      <c r="Y26" s="30" t="s">
        <v>222</v>
      </c>
      <c r="Z26" s="30" t="s">
        <v>292</v>
      </c>
      <c r="AA26" s="30">
        <v>44.8</v>
      </c>
      <c r="AB26" s="30" t="s">
        <v>45</v>
      </c>
      <c r="AC26" s="30" t="s">
        <v>45</v>
      </c>
      <c r="AD26" s="30" t="s">
        <v>45</v>
      </c>
      <c r="AE26" s="30">
        <v>3</v>
      </c>
      <c r="AF26" s="30">
        <v>22</v>
      </c>
      <c r="AG26" s="30" t="s">
        <v>31</v>
      </c>
      <c r="AH26" s="30" t="s">
        <v>224</v>
      </c>
      <c r="AI26" s="30" t="s">
        <v>45</v>
      </c>
      <c r="AJ26" s="30" t="s">
        <v>45</v>
      </c>
      <c r="AK26" s="30" t="s">
        <v>225</v>
      </c>
      <c r="AL26" s="30">
        <v>8.5340909090909065</v>
      </c>
      <c r="AM26" s="30" t="s">
        <v>45</v>
      </c>
      <c r="AN26" s="30">
        <v>0.15571310236436275</v>
      </c>
      <c r="AO26" s="30" t="s">
        <v>32</v>
      </c>
      <c r="AP26" s="30" t="s">
        <v>235</v>
      </c>
      <c r="AQ26" s="30" t="s">
        <v>236</v>
      </c>
      <c r="AR26" s="30">
        <v>514</v>
      </c>
      <c r="AS26" s="30" t="s">
        <v>34</v>
      </c>
      <c r="AT26" s="30">
        <v>342</v>
      </c>
      <c r="AU26" s="30">
        <v>775</v>
      </c>
      <c r="AV26" s="30" t="s">
        <v>229</v>
      </c>
      <c r="AW26" s="30" t="s">
        <v>42</v>
      </c>
      <c r="AX26" s="30" t="s">
        <v>254</v>
      </c>
    </row>
    <row r="27" spans="1:50" s="23" customFormat="1" x14ac:dyDescent="0.3">
      <c r="A27" s="23" t="s">
        <v>41</v>
      </c>
      <c r="B27" s="23" t="s">
        <v>175</v>
      </c>
      <c r="C27" s="23">
        <v>2009</v>
      </c>
      <c r="D27" s="34" t="str">
        <f t="shared" si="0"/>
        <v>10.2475/09.2009.01</v>
      </c>
      <c r="E27" s="24">
        <f t="shared" si="1"/>
        <v>54798</v>
      </c>
      <c r="F27" s="24">
        <f t="shared" si="2"/>
        <v>100.00000000000142</v>
      </c>
      <c r="G27" s="24">
        <f t="shared" si="3"/>
        <v>100.00000000000142</v>
      </c>
      <c r="H27" s="25">
        <f t="shared" si="4"/>
        <v>479</v>
      </c>
      <c r="I27" s="25">
        <f t="shared" si="5"/>
        <v>266</v>
      </c>
      <c r="J27" s="26">
        <f t="shared" si="6"/>
        <v>141</v>
      </c>
      <c r="K27" s="30" t="s">
        <v>176</v>
      </c>
      <c r="L27" s="30" t="s">
        <v>177</v>
      </c>
      <c r="M27" s="30" t="s">
        <v>324</v>
      </c>
      <c r="N27" s="30" t="s">
        <v>178</v>
      </c>
      <c r="O27" s="30" t="s">
        <v>203</v>
      </c>
      <c r="P27" s="30" t="s">
        <v>28</v>
      </c>
      <c r="Q27" s="30" t="s">
        <v>29</v>
      </c>
      <c r="R27" s="30" t="s">
        <v>30</v>
      </c>
      <c r="S27" s="30" t="s">
        <v>293</v>
      </c>
      <c r="T27" s="30" t="s">
        <v>290</v>
      </c>
      <c r="U27" s="30" t="s">
        <v>294</v>
      </c>
      <c r="V27" s="30">
        <v>54.798000000000002</v>
      </c>
      <c r="W27" s="30">
        <v>54.898000000000003</v>
      </c>
      <c r="X27" s="30">
        <v>54.698</v>
      </c>
      <c r="Y27" s="30" t="s">
        <v>222</v>
      </c>
      <c r="Z27" s="30" t="s">
        <v>295</v>
      </c>
      <c r="AA27" s="30">
        <v>44.35</v>
      </c>
      <c r="AB27" s="30">
        <v>-108.39</v>
      </c>
      <c r="AC27" s="30" t="s">
        <v>45</v>
      </c>
      <c r="AD27" s="30" t="s">
        <v>45</v>
      </c>
      <c r="AE27" s="30">
        <v>3</v>
      </c>
      <c r="AF27" s="30">
        <v>8</v>
      </c>
      <c r="AG27" s="30" t="s">
        <v>31</v>
      </c>
      <c r="AH27" s="30" t="s">
        <v>224</v>
      </c>
      <c r="AI27" s="30" t="s">
        <v>45</v>
      </c>
      <c r="AJ27" s="30" t="s">
        <v>45</v>
      </c>
      <c r="AK27" s="30" t="s">
        <v>225</v>
      </c>
      <c r="AL27" s="30">
        <v>8.8275000000000006</v>
      </c>
      <c r="AM27" s="30" t="s">
        <v>45</v>
      </c>
      <c r="AN27" s="30">
        <v>0.301280329521395</v>
      </c>
      <c r="AO27" s="30" t="s">
        <v>32</v>
      </c>
      <c r="AP27" s="30" t="s">
        <v>235</v>
      </c>
      <c r="AQ27" s="30" t="s">
        <v>236</v>
      </c>
      <c r="AR27" s="30">
        <v>479</v>
      </c>
      <c r="AS27" s="30" t="s">
        <v>34</v>
      </c>
      <c r="AT27" s="30">
        <v>338</v>
      </c>
      <c r="AU27" s="30">
        <v>745</v>
      </c>
      <c r="AV27" s="30" t="s">
        <v>229</v>
      </c>
      <c r="AW27" s="30" t="s">
        <v>42</v>
      </c>
      <c r="AX27" s="30" t="s">
        <v>254</v>
      </c>
    </row>
    <row r="28" spans="1:50" s="23" customFormat="1" x14ac:dyDescent="0.3">
      <c r="A28" s="23" t="s">
        <v>41</v>
      </c>
      <c r="B28" s="23" t="s">
        <v>175</v>
      </c>
      <c r="C28" s="23">
        <v>2009</v>
      </c>
      <c r="D28" s="34" t="str">
        <f t="shared" si="0"/>
        <v>10.2475/09.2009.01</v>
      </c>
      <c r="E28" s="24">
        <f t="shared" si="1"/>
        <v>53897</v>
      </c>
      <c r="F28" s="24">
        <f t="shared" si="2"/>
        <v>100.00000000000142</v>
      </c>
      <c r="G28" s="24">
        <f t="shared" si="3"/>
        <v>100.00000000000142</v>
      </c>
      <c r="H28" s="25">
        <f t="shared" si="4"/>
        <v>377</v>
      </c>
      <c r="I28" s="25">
        <f t="shared" si="5"/>
        <v>336</v>
      </c>
      <c r="J28" s="26">
        <f t="shared" si="6"/>
        <v>48</v>
      </c>
      <c r="K28" s="30" t="s">
        <v>176</v>
      </c>
      <c r="L28" s="30" t="s">
        <v>177</v>
      </c>
      <c r="M28" s="30" t="s">
        <v>324</v>
      </c>
      <c r="N28" s="30" t="s">
        <v>178</v>
      </c>
      <c r="O28" s="30" t="s">
        <v>204</v>
      </c>
      <c r="P28" s="30" t="s">
        <v>28</v>
      </c>
      <c r="Q28" s="30" t="s">
        <v>29</v>
      </c>
      <c r="R28" s="30" t="s">
        <v>30</v>
      </c>
      <c r="S28" s="30" t="s">
        <v>296</v>
      </c>
      <c r="T28" s="30" t="s">
        <v>290</v>
      </c>
      <c r="U28" s="30" t="s">
        <v>297</v>
      </c>
      <c r="V28" s="30">
        <v>53.896999999999998</v>
      </c>
      <c r="W28" s="30">
        <v>53.997</v>
      </c>
      <c r="X28" s="30">
        <v>53.796999999999997</v>
      </c>
      <c r="Y28" s="30" t="s">
        <v>222</v>
      </c>
      <c r="Z28" s="30" t="s">
        <v>298</v>
      </c>
      <c r="AA28" s="30">
        <v>44.17</v>
      </c>
      <c r="AB28" s="30">
        <v>-108.13</v>
      </c>
      <c r="AC28" s="30" t="s">
        <v>45</v>
      </c>
      <c r="AD28" s="30" t="s">
        <v>45</v>
      </c>
      <c r="AE28" s="30">
        <v>3</v>
      </c>
      <c r="AF28" s="30">
        <v>5</v>
      </c>
      <c r="AG28" s="30" t="s">
        <v>31</v>
      </c>
      <c r="AH28" s="30" t="s">
        <v>224</v>
      </c>
      <c r="AI28" s="30" t="s">
        <v>45</v>
      </c>
      <c r="AJ28" s="30" t="s">
        <v>45</v>
      </c>
      <c r="AK28" s="30" t="s">
        <v>225</v>
      </c>
      <c r="AL28" s="30">
        <v>9.2853333333333321</v>
      </c>
      <c r="AM28" s="30" t="s">
        <v>45</v>
      </c>
      <c r="AN28" s="30">
        <v>0.35507691990275153</v>
      </c>
      <c r="AO28" s="30" t="s">
        <v>32</v>
      </c>
      <c r="AP28" s="30" t="s">
        <v>235</v>
      </c>
      <c r="AQ28" s="30" t="s">
        <v>236</v>
      </c>
      <c r="AR28" s="30">
        <v>377</v>
      </c>
      <c r="AS28" s="30" t="s">
        <v>34</v>
      </c>
      <c r="AT28" s="30">
        <v>329</v>
      </c>
      <c r="AU28" s="30">
        <v>713</v>
      </c>
      <c r="AV28" s="30" t="s">
        <v>229</v>
      </c>
      <c r="AW28" s="30" t="s">
        <v>42</v>
      </c>
      <c r="AX28" s="30" t="s">
        <v>254</v>
      </c>
    </row>
    <row r="29" spans="1:50" s="23" customFormat="1" x14ac:dyDescent="0.3">
      <c r="A29" s="23" t="s">
        <v>41</v>
      </c>
      <c r="B29" s="23" t="s">
        <v>175</v>
      </c>
      <c r="C29" s="23">
        <v>2009</v>
      </c>
      <c r="D29" s="34" t="str">
        <f t="shared" si="0"/>
        <v>10.2475/09.2009.01</v>
      </c>
      <c r="E29" s="24">
        <f t="shared" si="1"/>
        <v>53488</v>
      </c>
      <c r="F29" s="24">
        <f t="shared" si="2"/>
        <v>100.00000000000142</v>
      </c>
      <c r="G29" s="24">
        <f t="shared" si="3"/>
        <v>100.00000000000142</v>
      </c>
      <c r="H29" s="25">
        <f t="shared" si="4"/>
        <v>327</v>
      </c>
      <c r="I29" s="25">
        <f t="shared" si="5"/>
        <v>149</v>
      </c>
      <c r="J29" s="26">
        <f t="shared" si="6"/>
        <v>15</v>
      </c>
      <c r="K29" s="30" t="s">
        <v>176</v>
      </c>
      <c r="L29" s="30" t="s">
        <v>177</v>
      </c>
      <c r="M29" s="30" t="s">
        <v>324</v>
      </c>
      <c r="N29" s="30" t="s">
        <v>178</v>
      </c>
      <c r="O29" s="30" t="s">
        <v>205</v>
      </c>
      <c r="P29" s="30" t="s">
        <v>28</v>
      </c>
      <c r="Q29" s="30" t="s">
        <v>29</v>
      </c>
      <c r="R29" s="30" t="s">
        <v>30</v>
      </c>
      <c r="S29" s="30" t="s">
        <v>299</v>
      </c>
      <c r="T29" s="30" t="s">
        <v>290</v>
      </c>
      <c r="U29" s="30" t="s">
        <v>300</v>
      </c>
      <c r="V29" s="30">
        <v>53.488</v>
      </c>
      <c r="W29" s="30">
        <v>53.588000000000001</v>
      </c>
      <c r="X29" s="30">
        <v>53.387999999999998</v>
      </c>
      <c r="Y29" s="30" t="s">
        <v>222</v>
      </c>
      <c r="Z29" s="30" t="s">
        <v>301</v>
      </c>
      <c r="AA29" s="30">
        <v>44.3</v>
      </c>
      <c r="AB29" s="30" t="s">
        <v>45</v>
      </c>
      <c r="AC29" s="30" t="s">
        <v>45</v>
      </c>
      <c r="AD29" s="30" t="s">
        <v>45</v>
      </c>
      <c r="AE29" s="30">
        <v>3</v>
      </c>
      <c r="AF29" s="30">
        <v>9</v>
      </c>
      <c r="AG29" s="30" t="s">
        <v>31</v>
      </c>
      <c r="AH29" s="30" t="s">
        <v>224</v>
      </c>
      <c r="AI29" s="30" t="s">
        <v>45</v>
      </c>
      <c r="AJ29" s="30" t="s">
        <v>45</v>
      </c>
      <c r="AK29" s="30" t="s">
        <v>225</v>
      </c>
      <c r="AL29" s="30">
        <v>10.21592592592593</v>
      </c>
      <c r="AM29" s="30" t="s">
        <v>45</v>
      </c>
      <c r="AN29" s="30">
        <v>0.35513721828515948</v>
      </c>
      <c r="AO29" s="30" t="s">
        <v>32</v>
      </c>
      <c r="AP29" s="30" t="s">
        <v>235</v>
      </c>
      <c r="AQ29" s="30" t="s">
        <v>236</v>
      </c>
      <c r="AR29" s="30">
        <v>327</v>
      </c>
      <c r="AS29" s="30" t="s">
        <v>34</v>
      </c>
      <c r="AT29" s="30">
        <v>312</v>
      </c>
      <c r="AU29" s="30">
        <v>476</v>
      </c>
      <c r="AV29" s="30" t="s">
        <v>229</v>
      </c>
      <c r="AW29" s="30" t="s">
        <v>42</v>
      </c>
      <c r="AX29" s="30" t="s">
        <v>254</v>
      </c>
    </row>
    <row r="30" spans="1:50" s="23" customFormat="1" x14ac:dyDescent="0.3">
      <c r="A30" s="23" t="s">
        <v>41</v>
      </c>
      <c r="B30" s="23" t="s">
        <v>175</v>
      </c>
      <c r="C30" s="23">
        <v>2009</v>
      </c>
      <c r="D30" s="34" t="str">
        <f t="shared" si="0"/>
        <v>10.2475/09.2009.01</v>
      </c>
      <c r="E30" s="24">
        <f t="shared" si="1"/>
        <v>53433</v>
      </c>
      <c r="F30" s="24">
        <f t="shared" si="2"/>
        <v>100.00000000000142</v>
      </c>
      <c r="G30" s="24">
        <f t="shared" si="3"/>
        <v>100.00000000000142</v>
      </c>
      <c r="H30" s="25">
        <f t="shared" si="4"/>
        <v>443</v>
      </c>
      <c r="I30" s="25">
        <f t="shared" si="5"/>
        <v>301</v>
      </c>
      <c r="J30" s="26">
        <f t="shared" si="6"/>
        <v>120</v>
      </c>
      <c r="K30" s="30" t="s">
        <v>176</v>
      </c>
      <c r="L30" s="30" t="s">
        <v>177</v>
      </c>
      <c r="M30" s="30" t="s">
        <v>324</v>
      </c>
      <c r="N30" s="30" t="s">
        <v>178</v>
      </c>
      <c r="O30" s="30" t="s">
        <v>206</v>
      </c>
      <c r="P30" s="30" t="s">
        <v>28</v>
      </c>
      <c r="Q30" s="30" t="s">
        <v>29</v>
      </c>
      <c r="R30" s="30" t="s">
        <v>30</v>
      </c>
      <c r="S30" s="30" t="s">
        <v>302</v>
      </c>
      <c r="T30" s="30" t="s">
        <v>290</v>
      </c>
      <c r="U30" s="30" t="s">
        <v>303</v>
      </c>
      <c r="V30" s="30">
        <v>53.433</v>
      </c>
      <c r="W30" s="30">
        <v>53.533000000000001</v>
      </c>
      <c r="X30" s="30">
        <v>53.332999999999998</v>
      </c>
      <c r="Y30" s="30" t="s">
        <v>222</v>
      </c>
      <c r="Z30" s="30" t="s">
        <v>304</v>
      </c>
      <c r="AA30" s="30">
        <v>44.35</v>
      </c>
      <c r="AB30" s="30" t="s">
        <v>45</v>
      </c>
      <c r="AC30" s="30" t="s">
        <v>45</v>
      </c>
      <c r="AD30" s="30" t="s">
        <v>45</v>
      </c>
      <c r="AE30" s="30">
        <v>3</v>
      </c>
      <c r="AF30" s="30">
        <v>15</v>
      </c>
      <c r="AG30" s="30" t="s">
        <v>31</v>
      </c>
      <c r="AH30" s="30" t="s">
        <v>224</v>
      </c>
      <c r="AI30" s="30" t="s">
        <v>45</v>
      </c>
      <c r="AJ30" s="30" t="s">
        <v>45</v>
      </c>
      <c r="AK30" s="30" t="s">
        <v>225</v>
      </c>
      <c r="AL30" s="30">
        <v>9.3793333333333315</v>
      </c>
      <c r="AM30" s="30" t="s">
        <v>45</v>
      </c>
      <c r="AN30" s="30">
        <v>0.20679766131964439</v>
      </c>
      <c r="AO30" s="30" t="s">
        <v>32</v>
      </c>
      <c r="AP30" s="30" t="s">
        <v>235</v>
      </c>
      <c r="AQ30" s="30" t="s">
        <v>236</v>
      </c>
      <c r="AR30" s="30">
        <v>443</v>
      </c>
      <c r="AS30" s="30" t="s">
        <v>34</v>
      </c>
      <c r="AT30" s="30">
        <v>323</v>
      </c>
      <c r="AU30" s="30">
        <v>744</v>
      </c>
      <c r="AV30" s="30" t="s">
        <v>229</v>
      </c>
      <c r="AW30" s="30" t="s">
        <v>42</v>
      </c>
      <c r="AX30" s="30" t="s">
        <v>254</v>
      </c>
    </row>
    <row r="31" spans="1:50" s="23" customFormat="1" x14ac:dyDescent="0.3">
      <c r="A31" s="23" t="s">
        <v>41</v>
      </c>
      <c r="B31" s="23" t="s">
        <v>175</v>
      </c>
      <c r="C31" s="23">
        <v>2009</v>
      </c>
      <c r="D31" s="34" t="str">
        <f t="shared" si="0"/>
        <v>10.2475/09.2009.01</v>
      </c>
      <c r="E31" s="24">
        <f t="shared" si="1"/>
        <v>16500</v>
      </c>
      <c r="F31" s="24">
        <f t="shared" si="2"/>
        <v>1500</v>
      </c>
      <c r="G31" s="24">
        <f t="shared" si="3"/>
        <v>1500</v>
      </c>
      <c r="H31" s="25">
        <f t="shared" si="4"/>
        <v>538</v>
      </c>
      <c r="I31" s="25">
        <f t="shared" si="5"/>
        <v>243</v>
      </c>
      <c r="J31" s="26">
        <f t="shared" si="6"/>
        <v>188</v>
      </c>
      <c r="K31" s="30" t="s">
        <v>176</v>
      </c>
      <c r="L31" s="30" t="s">
        <v>177</v>
      </c>
      <c r="M31" s="30" t="s">
        <v>324</v>
      </c>
      <c r="N31" s="30" t="s">
        <v>178</v>
      </c>
      <c r="O31" s="30" t="s">
        <v>207</v>
      </c>
      <c r="P31" s="30" t="s">
        <v>28</v>
      </c>
      <c r="Q31" s="30" t="s">
        <v>29</v>
      </c>
      <c r="R31" s="30" t="s">
        <v>30</v>
      </c>
      <c r="S31" s="30" t="s">
        <v>305</v>
      </c>
      <c r="T31" s="30" t="s">
        <v>306</v>
      </c>
      <c r="U31" s="30" t="s">
        <v>45</v>
      </c>
      <c r="V31" s="30">
        <v>16.5</v>
      </c>
      <c r="W31" s="30">
        <v>18</v>
      </c>
      <c r="X31" s="30">
        <v>15</v>
      </c>
      <c r="Y31" s="30" t="s">
        <v>45</v>
      </c>
      <c r="Z31" s="30" t="s">
        <v>307</v>
      </c>
      <c r="AA31" s="30">
        <v>46.52</v>
      </c>
      <c r="AB31" s="30">
        <v>-116.75</v>
      </c>
      <c r="AC31" s="30" t="s">
        <v>45</v>
      </c>
      <c r="AD31" s="30" t="s">
        <v>45</v>
      </c>
      <c r="AE31" s="30">
        <v>3</v>
      </c>
      <c r="AF31" s="30">
        <v>14</v>
      </c>
      <c r="AG31" s="30" t="s">
        <v>31</v>
      </c>
      <c r="AH31" s="30" t="s">
        <v>224</v>
      </c>
      <c r="AI31" s="30" t="s">
        <v>45</v>
      </c>
      <c r="AJ31" s="30" t="s">
        <v>45</v>
      </c>
      <c r="AK31" s="30" t="s">
        <v>225</v>
      </c>
      <c r="AL31" s="30">
        <v>8.139999999999997</v>
      </c>
      <c r="AM31" s="30" t="s">
        <v>45</v>
      </c>
      <c r="AN31" s="30">
        <v>0.25507531169078151</v>
      </c>
      <c r="AO31" s="30" t="s">
        <v>32</v>
      </c>
      <c r="AP31" s="30" t="s">
        <v>235</v>
      </c>
      <c r="AQ31" s="30" t="s">
        <v>236</v>
      </c>
      <c r="AR31" s="30">
        <v>538</v>
      </c>
      <c r="AS31" s="30" t="s">
        <v>34</v>
      </c>
      <c r="AT31" s="30">
        <v>350</v>
      </c>
      <c r="AU31" s="30">
        <v>781</v>
      </c>
      <c r="AV31" s="30" t="s">
        <v>229</v>
      </c>
      <c r="AW31" s="30" t="s">
        <v>42</v>
      </c>
      <c r="AX31" s="30" t="s">
        <v>254</v>
      </c>
    </row>
    <row r="32" spans="1:50" s="23" customFormat="1" x14ac:dyDescent="0.3">
      <c r="A32" s="23" t="s">
        <v>41</v>
      </c>
      <c r="B32" s="23" t="s">
        <v>175</v>
      </c>
      <c r="C32" s="23">
        <v>2009</v>
      </c>
      <c r="D32" s="34" t="str">
        <f t="shared" si="0"/>
        <v>10.2475/09.2009.01</v>
      </c>
      <c r="E32" s="24">
        <f t="shared" si="1"/>
        <v>15250</v>
      </c>
      <c r="F32" s="24">
        <f t="shared" si="2"/>
        <v>1500</v>
      </c>
      <c r="G32" s="24">
        <f t="shared" si="3"/>
        <v>1500</v>
      </c>
      <c r="H32" s="25">
        <f t="shared" si="4"/>
        <v>313</v>
      </c>
      <c r="I32" s="25">
        <f t="shared" si="5"/>
        <v>279</v>
      </c>
      <c r="J32" s="26">
        <f t="shared" si="6"/>
        <v>7</v>
      </c>
      <c r="K32" s="30" t="s">
        <v>176</v>
      </c>
      <c r="L32" s="30" t="s">
        <v>177</v>
      </c>
      <c r="M32" s="30" t="s">
        <v>324</v>
      </c>
      <c r="N32" s="30" t="s">
        <v>178</v>
      </c>
      <c r="O32" s="30" t="s">
        <v>208</v>
      </c>
      <c r="P32" s="30" t="s">
        <v>209</v>
      </c>
      <c r="Q32" s="30" t="s">
        <v>210</v>
      </c>
      <c r="R32" s="30" t="s">
        <v>211</v>
      </c>
      <c r="S32" s="30" t="s">
        <v>308</v>
      </c>
      <c r="T32" s="30" t="s">
        <v>306</v>
      </c>
      <c r="U32" s="30" t="s">
        <v>45</v>
      </c>
      <c r="V32" s="30">
        <v>15.25</v>
      </c>
      <c r="W32" s="30">
        <v>16.75</v>
      </c>
      <c r="X32" s="30">
        <v>13.75</v>
      </c>
      <c r="Y32" s="30" t="s">
        <v>45</v>
      </c>
      <c r="Z32" s="30" t="s">
        <v>307</v>
      </c>
      <c r="AA32" s="30">
        <v>46.99</v>
      </c>
      <c r="AB32" s="30">
        <v>-116.27</v>
      </c>
      <c r="AC32" s="30" t="s">
        <v>45</v>
      </c>
      <c r="AD32" s="30" t="s">
        <v>45</v>
      </c>
      <c r="AE32" s="30">
        <v>3</v>
      </c>
      <c r="AF32" s="30">
        <v>6</v>
      </c>
      <c r="AG32" s="30" t="s">
        <v>31</v>
      </c>
      <c r="AH32" s="30" t="s">
        <v>224</v>
      </c>
      <c r="AI32" s="30" t="s">
        <v>45</v>
      </c>
      <c r="AJ32" s="30" t="s">
        <v>45</v>
      </c>
      <c r="AK32" s="30" t="s">
        <v>225</v>
      </c>
      <c r="AL32" s="30">
        <v>11.592777777777776</v>
      </c>
      <c r="AM32" s="30" t="s">
        <v>45</v>
      </c>
      <c r="AN32" s="30">
        <v>0.53619905134003409</v>
      </c>
      <c r="AO32" s="30" t="s">
        <v>309</v>
      </c>
      <c r="AP32" s="30" t="s">
        <v>235</v>
      </c>
      <c r="AQ32" s="30" t="s">
        <v>236</v>
      </c>
      <c r="AR32" s="30">
        <v>313</v>
      </c>
      <c r="AS32" s="30" t="s">
        <v>34</v>
      </c>
      <c r="AT32" s="30">
        <v>306</v>
      </c>
      <c r="AU32" s="30">
        <v>592</v>
      </c>
      <c r="AV32" s="30" t="s">
        <v>229</v>
      </c>
      <c r="AW32" s="30" t="s">
        <v>42</v>
      </c>
      <c r="AX32" s="30" t="s">
        <v>254</v>
      </c>
    </row>
    <row r="33" spans="1:50" s="23" customFormat="1" x14ac:dyDescent="0.3">
      <c r="A33" s="23" t="s">
        <v>41</v>
      </c>
      <c r="B33" s="23" t="s">
        <v>175</v>
      </c>
      <c r="C33" s="23">
        <v>2009</v>
      </c>
      <c r="D33" s="34" t="str">
        <f t="shared" si="0"/>
        <v>10.2475/09.2009.01</v>
      </c>
      <c r="E33" s="24">
        <f t="shared" si="1"/>
        <v>15250</v>
      </c>
      <c r="F33" s="24">
        <f t="shared" si="2"/>
        <v>1500</v>
      </c>
      <c r="G33" s="24">
        <f t="shared" si="3"/>
        <v>1500</v>
      </c>
      <c r="H33" s="25">
        <f t="shared" si="4"/>
        <v>339</v>
      </c>
      <c r="I33" s="25">
        <f t="shared" si="5"/>
        <v>366</v>
      </c>
      <c r="J33" s="26">
        <f t="shared" si="6"/>
        <v>30</v>
      </c>
      <c r="K33" s="30" t="s">
        <v>176</v>
      </c>
      <c r="L33" s="30" t="s">
        <v>177</v>
      </c>
      <c r="M33" s="30" t="s">
        <v>324</v>
      </c>
      <c r="N33" s="30" t="s">
        <v>178</v>
      </c>
      <c r="O33" s="30" t="s">
        <v>212</v>
      </c>
      <c r="P33" s="30" t="s">
        <v>209</v>
      </c>
      <c r="Q33" s="30" t="s">
        <v>210</v>
      </c>
      <c r="R33" s="30" t="s">
        <v>211</v>
      </c>
      <c r="S33" s="30" t="s">
        <v>310</v>
      </c>
      <c r="T33" s="30" t="s">
        <v>306</v>
      </c>
      <c r="U33" s="30" t="s">
        <v>45</v>
      </c>
      <c r="V33" s="30">
        <v>15.25</v>
      </c>
      <c r="W33" s="30">
        <v>16.75</v>
      </c>
      <c r="X33" s="30">
        <v>13.75</v>
      </c>
      <c r="Y33" s="30" t="s">
        <v>45</v>
      </c>
      <c r="Z33" s="30" t="s">
        <v>307</v>
      </c>
      <c r="AA33" s="30">
        <v>46.99</v>
      </c>
      <c r="AB33" s="30">
        <v>-116.27</v>
      </c>
      <c r="AC33" s="30" t="s">
        <v>45</v>
      </c>
      <c r="AD33" s="30" t="s">
        <v>45</v>
      </c>
      <c r="AE33" s="30">
        <v>3</v>
      </c>
      <c r="AF33" s="30">
        <v>10</v>
      </c>
      <c r="AG33" s="30" t="s">
        <v>31</v>
      </c>
      <c r="AH33" s="30" t="s">
        <v>224</v>
      </c>
      <c r="AI33" s="30" t="s">
        <v>45</v>
      </c>
      <c r="AJ33" s="30" t="s">
        <v>45</v>
      </c>
      <c r="AK33" s="30" t="s">
        <v>225</v>
      </c>
      <c r="AL33" s="30">
        <v>10.937333333333333</v>
      </c>
      <c r="AM33" s="30" t="s">
        <v>45</v>
      </c>
      <c r="AN33" s="30">
        <v>0.57857192402014235</v>
      </c>
      <c r="AO33" s="30" t="s">
        <v>309</v>
      </c>
      <c r="AP33" s="30" t="s">
        <v>235</v>
      </c>
      <c r="AQ33" s="30" t="s">
        <v>236</v>
      </c>
      <c r="AR33" s="30">
        <v>339</v>
      </c>
      <c r="AS33" s="30" t="s">
        <v>34</v>
      </c>
      <c r="AT33" s="30">
        <v>309</v>
      </c>
      <c r="AU33" s="30">
        <v>705</v>
      </c>
      <c r="AV33" s="30" t="s">
        <v>229</v>
      </c>
      <c r="AW33" s="30" t="s">
        <v>42</v>
      </c>
      <c r="AX33" s="30" t="s">
        <v>254</v>
      </c>
    </row>
    <row r="34" spans="1:50" s="23" customFormat="1" x14ac:dyDescent="0.3">
      <c r="A34" s="23" t="s">
        <v>41</v>
      </c>
      <c r="B34" s="23" t="s">
        <v>175</v>
      </c>
      <c r="C34" s="23">
        <v>2009</v>
      </c>
      <c r="D34" s="34" t="str">
        <f t="shared" si="0"/>
        <v>10.2475/09.2009.01</v>
      </c>
      <c r="E34" s="24">
        <f t="shared" si="1"/>
        <v>15150</v>
      </c>
      <c r="F34" s="24">
        <f t="shared" si="2"/>
        <v>1499.9999999999982</v>
      </c>
      <c r="G34" s="24">
        <f t="shared" si="3"/>
        <v>1500</v>
      </c>
      <c r="H34" s="25">
        <f t="shared" si="4"/>
        <v>339</v>
      </c>
      <c r="I34" s="25">
        <f t="shared" si="5"/>
        <v>366</v>
      </c>
      <c r="J34" s="26">
        <f t="shared" si="6"/>
        <v>30</v>
      </c>
      <c r="K34" s="30" t="s">
        <v>176</v>
      </c>
      <c r="L34" s="30" t="s">
        <v>177</v>
      </c>
      <c r="M34" s="30" t="s">
        <v>324</v>
      </c>
      <c r="N34" s="30" t="s">
        <v>178</v>
      </c>
      <c r="O34" s="30" t="s">
        <v>213</v>
      </c>
      <c r="P34" s="30" t="s">
        <v>209</v>
      </c>
      <c r="Q34" s="30" t="s">
        <v>210</v>
      </c>
      <c r="R34" s="30" t="s">
        <v>211</v>
      </c>
      <c r="S34" s="30" t="s">
        <v>311</v>
      </c>
      <c r="T34" s="30" t="s">
        <v>306</v>
      </c>
      <c r="U34" s="30" t="s">
        <v>45</v>
      </c>
      <c r="V34" s="30">
        <v>15.15</v>
      </c>
      <c r="W34" s="30">
        <v>16.649999999999999</v>
      </c>
      <c r="X34" s="30">
        <v>13.65</v>
      </c>
      <c r="Y34" s="30" t="s">
        <v>45</v>
      </c>
      <c r="Z34" s="30" t="s">
        <v>307</v>
      </c>
      <c r="AA34" s="30">
        <v>47.03</v>
      </c>
      <c r="AB34" s="30">
        <v>-116.34</v>
      </c>
      <c r="AC34" s="30" t="s">
        <v>45</v>
      </c>
      <c r="AD34" s="30" t="s">
        <v>45</v>
      </c>
      <c r="AE34" s="30">
        <v>3</v>
      </c>
      <c r="AF34" s="30">
        <v>10</v>
      </c>
      <c r="AG34" s="30" t="s">
        <v>31</v>
      </c>
      <c r="AH34" s="30" t="s">
        <v>224</v>
      </c>
      <c r="AI34" s="30" t="s">
        <v>45</v>
      </c>
      <c r="AJ34" s="30" t="s">
        <v>45</v>
      </c>
      <c r="AK34" s="30" t="s">
        <v>225</v>
      </c>
      <c r="AL34" s="30">
        <v>10.953333333333331</v>
      </c>
      <c r="AM34" s="30" t="s">
        <v>45</v>
      </c>
      <c r="AN34" s="30">
        <v>0.51228718598023137</v>
      </c>
      <c r="AO34" s="30" t="s">
        <v>309</v>
      </c>
      <c r="AP34" s="30" t="s">
        <v>235</v>
      </c>
      <c r="AQ34" s="30" t="s">
        <v>236</v>
      </c>
      <c r="AR34" s="30">
        <v>339</v>
      </c>
      <c r="AS34" s="30" t="s">
        <v>34</v>
      </c>
      <c r="AT34" s="30">
        <v>309</v>
      </c>
      <c r="AU34" s="30">
        <v>705</v>
      </c>
      <c r="AV34" s="30" t="s">
        <v>229</v>
      </c>
      <c r="AW34" s="30" t="s">
        <v>42</v>
      </c>
      <c r="AX34" s="30" t="s">
        <v>254</v>
      </c>
    </row>
    <row r="35" spans="1:50" s="23" customFormat="1" x14ac:dyDescent="0.3">
      <c r="A35" s="23" t="s">
        <v>41</v>
      </c>
      <c r="B35" s="23" t="s">
        <v>175</v>
      </c>
      <c r="C35" s="23">
        <v>2009</v>
      </c>
      <c r="D35" s="34" t="str">
        <f t="shared" si="0"/>
        <v>10.2475/09.2009.01</v>
      </c>
      <c r="E35" s="24">
        <f t="shared" si="1"/>
        <v>13900</v>
      </c>
      <c r="F35" s="24">
        <f t="shared" si="2"/>
        <v>400.00000000000034</v>
      </c>
      <c r="G35" s="24">
        <f t="shared" si="3"/>
        <v>400.00000000000034</v>
      </c>
      <c r="H35" s="25">
        <f t="shared" si="4"/>
        <v>288</v>
      </c>
      <c r="I35" s="25">
        <f t="shared" si="5"/>
        <v>23</v>
      </c>
      <c r="J35" s="26">
        <f t="shared" si="6"/>
        <v>36</v>
      </c>
      <c r="K35" s="30" t="s">
        <v>214</v>
      </c>
      <c r="L35" s="30" t="s">
        <v>177</v>
      </c>
      <c r="M35" s="30" t="s">
        <v>324</v>
      </c>
      <c r="N35" s="30" t="s">
        <v>178</v>
      </c>
      <c r="O35" s="30" t="s">
        <v>215</v>
      </c>
      <c r="P35" s="30" t="s">
        <v>28</v>
      </c>
      <c r="Q35" s="30" t="s">
        <v>29</v>
      </c>
      <c r="R35" s="30" t="s">
        <v>216</v>
      </c>
      <c r="S35" s="30" t="s">
        <v>312</v>
      </c>
      <c r="T35" s="30" t="s">
        <v>313</v>
      </c>
      <c r="U35" s="30" t="s">
        <v>45</v>
      </c>
      <c r="V35" s="30">
        <v>13.9</v>
      </c>
      <c r="W35" s="30">
        <v>14.3</v>
      </c>
      <c r="X35" s="30">
        <v>13.5</v>
      </c>
      <c r="Y35" s="30" t="s">
        <v>314</v>
      </c>
      <c r="Z35" s="30" t="s">
        <v>315</v>
      </c>
      <c r="AA35" s="30" t="s">
        <v>45</v>
      </c>
      <c r="AB35" s="30" t="s">
        <v>45</v>
      </c>
      <c r="AC35" s="30" t="s">
        <v>45</v>
      </c>
      <c r="AD35" s="30" t="s">
        <v>45</v>
      </c>
      <c r="AE35" s="30" t="s">
        <v>316</v>
      </c>
      <c r="AF35" s="30">
        <v>1</v>
      </c>
      <c r="AG35" s="30" t="s">
        <v>45</v>
      </c>
      <c r="AH35" s="30" t="s">
        <v>45</v>
      </c>
      <c r="AI35" s="30" t="s">
        <v>45</v>
      </c>
      <c r="AJ35" s="30" t="s">
        <v>45</v>
      </c>
      <c r="AK35" s="30" t="s">
        <v>45</v>
      </c>
      <c r="AL35" s="30">
        <v>14.64</v>
      </c>
      <c r="AM35" s="30" t="s">
        <v>45</v>
      </c>
      <c r="AN35" s="30">
        <v>1.43</v>
      </c>
      <c r="AO35" s="30" t="s">
        <v>32</v>
      </c>
      <c r="AP35" s="30" t="s">
        <v>235</v>
      </c>
      <c r="AQ35" s="30" t="s">
        <v>236</v>
      </c>
      <c r="AR35" s="30">
        <v>288</v>
      </c>
      <c r="AS35" s="30" t="s">
        <v>34</v>
      </c>
      <c r="AT35" s="30">
        <v>252</v>
      </c>
      <c r="AU35" s="30">
        <v>311</v>
      </c>
      <c r="AV35" s="30" t="s">
        <v>229</v>
      </c>
      <c r="AW35" s="30" t="s">
        <v>42</v>
      </c>
      <c r="AX35" s="30" t="s">
        <v>317</v>
      </c>
    </row>
    <row r="36" spans="1:50" s="23" customFormat="1" x14ac:dyDescent="0.3">
      <c r="A36" s="23" t="s">
        <v>41</v>
      </c>
      <c r="B36" s="23" t="s">
        <v>175</v>
      </c>
      <c r="C36" s="23">
        <v>2009</v>
      </c>
      <c r="D36" s="34" t="str">
        <f t="shared" si="0"/>
        <v>10.2475/09.2009.01</v>
      </c>
      <c r="E36" s="24">
        <f t="shared" si="1"/>
        <v>15700</v>
      </c>
      <c r="F36" s="24">
        <f t="shared" si="2"/>
        <v>699.99999999999932</v>
      </c>
      <c r="G36" s="24">
        <f t="shared" si="3"/>
        <v>699.99999999999932</v>
      </c>
      <c r="H36" s="25">
        <f t="shared" si="4"/>
        <v>552.5</v>
      </c>
      <c r="I36" s="25">
        <f t="shared" si="5"/>
        <v>234.5</v>
      </c>
      <c r="J36" s="26">
        <f t="shared" si="6"/>
        <v>189.5</v>
      </c>
      <c r="K36" s="30" t="s">
        <v>214</v>
      </c>
      <c r="L36" s="30" t="s">
        <v>177</v>
      </c>
      <c r="M36" s="30" t="s">
        <v>324</v>
      </c>
      <c r="N36" s="30" t="s">
        <v>178</v>
      </c>
      <c r="O36" s="30" t="s">
        <v>217</v>
      </c>
      <c r="P36" s="30" t="s">
        <v>28</v>
      </c>
      <c r="Q36" s="30" t="s">
        <v>29</v>
      </c>
      <c r="R36" s="30" t="s">
        <v>216</v>
      </c>
      <c r="S36" s="30" t="s">
        <v>312</v>
      </c>
      <c r="T36" s="30" t="s">
        <v>318</v>
      </c>
      <c r="U36" s="30" t="s">
        <v>45</v>
      </c>
      <c r="V36" s="30">
        <v>15.7</v>
      </c>
      <c r="W36" s="30">
        <v>16.399999999999999</v>
      </c>
      <c r="X36" s="30">
        <v>15</v>
      </c>
      <c r="Y36" s="30" t="s">
        <v>319</v>
      </c>
      <c r="Z36" s="30" t="s">
        <v>315</v>
      </c>
      <c r="AA36" s="30" t="s">
        <v>45</v>
      </c>
      <c r="AB36" s="30" t="s">
        <v>45</v>
      </c>
      <c r="AC36" s="30" t="s">
        <v>45</v>
      </c>
      <c r="AD36" s="30" t="s">
        <v>45</v>
      </c>
      <c r="AE36" s="30" t="s">
        <v>316</v>
      </c>
      <c r="AF36" s="30">
        <v>2</v>
      </c>
      <c r="AG36" s="30" t="s">
        <v>45</v>
      </c>
      <c r="AH36" s="30" t="s">
        <v>45</v>
      </c>
      <c r="AI36" s="30" t="s">
        <v>45</v>
      </c>
      <c r="AJ36" s="30" t="s">
        <v>45</v>
      </c>
      <c r="AK36" s="30" t="s">
        <v>45</v>
      </c>
      <c r="AL36" s="30">
        <v>7.77</v>
      </c>
      <c r="AM36" s="30" t="s">
        <v>45</v>
      </c>
      <c r="AN36" s="30">
        <v>0.60499999999999998</v>
      </c>
      <c r="AO36" s="30" t="s">
        <v>32</v>
      </c>
      <c r="AP36" s="30" t="s">
        <v>235</v>
      </c>
      <c r="AQ36" s="30" t="s">
        <v>236</v>
      </c>
      <c r="AR36" s="30">
        <v>552.5</v>
      </c>
      <c r="AS36" s="30" t="s">
        <v>34</v>
      </c>
      <c r="AT36" s="30">
        <v>363</v>
      </c>
      <c r="AU36" s="30">
        <v>787</v>
      </c>
      <c r="AV36" s="30" t="s">
        <v>229</v>
      </c>
      <c r="AW36" s="30" t="s">
        <v>42</v>
      </c>
      <c r="AX36" s="30" t="s">
        <v>317</v>
      </c>
    </row>
    <row r="37" spans="1:50" s="23" customFormat="1" x14ac:dyDescent="0.3">
      <c r="A37" s="23" t="s">
        <v>41</v>
      </c>
      <c r="B37" s="23" t="s">
        <v>175</v>
      </c>
      <c r="C37" s="23">
        <v>2009</v>
      </c>
      <c r="D37" s="34" t="str">
        <f t="shared" si="0"/>
        <v>10.2475/09.2009.01</v>
      </c>
      <c r="E37" s="24">
        <f t="shared" si="1"/>
        <v>15800</v>
      </c>
      <c r="F37" s="24">
        <f t="shared" si="2"/>
        <v>199.99999999999929</v>
      </c>
      <c r="G37" s="24">
        <f t="shared" si="3"/>
        <v>200.00000000000108</v>
      </c>
      <c r="H37" s="25">
        <f t="shared" si="4"/>
        <v>564</v>
      </c>
      <c r="I37" s="25">
        <f t="shared" si="5"/>
        <v>229</v>
      </c>
      <c r="J37" s="26">
        <f t="shared" si="6"/>
        <v>214</v>
      </c>
      <c r="K37" s="30" t="s">
        <v>214</v>
      </c>
      <c r="L37" s="30" t="s">
        <v>177</v>
      </c>
      <c r="M37" s="30" t="s">
        <v>324</v>
      </c>
      <c r="N37" s="30" t="s">
        <v>178</v>
      </c>
      <c r="O37" s="30" t="s">
        <v>218</v>
      </c>
      <c r="P37" s="30" t="s">
        <v>28</v>
      </c>
      <c r="Q37" s="30" t="s">
        <v>29</v>
      </c>
      <c r="R37" s="30" t="s">
        <v>216</v>
      </c>
      <c r="S37" s="30" t="s">
        <v>312</v>
      </c>
      <c r="T37" s="30" t="s">
        <v>320</v>
      </c>
      <c r="U37" s="30" t="s">
        <v>45</v>
      </c>
      <c r="V37" s="30">
        <v>15.8</v>
      </c>
      <c r="W37" s="30">
        <v>16</v>
      </c>
      <c r="X37" s="30">
        <v>15.6</v>
      </c>
      <c r="Y37" s="30" t="s">
        <v>321</v>
      </c>
      <c r="Z37" s="30" t="s">
        <v>315</v>
      </c>
      <c r="AA37" s="30" t="s">
        <v>45</v>
      </c>
      <c r="AB37" s="30" t="s">
        <v>45</v>
      </c>
      <c r="AC37" s="30" t="s">
        <v>45</v>
      </c>
      <c r="AD37" s="30" t="s">
        <v>45</v>
      </c>
      <c r="AE37" s="30" t="s">
        <v>316</v>
      </c>
      <c r="AF37" s="30">
        <v>1</v>
      </c>
      <c r="AG37" s="30" t="s">
        <v>45</v>
      </c>
      <c r="AH37" s="30" t="s">
        <v>45</v>
      </c>
      <c r="AI37" s="30" t="s">
        <v>45</v>
      </c>
      <c r="AJ37" s="30" t="s">
        <v>45</v>
      </c>
      <c r="AK37" s="30" t="s">
        <v>45</v>
      </c>
      <c r="AL37" s="30">
        <v>7.6</v>
      </c>
      <c r="AM37" s="30" t="s">
        <v>45</v>
      </c>
      <c r="AN37" s="30">
        <v>1.3</v>
      </c>
      <c r="AO37" s="30" t="s">
        <v>32</v>
      </c>
      <c r="AP37" s="30" t="s">
        <v>235</v>
      </c>
      <c r="AQ37" s="30" t="s">
        <v>236</v>
      </c>
      <c r="AR37" s="30">
        <v>564</v>
      </c>
      <c r="AS37" s="30" t="s">
        <v>34</v>
      </c>
      <c r="AT37" s="30">
        <v>350</v>
      </c>
      <c r="AU37" s="30">
        <v>793</v>
      </c>
      <c r="AV37" s="30" t="s">
        <v>229</v>
      </c>
      <c r="AW37" s="30" t="s">
        <v>42</v>
      </c>
      <c r="AX37" s="30" t="s">
        <v>317</v>
      </c>
    </row>
    <row r="38" spans="1:50" s="23" customFormat="1" x14ac:dyDescent="0.3">
      <c r="D38" s="34"/>
      <c r="E38" s="24"/>
      <c r="F38" s="24"/>
      <c r="G38" s="24"/>
      <c r="H38" s="24"/>
      <c r="I38" s="24"/>
      <c r="J38" s="27"/>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row>
    <row r="39" spans="1:50" s="23" customFormat="1" x14ac:dyDescent="0.3">
      <c r="D39" s="34"/>
      <c r="E39" s="24"/>
      <c r="F39" s="24"/>
      <c r="G39" s="24"/>
      <c r="H39" s="24"/>
      <c r="I39" s="24"/>
      <c r="J39" s="27"/>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row>
    <row r="40" spans="1:50" s="23" customFormat="1" x14ac:dyDescent="0.3">
      <c r="D40" s="34"/>
      <c r="E40" s="24"/>
      <c r="F40" s="24"/>
      <c r="G40" s="24"/>
      <c r="H40" s="24"/>
      <c r="I40" s="24"/>
      <c r="J40" s="27"/>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row>
    <row r="41" spans="1:50" s="23" customFormat="1" x14ac:dyDescent="0.3">
      <c r="D41" s="34"/>
      <c r="E41" s="24"/>
      <c r="F41" s="24"/>
      <c r="G41" s="24"/>
      <c r="H41" s="24"/>
      <c r="I41" s="24"/>
      <c r="J41" s="27"/>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row>
    <row r="42" spans="1:50" s="23" customFormat="1" x14ac:dyDescent="0.3">
      <c r="D42" s="34"/>
      <c r="E42" s="24"/>
      <c r="F42" s="24"/>
      <c r="G42" s="24"/>
      <c r="H42" s="24"/>
      <c r="I42" s="24"/>
      <c r="J42" s="27"/>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row>
    <row r="43" spans="1:50" s="23" customFormat="1" x14ac:dyDescent="0.3">
      <c r="D43" s="34"/>
      <c r="E43" s="24"/>
      <c r="F43" s="24"/>
      <c r="G43" s="24"/>
      <c r="H43" s="24"/>
      <c r="I43" s="24"/>
      <c r="J43" s="27"/>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row>
    <row r="44" spans="1:50" s="23" customFormat="1" x14ac:dyDescent="0.3">
      <c r="D44" s="34"/>
      <c r="E44" s="24"/>
      <c r="F44" s="24"/>
      <c r="G44" s="24"/>
      <c r="H44" s="24"/>
      <c r="I44" s="24"/>
      <c r="J44" s="27"/>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row>
    <row r="45" spans="1:50" s="23" customFormat="1" x14ac:dyDescent="0.3">
      <c r="D45" s="34"/>
      <c r="E45" s="24"/>
      <c r="F45" s="24"/>
      <c r="G45" s="24"/>
      <c r="H45" s="24"/>
      <c r="I45" s="24"/>
      <c r="J45" s="27"/>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row>
    <row r="46" spans="1:50" s="23" customFormat="1" x14ac:dyDescent="0.3">
      <c r="D46" s="34"/>
      <c r="E46" s="24"/>
      <c r="F46" s="24"/>
      <c r="G46" s="24"/>
      <c r="H46" s="24"/>
      <c r="I46" s="24"/>
      <c r="J46" s="27"/>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row>
    <row r="47" spans="1:50" s="23" customFormat="1" x14ac:dyDescent="0.3">
      <c r="D47" s="34"/>
      <c r="E47" s="24"/>
      <c r="F47" s="24"/>
      <c r="G47" s="24"/>
      <c r="H47" s="24"/>
      <c r="I47" s="24"/>
      <c r="J47" s="27"/>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row>
    <row r="48" spans="1:50" s="23" customFormat="1" x14ac:dyDescent="0.3">
      <c r="D48" s="34"/>
      <c r="E48" s="24"/>
      <c r="F48" s="24"/>
      <c r="G48" s="24"/>
      <c r="H48" s="24"/>
      <c r="I48" s="24"/>
      <c r="J48" s="27"/>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row>
    <row r="49" spans="4:50" s="23" customFormat="1" x14ac:dyDescent="0.3">
      <c r="D49" s="34"/>
      <c r="E49" s="24"/>
      <c r="F49" s="24"/>
      <c r="G49" s="24"/>
      <c r="H49" s="24"/>
      <c r="I49" s="24"/>
      <c r="J49" s="27"/>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row>
    <row r="50" spans="4:50" s="23" customFormat="1" x14ac:dyDescent="0.3">
      <c r="D50" s="34"/>
      <c r="E50" s="24"/>
      <c r="F50" s="24"/>
      <c r="G50" s="24"/>
      <c r="H50" s="24"/>
      <c r="I50" s="24"/>
      <c r="J50" s="27"/>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row>
    <row r="51" spans="4:50" s="23" customFormat="1" x14ac:dyDescent="0.3">
      <c r="D51" s="34"/>
      <c r="E51" s="24"/>
      <c r="F51" s="24"/>
      <c r="G51" s="24"/>
      <c r="H51" s="24"/>
      <c r="I51" s="24"/>
      <c r="J51" s="27"/>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row>
    <row r="52" spans="4:50" s="23" customFormat="1" x14ac:dyDescent="0.3">
      <c r="D52" s="34"/>
      <c r="E52" s="24"/>
      <c r="F52" s="24"/>
      <c r="G52" s="24"/>
      <c r="H52" s="24"/>
      <c r="I52" s="24"/>
      <c r="J52" s="27"/>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row>
    <row r="53" spans="4:50" s="23" customFormat="1" x14ac:dyDescent="0.3">
      <c r="D53" s="34"/>
      <c r="E53" s="24"/>
      <c r="F53" s="24"/>
      <c r="G53" s="24"/>
      <c r="H53" s="24"/>
      <c r="I53" s="24"/>
      <c r="J53" s="27"/>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row>
    <row r="54" spans="4:50" s="23" customFormat="1" x14ac:dyDescent="0.3">
      <c r="D54" s="34"/>
      <c r="E54" s="24"/>
      <c r="F54" s="24"/>
      <c r="G54" s="24"/>
      <c r="H54" s="24"/>
      <c r="I54" s="24"/>
      <c r="J54" s="27"/>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row>
    <row r="55" spans="4:50" s="23" customFormat="1" x14ac:dyDescent="0.3">
      <c r="D55" s="34"/>
      <c r="E55" s="24"/>
      <c r="F55" s="24"/>
      <c r="G55" s="24"/>
      <c r="H55" s="24"/>
      <c r="I55" s="24"/>
      <c r="J55" s="27"/>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row>
    <row r="56" spans="4:50" s="23" customFormat="1" x14ac:dyDescent="0.3">
      <c r="D56" s="34"/>
      <c r="E56" s="24"/>
      <c r="F56" s="24"/>
      <c r="G56" s="24"/>
      <c r="H56" s="24"/>
      <c r="I56" s="24"/>
      <c r="J56" s="27"/>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row>
    <row r="57" spans="4:50" s="23" customFormat="1" x14ac:dyDescent="0.3">
      <c r="D57" s="34"/>
      <c r="E57" s="24"/>
      <c r="F57" s="24"/>
      <c r="G57" s="24"/>
      <c r="H57" s="24"/>
      <c r="I57" s="24"/>
      <c r="J57" s="27"/>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row>
    <row r="58" spans="4:50" s="23" customFormat="1" x14ac:dyDescent="0.3">
      <c r="D58" s="34"/>
      <c r="E58" s="24"/>
      <c r="F58" s="24"/>
      <c r="G58" s="24"/>
      <c r="H58" s="24"/>
      <c r="I58" s="24"/>
      <c r="J58" s="27"/>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row>
    <row r="59" spans="4:50" s="23" customFormat="1" x14ac:dyDescent="0.3">
      <c r="D59" s="34"/>
      <c r="E59" s="24"/>
      <c r="F59" s="24"/>
      <c r="G59" s="24"/>
      <c r="H59" s="24"/>
      <c r="I59" s="24"/>
      <c r="J59" s="27"/>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row>
    <row r="60" spans="4:50" s="23" customFormat="1" x14ac:dyDescent="0.3">
      <c r="D60" s="34"/>
      <c r="E60" s="24"/>
      <c r="F60" s="24"/>
      <c r="G60" s="24"/>
      <c r="H60" s="24"/>
      <c r="I60" s="24"/>
      <c r="J60" s="27"/>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row>
    <row r="61" spans="4:50" s="23" customFormat="1" x14ac:dyDescent="0.3">
      <c r="D61" s="34"/>
      <c r="E61" s="24"/>
      <c r="F61" s="24"/>
      <c r="G61" s="24"/>
      <c r="H61" s="24"/>
      <c r="I61" s="24"/>
      <c r="J61" s="27"/>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row>
    <row r="62" spans="4:50" s="23" customFormat="1" x14ac:dyDescent="0.3">
      <c r="D62" s="34"/>
      <c r="E62" s="24"/>
      <c r="F62" s="24"/>
      <c r="G62" s="24"/>
      <c r="H62" s="24"/>
      <c r="I62" s="24"/>
      <c r="J62" s="27"/>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row>
    <row r="63" spans="4:50" s="23" customFormat="1" x14ac:dyDescent="0.3">
      <c r="D63" s="34"/>
      <c r="E63" s="24"/>
      <c r="F63" s="24"/>
      <c r="G63" s="24"/>
      <c r="H63" s="24"/>
      <c r="I63" s="24"/>
      <c r="J63" s="27"/>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row>
    <row r="64" spans="4:50" s="23" customFormat="1" x14ac:dyDescent="0.3">
      <c r="D64" s="34"/>
      <c r="E64" s="24"/>
      <c r="F64" s="24"/>
      <c r="G64" s="24"/>
      <c r="H64" s="24"/>
      <c r="I64" s="24"/>
      <c r="J64" s="27"/>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row>
    <row r="65" spans="4:50" s="23" customFormat="1" x14ac:dyDescent="0.3">
      <c r="D65" s="34"/>
      <c r="E65" s="24"/>
      <c r="F65" s="24"/>
      <c r="G65" s="24"/>
      <c r="H65" s="24"/>
      <c r="I65" s="24"/>
      <c r="J65" s="27"/>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row>
    <row r="66" spans="4:50" s="23" customFormat="1" x14ac:dyDescent="0.3">
      <c r="D66" s="34"/>
      <c r="E66" s="24"/>
      <c r="F66" s="24"/>
      <c r="G66" s="24"/>
      <c r="H66" s="24"/>
      <c r="I66" s="24"/>
      <c r="J66" s="27"/>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row>
    <row r="67" spans="4:50" s="23" customFormat="1" x14ac:dyDescent="0.3">
      <c r="D67" s="34"/>
      <c r="E67" s="24"/>
      <c r="F67" s="24"/>
      <c r="G67" s="24"/>
      <c r="H67" s="24"/>
      <c r="I67" s="24"/>
      <c r="J67" s="27"/>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row>
    <row r="68" spans="4:50" s="23" customFormat="1" x14ac:dyDescent="0.3">
      <c r="D68" s="34"/>
      <c r="E68" s="24"/>
      <c r="F68" s="24"/>
      <c r="G68" s="24"/>
      <c r="H68" s="24"/>
      <c r="I68" s="24"/>
      <c r="J68" s="27"/>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row>
    <row r="69" spans="4:50" s="23" customFormat="1" x14ac:dyDescent="0.3">
      <c r="D69" s="34"/>
      <c r="E69" s="24"/>
      <c r="F69" s="24"/>
      <c r="G69" s="24"/>
      <c r="H69" s="24"/>
      <c r="I69" s="24"/>
      <c r="J69" s="27"/>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row>
    <row r="70" spans="4:50" s="23" customFormat="1" x14ac:dyDescent="0.3">
      <c r="D70" s="34"/>
      <c r="E70" s="24"/>
      <c r="F70" s="24"/>
      <c r="G70" s="24"/>
      <c r="H70" s="24"/>
      <c r="I70" s="24"/>
      <c r="J70" s="27"/>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row>
    <row r="71" spans="4:50" s="23" customFormat="1" x14ac:dyDescent="0.3">
      <c r="D71" s="34"/>
      <c r="E71" s="24"/>
      <c r="F71" s="24"/>
      <c r="G71" s="24"/>
      <c r="H71" s="24"/>
      <c r="I71" s="24"/>
      <c r="J71" s="27"/>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row>
    <row r="72" spans="4:50" s="23" customFormat="1" x14ac:dyDescent="0.3">
      <c r="D72" s="34"/>
      <c r="E72" s="24"/>
      <c r="F72" s="24"/>
      <c r="G72" s="24"/>
      <c r="H72" s="24"/>
      <c r="I72" s="24"/>
      <c r="J72" s="27"/>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row>
    <row r="73" spans="4:50" s="23" customFormat="1" x14ac:dyDescent="0.3">
      <c r="D73" s="34"/>
      <c r="E73" s="24"/>
      <c r="F73" s="24"/>
      <c r="G73" s="24"/>
      <c r="H73" s="24"/>
      <c r="I73" s="24"/>
      <c r="J73" s="27"/>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row>
    <row r="74" spans="4:50" s="23" customFormat="1" x14ac:dyDescent="0.3">
      <c r="D74" s="34"/>
      <c r="E74" s="24"/>
      <c r="F74" s="24"/>
      <c r="G74" s="24"/>
      <c r="H74" s="24"/>
      <c r="I74" s="24"/>
      <c r="J74" s="27"/>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row>
    <row r="75" spans="4:50" s="23" customFormat="1" x14ac:dyDescent="0.3">
      <c r="D75" s="34"/>
      <c r="E75" s="24"/>
      <c r="F75" s="24"/>
      <c r="G75" s="24"/>
      <c r="H75" s="24"/>
      <c r="I75" s="24"/>
      <c r="J75" s="27"/>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row>
    <row r="76" spans="4:50" s="23" customFormat="1" x14ac:dyDescent="0.3">
      <c r="D76" s="34"/>
      <c r="E76" s="24"/>
      <c r="F76" s="24"/>
      <c r="G76" s="24"/>
      <c r="H76" s="24"/>
      <c r="I76" s="24"/>
      <c r="J76" s="27"/>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row>
    <row r="77" spans="4:50" s="23" customFormat="1" x14ac:dyDescent="0.3">
      <c r="D77" s="34"/>
      <c r="E77" s="24"/>
      <c r="F77" s="24"/>
      <c r="G77" s="24"/>
      <c r="H77" s="24"/>
      <c r="I77" s="24"/>
      <c r="J77" s="27"/>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row>
    <row r="78" spans="4:50" s="23" customFormat="1" x14ac:dyDescent="0.3">
      <c r="D78" s="34"/>
      <c r="E78" s="24"/>
      <c r="F78" s="24"/>
      <c r="G78" s="24"/>
      <c r="H78" s="24"/>
      <c r="I78" s="24"/>
      <c r="J78" s="27"/>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row>
    <row r="79" spans="4:50" s="23" customFormat="1" x14ac:dyDescent="0.3">
      <c r="D79" s="34"/>
      <c r="E79" s="24"/>
      <c r="F79" s="24"/>
      <c r="G79" s="24"/>
      <c r="H79" s="24"/>
      <c r="I79" s="24"/>
      <c r="J79" s="27"/>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row>
    <row r="80" spans="4:50" s="23" customFormat="1" x14ac:dyDescent="0.3">
      <c r="D80" s="34"/>
      <c r="E80" s="24"/>
      <c r="F80" s="24"/>
      <c r="G80" s="24"/>
      <c r="H80" s="24"/>
      <c r="I80" s="24"/>
      <c r="J80" s="27"/>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row>
    <row r="81" spans="4:50" s="23" customFormat="1" x14ac:dyDescent="0.3">
      <c r="D81" s="34"/>
      <c r="E81" s="24"/>
      <c r="F81" s="24"/>
      <c r="G81" s="24"/>
      <c r="H81" s="24"/>
      <c r="I81" s="24"/>
      <c r="J81" s="27"/>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row>
    <row r="82" spans="4:50" s="23" customFormat="1" x14ac:dyDescent="0.3">
      <c r="D82" s="34"/>
      <c r="E82" s="24"/>
      <c r="F82" s="24"/>
      <c r="G82" s="24"/>
      <c r="H82" s="24"/>
      <c r="I82" s="24"/>
      <c r="J82" s="27"/>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row>
    <row r="83" spans="4:50" s="23" customFormat="1" x14ac:dyDescent="0.3">
      <c r="D83" s="34"/>
      <c r="E83" s="24"/>
      <c r="F83" s="24"/>
      <c r="G83" s="24"/>
      <c r="H83" s="24"/>
      <c r="I83" s="24"/>
      <c r="J83" s="27"/>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row>
    <row r="84" spans="4:50" s="23" customFormat="1" x14ac:dyDescent="0.3">
      <c r="D84" s="34"/>
      <c r="E84" s="24"/>
      <c r="F84" s="24"/>
      <c r="G84" s="24"/>
      <c r="H84" s="24"/>
      <c r="I84" s="24"/>
      <c r="J84" s="27"/>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row>
    <row r="85" spans="4:50" s="23" customFormat="1" x14ac:dyDescent="0.3">
      <c r="D85" s="34"/>
      <c r="E85" s="24"/>
      <c r="F85" s="24"/>
      <c r="G85" s="24"/>
      <c r="H85" s="24"/>
      <c r="I85" s="24"/>
      <c r="J85" s="27"/>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row>
    <row r="86" spans="4:50" s="23" customFormat="1" x14ac:dyDescent="0.3">
      <c r="D86" s="34"/>
      <c r="E86" s="24"/>
      <c r="F86" s="24"/>
      <c r="G86" s="24"/>
      <c r="H86" s="24"/>
      <c r="I86" s="24"/>
      <c r="J86" s="27"/>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row>
    <row r="87" spans="4:50" s="23" customFormat="1" x14ac:dyDescent="0.3">
      <c r="D87" s="34"/>
      <c r="E87" s="24"/>
      <c r="F87" s="24"/>
      <c r="G87" s="24"/>
      <c r="H87" s="24"/>
      <c r="I87" s="24"/>
      <c r="J87" s="27"/>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row>
    <row r="88" spans="4:50" s="23" customFormat="1" x14ac:dyDescent="0.3">
      <c r="D88" s="34"/>
      <c r="E88" s="24"/>
      <c r="F88" s="24"/>
      <c r="G88" s="24"/>
      <c r="H88" s="24"/>
      <c r="I88" s="24"/>
      <c r="J88" s="27"/>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row>
    <row r="89" spans="4:50" s="23" customFormat="1" x14ac:dyDescent="0.3">
      <c r="D89" s="34"/>
      <c r="E89" s="24"/>
      <c r="F89" s="24"/>
      <c r="G89" s="24"/>
      <c r="H89" s="24"/>
      <c r="I89" s="24"/>
      <c r="J89" s="27"/>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row>
    <row r="90" spans="4:50" s="23" customFormat="1" x14ac:dyDescent="0.3">
      <c r="D90" s="34"/>
      <c r="E90" s="24"/>
      <c r="F90" s="24"/>
      <c r="G90" s="24"/>
      <c r="H90" s="24"/>
      <c r="I90" s="24"/>
      <c r="J90" s="27"/>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row>
    <row r="91" spans="4:50" s="23" customFormat="1" x14ac:dyDescent="0.3">
      <c r="D91" s="34"/>
      <c r="E91" s="24"/>
      <c r="F91" s="24"/>
      <c r="G91" s="24"/>
      <c r="H91" s="24"/>
      <c r="I91" s="24"/>
      <c r="J91" s="27"/>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row>
    <row r="92" spans="4:50" s="23" customFormat="1" x14ac:dyDescent="0.3">
      <c r="D92" s="34"/>
      <c r="E92" s="24"/>
      <c r="F92" s="24"/>
      <c r="G92" s="24"/>
      <c r="H92" s="24"/>
      <c r="I92" s="24"/>
      <c r="J92" s="27"/>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row>
    <row r="93" spans="4:50" s="23" customFormat="1" x14ac:dyDescent="0.3">
      <c r="D93" s="34"/>
      <c r="E93" s="24"/>
      <c r="F93" s="24"/>
      <c r="G93" s="24"/>
      <c r="H93" s="24"/>
      <c r="I93" s="24"/>
      <c r="J93" s="27"/>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row>
    <row r="94" spans="4:50" s="23" customFormat="1" x14ac:dyDescent="0.3">
      <c r="D94" s="34"/>
      <c r="E94" s="24"/>
      <c r="F94" s="24"/>
      <c r="G94" s="24"/>
      <c r="H94" s="24"/>
      <c r="I94" s="24"/>
      <c r="J94" s="27"/>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row>
    <row r="95" spans="4:50" s="23" customFormat="1" x14ac:dyDescent="0.3">
      <c r="D95" s="34"/>
      <c r="E95" s="24"/>
      <c r="F95" s="24"/>
      <c r="G95" s="24"/>
      <c r="H95" s="24"/>
      <c r="I95" s="24"/>
      <c r="J95" s="27"/>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row>
    <row r="96" spans="4:50" s="23" customFormat="1" x14ac:dyDescent="0.3">
      <c r="D96" s="34"/>
      <c r="E96" s="24"/>
      <c r="F96" s="24"/>
      <c r="G96" s="24"/>
      <c r="H96" s="24"/>
      <c r="I96" s="24"/>
      <c r="J96" s="27"/>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row>
    <row r="97" spans="4:50" s="23" customFormat="1" x14ac:dyDescent="0.3">
      <c r="D97" s="34"/>
      <c r="E97" s="24"/>
      <c r="F97" s="24"/>
      <c r="G97" s="24"/>
      <c r="H97" s="24"/>
      <c r="I97" s="24"/>
      <c r="J97" s="27"/>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row>
    <row r="98" spans="4:50" s="23" customFormat="1" x14ac:dyDescent="0.3">
      <c r="D98" s="34"/>
      <c r="E98" s="24"/>
      <c r="F98" s="24"/>
      <c r="G98" s="24"/>
      <c r="H98" s="24"/>
      <c r="I98" s="24"/>
      <c r="J98" s="27"/>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row>
    <row r="99" spans="4:50" s="23" customFormat="1" x14ac:dyDescent="0.3">
      <c r="D99" s="34"/>
      <c r="E99" s="24"/>
      <c r="F99" s="24"/>
      <c r="G99" s="24"/>
      <c r="H99" s="24"/>
      <c r="I99" s="24"/>
      <c r="J99" s="27"/>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row>
    <row r="100" spans="4:50" s="23" customFormat="1" x14ac:dyDescent="0.3">
      <c r="D100" s="34"/>
      <c r="E100" s="24"/>
      <c r="F100" s="24"/>
      <c r="G100" s="24"/>
      <c r="H100" s="24"/>
      <c r="I100" s="24"/>
      <c r="J100" s="27"/>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row>
    <row r="101" spans="4:50" s="23" customFormat="1" x14ac:dyDescent="0.3">
      <c r="D101" s="34"/>
      <c r="E101" s="24"/>
      <c r="F101" s="24"/>
      <c r="G101" s="24"/>
      <c r="H101" s="24"/>
      <c r="I101" s="24"/>
      <c r="J101" s="27"/>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row>
    <row r="102" spans="4:50" s="23" customFormat="1" x14ac:dyDescent="0.3">
      <c r="D102" s="34"/>
      <c r="E102" s="24"/>
      <c r="F102" s="24"/>
      <c r="G102" s="24"/>
      <c r="H102" s="24"/>
      <c r="I102" s="24"/>
      <c r="J102" s="27"/>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row>
    <row r="103" spans="4:50" s="23" customFormat="1" x14ac:dyDescent="0.3">
      <c r="D103" s="34"/>
      <c r="E103" s="24"/>
      <c r="F103" s="24"/>
      <c r="G103" s="24"/>
      <c r="H103" s="24"/>
      <c r="I103" s="24"/>
      <c r="J103" s="27"/>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row>
    <row r="104" spans="4:50" s="23" customFormat="1" x14ac:dyDescent="0.3">
      <c r="D104" s="34"/>
      <c r="E104" s="24"/>
      <c r="F104" s="24"/>
      <c r="G104" s="24"/>
      <c r="H104" s="24"/>
      <c r="I104" s="24"/>
      <c r="J104" s="27"/>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row>
    <row r="105" spans="4:50" s="23" customFormat="1" x14ac:dyDescent="0.3">
      <c r="D105" s="34"/>
      <c r="E105" s="24"/>
      <c r="F105" s="24"/>
      <c r="G105" s="24"/>
      <c r="H105" s="24"/>
      <c r="I105" s="24"/>
      <c r="J105" s="27"/>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row>
    <row r="106" spans="4:50" s="23" customFormat="1" x14ac:dyDescent="0.3">
      <c r="D106" s="34"/>
      <c r="E106" s="24"/>
      <c r="F106" s="24"/>
      <c r="G106" s="24"/>
      <c r="H106" s="24"/>
      <c r="I106" s="24"/>
      <c r="J106" s="27"/>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row>
    <row r="107" spans="4:50" s="23" customFormat="1" x14ac:dyDescent="0.3">
      <c r="D107" s="34"/>
      <c r="E107" s="24"/>
      <c r="F107" s="24"/>
      <c r="G107" s="24"/>
      <c r="H107" s="24"/>
      <c r="I107" s="24"/>
      <c r="J107" s="27"/>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row>
    <row r="108" spans="4:50" s="23" customFormat="1" x14ac:dyDescent="0.3">
      <c r="D108" s="34"/>
      <c r="E108" s="24"/>
      <c r="F108" s="24"/>
      <c r="G108" s="24"/>
      <c r="H108" s="24"/>
      <c r="I108" s="24"/>
      <c r="J108" s="27"/>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row>
    <row r="109" spans="4:50" s="23" customFormat="1" x14ac:dyDescent="0.3">
      <c r="D109" s="34"/>
      <c r="E109" s="24"/>
      <c r="F109" s="24"/>
      <c r="G109" s="24"/>
      <c r="H109" s="24"/>
      <c r="I109" s="24"/>
      <c r="J109" s="27"/>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row>
    <row r="110" spans="4:50" s="23" customFormat="1" x14ac:dyDescent="0.3">
      <c r="D110" s="34"/>
      <c r="E110" s="24"/>
      <c r="F110" s="24"/>
      <c r="G110" s="24"/>
      <c r="H110" s="24"/>
      <c r="I110" s="24"/>
      <c r="J110" s="27"/>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row>
    <row r="111" spans="4:50" s="23" customFormat="1" x14ac:dyDescent="0.3">
      <c r="D111" s="34"/>
      <c r="E111" s="24"/>
      <c r="F111" s="24"/>
      <c r="G111" s="24"/>
      <c r="H111" s="24"/>
      <c r="I111" s="24"/>
      <c r="J111" s="27"/>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row>
    <row r="112" spans="4:50" s="23" customFormat="1" x14ac:dyDescent="0.3">
      <c r="D112" s="34"/>
      <c r="E112" s="24"/>
      <c r="F112" s="24"/>
      <c r="G112" s="24"/>
      <c r="H112" s="24"/>
      <c r="I112" s="24"/>
      <c r="J112" s="27"/>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row>
    <row r="113" spans="4:50" s="23" customFormat="1" x14ac:dyDescent="0.3">
      <c r="D113" s="34"/>
      <c r="E113" s="24"/>
      <c r="F113" s="24"/>
      <c r="G113" s="24"/>
      <c r="H113" s="24"/>
      <c r="I113" s="24"/>
      <c r="J113" s="27"/>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row>
    <row r="114" spans="4:50" s="23" customFormat="1" x14ac:dyDescent="0.3">
      <c r="D114" s="34"/>
      <c r="E114" s="24"/>
      <c r="F114" s="24"/>
      <c r="G114" s="24"/>
      <c r="H114" s="24"/>
      <c r="I114" s="24"/>
      <c r="J114" s="27"/>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row>
    <row r="115" spans="4:50" s="23" customFormat="1" x14ac:dyDescent="0.3">
      <c r="D115" s="34"/>
      <c r="E115" s="24"/>
      <c r="F115" s="24"/>
      <c r="G115" s="24"/>
      <c r="H115" s="24"/>
      <c r="I115" s="24"/>
      <c r="J115" s="27"/>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row>
    <row r="116" spans="4:50" s="23" customFormat="1" x14ac:dyDescent="0.3">
      <c r="D116" s="34"/>
      <c r="E116" s="24"/>
      <c r="F116" s="24"/>
      <c r="G116" s="24"/>
      <c r="H116" s="24"/>
      <c r="I116" s="24"/>
      <c r="J116" s="27"/>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row>
    <row r="117" spans="4:50" s="23" customFormat="1" x14ac:dyDescent="0.3">
      <c r="D117" s="34"/>
      <c r="E117" s="24"/>
      <c r="F117" s="24"/>
      <c r="G117" s="24"/>
      <c r="H117" s="24"/>
      <c r="I117" s="24"/>
      <c r="J117" s="27"/>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row>
    <row r="118" spans="4:50" s="23" customFormat="1" x14ac:dyDescent="0.3">
      <c r="D118" s="34"/>
      <c r="E118" s="24"/>
      <c r="F118" s="24"/>
      <c r="G118" s="24"/>
      <c r="H118" s="24"/>
      <c r="I118" s="24"/>
      <c r="J118" s="27"/>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row>
    <row r="119" spans="4:50" s="23" customFormat="1" x14ac:dyDescent="0.3">
      <c r="D119" s="34"/>
      <c r="E119" s="24"/>
      <c r="F119" s="24"/>
      <c r="G119" s="24"/>
      <c r="H119" s="24"/>
      <c r="I119" s="24"/>
      <c r="J119" s="27"/>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row>
    <row r="120" spans="4:50" s="23" customFormat="1" x14ac:dyDescent="0.3">
      <c r="D120" s="34"/>
      <c r="E120" s="24"/>
      <c r="F120" s="24"/>
      <c r="G120" s="24"/>
      <c r="H120" s="24"/>
      <c r="I120" s="24"/>
      <c r="J120" s="27"/>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row>
    <row r="121" spans="4:50" s="23" customFormat="1" x14ac:dyDescent="0.3">
      <c r="D121" s="34"/>
      <c r="E121" s="24"/>
      <c r="F121" s="24"/>
      <c r="G121" s="24"/>
      <c r="H121" s="24"/>
      <c r="I121" s="24"/>
      <c r="J121" s="27"/>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row>
    <row r="122" spans="4:50" s="23" customFormat="1" x14ac:dyDescent="0.3">
      <c r="D122" s="34"/>
      <c r="E122" s="24"/>
      <c r="F122" s="24"/>
      <c r="G122" s="24"/>
      <c r="H122" s="24"/>
      <c r="I122" s="24"/>
      <c r="J122" s="27"/>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row>
    <row r="123" spans="4:50" s="23" customFormat="1" x14ac:dyDescent="0.3">
      <c r="D123" s="34"/>
      <c r="E123" s="24"/>
      <c r="F123" s="24"/>
      <c r="G123" s="24"/>
      <c r="H123" s="24"/>
      <c r="I123" s="24"/>
      <c r="J123" s="27"/>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row>
    <row r="124" spans="4:50" s="23" customFormat="1" x14ac:dyDescent="0.3">
      <c r="D124" s="34"/>
      <c r="E124" s="24"/>
      <c r="F124" s="24"/>
      <c r="G124" s="24"/>
      <c r="H124" s="24"/>
      <c r="I124" s="24"/>
      <c r="J124" s="27"/>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row>
    <row r="125" spans="4:50" s="23" customFormat="1" x14ac:dyDescent="0.3">
      <c r="D125" s="34"/>
      <c r="E125" s="24"/>
      <c r="F125" s="24"/>
      <c r="G125" s="24"/>
      <c r="H125" s="24"/>
      <c r="I125" s="24"/>
      <c r="J125" s="27"/>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row>
    <row r="126" spans="4:50" s="23" customFormat="1" x14ac:dyDescent="0.3">
      <c r="D126" s="34"/>
      <c r="E126" s="24"/>
      <c r="F126" s="24"/>
      <c r="G126" s="24"/>
      <c r="H126" s="24"/>
      <c r="I126" s="24"/>
      <c r="J126" s="27"/>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row>
    <row r="127" spans="4:50" s="23" customFormat="1" x14ac:dyDescent="0.3">
      <c r="D127" s="34"/>
      <c r="E127" s="24"/>
      <c r="F127" s="24"/>
      <c r="G127" s="24"/>
      <c r="H127" s="24"/>
      <c r="I127" s="24"/>
      <c r="J127" s="27"/>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row>
    <row r="128" spans="4:50" s="23" customFormat="1" x14ac:dyDescent="0.3">
      <c r="D128" s="34"/>
      <c r="E128" s="24"/>
      <c r="F128" s="24"/>
      <c r="G128" s="24"/>
      <c r="H128" s="24"/>
      <c r="I128" s="24"/>
      <c r="J128" s="27"/>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row>
    <row r="129" spans="4:50" s="23" customFormat="1" x14ac:dyDescent="0.3">
      <c r="D129" s="34"/>
      <c r="E129" s="24"/>
      <c r="F129" s="24"/>
      <c r="G129" s="24"/>
      <c r="H129" s="24"/>
      <c r="I129" s="24"/>
      <c r="J129" s="27"/>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row>
    <row r="130" spans="4:50" s="23" customFormat="1" x14ac:dyDescent="0.3">
      <c r="D130" s="34"/>
      <c r="E130" s="24"/>
      <c r="F130" s="24"/>
      <c r="G130" s="24"/>
      <c r="H130" s="24"/>
      <c r="I130" s="24"/>
      <c r="J130" s="27"/>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row>
    <row r="131" spans="4:50" s="23" customFormat="1" x14ac:dyDescent="0.3">
      <c r="D131" s="34"/>
      <c r="E131" s="24"/>
      <c r="F131" s="24"/>
      <c r="G131" s="24"/>
      <c r="H131" s="24"/>
      <c r="I131" s="24"/>
      <c r="J131" s="27"/>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row>
    <row r="132" spans="4:50" s="23" customFormat="1" x14ac:dyDescent="0.3">
      <c r="D132" s="34"/>
      <c r="E132" s="24"/>
      <c r="F132" s="24"/>
      <c r="G132" s="24"/>
      <c r="H132" s="24"/>
      <c r="I132" s="24"/>
      <c r="J132" s="27"/>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row>
    <row r="133" spans="4:50" s="23" customFormat="1" x14ac:dyDescent="0.3">
      <c r="D133" s="34"/>
      <c r="E133" s="24"/>
      <c r="F133" s="24"/>
      <c r="G133" s="24"/>
      <c r="H133" s="24"/>
      <c r="I133" s="24"/>
      <c r="J133" s="27"/>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row>
    <row r="134" spans="4:50" s="23" customFormat="1" x14ac:dyDescent="0.3">
      <c r="D134" s="34"/>
      <c r="E134" s="24"/>
      <c r="F134" s="24"/>
      <c r="G134" s="24"/>
      <c r="H134" s="24"/>
      <c r="I134" s="24"/>
      <c r="J134" s="27"/>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row>
    <row r="135" spans="4:50" s="23" customFormat="1" x14ac:dyDescent="0.3">
      <c r="D135" s="34"/>
      <c r="E135" s="24"/>
      <c r="F135" s="24"/>
      <c r="G135" s="24"/>
      <c r="H135" s="24"/>
      <c r="I135" s="24"/>
      <c r="J135" s="27"/>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row>
    <row r="136" spans="4:50" s="23" customFormat="1" x14ac:dyDescent="0.3">
      <c r="D136" s="34"/>
      <c r="E136" s="24"/>
      <c r="F136" s="24"/>
      <c r="G136" s="24"/>
      <c r="H136" s="24"/>
      <c r="I136" s="24"/>
      <c r="J136" s="27"/>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row>
    <row r="137" spans="4:50" s="23" customFormat="1" x14ac:dyDescent="0.3">
      <c r="D137" s="34"/>
      <c r="E137" s="24"/>
      <c r="F137" s="24"/>
      <c r="G137" s="24"/>
      <c r="H137" s="24"/>
      <c r="I137" s="24"/>
      <c r="J137" s="27"/>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row>
    <row r="138" spans="4:50" s="23" customFormat="1" x14ac:dyDescent="0.3">
      <c r="D138" s="34"/>
      <c r="E138" s="24"/>
      <c r="F138" s="24"/>
      <c r="G138" s="24"/>
      <c r="H138" s="24"/>
      <c r="I138" s="24"/>
      <c r="J138" s="27"/>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row>
    <row r="139" spans="4:50" s="23" customFormat="1" x14ac:dyDescent="0.3">
      <c r="D139" s="34"/>
      <c r="E139" s="24"/>
      <c r="F139" s="24"/>
      <c r="G139" s="24"/>
      <c r="H139" s="24"/>
      <c r="I139" s="24"/>
      <c r="J139" s="27"/>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row>
    <row r="140" spans="4:50" s="23" customFormat="1" x14ac:dyDescent="0.3">
      <c r="D140" s="34"/>
      <c r="E140" s="24"/>
      <c r="F140" s="24"/>
      <c r="G140" s="24"/>
      <c r="H140" s="24"/>
      <c r="I140" s="24"/>
      <c r="J140" s="27"/>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row>
    <row r="141" spans="4:50" s="23" customFormat="1" x14ac:dyDescent="0.3">
      <c r="D141" s="34"/>
      <c r="E141" s="24"/>
      <c r="F141" s="24"/>
      <c r="G141" s="24"/>
      <c r="H141" s="24"/>
      <c r="I141" s="24"/>
      <c r="J141" s="27"/>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row>
    <row r="142" spans="4:50" s="23" customFormat="1" x14ac:dyDescent="0.3">
      <c r="D142" s="34"/>
      <c r="E142" s="24"/>
      <c r="F142" s="24"/>
      <c r="G142" s="24"/>
      <c r="H142" s="24"/>
      <c r="I142" s="24"/>
      <c r="J142" s="27"/>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row>
    <row r="143" spans="4:50" s="23" customFormat="1" x14ac:dyDescent="0.3">
      <c r="D143" s="34"/>
      <c r="E143" s="24"/>
      <c r="F143" s="24"/>
      <c r="G143" s="24"/>
      <c r="H143" s="24"/>
      <c r="I143" s="24"/>
      <c r="J143" s="27"/>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row>
    <row r="144" spans="4:50" s="23" customFormat="1" x14ac:dyDescent="0.3">
      <c r="D144" s="34"/>
      <c r="E144" s="24"/>
      <c r="F144" s="24"/>
      <c r="G144" s="24"/>
      <c r="H144" s="24"/>
      <c r="I144" s="24"/>
      <c r="J144" s="27"/>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row>
    <row r="145" spans="4:50" s="23" customFormat="1" x14ac:dyDescent="0.3">
      <c r="D145" s="34"/>
      <c r="E145" s="24"/>
      <c r="F145" s="24"/>
      <c r="G145" s="24"/>
      <c r="H145" s="24"/>
      <c r="I145" s="24"/>
      <c r="J145" s="27"/>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row>
    <row r="146" spans="4:50" s="23" customFormat="1" x14ac:dyDescent="0.3">
      <c r="D146" s="34"/>
      <c r="E146" s="24"/>
      <c r="F146" s="24"/>
      <c r="G146" s="24"/>
      <c r="H146" s="24"/>
      <c r="I146" s="24"/>
      <c r="J146" s="27"/>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row>
    <row r="147" spans="4:50" s="23" customFormat="1" x14ac:dyDescent="0.3">
      <c r="D147" s="34"/>
      <c r="E147" s="24"/>
      <c r="F147" s="24"/>
      <c r="G147" s="24"/>
      <c r="H147" s="24"/>
      <c r="I147" s="24"/>
      <c r="J147" s="27"/>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row>
    <row r="148" spans="4:50" s="23" customFormat="1" x14ac:dyDescent="0.3">
      <c r="D148" s="34"/>
      <c r="E148" s="24"/>
      <c r="F148" s="24"/>
      <c r="G148" s="24"/>
      <c r="H148" s="24"/>
      <c r="I148" s="24"/>
      <c r="J148" s="27"/>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row>
    <row r="149" spans="4:50" s="23" customFormat="1" x14ac:dyDescent="0.3">
      <c r="D149" s="34"/>
      <c r="E149" s="24"/>
      <c r="F149" s="24"/>
      <c r="G149" s="24"/>
      <c r="H149" s="24"/>
      <c r="I149" s="24"/>
      <c r="J149" s="27"/>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row>
    <row r="150" spans="4:50" s="23" customFormat="1" x14ac:dyDescent="0.3">
      <c r="D150" s="34"/>
      <c r="E150" s="24"/>
      <c r="F150" s="24"/>
      <c r="G150" s="24"/>
      <c r="H150" s="24"/>
      <c r="I150" s="24"/>
      <c r="J150" s="27"/>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row>
    <row r="151" spans="4:50" s="23" customFormat="1" x14ac:dyDescent="0.3">
      <c r="D151" s="34"/>
      <c r="E151" s="24"/>
      <c r="F151" s="24"/>
      <c r="G151" s="24"/>
      <c r="H151" s="24"/>
      <c r="I151" s="24"/>
      <c r="J151" s="27"/>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row>
    <row r="152" spans="4:50" s="23" customFormat="1" x14ac:dyDescent="0.3">
      <c r="D152" s="34"/>
      <c r="E152" s="24"/>
      <c r="F152" s="24"/>
      <c r="G152" s="24"/>
      <c r="H152" s="24"/>
      <c r="I152" s="24"/>
      <c r="J152" s="27"/>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row>
    <row r="153" spans="4:50" s="23" customFormat="1" x14ac:dyDescent="0.3">
      <c r="D153" s="34"/>
      <c r="E153" s="24"/>
      <c r="F153" s="24"/>
      <c r="G153" s="24"/>
      <c r="H153" s="24"/>
      <c r="I153" s="24"/>
      <c r="J153" s="27"/>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row>
    <row r="154" spans="4:50" s="23" customFormat="1" x14ac:dyDescent="0.3">
      <c r="D154" s="34"/>
      <c r="E154" s="24"/>
      <c r="F154" s="24"/>
      <c r="G154" s="24"/>
      <c r="H154" s="24"/>
      <c r="I154" s="24"/>
      <c r="J154" s="27"/>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row>
    <row r="155" spans="4:50" s="23" customFormat="1" x14ac:dyDescent="0.3">
      <c r="D155" s="34"/>
      <c r="E155" s="24"/>
      <c r="F155" s="24"/>
      <c r="G155" s="24"/>
      <c r="H155" s="24"/>
      <c r="I155" s="24"/>
      <c r="J155" s="27"/>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row>
    <row r="156" spans="4:50" s="23" customFormat="1" x14ac:dyDescent="0.3">
      <c r="D156" s="34"/>
      <c r="E156" s="24"/>
      <c r="F156" s="24"/>
      <c r="G156" s="24"/>
      <c r="H156" s="24"/>
      <c r="I156" s="24"/>
      <c r="J156" s="27"/>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row>
    <row r="157" spans="4:50" s="23" customFormat="1" x14ac:dyDescent="0.3">
      <c r="D157" s="34"/>
      <c r="E157" s="24"/>
      <c r="F157" s="24"/>
      <c r="G157" s="24"/>
      <c r="H157" s="24"/>
      <c r="I157" s="24"/>
      <c r="J157" s="27"/>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row>
    <row r="158" spans="4:50" s="23" customFormat="1" x14ac:dyDescent="0.3">
      <c r="D158" s="34"/>
      <c r="E158" s="24"/>
      <c r="F158" s="24"/>
      <c r="G158" s="24"/>
      <c r="H158" s="24"/>
      <c r="I158" s="24"/>
      <c r="J158" s="27"/>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row>
    <row r="159" spans="4:50" s="23" customFormat="1" x14ac:dyDescent="0.3">
      <c r="D159" s="34"/>
      <c r="E159" s="24"/>
      <c r="F159" s="24"/>
      <c r="G159" s="24"/>
      <c r="H159" s="24"/>
      <c r="I159" s="24"/>
      <c r="J159" s="27"/>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row>
    <row r="160" spans="4:50" s="23" customFormat="1" x14ac:dyDescent="0.3">
      <c r="D160" s="34"/>
      <c r="E160" s="24"/>
      <c r="F160" s="24"/>
      <c r="G160" s="24"/>
      <c r="H160" s="24"/>
      <c r="I160" s="24"/>
      <c r="J160" s="27"/>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row>
    <row r="161" spans="4:50" s="23" customFormat="1" x14ac:dyDescent="0.3">
      <c r="D161" s="34"/>
      <c r="E161" s="24"/>
      <c r="F161" s="24"/>
      <c r="G161" s="24"/>
      <c r="H161" s="24"/>
      <c r="I161" s="24"/>
      <c r="J161" s="27"/>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row>
    <row r="162" spans="4:50" s="23" customFormat="1" x14ac:dyDescent="0.3">
      <c r="D162" s="34"/>
      <c r="E162" s="24"/>
      <c r="F162" s="24"/>
      <c r="G162" s="24"/>
      <c r="H162" s="24"/>
      <c r="I162" s="24"/>
      <c r="J162" s="27"/>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row>
    <row r="163" spans="4:50" s="23" customFormat="1" x14ac:dyDescent="0.3">
      <c r="D163" s="34"/>
      <c r="E163" s="24"/>
      <c r="F163" s="24"/>
      <c r="G163" s="24"/>
      <c r="H163" s="24"/>
      <c r="I163" s="24"/>
      <c r="J163" s="27"/>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row>
    <row r="164" spans="4:50" s="23" customFormat="1" x14ac:dyDescent="0.3">
      <c r="D164" s="34"/>
      <c r="E164" s="24"/>
      <c r="F164" s="24"/>
      <c r="G164" s="24"/>
      <c r="H164" s="24"/>
      <c r="I164" s="24"/>
      <c r="J164" s="27"/>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row>
    <row r="165" spans="4:50" s="23" customFormat="1" x14ac:dyDescent="0.3">
      <c r="D165" s="34"/>
      <c r="E165" s="24"/>
      <c r="F165" s="24"/>
      <c r="G165" s="24"/>
      <c r="H165" s="24"/>
      <c r="I165" s="24"/>
      <c r="J165" s="27"/>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row>
    <row r="166" spans="4:50" s="23" customFormat="1" x14ac:dyDescent="0.3">
      <c r="D166" s="34"/>
      <c r="E166" s="24"/>
      <c r="F166" s="24"/>
      <c r="G166" s="24"/>
      <c r="H166" s="24"/>
      <c r="I166" s="24"/>
      <c r="J166" s="27"/>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row>
    <row r="167" spans="4:50" s="23" customFormat="1" x14ac:dyDescent="0.3">
      <c r="D167" s="34"/>
      <c r="E167" s="24"/>
      <c r="F167" s="24"/>
      <c r="G167" s="24"/>
      <c r="H167" s="24"/>
      <c r="I167" s="24"/>
      <c r="J167" s="27"/>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row>
    <row r="168" spans="4:50" s="23" customFormat="1" x14ac:dyDescent="0.3">
      <c r="D168" s="34"/>
      <c r="E168" s="24"/>
      <c r="F168" s="24"/>
      <c r="G168" s="24"/>
      <c r="H168" s="24"/>
      <c r="I168" s="24"/>
      <c r="J168" s="27"/>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row>
    <row r="169" spans="4:50" s="23" customFormat="1" x14ac:dyDescent="0.3">
      <c r="D169" s="34"/>
      <c r="E169" s="24"/>
      <c r="F169" s="24"/>
      <c r="G169" s="24"/>
      <c r="H169" s="24"/>
      <c r="I169" s="24"/>
      <c r="J169" s="27"/>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row>
    <row r="170" spans="4:50" s="23" customFormat="1" x14ac:dyDescent="0.3">
      <c r="D170" s="34"/>
      <c r="E170" s="24"/>
      <c r="F170" s="24"/>
      <c r="G170" s="24"/>
      <c r="H170" s="24"/>
      <c r="I170" s="24"/>
      <c r="J170" s="27"/>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row>
    <row r="171" spans="4:50" s="23" customFormat="1" x14ac:dyDescent="0.3">
      <c r="D171" s="34"/>
      <c r="E171" s="24"/>
      <c r="F171" s="24"/>
      <c r="G171" s="24"/>
      <c r="H171" s="24"/>
      <c r="I171" s="24"/>
      <c r="J171" s="27"/>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row>
    <row r="172" spans="4:50" s="23" customFormat="1" x14ac:dyDescent="0.3">
      <c r="D172" s="34"/>
      <c r="E172" s="24"/>
      <c r="F172" s="24"/>
      <c r="G172" s="24"/>
      <c r="H172" s="24"/>
      <c r="I172" s="24"/>
      <c r="J172" s="27"/>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row>
    <row r="173" spans="4:50" s="23" customFormat="1" x14ac:dyDescent="0.3">
      <c r="D173" s="34"/>
      <c r="E173" s="24"/>
      <c r="F173" s="24"/>
      <c r="G173" s="24"/>
      <c r="H173" s="24"/>
      <c r="I173" s="24"/>
      <c r="J173" s="27"/>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row>
    <row r="174" spans="4:50" s="23" customFormat="1" x14ac:dyDescent="0.3">
      <c r="D174" s="34"/>
      <c r="E174" s="24"/>
      <c r="F174" s="24"/>
      <c r="G174" s="24"/>
      <c r="H174" s="24"/>
      <c r="I174" s="24"/>
      <c r="J174" s="27"/>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row>
    <row r="175" spans="4:50" s="23" customFormat="1" x14ac:dyDescent="0.3">
      <c r="D175" s="34"/>
      <c r="E175" s="24"/>
      <c r="F175" s="24"/>
      <c r="G175" s="24"/>
      <c r="H175" s="24"/>
      <c r="I175" s="24"/>
      <c r="J175" s="27"/>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row>
    <row r="176" spans="4:50" s="23" customFormat="1" x14ac:dyDescent="0.3">
      <c r="D176" s="34"/>
      <c r="E176" s="24"/>
      <c r="F176" s="24"/>
      <c r="G176" s="24"/>
      <c r="H176" s="24"/>
      <c r="I176" s="24"/>
      <c r="J176" s="27"/>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row>
    <row r="177" spans="4:50" s="23" customFormat="1" x14ac:dyDescent="0.3">
      <c r="D177" s="34"/>
      <c r="E177" s="24"/>
      <c r="F177" s="24"/>
      <c r="G177" s="24"/>
      <c r="H177" s="24"/>
      <c r="I177" s="24"/>
      <c r="J177" s="27"/>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row>
    <row r="178" spans="4:50" s="23" customFormat="1" x14ac:dyDescent="0.3">
      <c r="D178" s="34"/>
      <c r="E178" s="24"/>
      <c r="F178" s="24"/>
      <c r="G178" s="24"/>
      <c r="H178" s="24"/>
      <c r="I178" s="24"/>
      <c r="J178" s="27"/>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row>
    <row r="179" spans="4:50" s="23" customFormat="1" x14ac:dyDescent="0.3">
      <c r="D179" s="34"/>
      <c r="E179" s="24"/>
      <c r="F179" s="24"/>
      <c r="G179" s="24"/>
      <c r="H179" s="24"/>
      <c r="I179" s="24"/>
      <c r="J179" s="27"/>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row>
    <row r="180" spans="4:50" s="23" customFormat="1" x14ac:dyDescent="0.3">
      <c r="D180" s="34"/>
      <c r="E180" s="24"/>
      <c r="F180" s="24"/>
      <c r="G180" s="24"/>
      <c r="H180" s="24"/>
      <c r="I180" s="24"/>
      <c r="J180" s="27"/>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row>
    <row r="181" spans="4:50" s="23" customFormat="1" x14ac:dyDescent="0.3">
      <c r="D181" s="34"/>
      <c r="E181" s="24"/>
      <c r="F181" s="24"/>
      <c r="G181" s="24"/>
      <c r="H181" s="24"/>
      <c r="I181" s="24"/>
      <c r="J181" s="27"/>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row>
    <row r="182" spans="4:50" s="23" customFormat="1" x14ac:dyDescent="0.3">
      <c r="D182" s="34"/>
      <c r="E182" s="24"/>
      <c r="F182" s="24"/>
      <c r="G182" s="24"/>
      <c r="H182" s="24"/>
      <c r="I182" s="24"/>
      <c r="J182" s="27"/>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row>
    <row r="183" spans="4:50" s="23" customFormat="1" x14ac:dyDescent="0.3">
      <c r="D183" s="34"/>
      <c r="E183" s="24"/>
      <c r="F183" s="24"/>
      <c r="G183" s="24"/>
      <c r="H183" s="24"/>
      <c r="I183" s="24"/>
      <c r="J183" s="27"/>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row>
    <row r="184" spans="4:50" s="23" customFormat="1" x14ac:dyDescent="0.3">
      <c r="D184" s="34"/>
      <c r="E184" s="24"/>
      <c r="F184" s="24"/>
      <c r="G184" s="24"/>
      <c r="H184" s="24"/>
      <c r="I184" s="24"/>
      <c r="J184" s="27"/>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row>
    <row r="185" spans="4:50" s="23" customFormat="1" x14ac:dyDescent="0.3">
      <c r="D185" s="34"/>
      <c r="E185" s="24"/>
      <c r="F185" s="24"/>
      <c r="G185" s="24"/>
      <c r="H185" s="24"/>
      <c r="I185" s="24"/>
      <c r="J185" s="27"/>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row>
    <row r="186" spans="4:50" s="23" customFormat="1" x14ac:dyDescent="0.3">
      <c r="D186" s="34"/>
      <c r="E186" s="24"/>
      <c r="F186" s="24"/>
      <c r="G186" s="24"/>
      <c r="H186" s="24"/>
      <c r="I186" s="24"/>
      <c r="J186" s="27"/>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row>
    <row r="187" spans="4:50" s="23" customFormat="1" x14ac:dyDescent="0.3">
      <c r="D187" s="34"/>
      <c r="E187" s="24"/>
      <c r="F187" s="24"/>
      <c r="G187" s="24"/>
      <c r="H187" s="24"/>
      <c r="I187" s="24"/>
      <c r="J187" s="27"/>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row>
    <row r="188" spans="4:50" s="23" customFormat="1" x14ac:dyDescent="0.3">
      <c r="D188" s="34"/>
      <c r="E188" s="24"/>
      <c r="F188" s="24"/>
      <c r="G188" s="24"/>
      <c r="H188" s="24"/>
      <c r="I188" s="24"/>
      <c r="J188" s="27"/>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row>
    <row r="189" spans="4:50" s="23" customFormat="1" x14ac:dyDescent="0.3">
      <c r="D189" s="34"/>
      <c r="E189" s="24"/>
      <c r="F189" s="24"/>
      <c r="G189" s="24"/>
      <c r="H189" s="24"/>
      <c r="I189" s="24"/>
      <c r="J189" s="27"/>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row>
    <row r="190" spans="4:50" s="23" customFormat="1" x14ac:dyDescent="0.3">
      <c r="D190" s="34"/>
      <c r="E190" s="24"/>
      <c r="F190" s="24"/>
      <c r="G190" s="24"/>
      <c r="H190" s="24"/>
      <c r="I190" s="24"/>
      <c r="J190" s="27"/>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row>
    <row r="191" spans="4:50" s="23" customFormat="1" x14ac:dyDescent="0.3">
      <c r="D191" s="34"/>
      <c r="E191" s="24"/>
      <c r="F191" s="24"/>
      <c r="G191" s="24"/>
      <c r="H191" s="24"/>
      <c r="I191" s="24"/>
      <c r="J191" s="27"/>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row>
    <row r="192" spans="4:50" s="23" customFormat="1" x14ac:dyDescent="0.3">
      <c r="D192" s="34"/>
      <c r="E192" s="24"/>
      <c r="F192" s="24"/>
      <c r="G192" s="24"/>
      <c r="H192" s="24"/>
      <c r="I192" s="24"/>
      <c r="J192" s="27"/>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row>
    <row r="193" spans="4:50" s="23" customFormat="1" x14ac:dyDescent="0.3">
      <c r="D193" s="34"/>
      <c r="E193" s="24"/>
      <c r="F193" s="24"/>
      <c r="G193" s="24"/>
      <c r="H193" s="24"/>
      <c r="I193" s="24"/>
      <c r="J193" s="27"/>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row>
    <row r="194" spans="4:50" s="23" customFormat="1" x14ac:dyDescent="0.3">
      <c r="D194" s="34"/>
      <c r="E194" s="24"/>
      <c r="F194" s="24"/>
      <c r="G194" s="24"/>
      <c r="H194" s="24"/>
      <c r="I194" s="24"/>
      <c r="J194" s="27"/>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row>
    <row r="195" spans="4:50" s="23" customFormat="1" x14ac:dyDescent="0.3">
      <c r="D195" s="34"/>
      <c r="E195" s="24"/>
      <c r="F195" s="24"/>
      <c r="G195" s="24"/>
      <c r="H195" s="24"/>
      <c r="I195" s="24"/>
      <c r="J195" s="27"/>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row>
    <row r="196" spans="4:50" s="23" customFormat="1" x14ac:dyDescent="0.3">
      <c r="D196" s="34"/>
      <c r="E196" s="24"/>
      <c r="F196" s="24"/>
      <c r="G196" s="24"/>
      <c r="H196" s="24"/>
      <c r="I196" s="24"/>
      <c r="J196" s="27"/>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row>
    <row r="197" spans="4:50" s="23" customFormat="1" x14ac:dyDescent="0.3">
      <c r="D197" s="34"/>
      <c r="E197" s="24"/>
      <c r="F197" s="24"/>
      <c r="G197" s="24"/>
      <c r="H197" s="24"/>
      <c r="I197" s="24"/>
      <c r="J197" s="27"/>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row>
    <row r="198" spans="4:50" s="23" customFormat="1" x14ac:dyDescent="0.3">
      <c r="D198" s="34"/>
      <c r="E198" s="24"/>
      <c r="F198" s="24"/>
      <c r="G198" s="24"/>
      <c r="H198" s="24"/>
      <c r="I198" s="24"/>
      <c r="J198" s="27"/>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row>
    <row r="199" spans="4:50" s="23" customFormat="1" x14ac:dyDescent="0.3">
      <c r="D199" s="34"/>
      <c r="E199" s="24"/>
      <c r="F199" s="24"/>
      <c r="G199" s="24"/>
      <c r="H199" s="24"/>
      <c r="I199" s="24"/>
      <c r="J199" s="27"/>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row>
    <row r="200" spans="4:50" s="23" customFormat="1" x14ac:dyDescent="0.3">
      <c r="D200" s="34"/>
      <c r="E200" s="24"/>
      <c r="F200" s="24"/>
      <c r="G200" s="24"/>
      <c r="H200" s="24"/>
      <c r="I200" s="24"/>
      <c r="J200" s="27"/>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row>
    <row r="201" spans="4:50" s="23" customFormat="1" x14ac:dyDescent="0.3">
      <c r="D201" s="34"/>
      <c r="E201" s="24"/>
      <c r="F201" s="24"/>
      <c r="G201" s="24"/>
      <c r="H201" s="24"/>
      <c r="I201" s="24"/>
      <c r="J201" s="27"/>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row>
    <row r="202" spans="4:50" s="23" customFormat="1" x14ac:dyDescent="0.3">
      <c r="D202" s="34"/>
      <c r="E202" s="24"/>
      <c r="F202" s="24"/>
      <c r="G202" s="24"/>
      <c r="H202" s="24"/>
      <c r="I202" s="24"/>
      <c r="J202" s="27"/>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row>
    <row r="203" spans="4:50" s="23" customFormat="1" x14ac:dyDescent="0.3">
      <c r="D203" s="34"/>
      <c r="E203" s="24"/>
      <c r="F203" s="24"/>
      <c r="G203" s="24"/>
      <c r="H203" s="24"/>
      <c r="I203" s="24"/>
      <c r="J203" s="27"/>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row>
    <row r="204" spans="4:50" s="23" customFormat="1" x14ac:dyDescent="0.3">
      <c r="D204" s="34"/>
      <c r="E204" s="24"/>
      <c r="F204" s="24"/>
      <c r="G204" s="24"/>
      <c r="H204" s="24"/>
      <c r="I204" s="24"/>
      <c r="J204" s="27"/>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row>
    <row r="205" spans="4:50" s="23" customFormat="1" x14ac:dyDescent="0.3">
      <c r="D205" s="34"/>
      <c r="E205" s="24"/>
      <c r="F205" s="24"/>
      <c r="G205" s="24"/>
      <c r="H205" s="24"/>
      <c r="I205" s="24"/>
      <c r="J205" s="27"/>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row>
    <row r="206" spans="4:50" s="23" customFormat="1" x14ac:dyDescent="0.3">
      <c r="D206" s="34"/>
      <c r="E206" s="24"/>
      <c r="F206" s="24"/>
      <c r="G206" s="24"/>
      <c r="H206" s="24"/>
      <c r="I206" s="24"/>
      <c r="J206" s="27"/>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row>
    <row r="207" spans="4:50" s="23" customFormat="1" x14ac:dyDescent="0.3">
      <c r="D207" s="34"/>
      <c r="E207" s="24"/>
      <c r="F207" s="24"/>
      <c r="G207" s="24"/>
      <c r="H207" s="24"/>
      <c r="I207" s="24"/>
      <c r="J207" s="27"/>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row>
    <row r="208" spans="4:50" s="23" customFormat="1" x14ac:dyDescent="0.3">
      <c r="D208" s="34"/>
      <c r="E208" s="24"/>
      <c r="F208" s="24"/>
      <c r="G208" s="24"/>
      <c r="H208" s="24"/>
      <c r="I208" s="24"/>
      <c r="J208" s="27"/>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row>
    <row r="209" spans="4:50" s="23" customFormat="1" x14ac:dyDescent="0.3">
      <c r="D209" s="34"/>
      <c r="E209" s="24"/>
      <c r="F209" s="24"/>
      <c r="G209" s="24"/>
      <c r="H209" s="24"/>
      <c r="I209" s="24"/>
      <c r="J209" s="27"/>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row>
    <row r="210" spans="4:50" s="23" customFormat="1" x14ac:dyDescent="0.3">
      <c r="D210" s="34"/>
      <c r="E210" s="24"/>
      <c r="F210" s="24"/>
      <c r="G210" s="24"/>
      <c r="H210" s="24"/>
      <c r="I210" s="24"/>
      <c r="J210" s="27"/>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row>
    <row r="211" spans="4:50" s="23" customFormat="1" x14ac:dyDescent="0.3">
      <c r="D211" s="34"/>
      <c r="E211" s="24"/>
      <c r="F211" s="24"/>
      <c r="G211" s="24"/>
      <c r="H211" s="24"/>
      <c r="I211" s="24"/>
      <c r="J211" s="27"/>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row>
    <row r="212" spans="4:50" s="23" customFormat="1" x14ac:dyDescent="0.3">
      <c r="D212" s="34"/>
      <c r="E212" s="24"/>
      <c r="F212" s="24"/>
      <c r="G212" s="24"/>
      <c r="H212" s="24"/>
      <c r="I212" s="24"/>
      <c r="J212" s="27"/>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row>
    <row r="213" spans="4:50" s="23" customFormat="1" x14ac:dyDescent="0.3">
      <c r="D213" s="34"/>
      <c r="E213" s="24"/>
      <c r="F213" s="24"/>
      <c r="G213" s="24"/>
      <c r="H213" s="24"/>
      <c r="I213" s="24"/>
      <c r="J213" s="27"/>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row>
    <row r="214" spans="4:50" s="23" customFormat="1" x14ac:dyDescent="0.3">
      <c r="D214" s="34"/>
      <c r="E214" s="24"/>
      <c r="F214" s="24"/>
      <c r="G214" s="24"/>
      <c r="H214" s="24"/>
      <c r="I214" s="24"/>
      <c r="J214" s="27"/>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row>
    <row r="215" spans="4:50" s="23" customFormat="1" x14ac:dyDescent="0.3">
      <c r="D215" s="34"/>
      <c r="E215" s="24"/>
      <c r="F215" s="24"/>
      <c r="G215" s="24"/>
      <c r="H215" s="24"/>
      <c r="I215" s="24"/>
      <c r="J215" s="27"/>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row>
    <row r="216" spans="4:50" s="23" customFormat="1" x14ac:dyDescent="0.3">
      <c r="D216" s="34"/>
      <c r="E216" s="24"/>
      <c r="F216" s="24"/>
      <c r="G216" s="24"/>
      <c r="H216" s="24"/>
      <c r="I216" s="24"/>
      <c r="J216" s="27"/>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row>
    <row r="217" spans="4:50" s="23" customFormat="1" x14ac:dyDescent="0.3">
      <c r="D217" s="34"/>
      <c r="E217" s="24"/>
      <c r="F217" s="24"/>
      <c r="G217" s="24"/>
      <c r="H217" s="24"/>
      <c r="I217" s="24"/>
      <c r="J217" s="27"/>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row>
    <row r="218" spans="4:50" s="23" customFormat="1" x14ac:dyDescent="0.3">
      <c r="D218" s="34"/>
      <c r="E218" s="24"/>
      <c r="F218" s="24"/>
      <c r="G218" s="24"/>
      <c r="H218" s="24"/>
      <c r="I218" s="24"/>
      <c r="J218" s="27"/>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row>
    <row r="219" spans="4:50" s="23" customFormat="1" x14ac:dyDescent="0.3">
      <c r="D219" s="34"/>
      <c r="E219" s="24"/>
      <c r="F219" s="24"/>
      <c r="G219" s="24"/>
      <c r="H219" s="24"/>
      <c r="I219" s="24"/>
      <c r="J219" s="27"/>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row>
    <row r="220" spans="4:50" s="23" customFormat="1" x14ac:dyDescent="0.3">
      <c r="D220" s="34"/>
      <c r="E220" s="24"/>
      <c r="F220" s="24"/>
      <c r="G220" s="24"/>
      <c r="H220" s="24"/>
      <c r="I220" s="24"/>
      <c r="J220" s="27"/>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row>
    <row r="221" spans="4:50" s="23" customFormat="1" x14ac:dyDescent="0.3">
      <c r="D221" s="34"/>
      <c r="E221" s="24"/>
      <c r="F221" s="24"/>
      <c r="G221" s="24"/>
      <c r="H221" s="24"/>
      <c r="I221" s="24"/>
      <c r="J221" s="27"/>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row>
    <row r="222" spans="4:50" s="23" customFormat="1" x14ac:dyDescent="0.3">
      <c r="D222" s="34"/>
      <c r="E222" s="24"/>
      <c r="F222" s="24"/>
      <c r="G222" s="24"/>
      <c r="H222" s="24"/>
      <c r="I222" s="24"/>
      <c r="J222" s="27"/>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row>
    <row r="223" spans="4:50" s="23" customFormat="1" x14ac:dyDescent="0.3">
      <c r="D223" s="34"/>
      <c r="E223" s="24"/>
      <c r="F223" s="24"/>
      <c r="G223" s="24"/>
      <c r="H223" s="24"/>
      <c r="I223" s="24"/>
      <c r="J223" s="27"/>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row>
    <row r="224" spans="4:50" s="23" customFormat="1" x14ac:dyDescent="0.3">
      <c r="D224" s="34"/>
      <c r="E224" s="24"/>
      <c r="F224" s="24"/>
      <c r="G224" s="24"/>
      <c r="H224" s="24"/>
      <c r="I224" s="24"/>
      <c r="J224" s="27"/>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row>
    <row r="225" spans="4:50" s="23" customFormat="1" x14ac:dyDescent="0.3">
      <c r="D225" s="34"/>
      <c r="E225" s="24"/>
      <c r="F225" s="24"/>
      <c r="G225" s="24"/>
      <c r="H225" s="24"/>
      <c r="I225" s="24"/>
      <c r="J225" s="27"/>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row>
    <row r="226" spans="4:50" s="23" customFormat="1" x14ac:dyDescent="0.3">
      <c r="D226" s="34"/>
      <c r="E226" s="24"/>
      <c r="F226" s="24"/>
      <c r="G226" s="24"/>
      <c r="H226" s="24"/>
      <c r="I226" s="24"/>
      <c r="J226" s="27"/>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row>
    <row r="227" spans="4:50" s="23" customFormat="1" x14ac:dyDescent="0.3">
      <c r="D227" s="34"/>
      <c r="E227" s="24"/>
      <c r="F227" s="24"/>
      <c r="G227" s="24"/>
      <c r="H227" s="24"/>
      <c r="I227" s="24"/>
      <c r="J227" s="27"/>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row>
    <row r="228" spans="4:50" s="23" customFormat="1" x14ac:dyDescent="0.3">
      <c r="D228" s="34"/>
      <c r="E228" s="24"/>
      <c r="F228" s="24"/>
      <c r="G228" s="24"/>
      <c r="H228" s="24"/>
      <c r="I228" s="24"/>
      <c r="J228" s="27"/>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row>
    <row r="229" spans="4:50" s="23" customFormat="1" x14ac:dyDescent="0.3">
      <c r="D229" s="34"/>
      <c r="E229" s="24"/>
      <c r="F229" s="24"/>
      <c r="G229" s="24"/>
      <c r="H229" s="24"/>
      <c r="I229" s="24"/>
      <c r="J229" s="27"/>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row>
    <row r="230" spans="4:50" s="23" customFormat="1" x14ac:dyDescent="0.3">
      <c r="D230" s="34"/>
      <c r="E230" s="24"/>
      <c r="F230" s="24"/>
      <c r="G230" s="24"/>
      <c r="H230" s="24"/>
      <c r="I230" s="24"/>
      <c r="J230" s="27"/>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row>
    <row r="231" spans="4:50" s="23" customFormat="1" x14ac:dyDescent="0.3">
      <c r="D231" s="34"/>
      <c r="E231" s="24"/>
      <c r="F231" s="24"/>
      <c r="G231" s="24"/>
      <c r="H231" s="24"/>
      <c r="I231" s="24"/>
      <c r="J231" s="27"/>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row>
    <row r="232" spans="4:50" s="23" customFormat="1" x14ac:dyDescent="0.3">
      <c r="D232" s="34"/>
      <c r="E232" s="24"/>
      <c r="F232" s="24"/>
      <c r="G232" s="24"/>
      <c r="H232" s="24"/>
      <c r="I232" s="24"/>
      <c r="J232" s="27"/>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row>
    <row r="233" spans="4:50" s="23" customFormat="1" x14ac:dyDescent="0.3">
      <c r="D233" s="34"/>
      <c r="E233" s="24"/>
      <c r="F233" s="24"/>
      <c r="G233" s="24"/>
      <c r="H233" s="24"/>
      <c r="I233" s="24"/>
      <c r="J233" s="27"/>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row>
    <row r="234" spans="4:50" s="23" customFormat="1" x14ac:dyDescent="0.3">
      <c r="D234" s="34"/>
      <c r="E234" s="24"/>
      <c r="F234" s="24"/>
      <c r="G234" s="24"/>
      <c r="H234" s="24"/>
      <c r="I234" s="24"/>
      <c r="J234" s="27"/>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row>
    <row r="235" spans="4:50" s="23" customFormat="1" x14ac:dyDescent="0.3">
      <c r="D235" s="34"/>
      <c r="E235" s="24"/>
      <c r="F235" s="24"/>
      <c r="G235" s="24"/>
      <c r="H235" s="24"/>
      <c r="I235" s="24"/>
      <c r="J235" s="27"/>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row>
    <row r="236" spans="4:50" s="23" customFormat="1" x14ac:dyDescent="0.3">
      <c r="D236" s="34"/>
      <c r="E236" s="24"/>
      <c r="F236" s="24"/>
      <c r="G236" s="24"/>
      <c r="H236" s="24"/>
      <c r="I236" s="24"/>
      <c r="J236" s="27"/>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row>
    <row r="237" spans="4:50" s="23" customFormat="1" x14ac:dyDescent="0.3">
      <c r="D237" s="34"/>
      <c r="E237" s="24"/>
      <c r="F237" s="24"/>
      <c r="G237" s="24"/>
      <c r="H237" s="24"/>
      <c r="I237" s="24"/>
      <c r="J237" s="27"/>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row>
    <row r="238" spans="4:50" s="23" customFormat="1" x14ac:dyDescent="0.3">
      <c r="D238" s="34"/>
      <c r="E238" s="24"/>
      <c r="F238" s="24"/>
      <c r="G238" s="24"/>
      <c r="H238" s="24"/>
      <c r="I238" s="24"/>
      <c r="J238" s="27"/>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row>
    <row r="239" spans="4:50" s="23" customFormat="1" x14ac:dyDescent="0.3">
      <c r="D239" s="34"/>
      <c r="E239" s="24"/>
      <c r="F239" s="24"/>
      <c r="G239" s="24"/>
      <c r="H239" s="24"/>
      <c r="I239" s="24"/>
      <c r="J239" s="27"/>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row>
    <row r="240" spans="4:50" s="23" customFormat="1" x14ac:dyDescent="0.3">
      <c r="D240" s="34"/>
      <c r="E240" s="24"/>
      <c r="F240" s="24"/>
      <c r="G240" s="24"/>
      <c r="H240" s="24"/>
      <c r="I240" s="24"/>
      <c r="J240" s="27"/>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row>
    <row r="241" spans="4:50" s="23" customFormat="1" x14ac:dyDescent="0.3">
      <c r="D241" s="34"/>
      <c r="E241" s="24"/>
      <c r="F241" s="24"/>
      <c r="G241" s="24"/>
      <c r="H241" s="24"/>
      <c r="I241" s="24"/>
      <c r="J241" s="27"/>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row>
    <row r="242" spans="4:50" s="23" customFormat="1" x14ac:dyDescent="0.3">
      <c r="D242" s="34"/>
      <c r="E242" s="24"/>
      <c r="F242" s="24"/>
      <c r="G242" s="24"/>
      <c r="H242" s="24"/>
      <c r="I242" s="24"/>
      <c r="J242" s="27"/>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row>
    <row r="243" spans="4:50" s="23" customFormat="1" x14ac:dyDescent="0.3">
      <c r="D243" s="34"/>
      <c r="E243" s="24"/>
      <c r="F243" s="24"/>
      <c r="G243" s="24"/>
      <c r="H243" s="24"/>
      <c r="I243" s="24"/>
      <c r="J243" s="27"/>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row>
    <row r="244" spans="4:50" s="23" customFormat="1" x14ac:dyDescent="0.3">
      <c r="D244" s="34"/>
      <c r="E244" s="24"/>
      <c r="F244" s="24"/>
      <c r="G244" s="24"/>
      <c r="H244" s="24"/>
      <c r="I244" s="24"/>
      <c r="J244" s="27"/>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row>
    <row r="245" spans="4:50" s="23" customFormat="1" x14ac:dyDescent="0.3">
      <c r="D245" s="34"/>
      <c r="E245" s="24"/>
      <c r="F245" s="24"/>
      <c r="G245" s="24"/>
      <c r="H245" s="24"/>
      <c r="I245" s="24"/>
      <c r="J245" s="27"/>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row>
    <row r="246" spans="4:50" s="23" customFormat="1" x14ac:dyDescent="0.3">
      <c r="D246" s="34"/>
      <c r="E246" s="24"/>
      <c r="F246" s="24"/>
      <c r="G246" s="24"/>
      <c r="H246" s="24"/>
      <c r="I246" s="24"/>
      <c r="J246" s="27"/>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row>
    <row r="247" spans="4:50" s="23" customFormat="1" x14ac:dyDescent="0.3">
      <c r="D247" s="34"/>
      <c r="E247" s="24"/>
      <c r="F247" s="24"/>
      <c r="G247" s="24"/>
      <c r="H247" s="24"/>
      <c r="I247" s="24"/>
      <c r="J247" s="27"/>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row>
    <row r="248" spans="4:50" s="23" customFormat="1" x14ac:dyDescent="0.3">
      <c r="D248" s="34"/>
      <c r="E248" s="24"/>
      <c r="F248" s="24"/>
      <c r="G248" s="24"/>
      <c r="H248" s="24"/>
      <c r="I248" s="24"/>
      <c r="J248" s="27"/>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row>
    <row r="249" spans="4:50" s="23" customFormat="1" x14ac:dyDescent="0.3">
      <c r="D249" s="34"/>
      <c r="E249" s="24"/>
      <c r="F249" s="24"/>
      <c r="G249" s="24"/>
      <c r="H249" s="24"/>
      <c r="I249" s="24"/>
      <c r="J249" s="27"/>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row>
    <row r="250" spans="4:50" s="23" customFormat="1" x14ac:dyDescent="0.3">
      <c r="D250" s="34"/>
      <c r="E250" s="24"/>
      <c r="F250" s="24"/>
      <c r="G250" s="24"/>
      <c r="H250" s="24"/>
      <c r="I250" s="24"/>
      <c r="J250" s="27"/>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row>
    <row r="251" spans="4:50" s="23" customFormat="1" x14ac:dyDescent="0.3">
      <c r="D251" s="34"/>
      <c r="E251" s="24"/>
      <c r="F251" s="24"/>
      <c r="G251" s="24"/>
      <c r="H251" s="24"/>
      <c r="I251" s="24"/>
      <c r="J251" s="27"/>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row>
    <row r="252" spans="4:50" s="23" customFormat="1" x14ac:dyDescent="0.3">
      <c r="D252" s="34"/>
      <c r="E252" s="24"/>
      <c r="F252" s="24"/>
      <c r="G252" s="24"/>
      <c r="H252" s="24"/>
      <c r="I252" s="24"/>
      <c r="J252" s="27"/>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row>
    <row r="253" spans="4:50" s="23" customFormat="1" x14ac:dyDescent="0.3">
      <c r="D253" s="34"/>
      <c r="E253" s="24"/>
      <c r="F253" s="24"/>
      <c r="G253" s="24"/>
      <c r="H253" s="24"/>
      <c r="I253" s="24"/>
      <c r="J253" s="27"/>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row>
    <row r="254" spans="4:50" s="23" customFormat="1" x14ac:dyDescent="0.3">
      <c r="D254" s="34"/>
      <c r="E254" s="24"/>
      <c r="F254" s="24"/>
      <c r="G254" s="24"/>
      <c r="H254" s="24"/>
      <c r="I254" s="24"/>
      <c r="J254" s="27"/>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row>
    <row r="255" spans="4:50" s="23" customFormat="1" x14ac:dyDescent="0.3">
      <c r="D255" s="34"/>
      <c r="E255" s="24"/>
      <c r="F255" s="24"/>
      <c r="G255" s="24"/>
      <c r="H255" s="24"/>
      <c r="I255" s="24"/>
      <c r="J255" s="27"/>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row>
    <row r="256" spans="4:50" s="23" customFormat="1" x14ac:dyDescent="0.3">
      <c r="D256" s="34"/>
      <c r="E256" s="24"/>
      <c r="F256" s="24"/>
      <c r="G256" s="24"/>
      <c r="H256" s="24"/>
      <c r="I256" s="24"/>
      <c r="J256" s="27"/>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row>
    <row r="257" spans="4:50" s="23" customFormat="1" x14ac:dyDescent="0.3">
      <c r="D257" s="34"/>
      <c r="E257" s="24"/>
      <c r="F257" s="24"/>
      <c r="G257" s="24"/>
      <c r="H257" s="24"/>
      <c r="I257" s="24"/>
      <c r="J257" s="27"/>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row>
    <row r="258" spans="4:50" s="23" customFormat="1" x14ac:dyDescent="0.3">
      <c r="D258" s="34"/>
      <c r="E258" s="24"/>
      <c r="F258" s="24"/>
      <c r="G258" s="24"/>
      <c r="H258" s="24"/>
      <c r="I258" s="24"/>
      <c r="J258" s="27"/>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row>
    <row r="259" spans="4:50" s="23" customFormat="1" x14ac:dyDescent="0.3">
      <c r="D259" s="34"/>
      <c r="E259" s="24"/>
      <c r="F259" s="24"/>
      <c r="G259" s="24"/>
      <c r="H259" s="24"/>
      <c r="I259" s="24"/>
      <c r="J259" s="27"/>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row>
    <row r="260" spans="4:50" s="23" customFormat="1" x14ac:dyDescent="0.3">
      <c r="D260" s="34"/>
      <c r="E260" s="24"/>
      <c r="F260" s="24"/>
      <c r="G260" s="24"/>
      <c r="H260" s="24"/>
      <c r="I260" s="24"/>
      <c r="J260" s="27"/>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row>
    <row r="261" spans="4:50" s="23" customFormat="1" x14ac:dyDescent="0.3">
      <c r="D261" s="34"/>
      <c r="E261" s="24"/>
      <c r="F261" s="24"/>
      <c r="G261" s="24"/>
      <c r="H261" s="24"/>
      <c r="I261" s="24"/>
      <c r="J261" s="27"/>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row>
    <row r="262" spans="4:50" s="23" customFormat="1" x14ac:dyDescent="0.3">
      <c r="D262" s="34"/>
      <c r="E262" s="24"/>
      <c r="F262" s="24"/>
      <c r="G262" s="24"/>
      <c r="H262" s="24"/>
      <c r="I262" s="24"/>
      <c r="J262" s="27"/>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row>
    <row r="263" spans="4:50" s="23" customFormat="1" x14ac:dyDescent="0.3">
      <c r="D263" s="34"/>
      <c r="E263" s="24"/>
      <c r="F263" s="24"/>
      <c r="G263" s="24"/>
      <c r="H263" s="24"/>
      <c r="I263" s="24"/>
      <c r="J263" s="27"/>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row>
    <row r="264" spans="4:50" s="23" customFormat="1" x14ac:dyDescent="0.3">
      <c r="D264" s="34"/>
      <c r="E264" s="24"/>
      <c r="F264" s="24"/>
      <c r="G264" s="24"/>
      <c r="H264" s="24"/>
      <c r="I264" s="24"/>
      <c r="J264" s="27"/>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row>
    <row r="265" spans="4:50" s="23" customFormat="1" x14ac:dyDescent="0.3">
      <c r="D265" s="34"/>
      <c r="E265" s="24"/>
      <c r="F265" s="24"/>
      <c r="G265" s="24"/>
      <c r="H265" s="24"/>
      <c r="I265" s="24"/>
      <c r="J265" s="27"/>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row>
    <row r="266" spans="4:50" s="23" customFormat="1" x14ac:dyDescent="0.3">
      <c r="D266" s="34"/>
      <c r="E266" s="24"/>
      <c r="F266" s="24"/>
      <c r="G266" s="24"/>
      <c r="H266" s="24"/>
      <c r="I266" s="24"/>
      <c r="J266" s="27"/>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row>
    <row r="267" spans="4:50" s="23" customFormat="1" x14ac:dyDescent="0.3">
      <c r="D267" s="34"/>
      <c r="E267" s="24"/>
      <c r="F267" s="24"/>
      <c r="G267" s="24"/>
      <c r="H267" s="24"/>
      <c r="I267" s="24"/>
      <c r="J267" s="27"/>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row>
    <row r="268" spans="4:50" s="23" customFormat="1" x14ac:dyDescent="0.3">
      <c r="D268" s="34"/>
      <c r="E268" s="24"/>
      <c r="F268" s="24"/>
      <c r="G268" s="24"/>
      <c r="H268" s="24"/>
      <c r="I268" s="24"/>
      <c r="J268" s="27"/>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row>
    <row r="269" spans="4:50" s="23" customFormat="1" x14ac:dyDescent="0.3">
      <c r="D269" s="34"/>
      <c r="E269" s="24"/>
      <c r="F269" s="24"/>
      <c r="G269" s="24"/>
      <c r="H269" s="24"/>
      <c r="I269" s="24"/>
      <c r="J269" s="27"/>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row>
    <row r="270" spans="4:50" s="23" customFormat="1" x14ac:dyDescent="0.3">
      <c r="D270" s="34"/>
      <c r="E270" s="24"/>
      <c r="F270" s="24"/>
      <c r="G270" s="24"/>
      <c r="H270" s="24"/>
      <c r="I270" s="24"/>
      <c r="J270" s="27"/>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row>
    <row r="271" spans="4:50" s="23" customFormat="1" x14ac:dyDescent="0.3">
      <c r="D271" s="34"/>
      <c r="E271" s="24"/>
      <c r="F271" s="24"/>
      <c r="G271" s="24"/>
      <c r="H271" s="24"/>
      <c r="I271" s="24"/>
      <c r="J271" s="27"/>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row>
    <row r="272" spans="4:50" s="23" customFormat="1" x14ac:dyDescent="0.3">
      <c r="D272" s="34"/>
      <c r="E272" s="24"/>
      <c r="F272" s="24"/>
      <c r="G272" s="24"/>
      <c r="H272" s="24"/>
      <c r="I272" s="24"/>
      <c r="J272" s="27"/>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row>
    <row r="273" spans="4:50" s="23" customFormat="1" x14ac:dyDescent="0.3">
      <c r="D273" s="34"/>
      <c r="E273" s="24"/>
      <c r="F273" s="24"/>
      <c r="G273" s="24"/>
      <c r="H273" s="24"/>
      <c r="I273" s="24"/>
      <c r="J273" s="27"/>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row>
    <row r="274" spans="4:50" s="23" customFormat="1" x14ac:dyDescent="0.3">
      <c r="D274" s="34"/>
      <c r="E274" s="24"/>
      <c r="F274" s="24"/>
      <c r="G274" s="24"/>
      <c r="H274" s="24"/>
      <c r="I274" s="24"/>
      <c r="J274" s="27"/>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row>
    <row r="275" spans="4:50" s="23" customFormat="1" x14ac:dyDescent="0.3">
      <c r="D275" s="34"/>
      <c r="E275" s="24"/>
      <c r="F275" s="24"/>
      <c r="G275" s="24"/>
      <c r="H275" s="24"/>
      <c r="I275" s="24"/>
      <c r="J275" s="27"/>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row>
    <row r="276" spans="4:50" s="23" customFormat="1" x14ac:dyDescent="0.3">
      <c r="D276" s="34"/>
      <c r="E276" s="24"/>
      <c r="F276" s="24"/>
      <c r="G276" s="24"/>
      <c r="H276" s="24"/>
      <c r="I276" s="24"/>
      <c r="J276" s="27"/>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row>
    <row r="277" spans="4:50" s="23" customFormat="1" x14ac:dyDescent="0.3">
      <c r="D277" s="34"/>
      <c r="E277" s="24"/>
      <c r="F277" s="24"/>
      <c r="G277" s="24"/>
      <c r="H277" s="24"/>
      <c r="I277" s="24"/>
      <c r="J277" s="27"/>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row>
    <row r="278" spans="4:50" s="23" customFormat="1" x14ac:dyDescent="0.3">
      <c r="D278" s="34"/>
      <c r="E278" s="24"/>
      <c r="F278" s="24"/>
      <c r="G278" s="24"/>
      <c r="H278" s="24"/>
      <c r="I278" s="24"/>
      <c r="J278" s="27"/>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row>
    <row r="279" spans="4:50" s="23" customFormat="1" x14ac:dyDescent="0.3">
      <c r="D279" s="34"/>
      <c r="E279" s="24"/>
      <c r="F279" s="24"/>
      <c r="G279" s="24"/>
      <c r="H279" s="24"/>
      <c r="I279" s="24"/>
      <c r="J279" s="27"/>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row>
    <row r="280" spans="4:50" s="23" customFormat="1" x14ac:dyDescent="0.3">
      <c r="D280" s="34"/>
      <c r="E280" s="24"/>
      <c r="F280" s="24"/>
      <c r="G280" s="24"/>
      <c r="H280" s="24"/>
      <c r="I280" s="24"/>
      <c r="J280" s="27"/>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row>
    <row r="281" spans="4:50" s="23" customFormat="1" x14ac:dyDescent="0.3">
      <c r="D281" s="34"/>
      <c r="E281" s="24"/>
      <c r="F281" s="24"/>
      <c r="G281" s="24"/>
      <c r="H281" s="24"/>
      <c r="I281" s="24"/>
      <c r="J281" s="27"/>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row>
    <row r="282" spans="4:50" s="23" customFormat="1" x14ac:dyDescent="0.3">
      <c r="D282" s="34"/>
      <c r="E282" s="24"/>
      <c r="F282" s="24"/>
      <c r="G282" s="24"/>
      <c r="H282" s="24"/>
      <c r="I282" s="24"/>
      <c r="J282" s="27"/>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row>
    <row r="283" spans="4:50" s="23" customFormat="1" x14ac:dyDescent="0.3">
      <c r="D283" s="34"/>
      <c r="E283" s="24"/>
      <c r="F283" s="24"/>
      <c r="G283" s="24"/>
      <c r="H283" s="24"/>
      <c r="I283" s="24"/>
      <c r="J283" s="27"/>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row>
    <row r="284" spans="4:50" s="23" customFormat="1" x14ac:dyDescent="0.3">
      <c r="D284" s="34"/>
      <c r="E284" s="24"/>
      <c r="F284" s="24"/>
      <c r="G284" s="24"/>
      <c r="H284" s="24"/>
      <c r="I284" s="24"/>
      <c r="J284" s="27"/>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row>
    <row r="285" spans="4:50" s="23" customFormat="1" x14ac:dyDescent="0.3">
      <c r="D285" s="34"/>
      <c r="E285" s="24"/>
      <c r="F285" s="24"/>
      <c r="G285" s="24"/>
      <c r="H285" s="24"/>
      <c r="I285" s="24"/>
      <c r="J285" s="27"/>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row>
    <row r="286" spans="4:50" s="23" customFormat="1" x14ac:dyDescent="0.3">
      <c r="D286" s="34"/>
      <c r="E286" s="24"/>
      <c r="F286" s="24"/>
      <c r="G286" s="24"/>
      <c r="H286" s="24"/>
      <c r="I286" s="24"/>
      <c r="J286" s="27"/>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row>
    <row r="287" spans="4:50" s="23" customFormat="1" x14ac:dyDescent="0.3">
      <c r="D287" s="34"/>
      <c r="E287" s="24"/>
      <c r="F287" s="24"/>
      <c r="G287" s="24"/>
      <c r="H287" s="24"/>
      <c r="I287" s="24"/>
      <c r="J287" s="27"/>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row>
    <row r="288" spans="4:50" s="23" customFormat="1" x14ac:dyDescent="0.3">
      <c r="D288" s="34"/>
      <c r="E288" s="24"/>
      <c r="F288" s="24"/>
      <c r="G288" s="24"/>
      <c r="H288" s="24"/>
      <c r="I288" s="24"/>
      <c r="J288" s="27"/>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row>
    <row r="289" spans="4:50" s="23" customFormat="1" x14ac:dyDescent="0.3">
      <c r="D289" s="34"/>
      <c r="E289" s="24"/>
      <c r="F289" s="24"/>
      <c r="G289" s="24"/>
      <c r="H289" s="24"/>
      <c r="I289" s="24"/>
      <c r="J289" s="27"/>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row>
    <row r="290" spans="4:50" s="23" customFormat="1" x14ac:dyDescent="0.3">
      <c r="D290" s="34"/>
      <c r="E290" s="24"/>
      <c r="F290" s="24"/>
      <c r="G290" s="24"/>
      <c r="H290" s="24"/>
      <c r="I290" s="24"/>
      <c r="J290" s="27"/>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row>
    <row r="291" spans="4:50" s="23" customFormat="1" x14ac:dyDescent="0.3">
      <c r="D291" s="34"/>
      <c r="E291" s="24"/>
      <c r="F291" s="24"/>
      <c r="G291" s="24"/>
      <c r="H291" s="24"/>
      <c r="I291" s="24"/>
      <c r="J291" s="27"/>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row>
    <row r="292" spans="4:50" s="23" customFormat="1" x14ac:dyDescent="0.3">
      <c r="D292" s="34"/>
      <c r="E292" s="24"/>
      <c r="F292" s="24"/>
      <c r="G292" s="24"/>
      <c r="H292" s="24"/>
      <c r="I292" s="24"/>
      <c r="J292" s="27"/>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row>
    <row r="293" spans="4:50" s="23" customFormat="1" x14ac:dyDescent="0.3">
      <c r="D293" s="34"/>
      <c r="E293" s="24"/>
      <c r="F293" s="24"/>
      <c r="G293" s="24"/>
      <c r="H293" s="24"/>
      <c r="I293" s="24"/>
      <c r="J293" s="27"/>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row>
    <row r="294" spans="4:50" s="23" customFormat="1" x14ac:dyDescent="0.3">
      <c r="D294" s="34"/>
      <c r="E294" s="24"/>
      <c r="F294" s="24"/>
      <c r="G294" s="24"/>
      <c r="H294" s="24"/>
      <c r="I294" s="24"/>
      <c r="J294" s="27"/>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row>
    <row r="295" spans="4:50" s="23" customFormat="1" x14ac:dyDescent="0.3">
      <c r="D295" s="34"/>
      <c r="E295" s="24"/>
      <c r="F295" s="24"/>
      <c r="G295" s="24"/>
      <c r="H295" s="24"/>
      <c r="I295" s="24"/>
      <c r="J295" s="27"/>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row>
    <row r="296" spans="4:50" s="23" customFormat="1" x14ac:dyDescent="0.3">
      <c r="D296" s="34"/>
      <c r="E296" s="24"/>
      <c r="F296" s="24"/>
      <c r="G296" s="24"/>
      <c r="H296" s="24"/>
      <c r="I296" s="24"/>
      <c r="J296" s="27"/>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row>
    <row r="297" spans="4:50" s="23" customFormat="1" x14ac:dyDescent="0.3">
      <c r="D297" s="34"/>
      <c r="E297" s="24"/>
      <c r="F297" s="24"/>
      <c r="G297" s="24"/>
      <c r="H297" s="24"/>
      <c r="I297" s="24"/>
      <c r="J297" s="27"/>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row>
    <row r="298" spans="4:50" s="23" customFormat="1" x14ac:dyDescent="0.3">
      <c r="D298" s="34"/>
      <c r="E298" s="24"/>
      <c r="F298" s="24"/>
      <c r="G298" s="24"/>
      <c r="H298" s="24"/>
      <c r="I298" s="24"/>
      <c r="J298" s="27"/>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row>
    <row r="299" spans="4:50" s="23" customFormat="1" x14ac:dyDescent="0.3">
      <c r="D299" s="34"/>
      <c r="E299" s="24"/>
      <c r="F299" s="24"/>
      <c r="G299" s="24"/>
      <c r="H299" s="24"/>
      <c r="I299" s="24"/>
      <c r="J299" s="27"/>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row>
    <row r="300" spans="4:50" s="23" customFormat="1" x14ac:dyDescent="0.3">
      <c r="D300" s="34"/>
      <c r="E300" s="24"/>
      <c r="F300" s="24"/>
      <c r="G300" s="24"/>
      <c r="H300" s="24"/>
      <c r="I300" s="24"/>
      <c r="J300" s="27"/>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row>
    <row r="301" spans="4:50" s="23" customFormat="1" x14ac:dyDescent="0.3">
      <c r="D301" s="34"/>
      <c r="E301" s="24"/>
      <c r="F301" s="24"/>
      <c r="G301" s="24"/>
      <c r="H301" s="24"/>
      <c r="I301" s="24"/>
      <c r="J301" s="27"/>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row>
    <row r="302" spans="4:50" s="23" customFormat="1" x14ac:dyDescent="0.3">
      <c r="D302" s="34"/>
      <c r="E302" s="24"/>
      <c r="F302" s="24"/>
      <c r="G302" s="24"/>
      <c r="H302" s="24"/>
      <c r="I302" s="24"/>
      <c r="J302" s="27"/>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row>
    <row r="303" spans="4:50" s="23" customFormat="1" x14ac:dyDescent="0.3">
      <c r="D303" s="34"/>
      <c r="E303" s="24"/>
      <c r="F303" s="24"/>
      <c r="G303" s="24"/>
      <c r="H303" s="24"/>
      <c r="I303" s="24"/>
      <c r="J303" s="27"/>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row>
    <row r="304" spans="4:50" s="23" customFormat="1" x14ac:dyDescent="0.3">
      <c r="D304" s="34"/>
      <c r="E304" s="24"/>
      <c r="F304" s="24"/>
      <c r="G304" s="24"/>
      <c r="H304" s="24"/>
      <c r="I304" s="24"/>
      <c r="J304" s="27"/>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row>
    <row r="305" spans="4:50" s="23" customFormat="1" x14ac:dyDescent="0.3">
      <c r="D305" s="34"/>
      <c r="E305" s="24"/>
      <c r="F305" s="24"/>
      <c r="G305" s="24"/>
      <c r="H305" s="24"/>
      <c r="I305" s="24"/>
      <c r="J305" s="27"/>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row>
    <row r="306" spans="4:50" s="23" customFormat="1" x14ac:dyDescent="0.3">
      <c r="D306" s="34"/>
      <c r="E306" s="24"/>
      <c r="F306" s="24"/>
      <c r="G306" s="24"/>
      <c r="H306" s="24"/>
      <c r="I306" s="24"/>
      <c r="J306" s="27"/>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row>
    <row r="307" spans="4:50" s="23" customFormat="1" x14ac:dyDescent="0.3">
      <c r="D307" s="34"/>
      <c r="E307" s="24"/>
      <c r="F307" s="24"/>
      <c r="G307" s="24"/>
      <c r="H307" s="24"/>
      <c r="I307" s="24"/>
      <c r="J307" s="27"/>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row>
    <row r="308" spans="4:50" s="23" customFormat="1" x14ac:dyDescent="0.3">
      <c r="D308" s="34"/>
      <c r="E308" s="24"/>
      <c r="F308" s="24"/>
      <c r="G308" s="24"/>
      <c r="H308" s="24"/>
      <c r="I308" s="24"/>
      <c r="J308" s="27"/>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row>
    <row r="309" spans="4:50" s="23" customFormat="1" x14ac:dyDescent="0.3">
      <c r="D309" s="34"/>
      <c r="E309" s="24"/>
      <c r="F309" s="24"/>
      <c r="G309" s="24"/>
      <c r="H309" s="24"/>
      <c r="I309" s="24"/>
      <c r="J309" s="27"/>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row>
    <row r="310" spans="4:50" s="23" customFormat="1" x14ac:dyDescent="0.3">
      <c r="D310" s="34"/>
      <c r="E310" s="24"/>
      <c r="F310" s="24"/>
      <c r="G310" s="24"/>
      <c r="H310" s="24"/>
      <c r="I310" s="24"/>
      <c r="J310" s="27"/>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row>
    <row r="311" spans="4:50" s="23" customFormat="1" x14ac:dyDescent="0.3">
      <c r="D311" s="34"/>
      <c r="E311" s="24"/>
      <c r="F311" s="24"/>
      <c r="G311" s="24"/>
      <c r="H311" s="24"/>
      <c r="I311" s="24"/>
      <c r="J311" s="27"/>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row>
    <row r="312" spans="4:50" s="23" customFormat="1" x14ac:dyDescent="0.3">
      <c r="D312" s="34"/>
      <c r="E312" s="24"/>
      <c r="F312" s="24"/>
      <c r="G312" s="24"/>
      <c r="H312" s="24"/>
      <c r="I312" s="24"/>
      <c r="J312" s="27"/>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row>
    <row r="313" spans="4:50" s="23" customFormat="1" x14ac:dyDescent="0.3">
      <c r="D313" s="34"/>
      <c r="E313" s="24"/>
      <c r="F313" s="24"/>
      <c r="G313" s="24"/>
      <c r="H313" s="24"/>
      <c r="I313" s="24"/>
      <c r="J313" s="27"/>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row>
    <row r="314" spans="4:50" s="23" customFormat="1" x14ac:dyDescent="0.3">
      <c r="D314" s="34"/>
      <c r="E314" s="24"/>
      <c r="F314" s="24"/>
      <c r="G314" s="24"/>
      <c r="H314" s="24"/>
      <c r="I314" s="24"/>
      <c r="J314" s="27"/>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row>
    <row r="315" spans="4:50" s="23" customFormat="1" x14ac:dyDescent="0.3">
      <c r="D315" s="34"/>
      <c r="E315" s="24"/>
      <c r="F315" s="24"/>
      <c r="G315" s="24"/>
      <c r="H315" s="24"/>
      <c r="I315" s="24"/>
      <c r="J315" s="27"/>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row>
    <row r="316" spans="4:50" s="23" customFormat="1" x14ac:dyDescent="0.3">
      <c r="D316" s="34"/>
      <c r="E316" s="24"/>
      <c r="F316" s="24"/>
      <c r="G316" s="24"/>
      <c r="H316" s="24"/>
      <c r="I316" s="24"/>
      <c r="J316" s="27"/>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row>
    <row r="317" spans="4:50" s="23" customFormat="1" x14ac:dyDescent="0.3">
      <c r="D317" s="34"/>
      <c r="E317" s="24"/>
      <c r="F317" s="24"/>
      <c r="G317" s="24"/>
      <c r="H317" s="24"/>
      <c r="I317" s="24"/>
      <c r="J317" s="27"/>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row>
    <row r="318" spans="4:50" s="23" customFormat="1" x14ac:dyDescent="0.3">
      <c r="D318" s="34"/>
      <c r="E318" s="24"/>
      <c r="F318" s="24"/>
      <c r="G318" s="24"/>
      <c r="H318" s="24"/>
      <c r="I318" s="24"/>
      <c r="J318" s="27"/>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row>
    <row r="319" spans="4:50" s="23" customFormat="1" x14ac:dyDescent="0.3">
      <c r="D319" s="34"/>
      <c r="E319" s="24"/>
      <c r="F319" s="24"/>
      <c r="G319" s="24"/>
      <c r="H319" s="24"/>
      <c r="I319" s="24"/>
      <c r="J319" s="27"/>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row>
    <row r="320" spans="4:50" s="23" customFormat="1" x14ac:dyDescent="0.3">
      <c r="D320" s="34"/>
      <c r="E320" s="24"/>
      <c r="F320" s="24"/>
      <c r="G320" s="24"/>
      <c r="H320" s="24"/>
      <c r="I320" s="24"/>
      <c r="J320" s="27"/>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row>
    <row r="321" spans="4:50" s="23" customFormat="1" x14ac:dyDescent="0.3">
      <c r="D321" s="34"/>
      <c r="E321" s="24"/>
      <c r="F321" s="24"/>
      <c r="G321" s="24"/>
      <c r="H321" s="24"/>
      <c r="I321" s="24"/>
      <c r="J321" s="27"/>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row>
    <row r="322" spans="4:50" s="23" customFormat="1" x14ac:dyDescent="0.3">
      <c r="D322" s="34"/>
      <c r="E322" s="24"/>
      <c r="F322" s="24"/>
      <c r="G322" s="24"/>
      <c r="H322" s="24"/>
      <c r="I322" s="24"/>
      <c r="J322" s="27"/>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row>
    <row r="323" spans="4:50" s="23" customFormat="1" x14ac:dyDescent="0.3">
      <c r="D323" s="34"/>
      <c r="E323" s="24"/>
      <c r="F323" s="24"/>
      <c r="G323" s="24"/>
      <c r="H323" s="24"/>
      <c r="I323" s="24"/>
      <c r="J323" s="27"/>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row>
    <row r="324" spans="4:50" s="23" customFormat="1" x14ac:dyDescent="0.3">
      <c r="D324" s="34"/>
      <c r="E324" s="24"/>
      <c r="F324" s="24"/>
      <c r="G324" s="24"/>
      <c r="H324" s="24"/>
      <c r="I324" s="24"/>
      <c r="J324" s="27"/>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row>
    <row r="325" spans="4:50" s="23" customFormat="1" x14ac:dyDescent="0.3">
      <c r="D325" s="34"/>
      <c r="E325" s="24"/>
      <c r="F325" s="24"/>
      <c r="G325" s="24"/>
      <c r="H325" s="24"/>
      <c r="I325" s="24"/>
      <c r="J325" s="27"/>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row>
    <row r="326" spans="4:50" s="23" customFormat="1" x14ac:dyDescent="0.3">
      <c r="D326" s="34"/>
      <c r="E326" s="24"/>
      <c r="F326" s="24"/>
      <c r="G326" s="24"/>
      <c r="H326" s="24"/>
      <c r="I326" s="24"/>
      <c r="J326" s="27"/>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row>
    <row r="327" spans="4:50" s="23" customFormat="1" x14ac:dyDescent="0.3">
      <c r="D327" s="34"/>
      <c r="E327" s="24"/>
      <c r="F327" s="24"/>
      <c r="G327" s="24"/>
      <c r="H327" s="24"/>
      <c r="I327" s="24"/>
      <c r="J327" s="27"/>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row>
    <row r="328" spans="4:50" s="23" customFormat="1" x14ac:dyDescent="0.3">
      <c r="D328" s="34"/>
      <c r="E328" s="24"/>
      <c r="F328" s="24"/>
      <c r="G328" s="24"/>
      <c r="H328" s="24"/>
      <c r="I328" s="24"/>
      <c r="J328" s="27"/>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row>
    <row r="329" spans="4:50" s="23" customFormat="1" x14ac:dyDescent="0.3">
      <c r="D329" s="34"/>
      <c r="E329" s="24"/>
      <c r="F329" s="24"/>
      <c r="G329" s="24"/>
      <c r="H329" s="24"/>
      <c r="I329" s="24"/>
      <c r="J329" s="27"/>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row>
    <row r="330" spans="4:50" s="23" customFormat="1" x14ac:dyDescent="0.3">
      <c r="D330" s="34"/>
      <c r="E330" s="24"/>
      <c r="F330" s="24"/>
      <c r="G330" s="24"/>
      <c r="H330" s="24"/>
      <c r="I330" s="24"/>
      <c r="J330" s="27"/>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row>
    <row r="331" spans="4:50" s="23" customFormat="1" x14ac:dyDescent="0.3">
      <c r="D331" s="34"/>
      <c r="E331" s="24"/>
      <c r="F331" s="24"/>
      <c r="G331" s="24"/>
      <c r="H331" s="24"/>
      <c r="I331" s="24"/>
      <c r="J331" s="27"/>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row>
    <row r="332" spans="4:50" s="23" customFormat="1" x14ac:dyDescent="0.3">
      <c r="D332" s="34"/>
      <c r="E332" s="24"/>
      <c r="F332" s="24"/>
      <c r="G332" s="24"/>
      <c r="H332" s="24"/>
      <c r="I332" s="24"/>
      <c r="J332" s="27"/>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row>
    <row r="333" spans="4:50" s="23" customFormat="1" x14ac:dyDescent="0.3">
      <c r="D333" s="34"/>
      <c r="E333" s="24"/>
      <c r="F333" s="24"/>
      <c r="G333" s="24"/>
      <c r="H333" s="24"/>
      <c r="I333" s="24"/>
      <c r="J333" s="27"/>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row>
    <row r="334" spans="4:50" s="23" customFormat="1" x14ac:dyDescent="0.3">
      <c r="D334" s="34"/>
      <c r="E334" s="24"/>
      <c r="F334" s="24"/>
      <c r="G334" s="24"/>
      <c r="H334" s="24"/>
      <c r="I334" s="24"/>
      <c r="J334" s="27"/>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row>
    <row r="335" spans="4:50" s="23" customFormat="1" x14ac:dyDescent="0.3">
      <c r="D335" s="34"/>
      <c r="E335" s="24"/>
      <c r="F335" s="24"/>
      <c r="G335" s="24"/>
      <c r="H335" s="24"/>
      <c r="I335" s="24"/>
      <c r="J335" s="27"/>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row>
    <row r="336" spans="4:50" s="23" customFormat="1" x14ac:dyDescent="0.3">
      <c r="D336" s="34"/>
      <c r="E336" s="24"/>
      <c r="F336" s="24"/>
      <c r="G336" s="24"/>
      <c r="H336" s="24"/>
      <c r="I336" s="24"/>
      <c r="J336" s="27"/>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row>
    <row r="337" spans="4:50" s="23" customFormat="1" x14ac:dyDescent="0.3">
      <c r="D337" s="34"/>
      <c r="E337" s="24"/>
      <c r="F337" s="24"/>
      <c r="G337" s="24"/>
      <c r="H337" s="24"/>
      <c r="I337" s="24"/>
      <c r="J337" s="27"/>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row>
    <row r="338" spans="4:50" s="23" customFormat="1" x14ac:dyDescent="0.3">
      <c r="D338" s="34"/>
      <c r="E338" s="24"/>
      <c r="F338" s="24"/>
      <c r="G338" s="24"/>
      <c r="H338" s="24"/>
      <c r="I338" s="24"/>
      <c r="J338" s="27"/>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row>
    <row r="339" spans="4:50" s="23" customFormat="1" x14ac:dyDescent="0.3">
      <c r="D339" s="34"/>
      <c r="E339" s="24"/>
      <c r="F339" s="24"/>
      <c r="G339" s="24"/>
      <c r="H339" s="24"/>
      <c r="I339" s="24"/>
      <c r="J339" s="27"/>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row>
    <row r="340" spans="4:50" s="23" customFormat="1" x14ac:dyDescent="0.3">
      <c r="D340" s="34"/>
      <c r="E340" s="24"/>
      <c r="F340" s="24"/>
      <c r="G340" s="24"/>
      <c r="H340" s="24"/>
      <c r="I340" s="24"/>
      <c r="J340" s="27"/>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row>
    <row r="341" spans="4:50" s="23" customFormat="1" x14ac:dyDescent="0.3">
      <c r="D341" s="34"/>
      <c r="E341" s="24"/>
      <c r="F341" s="24"/>
      <c r="G341" s="24"/>
      <c r="H341" s="24"/>
      <c r="I341" s="24"/>
      <c r="J341" s="27"/>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row>
    <row r="342" spans="4:50" s="23" customFormat="1" x14ac:dyDescent="0.3">
      <c r="D342" s="34"/>
      <c r="E342" s="24"/>
      <c r="F342" s="24"/>
      <c r="G342" s="24"/>
      <c r="H342" s="24"/>
      <c r="I342" s="24"/>
      <c r="J342" s="27"/>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row>
    <row r="343" spans="4:50" s="23" customFormat="1" x14ac:dyDescent="0.3">
      <c r="D343" s="34"/>
      <c r="E343" s="24"/>
      <c r="F343" s="24"/>
      <c r="G343" s="24"/>
      <c r="H343" s="24"/>
      <c r="I343" s="24"/>
      <c r="J343" s="27"/>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row>
    <row r="344" spans="4:50" s="23" customFormat="1" x14ac:dyDescent="0.3">
      <c r="D344" s="34"/>
      <c r="E344" s="24"/>
      <c r="F344" s="24"/>
      <c r="G344" s="24"/>
      <c r="H344" s="24"/>
      <c r="I344" s="24"/>
      <c r="J344" s="27"/>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row>
    <row r="345" spans="4:50" s="23" customFormat="1" x14ac:dyDescent="0.3">
      <c r="D345" s="34"/>
      <c r="E345" s="24"/>
      <c r="F345" s="24"/>
      <c r="G345" s="24"/>
      <c r="H345" s="24"/>
      <c r="I345" s="24"/>
      <c r="J345" s="27"/>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row>
    <row r="346" spans="4:50" s="23" customFormat="1" x14ac:dyDescent="0.3">
      <c r="D346" s="34"/>
      <c r="E346" s="24"/>
      <c r="F346" s="24"/>
      <c r="G346" s="24"/>
      <c r="H346" s="24"/>
      <c r="I346" s="24"/>
      <c r="J346" s="27"/>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row>
    <row r="347" spans="4:50" s="23" customFormat="1" x14ac:dyDescent="0.3">
      <c r="D347" s="34"/>
      <c r="E347" s="24"/>
      <c r="F347" s="24"/>
      <c r="G347" s="24"/>
      <c r="H347" s="24"/>
      <c r="I347" s="24"/>
      <c r="J347" s="27"/>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row>
    <row r="348" spans="4:50" s="23" customFormat="1" x14ac:dyDescent="0.3">
      <c r="D348" s="34"/>
      <c r="E348" s="24"/>
      <c r="F348" s="24"/>
      <c r="G348" s="24"/>
      <c r="H348" s="24"/>
      <c r="I348" s="24"/>
      <c r="J348" s="27"/>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row>
    <row r="349" spans="4:50" s="23" customFormat="1" x14ac:dyDescent="0.3">
      <c r="D349" s="34"/>
      <c r="E349" s="24"/>
      <c r="F349" s="24"/>
      <c r="G349" s="24"/>
      <c r="H349" s="24"/>
      <c r="I349" s="24"/>
      <c r="J349" s="27"/>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row>
    <row r="350" spans="4:50" s="23" customFormat="1" x14ac:dyDescent="0.3">
      <c r="D350" s="34"/>
      <c r="E350" s="24"/>
      <c r="F350" s="24"/>
      <c r="G350" s="24"/>
      <c r="H350" s="24"/>
      <c r="I350" s="24"/>
      <c r="J350" s="27"/>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row>
    <row r="351" spans="4:50" s="23" customFormat="1" x14ac:dyDescent="0.3">
      <c r="D351" s="34"/>
      <c r="E351" s="24"/>
      <c r="F351" s="24"/>
      <c r="G351" s="24"/>
      <c r="H351" s="24"/>
      <c r="I351" s="24"/>
      <c r="J351" s="27"/>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row>
    <row r="352" spans="4:50" s="23" customFormat="1" x14ac:dyDescent="0.3">
      <c r="D352" s="34"/>
      <c r="E352" s="24"/>
      <c r="F352" s="24"/>
      <c r="G352" s="24"/>
      <c r="H352" s="24"/>
      <c r="I352" s="24"/>
      <c r="J352" s="27"/>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row>
    <row r="353" spans="4:50" s="23" customFormat="1" x14ac:dyDescent="0.3">
      <c r="D353" s="34"/>
      <c r="E353" s="24"/>
      <c r="F353" s="24"/>
      <c r="G353" s="24"/>
      <c r="H353" s="24"/>
      <c r="I353" s="24"/>
      <c r="J353" s="27"/>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row>
    <row r="354" spans="4:50" s="23" customFormat="1" x14ac:dyDescent="0.3">
      <c r="D354" s="34"/>
      <c r="E354" s="24"/>
      <c r="F354" s="24"/>
      <c r="G354" s="24"/>
      <c r="H354" s="24"/>
      <c r="I354" s="24"/>
      <c r="J354" s="27"/>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row>
    <row r="355" spans="4:50" s="23" customFormat="1" x14ac:dyDescent="0.3">
      <c r="D355" s="34"/>
      <c r="E355" s="24"/>
      <c r="F355" s="24"/>
      <c r="G355" s="24"/>
      <c r="H355" s="24"/>
      <c r="I355" s="24"/>
      <c r="J355" s="27"/>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row>
    <row r="356" spans="4:50" s="23" customFormat="1" x14ac:dyDescent="0.3">
      <c r="D356" s="34"/>
      <c r="E356" s="24"/>
      <c r="F356" s="24"/>
      <c r="G356" s="24"/>
      <c r="H356" s="24"/>
      <c r="I356" s="24"/>
      <c r="J356" s="27"/>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row>
    <row r="357" spans="4:50" s="23" customFormat="1" x14ac:dyDescent="0.3">
      <c r="D357" s="34"/>
      <c r="E357" s="24"/>
      <c r="F357" s="24"/>
      <c r="G357" s="24"/>
      <c r="H357" s="24"/>
      <c r="I357" s="24"/>
      <c r="J357" s="27"/>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row>
    <row r="358" spans="4:50" s="23" customFormat="1" x14ac:dyDescent="0.3">
      <c r="D358" s="34"/>
      <c r="E358" s="24"/>
      <c r="F358" s="24"/>
      <c r="G358" s="24"/>
      <c r="H358" s="24"/>
      <c r="I358" s="24"/>
      <c r="J358" s="27"/>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row>
    <row r="359" spans="4:50" s="23" customFormat="1" x14ac:dyDescent="0.3">
      <c r="D359" s="34"/>
      <c r="E359" s="24"/>
      <c r="F359" s="24"/>
      <c r="G359" s="24"/>
      <c r="H359" s="24"/>
      <c r="I359" s="24"/>
      <c r="J359" s="27"/>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row>
    <row r="360" spans="4:50" s="23" customFormat="1" x14ac:dyDescent="0.3">
      <c r="D360" s="34"/>
      <c r="E360" s="24"/>
      <c r="F360" s="24"/>
      <c r="G360" s="24"/>
      <c r="H360" s="24"/>
      <c r="I360" s="24"/>
      <c r="J360" s="27"/>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row>
    <row r="361" spans="4:50" s="23" customFormat="1" x14ac:dyDescent="0.3">
      <c r="D361" s="34"/>
      <c r="E361" s="24"/>
      <c r="F361" s="24"/>
      <c r="G361" s="24"/>
      <c r="H361" s="24"/>
      <c r="I361" s="24"/>
      <c r="J361" s="27"/>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row>
    <row r="362" spans="4:50" s="23" customFormat="1" x14ac:dyDescent="0.3">
      <c r="D362" s="34"/>
      <c r="E362" s="24"/>
      <c r="F362" s="24"/>
      <c r="G362" s="24"/>
      <c r="H362" s="24"/>
      <c r="I362" s="24"/>
      <c r="J362" s="27"/>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row>
    <row r="363" spans="4:50" s="23" customFormat="1" x14ac:dyDescent="0.3">
      <c r="D363" s="34"/>
      <c r="E363" s="24"/>
      <c r="F363" s="24"/>
      <c r="G363" s="24"/>
      <c r="H363" s="24"/>
      <c r="I363" s="24"/>
      <c r="J363" s="27"/>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row>
    <row r="364" spans="4:50" s="23" customFormat="1" x14ac:dyDescent="0.3">
      <c r="D364" s="34"/>
      <c r="E364" s="24"/>
      <c r="F364" s="24"/>
      <c r="G364" s="24"/>
      <c r="H364" s="24"/>
      <c r="I364" s="24"/>
      <c r="J364" s="27"/>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row>
    <row r="365" spans="4:50" s="23" customFormat="1" x14ac:dyDescent="0.3">
      <c r="D365" s="34"/>
      <c r="E365" s="24"/>
      <c r="F365" s="24"/>
      <c r="G365" s="24"/>
      <c r="H365" s="24"/>
      <c r="I365" s="24"/>
      <c r="J365" s="27"/>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row>
    <row r="366" spans="4:50" s="23" customFormat="1" x14ac:dyDescent="0.3">
      <c r="D366" s="34"/>
      <c r="E366" s="24"/>
      <c r="F366" s="24"/>
      <c r="G366" s="24"/>
      <c r="H366" s="24"/>
      <c r="I366" s="24"/>
      <c r="J366" s="27"/>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row>
    <row r="367" spans="4:50" s="23" customFormat="1" x14ac:dyDescent="0.3">
      <c r="D367" s="34"/>
      <c r="E367" s="24"/>
      <c r="F367" s="24"/>
      <c r="G367" s="24"/>
      <c r="H367" s="24"/>
      <c r="I367" s="24"/>
      <c r="J367" s="27"/>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row>
    <row r="368" spans="4:50" s="23" customFormat="1" x14ac:dyDescent="0.3">
      <c r="D368" s="34"/>
      <c r="E368" s="24"/>
      <c r="F368" s="24"/>
      <c r="G368" s="24"/>
      <c r="H368" s="24"/>
      <c r="I368" s="24"/>
      <c r="J368" s="27"/>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row>
    <row r="369" spans="4:50" s="23" customFormat="1" x14ac:dyDescent="0.3">
      <c r="D369" s="34"/>
      <c r="E369" s="24"/>
      <c r="F369" s="24"/>
      <c r="G369" s="24"/>
      <c r="H369" s="24"/>
      <c r="I369" s="24"/>
      <c r="J369" s="27"/>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row>
    <row r="370" spans="4:50" s="23" customFormat="1" x14ac:dyDescent="0.3">
      <c r="D370" s="34"/>
      <c r="E370" s="24"/>
      <c r="F370" s="24"/>
      <c r="G370" s="24"/>
      <c r="H370" s="24"/>
      <c r="I370" s="24"/>
      <c r="J370" s="27"/>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row>
    <row r="371" spans="4:50" s="23" customFormat="1" x14ac:dyDescent="0.3">
      <c r="D371" s="34"/>
      <c r="E371" s="24"/>
      <c r="F371" s="24"/>
      <c r="G371" s="24"/>
      <c r="H371" s="24"/>
      <c r="I371" s="24"/>
      <c r="J371" s="27"/>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row>
    <row r="372" spans="4:50" s="23" customFormat="1" x14ac:dyDescent="0.3">
      <c r="D372" s="34"/>
      <c r="E372" s="24"/>
      <c r="F372" s="24"/>
      <c r="G372" s="24"/>
      <c r="H372" s="24"/>
      <c r="I372" s="24"/>
      <c r="J372" s="27"/>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row>
    <row r="373" spans="4:50" s="23" customFormat="1" x14ac:dyDescent="0.3">
      <c r="D373" s="34"/>
      <c r="E373" s="24"/>
      <c r="F373" s="24"/>
      <c r="G373" s="24"/>
      <c r="H373" s="24"/>
      <c r="I373" s="24"/>
      <c r="J373" s="27"/>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row>
    <row r="374" spans="4:50" s="23" customFormat="1" x14ac:dyDescent="0.3">
      <c r="D374" s="34"/>
      <c r="E374" s="24"/>
      <c r="F374" s="24"/>
      <c r="G374" s="24"/>
      <c r="H374" s="24"/>
      <c r="I374" s="24"/>
      <c r="J374" s="27"/>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row>
    <row r="375" spans="4:50" s="23" customFormat="1" x14ac:dyDescent="0.3">
      <c r="D375" s="34"/>
      <c r="E375" s="24"/>
      <c r="F375" s="24"/>
      <c r="G375" s="24"/>
      <c r="H375" s="24"/>
      <c r="I375" s="24"/>
      <c r="J375" s="27"/>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row>
    <row r="376" spans="4:50" s="23" customFormat="1" x14ac:dyDescent="0.3">
      <c r="D376" s="34"/>
      <c r="E376" s="24"/>
      <c r="F376" s="24"/>
      <c r="G376" s="24"/>
      <c r="H376" s="24"/>
      <c r="I376" s="24"/>
      <c r="J376" s="27"/>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row>
    <row r="377" spans="4:50" s="23" customFormat="1" x14ac:dyDescent="0.3">
      <c r="D377" s="34"/>
      <c r="E377" s="24"/>
      <c r="F377" s="24"/>
      <c r="G377" s="24"/>
      <c r="H377" s="24"/>
      <c r="I377" s="24"/>
      <c r="J377" s="27"/>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row>
    <row r="378" spans="4:50" s="23" customFormat="1" x14ac:dyDescent="0.3">
      <c r="D378" s="34"/>
      <c r="E378" s="24"/>
      <c r="F378" s="24"/>
      <c r="G378" s="24"/>
      <c r="H378" s="24"/>
      <c r="I378" s="24"/>
      <c r="J378" s="27"/>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row>
    <row r="379" spans="4:50" s="23" customFormat="1" x14ac:dyDescent="0.3">
      <c r="D379" s="34"/>
      <c r="E379" s="24"/>
      <c r="F379" s="24"/>
      <c r="G379" s="24"/>
      <c r="H379" s="24"/>
      <c r="I379" s="24"/>
      <c r="J379" s="27"/>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row>
    <row r="380" spans="4:50" s="23" customFormat="1" x14ac:dyDescent="0.3">
      <c r="D380" s="34"/>
      <c r="E380" s="24"/>
      <c r="F380" s="24"/>
      <c r="G380" s="24"/>
      <c r="H380" s="24"/>
      <c r="I380" s="24"/>
      <c r="J380" s="27"/>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row>
    <row r="381" spans="4:50" s="23" customFormat="1" x14ac:dyDescent="0.3">
      <c r="D381" s="34"/>
      <c r="E381" s="24"/>
      <c r="F381" s="24"/>
      <c r="G381" s="24"/>
      <c r="H381" s="24"/>
      <c r="I381" s="24"/>
      <c r="J381" s="27"/>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row>
    <row r="382" spans="4:50" s="23" customFormat="1" x14ac:dyDescent="0.3">
      <c r="D382" s="34"/>
      <c r="E382" s="24"/>
      <c r="F382" s="24"/>
      <c r="G382" s="24"/>
      <c r="H382" s="24"/>
      <c r="I382" s="24"/>
      <c r="J382" s="27"/>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row>
    <row r="383" spans="4:50" s="23" customFormat="1" x14ac:dyDescent="0.3">
      <c r="D383" s="34"/>
      <c r="E383" s="24"/>
      <c r="F383" s="24"/>
      <c r="G383" s="24"/>
      <c r="H383" s="24"/>
      <c r="I383" s="24"/>
      <c r="J383" s="27"/>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row>
    <row r="384" spans="4:50" s="23" customFormat="1" x14ac:dyDescent="0.3">
      <c r="D384" s="34"/>
      <c r="E384" s="24"/>
      <c r="F384" s="24"/>
      <c r="G384" s="24"/>
      <c r="H384" s="24"/>
      <c r="I384" s="24"/>
      <c r="J384" s="27"/>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row>
    <row r="385" spans="4:50" s="23" customFormat="1" x14ac:dyDescent="0.3">
      <c r="D385" s="34"/>
      <c r="E385" s="24"/>
      <c r="F385" s="24"/>
      <c r="G385" s="24"/>
      <c r="H385" s="24"/>
      <c r="I385" s="24"/>
      <c r="J385" s="27"/>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row>
    <row r="386" spans="4:50" s="23" customFormat="1" x14ac:dyDescent="0.3">
      <c r="D386" s="34"/>
      <c r="E386" s="24"/>
      <c r="F386" s="24"/>
      <c r="G386" s="24"/>
      <c r="H386" s="24"/>
      <c r="I386" s="24"/>
      <c r="J386" s="27"/>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row>
    <row r="387" spans="4:50" s="23" customFormat="1" x14ac:dyDescent="0.3">
      <c r="D387" s="34"/>
      <c r="E387" s="24"/>
      <c r="F387" s="24"/>
      <c r="G387" s="24"/>
      <c r="H387" s="24"/>
      <c r="I387" s="24"/>
      <c r="J387" s="27"/>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row>
    <row r="388" spans="4:50" s="23" customFormat="1" x14ac:dyDescent="0.3">
      <c r="D388" s="34"/>
      <c r="E388" s="24"/>
      <c r="F388" s="24"/>
      <c r="G388" s="24"/>
      <c r="H388" s="24"/>
      <c r="I388" s="24"/>
      <c r="J388" s="27"/>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row>
    <row r="389" spans="4:50" s="23" customFormat="1" x14ac:dyDescent="0.3">
      <c r="D389" s="34"/>
      <c r="E389" s="24"/>
      <c r="F389" s="24"/>
      <c r="G389" s="24"/>
      <c r="H389" s="24"/>
      <c r="I389" s="24"/>
      <c r="J389" s="27"/>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row>
    <row r="390" spans="4:50" s="23" customFormat="1" x14ac:dyDescent="0.3">
      <c r="D390" s="34"/>
      <c r="E390" s="24"/>
      <c r="F390" s="24"/>
      <c r="G390" s="24"/>
      <c r="H390" s="24"/>
      <c r="I390" s="24"/>
      <c r="J390" s="27"/>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row>
    <row r="391" spans="4:50" s="23" customFormat="1" x14ac:dyDescent="0.3">
      <c r="D391" s="34"/>
      <c r="E391" s="24"/>
      <c r="F391" s="24"/>
      <c r="G391" s="24"/>
      <c r="H391" s="24"/>
      <c r="I391" s="24"/>
      <c r="J391" s="27"/>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row>
    <row r="392" spans="4:50" s="23" customFormat="1" x14ac:dyDescent="0.3">
      <c r="D392" s="34"/>
      <c r="E392" s="24"/>
      <c r="F392" s="24"/>
      <c r="G392" s="24"/>
      <c r="H392" s="24"/>
      <c r="I392" s="24"/>
      <c r="J392" s="27"/>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row>
    <row r="393" spans="4:50" s="23" customFormat="1" x14ac:dyDescent="0.3">
      <c r="D393" s="34"/>
      <c r="E393" s="24"/>
      <c r="F393" s="24"/>
      <c r="G393" s="24"/>
      <c r="H393" s="24"/>
      <c r="I393" s="24"/>
      <c r="J393" s="27"/>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row>
    <row r="394" spans="4:50" s="23" customFormat="1" x14ac:dyDescent="0.3">
      <c r="D394" s="34"/>
      <c r="E394" s="24"/>
      <c r="F394" s="24"/>
      <c r="G394" s="24"/>
      <c r="H394" s="24"/>
      <c r="I394" s="24"/>
      <c r="J394" s="27"/>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row>
    <row r="395" spans="4:50" s="23" customFormat="1" x14ac:dyDescent="0.3">
      <c r="D395" s="34"/>
      <c r="E395" s="24"/>
      <c r="F395" s="24"/>
      <c r="G395" s="24"/>
      <c r="H395" s="24"/>
      <c r="I395" s="24"/>
      <c r="J395" s="27"/>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row>
    <row r="396" spans="4:50" s="23" customFormat="1" x14ac:dyDescent="0.3">
      <c r="D396" s="34"/>
      <c r="E396" s="24"/>
      <c r="F396" s="24"/>
      <c r="G396" s="24"/>
      <c r="H396" s="24"/>
      <c r="I396" s="24"/>
      <c r="J396" s="27"/>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row>
    <row r="397" spans="4:50" s="23" customFormat="1" x14ac:dyDescent="0.3">
      <c r="D397" s="34"/>
      <c r="E397" s="24"/>
      <c r="F397" s="24"/>
      <c r="G397" s="24"/>
      <c r="H397" s="24"/>
      <c r="I397" s="24"/>
      <c r="J397" s="27"/>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row>
    <row r="398" spans="4:50" s="23" customFormat="1" x14ac:dyDescent="0.3">
      <c r="D398" s="34"/>
      <c r="E398" s="24"/>
      <c r="F398" s="24"/>
      <c r="G398" s="24"/>
      <c r="H398" s="24"/>
      <c r="I398" s="24"/>
      <c r="J398" s="27"/>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row>
    <row r="399" spans="4:50" s="23" customFormat="1" x14ac:dyDescent="0.3">
      <c r="D399" s="34"/>
      <c r="E399" s="24"/>
      <c r="F399" s="24"/>
      <c r="G399" s="24"/>
      <c r="H399" s="24"/>
      <c r="I399" s="24"/>
      <c r="J399" s="27"/>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row>
    <row r="400" spans="4:50" s="23" customFormat="1" x14ac:dyDescent="0.3">
      <c r="D400" s="34"/>
      <c r="E400" s="24"/>
      <c r="F400" s="24"/>
      <c r="G400" s="24"/>
      <c r="H400" s="24"/>
      <c r="I400" s="24"/>
      <c r="J400" s="27"/>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row>
    <row r="401" spans="4:50" s="23" customFormat="1" x14ac:dyDescent="0.3">
      <c r="D401" s="34"/>
      <c r="E401" s="24"/>
      <c r="F401" s="24"/>
      <c r="G401" s="24"/>
      <c r="H401" s="24"/>
      <c r="I401" s="24"/>
      <c r="J401" s="27"/>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row>
    <row r="402" spans="4:50" s="23" customFormat="1" x14ac:dyDescent="0.3">
      <c r="D402" s="34"/>
      <c r="E402" s="24"/>
      <c r="F402" s="24"/>
      <c r="G402" s="24"/>
      <c r="H402" s="24"/>
      <c r="I402" s="24"/>
      <c r="J402" s="27"/>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row>
    <row r="403" spans="4:50" s="23" customFormat="1" x14ac:dyDescent="0.3">
      <c r="D403" s="34"/>
      <c r="E403" s="24"/>
      <c r="F403" s="24"/>
      <c r="G403" s="24"/>
      <c r="H403" s="24"/>
      <c r="I403" s="24"/>
      <c r="J403" s="27"/>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row>
    <row r="404" spans="4:50" s="23" customFormat="1" x14ac:dyDescent="0.3">
      <c r="D404" s="34"/>
      <c r="E404" s="24"/>
      <c r="F404" s="24"/>
      <c r="G404" s="24"/>
      <c r="H404" s="24"/>
      <c r="I404" s="24"/>
      <c r="J404" s="27"/>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row>
    <row r="405" spans="4:50" s="23" customFormat="1" x14ac:dyDescent="0.3">
      <c r="D405" s="34"/>
      <c r="E405" s="24"/>
      <c r="F405" s="24"/>
      <c r="G405" s="24"/>
      <c r="H405" s="24"/>
      <c r="I405" s="24"/>
      <c r="J405" s="27"/>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row>
    <row r="406" spans="4:50" s="23" customFormat="1" x14ac:dyDescent="0.3">
      <c r="D406" s="34"/>
      <c r="E406" s="24"/>
      <c r="F406" s="24"/>
      <c r="G406" s="24"/>
      <c r="H406" s="24"/>
      <c r="I406" s="24"/>
      <c r="J406" s="27"/>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row>
    <row r="407" spans="4:50" s="23" customFormat="1" x14ac:dyDescent="0.3">
      <c r="D407" s="34"/>
      <c r="E407" s="24"/>
      <c r="F407" s="24"/>
      <c r="G407" s="24"/>
      <c r="H407" s="24"/>
      <c r="I407" s="24"/>
      <c r="J407" s="27"/>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row>
    <row r="408" spans="4:50" s="23" customFormat="1" x14ac:dyDescent="0.3">
      <c r="D408" s="34"/>
      <c r="E408" s="24"/>
      <c r="F408" s="24"/>
      <c r="G408" s="24"/>
      <c r="H408" s="24"/>
      <c r="I408" s="24"/>
      <c r="J408" s="27"/>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row>
    <row r="409" spans="4:50" s="23" customFormat="1" x14ac:dyDescent="0.3">
      <c r="D409" s="34"/>
      <c r="E409" s="24"/>
      <c r="F409" s="24"/>
      <c r="G409" s="24"/>
      <c r="H409" s="24"/>
      <c r="I409" s="24"/>
      <c r="J409" s="27"/>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row>
    <row r="410" spans="4:50" s="23" customFormat="1" x14ac:dyDescent="0.3">
      <c r="D410" s="34"/>
      <c r="E410" s="24"/>
      <c r="F410" s="24"/>
      <c r="G410" s="24"/>
      <c r="H410" s="24"/>
      <c r="I410" s="24"/>
      <c r="J410" s="27"/>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row>
    <row r="411" spans="4:50" s="23" customFormat="1" x14ac:dyDescent="0.3">
      <c r="D411" s="34"/>
      <c r="E411" s="24"/>
      <c r="F411" s="24"/>
      <c r="G411" s="24"/>
      <c r="H411" s="24"/>
      <c r="I411" s="24"/>
      <c r="J411" s="27"/>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row>
    <row r="412" spans="4:50" s="23" customFormat="1" x14ac:dyDescent="0.3">
      <c r="D412" s="34"/>
      <c r="E412" s="24"/>
      <c r="F412" s="24"/>
      <c r="G412" s="24"/>
      <c r="H412" s="24"/>
      <c r="I412" s="24"/>
      <c r="J412" s="27"/>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row>
    <row r="413" spans="4:50" s="23" customFormat="1" x14ac:dyDescent="0.3">
      <c r="D413" s="34"/>
      <c r="E413" s="24"/>
      <c r="F413" s="24"/>
      <c r="G413" s="24"/>
      <c r="H413" s="24"/>
      <c r="I413" s="24"/>
      <c r="J413" s="27"/>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row>
    <row r="414" spans="4:50" s="23" customFormat="1" x14ac:dyDescent="0.3">
      <c r="D414" s="34"/>
      <c r="E414" s="24"/>
      <c r="F414" s="24"/>
      <c r="G414" s="24"/>
      <c r="H414" s="24"/>
      <c r="I414" s="24"/>
      <c r="J414" s="27"/>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row>
    <row r="415" spans="4:50" s="23" customFormat="1" x14ac:dyDescent="0.3">
      <c r="D415" s="34"/>
      <c r="E415" s="24"/>
      <c r="F415" s="24"/>
      <c r="G415" s="24"/>
      <c r="H415" s="24"/>
      <c r="I415" s="24"/>
      <c r="J415" s="27"/>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row>
    <row r="416" spans="4:50" s="23" customFormat="1" x14ac:dyDescent="0.3">
      <c r="D416" s="34"/>
      <c r="E416" s="24"/>
      <c r="F416" s="24"/>
      <c r="G416" s="24"/>
      <c r="H416" s="24"/>
      <c r="I416" s="24"/>
      <c r="J416" s="27"/>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row>
    <row r="417" spans="4:50" s="23" customFormat="1" x14ac:dyDescent="0.3">
      <c r="D417" s="34"/>
      <c r="E417" s="24"/>
      <c r="F417" s="24"/>
      <c r="G417" s="24"/>
      <c r="H417" s="24"/>
      <c r="I417" s="24"/>
      <c r="J417" s="27"/>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row>
    <row r="418" spans="4:50" s="23" customFormat="1" x14ac:dyDescent="0.3">
      <c r="D418" s="34"/>
      <c r="E418" s="24"/>
      <c r="F418" s="24"/>
      <c r="G418" s="24"/>
      <c r="H418" s="24"/>
      <c r="I418" s="24"/>
      <c r="J418" s="27"/>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row>
    <row r="419" spans="4:50" s="23" customFormat="1" x14ac:dyDescent="0.3">
      <c r="D419" s="34"/>
      <c r="E419" s="24"/>
      <c r="F419" s="24"/>
      <c r="G419" s="24"/>
      <c r="H419" s="24"/>
      <c r="I419" s="24"/>
      <c r="J419" s="27"/>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row>
    <row r="420" spans="4:50" s="23" customFormat="1" x14ac:dyDescent="0.3">
      <c r="D420" s="34"/>
      <c r="E420" s="24"/>
      <c r="F420" s="24"/>
      <c r="G420" s="24"/>
      <c r="H420" s="24"/>
      <c r="I420" s="24"/>
      <c r="J420" s="27"/>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row>
    <row r="421" spans="4:50" s="23" customFormat="1" x14ac:dyDescent="0.3">
      <c r="D421" s="34"/>
      <c r="E421" s="24"/>
      <c r="F421" s="24"/>
      <c r="G421" s="24"/>
      <c r="H421" s="24"/>
      <c r="I421" s="24"/>
      <c r="J421" s="27"/>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row>
    <row r="422" spans="4:50" s="23" customFormat="1" x14ac:dyDescent="0.3">
      <c r="D422" s="34"/>
      <c r="E422" s="24"/>
      <c r="F422" s="24"/>
      <c r="G422" s="24"/>
      <c r="H422" s="24"/>
      <c r="I422" s="24"/>
      <c r="J422" s="27"/>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row>
    <row r="423" spans="4:50" s="23" customFormat="1" x14ac:dyDescent="0.3">
      <c r="D423" s="34"/>
      <c r="E423" s="24"/>
      <c r="F423" s="24"/>
      <c r="G423" s="24"/>
      <c r="H423" s="24"/>
      <c r="I423" s="24"/>
      <c r="J423" s="27"/>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row>
    <row r="424" spans="4:50" s="23" customFormat="1" x14ac:dyDescent="0.3">
      <c r="D424" s="34"/>
      <c r="E424" s="24"/>
      <c r="F424" s="24"/>
      <c r="G424" s="24"/>
      <c r="H424" s="24"/>
      <c r="I424" s="24"/>
      <c r="J424" s="27"/>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row>
    <row r="425" spans="4:50" s="23" customFormat="1" x14ac:dyDescent="0.3">
      <c r="D425" s="34"/>
      <c r="E425" s="24"/>
      <c r="F425" s="24"/>
      <c r="G425" s="24"/>
      <c r="H425" s="24"/>
      <c r="I425" s="24"/>
      <c r="J425" s="27"/>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row>
    <row r="426" spans="4:50" s="23" customFormat="1" x14ac:dyDescent="0.3">
      <c r="D426" s="34"/>
      <c r="E426" s="24"/>
      <c r="F426" s="24"/>
      <c r="G426" s="24"/>
      <c r="H426" s="24"/>
      <c r="I426" s="24"/>
      <c r="J426" s="27"/>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row>
    <row r="427" spans="4:50" s="23" customFormat="1" x14ac:dyDescent="0.3">
      <c r="D427" s="34"/>
      <c r="E427" s="24"/>
      <c r="F427" s="24"/>
      <c r="G427" s="24"/>
      <c r="H427" s="24"/>
      <c r="I427" s="24"/>
      <c r="J427" s="27"/>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row>
    <row r="428" spans="4:50" s="23" customFormat="1" x14ac:dyDescent="0.3">
      <c r="D428" s="34"/>
      <c r="E428" s="24"/>
      <c r="F428" s="24"/>
      <c r="G428" s="24"/>
      <c r="H428" s="24"/>
      <c r="I428" s="24"/>
      <c r="J428" s="27"/>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row>
    <row r="429" spans="4:50" s="23" customFormat="1" x14ac:dyDescent="0.3">
      <c r="D429" s="34"/>
      <c r="E429" s="24"/>
      <c r="F429" s="24"/>
      <c r="G429" s="24"/>
      <c r="H429" s="24"/>
      <c r="I429" s="24"/>
      <c r="J429" s="27"/>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row>
    <row r="430" spans="4:50" s="23" customFormat="1" x14ac:dyDescent="0.3">
      <c r="D430" s="34"/>
      <c r="E430" s="24"/>
      <c r="F430" s="24"/>
      <c r="G430" s="24"/>
      <c r="H430" s="24"/>
      <c r="I430" s="24"/>
      <c r="J430" s="27"/>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row>
    <row r="431" spans="4:50" s="23" customFormat="1" x14ac:dyDescent="0.3">
      <c r="D431" s="34"/>
      <c r="E431" s="24"/>
      <c r="F431" s="24"/>
      <c r="G431" s="24"/>
      <c r="H431" s="24"/>
      <c r="I431" s="24"/>
      <c r="J431" s="27"/>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row>
    <row r="432" spans="4:50" s="23" customFormat="1" x14ac:dyDescent="0.3">
      <c r="D432" s="34"/>
      <c r="E432" s="24"/>
      <c r="F432" s="24"/>
      <c r="G432" s="24"/>
      <c r="H432" s="24"/>
      <c r="I432" s="24"/>
      <c r="J432" s="27"/>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row>
    <row r="433" spans="4:50" s="23" customFormat="1" x14ac:dyDescent="0.3">
      <c r="D433" s="34"/>
      <c r="E433" s="24"/>
      <c r="F433" s="24"/>
      <c r="G433" s="24"/>
      <c r="H433" s="24"/>
      <c r="I433" s="24"/>
      <c r="J433" s="27"/>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row>
    <row r="434" spans="4:50" s="23" customFormat="1" x14ac:dyDescent="0.3">
      <c r="D434" s="34"/>
      <c r="E434" s="24"/>
      <c r="F434" s="24"/>
      <c r="G434" s="24"/>
      <c r="H434" s="24"/>
      <c r="I434" s="24"/>
      <c r="J434" s="27"/>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row>
    <row r="435" spans="4:50" s="23" customFormat="1" x14ac:dyDescent="0.3">
      <c r="D435" s="34"/>
      <c r="E435" s="24"/>
      <c r="F435" s="24"/>
      <c r="G435" s="24"/>
      <c r="H435" s="24"/>
      <c r="I435" s="24"/>
      <c r="J435" s="27"/>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row>
    <row r="436" spans="4:50" s="23" customFormat="1" x14ac:dyDescent="0.3">
      <c r="D436" s="34"/>
      <c r="E436" s="24"/>
      <c r="F436" s="24"/>
      <c r="G436" s="24"/>
      <c r="H436" s="24"/>
      <c r="I436" s="24"/>
      <c r="J436" s="27"/>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row>
    <row r="437" spans="4:50" s="23" customFormat="1" x14ac:dyDescent="0.3">
      <c r="D437" s="34"/>
      <c r="E437" s="24"/>
      <c r="F437" s="24"/>
      <c r="G437" s="24"/>
      <c r="H437" s="24"/>
      <c r="I437" s="24"/>
      <c r="J437" s="27"/>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row>
    <row r="438" spans="4:50" s="23" customFormat="1" x14ac:dyDescent="0.3">
      <c r="D438" s="34"/>
      <c r="E438" s="24"/>
      <c r="F438" s="24"/>
      <c r="G438" s="24"/>
      <c r="H438" s="24"/>
      <c r="I438" s="24"/>
      <c r="J438" s="27"/>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row>
    <row r="439" spans="4:50" s="23" customFormat="1" x14ac:dyDescent="0.3">
      <c r="D439" s="34"/>
      <c r="E439" s="24"/>
      <c r="F439" s="24"/>
      <c r="G439" s="24"/>
      <c r="H439" s="24"/>
      <c r="I439" s="24"/>
      <c r="J439" s="27"/>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row>
    <row r="440" spans="4:50" s="23" customFormat="1" x14ac:dyDescent="0.3">
      <c r="D440" s="34"/>
      <c r="E440" s="24"/>
      <c r="F440" s="24"/>
      <c r="G440" s="24"/>
      <c r="H440" s="24"/>
      <c r="I440" s="24"/>
      <c r="J440" s="27"/>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row>
    <row r="441" spans="4:50" s="23" customFormat="1" x14ac:dyDescent="0.3">
      <c r="D441" s="34"/>
      <c r="E441" s="24"/>
      <c r="F441" s="24"/>
      <c r="G441" s="24"/>
      <c r="H441" s="24"/>
      <c r="I441" s="24"/>
      <c r="J441" s="27"/>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row>
    <row r="442" spans="4:50" s="23" customFormat="1" x14ac:dyDescent="0.3">
      <c r="D442" s="34"/>
      <c r="E442" s="24"/>
      <c r="F442" s="24"/>
      <c r="G442" s="24"/>
      <c r="H442" s="24"/>
      <c r="I442" s="24"/>
      <c r="J442" s="27"/>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row>
    <row r="443" spans="4:50" s="23" customFormat="1" x14ac:dyDescent="0.3">
      <c r="D443" s="34"/>
      <c r="E443" s="24"/>
      <c r="F443" s="24"/>
      <c r="G443" s="24"/>
      <c r="H443" s="24"/>
      <c r="I443" s="24"/>
      <c r="J443" s="27"/>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row>
    <row r="444" spans="4:50" s="23" customFormat="1" x14ac:dyDescent="0.3">
      <c r="D444" s="34"/>
      <c r="E444" s="24"/>
      <c r="F444" s="24"/>
      <c r="G444" s="24"/>
      <c r="H444" s="24"/>
      <c r="I444" s="24"/>
      <c r="J444" s="27"/>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row>
    <row r="445" spans="4:50" s="23" customFormat="1" x14ac:dyDescent="0.3">
      <c r="D445" s="34"/>
      <c r="E445" s="24"/>
      <c r="F445" s="24"/>
      <c r="G445" s="24"/>
      <c r="H445" s="24"/>
      <c r="I445" s="24"/>
      <c r="J445" s="27"/>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row>
    <row r="446" spans="4:50" s="23" customFormat="1" x14ac:dyDescent="0.3">
      <c r="D446" s="34"/>
      <c r="E446" s="24"/>
      <c r="F446" s="24"/>
      <c r="G446" s="24"/>
      <c r="H446" s="24"/>
      <c r="I446" s="24"/>
      <c r="J446" s="27"/>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row>
    <row r="447" spans="4:50" s="23" customFormat="1" x14ac:dyDescent="0.3">
      <c r="D447" s="34"/>
      <c r="E447" s="24"/>
      <c r="F447" s="24"/>
      <c r="G447" s="24"/>
      <c r="H447" s="24"/>
      <c r="I447" s="24"/>
      <c r="J447" s="27"/>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row>
    <row r="448" spans="4:50" s="23" customFormat="1" x14ac:dyDescent="0.3">
      <c r="D448" s="34"/>
      <c r="E448" s="24"/>
      <c r="F448" s="24"/>
      <c r="G448" s="24"/>
      <c r="H448" s="24"/>
      <c r="I448" s="24"/>
      <c r="J448" s="27"/>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row>
    <row r="449" spans="4:50" s="23" customFormat="1" x14ac:dyDescent="0.3">
      <c r="D449" s="34"/>
      <c r="E449" s="24"/>
      <c r="F449" s="24"/>
      <c r="G449" s="24"/>
      <c r="H449" s="24"/>
      <c r="I449" s="24"/>
      <c r="J449" s="27"/>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row>
    <row r="450" spans="4:50" s="23" customFormat="1" x14ac:dyDescent="0.3">
      <c r="D450" s="34"/>
      <c r="E450" s="24"/>
      <c r="F450" s="24"/>
      <c r="G450" s="24"/>
      <c r="H450" s="24"/>
      <c r="I450" s="24"/>
      <c r="J450" s="27"/>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row>
    <row r="451" spans="4:50" s="23" customFormat="1" x14ac:dyDescent="0.3">
      <c r="D451" s="34"/>
      <c r="E451" s="24"/>
      <c r="F451" s="24"/>
      <c r="G451" s="24"/>
      <c r="H451" s="24"/>
      <c r="I451" s="24"/>
      <c r="J451" s="27"/>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row>
    <row r="452" spans="4:50" s="23" customFormat="1" x14ac:dyDescent="0.3">
      <c r="D452" s="34"/>
      <c r="E452" s="24"/>
      <c r="F452" s="24"/>
      <c r="G452" s="24"/>
      <c r="H452" s="24"/>
      <c r="I452" s="24"/>
      <c r="J452" s="27"/>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row>
    <row r="453" spans="4:50" s="23" customFormat="1" x14ac:dyDescent="0.3">
      <c r="D453" s="34"/>
      <c r="E453" s="24"/>
      <c r="F453" s="24"/>
      <c r="G453" s="24"/>
      <c r="H453" s="24"/>
      <c r="I453" s="24"/>
      <c r="J453" s="27"/>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row>
    <row r="454" spans="4:50" s="23" customFormat="1" x14ac:dyDescent="0.3">
      <c r="D454" s="34"/>
      <c r="E454" s="24"/>
      <c r="F454" s="24"/>
      <c r="G454" s="24"/>
      <c r="H454" s="24"/>
      <c r="I454" s="24"/>
      <c r="J454" s="27"/>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row>
    <row r="455" spans="4:50" s="23" customFormat="1" x14ac:dyDescent="0.3">
      <c r="D455" s="34"/>
      <c r="E455" s="24"/>
      <c r="F455" s="24"/>
      <c r="G455" s="24"/>
      <c r="H455" s="24"/>
      <c r="I455" s="24"/>
      <c r="J455" s="27"/>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row>
    <row r="456" spans="4:50" s="23" customFormat="1" x14ac:dyDescent="0.3">
      <c r="D456" s="34"/>
      <c r="E456" s="24"/>
      <c r="F456" s="24"/>
      <c r="G456" s="24"/>
      <c r="H456" s="24"/>
      <c r="I456" s="24"/>
      <c r="J456" s="27"/>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row>
    <row r="457" spans="4:50" s="23" customFormat="1" x14ac:dyDescent="0.3">
      <c r="D457" s="34"/>
      <c r="E457" s="24"/>
      <c r="F457" s="24"/>
      <c r="G457" s="24"/>
      <c r="H457" s="24"/>
      <c r="I457" s="24"/>
      <c r="J457" s="27"/>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row>
    <row r="458" spans="4:50" s="23" customFormat="1" x14ac:dyDescent="0.3">
      <c r="D458" s="34"/>
      <c r="E458" s="24"/>
      <c r="F458" s="24"/>
      <c r="G458" s="24"/>
      <c r="H458" s="24"/>
      <c r="I458" s="24"/>
      <c r="J458" s="27"/>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row>
    <row r="459" spans="4:50" s="23" customFormat="1" x14ac:dyDescent="0.3">
      <c r="D459" s="34"/>
      <c r="E459" s="24"/>
      <c r="F459" s="24"/>
      <c r="G459" s="24"/>
      <c r="H459" s="24"/>
      <c r="I459" s="24"/>
      <c r="J459" s="27"/>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row>
    <row r="460" spans="4:50" s="23" customFormat="1" x14ac:dyDescent="0.3">
      <c r="D460" s="34"/>
      <c r="E460" s="24"/>
      <c r="F460" s="24"/>
      <c r="G460" s="24"/>
      <c r="H460" s="24"/>
      <c r="I460" s="24"/>
      <c r="J460" s="27"/>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row>
    <row r="461" spans="4:50" s="23" customFormat="1" x14ac:dyDescent="0.3">
      <c r="D461" s="34"/>
      <c r="E461" s="24"/>
      <c r="F461" s="24"/>
      <c r="G461" s="24"/>
      <c r="H461" s="24"/>
      <c r="I461" s="24"/>
      <c r="J461" s="27"/>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row>
    <row r="462" spans="4:50" s="23" customFormat="1" x14ac:dyDescent="0.3">
      <c r="D462" s="34"/>
      <c r="E462" s="24"/>
      <c r="F462" s="24"/>
      <c r="G462" s="24"/>
      <c r="H462" s="24"/>
      <c r="I462" s="24"/>
      <c r="J462" s="27"/>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row>
    <row r="463" spans="4:50" s="23" customFormat="1" x14ac:dyDescent="0.3">
      <c r="D463" s="34"/>
      <c r="E463" s="24"/>
      <c r="F463" s="24"/>
      <c r="G463" s="24"/>
      <c r="H463" s="24"/>
      <c r="I463" s="24"/>
      <c r="J463" s="27"/>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row>
    <row r="464" spans="4:50" s="23" customFormat="1" x14ac:dyDescent="0.3">
      <c r="D464" s="34"/>
      <c r="E464" s="24"/>
      <c r="F464" s="24"/>
      <c r="G464" s="24"/>
      <c r="H464" s="24"/>
      <c r="I464" s="24"/>
      <c r="J464" s="27"/>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row>
    <row r="465" spans="4:50" s="23" customFormat="1" x14ac:dyDescent="0.3">
      <c r="D465" s="34"/>
      <c r="E465" s="24"/>
      <c r="F465" s="24"/>
      <c r="G465" s="24"/>
      <c r="H465" s="24"/>
      <c r="I465" s="24"/>
      <c r="J465" s="27"/>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row>
    <row r="466" spans="4:50" s="23" customFormat="1" x14ac:dyDescent="0.3">
      <c r="D466" s="34"/>
      <c r="E466" s="24"/>
      <c r="F466" s="24"/>
      <c r="G466" s="24"/>
      <c r="H466" s="24"/>
      <c r="I466" s="24"/>
      <c r="J466" s="27"/>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row>
    <row r="467" spans="4:50" s="23" customFormat="1" x14ac:dyDescent="0.3">
      <c r="D467" s="34"/>
      <c r="E467" s="24"/>
      <c r="F467" s="24"/>
      <c r="G467" s="24"/>
      <c r="H467" s="24"/>
      <c r="I467" s="24"/>
      <c r="J467" s="27"/>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row>
    <row r="468" spans="4:50" s="23" customFormat="1" x14ac:dyDescent="0.3">
      <c r="D468" s="34"/>
      <c r="E468" s="24"/>
      <c r="F468" s="24"/>
      <c r="G468" s="24"/>
      <c r="H468" s="24"/>
      <c r="I468" s="24"/>
      <c r="J468" s="27"/>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row>
    <row r="469" spans="4:50" s="23" customFormat="1" x14ac:dyDescent="0.3">
      <c r="D469" s="34"/>
      <c r="E469" s="24"/>
      <c r="F469" s="24"/>
      <c r="G469" s="24"/>
      <c r="H469" s="24"/>
      <c r="I469" s="24"/>
      <c r="J469" s="27"/>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row>
    <row r="470" spans="4:50" s="23" customFormat="1" x14ac:dyDescent="0.3">
      <c r="D470" s="34"/>
      <c r="E470" s="24"/>
      <c r="F470" s="24"/>
      <c r="G470" s="24"/>
      <c r="H470" s="24"/>
      <c r="I470" s="24"/>
      <c r="J470" s="27"/>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row>
    <row r="471" spans="4:50" s="23" customFormat="1" x14ac:dyDescent="0.3">
      <c r="D471" s="34"/>
      <c r="E471" s="24"/>
      <c r="F471" s="24"/>
      <c r="G471" s="24"/>
      <c r="H471" s="24"/>
      <c r="I471" s="24"/>
      <c r="J471" s="27"/>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row>
    <row r="472" spans="4:50" s="23" customFormat="1" x14ac:dyDescent="0.3">
      <c r="D472" s="34"/>
      <c r="E472" s="24"/>
      <c r="F472" s="24"/>
      <c r="G472" s="24"/>
      <c r="H472" s="24"/>
      <c r="I472" s="24"/>
      <c r="J472" s="27"/>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row>
    <row r="473" spans="4:50" s="23" customFormat="1" x14ac:dyDescent="0.3">
      <c r="D473" s="34"/>
      <c r="E473" s="24"/>
      <c r="F473" s="24"/>
      <c r="G473" s="24"/>
      <c r="H473" s="24"/>
      <c r="I473" s="24"/>
      <c r="J473" s="27"/>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row>
    <row r="474" spans="4:50" s="23" customFormat="1" x14ac:dyDescent="0.3">
      <c r="D474" s="34"/>
      <c r="E474" s="24"/>
      <c r="F474" s="24"/>
      <c r="G474" s="24"/>
      <c r="H474" s="24"/>
      <c r="I474" s="24"/>
      <c r="J474" s="27"/>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row>
    <row r="475" spans="4:50" s="23" customFormat="1" x14ac:dyDescent="0.3">
      <c r="D475" s="34"/>
      <c r="E475" s="24"/>
      <c r="F475" s="24"/>
      <c r="G475" s="24"/>
      <c r="H475" s="24"/>
      <c r="I475" s="24"/>
      <c r="J475" s="27"/>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row>
    <row r="476" spans="4:50" s="23" customFormat="1" x14ac:dyDescent="0.3">
      <c r="D476" s="34"/>
      <c r="E476" s="24"/>
      <c r="F476" s="24"/>
      <c r="G476" s="24"/>
      <c r="H476" s="24"/>
      <c r="I476" s="24"/>
      <c r="J476" s="27"/>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row>
    <row r="477" spans="4:50" s="23" customFormat="1" x14ac:dyDescent="0.3">
      <c r="D477" s="34"/>
      <c r="E477" s="24"/>
      <c r="F477" s="24"/>
      <c r="G477" s="24"/>
      <c r="H477" s="24"/>
      <c r="I477" s="24"/>
      <c r="J477" s="27"/>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row>
    <row r="478" spans="4:50" s="23" customFormat="1" x14ac:dyDescent="0.3">
      <c r="D478" s="34"/>
      <c r="E478" s="24"/>
      <c r="F478" s="24"/>
      <c r="G478" s="24"/>
      <c r="H478" s="24"/>
      <c r="I478" s="24"/>
      <c r="J478" s="27"/>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row>
    <row r="479" spans="4:50" s="23" customFormat="1" x14ac:dyDescent="0.3">
      <c r="D479" s="34"/>
      <c r="E479" s="24"/>
      <c r="F479" s="24"/>
      <c r="G479" s="24"/>
      <c r="H479" s="24"/>
      <c r="I479" s="24"/>
      <c r="J479" s="27"/>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row>
    <row r="480" spans="4:50" s="23" customFormat="1" x14ac:dyDescent="0.3">
      <c r="D480" s="34"/>
      <c r="E480" s="24"/>
      <c r="F480" s="24"/>
      <c r="G480" s="24"/>
      <c r="H480" s="24"/>
      <c r="I480" s="24"/>
      <c r="J480" s="27"/>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row>
    <row r="481" spans="4:50" s="23" customFormat="1" x14ac:dyDescent="0.3">
      <c r="D481" s="34"/>
      <c r="E481" s="24"/>
      <c r="F481" s="24"/>
      <c r="G481" s="24"/>
      <c r="H481" s="24"/>
      <c r="I481" s="24"/>
      <c r="J481" s="27"/>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row>
    <row r="482" spans="4:50" s="23" customFormat="1" x14ac:dyDescent="0.3">
      <c r="D482" s="34"/>
      <c r="E482" s="24"/>
      <c r="F482" s="24"/>
      <c r="G482" s="24"/>
      <c r="H482" s="24"/>
      <c r="I482" s="24"/>
      <c r="J482" s="27"/>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row>
    <row r="483" spans="4:50" s="23" customFormat="1" x14ac:dyDescent="0.3">
      <c r="D483" s="34"/>
      <c r="E483" s="24"/>
      <c r="F483" s="24"/>
      <c r="G483" s="24"/>
      <c r="H483" s="24"/>
      <c r="I483" s="24"/>
      <c r="J483" s="27"/>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row>
    <row r="484" spans="4:50" s="23" customFormat="1" x14ac:dyDescent="0.3">
      <c r="D484" s="34"/>
      <c r="E484" s="24"/>
      <c r="F484" s="24"/>
      <c r="G484" s="24"/>
      <c r="H484" s="24"/>
      <c r="I484" s="24"/>
      <c r="J484" s="27"/>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row>
    <row r="485" spans="4:50" s="23" customFormat="1" x14ac:dyDescent="0.3">
      <c r="D485" s="34"/>
      <c r="E485" s="24"/>
      <c r="F485" s="24"/>
      <c r="G485" s="24"/>
      <c r="H485" s="24"/>
      <c r="I485" s="24"/>
      <c r="J485" s="27"/>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row>
    <row r="486" spans="4:50" s="23" customFormat="1" x14ac:dyDescent="0.3">
      <c r="D486" s="34"/>
      <c r="E486" s="24"/>
      <c r="F486" s="24"/>
      <c r="G486" s="24"/>
      <c r="H486" s="24"/>
      <c r="I486" s="24"/>
      <c r="J486" s="27"/>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row>
    <row r="487" spans="4:50" s="23" customFormat="1" x14ac:dyDescent="0.3">
      <c r="D487" s="34"/>
      <c r="E487" s="24"/>
      <c r="F487" s="24"/>
      <c r="G487" s="24"/>
      <c r="H487" s="24"/>
      <c r="I487" s="24"/>
      <c r="J487" s="27"/>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row>
    <row r="488" spans="4:50" s="23" customFormat="1" x14ac:dyDescent="0.3">
      <c r="D488" s="34"/>
      <c r="E488" s="24"/>
      <c r="F488" s="24"/>
      <c r="G488" s="24"/>
      <c r="H488" s="24"/>
      <c r="I488" s="24"/>
      <c r="J488" s="27"/>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row>
    <row r="489" spans="4:50" s="23" customFormat="1" x14ac:dyDescent="0.3">
      <c r="D489" s="34"/>
      <c r="E489" s="24"/>
      <c r="F489" s="24"/>
      <c r="G489" s="24"/>
      <c r="H489" s="24"/>
      <c r="I489" s="24"/>
      <c r="J489" s="27"/>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row>
    <row r="490" spans="4:50" s="23" customFormat="1" x14ac:dyDescent="0.3">
      <c r="D490" s="34"/>
      <c r="E490" s="24"/>
      <c r="F490" s="24"/>
      <c r="G490" s="24"/>
      <c r="H490" s="24"/>
      <c r="I490" s="24"/>
      <c r="J490" s="27"/>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row>
    <row r="491" spans="4:50" s="23" customFormat="1" x14ac:dyDescent="0.3">
      <c r="D491" s="34"/>
      <c r="E491" s="24"/>
      <c r="F491" s="24"/>
      <c r="G491" s="24"/>
      <c r="H491" s="24"/>
      <c r="I491" s="24"/>
      <c r="J491" s="27"/>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row>
    <row r="492" spans="4:50" s="23" customFormat="1" x14ac:dyDescent="0.3">
      <c r="D492" s="34"/>
      <c r="E492" s="24"/>
      <c r="F492" s="24"/>
      <c r="G492" s="24"/>
      <c r="H492" s="24"/>
      <c r="I492" s="24"/>
      <c r="J492" s="27"/>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row>
    <row r="493" spans="4:50" s="23" customFormat="1" x14ac:dyDescent="0.3">
      <c r="D493" s="34"/>
      <c r="E493" s="24"/>
      <c r="F493" s="24"/>
      <c r="G493" s="24"/>
      <c r="H493" s="24"/>
      <c r="I493" s="24"/>
      <c r="J493" s="27"/>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row>
    <row r="494" spans="4:50" s="23" customFormat="1" x14ac:dyDescent="0.3">
      <c r="D494" s="34"/>
      <c r="E494" s="24"/>
      <c r="F494" s="24"/>
      <c r="G494" s="24"/>
      <c r="H494" s="24"/>
      <c r="I494" s="24"/>
      <c r="J494" s="27"/>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row>
    <row r="495" spans="4:50" s="23" customFormat="1" x14ac:dyDescent="0.3">
      <c r="D495" s="34"/>
      <c r="E495" s="24"/>
      <c r="F495" s="24"/>
      <c r="G495" s="24"/>
      <c r="H495" s="24"/>
      <c r="I495" s="24"/>
      <c r="J495" s="27"/>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row>
    <row r="496" spans="4:50" s="23" customFormat="1" x14ac:dyDescent="0.3">
      <c r="D496" s="34"/>
      <c r="E496" s="24"/>
      <c r="F496" s="24"/>
      <c r="G496" s="24"/>
      <c r="H496" s="24"/>
      <c r="I496" s="24"/>
      <c r="J496" s="27"/>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row>
    <row r="497" spans="4:50" s="23" customFormat="1" x14ac:dyDescent="0.3">
      <c r="D497" s="34"/>
      <c r="E497" s="24"/>
      <c r="F497" s="24"/>
      <c r="G497" s="24"/>
      <c r="H497" s="24"/>
      <c r="I497" s="24"/>
      <c r="J497" s="27"/>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row>
    <row r="498" spans="4:50" s="23" customFormat="1" x14ac:dyDescent="0.3">
      <c r="D498" s="34"/>
      <c r="E498" s="24"/>
      <c r="F498" s="24"/>
      <c r="G498" s="24"/>
      <c r="H498" s="24"/>
      <c r="I498" s="24"/>
      <c r="J498" s="27"/>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row>
    <row r="499" spans="4:50" s="23" customFormat="1" x14ac:dyDescent="0.3">
      <c r="D499" s="34"/>
      <c r="E499" s="24"/>
      <c r="F499" s="24"/>
      <c r="G499" s="24"/>
      <c r="H499" s="24"/>
      <c r="I499" s="24"/>
      <c r="J499" s="27"/>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row>
    <row r="500" spans="4:50" s="23" customFormat="1" x14ac:dyDescent="0.3">
      <c r="D500" s="34"/>
      <c r="E500" s="24"/>
      <c r="F500" s="24"/>
      <c r="G500" s="24"/>
      <c r="H500" s="24"/>
      <c r="I500" s="24"/>
      <c r="J500" s="27"/>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row>
    <row r="501" spans="4:50" s="23" customFormat="1" x14ac:dyDescent="0.3">
      <c r="D501" s="34"/>
      <c r="E501" s="24"/>
      <c r="F501" s="24"/>
      <c r="G501" s="24"/>
      <c r="H501" s="24"/>
      <c r="I501" s="24"/>
      <c r="J501" s="27"/>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row>
    <row r="502" spans="4:50" s="23" customFormat="1" x14ac:dyDescent="0.3">
      <c r="D502" s="34"/>
      <c r="E502" s="24"/>
      <c r="F502" s="24"/>
      <c r="G502" s="24"/>
      <c r="H502" s="24"/>
      <c r="I502" s="24"/>
      <c r="J502" s="27"/>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row>
    <row r="503" spans="4:50" s="23" customFormat="1" x14ac:dyDescent="0.3">
      <c r="D503" s="34"/>
      <c r="E503" s="24"/>
      <c r="F503" s="24"/>
      <c r="G503" s="24"/>
      <c r="H503" s="24"/>
      <c r="I503" s="24"/>
      <c r="J503" s="27"/>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row>
    <row r="504" spans="4:50" s="23" customFormat="1" x14ac:dyDescent="0.3">
      <c r="D504" s="34"/>
      <c r="E504" s="24"/>
      <c r="F504" s="24"/>
      <c r="G504" s="24"/>
      <c r="H504" s="24"/>
      <c r="I504" s="24"/>
      <c r="J504" s="27"/>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row>
    <row r="505" spans="4:50" s="23" customFormat="1" x14ac:dyDescent="0.3">
      <c r="D505" s="34"/>
      <c r="E505" s="24"/>
      <c r="F505" s="24"/>
      <c r="G505" s="24"/>
      <c r="H505" s="24"/>
      <c r="I505" s="24"/>
      <c r="J505" s="27"/>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row>
    <row r="506" spans="4:50" s="23" customFormat="1" x14ac:dyDescent="0.3">
      <c r="D506" s="34"/>
      <c r="E506" s="24"/>
      <c r="F506" s="24"/>
      <c r="G506" s="24"/>
      <c r="H506" s="24"/>
      <c r="I506" s="24"/>
      <c r="J506" s="27"/>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row>
    <row r="507" spans="4:50" s="23" customFormat="1" x14ac:dyDescent="0.3">
      <c r="D507" s="34"/>
      <c r="E507" s="24"/>
      <c r="F507" s="24"/>
      <c r="G507" s="24"/>
      <c r="H507" s="24"/>
      <c r="I507" s="24"/>
      <c r="J507" s="27"/>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row>
    <row r="508" spans="4:50" s="23" customFormat="1" x14ac:dyDescent="0.3">
      <c r="D508" s="34"/>
      <c r="E508" s="24"/>
      <c r="F508" s="24"/>
      <c r="G508" s="24"/>
      <c r="H508" s="24"/>
      <c r="I508" s="24"/>
      <c r="J508" s="27"/>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row>
    <row r="509" spans="4:50" s="23" customFormat="1" x14ac:dyDescent="0.3">
      <c r="D509" s="34"/>
      <c r="E509" s="24"/>
      <c r="F509" s="24"/>
      <c r="G509" s="24"/>
      <c r="H509" s="24"/>
      <c r="I509" s="24"/>
      <c r="J509" s="27"/>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row>
    <row r="510" spans="4:50" s="23" customFormat="1" x14ac:dyDescent="0.3">
      <c r="D510" s="34"/>
      <c r="E510" s="24"/>
      <c r="F510" s="24"/>
      <c r="G510" s="24"/>
      <c r="H510" s="24"/>
      <c r="I510" s="24"/>
      <c r="J510" s="27"/>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row>
    <row r="511" spans="4:50" s="23" customFormat="1" x14ac:dyDescent="0.3">
      <c r="D511" s="34"/>
      <c r="E511" s="24"/>
      <c r="F511" s="24"/>
      <c r="G511" s="24"/>
      <c r="H511" s="24"/>
      <c r="I511" s="24"/>
      <c r="J511" s="27"/>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row>
    <row r="512" spans="4:50" s="23" customFormat="1" x14ac:dyDescent="0.3">
      <c r="D512" s="34"/>
      <c r="E512" s="24"/>
      <c r="F512" s="24"/>
      <c r="G512" s="24"/>
      <c r="H512" s="24"/>
      <c r="I512" s="24"/>
      <c r="J512" s="27"/>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row>
    <row r="513" spans="4:50" s="23" customFormat="1" x14ac:dyDescent="0.3">
      <c r="D513" s="34"/>
      <c r="E513" s="24"/>
      <c r="F513" s="24"/>
      <c r="G513" s="24"/>
      <c r="H513" s="24"/>
      <c r="I513" s="24"/>
      <c r="J513" s="27"/>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row>
    <row r="514" spans="4:50" s="23" customFormat="1" x14ac:dyDescent="0.3">
      <c r="D514" s="34"/>
      <c r="E514" s="24"/>
      <c r="F514" s="24"/>
      <c r="G514" s="24"/>
      <c r="H514" s="24"/>
      <c r="I514" s="24"/>
      <c r="J514" s="27"/>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row>
    <row r="515" spans="4:50" s="23" customFormat="1" x14ac:dyDescent="0.3">
      <c r="D515" s="34"/>
      <c r="E515" s="24"/>
      <c r="F515" s="24"/>
      <c r="G515" s="24"/>
      <c r="H515" s="24"/>
      <c r="I515" s="24"/>
      <c r="J515" s="27"/>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row>
    <row r="516" spans="4:50" s="23" customFormat="1" x14ac:dyDescent="0.3">
      <c r="D516" s="34"/>
      <c r="E516" s="24"/>
      <c r="F516" s="24"/>
      <c r="G516" s="24"/>
      <c r="H516" s="24"/>
      <c r="I516" s="24"/>
      <c r="J516" s="27"/>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row>
    <row r="517" spans="4:50" s="23" customFormat="1" x14ac:dyDescent="0.3">
      <c r="D517" s="34"/>
      <c r="E517" s="24"/>
      <c r="F517" s="24"/>
      <c r="G517" s="24"/>
      <c r="H517" s="24"/>
      <c r="I517" s="24"/>
      <c r="J517" s="27"/>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row>
    <row r="518" spans="4:50" s="23" customFormat="1" x14ac:dyDescent="0.3">
      <c r="D518" s="34"/>
      <c r="E518" s="24"/>
      <c r="F518" s="24"/>
      <c r="G518" s="24"/>
      <c r="H518" s="24"/>
      <c r="I518" s="24"/>
      <c r="J518" s="27"/>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row>
    <row r="519" spans="4:50" s="23" customFormat="1" x14ac:dyDescent="0.3">
      <c r="D519" s="34"/>
      <c r="E519" s="24"/>
      <c r="F519" s="24"/>
      <c r="G519" s="24"/>
      <c r="H519" s="24"/>
      <c r="I519" s="24"/>
      <c r="J519" s="27"/>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row>
    <row r="520" spans="4:50" s="23" customFormat="1" x14ac:dyDescent="0.3">
      <c r="D520" s="34"/>
      <c r="E520" s="24"/>
      <c r="F520" s="24"/>
      <c r="G520" s="24"/>
      <c r="H520" s="24"/>
      <c r="I520" s="24"/>
      <c r="J520" s="27"/>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row>
    <row r="521" spans="4:50" s="23" customFormat="1" x14ac:dyDescent="0.3">
      <c r="D521" s="34"/>
      <c r="E521" s="24"/>
      <c r="F521" s="24"/>
      <c r="G521" s="24"/>
      <c r="H521" s="24"/>
      <c r="I521" s="24"/>
      <c r="J521" s="27"/>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row>
    <row r="522" spans="4:50" s="23" customFormat="1" x14ac:dyDescent="0.3">
      <c r="D522" s="34"/>
      <c r="E522" s="24"/>
      <c r="F522" s="24"/>
      <c r="G522" s="24"/>
      <c r="H522" s="24"/>
      <c r="I522" s="24"/>
      <c r="J522" s="27"/>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row>
    <row r="523" spans="4:50" s="23" customFormat="1" x14ac:dyDescent="0.3">
      <c r="D523" s="34"/>
      <c r="E523" s="24"/>
      <c r="F523" s="24"/>
      <c r="G523" s="24"/>
      <c r="H523" s="24"/>
      <c r="I523" s="24"/>
      <c r="J523" s="27"/>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row>
    <row r="524" spans="4:50" s="23" customFormat="1" x14ac:dyDescent="0.3">
      <c r="D524" s="34"/>
      <c r="E524" s="24"/>
      <c r="F524" s="24"/>
      <c r="G524" s="24"/>
      <c r="H524" s="24"/>
      <c r="I524" s="24"/>
      <c r="J524" s="27"/>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row>
    <row r="525" spans="4:50" s="23" customFormat="1" x14ac:dyDescent="0.3">
      <c r="D525" s="34"/>
      <c r="E525" s="24"/>
      <c r="F525" s="24"/>
      <c r="G525" s="24"/>
      <c r="H525" s="24"/>
      <c r="I525" s="24"/>
      <c r="J525" s="27"/>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row>
    <row r="526" spans="4:50" s="23" customFormat="1" x14ac:dyDescent="0.3">
      <c r="D526" s="34"/>
      <c r="E526" s="24"/>
      <c r="F526" s="24"/>
      <c r="G526" s="24"/>
      <c r="H526" s="24"/>
      <c r="I526" s="24"/>
      <c r="J526" s="27"/>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row>
    <row r="527" spans="4:50" s="23" customFormat="1" x14ac:dyDescent="0.3">
      <c r="D527" s="34"/>
      <c r="E527" s="24"/>
      <c r="F527" s="24"/>
      <c r="G527" s="24"/>
      <c r="H527" s="24"/>
      <c r="I527" s="24"/>
      <c r="J527" s="27"/>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row>
    <row r="528" spans="4:50" s="23" customFormat="1" x14ac:dyDescent="0.3">
      <c r="D528" s="34"/>
      <c r="E528" s="24"/>
      <c r="F528" s="24"/>
      <c r="G528" s="24"/>
      <c r="H528" s="24"/>
      <c r="I528" s="24"/>
      <c r="J528" s="27"/>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row>
    <row r="529" spans="4:50" s="23" customFormat="1" x14ac:dyDescent="0.3">
      <c r="D529" s="34"/>
      <c r="E529" s="24"/>
      <c r="F529" s="24"/>
      <c r="G529" s="24"/>
      <c r="H529" s="24"/>
      <c r="I529" s="24"/>
      <c r="J529" s="27"/>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row>
    <row r="530" spans="4:50" s="23" customFormat="1" x14ac:dyDescent="0.3">
      <c r="D530" s="34"/>
      <c r="E530" s="24"/>
      <c r="F530" s="24"/>
      <c r="G530" s="24"/>
      <c r="H530" s="24"/>
      <c r="I530" s="24"/>
      <c r="J530" s="27"/>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row>
    <row r="531" spans="4:50" s="23" customFormat="1" x14ac:dyDescent="0.3">
      <c r="D531" s="34"/>
      <c r="E531" s="24"/>
      <c r="F531" s="24"/>
      <c r="G531" s="24"/>
      <c r="H531" s="24"/>
      <c r="I531" s="24"/>
      <c r="J531" s="27"/>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row>
    <row r="532" spans="4:50" s="23" customFormat="1" x14ac:dyDescent="0.3">
      <c r="D532" s="34"/>
      <c r="E532" s="24"/>
      <c r="F532" s="24"/>
      <c r="G532" s="24"/>
      <c r="H532" s="24"/>
      <c r="I532" s="24"/>
      <c r="J532" s="27"/>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row>
    <row r="533" spans="4:50" s="23" customFormat="1" x14ac:dyDescent="0.3">
      <c r="D533" s="34"/>
      <c r="E533" s="24"/>
      <c r="F533" s="24"/>
      <c r="G533" s="24"/>
      <c r="H533" s="24"/>
      <c r="I533" s="24"/>
      <c r="J533" s="27"/>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row>
    <row r="534" spans="4:50" s="23" customFormat="1" x14ac:dyDescent="0.3">
      <c r="D534" s="34"/>
      <c r="E534" s="24"/>
      <c r="F534" s="24"/>
      <c r="G534" s="24"/>
      <c r="H534" s="24"/>
      <c r="I534" s="24"/>
      <c r="J534" s="27"/>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row>
    <row r="535" spans="4:50" s="23" customFormat="1" x14ac:dyDescent="0.3">
      <c r="D535" s="34"/>
      <c r="E535" s="24"/>
      <c r="F535" s="24"/>
      <c r="G535" s="24"/>
      <c r="H535" s="24"/>
      <c r="I535" s="24"/>
      <c r="J535" s="27"/>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row>
    <row r="536" spans="4:50" s="23" customFormat="1" x14ac:dyDescent="0.3">
      <c r="D536" s="34"/>
      <c r="E536" s="24"/>
      <c r="F536" s="24"/>
      <c r="G536" s="24"/>
      <c r="H536" s="24"/>
      <c r="I536" s="24"/>
      <c r="J536" s="27"/>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row>
    <row r="537" spans="4:50" s="23" customFormat="1" x14ac:dyDescent="0.3">
      <c r="D537" s="34"/>
      <c r="E537" s="24"/>
      <c r="F537" s="24"/>
      <c r="G537" s="24"/>
      <c r="H537" s="24"/>
      <c r="I537" s="24"/>
      <c r="J537" s="27"/>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row>
    <row r="538" spans="4:50" s="23" customFormat="1" x14ac:dyDescent="0.3">
      <c r="D538" s="34"/>
      <c r="E538" s="24"/>
      <c r="F538" s="24"/>
      <c r="G538" s="24"/>
      <c r="H538" s="24"/>
      <c r="I538" s="24"/>
      <c r="J538" s="27"/>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row>
    <row r="539" spans="4:50" s="23" customFormat="1" x14ac:dyDescent="0.3">
      <c r="D539" s="34"/>
      <c r="E539" s="24"/>
      <c r="F539" s="24"/>
      <c r="G539" s="24"/>
      <c r="H539" s="24"/>
      <c r="I539" s="24"/>
      <c r="J539" s="27"/>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row>
    <row r="540" spans="4:50" s="23" customFormat="1" x14ac:dyDescent="0.3">
      <c r="D540" s="34"/>
      <c r="E540" s="24"/>
      <c r="F540" s="24"/>
      <c r="G540" s="24"/>
      <c r="H540" s="24"/>
      <c r="I540" s="24"/>
      <c r="J540" s="27"/>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row>
    <row r="541" spans="4:50" s="23" customFormat="1" x14ac:dyDescent="0.3">
      <c r="D541" s="34"/>
      <c r="E541" s="24"/>
      <c r="F541" s="24"/>
      <c r="G541" s="24"/>
      <c r="H541" s="24"/>
      <c r="I541" s="24"/>
      <c r="J541" s="27"/>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row>
    <row r="542" spans="4:50" s="23" customFormat="1" x14ac:dyDescent="0.3">
      <c r="D542" s="34"/>
      <c r="E542" s="24"/>
      <c r="F542" s="24"/>
      <c r="G542" s="24"/>
      <c r="H542" s="24"/>
      <c r="I542" s="24"/>
      <c r="J542" s="27"/>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row>
    <row r="543" spans="4:50" s="23" customFormat="1" x14ac:dyDescent="0.3">
      <c r="D543" s="34"/>
      <c r="E543" s="24"/>
      <c r="F543" s="24"/>
      <c r="G543" s="24"/>
      <c r="H543" s="24"/>
      <c r="I543" s="24"/>
      <c r="J543" s="27"/>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row>
    <row r="544" spans="4:50" s="23" customFormat="1" x14ac:dyDescent="0.3">
      <c r="D544" s="34"/>
      <c r="E544" s="24"/>
      <c r="F544" s="24"/>
      <c r="G544" s="24"/>
      <c r="H544" s="24"/>
      <c r="I544" s="24"/>
      <c r="J544" s="27"/>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row>
    <row r="545" spans="4:50" s="23" customFormat="1" x14ac:dyDescent="0.3">
      <c r="D545" s="34"/>
      <c r="E545" s="24"/>
      <c r="F545" s="24"/>
      <c r="G545" s="24"/>
      <c r="H545" s="24"/>
      <c r="I545" s="24"/>
      <c r="J545" s="27"/>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row>
    <row r="546" spans="4:50" s="23" customFormat="1" x14ac:dyDescent="0.3">
      <c r="D546" s="34"/>
      <c r="E546" s="24"/>
      <c r="F546" s="24"/>
      <c r="G546" s="24"/>
      <c r="H546" s="24"/>
      <c r="I546" s="24"/>
      <c r="J546" s="27"/>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row>
    <row r="547" spans="4:50" s="23" customFormat="1" x14ac:dyDescent="0.3">
      <c r="D547" s="34"/>
      <c r="E547" s="24"/>
      <c r="F547" s="24"/>
      <c r="G547" s="24"/>
      <c r="H547" s="24"/>
      <c r="I547" s="24"/>
      <c r="J547" s="27"/>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row>
    <row r="548" spans="4:50" s="23" customFormat="1" x14ac:dyDescent="0.3">
      <c r="D548" s="34"/>
      <c r="E548" s="24"/>
      <c r="F548" s="24"/>
      <c r="G548" s="24"/>
      <c r="H548" s="24"/>
      <c r="I548" s="24"/>
      <c r="J548" s="27"/>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row>
    <row r="549" spans="4:50" s="23" customFormat="1" x14ac:dyDescent="0.3">
      <c r="D549" s="34"/>
      <c r="E549" s="24"/>
      <c r="F549" s="24"/>
      <c r="G549" s="24"/>
      <c r="H549" s="24"/>
      <c r="I549" s="24"/>
      <c r="J549" s="27"/>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row>
    <row r="550" spans="4:50" s="23" customFormat="1" x14ac:dyDescent="0.3">
      <c r="D550" s="34"/>
      <c r="E550" s="24"/>
      <c r="F550" s="24"/>
      <c r="G550" s="24"/>
      <c r="H550" s="24"/>
      <c r="I550" s="24"/>
      <c r="J550" s="27"/>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row>
    <row r="551" spans="4:50" s="23" customFormat="1" x14ac:dyDescent="0.3">
      <c r="D551" s="34"/>
      <c r="E551" s="24"/>
      <c r="F551" s="24"/>
      <c r="G551" s="24"/>
      <c r="H551" s="24"/>
      <c r="I551" s="24"/>
      <c r="J551" s="27"/>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row>
    <row r="552" spans="4:50" s="23" customFormat="1" x14ac:dyDescent="0.3">
      <c r="D552" s="34"/>
      <c r="E552" s="24"/>
      <c r="F552" s="24"/>
      <c r="G552" s="24"/>
      <c r="H552" s="24"/>
      <c r="I552" s="24"/>
      <c r="J552" s="27"/>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row>
    <row r="553" spans="4:50" s="23" customFormat="1" x14ac:dyDescent="0.3">
      <c r="D553" s="34"/>
      <c r="E553" s="24"/>
      <c r="F553" s="24"/>
      <c r="G553" s="24"/>
      <c r="H553" s="24"/>
      <c r="I553" s="24"/>
      <c r="J553" s="27"/>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row>
    <row r="554" spans="4:50" s="23" customFormat="1" x14ac:dyDescent="0.3">
      <c r="D554" s="34"/>
      <c r="E554" s="24"/>
      <c r="F554" s="24"/>
      <c r="G554" s="24"/>
      <c r="H554" s="24"/>
      <c r="I554" s="24"/>
      <c r="J554" s="27"/>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row>
    <row r="555" spans="4:50" s="23" customFormat="1" x14ac:dyDescent="0.3">
      <c r="D555" s="34"/>
      <c r="E555" s="24"/>
      <c r="F555" s="24"/>
      <c r="G555" s="24"/>
      <c r="H555" s="24"/>
      <c r="I555" s="24"/>
      <c r="J555" s="27"/>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row>
    <row r="556" spans="4:50" s="23" customFormat="1" x14ac:dyDescent="0.3">
      <c r="D556" s="34"/>
      <c r="E556" s="24"/>
      <c r="F556" s="24"/>
      <c r="G556" s="24"/>
      <c r="H556" s="24"/>
      <c r="I556" s="24"/>
      <c r="J556" s="27"/>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row>
    <row r="557" spans="4:50" s="23" customFormat="1" x14ac:dyDescent="0.3">
      <c r="D557" s="34"/>
      <c r="E557" s="24"/>
      <c r="F557" s="24"/>
      <c r="G557" s="24"/>
      <c r="H557" s="24"/>
      <c r="I557" s="24"/>
      <c r="J557" s="27"/>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row>
    <row r="558" spans="4:50" s="23" customFormat="1" x14ac:dyDescent="0.3">
      <c r="D558" s="34"/>
      <c r="E558" s="24"/>
      <c r="F558" s="24"/>
      <c r="G558" s="24"/>
      <c r="H558" s="24"/>
      <c r="I558" s="24"/>
      <c r="J558" s="27"/>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row>
    <row r="559" spans="4:50" s="23" customFormat="1" x14ac:dyDescent="0.3">
      <c r="D559" s="34"/>
      <c r="E559" s="24"/>
      <c r="F559" s="24"/>
      <c r="G559" s="24"/>
      <c r="H559" s="24"/>
      <c r="I559" s="24"/>
      <c r="J559" s="27"/>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row>
    <row r="560" spans="4:50" s="23" customFormat="1" x14ac:dyDescent="0.3">
      <c r="D560" s="34"/>
      <c r="E560" s="24"/>
      <c r="F560" s="24"/>
      <c r="G560" s="24"/>
      <c r="H560" s="24"/>
      <c r="I560" s="24"/>
      <c r="J560" s="27"/>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row>
    <row r="561" spans="4:50" s="23" customFormat="1" x14ac:dyDescent="0.3">
      <c r="D561" s="34"/>
      <c r="E561" s="24"/>
      <c r="F561" s="24"/>
      <c r="G561" s="24"/>
      <c r="H561" s="24"/>
      <c r="I561" s="24"/>
      <c r="J561" s="27"/>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row>
    <row r="562" spans="4:50" s="23" customFormat="1" x14ac:dyDescent="0.3">
      <c r="D562" s="34"/>
      <c r="E562" s="24"/>
      <c r="F562" s="24"/>
      <c r="G562" s="24"/>
      <c r="H562" s="24"/>
      <c r="I562" s="24"/>
      <c r="J562" s="27"/>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row>
    <row r="563" spans="4:50" s="23" customFormat="1" x14ac:dyDescent="0.3">
      <c r="D563" s="34"/>
      <c r="E563" s="24"/>
      <c r="F563" s="24"/>
      <c r="G563" s="24"/>
      <c r="H563" s="24"/>
      <c r="I563" s="24"/>
      <c r="J563" s="27"/>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row>
    <row r="564" spans="4:50" s="23" customFormat="1" x14ac:dyDescent="0.3">
      <c r="D564" s="34"/>
      <c r="E564" s="24"/>
      <c r="F564" s="24"/>
      <c r="G564" s="24"/>
      <c r="H564" s="24"/>
      <c r="I564" s="24"/>
      <c r="J564" s="27"/>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row>
    <row r="565" spans="4:50" s="23" customFormat="1" x14ac:dyDescent="0.3">
      <c r="D565" s="34"/>
      <c r="E565" s="24"/>
      <c r="F565" s="24"/>
      <c r="G565" s="24"/>
      <c r="H565" s="24"/>
      <c r="I565" s="24"/>
      <c r="J565" s="27"/>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row>
    <row r="566" spans="4:50" s="23" customFormat="1" x14ac:dyDescent="0.3">
      <c r="D566" s="34"/>
      <c r="E566" s="24"/>
      <c r="F566" s="24"/>
      <c r="G566" s="24"/>
      <c r="H566" s="24"/>
      <c r="I566" s="24"/>
      <c r="J566" s="27"/>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row>
    <row r="567" spans="4:50" s="23" customFormat="1" x14ac:dyDescent="0.3">
      <c r="D567" s="34"/>
      <c r="E567" s="24"/>
      <c r="F567" s="24"/>
      <c r="G567" s="24"/>
      <c r="H567" s="24"/>
      <c r="I567" s="24"/>
      <c r="J567" s="27"/>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row>
    <row r="568" spans="4:50" s="23" customFormat="1" x14ac:dyDescent="0.3">
      <c r="D568" s="34"/>
      <c r="E568" s="24"/>
      <c r="F568" s="24"/>
      <c r="G568" s="24"/>
      <c r="H568" s="24"/>
      <c r="I568" s="24"/>
      <c r="J568" s="27"/>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row>
    <row r="569" spans="4:50" s="23" customFormat="1" x14ac:dyDescent="0.3">
      <c r="D569" s="34"/>
      <c r="E569" s="24"/>
      <c r="F569" s="24"/>
      <c r="G569" s="24"/>
      <c r="H569" s="24"/>
      <c r="I569" s="24"/>
      <c r="J569" s="27"/>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row>
    <row r="570" spans="4:50" s="23" customFormat="1" x14ac:dyDescent="0.3">
      <c r="D570" s="34"/>
      <c r="E570" s="24"/>
      <c r="F570" s="24"/>
      <c r="G570" s="24"/>
      <c r="H570" s="24"/>
      <c r="I570" s="24"/>
      <c r="J570" s="27"/>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row>
    <row r="571" spans="4:50" s="23" customFormat="1" x14ac:dyDescent="0.3">
      <c r="D571" s="34"/>
      <c r="E571" s="24"/>
      <c r="F571" s="24"/>
      <c r="G571" s="24"/>
      <c r="H571" s="24"/>
      <c r="I571" s="24"/>
      <c r="J571" s="27"/>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row>
    <row r="572" spans="4:50" s="23" customFormat="1" x14ac:dyDescent="0.3">
      <c r="D572" s="34"/>
      <c r="E572" s="24"/>
      <c r="F572" s="24"/>
      <c r="G572" s="24"/>
      <c r="H572" s="24"/>
      <c r="I572" s="24"/>
      <c r="J572" s="27"/>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row>
    <row r="573" spans="4:50" s="23" customFormat="1" x14ac:dyDescent="0.3">
      <c r="D573" s="34"/>
      <c r="E573" s="24"/>
      <c r="F573" s="24"/>
      <c r="G573" s="24"/>
      <c r="H573" s="24"/>
      <c r="I573" s="24"/>
      <c r="J573" s="27"/>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row>
    <row r="574" spans="4:50" s="23" customFormat="1" x14ac:dyDescent="0.3">
      <c r="D574" s="34"/>
      <c r="E574" s="24"/>
      <c r="F574" s="24"/>
      <c r="G574" s="24"/>
      <c r="H574" s="24"/>
      <c r="I574" s="24"/>
      <c r="J574" s="27"/>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row>
    <row r="575" spans="4:50" s="23" customFormat="1" x14ac:dyDescent="0.3">
      <c r="D575" s="34"/>
      <c r="E575" s="24"/>
      <c r="F575" s="24"/>
      <c r="G575" s="24"/>
      <c r="H575" s="24"/>
      <c r="I575" s="24"/>
      <c r="J575" s="27"/>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row>
    <row r="576" spans="4:50" s="23" customFormat="1" x14ac:dyDescent="0.3">
      <c r="D576" s="34"/>
      <c r="E576" s="24"/>
      <c r="F576" s="24"/>
      <c r="G576" s="24"/>
      <c r="H576" s="24"/>
      <c r="I576" s="24"/>
      <c r="J576" s="27"/>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row>
    <row r="577" spans="4:50" s="23" customFormat="1" x14ac:dyDescent="0.3">
      <c r="D577" s="34"/>
      <c r="E577" s="24"/>
      <c r="F577" s="24"/>
      <c r="G577" s="24"/>
      <c r="H577" s="24"/>
      <c r="I577" s="24"/>
      <c r="J577" s="27"/>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row>
    <row r="578" spans="4:50" s="23" customFormat="1" x14ac:dyDescent="0.3">
      <c r="D578" s="34"/>
      <c r="E578" s="24"/>
      <c r="F578" s="24"/>
      <c r="G578" s="24"/>
      <c r="H578" s="24"/>
      <c r="I578" s="24"/>
      <c r="J578" s="27"/>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row>
    <row r="579" spans="4:50" s="23" customFormat="1" x14ac:dyDescent="0.3">
      <c r="D579" s="34"/>
      <c r="E579" s="24"/>
      <c r="F579" s="24"/>
      <c r="G579" s="24"/>
      <c r="H579" s="24"/>
      <c r="I579" s="24"/>
      <c r="J579" s="27"/>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row>
    <row r="580" spans="4:50" s="23" customFormat="1" x14ac:dyDescent="0.3">
      <c r="D580" s="34"/>
      <c r="E580" s="24"/>
      <c r="F580" s="24"/>
      <c r="G580" s="24"/>
      <c r="H580" s="24"/>
      <c r="I580" s="24"/>
      <c r="J580" s="27"/>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row>
    <row r="581" spans="4:50" s="23" customFormat="1" x14ac:dyDescent="0.3">
      <c r="D581" s="34"/>
      <c r="E581" s="24"/>
      <c r="F581" s="24"/>
      <c r="G581" s="24"/>
      <c r="H581" s="24"/>
      <c r="I581" s="24"/>
      <c r="J581" s="27"/>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row>
    <row r="582" spans="4:50" s="23" customFormat="1" x14ac:dyDescent="0.3">
      <c r="D582" s="34"/>
      <c r="E582" s="24"/>
      <c r="F582" s="24"/>
      <c r="G582" s="24"/>
      <c r="H582" s="24"/>
      <c r="I582" s="24"/>
      <c r="J582" s="27"/>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row>
    <row r="583" spans="4:50" s="23" customFormat="1" x14ac:dyDescent="0.3">
      <c r="D583" s="34"/>
      <c r="E583" s="24"/>
      <c r="F583" s="24"/>
      <c r="G583" s="24"/>
      <c r="H583" s="24"/>
      <c r="I583" s="24"/>
      <c r="J583" s="27"/>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row>
    <row r="584" spans="4:50" s="23" customFormat="1" x14ac:dyDescent="0.3">
      <c r="D584" s="34"/>
      <c r="E584" s="24"/>
      <c r="F584" s="24"/>
      <c r="G584" s="24"/>
      <c r="H584" s="24"/>
      <c r="I584" s="24"/>
      <c r="J584" s="27"/>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row>
    <row r="585" spans="4:50" s="23" customFormat="1" x14ac:dyDescent="0.3">
      <c r="D585" s="34"/>
      <c r="E585" s="24"/>
      <c r="F585" s="24"/>
      <c r="G585" s="24"/>
      <c r="H585" s="24"/>
      <c r="I585" s="24"/>
      <c r="J585" s="27"/>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row>
    <row r="586" spans="4:50" s="23" customFormat="1" x14ac:dyDescent="0.3">
      <c r="D586" s="34"/>
      <c r="E586" s="24"/>
      <c r="F586" s="24"/>
      <c r="G586" s="24"/>
      <c r="H586" s="24"/>
      <c r="I586" s="24"/>
      <c r="J586" s="27"/>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row>
    <row r="587" spans="4:50" s="23" customFormat="1" x14ac:dyDescent="0.3">
      <c r="D587" s="34"/>
      <c r="E587" s="24"/>
      <c r="F587" s="24"/>
      <c r="G587" s="24"/>
      <c r="H587" s="24"/>
      <c r="I587" s="24"/>
      <c r="J587" s="27"/>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row>
    <row r="588" spans="4:50" s="23" customFormat="1" x14ac:dyDescent="0.3">
      <c r="D588" s="34"/>
      <c r="E588" s="24"/>
      <c r="F588" s="24"/>
      <c r="G588" s="24"/>
      <c r="H588" s="24"/>
      <c r="I588" s="24"/>
      <c r="J588" s="27"/>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row>
    <row r="589" spans="4:50" s="23" customFormat="1" x14ac:dyDescent="0.3">
      <c r="D589" s="34"/>
      <c r="E589" s="24"/>
      <c r="F589" s="24"/>
      <c r="G589" s="24"/>
      <c r="H589" s="24"/>
      <c r="I589" s="24"/>
      <c r="J589" s="27"/>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row>
    <row r="590" spans="4:50" s="23" customFormat="1" x14ac:dyDescent="0.3">
      <c r="D590" s="34"/>
      <c r="E590" s="24"/>
      <c r="F590" s="24"/>
      <c r="G590" s="24"/>
      <c r="H590" s="24"/>
      <c r="I590" s="24"/>
      <c r="J590" s="27"/>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row>
    <row r="591" spans="4:50" s="23" customFormat="1" x14ac:dyDescent="0.3">
      <c r="D591" s="34"/>
      <c r="E591" s="24"/>
      <c r="F591" s="24"/>
      <c r="G591" s="24"/>
      <c r="H591" s="24"/>
      <c r="I591" s="24"/>
      <c r="J591" s="27"/>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row>
    <row r="592" spans="4:50" s="23" customFormat="1" x14ac:dyDescent="0.3">
      <c r="D592" s="34"/>
      <c r="E592" s="24"/>
      <c r="F592" s="24"/>
      <c r="G592" s="24"/>
      <c r="H592" s="24"/>
      <c r="I592" s="24"/>
      <c r="J592" s="27"/>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row>
    <row r="593" spans="4:50" s="23" customFormat="1" x14ac:dyDescent="0.3">
      <c r="D593" s="34"/>
      <c r="E593" s="24"/>
      <c r="F593" s="24"/>
      <c r="G593" s="24"/>
      <c r="H593" s="24"/>
      <c r="I593" s="24"/>
      <c r="J593" s="27"/>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row>
    <row r="594" spans="4:50" s="23" customFormat="1" x14ac:dyDescent="0.3">
      <c r="D594" s="34"/>
      <c r="E594" s="24"/>
      <c r="F594" s="24"/>
      <c r="G594" s="24"/>
      <c r="H594" s="24"/>
      <c r="I594" s="24"/>
      <c r="J594" s="27"/>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row>
    <row r="595" spans="4:50" s="23" customFormat="1" x14ac:dyDescent="0.3">
      <c r="D595" s="34"/>
      <c r="E595" s="24"/>
      <c r="F595" s="24"/>
      <c r="G595" s="24"/>
      <c r="H595" s="24"/>
      <c r="I595" s="24"/>
      <c r="J595" s="27"/>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row>
    <row r="596" spans="4:50" s="23" customFormat="1" x14ac:dyDescent="0.3">
      <c r="D596" s="34"/>
      <c r="E596" s="24"/>
      <c r="F596" s="24"/>
      <c r="G596" s="24"/>
      <c r="H596" s="24"/>
      <c r="I596" s="24"/>
      <c r="J596" s="27"/>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row>
    <row r="597" spans="4:50" s="23" customFormat="1" x14ac:dyDescent="0.3">
      <c r="D597" s="34"/>
      <c r="E597" s="24"/>
      <c r="F597" s="24"/>
      <c r="G597" s="24"/>
      <c r="H597" s="24"/>
      <c r="I597" s="24"/>
      <c r="J597" s="27"/>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row>
    <row r="598" spans="4:50" s="23" customFormat="1" x14ac:dyDescent="0.3">
      <c r="D598" s="34"/>
      <c r="E598" s="24"/>
      <c r="F598" s="24"/>
      <c r="G598" s="24"/>
      <c r="H598" s="24"/>
      <c r="I598" s="24"/>
      <c r="J598" s="27"/>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row>
    <row r="599" spans="4:50" s="23" customFormat="1" x14ac:dyDescent="0.3">
      <c r="D599" s="34"/>
      <c r="E599" s="24"/>
      <c r="F599" s="24"/>
      <c r="G599" s="24"/>
      <c r="H599" s="24"/>
      <c r="I599" s="24"/>
      <c r="J599" s="27"/>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row>
    <row r="600" spans="4:50" s="23" customFormat="1" x14ac:dyDescent="0.3">
      <c r="D600" s="34"/>
      <c r="E600" s="24"/>
      <c r="F600" s="24"/>
      <c r="G600" s="24"/>
      <c r="H600" s="24"/>
      <c r="I600" s="24"/>
      <c r="J600" s="27"/>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row>
    <row r="601" spans="4:50" s="23" customFormat="1" x14ac:dyDescent="0.3">
      <c r="D601" s="34"/>
      <c r="E601" s="24"/>
      <c r="F601" s="24"/>
      <c r="G601" s="24"/>
      <c r="H601" s="24"/>
      <c r="I601" s="24"/>
      <c r="J601" s="27"/>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row>
    <row r="602" spans="4:50" s="23" customFormat="1" x14ac:dyDescent="0.3">
      <c r="D602" s="34"/>
      <c r="E602" s="24"/>
      <c r="F602" s="24"/>
      <c r="G602" s="24"/>
      <c r="H602" s="24"/>
      <c r="I602" s="24"/>
      <c r="J602" s="27"/>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row>
    <row r="603" spans="4:50" s="23" customFormat="1" x14ac:dyDescent="0.3">
      <c r="D603" s="34"/>
      <c r="E603" s="24"/>
      <c r="F603" s="24"/>
      <c r="G603" s="24"/>
      <c r="H603" s="24"/>
      <c r="I603" s="24"/>
      <c r="J603" s="27"/>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row>
    <row r="604" spans="4:50" s="23" customFormat="1" x14ac:dyDescent="0.3">
      <c r="D604" s="34"/>
      <c r="E604" s="24"/>
      <c r="F604" s="24"/>
      <c r="G604" s="24"/>
      <c r="H604" s="24"/>
      <c r="I604" s="24"/>
      <c r="J604" s="27"/>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row>
    <row r="605" spans="4:50" s="23" customFormat="1" x14ac:dyDescent="0.3">
      <c r="D605" s="34"/>
      <c r="E605" s="24"/>
      <c r="F605" s="24"/>
      <c r="G605" s="24"/>
      <c r="H605" s="24"/>
      <c r="I605" s="24"/>
      <c r="J605" s="27"/>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row>
    <row r="606" spans="4:50" s="23" customFormat="1" x14ac:dyDescent="0.3">
      <c r="D606" s="34"/>
      <c r="E606" s="24"/>
      <c r="F606" s="24"/>
      <c r="G606" s="24"/>
      <c r="H606" s="24"/>
      <c r="I606" s="24"/>
      <c r="J606" s="27"/>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row>
    <row r="607" spans="4:50" s="23" customFormat="1" x14ac:dyDescent="0.3">
      <c r="D607" s="34"/>
      <c r="E607" s="24"/>
      <c r="F607" s="24"/>
      <c r="G607" s="24"/>
      <c r="H607" s="24"/>
      <c r="I607" s="24"/>
      <c r="J607" s="27"/>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row>
    <row r="608" spans="4:50" s="23" customFormat="1" x14ac:dyDescent="0.3">
      <c r="D608" s="34"/>
      <c r="E608" s="24"/>
      <c r="F608" s="24"/>
      <c r="G608" s="24"/>
      <c r="H608" s="24"/>
      <c r="I608" s="24"/>
      <c r="J608" s="27"/>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row>
    <row r="609" spans="4:50" s="23" customFormat="1" x14ac:dyDescent="0.3">
      <c r="D609" s="34"/>
      <c r="E609" s="24"/>
      <c r="F609" s="24"/>
      <c r="G609" s="24"/>
      <c r="H609" s="24"/>
      <c r="I609" s="24"/>
      <c r="J609" s="27"/>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row>
    <row r="610" spans="4:50" s="23" customFormat="1" x14ac:dyDescent="0.3">
      <c r="D610" s="34"/>
      <c r="E610" s="24"/>
      <c r="F610" s="24"/>
      <c r="G610" s="24"/>
      <c r="H610" s="24"/>
      <c r="I610" s="24"/>
      <c r="J610" s="27"/>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row>
    <row r="611" spans="4:50" s="23" customFormat="1" x14ac:dyDescent="0.3">
      <c r="D611" s="34"/>
      <c r="E611" s="24"/>
      <c r="F611" s="24"/>
      <c r="G611" s="24"/>
      <c r="H611" s="24"/>
      <c r="I611" s="24"/>
      <c r="J611" s="27"/>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row>
    <row r="612" spans="4:50" s="23" customFormat="1" x14ac:dyDescent="0.3">
      <c r="D612" s="34"/>
      <c r="E612" s="24"/>
      <c r="F612" s="24"/>
      <c r="G612" s="24"/>
      <c r="H612" s="24"/>
      <c r="I612" s="24"/>
      <c r="J612" s="27"/>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row>
    <row r="613" spans="4:50" s="23" customFormat="1" x14ac:dyDescent="0.3">
      <c r="D613" s="34"/>
      <c r="E613" s="24"/>
      <c r="F613" s="24"/>
      <c r="G613" s="24"/>
      <c r="H613" s="24"/>
      <c r="I613" s="24"/>
      <c r="J613" s="27"/>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row>
    <row r="614" spans="4:50" s="23" customFormat="1" x14ac:dyDescent="0.3">
      <c r="D614" s="34"/>
      <c r="E614" s="24"/>
      <c r="F614" s="24"/>
      <c r="G614" s="24"/>
      <c r="H614" s="24"/>
      <c r="I614" s="24"/>
      <c r="J614" s="27"/>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row>
    <row r="615" spans="4:50" s="23" customFormat="1" x14ac:dyDescent="0.3">
      <c r="D615" s="34"/>
      <c r="E615" s="24"/>
      <c r="F615" s="24"/>
      <c r="G615" s="24"/>
      <c r="H615" s="24"/>
      <c r="I615" s="24"/>
      <c r="J615" s="27"/>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row>
    <row r="616" spans="4:50" s="23" customFormat="1" x14ac:dyDescent="0.3">
      <c r="D616" s="34"/>
      <c r="E616" s="24"/>
      <c r="F616" s="24"/>
      <c r="G616" s="24"/>
      <c r="H616" s="24"/>
      <c r="I616" s="24"/>
      <c r="J616" s="27"/>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row>
    <row r="617" spans="4:50" s="23" customFormat="1" x14ac:dyDescent="0.3">
      <c r="D617" s="34"/>
      <c r="E617" s="24"/>
      <c r="F617" s="24"/>
      <c r="G617" s="24"/>
      <c r="H617" s="24"/>
      <c r="I617" s="24"/>
      <c r="J617" s="27"/>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row>
    <row r="618" spans="4:50" s="23" customFormat="1" x14ac:dyDescent="0.3">
      <c r="D618" s="34"/>
      <c r="E618" s="24"/>
      <c r="F618" s="24"/>
      <c r="G618" s="24"/>
      <c r="H618" s="24"/>
      <c r="I618" s="24"/>
      <c r="J618" s="27"/>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row>
    <row r="619" spans="4:50" s="23" customFormat="1" x14ac:dyDescent="0.3">
      <c r="D619" s="34"/>
      <c r="E619" s="24"/>
      <c r="F619" s="24"/>
      <c r="G619" s="24"/>
      <c r="H619" s="24"/>
      <c r="I619" s="24"/>
      <c r="J619" s="27"/>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row>
    <row r="620" spans="4:50" s="23" customFormat="1" x14ac:dyDescent="0.3">
      <c r="D620" s="34"/>
      <c r="E620" s="24"/>
      <c r="F620" s="24"/>
      <c r="G620" s="24"/>
      <c r="H620" s="24"/>
      <c r="I620" s="24"/>
      <c r="J620" s="27"/>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row>
    <row r="621" spans="4:50" s="23" customFormat="1" x14ac:dyDescent="0.3">
      <c r="D621" s="34"/>
      <c r="E621" s="24"/>
      <c r="F621" s="24"/>
      <c r="G621" s="24"/>
      <c r="H621" s="24"/>
      <c r="I621" s="24"/>
      <c r="J621" s="27"/>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row>
    <row r="622" spans="4:50" s="23" customFormat="1" x14ac:dyDescent="0.3">
      <c r="D622" s="34"/>
      <c r="E622" s="24"/>
      <c r="F622" s="24"/>
      <c r="G622" s="24"/>
      <c r="H622" s="24"/>
      <c r="I622" s="24"/>
      <c r="J622" s="27"/>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row>
    <row r="623" spans="4:50" s="23" customFormat="1" x14ac:dyDescent="0.3">
      <c r="D623" s="34"/>
      <c r="E623" s="24"/>
      <c r="F623" s="24"/>
      <c r="G623" s="24"/>
      <c r="H623" s="24"/>
      <c r="I623" s="24"/>
      <c r="J623" s="27"/>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row>
    <row r="624" spans="4:50" s="23" customFormat="1" x14ac:dyDescent="0.3">
      <c r="D624" s="34"/>
      <c r="E624" s="24"/>
      <c r="F624" s="24"/>
      <c r="G624" s="24"/>
      <c r="H624" s="24"/>
      <c r="I624" s="24"/>
      <c r="J624" s="27"/>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row>
    <row r="625" spans="4:50" s="23" customFormat="1" x14ac:dyDescent="0.3">
      <c r="D625" s="34"/>
      <c r="E625" s="24"/>
      <c r="F625" s="24"/>
      <c r="G625" s="24"/>
      <c r="H625" s="24"/>
      <c r="I625" s="24"/>
      <c r="J625" s="27"/>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row>
    <row r="626" spans="4:50" s="23" customFormat="1" x14ac:dyDescent="0.3">
      <c r="D626" s="34"/>
      <c r="E626" s="24"/>
      <c r="F626" s="24"/>
      <c r="G626" s="24"/>
      <c r="H626" s="24"/>
      <c r="I626" s="24"/>
      <c r="J626" s="27"/>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row>
    <row r="627" spans="4:50" s="23" customFormat="1" x14ac:dyDescent="0.3">
      <c r="D627" s="34"/>
      <c r="E627" s="24"/>
      <c r="F627" s="24"/>
      <c r="G627" s="24"/>
      <c r="H627" s="24"/>
      <c r="I627" s="24"/>
      <c r="J627" s="27"/>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row>
    <row r="628" spans="4:50" s="23" customFormat="1" x14ac:dyDescent="0.3">
      <c r="D628" s="34"/>
      <c r="E628" s="24"/>
      <c r="F628" s="24"/>
      <c r="G628" s="24"/>
      <c r="H628" s="24"/>
      <c r="I628" s="24"/>
      <c r="J628" s="27"/>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row>
    <row r="629" spans="4:50" s="23" customFormat="1" x14ac:dyDescent="0.3">
      <c r="D629" s="34"/>
      <c r="E629" s="24"/>
      <c r="F629" s="24"/>
      <c r="G629" s="24"/>
      <c r="H629" s="24"/>
      <c r="I629" s="24"/>
      <c r="J629" s="27"/>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row>
    <row r="630" spans="4:50" s="23" customFormat="1" x14ac:dyDescent="0.3">
      <c r="D630" s="34"/>
      <c r="E630" s="24"/>
      <c r="F630" s="24"/>
      <c r="G630" s="24"/>
      <c r="H630" s="24"/>
      <c r="I630" s="24"/>
      <c r="J630" s="27"/>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row>
    <row r="631" spans="4:50" s="23" customFormat="1" x14ac:dyDescent="0.3">
      <c r="D631" s="34"/>
      <c r="E631" s="24"/>
      <c r="F631" s="24"/>
      <c r="G631" s="24"/>
      <c r="H631" s="24"/>
      <c r="I631" s="24"/>
      <c r="J631" s="27"/>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row>
    <row r="632" spans="4:50" s="23" customFormat="1" x14ac:dyDescent="0.3">
      <c r="D632" s="34"/>
      <c r="E632" s="24"/>
      <c r="F632" s="24"/>
      <c r="G632" s="24"/>
      <c r="H632" s="24"/>
      <c r="I632" s="24"/>
      <c r="J632" s="27"/>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row>
    <row r="633" spans="4:50" s="23" customFormat="1" x14ac:dyDescent="0.3">
      <c r="D633" s="34"/>
      <c r="E633" s="24"/>
      <c r="F633" s="24"/>
      <c r="G633" s="24"/>
      <c r="H633" s="24"/>
      <c r="I633" s="24"/>
      <c r="J633" s="27"/>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row>
    <row r="634" spans="4:50" s="23" customFormat="1" x14ac:dyDescent="0.3">
      <c r="D634" s="34"/>
      <c r="E634" s="24"/>
      <c r="F634" s="24"/>
      <c r="G634" s="24"/>
      <c r="H634" s="24"/>
      <c r="I634" s="24"/>
      <c r="J634" s="27"/>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row>
    <row r="635" spans="4:50" s="23" customFormat="1" x14ac:dyDescent="0.3">
      <c r="D635" s="34"/>
      <c r="E635" s="24"/>
      <c r="F635" s="24"/>
      <c r="G635" s="24"/>
      <c r="H635" s="24"/>
      <c r="I635" s="24"/>
      <c r="J635" s="27"/>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row>
    <row r="636" spans="4:50" s="23" customFormat="1" x14ac:dyDescent="0.3">
      <c r="D636" s="34"/>
      <c r="E636" s="24"/>
      <c r="F636" s="24"/>
      <c r="G636" s="24"/>
      <c r="H636" s="24"/>
      <c r="I636" s="24"/>
      <c r="J636" s="27"/>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row>
    <row r="637" spans="4:50" s="23" customFormat="1" x14ac:dyDescent="0.3">
      <c r="D637" s="34"/>
      <c r="E637" s="24"/>
      <c r="F637" s="24"/>
      <c r="G637" s="24"/>
      <c r="H637" s="24"/>
      <c r="I637" s="24"/>
      <c r="J637" s="27"/>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row>
    <row r="638" spans="4:50" s="23" customFormat="1" x14ac:dyDescent="0.3">
      <c r="D638" s="34"/>
      <c r="E638" s="24"/>
      <c r="F638" s="24"/>
      <c r="G638" s="24"/>
      <c r="H638" s="24"/>
      <c r="I638" s="24"/>
      <c r="J638" s="27"/>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row>
    <row r="639" spans="4:50" s="23" customFormat="1" x14ac:dyDescent="0.3">
      <c r="D639" s="34"/>
      <c r="E639" s="24"/>
      <c r="F639" s="24"/>
      <c r="G639" s="24"/>
      <c r="H639" s="24"/>
      <c r="I639" s="24"/>
      <c r="J639" s="27"/>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row>
    <row r="640" spans="4:50" s="23" customFormat="1" x14ac:dyDescent="0.3">
      <c r="D640" s="34"/>
      <c r="E640" s="24"/>
      <c r="F640" s="24"/>
      <c r="G640" s="24"/>
      <c r="H640" s="24"/>
      <c r="I640" s="24"/>
      <c r="J640" s="27"/>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row>
    <row r="641" spans="4:50" s="23" customFormat="1" x14ac:dyDescent="0.3">
      <c r="D641" s="34"/>
      <c r="E641" s="24"/>
      <c r="F641" s="24"/>
      <c r="G641" s="24"/>
      <c r="H641" s="24"/>
      <c r="I641" s="24"/>
      <c r="J641" s="27"/>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row>
    <row r="642" spans="4:50" s="23" customFormat="1" x14ac:dyDescent="0.3">
      <c r="D642" s="34"/>
      <c r="E642" s="24"/>
      <c r="F642" s="24"/>
      <c r="G642" s="24"/>
      <c r="H642" s="24"/>
      <c r="I642" s="24"/>
      <c r="J642" s="27"/>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row>
    <row r="643" spans="4:50" s="23" customFormat="1" x14ac:dyDescent="0.3">
      <c r="D643" s="34"/>
      <c r="E643" s="24"/>
      <c r="F643" s="24"/>
      <c r="G643" s="24"/>
      <c r="H643" s="24"/>
      <c r="I643" s="24"/>
      <c r="J643" s="27"/>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row>
    <row r="644" spans="4:50" s="23" customFormat="1" x14ac:dyDescent="0.3">
      <c r="D644" s="34"/>
      <c r="E644" s="24"/>
      <c r="F644" s="24"/>
      <c r="G644" s="24"/>
      <c r="H644" s="24"/>
      <c r="I644" s="24"/>
      <c r="J644" s="27"/>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row>
    <row r="645" spans="4:50" s="23" customFormat="1" x14ac:dyDescent="0.3">
      <c r="D645" s="34"/>
      <c r="E645" s="24"/>
      <c r="F645" s="24"/>
      <c r="G645" s="24"/>
      <c r="H645" s="24"/>
      <c r="I645" s="24"/>
      <c r="J645" s="27"/>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row>
    <row r="646" spans="4:50" s="23" customFormat="1" x14ac:dyDescent="0.3">
      <c r="D646" s="34"/>
      <c r="E646" s="24"/>
      <c r="F646" s="24"/>
      <c r="G646" s="24"/>
      <c r="H646" s="24"/>
      <c r="I646" s="24"/>
      <c r="J646" s="27"/>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row>
    <row r="647" spans="4:50" s="23" customFormat="1" x14ac:dyDescent="0.3">
      <c r="D647" s="34"/>
      <c r="E647" s="24"/>
      <c r="F647" s="24"/>
      <c r="G647" s="24"/>
      <c r="H647" s="24"/>
      <c r="I647" s="24"/>
      <c r="J647" s="27"/>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row>
    <row r="648" spans="4:50" s="23" customFormat="1" x14ac:dyDescent="0.3">
      <c r="D648" s="34"/>
      <c r="E648" s="24"/>
      <c r="F648" s="24"/>
      <c r="G648" s="24"/>
      <c r="H648" s="24"/>
      <c r="I648" s="24"/>
      <c r="J648" s="27"/>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row>
    <row r="649" spans="4:50" s="23" customFormat="1" x14ac:dyDescent="0.3">
      <c r="D649" s="34"/>
      <c r="E649" s="24"/>
      <c r="F649" s="24"/>
      <c r="G649" s="24"/>
      <c r="H649" s="24"/>
      <c r="I649" s="24"/>
      <c r="J649" s="27"/>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row>
    <row r="650" spans="4:50" s="23" customFormat="1" x14ac:dyDescent="0.3">
      <c r="D650" s="34"/>
      <c r="E650" s="24"/>
      <c r="F650" s="24"/>
      <c r="G650" s="24"/>
      <c r="H650" s="24"/>
      <c r="I650" s="24"/>
      <c r="J650" s="27"/>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row>
    <row r="651" spans="4:50" s="23" customFormat="1" x14ac:dyDescent="0.3">
      <c r="D651" s="34"/>
      <c r="E651" s="24"/>
      <c r="F651" s="24"/>
      <c r="G651" s="24"/>
      <c r="H651" s="24"/>
      <c r="I651" s="24"/>
      <c r="J651" s="27"/>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row>
    <row r="652" spans="4:50" s="23" customFormat="1" x14ac:dyDescent="0.3">
      <c r="D652" s="34"/>
      <c r="E652" s="24"/>
      <c r="F652" s="24"/>
      <c r="G652" s="24"/>
      <c r="H652" s="24"/>
      <c r="I652" s="24"/>
      <c r="J652" s="27"/>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row>
    <row r="653" spans="4:50" s="23" customFormat="1" x14ac:dyDescent="0.3">
      <c r="D653" s="34"/>
      <c r="E653" s="24"/>
      <c r="F653" s="24"/>
      <c r="G653" s="24"/>
      <c r="H653" s="24"/>
      <c r="I653" s="24"/>
      <c r="J653" s="27"/>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row>
    <row r="654" spans="4:50" s="23" customFormat="1" x14ac:dyDescent="0.3">
      <c r="D654" s="34"/>
      <c r="E654" s="24"/>
      <c r="F654" s="24"/>
      <c r="G654" s="24"/>
      <c r="H654" s="24"/>
      <c r="I654" s="24"/>
      <c r="J654" s="27"/>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row>
    <row r="655" spans="4:50" s="23" customFormat="1" x14ac:dyDescent="0.3">
      <c r="D655" s="34"/>
      <c r="E655" s="24"/>
      <c r="F655" s="24"/>
      <c r="G655" s="24"/>
      <c r="H655" s="24"/>
      <c r="I655" s="24"/>
      <c r="J655" s="27"/>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row>
    <row r="656" spans="4:50" s="23" customFormat="1" x14ac:dyDescent="0.3">
      <c r="D656" s="34"/>
      <c r="E656" s="24"/>
      <c r="F656" s="24"/>
      <c r="G656" s="24"/>
      <c r="H656" s="24"/>
      <c r="I656" s="24"/>
      <c r="J656" s="27"/>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row>
    <row r="657" spans="4:50" s="23" customFormat="1" x14ac:dyDescent="0.3">
      <c r="D657" s="34"/>
      <c r="E657" s="24"/>
      <c r="F657" s="24"/>
      <c r="G657" s="24"/>
      <c r="H657" s="24"/>
      <c r="I657" s="24"/>
      <c r="J657" s="27"/>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row>
    <row r="658" spans="4:50" s="23" customFormat="1" x14ac:dyDescent="0.3">
      <c r="D658" s="34"/>
      <c r="E658" s="24"/>
      <c r="F658" s="24"/>
      <c r="G658" s="24"/>
      <c r="H658" s="24"/>
      <c r="I658" s="24"/>
      <c r="J658" s="27"/>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row>
    <row r="659" spans="4:50" s="23" customFormat="1" x14ac:dyDescent="0.3">
      <c r="D659" s="34"/>
      <c r="E659" s="24"/>
      <c r="F659" s="24"/>
      <c r="G659" s="24"/>
      <c r="H659" s="24"/>
      <c r="I659" s="24"/>
      <c r="J659" s="27"/>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row>
    <row r="660" spans="4:50" s="23" customFormat="1" x14ac:dyDescent="0.3">
      <c r="D660" s="34"/>
      <c r="E660" s="24"/>
      <c r="F660" s="24"/>
      <c r="G660" s="24"/>
      <c r="H660" s="24"/>
      <c r="I660" s="24"/>
      <c r="J660" s="27"/>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row>
    <row r="661" spans="4:50" s="23" customFormat="1" x14ac:dyDescent="0.3">
      <c r="D661" s="34"/>
      <c r="E661" s="24"/>
      <c r="F661" s="24"/>
      <c r="G661" s="24"/>
      <c r="H661" s="24"/>
      <c r="I661" s="24"/>
      <c r="J661" s="27"/>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row>
    <row r="662" spans="4:50" s="23" customFormat="1" x14ac:dyDescent="0.3">
      <c r="D662" s="34"/>
      <c r="E662" s="24"/>
      <c r="F662" s="24"/>
      <c r="G662" s="24"/>
      <c r="H662" s="24"/>
      <c r="I662" s="24"/>
      <c r="J662" s="27"/>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row>
    <row r="663" spans="4:50" s="23" customFormat="1" x14ac:dyDescent="0.3">
      <c r="D663" s="34"/>
      <c r="E663" s="24"/>
      <c r="F663" s="24"/>
      <c r="G663" s="24"/>
      <c r="H663" s="24"/>
      <c r="I663" s="24"/>
      <c r="J663" s="27"/>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row>
    <row r="664" spans="4:50" s="23" customFormat="1" x14ac:dyDescent="0.3">
      <c r="D664" s="34"/>
      <c r="E664" s="24"/>
      <c r="F664" s="24"/>
      <c r="G664" s="24"/>
      <c r="H664" s="24"/>
      <c r="I664" s="24"/>
      <c r="J664" s="27"/>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row>
    <row r="665" spans="4:50" s="23" customFormat="1" x14ac:dyDescent="0.3">
      <c r="D665" s="34"/>
      <c r="E665" s="24"/>
      <c r="F665" s="24"/>
      <c r="G665" s="24"/>
      <c r="H665" s="24"/>
      <c r="I665" s="24"/>
      <c r="J665" s="27"/>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row>
    <row r="666" spans="4:50" s="23" customFormat="1" x14ac:dyDescent="0.3">
      <c r="D666" s="34"/>
      <c r="E666" s="24"/>
      <c r="F666" s="24"/>
      <c r="G666" s="24"/>
      <c r="H666" s="24"/>
      <c r="I666" s="24"/>
      <c r="J666" s="27"/>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row>
    <row r="667" spans="4:50" s="23" customFormat="1" x14ac:dyDescent="0.3">
      <c r="D667" s="34"/>
      <c r="E667" s="24"/>
      <c r="F667" s="24"/>
      <c r="G667" s="24"/>
      <c r="H667" s="24"/>
      <c r="I667" s="24"/>
      <c r="J667" s="27"/>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row>
    <row r="668" spans="4:50" s="23" customFormat="1" x14ac:dyDescent="0.3">
      <c r="D668" s="34"/>
      <c r="E668" s="24"/>
      <c r="F668" s="24"/>
      <c r="G668" s="24"/>
      <c r="H668" s="24"/>
      <c r="I668" s="24"/>
      <c r="J668" s="27"/>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row>
    <row r="669" spans="4:50" s="23" customFormat="1" x14ac:dyDescent="0.3">
      <c r="D669" s="34"/>
      <c r="E669" s="24"/>
      <c r="F669" s="24"/>
      <c r="G669" s="24"/>
      <c r="H669" s="24"/>
      <c r="I669" s="24"/>
      <c r="J669" s="27"/>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row>
    <row r="670" spans="4:50" s="23" customFormat="1" x14ac:dyDescent="0.3">
      <c r="D670" s="34"/>
      <c r="E670" s="24"/>
      <c r="F670" s="24"/>
      <c r="G670" s="24"/>
      <c r="H670" s="24"/>
      <c r="I670" s="24"/>
      <c r="J670" s="27"/>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row>
    <row r="671" spans="4:50" s="23" customFormat="1" x14ac:dyDescent="0.3">
      <c r="D671" s="34"/>
      <c r="E671" s="24"/>
      <c r="F671" s="24"/>
      <c r="G671" s="24"/>
      <c r="H671" s="24"/>
      <c r="I671" s="24"/>
      <c r="J671" s="27"/>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row>
    <row r="672" spans="4:50" s="23" customFormat="1" x14ac:dyDescent="0.3">
      <c r="D672" s="34"/>
      <c r="E672" s="24"/>
      <c r="F672" s="24"/>
      <c r="G672" s="24"/>
      <c r="H672" s="24"/>
      <c r="I672" s="24"/>
      <c r="J672" s="27"/>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row>
    <row r="673" spans="4:50" s="23" customFormat="1" x14ac:dyDescent="0.3">
      <c r="D673" s="34"/>
      <c r="E673" s="24"/>
      <c r="F673" s="24"/>
      <c r="G673" s="24"/>
      <c r="H673" s="24"/>
      <c r="I673" s="24"/>
      <c r="J673" s="27"/>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row>
    <row r="674" spans="4:50" s="23" customFormat="1" x14ac:dyDescent="0.3">
      <c r="D674" s="34"/>
      <c r="E674" s="24"/>
      <c r="F674" s="24"/>
      <c r="G674" s="24"/>
      <c r="H674" s="24"/>
      <c r="I674" s="24"/>
      <c r="J674" s="27"/>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row>
    <row r="675" spans="4:50" s="23" customFormat="1" x14ac:dyDescent="0.3">
      <c r="D675" s="34"/>
      <c r="E675" s="24"/>
      <c r="F675" s="24"/>
      <c r="G675" s="24"/>
      <c r="H675" s="24"/>
      <c r="I675" s="24"/>
      <c r="J675" s="27"/>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row>
    <row r="676" spans="4:50" s="23" customFormat="1" x14ac:dyDescent="0.3">
      <c r="D676" s="34"/>
      <c r="E676" s="24"/>
      <c r="F676" s="24"/>
      <c r="G676" s="24"/>
      <c r="H676" s="24"/>
      <c r="I676" s="24"/>
      <c r="J676" s="27"/>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row>
    <row r="677" spans="4:50" s="23" customFormat="1" x14ac:dyDescent="0.3">
      <c r="D677" s="34"/>
      <c r="E677" s="24"/>
      <c r="F677" s="24"/>
      <c r="G677" s="24"/>
      <c r="H677" s="24"/>
      <c r="I677" s="24"/>
      <c r="J677" s="27"/>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row>
    <row r="678" spans="4:50" s="23" customFormat="1" x14ac:dyDescent="0.3">
      <c r="D678" s="34"/>
      <c r="E678" s="24"/>
      <c r="F678" s="24"/>
      <c r="G678" s="24"/>
      <c r="H678" s="24"/>
      <c r="I678" s="24"/>
      <c r="J678" s="27"/>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row>
    <row r="679" spans="4:50" s="23" customFormat="1" x14ac:dyDescent="0.3">
      <c r="D679" s="34"/>
      <c r="E679" s="24"/>
      <c r="F679" s="24"/>
      <c r="G679" s="24"/>
      <c r="H679" s="24"/>
      <c r="I679" s="24"/>
      <c r="J679" s="27"/>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row>
    <row r="680" spans="4:50" s="23" customFormat="1" x14ac:dyDescent="0.3">
      <c r="D680" s="34"/>
      <c r="E680" s="24"/>
      <c r="F680" s="24"/>
      <c r="G680" s="24"/>
      <c r="H680" s="24"/>
      <c r="I680" s="24"/>
      <c r="J680" s="27"/>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row>
    <row r="681" spans="4:50" s="23" customFormat="1" x14ac:dyDescent="0.3">
      <c r="D681" s="34"/>
      <c r="E681" s="24"/>
      <c r="F681" s="24"/>
      <c r="G681" s="24"/>
      <c r="H681" s="24"/>
      <c r="I681" s="24"/>
      <c r="J681" s="27"/>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row>
    <row r="682" spans="4:50" s="23" customFormat="1" x14ac:dyDescent="0.3">
      <c r="D682" s="34"/>
      <c r="E682" s="24"/>
      <c r="F682" s="24"/>
      <c r="G682" s="24"/>
      <c r="H682" s="24"/>
      <c r="I682" s="24"/>
      <c r="J682" s="27"/>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row>
    <row r="683" spans="4:50" s="23" customFormat="1" x14ac:dyDescent="0.3">
      <c r="D683" s="34"/>
      <c r="E683" s="24"/>
      <c r="F683" s="24"/>
      <c r="G683" s="24"/>
      <c r="H683" s="24"/>
      <c r="I683" s="24"/>
      <c r="J683" s="27"/>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row>
    <row r="684" spans="4:50" s="23" customFormat="1" x14ac:dyDescent="0.3">
      <c r="D684" s="34"/>
      <c r="E684" s="24"/>
      <c r="F684" s="24"/>
      <c r="G684" s="24"/>
      <c r="H684" s="24"/>
      <c r="I684" s="24"/>
      <c r="J684" s="27"/>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row>
    <row r="685" spans="4:50" s="23" customFormat="1" x14ac:dyDescent="0.3">
      <c r="D685" s="34"/>
      <c r="E685" s="24"/>
      <c r="F685" s="24"/>
      <c r="G685" s="24"/>
      <c r="H685" s="24"/>
      <c r="I685" s="24"/>
      <c r="J685" s="27"/>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row>
    <row r="686" spans="4:50" s="23" customFormat="1" x14ac:dyDescent="0.3">
      <c r="D686" s="34"/>
      <c r="E686" s="24"/>
      <c r="F686" s="24"/>
      <c r="G686" s="24"/>
      <c r="H686" s="24"/>
      <c r="I686" s="24"/>
      <c r="J686" s="27"/>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row>
    <row r="687" spans="4:50" s="23" customFormat="1" x14ac:dyDescent="0.3">
      <c r="D687" s="34"/>
      <c r="E687" s="24"/>
      <c r="F687" s="24"/>
      <c r="G687" s="24"/>
      <c r="H687" s="24"/>
      <c r="I687" s="24"/>
      <c r="J687" s="27"/>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row>
    <row r="688" spans="4:50" s="23" customFormat="1" x14ac:dyDescent="0.3">
      <c r="D688" s="34"/>
      <c r="E688" s="24"/>
      <c r="F688" s="24"/>
      <c r="G688" s="24"/>
      <c r="H688" s="24"/>
      <c r="I688" s="24"/>
      <c r="J688" s="27"/>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row>
    <row r="689" spans="4:50" s="23" customFormat="1" x14ac:dyDescent="0.3">
      <c r="D689" s="34"/>
      <c r="E689" s="24"/>
      <c r="F689" s="24"/>
      <c r="G689" s="24"/>
      <c r="H689" s="24"/>
      <c r="I689" s="24"/>
      <c r="J689" s="27"/>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row>
    <row r="690" spans="4:50" s="23" customFormat="1" x14ac:dyDescent="0.3">
      <c r="D690" s="34"/>
      <c r="E690" s="24"/>
      <c r="F690" s="24"/>
      <c r="G690" s="24"/>
      <c r="H690" s="24"/>
      <c r="I690" s="24"/>
      <c r="J690" s="27"/>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row>
    <row r="691" spans="4:50" s="23" customFormat="1" x14ac:dyDescent="0.3">
      <c r="D691" s="34"/>
      <c r="E691" s="24"/>
      <c r="F691" s="24"/>
      <c r="G691" s="24"/>
      <c r="H691" s="24"/>
      <c r="I691" s="24"/>
      <c r="J691" s="27"/>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row>
    <row r="692" spans="4:50" s="23" customFormat="1" x14ac:dyDescent="0.3">
      <c r="D692" s="34"/>
      <c r="E692" s="24"/>
      <c r="F692" s="24"/>
      <c r="G692" s="24"/>
      <c r="H692" s="24"/>
      <c r="I692" s="24"/>
      <c r="J692" s="27"/>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row>
    <row r="693" spans="4:50" s="23" customFormat="1" x14ac:dyDescent="0.3">
      <c r="D693" s="34"/>
      <c r="E693" s="24"/>
      <c r="F693" s="24"/>
      <c r="G693" s="24"/>
      <c r="H693" s="24"/>
      <c r="I693" s="24"/>
      <c r="J693" s="27"/>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row>
    <row r="694" spans="4:50" s="23" customFormat="1" x14ac:dyDescent="0.3">
      <c r="D694" s="34"/>
      <c r="E694" s="24"/>
      <c r="F694" s="24"/>
      <c r="G694" s="24"/>
      <c r="H694" s="24"/>
      <c r="I694" s="24"/>
      <c r="J694" s="27"/>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row>
    <row r="695" spans="4:50" s="23" customFormat="1" x14ac:dyDescent="0.3">
      <c r="D695" s="34"/>
      <c r="E695" s="24"/>
      <c r="F695" s="24"/>
      <c r="G695" s="24"/>
      <c r="H695" s="24"/>
      <c r="I695" s="24"/>
      <c r="J695" s="27"/>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row>
    <row r="696" spans="4:50" s="23" customFormat="1" x14ac:dyDescent="0.3">
      <c r="D696" s="34"/>
      <c r="E696" s="24"/>
      <c r="F696" s="24"/>
      <c r="G696" s="24"/>
      <c r="H696" s="24"/>
      <c r="I696" s="24"/>
      <c r="J696" s="27"/>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row>
    <row r="697" spans="4:50" s="23" customFormat="1" x14ac:dyDescent="0.3">
      <c r="D697" s="34"/>
      <c r="E697" s="24"/>
      <c r="F697" s="24"/>
      <c r="G697" s="24"/>
      <c r="H697" s="24"/>
      <c r="I697" s="24"/>
      <c r="J697" s="27"/>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row>
    <row r="698" spans="4:50" s="23" customFormat="1" x14ac:dyDescent="0.3">
      <c r="D698" s="34"/>
      <c r="E698" s="24"/>
      <c r="F698" s="24"/>
      <c r="G698" s="24"/>
      <c r="H698" s="24"/>
      <c r="I698" s="24"/>
      <c r="J698" s="27"/>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row>
    <row r="699" spans="4:50" s="23" customFormat="1" x14ac:dyDescent="0.3">
      <c r="D699" s="34"/>
      <c r="E699" s="24"/>
      <c r="F699" s="24"/>
      <c r="G699" s="24"/>
      <c r="H699" s="24"/>
      <c r="I699" s="24"/>
      <c r="J699" s="27"/>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row>
    <row r="700" spans="4:50" s="23" customFormat="1" x14ac:dyDescent="0.3">
      <c r="D700" s="34"/>
      <c r="E700" s="24"/>
      <c r="F700" s="24"/>
      <c r="G700" s="24"/>
      <c r="H700" s="24"/>
      <c r="I700" s="24"/>
      <c r="J700" s="27"/>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row>
    <row r="701" spans="4:50" s="23" customFormat="1" x14ac:dyDescent="0.3">
      <c r="D701" s="34"/>
      <c r="E701" s="24"/>
      <c r="F701" s="24"/>
      <c r="G701" s="24"/>
      <c r="H701" s="24"/>
      <c r="I701" s="24"/>
      <c r="J701" s="27"/>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row>
    <row r="702" spans="4:50" s="23" customFormat="1" x14ac:dyDescent="0.3">
      <c r="D702" s="34"/>
      <c r="E702" s="24"/>
      <c r="F702" s="24"/>
      <c r="G702" s="24"/>
      <c r="H702" s="24"/>
      <c r="I702" s="24"/>
      <c r="J702" s="27"/>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row>
    <row r="703" spans="4:50" s="23" customFormat="1" x14ac:dyDescent="0.3">
      <c r="D703" s="34"/>
      <c r="E703" s="24"/>
      <c r="F703" s="24"/>
      <c r="G703" s="24"/>
      <c r="H703" s="24"/>
      <c r="I703" s="24"/>
      <c r="J703" s="27"/>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row>
    <row r="704" spans="4:50" s="23" customFormat="1" x14ac:dyDescent="0.3">
      <c r="D704" s="34"/>
      <c r="E704" s="24"/>
      <c r="F704" s="24"/>
      <c r="G704" s="24"/>
      <c r="H704" s="24"/>
      <c r="I704" s="24"/>
      <c r="J704" s="27"/>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row>
    <row r="705" spans="4:50" s="23" customFormat="1" x14ac:dyDescent="0.3">
      <c r="D705" s="34"/>
      <c r="E705" s="24"/>
      <c r="F705" s="24"/>
      <c r="G705" s="24"/>
      <c r="H705" s="24"/>
      <c r="I705" s="24"/>
      <c r="J705" s="27"/>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row>
    <row r="706" spans="4:50" s="23" customFormat="1" x14ac:dyDescent="0.3">
      <c r="D706" s="34"/>
      <c r="E706" s="24"/>
      <c r="F706" s="24"/>
      <c r="G706" s="24"/>
      <c r="H706" s="24"/>
      <c r="I706" s="24"/>
      <c r="J706" s="27"/>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row>
    <row r="707" spans="4:50" s="23" customFormat="1" x14ac:dyDescent="0.3">
      <c r="D707" s="34"/>
      <c r="E707" s="24"/>
      <c r="F707" s="24"/>
      <c r="G707" s="24"/>
      <c r="H707" s="24"/>
      <c r="I707" s="24"/>
      <c r="J707" s="27"/>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row>
    <row r="708" spans="4:50" s="23" customFormat="1" x14ac:dyDescent="0.3">
      <c r="D708" s="34"/>
      <c r="E708" s="24"/>
      <c r="F708" s="24"/>
      <c r="G708" s="24"/>
      <c r="H708" s="24"/>
      <c r="I708" s="24"/>
      <c r="J708" s="27"/>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row>
    <row r="709" spans="4:50" s="23" customFormat="1" x14ac:dyDescent="0.3">
      <c r="D709" s="34"/>
      <c r="E709" s="24"/>
      <c r="F709" s="24"/>
      <c r="G709" s="24"/>
      <c r="H709" s="24"/>
      <c r="I709" s="24"/>
      <c r="J709" s="27"/>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row>
    <row r="710" spans="4:50" s="23" customFormat="1" x14ac:dyDescent="0.3">
      <c r="D710" s="34"/>
      <c r="E710" s="24"/>
      <c r="F710" s="24"/>
      <c r="G710" s="24"/>
      <c r="H710" s="24"/>
      <c r="I710" s="24"/>
      <c r="J710" s="27"/>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row>
    <row r="711" spans="4:50" s="23" customFormat="1" x14ac:dyDescent="0.3">
      <c r="D711" s="34"/>
      <c r="E711" s="24"/>
      <c r="F711" s="24"/>
      <c r="G711" s="24"/>
      <c r="H711" s="24"/>
      <c r="I711" s="24"/>
      <c r="J711" s="27"/>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row>
    <row r="712" spans="4:50" s="23" customFormat="1" x14ac:dyDescent="0.3">
      <c r="D712" s="34"/>
      <c r="E712" s="24"/>
      <c r="F712" s="24"/>
      <c r="G712" s="24"/>
      <c r="H712" s="24"/>
      <c r="I712" s="24"/>
      <c r="J712" s="27"/>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row>
    <row r="713" spans="4:50" s="23" customFormat="1" x14ac:dyDescent="0.3">
      <c r="D713" s="34"/>
      <c r="E713" s="24"/>
      <c r="F713" s="24"/>
      <c r="G713" s="24"/>
      <c r="H713" s="24"/>
      <c r="I713" s="24"/>
      <c r="J713" s="27"/>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row>
    <row r="714" spans="4:50" s="23" customFormat="1" x14ac:dyDescent="0.3">
      <c r="D714" s="34"/>
      <c r="E714" s="24"/>
      <c r="F714" s="24"/>
      <c r="G714" s="24"/>
      <c r="H714" s="24"/>
      <c r="I714" s="24"/>
      <c r="J714" s="27"/>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row>
    <row r="715" spans="4:50" s="23" customFormat="1" x14ac:dyDescent="0.3">
      <c r="D715" s="34"/>
      <c r="E715" s="24"/>
      <c r="F715" s="24"/>
      <c r="G715" s="24"/>
      <c r="H715" s="24"/>
      <c r="I715" s="24"/>
      <c r="J715" s="27"/>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row>
    <row r="716" spans="4:50" s="23" customFormat="1" x14ac:dyDescent="0.3">
      <c r="D716" s="34"/>
      <c r="E716" s="24"/>
      <c r="F716" s="24"/>
      <c r="G716" s="24"/>
      <c r="H716" s="24"/>
      <c r="I716" s="24"/>
      <c r="J716" s="27"/>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row>
    <row r="717" spans="4:50" s="23" customFormat="1" x14ac:dyDescent="0.3">
      <c r="D717" s="34"/>
      <c r="E717" s="24"/>
      <c r="F717" s="24"/>
      <c r="G717" s="24"/>
      <c r="H717" s="24"/>
      <c r="I717" s="24"/>
      <c r="J717" s="27"/>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row>
    <row r="718" spans="4:50" s="23" customFormat="1" x14ac:dyDescent="0.3">
      <c r="D718" s="34"/>
      <c r="E718" s="24"/>
      <c r="F718" s="24"/>
      <c r="G718" s="24"/>
      <c r="H718" s="24"/>
      <c r="I718" s="24"/>
      <c r="J718" s="27"/>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row>
    <row r="719" spans="4:50" s="23" customFormat="1" x14ac:dyDescent="0.3">
      <c r="D719" s="34"/>
      <c r="E719" s="24"/>
      <c r="F719" s="24"/>
      <c r="G719" s="24"/>
      <c r="H719" s="24"/>
      <c r="I719" s="24"/>
      <c r="J719" s="27"/>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row>
    <row r="720" spans="4:50" s="23" customFormat="1" x14ac:dyDescent="0.3">
      <c r="D720" s="34"/>
      <c r="E720" s="24"/>
      <c r="F720" s="24"/>
      <c r="G720" s="24"/>
      <c r="H720" s="24"/>
      <c r="I720" s="24"/>
      <c r="J720" s="27"/>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row>
    <row r="721" spans="4:50" s="23" customFormat="1" x14ac:dyDescent="0.3">
      <c r="D721" s="34"/>
      <c r="E721" s="24"/>
      <c r="F721" s="24"/>
      <c r="G721" s="24"/>
      <c r="H721" s="24"/>
      <c r="I721" s="24"/>
      <c r="J721" s="27"/>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row>
    <row r="722" spans="4:50" s="23" customFormat="1" x14ac:dyDescent="0.3">
      <c r="D722" s="34"/>
      <c r="E722" s="24"/>
      <c r="F722" s="24"/>
      <c r="G722" s="24"/>
      <c r="H722" s="24"/>
      <c r="I722" s="24"/>
      <c r="J722" s="27"/>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row>
    <row r="723" spans="4:50" s="23" customFormat="1" x14ac:dyDescent="0.3">
      <c r="D723" s="34"/>
      <c r="E723" s="24"/>
      <c r="F723" s="24"/>
      <c r="G723" s="24"/>
      <c r="H723" s="24"/>
      <c r="I723" s="24"/>
      <c r="J723" s="27"/>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row>
    <row r="724" spans="4:50" s="23" customFormat="1" x14ac:dyDescent="0.3">
      <c r="D724" s="34"/>
      <c r="E724" s="24"/>
      <c r="F724" s="24"/>
      <c r="G724" s="24"/>
      <c r="H724" s="24"/>
      <c r="I724" s="24"/>
      <c r="J724" s="27"/>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row>
    <row r="725" spans="4:50" s="23" customFormat="1" x14ac:dyDescent="0.3">
      <c r="D725" s="34"/>
      <c r="E725" s="24"/>
      <c r="F725" s="24"/>
      <c r="G725" s="24"/>
      <c r="H725" s="24"/>
      <c r="I725" s="24"/>
      <c r="J725" s="27"/>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row>
    <row r="726" spans="4:50" s="23" customFormat="1" x14ac:dyDescent="0.3">
      <c r="D726" s="34"/>
      <c r="E726" s="24"/>
      <c r="F726" s="24"/>
      <c r="G726" s="24"/>
      <c r="H726" s="24"/>
      <c r="I726" s="24"/>
      <c r="J726" s="27"/>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row>
    <row r="727" spans="4:50" s="23" customFormat="1" x14ac:dyDescent="0.3">
      <c r="D727" s="34"/>
      <c r="E727" s="24"/>
      <c r="F727" s="24"/>
      <c r="G727" s="24"/>
      <c r="H727" s="24"/>
      <c r="I727" s="24"/>
      <c r="J727" s="27"/>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row>
    <row r="728" spans="4:50" s="23" customFormat="1" x14ac:dyDescent="0.3">
      <c r="D728" s="34"/>
      <c r="E728" s="24"/>
      <c r="F728" s="24"/>
      <c r="G728" s="24"/>
      <c r="H728" s="24"/>
      <c r="I728" s="24"/>
      <c r="J728" s="27"/>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row>
    <row r="729" spans="4:50" s="23" customFormat="1" x14ac:dyDescent="0.3">
      <c r="D729" s="34"/>
      <c r="E729" s="24"/>
      <c r="F729" s="24"/>
      <c r="G729" s="24"/>
      <c r="H729" s="24"/>
      <c r="I729" s="24"/>
      <c r="J729" s="27"/>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row>
    <row r="730" spans="4:50" s="23" customFormat="1" x14ac:dyDescent="0.3">
      <c r="D730" s="34"/>
      <c r="E730" s="24"/>
      <c r="F730" s="24"/>
      <c r="G730" s="24"/>
      <c r="H730" s="24"/>
      <c r="I730" s="24"/>
      <c r="J730" s="27"/>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row>
    <row r="731" spans="4:50" s="23" customFormat="1" x14ac:dyDescent="0.3">
      <c r="D731" s="34"/>
      <c r="E731" s="24"/>
      <c r="F731" s="24"/>
      <c r="G731" s="24"/>
      <c r="H731" s="24"/>
      <c r="I731" s="24"/>
      <c r="J731" s="27"/>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row>
    <row r="732" spans="4:50" s="23" customFormat="1" x14ac:dyDescent="0.3">
      <c r="D732" s="34"/>
      <c r="E732" s="24"/>
      <c r="F732" s="24"/>
      <c r="G732" s="24"/>
      <c r="H732" s="24"/>
      <c r="I732" s="24"/>
      <c r="J732" s="27"/>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row>
    <row r="733" spans="4:50" s="23" customFormat="1" x14ac:dyDescent="0.3">
      <c r="D733" s="34"/>
      <c r="E733" s="24"/>
      <c r="F733" s="24"/>
      <c r="G733" s="24"/>
      <c r="H733" s="24"/>
      <c r="I733" s="24"/>
      <c r="J733" s="27"/>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row>
    <row r="734" spans="4:50" s="23" customFormat="1" x14ac:dyDescent="0.3">
      <c r="D734" s="34"/>
      <c r="E734" s="24"/>
      <c r="F734" s="24"/>
      <c r="G734" s="24"/>
      <c r="H734" s="24"/>
      <c r="I734" s="24"/>
      <c r="J734" s="27"/>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row>
    <row r="735" spans="4:50" s="23" customFormat="1" x14ac:dyDescent="0.3">
      <c r="D735" s="34"/>
      <c r="E735" s="24"/>
      <c r="F735" s="24"/>
      <c r="G735" s="24"/>
      <c r="H735" s="24"/>
      <c r="I735" s="24"/>
      <c r="J735" s="27"/>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row>
    <row r="736" spans="4:50" s="23" customFormat="1" x14ac:dyDescent="0.3">
      <c r="D736" s="34"/>
      <c r="E736" s="24"/>
      <c r="F736" s="24"/>
      <c r="G736" s="24"/>
      <c r="H736" s="24"/>
      <c r="I736" s="24"/>
      <c r="J736" s="27"/>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row>
    <row r="737" spans="4:50" s="23" customFormat="1" x14ac:dyDescent="0.3">
      <c r="D737" s="34"/>
      <c r="E737" s="24"/>
      <c r="F737" s="24"/>
      <c r="G737" s="24"/>
      <c r="H737" s="24"/>
      <c r="I737" s="24"/>
      <c r="J737" s="27"/>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row>
    <row r="738" spans="4:50" s="23" customFormat="1" x14ac:dyDescent="0.3">
      <c r="D738" s="34"/>
      <c r="E738" s="24"/>
      <c r="F738" s="24"/>
      <c r="G738" s="24"/>
      <c r="H738" s="24"/>
      <c r="I738" s="24"/>
      <c r="J738" s="27"/>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row>
    <row r="739" spans="4:50" s="23" customFormat="1" x14ac:dyDescent="0.3">
      <c r="D739" s="34"/>
      <c r="E739" s="24"/>
      <c r="F739" s="24"/>
      <c r="G739" s="24"/>
      <c r="H739" s="24"/>
      <c r="I739" s="24"/>
      <c r="J739" s="27"/>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row>
    <row r="740" spans="4:50" s="23" customFormat="1" x14ac:dyDescent="0.3">
      <c r="D740" s="34"/>
      <c r="E740" s="24"/>
      <c r="F740" s="24"/>
      <c r="G740" s="24"/>
      <c r="H740" s="24"/>
      <c r="I740" s="24"/>
      <c r="J740" s="27"/>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row>
    <row r="741" spans="4:50" s="23" customFormat="1" x14ac:dyDescent="0.3">
      <c r="D741" s="34"/>
      <c r="E741" s="24"/>
      <c r="F741" s="24"/>
      <c r="G741" s="24"/>
      <c r="H741" s="24"/>
      <c r="I741" s="24"/>
      <c r="J741" s="27"/>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row>
    <row r="742" spans="4:50" s="23" customFormat="1" x14ac:dyDescent="0.3">
      <c r="D742" s="34"/>
      <c r="E742" s="24"/>
      <c r="F742" s="24"/>
      <c r="G742" s="24"/>
      <c r="H742" s="24"/>
      <c r="I742" s="24"/>
      <c r="J742" s="27"/>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row>
    <row r="743" spans="4:50" s="23" customFormat="1" x14ac:dyDescent="0.3">
      <c r="D743" s="34"/>
      <c r="E743" s="24"/>
      <c r="F743" s="24"/>
      <c r="G743" s="24"/>
      <c r="H743" s="24"/>
      <c r="I743" s="24"/>
      <c r="J743" s="27"/>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row>
    <row r="744" spans="4:50" s="23" customFormat="1" x14ac:dyDescent="0.3">
      <c r="D744" s="34"/>
      <c r="E744" s="24"/>
      <c r="F744" s="24"/>
      <c r="G744" s="24"/>
      <c r="H744" s="24"/>
      <c r="I744" s="24"/>
      <c r="J744" s="27"/>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row>
    <row r="745" spans="4:50" s="23" customFormat="1" x14ac:dyDescent="0.3">
      <c r="D745" s="34"/>
      <c r="E745" s="24"/>
      <c r="F745" s="24"/>
      <c r="G745" s="24"/>
      <c r="H745" s="24"/>
      <c r="I745" s="24"/>
      <c r="J745" s="27"/>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row>
    <row r="746" spans="4:50" s="23" customFormat="1" x14ac:dyDescent="0.3">
      <c r="D746" s="34"/>
      <c r="E746" s="24"/>
      <c r="F746" s="24"/>
      <c r="G746" s="24"/>
      <c r="H746" s="24"/>
      <c r="I746" s="24"/>
      <c r="J746" s="27"/>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row>
    <row r="747" spans="4:50" s="23" customFormat="1" x14ac:dyDescent="0.3">
      <c r="D747" s="34"/>
      <c r="E747" s="24"/>
      <c r="F747" s="24"/>
      <c r="G747" s="24"/>
      <c r="H747" s="24"/>
      <c r="I747" s="24"/>
      <c r="J747" s="27"/>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row>
    <row r="748" spans="4:50" s="23" customFormat="1" x14ac:dyDescent="0.3">
      <c r="D748" s="34"/>
      <c r="E748" s="24"/>
      <c r="F748" s="24"/>
      <c r="G748" s="24"/>
      <c r="H748" s="24"/>
      <c r="I748" s="24"/>
      <c r="J748" s="27"/>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row>
    <row r="749" spans="4:50" s="23" customFormat="1" x14ac:dyDescent="0.3">
      <c r="D749" s="34"/>
      <c r="E749" s="24"/>
      <c r="F749" s="24"/>
      <c r="G749" s="24"/>
      <c r="H749" s="24"/>
      <c r="I749" s="24"/>
      <c r="J749" s="27"/>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row>
    <row r="750" spans="4:50" s="23" customFormat="1" x14ac:dyDescent="0.3">
      <c r="D750" s="34"/>
      <c r="E750" s="24"/>
      <c r="F750" s="24"/>
      <c r="G750" s="24"/>
      <c r="H750" s="24"/>
      <c r="I750" s="24"/>
      <c r="J750" s="27"/>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row>
    <row r="751" spans="4:50" s="23" customFormat="1" x14ac:dyDescent="0.3">
      <c r="D751" s="34"/>
      <c r="E751" s="24"/>
      <c r="F751" s="24"/>
      <c r="G751" s="24"/>
      <c r="H751" s="24"/>
      <c r="I751" s="24"/>
      <c r="J751" s="27"/>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row>
    <row r="752" spans="4:50" s="23" customFormat="1" x14ac:dyDescent="0.3">
      <c r="D752" s="34"/>
      <c r="E752" s="24"/>
      <c r="F752" s="24"/>
      <c r="G752" s="24"/>
      <c r="H752" s="24"/>
      <c r="I752" s="24"/>
      <c r="J752" s="27"/>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row>
    <row r="753" spans="4:50" s="23" customFormat="1" x14ac:dyDescent="0.3">
      <c r="D753" s="34"/>
      <c r="E753" s="24"/>
      <c r="F753" s="24"/>
      <c r="G753" s="24"/>
      <c r="H753" s="24"/>
      <c r="I753" s="24"/>
      <c r="J753" s="27"/>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row>
    <row r="754" spans="4:50" s="23" customFormat="1" x14ac:dyDescent="0.3">
      <c r="D754" s="34"/>
      <c r="E754" s="24"/>
      <c r="F754" s="24"/>
      <c r="G754" s="24"/>
      <c r="H754" s="24"/>
      <c r="I754" s="24"/>
      <c r="J754" s="27"/>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row>
    <row r="755" spans="4:50" s="23" customFormat="1" x14ac:dyDescent="0.3">
      <c r="D755" s="34"/>
      <c r="E755" s="24"/>
      <c r="F755" s="24"/>
      <c r="G755" s="24"/>
      <c r="H755" s="24"/>
      <c r="I755" s="24"/>
      <c r="J755" s="27"/>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row>
    <row r="756" spans="4:50" s="23" customFormat="1" x14ac:dyDescent="0.3">
      <c r="D756" s="34"/>
      <c r="E756" s="24"/>
      <c r="F756" s="24"/>
      <c r="G756" s="24"/>
      <c r="H756" s="24"/>
      <c r="I756" s="24"/>
      <c r="J756" s="27"/>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row>
    <row r="757" spans="4:50" s="23" customFormat="1" x14ac:dyDescent="0.3">
      <c r="D757" s="34"/>
      <c r="E757" s="24"/>
      <c r="F757" s="24"/>
      <c r="G757" s="24"/>
      <c r="H757" s="24"/>
      <c r="I757" s="24"/>
      <c r="J757" s="27"/>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row>
    <row r="758" spans="4:50" s="23" customFormat="1" x14ac:dyDescent="0.3">
      <c r="D758" s="34"/>
      <c r="E758" s="24"/>
      <c r="F758" s="24"/>
      <c r="G758" s="24"/>
      <c r="H758" s="24"/>
      <c r="I758" s="24"/>
      <c r="J758" s="27"/>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row>
    <row r="759" spans="4:50" s="23" customFormat="1" x14ac:dyDescent="0.3">
      <c r="D759" s="34"/>
      <c r="E759" s="24"/>
      <c r="F759" s="24"/>
      <c r="G759" s="24"/>
      <c r="H759" s="24"/>
      <c r="I759" s="24"/>
      <c r="J759" s="27"/>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row>
    <row r="760" spans="4:50" s="23" customFormat="1" x14ac:dyDescent="0.3">
      <c r="D760" s="34"/>
      <c r="E760" s="24"/>
      <c r="F760" s="24"/>
      <c r="G760" s="24"/>
      <c r="H760" s="24"/>
      <c r="I760" s="24"/>
      <c r="J760" s="27"/>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row>
    <row r="761" spans="4:50" s="23" customFormat="1" x14ac:dyDescent="0.3">
      <c r="D761" s="34"/>
      <c r="E761" s="24"/>
      <c r="F761" s="24"/>
      <c r="G761" s="24"/>
      <c r="H761" s="24"/>
      <c r="I761" s="24"/>
      <c r="J761" s="27"/>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row>
    <row r="762" spans="4:50" s="23" customFormat="1" x14ac:dyDescent="0.3">
      <c r="D762" s="34"/>
      <c r="E762" s="24"/>
      <c r="F762" s="24"/>
      <c r="G762" s="24"/>
      <c r="H762" s="24"/>
      <c r="I762" s="24"/>
      <c r="J762" s="27"/>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row>
    <row r="763" spans="4:50" s="23" customFormat="1" x14ac:dyDescent="0.3">
      <c r="D763" s="34"/>
      <c r="E763" s="24"/>
      <c r="F763" s="24"/>
      <c r="G763" s="24"/>
      <c r="H763" s="24"/>
      <c r="I763" s="24"/>
      <c r="J763" s="27"/>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row>
    <row r="764" spans="4:50" s="23" customFormat="1" x14ac:dyDescent="0.3">
      <c r="D764" s="34"/>
      <c r="E764" s="24"/>
      <c r="F764" s="24"/>
      <c r="G764" s="24"/>
      <c r="H764" s="24"/>
      <c r="I764" s="24"/>
      <c r="J764" s="27"/>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row>
    <row r="765" spans="4:50" s="23" customFormat="1" x14ac:dyDescent="0.3">
      <c r="D765" s="34"/>
      <c r="E765" s="24"/>
      <c r="F765" s="24"/>
      <c r="G765" s="24"/>
      <c r="H765" s="24"/>
      <c r="I765" s="24"/>
      <c r="J765" s="27"/>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row>
    <row r="766" spans="4:50" s="23" customFormat="1" x14ac:dyDescent="0.3">
      <c r="D766" s="34"/>
      <c r="E766" s="24"/>
      <c r="F766" s="24"/>
      <c r="G766" s="24"/>
      <c r="H766" s="24"/>
      <c r="I766" s="24"/>
      <c r="J766" s="27"/>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row>
    <row r="767" spans="4:50" s="23" customFormat="1" x14ac:dyDescent="0.3">
      <c r="D767" s="34"/>
      <c r="E767" s="24"/>
      <c r="F767" s="24"/>
      <c r="G767" s="24"/>
      <c r="H767" s="24"/>
      <c r="I767" s="24"/>
      <c r="J767" s="27"/>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row>
    <row r="768" spans="4:50" s="23" customFormat="1" x14ac:dyDescent="0.3">
      <c r="D768" s="34"/>
      <c r="E768" s="24"/>
      <c r="F768" s="24"/>
      <c r="G768" s="24"/>
      <c r="H768" s="24"/>
      <c r="I768" s="24"/>
      <c r="J768" s="27"/>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row>
    <row r="769" spans="4:50" s="23" customFormat="1" x14ac:dyDescent="0.3">
      <c r="D769" s="34"/>
      <c r="E769" s="24"/>
      <c r="F769" s="24"/>
      <c r="G769" s="24"/>
      <c r="H769" s="24"/>
      <c r="I769" s="24"/>
      <c r="J769" s="27"/>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row>
    <row r="770" spans="4:50" s="23" customFormat="1" x14ac:dyDescent="0.3">
      <c r="D770" s="34"/>
      <c r="E770" s="24"/>
      <c r="F770" s="24"/>
      <c r="G770" s="24"/>
      <c r="H770" s="24"/>
      <c r="I770" s="24"/>
      <c r="J770" s="27"/>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row>
    <row r="771" spans="4:50" s="23" customFormat="1" x14ac:dyDescent="0.3">
      <c r="D771" s="34"/>
      <c r="E771" s="24"/>
      <c r="F771" s="24"/>
      <c r="G771" s="24"/>
      <c r="H771" s="24"/>
      <c r="I771" s="24"/>
      <c r="J771" s="27"/>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row>
    <row r="772" spans="4:50" s="23" customFormat="1" x14ac:dyDescent="0.3">
      <c r="D772" s="34"/>
      <c r="E772" s="24"/>
      <c r="F772" s="24"/>
      <c r="G772" s="24"/>
      <c r="H772" s="24"/>
      <c r="I772" s="24"/>
      <c r="J772" s="27"/>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row>
    <row r="773" spans="4:50" s="23" customFormat="1" x14ac:dyDescent="0.3">
      <c r="D773" s="34"/>
      <c r="E773" s="24"/>
      <c r="F773" s="24"/>
      <c r="G773" s="24"/>
      <c r="H773" s="24"/>
      <c r="I773" s="24"/>
      <c r="J773" s="27"/>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row>
    <row r="774" spans="4:50" s="23" customFormat="1" x14ac:dyDescent="0.3">
      <c r="D774" s="34"/>
      <c r="E774" s="24"/>
      <c r="F774" s="24"/>
      <c r="G774" s="24"/>
      <c r="H774" s="24"/>
      <c r="I774" s="24"/>
      <c r="J774" s="27"/>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row>
    <row r="775" spans="4:50" s="23" customFormat="1" x14ac:dyDescent="0.3">
      <c r="D775" s="34"/>
      <c r="E775" s="24"/>
      <c r="F775" s="24"/>
      <c r="G775" s="24"/>
      <c r="H775" s="24"/>
      <c r="I775" s="24"/>
      <c r="J775" s="27"/>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row>
    <row r="776" spans="4:50" s="23" customFormat="1" x14ac:dyDescent="0.3">
      <c r="D776" s="34"/>
      <c r="E776" s="24"/>
      <c r="F776" s="24"/>
      <c r="G776" s="24"/>
      <c r="H776" s="24"/>
      <c r="I776" s="24"/>
      <c r="J776" s="27"/>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row>
    <row r="777" spans="4:50" s="23" customFormat="1" x14ac:dyDescent="0.3">
      <c r="D777" s="34"/>
      <c r="E777" s="24"/>
      <c r="F777" s="24"/>
      <c r="G777" s="24"/>
      <c r="H777" s="24"/>
      <c r="I777" s="24"/>
      <c r="J777" s="27"/>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row>
    <row r="778" spans="4:50" s="23" customFormat="1" x14ac:dyDescent="0.3">
      <c r="D778" s="34"/>
      <c r="E778" s="24"/>
      <c r="F778" s="24"/>
      <c r="G778" s="24"/>
      <c r="H778" s="24"/>
      <c r="I778" s="24"/>
      <c r="J778" s="27"/>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row>
    <row r="779" spans="4:50" s="23" customFormat="1" x14ac:dyDescent="0.3">
      <c r="D779" s="34"/>
      <c r="E779" s="24"/>
      <c r="F779" s="24"/>
      <c r="G779" s="24"/>
      <c r="H779" s="24"/>
      <c r="I779" s="24"/>
      <c r="J779" s="27"/>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row>
    <row r="780" spans="4:50" s="23" customFormat="1" x14ac:dyDescent="0.3">
      <c r="D780" s="34"/>
      <c r="E780" s="24"/>
      <c r="F780" s="24"/>
      <c r="G780" s="24"/>
      <c r="H780" s="24"/>
      <c r="I780" s="24"/>
      <c r="J780" s="27"/>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row>
    <row r="781" spans="4:50" s="23" customFormat="1" x14ac:dyDescent="0.3">
      <c r="D781" s="34"/>
      <c r="E781" s="24"/>
      <c r="F781" s="24"/>
      <c r="G781" s="24"/>
      <c r="H781" s="24"/>
      <c r="I781" s="24"/>
      <c r="J781" s="27"/>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row>
    <row r="782" spans="4:50" s="23" customFormat="1" x14ac:dyDescent="0.3">
      <c r="D782" s="34"/>
      <c r="E782" s="24"/>
      <c r="F782" s="24"/>
      <c r="G782" s="24"/>
      <c r="H782" s="24"/>
      <c r="I782" s="24"/>
      <c r="J782" s="27"/>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row>
    <row r="783" spans="4:50" s="23" customFormat="1" x14ac:dyDescent="0.3">
      <c r="D783" s="34"/>
      <c r="E783" s="24"/>
      <c r="F783" s="24"/>
      <c r="G783" s="24"/>
      <c r="H783" s="24"/>
      <c r="I783" s="24"/>
      <c r="J783" s="27"/>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row>
    <row r="784" spans="4:50" s="23" customFormat="1" x14ac:dyDescent="0.3">
      <c r="D784" s="34"/>
      <c r="E784" s="24"/>
      <c r="F784" s="24"/>
      <c r="G784" s="24"/>
      <c r="H784" s="24"/>
      <c r="I784" s="24"/>
      <c r="J784" s="27"/>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row>
    <row r="785" spans="4:50" s="23" customFormat="1" x14ac:dyDescent="0.3">
      <c r="D785" s="34"/>
      <c r="E785" s="24"/>
      <c r="F785" s="24"/>
      <c r="G785" s="24"/>
      <c r="H785" s="24"/>
      <c r="I785" s="24"/>
      <c r="J785" s="27"/>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row>
    <row r="786" spans="4:50" s="23" customFormat="1" x14ac:dyDescent="0.3">
      <c r="D786" s="34"/>
      <c r="E786" s="24"/>
      <c r="F786" s="24"/>
      <c r="G786" s="24"/>
      <c r="H786" s="24"/>
      <c r="I786" s="24"/>
      <c r="J786" s="27"/>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row>
    <row r="787" spans="4:50" s="23" customFormat="1" x14ac:dyDescent="0.3">
      <c r="D787" s="34"/>
      <c r="E787" s="24"/>
      <c r="F787" s="24"/>
      <c r="G787" s="24"/>
      <c r="H787" s="24"/>
      <c r="I787" s="24"/>
      <c r="J787" s="27"/>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row>
    <row r="788" spans="4:50" s="23" customFormat="1" x14ac:dyDescent="0.3">
      <c r="D788" s="34"/>
      <c r="E788" s="24"/>
      <c r="F788" s="24"/>
      <c r="G788" s="24"/>
      <c r="H788" s="24"/>
      <c r="I788" s="24"/>
      <c r="J788" s="27"/>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row>
    <row r="789" spans="4:50" s="23" customFormat="1" x14ac:dyDescent="0.3">
      <c r="D789" s="34"/>
      <c r="E789" s="24"/>
      <c r="F789" s="24"/>
      <c r="G789" s="24"/>
      <c r="H789" s="24"/>
      <c r="I789" s="24"/>
      <c r="J789" s="27"/>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row>
    <row r="790" spans="4:50" s="23" customFormat="1" x14ac:dyDescent="0.3">
      <c r="D790" s="34"/>
      <c r="E790" s="24"/>
      <c r="F790" s="24"/>
      <c r="G790" s="24"/>
      <c r="H790" s="24"/>
      <c r="I790" s="24"/>
      <c r="J790" s="27"/>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row>
    <row r="791" spans="4:50" s="23" customFormat="1" x14ac:dyDescent="0.3">
      <c r="D791" s="34"/>
      <c r="E791" s="24"/>
      <c r="F791" s="24"/>
      <c r="G791" s="24"/>
      <c r="H791" s="24"/>
      <c r="I791" s="24"/>
      <c r="J791" s="27"/>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row>
    <row r="792" spans="4:50" s="23" customFormat="1" x14ac:dyDescent="0.3">
      <c r="D792" s="34"/>
      <c r="E792" s="24"/>
      <c r="F792" s="24"/>
      <c r="G792" s="24"/>
      <c r="H792" s="24"/>
      <c r="I792" s="24"/>
      <c r="J792" s="27"/>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row>
    <row r="793" spans="4:50" s="23" customFormat="1" x14ac:dyDescent="0.3">
      <c r="D793" s="34"/>
      <c r="E793" s="24"/>
      <c r="F793" s="24"/>
      <c r="G793" s="24"/>
      <c r="H793" s="24"/>
      <c r="I793" s="24"/>
      <c r="J793" s="27"/>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row>
    <row r="794" spans="4:50" s="23" customFormat="1" x14ac:dyDescent="0.3">
      <c r="D794" s="34"/>
      <c r="E794" s="24"/>
      <c r="F794" s="24"/>
      <c r="G794" s="24"/>
      <c r="H794" s="24"/>
      <c r="I794" s="24"/>
      <c r="J794" s="27"/>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row>
    <row r="795" spans="4:50" s="23" customFormat="1" x14ac:dyDescent="0.3">
      <c r="D795" s="34"/>
      <c r="E795" s="24"/>
      <c r="F795" s="24"/>
      <c r="G795" s="24"/>
      <c r="H795" s="24"/>
      <c r="I795" s="24"/>
      <c r="J795" s="27"/>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row>
    <row r="796" spans="4:50" s="23" customFormat="1" x14ac:dyDescent="0.3">
      <c r="D796" s="34"/>
      <c r="E796" s="24"/>
      <c r="F796" s="24"/>
      <c r="G796" s="24"/>
      <c r="H796" s="24"/>
      <c r="I796" s="24"/>
      <c r="J796" s="27"/>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row>
    <row r="797" spans="4:50" s="23" customFormat="1" x14ac:dyDescent="0.3">
      <c r="D797" s="34"/>
      <c r="E797" s="24"/>
      <c r="F797" s="24"/>
      <c r="G797" s="24"/>
      <c r="H797" s="24"/>
      <c r="I797" s="24"/>
      <c r="J797" s="27"/>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row>
    <row r="798" spans="4:50" s="23" customFormat="1" x14ac:dyDescent="0.3">
      <c r="D798" s="34"/>
      <c r="E798" s="24"/>
      <c r="F798" s="24"/>
      <c r="G798" s="24"/>
      <c r="H798" s="24"/>
      <c r="I798" s="24"/>
      <c r="J798" s="27"/>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row>
    <row r="799" spans="4:50" s="23" customFormat="1" x14ac:dyDescent="0.3">
      <c r="D799" s="34"/>
      <c r="E799" s="24"/>
      <c r="F799" s="24"/>
      <c r="G799" s="24"/>
      <c r="H799" s="24"/>
      <c r="I799" s="24"/>
      <c r="J799" s="27"/>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row>
    <row r="800" spans="4:50" s="23" customFormat="1" x14ac:dyDescent="0.3">
      <c r="D800" s="34"/>
      <c r="E800" s="24"/>
      <c r="F800" s="24"/>
      <c r="G800" s="24"/>
      <c r="H800" s="24"/>
      <c r="I800" s="24"/>
      <c r="J800" s="27"/>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row>
    <row r="801" spans="4:50" s="23" customFormat="1" x14ac:dyDescent="0.3">
      <c r="D801" s="34"/>
      <c r="E801" s="24"/>
      <c r="F801" s="24"/>
      <c r="G801" s="24"/>
      <c r="H801" s="24"/>
      <c r="I801" s="24"/>
      <c r="J801" s="27"/>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row>
    <row r="802" spans="4:50" s="23" customFormat="1" x14ac:dyDescent="0.3">
      <c r="D802" s="34"/>
      <c r="E802" s="24"/>
      <c r="F802" s="24"/>
      <c r="G802" s="24"/>
      <c r="H802" s="24"/>
      <c r="I802" s="24"/>
      <c r="J802" s="27"/>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row>
    <row r="803" spans="4:50" s="23" customFormat="1" x14ac:dyDescent="0.3">
      <c r="D803" s="34"/>
      <c r="E803" s="24"/>
      <c r="F803" s="24"/>
      <c r="G803" s="24"/>
      <c r="H803" s="24"/>
      <c r="I803" s="24"/>
      <c r="J803" s="27"/>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row>
    <row r="804" spans="4:50" s="23" customFormat="1" x14ac:dyDescent="0.3">
      <c r="D804" s="34"/>
      <c r="E804" s="24"/>
      <c r="F804" s="24"/>
      <c r="G804" s="24"/>
      <c r="H804" s="24"/>
      <c r="I804" s="24"/>
      <c r="J804" s="27"/>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row>
    <row r="805" spans="4:50" s="23" customFormat="1" x14ac:dyDescent="0.3">
      <c r="D805" s="34"/>
      <c r="E805" s="24"/>
      <c r="F805" s="24"/>
      <c r="G805" s="24"/>
      <c r="H805" s="24"/>
      <c r="I805" s="24"/>
      <c r="J805" s="27"/>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row>
    <row r="806" spans="4:50" s="23" customFormat="1" x14ac:dyDescent="0.3">
      <c r="D806" s="34"/>
      <c r="E806" s="24"/>
      <c r="F806" s="24"/>
      <c r="G806" s="24"/>
      <c r="H806" s="24"/>
      <c r="I806" s="24"/>
      <c r="J806" s="27"/>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row>
    <row r="807" spans="4:50" s="23" customFormat="1" x14ac:dyDescent="0.3">
      <c r="D807" s="34"/>
      <c r="E807" s="24"/>
      <c r="F807" s="24"/>
      <c r="G807" s="24"/>
      <c r="H807" s="24"/>
      <c r="I807" s="24"/>
      <c r="J807" s="27"/>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row>
    <row r="808" spans="4:50" s="23" customFormat="1" x14ac:dyDescent="0.3">
      <c r="D808" s="34"/>
      <c r="E808" s="24"/>
      <c r="F808" s="24"/>
      <c r="G808" s="24"/>
      <c r="H808" s="24"/>
      <c r="I808" s="24"/>
      <c r="J808" s="27"/>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row>
    <row r="809" spans="4:50" s="23" customFormat="1" x14ac:dyDescent="0.3">
      <c r="D809" s="34"/>
      <c r="E809" s="24"/>
      <c r="F809" s="24"/>
      <c r="G809" s="24"/>
      <c r="H809" s="24"/>
      <c r="I809" s="24"/>
      <c r="J809" s="27"/>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row>
    <row r="810" spans="4:50" s="23" customFormat="1" x14ac:dyDescent="0.3">
      <c r="D810" s="34"/>
      <c r="E810" s="24"/>
      <c r="F810" s="24"/>
      <c r="G810" s="24"/>
      <c r="H810" s="24"/>
      <c r="I810" s="24"/>
      <c r="J810" s="27"/>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row>
    <row r="811" spans="4:50" s="23" customFormat="1" x14ac:dyDescent="0.3">
      <c r="D811" s="34"/>
      <c r="E811" s="24"/>
      <c r="F811" s="24"/>
      <c r="G811" s="24"/>
      <c r="H811" s="24"/>
      <c r="I811" s="24"/>
      <c r="J811" s="27"/>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row>
    <row r="812" spans="4:50" s="23" customFormat="1" x14ac:dyDescent="0.3">
      <c r="D812" s="34"/>
      <c r="E812" s="24"/>
      <c r="F812" s="24"/>
      <c r="G812" s="24"/>
      <c r="H812" s="24"/>
      <c r="I812" s="24"/>
      <c r="J812" s="27"/>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row>
    <row r="813" spans="4:50" s="23" customFormat="1" x14ac:dyDescent="0.3">
      <c r="D813" s="34"/>
      <c r="E813" s="24"/>
      <c r="F813" s="24"/>
      <c r="G813" s="24"/>
      <c r="H813" s="24"/>
      <c r="I813" s="24"/>
      <c r="J813" s="27"/>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row>
    <row r="814" spans="4:50" s="23" customFormat="1" x14ac:dyDescent="0.3">
      <c r="D814" s="34"/>
      <c r="E814" s="24"/>
      <c r="F814" s="24"/>
      <c r="G814" s="24"/>
      <c r="H814" s="24"/>
      <c r="I814" s="24"/>
      <c r="J814" s="27"/>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row>
    <row r="815" spans="4:50" s="23" customFormat="1" x14ac:dyDescent="0.3">
      <c r="D815" s="34"/>
      <c r="E815" s="24"/>
      <c r="F815" s="24"/>
      <c r="G815" s="24"/>
      <c r="H815" s="24"/>
      <c r="I815" s="24"/>
      <c r="J815" s="27"/>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row>
    <row r="816" spans="4:50" s="23" customFormat="1" x14ac:dyDescent="0.3">
      <c r="D816" s="34"/>
      <c r="E816" s="24"/>
      <c r="F816" s="24"/>
      <c r="G816" s="24"/>
      <c r="H816" s="24"/>
      <c r="I816" s="24"/>
      <c r="J816" s="27"/>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row>
    <row r="817" spans="4:50" s="23" customFormat="1" x14ac:dyDescent="0.3">
      <c r="D817" s="34"/>
      <c r="E817" s="24"/>
      <c r="F817" s="24"/>
      <c r="G817" s="24"/>
      <c r="H817" s="24"/>
      <c r="I817" s="24"/>
      <c r="J817" s="27"/>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row>
    <row r="818" spans="4:50" s="23" customFormat="1" x14ac:dyDescent="0.3">
      <c r="D818" s="34"/>
      <c r="E818" s="24"/>
      <c r="F818" s="24"/>
      <c r="G818" s="24"/>
      <c r="H818" s="24"/>
      <c r="I818" s="24"/>
      <c r="J818" s="27"/>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row>
    <row r="819" spans="4:50" s="23" customFormat="1" x14ac:dyDescent="0.3">
      <c r="D819" s="34"/>
      <c r="E819" s="24"/>
      <c r="F819" s="24"/>
      <c r="G819" s="24"/>
      <c r="H819" s="24"/>
      <c r="I819" s="24"/>
      <c r="J819" s="27"/>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row>
    <row r="820" spans="4:50" s="23" customFormat="1" x14ac:dyDescent="0.3">
      <c r="D820" s="34"/>
      <c r="E820" s="24"/>
      <c r="F820" s="24"/>
      <c r="G820" s="24"/>
      <c r="H820" s="24"/>
      <c r="I820" s="24"/>
      <c r="J820" s="27"/>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row>
    <row r="821" spans="4:50" s="23" customFormat="1" x14ac:dyDescent="0.3">
      <c r="D821" s="34"/>
      <c r="E821" s="24"/>
      <c r="F821" s="24"/>
      <c r="G821" s="24"/>
      <c r="H821" s="24"/>
      <c r="I821" s="24"/>
      <c r="J821" s="27"/>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row>
    <row r="822" spans="4:50" s="23" customFormat="1" x14ac:dyDescent="0.3">
      <c r="D822" s="34"/>
      <c r="E822" s="24"/>
      <c r="F822" s="24"/>
      <c r="G822" s="24"/>
      <c r="H822" s="24"/>
      <c r="I822" s="24"/>
      <c r="J822" s="27"/>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row>
    <row r="823" spans="4:50" s="23" customFormat="1" x14ac:dyDescent="0.3">
      <c r="D823" s="34"/>
      <c r="E823" s="24"/>
      <c r="F823" s="24"/>
      <c r="G823" s="24"/>
      <c r="H823" s="24"/>
      <c r="I823" s="24"/>
      <c r="J823" s="27"/>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row>
    <row r="824" spans="4:50" s="23" customFormat="1" x14ac:dyDescent="0.3">
      <c r="D824" s="34"/>
      <c r="E824" s="24"/>
      <c r="F824" s="24"/>
      <c r="G824" s="24"/>
      <c r="H824" s="24"/>
      <c r="I824" s="24"/>
      <c r="J824" s="27"/>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row>
    <row r="825" spans="4:50" s="23" customFormat="1" x14ac:dyDescent="0.3">
      <c r="D825" s="34"/>
      <c r="E825" s="24"/>
      <c r="F825" s="24"/>
      <c r="G825" s="24"/>
      <c r="H825" s="24"/>
      <c r="I825" s="24"/>
      <c r="J825" s="27"/>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row>
    <row r="826" spans="4:50" s="23" customFormat="1" x14ac:dyDescent="0.3">
      <c r="D826" s="34"/>
      <c r="E826" s="24"/>
      <c r="F826" s="24"/>
      <c r="G826" s="24"/>
      <c r="H826" s="24"/>
      <c r="I826" s="24"/>
      <c r="J826" s="27"/>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row>
    <row r="827" spans="4:50" s="23" customFormat="1" x14ac:dyDescent="0.3">
      <c r="D827" s="34"/>
      <c r="E827" s="24"/>
      <c r="F827" s="24"/>
      <c r="G827" s="24"/>
      <c r="H827" s="24"/>
      <c r="I827" s="24"/>
      <c r="J827" s="27"/>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row>
    <row r="828" spans="4:50" s="23" customFormat="1" x14ac:dyDescent="0.3">
      <c r="D828" s="34"/>
      <c r="E828" s="24"/>
      <c r="F828" s="24"/>
      <c r="G828" s="24"/>
      <c r="H828" s="24"/>
      <c r="I828" s="24"/>
      <c r="J828" s="27"/>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row>
    <row r="829" spans="4:50" s="23" customFormat="1" x14ac:dyDescent="0.3">
      <c r="D829" s="34"/>
      <c r="E829" s="24"/>
      <c r="F829" s="24"/>
      <c r="G829" s="24"/>
      <c r="H829" s="24"/>
      <c r="I829" s="24"/>
      <c r="J829" s="27"/>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row>
    <row r="830" spans="4:50" s="23" customFormat="1" x14ac:dyDescent="0.3">
      <c r="D830" s="34"/>
      <c r="E830" s="24"/>
      <c r="F830" s="24"/>
      <c r="G830" s="24"/>
      <c r="H830" s="24"/>
      <c r="I830" s="24"/>
      <c r="J830" s="27"/>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row>
    <row r="831" spans="4:50" s="23" customFormat="1" x14ac:dyDescent="0.3">
      <c r="D831" s="34"/>
      <c r="E831" s="24"/>
      <c r="F831" s="24"/>
      <c r="G831" s="24"/>
      <c r="H831" s="24"/>
      <c r="I831" s="24"/>
      <c r="J831" s="27"/>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row>
    <row r="832" spans="4:50" s="23" customFormat="1" x14ac:dyDescent="0.3">
      <c r="D832" s="34"/>
      <c r="E832" s="24"/>
      <c r="F832" s="24"/>
      <c r="G832" s="24"/>
      <c r="H832" s="24"/>
      <c r="I832" s="24"/>
      <c r="J832" s="27"/>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row>
    <row r="833" spans="4:50" s="23" customFormat="1" x14ac:dyDescent="0.3">
      <c r="D833" s="34"/>
      <c r="E833" s="24"/>
      <c r="F833" s="24"/>
      <c r="G833" s="24"/>
      <c r="H833" s="24"/>
      <c r="I833" s="24"/>
      <c r="J833" s="27"/>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row>
    <row r="834" spans="4:50" s="23" customFormat="1" x14ac:dyDescent="0.3">
      <c r="D834" s="34"/>
      <c r="E834" s="24"/>
      <c r="F834" s="24"/>
      <c r="G834" s="24"/>
      <c r="H834" s="24"/>
      <c r="I834" s="24"/>
      <c r="J834" s="27"/>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row>
    <row r="835" spans="4:50" s="23" customFormat="1" x14ac:dyDescent="0.3">
      <c r="D835" s="34"/>
      <c r="E835" s="24"/>
      <c r="F835" s="24"/>
      <c r="G835" s="24"/>
      <c r="H835" s="24"/>
      <c r="I835" s="24"/>
      <c r="J835" s="27"/>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row>
    <row r="836" spans="4:50" s="23" customFormat="1" x14ac:dyDescent="0.3">
      <c r="D836" s="34"/>
      <c r="E836" s="24"/>
      <c r="F836" s="24"/>
      <c r="G836" s="24"/>
      <c r="H836" s="24"/>
      <c r="I836" s="24"/>
      <c r="J836" s="27"/>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row>
    <row r="837" spans="4:50" s="23" customFormat="1" x14ac:dyDescent="0.3">
      <c r="D837" s="34"/>
      <c r="E837" s="24"/>
      <c r="F837" s="24"/>
      <c r="G837" s="24"/>
      <c r="H837" s="24"/>
      <c r="I837" s="24"/>
      <c r="J837" s="27"/>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row>
    <row r="838" spans="4:50" s="23" customFormat="1" x14ac:dyDescent="0.3">
      <c r="D838" s="34"/>
      <c r="E838" s="24"/>
      <c r="F838" s="24"/>
      <c r="G838" s="24"/>
      <c r="H838" s="24"/>
      <c r="I838" s="24"/>
      <c r="J838" s="27"/>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row>
    <row r="839" spans="4:50" s="23" customFormat="1" x14ac:dyDescent="0.3">
      <c r="D839" s="34"/>
      <c r="E839" s="24"/>
      <c r="F839" s="24"/>
      <c r="G839" s="24"/>
      <c r="H839" s="24"/>
      <c r="I839" s="24"/>
      <c r="J839" s="27"/>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row>
    <row r="840" spans="4:50" s="23" customFormat="1" x14ac:dyDescent="0.3">
      <c r="D840" s="34"/>
      <c r="E840" s="24"/>
      <c r="F840" s="24"/>
      <c r="G840" s="24"/>
      <c r="H840" s="24"/>
      <c r="I840" s="24"/>
      <c r="J840" s="27"/>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row>
    <row r="841" spans="4:50" s="23" customFormat="1" x14ac:dyDescent="0.3">
      <c r="D841" s="34"/>
      <c r="E841" s="24"/>
      <c r="F841" s="24"/>
      <c r="G841" s="24"/>
      <c r="H841" s="24"/>
      <c r="I841" s="24"/>
      <c r="J841" s="27"/>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row>
    <row r="842" spans="4:50" s="23" customFormat="1" x14ac:dyDescent="0.3">
      <c r="D842" s="34"/>
      <c r="E842" s="24"/>
      <c r="F842" s="24"/>
      <c r="G842" s="24"/>
      <c r="H842" s="24"/>
      <c r="I842" s="24"/>
      <c r="J842" s="27"/>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row>
    <row r="843" spans="4:50" s="23" customFormat="1" x14ac:dyDescent="0.3">
      <c r="D843" s="34"/>
      <c r="E843" s="24"/>
      <c r="F843" s="24"/>
      <c r="G843" s="24"/>
      <c r="H843" s="24"/>
      <c r="I843" s="24"/>
      <c r="J843" s="27"/>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row>
    <row r="844" spans="4:50" s="23" customFormat="1" x14ac:dyDescent="0.3">
      <c r="D844" s="34"/>
      <c r="E844" s="24"/>
      <c r="F844" s="24"/>
      <c r="G844" s="24"/>
      <c r="H844" s="24"/>
      <c r="I844" s="24"/>
      <c r="J844" s="27"/>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row>
    <row r="845" spans="4:50" s="23" customFormat="1" x14ac:dyDescent="0.3">
      <c r="D845" s="34"/>
      <c r="E845" s="24"/>
      <c r="F845" s="24"/>
      <c r="G845" s="24"/>
      <c r="H845" s="24"/>
      <c r="I845" s="24"/>
      <c r="J845" s="27"/>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row>
    <row r="846" spans="4:50" s="23" customFormat="1" x14ac:dyDescent="0.3">
      <c r="D846" s="34"/>
      <c r="E846" s="24"/>
      <c r="F846" s="24"/>
      <c r="G846" s="24"/>
      <c r="H846" s="24"/>
      <c r="I846" s="24"/>
      <c r="J846" s="27"/>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row>
    <row r="847" spans="4:50" s="23" customFormat="1" x14ac:dyDescent="0.3">
      <c r="D847" s="34"/>
      <c r="E847" s="24"/>
      <c r="F847" s="24"/>
      <c r="G847" s="24"/>
      <c r="H847" s="24"/>
      <c r="I847" s="24"/>
      <c r="J847" s="27"/>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row>
    <row r="848" spans="4:50" s="23" customFormat="1" x14ac:dyDescent="0.3">
      <c r="D848" s="34"/>
      <c r="E848" s="24"/>
      <c r="F848" s="24"/>
      <c r="G848" s="24"/>
      <c r="H848" s="24"/>
      <c r="I848" s="24"/>
      <c r="J848" s="27"/>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row>
    <row r="849" spans="4:50" s="23" customFormat="1" x14ac:dyDescent="0.3">
      <c r="D849" s="34"/>
      <c r="E849" s="24"/>
      <c r="F849" s="24"/>
      <c r="G849" s="24"/>
      <c r="H849" s="24"/>
      <c r="I849" s="24"/>
      <c r="J849" s="27"/>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row>
    <row r="850" spans="4:50" s="23" customFormat="1" x14ac:dyDescent="0.3">
      <c r="D850" s="34"/>
      <c r="E850" s="24"/>
      <c r="F850" s="24"/>
      <c r="G850" s="24"/>
      <c r="H850" s="24"/>
      <c r="I850" s="24"/>
      <c r="J850" s="27"/>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row>
    <row r="851" spans="4:50" s="23" customFormat="1" x14ac:dyDescent="0.3">
      <c r="D851" s="34"/>
      <c r="E851" s="24"/>
      <c r="F851" s="24"/>
      <c r="G851" s="24"/>
      <c r="H851" s="24"/>
      <c r="I851" s="24"/>
      <c r="J851" s="27"/>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row>
    <row r="852" spans="4:50" s="23" customFormat="1" x14ac:dyDescent="0.3">
      <c r="D852" s="34"/>
      <c r="E852" s="24"/>
      <c r="F852" s="24"/>
      <c r="G852" s="24"/>
      <c r="H852" s="24"/>
      <c r="I852" s="24"/>
      <c r="J852" s="27"/>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row>
    <row r="853" spans="4:50" s="23" customFormat="1" x14ac:dyDescent="0.3">
      <c r="D853" s="34"/>
      <c r="E853" s="24"/>
      <c r="F853" s="24"/>
      <c r="G853" s="24"/>
      <c r="H853" s="24"/>
      <c r="I853" s="24"/>
      <c r="J853" s="27"/>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row>
    <row r="854" spans="4:50" s="23" customFormat="1" x14ac:dyDescent="0.3">
      <c r="D854" s="34"/>
      <c r="E854" s="24"/>
      <c r="F854" s="24"/>
      <c r="G854" s="24"/>
      <c r="H854" s="24"/>
      <c r="I854" s="24"/>
      <c r="J854" s="27"/>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row>
    <row r="855" spans="4:50" s="23" customFormat="1" x14ac:dyDescent="0.3">
      <c r="D855" s="34"/>
      <c r="E855" s="24"/>
      <c r="F855" s="24"/>
      <c r="G855" s="24"/>
      <c r="H855" s="24"/>
      <c r="I855" s="24"/>
      <c r="J855" s="27"/>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row>
    <row r="856" spans="4:50" s="23" customFormat="1" x14ac:dyDescent="0.3">
      <c r="D856" s="34"/>
      <c r="E856" s="24"/>
      <c r="F856" s="24"/>
      <c r="G856" s="24"/>
      <c r="H856" s="24"/>
      <c r="I856" s="24"/>
      <c r="J856" s="27"/>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row>
    <row r="857" spans="4:50" s="23" customFormat="1" x14ac:dyDescent="0.3">
      <c r="D857" s="34"/>
      <c r="E857" s="24"/>
      <c r="F857" s="24"/>
      <c r="G857" s="24"/>
      <c r="H857" s="24"/>
      <c r="I857" s="24"/>
      <c r="J857" s="27"/>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row>
    <row r="858" spans="4:50" s="23" customFormat="1" x14ac:dyDescent="0.3">
      <c r="D858" s="34"/>
      <c r="E858" s="24"/>
      <c r="F858" s="24"/>
      <c r="G858" s="24"/>
      <c r="H858" s="24"/>
      <c r="I858" s="24"/>
      <c r="J858" s="27"/>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row>
    <row r="859" spans="4:50" s="23" customFormat="1" x14ac:dyDescent="0.3">
      <c r="D859" s="34"/>
      <c r="E859" s="24"/>
      <c r="F859" s="24"/>
      <c r="G859" s="24"/>
      <c r="H859" s="24"/>
      <c r="I859" s="24"/>
      <c r="J859" s="27"/>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row>
    <row r="860" spans="4:50" s="23" customFormat="1" x14ac:dyDescent="0.3">
      <c r="D860" s="34"/>
      <c r="E860" s="24"/>
      <c r="F860" s="24"/>
      <c r="G860" s="24"/>
      <c r="H860" s="24"/>
      <c r="I860" s="24"/>
      <c r="J860" s="27"/>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row>
    <row r="861" spans="4:50" s="23" customFormat="1" x14ac:dyDescent="0.3">
      <c r="D861" s="34"/>
      <c r="E861" s="24"/>
      <c r="F861" s="24"/>
      <c r="G861" s="24"/>
      <c r="H861" s="24"/>
      <c r="I861" s="24"/>
      <c r="J861" s="27"/>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row>
    <row r="862" spans="4:50" s="23" customFormat="1" x14ac:dyDescent="0.3">
      <c r="D862" s="34"/>
      <c r="E862" s="24"/>
      <c r="F862" s="24"/>
      <c r="G862" s="24"/>
      <c r="H862" s="24"/>
      <c r="I862" s="24"/>
      <c r="J862" s="27"/>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row>
    <row r="863" spans="4:50" s="23" customFormat="1" x14ac:dyDescent="0.3">
      <c r="D863" s="34"/>
      <c r="E863" s="24"/>
      <c r="F863" s="24"/>
      <c r="G863" s="24"/>
      <c r="H863" s="24"/>
      <c r="I863" s="24"/>
      <c r="J863" s="27"/>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row>
    <row r="864" spans="4:50" s="23" customFormat="1" x14ac:dyDescent="0.3">
      <c r="D864" s="34"/>
      <c r="E864" s="24"/>
      <c r="F864" s="24"/>
      <c r="G864" s="24"/>
      <c r="H864" s="24"/>
      <c r="I864" s="24"/>
      <c r="J864" s="27"/>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row>
    <row r="865" spans="4:50" s="23" customFormat="1" x14ac:dyDescent="0.3">
      <c r="D865" s="34"/>
      <c r="E865" s="24"/>
      <c r="F865" s="24"/>
      <c r="G865" s="24"/>
      <c r="H865" s="24"/>
      <c r="I865" s="24"/>
      <c r="J865" s="27"/>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row>
    <row r="866" spans="4:50" s="23" customFormat="1" x14ac:dyDescent="0.3">
      <c r="D866" s="34"/>
      <c r="E866" s="24"/>
      <c r="F866" s="24"/>
      <c r="G866" s="24"/>
      <c r="H866" s="24"/>
      <c r="I866" s="24"/>
      <c r="J866" s="27"/>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row>
    <row r="867" spans="4:50" s="23" customFormat="1" x14ac:dyDescent="0.3">
      <c r="D867" s="34"/>
      <c r="E867" s="24"/>
      <c r="F867" s="24"/>
      <c r="G867" s="24"/>
      <c r="H867" s="24"/>
      <c r="I867" s="24"/>
      <c r="J867" s="27"/>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row>
    <row r="868" spans="4:50" s="23" customFormat="1" x14ac:dyDescent="0.3">
      <c r="D868" s="34"/>
      <c r="E868" s="24"/>
      <c r="F868" s="24"/>
      <c r="G868" s="24"/>
      <c r="H868" s="24"/>
      <c r="I868" s="24"/>
      <c r="J868" s="27"/>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row>
    <row r="869" spans="4:50" s="23" customFormat="1" x14ac:dyDescent="0.3">
      <c r="D869" s="34"/>
      <c r="E869" s="24"/>
      <c r="F869" s="24"/>
      <c r="G869" s="24"/>
      <c r="H869" s="24"/>
      <c r="I869" s="24"/>
      <c r="J869" s="27"/>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row>
    <row r="870" spans="4:50" s="23" customFormat="1" x14ac:dyDescent="0.3">
      <c r="D870" s="34"/>
      <c r="E870" s="24"/>
      <c r="F870" s="24"/>
      <c r="G870" s="24"/>
      <c r="H870" s="24"/>
      <c r="I870" s="24"/>
      <c r="J870" s="27"/>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row>
    <row r="871" spans="4:50" s="23" customFormat="1" x14ac:dyDescent="0.3">
      <c r="D871" s="34"/>
      <c r="E871" s="24"/>
      <c r="F871" s="24"/>
      <c r="G871" s="24"/>
      <c r="H871" s="24"/>
      <c r="I871" s="24"/>
      <c r="J871" s="27"/>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row>
    <row r="872" spans="4:50" s="23" customFormat="1" x14ac:dyDescent="0.3">
      <c r="D872" s="34"/>
      <c r="E872" s="24"/>
      <c r="F872" s="24"/>
      <c r="G872" s="24"/>
      <c r="H872" s="24"/>
      <c r="I872" s="24"/>
      <c r="J872" s="27"/>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row>
    <row r="873" spans="4:50" s="23" customFormat="1" x14ac:dyDescent="0.3">
      <c r="D873" s="34"/>
      <c r="E873" s="24"/>
      <c r="F873" s="24"/>
      <c r="G873" s="24"/>
      <c r="H873" s="24"/>
      <c r="I873" s="24"/>
      <c r="J873" s="27"/>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row>
    <row r="874" spans="4:50" s="23" customFormat="1" x14ac:dyDescent="0.3">
      <c r="D874" s="34"/>
      <c r="E874" s="24"/>
      <c r="F874" s="24"/>
      <c r="G874" s="24"/>
      <c r="H874" s="24"/>
      <c r="I874" s="24"/>
      <c r="J874" s="27"/>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row>
    <row r="875" spans="4:50" s="23" customFormat="1" x14ac:dyDescent="0.3">
      <c r="D875" s="34"/>
      <c r="E875" s="24"/>
      <c r="F875" s="24"/>
      <c r="G875" s="24"/>
      <c r="H875" s="24"/>
      <c r="I875" s="24"/>
      <c r="J875" s="27"/>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row>
    <row r="876" spans="4:50" s="23" customFormat="1" x14ac:dyDescent="0.3">
      <c r="D876" s="34"/>
      <c r="E876" s="24"/>
      <c r="F876" s="24"/>
      <c r="G876" s="24"/>
      <c r="H876" s="24"/>
      <c r="I876" s="24"/>
      <c r="J876" s="27"/>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row>
    <row r="877" spans="4:50" s="23" customFormat="1" x14ac:dyDescent="0.3">
      <c r="D877" s="34"/>
      <c r="E877" s="24"/>
      <c r="F877" s="24"/>
      <c r="G877" s="24"/>
      <c r="H877" s="24"/>
      <c r="I877" s="24"/>
      <c r="J877" s="27"/>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row>
    <row r="878" spans="4:50" s="23" customFormat="1" x14ac:dyDescent="0.3">
      <c r="D878" s="34"/>
      <c r="E878" s="24"/>
      <c r="F878" s="24"/>
      <c r="G878" s="24"/>
      <c r="H878" s="24"/>
      <c r="I878" s="24"/>
      <c r="J878" s="27"/>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row>
    <row r="879" spans="4:50" s="23" customFormat="1" x14ac:dyDescent="0.3">
      <c r="D879" s="34"/>
      <c r="E879" s="24"/>
      <c r="F879" s="24"/>
      <c r="G879" s="24"/>
      <c r="H879" s="24"/>
      <c r="I879" s="24"/>
      <c r="J879" s="27"/>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row>
    <row r="880" spans="4:50" s="23" customFormat="1" x14ac:dyDescent="0.3">
      <c r="D880" s="34"/>
      <c r="E880" s="24"/>
      <c r="F880" s="24"/>
      <c r="G880" s="24"/>
      <c r="H880" s="24"/>
      <c r="I880" s="24"/>
      <c r="J880" s="27"/>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row>
    <row r="881" spans="4:50" s="23" customFormat="1" x14ac:dyDescent="0.3">
      <c r="D881" s="34"/>
      <c r="E881" s="24"/>
      <c r="F881" s="24"/>
      <c r="G881" s="24"/>
      <c r="H881" s="24"/>
      <c r="I881" s="24"/>
      <c r="J881" s="27"/>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row>
    <row r="882" spans="4:50" s="23" customFormat="1" x14ac:dyDescent="0.3">
      <c r="D882" s="34"/>
      <c r="E882" s="24"/>
      <c r="F882" s="24"/>
      <c r="G882" s="24"/>
      <c r="H882" s="24"/>
      <c r="I882" s="24"/>
      <c r="J882" s="27"/>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row>
    <row r="883" spans="4:50" s="23" customFormat="1" x14ac:dyDescent="0.3">
      <c r="D883" s="34"/>
      <c r="E883" s="24"/>
      <c r="F883" s="24"/>
      <c r="G883" s="24"/>
      <c r="H883" s="24"/>
      <c r="I883" s="24"/>
      <c r="J883" s="27"/>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row>
    <row r="884" spans="4:50" s="23" customFormat="1" x14ac:dyDescent="0.3">
      <c r="D884" s="34"/>
      <c r="E884" s="24"/>
      <c r="F884" s="24"/>
      <c r="G884" s="24"/>
      <c r="H884" s="24"/>
      <c r="I884" s="24"/>
      <c r="J884" s="27"/>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row>
    <row r="885" spans="4:50" s="23" customFormat="1" x14ac:dyDescent="0.3">
      <c r="D885" s="34"/>
      <c r="E885" s="24"/>
      <c r="F885" s="24"/>
      <c r="G885" s="24"/>
      <c r="H885" s="24"/>
      <c r="I885" s="24"/>
      <c r="J885" s="27"/>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row>
    <row r="886" spans="4:50" s="23" customFormat="1" x14ac:dyDescent="0.3">
      <c r="D886" s="34"/>
      <c r="E886" s="24"/>
      <c r="F886" s="24"/>
      <c r="G886" s="24"/>
      <c r="H886" s="24"/>
      <c r="I886" s="24"/>
      <c r="J886" s="27"/>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row>
    <row r="887" spans="4:50" s="23" customFormat="1" x14ac:dyDescent="0.3">
      <c r="D887" s="34"/>
      <c r="E887" s="24"/>
      <c r="F887" s="24"/>
      <c r="G887" s="24"/>
      <c r="H887" s="24"/>
      <c r="I887" s="24"/>
      <c r="J887" s="27"/>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row>
    <row r="888" spans="4:50" s="23" customFormat="1" x14ac:dyDescent="0.3">
      <c r="D888" s="34"/>
      <c r="E888" s="24"/>
      <c r="F888" s="24"/>
      <c r="G888" s="24"/>
      <c r="H888" s="24"/>
      <c r="I888" s="24"/>
      <c r="J888" s="27"/>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row>
    <row r="889" spans="4:50" s="23" customFormat="1" x14ac:dyDescent="0.3">
      <c r="D889" s="34"/>
      <c r="E889" s="24"/>
      <c r="F889" s="24"/>
      <c r="G889" s="24"/>
      <c r="H889" s="24"/>
      <c r="I889" s="24"/>
      <c r="J889" s="27"/>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row>
    <row r="890" spans="4:50" s="23" customFormat="1" x14ac:dyDescent="0.3">
      <c r="D890" s="34"/>
      <c r="E890" s="24"/>
      <c r="F890" s="24"/>
      <c r="G890" s="24"/>
      <c r="H890" s="24"/>
      <c r="I890" s="24"/>
      <c r="J890" s="27"/>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row>
    <row r="891" spans="4:50" s="23" customFormat="1" x14ac:dyDescent="0.3">
      <c r="D891" s="34"/>
      <c r="E891" s="24"/>
      <c r="F891" s="24"/>
      <c r="G891" s="24"/>
      <c r="H891" s="24"/>
      <c r="I891" s="24"/>
      <c r="J891" s="27"/>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row>
    <row r="892" spans="4:50" s="23" customFormat="1" x14ac:dyDescent="0.3">
      <c r="D892" s="34"/>
      <c r="E892" s="24"/>
      <c r="F892" s="24"/>
      <c r="G892" s="24"/>
      <c r="H892" s="24"/>
      <c r="I892" s="24"/>
      <c r="J892" s="27"/>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row>
    <row r="893" spans="4:50" s="23" customFormat="1" x14ac:dyDescent="0.3">
      <c r="D893" s="34"/>
      <c r="E893" s="24"/>
      <c r="F893" s="24"/>
      <c r="G893" s="24"/>
      <c r="H893" s="24"/>
      <c r="I893" s="24"/>
      <c r="J893" s="27"/>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row>
    <row r="894" spans="4:50" s="23" customFormat="1" x14ac:dyDescent="0.3">
      <c r="D894" s="34"/>
      <c r="E894" s="24"/>
      <c r="F894" s="24"/>
      <c r="G894" s="24"/>
      <c r="H894" s="24"/>
      <c r="I894" s="24"/>
      <c r="J894" s="27"/>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row>
    <row r="895" spans="4:50" s="23" customFormat="1" x14ac:dyDescent="0.3">
      <c r="D895" s="34"/>
      <c r="E895" s="24"/>
      <c r="F895" s="24"/>
      <c r="G895" s="24"/>
      <c r="H895" s="24"/>
      <c r="I895" s="24"/>
      <c r="J895" s="27"/>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row>
    <row r="896" spans="4:50" s="23" customFormat="1" x14ac:dyDescent="0.3">
      <c r="D896" s="34"/>
      <c r="E896" s="24"/>
      <c r="F896" s="24"/>
      <c r="G896" s="24"/>
      <c r="H896" s="24"/>
      <c r="I896" s="24"/>
      <c r="J896" s="27"/>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row>
    <row r="897" spans="4:50" s="23" customFormat="1" x14ac:dyDescent="0.3">
      <c r="D897" s="34"/>
      <c r="E897" s="24"/>
      <c r="F897" s="24"/>
      <c r="G897" s="24"/>
      <c r="H897" s="24"/>
      <c r="I897" s="24"/>
      <c r="J897" s="27"/>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row>
    <row r="898" spans="4:50" s="23" customFormat="1" x14ac:dyDescent="0.3">
      <c r="D898" s="34"/>
      <c r="E898" s="24"/>
      <c r="F898" s="24"/>
      <c r="G898" s="24"/>
      <c r="H898" s="24"/>
      <c r="I898" s="24"/>
      <c r="J898" s="27"/>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row>
    <row r="899" spans="4:50" s="23" customFormat="1" x14ac:dyDescent="0.3">
      <c r="D899" s="34"/>
      <c r="E899" s="24"/>
      <c r="F899" s="24"/>
      <c r="G899" s="24"/>
      <c r="H899" s="24"/>
      <c r="I899" s="24"/>
      <c r="J899" s="27"/>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row>
    <row r="900" spans="4:50" s="23" customFormat="1" x14ac:dyDescent="0.3">
      <c r="D900" s="34"/>
      <c r="E900" s="24"/>
      <c r="F900" s="24"/>
      <c r="G900" s="24"/>
      <c r="H900" s="24"/>
      <c r="I900" s="24"/>
      <c r="J900" s="27"/>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row>
    <row r="901" spans="4:50" s="23" customFormat="1" x14ac:dyDescent="0.3">
      <c r="D901" s="34"/>
      <c r="E901" s="24"/>
      <c r="F901" s="24"/>
      <c r="G901" s="24"/>
      <c r="H901" s="24"/>
      <c r="I901" s="24"/>
      <c r="J901" s="27"/>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row>
    <row r="902" spans="4:50" s="23" customFormat="1" x14ac:dyDescent="0.3">
      <c r="D902" s="34"/>
      <c r="E902" s="24"/>
      <c r="F902" s="24"/>
      <c r="G902" s="24"/>
      <c r="H902" s="24"/>
      <c r="I902" s="24"/>
      <c r="J902" s="27"/>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row>
    <row r="903" spans="4:50" s="23" customFormat="1" x14ac:dyDescent="0.3">
      <c r="D903" s="34"/>
      <c r="E903" s="24"/>
      <c r="F903" s="24"/>
      <c r="G903" s="24"/>
      <c r="H903" s="24"/>
      <c r="I903" s="24"/>
      <c r="J903" s="27"/>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row>
    <row r="904" spans="4:50" s="23" customFormat="1" x14ac:dyDescent="0.3">
      <c r="D904" s="34"/>
      <c r="E904" s="24"/>
      <c r="F904" s="24"/>
      <c r="G904" s="24"/>
      <c r="H904" s="24"/>
      <c r="I904" s="24"/>
      <c r="J904" s="27"/>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row>
    <row r="905" spans="4:50" s="23" customFormat="1" x14ac:dyDescent="0.3">
      <c r="D905" s="34"/>
      <c r="E905" s="24"/>
      <c r="F905" s="24"/>
      <c r="G905" s="24"/>
      <c r="H905" s="24"/>
      <c r="I905" s="24"/>
      <c r="J905" s="27"/>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row>
    <row r="906" spans="4:50" s="23" customFormat="1" x14ac:dyDescent="0.3">
      <c r="D906" s="34"/>
      <c r="E906" s="24"/>
      <c r="F906" s="24"/>
      <c r="G906" s="24"/>
      <c r="H906" s="24"/>
      <c r="I906" s="24"/>
      <c r="J906" s="27"/>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row>
    <row r="907" spans="4:50" s="23" customFormat="1" x14ac:dyDescent="0.3">
      <c r="D907" s="34"/>
      <c r="E907" s="24"/>
      <c r="F907" s="24"/>
      <c r="G907" s="24"/>
      <c r="H907" s="24"/>
      <c r="I907" s="24"/>
      <c r="J907" s="27"/>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row>
    <row r="908" spans="4:50" s="23" customFormat="1" x14ac:dyDescent="0.3">
      <c r="D908" s="34"/>
      <c r="E908" s="24"/>
      <c r="F908" s="24"/>
      <c r="G908" s="24"/>
      <c r="H908" s="24"/>
      <c r="I908" s="24"/>
      <c r="J908" s="27"/>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row>
    <row r="909" spans="4:50" s="23" customFormat="1" x14ac:dyDescent="0.3">
      <c r="D909" s="34"/>
      <c r="E909" s="24"/>
      <c r="F909" s="24"/>
      <c r="G909" s="24"/>
      <c r="H909" s="24"/>
      <c r="I909" s="24"/>
      <c r="J909" s="27"/>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row>
    <row r="910" spans="4:50" s="23" customFormat="1" x14ac:dyDescent="0.3">
      <c r="D910" s="34"/>
      <c r="E910" s="24"/>
      <c r="F910" s="24"/>
      <c r="G910" s="24"/>
      <c r="H910" s="24"/>
      <c r="I910" s="24"/>
      <c r="J910" s="27"/>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row>
    <row r="911" spans="4:50" s="23" customFormat="1" x14ac:dyDescent="0.3">
      <c r="D911" s="34"/>
      <c r="E911" s="24"/>
      <c r="F911" s="24"/>
      <c r="G911" s="24"/>
      <c r="H911" s="24"/>
      <c r="I911" s="24"/>
      <c r="J911" s="27"/>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row>
    <row r="912" spans="4:50" s="23" customFormat="1" x14ac:dyDescent="0.3">
      <c r="D912" s="34"/>
      <c r="E912" s="24"/>
      <c r="F912" s="24"/>
      <c r="G912" s="24"/>
      <c r="H912" s="24"/>
      <c r="I912" s="24"/>
      <c r="J912" s="27"/>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row>
    <row r="913" spans="4:50" s="23" customFormat="1" x14ac:dyDescent="0.3">
      <c r="D913" s="34"/>
      <c r="E913" s="24"/>
      <c r="F913" s="24"/>
      <c r="G913" s="24"/>
      <c r="H913" s="24"/>
      <c r="I913" s="24"/>
      <c r="J913" s="27"/>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row>
    <row r="914" spans="4:50" s="23" customFormat="1" x14ac:dyDescent="0.3">
      <c r="D914" s="34"/>
      <c r="E914" s="24"/>
      <c r="F914" s="24"/>
      <c r="G914" s="24"/>
      <c r="H914" s="24"/>
      <c r="I914" s="24"/>
      <c r="J914" s="27"/>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row>
    <row r="915" spans="4:50" s="23" customFormat="1" x14ac:dyDescent="0.3">
      <c r="D915" s="34"/>
      <c r="E915" s="24"/>
      <c r="F915" s="24"/>
      <c r="G915" s="24"/>
      <c r="H915" s="24"/>
      <c r="I915" s="24"/>
      <c r="J915" s="27"/>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row>
    <row r="916" spans="4:50" s="23" customFormat="1" x14ac:dyDescent="0.3">
      <c r="D916" s="34"/>
      <c r="E916" s="24"/>
      <c r="F916" s="24"/>
      <c r="G916" s="24"/>
      <c r="H916" s="24"/>
      <c r="I916" s="24"/>
      <c r="J916" s="27"/>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row>
    <row r="917" spans="4:50" s="23" customFormat="1" x14ac:dyDescent="0.3">
      <c r="D917" s="34"/>
      <c r="E917" s="24"/>
      <c r="F917" s="24"/>
      <c r="G917" s="24"/>
      <c r="H917" s="24"/>
      <c r="I917" s="24"/>
      <c r="J917" s="27"/>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row>
    <row r="918" spans="4:50" s="23" customFormat="1" x14ac:dyDescent="0.3">
      <c r="D918" s="34"/>
      <c r="E918" s="24"/>
      <c r="F918" s="24"/>
      <c r="G918" s="24"/>
      <c r="H918" s="24"/>
      <c r="I918" s="24"/>
      <c r="J918" s="27"/>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row>
    <row r="919" spans="4:50" s="23" customFormat="1" x14ac:dyDescent="0.3">
      <c r="D919" s="34"/>
      <c r="E919" s="24"/>
      <c r="F919" s="24"/>
      <c r="G919" s="24"/>
      <c r="H919" s="24"/>
      <c r="I919" s="24"/>
      <c r="J919" s="27"/>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row>
    <row r="920" spans="4:50" s="23" customFormat="1" x14ac:dyDescent="0.3">
      <c r="D920" s="34"/>
      <c r="E920" s="24"/>
      <c r="F920" s="24"/>
      <c r="G920" s="24"/>
      <c r="H920" s="24"/>
      <c r="I920" s="24"/>
      <c r="J920" s="27"/>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row>
    <row r="921" spans="4:50" s="23" customFormat="1" x14ac:dyDescent="0.3">
      <c r="D921" s="34"/>
      <c r="E921" s="24"/>
      <c r="F921" s="24"/>
      <c r="G921" s="24"/>
      <c r="H921" s="24"/>
      <c r="I921" s="24"/>
      <c r="J921" s="27"/>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row>
    <row r="922" spans="4:50" s="23" customFormat="1" x14ac:dyDescent="0.3">
      <c r="D922" s="34"/>
      <c r="E922" s="24"/>
      <c r="F922" s="24"/>
      <c r="G922" s="24"/>
      <c r="H922" s="24"/>
      <c r="I922" s="24"/>
      <c r="J922" s="27"/>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row>
    <row r="923" spans="4:50" s="23" customFormat="1" x14ac:dyDescent="0.3">
      <c r="D923" s="34"/>
      <c r="E923" s="24"/>
      <c r="F923" s="24"/>
      <c r="G923" s="24"/>
      <c r="H923" s="24"/>
      <c r="I923" s="24"/>
      <c r="J923" s="27"/>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row>
    <row r="924" spans="4:50" s="23" customFormat="1" x14ac:dyDescent="0.3">
      <c r="D924" s="34"/>
      <c r="E924" s="24"/>
      <c r="F924" s="24"/>
      <c r="G924" s="24"/>
      <c r="H924" s="24"/>
      <c r="I924" s="24"/>
      <c r="J924" s="27"/>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row>
    <row r="925" spans="4:50" s="23" customFormat="1" x14ac:dyDescent="0.3">
      <c r="D925" s="34"/>
      <c r="E925" s="24"/>
      <c r="F925" s="24"/>
      <c r="G925" s="24"/>
      <c r="H925" s="24"/>
      <c r="I925" s="24"/>
      <c r="J925" s="27"/>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row>
    <row r="926" spans="4:50" s="23" customFormat="1" x14ac:dyDescent="0.3">
      <c r="D926" s="34"/>
      <c r="E926" s="24"/>
      <c r="F926" s="24"/>
      <c r="G926" s="24"/>
      <c r="H926" s="24"/>
      <c r="I926" s="24"/>
      <c r="J926" s="27"/>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row>
    <row r="927" spans="4:50" s="23" customFormat="1" x14ac:dyDescent="0.3">
      <c r="D927" s="34"/>
      <c r="E927" s="24"/>
      <c r="F927" s="24"/>
      <c r="G927" s="24"/>
      <c r="H927" s="24"/>
      <c r="I927" s="24"/>
      <c r="J927" s="27"/>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row>
    <row r="928" spans="4:50" s="23" customFormat="1" x14ac:dyDescent="0.3">
      <c r="D928" s="34"/>
      <c r="E928" s="24"/>
      <c r="F928" s="24"/>
      <c r="G928" s="24"/>
      <c r="H928" s="24"/>
      <c r="I928" s="24"/>
      <c r="J928" s="27"/>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row>
    <row r="929" spans="4:50" s="23" customFormat="1" x14ac:dyDescent="0.3">
      <c r="D929" s="34"/>
      <c r="E929" s="24"/>
      <c r="F929" s="24"/>
      <c r="G929" s="24"/>
      <c r="H929" s="24"/>
      <c r="I929" s="24"/>
      <c r="J929" s="27"/>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row>
    <row r="930" spans="4:50" s="23" customFormat="1" x14ac:dyDescent="0.3">
      <c r="D930" s="34"/>
      <c r="E930" s="24"/>
      <c r="F930" s="24"/>
      <c r="G930" s="24"/>
      <c r="H930" s="24"/>
      <c r="I930" s="24"/>
      <c r="J930" s="27"/>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row>
    <row r="931" spans="4:50" s="23" customFormat="1" x14ac:dyDescent="0.3">
      <c r="D931" s="34"/>
      <c r="E931" s="24"/>
      <c r="F931" s="24"/>
      <c r="G931" s="24"/>
      <c r="H931" s="24"/>
      <c r="I931" s="24"/>
      <c r="J931" s="27"/>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row>
    <row r="932" spans="4:50" s="23" customFormat="1" x14ac:dyDescent="0.3">
      <c r="D932" s="34"/>
      <c r="E932" s="24"/>
      <c r="F932" s="24"/>
      <c r="G932" s="24"/>
      <c r="H932" s="24"/>
      <c r="I932" s="24"/>
      <c r="J932" s="27"/>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row>
    <row r="933" spans="4:50" s="23" customFormat="1" x14ac:dyDescent="0.3">
      <c r="D933" s="34"/>
      <c r="E933" s="24"/>
      <c r="F933" s="24"/>
      <c r="G933" s="24"/>
      <c r="H933" s="24"/>
      <c r="I933" s="24"/>
      <c r="J933" s="27"/>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row>
    <row r="934" spans="4:50" s="23" customFormat="1" x14ac:dyDescent="0.3">
      <c r="D934" s="34"/>
      <c r="E934" s="24"/>
      <c r="F934" s="24"/>
      <c r="G934" s="24"/>
      <c r="H934" s="24"/>
      <c r="I934" s="24"/>
      <c r="J934" s="27"/>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row>
    <row r="935" spans="4:50" s="23" customFormat="1" x14ac:dyDescent="0.3">
      <c r="D935" s="34"/>
      <c r="E935" s="24"/>
      <c r="F935" s="24"/>
      <c r="G935" s="24"/>
      <c r="H935" s="24"/>
      <c r="I935" s="24"/>
      <c r="J935" s="27"/>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row>
    <row r="936" spans="4:50" s="23" customFormat="1" x14ac:dyDescent="0.3">
      <c r="D936" s="34"/>
      <c r="E936" s="24"/>
      <c r="F936" s="24"/>
      <c r="G936" s="24"/>
      <c r="H936" s="24"/>
      <c r="I936" s="24"/>
      <c r="J936" s="27"/>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row>
    <row r="937" spans="4:50" s="23" customFormat="1" x14ac:dyDescent="0.3">
      <c r="D937" s="34"/>
      <c r="E937" s="24"/>
      <c r="F937" s="24"/>
      <c r="G937" s="24"/>
      <c r="H937" s="24"/>
      <c r="I937" s="24"/>
      <c r="J937" s="27"/>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row>
    <row r="938" spans="4:50" s="23" customFormat="1" x14ac:dyDescent="0.3">
      <c r="D938" s="34"/>
      <c r="E938" s="24"/>
      <c r="F938" s="24"/>
      <c r="G938" s="24"/>
      <c r="H938" s="24"/>
      <c r="I938" s="24"/>
      <c r="J938" s="27"/>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row>
    <row r="939" spans="4:50" s="23" customFormat="1" x14ac:dyDescent="0.3">
      <c r="D939" s="34"/>
      <c r="E939" s="24"/>
      <c r="F939" s="24"/>
      <c r="G939" s="24"/>
      <c r="H939" s="24"/>
      <c r="I939" s="24"/>
      <c r="J939" s="27"/>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row>
    <row r="940" spans="4:50" s="23" customFormat="1" x14ac:dyDescent="0.3">
      <c r="D940" s="34"/>
      <c r="E940" s="24"/>
      <c r="F940" s="24"/>
      <c r="G940" s="24"/>
      <c r="H940" s="24"/>
      <c r="I940" s="24"/>
      <c r="J940" s="27"/>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row>
    <row r="941" spans="4:50" s="23" customFormat="1" x14ac:dyDescent="0.3">
      <c r="D941" s="34"/>
      <c r="E941" s="24"/>
      <c r="F941" s="24"/>
      <c r="G941" s="24"/>
      <c r="H941" s="24"/>
      <c r="I941" s="24"/>
      <c r="J941" s="27"/>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row>
    <row r="942" spans="4:50" s="23" customFormat="1" x14ac:dyDescent="0.3">
      <c r="D942" s="34"/>
      <c r="E942" s="24"/>
      <c r="F942" s="24"/>
      <c r="G942" s="24"/>
      <c r="H942" s="24"/>
      <c r="I942" s="24"/>
      <c r="J942" s="27"/>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row>
    <row r="943" spans="4:50" s="23" customFormat="1" x14ac:dyDescent="0.3">
      <c r="D943" s="34"/>
      <c r="E943" s="24"/>
      <c r="F943" s="24"/>
      <c r="G943" s="24"/>
      <c r="H943" s="24"/>
      <c r="I943" s="24"/>
      <c r="J943" s="27"/>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row>
    <row r="944" spans="4:50" s="23" customFormat="1" x14ac:dyDescent="0.3">
      <c r="D944" s="34"/>
      <c r="E944" s="24"/>
      <c r="F944" s="24"/>
      <c r="G944" s="24"/>
      <c r="H944" s="24"/>
      <c r="I944" s="24"/>
      <c r="J944" s="27"/>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row>
    <row r="945" spans="4:50" s="23" customFormat="1" x14ac:dyDescent="0.3">
      <c r="D945" s="34"/>
      <c r="E945" s="24"/>
      <c r="F945" s="24"/>
      <c r="G945" s="24"/>
      <c r="H945" s="24"/>
      <c r="I945" s="24"/>
      <c r="J945" s="27"/>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row>
    <row r="946" spans="4:50" s="23" customFormat="1" x14ac:dyDescent="0.3">
      <c r="D946" s="34"/>
      <c r="E946" s="24"/>
      <c r="F946" s="24"/>
      <c r="G946" s="24"/>
      <c r="H946" s="24"/>
      <c r="I946" s="24"/>
      <c r="J946" s="27"/>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row>
    <row r="947" spans="4:50" s="23" customFormat="1" x14ac:dyDescent="0.3">
      <c r="D947" s="34"/>
      <c r="E947" s="24"/>
      <c r="F947" s="24"/>
      <c r="G947" s="24"/>
      <c r="H947" s="24"/>
      <c r="I947" s="24"/>
      <c r="J947" s="27"/>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row>
    <row r="948" spans="4:50" s="23" customFormat="1" x14ac:dyDescent="0.3">
      <c r="D948" s="34"/>
      <c r="E948" s="24"/>
      <c r="F948" s="24"/>
      <c r="G948" s="24"/>
      <c r="H948" s="24"/>
      <c r="I948" s="24"/>
      <c r="J948" s="27"/>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row>
    <row r="949" spans="4:50" s="23" customFormat="1" x14ac:dyDescent="0.3">
      <c r="D949" s="34"/>
      <c r="E949" s="24"/>
      <c r="F949" s="24"/>
      <c r="G949" s="24"/>
      <c r="H949" s="24"/>
      <c r="I949" s="24"/>
      <c r="J949" s="27"/>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row>
    <row r="950" spans="4:50" s="23" customFormat="1" x14ac:dyDescent="0.3">
      <c r="D950" s="34"/>
      <c r="E950" s="24"/>
      <c r="F950" s="24"/>
      <c r="G950" s="24"/>
      <c r="H950" s="24"/>
      <c r="I950" s="24"/>
      <c r="J950" s="27"/>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row>
    <row r="951" spans="4:50" s="23" customFormat="1" x14ac:dyDescent="0.3">
      <c r="D951" s="34"/>
      <c r="E951" s="24"/>
      <c r="F951" s="24"/>
      <c r="G951" s="24"/>
      <c r="H951" s="24"/>
      <c r="I951" s="24"/>
      <c r="J951" s="27"/>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row>
    <row r="952" spans="4:50" s="23" customFormat="1" x14ac:dyDescent="0.3">
      <c r="D952" s="34"/>
      <c r="E952" s="24"/>
      <c r="F952" s="24"/>
      <c r="G952" s="24"/>
      <c r="H952" s="24"/>
      <c r="I952" s="24"/>
      <c r="J952" s="27"/>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row>
    <row r="953" spans="4:50" s="23" customFormat="1" x14ac:dyDescent="0.3">
      <c r="D953" s="34"/>
      <c r="E953" s="24"/>
      <c r="F953" s="24"/>
      <c r="G953" s="24"/>
      <c r="H953" s="24"/>
      <c r="I953" s="24"/>
      <c r="J953" s="27"/>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row>
    <row r="954" spans="4:50" s="23" customFormat="1" x14ac:dyDescent="0.3">
      <c r="D954" s="34"/>
      <c r="E954" s="24"/>
      <c r="F954" s="24"/>
      <c r="G954" s="24"/>
      <c r="H954" s="24"/>
      <c r="I954" s="24"/>
      <c r="J954" s="27"/>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row>
    <row r="955" spans="4:50" s="23" customFormat="1" x14ac:dyDescent="0.3">
      <c r="D955" s="34"/>
      <c r="E955" s="24"/>
      <c r="F955" s="24"/>
      <c r="G955" s="24"/>
      <c r="H955" s="24"/>
      <c r="I955" s="24"/>
      <c r="J955" s="27"/>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row>
    <row r="956" spans="4:50" s="23" customFormat="1" x14ac:dyDescent="0.3">
      <c r="D956" s="34"/>
      <c r="E956" s="24"/>
      <c r="F956" s="24"/>
      <c r="G956" s="24"/>
      <c r="H956" s="24"/>
      <c r="I956" s="24"/>
      <c r="J956" s="27"/>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row>
    <row r="957" spans="4:50" s="23" customFormat="1" x14ac:dyDescent="0.3">
      <c r="D957" s="34"/>
      <c r="E957" s="24"/>
      <c r="F957" s="24"/>
      <c r="G957" s="24"/>
      <c r="H957" s="24"/>
      <c r="I957" s="24"/>
      <c r="J957" s="27"/>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row>
    <row r="958" spans="4:50" s="23" customFormat="1" x14ac:dyDescent="0.3">
      <c r="D958" s="34"/>
      <c r="E958" s="24"/>
      <c r="F958" s="24"/>
      <c r="G958" s="24"/>
      <c r="H958" s="24"/>
      <c r="I958" s="24"/>
      <c r="J958" s="27"/>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row>
    <row r="959" spans="4:50" s="23" customFormat="1" x14ac:dyDescent="0.3">
      <c r="D959" s="34"/>
      <c r="E959" s="24"/>
      <c r="F959" s="24"/>
      <c r="G959" s="24"/>
      <c r="H959" s="24"/>
      <c r="I959" s="24"/>
      <c r="J959" s="27"/>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row>
    <row r="960" spans="4:50" s="23" customFormat="1" x14ac:dyDescent="0.3">
      <c r="D960" s="34"/>
      <c r="E960" s="24"/>
      <c r="F960" s="24"/>
      <c r="G960" s="24"/>
      <c r="H960" s="24"/>
      <c r="I960" s="24"/>
      <c r="J960" s="27"/>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row>
    <row r="961" spans="4:50" s="23" customFormat="1" x14ac:dyDescent="0.3">
      <c r="D961" s="34"/>
      <c r="E961" s="24"/>
      <c r="F961" s="24"/>
      <c r="G961" s="24"/>
      <c r="H961" s="24"/>
      <c r="I961" s="24"/>
      <c r="J961" s="27"/>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row>
    <row r="962" spans="4:50" s="23" customFormat="1" x14ac:dyDescent="0.3">
      <c r="D962" s="34"/>
      <c r="E962" s="24"/>
      <c r="F962" s="24"/>
      <c r="G962" s="24"/>
      <c r="H962" s="24"/>
      <c r="I962" s="24"/>
      <c r="J962" s="27"/>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row>
    <row r="963" spans="4:50" s="23" customFormat="1" x14ac:dyDescent="0.3">
      <c r="D963" s="34"/>
      <c r="E963" s="24"/>
      <c r="F963" s="24"/>
      <c r="G963" s="24"/>
      <c r="H963" s="24"/>
      <c r="I963" s="24"/>
      <c r="J963" s="27"/>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row>
    <row r="964" spans="4:50" s="23" customFormat="1" x14ac:dyDescent="0.3">
      <c r="D964" s="34"/>
      <c r="E964" s="24"/>
      <c r="F964" s="24"/>
      <c r="G964" s="24"/>
      <c r="H964" s="24"/>
      <c r="I964" s="24"/>
      <c r="J964" s="27"/>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row>
    <row r="965" spans="4:50" s="23" customFormat="1" x14ac:dyDescent="0.3">
      <c r="D965" s="34"/>
      <c r="E965" s="24"/>
      <c r="F965" s="24"/>
      <c r="G965" s="24"/>
      <c r="H965" s="24"/>
      <c r="I965" s="24"/>
      <c r="J965" s="27"/>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row>
    <row r="966" spans="4:50" s="23" customFormat="1" x14ac:dyDescent="0.3">
      <c r="D966" s="34"/>
      <c r="E966" s="24"/>
      <c r="F966" s="24"/>
      <c r="G966" s="24"/>
      <c r="H966" s="24"/>
      <c r="I966" s="24"/>
      <c r="J966" s="27"/>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row>
    <row r="967" spans="4:50" s="23" customFormat="1" x14ac:dyDescent="0.3">
      <c r="D967" s="34"/>
      <c r="E967" s="24"/>
      <c r="F967" s="24"/>
      <c r="G967" s="24"/>
      <c r="H967" s="24"/>
      <c r="I967" s="24"/>
      <c r="J967" s="27"/>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row>
    <row r="968" spans="4:50" s="23" customFormat="1" x14ac:dyDescent="0.3">
      <c r="D968" s="34"/>
      <c r="E968" s="24"/>
      <c r="F968" s="24"/>
      <c r="G968" s="24"/>
      <c r="H968" s="24"/>
      <c r="I968" s="24"/>
      <c r="J968" s="27"/>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row>
    <row r="969" spans="4:50" s="23" customFormat="1" x14ac:dyDescent="0.3">
      <c r="D969" s="34"/>
      <c r="E969" s="24"/>
      <c r="F969" s="24"/>
      <c r="G969" s="24"/>
      <c r="H969" s="24"/>
      <c r="I969" s="24"/>
      <c r="J969" s="27"/>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row>
    <row r="970" spans="4:50" s="23" customFormat="1" x14ac:dyDescent="0.3">
      <c r="D970" s="34"/>
      <c r="E970" s="24"/>
      <c r="F970" s="24"/>
      <c r="G970" s="24"/>
      <c r="H970" s="24"/>
      <c r="I970" s="24"/>
      <c r="J970" s="27"/>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row>
    <row r="971" spans="4:50" s="23" customFormat="1" x14ac:dyDescent="0.3">
      <c r="D971" s="34"/>
      <c r="E971" s="24"/>
      <c r="F971" s="24"/>
      <c r="G971" s="24"/>
      <c r="H971" s="24"/>
      <c r="I971" s="24"/>
      <c r="J971" s="27"/>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row>
    <row r="972" spans="4:50" s="23" customFormat="1" x14ac:dyDescent="0.3">
      <c r="D972" s="34"/>
      <c r="E972" s="24"/>
      <c r="F972" s="24"/>
      <c r="G972" s="24"/>
      <c r="H972" s="24"/>
      <c r="I972" s="24"/>
      <c r="J972" s="27"/>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row>
    <row r="973" spans="4:50" s="23" customFormat="1" x14ac:dyDescent="0.3">
      <c r="D973" s="34"/>
      <c r="E973" s="24"/>
      <c r="F973" s="24"/>
      <c r="G973" s="24"/>
      <c r="H973" s="24"/>
      <c r="I973" s="24"/>
      <c r="J973" s="27"/>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row>
    <row r="974" spans="4:50" s="23" customFormat="1" x14ac:dyDescent="0.3">
      <c r="D974" s="34"/>
      <c r="E974" s="24"/>
      <c r="F974" s="24"/>
      <c r="G974" s="24"/>
      <c r="H974" s="24"/>
      <c r="I974" s="24"/>
      <c r="J974" s="27"/>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row>
    <row r="975" spans="4:50" s="23" customFormat="1" x14ac:dyDescent="0.3">
      <c r="D975" s="34"/>
      <c r="E975" s="24"/>
      <c r="F975" s="24"/>
      <c r="G975" s="24"/>
      <c r="H975" s="24"/>
      <c r="I975" s="24"/>
      <c r="J975" s="27"/>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row>
    <row r="976" spans="4:50" s="23" customFormat="1" x14ac:dyDescent="0.3">
      <c r="D976" s="34"/>
      <c r="E976" s="24"/>
      <c r="F976" s="24"/>
      <c r="G976" s="24"/>
      <c r="H976" s="24"/>
      <c r="I976" s="24"/>
      <c r="J976" s="27"/>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row>
    <row r="977" spans="4:50" s="23" customFormat="1" x14ac:dyDescent="0.3">
      <c r="D977" s="34"/>
      <c r="E977" s="24"/>
      <c r="F977" s="24"/>
      <c r="G977" s="24"/>
      <c r="H977" s="24"/>
      <c r="I977" s="24"/>
      <c r="J977" s="27"/>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row>
    <row r="978" spans="4:50" s="23" customFormat="1" x14ac:dyDescent="0.3">
      <c r="D978" s="34"/>
      <c r="E978" s="24"/>
      <c r="F978" s="24"/>
      <c r="G978" s="24"/>
      <c r="H978" s="24"/>
      <c r="I978" s="24"/>
      <c r="J978" s="27"/>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row>
    <row r="979" spans="4:50" s="23" customFormat="1" x14ac:dyDescent="0.3">
      <c r="D979" s="34"/>
      <c r="E979" s="24"/>
      <c r="F979" s="24"/>
      <c r="G979" s="24"/>
      <c r="H979" s="24"/>
      <c r="I979" s="24"/>
      <c r="J979" s="27"/>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row>
    <row r="980" spans="4:50" s="23" customFormat="1" x14ac:dyDescent="0.3">
      <c r="D980" s="34"/>
      <c r="E980" s="24"/>
      <c r="F980" s="24"/>
      <c r="G980" s="24"/>
      <c r="H980" s="24"/>
      <c r="I980" s="24"/>
      <c r="J980" s="27"/>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row>
    <row r="981" spans="4:50" s="23" customFormat="1" x14ac:dyDescent="0.3">
      <c r="D981" s="34"/>
      <c r="E981" s="24"/>
      <c r="F981" s="24"/>
      <c r="G981" s="24"/>
      <c r="H981" s="24"/>
      <c r="I981" s="24"/>
      <c r="J981" s="27"/>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row>
    <row r="982" spans="4:50" s="23" customFormat="1" x14ac:dyDescent="0.3">
      <c r="D982" s="34"/>
      <c r="E982" s="24"/>
      <c r="F982" s="24"/>
      <c r="G982" s="24"/>
      <c r="H982" s="24"/>
      <c r="I982" s="24"/>
      <c r="J982" s="27"/>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row>
    <row r="983" spans="4:50" s="23" customFormat="1" x14ac:dyDescent="0.3">
      <c r="D983" s="34"/>
      <c r="E983" s="24"/>
      <c r="F983" s="24"/>
      <c r="G983" s="24"/>
      <c r="H983" s="24"/>
      <c r="I983" s="24"/>
      <c r="J983" s="27"/>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row>
    <row r="984" spans="4:50" s="23" customFormat="1" x14ac:dyDescent="0.3">
      <c r="D984" s="34"/>
      <c r="E984" s="24"/>
      <c r="F984" s="24"/>
      <c r="G984" s="24"/>
      <c r="H984" s="24"/>
      <c r="I984" s="24"/>
      <c r="J984" s="27"/>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row>
    <row r="985" spans="4:50" s="23" customFormat="1" x14ac:dyDescent="0.3">
      <c r="D985" s="34"/>
      <c r="E985" s="24"/>
      <c r="F985" s="24"/>
      <c r="G985" s="24"/>
      <c r="H985" s="24"/>
      <c r="I985" s="24"/>
      <c r="J985" s="27"/>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row>
    <row r="986" spans="4:50" s="23" customFormat="1" x14ac:dyDescent="0.3">
      <c r="D986" s="34"/>
      <c r="E986" s="24"/>
      <c r="F986" s="24"/>
      <c r="G986" s="24"/>
      <c r="H986" s="24"/>
      <c r="I986" s="24"/>
      <c r="J986" s="27"/>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row>
    <row r="987" spans="4:50" s="23" customFormat="1" x14ac:dyDescent="0.3">
      <c r="D987" s="34"/>
      <c r="E987" s="24"/>
      <c r="F987" s="24"/>
      <c r="G987" s="24"/>
      <c r="H987" s="24"/>
      <c r="I987" s="24"/>
      <c r="J987" s="27"/>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row>
    <row r="988" spans="4:50" s="23" customFormat="1" x14ac:dyDescent="0.3">
      <c r="D988" s="34"/>
      <c r="E988" s="24"/>
      <c r="F988" s="24"/>
      <c r="G988" s="24"/>
      <c r="H988" s="24"/>
      <c r="I988" s="24"/>
      <c r="J988" s="27"/>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row>
    <row r="989" spans="4:50" s="23" customFormat="1" x14ac:dyDescent="0.3">
      <c r="D989" s="34"/>
      <c r="E989" s="24"/>
      <c r="F989" s="24"/>
      <c r="G989" s="24"/>
      <c r="H989" s="24"/>
      <c r="I989" s="24"/>
      <c r="J989" s="27"/>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row>
    <row r="990" spans="4:50" s="23" customFormat="1" x14ac:dyDescent="0.3">
      <c r="D990" s="34"/>
      <c r="E990" s="24"/>
      <c r="F990" s="24"/>
      <c r="G990" s="24"/>
      <c r="H990" s="24"/>
      <c r="I990" s="24"/>
      <c r="J990" s="27"/>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row>
    <row r="991" spans="4:50" s="23" customFormat="1" x14ac:dyDescent="0.3">
      <c r="D991" s="34"/>
      <c r="E991" s="24"/>
      <c r="F991" s="24"/>
      <c r="G991" s="24"/>
      <c r="H991" s="24"/>
      <c r="I991" s="24"/>
      <c r="J991" s="27"/>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row>
    <row r="992" spans="4:50" s="23" customFormat="1" x14ac:dyDescent="0.3">
      <c r="D992" s="34"/>
      <c r="E992" s="24"/>
      <c r="F992" s="24"/>
      <c r="G992" s="24"/>
      <c r="H992" s="24"/>
      <c r="I992" s="24"/>
      <c r="J992" s="27"/>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row>
    <row r="993" spans="4:50" s="23" customFormat="1" x14ac:dyDescent="0.3">
      <c r="D993" s="34"/>
      <c r="E993" s="24"/>
      <c r="F993" s="24"/>
      <c r="G993" s="24"/>
      <c r="H993" s="24"/>
      <c r="I993" s="24"/>
      <c r="J993" s="27"/>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row>
    <row r="994" spans="4:50" s="23" customFormat="1" x14ac:dyDescent="0.3">
      <c r="D994" s="34"/>
      <c r="E994" s="24"/>
      <c r="F994" s="24"/>
      <c r="G994" s="24"/>
      <c r="H994" s="24"/>
      <c r="I994" s="24"/>
      <c r="J994" s="27"/>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row>
    <row r="995" spans="4:50" s="23" customFormat="1" x14ac:dyDescent="0.3">
      <c r="D995" s="34"/>
      <c r="E995" s="24"/>
      <c r="F995" s="24"/>
      <c r="G995" s="24"/>
      <c r="H995" s="24"/>
      <c r="I995" s="24"/>
      <c r="J995" s="27"/>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row>
    <row r="996" spans="4:50" s="23" customFormat="1" x14ac:dyDescent="0.3">
      <c r="D996" s="34"/>
      <c r="E996" s="24"/>
      <c r="F996" s="24"/>
      <c r="G996" s="24"/>
      <c r="H996" s="24"/>
      <c r="I996" s="24"/>
      <c r="J996" s="27"/>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row>
    <row r="997" spans="4:50" s="23" customFormat="1" x14ac:dyDescent="0.3">
      <c r="D997" s="34"/>
      <c r="E997" s="24"/>
      <c r="F997" s="24"/>
      <c r="G997" s="24"/>
      <c r="H997" s="24"/>
      <c r="I997" s="24"/>
      <c r="J997" s="27"/>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row>
    <row r="998" spans="4:50" s="23" customFormat="1" x14ac:dyDescent="0.3">
      <c r="D998" s="34"/>
      <c r="E998" s="24"/>
      <c r="F998" s="24"/>
      <c r="G998" s="24"/>
      <c r="H998" s="24"/>
      <c r="I998" s="24"/>
      <c r="J998" s="27"/>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row>
    <row r="999" spans="4:50" s="23" customFormat="1" x14ac:dyDescent="0.3">
      <c r="D999" s="34"/>
      <c r="E999" s="24"/>
      <c r="F999" s="24"/>
      <c r="G999" s="24"/>
      <c r="H999" s="24"/>
      <c r="I999" s="24"/>
      <c r="J999" s="27"/>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row>
    <row r="1000" spans="4:50" s="23" customFormat="1" x14ac:dyDescent="0.3">
      <c r="D1000" s="34"/>
      <c r="E1000" s="24"/>
      <c r="F1000" s="24"/>
      <c r="G1000" s="24"/>
      <c r="H1000" s="24"/>
      <c r="I1000" s="24"/>
      <c r="J1000" s="27"/>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row>
    <row r="1001" spans="4:50" s="23" customFormat="1" x14ac:dyDescent="0.3">
      <c r="D1001" s="34"/>
      <c r="E1001" s="24"/>
      <c r="F1001" s="24"/>
      <c r="G1001" s="24"/>
      <c r="H1001" s="24"/>
      <c r="I1001" s="24"/>
      <c r="J1001" s="27"/>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row>
    <row r="1002" spans="4:50" s="23" customFormat="1" x14ac:dyDescent="0.3">
      <c r="D1002" s="34"/>
      <c r="E1002" s="24"/>
      <c r="F1002" s="24"/>
      <c r="G1002" s="24"/>
      <c r="H1002" s="24"/>
      <c r="I1002" s="24"/>
      <c r="J1002" s="27"/>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row>
    <row r="1003" spans="4:50" s="23" customFormat="1" x14ac:dyDescent="0.3">
      <c r="D1003" s="34"/>
      <c r="E1003" s="24"/>
      <c r="F1003" s="24"/>
      <c r="G1003" s="24"/>
      <c r="H1003" s="24"/>
      <c r="I1003" s="24"/>
      <c r="J1003" s="27"/>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row>
    <row r="1004" spans="4:50" s="23" customFormat="1" x14ac:dyDescent="0.3">
      <c r="D1004" s="34"/>
      <c r="E1004" s="24"/>
      <c r="F1004" s="24"/>
      <c r="G1004" s="24"/>
      <c r="H1004" s="24"/>
      <c r="I1004" s="24"/>
      <c r="J1004" s="27"/>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row>
    <row r="1005" spans="4:50" s="23" customFormat="1" x14ac:dyDescent="0.3">
      <c r="D1005" s="34"/>
      <c r="E1005" s="24"/>
      <c r="F1005" s="24"/>
      <c r="G1005" s="24"/>
      <c r="H1005" s="24"/>
      <c r="I1005" s="24"/>
      <c r="J1005" s="27"/>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row>
    <row r="1006" spans="4:50" s="23" customFormat="1" x14ac:dyDescent="0.3">
      <c r="D1006" s="34"/>
      <c r="E1006" s="24"/>
      <c r="F1006" s="24"/>
      <c r="G1006" s="24"/>
      <c r="H1006" s="24"/>
      <c r="I1006" s="24"/>
      <c r="J1006" s="27"/>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row>
    <row r="1007" spans="4:50" s="23" customFormat="1" x14ac:dyDescent="0.3">
      <c r="D1007" s="34"/>
      <c r="E1007" s="24"/>
      <c r="F1007" s="24"/>
      <c r="G1007" s="24"/>
      <c r="H1007" s="24"/>
      <c r="I1007" s="24"/>
      <c r="J1007" s="27"/>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row>
    <row r="1008" spans="4:50" s="23" customFormat="1" x14ac:dyDescent="0.3">
      <c r="D1008" s="34"/>
      <c r="E1008" s="24"/>
      <c r="F1008" s="24"/>
      <c r="G1008" s="24"/>
      <c r="H1008" s="24"/>
      <c r="I1008" s="24"/>
      <c r="J1008" s="27"/>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row>
    <row r="1009" spans="4:50" s="23" customFormat="1" x14ac:dyDescent="0.3">
      <c r="D1009" s="34"/>
      <c r="E1009" s="24"/>
      <c r="F1009" s="24"/>
      <c r="G1009" s="24"/>
      <c r="H1009" s="24"/>
      <c r="I1009" s="24"/>
      <c r="J1009" s="27"/>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row>
    <row r="1010" spans="4:50" s="23" customFormat="1" x14ac:dyDescent="0.3">
      <c r="D1010" s="34"/>
      <c r="E1010" s="24"/>
      <c r="F1010" s="24"/>
      <c r="G1010" s="24"/>
      <c r="H1010" s="24"/>
      <c r="I1010" s="24"/>
      <c r="J1010" s="27"/>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c r="AG1010" s="30"/>
      <c r="AH1010" s="30"/>
      <c r="AI1010" s="30"/>
      <c r="AJ1010" s="30"/>
      <c r="AK1010" s="30"/>
      <c r="AL1010" s="30"/>
      <c r="AM1010" s="30"/>
      <c r="AN1010" s="30"/>
      <c r="AO1010" s="30"/>
      <c r="AP1010" s="30"/>
      <c r="AQ1010" s="30"/>
      <c r="AR1010" s="30"/>
      <c r="AS1010" s="30"/>
      <c r="AT1010" s="30"/>
      <c r="AU1010" s="30"/>
      <c r="AV1010" s="30"/>
      <c r="AW1010" s="30"/>
      <c r="AX1010" s="30"/>
    </row>
    <row r="1011" spans="4:50" s="23" customFormat="1" x14ac:dyDescent="0.3">
      <c r="D1011" s="34"/>
      <c r="E1011" s="24"/>
      <c r="F1011" s="24"/>
      <c r="G1011" s="24"/>
      <c r="H1011" s="24"/>
      <c r="I1011" s="24"/>
      <c r="J1011" s="27"/>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c r="AG1011" s="30"/>
      <c r="AH1011" s="30"/>
      <c r="AI1011" s="30"/>
      <c r="AJ1011" s="30"/>
      <c r="AK1011" s="30"/>
      <c r="AL1011" s="30"/>
      <c r="AM1011" s="30"/>
      <c r="AN1011" s="30"/>
      <c r="AO1011" s="30"/>
      <c r="AP1011" s="30"/>
      <c r="AQ1011" s="30"/>
      <c r="AR1011" s="30"/>
      <c r="AS1011" s="30"/>
      <c r="AT1011" s="30"/>
      <c r="AU1011" s="30"/>
      <c r="AV1011" s="30"/>
      <c r="AW1011" s="30"/>
      <c r="AX1011" s="30"/>
    </row>
    <row r="1012" spans="4:50" s="23" customFormat="1" x14ac:dyDescent="0.3">
      <c r="D1012" s="34"/>
      <c r="E1012" s="24"/>
      <c r="F1012" s="24"/>
      <c r="G1012" s="24"/>
      <c r="H1012" s="24"/>
      <c r="I1012" s="24"/>
      <c r="J1012" s="27"/>
      <c r="K1012" s="30"/>
      <c r="L1012" s="30"/>
      <c r="M1012" s="30"/>
      <c r="N1012" s="30"/>
      <c r="O1012" s="30"/>
      <c r="P1012" s="30"/>
      <c r="Q1012" s="30"/>
      <c r="R1012" s="30"/>
      <c r="S1012" s="30"/>
      <c r="T1012" s="30"/>
      <c r="U1012" s="30"/>
      <c r="V1012" s="30"/>
      <c r="W1012" s="30"/>
      <c r="X1012" s="30"/>
      <c r="Y1012" s="30"/>
      <c r="Z1012" s="30"/>
      <c r="AA1012" s="30"/>
      <c r="AB1012" s="30"/>
      <c r="AC1012" s="30"/>
      <c r="AD1012" s="30"/>
      <c r="AE1012" s="30"/>
      <c r="AF1012" s="30"/>
      <c r="AG1012" s="30"/>
      <c r="AH1012" s="30"/>
      <c r="AI1012" s="30"/>
      <c r="AJ1012" s="30"/>
      <c r="AK1012" s="30"/>
      <c r="AL1012" s="30"/>
      <c r="AM1012" s="30"/>
      <c r="AN1012" s="30"/>
      <c r="AO1012" s="30"/>
      <c r="AP1012" s="30"/>
      <c r="AQ1012" s="30"/>
      <c r="AR1012" s="30"/>
      <c r="AS1012" s="30"/>
      <c r="AT1012" s="30"/>
      <c r="AU1012" s="30"/>
      <c r="AV1012" s="30"/>
      <c r="AW1012" s="30"/>
      <c r="AX1012" s="30"/>
    </row>
    <row r="1013" spans="4:50" s="23" customFormat="1" x14ac:dyDescent="0.3">
      <c r="D1013" s="34"/>
      <c r="E1013" s="24"/>
      <c r="F1013" s="24"/>
      <c r="G1013" s="24"/>
      <c r="H1013" s="24"/>
      <c r="I1013" s="24"/>
      <c r="J1013" s="27"/>
      <c r="K1013" s="30"/>
      <c r="L1013" s="30"/>
      <c r="M1013" s="30"/>
      <c r="N1013" s="30"/>
      <c r="O1013" s="30"/>
      <c r="P1013" s="30"/>
      <c r="Q1013" s="30"/>
      <c r="R1013" s="30"/>
      <c r="S1013" s="30"/>
      <c r="T1013" s="30"/>
      <c r="U1013" s="30"/>
      <c r="V1013" s="30"/>
      <c r="W1013" s="30"/>
      <c r="X1013" s="30"/>
      <c r="Y1013" s="30"/>
      <c r="Z1013" s="30"/>
      <c r="AA1013" s="30"/>
      <c r="AB1013" s="30"/>
      <c r="AC1013" s="30"/>
      <c r="AD1013" s="30"/>
      <c r="AE1013" s="30"/>
      <c r="AF1013" s="30"/>
      <c r="AG1013" s="30"/>
      <c r="AH1013" s="30"/>
      <c r="AI1013" s="30"/>
      <c r="AJ1013" s="30"/>
      <c r="AK1013" s="30"/>
      <c r="AL1013" s="30"/>
      <c r="AM1013" s="30"/>
      <c r="AN1013" s="30"/>
      <c r="AO1013" s="30"/>
      <c r="AP1013" s="30"/>
      <c r="AQ1013" s="30"/>
      <c r="AR1013" s="30"/>
      <c r="AS1013" s="30"/>
      <c r="AT1013" s="30"/>
      <c r="AU1013" s="30"/>
      <c r="AV1013" s="30"/>
      <c r="AW1013" s="30"/>
      <c r="AX1013" s="30"/>
    </row>
    <row r="1014" spans="4:50" s="23" customFormat="1" x14ac:dyDescent="0.3">
      <c r="D1014" s="34"/>
      <c r="E1014" s="24"/>
      <c r="F1014" s="24"/>
      <c r="G1014" s="24"/>
      <c r="H1014" s="24"/>
      <c r="I1014" s="24"/>
      <c r="J1014" s="27"/>
      <c r="K1014" s="30"/>
      <c r="L1014" s="30"/>
      <c r="M1014" s="30"/>
      <c r="N1014" s="30"/>
      <c r="O1014" s="30"/>
      <c r="P1014" s="30"/>
      <c r="Q1014" s="30"/>
      <c r="R1014" s="30"/>
      <c r="S1014" s="30"/>
      <c r="T1014" s="30"/>
      <c r="U1014" s="30"/>
      <c r="V1014" s="30"/>
      <c r="W1014" s="30"/>
      <c r="X1014" s="30"/>
      <c r="Y1014" s="30"/>
      <c r="Z1014" s="30"/>
      <c r="AA1014" s="30"/>
      <c r="AB1014" s="30"/>
      <c r="AC1014" s="30"/>
      <c r="AD1014" s="30"/>
      <c r="AE1014" s="30"/>
      <c r="AF1014" s="30"/>
      <c r="AG1014" s="30"/>
      <c r="AH1014" s="30"/>
      <c r="AI1014" s="30"/>
      <c r="AJ1014" s="30"/>
      <c r="AK1014" s="30"/>
      <c r="AL1014" s="30"/>
      <c r="AM1014" s="30"/>
      <c r="AN1014" s="30"/>
      <c r="AO1014" s="30"/>
      <c r="AP1014" s="30"/>
      <c r="AQ1014" s="30"/>
      <c r="AR1014" s="30"/>
      <c r="AS1014" s="30"/>
      <c r="AT1014" s="30"/>
      <c r="AU1014" s="30"/>
      <c r="AV1014" s="30"/>
      <c r="AW1014" s="30"/>
      <c r="AX1014" s="30"/>
    </row>
    <row r="1015" spans="4:50" s="23" customFormat="1" x14ac:dyDescent="0.3">
      <c r="D1015" s="34"/>
      <c r="E1015" s="24"/>
      <c r="F1015" s="24"/>
      <c r="G1015" s="24"/>
      <c r="H1015" s="24"/>
      <c r="I1015" s="24"/>
      <c r="J1015" s="27"/>
      <c r="K1015" s="30"/>
      <c r="L1015" s="30"/>
      <c r="M1015" s="30"/>
      <c r="N1015" s="30"/>
      <c r="O1015" s="30"/>
      <c r="P1015" s="30"/>
      <c r="Q1015" s="30"/>
      <c r="R1015" s="30"/>
      <c r="S1015" s="30"/>
      <c r="T1015" s="30"/>
      <c r="U1015" s="30"/>
      <c r="V1015" s="30"/>
      <c r="W1015" s="30"/>
      <c r="X1015" s="30"/>
      <c r="Y1015" s="30"/>
      <c r="Z1015" s="30"/>
      <c r="AA1015" s="30"/>
      <c r="AB1015" s="30"/>
      <c r="AC1015" s="30"/>
      <c r="AD1015" s="30"/>
      <c r="AE1015" s="30"/>
      <c r="AF1015" s="30"/>
      <c r="AG1015" s="30"/>
      <c r="AH1015" s="30"/>
      <c r="AI1015" s="30"/>
      <c r="AJ1015" s="30"/>
      <c r="AK1015" s="30"/>
      <c r="AL1015" s="30"/>
      <c r="AM1015" s="30"/>
      <c r="AN1015" s="30"/>
      <c r="AO1015" s="30"/>
      <c r="AP1015" s="30"/>
      <c r="AQ1015" s="30"/>
      <c r="AR1015" s="30"/>
      <c r="AS1015" s="30"/>
      <c r="AT1015" s="30"/>
      <c r="AU1015" s="30"/>
      <c r="AV1015" s="30"/>
      <c r="AW1015" s="30"/>
      <c r="AX1015" s="30"/>
    </row>
    <row r="1016" spans="4:50" s="23" customFormat="1" x14ac:dyDescent="0.3">
      <c r="D1016" s="34"/>
      <c r="E1016" s="24"/>
      <c r="F1016" s="24"/>
      <c r="G1016" s="24"/>
      <c r="H1016" s="24"/>
      <c r="I1016" s="24"/>
      <c r="J1016" s="27"/>
      <c r="K1016" s="30"/>
      <c r="L1016" s="30"/>
      <c r="M1016" s="30"/>
      <c r="N1016" s="30"/>
      <c r="O1016" s="30"/>
      <c r="P1016" s="30"/>
      <c r="Q1016" s="30"/>
      <c r="R1016" s="30"/>
      <c r="S1016" s="30"/>
      <c r="T1016" s="30"/>
      <c r="U1016" s="30"/>
      <c r="V1016" s="30"/>
      <c r="W1016" s="30"/>
      <c r="X1016" s="30"/>
      <c r="Y1016" s="30"/>
      <c r="Z1016" s="30"/>
      <c r="AA1016" s="30"/>
      <c r="AB1016" s="30"/>
      <c r="AC1016" s="30"/>
      <c r="AD1016" s="30"/>
      <c r="AE1016" s="30"/>
      <c r="AF1016" s="30"/>
      <c r="AG1016" s="30"/>
      <c r="AH1016" s="30"/>
      <c r="AI1016" s="30"/>
      <c r="AJ1016" s="30"/>
      <c r="AK1016" s="30"/>
      <c r="AL1016" s="30"/>
      <c r="AM1016" s="30"/>
      <c r="AN1016" s="30"/>
      <c r="AO1016" s="30"/>
      <c r="AP1016" s="30"/>
      <c r="AQ1016" s="30"/>
      <c r="AR1016" s="30"/>
      <c r="AS1016" s="30"/>
      <c r="AT1016" s="30"/>
      <c r="AU1016" s="30"/>
      <c r="AV1016" s="30"/>
      <c r="AW1016" s="30"/>
      <c r="AX1016" s="30"/>
    </row>
    <row r="1017" spans="4:50" s="23" customFormat="1" x14ac:dyDescent="0.3">
      <c r="D1017" s="34"/>
      <c r="E1017" s="24"/>
      <c r="F1017" s="24"/>
      <c r="G1017" s="24"/>
      <c r="H1017" s="24"/>
      <c r="I1017" s="24"/>
      <c r="J1017" s="27"/>
      <c r="K1017" s="30"/>
      <c r="L1017" s="30"/>
      <c r="M1017" s="30"/>
      <c r="N1017" s="30"/>
      <c r="O1017" s="30"/>
      <c r="P1017" s="30"/>
      <c r="Q1017" s="30"/>
      <c r="R1017" s="30"/>
      <c r="S1017" s="30"/>
      <c r="T1017" s="30"/>
      <c r="U1017" s="30"/>
      <c r="V1017" s="30"/>
      <c r="W1017" s="30"/>
      <c r="X1017" s="30"/>
      <c r="Y1017" s="30"/>
      <c r="Z1017" s="30"/>
      <c r="AA1017" s="30"/>
      <c r="AB1017" s="30"/>
      <c r="AC1017" s="30"/>
      <c r="AD1017" s="30"/>
      <c r="AE1017" s="30"/>
      <c r="AF1017" s="30"/>
      <c r="AG1017" s="30"/>
      <c r="AH1017" s="30"/>
      <c r="AI1017" s="30"/>
      <c r="AJ1017" s="30"/>
      <c r="AK1017" s="30"/>
      <c r="AL1017" s="30"/>
      <c r="AM1017" s="30"/>
      <c r="AN1017" s="30"/>
      <c r="AO1017" s="30"/>
      <c r="AP1017" s="30"/>
      <c r="AQ1017" s="30"/>
      <c r="AR1017" s="30"/>
      <c r="AS1017" s="30"/>
      <c r="AT1017" s="30"/>
      <c r="AU1017" s="30"/>
      <c r="AV1017" s="30"/>
      <c r="AW1017" s="30"/>
      <c r="AX1017" s="30"/>
    </row>
    <row r="1018" spans="4:50" s="23" customFormat="1" x14ac:dyDescent="0.3">
      <c r="D1018" s="34"/>
      <c r="E1018" s="24"/>
      <c r="F1018" s="24"/>
      <c r="G1018" s="24"/>
      <c r="H1018" s="24"/>
      <c r="I1018" s="24"/>
      <c r="J1018" s="27"/>
      <c r="K1018" s="30"/>
      <c r="L1018" s="30"/>
      <c r="M1018" s="30"/>
      <c r="N1018" s="30"/>
      <c r="O1018" s="30"/>
      <c r="P1018" s="30"/>
      <c r="Q1018" s="30"/>
      <c r="R1018" s="30"/>
      <c r="S1018" s="30"/>
      <c r="T1018" s="30"/>
      <c r="U1018" s="30"/>
      <c r="V1018" s="30"/>
      <c r="W1018" s="30"/>
      <c r="X1018" s="30"/>
      <c r="Y1018" s="30"/>
      <c r="Z1018" s="30"/>
      <c r="AA1018" s="30"/>
      <c r="AB1018" s="30"/>
      <c r="AC1018" s="30"/>
      <c r="AD1018" s="30"/>
      <c r="AE1018" s="30"/>
      <c r="AF1018" s="30"/>
      <c r="AG1018" s="30"/>
      <c r="AH1018" s="30"/>
      <c r="AI1018" s="30"/>
      <c r="AJ1018" s="30"/>
      <c r="AK1018" s="30"/>
      <c r="AL1018" s="30"/>
      <c r="AM1018" s="30"/>
      <c r="AN1018" s="30"/>
      <c r="AO1018" s="30"/>
      <c r="AP1018" s="30"/>
      <c r="AQ1018" s="30"/>
      <c r="AR1018" s="30"/>
      <c r="AS1018" s="30"/>
      <c r="AT1018" s="30"/>
      <c r="AU1018" s="30"/>
      <c r="AV1018" s="30"/>
      <c r="AW1018" s="30"/>
      <c r="AX1018" s="30"/>
    </row>
    <row r="1019" spans="4:50" s="23" customFormat="1" x14ac:dyDescent="0.3">
      <c r="D1019" s="34"/>
      <c r="E1019" s="24"/>
      <c r="F1019" s="24"/>
      <c r="G1019" s="24"/>
      <c r="H1019" s="24"/>
      <c r="I1019" s="24"/>
      <c r="J1019" s="27"/>
      <c r="K1019" s="30"/>
      <c r="L1019" s="30"/>
      <c r="M1019" s="30"/>
      <c r="N1019" s="30"/>
      <c r="O1019" s="30"/>
      <c r="P1019" s="30"/>
      <c r="Q1019" s="30"/>
      <c r="R1019" s="30"/>
      <c r="S1019" s="30"/>
      <c r="T1019" s="30"/>
      <c r="U1019" s="30"/>
      <c r="V1019" s="30"/>
      <c r="W1019" s="30"/>
      <c r="X1019" s="30"/>
      <c r="Y1019" s="30"/>
      <c r="Z1019" s="30"/>
      <c r="AA1019" s="30"/>
      <c r="AB1019" s="30"/>
      <c r="AC1019" s="30"/>
      <c r="AD1019" s="30"/>
      <c r="AE1019" s="30"/>
      <c r="AF1019" s="30"/>
      <c r="AG1019" s="30"/>
      <c r="AH1019" s="30"/>
      <c r="AI1019" s="30"/>
      <c r="AJ1019" s="30"/>
      <c r="AK1019" s="30"/>
      <c r="AL1019" s="30"/>
      <c r="AM1019" s="30"/>
      <c r="AN1019" s="30"/>
      <c r="AO1019" s="30"/>
      <c r="AP1019" s="30"/>
      <c r="AQ1019" s="30"/>
      <c r="AR1019" s="30"/>
      <c r="AS1019" s="30"/>
      <c r="AT1019" s="30"/>
      <c r="AU1019" s="30"/>
      <c r="AV1019" s="30"/>
      <c r="AW1019" s="30"/>
      <c r="AX1019" s="30"/>
    </row>
    <row r="1020" spans="4:50" s="23" customFormat="1" x14ac:dyDescent="0.3">
      <c r="D1020" s="34"/>
      <c r="E1020" s="24"/>
      <c r="F1020" s="24"/>
      <c r="G1020" s="24"/>
      <c r="H1020" s="24"/>
      <c r="I1020" s="24"/>
      <c r="J1020" s="27"/>
      <c r="K1020" s="30"/>
      <c r="L1020" s="30"/>
      <c r="M1020" s="30"/>
      <c r="N1020" s="30"/>
      <c r="O1020" s="30"/>
      <c r="P1020" s="30"/>
      <c r="Q1020" s="30"/>
      <c r="R1020" s="30"/>
      <c r="S1020" s="30"/>
      <c r="T1020" s="30"/>
      <c r="U1020" s="30"/>
      <c r="V1020" s="30"/>
      <c r="W1020" s="30"/>
      <c r="X1020" s="30"/>
      <c r="Y1020" s="30"/>
      <c r="Z1020" s="30"/>
      <c r="AA1020" s="30"/>
      <c r="AB1020" s="30"/>
      <c r="AC1020" s="30"/>
      <c r="AD1020" s="30"/>
      <c r="AE1020" s="30"/>
      <c r="AF1020" s="30"/>
      <c r="AG1020" s="30"/>
      <c r="AH1020" s="30"/>
      <c r="AI1020" s="30"/>
      <c r="AJ1020" s="30"/>
      <c r="AK1020" s="30"/>
      <c r="AL1020" s="30"/>
      <c r="AM1020" s="30"/>
      <c r="AN1020" s="30"/>
      <c r="AO1020" s="30"/>
      <c r="AP1020" s="30"/>
      <c r="AQ1020" s="30"/>
      <c r="AR1020" s="30"/>
      <c r="AS1020" s="30"/>
      <c r="AT1020" s="30"/>
      <c r="AU1020" s="30"/>
      <c r="AV1020" s="30"/>
      <c r="AW1020" s="30"/>
      <c r="AX1020" s="30"/>
    </row>
    <row r="1021" spans="4:50" s="23" customFormat="1" x14ac:dyDescent="0.3">
      <c r="D1021" s="34"/>
      <c r="E1021" s="24"/>
      <c r="F1021" s="24"/>
      <c r="G1021" s="24"/>
      <c r="H1021" s="24"/>
      <c r="I1021" s="24"/>
      <c r="J1021" s="27"/>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row>
    <row r="1022" spans="4:50" s="23" customFormat="1" x14ac:dyDescent="0.3">
      <c r="D1022" s="34"/>
      <c r="E1022" s="24"/>
      <c r="F1022" s="24"/>
      <c r="G1022" s="24"/>
      <c r="H1022" s="24"/>
      <c r="I1022" s="24"/>
      <c r="J1022" s="27"/>
      <c r="K1022" s="30"/>
      <c r="L1022" s="30"/>
      <c r="M1022" s="30"/>
      <c r="N1022" s="30"/>
      <c r="O1022" s="30"/>
      <c r="P1022" s="30"/>
      <c r="Q1022" s="30"/>
      <c r="R1022" s="30"/>
      <c r="S1022" s="30"/>
      <c r="T1022" s="30"/>
      <c r="U1022" s="30"/>
      <c r="V1022" s="30"/>
      <c r="W1022" s="30"/>
      <c r="X1022" s="30"/>
      <c r="Y1022" s="30"/>
      <c r="Z1022" s="30"/>
      <c r="AA1022" s="30"/>
      <c r="AB1022" s="30"/>
      <c r="AC1022" s="30"/>
      <c r="AD1022" s="30"/>
      <c r="AE1022" s="30"/>
      <c r="AF1022" s="30"/>
      <c r="AG1022" s="30"/>
      <c r="AH1022" s="30"/>
      <c r="AI1022" s="30"/>
      <c r="AJ1022" s="30"/>
      <c r="AK1022" s="30"/>
      <c r="AL1022" s="30"/>
      <c r="AM1022" s="30"/>
      <c r="AN1022" s="30"/>
      <c r="AO1022" s="30"/>
      <c r="AP1022" s="30"/>
      <c r="AQ1022" s="30"/>
      <c r="AR1022" s="30"/>
      <c r="AS1022" s="30"/>
      <c r="AT1022" s="30"/>
      <c r="AU1022" s="30"/>
      <c r="AV1022" s="30"/>
      <c r="AW1022" s="30"/>
      <c r="AX1022" s="30"/>
    </row>
    <row r="1023" spans="4:50" s="23" customFormat="1" x14ac:dyDescent="0.3">
      <c r="D1023" s="34"/>
      <c r="E1023" s="24"/>
      <c r="F1023" s="24"/>
      <c r="G1023" s="24"/>
      <c r="H1023" s="24"/>
      <c r="I1023" s="24"/>
      <c r="J1023" s="27"/>
      <c r="K1023" s="30"/>
      <c r="L1023" s="30"/>
      <c r="M1023" s="30"/>
      <c r="N1023" s="30"/>
      <c r="O1023" s="30"/>
      <c r="P1023" s="30"/>
      <c r="Q1023" s="30"/>
      <c r="R1023" s="30"/>
      <c r="S1023" s="30"/>
      <c r="T1023" s="30"/>
      <c r="U1023" s="30"/>
      <c r="V1023" s="30"/>
      <c r="W1023" s="30"/>
      <c r="X1023" s="30"/>
      <c r="Y1023" s="30"/>
      <c r="Z1023" s="30"/>
      <c r="AA1023" s="30"/>
      <c r="AB1023" s="30"/>
      <c r="AC1023" s="30"/>
      <c r="AD1023" s="30"/>
      <c r="AE1023" s="30"/>
      <c r="AF1023" s="30"/>
      <c r="AG1023" s="30"/>
      <c r="AH1023" s="30"/>
      <c r="AI1023" s="30"/>
      <c r="AJ1023" s="30"/>
      <c r="AK1023" s="30"/>
      <c r="AL1023" s="30"/>
      <c r="AM1023" s="30"/>
      <c r="AN1023" s="30"/>
      <c r="AO1023" s="30"/>
      <c r="AP1023" s="30"/>
      <c r="AQ1023" s="30"/>
      <c r="AR1023" s="30"/>
      <c r="AS1023" s="30"/>
      <c r="AT1023" s="30"/>
      <c r="AU1023" s="30"/>
      <c r="AV1023" s="30"/>
      <c r="AW1023" s="30"/>
      <c r="AX1023" s="30"/>
    </row>
    <row r="1024" spans="4:50" s="23" customFormat="1" x14ac:dyDescent="0.3">
      <c r="D1024" s="34"/>
      <c r="E1024" s="24"/>
      <c r="F1024" s="24"/>
      <c r="G1024" s="24"/>
      <c r="H1024" s="24"/>
      <c r="I1024" s="24"/>
      <c r="J1024" s="27"/>
      <c r="K1024" s="30"/>
      <c r="L1024" s="30"/>
      <c r="M1024" s="30"/>
      <c r="N1024" s="30"/>
      <c r="O1024" s="30"/>
      <c r="P1024" s="30"/>
      <c r="Q1024" s="30"/>
      <c r="R1024" s="30"/>
      <c r="S1024" s="30"/>
      <c r="T1024" s="30"/>
      <c r="U1024" s="30"/>
      <c r="V1024" s="30"/>
      <c r="W1024" s="30"/>
      <c r="X1024" s="30"/>
      <c r="Y1024" s="30"/>
      <c r="Z1024" s="30"/>
      <c r="AA1024" s="30"/>
      <c r="AB1024" s="30"/>
      <c r="AC1024" s="30"/>
      <c r="AD1024" s="30"/>
      <c r="AE1024" s="30"/>
      <c r="AF1024" s="30"/>
      <c r="AG1024" s="30"/>
      <c r="AH1024" s="30"/>
      <c r="AI1024" s="30"/>
      <c r="AJ1024" s="30"/>
      <c r="AK1024" s="30"/>
      <c r="AL1024" s="30"/>
      <c r="AM1024" s="30"/>
      <c r="AN1024" s="30"/>
      <c r="AO1024" s="30"/>
      <c r="AP1024" s="30"/>
      <c r="AQ1024" s="30"/>
      <c r="AR1024" s="30"/>
      <c r="AS1024" s="30"/>
      <c r="AT1024" s="30"/>
      <c r="AU1024" s="30"/>
      <c r="AV1024" s="30"/>
      <c r="AW1024" s="30"/>
      <c r="AX1024" s="30"/>
    </row>
    <row r="1025" spans="4:50" s="23" customFormat="1" x14ac:dyDescent="0.3">
      <c r="D1025" s="34"/>
      <c r="E1025" s="24"/>
      <c r="F1025" s="24"/>
      <c r="G1025" s="24"/>
      <c r="H1025" s="24"/>
      <c r="I1025" s="24"/>
      <c r="J1025" s="27"/>
      <c r="K1025" s="30"/>
      <c r="L1025" s="30"/>
      <c r="M1025" s="30"/>
      <c r="N1025" s="30"/>
      <c r="O1025" s="30"/>
      <c r="P1025" s="30"/>
      <c r="Q1025" s="30"/>
      <c r="R1025" s="30"/>
      <c r="S1025" s="30"/>
      <c r="T1025" s="30"/>
      <c r="U1025" s="30"/>
      <c r="V1025" s="30"/>
      <c r="W1025" s="30"/>
      <c r="X1025" s="30"/>
      <c r="Y1025" s="30"/>
      <c r="Z1025" s="30"/>
      <c r="AA1025" s="30"/>
      <c r="AB1025" s="30"/>
      <c r="AC1025" s="30"/>
      <c r="AD1025" s="30"/>
      <c r="AE1025" s="30"/>
      <c r="AF1025" s="30"/>
      <c r="AG1025" s="30"/>
      <c r="AH1025" s="30"/>
      <c r="AI1025" s="30"/>
      <c r="AJ1025" s="30"/>
      <c r="AK1025" s="30"/>
      <c r="AL1025" s="30"/>
      <c r="AM1025" s="30"/>
      <c r="AN1025" s="30"/>
      <c r="AO1025" s="30"/>
      <c r="AP1025" s="30"/>
      <c r="AQ1025" s="30"/>
      <c r="AR1025" s="30"/>
      <c r="AS1025" s="30"/>
      <c r="AT1025" s="30"/>
      <c r="AU1025" s="30"/>
      <c r="AV1025" s="30"/>
      <c r="AW1025" s="30"/>
      <c r="AX1025" s="30"/>
    </row>
    <row r="1026" spans="4:50" s="23" customFormat="1" x14ac:dyDescent="0.3">
      <c r="D1026" s="34"/>
      <c r="E1026" s="24"/>
      <c r="F1026" s="24"/>
      <c r="G1026" s="24"/>
      <c r="H1026" s="24"/>
      <c r="I1026" s="24"/>
      <c r="J1026" s="27"/>
      <c r="K1026" s="30"/>
      <c r="L1026" s="30"/>
      <c r="M1026" s="30"/>
      <c r="N1026" s="30"/>
      <c r="O1026" s="30"/>
      <c r="P1026" s="30"/>
      <c r="Q1026" s="30"/>
      <c r="R1026" s="30"/>
      <c r="S1026" s="30"/>
      <c r="T1026" s="30"/>
      <c r="U1026" s="30"/>
      <c r="V1026" s="30"/>
      <c r="W1026" s="30"/>
      <c r="X1026" s="30"/>
      <c r="Y1026" s="30"/>
      <c r="Z1026" s="30"/>
      <c r="AA1026" s="30"/>
      <c r="AB1026" s="30"/>
      <c r="AC1026" s="30"/>
      <c r="AD1026" s="30"/>
      <c r="AE1026" s="30"/>
      <c r="AF1026" s="30"/>
      <c r="AG1026" s="30"/>
      <c r="AH1026" s="30"/>
      <c r="AI1026" s="30"/>
      <c r="AJ1026" s="30"/>
      <c r="AK1026" s="30"/>
      <c r="AL1026" s="30"/>
      <c r="AM1026" s="30"/>
      <c r="AN1026" s="30"/>
      <c r="AO1026" s="30"/>
      <c r="AP1026" s="30"/>
      <c r="AQ1026" s="30"/>
      <c r="AR1026" s="30"/>
      <c r="AS1026" s="30"/>
      <c r="AT1026" s="30"/>
      <c r="AU1026" s="30"/>
      <c r="AV1026" s="30"/>
      <c r="AW1026" s="30"/>
      <c r="AX1026" s="30"/>
    </row>
    <row r="1027" spans="4:50" s="23" customFormat="1" x14ac:dyDescent="0.3">
      <c r="D1027" s="34"/>
      <c r="E1027" s="24"/>
      <c r="F1027" s="24"/>
      <c r="G1027" s="24"/>
      <c r="H1027" s="24"/>
      <c r="I1027" s="24"/>
      <c r="J1027" s="27"/>
      <c r="K1027" s="30"/>
      <c r="L1027" s="30"/>
      <c r="M1027" s="30"/>
      <c r="N1027" s="30"/>
      <c r="O1027" s="30"/>
      <c r="P1027" s="30"/>
      <c r="Q1027" s="30"/>
      <c r="R1027" s="30"/>
      <c r="S1027" s="30"/>
      <c r="T1027" s="30"/>
      <c r="U1027" s="30"/>
      <c r="V1027" s="30"/>
      <c r="W1027" s="30"/>
      <c r="X1027" s="30"/>
      <c r="Y1027" s="30"/>
      <c r="Z1027" s="30"/>
      <c r="AA1027" s="30"/>
      <c r="AB1027" s="30"/>
      <c r="AC1027" s="30"/>
      <c r="AD1027" s="30"/>
      <c r="AE1027" s="30"/>
      <c r="AF1027" s="30"/>
      <c r="AG1027" s="30"/>
      <c r="AH1027" s="30"/>
      <c r="AI1027" s="30"/>
      <c r="AJ1027" s="30"/>
      <c r="AK1027" s="30"/>
      <c r="AL1027" s="30"/>
      <c r="AM1027" s="30"/>
      <c r="AN1027" s="30"/>
      <c r="AO1027" s="30"/>
      <c r="AP1027" s="30"/>
      <c r="AQ1027" s="30"/>
      <c r="AR1027" s="30"/>
      <c r="AS1027" s="30"/>
      <c r="AT1027" s="30"/>
      <c r="AU1027" s="30"/>
      <c r="AV1027" s="30"/>
      <c r="AW1027" s="30"/>
      <c r="AX1027" s="30"/>
    </row>
    <row r="1028" spans="4:50" s="23" customFormat="1" x14ac:dyDescent="0.3">
      <c r="D1028" s="34"/>
      <c r="E1028" s="24"/>
      <c r="F1028" s="24"/>
      <c r="G1028" s="24"/>
      <c r="H1028" s="24"/>
      <c r="I1028" s="24"/>
      <c r="J1028" s="27"/>
      <c r="K1028" s="30"/>
      <c r="L1028" s="30"/>
      <c r="M1028" s="30"/>
      <c r="N1028" s="30"/>
      <c r="O1028" s="30"/>
      <c r="P1028" s="30"/>
      <c r="Q1028" s="30"/>
      <c r="R1028" s="30"/>
      <c r="S1028" s="30"/>
      <c r="T1028" s="30"/>
      <c r="U1028" s="30"/>
      <c r="V1028" s="30"/>
      <c r="W1028" s="30"/>
      <c r="X1028" s="30"/>
      <c r="Y1028" s="30"/>
      <c r="Z1028" s="30"/>
      <c r="AA1028" s="30"/>
      <c r="AB1028" s="30"/>
      <c r="AC1028" s="30"/>
      <c r="AD1028" s="30"/>
      <c r="AE1028" s="30"/>
      <c r="AF1028" s="30"/>
      <c r="AG1028" s="30"/>
      <c r="AH1028" s="30"/>
      <c r="AI1028" s="30"/>
      <c r="AJ1028" s="30"/>
      <c r="AK1028" s="30"/>
      <c r="AL1028" s="30"/>
      <c r="AM1028" s="30"/>
      <c r="AN1028" s="30"/>
      <c r="AO1028" s="30"/>
      <c r="AP1028" s="30"/>
      <c r="AQ1028" s="30"/>
      <c r="AR1028" s="30"/>
      <c r="AS1028" s="30"/>
      <c r="AT1028" s="30"/>
      <c r="AU1028" s="30"/>
      <c r="AV1028" s="30"/>
      <c r="AW1028" s="30"/>
      <c r="AX1028" s="30"/>
    </row>
    <row r="1029" spans="4:50" s="23" customFormat="1" x14ac:dyDescent="0.3">
      <c r="D1029" s="34"/>
      <c r="E1029" s="24"/>
      <c r="F1029" s="24"/>
      <c r="G1029" s="24"/>
      <c r="H1029" s="24"/>
      <c r="I1029" s="24"/>
      <c r="J1029" s="27"/>
      <c r="K1029" s="30"/>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30"/>
      <c r="AR1029" s="30"/>
      <c r="AS1029" s="30"/>
      <c r="AT1029" s="30"/>
      <c r="AU1029" s="30"/>
      <c r="AV1029" s="30"/>
      <c r="AW1029" s="30"/>
      <c r="AX1029" s="30"/>
    </row>
    <row r="1030" spans="4:50" s="23" customFormat="1" x14ac:dyDescent="0.3">
      <c r="D1030" s="34"/>
      <c r="E1030" s="24"/>
      <c r="F1030" s="24"/>
      <c r="G1030" s="24"/>
      <c r="H1030" s="24"/>
      <c r="I1030" s="24"/>
      <c r="J1030" s="27"/>
      <c r="K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c r="AG1030" s="30"/>
      <c r="AH1030" s="30"/>
      <c r="AI1030" s="30"/>
      <c r="AJ1030" s="30"/>
      <c r="AK1030" s="30"/>
      <c r="AL1030" s="30"/>
      <c r="AM1030" s="30"/>
      <c r="AN1030" s="30"/>
      <c r="AO1030" s="30"/>
      <c r="AP1030" s="30"/>
      <c r="AQ1030" s="30"/>
      <c r="AR1030" s="30"/>
      <c r="AS1030" s="30"/>
      <c r="AT1030" s="30"/>
      <c r="AU1030" s="30"/>
      <c r="AV1030" s="30"/>
      <c r="AW1030" s="30"/>
      <c r="AX1030" s="30"/>
    </row>
    <row r="1031" spans="4:50" s="23" customFormat="1" x14ac:dyDescent="0.3">
      <c r="D1031" s="34"/>
      <c r="E1031" s="24"/>
      <c r="F1031" s="24"/>
      <c r="G1031" s="24"/>
      <c r="H1031" s="24"/>
      <c r="I1031" s="24"/>
      <c r="J1031" s="27"/>
      <c r="K1031" s="30"/>
      <c r="L1031" s="30"/>
      <c r="M1031" s="30"/>
      <c r="N1031" s="30"/>
      <c r="O1031" s="30"/>
      <c r="P1031" s="30"/>
      <c r="Q1031" s="30"/>
      <c r="R1031" s="30"/>
      <c r="S1031" s="30"/>
      <c r="T1031" s="30"/>
      <c r="U1031" s="30"/>
      <c r="V1031" s="30"/>
      <c r="W1031" s="30"/>
      <c r="X1031" s="30"/>
      <c r="Y1031" s="30"/>
      <c r="Z1031" s="30"/>
      <c r="AA1031" s="30"/>
      <c r="AB1031" s="30"/>
      <c r="AC1031" s="30"/>
      <c r="AD1031" s="30"/>
      <c r="AE1031" s="30"/>
      <c r="AF1031" s="30"/>
      <c r="AG1031" s="30"/>
      <c r="AH1031" s="30"/>
      <c r="AI1031" s="30"/>
      <c r="AJ1031" s="30"/>
      <c r="AK1031" s="30"/>
      <c r="AL1031" s="30"/>
      <c r="AM1031" s="30"/>
      <c r="AN1031" s="30"/>
      <c r="AO1031" s="30"/>
      <c r="AP1031" s="30"/>
      <c r="AQ1031" s="30"/>
      <c r="AR1031" s="30"/>
      <c r="AS1031" s="30"/>
      <c r="AT1031" s="30"/>
      <c r="AU1031" s="30"/>
      <c r="AV1031" s="30"/>
      <c r="AW1031" s="30"/>
      <c r="AX1031" s="30"/>
    </row>
    <row r="1032" spans="4:50" s="23" customFormat="1" x14ac:dyDescent="0.3">
      <c r="D1032" s="34"/>
      <c r="E1032" s="24"/>
      <c r="F1032" s="24"/>
      <c r="G1032" s="24"/>
      <c r="H1032" s="24"/>
      <c r="I1032" s="24"/>
      <c r="J1032" s="27"/>
      <c r="K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c r="AG1032" s="30"/>
      <c r="AH1032" s="30"/>
      <c r="AI1032" s="30"/>
      <c r="AJ1032" s="30"/>
      <c r="AK1032" s="30"/>
      <c r="AL1032" s="30"/>
      <c r="AM1032" s="30"/>
      <c r="AN1032" s="30"/>
      <c r="AO1032" s="30"/>
      <c r="AP1032" s="30"/>
      <c r="AQ1032" s="30"/>
      <c r="AR1032" s="30"/>
      <c r="AS1032" s="30"/>
      <c r="AT1032" s="30"/>
      <c r="AU1032" s="30"/>
      <c r="AV1032" s="30"/>
      <c r="AW1032" s="30"/>
      <c r="AX1032" s="30"/>
    </row>
    <row r="1033" spans="4:50" s="23" customFormat="1" x14ac:dyDescent="0.3">
      <c r="D1033" s="34"/>
      <c r="E1033" s="24"/>
      <c r="F1033" s="24"/>
      <c r="G1033" s="24"/>
      <c r="H1033" s="24"/>
      <c r="I1033" s="24"/>
      <c r="J1033" s="27"/>
      <c r="K1033" s="30"/>
      <c r="L1033" s="30"/>
      <c r="M1033" s="30"/>
      <c r="N1033" s="30"/>
      <c r="O1033" s="30"/>
      <c r="P1033" s="30"/>
      <c r="Q1033" s="30"/>
      <c r="R1033" s="30"/>
      <c r="S1033" s="30"/>
      <c r="T1033" s="30"/>
      <c r="U1033" s="30"/>
      <c r="V1033" s="30"/>
      <c r="W1033" s="30"/>
      <c r="X1033" s="30"/>
      <c r="Y1033" s="30"/>
      <c r="Z1033" s="30"/>
      <c r="AA1033" s="30"/>
      <c r="AB1033" s="30"/>
      <c r="AC1033" s="30"/>
      <c r="AD1033" s="30"/>
      <c r="AE1033" s="30"/>
      <c r="AF1033" s="30"/>
      <c r="AG1033" s="30"/>
      <c r="AH1033" s="30"/>
      <c r="AI1033" s="30"/>
      <c r="AJ1033" s="30"/>
      <c r="AK1033" s="30"/>
      <c r="AL1033" s="30"/>
      <c r="AM1033" s="30"/>
      <c r="AN1033" s="30"/>
      <c r="AO1033" s="30"/>
      <c r="AP1033" s="30"/>
      <c r="AQ1033" s="30"/>
      <c r="AR1033" s="30"/>
      <c r="AS1033" s="30"/>
      <c r="AT1033" s="30"/>
      <c r="AU1033" s="30"/>
      <c r="AV1033" s="30"/>
      <c r="AW1033" s="30"/>
      <c r="AX1033" s="30"/>
    </row>
    <row r="1034" spans="4:50" s="23" customFormat="1" x14ac:dyDescent="0.3">
      <c r="D1034" s="34"/>
      <c r="E1034" s="24"/>
      <c r="F1034" s="24"/>
      <c r="G1034" s="24"/>
      <c r="H1034" s="24"/>
      <c r="I1034" s="24"/>
      <c r="J1034" s="27"/>
      <c r="K1034" s="30"/>
      <c r="L1034" s="30"/>
      <c r="M1034" s="30"/>
      <c r="N1034" s="30"/>
      <c r="O1034" s="30"/>
      <c r="P1034" s="30"/>
      <c r="Q1034" s="30"/>
      <c r="R1034" s="30"/>
      <c r="S1034" s="30"/>
      <c r="T1034" s="30"/>
      <c r="U1034" s="30"/>
      <c r="V1034" s="30"/>
      <c r="W1034" s="30"/>
      <c r="X1034" s="30"/>
      <c r="Y1034" s="30"/>
      <c r="Z1034" s="30"/>
      <c r="AA1034" s="30"/>
      <c r="AB1034" s="30"/>
      <c r="AC1034" s="30"/>
      <c r="AD1034" s="30"/>
      <c r="AE1034" s="30"/>
      <c r="AF1034" s="30"/>
      <c r="AG1034" s="30"/>
      <c r="AH1034" s="30"/>
      <c r="AI1034" s="30"/>
      <c r="AJ1034" s="30"/>
      <c r="AK1034" s="30"/>
      <c r="AL1034" s="30"/>
      <c r="AM1034" s="30"/>
      <c r="AN1034" s="30"/>
      <c r="AO1034" s="30"/>
      <c r="AP1034" s="30"/>
      <c r="AQ1034" s="30"/>
      <c r="AR1034" s="30"/>
      <c r="AS1034" s="30"/>
      <c r="AT1034" s="30"/>
      <c r="AU1034" s="30"/>
      <c r="AV1034" s="30"/>
      <c r="AW1034" s="30"/>
      <c r="AX1034" s="30"/>
    </row>
    <row r="1035" spans="4:50" s="23" customFormat="1" x14ac:dyDescent="0.3">
      <c r="D1035" s="34"/>
      <c r="E1035" s="24"/>
      <c r="F1035" s="24"/>
      <c r="G1035" s="24"/>
      <c r="H1035" s="24"/>
      <c r="I1035" s="24"/>
      <c r="J1035" s="27"/>
      <c r="K1035" s="30"/>
      <c r="L1035" s="30"/>
      <c r="M1035" s="30"/>
      <c r="N1035" s="30"/>
      <c r="O1035" s="30"/>
      <c r="P1035" s="30"/>
      <c r="Q1035" s="30"/>
      <c r="R1035" s="30"/>
      <c r="S1035" s="30"/>
      <c r="T1035" s="30"/>
      <c r="U1035" s="30"/>
      <c r="V1035" s="30"/>
      <c r="W1035" s="30"/>
      <c r="X1035" s="30"/>
      <c r="Y1035" s="30"/>
      <c r="Z1035" s="30"/>
      <c r="AA1035" s="30"/>
      <c r="AB1035" s="30"/>
      <c r="AC1035" s="30"/>
      <c r="AD1035" s="30"/>
      <c r="AE1035" s="30"/>
      <c r="AF1035" s="30"/>
      <c r="AG1035" s="30"/>
      <c r="AH1035" s="30"/>
      <c r="AI1035" s="30"/>
      <c r="AJ1035" s="30"/>
      <c r="AK1035" s="30"/>
      <c r="AL1035" s="30"/>
      <c r="AM1035" s="30"/>
      <c r="AN1035" s="30"/>
      <c r="AO1035" s="30"/>
      <c r="AP1035" s="30"/>
      <c r="AQ1035" s="30"/>
      <c r="AR1035" s="30"/>
      <c r="AS1035" s="30"/>
      <c r="AT1035" s="30"/>
      <c r="AU1035" s="30"/>
      <c r="AV1035" s="30"/>
      <c r="AW1035" s="30"/>
      <c r="AX1035" s="30"/>
    </row>
    <row r="1036" spans="4:50" s="23" customFormat="1" x14ac:dyDescent="0.3">
      <c r="D1036" s="34"/>
      <c r="E1036" s="24"/>
      <c r="F1036" s="24"/>
      <c r="G1036" s="24"/>
      <c r="H1036" s="24"/>
      <c r="I1036" s="24"/>
      <c r="J1036" s="27"/>
      <c r="K1036" s="30"/>
      <c r="L1036" s="30"/>
      <c r="M1036" s="30"/>
      <c r="N1036" s="30"/>
      <c r="O1036" s="30"/>
      <c r="P1036" s="30"/>
      <c r="Q1036" s="30"/>
      <c r="R1036" s="30"/>
      <c r="S1036" s="30"/>
      <c r="T1036" s="30"/>
      <c r="U1036" s="30"/>
      <c r="V1036" s="30"/>
      <c r="W1036" s="30"/>
      <c r="X1036" s="30"/>
      <c r="Y1036" s="30"/>
      <c r="Z1036" s="30"/>
      <c r="AA1036" s="30"/>
      <c r="AB1036" s="30"/>
      <c r="AC1036" s="30"/>
      <c r="AD1036" s="30"/>
      <c r="AE1036" s="30"/>
      <c r="AF1036" s="30"/>
      <c r="AG1036" s="30"/>
      <c r="AH1036" s="30"/>
      <c r="AI1036" s="30"/>
      <c r="AJ1036" s="30"/>
      <c r="AK1036" s="30"/>
      <c r="AL1036" s="30"/>
      <c r="AM1036" s="30"/>
      <c r="AN1036" s="30"/>
      <c r="AO1036" s="30"/>
      <c r="AP1036" s="30"/>
      <c r="AQ1036" s="30"/>
      <c r="AR1036" s="30"/>
      <c r="AS1036" s="30"/>
      <c r="AT1036" s="30"/>
      <c r="AU1036" s="30"/>
      <c r="AV1036" s="30"/>
      <c r="AW1036" s="30"/>
      <c r="AX1036" s="30"/>
    </row>
    <row r="1037" spans="4:50" s="23" customFormat="1" x14ac:dyDescent="0.3">
      <c r="D1037" s="34"/>
      <c r="E1037" s="24"/>
      <c r="F1037" s="24"/>
      <c r="G1037" s="24"/>
      <c r="H1037" s="24"/>
      <c r="I1037" s="24"/>
      <c r="J1037" s="27"/>
      <c r="K1037" s="30"/>
      <c r="L1037" s="30"/>
      <c r="M1037" s="30"/>
      <c r="N1037" s="30"/>
      <c r="O1037" s="30"/>
      <c r="P1037" s="30"/>
      <c r="Q1037" s="30"/>
      <c r="R1037" s="30"/>
      <c r="S1037" s="30"/>
      <c r="T1037" s="30"/>
      <c r="U1037" s="30"/>
      <c r="V1037" s="30"/>
      <c r="W1037" s="30"/>
      <c r="X1037" s="30"/>
      <c r="Y1037" s="30"/>
      <c r="Z1037" s="30"/>
      <c r="AA1037" s="30"/>
      <c r="AB1037" s="30"/>
      <c r="AC1037" s="30"/>
      <c r="AD1037" s="30"/>
      <c r="AE1037" s="30"/>
      <c r="AF1037" s="30"/>
      <c r="AG1037" s="30"/>
      <c r="AH1037" s="30"/>
      <c r="AI1037" s="30"/>
      <c r="AJ1037" s="30"/>
      <c r="AK1037" s="30"/>
      <c r="AL1037" s="30"/>
      <c r="AM1037" s="30"/>
      <c r="AN1037" s="30"/>
      <c r="AO1037" s="30"/>
      <c r="AP1037" s="30"/>
      <c r="AQ1037" s="30"/>
      <c r="AR1037" s="30"/>
      <c r="AS1037" s="30"/>
      <c r="AT1037" s="30"/>
      <c r="AU1037" s="30"/>
      <c r="AV1037" s="30"/>
      <c r="AW1037" s="30"/>
      <c r="AX1037" s="30"/>
    </row>
    <row r="1038" spans="4:50" s="23" customFormat="1" x14ac:dyDescent="0.3">
      <c r="D1038" s="34"/>
      <c r="E1038" s="24"/>
      <c r="F1038" s="24"/>
      <c r="G1038" s="24"/>
      <c r="H1038" s="24"/>
      <c r="I1038" s="24"/>
      <c r="J1038" s="27"/>
      <c r="K1038" s="30"/>
      <c r="L1038" s="30"/>
      <c r="M1038" s="30"/>
      <c r="N1038" s="30"/>
      <c r="O1038" s="30"/>
      <c r="P1038" s="30"/>
      <c r="Q1038" s="30"/>
      <c r="R1038" s="30"/>
      <c r="S1038" s="30"/>
      <c r="T1038" s="30"/>
      <c r="U1038" s="30"/>
      <c r="V1038" s="30"/>
      <c r="W1038" s="30"/>
      <c r="X1038" s="30"/>
      <c r="Y1038" s="30"/>
      <c r="Z1038" s="30"/>
      <c r="AA1038" s="30"/>
      <c r="AB1038" s="30"/>
      <c r="AC1038" s="30"/>
      <c r="AD1038" s="30"/>
      <c r="AE1038" s="30"/>
      <c r="AF1038" s="30"/>
      <c r="AG1038" s="30"/>
      <c r="AH1038" s="30"/>
      <c r="AI1038" s="30"/>
      <c r="AJ1038" s="30"/>
      <c r="AK1038" s="30"/>
      <c r="AL1038" s="30"/>
      <c r="AM1038" s="30"/>
      <c r="AN1038" s="30"/>
      <c r="AO1038" s="30"/>
      <c r="AP1038" s="30"/>
      <c r="AQ1038" s="30"/>
      <c r="AR1038" s="30"/>
      <c r="AS1038" s="30"/>
      <c r="AT1038" s="30"/>
      <c r="AU1038" s="30"/>
      <c r="AV1038" s="30"/>
      <c r="AW1038" s="30"/>
      <c r="AX1038" s="30"/>
    </row>
    <row r="1039" spans="4:50" s="23" customFormat="1" x14ac:dyDescent="0.3">
      <c r="D1039" s="34"/>
      <c r="E1039" s="24"/>
      <c r="F1039" s="24"/>
      <c r="G1039" s="24"/>
      <c r="H1039" s="24"/>
      <c r="I1039" s="24"/>
      <c r="J1039" s="27"/>
      <c r="K1039" s="30"/>
      <c r="L1039" s="30"/>
      <c r="M1039" s="30"/>
      <c r="N1039" s="30"/>
      <c r="O1039" s="30"/>
      <c r="P1039" s="30"/>
      <c r="Q1039" s="30"/>
      <c r="R1039" s="30"/>
      <c r="S1039" s="30"/>
      <c r="T1039" s="30"/>
      <c r="U1039" s="30"/>
      <c r="V1039" s="30"/>
      <c r="W1039" s="30"/>
      <c r="X1039" s="30"/>
      <c r="Y1039" s="30"/>
      <c r="Z1039" s="30"/>
      <c r="AA1039" s="30"/>
      <c r="AB1039" s="30"/>
      <c r="AC1039" s="30"/>
      <c r="AD1039" s="30"/>
      <c r="AE1039" s="30"/>
      <c r="AF1039" s="30"/>
      <c r="AG1039" s="30"/>
      <c r="AH1039" s="30"/>
      <c r="AI1039" s="30"/>
      <c r="AJ1039" s="30"/>
      <c r="AK1039" s="30"/>
      <c r="AL1039" s="30"/>
      <c r="AM1039" s="30"/>
      <c r="AN1039" s="30"/>
      <c r="AO1039" s="30"/>
      <c r="AP1039" s="30"/>
      <c r="AQ1039" s="30"/>
      <c r="AR1039" s="30"/>
      <c r="AS1039" s="30"/>
      <c r="AT1039" s="30"/>
      <c r="AU1039" s="30"/>
      <c r="AV1039" s="30"/>
      <c r="AW1039" s="30"/>
      <c r="AX1039" s="30"/>
    </row>
    <row r="1040" spans="4:50" s="23" customFormat="1" x14ac:dyDescent="0.3">
      <c r="D1040" s="34"/>
      <c r="E1040" s="24"/>
      <c r="F1040" s="24"/>
      <c r="G1040" s="24"/>
      <c r="H1040" s="24"/>
      <c r="I1040" s="24"/>
      <c r="J1040" s="27"/>
      <c r="K1040" s="30"/>
      <c r="L1040" s="30"/>
      <c r="M1040" s="30"/>
      <c r="N1040" s="30"/>
      <c r="O1040" s="30"/>
      <c r="P1040" s="30"/>
      <c r="Q1040" s="30"/>
      <c r="R1040" s="30"/>
      <c r="S1040" s="30"/>
      <c r="T1040" s="30"/>
      <c r="U1040" s="30"/>
      <c r="V1040" s="30"/>
      <c r="W1040" s="30"/>
      <c r="X1040" s="30"/>
      <c r="Y1040" s="30"/>
      <c r="Z1040" s="30"/>
      <c r="AA1040" s="30"/>
      <c r="AB1040" s="30"/>
      <c r="AC1040" s="30"/>
      <c r="AD1040" s="30"/>
      <c r="AE1040" s="30"/>
      <c r="AF1040" s="30"/>
      <c r="AG1040" s="30"/>
      <c r="AH1040" s="30"/>
      <c r="AI1040" s="30"/>
      <c r="AJ1040" s="30"/>
      <c r="AK1040" s="30"/>
      <c r="AL1040" s="30"/>
      <c r="AM1040" s="30"/>
      <c r="AN1040" s="30"/>
      <c r="AO1040" s="30"/>
      <c r="AP1040" s="30"/>
      <c r="AQ1040" s="30"/>
      <c r="AR1040" s="30"/>
      <c r="AS1040" s="30"/>
      <c r="AT1040" s="30"/>
      <c r="AU1040" s="30"/>
      <c r="AV1040" s="30"/>
      <c r="AW1040" s="30"/>
      <c r="AX1040" s="30"/>
    </row>
    <row r="1041" spans="4:50" s="23" customFormat="1" x14ac:dyDescent="0.3">
      <c r="D1041" s="34"/>
      <c r="E1041" s="24"/>
      <c r="F1041" s="24"/>
      <c r="G1041" s="24"/>
      <c r="H1041" s="24"/>
      <c r="I1041" s="24"/>
      <c r="J1041" s="27"/>
      <c r="K1041" s="30"/>
      <c r="L1041" s="30"/>
      <c r="M1041" s="30"/>
      <c r="N1041" s="30"/>
      <c r="O1041" s="30"/>
      <c r="P1041" s="30"/>
      <c r="Q1041" s="30"/>
      <c r="R1041" s="30"/>
      <c r="S1041" s="30"/>
      <c r="T1041" s="30"/>
      <c r="U1041" s="30"/>
      <c r="V1041" s="30"/>
      <c r="W1041" s="30"/>
      <c r="X1041" s="30"/>
      <c r="Y1041" s="30"/>
      <c r="Z1041" s="30"/>
      <c r="AA1041" s="30"/>
      <c r="AB1041" s="30"/>
      <c r="AC1041" s="30"/>
      <c r="AD1041" s="30"/>
      <c r="AE1041" s="30"/>
      <c r="AF1041" s="30"/>
      <c r="AG1041" s="30"/>
      <c r="AH1041" s="30"/>
      <c r="AI1041" s="30"/>
      <c r="AJ1041" s="30"/>
      <c r="AK1041" s="30"/>
      <c r="AL1041" s="30"/>
      <c r="AM1041" s="30"/>
      <c r="AN1041" s="30"/>
      <c r="AO1041" s="30"/>
      <c r="AP1041" s="30"/>
      <c r="AQ1041" s="30"/>
      <c r="AR1041" s="30"/>
      <c r="AS1041" s="30"/>
      <c r="AT1041" s="30"/>
      <c r="AU1041" s="30"/>
      <c r="AV1041" s="30"/>
      <c r="AW1041" s="30"/>
      <c r="AX1041" s="30"/>
    </row>
    <row r="1042" spans="4:50" s="23" customFormat="1" x14ac:dyDescent="0.3">
      <c r="D1042" s="34"/>
      <c r="E1042" s="24"/>
      <c r="F1042" s="24"/>
      <c r="G1042" s="24"/>
      <c r="H1042" s="24"/>
      <c r="I1042" s="24"/>
      <c r="J1042" s="27"/>
      <c r="K1042" s="30"/>
      <c r="L1042" s="30"/>
      <c r="M1042" s="30"/>
      <c r="N1042" s="30"/>
      <c r="O1042" s="30"/>
      <c r="P1042" s="30"/>
      <c r="Q1042" s="30"/>
      <c r="R1042" s="30"/>
      <c r="S1042" s="30"/>
      <c r="T1042" s="30"/>
      <c r="U1042" s="30"/>
      <c r="V1042" s="30"/>
      <c r="W1042" s="30"/>
      <c r="X1042" s="30"/>
      <c r="Y1042" s="30"/>
      <c r="Z1042" s="30"/>
      <c r="AA1042" s="30"/>
      <c r="AB1042" s="30"/>
      <c r="AC1042" s="30"/>
      <c r="AD1042" s="30"/>
      <c r="AE1042" s="30"/>
      <c r="AF1042" s="30"/>
      <c r="AG1042" s="30"/>
      <c r="AH1042" s="30"/>
      <c r="AI1042" s="30"/>
      <c r="AJ1042" s="30"/>
      <c r="AK1042" s="30"/>
      <c r="AL1042" s="30"/>
      <c r="AM1042" s="30"/>
      <c r="AN1042" s="30"/>
      <c r="AO1042" s="30"/>
      <c r="AP1042" s="30"/>
      <c r="AQ1042" s="30"/>
      <c r="AR1042" s="30"/>
      <c r="AS1042" s="30"/>
      <c r="AT1042" s="30"/>
      <c r="AU1042" s="30"/>
      <c r="AV1042" s="30"/>
      <c r="AW1042" s="30"/>
      <c r="AX1042" s="30"/>
    </row>
    <row r="1043" spans="4:50" s="23" customFormat="1" x14ac:dyDescent="0.3">
      <c r="D1043" s="34"/>
      <c r="E1043" s="24"/>
      <c r="F1043" s="24"/>
      <c r="G1043" s="24"/>
      <c r="H1043" s="24"/>
      <c r="I1043" s="24"/>
      <c r="J1043" s="27"/>
      <c r="K1043" s="30"/>
      <c r="L1043" s="30"/>
      <c r="M1043" s="30"/>
      <c r="N1043" s="30"/>
      <c r="O1043" s="30"/>
      <c r="P1043" s="30"/>
      <c r="Q1043" s="30"/>
      <c r="R1043" s="30"/>
      <c r="S1043" s="30"/>
      <c r="T1043" s="30"/>
      <c r="U1043" s="30"/>
      <c r="V1043" s="30"/>
      <c r="W1043" s="30"/>
      <c r="X1043" s="30"/>
      <c r="Y1043" s="30"/>
      <c r="Z1043" s="30"/>
      <c r="AA1043" s="30"/>
      <c r="AB1043" s="30"/>
      <c r="AC1043" s="30"/>
      <c r="AD1043" s="30"/>
      <c r="AE1043" s="30"/>
      <c r="AF1043" s="30"/>
      <c r="AG1043" s="30"/>
      <c r="AH1043" s="30"/>
      <c r="AI1043" s="30"/>
      <c r="AJ1043" s="30"/>
      <c r="AK1043" s="30"/>
      <c r="AL1043" s="30"/>
      <c r="AM1043" s="30"/>
      <c r="AN1043" s="30"/>
      <c r="AO1043" s="30"/>
      <c r="AP1043" s="30"/>
      <c r="AQ1043" s="30"/>
      <c r="AR1043" s="30"/>
      <c r="AS1043" s="30"/>
      <c r="AT1043" s="30"/>
      <c r="AU1043" s="30"/>
      <c r="AV1043" s="30"/>
      <c r="AW1043" s="30"/>
      <c r="AX1043" s="30"/>
    </row>
    <row r="1044" spans="4:50" s="23" customFormat="1" x14ac:dyDescent="0.3">
      <c r="D1044" s="34"/>
      <c r="E1044" s="24"/>
      <c r="F1044" s="24"/>
      <c r="G1044" s="24"/>
      <c r="H1044" s="24"/>
      <c r="I1044" s="24"/>
      <c r="J1044" s="27"/>
      <c r="K1044" s="30"/>
      <c r="L1044" s="30"/>
      <c r="M1044" s="30"/>
      <c r="N1044" s="30"/>
      <c r="O1044" s="30"/>
      <c r="P1044" s="30"/>
      <c r="Q1044" s="30"/>
      <c r="R1044" s="30"/>
      <c r="S1044" s="30"/>
      <c r="T1044" s="30"/>
      <c r="U1044" s="30"/>
      <c r="V1044" s="30"/>
      <c r="W1044" s="30"/>
      <c r="X1044" s="30"/>
      <c r="Y1044" s="30"/>
      <c r="Z1044" s="30"/>
      <c r="AA1044" s="30"/>
      <c r="AB1044" s="30"/>
      <c r="AC1044" s="30"/>
      <c r="AD1044" s="30"/>
      <c r="AE1044" s="30"/>
      <c r="AF1044" s="30"/>
      <c r="AG1044" s="30"/>
      <c r="AH1044" s="30"/>
      <c r="AI1044" s="30"/>
      <c r="AJ1044" s="30"/>
      <c r="AK1044" s="30"/>
      <c r="AL1044" s="30"/>
      <c r="AM1044" s="30"/>
      <c r="AN1044" s="30"/>
      <c r="AO1044" s="30"/>
      <c r="AP1044" s="30"/>
      <c r="AQ1044" s="30"/>
      <c r="AR1044" s="30"/>
      <c r="AS1044" s="30"/>
      <c r="AT1044" s="30"/>
      <c r="AU1044" s="30"/>
      <c r="AV1044" s="30"/>
      <c r="AW1044" s="30"/>
      <c r="AX1044" s="30"/>
    </row>
    <row r="1045" spans="4:50" s="23" customFormat="1" x14ac:dyDescent="0.3">
      <c r="D1045" s="34"/>
      <c r="E1045" s="24"/>
      <c r="F1045" s="24"/>
      <c r="G1045" s="24"/>
      <c r="H1045" s="24"/>
      <c r="I1045" s="24"/>
      <c r="J1045" s="27"/>
      <c r="K1045" s="30"/>
      <c r="L1045" s="30"/>
      <c r="M1045" s="30"/>
      <c r="N1045" s="30"/>
      <c r="O1045" s="30"/>
      <c r="P1045" s="30"/>
      <c r="Q1045" s="30"/>
      <c r="R1045" s="30"/>
      <c r="S1045" s="30"/>
      <c r="T1045" s="30"/>
      <c r="U1045" s="30"/>
      <c r="V1045" s="30"/>
      <c r="W1045" s="30"/>
      <c r="X1045" s="30"/>
      <c r="Y1045" s="30"/>
      <c r="Z1045" s="30"/>
      <c r="AA1045" s="30"/>
      <c r="AB1045" s="30"/>
      <c r="AC1045" s="30"/>
      <c r="AD1045" s="30"/>
      <c r="AE1045" s="30"/>
      <c r="AF1045" s="30"/>
      <c r="AG1045" s="30"/>
      <c r="AH1045" s="30"/>
      <c r="AI1045" s="30"/>
      <c r="AJ1045" s="30"/>
      <c r="AK1045" s="30"/>
      <c r="AL1045" s="30"/>
      <c r="AM1045" s="30"/>
      <c r="AN1045" s="30"/>
      <c r="AO1045" s="30"/>
      <c r="AP1045" s="30"/>
      <c r="AQ1045" s="30"/>
      <c r="AR1045" s="30"/>
      <c r="AS1045" s="30"/>
      <c r="AT1045" s="30"/>
      <c r="AU1045" s="30"/>
      <c r="AV1045" s="30"/>
      <c r="AW1045" s="30"/>
      <c r="AX1045" s="30"/>
    </row>
    <row r="1046" spans="4:50" s="23" customFormat="1" x14ac:dyDescent="0.3">
      <c r="D1046" s="34"/>
      <c r="E1046" s="24"/>
      <c r="F1046" s="24"/>
      <c r="G1046" s="24"/>
      <c r="H1046" s="24"/>
      <c r="I1046" s="24"/>
      <c r="J1046" s="27"/>
      <c r="K1046" s="30"/>
      <c r="L1046" s="30"/>
      <c r="M1046" s="30"/>
      <c r="N1046" s="30"/>
      <c r="O1046" s="30"/>
      <c r="P1046" s="30"/>
      <c r="Q1046" s="30"/>
      <c r="R1046" s="30"/>
      <c r="S1046" s="30"/>
      <c r="T1046" s="30"/>
      <c r="U1046" s="30"/>
      <c r="V1046" s="30"/>
      <c r="W1046" s="30"/>
      <c r="X1046" s="30"/>
      <c r="Y1046" s="30"/>
      <c r="Z1046" s="30"/>
      <c r="AA1046" s="30"/>
      <c r="AB1046" s="30"/>
      <c r="AC1046" s="30"/>
      <c r="AD1046" s="30"/>
      <c r="AE1046" s="30"/>
      <c r="AF1046" s="30"/>
      <c r="AG1046" s="30"/>
      <c r="AH1046" s="30"/>
      <c r="AI1046" s="30"/>
      <c r="AJ1046" s="30"/>
      <c r="AK1046" s="30"/>
      <c r="AL1046" s="30"/>
      <c r="AM1046" s="30"/>
      <c r="AN1046" s="30"/>
      <c r="AO1046" s="30"/>
      <c r="AP1046" s="30"/>
      <c r="AQ1046" s="30"/>
      <c r="AR1046" s="30"/>
      <c r="AS1046" s="30"/>
      <c r="AT1046" s="30"/>
      <c r="AU1046" s="30"/>
      <c r="AV1046" s="30"/>
      <c r="AW1046" s="30"/>
      <c r="AX1046" s="30"/>
    </row>
    <row r="1047" spans="4:50" s="23" customFormat="1" x14ac:dyDescent="0.3">
      <c r="D1047" s="34"/>
      <c r="E1047" s="24"/>
      <c r="F1047" s="24"/>
      <c r="G1047" s="24"/>
      <c r="H1047" s="24"/>
      <c r="I1047" s="24"/>
      <c r="J1047" s="27"/>
      <c r="K1047" s="30"/>
      <c r="L1047" s="30"/>
      <c r="M1047" s="30"/>
      <c r="N1047" s="30"/>
      <c r="O1047" s="30"/>
      <c r="P1047" s="30"/>
      <c r="Q1047" s="30"/>
      <c r="R1047" s="30"/>
      <c r="S1047" s="30"/>
      <c r="T1047" s="30"/>
      <c r="U1047" s="30"/>
      <c r="V1047" s="30"/>
      <c r="W1047" s="30"/>
      <c r="X1047" s="30"/>
      <c r="Y1047" s="30"/>
      <c r="Z1047" s="30"/>
      <c r="AA1047" s="30"/>
      <c r="AB1047" s="30"/>
      <c r="AC1047" s="30"/>
      <c r="AD1047" s="30"/>
      <c r="AE1047" s="30"/>
      <c r="AF1047" s="30"/>
      <c r="AG1047" s="30"/>
      <c r="AH1047" s="30"/>
      <c r="AI1047" s="30"/>
      <c r="AJ1047" s="30"/>
      <c r="AK1047" s="30"/>
      <c r="AL1047" s="30"/>
      <c r="AM1047" s="30"/>
      <c r="AN1047" s="30"/>
      <c r="AO1047" s="30"/>
      <c r="AP1047" s="30"/>
      <c r="AQ1047" s="30"/>
      <c r="AR1047" s="30"/>
      <c r="AS1047" s="30"/>
      <c r="AT1047" s="30"/>
      <c r="AU1047" s="30"/>
      <c r="AV1047" s="30"/>
      <c r="AW1047" s="30"/>
      <c r="AX1047" s="30"/>
    </row>
    <row r="1048" spans="4:50" s="23" customFormat="1" x14ac:dyDescent="0.3">
      <c r="D1048" s="34"/>
      <c r="E1048" s="24"/>
      <c r="F1048" s="24"/>
      <c r="G1048" s="24"/>
      <c r="H1048" s="24"/>
      <c r="I1048" s="24"/>
      <c r="J1048" s="27"/>
      <c r="K1048" s="30"/>
      <c r="L1048" s="30"/>
      <c r="M1048" s="30"/>
      <c r="N1048" s="30"/>
      <c r="O1048" s="30"/>
      <c r="P1048" s="30"/>
      <c r="Q1048" s="30"/>
      <c r="R1048" s="30"/>
      <c r="S1048" s="30"/>
      <c r="T1048" s="30"/>
      <c r="U1048" s="30"/>
      <c r="V1048" s="30"/>
      <c r="W1048" s="30"/>
      <c r="X1048" s="30"/>
      <c r="Y1048" s="30"/>
      <c r="Z1048" s="30"/>
      <c r="AA1048" s="30"/>
      <c r="AB1048" s="30"/>
      <c r="AC1048" s="30"/>
      <c r="AD1048" s="30"/>
      <c r="AE1048" s="30"/>
      <c r="AF1048" s="30"/>
      <c r="AG1048" s="30"/>
      <c r="AH1048" s="30"/>
      <c r="AI1048" s="30"/>
      <c r="AJ1048" s="30"/>
      <c r="AK1048" s="30"/>
      <c r="AL1048" s="30"/>
      <c r="AM1048" s="30"/>
      <c r="AN1048" s="30"/>
      <c r="AO1048" s="30"/>
      <c r="AP1048" s="30"/>
      <c r="AQ1048" s="30"/>
      <c r="AR1048" s="30"/>
      <c r="AS1048" s="30"/>
      <c r="AT1048" s="30"/>
      <c r="AU1048" s="30"/>
      <c r="AV1048" s="30"/>
      <c r="AW1048" s="30"/>
      <c r="AX1048" s="30"/>
    </row>
    <row r="1049" spans="4:50" s="23" customFormat="1" x14ac:dyDescent="0.3">
      <c r="D1049" s="34"/>
      <c r="E1049" s="24"/>
      <c r="F1049" s="24"/>
      <c r="G1049" s="24"/>
      <c r="H1049" s="24"/>
      <c r="I1049" s="24"/>
      <c r="J1049" s="27"/>
      <c r="K1049" s="30"/>
      <c r="L1049" s="30"/>
      <c r="M1049" s="30"/>
      <c r="N1049" s="30"/>
      <c r="O1049" s="30"/>
      <c r="P1049" s="30"/>
      <c r="Q1049" s="30"/>
      <c r="R1049" s="30"/>
      <c r="S1049" s="30"/>
      <c r="T1049" s="30"/>
      <c r="U1049" s="30"/>
      <c r="V1049" s="30"/>
      <c r="W1049" s="30"/>
      <c r="X1049" s="30"/>
      <c r="Y1049" s="30"/>
      <c r="Z1049" s="30"/>
      <c r="AA1049" s="30"/>
      <c r="AB1049" s="30"/>
      <c r="AC1049" s="30"/>
      <c r="AD1049" s="30"/>
      <c r="AE1049" s="30"/>
      <c r="AF1049" s="30"/>
      <c r="AG1049" s="30"/>
      <c r="AH1049" s="30"/>
      <c r="AI1049" s="30"/>
      <c r="AJ1049" s="30"/>
      <c r="AK1049" s="30"/>
      <c r="AL1049" s="30"/>
      <c r="AM1049" s="30"/>
      <c r="AN1049" s="30"/>
      <c r="AO1049" s="30"/>
      <c r="AP1049" s="30"/>
      <c r="AQ1049" s="30"/>
      <c r="AR1049" s="30"/>
      <c r="AS1049" s="30"/>
      <c r="AT1049" s="30"/>
      <c r="AU1049" s="30"/>
      <c r="AV1049" s="30"/>
      <c r="AW1049" s="30"/>
      <c r="AX1049" s="30"/>
    </row>
    <row r="1050" spans="4:50" s="23" customFormat="1" x14ac:dyDescent="0.3">
      <c r="D1050" s="34"/>
      <c r="E1050" s="24"/>
      <c r="F1050" s="24"/>
      <c r="G1050" s="24"/>
      <c r="H1050" s="24"/>
      <c r="I1050" s="24"/>
      <c r="J1050" s="27"/>
      <c r="K1050" s="30"/>
      <c r="L1050" s="30"/>
      <c r="M1050" s="30"/>
      <c r="N1050" s="30"/>
      <c r="O1050" s="30"/>
      <c r="P1050" s="30"/>
      <c r="Q1050" s="30"/>
      <c r="R1050" s="30"/>
      <c r="S1050" s="30"/>
      <c r="T1050" s="30"/>
      <c r="U1050" s="30"/>
      <c r="V1050" s="30"/>
      <c r="W1050" s="30"/>
      <c r="X1050" s="30"/>
      <c r="Y1050" s="30"/>
      <c r="Z1050" s="30"/>
      <c r="AA1050" s="30"/>
      <c r="AB1050" s="30"/>
      <c r="AC1050" s="30"/>
      <c r="AD1050" s="30"/>
      <c r="AE1050" s="30"/>
      <c r="AF1050" s="30"/>
      <c r="AG1050" s="30"/>
      <c r="AH1050" s="30"/>
      <c r="AI1050" s="30"/>
      <c r="AJ1050" s="30"/>
      <c r="AK1050" s="30"/>
      <c r="AL1050" s="30"/>
      <c r="AM1050" s="30"/>
      <c r="AN1050" s="30"/>
      <c r="AO1050" s="30"/>
      <c r="AP1050" s="30"/>
      <c r="AQ1050" s="30"/>
      <c r="AR1050" s="30"/>
      <c r="AS1050" s="30"/>
      <c r="AT1050" s="30"/>
      <c r="AU1050" s="30"/>
      <c r="AV1050" s="30"/>
      <c r="AW1050" s="30"/>
      <c r="AX1050" s="30"/>
    </row>
    <row r="1051" spans="4:50" s="23" customFormat="1" x14ac:dyDescent="0.3">
      <c r="D1051" s="34"/>
      <c r="E1051" s="24"/>
      <c r="F1051" s="24"/>
      <c r="G1051" s="24"/>
      <c r="H1051" s="24"/>
      <c r="I1051" s="24"/>
      <c r="J1051" s="27"/>
      <c r="K1051" s="30"/>
      <c r="L1051" s="30"/>
      <c r="M1051" s="30"/>
      <c r="N1051" s="30"/>
      <c r="O1051" s="30"/>
      <c r="P1051" s="30"/>
      <c r="Q1051" s="30"/>
      <c r="R1051" s="30"/>
      <c r="S1051" s="30"/>
      <c r="T1051" s="30"/>
      <c r="U1051" s="30"/>
      <c r="V1051" s="30"/>
      <c r="W1051" s="30"/>
      <c r="X1051" s="30"/>
      <c r="Y1051" s="30"/>
      <c r="Z1051" s="30"/>
      <c r="AA1051" s="30"/>
      <c r="AB1051" s="30"/>
      <c r="AC1051" s="30"/>
      <c r="AD1051" s="30"/>
      <c r="AE1051" s="30"/>
      <c r="AF1051" s="30"/>
      <c r="AG1051" s="30"/>
      <c r="AH1051" s="30"/>
      <c r="AI1051" s="30"/>
      <c r="AJ1051" s="30"/>
      <c r="AK1051" s="30"/>
      <c r="AL1051" s="30"/>
      <c r="AM1051" s="30"/>
      <c r="AN1051" s="30"/>
      <c r="AO1051" s="30"/>
      <c r="AP1051" s="30"/>
      <c r="AQ1051" s="30"/>
      <c r="AR1051" s="30"/>
      <c r="AS1051" s="30"/>
      <c r="AT1051" s="30"/>
      <c r="AU1051" s="30"/>
      <c r="AV1051" s="30"/>
      <c r="AW1051" s="30"/>
      <c r="AX1051" s="30"/>
    </row>
    <row r="1052" spans="4:50" s="23" customFormat="1" x14ac:dyDescent="0.3">
      <c r="D1052" s="34"/>
      <c r="E1052" s="24"/>
      <c r="F1052" s="24"/>
      <c r="G1052" s="24"/>
      <c r="H1052" s="24"/>
      <c r="I1052" s="24"/>
      <c r="J1052" s="27"/>
      <c r="K1052" s="30"/>
      <c r="L1052" s="30"/>
      <c r="M1052" s="30"/>
      <c r="N1052" s="30"/>
      <c r="O1052" s="30"/>
      <c r="P1052" s="30"/>
      <c r="Q1052" s="30"/>
      <c r="R1052" s="30"/>
      <c r="S1052" s="30"/>
      <c r="T1052" s="30"/>
      <c r="U1052" s="30"/>
      <c r="V1052" s="30"/>
      <c r="W1052" s="30"/>
      <c r="X1052" s="30"/>
      <c r="Y1052" s="30"/>
      <c r="Z1052" s="30"/>
      <c r="AA1052" s="30"/>
      <c r="AB1052" s="30"/>
      <c r="AC1052" s="30"/>
      <c r="AD1052" s="30"/>
      <c r="AE1052" s="30"/>
      <c r="AF1052" s="30"/>
      <c r="AG1052" s="30"/>
      <c r="AH1052" s="30"/>
      <c r="AI1052" s="30"/>
      <c r="AJ1052" s="30"/>
      <c r="AK1052" s="30"/>
      <c r="AL1052" s="30"/>
      <c r="AM1052" s="30"/>
      <c r="AN1052" s="30"/>
      <c r="AO1052" s="30"/>
      <c r="AP1052" s="30"/>
      <c r="AQ1052" s="30"/>
      <c r="AR1052" s="30"/>
      <c r="AS1052" s="30"/>
      <c r="AT1052" s="30"/>
      <c r="AU1052" s="30"/>
      <c r="AV1052" s="30"/>
      <c r="AW1052" s="30"/>
      <c r="AX1052" s="30"/>
    </row>
    <row r="1053" spans="4:50" s="23" customFormat="1" x14ac:dyDescent="0.3">
      <c r="D1053" s="34"/>
      <c r="E1053" s="24"/>
      <c r="F1053" s="24"/>
      <c r="G1053" s="24"/>
      <c r="H1053" s="24"/>
      <c r="I1053" s="24"/>
      <c r="J1053" s="27"/>
      <c r="K1053" s="30"/>
      <c r="L1053" s="30"/>
      <c r="M1053" s="30"/>
      <c r="N1053" s="30"/>
      <c r="O1053" s="30"/>
      <c r="P1053" s="30"/>
      <c r="Q1053" s="30"/>
      <c r="R1053" s="30"/>
      <c r="S1053" s="30"/>
      <c r="T1053" s="30"/>
      <c r="U1053" s="30"/>
      <c r="V1053" s="30"/>
      <c r="W1053" s="30"/>
      <c r="X1053" s="30"/>
      <c r="Y1053" s="30"/>
      <c r="Z1053" s="30"/>
      <c r="AA1053" s="30"/>
      <c r="AB1053" s="30"/>
      <c r="AC1053" s="30"/>
      <c r="AD1053" s="30"/>
      <c r="AE1053" s="30"/>
      <c r="AF1053" s="30"/>
      <c r="AG1053" s="30"/>
      <c r="AH1053" s="30"/>
      <c r="AI1053" s="30"/>
      <c r="AJ1053" s="30"/>
      <c r="AK1053" s="30"/>
      <c r="AL1053" s="30"/>
      <c r="AM1053" s="30"/>
      <c r="AN1053" s="30"/>
      <c r="AO1053" s="30"/>
      <c r="AP1053" s="30"/>
      <c r="AQ1053" s="30"/>
      <c r="AR1053" s="30"/>
      <c r="AS1053" s="30"/>
      <c r="AT1053" s="30"/>
      <c r="AU1053" s="30"/>
      <c r="AV1053" s="30"/>
      <c r="AW1053" s="30"/>
      <c r="AX1053" s="30"/>
    </row>
    <row r="1054" spans="4:50" s="23" customFormat="1" x14ac:dyDescent="0.3">
      <c r="D1054" s="34"/>
      <c r="E1054" s="24"/>
      <c r="F1054" s="24"/>
      <c r="G1054" s="24"/>
      <c r="H1054" s="24"/>
      <c r="I1054" s="24"/>
      <c r="J1054" s="27"/>
      <c r="K1054" s="30"/>
      <c r="L1054" s="30"/>
      <c r="M1054" s="30"/>
      <c r="N1054" s="30"/>
      <c r="O1054" s="30"/>
      <c r="P1054" s="30"/>
      <c r="Q1054" s="30"/>
      <c r="R1054" s="30"/>
      <c r="S1054" s="30"/>
      <c r="T1054" s="30"/>
      <c r="U1054" s="30"/>
      <c r="V1054" s="30"/>
      <c r="W1054" s="30"/>
      <c r="X1054" s="30"/>
      <c r="Y1054" s="30"/>
      <c r="Z1054" s="30"/>
      <c r="AA1054" s="30"/>
      <c r="AB1054" s="30"/>
      <c r="AC1054" s="30"/>
      <c r="AD1054" s="30"/>
      <c r="AE1054" s="30"/>
      <c r="AF1054" s="30"/>
      <c r="AG1054" s="30"/>
      <c r="AH1054" s="30"/>
      <c r="AI1054" s="30"/>
      <c r="AJ1054" s="30"/>
      <c r="AK1054" s="30"/>
      <c r="AL1054" s="30"/>
      <c r="AM1054" s="30"/>
      <c r="AN1054" s="30"/>
      <c r="AO1054" s="30"/>
      <c r="AP1054" s="30"/>
      <c r="AQ1054" s="30"/>
      <c r="AR1054" s="30"/>
      <c r="AS1054" s="30"/>
      <c r="AT1054" s="30"/>
      <c r="AU1054" s="30"/>
      <c r="AV1054" s="30"/>
      <c r="AW1054" s="30"/>
      <c r="AX1054" s="30"/>
    </row>
    <row r="1055" spans="4:50" s="23" customFormat="1" x14ac:dyDescent="0.3">
      <c r="D1055" s="34"/>
      <c r="E1055" s="24"/>
      <c r="F1055" s="24"/>
      <c r="G1055" s="24"/>
      <c r="H1055" s="24"/>
      <c r="I1055" s="24"/>
      <c r="J1055" s="27"/>
      <c r="K1055" s="30"/>
      <c r="L1055" s="30"/>
      <c r="M1055" s="30"/>
      <c r="N1055" s="30"/>
      <c r="O1055" s="30"/>
      <c r="P1055" s="30"/>
      <c r="Q1055" s="30"/>
      <c r="R1055" s="30"/>
      <c r="S1055" s="30"/>
      <c r="T1055" s="30"/>
      <c r="U1055" s="30"/>
      <c r="V1055" s="30"/>
      <c r="W1055" s="30"/>
      <c r="X1055" s="30"/>
      <c r="Y1055" s="30"/>
      <c r="Z1055" s="30"/>
      <c r="AA1055" s="30"/>
      <c r="AB1055" s="30"/>
      <c r="AC1055" s="30"/>
      <c r="AD1055" s="30"/>
      <c r="AE1055" s="30"/>
      <c r="AF1055" s="30"/>
      <c r="AG1055" s="30"/>
      <c r="AH1055" s="30"/>
      <c r="AI1055" s="30"/>
      <c r="AJ1055" s="30"/>
      <c r="AK1055" s="30"/>
      <c r="AL1055" s="30"/>
      <c r="AM1055" s="30"/>
      <c r="AN1055" s="30"/>
      <c r="AO1055" s="30"/>
      <c r="AP1055" s="30"/>
      <c r="AQ1055" s="30"/>
      <c r="AR1055" s="30"/>
      <c r="AS1055" s="30"/>
      <c r="AT1055" s="30"/>
      <c r="AU1055" s="30"/>
      <c r="AV1055" s="30"/>
      <c r="AW1055" s="30"/>
      <c r="AX1055" s="30"/>
    </row>
    <row r="1056" spans="4:50" s="23" customFormat="1" x14ac:dyDescent="0.3">
      <c r="D1056" s="34"/>
      <c r="E1056" s="24"/>
      <c r="F1056" s="24"/>
      <c r="G1056" s="24"/>
      <c r="H1056" s="24"/>
      <c r="I1056" s="24"/>
      <c r="J1056" s="27"/>
      <c r="K1056" s="30"/>
      <c r="L1056" s="30"/>
      <c r="M1056" s="30"/>
      <c r="N1056" s="30"/>
      <c r="O1056" s="30"/>
      <c r="P1056" s="30"/>
      <c r="Q1056" s="30"/>
      <c r="R1056" s="30"/>
      <c r="S1056" s="30"/>
      <c r="T1056" s="30"/>
      <c r="U1056" s="30"/>
      <c r="V1056" s="30"/>
      <c r="W1056" s="30"/>
      <c r="X1056" s="30"/>
      <c r="Y1056" s="30"/>
      <c r="Z1056" s="30"/>
      <c r="AA1056" s="30"/>
      <c r="AB1056" s="30"/>
      <c r="AC1056" s="30"/>
      <c r="AD1056" s="30"/>
      <c r="AE1056" s="30"/>
      <c r="AF1056" s="30"/>
      <c r="AG1056" s="30"/>
      <c r="AH1056" s="30"/>
      <c r="AI1056" s="30"/>
      <c r="AJ1056" s="30"/>
      <c r="AK1056" s="30"/>
      <c r="AL1056" s="30"/>
      <c r="AM1056" s="30"/>
      <c r="AN1056" s="30"/>
      <c r="AO1056" s="30"/>
      <c r="AP1056" s="30"/>
      <c r="AQ1056" s="30"/>
      <c r="AR1056" s="30"/>
      <c r="AS1056" s="30"/>
      <c r="AT1056" s="30"/>
      <c r="AU1056" s="30"/>
      <c r="AV1056" s="30"/>
      <c r="AW1056" s="30"/>
      <c r="AX1056" s="30"/>
    </row>
    <row r="1057" spans="4:50" s="23" customFormat="1" x14ac:dyDescent="0.3">
      <c r="D1057" s="34"/>
      <c r="E1057" s="24"/>
      <c r="F1057" s="24"/>
      <c r="G1057" s="24"/>
      <c r="H1057" s="24"/>
      <c r="I1057" s="24"/>
      <c r="J1057" s="27"/>
      <c r="K1057" s="30"/>
      <c r="L1057" s="30"/>
      <c r="M1057" s="30"/>
      <c r="N1057" s="30"/>
      <c r="O1057" s="30"/>
      <c r="P1057" s="30"/>
      <c r="Q1057" s="30"/>
      <c r="R1057" s="30"/>
      <c r="S1057" s="30"/>
      <c r="T1057" s="30"/>
      <c r="U1057" s="30"/>
      <c r="V1057" s="30"/>
      <c r="W1057" s="30"/>
      <c r="X1057" s="30"/>
      <c r="Y1057" s="30"/>
      <c r="Z1057" s="30"/>
      <c r="AA1057" s="30"/>
      <c r="AB1057" s="30"/>
      <c r="AC1057" s="30"/>
      <c r="AD1057" s="30"/>
      <c r="AE1057" s="30"/>
      <c r="AF1057" s="30"/>
      <c r="AG1057" s="30"/>
      <c r="AH1057" s="30"/>
      <c r="AI1057" s="30"/>
      <c r="AJ1057" s="30"/>
      <c r="AK1057" s="30"/>
      <c r="AL1057" s="30"/>
      <c r="AM1057" s="30"/>
      <c r="AN1057" s="30"/>
      <c r="AO1057" s="30"/>
      <c r="AP1057" s="30"/>
      <c r="AQ1057" s="30"/>
      <c r="AR1057" s="30"/>
      <c r="AS1057" s="30"/>
      <c r="AT1057" s="30"/>
      <c r="AU1057" s="30"/>
      <c r="AV1057" s="30"/>
      <c r="AW1057" s="30"/>
      <c r="AX1057" s="30"/>
    </row>
    <row r="1058" spans="4:50" s="23" customFormat="1" x14ac:dyDescent="0.3">
      <c r="D1058" s="34"/>
      <c r="E1058" s="24"/>
      <c r="F1058" s="24"/>
      <c r="G1058" s="24"/>
      <c r="H1058" s="24"/>
      <c r="I1058" s="24"/>
      <c r="J1058" s="27"/>
      <c r="K1058" s="30"/>
      <c r="L1058" s="30"/>
      <c r="M1058" s="30"/>
      <c r="N1058" s="30"/>
      <c r="O1058" s="30"/>
      <c r="P1058" s="30"/>
      <c r="Q1058" s="30"/>
      <c r="R1058" s="30"/>
      <c r="S1058" s="30"/>
      <c r="T1058" s="30"/>
      <c r="U1058" s="30"/>
      <c r="V1058" s="30"/>
      <c r="W1058" s="30"/>
      <c r="X1058" s="30"/>
      <c r="Y1058" s="30"/>
      <c r="Z1058" s="30"/>
      <c r="AA1058" s="30"/>
      <c r="AB1058" s="30"/>
      <c r="AC1058" s="30"/>
      <c r="AD1058" s="30"/>
      <c r="AE1058" s="30"/>
      <c r="AF1058" s="30"/>
      <c r="AG1058" s="30"/>
      <c r="AH1058" s="30"/>
      <c r="AI1058" s="30"/>
      <c r="AJ1058" s="30"/>
      <c r="AK1058" s="30"/>
      <c r="AL1058" s="30"/>
      <c r="AM1058" s="30"/>
      <c r="AN1058" s="30"/>
      <c r="AO1058" s="30"/>
      <c r="AP1058" s="30"/>
      <c r="AQ1058" s="30"/>
      <c r="AR1058" s="30"/>
      <c r="AS1058" s="30"/>
      <c r="AT1058" s="30"/>
      <c r="AU1058" s="30"/>
      <c r="AV1058" s="30"/>
      <c r="AW1058" s="30"/>
      <c r="AX1058" s="30"/>
    </row>
    <row r="1059" spans="4:50" s="23" customFormat="1" x14ac:dyDescent="0.3">
      <c r="D1059" s="34"/>
      <c r="E1059" s="24"/>
      <c r="F1059" s="24"/>
      <c r="G1059" s="24"/>
      <c r="H1059" s="24"/>
      <c r="I1059" s="24"/>
      <c r="J1059" s="27"/>
      <c r="K1059" s="30"/>
      <c r="L1059" s="30"/>
      <c r="M1059" s="30"/>
      <c r="N1059" s="30"/>
      <c r="O1059" s="30"/>
      <c r="P1059" s="30"/>
      <c r="Q1059" s="30"/>
      <c r="R1059" s="30"/>
      <c r="S1059" s="30"/>
      <c r="T1059" s="30"/>
      <c r="U1059" s="30"/>
      <c r="V1059" s="30"/>
      <c r="W1059" s="30"/>
      <c r="X1059" s="30"/>
      <c r="Y1059" s="30"/>
      <c r="Z1059" s="30"/>
      <c r="AA1059" s="30"/>
      <c r="AB1059" s="30"/>
      <c r="AC1059" s="30"/>
      <c r="AD1059" s="30"/>
      <c r="AE1059" s="30"/>
      <c r="AF1059" s="30"/>
      <c r="AG1059" s="30"/>
      <c r="AH1059" s="30"/>
      <c r="AI1059" s="30"/>
      <c r="AJ1059" s="30"/>
      <c r="AK1059" s="30"/>
      <c r="AL1059" s="30"/>
      <c r="AM1059" s="30"/>
      <c r="AN1059" s="30"/>
      <c r="AO1059" s="30"/>
      <c r="AP1059" s="30"/>
      <c r="AQ1059" s="30"/>
      <c r="AR1059" s="30"/>
      <c r="AS1059" s="30"/>
      <c r="AT1059" s="30"/>
      <c r="AU1059" s="30"/>
      <c r="AV1059" s="30"/>
      <c r="AW1059" s="30"/>
      <c r="AX1059" s="30"/>
    </row>
    <row r="1060" spans="4:50" s="23" customFormat="1" x14ac:dyDescent="0.3">
      <c r="D1060" s="34"/>
      <c r="E1060" s="24"/>
      <c r="F1060" s="24"/>
      <c r="G1060" s="24"/>
      <c r="H1060" s="24"/>
      <c r="I1060" s="24"/>
      <c r="J1060" s="27"/>
      <c r="K1060" s="30"/>
      <c r="L1060" s="30"/>
      <c r="M1060" s="30"/>
      <c r="N1060" s="30"/>
      <c r="O1060" s="30"/>
      <c r="P1060" s="30"/>
      <c r="Q1060" s="30"/>
      <c r="R1060" s="30"/>
      <c r="S1060" s="30"/>
      <c r="T1060" s="30"/>
      <c r="U1060" s="30"/>
      <c r="V1060" s="30"/>
      <c r="W1060" s="30"/>
      <c r="X1060" s="30"/>
      <c r="Y1060" s="30"/>
      <c r="Z1060" s="30"/>
      <c r="AA1060" s="30"/>
      <c r="AB1060" s="30"/>
      <c r="AC1060" s="30"/>
      <c r="AD1060" s="30"/>
      <c r="AE1060" s="30"/>
      <c r="AF1060" s="30"/>
      <c r="AG1060" s="30"/>
      <c r="AH1060" s="30"/>
      <c r="AI1060" s="30"/>
      <c r="AJ1060" s="30"/>
      <c r="AK1060" s="30"/>
      <c r="AL1060" s="30"/>
      <c r="AM1060" s="30"/>
      <c r="AN1060" s="30"/>
      <c r="AO1060" s="30"/>
      <c r="AP1060" s="30"/>
      <c r="AQ1060" s="30"/>
      <c r="AR1060" s="30"/>
      <c r="AS1060" s="30"/>
      <c r="AT1060" s="30"/>
      <c r="AU1060" s="30"/>
      <c r="AV1060" s="30"/>
      <c r="AW1060" s="30"/>
      <c r="AX1060" s="30"/>
    </row>
    <row r="1061" spans="4:50" s="23" customFormat="1" x14ac:dyDescent="0.3">
      <c r="D1061" s="34"/>
      <c r="E1061" s="24"/>
      <c r="F1061" s="24"/>
      <c r="G1061" s="24"/>
      <c r="H1061" s="24"/>
      <c r="I1061" s="24"/>
      <c r="J1061" s="27"/>
      <c r="K1061" s="30"/>
      <c r="L1061" s="30"/>
      <c r="M1061" s="30"/>
      <c r="N1061" s="30"/>
      <c r="O1061" s="30"/>
      <c r="P1061" s="30"/>
      <c r="Q1061" s="30"/>
      <c r="R1061" s="30"/>
      <c r="S1061" s="30"/>
      <c r="T1061" s="30"/>
      <c r="U1061" s="30"/>
      <c r="V1061" s="30"/>
      <c r="W1061" s="30"/>
      <c r="X1061" s="30"/>
      <c r="Y1061" s="30"/>
      <c r="Z1061" s="30"/>
      <c r="AA1061" s="30"/>
      <c r="AB1061" s="30"/>
      <c r="AC1061" s="30"/>
      <c r="AD1061" s="30"/>
      <c r="AE1061" s="30"/>
      <c r="AF1061" s="30"/>
      <c r="AG1061" s="30"/>
      <c r="AH1061" s="30"/>
      <c r="AI1061" s="30"/>
      <c r="AJ1061" s="30"/>
      <c r="AK1061" s="30"/>
      <c r="AL1061" s="30"/>
      <c r="AM1061" s="30"/>
      <c r="AN1061" s="30"/>
      <c r="AO1061" s="30"/>
      <c r="AP1061" s="30"/>
      <c r="AQ1061" s="30"/>
      <c r="AR1061" s="30"/>
      <c r="AS1061" s="30"/>
      <c r="AT1061" s="30"/>
      <c r="AU1061" s="30"/>
      <c r="AV1061" s="30"/>
      <c r="AW1061" s="30"/>
      <c r="AX1061" s="30"/>
    </row>
    <row r="1062" spans="4:50" s="23" customFormat="1" x14ac:dyDescent="0.3">
      <c r="D1062" s="34"/>
      <c r="E1062" s="24"/>
      <c r="F1062" s="24"/>
      <c r="G1062" s="24"/>
      <c r="H1062" s="24"/>
      <c r="I1062" s="24"/>
      <c r="J1062" s="27"/>
      <c r="K1062" s="30"/>
      <c r="L1062" s="30"/>
      <c r="M1062" s="30"/>
      <c r="N1062" s="30"/>
      <c r="O1062" s="30"/>
      <c r="P1062" s="30"/>
      <c r="Q1062" s="30"/>
      <c r="R1062" s="30"/>
      <c r="S1062" s="30"/>
      <c r="T1062" s="30"/>
      <c r="U1062" s="30"/>
      <c r="V1062" s="30"/>
      <c r="W1062" s="30"/>
      <c r="X1062" s="30"/>
      <c r="Y1062" s="30"/>
      <c r="Z1062" s="30"/>
      <c r="AA1062" s="30"/>
      <c r="AB1062" s="30"/>
      <c r="AC1062" s="30"/>
      <c r="AD1062" s="30"/>
      <c r="AE1062" s="30"/>
      <c r="AF1062" s="30"/>
      <c r="AG1062" s="30"/>
      <c r="AH1062" s="30"/>
      <c r="AI1062" s="30"/>
      <c r="AJ1062" s="30"/>
      <c r="AK1062" s="30"/>
      <c r="AL1062" s="30"/>
      <c r="AM1062" s="30"/>
      <c r="AN1062" s="30"/>
      <c r="AO1062" s="30"/>
      <c r="AP1062" s="30"/>
      <c r="AQ1062" s="30"/>
      <c r="AR1062" s="30"/>
      <c r="AS1062" s="30"/>
      <c r="AT1062" s="30"/>
      <c r="AU1062" s="30"/>
      <c r="AV1062" s="30"/>
      <c r="AW1062" s="30"/>
      <c r="AX1062" s="30"/>
    </row>
    <row r="1063" spans="4:50" s="23" customFormat="1" x14ac:dyDescent="0.3">
      <c r="D1063" s="34"/>
      <c r="E1063" s="24"/>
      <c r="F1063" s="24"/>
      <c r="G1063" s="24"/>
      <c r="H1063" s="24"/>
      <c r="I1063" s="24"/>
      <c r="J1063" s="27"/>
      <c r="K1063" s="30"/>
      <c r="L1063" s="30"/>
      <c r="M1063" s="30"/>
      <c r="N1063" s="30"/>
      <c r="O1063" s="30"/>
      <c r="P1063" s="30"/>
      <c r="Q1063" s="30"/>
      <c r="R1063" s="30"/>
      <c r="S1063" s="30"/>
      <c r="T1063" s="30"/>
      <c r="U1063" s="30"/>
      <c r="V1063" s="30"/>
      <c r="W1063" s="30"/>
      <c r="X1063" s="30"/>
      <c r="Y1063" s="30"/>
      <c r="Z1063" s="30"/>
      <c r="AA1063" s="30"/>
      <c r="AB1063" s="30"/>
      <c r="AC1063" s="30"/>
      <c r="AD1063" s="30"/>
      <c r="AE1063" s="30"/>
      <c r="AF1063" s="30"/>
      <c r="AG1063" s="30"/>
      <c r="AH1063" s="30"/>
      <c r="AI1063" s="30"/>
      <c r="AJ1063" s="30"/>
      <c r="AK1063" s="30"/>
      <c r="AL1063" s="30"/>
      <c r="AM1063" s="30"/>
      <c r="AN1063" s="30"/>
      <c r="AO1063" s="30"/>
      <c r="AP1063" s="30"/>
      <c r="AQ1063" s="30"/>
      <c r="AR1063" s="30"/>
      <c r="AS1063" s="30"/>
      <c r="AT1063" s="30"/>
      <c r="AU1063" s="30"/>
      <c r="AV1063" s="30"/>
      <c r="AW1063" s="30"/>
      <c r="AX1063" s="30"/>
    </row>
    <row r="1064" spans="4:50" s="23" customFormat="1" x14ac:dyDescent="0.3">
      <c r="D1064" s="34"/>
      <c r="E1064" s="24"/>
      <c r="F1064" s="24"/>
      <c r="G1064" s="24"/>
      <c r="H1064" s="24"/>
      <c r="I1064" s="24"/>
      <c r="J1064" s="27"/>
      <c r="K1064" s="30"/>
      <c r="L1064" s="30"/>
      <c r="M1064" s="30"/>
      <c r="N1064" s="30"/>
      <c r="O1064" s="30"/>
      <c r="P1064" s="30"/>
      <c r="Q1064" s="30"/>
      <c r="R1064" s="30"/>
      <c r="S1064" s="30"/>
      <c r="T1064" s="30"/>
      <c r="U1064" s="30"/>
      <c r="V1064" s="30"/>
      <c r="W1064" s="30"/>
      <c r="X1064" s="30"/>
      <c r="Y1064" s="30"/>
      <c r="Z1064" s="30"/>
      <c r="AA1064" s="30"/>
      <c r="AB1064" s="30"/>
      <c r="AC1064" s="30"/>
      <c r="AD1064" s="30"/>
      <c r="AE1064" s="30"/>
      <c r="AF1064" s="30"/>
      <c r="AG1064" s="30"/>
      <c r="AH1064" s="30"/>
      <c r="AI1064" s="30"/>
      <c r="AJ1064" s="30"/>
      <c r="AK1064" s="30"/>
      <c r="AL1064" s="30"/>
      <c r="AM1064" s="30"/>
      <c r="AN1064" s="30"/>
      <c r="AO1064" s="30"/>
      <c r="AP1064" s="30"/>
      <c r="AQ1064" s="30"/>
      <c r="AR1064" s="30"/>
      <c r="AS1064" s="30"/>
      <c r="AT1064" s="30"/>
      <c r="AU1064" s="30"/>
      <c r="AV1064" s="30"/>
      <c r="AW1064" s="30"/>
      <c r="AX1064" s="30"/>
    </row>
    <row r="1065" spans="4:50" s="23" customFormat="1" x14ac:dyDescent="0.3">
      <c r="D1065" s="34"/>
      <c r="E1065" s="24"/>
      <c r="F1065" s="24"/>
      <c r="G1065" s="24"/>
      <c r="H1065" s="24"/>
      <c r="I1065" s="24"/>
      <c r="J1065" s="27"/>
      <c r="K1065" s="30"/>
      <c r="L1065" s="30"/>
      <c r="M1065" s="30"/>
      <c r="N1065" s="30"/>
      <c r="O1065" s="30"/>
      <c r="P1065" s="30"/>
      <c r="Q1065" s="30"/>
      <c r="R1065" s="30"/>
      <c r="S1065" s="30"/>
      <c r="T1065" s="30"/>
      <c r="U1065" s="30"/>
      <c r="V1065" s="30"/>
      <c r="W1065" s="30"/>
      <c r="X1065" s="30"/>
      <c r="Y1065" s="30"/>
      <c r="Z1065" s="30"/>
      <c r="AA1065" s="30"/>
      <c r="AB1065" s="30"/>
      <c r="AC1065" s="30"/>
      <c r="AD1065" s="30"/>
      <c r="AE1065" s="30"/>
      <c r="AF1065" s="30"/>
      <c r="AG1065" s="30"/>
      <c r="AH1065" s="30"/>
      <c r="AI1065" s="30"/>
      <c r="AJ1065" s="30"/>
      <c r="AK1065" s="30"/>
      <c r="AL1065" s="30"/>
      <c r="AM1065" s="30"/>
      <c r="AN1065" s="30"/>
      <c r="AO1065" s="30"/>
      <c r="AP1065" s="30"/>
      <c r="AQ1065" s="30"/>
      <c r="AR1065" s="30"/>
      <c r="AS1065" s="30"/>
      <c r="AT1065" s="30"/>
      <c r="AU1065" s="30"/>
      <c r="AV1065" s="30"/>
      <c r="AW1065" s="30"/>
      <c r="AX1065" s="30"/>
    </row>
    <row r="1066" spans="4:50" s="23" customFormat="1" x14ac:dyDescent="0.3">
      <c r="D1066" s="34"/>
      <c r="E1066" s="24"/>
      <c r="F1066" s="24"/>
      <c r="G1066" s="24"/>
      <c r="H1066" s="24"/>
      <c r="I1066" s="24"/>
      <c r="J1066" s="27"/>
      <c r="K1066" s="30"/>
      <c r="L1066" s="30"/>
      <c r="M1066" s="30"/>
      <c r="N1066" s="30"/>
      <c r="O1066" s="30"/>
      <c r="P1066" s="30"/>
      <c r="Q1066" s="30"/>
      <c r="R1066" s="30"/>
      <c r="S1066" s="30"/>
      <c r="T1066" s="30"/>
      <c r="U1066" s="30"/>
      <c r="V1066" s="30"/>
      <c r="W1066" s="30"/>
      <c r="X1066" s="30"/>
      <c r="Y1066" s="30"/>
      <c r="Z1066" s="30"/>
      <c r="AA1066" s="30"/>
      <c r="AB1066" s="30"/>
      <c r="AC1066" s="30"/>
      <c r="AD1066" s="30"/>
      <c r="AE1066" s="30"/>
      <c r="AF1066" s="30"/>
      <c r="AG1066" s="30"/>
      <c r="AH1066" s="30"/>
      <c r="AI1066" s="30"/>
      <c r="AJ1066" s="30"/>
      <c r="AK1066" s="30"/>
      <c r="AL1066" s="30"/>
      <c r="AM1066" s="30"/>
      <c r="AN1066" s="30"/>
      <c r="AO1066" s="30"/>
      <c r="AP1066" s="30"/>
      <c r="AQ1066" s="30"/>
      <c r="AR1066" s="30"/>
      <c r="AS1066" s="30"/>
      <c r="AT1066" s="30"/>
      <c r="AU1066" s="30"/>
      <c r="AV1066" s="30"/>
      <c r="AW1066" s="30"/>
      <c r="AX1066" s="30"/>
    </row>
    <row r="1067" spans="4:50" s="23" customFormat="1" x14ac:dyDescent="0.3">
      <c r="D1067" s="34"/>
      <c r="E1067" s="24"/>
      <c r="F1067" s="24"/>
      <c r="G1067" s="24"/>
      <c r="H1067" s="24"/>
      <c r="I1067" s="24"/>
      <c r="J1067" s="27"/>
      <c r="K1067" s="30"/>
      <c r="L1067" s="30"/>
      <c r="M1067" s="30"/>
      <c r="N1067" s="30"/>
      <c r="O1067" s="30"/>
      <c r="P1067" s="30"/>
      <c r="Q1067" s="30"/>
      <c r="R1067" s="30"/>
      <c r="S1067" s="30"/>
      <c r="T1067" s="30"/>
      <c r="U1067" s="30"/>
      <c r="V1067" s="30"/>
      <c r="W1067" s="30"/>
      <c r="X1067" s="30"/>
      <c r="Y1067" s="30"/>
      <c r="Z1067" s="30"/>
      <c r="AA1067" s="30"/>
      <c r="AB1067" s="30"/>
      <c r="AC1067" s="30"/>
      <c r="AD1067" s="30"/>
      <c r="AE1067" s="30"/>
      <c r="AF1067" s="30"/>
      <c r="AG1067" s="30"/>
      <c r="AH1067" s="30"/>
      <c r="AI1067" s="30"/>
      <c r="AJ1067" s="30"/>
      <c r="AK1067" s="30"/>
      <c r="AL1067" s="30"/>
      <c r="AM1067" s="30"/>
      <c r="AN1067" s="30"/>
      <c r="AO1067" s="30"/>
      <c r="AP1067" s="30"/>
      <c r="AQ1067" s="30"/>
      <c r="AR1067" s="30"/>
      <c r="AS1067" s="30"/>
      <c r="AT1067" s="30"/>
      <c r="AU1067" s="30"/>
      <c r="AV1067" s="30"/>
      <c r="AW1067" s="30"/>
      <c r="AX1067" s="30"/>
    </row>
    <row r="1068" spans="4:50" s="23" customFormat="1" x14ac:dyDescent="0.3">
      <c r="D1068" s="34"/>
      <c r="E1068" s="24"/>
      <c r="F1068" s="24"/>
      <c r="G1068" s="24"/>
      <c r="H1068" s="24"/>
      <c r="I1068" s="24"/>
      <c r="J1068" s="27"/>
      <c r="K1068" s="30"/>
      <c r="L1068" s="30"/>
      <c r="M1068" s="30"/>
      <c r="N1068" s="30"/>
      <c r="O1068" s="30"/>
      <c r="P1068" s="30"/>
      <c r="Q1068" s="30"/>
      <c r="R1068" s="30"/>
      <c r="S1068" s="30"/>
      <c r="T1068" s="30"/>
      <c r="U1068" s="30"/>
      <c r="V1068" s="30"/>
      <c r="W1068" s="30"/>
      <c r="X1068" s="30"/>
      <c r="Y1068" s="30"/>
      <c r="Z1068" s="30"/>
      <c r="AA1068" s="30"/>
      <c r="AB1068" s="30"/>
      <c r="AC1068" s="30"/>
      <c r="AD1068" s="30"/>
      <c r="AE1068" s="30"/>
      <c r="AF1068" s="30"/>
      <c r="AG1068" s="30"/>
      <c r="AH1068" s="30"/>
      <c r="AI1068" s="30"/>
      <c r="AJ1068" s="30"/>
      <c r="AK1068" s="30"/>
      <c r="AL1068" s="30"/>
      <c r="AM1068" s="30"/>
      <c r="AN1068" s="30"/>
      <c r="AO1068" s="30"/>
      <c r="AP1068" s="30"/>
      <c r="AQ1068" s="30"/>
      <c r="AR1068" s="30"/>
      <c r="AS1068" s="30"/>
      <c r="AT1068" s="30"/>
      <c r="AU1068" s="30"/>
      <c r="AV1068" s="30"/>
      <c r="AW1068" s="30"/>
      <c r="AX1068" s="30"/>
    </row>
    <row r="1069" spans="4:50" s="23" customFormat="1" x14ac:dyDescent="0.3">
      <c r="D1069" s="34"/>
      <c r="E1069" s="24"/>
      <c r="F1069" s="24"/>
      <c r="G1069" s="24"/>
      <c r="H1069" s="24"/>
      <c r="I1069" s="24"/>
      <c r="J1069" s="27"/>
      <c r="K1069" s="30"/>
      <c r="L1069" s="30"/>
      <c r="M1069" s="30"/>
      <c r="N1069" s="30"/>
      <c r="O1069" s="30"/>
      <c r="P1069" s="30"/>
      <c r="Q1069" s="30"/>
      <c r="R1069" s="30"/>
      <c r="S1069" s="30"/>
      <c r="T1069" s="30"/>
      <c r="U1069" s="30"/>
      <c r="V1069" s="30"/>
      <c r="W1069" s="30"/>
      <c r="X1069" s="30"/>
      <c r="Y1069" s="30"/>
      <c r="Z1069" s="30"/>
      <c r="AA1069" s="30"/>
      <c r="AB1069" s="30"/>
      <c r="AC1069" s="30"/>
      <c r="AD1069" s="30"/>
      <c r="AE1069" s="30"/>
      <c r="AF1069" s="30"/>
      <c r="AG1069" s="30"/>
      <c r="AH1069" s="30"/>
      <c r="AI1069" s="30"/>
      <c r="AJ1069" s="30"/>
      <c r="AK1069" s="30"/>
      <c r="AL1069" s="30"/>
      <c r="AM1069" s="30"/>
      <c r="AN1069" s="30"/>
      <c r="AO1069" s="30"/>
      <c r="AP1069" s="30"/>
      <c r="AQ1069" s="30"/>
      <c r="AR1069" s="30"/>
      <c r="AS1069" s="30"/>
      <c r="AT1069" s="30"/>
      <c r="AU1069" s="30"/>
      <c r="AV1069" s="30"/>
      <c r="AW1069" s="30"/>
      <c r="AX1069" s="30"/>
    </row>
    <row r="1070" spans="4:50" s="23" customFormat="1" x14ac:dyDescent="0.3">
      <c r="D1070" s="34"/>
      <c r="E1070" s="24"/>
      <c r="F1070" s="24"/>
      <c r="G1070" s="24"/>
      <c r="H1070" s="24"/>
      <c r="I1070" s="24"/>
      <c r="J1070" s="27"/>
      <c r="K1070" s="30"/>
      <c r="L1070" s="30"/>
      <c r="M1070" s="30"/>
      <c r="N1070" s="30"/>
      <c r="O1070" s="30"/>
      <c r="P1070" s="30"/>
      <c r="Q1070" s="30"/>
      <c r="R1070" s="30"/>
      <c r="S1070" s="30"/>
      <c r="T1070" s="30"/>
      <c r="U1070" s="30"/>
      <c r="V1070" s="30"/>
      <c r="W1070" s="30"/>
      <c r="X1070" s="30"/>
      <c r="Y1070" s="30"/>
      <c r="Z1070" s="30"/>
      <c r="AA1070" s="30"/>
      <c r="AB1070" s="30"/>
      <c r="AC1070" s="30"/>
      <c r="AD1070" s="30"/>
      <c r="AE1070" s="30"/>
      <c r="AF1070" s="30"/>
      <c r="AG1070" s="30"/>
      <c r="AH1070" s="30"/>
      <c r="AI1070" s="30"/>
      <c r="AJ1070" s="30"/>
      <c r="AK1070" s="30"/>
      <c r="AL1070" s="30"/>
      <c r="AM1070" s="30"/>
      <c r="AN1070" s="30"/>
      <c r="AO1070" s="30"/>
      <c r="AP1070" s="30"/>
      <c r="AQ1070" s="30"/>
      <c r="AR1070" s="30"/>
      <c r="AS1070" s="30"/>
      <c r="AT1070" s="30"/>
      <c r="AU1070" s="30"/>
      <c r="AV1070" s="30"/>
      <c r="AW1070" s="30"/>
      <c r="AX1070" s="30"/>
    </row>
    <row r="1071" spans="4:50" s="23" customFormat="1" x14ac:dyDescent="0.3">
      <c r="D1071" s="34"/>
      <c r="E1071" s="24"/>
      <c r="F1071" s="24"/>
      <c r="G1071" s="24"/>
      <c r="H1071" s="24"/>
      <c r="I1071" s="24"/>
      <c r="J1071" s="27"/>
      <c r="K1071" s="30"/>
      <c r="L1071" s="30"/>
      <c r="M1071" s="30"/>
      <c r="N1071" s="30"/>
      <c r="O1071" s="30"/>
      <c r="P1071" s="30"/>
      <c r="Q1071" s="30"/>
      <c r="R1071" s="30"/>
      <c r="S1071" s="30"/>
      <c r="T1071" s="30"/>
      <c r="U1071" s="30"/>
      <c r="V1071" s="30"/>
      <c r="W1071" s="30"/>
      <c r="X1071" s="30"/>
      <c r="Y1071" s="30"/>
      <c r="Z1071" s="30"/>
      <c r="AA1071" s="30"/>
      <c r="AB1071" s="30"/>
      <c r="AC1071" s="30"/>
      <c r="AD1071" s="30"/>
      <c r="AE1071" s="30"/>
      <c r="AF1071" s="30"/>
      <c r="AG1071" s="30"/>
      <c r="AH1071" s="30"/>
      <c r="AI1071" s="30"/>
      <c r="AJ1071" s="30"/>
      <c r="AK1071" s="30"/>
      <c r="AL1071" s="30"/>
      <c r="AM1071" s="30"/>
      <c r="AN1071" s="30"/>
      <c r="AO1071" s="30"/>
      <c r="AP1071" s="30"/>
      <c r="AQ1071" s="30"/>
      <c r="AR1071" s="30"/>
      <c r="AS1071" s="30"/>
      <c r="AT1071" s="30"/>
      <c r="AU1071" s="30"/>
      <c r="AV1071" s="30"/>
      <c r="AW1071" s="30"/>
      <c r="AX1071" s="30"/>
    </row>
    <row r="1072" spans="4:50" s="23" customFormat="1" x14ac:dyDescent="0.3">
      <c r="D1072" s="34"/>
      <c r="E1072" s="24"/>
      <c r="F1072" s="24"/>
      <c r="G1072" s="24"/>
      <c r="H1072" s="24"/>
      <c r="I1072" s="24"/>
      <c r="J1072" s="27"/>
      <c r="K1072" s="30"/>
      <c r="L1072" s="30"/>
      <c r="M1072" s="30"/>
      <c r="N1072" s="30"/>
      <c r="O1072" s="30"/>
      <c r="P1072" s="30"/>
      <c r="Q1072" s="30"/>
      <c r="R1072" s="30"/>
      <c r="S1072" s="30"/>
      <c r="T1072" s="30"/>
      <c r="U1072" s="30"/>
      <c r="V1072" s="30"/>
      <c r="W1072" s="30"/>
      <c r="X1072" s="30"/>
      <c r="Y1072" s="30"/>
      <c r="Z1072" s="30"/>
      <c r="AA1072" s="30"/>
      <c r="AB1072" s="30"/>
      <c r="AC1072" s="30"/>
      <c r="AD1072" s="30"/>
      <c r="AE1072" s="30"/>
      <c r="AF1072" s="30"/>
      <c r="AG1072" s="30"/>
      <c r="AH1072" s="30"/>
      <c r="AI1072" s="30"/>
      <c r="AJ1072" s="30"/>
      <c r="AK1072" s="30"/>
      <c r="AL1072" s="30"/>
      <c r="AM1072" s="30"/>
      <c r="AN1072" s="30"/>
      <c r="AO1072" s="30"/>
      <c r="AP1072" s="30"/>
      <c r="AQ1072" s="30"/>
      <c r="AR1072" s="30"/>
      <c r="AS1072" s="30"/>
      <c r="AT1072" s="30"/>
      <c r="AU1072" s="30"/>
      <c r="AV1072" s="30"/>
      <c r="AW1072" s="30"/>
      <c r="AX1072" s="30"/>
    </row>
    <row r="1073" spans="4:50" s="23" customFormat="1" x14ac:dyDescent="0.3">
      <c r="D1073" s="34"/>
      <c r="E1073" s="24"/>
      <c r="F1073" s="24"/>
      <c r="G1073" s="24"/>
      <c r="H1073" s="24"/>
      <c r="I1073" s="24"/>
      <c r="J1073" s="27"/>
      <c r="K1073" s="30"/>
      <c r="L1073" s="30"/>
      <c r="M1073" s="30"/>
      <c r="N1073" s="30"/>
      <c r="O1073" s="30"/>
      <c r="P1073" s="30"/>
      <c r="Q1073" s="30"/>
      <c r="R1073" s="30"/>
      <c r="S1073" s="30"/>
      <c r="T1073" s="30"/>
      <c r="U1073" s="30"/>
      <c r="V1073" s="30"/>
      <c r="W1073" s="30"/>
      <c r="X1073" s="30"/>
      <c r="Y1073" s="30"/>
      <c r="Z1073" s="30"/>
      <c r="AA1073" s="30"/>
      <c r="AB1073" s="30"/>
      <c r="AC1073" s="30"/>
      <c r="AD1073" s="30"/>
      <c r="AE1073" s="30"/>
      <c r="AF1073" s="30"/>
      <c r="AG1073" s="30"/>
      <c r="AH1073" s="30"/>
      <c r="AI1073" s="30"/>
      <c r="AJ1073" s="30"/>
      <c r="AK1073" s="30"/>
      <c r="AL1073" s="30"/>
      <c r="AM1073" s="30"/>
      <c r="AN1073" s="30"/>
      <c r="AO1073" s="30"/>
      <c r="AP1073" s="30"/>
      <c r="AQ1073" s="30"/>
      <c r="AR1073" s="30"/>
      <c r="AS1073" s="30"/>
      <c r="AT1073" s="30"/>
      <c r="AU1073" s="30"/>
      <c r="AV1073" s="30"/>
      <c r="AW1073" s="30"/>
      <c r="AX1073" s="30"/>
    </row>
    <row r="1074" spans="4:50" s="23" customFormat="1" x14ac:dyDescent="0.3">
      <c r="D1074" s="34"/>
      <c r="E1074" s="24"/>
      <c r="F1074" s="24"/>
      <c r="G1074" s="24"/>
      <c r="H1074" s="24"/>
      <c r="I1074" s="24"/>
      <c r="J1074" s="27"/>
      <c r="K1074" s="30"/>
      <c r="L1074" s="30"/>
      <c r="M1074" s="30"/>
      <c r="N1074" s="30"/>
      <c r="O1074" s="30"/>
      <c r="P1074" s="30"/>
      <c r="Q1074" s="30"/>
      <c r="R1074" s="30"/>
      <c r="S1074" s="30"/>
      <c r="T1074" s="30"/>
      <c r="U1074" s="30"/>
      <c r="V1074" s="30"/>
      <c r="W1074" s="30"/>
      <c r="X1074" s="30"/>
      <c r="Y1074" s="30"/>
      <c r="Z1074" s="30"/>
      <c r="AA1074" s="30"/>
      <c r="AB1074" s="30"/>
      <c r="AC1074" s="30"/>
      <c r="AD1074" s="30"/>
      <c r="AE1074" s="30"/>
      <c r="AF1074" s="30"/>
      <c r="AG1074" s="30"/>
      <c r="AH1074" s="30"/>
      <c r="AI1074" s="30"/>
      <c r="AJ1074" s="30"/>
      <c r="AK1074" s="30"/>
      <c r="AL1074" s="30"/>
      <c r="AM1074" s="30"/>
      <c r="AN1074" s="30"/>
      <c r="AO1074" s="30"/>
      <c r="AP1074" s="30"/>
      <c r="AQ1074" s="30"/>
      <c r="AR1074" s="30"/>
      <c r="AS1074" s="30"/>
      <c r="AT1074" s="30"/>
      <c r="AU1074" s="30"/>
      <c r="AV1074" s="30"/>
      <c r="AW1074" s="30"/>
      <c r="AX1074" s="30"/>
    </row>
    <row r="1075" spans="4:50" s="23" customFormat="1" x14ac:dyDescent="0.3">
      <c r="D1075" s="34"/>
      <c r="E1075" s="24"/>
      <c r="F1075" s="24"/>
      <c r="G1075" s="24"/>
      <c r="H1075" s="24"/>
      <c r="I1075" s="24"/>
      <c r="J1075" s="27"/>
      <c r="K1075" s="30"/>
      <c r="L1075" s="30"/>
      <c r="M1075" s="30"/>
      <c r="N1075" s="30"/>
      <c r="O1075" s="30"/>
      <c r="P1075" s="30"/>
      <c r="Q1075" s="30"/>
      <c r="R1075" s="30"/>
      <c r="S1075" s="30"/>
      <c r="T1075" s="30"/>
      <c r="U1075" s="30"/>
      <c r="V1075" s="30"/>
      <c r="W1075" s="30"/>
      <c r="X1075" s="30"/>
      <c r="Y1075" s="30"/>
      <c r="Z1075" s="30"/>
      <c r="AA1075" s="30"/>
      <c r="AB1075" s="30"/>
      <c r="AC1075" s="30"/>
      <c r="AD1075" s="30"/>
      <c r="AE1075" s="30"/>
      <c r="AF1075" s="30"/>
      <c r="AG1075" s="30"/>
      <c r="AH1075" s="30"/>
      <c r="AI1075" s="30"/>
      <c r="AJ1075" s="30"/>
      <c r="AK1075" s="30"/>
      <c r="AL1075" s="30"/>
      <c r="AM1075" s="30"/>
      <c r="AN1075" s="30"/>
      <c r="AO1075" s="30"/>
      <c r="AP1075" s="30"/>
      <c r="AQ1075" s="30"/>
      <c r="AR1075" s="30"/>
      <c r="AS1075" s="30"/>
      <c r="AT1075" s="30"/>
      <c r="AU1075" s="30"/>
      <c r="AV1075" s="30"/>
      <c r="AW1075" s="30"/>
      <c r="AX1075" s="30"/>
    </row>
    <row r="1076" spans="4:50" s="23" customFormat="1" x14ac:dyDescent="0.3">
      <c r="D1076" s="34"/>
      <c r="E1076" s="24"/>
      <c r="F1076" s="24"/>
      <c r="G1076" s="24"/>
      <c r="H1076" s="24"/>
      <c r="I1076" s="24"/>
      <c r="J1076" s="27"/>
      <c r="K1076" s="30"/>
      <c r="L1076" s="30"/>
      <c r="M1076" s="30"/>
      <c r="N1076" s="30"/>
      <c r="O1076" s="30"/>
      <c r="P1076" s="30"/>
      <c r="Q1076" s="30"/>
      <c r="R1076" s="30"/>
      <c r="S1076" s="30"/>
      <c r="T1076" s="30"/>
      <c r="U1076" s="30"/>
      <c r="V1076" s="30"/>
      <c r="W1076" s="30"/>
      <c r="X1076" s="30"/>
      <c r="Y1076" s="30"/>
      <c r="Z1076" s="30"/>
      <c r="AA1076" s="30"/>
      <c r="AB1076" s="30"/>
      <c r="AC1076" s="30"/>
      <c r="AD1076" s="30"/>
      <c r="AE1076" s="30"/>
      <c r="AF1076" s="30"/>
      <c r="AG1076" s="30"/>
      <c r="AH1076" s="30"/>
      <c r="AI1076" s="30"/>
      <c r="AJ1076" s="30"/>
      <c r="AK1076" s="30"/>
      <c r="AL1076" s="30"/>
      <c r="AM1076" s="30"/>
      <c r="AN1076" s="30"/>
      <c r="AO1076" s="30"/>
      <c r="AP1076" s="30"/>
      <c r="AQ1076" s="30"/>
      <c r="AR1076" s="30"/>
      <c r="AS1076" s="30"/>
      <c r="AT1076" s="30"/>
      <c r="AU1076" s="30"/>
      <c r="AV1076" s="30"/>
      <c r="AW1076" s="30"/>
      <c r="AX1076" s="30"/>
    </row>
    <row r="1077" spans="4:50" s="23" customFormat="1" x14ac:dyDescent="0.3">
      <c r="D1077" s="34"/>
      <c r="E1077" s="24"/>
      <c r="F1077" s="24"/>
      <c r="G1077" s="24"/>
      <c r="H1077" s="24"/>
      <c r="I1077" s="24"/>
      <c r="J1077" s="27"/>
      <c r="K1077" s="30"/>
      <c r="L1077" s="30"/>
      <c r="M1077" s="30"/>
      <c r="N1077" s="30"/>
      <c r="O1077" s="30"/>
      <c r="P1077" s="30"/>
      <c r="Q1077" s="30"/>
      <c r="R1077" s="30"/>
      <c r="S1077" s="30"/>
      <c r="T1077" s="30"/>
      <c r="U1077" s="30"/>
      <c r="V1077" s="30"/>
      <c r="W1077" s="30"/>
      <c r="X1077" s="30"/>
      <c r="Y1077" s="30"/>
      <c r="Z1077" s="30"/>
      <c r="AA1077" s="30"/>
      <c r="AB1077" s="30"/>
      <c r="AC1077" s="30"/>
      <c r="AD1077" s="30"/>
      <c r="AE1077" s="30"/>
      <c r="AF1077" s="30"/>
      <c r="AG1077" s="30"/>
      <c r="AH1077" s="30"/>
      <c r="AI1077" s="30"/>
      <c r="AJ1077" s="30"/>
      <c r="AK1077" s="30"/>
      <c r="AL1077" s="30"/>
      <c r="AM1077" s="30"/>
      <c r="AN1077" s="30"/>
      <c r="AO1077" s="30"/>
      <c r="AP1077" s="30"/>
      <c r="AQ1077" s="30"/>
      <c r="AR1077" s="30"/>
      <c r="AS1077" s="30"/>
      <c r="AT1077" s="30"/>
      <c r="AU1077" s="30"/>
      <c r="AV1077" s="30"/>
      <c r="AW1077" s="30"/>
      <c r="AX1077" s="30"/>
    </row>
    <row r="1078" spans="4:50" s="23" customFormat="1" x14ac:dyDescent="0.3">
      <c r="D1078" s="34"/>
      <c r="E1078" s="24"/>
      <c r="F1078" s="24"/>
      <c r="G1078" s="24"/>
      <c r="H1078" s="24"/>
      <c r="I1078" s="24"/>
      <c r="J1078" s="27"/>
      <c r="K1078" s="30"/>
      <c r="L1078" s="30"/>
      <c r="M1078" s="30"/>
      <c r="N1078" s="30"/>
      <c r="O1078" s="30"/>
      <c r="P1078" s="30"/>
      <c r="Q1078" s="30"/>
      <c r="R1078" s="30"/>
      <c r="S1078" s="30"/>
      <c r="T1078" s="30"/>
      <c r="U1078" s="30"/>
      <c r="V1078" s="30"/>
      <c r="W1078" s="30"/>
      <c r="X1078" s="30"/>
      <c r="Y1078" s="30"/>
      <c r="Z1078" s="30"/>
      <c r="AA1078" s="30"/>
      <c r="AB1078" s="30"/>
      <c r="AC1078" s="30"/>
      <c r="AD1078" s="30"/>
      <c r="AE1078" s="30"/>
      <c r="AF1078" s="30"/>
      <c r="AG1078" s="30"/>
      <c r="AH1078" s="30"/>
      <c r="AI1078" s="30"/>
      <c r="AJ1078" s="30"/>
      <c r="AK1078" s="30"/>
      <c r="AL1078" s="30"/>
      <c r="AM1078" s="30"/>
      <c r="AN1078" s="30"/>
      <c r="AO1078" s="30"/>
      <c r="AP1078" s="30"/>
      <c r="AQ1078" s="30"/>
      <c r="AR1078" s="30"/>
      <c r="AS1078" s="30"/>
      <c r="AT1078" s="30"/>
      <c r="AU1078" s="30"/>
      <c r="AV1078" s="30"/>
      <c r="AW1078" s="30"/>
      <c r="AX1078" s="30"/>
    </row>
    <row r="1079" spans="4:50" s="23" customFormat="1" x14ac:dyDescent="0.3">
      <c r="D1079" s="34"/>
      <c r="E1079" s="24"/>
      <c r="F1079" s="24"/>
      <c r="G1079" s="24"/>
      <c r="H1079" s="24"/>
      <c r="I1079" s="24"/>
      <c r="J1079" s="27"/>
      <c r="K1079" s="30"/>
      <c r="L1079" s="30"/>
      <c r="M1079" s="30"/>
      <c r="N1079" s="30"/>
      <c r="O1079" s="30"/>
      <c r="P1079" s="30"/>
      <c r="Q1079" s="30"/>
      <c r="R1079" s="30"/>
      <c r="S1079" s="30"/>
      <c r="T1079" s="30"/>
      <c r="U1079" s="30"/>
      <c r="V1079" s="30"/>
      <c r="W1079" s="30"/>
      <c r="X1079" s="30"/>
      <c r="Y1079" s="30"/>
      <c r="Z1079" s="30"/>
      <c r="AA1079" s="30"/>
      <c r="AB1079" s="30"/>
      <c r="AC1079" s="30"/>
      <c r="AD1079" s="30"/>
      <c r="AE1079" s="30"/>
      <c r="AF1079" s="30"/>
      <c r="AG1079" s="30"/>
      <c r="AH1079" s="30"/>
      <c r="AI1079" s="30"/>
      <c r="AJ1079" s="30"/>
      <c r="AK1079" s="30"/>
      <c r="AL1079" s="30"/>
      <c r="AM1079" s="30"/>
      <c r="AN1079" s="30"/>
      <c r="AO1079" s="30"/>
      <c r="AP1079" s="30"/>
      <c r="AQ1079" s="30"/>
      <c r="AR1079" s="30"/>
      <c r="AS1079" s="30"/>
      <c r="AT1079" s="30"/>
      <c r="AU1079" s="30"/>
      <c r="AV1079" s="30"/>
      <c r="AW1079" s="30"/>
      <c r="AX1079" s="30"/>
    </row>
    <row r="1080" spans="4:50" s="23" customFormat="1" x14ac:dyDescent="0.3">
      <c r="D1080" s="34"/>
      <c r="E1080" s="24"/>
      <c r="F1080" s="24"/>
      <c r="G1080" s="24"/>
      <c r="H1080" s="24"/>
      <c r="I1080" s="24"/>
      <c r="J1080" s="27"/>
      <c r="K1080" s="30"/>
      <c r="L1080" s="30"/>
      <c r="M1080" s="30"/>
      <c r="N1080" s="30"/>
      <c r="O1080" s="30"/>
      <c r="P1080" s="30"/>
      <c r="Q1080" s="30"/>
      <c r="R1080" s="30"/>
      <c r="S1080" s="30"/>
      <c r="T1080" s="30"/>
      <c r="U1080" s="30"/>
      <c r="V1080" s="30"/>
      <c r="W1080" s="30"/>
      <c r="X1080" s="30"/>
      <c r="Y1080" s="30"/>
      <c r="Z1080" s="30"/>
      <c r="AA1080" s="30"/>
      <c r="AB1080" s="30"/>
      <c r="AC1080" s="30"/>
      <c r="AD1080" s="30"/>
      <c r="AE1080" s="30"/>
      <c r="AF1080" s="30"/>
      <c r="AG1080" s="30"/>
      <c r="AH1080" s="30"/>
      <c r="AI1080" s="30"/>
      <c r="AJ1080" s="30"/>
      <c r="AK1080" s="30"/>
      <c r="AL1080" s="30"/>
      <c r="AM1080" s="30"/>
      <c r="AN1080" s="30"/>
      <c r="AO1080" s="30"/>
      <c r="AP1080" s="30"/>
      <c r="AQ1080" s="30"/>
      <c r="AR1080" s="30"/>
      <c r="AS1080" s="30"/>
      <c r="AT1080" s="30"/>
      <c r="AU1080" s="30"/>
      <c r="AV1080" s="30"/>
      <c r="AW1080" s="30"/>
      <c r="AX1080" s="30"/>
    </row>
    <row r="1081" spans="4:50" s="23" customFormat="1" x14ac:dyDescent="0.3">
      <c r="D1081" s="34"/>
      <c r="E1081" s="24"/>
      <c r="F1081" s="24"/>
      <c r="G1081" s="24"/>
      <c r="H1081" s="24"/>
      <c r="I1081" s="24"/>
      <c r="J1081" s="27"/>
      <c r="K1081" s="30"/>
      <c r="L1081" s="30"/>
      <c r="M1081" s="30"/>
      <c r="N1081" s="30"/>
      <c r="O1081" s="30"/>
      <c r="P1081" s="30"/>
      <c r="Q1081" s="30"/>
      <c r="R1081" s="30"/>
      <c r="S1081" s="30"/>
      <c r="T1081" s="30"/>
      <c r="U1081" s="30"/>
      <c r="V1081" s="30"/>
      <c r="W1081" s="30"/>
      <c r="X1081" s="30"/>
      <c r="Y1081" s="30"/>
      <c r="Z1081" s="30"/>
      <c r="AA1081" s="30"/>
      <c r="AB1081" s="30"/>
      <c r="AC1081" s="30"/>
      <c r="AD1081" s="30"/>
      <c r="AE1081" s="30"/>
      <c r="AF1081" s="30"/>
      <c r="AG1081" s="30"/>
      <c r="AH1081" s="30"/>
      <c r="AI1081" s="30"/>
      <c r="AJ1081" s="30"/>
      <c r="AK1081" s="30"/>
      <c r="AL1081" s="30"/>
      <c r="AM1081" s="30"/>
      <c r="AN1081" s="30"/>
      <c r="AO1081" s="30"/>
      <c r="AP1081" s="30"/>
      <c r="AQ1081" s="30"/>
      <c r="AR1081" s="30"/>
      <c r="AS1081" s="30"/>
      <c r="AT1081" s="30"/>
      <c r="AU1081" s="30"/>
      <c r="AV1081" s="30"/>
      <c r="AW1081" s="30"/>
      <c r="AX1081" s="30"/>
    </row>
    <row r="1082" spans="4:50" s="23" customFormat="1" x14ac:dyDescent="0.3">
      <c r="D1082" s="34"/>
      <c r="E1082" s="24"/>
      <c r="F1082" s="24"/>
      <c r="G1082" s="24"/>
      <c r="H1082" s="24"/>
      <c r="I1082" s="24"/>
      <c r="J1082" s="27"/>
      <c r="K1082" s="30"/>
      <c r="L1082" s="30"/>
      <c r="M1082" s="30"/>
      <c r="N1082" s="30"/>
      <c r="O1082" s="30"/>
      <c r="P1082" s="30"/>
      <c r="Q1082" s="30"/>
      <c r="R1082" s="30"/>
      <c r="S1082" s="30"/>
      <c r="T1082" s="30"/>
      <c r="U1082" s="30"/>
      <c r="V1082" s="30"/>
      <c r="W1082" s="30"/>
      <c r="X1082" s="30"/>
      <c r="Y1082" s="30"/>
      <c r="Z1082" s="30"/>
      <c r="AA1082" s="30"/>
      <c r="AB1082" s="30"/>
      <c r="AC1082" s="30"/>
      <c r="AD1082" s="30"/>
      <c r="AE1082" s="30"/>
      <c r="AF1082" s="30"/>
      <c r="AG1082" s="30"/>
      <c r="AH1082" s="30"/>
      <c r="AI1082" s="30"/>
      <c r="AJ1082" s="30"/>
      <c r="AK1082" s="30"/>
      <c r="AL1082" s="30"/>
      <c r="AM1082" s="30"/>
      <c r="AN1082" s="30"/>
      <c r="AO1082" s="30"/>
      <c r="AP1082" s="30"/>
      <c r="AQ1082" s="30"/>
      <c r="AR1082" s="30"/>
      <c r="AS1082" s="30"/>
      <c r="AT1082" s="30"/>
      <c r="AU1082" s="30"/>
      <c r="AV1082" s="30"/>
      <c r="AW1082" s="30"/>
      <c r="AX1082" s="30"/>
    </row>
    <row r="1083" spans="4:50" s="23" customFormat="1" x14ac:dyDescent="0.3">
      <c r="D1083" s="34"/>
      <c r="E1083" s="24"/>
      <c r="F1083" s="24"/>
      <c r="G1083" s="24"/>
      <c r="H1083" s="24"/>
      <c r="I1083" s="24"/>
      <c r="J1083" s="27"/>
      <c r="K1083" s="30"/>
      <c r="L1083" s="30"/>
      <c r="M1083" s="30"/>
      <c r="N1083" s="30"/>
      <c r="O1083" s="30"/>
      <c r="P1083" s="30"/>
      <c r="Q1083" s="30"/>
      <c r="R1083" s="30"/>
      <c r="S1083" s="30"/>
      <c r="T1083" s="30"/>
      <c r="U1083" s="30"/>
      <c r="V1083" s="30"/>
      <c r="W1083" s="30"/>
      <c r="X1083" s="30"/>
      <c r="Y1083" s="30"/>
      <c r="Z1083" s="30"/>
      <c r="AA1083" s="30"/>
      <c r="AB1083" s="30"/>
      <c r="AC1083" s="30"/>
      <c r="AD1083" s="30"/>
      <c r="AE1083" s="30"/>
      <c r="AF1083" s="30"/>
      <c r="AG1083" s="30"/>
      <c r="AH1083" s="30"/>
      <c r="AI1083" s="30"/>
      <c r="AJ1083" s="30"/>
      <c r="AK1083" s="30"/>
      <c r="AL1083" s="30"/>
      <c r="AM1083" s="30"/>
      <c r="AN1083" s="30"/>
      <c r="AO1083" s="30"/>
      <c r="AP1083" s="30"/>
      <c r="AQ1083" s="30"/>
      <c r="AR1083" s="30"/>
      <c r="AS1083" s="30"/>
      <c r="AT1083" s="30"/>
      <c r="AU1083" s="30"/>
      <c r="AV1083" s="30"/>
      <c r="AW1083" s="30"/>
      <c r="AX1083" s="30"/>
    </row>
    <row r="1084" spans="4:50" s="23" customFormat="1" x14ac:dyDescent="0.3">
      <c r="D1084" s="34"/>
      <c r="E1084" s="24"/>
      <c r="F1084" s="24"/>
      <c r="G1084" s="24"/>
      <c r="H1084" s="24"/>
      <c r="I1084" s="24"/>
      <c r="J1084" s="27"/>
      <c r="K1084" s="30"/>
      <c r="L1084" s="30"/>
      <c r="M1084" s="30"/>
      <c r="N1084" s="30"/>
      <c r="O1084" s="30"/>
      <c r="P1084" s="30"/>
      <c r="Q1084" s="30"/>
      <c r="R1084" s="30"/>
      <c r="S1084" s="30"/>
      <c r="T1084" s="30"/>
      <c r="U1084" s="30"/>
      <c r="V1084" s="30"/>
      <c r="W1084" s="30"/>
      <c r="X1084" s="30"/>
      <c r="Y1084" s="30"/>
      <c r="Z1084" s="30"/>
      <c r="AA1084" s="30"/>
      <c r="AB1084" s="30"/>
      <c r="AC1084" s="30"/>
      <c r="AD1084" s="30"/>
      <c r="AE1084" s="30"/>
      <c r="AF1084" s="30"/>
      <c r="AG1084" s="30"/>
      <c r="AH1084" s="30"/>
      <c r="AI1084" s="30"/>
      <c r="AJ1084" s="30"/>
      <c r="AK1084" s="30"/>
      <c r="AL1084" s="30"/>
      <c r="AM1084" s="30"/>
      <c r="AN1084" s="30"/>
      <c r="AO1084" s="30"/>
      <c r="AP1084" s="30"/>
      <c r="AQ1084" s="30"/>
      <c r="AR1084" s="30"/>
      <c r="AS1084" s="30"/>
      <c r="AT1084" s="30"/>
      <c r="AU1084" s="30"/>
      <c r="AV1084" s="30"/>
      <c r="AW1084" s="30"/>
      <c r="AX1084" s="30"/>
    </row>
    <row r="1085" spans="4:50" s="23" customFormat="1" x14ac:dyDescent="0.3">
      <c r="D1085" s="34"/>
      <c r="E1085" s="24"/>
      <c r="F1085" s="24"/>
      <c r="G1085" s="24"/>
      <c r="H1085" s="24"/>
      <c r="I1085" s="24"/>
      <c r="J1085" s="27"/>
      <c r="K1085" s="30"/>
      <c r="L1085" s="30"/>
      <c r="M1085" s="30"/>
      <c r="N1085" s="30"/>
      <c r="O1085" s="30"/>
      <c r="P1085" s="30"/>
      <c r="Q1085" s="30"/>
      <c r="R1085" s="30"/>
      <c r="S1085" s="30"/>
      <c r="T1085" s="30"/>
      <c r="U1085" s="30"/>
      <c r="V1085" s="30"/>
      <c r="W1085" s="30"/>
      <c r="X1085" s="30"/>
      <c r="Y1085" s="30"/>
      <c r="Z1085" s="30"/>
      <c r="AA1085" s="30"/>
      <c r="AB1085" s="30"/>
      <c r="AC1085" s="30"/>
      <c r="AD1085" s="30"/>
      <c r="AE1085" s="30"/>
      <c r="AF1085" s="30"/>
      <c r="AG1085" s="30"/>
      <c r="AH1085" s="30"/>
      <c r="AI1085" s="30"/>
      <c r="AJ1085" s="30"/>
      <c r="AK1085" s="30"/>
      <c r="AL1085" s="30"/>
      <c r="AM1085" s="30"/>
      <c r="AN1085" s="30"/>
      <c r="AO1085" s="30"/>
      <c r="AP1085" s="30"/>
      <c r="AQ1085" s="30"/>
      <c r="AR1085" s="30"/>
      <c r="AS1085" s="30"/>
      <c r="AT1085" s="30"/>
      <c r="AU1085" s="30"/>
      <c r="AV1085" s="30"/>
      <c r="AW1085" s="30"/>
      <c r="AX1085" s="30"/>
    </row>
    <row r="1086" spans="4:50" s="23" customFormat="1" x14ac:dyDescent="0.3">
      <c r="D1086" s="34"/>
      <c r="E1086" s="24"/>
      <c r="F1086" s="24"/>
      <c r="G1086" s="24"/>
      <c r="H1086" s="24"/>
      <c r="I1086" s="24"/>
      <c r="J1086" s="27"/>
      <c r="K1086" s="30"/>
      <c r="L1086" s="30"/>
      <c r="M1086" s="30"/>
      <c r="N1086" s="30"/>
      <c r="O1086" s="30"/>
      <c r="P1086" s="30"/>
      <c r="Q1086" s="30"/>
      <c r="R1086" s="30"/>
      <c r="S1086" s="30"/>
      <c r="T1086" s="30"/>
      <c r="U1086" s="30"/>
      <c r="V1086" s="30"/>
      <c r="W1086" s="30"/>
      <c r="X1086" s="30"/>
      <c r="Y1086" s="30"/>
      <c r="Z1086" s="30"/>
      <c r="AA1086" s="30"/>
      <c r="AB1086" s="30"/>
      <c r="AC1086" s="30"/>
      <c r="AD1086" s="30"/>
      <c r="AE1086" s="30"/>
      <c r="AF1086" s="30"/>
      <c r="AG1086" s="30"/>
      <c r="AH1086" s="30"/>
      <c r="AI1086" s="30"/>
      <c r="AJ1086" s="30"/>
      <c r="AK1086" s="30"/>
      <c r="AL1086" s="30"/>
      <c r="AM1086" s="30"/>
      <c r="AN1086" s="30"/>
      <c r="AO1086" s="30"/>
      <c r="AP1086" s="30"/>
      <c r="AQ1086" s="30"/>
      <c r="AR1086" s="30"/>
      <c r="AS1086" s="30"/>
      <c r="AT1086" s="30"/>
      <c r="AU1086" s="30"/>
      <c r="AV1086" s="30"/>
      <c r="AW1086" s="30"/>
      <c r="AX1086" s="30"/>
    </row>
    <row r="1087" spans="4:50" s="23" customFormat="1" x14ac:dyDescent="0.3">
      <c r="D1087" s="34"/>
      <c r="E1087" s="24"/>
      <c r="F1087" s="24"/>
      <c r="G1087" s="24"/>
      <c r="H1087" s="24"/>
      <c r="I1087" s="24"/>
      <c r="J1087" s="27"/>
      <c r="K1087" s="30"/>
      <c r="L1087" s="30"/>
      <c r="M1087" s="30"/>
      <c r="N1087" s="30"/>
      <c r="O1087" s="30"/>
      <c r="P1087" s="30"/>
      <c r="Q1087" s="30"/>
      <c r="R1087" s="30"/>
      <c r="S1087" s="30"/>
      <c r="T1087" s="30"/>
      <c r="U1087" s="30"/>
      <c r="V1087" s="30"/>
      <c r="W1087" s="30"/>
      <c r="X1087" s="30"/>
      <c r="Y1087" s="30"/>
      <c r="Z1087" s="30"/>
      <c r="AA1087" s="30"/>
      <c r="AB1087" s="30"/>
      <c r="AC1087" s="30"/>
      <c r="AD1087" s="30"/>
      <c r="AE1087" s="30"/>
      <c r="AF1087" s="30"/>
      <c r="AG1087" s="30"/>
      <c r="AH1087" s="30"/>
      <c r="AI1087" s="30"/>
      <c r="AJ1087" s="30"/>
      <c r="AK1087" s="30"/>
      <c r="AL1087" s="30"/>
      <c r="AM1087" s="30"/>
      <c r="AN1087" s="30"/>
      <c r="AO1087" s="30"/>
      <c r="AP1087" s="30"/>
      <c r="AQ1087" s="30"/>
      <c r="AR1087" s="30"/>
      <c r="AS1087" s="30"/>
      <c r="AT1087" s="30"/>
      <c r="AU1087" s="30"/>
      <c r="AV1087" s="30"/>
      <c r="AW1087" s="30"/>
      <c r="AX1087" s="30"/>
    </row>
    <row r="1088" spans="4:50" s="23" customFormat="1" x14ac:dyDescent="0.3">
      <c r="D1088" s="34"/>
      <c r="E1088" s="24"/>
      <c r="F1088" s="24"/>
      <c r="G1088" s="24"/>
      <c r="H1088" s="24"/>
      <c r="I1088" s="24"/>
      <c r="J1088" s="27"/>
      <c r="K1088" s="30"/>
      <c r="L1088" s="30"/>
      <c r="M1088" s="30"/>
      <c r="N1088" s="30"/>
      <c r="O1088" s="30"/>
      <c r="P1088" s="30"/>
      <c r="Q1088" s="30"/>
      <c r="R1088" s="30"/>
      <c r="S1088" s="30"/>
      <c r="T1088" s="30"/>
      <c r="U1088" s="30"/>
      <c r="V1088" s="30"/>
      <c r="W1088" s="30"/>
      <c r="X1088" s="30"/>
      <c r="Y1088" s="30"/>
      <c r="Z1088" s="30"/>
      <c r="AA1088" s="30"/>
      <c r="AB1088" s="30"/>
      <c r="AC1088" s="30"/>
      <c r="AD1088" s="30"/>
      <c r="AE1088" s="30"/>
      <c r="AF1088" s="30"/>
      <c r="AG1088" s="30"/>
      <c r="AH1088" s="30"/>
      <c r="AI1088" s="30"/>
      <c r="AJ1088" s="30"/>
      <c r="AK1088" s="30"/>
      <c r="AL1088" s="30"/>
      <c r="AM1088" s="30"/>
      <c r="AN1088" s="30"/>
      <c r="AO1088" s="30"/>
      <c r="AP1088" s="30"/>
      <c r="AQ1088" s="30"/>
      <c r="AR1088" s="30"/>
      <c r="AS1088" s="30"/>
      <c r="AT1088" s="30"/>
      <c r="AU1088" s="30"/>
      <c r="AV1088" s="30"/>
      <c r="AW1088" s="30"/>
      <c r="AX1088" s="30"/>
    </row>
    <row r="1089" spans="4:50" s="23" customFormat="1" x14ac:dyDescent="0.3">
      <c r="D1089" s="34"/>
      <c r="E1089" s="24"/>
      <c r="F1089" s="24"/>
      <c r="G1089" s="24"/>
      <c r="H1089" s="24"/>
      <c r="I1089" s="24"/>
      <c r="J1089" s="27"/>
      <c r="K1089" s="30"/>
      <c r="L1089" s="30"/>
      <c r="M1089" s="30"/>
      <c r="N1089" s="30"/>
      <c r="O1089" s="30"/>
      <c r="P1089" s="30"/>
      <c r="Q1089" s="30"/>
      <c r="R1089" s="30"/>
      <c r="S1089" s="30"/>
      <c r="T1089" s="30"/>
      <c r="U1089" s="30"/>
      <c r="V1089" s="30"/>
      <c r="W1089" s="30"/>
      <c r="X1089" s="30"/>
      <c r="Y1089" s="30"/>
      <c r="Z1089" s="30"/>
      <c r="AA1089" s="30"/>
      <c r="AB1089" s="30"/>
      <c r="AC1089" s="30"/>
      <c r="AD1089" s="30"/>
      <c r="AE1089" s="30"/>
      <c r="AF1089" s="30"/>
      <c r="AG1089" s="30"/>
      <c r="AH1089" s="30"/>
      <c r="AI1089" s="30"/>
      <c r="AJ1089" s="30"/>
      <c r="AK1089" s="30"/>
      <c r="AL1089" s="30"/>
      <c r="AM1089" s="30"/>
      <c r="AN1089" s="30"/>
      <c r="AO1089" s="30"/>
      <c r="AP1089" s="30"/>
      <c r="AQ1089" s="30"/>
      <c r="AR1089" s="30"/>
      <c r="AS1089" s="30"/>
      <c r="AT1089" s="30"/>
      <c r="AU1089" s="30"/>
      <c r="AV1089" s="30"/>
      <c r="AW1089" s="30"/>
      <c r="AX1089" s="30"/>
    </row>
    <row r="1090" spans="4:50" s="23" customFormat="1" x14ac:dyDescent="0.3">
      <c r="D1090" s="34"/>
      <c r="E1090" s="24"/>
      <c r="F1090" s="24"/>
      <c r="G1090" s="24"/>
      <c r="H1090" s="24"/>
      <c r="I1090" s="24"/>
      <c r="J1090" s="27"/>
      <c r="K1090" s="30"/>
      <c r="L1090" s="30"/>
      <c r="M1090" s="30"/>
      <c r="N1090" s="30"/>
      <c r="O1090" s="30"/>
      <c r="P1090" s="30"/>
      <c r="Q1090" s="30"/>
      <c r="R1090" s="30"/>
      <c r="S1090" s="30"/>
      <c r="T1090" s="30"/>
      <c r="U1090" s="30"/>
      <c r="V1090" s="30"/>
      <c r="W1090" s="30"/>
      <c r="X1090" s="30"/>
      <c r="Y1090" s="30"/>
      <c r="Z1090" s="30"/>
      <c r="AA1090" s="30"/>
      <c r="AB1090" s="30"/>
      <c r="AC1090" s="30"/>
      <c r="AD1090" s="30"/>
      <c r="AE1090" s="30"/>
      <c r="AF1090" s="30"/>
      <c r="AG1090" s="30"/>
      <c r="AH1090" s="30"/>
      <c r="AI1090" s="30"/>
      <c r="AJ1090" s="30"/>
      <c r="AK1090" s="30"/>
      <c r="AL1090" s="30"/>
      <c r="AM1090" s="30"/>
      <c r="AN1090" s="30"/>
      <c r="AO1090" s="30"/>
      <c r="AP1090" s="30"/>
      <c r="AQ1090" s="30"/>
      <c r="AR1090" s="30"/>
      <c r="AS1090" s="30"/>
      <c r="AT1090" s="30"/>
      <c r="AU1090" s="30"/>
      <c r="AV1090" s="30"/>
      <c r="AW1090" s="30"/>
      <c r="AX1090" s="30"/>
    </row>
    <row r="1091" spans="4:50" s="23" customFormat="1" x14ac:dyDescent="0.3">
      <c r="D1091" s="34"/>
      <c r="E1091" s="24"/>
      <c r="F1091" s="24"/>
      <c r="G1091" s="24"/>
      <c r="H1091" s="24"/>
      <c r="I1091" s="24"/>
      <c r="J1091" s="27"/>
      <c r="K1091" s="30"/>
      <c r="L1091" s="30"/>
      <c r="M1091" s="30"/>
      <c r="N1091" s="30"/>
      <c r="O1091" s="30"/>
      <c r="P1091" s="30"/>
      <c r="Q1091" s="30"/>
      <c r="R1091" s="30"/>
      <c r="S1091" s="30"/>
      <c r="T1091" s="30"/>
      <c r="U1091" s="30"/>
      <c r="V1091" s="30"/>
      <c r="W1091" s="30"/>
      <c r="X1091" s="30"/>
      <c r="Y1091" s="30"/>
      <c r="Z1091" s="30"/>
      <c r="AA1091" s="30"/>
      <c r="AB1091" s="30"/>
      <c r="AC1091" s="30"/>
      <c r="AD1091" s="30"/>
      <c r="AE1091" s="30"/>
      <c r="AF1091" s="30"/>
      <c r="AG1091" s="30"/>
      <c r="AH1091" s="30"/>
      <c r="AI1091" s="30"/>
      <c r="AJ1091" s="30"/>
      <c r="AK1091" s="30"/>
      <c r="AL1091" s="30"/>
      <c r="AM1091" s="30"/>
      <c r="AN1091" s="30"/>
      <c r="AO1091" s="30"/>
      <c r="AP1091" s="30"/>
      <c r="AQ1091" s="30"/>
      <c r="AR1091" s="30"/>
      <c r="AS1091" s="30"/>
      <c r="AT1091" s="30"/>
      <c r="AU1091" s="30"/>
      <c r="AV1091" s="30"/>
      <c r="AW1091" s="30"/>
      <c r="AX1091" s="30"/>
    </row>
    <row r="1092" spans="4:50" s="23" customFormat="1" x14ac:dyDescent="0.3">
      <c r="D1092" s="34"/>
      <c r="E1092" s="24"/>
      <c r="F1092" s="24"/>
      <c r="G1092" s="24"/>
      <c r="H1092" s="24"/>
      <c r="I1092" s="24"/>
      <c r="J1092" s="27"/>
      <c r="K1092" s="30"/>
      <c r="L1092" s="30"/>
      <c r="M1092" s="30"/>
      <c r="N1092" s="30"/>
      <c r="O1092" s="30"/>
      <c r="P1092" s="30"/>
      <c r="Q1092" s="30"/>
      <c r="R1092" s="30"/>
      <c r="S1092" s="30"/>
      <c r="T1092" s="30"/>
      <c r="U1092" s="30"/>
      <c r="V1092" s="30"/>
      <c r="W1092" s="30"/>
      <c r="X1092" s="30"/>
      <c r="Y1092" s="30"/>
      <c r="Z1092" s="30"/>
      <c r="AA1092" s="30"/>
      <c r="AB1092" s="30"/>
      <c r="AC1092" s="30"/>
      <c r="AD1092" s="30"/>
      <c r="AE1092" s="30"/>
      <c r="AF1092" s="30"/>
      <c r="AG1092" s="30"/>
      <c r="AH1092" s="30"/>
      <c r="AI1092" s="30"/>
      <c r="AJ1092" s="30"/>
      <c r="AK1092" s="30"/>
      <c r="AL1092" s="30"/>
      <c r="AM1092" s="30"/>
      <c r="AN1092" s="30"/>
      <c r="AO1092" s="30"/>
      <c r="AP1092" s="30"/>
      <c r="AQ1092" s="30"/>
      <c r="AR1092" s="30"/>
      <c r="AS1092" s="30"/>
      <c r="AT1092" s="30"/>
      <c r="AU1092" s="30"/>
      <c r="AV1092" s="30"/>
      <c r="AW1092" s="30"/>
      <c r="AX1092" s="30"/>
    </row>
    <row r="1093" spans="4:50" s="23" customFormat="1" x14ac:dyDescent="0.3">
      <c r="D1093" s="34"/>
      <c r="E1093" s="24"/>
      <c r="F1093" s="24"/>
      <c r="G1093" s="24"/>
      <c r="H1093" s="24"/>
      <c r="I1093" s="24"/>
      <c r="J1093" s="27"/>
      <c r="K1093" s="30"/>
      <c r="L1093" s="30"/>
      <c r="M1093" s="30"/>
      <c r="N1093" s="30"/>
      <c r="O1093" s="30"/>
      <c r="P1093" s="30"/>
      <c r="Q1093" s="30"/>
      <c r="R1093" s="30"/>
      <c r="S1093" s="30"/>
      <c r="T1093" s="30"/>
      <c r="U1093" s="30"/>
      <c r="V1093" s="30"/>
      <c r="W1093" s="30"/>
      <c r="X1093" s="30"/>
      <c r="Y1093" s="30"/>
      <c r="Z1093" s="30"/>
      <c r="AA1093" s="30"/>
      <c r="AB1093" s="30"/>
      <c r="AC1093" s="30"/>
      <c r="AD1093" s="30"/>
      <c r="AE1093" s="30"/>
      <c r="AF1093" s="30"/>
      <c r="AG1093" s="30"/>
      <c r="AH1093" s="30"/>
      <c r="AI1093" s="30"/>
      <c r="AJ1093" s="30"/>
      <c r="AK1093" s="30"/>
      <c r="AL1093" s="30"/>
      <c r="AM1093" s="30"/>
      <c r="AN1093" s="30"/>
      <c r="AO1093" s="30"/>
      <c r="AP1093" s="30"/>
      <c r="AQ1093" s="30"/>
      <c r="AR1093" s="30"/>
      <c r="AS1093" s="30"/>
      <c r="AT1093" s="30"/>
      <c r="AU1093" s="30"/>
      <c r="AV1093" s="30"/>
      <c r="AW1093" s="30"/>
      <c r="AX1093" s="30"/>
    </row>
    <row r="1094" spans="4:50" s="23" customFormat="1" x14ac:dyDescent="0.3">
      <c r="D1094" s="34"/>
      <c r="E1094" s="24"/>
      <c r="F1094" s="24"/>
      <c r="G1094" s="24"/>
      <c r="H1094" s="24"/>
      <c r="I1094" s="24"/>
      <c r="J1094" s="27"/>
      <c r="K1094" s="30"/>
      <c r="L1094" s="30"/>
      <c r="M1094" s="30"/>
      <c r="N1094" s="30"/>
      <c r="O1094" s="30"/>
      <c r="P1094" s="30"/>
      <c r="Q1094" s="30"/>
      <c r="R1094" s="30"/>
      <c r="S1094" s="30"/>
      <c r="T1094" s="30"/>
      <c r="U1094" s="30"/>
      <c r="V1094" s="30"/>
      <c r="W1094" s="30"/>
      <c r="X1094" s="30"/>
      <c r="Y1094" s="30"/>
      <c r="Z1094" s="30"/>
      <c r="AA1094" s="30"/>
      <c r="AB1094" s="30"/>
      <c r="AC1094" s="30"/>
      <c r="AD1094" s="30"/>
      <c r="AE1094" s="30"/>
      <c r="AF1094" s="30"/>
      <c r="AG1094" s="30"/>
      <c r="AH1094" s="30"/>
      <c r="AI1094" s="30"/>
      <c r="AJ1094" s="30"/>
      <c r="AK1094" s="30"/>
      <c r="AL1094" s="30"/>
      <c r="AM1094" s="30"/>
      <c r="AN1094" s="30"/>
      <c r="AO1094" s="30"/>
      <c r="AP1094" s="30"/>
      <c r="AQ1094" s="30"/>
      <c r="AR1094" s="30"/>
      <c r="AS1094" s="30"/>
      <c r="AT1094" s="30"/>
      <c r="AU1094" s="30"/>
      <c r="AV1094" s="30"/>
      <c r="AW1094" s="30"/>
      <c r="AX1094" s="30"/>
    </row>
    <row r="1095" spans="4:50" s="23" customFormat="1" x14ac:dyDescent="0.3">
      <c r="D1095" s="34"/>
      <c r="E1095" s="24"/>
      <c r="F1095" s="24"/>
      <c r="G1095" s="24"/>
      <c r="H1095" s="24"/>
      <c r="I1095" s="24"/>
      <c r="J1095" s="27"/>
      <c r="K1095" s="30"/>
      <c r="L1095" s="30"/>
      <c r="M1095" s="30"/>
      <c r="N1095" s="30"/>
      <c r="O1095" s="30"/>
      <c r="P1095" s="30"/>
      <c r="Q1095" s="30"/>
      <c r="R1095" s="30"/>
      <c r="S1095" s="30"/>
      <c r="T1095" s="30"/>
      <c r="U1095" s="30"/>
      <c r="V1095" s="30"/>
      <c r="W1095" s="30"/>
      <c r="X1095" s="30"/>
      <c r="Y1095" s="30"/>
      <c r="Z1095" s="30"/>
      <c r="AA1095" s="30"/>
      <c r="AB1095" s="30"/>
      <c r="AC1095" s="30"/>
      <c r="AD1095" s="30"/>
      <c r="AE1095" s="30"/>
      <c r="AF1095" s="30"/>
      <c r="AG1095" s="30"/>
      <c r="AH1095" s="30"/>
      <c r="AI1095" s="30"/>
      <c r="AJ1095" s="30"/>
      <c r="AK1095" s="30"/>
      <c r="AL1095" s="30"/>
      <c r="AM1095" s="30"/>
      <c r="AN1095" s="30"/>
      <c r="AO1095" s="30"/>
      <c r="AP1095" s="30"/>
      <c r="AQ1095" s="30"/>
      <c r="AR1095" s="30"/>
      <c r="AS1095" s="30"/>
      <c r="AT1095" s="30"/>
      <c r="AU1095" s="30"/>
      <c r="AV1095" s="30"/>
      <c r="AW1095" s="30"/>
      <c r="AX1095" s="30"/>
    </row>
    <row r="1096" spans="4:50" s="23" customFormat="1" x14ac:dyDescent="0.3">
      <c r="D1096" s="34"/>
      <c r="E1096" s="24"/>
      <c r="F1096" s="24"/>
      <c r="G1096" s="24"/>
      <c r="H1096" s="24"/>
      <c r="I1096" s="24"/>
      <c r="J1096" s="27"/>
      <c r="K1096" s="30"/>
      <c r="L1096" s="30"/>
      <c r="M1096" s="30"/>
      <c r="N1096" s="30"/>
      <c r="O1096" s="30"/>
      <c r="P1096" s="30"/>
      <c r="Q1096" s="30"/>
      <c r="R1096" s="30"/>
      <c r="S1096" s="30"/>
      <c r="T1096" s="30"/>
      <c r="U1096" s="30"/>
      <c r="V1096" s="30"/>
      <c r="W1096" s="30"/>
      <c r="X1096" s="30"/>
      <c r="Y1096" s="30"/>
      <c r="Z1096" s="30"/>
      <c r="AA1096" s="30"/>
      <c r="AB1096" s="30"/>
      <c r="AC1096" s="30"/>
      <c r="AD1096" s="30"/>
      <c r="AE1096" s="30"/>
      <c r="AF1096" s="30"/>
      <c r="AG1096" s="30"/>
      <c r="AH1096" s="30"/>
      <c r="AI1096" s="30"/>
      <c r="AJ1096" s="30"/>
      <c r="AK1096" s="30"/>
      <c r="AL1096" s="30"/>
      <c r="AM1096" s="30"/>
      <c r="AN1096" s="30"/>
      <c r="AO1096" s="30"/>
      <c r="AP1096" s="30"/>
      <c r="AQ1096" s="30"/>
      <c r="AR1096" s="30"/>
      <c r="AS1096" s="30"/>
      <c r="AT1096" s="30"/>
      <c r="AU1096" s="30"/>
      <c r="AV1096" s="30"/>
      <c r="AW1096" s="30"/>
      <c r="AX1096" s="30"/>
    </row>
    <row r="1097" spans="4:50" s="23" customFormat="1" x14ac:dyDescent="0.3">
      <c r="D1097" s="34"/>
      <c r="E1097" s="24"/>
      <c r="F1097" s="24"/>
      <c r="G1097" s="24"/>
      <c r="H1097" s="24"/>
      <c r="I1097" s="24"/>
      <c r="J1097" s="27"/>
      <c r="K1097" s="30"/>
      <c r="L1097" s="30"/>
      <c r="M1097" s="30"/>
      <c r="N1097" s="30"/>
      <c r="O1097" s="30"/>
      <c r="P1097" s="30"/>
      <c r="Q1097" s="30"/>
      <c r="R1097" s="30"/>
      <c r="S1097" s="30"/>
      <c r="T1097" s="30"/>
      <c r="U1097" s="30"/>
      <c r="V1097" s="30"/>
      <c r="W1097" s="30"/>
      <c r="X1097" s="30"/>
      <c r="Y1097" s="30"/>
      <c r="Z1097" s="30"/>
      <c r="AA1097" s="30"/>
      <c r="AB1097" s="30"/>
      <c r="AC1097" s="30"/>
      <c r="AD1097" s="30"/>
      <c r="AE1097" s="30"/>
      <c r="AF1097" s="30"/>
      <c r="AG1097" s="30"/>
      <c r="AH1097" s="30"/>
      <c r="AI1097" s="30"/>
      <c r="AJ1097" s="30"/>
      <c r="AK1097" s="30"/>
      <c r="AL1097" s="30"/>
      <c r="AM1097" s="30"/>
      <c r="AN1097" s="30"/>
      <c r="AO1097" s="30"/>
      <c r="AP1097" s="30"/>
      <c r="AQ1097" s="30"/>
      <c r="AR1097" s="30"/>
      <c r="AS1097" s="30"/>
      <c r="AT1097" s="30"/>
      <c r="AU1097" s="30"/>
      <c r="AV1097" s="30"/>
      <c r="AW1097" s="30"/>
      <c r="AX1097" s="30"/>
    </row>
    <row r="1098" spans="4:50" s="23" customFormat="1" x14ac:dyDescent="0.3">
      <c r="D1098" s="34"/>
      <c r="E1098" s="24"/>
      <c r="F1098" s="24"/>
      <c r="G1098" s="24"/>
      <c r="H1098" s="24"/>
      <c r="I1098" s="24"/>
      <c r="J1098" s="27"/>
      <c r="K1098" s="30"/>
      <c r="L1098" s="30"/>
      <c r="M1098" s="30"/>
      <c r="N1098" s="30"/>
      <c r="O1098" s="30"/>
      <c r="P1098" s="30"/>
      <c r="Q1098" s="30"/>
      <c r="R1098" s="30"/>
      <c r="S1098" s="30"/>
      <c r="T1098" s="30"/>
      <c r="U1098" s="30"/>
      <c r="V1098" s="30"/>
      <c r="W1098" s="30"/>
      <c r="X1098" s="30"/>
      <c r="Y1098" s="30"/>
      <c r="Z1098" s="30"/>
      <c r="AA1098" s="30"/>
      <c r="AB1098" s="30"/>
      <c r="AC1098" s="30"/>
      <c r="AD1098" s="30"/>
      <c r="AE1098" s="30"/>
      <c r="AF1098" s="30"/>
      <c r="AG1098" s="30"/>
      <c r="AH1098" s="30"/>
      <c r="AI1098" s="30"/>
      <c r="AJ1098" s="30"/>
      <c r="AK1098" s="30"/>
      <c r="AL1098" s="30"/>
      <c r="AM1098" s="30"/>
      <c r="AN1098" s="30"/>
      <c r="AO1098" s="30"/>
      <c r="AP1098" s="30"/>
      <c r="AQ1098" s="30"/>
      <c r="AR1098" s="30"/>
      <c r="AS1098" s="30"/>
      <c r="AT1098" s="30"/>
      <c r="AU1098" s="30"/>
      <c r="AV1098" s="30"/>
      <c r="AW1098" s="30"/>
      <c r="AX1098" s="30"/>
    </row>
    <row r="1099" spans="4:50" s="23" customFormat="1" x14ac:dyDescent="0.3">
      <c r="D1099" s="34"/>
      <c r="E1099" s="24"/>
      <c r="F1099" s="24"/>
      <c r="G1099" s="24"/>
      <c r="H1099" s="24"/>
      <c r="I1099" s="24"/>
      <c r="J1099" s="27"/>
      <c r="K1099" s="30"/>
      <c r="L1099" s="30"/>
      <c r="M1099" s="30"/>
      <c r="N1099" s="30"/>
      <c r="O1099" s="30"/>
      <c r="P1099" s="30"/>
      <c r="Q1099" s="30"/>
      <c r="R1099" s="30"/>
      <c r="S1099" s="30"/>
      <c r="T1099" s="30"/>
      <c r="U1099" s="30"/>
      <c r="V1099" s="30"/>
      <c r="W1099" s="30"/>
      <c r="X1099" s="30"/>
      <c r="Y1099" s="30"/>
      <c r="Z1099" s="30"/>
      <c r="AA1099" s="30"/>
      <c r="AB1099" s="30"/>
      <c r="AC1099" s="30"/>
      <c r="AD1099" s="30"/>
      <c r="AE1099" s="30"/>
      <c r="AF1099" s="30"/>
      <c r="AG1099" s="30"/>
      <c r="AH1099" s="30"/>
      <c r="AI1099" s="30"/>
      <c r="AJ1099" s="30"/>
      <c r="AK1099" s="30"/>
      <c r="AL1099" s="30"/>
      <c r="AM1099" s="30"/>
      <c r="AN1099" s="30"/>
      <c r="AO1099" s="30"/>
      <c r="AP1099" s="30"/>
      <c r="AQ1099" s="30"/>
      <c r="AR1099" s="30"/>
      <c r="AS1099" s="30"/>
      <c r="AT1099" s="30"/>
      <c r="AU1099" s="30"/>
      <c r="AV1099" s="30"/>
      <c r="AW1099" s="30"/>
      <c r="AX1099" s="30"/>
    </row>
    <row r="1100" spans="4:50" s="23" customFormat="1" x14ac:dyDescent="0.3">
      <c r="D1100" s="34"/>
      <c r="E1100" s="24"/>
      <c r="F1100" s="24"/>
      <c r="G1100" s="24"/>
      <c r="H1100" s="24"/>
      <c r="I1100" s="24"/>
      <c r="J1100" s="27"/>
      <c r="K1100" s="30"/>
      <c r="L1100" s="30"/>
      <c r="M1100" s="30"/>
      <c r="N1100" s="30"/>
      <c r="O1100" s="30"/>
      <c r="P1100" s="30"/>
      <c r="Q1100" s="30"/>
      <c r="R1100" s="30"/>
      <c r="S1100" s="30"/>
      <c r="T1100" s="30"/>
      <c r="U1100" s="30"/>
      <c r="V1100" s="30"/>
      <c r="W1100" s="30"/>
      <c r="X1100" s="30"/>
      <c r="Y1100" s="30"/>
      <c r="Z1100" s="30"/>
      <c r="AA1100" s="30"/>
      <c r="AB1100" s="30"/>
      <c r="AC1100" s="30"/>
      <c r="AD1100" s="30"/>
      <c r="AE1100" s="30"/>
      <c r="AF1100" s="30"/>
      <c r="AG1100" s="30"/>
      <c r="AH1100" s="30"/>
      <c r="AI1100" s="30"/>
      <c r="AJ1100" s="30"/>
      <c r="AK1100" s="30"/>
      <c r="AL1100" s="30"/>
      <c r="AM1100" s="30"/>
      <c r="AN1100" s="30"/>
      <c r="AO1100" s="30"/>
      <c r="AP1100" s="30"/>
      <c r="AQ1100" s="30"/>
      <c r="AR1100" s="30"/>
      <c r="AS1100" s="30"/>
      <c r="AT1100" s="30"/>
      <c r="AU1100" s="30"/>
      <c r="AV1100" s="30"/>
      <c r="AW1100" s="30"/>
      <c r="AX1100" s="30"/>
    </row>
    <row r="1101" spans="4:50" s="23" customFormat="1" x14ac:dyDescent="0.3">
      <c r="D1101" s="34"/>
      <c r="E1101" s="24"/>
      <c r="F1101" s="24"/>
      <c r="G1101" s="24"/>
      <c r="H1101" s="24"/>
      <c r="I1101" s="24"/>
      <c r="J1101" s="27"/>
      <c r="K1101" s="30"/>
      <c r="L1101" s="30"/>
      <c r="M1101" s="30"/>
      <c r="N1101" s="30"/>
      <c r="O1101" s="30"/>
      <c r="P1101" s="30"/>
      <c r="Q1101" s="30"/>
      <c r="R1101" s="30"/>
      <c r="S1101" s="30"/>
      <c r="T1101" s="30"/>
      <c r="U1101" s="30"/>
      <c r="V1101" s="30"/>
      <c r="W1101" s="30"/>
      <c r="X1101" s="30"/>
      <c r="Y1101" s="30"/>
      <c r="Z1101" s="30"/>
      <c r="AA1101" s="30"/>
      <c r="AB1101" s="30"/>
      <c r="AC1101" s="30"/>
      <c r="AD1101" s="30"/>
      <c r="AE1101" s="30"/>
      <c r="AF1101" s="30"/>
      <c r="AG1101" s="30"/>
      <c r="AH1101" s="30"/>
      <c r="AI1101" s="30"/>
      <c r="AJ1101" s="30"/>
      <c r="AK1101" s="30"/>
      <c r="AL1101" s="30"/>
      <c r="AM1101" s="30"/>
      <c r="AN1101" s="30"/>
      <c r="AO1101" s="30"/>
      <c r="AP1101" s="30"/>
      <c r="AQ1101" s="30"/>
      <c r="AR1101" s="30"/>
      <c r="AS1101" s="30"/>
      <c r="AT1101" s="30"/>
      <c r="AU1101" s="30"/>
      <c r="AV1101" s="30"/>
      <c r="AW1101" s="30"/>
      <c r="AX1101" s="30"/>
    </row>
    <row r="1102" spans="4:50" s="23" customFormat="1" x14ac:dyDescent="0.3">
      <c r="D1102" s="34"/>
      <c r="E1102" s="24"/>
      <c r="F1102" s="24"/>
      <c r="G1102" s="24"/>
      <c r="H1102" s="24"/>
      <c r="I1102" s="24"/>
      <c r="J1102" s="27"/>
      <c r="K1102" s="30"/>
      <c r="L1102" s="30"/>
      <c r="M1102" s="30"/>
      <c r="N1102" s="30"/>
      <c r="O1102" s="30"/>
      <c r="P1102" s="30"/>
      <c r="Q1102" s="30"/>
      <c r="R1102" s="30"/>
      <c r="S1102" s="30"/>
      <c r="T1102" s="30"/>
      <c r="U1102" s="30"/>
      <c r="V1102" s="30"/>
      <c r="W1102" s="30"/>
      <c r="X1102" s="30"/>
      <c r="Y1102" s="30"/>
      <c r="Z1102" s="30"/>
      <c r="AA1102" s="30"/>
      <c r="AB1102" s="30"/>
      <c r="AC1102" s="30"/>
      <c r="AD1102" s="30"/>
      <c r="AE1102" s="30"/>
      <c r="AF1102" s="30"/>
      <c r="AG1102" s="30"/>
      <c r="AH1102" s="30"/>
      <c r="AI1102" s="30"/>
      <c r="AJ1102" s="30"/>
      <c r="AK1102" s="30"/>
      <c r="AL1102" s="30"/>
      <c r="AM1102" s="30"/>
      <c r="AN1102" s="30"/>
      <c r="AO1102" s="30"/>
      <c r="AP1102" s="30"/>
      <c r="AQ1102" s="30"/>
      <c r="AR1102" s="30"/>
      <c r="AS1102" s="30"/>
      <c r="AT1102" s="30"/>
      <c r="AU1102" s="30"/>
      <c r="AV1102" s="30"/>
      <c r="AW1102" s="30"/>
      <c r="AX1102" s="30"/>
    </row>
    <row r="1103" spans="4:50" s="23" customFormat="1" x14ac:dyDescent="0.3">
      <c r="D1103" s="34"/>
      <c r="E1103" s="24"/>
      <c r="F1103" s="24"/>
      <c r="G1103" s="24"/>
      <c r="H1103" s="24"/>
      <c r="I1103" s="24"/>
      <c r="J1103" s="27"/>
      <c r="K1103" s="30"/>
      <c r="L1103" s="30"/>
      <c r="M1103" s="30"/>
      <c r="N1103" s="30"/>
      <c r="O1103" s="30"/>
      <c r="P1103" s="30"/>
      <c r="Q1103" s="30"/>
      <c r="R1103" s="30"/>
      <c r="S1103" s="30"/>
      <c r="T1103" s="30"/>
      <c r="U1103" s="30"/>
      <c r="V1103" s="30"/>
      <c r="W1103" s="30"/>
      <c r="X1103" s="30"/>
      <c r="Y1103" s="30"/>
      <c r="Z1103" s="30"/>
      <c r="AA1103" s="30"/>
      <c r="AB1103" s="30"/>
      <c r="AC1103" s="30"/>
      <c r="AD1103" s="30"/>
      <c r="AE1103" s="30"/>
      <c r="AF1103" s="30"/>
      <c r="AG1103" s="30"/>
      <c r="AH1103" s="30"/>
      <c r="AI1103" s="30"/>
      <c r="AJ1103" s="30"/>
      <c r="AK1103" s="30"/>
      <c r="AL1103" s="30"/>
      <c r="AM1103" s="30"/>
      <c r="AN1103" s="30"/>
      <c r="AO1103" s="30"/>
      <c r="AP1103" s="30"/>
      <c r="AQ1103" s="30"/>
      <c r="AR1103" s="30"/>
      <c r="AS1103" s="30"/>
      <c r="AT1103" s="30"/>
      <c r="AU1103" s="30"/>
      <c r="AV1103" s="30"/>
      <c r="AW1103" s="30"/>
      <c r="AX1103" s="30"/>
    </row>
    <row r="1104" spans="4:50" s="23" customFormat="1" x14ac:dyDescent="0.3">
      <c r="D1104" s="34"/>
      <c r="E1104" s="24"/>
      <c r="F1104" s="24"/>
      <c r="G1104" s="24"/>
      <c r="H1104" s="24"/>
      <c r="I1104" s="24"/>
      <c r="J1104" s="27"/>
      <c r="K1104" s="30"/>
      <c r="L1104" s="30"/>
      <c r="M1104" s="30"/>
      <c r="N1104" s="30"/>
      <c r="O1104" s="30"/>
      <c r="P1104" s="30"/>
      <c r="Q1104" s="30"/>
      <c r="R1104" s="30"/>
      <c r="S1104" s="30"/>
      <c r="T1104" s="30"/>
      <c r="U1104" s="30"/>
      <c r="V1104" s="30"/>
      <c r="W1104" s="30"/>
      <c r="X1104" s="30"/>
      <c r="Y1104" s="30"/>
      <c r="Z1104" s="30"/>
      <c r="AA1104" s="30"/>
      <c r="AB1104" s="30"/>
      <c r="AC1104" s="30"/>
      <c r="AD1104" s="30"/>
      <c r="AE1104" s="30"/>
      <c r="AF1104" s="30"/>
      <c r="AG1104" s="30"/>
      <c r="AH1104" s="30"/>
      <c r="AI1104" s="30"/>
      <c r="AJ1104" s="30"/>
      <c r="AK1104" s="30"/>
      <c r="AL1104" s="30"/>
      <c r="AM1104" s="30"/>
      <c r="AN1104" s="30"/>
      <c r="AO1104" s="30"/>
      <c r="AP1104" s="30"/>
      <c r="AQ1104" s="30"/>
      <c r="AR1104" s="30"/>
      <c r="AS1104" s="30"/>
      <c r="AT1104" s="30"/>
      <c r="AU1104" s="30"/>
      <c r="AV1104" s="30"/>
      <c r="AW1104" s="30"/>
      <c r="AX1104" s="30"/>
    </row>
    <row r="1105" spans="4:50" s="23" customFormat="1" x14ac:dyDescent="0.3">
      <c r="D1105" s="34"/>
      <c r="E1105" s="24"/>
      <c r="F1105" s="24"/>
      <c r="G1105" s="24"/>
      <c r="H1105" s="24"/>
      <c r="I1105" s="24"/>
      <c r="J1105" s="27"/>
      <c r="K1105" s="30"/>
      <c r="L1105" s="30"/>
      <c r="M1105" s="30"/>
      <c r="N1105" s="30"/>
      <c r="O1105" s="30"/>
      <c r="P1105" s="30"/>
      <c r="Q1105" s="30"/>
      <c r="R1105" s="30"/>
      <c r="S1105" s="30"/>
      <c r="T1105" s="30"/>
      <c r="U1105" s="30"/>
      <c r="V1105" s="30"/>
      <c r="W1105" s="30"/>
      <c r="X1105" s="30"/>
      <c r="Y1105" s="30"/>
      <c r="Z1105" s="30"/>
      <c r="AA1105" s="30"/>
      <c r="AB1105" s="30"/>
      <c r="AC1105" s="30"/>
      <c r="AD1105" s="30"/>
      <c r="AE1105" s="30"/>
      <c r="AF1105" s="30"/>
      <c r="AG1105" s="30"/>
      <c r="AH1105" s="30"/>
      <c r="AI1105" s="30"/>
      <c r="AJ1105" s="30"/>
      <c r="AK1105" s="30"/>
      <c r="AL1105" s="30"/>
      <c r="AM1105" s="30"/>
      <c r="AN1105" s="30"/>
      <c r="AO1105" s="30"/>
      <c r="AP1105" s="30"/>
      <c r="AQ1105" s="30"/>
      <c r="AR1105" s="30"/>
      <c r="AS1105" s="30"/>
      <c r="AT1105" s="30"/>
      <c r="AU1105" s="30"/>
      <c r="AV1105" s="30"/>
      <c r="AW1105" s="30"/>
      <c r="AX1105" s="30"/>
    </row>
    <row r="1106" spans="4:50" s="23" customFormat="1" x14ac:dyDescent="0.3">
      <c r="D1106" s="34"/>
      <c r="E1106" s="24"/>
      <c r="F1106" s="24"/>
      <c r="G1106" s="24"/>
      <c r="H1106" s="24"/>
      <c r="I1106" s="24"/>
      <c r="J1106" s="27"/>
      <c r="K1106" s="30"/>
      <c r="L1106" s="30"/>
      <c r="M1106" s="30"/>
      <c r="N1106" s="30"/>
      <c r="O1106" s="30"/>
      <c r="P1106" s="30"/>
      <c r="Q1106" s="30"/>
      <c r="R1106" s="30"/>
      <c r="S1106" s="30"/>
      <c r="T1106" s="30"/>
      <c r="U1106" s="30"/>
      <c r="V1106" s="30"/>
      <c r="W1106" s="30"/>
      <c r="X1106" s="30"/>
      <c r="Y1106" s="30"/>
      <c r="Z1106" s="30"/>
      <c r="AA1106" s="30"/>
      <c r="AB1106" s="30"/>
      <c r="AC1106" s="30"/>
      <c r="AD1106" s="30"/>
      <c r="AE1106" s="30"/>
      <c r="AF1106" s="30"/>
      <c r="AG1106" s="30"/>
      <c r="AH1106" s="30"/>
      <c r="AI1106" s="30"/>
      <c r="AJ1106" s="30"/>
      <c r="AK1106" s="30"/>
      <c r="AL1106" s="30"/>
      <c r="AM1106" s="30"/>
      <c r="AN1106" s="30"/>
      <c r="AO1106" s="30"/>
      <c r="AP1106" s="30"/>
      <c r="AQ1106" s="30"/>
      <c r="AR1106" s="30"/>
      <c r="AS1106" s="30"/>
      <c r="AT1106" s="30"/>
      <c r="AU1106" s="30"/>
      <c r="AV1106" s="30"/>
      <c r="AW1106" s="30"/>
      <c r="AX1106" s="30"/>
    </row>
    <row r="1107" spans="4:50" s="23" customFormat="1" x14ac:dyDescent="0.3">
      <c r="D1107" s="34"/>
      <c r="E1107" s="24"/>
      <c r="F1107" s="24"/>
      <c r="G1107" s="24"/>
      <c r="H1107" s="24"/>
      <c r="I1107" s="24"/>
      <c r="J1107" s="27"/>
      <c r="K1107" s="30"/>
      <c r="L1107" s="30"/>
      <c r="M1107" s="30"/>
      <c r="N1107" s="30"/>
      <c r="O1107" s="30"/>
      <c r="P1107" s="30"/>
      <c r="Q1107" s="30"/>
      <c r="R1107" s="30"/>
      <c r="S1107" s="30"/>
      <c r="T1107" s="30"/>
      <c r="U1107" s="30"/>
      <c r="V1107" s="30"/>
      <c r="W1107" s="30"/>
      <c r="X1107" s="30"/>
      <c r="Y1107" s="30"/>
      <c r="Z1107" s="30"/>
      <c r="AA1107" s="30"/>
      <c r="AB1107" s="30"/>
      <c r="AC1107" s="30"/>
      <c r="AD1107" s="30"/>
      <c r="AE1107" s="30"/>
      <c r="AF1107" s="30"/>
      <c r="AG1107" s="30"/>
      <c r="AH1107" s="30"/>
      <c r="AI1107" s="30"/>
      <c r="AJ1107" s="30"/>
      <c r="AK1107" s="30"/>
      <c r="AL1107" s="30"/>
      <c r="AM1107" s="30"/>
      <c r="AN1107" s="30"/>
      <c r="AO1107" s="30"/>
      <c r="AP1107" s="30"/>
      <c r="AQ1107" s="30"/>
      <c r="AR1107" s="30"/>
      <c r="AS1107" s="30"/>
      <c r="AT1107" s="30"/>
      <c r="AU1107" s="30"/>
      <c r="AV1107" s="30"/>
      <c r="AW1107" s="30"/>
      <c r="AX1107" s="30"/>
    </row>
    <row r="1108" spans="4:50" s="23" customFormat="1" x14ac:dyDescent="0.3">
      <c r="D1108" s="34"/>
      <c r="E1108" s="24"/>
      <c r="F1108" s="24"/>
      <c r="G1108" s="24"/>
      <c r="H1108" s="24"/>
      <c r="I1108" s="24"/>
      <c r="J1108" s="27"/>
      <c r="K1108" s="30"/>
      <c r="L1108" s="30"/>
      <c r="M1108" s="30"/>
      <c r="N1108" s="30"/>
      <c r="O1108" s="30"/>
      <c r="P1108" s="30"/>
      <c r="Q1108" s="30"/>
      <c r="R1108" s="30"/>
      <c r="S1108" s="30"/>
      <c r="T1108" s="30"/>
      <c r="U1108" s="30"/>
      <c r="V1108" s="30"/>
      <c r="W1108" s="30"/>
      <c r="X1108" s="30"/>
      <c r="Y1108" s="30"/>
      <c r="Z1108" s="30"/>
      <c r="AA1108" s="30"/>
      <c r="AB1108" s="30"/>
      <c r="AC1108" s="30"/>
      <c r="AD1108" s="30"/>
      <c r="AE1108" s="30"/>
      <c r="AF1108" s="30"/>
      <c r="AG1108" s="30"/>
      <c r="AH1108" s="30"/>
      <c r="AI1108" s="30"/>
      <c r="AJ1108" s="30"/>
      <c r="AK1108" s="30"/>
      <c r="AL1108" s="30"/>
      <c r="AM1108" s="30"/>
      <c r="AN1108" s="30"/>
      <c r="AO1108" s="30"/>
      <c r="AP1108" s="30"/>
      <c r="AQ1108" s="30"/>
      <c r="AR1108" s="30"/>
      <c r="AS1108" s="30"/>
      <c r="AT1108" s="30"/>
      <c r="AU1108" s="30"/>
      <c r="AV1108" s="30"/>
      <c r="AW1108" s="30"/>
      <c r="AX1108" s="30"/>
    </row>
    <row r="1109" spans="4:50" s="23" customFormat="1" x14ac:dyDescent="0.3">
      <c r="D1109" s="34"/>
      <c r="E1109" s="24"/>
      <c r="F1109" s="24"/>
      <c r="G1109" s="24"/>
      <c r="H1109" s="24"/>
      <c r="I1109" s="24"/>
      <c r="J1109" s="27"/>
      <c r="K1109" s="30"/>
      <c r="L1109" s="30"/>
      <c r="M1109" s="30"/>
      <c r="N1109" s="30"/>
      <c r="O1109" s="30"/>
      <c r="P1109" s="30"/>
      <c r="Q1109" s="30"/>
      <c r="R1109" s="30"/>
      <c r="S1109" s="30"/>
      <c r="T1109" s="30"/>
      <c r="U1109" s="30"/>
      <c r="V1109" s="30"/>
      <c r="W1109" s="30"/>
      <c r="X1109" s="30"/>
      <c r="Y1109" s="30"/>
      <c r="Z1109" s="30"/>
      <c r="AA1109" s="30"/>
      <c r="AB1109" s="30"/>
      <c r="AC1109" s="30"/>
      <c r="AD1109" s="30"/>
      <c r="AE1109" s="30"/>
      <c r="AF1109" s="30"/>
      <c r="AG1109" s="30"/>
      <c r="AH1109" s="30"/>
      <c r="AI1109" s="30"/>
      <c r="AJ1109" s="30"/>
      <c r="AK1109" s="30"/>
      <c r="AL1109" s="30"/>
      <c r="AM1109" s="30"/>
      <c r="AN1109" s="30"/>
      <c r="AO1109" s="30"/>
      <c r="AP1109" s="30"/>
      <c r="AQ1109" s="30"/>
      <c r="AR1109" s="30"/>
      <c r="AS1109" s="30"/>
      <c r="AT1109" s="30"/>
      <c r="AU1109" s="30"/>
      <c r="AV1109" s="30"/>
      <c r="AW1109" s="30"/>
      <c r="AX1109" s="30"/>
    </row>
    <row r="1110" spans="4:50" s="23" customFormat="1" x14ac:dyDescent="0.3">
      <c r="D1110" s="34"/>
      <c r="E1110" s="24"/>
      <c r="F1110" s="24"/>
      <c r="G1110" s="24"/>
      <c r="H1110" s="24"/>
      <c r="I1110" s="24"/>
      <c r="J1110" s="27"/>
      <c r="K1110" s="30"/>
      <c r="L1110" s="30"/>
      <c r="M1110" s="30"/>
      <c r="N1110" s="30"/>
      <c r="O1110" s="30"/>
      <c r="P1110" s="30"/>
      <c r="Q1110" s="30"/>
      <c r="R1110" s="30"/>
      <c r="S1110" s="30"/>
      <c r="T1110" s="30"/>
      <c r="U1110" s="30"/>
      <c r="V1110" s="30"/>
      <c r="W1110" s="30"/>
      <c r="X1110" s="30"/>
      <c r="Y1110" s="30"/>
      <c r="Z1110" s="30"/>
      <c r="AA1110" s="30"/>
      <c r="AB1110" s="30"/>
      <c r="AC1110" s="30"/>
      <c r="AD1110" s="30"/>
      <c r="AE1110" s="30"/>
      <c r="AF1110" s="30"/>
      <c r="AG1110" s="30"/>
      <c r="AH1110" s="30"/>
      <c r="AI1110" s="30"/>
      <c r="AJ1110" s="30"/>
      <c r="AK1110" s="30"/>
      <c r="AL1110" s="30"/>
      <c r="AM1110" s="30"/>
      <c r="AN1110" s="30"/>
      <c r="AO1110" s="30"/>
      <c r="AP1110" s="30"/>
      <c r="AQ1110" s="30"/>
      <c r="AR1110" s="30"/>
      <c r="AS1110" s="30"/>
      <c r="AT1110" s="30"/>
      <c r="AU1110" s="30"/>
      <c r="AV1110" s="30"/>
      <c r="AW1110" s="30"/>
      <c r="AX1110" s="30"/>
    </row>
    <row r="1111" spans="4:50" s="23" customFormat="1" x14ac:dyDescent="0.3">
      <c r="D1111" s="34"/>
      <c r="E1111" s="24"/>
      <c r="F1111" s="24"/>
      <c r="G1111" s="24"/>
      <c r="H1111" s="24"/>
      <c r="I1111" s="24"/>
      <c r="J1111" s="27"/>
      <c r="K1111" s="30"/>
      <c r="L1111" s="30"/>
      <c r="M1111" s="30"/>
      <c r="N1111" s="30"/>
      <c r="O1111" s="30"/>
      <c r="P1111" s="30"/>
      <c r="Q1111" s="30"/>
      <c r="R1111" s="30"/>
      <c r="S1111" s="30"/>
      <c r="T1111" s="30"/>
      <c r="U1111" s="30"/>
      <c r="V1111" s="30"/>
      <c r="W1111" s="30"/>
      <c r="X1111" s="30"/>
      <c r="Y1111" s="30"/>
      <c r="Z1111" s="30"/>
      <c r="AA1111" s="30"/>
      <c r="AB1111" s="30"/>
      <c r="AC1111" s="30"/>
      <c r="AD1111" s="30"/>
      <c r="AE1111" s="30"/>
      <c r="AF1111" s="30"/>
      <c r="AG1111" s="30"/>
      <c r="AH1111" s="30"/>
      <c r="AI1111" s="30"/>
      <c r="AJ1111" s="30"/>
      <c r="AK1111" s="30"/>
      <c r="AL1111" s="30"/>
      <c r="AM1111" s="30"/>
      <c r="AN1111" s="30"/>
      <c r="AO1111" s="30"/>
      <c r="AP1111" s="30"/>
      <c r="AQ1111" s="30"/>
      <c r="AR1111" s="30"/>
      <c r="AS1111" s="30"/>
      <c r="AT1111" s="30"/>
      <c r="AU1111" s="30"/>
      <c r="AV1111" s="30"/>
      <c r="AW1111" s="30"/>
      <c r="AX1111" s="30"/>
    </row>
    <row r="1112" spans="4:50" s="23" customFormat="1" x14ac:dyDescent="0.3">
      <c r="D1112" s="34"/>
      <c r="E1112" s="24"/>
      <c r="F1112" s="24"/>
      <c r="G1112" s="24"/>
      <c r="H1112" s="24"/>
      <c r="I1112" s="24"/>
      <c r="J1112" s="27"/>
      <c r="K1112" s="30"/>
      <c r="L1112" s="30"/>
      <c r="M1112" s="30"/>
      <c r="N1112" s="30"/>
      <c r="O1112" s="30"/>
      <c r="P1112" s="30"/>
      <c r="Q1112" s="30"/>
      <c r="R1112" s="30"/>
      <c r="S1112" s="30"/>
      <c r="T1112" s="30"/>
      <c r="U1112" s="30"/>
      <c r="V1112" s="30"/>
      <c r="W1112" s="30"/>
      <c r="X1112" s="30"/>
      <c r="Y1112" s="30"/>
      <c r="Z1112" s="30"/>
      <c r="AA1112" s="30"/>
      <c r="AB1112" s="30"/>
      <c r="AC1112" s="30"/>
      <c r="AD1112" s="30"/>
      <c r="AE1112" s="30"/>
      <c r="AF1112" s="30"/>
      <c r="AG1112" s="30"/>
      <c r="AH1112" s="30"/>
      <c r="AI1112" s="30"/>
      <c r="AJ1112" s="30"/>
      <c r="AK1112" s="30"/>
      <c r="AL1112" s="30"/>
      <c r="AM1112" s="30"/>
      <c r="AN1112" s="30"/>
      <c r="AO1112" s="30"/>
      <c r="AP1112" s="30"/>
      <c r="AQ1112" s="30"/>
      <c r="AR1112" s="30"/>
      <c r="AS1112" s="30"/>
      <c r="AT1112" s="30"/>
      <c r="AU1112" s="30"/>
      <c r="AV1112" s="30"/>
      <c r="AW1112" s="30"/>
      <c r="AX1112" s="30"/>
    </row>
    <row r="1113" spans="4:50" s="23" customFormat="1" x14ac:dyDescent="0.3">
      <c r="D1113" s="34"/>
      <c r="E1113" s="24"/>
      <c r="F1113" s="24"/>
      <c r="G1113" s="24"/>
      <c r="H1113" s="24"/>
      <c r="I1113" s="24"/>
      <c r="J1113" s="27"/>
      <c r="K1113" s="30"/>
      <c r="L1113" s="30"/>
      <c r="M1113" s="30"/>
      <c r="N1113" s="30"/>
      <c r="O1113" s="30"/>
      <c r="P1113" s="30"/>
      <c r="Q1113" s="30"/>
      <c r="R1113" s="30"/>
      <c r="S1113" s="30"/>
      <c r="T1113" s="30"/>
      <c r="U1113" s="30"/>
      <c r="V1113" s="30"/>
      <c r="W1113" s="30"/>
      <c r="X1113" s="30"/>
      <c r="Y1113" s="30"/>
      <c r="Z1113" s="30"/>
      <c r="AA1113" s="30"/>
      <c r="AB1113" s="30"/>
      <c r="AC1113" s="30"/>
      <c r="AD1113" s="30"/>
      <c r="AE1113" s="30"/>
      <c r="AF1113" s="30"/>
      <c r="AG1113" s="30"/>
      <c r="AH1113" s="30"/>
      <c r="AI1113" s="30"/>
      <c r="AJ1113" s="30"/>
      <c r="AK1113" s="30"/>
      <c r="AL1113" s="30"/>
      <c r="AM1113" s="30"/>
      <c r="AN1113" s="30"/>
      <c r="AO1113" s="30"/>
      <c r="AP1113" s="30"/>
      <c r="AQ1113" s="30"/>
      <c r="AR1113" s="30"/>
      <c r="AS1113" s="30"/>
      <c r="AT1113" s="30"/>
      <c r="AU1113" s="30"/>
      <c r="AV1113" s="30"/>
      <c r="AW1113" s="30"/>
      <c r="AX1113" s="30"/>
    </row>
    <row r="1114" spans="4:50" s="23" customFormat="1" x14ac:dyDescent="0.3">
      <c r="D1114" s="34"/>
      <c r="E1114" s="24"/>
      <c r="F1114" s="24"/>
      <c r="G1114" s="24"/>
      <c r="H1114" s="24"/>
      <c r="I1114" s="24"/>
      <c r="J1114" s="27"/>
      <c r="K1114" s="30"/>
      <c r="L1114" s="30"/>
      <c r="M1114" s="30"/>
      <c r="N1114" s="30"/>
      <c r="O1114" s="30"/>
      <c r="P1114" s="30"/>
      <c r="Q1114" s="30"/>
      <c r="R1114" s="30"/>
      <c r="S1114" s="30"/>
      <c r="T1114" s="30"/>
      <c r="U1114" s="30"/>
      <c r="V1114" s="30"/>
      <c r="W1114" s="30"/>
      <c r="X1114" s="30"/>
      <c r="Y1114" s="30"/>
      <c r="Z1114" s="30"/>
      <c r="AA1114" s="30"/>
      <c r="AB1114" s="30"/>
      <c r="AC1114" s="30"/>
      <c r="AD1114" s="30"/>
      <c r="AE1114" s="30"/>
      <c r="AF1114" s="30"/>
      <c r="AG1114" s="30"/>
      <c r="AH1114" s="30"/>
      <c r="AI1114" s="30"/>
      <c r="AJ1114" s="30"/>
      <c r="AK1114" s="30"/>
      <c r="AL1114" s="30"/>
      <c r="AM1114" s="30"/>
      <c r="AN1114" s="30"/>
      <c r="AO1114" s="30"/>
      <c r="AP1114" s="30"/>
      <c r="AQ1114" s="30"/>
      <c r="AR1114" s="30"/>
      <c r="AS1114" s="30"/>
      <c r="AT1114" s="30"/>
      <c r="AU1114" s="30"/>
      <c r="AV1114" s="30"/>
      <c r="AW1114" s="30"/>
      <c r="AX1114" s="30"/>
    </row>
    <row r="1115" spans="4:50" s="23" customFormat="1" x14ac:dyDescent="0.3">
      <c r="D1115" s="34"/>
      <c r="E1115" s="24"/>
      <c r="F1115" s="24"/>
      <c r="G1115" s="24"/>
      <c r="H1115" s="24"/>
      <c r="I1115" s="24"/>
      <c r="J1115" s="27"/>
      <c r="K1115" s="30"/>
      <c r="L1115" s="30"/>
      <c r="M1115" s="30"/>
      <c r="N1115" s="30"/>
      <c r="O1115" s="30"/>
      <c r="P1115" s="30"/>
      <c r="Q1115" s="30"/>
      <c r="R1115" s="30"/>
      <c r="S1115" s="30"/>
      <c r="T1115" s="30"/>
      <c r="U1115" s="30"/>
      <c r="V1115" s="30"/>
      <c r="W1115" s="30"/>
      <c r="X1115" s="30"/>
      <c r="Y1115" s="30"/>
      <c r="Z1115" s="30"/>
      <c r="AA1115" s="30"/>
      <c r="AB1115" s="30"/>
      <c r="AC1115" s="30"/>
      <c r="AD1115" s="30"/>
      <c r="AE1115" s="30"/>
      <c r="AF1115" s="30"/>
      <c r="AG1115" s="30"/>
      <c r="AH1115" s="30"/>
      <c r="AI1115" s="30"/>
      <c r="AJ1115" s="30"/>
      <c r="AK1115" s="30"/>
      <c r="AL1115" s="30"/>
      <c r="AM1115" s="30"/>
      <c r="AN1115" s="30"/>
      <c r="AO1115" s="30"/>
      <c r="AP1115" s="30"/>
      <c r="AQ1115" s="30"/>
      <c r="AR1115" s="30"/>
      <c r="AS1115" s="30"/>
      <c r="AT1115" s="30"/>
      <c r="AU1115" s="30"/>
      <c r="AV1115" s="30"/>
      <c r="AW1115" s="30"/>
      <c r="AX1115" s="30"/>
    </row>
    <row r="1116" spans="4:50" s="23" customFormat="1" x14ac:dyDescent="0.3">
      <c r="D1116" s="34"/>
      <c r="E1116" s="24"/>
      <c r="F1116" s="24"/>
      <c r="G1116" s="24"/>
      <c r="H1116" s="24"/>
      <c r="I1116" s="24"/>
      <c r="J1116" s="27"/>
      <c r="K1116" s="30"/>
      <c r="L1116" s="30"/>
      <c r="M1116" s="30"/>
      <c r="N1116" s="30"/>
      <c r="O1116" s="30"/>
      <c r="P1116" s="30"/>
      <c r="Q1116" s="30"/>
      <c r="R1116" s="30"/>
      <c r="S1116" s="30"/>
      <c r="T1116" s="30"/>
      <c r="U1116" s="30"/>
      <c r="V1116" s="30"/>
      <c r="W1116" s="30"/>
      <c r="X1116" s="30"/>
      <c r="Y1116" s="30"/>
      <c r="Z1116" s="30"/>
      <c r="AA1116" s="30"/>
      <c r="AB1116" s="30"/>
      <c r="AC1116" s="30"/>
      <c r="AD1116" s="30"/>
      <c r="AE1116" s="30"/>
      <c r="AF1116" s="30"/>
      <c r="AG1116" s="30"/>
      <c r="AH1116" s="30"/>
      <c r="AI1116" s="30"/>
      <c r="AJ1116" s="30"/>
      <c r="AK1116" s="30"/>
      <c r="AL1116" s="30"/>
      <c r="AM1116" s="30"/>
      <c r="AN1116" s="30"/>
      <c r="AO1116" s="30"/>
      <c r="AP1116" s="30"/>
      <c r="AQ1116" s="30"/>
      <c r="AR1116" s="30"/>
      <c r="AS1116" s="30"/>
      <c r="AT1116" s="30"/>
      <c r="AU1116" s="30"/>
      <c r="AV1116" s="30"/>
      <c r="AW1116" s="30"/>
      <c r="AX1116" s="30"/>
    </row>
    <row r="1117" spans="4:50" s="23" customFormat="1" x14ac:dyDescent="0.3">
      <c r="D1117" s="34"/>
      <c r="E1117" s="24"/>
      <c r="F1117" s="24"/>
      <c r="G1117" s="24"/>
      <c r="H1117" s="24"/>
      <c r="I1117" s="24"/>
      <c r="J1117" s="27"/>
      <c r="K1117" s="30"/>
      <c r="L1117" s="30"/>
      <c r="M1117" s="30"/>
      <c r="N1117" s="30"/>
      <c r="O1117" s="30"/>
      <c r="P1117" s="30"/>
      <c r="Q1117" s="30"/>
      <c r="R1117" s="30"/>
      <c r="S1117" s="30"/>
      <c r="T1117" s="30"/>
      <c r="U1117" s="30"/>
      <c r="V1117" s="30"/>
      <c r="W1117" s="30"/>
      <c r="X1117" s="30"/>
      <c r="Y1117" s="30"/>
      <c r="Z1117" s="30"/>
      <c r="AA1117" s="30"/>
      <c r="AB1117" s="30"/>
      <c r="AC1117" s="30"/>
      <c r="AD1117" s="30"/>
      <c r="AE1117" s="30"/>
      <c r="AF1117" s="30"/>
      <c r="AG1117" s="30"/>
      <c r="AH1117" s="30"/>
      <c r="AI1117" s="30"/>
      <c r="AJ1117" s="30"/>
      <c r="AK1117" s="30"/>
      <c r="AL1117" s="30"/>
      <c r="AM1117" s="30"/>
      <c r="AN1117" s="30"/>
      <c r="AO1117" s="30"/>
      <c r="AP1117" s="30"/>
      <c r="AQ1117" s="30"/>
      <c r="AR1117" s="30"/>
      <c r="AS1117" s="30"/>
      <c r="AT1117" s="30"/>
      <c r="AU1117" s="30"/>
      <c r="AV1117" s="30"/>
      <c r="AW1117" s="30"/>
      <c r="AX1117" s="30"/>
    </row>
    <row r="1118" spans="4:50" s="23" customFormat="1" x14ac:dyDescent="0.3">
      <c r="D1118" s="34"/>
      <c r="E1118" s="24"/>
      <c r="F1118" s="24"/>
      <c r="G1118" s="24"/>
      <c r="H1118" s="24"/>
      <c r="I1118" s="24"/>
      <c r="J1118" s="27"/>
      <c r="K1118" s="30"/>
      <c r="L1118" s="30"/>
      <c r="M1118" s="30"/>
      <c r="N1118" s="30"/>
      <c r="O1118" s="30"/>
      <c r="P1118" s="30"/>
      <c r="Q1118" s="30"/>
      <c r="R1118" s="30"/>
      <c r="S1118" s="30"/>
      <c r="T1118" s="30"/>
      <c r="U1118" s="30"/>
      <c r="V1118" s="30"/>
      <c r="W1118" s="30"/>
      <c r="X1118" s="30"/>
      <c r="Y1118" s="30"/>
      <c r="Z1118" s="30"/>
      <c r="AA1118" s="30"/>
      <c r="AB1118" s="30"/>
      <c r="AC1118" s="30"/>
      <c r="AD1118" s="30"/>
      <c r="AE1118" s="30"/>
      <c r="AF1118" s="30"/>
      <c r="AG1118" s="30"/>
      <c r="AH1118" s="30"/>
      <c r="AI1118" s="30"/>
      <c r="AJ1118" s="30"/>
      <c r="AK1118" s="30"/>
      <c r="AL1118" s="30"/>
      <c r="AM1118" s="30"/>
      <c r="AN1118" s="30"/>
      <c r="AO1118" s="30"/>
      <c r="AP1118" s="30"/>
      <c r="AQ1118" s="30"/>
      <c r="AR1118" s="30"/>
      <c r="AS1118" s="30"/>
      <c r="AT1118" s="30"/>
      <c r="AU1118" s="30"/>
      <c r="AV1118" s="30"/>
      <c r="AW1118" s="30"/>
      <c r="AX1118" s="30"/>
    </row>
    <row r="1119" spans="4:50" s="23" customFormat="1" x14ac:dyDescent="0.3">
      <c r="D1119" s="34"/>
      <c r="E1119" s="24"/>
      <c r="F1119" s="24"/>
      <c r="G1119" s="24"/>
      <c r="H1119" s="24"/>
      <c r="I1119" s="24"/>
      <c r="J1119" s="27"/>
      <c r="K1119" s="30"/>
      <c r="L1119" s="30"/>
      <c r="M1119" s="30"/>
      <c r="N1119" s="30"/>
      <c r="O1119" s="30"/>
      <c r="P1119" s="30"/>
      <c r="Q1119" s="30"/>
      <c r="R1119" s="30"/>
      <c r="S1119" s="30"/>
      <c r="T1119" s="30"/>
      <c r="U1119" s="30"/>
      <c r="V1119" s="30"/>
      <c r="W1119" s="30"/>
      <c r="X1119" s="30"/>
      <c r="Y1119" s="30"/>
      <c r="Z1119" s="30"/>
      <c r="AA1119" s="30"/>
      <c r="AB1119" s="30"/>
      <c r="AC1119" s="30"/>
      <c r="AD1119" s="30"/>
      <c r="AE1119" s="30"/>
      <c r="AF1119" s="30"/>
      <c r="AG1119" s="30"/>
      <c r="AH1119" s="30"/>
      <c r="AI1119" s="30"/>
      <c r="AJ1119" s="30"/>
      <c r="AK1119" s="30"/>
      <c r="AL1119" s="30"/>
      <c r="AM1119" s="30"/>
      <c r="AN1119" s="30"/>
      <c r="AO1119" s="30"/>
      <c r="AP1119" s="30"/>
      <c r="AQ1119" s="30"/>
      <c r="AR1119" s="30"/>
      <c r="AS1119" s="30"/>
      <c r="AT1119" s="30"/>
      <c r="AU1119" s="30"/>
      <c r="AV1119" s="30"/>
      <c r="AW1119" s="30"/>
      <c r="AX1119" s="30"/>
    </row>
    <row r="1120" spans="4:50" s="23" customFormat="1" x14ac:dyDescent="0.3">
      <c r="D1120" s="34"/>
      <c r="E1120" s="24"/>
      <c r="F1120" s="24"/>
      <c r="G1120" s="24"/>
      <c r="H1120" s="24"/>
      <c r="I1120" s="24"/>
      <c r="J1120" s="27"/>
      <c r="K1120" s="30"/>
      <c r="L1120" s="30"/>
      <c r="M1120" s="30"/>
      <c r="N1120" s="30"/>
      <c r="O1120" s="30"/>
      <c r="P1120" s="30"/>
      <c r="Q1120" s="30"/>
      <c r="R1120" s="30"/>
      <c r="S1120" s="30"/>
      <c r="T1120" s="30"/>
      <c r="U1120" s="30"/>
      <c r="V1120" s="30"/>
      <c r="W1120" s="30"/>
      <c r="X1120" s="30"/>
      <c r="Y1120" s="30"/>
      <c r="Z1120" s="30"/>
      <c r="AA1120" s="30"/>
      <c r="AB1120" s="30"/>
      <c r="AC1120" s="30"/>
      <c r="AD1120" s="30"/>
      <c r="AE1120" s="30"/>
      <c r="AF1120" s="30"/>
      <c r="AG1120" s="30"/>
      <c r="AH1120" s="30"/>
      <c r="AI1120" s="30"/>
      <c r="AJ1120" s="30"/>
      <c r="AK1120" s="30"/>
      <c r="AL1120" s="30"/>
      <c r="AM1120" s="30"/>
      <c r="AN1120" s="30"/>
      <c r="AO1120" s="30"/>
      <c r="AP1120" s="30"/>
      <c r="AQ1120" s="30"/>
      <c r="AR1120" s="30"/>
      <c r="AS1120" s="30"/>
      <c r="AT1120" s="30"/>
      <c r="AU1120" s="30"/>
      <c r="AV1120" s="30"/>
      <c r="AW1120" s="30"/>
      <c r="AX1120" s="30"/>
    </row>
    <row r="1121" spans="4:50" s="23" customFormat="1" x14ac:dyDescent="0.3">
      <c r="D1121" s="34"/>
      <c r="E1121" s="24"/>
      <c r="F1121" s="24"/>
      <c r="G1121" s="24"/>
      <c r="H1121" s="24"/>
      <c r="I1121" s="24"/>
      <c r="J1121" s="27"/>
      <c r="K1121" s="30"/>
      <c r="L1121" s="30"/>
      <c r="M1121" s="30"/>
      <c r="N1121" s="30"/>
      <c r="O1121" s="30"/>
      <c r="P1121" s="30"/>
      <c r="Q1121" s="30"/>
      <c r="R1121" s="30"/>
      <c r="S1121" s="30"/>
      <c r="T1121" s="30"/>
      <c r="U1121" s="30"/>
      <c r="V1121" s="30"/>
      <c r="W1121" s="30"/>
      <c r="X1121" s="30"/>
      <c r="Y1121" s="30"/>
      <c r="Z1121" s="30"/>
      <c r="AA1121" s="30"/>
      <c r="AB1121" s="30"/>
      <c r="AC1121" s="30"/>
      <c r="AD1121" s="30"/>
      <c r="AE1121" s="30"/>
      <c r="AF1121" s="30"/>
      <c r="AG1121" s="30"/>
      <c r="AH1121" s="30"/>
      <c r="AI1121" s="30"/>
      <c r="AJ1121" s="30"/>
      <c r="AK1121" s="30"/>
      <c r="AL1121" s="30"/>
      <c r="AM1121" s="30"/>
      <c r="AN1121" s="30"/>
      <c r="AO1121" s="30"/>
      <c r="AP1121" s="30"/>
      <c r="AQ1121" s="30"/>
      <c r="AR1121" s="30"/>
      <c r="AS1121" s="30"/>
      <c r="AT1121" s="30"/>
      <c r="AU1121" s="30"/>
      <c r="AV1121" s="30"/>
      <c r="AW1121" s="30"/>
      <c r="AX1121" s="30"/>
    </row>
    <row r="1122" spans="4:50" s="23" customFormat="1" x14ac:dyDescent="0.3">
      <c r="D1122" s="34"/>
      <c r="E1122" s="24"/>
      <c r="F1122" s="24"/>
      <c r="G1122" s="24"/>
      <c r="H1122" s="24"/>
      <c r="I1122" s="24"/>
      <c r="J1122" s="27"/>
      <c r="K1122" s="30"/>
      <c r="L1122" s="30"/>
      <c r="M1122" s="30"/>
      <c r="N1122" s="30"/>
      <c r="O1122" s="30"/>
      <c r="P1122" s="30"/>
      <c r="Q1122" s="30"/>
      <c r="R1122" s="30"/>
      <c r="S1122" s="30"/>
      <c r="T1122" s="30"/>
      <c r="U1122" s="30"/>
      <c r="V1122" s="30"/>
      <c r="W1122" s="30"/>
      <c r="X1122" s="30"/>
      <c r="Y1122" s="30"/>
      <c r="Z1122" s="30"/>
      <c r="AA1122" s="30"/>
      <c r="AB1122" s="30"/>
      <c r="AC1122" s="30"/>
      <c r="AD1122" s="30"/>
      <c r="AE1122" s="30"/>
      <c r="AF1122" s="30"/>
      <c r="AG1122" s="30"/>
      <c r="AH1122" s="30"/>
      <c r="AI1122" s="30"/>
      <c r="AJ1122" s="30"/>
      <c r="AK1122" s="30"/>
      <c r="AL1122" s="30"/>
      <c r="AM1122" s="30"/>
      <c r="AN1122" s="30"/>
      <c r="AO1122" s="30"/>
      <c r="AP1122" s="30"/>
      <c r="AQ1122" s="30"/>
      <c r="AR1122" s="30"/>
      <c r="AS1122" s="30"/>
      <c r="AT1122" s="30"/>
      <c r="AU1122" s="30"/>
      <c r="AV1122" s="30"/>
      <c r="AW1122" s="30"/>
      <c r="AX1122" s="30"/>
    </row>
    <row r="1123" spans="4:50" s="23" customFormat="1" x14ac:dyDescent="0.3">
      <c r="D1123" s="34"/>
      <c r="E1123" s="24"/>
      <c r="F1123" s="24"/>
      <c r="G1123" s="24"/>
      <c r="H1123" s="24"/>
      <c r="I1123" s="24"/>
      <c r="J1123" s="27"/>
      <c r="K1123" s="30"/>
      <c r="L1123" s="30"/>
      <c r="M1123" s="30"/>
      <c r="N1123" s="30"/>
      <c r="O1123" s="30"/>
      <c r="P1123" s="30"/>
      <c r="Q1123" s="30"/>
      <c r="R1123" s="30"/>
      <c r="S1123" s="30"/>
      <c r="T1123" s="30"/>
      <c r="U1123" s="30"/>
      <c r="V1123" s="30"/>
      <c r="W1123" s="30"/>
      <c r="X1123" s="30"/>
      <c r="Y1123" s="30"/>
      <c r="Z1123" s="30"/>
      <c r="AA1123" s="30"/>
      <c r="AB1123" s="30"/>
      <c r="AC1123" s="30"/>
      <c r="AD1123" s="30"/>
      <c r="AE1123" s="30"/>
      <c r="AF1123" s="30"/>
      <c r="AG1123" s="30"/>
      <c r="AH1123" s="30"/>
      <c r="AI1123" s="30"/>
      <c r="AJ1123" s="30"/>
      <c r="AK1123" s="30"/>
      <c r="AL1123" s="30"/>
      <c r="AM1123" s="30"/>
      <c r="AN1123" s="30"/>
      <c r="AO1123" s="30"/>
      <c r="AP1123" s="30"/>
      <c r="AQ1123" s="30"/>
      <c r="AR1123" s="30"/>
      <c r="AS1123" s="30"/>
      <c r="AT1123" s="30"/>
      <c r="AU1123" s="30"/>
      <c r="AV1123" s="30"/>
      <c r="AW1123" s="30"/>
      <c r="AX1123" s="30"/>
    </row>
    <row r="1124" spans="4:50" s="23" customFormat="1" x14ac:dyDescent="0.3">
      <c r="D1124" s="34"/>
      <c r="E1124" s="24"/>
      <c r="F1124" s="24"/>
      <c r="G1124" s="24"/>
      <c r="H1124" s="24"/>
      <c r="I1124" s="24"/>
      <c r="J1124" s="27"/>
      <c r="K1124" s="30"/>
      <c r="L1124" s="30"/>
      <c r="M1124" s="30"/>
      <c r="N1124" s="30"/>
      <c r="O1124" s="30"/>
      <c r="P1124" s="30"/>
      <c r="Q1124" s="30"/>
      <c r="R1124" s="30"/>
      <c r="S1124" s="30"/>
      <c r="T1124" s="30"/>
      <c r="U1124" s="30"/>
      <c r="V1124" s="30"/>
      <c r="W1124" s="30"/>
      <c r="X1124" s="30"/>
      <c r="Y1124" s="30"/>
      <c r="Z1124" s="30"/>
      <c r="AA1124" s="30"/>
      <c r="AB1124" s="30"/>
      <c r="AC1124" s="30"/>
      <c r="AD1124" s="30"/>
      <c r="AE1124" s="30"/>
      <c r="AF1124" s="30"/>
      <c r="AG1124" s="30"/>
      <c r="AH1124" s="30"/>
      <c r="AI1124" s="30"/>
      <c r="AJ1124" s="30"/>
      <c r="AK1124" s="30"/>
      <c r="AL1124" s="30"/>
      <c r="AM1124" s="30"/>
      <c r="AN1124" s="30"/>
      <c r="AO1124" s="30"/>
      <c r="AP1124" s="30"/>
      <c r="AQ1124" s="30"/>
      <c r="AR1124" s="30"/>
      <c r="AS1124" s="30"/>
      <c r="AT1124" s="30"/>
      <c r="AU1124" s="30"/>
      <c r="AV1124" s="30"/>
      <c r="AW1124" s="30"/>
      <c r="AX1124" s="30"/>
    </row>
    <row r="1125" spans="4:50" s="23" customFormat="1" x14ac:dyDescent="0.3">
      <c r="D1125" s="34"/>
      <c r="E1125" s="24"/>
      <c r="F1125" s="24"/>
      <c r="G1125" s="24"/>
      <c r="H1125" s="24"/>
      <c r="I1125" s="24"/>
      <c r="J1125" s="27"/>
      <c r="K1125" s="30"/>
      <c r="L1125" s="30"/>
      <c r="M1125" s="30"/>
      <c r="N1125" s="30"/>
      <c r="O1125" s="30"/>
      <c r="P1125" s="30"/>
      <c r="Q1125" s="30"/>
      <c r="R1125" s="30"/>
      <c r="S1125" s="30"/>
      <c r="T1125" s="30"/>
      <c r="U1125" s="30"/>
      <c r="V1125" s="30"/>
      <c r="W1125" s="30"/>
      <c r="X1125" s="30"/>
      <c r="Y1125" s="30"/>
      <c r="Z1125" s="30"/>
      <c r="AA1125" s="30"/>
      <c r="AB1125" s="30"/>
      <c r="AC1125" s="30"/>
      <c r="AD1125" s="30"/>
      <c r="AE1125" s="30"/>
      <c r="AF1125" s="30"/>
      <c r="AG1125" s="30"/>
      <c r="AH1125" s="30"/>
      <c r="AI1125" s="30"/>
      <c r="AJ1125" s="30"/>
      <c r="AK1125" s="30"/>
      <c r="AL1125" s="30"/>
      <c r="AM1125" s="30"/>
      <c r="AN1125" s="30"/>
      <c r="AO1125" s="30"/>
      <c r="AP1125" s="30"/>
      <c r="AQ1125" s="30"/>
      <c r="AR1125" s="30"/>
      <c r="AS1125" s="30"/>
      <c r="AT1125" s="30"/>
      <c r="AU1125" s="30"/>
      <c r="AV1125" s="30"/>
      <c r="AW1125" s="30"/>
      <c r="AX1125" s="30"/>
    </row>
    <row r="1126" spans="4:50" s="23" customFormat="1" x14ac:dyDescent="0.3">
      <c r="D1126" s="34"/>
      <c r="E1126" s="24"/>
      <c r="F1126" s="24"/>
      <c r="G1126" s="24"/>
      <c r="H1126" s="24"/>
      <c r="I1126" s="24"/>
      <c r="J1126" s="27"/>
      <c r="K1126" s="30"/>
      <c r="L1126" s="30"/>
      <c r="M1126" s="30"/>
      <c r="N1126" s="30"/>
      <c r="O1126" s="30"/>
      <c r="P1126" s="30"/>
      <c r="Q1126" s="30"/>
      <c r="R1126" s="30"/>
      <c r="S1126" s="30"/>
      <c r="T1126" s="30"/>
      <c r="U1126" s="30"/>
      <c r="V1126" s="30"/>
      <c r="W1126" s="30"/>
      <c r="X1126" s="30"/>
      <c r="Y1126" s="30"/>
      <c r="Z1126" s="30"/>
      <c r="AA1126" s="30"/>
      <c r="AB1126" s="30"/>
      <c r="AC1126" s="30"/>
      <c r="AD1126" s="30"/>
      <c r="AE1126" s="30"/>
      <c r="AF1126" s="30"/>
      <c r="AG1126" s="30"/>
      <c r="AH1126" s="30"/>
      <c r="AI1126" s="30"/>
      <c r="AJ1126" s="30"/>
      <c r="AK1126" s="30"/>
      <c r="AL1126" s="30"/>
      <c r="AM1126" s="30"/>
      <c r="AN1126" s="30"/>
      <c r="AO1126" s="30"/>
      <c r="AP1126" s="30"/>
      <c r="AQ1126" s="30"/>
      <c r="AR1126" s="30"/>
      <c r="AS1126" s="30"/>
      <c r="AT1126" s="30"/>
      <c r="AU1126" s="30"/>
      <c r="AV1126" s="30"/>
      <c r="AW1126" s="30"/>
      <c r="AX1126" s="30"/>
    </row>
    <row r="1127" spans="4:50" s="23" customFormat="1" x14ac:dyDescent="0.3">
      <c r="D1127" s="34"/>
      <c r="E1127" s="24"/>
      <c r="F1127" s="24"/>
      <c r="G1127" s="24"/>
      <c r="H1127" s="24"/>
      <c r="I1127" s="24"/>
      <c r="J1127" s="27"/>
      <c r="K1127" s="30"/>
      <c r="L1127" s="30"/>
      <c r="M1127" s="30"/>
      <c r="N1127" s="30"/>
      <c r="O1127" s="30"/>
      <c r="P1127" s="30"/>
      <c r="Q1127" s="30"/>
      <c r="R1127" s="30"/>
      <c r="S1127" s="30"/>
      <c r="T1127" s="30"/>
      <c r="U1127" s="30"/>
      <c r="V1127" s="30"/>
      <c r="W1127" s="30"/>
      <c r="X1127" s="30"/>
      <c r="Y1127" s="30"/>
      <c r="Z1127" s="30"/>
      <c r="AA1127" s="30"/>
      <c r="AB1127" s="30"/>
      <c r="AC1127" s="30"/>
      <c r="AD1127" s="30"/>
      <c r="AE1127" s="30"/>
      <c r="AF1127" s="30"/>
      <c r="AG1127" s="30"/>
      <c r="AH1127" s="30"/>
      <c r="AI1127" s="30"/>
      <c r="AJ1127" s="30"/>
      <c r="AK1127" s="30"/>
      <c r="AL1127" s="30"/>
      <c r="AM1127" s="30"/>
      <c r="AN1127" s="30"/>
      <c r="AO1127" s="30"/>
      <c r="AP1127" s="30"/>
      <c r="AQ1127" s="30"/>
      <c r="AR1127" s="30"/>
      <c r="AS1127" s="30"/>
      <c r="AT1127" s="30"/>
      <c r="AU1127" s="30"/>
      <c r="AV1127" s="30"/>
      <c r="AW1127" s="30"/>
      <c r="AX1127" s="30"/>
    </row>
    <row r="1128" spans="4:50" s="23" customFormat="1" x14ac:dyDescent="0.3">
      <c r="D1128" s="34"/>
      <c r="E1128" s="24"/>
      <c r="F1128" s="24"/>
      <c r="G1128" s="24"/>
      <c r="H1128" s="24"/>
      <c r="I1128" s="24"/>
      <c r="J1128" s="27"/>
      <c r="K1128" s="30"/>
      <c r="L1128" s="30"/>
      <c r="M1128" s="30"/>
      <c r="N1128" s="30"/>
      <c r="O1128" s="30"/>
      <c r="P1128" s="30"/>
      <c r="Q1128" s="30"/>
      <c r="R1128" s="30"/>
      <c r="S1128" s="30"/>
      <c r="T1128" s="30"/>
      <c r="U1128" s="30"/>
      <c r="V1128" s="30"/>
      <c r="W1128" s="30"/>
      <c r="X1128" s="30"/>
      <c r="Y1128" s="30"/>
      <c r="Z1128" s="30"/>
      <c r="AA1128" s="30"/>
      <c r="AB1128" s="30"/>
      <c r="AC1128" s="30"/>
      <c r="AD1128" s="30"/>
      <c r="AE1128" s="30"/>
      <c r="AF1128" s="30"/>
      <c r="AG1128" s="30"/>
      <c r="AH1128" s="30"/>
      <c r="AI1128" s="30"/>
      <c r="AJ1128" s="30"/>
      <c r="AK1128" s="30"/>
      <c r="AL1128" s="30"/>
      <c r="AM1128" s="30"/>
      <c r="AN1128" s="30"/>
      <c r="AO1128" s="30"/>
      <c r="AP1128" s="30"/>
      <c r="AQ1128" s="30"/>
      <c r="AR1128" s="30"/>
      <c r="AS1128" s="30"/>
      <c r="AT1128" s="30"/>
      <c r="AU1128" s="30"/>
      <c r="AV1128" s="30"/>
      <c r="AW1128" s="30"/>
      <c r="AX1128" s="30"/>
    </row>
    <row r="1129" spans="4:50" s="23" customFormat="1" x14ac:dyDescent="0.3">
      <c r="D1129" s="34"/>
      <c r="E1129" s="24"/>
      <c r="F1129" s="24"/>
      <c r="G1129" s="24"/>
      <c r="H1129" s="24"/>
      <c r="I1129" s="24"/>
      <c r="J1129" s="27"/>
      <c r="K1129" s="30"/>
      <c r="L1129" s="30"/>
      <c r="M1129" s="30"/>
      <c r="N1129" s="30"/>
      <c r="O1129" s="30"/>
      <c r="P1129" s="30"/>
      <c r="Q1129" s="30"/>
      <c r="R1129" s="30"/>
      <c r="S1129" s="30"/>
      <c r="T1129" s="30"/>
      <c r="U1129" s="30"/>
      <c r="V1129" s="30"/>
      <c r="W1129" s="30"/>
      <c r="X1129" s="30"/>
      <c r="Y1129" s="30"/>
      <c r="Z1129" s="30"/>
      <c r="AA1129" s="30"/>
      <c r="AB1129" s="30"/>
      <c r="AC1129" s="30"/>
      <c r="AD1129" s="30"/>
      <c r="AE1129" s="30"/>
      <c r="AF1129" s="30"/>
      <c r="AG1129" s="30"/>
      <c r="AH1129" s="30"/>
      <c r="AI1129" s="30"/>
      <c r="AJ1129" s="30"/>
      <c r="AK1129" s="30"/>
      <c r="AL1129" s="30"/>
      <c r="AM1129" s="30"/>
      <c r="AN1129" s="30"/>
      <c r="AO1129" s="30"/>
      <c r="AP1129" s="30"/>
      <c r="AQ1129" s="30"/>
      <c r="AR1129" s="30"/>
      <c r="AS1129" s="30"/>
      <c r="AT1129" s="30"/>
      <c r="AU1129" s="30"/>
      <c r="AV1129" s="30"/>
      <c r="AW1129" s="30"/>
      <c r="AX1129" s="30"/>
    </row>
    <row r="1130" spans="4:50" s="23" customFormat="1" x14ac:dyDescent="0.3">
      <c r="D1130" s="34"/>
      <c r="E1130" s="24"/>
      <c r="F1130" s="24"/>
      <c r="G1130" s="24"/>
      <c r="H1130" s="24"/>
      <c r="I1130" s="24"/>
      <c r="J1130" s="27"/>
      <c r="K1130" s="30"/>
      <c r="L1130" s="30"/>
      <c r="M1130" s="30"/>
      <c r="N1130" s="30"/>
      <c r="O1130" s="30"/>
      <c r="P1130" s="30"/>
      <c r="Q1130" s="30"/>
      <c r="R1130" s="30"/>
      <c r="S1130" s="30"/>
      <c r="T1130" s="30"/>
      <c r="U1130" s="30"/>
      <c r="V1130" s="30"/>
      <c r="W1130" s="30"/>
      <c r="X1130" s="30"/>
      <c r="Y1130" s="30"/>
      <c r="Z1130" s="30"/>
      <c r="AA1130" s="30"/>
      <c r="AB1130" s="30"/>
      <c r="AC1130" s="30"/>
      <c r="AD1130" s="30"/>
      <c r="AE1130" s="30"/>
      <c r="AF1130" s="30"/>
      <c r="AG1130" s="30"/>
      <c r="AH1130" s="30"/>
      <c r="AI1130" s="30"/>
      <c r="AJ1130" s="30"/>
      <c r="AK1130" s="30"/>
      <c r="AL1130" s="30"/>
      <c r="AM1130" s="30"/>
      <c r="AN1130" s="30"/>
      <c r="AO1130" s="30"/>
      <c r="AP1130" s="30"/>
      <c r="AQ1130" s="30"/>
      <c r="AR1130" s="30"/>
      <c r="AS1130" s="30"/>
      <c r="AT1130" s="30"/>
      <c r="AU1130" s="30"/>
      <c r="AV1130" s="30"/>
      <c r="AW1130" s="30"/>
      <c r="AX1130" s="30"/>
    </row>
    <row r="1131" spans="4:50" s="23" customFormat="1" x14ac:dyDescent="0.3">
      <c r="D1131" s="34"/>
      <c r="E1131" s="24"/>
      <c r="F1131" s="24"/>
      <c r="G1131" s="24"/>
      <c r="H1131" s="24"/>
      <c r="I1131" s="24"/>
      <c r="J1131" s="27"/>
      <c r="K1131" s="30"/>
      <c r="L1131" s="30"/>
      <c r="M1131" s="30"/>
      <c r="N1131" s="30"/>
      <c r="O1131" s="30"/>
      <c r="P1131" s="30"/>
      <c r="Q1131" s="30"/>
      <c r="R1131" s="30"/>
      <c r="S1131" s="30"/>
      <c r="T1131" s="30"/>
      <c r="U1131" s="30"/>
      <c r="V1131" s="30"/>
      <c r="W1131" s="30"/>
      <c r="X1131" s="30"/>
      <c r="Y1131" s="30"/>
      <c r="Z1131" s="30"/>
      <c r="AA1131" s="30"/>
      <c r="AB1131" s="30"/>
      <c r="AC1131" s="30"/>
      <c r="AD1131" s="30"/>
      <c r="AE1131" s="30"/>
      <c r="AF1131" s="30"/>
      <c r="AG1131" s="30"/>
      <c r="AH1131" s="30"/>
      <c r="AI1131" s="30"/>
      <c r="AJ1131" s="30"/>
      <c r="AK1131" s="30"/>
      <c r="AL1131" s="30"/>
      <c r="AM1131" s="30"/>
      <c r="AN1131" s="30"/>
      <c r="AO1131" s="30"/>
      <c r="AP1131" s="30"/>
      <c r="AQ1131" s="30"/>
      <c r="AR1131" s="30"/>
      <c r="AS1131" s="30"/>
      <c r="AT1131" s="30"/>
      <c r="AU1131" s="30"/>
      <c r="AV1131" s="30"/>
      <c r="AW1131" s="30"/>
      <c r="AX1131" s="30"/>
    </row>
    <row r="1132" spans="4:50" s="23" customFormat="1" x14ac:dyDescent="0.3">
      <c r="D1132" s="34"/>
      <c r="E1132" s="24"/>
      <c r="F1132" s="24"/>
      <c r="G1132" s="24"/>
      <c r="H1132" s="24"/>
      <c r="I1132" s="24"/>
      <c r="J1132" s="27"/>
      <c r="K1132" s="30"/>
      <c r="L1132" s="30"/>
      <c r="M1132" s="30"/>
      <c r="N1132" s="30"/>
      <c r="O1132" s="30"/>
      <c r="P1132" s="30"/>
      <c r="Q1132" s="30"/>
      <c r="R1132" s="30"/>
      <c r="S1132" s="30"/>
      <c r="T1132" s="30"/>
      <c r="U1132" s="30"/>
      <c r="V1132" s="30"/>
      <c r="W1132" s="30"/>
      <c r="X1132" s="30"/>
      <c r="Y1132" s="30"/>
      <c r="Z1132" s="30"/>
      <c r="AA1132" s="30"/>
      <c r="AB1132" s="30"/>
      <c r="AC1132" s="30"/>
      <c r="AD1132" s="30"/>
      <c r="AE1132" s="30"/>
      <c r="AF1132" s="30"/>
      <c r="AG1132" s="30"/>
      <c r="AH1132" s="30"/>
      <c r="AI1132" s="30"/>
      <c r="AJ1132" s="30"/>
      <c r="AK1132" s="30"/>
      <c r="AL1132" s="30"/>
      <c r="AM1132" s="30"/>
      <c r="AN1132" s="30"/>
      <c r="AO1132" s="30"/>
      <c r="AP1132" s="30"/>
      <c r="AQ1132" s="30"/>
      <c r="AR1132" s="30"/>
      <c r="AS1132" s="30"/>
      <c r="AT1132" s="30"/>
      <c r="AU1132" s="30"/>
      <c r="AV1132" s="30"/>
      <c r="AW1132" s="30"/>
      <c r="AX1132" s="30"/>
    </row>
    <row r="1133" spans="4:50" s="23" customFormat="1" x14ac:dyDescent="0.3">
      <c r="D1133" s="34"/>
      <c r="E1133" s="24"/>
      <c r="F1133" s="24"/>
      <c r="G1133" s="24"/>
      <c r="H1133" s="24"/>
      <c r="I1133" s="24"/>
      <c r="J1133" s="27"/>
      <c r="K1133" s="30"/>
      <c r="L1133" s="30"/>
      <c r="M1133" s="30"/>
      <c r="N1133" s="30"/>
      <c r="O1133" s="30"/>
      <c r="P1133" s="30"/>
      <c r="Q1133" s="30"/>
      <c r="R1133" s="30"/>
      <c r="S1133" s="30"/>
      <c r="T1133" s="30"/>
      <c r="U1133" s="30"/>
      <c r="V1133" s="30"/>
      <c r="W1133" s="30"/>
      <c r="X1133" s="30"/>
      <c r="Y1133" s="30"/>
      <c r="Z1133" s="30"/>
      <c r="AA1133" s="30"/>
      <c r="AB1133" s="30"/>
      <c r="AC1133" s="30"/>
      <c r="AD1133" s="30"/>
      <c r="AE1133" s="30"/>
      <c r="AF1133" s="30"/>
      <c r="AG1133" s="30"/>
      <c r="AH1133" s="30"/>
      <c r="AI1133" s="30"/>
      <c r="AJ1133" s="30"/>
      <c r="AK1133" s="30"/>
      <c r="AL1133" s="30"/>
      <c r="AM1133" s="30"/>
      <c r="AN1133" s="30"/>
      <c r="AO1133" s="30"/>
      <c r="AP1133" s="30"/>
      <c r="AQ1133" s="30"/>
      <c r="AR1133" s="30"/>
      <c r="AS1133" s="30"/>
      <c r="AT1133" s="30"/>
      <c r="AU1133" s="30"/>
      <c r="AV1133" s="30"/>
      <c r="AW1133" s="30"/>
      <c r="AX1133" s="30"/>
    </row>
    <row r="1134" spans="4:50" s="23" customFormat="1" x14ac:dyDescent="0.3">
      <c r="D1134" s="34"/>
      <c r="E1134" s="24"/>
      <c r="F1134" s="24"/>
      <c r="G1134" s="24"/>
      <c r="H1134" s="24"/>
      <c r="I1134" s="24"/>
      <c r="J1134" s="27"/>
      <c r="K1134" s="30"/>
      <c r="L1134" s="30"/>
      <c r="M1134" s="30"/>
      <c r="N1134" s="30"/>
      <c r="O1134" s="30"/>
      <c r="P1134" s="30"/>
      <c r="Q1134" s="30"/>
      <c r="R1134" s="30"/>
      <c r="S1134" s="30"/>
      <c r="T1134" s="30"/>
      <c r="U1134" s="30"/>
      <c r="V1134" s="30"/>
      <c r="W1134" s="30"/>
      <c r="X1134" s="30"/>
      <c r="Y1134" s="30"/>
      <c r="Z1134" s="30"/>
      <c r="AA1134" s="30"/>
      <c r="AB1134" s="30"/>
      <c r="AC1134" s="30"/>
      <c r="AD1134" s="30"/>
      <c r="AE1134" s="30"/>
      <c r="AF1134" s="30"/>
      <c r="AG1134" s="30"/>
      <c r="AH1134" s="30"/>
      <c r="AI1134" s="30"/>
      <c r="AJ1134" s="30"/>
      <c r="AK1134" s="30"/>
      <c r="AL1134" s="30"/>
      <c r="AM1134" s="30"/>
      <c r="AN1134" s="30"/>
      <c r="AO1134" s="30"/>
      <c r="AP1134" s="30"/>
      <c r="AQ1134" s="30"/>
      <c r="AR1134" s="30"/>
      <c r="AS1134" s="30"/>
      <c r="AT1134" s="30"/>
      <c r="AU1134" s="30"/>
      <c r="AV1134" s="30"/>
      <c r="AW1134" s="30"/>
      <c r="AX1134" s="30"/>
    </row>
    <row r="1135" spans="4:50" s="23" customFormat="1" x14ac:dyDescent="0.3">
      <c r="D1135" s="34"/>
      <c r="E1135" s="24"/>
      <c r="F1135" s="24"/>
      <c r="G1135" s="24"/>
      <c r="H1135" s="24"/>
      <c r="I1135" s="24"/>
      <c r="J1135" s="27"/>
      <c r="K1135" s="30"/>
      <c r="L1135" s="30"/>
      <c r="M1135" s="30"/>
      <c r="N1135" s="30"/>
      <c r="O1135" s="30"/>
      <c r="P1135" s="30"/>
      <c r="Q1135" s="30"/>
      <c r="R1135" s="30"/>
      <c r="S1135" s="30"/>
      <c r="T1135" s="30"/>
      <c r="U1135" s="30"/>
      <c r="V1135" s="30"/>
      <c r="W1135" s="30"/>
      <c r="X1135" s="30"/>
      <c r="Y1135" s="30"/>
      <c r="Z1135" s="30"/>
      <c r="AA1135" s="30"/>
      <c r="AB1135" s="30"/>
      <c r="AC1135" s="30"/>
      <c r="AD1135" s="30"/>
      <c r="AE1135" s="30"/>
      <c r="AF1135" s="30"/>
      <c r="AG1135" s="30"/>
      <c r="AH1135" s="30"/>
      <c r="AI1135" s="30"/>
      <c r="AJ1135" s="30"/>
      <c r="AK1135" s="30"/>
      <c r="AL1135" s="30"/>
      <c r="AM1135" s="30"/>
      <c r="AN1135" s="30"/>
      <c r="AO1135" s="30"/>
      <c r="AP1135" s="30"/>
      <c r="AQ1135" s="30"/>
      <c r="AR1135" s="30"/>
      <c r="AS1135" s="30"/>
      <c r="AT1135" s="30"/>
      <c r="AU1135" s="30"/>
      <c r="AV1135" s="30"/>
      <c r="AW1135" s="30"/>
      <c r="AX1135" s="30"/>
    </row>
    <row r="1136" spans="4:50" s="23" customFormat="1" x14ac:dyDescent="0.3">
      <c r="D1136" s="34"/>
      <c r="E1136" s="24"/>
      <c r="F1136" s="24"/>
      <c r="G1136" s="24"/>
      <c r="H1136" s="24"/>
      <c r="I1136" s="24"/>
      <c r="J1136" s="27"/>
      <c r="K1136" s="30"/>
      <c r="L1136" s="30"/>
      <c r="M1136" s="30"/>
      <c r="N1136" s="30"/>
      <c r="O1136" s="30"/>
      <c r="P1136" s="30"/>
      <c r="Q1136" s="30"/>
      <c r="R1136" s="30"/>
      <c r="S1136" s="30"/>
      <c r="T1136" s="30"/>
      <c r="U1136" s="30"/>
      <c r="V1136" s="30"/>
      <c r="W1136" s="30"/>
      <c r="X1136" s="30"/>
      <c r="Y1136" s="30"/>
      <c r="Z1136" s="30"/>
      <c r="AA1136" s="30"/>
      <c r="AB1136" s="30"/>
      <c r="AC1136" s="30"/>
      <c r="AD1136" s="30"/>
      <c r="AE1136" s="30"/>
      <c r="AF1136" s="30"/>
      <c r="AG1136" s="30"/>
      <c r="AH1136" s="30"/>
      <c r="AI1136" s="30"/>
      <c r="AJ1136" s="30"/>
      <c r="AK1136" s="30"/>
      <c r="AL1136" s="30"/>
      <c r="AM1136" s="30"/>
      <c r="AN1136" s="30"/>
      <c r="AO1136" s="30"/>
      <c r="AP1136" s="30"/>
      <c r="AQ1136" s="30"/>
      <c r="AR1136" s="30"/>
      <c r="AS1136" s="30"/>
      <c r="AT1136" s="30"/>
      <c r="AU1136" s="30"/>
      <c r="AV1136" s="30"/>
      <c r="AW1136" s="30"/>
      <c r="AX1136" s="30"/>
    </row>
    <row r="1137" spans="4:50" s="23" customFormat="1" x14ac:dyDescent="0.3">
      <c r="D1137" s="34"/>
      <c r="E1137" s="24"/>
      <c r="F1137" s="24"/>
      <c r="G1137" s="24"/>
      <c r="H1137" s="24"/>
      <c r="I1137" s="24"/>
      <c r="J1137" s="27"/>
      <c r="K1137" s="30"/>
      <c r="L1137" s="30"/>
      <c r="M1137" s="30"/>
      <c r="N1137" s="30"/>
      <c r="O1137" s="30"/>
      <c r="P1137" s="30"/>
      <c r="Q1137" s="30"/>
      <c r="R1137" s="30"/>
      <c r="S1137" s="30"/>
      <c r="T1137" s="30"/>
      <c r="U1137" s="30"/>
      <c r="V1137" s="30"/>
      <c r="W1137" s="30"/>
      <c r="X1137" s="30"/>
      <c r="Y1137" s="30"/>
      <c r="Z1137" s="30"/>
      <c r="AA1137" s="30"/>
      <c r="AB1137" s="30"/>
      <c r="AC1137" s="30"/>
      <c r="AD1137" s="30"/>
      <c r="AE1137" s="30"/>
      <c r="AF1137" s="30"/>
      <c r="AG1137" s="30"/>
      <c r="AH1137" s="30"/>
      <c r="AI1137" s="30"/>
      <c r="AJ1137" s="30"/>
      <c r="AK1137" s="30"/>
      <c r="AL1137" s="30"/>
      <c r="AM1137" s="30"/>
      <c r="AN1137" s="30"/>
      <c r="AO1137" s="30"/>
      <c r="AP1137" s="30"/>
      <c r="AQ1137" s="30"/>
      <c r="AR1137" s="30"/>
      <c r="AS1137" s="30"/>
      <c r="AT1137" s="30"/>
      <c r="AU1137" s="30"/>
      <c r="AV1137" s="30"/>
      <c r="AW1137" s="30"/>
      <c r="AX1137" s="30"/>
    </row>
    <row r="1138" spans="4:50" s="23" customFormat="1" x14ac:dyDescent="0.3">
      <c r="D1138" s="34"/>
      <c r="E1138" s="24"/>
      <c r="F1138" s="24"/>
      <c r="G1138" s="24"/>
      <c r="H1138" s="24"/>
      <c r="I1138" s="24"/>
      <c r="J1138" s="27"/>
      <c r="K1138" s="30"/>
      <c r="L1138" s="30"/>
      <c r="M1138" s="30"/>
      <c r="N1138" s="30"/>
      <c r="O1138" s="30"/>
      <c r="P1138" s="30"/>
      <c r="Q1138" s="30"/>
      <c r="R1138" s="30"/>
      <c r="S1138" s="30"/>
      <c r="T1138" s="30"/>
      <c r="U1138" s="30"/>
      <c r="V1138" s="30"/>
      <c r="W1138" s="30"/>
      <c r="X1138" s="30"/>
      <c r="Y1138" s="30"/>
      <c r="Z1138" s="30"/>
      <c r="AA1138" s="30"/>
      <c r="AB1138" s="30"/>
      <c r="AC1138" s="30"/>
      <c r="AD1138" s="30"/>
      <c r="AE1138" s="30"/>
      <c r="AF1138" s="30"/>
      <c r="AG1138" s="30"/>
      <c r="AH1138" s="30"/>
      <c r="AI1138" s="30"/>
      <c r="AJ1138" s="30"/>
      <c r="AK1138" s="30"/>
      <c r="AL1138" s="30"/>
      <c r="AM1138" s="30"/>
      <c r="AN1138" s="30"/>
      <c r="AO1138" s="30"/>
      <c r="AP1138" s="30"/>
      <c r="AQ1138" s="30"/>
      <c r="AR1138" s="30"/>
      <c r="AS1138" s="30"/>
      <c r="AT1138" s="30"/>
      <c r="AU1138" s="30"/>
      <c r="AV1138" s="30"/>
      <c r="AW1138" s="30"/>
      <c r="AX1138" s="30"/>
    </row>
    <row r="1139" spans="4:50" s="23" customFormat="1" x14ac:dyDescent="0.3">
      <c r="D1139" s="34"/>
      <c r="E1139" s="24"/>
      <c r="F1139" s="24"/>
      <c r="G1139" s="24"/>
      <c r="H1139" s="24"/>
      <c r="I1139" s="24"/>
      <c r="J1139" s="27"/>
      <c r="K1139" s="30"/>
      <c r="L1139" s="30"/>
      <c r="M1139" s="30"/>
      <c r="N1139" s="30"/>
      <c r="O1139" s="30"/>
      <c r="P1139" s="30"/>
      <c r="Q1139" s="30"/>
      <c r="R1139" s="30"/>
      <c r="S1139" s="30"/>
      <c r="T1139" s="30"/>
      <c r="U1139" s="30"/>
      <c r="V1139" s="30"/>
      <c r="W1139" s="30"/>
      <c r="X1139" s="30"/>
      <c r="Y1139" s="30"/>
      <c r="Z1139" s="30"/>
      <c r="AA1139" s="30"/>
      <c r="AB1139" s="30"/>
      <c r="AC1139" s="30"/>
      <c r="AD1139" s="30"/>
      <c r="AE1139" s="30"/>
      <c r="AF1139" s="30"/>
      <c r="AG1139" s="30"/>
      <c r="AH1139" s="30"/>
      <c r="AI1139" s="30"/>
      <c r="AJ1139" s="30"/>
      <c r="AK1139" s="30"/>
      <c r="AL1139" s="30"/>
      <c r="AM1139" s="30"/>
      <c r="AN1139" s="30"/>
      <c r="AO1139" s="30"/>
      <c r="AP1139" s="30"/>
      <c r="AQ1139" s="30"/>
      <c r="AR1139" s="30"/>
      <c r="AS1139" s="30"/>
      <c r="AT1139" s="30"/>
      <c r="AU1139" s="30"/>
      <c r="AV1139" s="30"/>
      <c r="AW1139" s="30"/>
      <c r="AX1139" s="30"/>
    </row>
    <row r="1140" spans="4:50" s="23" customFormat="1" x14ac:dyDescent="0.3">
      <c r="D1140" s="34"/>
      <c r="E1140" s="24"/>
      <c r="F1140" s="24"/>
      <c r="G1140" s="24"/>
      <c r="H1140" s="24"/>
      <c r="I1140" s="24"/>
      <c r="J1140" s="27"/>
      <c r="K1140" s="30"/>
      <c r="L1140" s="30"/>
      <c r="M1140" s="30"/>
      <c r="N1140" s="30"/>
      <c r="O1140" s="30"/>
      <c r="P1140" s="30"/>
      <c r="Q1140" s="30"/>
      <c r="R1140" s="30"/>
      <c r="S1140" s="30"/>
      <c r="T1140" s="30"/>
      <c r="U1140" s="30"/>
      <c r="V1140" s="30"/>
      <c r="W1140" s="30"/>
      <c r="X1140" s="30"/>
      <c r="Y1140" s="30"/>
      <c r="Z1140" s="30"/>
      <c r="AA1140" s="30"/>
      <c r="AB1140" s="30"/>
      <c r="AC1140" s="30"/>
      <c r="AD1140" s="30"/>
      <c r="AE1140" s="30"/>
      <c r="AF1140" s="30"/>
      <c r="AG1140" s="30"/>
      <c r="AH1140" s="30"/>
      <c r="AI1140" s="30"/>
      <c r="AJ1140" s="30"/>
      <c r="AK1140" s="30"/>
      <c r="AL1140" s="30"/>
      <c r="AM1140" s="30"/>
      <c r="AN1140" s="30"/>
      <c r="AO1140" s="30"/>
      <c r="AP1140" s="30"/>
      <c r="AQ1140" s="30"/>
      <c r="AR1140" s="30"/>
      <c r="AS1140" s="30"/>
      <c r="AT1140" s="30"/>
      <c r="AU1140" s="30"/>
      <c r="AV1140" s="30"/>
      <c r="AW1140" s="30"/>
      <c r="AX1140" s="30"/>
    </row>
    <row r="1141" spans="4:50" s="23" customFormat="1" x14ac:dyDescent="0.3">
      <c r="D1141" s="34"/>
      <c r="E1141" s="24"/>
      <c r="F1141" s="24"/>
      <c r="G1141" s="24"/>
      <c r="H1141" s="24"/>
      <c r="I1141" s="24"/>
      <c r="J1141" s="27"/>
      <c r="K1141" s="30"/>
      <c r="L1141" s="30"/>
      <c r="M1141" s="30"/>
      <c r="N1141" s="30"/>
      <c r="O1141" s="30"/>
      <c r="P1141" s="30"/>
      <c r="Q1141" s="30"/>
      <c r="R1141" s="30"/>
      <c r="S1141" s="30"/>
      <c r="T1141" s="30"/>
      <c r="U1141" s="30"/>
      <c r="V1141" s="30"/>
      <c r="W1141" s="30"/>
      <c r="X1141" s="30"/>
      <c r="Y1141" s="30"/>
      <c r="Z1141" s="30"/>
      <c r="AA1141" s="30"/>
      <c r="AB1141" s="30"/>
      <c r="AC1141" s="30"/>
      <c r="AD1141" s="30"/>
      <c r="AE1141" s="30"/>
      <c r="AF1141" s="30"/>
      <c r="AG1141" s="30"/>
      <c r="AH1141" s="30"/>
      <c r="AI1141" s="30"/>
      <c r="AJ1141" s="30"/>
      <c r="AK1141" s="30"/>
      <c r="AL1141" s="30"/>
      <c r="AM1141" s="30"/>
      <c r="AN1141" s="30"/>
      <c r="AO1141" s="30"/>
      <c r="AP1141" s="30"/>
      <c r="AQ1141" s="30"/>
      <c r="AR1141" s="30"/>
      <c r="AS1141" s="30"/>
      <c r="AT1141" s="30"/>
      <c r="AU1141" s="30"/>
      <c r="AV1141" s="30"/>
      <c r="AW1141" s="30"/>
      <c r="AX1141" s="30"/>
    </row>
    <row r="1142" spans="4:50" s="23" customFormat="1" x14ac:dyDescent="0.3">
      <c r="D1142" s="34"/>
      <c r="E1142" s="24"/>
      <c r="F1142" s="24"/>
      <c r="G1142" s="24"/>
      <c r="H1142" s="24"/>
      <c r="I1142" s="24"/>
      <c r="J1142" s="27"/>
      <c r="K1142" s="30"/>
      <c r="L1142" s="30"/>
      <c r="M1142" s="30"/>
      <c r="N1142" s="30"/>
      <c r="O1142" s="30"/>
      <c r="P1142" s="30"/>
      <c r="Q1142" s="30"/>
      <c r="R1142" s="30"/>
      <c r="S1142" s="30"/>
      <c r="T1142" s="30"/>
      <c r="U1142" s="30"/>
      <c r="V1142" s="30"/>
      <c r="W1142" s="30"/>
      <c r="X1142" s="30"/>
      <c r="Y1142" s="30"/>
      <c r="Z1142" s="30"/>
      <c r="AA1142" s="30"/>
      <c r="AB1142" s="30"/>
      <c r="AC1142" s="30"/>
      <c r="AD1142" s="30"/>
      <c r="AE1142" s="30"/>
      <c r="AF1142" s="30"/>
      <c r="AG1142" s="30"/>
      <c r="AH1142" s="30"/>
      <c r="AI1142" s="30"/>
      <c r="AJ1142" s="30"/>
      <c r="AK1142" s="30"/>
      <c r="AL1142" s="30"/>
      <c r="AM1142" s="30"/>
      <c r="AN1142" s="30"/>
      <c r="AO1142" s="30"/>
      <c r="AP1142" s="30"/>
      <c r="AQ1142" s="30"/>
      <c r="AR1142" s="30"/>
      <c r="AS1142" s="30"/>
      <c r="AT1142" s="30"/>
      <c r="AU1142" s="30"/>
      <c r="AV1142" s="30"/>
      <c r="AW1142" s="30"/>
      <c r="AX1142" s="30"/>
    </row>
    <row r="1143" spans="4:50" s="23" customFormat="1" x14ac:dyDescent="0.3">
      <c r="D1143" s="34"/>
      <c r="E1143" s="24"/>
      <c r="F1143" s="24"/>
      <c r="G1143" s="24"/>
      <c r="H1143" s="24"/>
      <c r="I1143" s="24"/>
      <c r="J1143" s="27"/>
      <c r="K1143" s="30"/>
      <c r="L1143" s="30"/>
      <c r="M1143" s="30"/>
      <c r="N1143" s="30"/>
      <c r="O1143" s="30"/>
      <c r="P1143" s="30"/>
      <c r="Q1143" s="30"/>
      <c r="R1143" s="30"/>
      <c r="S1143" s="30"/>
      <c r="T1143" s="30"/>
      <c r="U1143" s="30"/>
      <c r="V1143" s="30"/>
      <c r="W1143" s="30"/>
      <c r="X1143" s="30"/>
      <c r="Y1143" s="30"/>
      <c r="Z1143" s="30"/>
      <c r="AA1143" s="30"/>
      <c r="AB1143" s="30"/>
      <c r="AC1143" s="30"/>
      <c r="AD1143" s="30"/>
      <c r="AE1143" s="30"/>
      <c r="AF1143" s="30"/>
      <c r="AG1143" s="30"/>
      <c r="AH1143" s="30"/>
      <c r="AI1143" s="30"/>
      <c r="AJ1143" s="30"/>
      <c r="AK1143" s="30"/>
      <c r="AL1143" s="30"/>
      <c r="AM1143" s="30"/>
      <c r="AN1143" s="30"/>
      <c r="AO1143" s="30"/>
      <c r="AP1143" s="30"/>
      <c r="AQ1143" s="30"/>
      <c r="AR1143" s="30"/>
      <c r="AS1143" s="30"/>
      <c r="AT1143" s="30"/>
      <c r="AU1143" s="30"/>
      <c r="AV1143" s="30"/>
      <c r="AW1143" s="30"/>
      <c r="AX1143" s="30"/>
    </row>
    <row r="1144" spans="4:50" s="23" customFormat="1" x14ac:dyDescent="0.3">
      <c r="D1144" s="34"/>
      <c r="E1144" s="24"/>
      <c r="F1144" s="24"/>
      <c r="G1144" s="24"/>
      <c r="H1144" s="24"/>
      <c r="I1144" s="24"/>
      <c r="J1144" s="27"/>
      <c r="K1144" s="30"/>
      <c r="L1144" s="30"/>
      <c r="M1144" s="30"/>
      <c r="N1144" s="30"/>
      <c r="O1144" s="30"/>
      <c r="P1144" s="30"/>
      <c r="Q1144" s="30"/>
      <c r="R1144" s="30"/>
      <c r="S1144" s="30"/>
      <c r="T1144" s="30"/>
      <c r="U1144" s="30"/>
      <c r="V1144" s="30"/>
      <c r="W1144" s="30"/>
      <c r="X1144" s="30"/>
      <c r="Y1144" s="30"/>
      <c r="Z1144" s="30"/>
      <c r="AA1144" s="30"/>
      <c r="AB1144" s="30"/>
      <c r="AC1144" s="30"/>
      <c r="AD1144" s="30"/>
      <c r="AE1144" s="30"/>
      <c r="AF1144" s="30"/>
      <c r="AG1144" s="30"/>
      <c r="AH1144" s="30"/>
      <c r="AI1144" s="30"/>
      <c r="AJ1144" s="30"/>
      <c r="AK1144" s="30"/>
      <c r="AL1144" s="30"/>
      <c r="AM1144" s="30"/>
      <c r="AN1144" s="30"/>
      <c r="AO1144" s="30"/>
      <c r="AP1144" s="30"/>
      <c r="AQ1144" s="30"/>
      <c r="AR1144" s="30"/>
      <c r="AS1144" s="30"/>
      <c r="AT1144" s="30"/>
      <c r="AU1144" s="30"/>
      <c r="AV1144" s="30"/>
      <c r="AW1144" s="30"/>
      <c r="AX1144" s="30"/>
    </row>
    <row r="1145" spans="4:50" s="23" customFormat="1" x14ac:dyDescent="0.3">
      <c r="D1145" s="34"/>
      <c r="E1145" s="24"/>
      <c r="F1145" s="24"/>
      <c r="G1145" s="24"/>
      <c r="H1145" s="24"/>
      <c r="I1145" s="24"/>
      <c r="J1145" s="27"/>
      <c r="K1145" s="30"/>
      <c r="L1145" s="30"/>
      <c r="M1145" s="30"/>
      <c r="N1145" s="30"/>
      <c r="O1145" s="30"/>
      <c r="P1145" s="30"/>
      <c r="Q1145" s="30"/>
      <c r="R1145" s="30"/>
      <c r="S1145" s="30"/>
      <c r="T1145" s="30"/>
      <c r="U1145" s="30"/>
      <c r="V1145" s="30"/>
      <c r="W1145" s="30"/>
      <c r="X1145" s="30"/>
      <c r="Y1145" s="30"/>
      <c r="Z1145" s="30"/>
      <c r="AA1145" s="30"/>
      <c r="AB1145" s="30"/>
      <c r="AC1145" s="30"/>
      <c r="AD1145" s="30"/>
      <c r="AE1145" s="30"/>
      <c r="AF1145" s="30"/>
      <c r="AG1145" s="30"/>
      <c r="AH1145" s="30"/>
      <c r="AI1145" s="30"/>
      <c r="AJ1145" s="30"/>
      <c r="AK1145" s="30"/>
      <c r="AL1145" s="30"/>
      <c r="AM1145" s="30"/>
      <c r="AN1145" s="30"/>
      <c r="AO1145" s="30"/>
      <c r="AP1145" s="30"/>
      <c r="AQ1145" s="30"/>
      <c r="AR1145" s="30"/>
      <c r="AS1145" s="30"/>
      <c r="AT1145" s="30"/>
      <c r="AU1145" s="30"/>
      <c r="AV1145" s="30"/>
      <c r="AW1145" s="30"/>
      <c r="AX1145" s="30"/>
    </row>
    <row r="1146" spans="4:50" s="23" customFormat="1" x14ac:dyDescent="0.3">
      <c r="D1146" s="34"/>
      <c r="E1146" s="24"/>
      <c r="F1146" s="24"/>
      <c r="G1146" s="24"/>
      <c r="H1146" s="24"/>
      <c r="I1146" s="24"/>
      <c r="J1146" s="27"/>
      <c r="K1146" s="30"/>
      <c r="L1146" s="30"/>
      <c r="M1146" s="30"/>
      <c r="N1146" s="30"/>
      <c r="O1146" s="30"/>
      <c r="P1146" s="30"/>
      <c r="Q1146" s="30"/>
      <c r="R1146" s="30"/>
      <c r="S1146" s="30"/>
      <c r="T1146" s="30"/>
      <c r="U1146" s="30"/>
      <c r="V1146" s="30"/>
      <c r="W1146" s="30"/>
      <c r="X1146" s="30"/>
      <c r="Y1146" s="30"/>
      <c r="Z1146" s="30"/>
      <c r="AA1146" s="30"/>
      <c r="AB1146" s="30"/>
      <c r="AC1146" s="30"/>
      <c r="AD1146" s="30"/>
      <c r="AE1146" s="30"/>
      <c r="AF1146" s="30"/>
      <c r="AG1146" s="30"/>
      <c r="AH1146" s="30"/>
      <c r="AI1146" s="30"/>
      <c r="AJ1146" s="30"/>
      <c r="AK1146" s="30"/>
      <c r="AL1146" s="30"/>
      <c r="AM1146" s="30"/>
      <c r="AN1146" s="30"/>
      <c r="AO1146" s="30"/>
      <c r="AP1146" s="30"/>
      <c r="AQ1146" s="30"/>
      <c r="AR1146" s="30"/>
      <c r="AS1146" s="30"/>
      <c r="AT1146" s="30"/>
      <c r="AU1146" s="30"/>
      <c r="AV1146" s="30"/>
      <c r="AW1146" s="30"/>
      <c r="AX1146" s="30"/>
    </row>
    <row r="1147" spans="4:50" s="23" customFormat="1" x14ac:dyDescent="0.3">
      <c r="D1147" s="34"/>
      <c r="E1147" s="24"/>
      <c r="F1147" s="24"/>
      <c r="G1147" s="24"/>
      <c r="H1147" s="24"/>
      <c r="I1147" s="24"/>
      <c r="J1147" s="27"/>
      <c r="K1147" s="30"/>
      <c r="L1147" s="30"/>
      <c r="M1147" s="30"/>
      <c r="N1147" s="30"/>
      <c r="O1147" s="30"/>
      <c r="P1147" s="30"/>
      <c r="Q1147" s="30"/>
      <c r="R1147" s="30"/>
      <c r="S1147" s="30"/>
      <c r="T1147" s="30"/>
      <c r="U1147" s="30"/>
      <c r="V1147" s="30"/>
      <c r="W1147" s="30"/>
      <c r="X1147" s="30"/>
      <c r="Y1147" s="30"/>
      <c r="Z1147" s="30"/>
      <c r="AA1147" s="30"/>
      <c r="AB1147" s="30"/>
      <c r="AC1147" s="30"/>
      <c r="AD1147" s="30"/>
      <c r="AE1147" s="30"/>
      <c r="AF1147" s="30"/>
      <c r="AG1147" s="30"/>
      <c r="AH1147" s="30"/>
      <c r="AI1147" s="30"/>
      <c r="AJ1147" s="30"/>
      <c r="AK1147" s="30"/>
      <c r="AL1147" s="30"/>
      <c r="AM1147" s="30"/>
      <c r="AN1147" s="30"/>
      <c r="AO1147" s="30"/>
      <c r="AP1147" s="30"/>
      <c r="AQ1147" s="30"/>
      <c r="AR1147" s="30"/>
      <c r="AS1147" s="30"/>
      <c r="AT1147" s="30"/>
      <c r="AU1147" s="30"/>
      <c r="AV1147" s="30"/>
      <c r="AW1147" s="30"/>
      <c r="AX1147" s="30"/>
    </row>
    <row r="1148" spans="4:50" s="23" customFormat="1" x14ac:dyDescent="0.3">
      <c r="D1148" s="34"/>
      <c r="E1148" s="24"/>
      <c r="F1148" s="24"/>
      <c r="G1148" s="24"/>
      <c r="H1148" s="24"/>
      <c r="I1148" s="24"/>
      <c r="J1148" s="27"/>
      <c r="K1148" s="30"/>
      <c r="L1148" s="30"/>
      <c r="M1148" s="30"/>
      <c r="N1148" s="30"/>
      <c r="O1148" s="30"/>
      <c r="P1148" s="30"/>
      <c r="Q1148" s="30"/>
      <c r="R1148" s="30"/>
      <c r="S1148" s="30"/>
      <c r="T1148" s="30"/>
      <c r="U1148" s="30"/>
      <c r="V1148" s="30"/>
      <c r="W1148" s="30"/>
      <c r="X1148" s="30"/>
      <c r="Y1148" s="30"/>
      <c r="Z1148" s="30"/>
      <c r="AA1148" s="30"/>
      <c r="AB1148" s="30"/>
      <c r="AC1148" s="30"/>
      <c r="AD1148" s="30"/>
      <c r="AE1148" s="30"/>
      <c r="AF1148" s="30"/>
      <c r="AG1148" s="30"/>
      <c r="AH1148" s="30"/>
      <c r="AI1148" s="30"/>
      <c r="AJ1148" s="30"/>
      <c r="AK1148" s="30"/>
      <c r="AL1148" s="30"/>
      <c r="AM1148" s="30"/>
      <c r="AN1148" s="30"/>
      <c r="AO1148" s="30"/>
      <c r="AP1148" s="30"/>
      <c r="AQ1148" s="30"/>
      <c r="AR1148" s="30"/>
      <c r="AS1148" s="30"/>
      <c r="AT1148" s="30"/>
      <c r="AU1148" s="30"/>
      <c r="AV1148" s="30"/>
      <c r="AW1148" s="30"/>
      <c r="AX1148" s="30"/>
    </row>
    <row r="1149" spans="4:50" s="23" customFormat="1" x14ac:dyDescent="0.3">
      <c r="D1149" s="34"/>
      <c r="E1149" s="24"/>
      <c r="F1149" s="24"/>
      <c r="G1149" s="24"/>
      <c r="H1149" s="24"/>
      <c r="I1149" s="24"/>
      <c r="J1149" s="27"/>
      <c r="K1149" s="30"/>
      <c r="L1149" s="30"/>
      <c r="M1149" s="30"/>
      <c r="N1149" s="30"/>
      <c r="O1149" s="30"/>
      <c r="P1149" s="30"/>
      <c r="Q1149" s="30"/>
      <c r="R1149" s="30"/>
      <c r="S1149" s="30"/>
      <c r="T1149" s="30"/>
      <c r="U1149" s="30"/>
      <c r="V1149" s="30"/>
      <c r="W1149" s="30"/>
      <c r="X1149" s="30"/>
      <c r="Y1149" s="30"/>
      <c r="Z1149" s="30"/>
      <c r="AA1149" s="30"/>
      <c r="AB1149" s="30"/>
      <c r="AC1149" s="30"/>
      <c r="AD1149" s="30"/>
      <c r="AE1149" s="30"/>
      <c r="AF1149" s="30"/>
      <c r="AG1149" s="30"/>
      <c r="AH1149" s="30"/>
      <c r="AI1149" s="30"/>
      <c r="AJ1149" s="30"/>
      <c r="AK1149" s="30"/>
      <c r="AL1149" s="30"/>
      <c r="AM1149" s="30"/>
      <c r="AN1149" s="30"/>
      <c r="AO1149" s="30"/>
      <c r="AP1149" s="30"/>
      <c r="AQ1149" s="30"/>
      <c r="AR1149" s="30"/>
      <c r="AS1149" s="30"/>
      <c r="AT1149" s="30"/>
      <c r="AU1149" s="30"/>
      <c r="AV1149" s="30"/>
      <c r="AW1149" s="30"/>
      <c r="AX1149" s="30"/>
    </row>
    <row r="1150" spans="4:50" s="23" customFormat="1" x14ac:dyDescent="0.3">
      <c r="D1150" s="34"/>
      <c r="E1150" s="24"/>
      <c r="F1150" s="24"/>
      <c r="G1150" s="24"/>
      <c r="H1150" s="24"/>
      <c r="I1150" s="24"/>
      <c r="J1150" s="27"/>
      <c r="K1150" s="30"/>
      <c r="L1150" s="30"/>
      <c r="M1150" s="30"/>
      <c r="N1150" s="30"/>
      <c r="O1150" s="30"/>
      <c r="P1150" s="30"/>
      <c r="Q1150" s="30"/>
      <c r="R1150" s="30"/>
      <c r="S1150" s="30"/>
      <c r="T1150" s="30"/>
      <c r="U1150" s="30"/>
      <c r="V1150" s="30"/>
      <c r="W1150" s="30"/>
      <c r="X1150" s="30"/>
      <c r="Y1150" s="30"/>
      <c r="Z1150" s="30"/>
      <c r="AA1150" s="30"/>
      <c r="AB1150" s="30"/>
      <c r="AC1150" s="30"/>
      <c r="AD1150" s="30"/>
      <c r="AE1150" s="30"/>
      <c r="AF1150" s="30"/>
      <c r="AG1150" s="30"/>
      <c r="AH1150" s="30"/>
      <c r="AI1150" s="30"/>
      <c r="AJ1150" s="30"/>
      <c r="AK1150" s="30"/>
      <c r="AL1150" s="30"/>
      <c r="AM1150" s="30"/>
      <c r="AN1150" s="30"/>
      <c r="AO1150" s="30"/>
      <c r="AP1150" s="30"/>
      <c r="AQ1150" s="30"/>
      <c r="AR1150" s="30"/>
      <c r="AS1150" s="30"/>
      <c r="AT1150" s="30"/>
      <c r="AU1150" s="30"/>
      <c r="AV1150" s="30"/>
      <c r="AW1150" s="30"/>
      <c r="AX1150" s="30"/>
    </row>
    <row r="1151" spans="4:50" s="23" customFormat="1" x14ac:dyDescent="0.3">
      <c r="D1151" s="34"/>
      <c r="E1151" s="24"/>
      <c r="F1151" s="24"/>
      <c r="G1151" s="24"/>
      <c r="H1151" s="24"/>
      <c r="I1151" s="24"/>
      <c r="J1151" s="27"/>
      <c r="K1151" s="30"/>
      <c r="L1151" s="30"/>
      <c r="M1151" s="30"/>
      <c r="N1151" s="30"/>
      <c r="O1151" s="30"/>
      <c r="P1151" s="30"/>
      <c r="Q1151" s="30"/>
      <c r="R1151" s="30"/>
      <c r="S1151" s="30"/>
      <c r="T1151" s="30"/>
      <c r="U1151" s="30"/>
      <c r="V1151" s="30"/>
      <c r="W1151" s="30"/>
      <c r="X1151" s="30"/>
      <c r="Y1151" s="30"/>
      <c r="Z1151" s="30"/>
      <c r="AA1151" s="30"/>
      <c r="AB1151" s="30"/>
      <c r="AC1151" s="30"/>
      <c r="AD1151" s="30"/>
      <c r="AE1151" s="30"/>
      <c r="AF1151" s="30"/>
      <c r="AG1151" s="30"/>
      <c r="AH1151" s="30"/>
      <c r="AI1151" s="30"/>
      <c r="AJ1151" s="30"/>
      <c r="AK1151" s="30"/>
      <c r="AL1151" s="30"/>
      <c r="AM1151" s="30"/>
      <c r="AN1151" s="30"/>
      <c r="AO1151" s="30"/>
      <c r="AP1151" s="30"/>
      <c r="AQ1151" s="30"/>
      <c r="AR1151" s="30"/>
      <c r="AS1151" s="30"/>
      <c r="AT1151" s="30"/>
      <c r="AU1151" s="30"/>
      <c r="AV1151" s="30"/>
      <c r="AW1151" s="30"/>
      <c r="AX1151" s="30"/>
    </row>
    <row r="1152" spans="4:50" s="23" customFormat="1" x14ac:dyDescent="0.3">
      <c r="D1152" s="34"/>
      <c r="E1152" s="24"/>
      <c r="F1152" s="24"/>
      <c r="G1152" s="24"/>
      <c r="H1152" s="24"/>
      <c r="I1152" s="24"/>
      <c r="J1152" s="27"/>
      <c r="K1152" s="30"/>
      <c r="L1152" s="30"/>
      <c r="M1152" s="30"/>
      <c r="N1152" s="30"/>
      <c r="O1152" s="30"/>
      <c r="P1152" s="30"/>
      <c r="Q1152" s="30"/>
      <c r="R1152" s="30"/>
      <c r="S1152" s="30"/>
      <c r="T1152" s="30"/>
      <c r="U1152" s="30"/>
      <c r="V1152" s="30"/>
      <c r="W1152" s="30"/>
      <c r="X1152" s="30"/>
      <c r="Y1152" s="30"/>
      <c r="Z1152" s="30"/>
      <c r="AA1152" s="30"/>
      <c r="AB1152" s="30"/>
      <c r="AC1152" s="30"/>
      <c r="AD1152" s="30"/>
      <c r="AE1152" s="30"/>
      <c r="AF1152" s="30"/>
      <c r="AG1152" s="30"/>
      <c r="AH1152" s="30"/>
      <c r="AI1152" s="30"/>
      <c r="AJ1152" s="30"/>
      <c r="AK1152" s="30"/>
      <c r="AL1152" s="30"/>
      <c r="AM1152" s="30"/>
      <c r="AN1152" s="30"/>
      <c r="AO1152" s="30"/>
      <c r="AP1152" s="30"/>
      <c r="AQ1152" s="30"/>
      <c r="AR1152" s="30"/>
      <c r="AS1152" s="30"/>
      <c r="AT1152" s="30"/>
      <c r="AU1152" s="30"/>
      <c r="AV1152" s="30"/>
      <c r="AW1152" s="30"/>
      <c r="AX1152" s="30"/>
    </row>
    <row r="1153" spans="4:50" s="23" customFormat="1" x14ac:dyDescent="0.3">
      <c r="D1153" s="34"/>
      <c r="E1153" s="24"/>
      <c r="F1153" s="24"/>
      <c r="G1153" s="24"/>
      <c r="H1153" s="24"/>
      <c r="I1153" s="24"/>
      <c r="J1153" s="27"/>
      <c r="K1153" s="30"/>
      <c r="L1153" s="30"/>
      <c r="M1153" s="30"/>
      <c r="N1153" s="30"/>
      <c r="O1153" s="30"/>
      <c r="P1153" s="30"/>
      <c r="Q1153" s="30"/>
      <c r="R1153" s="30"/>
      <c r="S1153" s="30"/>
      <c r="T1153" s="30"/>
      <c r="U1153" s="30"/>
      <c r="V1153" s="30"/>
      <c r="W1153" s="30"/>
      <c r="X1153" s="30"/>
      <c r="Y1153" s="30"/>
      <c r="Z1153" s="30"/>
      <c r="AA1153" s="30"/>
      <c r="AB1153" s="30"/>
      <c r="AC1153" s="30"/>
      <c r="AD1153" s="30"/>
      <c r="AE1153" s="30"/>
      <c r="AF1153" s="30"/>
      <c r="AG1153" s="30"/>
      <c r="AH1153" s="30"/>
      <c r="AI1153" s="30"/>
      <c r="AJ1153" s="30"/>
      <c r="AK1153" s="30"/>
      <c r="AL1153" s="30"/>
      <c r="AM1153" s="30"/>
      <c r="AN1153" s="30"/>
      <c r="AO1153" s="30"/>
      <c r="AP1153" s="30"/>
      <c r="AQ1153" s="30"/>
      <c r="AR1153" s="30"/>
      <c r="AS1153" s="30"/>
      <c r="AT1153" s="30"/>
      <c r="AU1153" s="30"/>
      <c r="AV1153" s="30"/>
      <c r="AW1153" s="30"/>
      <c r="AX1153" s="30"/>
    </row>
    <row r="1154" spans="4:50" s="23" customFormat="1" x14ac:dyDescent="0.3">
      <c r="D1154" s="34"/>
      <c r="E1154" s="24"/>
      <c r="F1154" s="24"/>
      <c r="G1154" s="24"/>
      <c r="H1154" s="24"/>
      <c r="I1154" s="24"/>
      <c r="J1154" s="27"/>
      <c r="K1154" s="30"/>
      <c r="L1154" s="30"/>
      <c r="M1154" s="30"/>
      <c r="N1154" s="30"/>
      <c r="O1154" s="30"/>
      <c r="P1154" s="30"/>
      <c r="Q1154" s="30"/>
      <c r="R1154" s="30"/>
      <c r="S1154" s="30"/>
      <c r="T1154" s="30"/>
      <c r="U1154" s="30"/>
      <c r="V1154" s="30"/>
      <c r="W1154" s="30"/>
      <c r="X1154" s="30"/>
      <c r="Y1154" s="30"/>
      <c r="Z1154" s="30"/>
      <c r="AA1154" s="30"/>
      <c r="AB1154" s="30"/>
      <c r="AC1154" s="30"/>
      <c r="AD1154" s="30"/>
      <c r="AE1154" s="30"/>
      <c r="AF1154" s="30"/>
      <c r="AG1154" s="30"/>
      <c r="AH1154" s="30"/>
      <c r="AI1154" s="30"/>
      <c r="AJ1154" s="30"/>
      <c r="AK1154" s="30"/>
      <c r="AL1154" s="30"/>
      <c r="AM1154" s="30"/>
      <c r="AN1154" s="30"/>
      <c r="AO1154" s="30"/>
      <c r="AP1154" s="30"/>
      <c r="AQ1154" s="30"/>
      <c r="AR1154" s="30"/>
      <c r="AS1154" s="30"/>
      <c r="AT1154" s="30"/>
      <c r="AU1154" s="30"/>
      <c r="AV1154" s="30"/>
      <c r="AW1154" s="30"/>
      <c r="AX1154" s="30"/>
    </row>
    <row r="1155" spans="4:50" s="23" customFormat="1" x14ac:dyDescent="0.3">
      <c r="D1155" s="34"/>
      <c r="E1155" s="24"/>
      <c r="F1155" s="24"/>
      <c r="G1155" s="24"/>
      <c r="H1155" s="24"/>
      <c r="I1155" s="24"/>
      <c r="J1155" s="27"/>
      <c r="K1155" s="30"/>
      <c r="L1155" s="30"/>
      <c r="M1155" s="30"/>
      <c r="N1155" s="30"/>
      <c r="O1155" s="30"/>
      <c r="P1155" s="30"/>
      <c r="Q1155" s="30"/>
      <c r="R1155" s="30"/>
      <c r="S1155" s="30"/>
      <c r="T1155" s="30"/>
      <c r="U1155" s="30"/>
      <c r="V1155" s="30"/>
      <c r="W1155" s="30"/>
      <c r="X1155" s="30"/>
      <c r="Y1155" s="30"/>
      <c r="Z1155" s="30"/>
      <c r="AA1155" s="30"/>
      <c r="AB1155" s="30"/>
      <c r="AC1155" s="30"/>
      <c r="AD1155" s="30"/>
      <c r="AE1155" s="30"/>
      <c r="AF1155" s="30"/>
      <c r="AG1155" s="30"/>
      <c r="AH1155" s="30"/>
      <c r="AI1155" s="30"/>
      <c r="AJ1155" s="30"/>
      <c r="AK1155" s="30"/>
      <c r="AL1155" s="30"/>
      <c r="AM1155" s="30"/>
      <c r="AN1155" s="30"/>
      <c r="AO1155" s="30"/>
      <c r="AP1155" s="30"/>
      <c r="AQ1155" s="30"/>
      <c r="AR1155" s="30"/>
      <c r="AS1155" s="30"/>
      <c r="AT1155" s="30"/>
      <c r="AU1155" s="30"/>
      <c r="AV1155" s="30"/>
      <c r="AW1155" s="30"/>
      <c r="AX1155" s="30"/>
    </row>
    <row r="1156" spans="4:50" s="23" customFormat="1" x14ac:dyDescent="0.3">
      <c r="D1156" s="34"/>
      <c r="E1156" s="24"/>
      <c r="F1156" s="24"/>
      <c r="G1156" s="24"/>
      <c r="H1156" s="24"/>
      <c r="I1156" s="24"/>
      <c r="J1156" s="27"/>
      <c r="K1156" s="30"/>
      <c r="L1156" s="30"/>
      <c r="M1156" s="30"/>
      <c r="N1156" s="30"/>
      <c r="O1156" s="30"/>
      <c r="P1156" s="30"/>
      <c r="Q1156" s="30"/>
      <c r="R1156" s="30"/>
      <c r="S1156" s="30"/>
      <c r="T1156" s="30"/>
      <c r="U1156" s="30"/>
      <c r="V1156" s="30"/>
      <c r="W1156" s="30"/>
      <c r="X1156" s="30"/>
      <c r="Y1156" s="30"/>
      <c r="Z1156" s="30"/>
      <c r="AA1156" s="30"/>
      <c r="AB1156" s="30"/>
      <c r="AC1156" s="30"/>
      <c r="AD1156" s="30"/>
      <c r="AE1156" s="30"/>
      <c r="AF1156" s="30"/>
      <c r="AG1156" s="30"/>
      <c r="AH1156" s="30"/>
      <c r="AI1156" s="30"/>
      <c r="AJ1156" s="30"/>
      <c r="AK1156" s="30"/>
      <c r="AL1156" s="30"/>
      <c r="AM1156" s="30"/>
      <c r="AN1156" s="30"/>
      <c r="AO1156" s="30"/>
      <c r="AP1156" s="30"/>
      <c r="AQ1156" s="30"/>
      <c r="AR1156" s="30"/>
      <c r="AS1156" s="30"/>
      <c r="AT1156" s="30"/>
      <c r="AU1156" s="30"/>
      <c r="AV1156" s="30"/>
      <c r="AW1156" s="30"/>
      <c r="AX1156" s="30"/>
    </row>
    <row r="1157" spans="4:50" s="23" customFormat="1" x14ac:dyDescent="0.3">
      <c r="D1157" s="34"/>
      <c r="E1157" s="24"/>
      <c r="F1157" s="24"/>
      <c r="G1157" s="24"/>
      <c r="H1157" s="24"/>
      <c r="I1157" s="24"/>
      <c r="J1157" s="27"/>
      <c r="K1157" s="30"/>
      <c r="L1157" s="30"/>
      <c r="M1157" s="30"/>
      <c r="N1157" s="30"/>
      <c r="O1157" s="30"/>
      <c r="P1157" s="30"/>
      <c r="Q1157" s="30"/>
      <c r="R1157" s="30"/>
      <c r="S1157" s="30"/>
      <c r="T1157" s="30"/>
      <c r="U1157" s="30"/>
      <c r="V1157" s="30"/>
      <c r="W1157" s="30"/>
      <c r="X1157" s="30"/>
      <c r="Y1157" s="30"/>
      <c r="Z1157" s="30"/>
      <c r="AA1157" s="30"/>
      <c r="AB1157" s="30"/>
      <c r="AC1157" s="30"/>
      <c r="AD1157" s="30"/>
      <c r="AE1157" s="30"/>
      <c r="AF1157" s="30"/>
      <c r="AG1157" s="30"/>
      <c r="AH1157" s="30"/>
      <c r="AI1157" s="30"/>
      <c r="AJ1157" s="30"/>
      <c r="AK1157" s="30"/>
      <c r="AL1157" s="30"/>
      <c r="AM1157" s="30"/>
      <c r="AN1157" s="30"/>
      <c r="AO1157" s="30"/>
      <c r="AP1157" s="30"/>
      <c r="AQ1157" s="30"/>
      <c r="AR1157" s="30"/>
      <c r="AS1157" s="30"/>
      <c r="AT1157" s="30"/>
      <c r="AU1157" s="30"/>
      <c r="AV1157" s="30"/>
      <c r="AW1157" s="30"/>
      <c r="AX1157" s="30"/>
    </row>
    <row r="1158" spans="4:50" s="23" customFormat="1" x14ac:dyDescent="0.3">
      <c r="D1158" s="34"/>
      <c r="E1158" s="24"/>
      <c r="F1158" s="24"/>
      <c r="G1158" s="24"/>
      <c r="H1158" s="24"/>
      <c r="I1158" s="24"/>
      <c r="J1158" s="27"/>
      <c r="K1158" s="30"/>
      <c r="L1158" s="30"/>
      <c r="M1158" s="30"/>
      <c r="N1158" s="30"/>
      <c r="O1158" s="30"/>
      <c r="P1158" s="30"/>
      <c r="Q1158" s="30"/>
      <c r="R1158" s="30"/>
      <c r="S1158" s="30"/>
      <c r="T1158" s="30"/>
      <c r="U1158" s="30"/>
      <c r="V1158" s="30"/>
      <c r="W1158" s="30"/>
      <c r="X1158" s="30"/>
      <c r="Y1158" s="30"/>
      <c r="Z1158" s="30"/>
      <c r="AA1158" s="30"/>
      <c r="AB1158" s="30"/>
      <c r="AC1158" s="30"/>
      <c r="AD1158" s="30"/>
      <c r="AE1158" s="30"/>
      <c r="AF1158" s="30"/>
      <c r="AG1158" s="30"/>
      <c r="AH1158" s="30"/>
      <c r="AI1158" s="30"/>
      <c r="AJ1158" s="30"/>
      <c r="AK1158" s="30"/>
      <c r="AL1158" s="30"/>
      <c r="AM1158" s="30"/>
      <c r="AN1158" s="30"/>
      <c r="AO1158" s="30"/>
      <c r="AP1158" s="30"/>
      <c r="AQ1158" s="30"/>
      <c r="AR1158" s="30"/>
      <c r="AS1158" s="30"/>
      <c r="AT1158" s="30"/>
      <c r="AU1158" s="30"/>
      <c r="AV1158" s="30"/>
      <c r="AW1158" s="30"/>
      <c r="AX1158" s="30"/>
    </row>
    <row r="1159" spans="4:50" s="23" customFormat="1" x14ac:dyDescent="0.3">
      <c r="D1159" s="34"/>
      <c r="E1159" s="24"/>
      <c r="F1159" s="24"/>
      <c r="G1159" s="24"/>
      <c r="H1159" s="24"/>
      <c r="I1159" s="24"/>
      <c r="J1159" s="27"/>
      <c r="K1159" s="30"/>
      <c r="L1159" s="30"/>
      <c r="M1159" s="30"/>
      <c r="N1159" s="30"/>
      <c r="O1159" s="30"/>
      <c r="P1159" s="30"/>
      <c r="Q1159" s="30"/>
      <c r="R1159" s="30"/>
      <c r="S1159" s="30"/>
      <c r="T1159" s="30"/>
      <c r="U1159" s="30"/>
      <c r="V1159" s="30"/>
      <c r="W1159" s="30"/>
      <c r="X1159" s="30"/>
      <c r="Y1159" s="30"/>
      <c r="Z1159" s="30"/>
      <c r="AA1159" s="30"/>
      <c r="AB1159" s="30"/>
      <c r="AC1159" s="30"/>
      <c r="AD1159" s="30"/>
      <c r="AE1159" s="30"/>
      <c r="AF1159" s="30"/>
      <c r="AG1159" s="30"/>
      <c r="AH1159" s="30"/>
      <c r="AI1159" s="30"/>
      <c r="AJ1159" s="30"/>
      <c r="AK1159" s="30"/>
      <c r="AL1159" s="30"/>
      <c r="AM1159" s="30"/>
      <c r="AN1159" s="30"/>
      <c r="AO1159" s="30"/>
      <c r="AP1159" s="30"/>
      <c r="AQ1159" s="30"/>
      <c r="AR1159" s="30"/>
      <c r="AS1159" s="30"/>
      <c r="AT1159" s="30"/>
      <c r="AU1159" s="30"/>
      <c r="AV1159" s="30"/>
      <c r="AW1159" s="30"/>
      <c r="AX1159" s="30"/>
    </row>
    <row r="1160" spans="4:50" s="23" customFormat="1" x14ac:dyDescent="0.3">
      <c r="D1160" s="34"/>
      <c r="E1160" s="24"/>
      <c r="F1160" s="24"/>
      <c r="G1160" s="24"/>
      <c r="H1160" s="24"/>
      <c r="I1160" s="24"/>
      <c r="J1160" s="27"/>
      <c r="K1160" s="30"/>
      <c r="L1160" s="30"/>
      <c r="M1160" s="30"/>
      <c r="N1160" s="30"/>
      <c r="O1160" s="30"/>
      <c r="P1160" s="30"/>
      <c r="Q1160" s="30"/>
      <c r="R1160" s="30"/>
      <c r="S1160" s="30"/>
      <c r="T1160" s="30"/>
      <c r="U1160" s="30"/>
      <c r="V1160" s="30"/>
      <c r="W1160" s="30"/>
      <c r="X1160" s="30"/>
      <c r="Y1160" s="30"/>
      <c r="Z1160" s="30"/>
      <c r="AA1160" s="30"/>
      <c r="AB1160" s="30"/>
      <c r="AC1160" s="30"/>
      <c r="AD1160" s="30"/>
      <c r="AE1160" s="30"/>
      <c r="AF1160" s="30"/>
      <c r="AG1160" s="30"/>
      <c r="AH1160" s="30"/>
      <c r="AI1160" s="30"/>
      <c r="AJ1160" s="30"/>
      <c r="AK1160" s="30"/>
      <c r="AL1160" s="30"/>
      <c r="AM1160" s="30"/>
      <c r="AN1160" s="30"/>
      <c r="AO1160" s="30"/>
      <c r="AP1160" s="30"/>
      <c r="AQ1160" s="30"/>
      <c r="AR1160" s="30"/>
      <c r="AS1160" s="30"/>
      <c r="AT1160" s="30"/>
      <c r="AU1160" s="30"/>
      <c r="AV1160" s="30"/>
      <c r="AW1160" s="30"/>
      <c r="AX1160" s="30"/>
    </row>
    <row r="1161" spans="4:50" s="23" customFormat="1" x14ac:dyDescent="0.3">
      <c r="D1161" s="34"/>
      <c r="E1161" s="24"/>
      <c r="F1161" s="24"/>
      <c r="G1161" s="24"/>
      <c r="H1161" s="24"/>
      <c r="I1161" s="24"/>
      <c r="J1161" s="27"/>
      <c r="K1161" s="30"/>
      <c r="L1161" s="30"/>
      <c r="M1161" s="30"/>
      <c r="N1161" s="30"/>
      <c r="O1161" s="30"/>
      <c r="P1161" s="30"/>
      <c r="Q1161" s="30"/>
      <c r="R1161" s="30"/>
      <c r="S1161" s="30"/>
      <c r="T1161" s="30"/>
      <c r="U1161" s="30"/>
      <c r="V1161" s="30"/>
      <c r="W1161" s="30"/>
      <c r="X1161" s="30"/>
      <c r="Y1161" s="30"/>
      <c r="Z1161" s="30"/>
      <c r="AA1161" s="30"/>
      <c r="AB1161" s="30"/>
      <c r="AC1161" s="30"/>
      <c r="AD1161" s="30"/>
      <c r="AE1161" s="30"/>
      <c r="AF1161" s="30"/>
      <c r="AG1161" s="30"/>
      <c r="AH1161" s="30"/>
      <c r="AI1161" s="30"/>
      <c r="AJ1161" s="30"/>
      <c r="AK1161" s="30"/>
      <c r="AL1161" s="30"/>
      <c r="AM1161" s="30"/>
      <c r="AN1161" s="30"/>
      <c r="AO1161" s="30"/>
      <c r="AP1161" s="30"/>
      <c r="AQ1161" s="30"/>
      <c r="AR1161" s="30"/>
      <c r="AS1161" s="30"/>
      <c r="AT1161" s="30"/>
      <c r="AU1161" s="30"/>
      <c r="AV1161" s="30"/>
      <c r="AW1161" s="30"/>
      <c r="AX1161" s="30"/>
    </row>
    <row r="1162" spans="4:50" s="23" customFormat="1" x14ac:dyDescent="0.3">
      <c r="D1162" s="34"/>
      <c r="E1162" s="24"/>
      <c r="F1162" s="24"/>
      <c r="G1162" s="24"/>
      <c r="H1162" s="24"/>
      <c r="I1162" s="24"/>
      <c r="J1162" s="27"/>
      <c r="K1162" s="30"/>
      <c r="L1162" s="30"/>
      <c r="M1162" s="30"/>
      <c r="N1162" s="30"/>
      <c r="O1162" s="30"/>
      <c r="P1162" s="30"/>
      <c r="Q1162" s="30"/>
      <c r="R1162" s="30"/>
      <c r="S1162" s="30"/>
      <c r="T1162" s="30"/>
      <c r="U1162" s="30"/>
      <c r="V1162" s="30"/>
      <c r="W1162" s="30"/>
      <c r="X1162" s="30"/>
      <c r="Y1162" s="30"/>
      <c r="Z1162" s="30"/>
      <c r="AA1162" s="30"/>
      <c r="AB1162" s="30"/>
      <c r="AC1162" s="30"/>
      <c r="AD1162" s="30"/>
      <c r="AE1162" s="30"/>
      <c r="AF1162" s="30"/>
      <c r="AG1162" s="30"/>
      <c r="AH1162" s="30"/>
      <c r="AI1162" s="30"/>
      <c r="AJ1162" s="30"/>
      <c r="AK1162" s="30"/>
      <c r="AL1162" s="30"/>
      <c r="AM1162" s="30"/>
      <c r="AN1162" s="30"/>
      <c r="AO1162" s="30"/>
      <c r="AP1162" s="30"/>
      <c r="AQ1162" s="30"/>
      <c r="AR1162" s="30"/>
      <c r="AS1162" s="30"/>
      <c r="AT1162" s="30"/>
      <c r="AU1162" s="30"/>
      <c r="AV1162" s="30"/>
      <c r="AW1162" s="30"/>
      <c r="AX1162" s="30"/>
    </row>
    <row r="1163" spans="4:50" s="23" customFormat="1" x14ac:dyDescent="0.3">
      <c r="D1163" s="34"/>
      <c r="E1163" s="24"/>
      <c r="F1163" s="24"/>
      <c r="G1163" s="24"/>
      <c r="H1163" s="24"/>
      <c r="I1163" s="24"/>
      <c r="J1163" s="27"/>
      <c r="K1163" s="30"/>
      <c r="L1163" s="30"/>
      <c r="M1163" s="30"/>
      <c r="N1163" s="30"/>
      <c r="O1163" s="30"/>
      <c r="P1163" s="30"/>
      <c r="Q1163" s="30"/>
      <c r="R1163" s="30"/>
      <c r="S1163" s="30"/>
      <c r="T1163" s="30"/>
      <c r="U1163" s="30"/>
      <c r="V1163" s="30"/>
      <c r="W1163" s="30"/>
      <c r="X1163" s="30"/>
      <c r="Y1163" s="30"/>
      <c r="Z1163" s="30"/>
      <c r="AA1163" s="30"/>
      <c r="AB1163" s="30"/>
      <c r="AC1163" s="30"/>
      <c r="AD1163" s="30"/>
      <c r="AE1163" s="30"/>
      <c r="AF1163" s="30"/>
      <c r="AG1163" s="30"/>
      <c r="AH1163" s="30"/>
      <c r="AI1163" s="30"/>
      <c r="AJ1163" s="30"/>
      <c r="AK1163" s="30"/>
      <c r="AL1163" s="30"/>
      <c r="AM1163" s="30"/>
      <c r="AN1163" s="30"/>
      <c r="AO1163" s="30"/>
      <c r="AP1163" s="30"/>
      <c r="AQ1163" s="30"/>
      <c r="AR1163" s="30"/>
      <c r="AS1163" s="30"/>
      <c r="AT1163" s="30"/>
      <c r="AU1163" s="30"/>
      <c r="AV1163" s="30"/>
      <c r="AW1163" s="30"/>
      <c r="AX1163" s="30"/>
    </row>
    <row r="1164" spans="4:50" s="23" customFormat="1" x14ac:dyDescent="0.3">
      <c r="D1164" s="34"/>
      <c r="E1164" s="24"/>
      <c r="F1164" s="24"/>
      <c r="G1164" s="24"/>
      <c r="H1164" s="24"/>
      <c r="I1164" s="24"/>
      <c r="J1164" s="27"/>
      <c r="K1164" s="30"/>
      <c r="L1164" s="30"/>
      <c r="M1164" s="30"/>
      <c r="N1164" s="30"/>
      <c r="O1164" s="30"/>
      <c r="P1164" s="30"/>
      <c r="Q1164" s="30"/>
      <c r="R1164" s="30"/>
      <c r="S1164" s="30"/>
      <c r="T1164" s="30"/>
      <c r="U1164" s="30"/>
      <c r="V1164" s="30"/>
      <c r="W1164" s="30"/>
      <c r="X1164" s="30"/>
      <c r="Y1164" s="30"/>
      <c r="Z1164" s="30"/>
      <c r="AA1164" s="30"/>
      <c r="AB1164" s="30"/>
      <c r="AC1164" s="30"/>
      <c r="AD1164" s="30"/>
      <c r="AE1164" s="30"/>
      <c r="AF1164" s="30"/>
      <c r="AG1164" s="30"/>
      <c r="AH1164" s="30"/>
      <c r="AI1164" s="30"/>
      <c r="AJ1164" s="30"/>
      <c r="AK1164" s="30"/>
      <c r="AL1164" s="30"/>
      <c r="AM1164" s="30"/>
      <c r="AN1164" s="30"/>
      <c r="AO1164" s="30"/>
      <c r="AP1164" s="30"/>
      <c r="AQ1164" s="30"/>
      <c r="AR1164" s="30"/>
      <c r="AS1164" s="30"/>
      <c r="AT1164" s="30"/>
      <c r="AU1164" s="30"/>
      <c r="AV1164" s="30"/>
      <c r="AW1164" s="30"/>
      <c r="AX1164" s="30"/>
    </row>
    <row r="1165" spans="4:50" s="23" customFormat="1" x14ac:dyDescent="0.3">
      <c r="D1165" s="34"/>
      <c r="E1165" s="24"/>
      <c r="F1165" s="24"/>
      <c r="G1165" s="24"/>
      <c r="H1165" s="24"/>
      <c r="I1165" s="24"/>
      <c r="J1165" s="27"/>
      <c r="K1165" s="30"/>
      <c r="L1165" s="30"/>
      <c r="M1165" s="30"/>
      <c r="N1165" s="30"/>
      <c r="O1165" s="30"/>
      <c r="P1165" s="30"/>
      <c r="Q1165" s="30"/>
      <c r="R1165" s="30"/>
      <c r="S1165" s="30"/>
      <c r="T1165" s="30"/>
      <c r="U1165" s="30"/>
      <c r="V1165" s="30"/>
      <c r="W1165" s="30"/>
      <c r="X1165" s="30"/>
      <c r="Y1165" s="30"/>
      <c r="Z1165" s="30"/>
      <c r="AA1165" s="30"/>
      <c r="AB1165" s="30"/>
      <c r="AC1165" s="30"/>
      <c r="AD1165" s="30"/>
      <c r="AE1165" s="30"/>
      <c r="AF1165" s="30"/>
      <c r="AG1165" s="30"/>
      <c r="AH1165" s="30"/>
      <c r="AI1165" s="30"/>
      <c r="AJ1165" s="30"/>
      <c r="AK1165" s="30"/>
      <c r="AL1165" s="30"/>
      <c r="AM1165" s="30"/>
      <c r="AN1165" s="30"/>
      <c r="AO1165" s="30"/>
      <c r="AP1165" s="30"/>
      <c r="AQ1165" s="30"/>
      <c r="AR1165" s="30"/>
      <c r="AS1165" s="30"/>
      <c r="AT1165" s="30"/>
      <c r="AU1165" s="30"/>
      <c r="AV1165" s="30"/>
      <c r="AW1165" s="30"/>
      <c r="AX1165" s="30"/>
    </row>
    <row r="1166" spans="4:50" s="23" customFormat="1" x14ac:dyDescent="0.3">
      <c r="D1166" s="34"/>
      <c r="E1166" s="24"/>
      <c r="F1166" s="24"/>
      <c r="G1166" s="24"/>
      <c r="H1166" s="24"/>
      <c r="I1166" s="24"/>
      <c r="J1166" s="27"/>
      <c r="K1166" s="30"/>
      <c r="L1166" s="30"/>
      <c r="M1166" s="30"/>
      <c r="N1166" s="30"/>
      <c r="O1166" s="30"/>
      <c r="P1166" s="30"/>
      <c r="Q1166" s="30"/>
      <c r="R1166" s="30"/>
      <c r="S1166" s="30"/>
      <c r="T1166" s="30"/>
      <c r="U1166" s="30"/>
      <c r="V1166" s="30"/>
      <c r="W1166" s="30"/>
      <c r="X1166" s="30"/>
      <c r="Y1166" s="30"/>
      <c r="Z1166" s="30"/>
      <c r="AA1166" s="30"/>
      <c r="AB1166" s="30"/>
      <c r="AC1166" s="30"/>
      <c r="AD1166" s="30"/>
      <c r="AE1166" s="30"/>
      <c r="AF1166" s="30"/>
      <c r="AG1166" s="30"/>
      <c r="AH1166" s="30"/>
      <c r="AI1166" s="30"/>
      <c r="AJ1166" s="30"/>
      <c r="AK1166" s="30"/>
      <c r="AL1166" s="30"/>
      <c r="AM1166" s="30"/>
      <c r="AN1166" s="30"/>
      <c r="AO1166" s="30"/>
      <c r="AP1166" s="30"/>
      <c r="AQ1166" s="30"/>
      <c r="AR1166" s="30"/>
      <c r="AS1166" s="30"/>
      <c r="AT1166" s="30"/>
      <c r="AU1166" s="30"/>
      <c r="AV1166" s="30"/>
      <c r="AW1166" s="30"/>
      <c r="AX1166" s="30"/>
    </row>
    <row r="1167" spans="4:50" s="23" customFormat="1" x14ac:dyDescent="0.3">
      <c r="D1167" s="34"/>
      <c r="E1167" s="24"/>
      <c r="F1167" s="24"/>
      <c r="G1167" s="24"/>
      <c r="H1167" s="24"/>
      <c r="I1167" s="24"/>
      <c r="J1167" s="27"/>
      <c r="K1167" s="30"/>
      <c r="L1167" s="30"/>
      <c r="M1167" s="30"/>
      <c r="N1167" s="30"/>
      <c r="O1167" s="30"/>
      <c r="P1167" s="30"/>
      <c r="Q1167" s="30"/>
      <c r="R1167" s="30"/>
      <c r="S1167" s="30"/>
      <c r="T1167" s="30"/>
      <c r="U1167" s="30"/>
      <c r="V1167" s="30"/>
      <c r="W1167" s="30"/>
      <c r="X1167" s="30"/>
      <c r="Y1167" s="30"/>
      <c r="Z1167" s="30"/>
      <c r="AA1167" s="30"/>
      <c r="AB1167" s="30"/>
      <c r="AC1167" s="30"/>
      <c r="AD1167" s="30"/>
      <c r="AE1167" s="30"/>
      <c r="AF1167" s="30"/>
      <c r="AG1167" s="30"/>
      <c r="AH1167" s="30"/>
      <c r="AI1167" s="30"/>
      <c r="AJ1167" s="30"/>
      <c r="AK1167" s="30"/>
      <c r="AL1167" s="30"/>
      <c r="AM1167" s="30"/>
      <c r="AN1167" s="30"/>
      <c r="AO1167" s="30"/>
      <c r="AP1167" s="30"/>
      <c r="AQ1167" s="30"/>
      <c r="AR1167" s="30"/>
      <c r="AS1167" s="30"/>
      <c r="AT1167" s="30"/>
      <c r="AU1167" s="30"/>
      <c r="AV1167" s="30"/>
      <c r="AW1167" s="30"/>
      <c r="AX1167" s="30"/>
    </row>
    <row r="1168" spans="4:50" s="23" customFormat="1" x14ac:dyDescent="0.3">
      <c r="D1168" s="34"/>
      <c r="E1168" s="24"/>
      <c r="F1168" s="24"/>
      <c r="G1168" s="24"/>
      <c r="H1168" s="24"/>
      <c r="I1168" s="24"/>
      <c r="J1168" s="27"/>
      <c r="K1168" s="30"/>
      <c r="L1168" s="30"/>
      <c r="M1168" s="30"/>
      <c r="N1168" s="30"/>
      <c r="O1168" s="30"/>
      <c r="P1168" s="30"/>
      <c r="Q1168" s="30"/>
      <c r="R1168" s="30"/>
      <c r="S1168" s="30"/>
      <c r="T1168" s="30"/>
      <c r="U1168" s="30"/>
      <c r="V1168" s="30"/>
      <c r="W1168" s="30"/>
      <c r="X1168" s="30"/>
      <c r="Y1168" s="30"/>
      <c r="Z1168" s="30"/>
      <c r="AA1168" s="30"/>
      <c r="AB1168" s="30"/>
      <c r="AC1168" s="30"/>
      <c r="AD1168" s="30"/>
      <c r="AE1168" s="30"/>
      <c r="AF1168" s="30"/>
      <c r="AG1168" s="30"/>
      <c r="AH1168" s="30"/>
      <c r="AI1168" s="30"/>
      <c r="AJ1168" s="30"/>
      <c r="AK1168" s="30"/>
      <c r="AL1168" s="30"/>
      <c r="AM1168" s="30"/>
      <c r="AN1168" s="30"/>
      <c r="AO1168" s="30"/>
      <c r="AP1168" s="30"/>
      <c r="AQ1168" s="30"/>
      <c r="AR1168" s="30"/>
      <c r="AS1168" s="30"/>
      <c r="AT1168" s="30"/>
      <c r="AU1168" s="30"/>
      <c r="AV1168" s="30"/>
      <c r="AW1168" s="30"/>
      <c r="AX1168" s="30"/>
    </row>
    <row r="1169" spans="4:50" s="23" customFormat="1" x14ac:dyDescent="0.3">
      <c r="D1169" s="34"/>
      <c r="E1169" s="24"/>
      <c r="F1169" s="24"/>
      <c r="G1169" s="24"/>
      <c r="H1169" s="24"/>
      <c r="I1169" s="24"/>
      <c r="J1169" s="27"/>
      <c r="K1169" s="30"/>
      <c r="L1169" s="30"/>
      <c r="M1169" s="30"/>
      <c r="N1169" s="30"/>
      <c r="O1169" s="30"/>
      <c r="P1169" s="30"/>
      <c r="Q1169" s="30"/>
      <c r="R1169" s="30"/>
      <c r="S1169" s="30"/>
      <c r="T1169" s="30"/>
      <c r="U1169" s="30"/>
      <c r="V1169" s="30"/>
      <c r="W1169" s="30"/>
      <c r="X1169" s="30"/>
      <c r="Y1169" s="30"/>
      <c r="Z1169" s="30"/>
      <c r="AA1169" s="30"/>
      <c r="AB1169" s="30"/>
      <c r="AC1169" s="30"/>
      <c r="AD1169" s="30"/>
      <c r="AE1169" s="30"/>
      <c r="AF1169" s="30"/>
      <c r="AG1169" s="30"/>
      <c r="AH1169" s="30"/>
      <c r="AI1169" s="30"/>
      <c r="AJ1169" s="30"/>
      <c r="AK1169" s="30"/>
      <c r="AL1169" s="30"/>
      <c r="AM1169" s="30"/>
      <c r="AN1169" s="30"/>
      <c r="AO1169" s="30"/>
      <c r="AP1169" s="30"/>
      <c r="AQ1169" s="30"/>
      <c r="AR1169" s="30"/>
      <c r="AS1169" s="30"/>
      <c r="AT1169" s="30"/>
      <c r="AU1169" s="30"/>
      <c r="AV1169" s="30"/>
      <c r="AW1169" s="30"/>
      <c r="AX1169" s="30"/>
    </row>
    <row r="1170" spans="4:50" s="23" customFormat="1" x14ac:dyDescent="0.3">
      <c r="D1170" s="34"/>
      <c r="E1170" s="24"/>
      <c r="F1170" s="24"/>
      <c r="G1170" s="24"/>
      <c r="H1170" s="24"/>
      <c r="I1170" s="24"/>
      <c r="J1170" s="27"/>
      <c r="K1170" s="30"/>
      <c r="L1170" s="30"/>
      <c r="M1170" s="30"/>
      <c r="N1170" s="30"/>
      <c r="O1170" s="30"/>
      <c r="P1170" s="30"/>
      <c r="Q1170" s="30"/>
      <c r="R1170" s="30"/>
      <c r="S1170" s="30"/>
      <c r="T1170" s="30"/>
      <c r="U1170" s="30"/>
      <c r="V1170" s="30"/>
      <c r="W1170" s="30"/>
      <c r="X1170" s="30"/>
      <c r="Y1170" s="30"/>
      <c r="Z1170" s="30"/>
      <c r="AA1170" s="30"/>
      <c r="AB1170" s="30"/>
      <c r="AC1170" s="30"/>
      <c r="AD1170" s="30"/>
      <c r="AE1170" s="30"/>
      <c r="AF1170" s="30"/>
      <c r="AG1170" s="30"/>
      <c r="AH1170" s="30"/>
      <c r="AI1170" s="30"/>
      <c r="AJ1170" s="30"/>
      <c r="AK1170" s="30"/>
      <c r="AL1170" s="30"/>
      <c r="AM1170" s="30"/>
      <c r="AN1170" s="30"/>
      <c r="AO1170" s="30"/>
      <c r="AP1170" s="30"/>
      <c r="AQ1170" s="30"/>
      <c r="AR1170" s="30"/>
      <c r="AS1170" s="30"/>
      <c r="AT1170" s="30"/>
      <c r="AU1170" s="30"/>
      <c r="AV1170" s="30"/>
      <c r="AW1170" s="30"/>
      <c r="AX1170" s="30"/>
    </row>
    <row r="1171" spans="4:50" s="23" customFormat="1" x14ac:dyDescent="0.3">
      <c r="D1171" s="34"/>
      <c r="E1171" s="24"/>
      <c r="F1171" s="24"/>
      <c r="G1171" s="24"/>
      <c r="H1171" s="24"/>
      <c r="I1171" s="24"/>
      <c r="J1171" s="27"/>
      <c r="K1171" s="30"/>
      <c r="L1171" s="30"/>
      <c r="M1171" s="30"/>
      <c r="N1171" s="30"/>
      <c r="O1171" s="30"/>
      <c r="P1171" s="30"/>
      <c r="Q1171" s="30"/>
      <c r="R1171" s="30"/>
      <c r="S1171" s="30"/>
      <c r="T1171" s="30"/>
      <c r="U1171" s="30"/>
      <c r="V1171" s="30"/>
      <c r="W1171" s="30"/>
      <c r="X1171" s="30"/>
      <c r="Y1171" s="30"/>
      <c r="Z1171" s="30"/>
      <c r="AA1171" s="30"/>
      <c r="AB1171" s="30"/>
      <c r="AC1171" s="30"/>
      <c r="AD1171" s="30"/>
      <c r="AE1171" s="30"/>
      <c r="AF1171" s="30"/>
      <c r="AG1171" s="30"/>
      <c r="AH1171" s="30"/>
      <c r="AI1171" s="30"/>
      <c r="AJ1171" s="30"/>
      <c r="AK1171" s="30"/>
      <c r="AL1171" s="30"/>
      <c r="AM1171" s="30"/>
      <c r="AN1171" s="30"/>
      <c r="AO1171" s="30"/>
      <c r="AP1171" s="30"/>
      <c r="AQ1171" s="30"/>
      <c r="AR1171" s="30"/>
      <c r="AS1171" s="30"/>
      <c r="AT1171" s="30"/>
      <c r="AU1171" s="30"/>
      <c r="AV1171" s="30"/>
      <c r="AW1171" s="30"/>
      <c r="AX1171" s="30"/>
    </row>
    <row r="1172" spans="4:50" s="23" customFormat="1" x14ac:dyDescent="0.3">
      <c r="D1172" s="34"/>
      <c r="E1172" s="24"/>
      <c r="F1172" s="24"/>
      <c r="G1172" s="24"/>
      <c r="H1172" s="24"/>
      <c r="I1172" s="24"/>
      <c r="J1172" s="27"/>
      <c r="K1172" s="30"/>
      <c r="L1172" s="30"/>
      <c r="M1172" s="30"/>
      <c r="N1172" s="30"/>
      <c r="O1172" s="30"/>
      <c r="P1172" s="30"/>
      <c r="Q1172" s="30"/>
      <c r="R1172" s="30"/>
      <c r="S1172" s="30"/>
      <c r="T1172" s="30"/>
      <c r="U1172" s="30"/>
      <c r="V1172" s="30"/>
      <c r="W1172" s="30"/>
      <c r="X1172" s="30"/>
      <c r="Y1172" s="30"/>
      <c r="Z1172" s="30"/>
      <c r="AA1172" s="30"/>
      <c r="AB1172" s="30"/>
      <c r="AC1172" s="30"/>
      <c r="AD1172" s="30"/>
      <c r="AE1172" s="30"/>
      <c r="AF1172" s="30"/>
      <c r="AG1172" s="30"/>
      <c r="AH1172" s="30"/>
      <c r="AI1172" s="30"/>
      <c r="AJ1172" s="30"/>
      <c r="AK1172" s="30"/>
      <c r="AL1172" s="30"/>
      <c r="AM1172" s="30"/>
      <c r="AN1172" s="30"/>
      <c r="AO1172" s="30"/>
      <c r="AP1172" s="30"/>
      <c r="AQ1172" s="30"/>
      <c r="AR1172" s="30"/>
      <c r="AS1172" s="30"/>
      <c r="AT1172" s="30"/>
      <c r="AU1172" s="30"/>
      <c r="AV1172" s="30"/>
      <c r="AW1172" s="30"/>
      <c r="AX1172" s="30"/>
    </row>
    <row r="1173" spans="4:50" s="23" customFormat="1" x14ac:dyDescent="0.3">
      <c r="D1173" s="34"/>
      <c r="E1173" s="24"/>
      <c r="F1173" s="24"/>
      <c r="G1173" s="24"/>
      <c r="H1173" s="24"/>
      <c r="I1173" s="24"/>
      <c r="J1173" s="27"/>
      <c r="K1173" s="30"/>
      <c r="L1173" s="30"/>
      <c r="M1173" s="30"/>
      <c r="N1173" s="30"/>
      <c r="O1173" s="30"/>
      <c r="P1173" s="30"/>
      <c r="Q1173" s="30"/>
      <c r="R1173" s="30"/>
      <c r="S1173" s="30"/>
      <c r="T1173" s="30"/>
      <c r="U1173" s="30"/>
      <c r="V1173" s="30"/>
      <c r="W1173" s="30"/>
      <c r="X1173" s="30"/>
      <c r="Y1173" s="30"/>
      <c r="Z1173" s="30"/>
      <c r="AA1173" s="30"/>
      <c r="AB1173" s="30"/>
      <c r="AC1173" s="30"/>
      <c r="AD1173" s="30"/>
      <c r="AE1173" s="30"/>
      <c r="AF1173" s="30"/>
      <c r="AG1173" s="30"/>
      <c r="AH1173" s="30"/>
      <c r="AI1173" s="30"/>
      <c r="AJ1173" s="30"/>
      <c r="AK1173" s="30"/>
      <c r="AL1173" s="30"/>
      <c r="AM1173" s="30"/>
      <c r="AN1173" s="30"/>
      <c r="AO1173" s="30"/>
      <c r="AP1173" s="30"/>
      <c r="AQ1173" s="30"/>
      <c r="AR1173" s="30"/>
      <c r="AS1173" s="30"/>
      <c r="AT1173" s="30"/>
      <c r="AU1173" s="30"/>
      <c r="AV1173" s="30"/>
      <c r="AW1173" s="30"/>
      <c r="AX1173" s="30"/>
    </row>
    <row r="1174" spans="4:50" s="23" customFormat="1" x14ac:dyDescent="0.3">
      <c r="D1174" s="34"/>
      <c r="E1174" s="24"/>
      <c r="F1174" s="24"/>
      <c r="G1174" s="24"/>
      <c r="H1174" s="24"/>
      <c r="I1174" s="24"/>
      <c r="J1174" s="27"/>
      <c r="K1174" s="30"/>
      <c r="L1174" s="30"/>
      <c r="M1174" s="30"/>
      <c r="N1174" s="30"/>
      <c r="O1174" s="30"/>
      <c r="P1174" s="30"/>
      <c r="Q1174" s="30"/>
      <c r="R1174" s="30"/>
      <c r="S1174" s="30"/>
      <c r="T1174" s="30"/>
      <c r="U1174" s="30"/>
      <c r="V1174" s="30"/>
      <c r="W1174" s="30"/>
      <c r="X1174" s="30"/>
      <c r="Y1174" s="30"/>
      <c r="Z1174" s="30"/>
      <c r="AA1174" s="30"/>
      <c r="AB1174" s="30"/>
      <c r="AC1174" s="30"/>
      <c r="AD1174" s="30"/>
      <c r="AE1174" s="30"/>
      <c r="AF1174" s="30"/>
      <c r="AG1174" s="30"/>
      <c r="AH1174" s="30"/>
      <c r="AI1174" s="30"/>
      <c r="AJ1174" s="30"/>
      <c r="AK1174" s="30"/>
      <c r="AL1174" s="30"/>
      <c r="AM1174" s="30"/>
      <c r="AN1174" s="30"/>
      <c r="AO1174" s="30"/>
      <c r="AP1174" s="30"/>
      <c r="AQ1174" s="30"/>
      <c r="AR1174" s="30"/>
      <c r="AS1174" s="30"/>
      <c r="AT1174" s="30"/>
      <c r="AU1174" s="30"/>
      <c r="AV1174" s="30"/>
      <c r="AW1174" s="30"/>
      <c r="AX1174" s="30"/>
    </row>
    <row r="1175" spans="4:50" s="23" customFormat="1" x14ac:dyDescent="0.3">
      <c r="D1175" s="34"/>
      <c r="E1175" s="24"/>
      <c r="F1175" s="24"/>
      <c r="G1175" s="24"/>
      <c r="H1175" s="24"/>
      <c r="I1175" s="24"/>
      <c r="J1175" s="27"/>
      <c r="K1175" s="30"/>
      <c r="L1175" s="30"/>
      <c r="M1175" s="30"/>
      <c r="N1175" s="30"/>
      <c r="O1175" s="30"/>
      <c r="P1175" s="30"/>
      <c r="Q1175" s="30"/>
      <c r="R1175" s="30"/>
      <c r="S1175" s="30"/>
      <c r="T1175" s="30"/>
      <c r="U1175" s="30"/>
      <c r="V1175" s="30"/>
      <c r="W1175" s="30"/>
      <c r="X1175" s="30"/>
      <c r="Y1175" s="30"/>
      <c r="Z1175" s="30"/>
      <c r="AA1175" s="30"/>
      <c r="AB1175" s="30"/>
      <c r="AC1175" s="30"/>
      <c r="AD1175" s="30"/>
      <c r="AE1175" s="30"/>
      <c r="AF1175" s="30"/>
      <c r="AG1175" s="30"/>
      <c r="AH1175" s="30"/>
      <c r="AI1175" s="30"/>
      <c r="AJ1175" s="30"/>
      <c r="AK1175" s="30"/>
      <c r="AL1175" s="30"/>
      <c r="AM1175" s="30"/>
      <c r="AN1175" s="30"/>
      <c r="AO1175" s="30"/>
      <c r="AP1175" s="30"/>
      <c r="AQ1175" s="30"/>
      <c r="AR1175" s="30"/>
      <c r="AS1175" s="30"/>
      <c r="AT1175" s="30"/>
      <c r="AU1175" s="30"/>
      <c r="AV1175" s="30"/>
      <c r="AW1175" s="30"/>
      <c r="AX1175" s="30"/>
    </row>
    <row r="1176" spans="4:50" s="23" customFormat="1" x14ac:dyDescent="0.3">
      <c r="D1176" s="34"/>
      <c r="E1176" s="24"/>
      <c r="F1176" s="24"/>
      <c r="G1176" s="24"/>
      <c r="H1176" s="24"/>
      <c r="I1176" s="24"/>
      <c r="J1176" s="27"/>
      <c r="K1176" s="30"/>
      <c r="L1176" s="30"/>
      <c r="M1176" s="30"/>
      <c r="N1176" s="30"/>
      <c r="O1176" s="30"/>
      <c r="P1176" s="30"/>
      <c r="Q1176" s="30"/>
      <c r="R1176" s="30"/>
      <c r="S1176" s="30"/>
      <c r="T1176" s="30"/>
      <c r="U1176" s="30"/>
      <c r="V1176" s="30"/>
      <c r="W1176" s="30"/>
      <c r="X1176" s="30"/>
      <c r="Y1176" s="30"/>
      <c r="Z1176" s="30"/>
      <c r="AA1176" s="30"/>
      <c r="AB1176" s="30"/>
      <c r="AC1176" s="30"/>
      <c r="AD1176" s="30"/>
      <c r="AE1176" s="30"/>
      <c r="AF1176" s="30"/>
      <c r="AG1176" s="30"/>
      <c r="AH1176" s="30"/>
      <c r="AI1176" s="30"/>
      <c r="AJ1176" s="30"/>
      <c r="AK1176" s="30"/>
      <c r="AL1176" s="30"/>
      <c r="AM1176" s="30"/>
      <c r="AN1176" s="30"/>
      <c r="AO1176" s="30"/>
      <c r="AP1176" s="30"/>
      <c r="AQ1176" s="30"/>
      <c r="AR1176" s="30"/>
      <c r="AS1176" s="30"/>
      <c r="AT1176" s="30"/>
      <c r="AU1176" s="30"/>
      <c r="AV1176" s="30"/>
      <c r="AW1176" s="30"/>
      <c r="AX1176" s="30"/>
    </row>
    <row r="1177" spans="4:50" s="23" customFormat="1" x14ac:dyDescent="0.3">
      <c r="D1177" s="34"/>
      <c r="E1177" s="24"/>
      <c r="F1177" s="24"/>
      <c r="G1177" s="24"/>
      <c r="H1177" s="24"/>
      <c r="I1177" s="24"/>
      <c r="J1177" s="27"/>
      <c r="K1177" s="30"/>
      <c r="L1177" s="30"/>
      <c r="M1177" s="30"/>
      <c r="N1177" s="30"/>
      <c r="O1177" s="30"/>
      <c r="P1177" s="30"/>
      <c r="Q1177" s="30"/>
      <c r="R1177" s="30"/>
      <c r="S1177" s="30"/>
      <c r="T1177" s="30"/>
      <c r="U1177" s="30"/>
      <c r="V1177" s="30"/>
      <c r="W1177" s="30"/>
      <c r="X1177" s="30"/>
      <c r="Y1177" s="30"/>
      <c r="Z1177" s="30"/>
      <c r="AA1177" s="30"/>
      <c r="AB1177" s="30"/>
      <c r="AC1177" s="30"/>
      <c r="AD1177" s="30"/>
      <c r="AE1177" s="30"/>
      <c r="AF1177" s="30"/>
      <c r="AG1177" s="30"/>
      <c r="AH1177" s="30"/>
      <c r="AI1177" s="30"/>
      <c r="AJ1177" s="30"/>
      <c r="AK1177" s="30"/>
      <c r="AL1177" s="30"/>
      <c r="AM1177" s="30"/>
      <c r="AN1177" s="30"/>
      <c r="AO1177" s="30"/>
      <c r="AP1177" s="30"/>
      <c r="AQ1177" s="30"/>
      <c r="AR1177" s="30"/>
      <c r="AS1177" s="30"/>
      <c r="AT1177" s="30"/>
      <c r="AU1177" s="30"/>
      <c r="AV1177" s="30"/>
      <c r="AW1177" s="30"/>
      <c r="AX1177" s="30"/>
    </row>
    <row r="1178" spans="4:50" s="23" customFormat="1" x14ac:dyDescent="0.3">
      <c r="D1178" s="34"/>
      <c r="E1178" s="24"/>
      <c r="F1178" s="24"/>
      <c r="G1178" s="24"/>
      <c r="H1178" s="24"/>
      <c r="I1178" s="24"/>
      <c r="J1178" s="27"/>
      <c r="K1178" s="30"/>
      <c r="L1178" s="30"/>
      <c r="M1178" s="30"/>
      <c r="N1178" s="30"/>
      <c r="O1178" s="30"/>
      <c r="P1178" s="30"/>
      <c r="Q1178" s="30"/>
      <c r="R1178" s="30"/>
      <c r="S1178" s="30"/>
      <c r="T1178" s="30"/>
      <c r="U1178" s="30"/>
      <c r="V1178" s="30"/>
      <c r="W1178" s="30"/>
      <c r="X1178" s="30"/>
      <c r="Y1178" s="30"/>
      <c r="Z1178" s="30"/>
      <c r="AA1178" s="30"/>
      <c r="AB1178" s="30"/>
      <c r="AC1178" s="30"/>
      <c r="AD1178" s="30"/>
      <c r="AE1178" s="30"/>
      <c r="AF1178" s="30"/>
      <c r="AG1178" s="30"/>
      <c r="AH1178" s="30"/>
      <c r="AI1178" s="30"/>
      <c r="AJ1178" s="30"/>
      <c r="AK1178" s="30"/>
      <c r="AL1178" s="30"/>
      <c r="AM1178" s="30"/>
      <c r="AN1178" s="30"/>
      <c r="AO1178" s="30"/>
      <c r="AP1178" s="30"/>
      <c r="AQ1178" s="30"/>
      <c r="AR1178" s="30"/>
      <c r="AS1178" s="30"/>
      <c r="AT1178" s="30"/>
      <c r="AU1178" s="30"/>
      <c r="AV1178" s="30"/>
      <c r="AW1178" s="30"/>
      <c r="AX1178" s="30"/>
    </row>
    <row r="1179" spans="4:50" s="23" customFormat="1" x14ac:dyDescent="0.3">
      <c r="D1179" s="34"/>
      <c r="E1179" s="24"/>
      <c r="F1179" s="24"/>
      <c r="G1179" s="24"/>
      <c r="H1179" s="24"/>
      <c r="I1179" s="24"/>
      <c r="J1179" s="27"/>
      <c r="K1179" s="30"/>
      <c r="L1179" s="30"/>
      <c r="M1179" s="30"/>
      <c r="N1179" s="30"/>
      <c r="O1179" s="30"/>
      <c r="P1179" s="30"/>
      <c r="Q1179" s="30"/>
      <c r="R1179" s="30"/>
      <c r="S1179" s="30"/>
      <c r="T1179" s="30"/>
      <c r="U1179" s="30"/>
      <c r="V1179" s="30"/>
      <c r="W1179" s="30"/>
      <c r="X1179" s="30"/>
      <c r="Y1179" s="30"/>
      <c r="Z1179" s="30"/>
      <c r="AA1179" s="30"/>
      <c r="AB1179" s="30"/>
      <c r="AC1179" s="30"/>
      <c r="AD1179" s="30"/>
      <c r="AE1179" s="30"/>
      <c r="AF1179" s="30"/>
      <c r="AG1179" s="30"/>
      <c r="AH1179" s="30"/>
      <c r="AI1179" s="30"/>
      <c r="AJ1179" s="30"/>
      <c r="AK1179" s="30"/>
      <c r="AL1179" s="30"/>
      <c r="AM1179" s="30"/>
      <c r="AN1179" s="30"/>
      <c r="AO1179" s="30"/>
      <c r="AP1179" s="30"/>
      <c r="AQ1179" s="30"/>
      <c r="AR1179" s="30"/>
      <c r="AS1179" s="30"/>
      <c r="AT1179" s="30"/>
      <c r="AU1179" s="30"/>
      <c r="AV1179" s="30"/>
      <c r="AW1179" s="30"/>
      <c r="AX1179" s="30"/>
    </row>
    <row r="1180" spans="4:50" s="23" customFormat="1" x14ac:dyDescent="0.3">
      <c r="D1180" s="34"/>
      <c r="E1180" s="24"/>
      <c r="F1180" s="24"/>
      <c r="G1180" s="24"/>
      <c r="H1180" s="24"/>
      <c r="I1180" s="24"/>
      <c r="J1180" s="27"/>
      <c r="K1180" s="30"/>
      <c r="L1180" s="30"/>
      <c r="M1180" s="30"/>
      <c r="N1180" s="30"/>
      <c r="O1180" s="30"/>
      <c r="P1180" s="30"/>
      <c r="Q1180" s="30"/>
      <c r="R1180" s="30"/>
      <c r="S1180" s="30"/>
      <c r="T1180" s="30"/>
      <c r="U1180" s="30"/>
      <c r="V1180" s="30"/>
      <c r="W1180" s="30"/>
      <c r="X1180" s="30"/>
      <c r="Y1180" s="30"/>
      <c r="Z1180" s="30"/>
      <c r="AA1180" s="30"/>
      <c r="AB1180" s="30"/>
      <c r="AC1180" s="30"/>
      <c r="AD1180" s="30"/>
      <c r="AE1180" s="30"/>
      <c r="AF1180" s="30"/>
      <c r="AG1180" s="30"/>
      <c r="AH1180" s="30"/>
      <c r="AI1180" s="30"/>
      <c r="AJ1180" s="30"/>
      <c r="AK1180" s="30"/>
      <c r="AL1180" s="30"/>
      <c r="AM1180" s="30"/>
      <c r="AN1180" s="30"/>
      <c r="AO1180" s="30"/>
      <c r="AP1180" s="30"/>
      <c r="AQ1180" s="30"/>
      <c r="AR1180" s="30"/>
      <c r="AS1180" s="30"/>
      <c r="AT1180" s="30"/>
      <c r="AU1180" s="30"/>
      <c r="AV1180" s="30"/>
      <c r="AW1180" s="30"/>
      <c r="AX1180" s="30"/>
    </row>
    <row r="1181" spans="4:50" s="23" customFormat="1" x14ac:dyDescent="0.3">
      <c r="D1181" s="34"/>
      <c r="E1181" s="24"/>
      <c r="F1181" s="24"/>
      <c r="G1181" s="24"/>
      <c r="H1181" s="24"/>
      <c r="I1181" s="24"/>
      <c r="J1181" s="27"/>
      <c r="K1181" s="30"/>
      <c r="L1181" s="30"/>
      <c r="M1181" s="30"/>
      <c r="N1181" s="30"/>
      <c r="O1181" s="30"/>
      <c r="P1181" s="30"/>
      <c r="Q1181" s="30"/>
      <c r="R1181" s="30"/>
      <c r="S1181" s="30"/>
      <c r="T1181" s="30"/>
      <c r="U1181" s="30"/>
      <c r="V1181" s="30"/>
      <c r="W1181" s="30"/>
      <c r="X1181" s="30"/>
      <c r="Y1181" s="30"/>
      <c r="Z1181" s="30"/>
      <c r="AA1181" s="30"/>
      <c r="AB1181" s="30"/>
      <c r="AC1181" s="30"/>
      <c r="AD1181" s="30"/>
      <c r="AE1181" s="30"/>
      <c r="AF1181" s="30"/>
      <c r="AG1181" s="30"/>
      <c r="AH1181" s="30"/>
      <c r="AI1181" s="30"/>
      <c r="AJ1181" s="30"/>
      <c r="AK1181" s="30"/>
      <c r="AL1181" s="30"/>
      <c r="AM1181" s="30"/>
      <c r="AN1181" s="30"/>
      <c r="AO1181" s="30"/>
      <c r="AP1181" s="30"/>
      <c r="AQ1181" s="30"/>
      <c r="AR1181" s="30"/>
      <c r="AS1181" s="30"/>
      <c r="AT1181" s="30"/>
      <c r="AU1181" s="30"/>
      <c r="AV1181" s="30"/>
      <c r="AW1181" s="30"/>
      <c r="AX1181" s="30"/>
    </row>
    <row r="1182" spans="4:50" s="23" customFormat="1" x14ac:dyDescent="0.3">
      <c r="D1182" s="34"/>
      <c r="E1182" s="24"/>
      <c r="F1182" s="24"/>
      <c r="G1182" s="24"/>
      <c r="H1182" s="24"/>
      <c r="I1182" s="24"/>
      <c r="J1182" s="27"/>
      <c r="K1182" s="30"/>
      <c r="L1182" s="30"/>
      <c r="M1182" s="30"/>
      <c r="N1182" s="30"/>
      <c r="O1182" s="30"/>
      <c r="P1182" s="30"/>
      <c r="Q1182" s="30"/>
      <c r="R1182" s="30"/>
      <c r="S1182" s="30"/>
      <c r="T1182" s="30"/>
      <c r="U1182" s="30"/>
      <c r="V1182" s="30"/>
      <c r="W1182" s="30"/>
      <c r="X1182" s="30"/>
      <c r="Y1182" s="30"/>
      <c r="Z1182" s="30"/>
      <c r="AA1182" s="30"/>
      <c r="AB1182" s="30"/>
      <c r="AC1182" s="30"/>
      <c r="AD1182" s="30"/>
      <c r="AE1182" s="30"/>
      <c r="AF1182" s="30"/>
      <c r="AG1182" s="30"/>
      <c r="AH1182" s="30"/>
      <c r="AI1182" s="30"/>
      <c r="AJ1182" s="30"/>
      <c r="AK1182" s="30"/>
      <c r="AL1182" s="30"/>
      <c r="AM1182" s="30"/>
      <c r="AN1182" s="30"/>
      <c r="AO1182" s="30"/>
      <c r="AP1182" s="30"/>
      <c r="AQ1182" s="30"/>
      <c r="AR1182" s="30"/>
      <c r="AS1182" s="30"/>
      <c r="AT1182" s="30"/>
      <c r="AU1182" s="30"/>
      <c r="AV1182" s="30"/>
      <c r="AW1182" s="30"/>
      <c r="AX1182" s="30"/>
    </row>
    <row r="1183" spans="4:50" s="23" customFormat="1" x14ac:dyDescent="0.3">
      <c r="D1183" s="34"/>
      <c r="E1183" s="24"/>
      <c r="F1183" s="24"/>
      <c r="G1183" s="24"/>
      <c r="H1183" s="24"/>
      <c r="I1183" s="24"/>
      <c r="J1183" s="27"/>
      <c r="K1183" s="30"/>
      <c r="L1183" s="30"/>
      <c r="M1183" s="30"/>
      <c r="N1183" s="30"/>
      <c r="O1183" s="30"/>
      <c r="P1183" s="30"/>
      <c r="Q1183" s="30"/>
      <c r="R1183" s="30"/>
      <c r="S1183" s="30"/>
      <c r="T1183" s="30"/>
      <c r="U1183" s="30"/>
      <c r="V1183" s="30"/>
      <c r="W1183" s="30"/>
      <c r="X1183" s="30"/>
      <c r="Y1183" s="30"/>
      <c r="Z1183" s="30"/>
      <c r="AA1183" s="30"/>
      <c r="AB1183" s="30"/>
      <c r="AC1183" s="30"/>
      <c r="AD1183" s="30"/>
      <c r="AE1183" s="30"/>
      <c r="AF1183" s="30"/>
      <c r="AG1183" s="30"/>
      <c r="AH1183" s="30"/>
      <c r="AI1183" s="30"/>
      <c r="AJ1183" s="30"/>
      <c r="AK1183" s="30"/>
      <c r="AL1183" s="30"/>
      <c r="AM1183" s="30"/>
      <c r="AN1183" s="30"/>
      <c r="AO1183" s="30"/>
      <c r="AP1183" s="30"/>
      <c r="AQ1183" s="30"/>
      <c r="AR1183" s="30"/>
      <c r="AS1183" s="30"/>
      <c r="AT1183" s="30"/>
      <c r="AU1183" s="30"/>
      <c r="AV1183" s="30"/>
      <c r="AW1183" s="30"/>
      <c r="AX1183" s="30"/>
    </row>
    <row r="1184" spans="4:50" s="23" customFormat="1" x14ac:dyDescent="0.3">
      <c r="D1184" s="34"/>
      <c r="E1184" s="24"/>
      <c r="F1184" s="24"/>
      <c r="G1184" s="24"/>
      <c r="H1184" s="24"/>
      <c r="I1184" s="24"/>
      <c r="J1184" s="27"/>
      <c r="K1184" s="30"/>
      <c r="L1184" s="30"/>
      <c r="M1184" s="30"/>
      <c r="N1184" s="30"/>
      <c r="O1184" s="30"/>
      <c r="P1184" s="30"/>
      <c r="Q1184" s="30"/>
      <c r="R1184" s="30"/>
      <c r="S1184" s="30"/>
      <c r="T1184" s="30"/>
      <c r="U1184" s="30"/>
      <c r="V1184" s="30"/>
      <c r="W1184" s="30"/>
      <c r="X1184" s="30"/>
      <c r="Y1184" s="30"/>
      <c r="Z1184" s="30"/>
      <c r="AA1184" s="30"/>
      <c r="AB1184" s="30"/>
      <c r="AC1184" s="30"/>
      <c r="AD1184" s="30"/>
      <c r="AE1184" s="30"/>
      <c r="AF1184" s="30"/>
      <c r="AG1184" s="30"/>
      <c r="AH1184" s="30"/>
      <c r="AI1184" s="30"/>
      <c r="AJ1184" s="30"/>
      <c r="AK1184" s="30"/>
      <c r="AL1184" s="30"/>
      <c r="AM1184" s="30"/>
      <c r="AN1184" s="30"/>
      <c r="AO1184" s="30"/>
      <c r="AP1184" s="30"/>
      <c r="AQ1184" s="30"/>
      <c r="AR1184" s="30"/>
      <c r="AS1184" s="30"/>
      <c r="AT1184" s="30"/>
      <c r="AU1184" s="30"/>
      <c r="AV1184" s="30"/>
      <c r="AW1184" s="30"/>
      <c r="AX1184" s="30"/>
    </row>
    <row r="1185" spans="4:50" s="23" customFormat="1" x14ac:dyDescent="0.3">
      <c r="D1185" s="34"/>
      <c r="E1185" s="24"/>
      <c r="F1185" s="24"/>
      <c r="G1185" s="24"/>
      <c r="H1185" s="24"/>
      <c r="I1185" s="24"/>
      <c r="J1185" s="27"/>
      <c r="K1185" s="30"/>
      <c r="L1185" s="30"/>
      <c r="M1185" s="30"/>
      <c r="N1185" s="30"/>
      <c r="O1185" s="30"/>
      <c r="P1185" s="30"/>
      <c r="Q1185" s="30"/>
      <c r="R1185" s="30"/>
      <c r="S1185" s="30"/>
      <c r="T1185" s="30"/>
      <c r="U1185" s="30"/>
      <c r="V1185" s="30"/>
      <c r="W1185" s="30"/>
      <c r="X1185" s="30"/>
      <c r="Y1185" s="30"/>
      <c r="Z1185" s="30"/>
      <c r="AA1185" s="30"/>
      <c r="AB1185" s="30"/>
      <c r="AC1185" s="30"/>
      <c r="AD1185" s="30"/>
      <c r="AE1185" s="30"/>
      <c r="AF1185" s="30"/>
      <c r="AG1185" s="30"/>
      <c r="AH1185" s="30"/>
      <c r="AI1185" s="30"/>
      <c r="AJ1185" s="30"/>
      <c r="AK1185" s="30"/>
      <c r="AL1185" s="30"/>
      <c r="AM1185" s="30"/>
      <c r="AN1185" s="30"/>
      <c r="AO1185" s="30"/>
      <c r="AP1185" s="30"/>
      <c r="AQ1185" s="30"/>
      <c r="AR1185" s="30"/>
      <c r="AS1185" s="30"/>
      <c r="AT1185" s="30"/>
      <c r="AU1185" s="30"/>
      <c r="AV1185" s="30"/>
      <c r="AW1185" s="30"/>
      <c r="AX1185" s="30"/>
    </row>
    <row r="1186" spans="4:50" s="23" customFormat="1" x14ac:dyDescent="0.3">
      <c r="D1186" s="34"/>
      <c r="E1186" s="24"/>
      <c r="F1186" s="24"/>
      <c r="G1186" s="24"/>
      <c r="H1186" s="24"/>
      <c r="I1186" s="24"/>
      <c r="J1186" s="27"/>
      <c r="K1186" s="30"/>
      <c r="L1186" s="30"/>
      <c r="M1186" s="30"/>
      <c r="N1186" s="30"/>
      <c r="O1186" s="30"/>
      <c r="P1186" s="30"/>
      <c r="Q1186" s="30"/>
      <c r="R1186" s="30"/>
      <c r="S1186" s="30"/>
      <c r="T1186" s="30"/>
      <c r="U1186" s="30"/>
      <c r="V1186" s="30"/>
      <c r="W1186" s="30"/>
      <c r="X1186" s="30"/>
      <c r="Y1186" s="30"/>
      <c r="Z1186" s="30"/>
      <c r="AA1186" s="30"/>
      <c r="AB1186" s="30"/>
      <c r="AC1186" s="30"/>
      <c r="AD1186" s="30"/>
      <c r="AE1186" s="30"/>
      <c r="AF1186" s="30"/>
      <c r="AG1186" s="30"/>
      <c r="AH1186" s="30"/>
      <c r="AI1186" s="30"/>
      <c r="AJ1186" s="30"/>
      <c r="AK1186" s="30"/>
      <c r="AL1186" s="30"/>
      <c r="AM1186" s="30"/>
      <c r="AN1186" s="30"/>
      <c r="AO1186" s="30"/>
      <c r="AP1186" s="30"/>
      <c r="AQ1186" s="30"/>
      <c r="AR1186" s="30"/>
      <c r="AS1186" s="30"/>
      <c r="AT1186" s="30"/>
      <c r="AU1186" s="30"/>
      <c r="AV1186" s="30"/>
      <c r="AW1186" s="30"/>
      <c r="AX1186" s="30"/>
    </row>
    <row r="1187" spans="4:50" s="23" customFormat="1" x14ac:dyDescent="0.3">
      <c r="D1187" s="34"/>
      <c r="E1187" s="24"/>
      <c r="F1187" s="24"/>
      <c r="G1187" s="24"/>
      <c r="H1187" s="24"/>
      <c r="I1187" s="24"/>
      <c r="J1187" s="27"/>
      <c r="K1187" s="30"/>
      <c r="L1187" s="30"/>
      <c r="M1187" s="30"/>
      <c r="N1187" s="30"/>
      <c r="O1187" s="30"/>
      <c r="P1187" s="30"/>
      <c r="Q1187" s="30"/>
      <c r="R1187" s="30"/>
      <c r="S1187" s="30"/>
      <c r="T1187" s="30"/>
      <c r="U1187" s="30"/>
      <c r="V1187" s="30"/>
      <c r="W1187" s="30"/>
      <c r="X1187" s="30"/>
      <c r="Y1187" s="30"/>
      <c r="Z1187" s="30"/>
      <c r="AA1187" s="30"/>
      <c r="AB1187" s="30"/>
      <c r="AC1187" s="30"/>
      <c r="AD1187" s="30"/>
      <c r="AE1187" s="30"/>
      <c r="AF1187" s="30"/>
      <c r="AG1187" s="30"/>
      <c r="AH1187" s="30"/>
      <c r="AI1187" s="30"/>
      <c r="AJ1187" s="30"/>
      <c r="AK1187" s="30"/>
      <c r="AL1187" s="30"/>
      <c r="AM1187" s="30"/>
      <c r="AN1187" s="30"/>
      <c r="AO1187" s="30"/>
      <c r="AP1187" s="30"/>
      <c r="AQ1187" s="30"/>
      <c r="AR1187" s="30"/>
      <c r="AS1187" s="30"/>
      <c r="AT1187" s="30"/>
      <c r="AU1187" s="30"/>
      <c r="AV1187" s="30"/>
      <c r="AW1187" s="30"/>
      <c r="AX1187" s="30"/>
    </row>
    <row r="1188" spans="4:50" s="23" customFormat="1" x14ac:dyDescent="0.3">
      <c r="D1188" s="34"/>
      <c r="E1188" s="24"/>
      <c r="F1188" s="24"/>
      <c r="G1188" s="24"/>
      <c r="H1188" s="24"/>
      <c r="I1188" s="24"/>
      <c r="J1188" s="27"/>
      <c r="K1188" s="30"/>
      <c r="L1188" s="30"/>
      <c r="M1188" s="30"/>
      <c r="N1188" s="30"/>
      <c r="O1188" s="30"/>
      <c r="P1188" s="30"/>
      <c r="Q1188" s="30"/>
      <c r="R1188" s="30"/>
      <c r="S1188" s="30"/>
      <c r="T1188" s="30"/>
      <c r="U1188" s="30"/>
      <c r="V1188" s="30"/>
      <c r="W1188" s="30"/>
      <c r="X1188" s="30"/>
      <c r="Y1188" s="30"/>
      <c r="Z1188" s="30"/>
      <c r="AA1188" s="30"/>
      <c r="AB1188" s="30"/>
      <c r="AC1188" s="30"/>
      <c r="AD1188" s="30"/>
      <c r="AE1188" s="30"/>
      <c r="AF1188" s="30"/>
      <c r="AG1188" s="30"/>
      <c r="AH1188" s="30"/>
      <c r="AI1188" s="30"/>
      <c r="AJ1188" s="30"/>
      <c r="AK1188" s="30"/>
      <c r="AL1188" s="30"/>
      <c r="AM1188" s="30"/>
      <c r="AN1188" s="30"/>
      <c r="AO1188" s="30"/>
      <c r="AP1188" s="30"/>
      <c r="AQ1188" s="30"/>
      <c r="AR1188" s="30"/>
      <c r="AS1188" s="30"/>
      <c r="AT1188" s="30"/>
      <c r="AU1188" s="30"/>
      <c r="AV1188" s="30"/>
      <c r="AW1188" s="30"/>
      <c r="AX1188" s="30"/>
    </row>
    <row r="1189" spans="4:50" s="23" customFormat="1" x14ac:dyDescent="0.3">
      <c r="D1189" s="34"/>
      <c r="E1189" s="24"/>
      <c r="F1189" s="24"/>
      <c r="G1189" s="24"/>
      <c r="H1189" s="24"/>
      <c r="I1189" s="24"/>
      <c r="J1189" s="27"/>
      <c r="K1189" s="30"/>
      <c r="L1189" s="30"/>
      <c r="M1189" s="30"/>
      <c r="N1189" s="30"/>
      <c r="O1189" s="30"/>
      <c r="P1189" s="30"/>
      <c r="Q1189" s="30"/>
      <c r="R1189" s="30"/>
      <c r="S1189" s="30"/>
      <c r="T1189" s="30"/>
      <c r="U1189" s="30"/>
      <c r="V1189" s="30"/>
      <c r="W1189" s="30"/>
      <c r="X1189" s="30"/>
      <c r="Y1189" s="30"/>
      <c r="Z1189" s="30"/>
      <c r="AA1189" s="30"/>
      <c r="AB1189" s="30"/>
      <c r="AC1189" s="30"/>
      <c r="AD1189" s="30"/>
      <c r="AE1189" s="30"/>
      <c r="AF1189" s="30"/>
      <c r="AG1189" s="30"/>
      <c r="AH1189" s="30"/>
      <c r="AI1189" s="30"/>
      <c r="AJ1189" s="30"/>
      <c r="AK1189" s="30"/>
      <c r="AL1189" s="30"/>
      <c r="AM1189" s="30"/>
      <c r="AN1189" s="30"/>
      <c r="AO1189" s="30"/>
      <c r="AP1189" s="30"/>
      <c r="AQ1189" s="30"/>
      <c r="AR1189" s="30"/>
      <c r="AS1189" s="30"/>
      <c r="AT1189" s="30"/>
      <c r="AU1189" s="30"/>
      <c r="AV1189" s="30"/>
      <c r="AW1189" s="30"/>
      <c r="AX1189" s="30"/>
    </row>
    <row r="1190" spans="4:50" s="23" customFormat="1" x14ac:dyDescent="0.3">
      <c r="D1190" s="34"/>
      <c r="E1190" s="24"/>
      <c r="F1190" s="24"/>
      <c r="G1190" s="24"/>
      <c r="H1190" s="24"/>
      <c r="I1190" s="24"/>
      <c r="J1190" s="27"/>
      <c r="K1190" s="30"/>
      <c r="L1190" s="30"/>
      <c r="M1190" s="30"/>
      <c r="N1190" s="30"/>
      <c r="O1190" s="30"/>
      <c r="P1190" s="30"/>
      <c r="Q1190" s="30"/>
      <c r="R1190" s="30"/>
      <c r="S1190" s="30"/>
      <c r="T1190" s="30"/>
      <c r="U1190" s="30"/>
      <c r="V1190" s="30"/>
      <c r="W1190" s="30"/>
      <c r="X1190" s="30"/>
      <c r="Y1190" s="30"/>
      <c r="Z1190" s="30"/>
      <c r="AA1190" s="30"/>
      <c r="AB1190" s="30"/>
      <c r="AC1190" s="30"/>
      <c r="AD1190" s="30"/>
      <c r="AE1190" s="30"/>
      <c r="AF1190" s="30"/>
      <c r="AG1190" s="30"/>
      <c r="AH1190" s="30"/>
      <c r="AI1190" s="30"/>
      <c r="AJ1190" s="30"/>
      <c r="AK1190" s="30"/>
      <c r="AL1190" s="30"/>
      <c r="AM1190" s="30"/>
      <c r="AN1190" s="30"/>
      <c r="AO1190" s="30"/>
      <c r="AP1190" s="30"/>
      <c r="AQ1190" s="30"/>
      <c r="AR1190" s="30"/>
      <c r="AS1190" s="30"/>
      <c r="AT1190" s="30"/>
      <c r="AU1190" s="30"/>
      <c r="AV1190" s="30"/>
      <c r="AW1190" s="30"/>
      <c r="AX1190" s="30"/>
    </row>
    <row r="1191" spans="4:50" s="23" customFormat="1" x14ac:dyDescent="0.3">
      <c r="D1191" s="34"/>
      <c r="E1191" s="24"/>
      <c r="F1191" s="24"/>
      <c r="G1191" s="24"/>
      <c r="H1191" s="24"/>
      <c r="I1191" s="24"/>
      <c r="J1191" s="27"/>
      <c r="K1191" s="30"/>
      <c r="L1191" s="30"/>
      <c r="M1191" s="30"/>
      <c r="N1191" s="30"/>
      <c r="O1191" s="30"/>
      <c r="P1191" s="30"/>
      <c r="Q1191" s="30"/>
      <c r="R1191" s="30"/>
      <c r="S1191" s="30"/>
      <c r="T1191" s="30"/>
      <c r="U1191" s="30"/>
      <c r="V1191" s="30"/>
      <c r="W1191" s="30"/>
      <c r="X1191" s="30"/>
      <c r="Y1191" s="30"/>
      <c r="Z1191" s="30"/>
      <c r="AA1191" s="30"/>
      <c r="AB1191" s="30"/>
      <c r="AC1191" s="30"/>
      <c r="AD1191" s="30"/>
      <c r="AE1191" s="30"/>
      <c r="AF1191" s="30"/>
      <c r="AG1191" s="30"/>
      <c r="AH1191" s="30"/>
      <c r="AI1191" s="30"/>
      <c r="AJ1191" s="30"/>
      <c r="AK1191" s="30"/>
      <c r="AL1191" s="30"/>
      <c r="AM1191" s="30"/>
      <c r="AN1191" s="30"/>
      <c r="AO1191" s="30"/>
      <c r="AP1191" s="30"/>
      <c r="AQ1191" s="30"/>
      <c r="AR1191" s="30"/>
      <c r="AS1191" s="30"/>
      <c r="AT1191" s="30"/>
      <c r="AU1191" s="30"/>
      <c r="AV1191" s="30"/>
      <c r="AW1191" s="30"/>
      <c r="AX1191" s="30"/>
    </row>
    <row r="1192" spans="4:50" s="23" customFormat="1" x14ac:dyDescent="0.3">
      <c r="D1192" s="34"/>
      <c r="E1192" s="24"/>
      <c r="F1192" s="24"/>
      <c r="G1192" s="24"/>
      <c r="H1192" s="24"/>
      <c r="I1192" s="24"/>
      <c r="J1192" s="27"/>
      <c r="K1192" s="30"/>
      <c r="L1192" s="30"/>
      <c r="M1192" s="30"/>
      <c r="N1192" s="30"/>
      <c r="O1192" s="30"/>
      <c r="P1192" s="30"/>
      <c r="Q1192" s="30"/>
      <c r="R1192" s="30"/>
      <c r="S1192" s="30"/>
      <c r="T1192" s="30"/>
      <c r="U1192" s="30"/>
      <c r="V1192" s="30"/>
      <c r="W1192" s="30"/>
      <c r="X1192" s="30"/>
      <c r="Y1192" s="30"/>
      <c r="Z1192" s="30"/>
      <c r="AA1192" s="30"/>
      <c r="AB1192" s="30"/>
      <c r="AC1192" s="30"/>
      <c r="AD1192" s="30"/>
      <c r="AE1192" s="30"/>
      <c r="AF1192" s="30"/>
      <c r="AG1192" s="30"/>
      <c r="AH1192" s="30"/>
      <c r="AI1192" s="30"/>
      <c r="AJ1192" s="30"/>
      <c r="AK1192" s="30"/>
      <c r="AL1192" s="30"/>
      <c r="AM1192" s="30"/>
      <c r="AN1192" s="30"/>
      <c r="AO1192" s="30"/>
      <c r="AP1192" s="30"/>
      <c r="AQ1192" s="30"/>
      <c r="AR1192" s="30"/>
      <c r="AS1192" s="30"/>
      <c r="AT1192" s="30"/>
      <c r="AU1192" s="30"/>
      <c r="AV1192" s="30"/>
      <c r="AW1192" s="30"/>
      <c r="AX1192" s="30"/>
    </row>
    <row r="1193" spans="4:50" s="23" customFormat="1" x14ac:dyDescent="0.3">
      <c r="D1193" s="34"/>
      <c r="E1193" s="24"/>
      <c r="F1193" s="24"/>
      <c r="G1193" s="24"/>
      <c r="H1193" s="24"/>
      <c r="I1193" s="24"/>
      <c r="J1193" s="27"/>
      <c r="K1193" s="30"/>
      <c r="L1193" s="30"/>
      <c r="M1193" s="30"/>
      <c r="N1193" s="30"/>
      <c r="O1193" s="30"/>
      <c r="P1193" s="30"/>
      <c r="Q1193" s="30"/>
      <c r="R1193" s="30"/>
      <c r="S1193" s="30"/>
      <c r="T1193" s="30"/>
      <c r="U1193" s="30"/>
      <c r="V1193" s="30"/>
      <c r="W1193" s="30"/>
      <c r="X1193" s="30"/>
      <c r="Y1193" s="30"/>
      <c r="Z1193" s="30"/>
      <c r="AA1193" s="30"/>
      <c r="AB1193" s="30"/>
      <c r="AC1193" s="30"/>
      <c r="AD1193" s="30"/>
      <c r="AE1193" s="30"/>
      <c r="AF1193" s="30"/>
      <c r="AG1193" s="30"/>
      <c r="AH1193" s="30"/>
      <c r="AI1193" s="30"/>
      <c r="AJ1193" s="30"/>
      <c r="AK1193" s="30"/>
      <c r="AL1193" s="30"/>
      <c r="AM1193" s="30"/>
      <c r="AN1193" s="30"/>
      <c r="AO1193" s="30"/>
      <c r="AP1193" s="30"/>
      <c r="AQ1193" s="30"/>
      <c r="AR1193" s="30"/>
      <c r="AS1193" s="30"/>
      <c r="AT1193" s="30"/>
      <c r="AU1193" s="30"/>
      <c r="AV1193" s="30"/>
      <c r="AW1193" s="30"/>
      <c r="AX1193" s="30"/>
    </row>
    <row r="1194" spans="4:50" s="23" customFormat="1" x14ac:dyDescent="0.3">
      <c r="D1194" s="34"/>
      <c r="E1194" s="24"/>
      <c r="F1194" s="24"/>
      <c r="G1194" s="24"/>
      <c r="H1194" s="24"/>
      <c r="I1194" s="24"/>
      <c r="J1194" s="27"/>
      <c r="K1194" s="30"/>
      <c r="L1194" s="30"/>
      <c r="M1194" s="30"/>
      <c r="N1194" s="30"/>
      <c r="O1194" s="30"/>
      <c r="P1194" s="30"/>
      <c r="Q1194" s="30"/>
      <c r="R1194" s="30"/>
      <c r="S1194" s="30"/>
      <c r="T1194" s="30"/>
      <c r="U1194" s="30"/>
      <c r="V1194" s="30"/>
      <c r="W1194" s="30"/>
      <c r="X1194" s="30"/>
      <c r="Y1194" s="30"/>
      <c r="Z1194" s="30"/>
      <c r="AA1194" s="30"/>
      <c r="AB1194" s="30"/>
      <c r="AC1194" s="30"/>
      <c r="AD1194" s="30"/>
      <c r="AE1194" s="30"/>
      <c r="AF1194" s="30"/>
      <c r="AG1194" s="30"/>
      <c r="AH1194" s="30"/>
      <c r="AI1194" s="30"/>
      <c r="AJ1194" s="30"/>
      <c r="AK1194" s="30"/>
      <c r="AL1194" s="30"/>
      <c r="AM1194" s="30"/>
      <c r="AN1194" s="30"/>
      <c r="AO1194" s="30"/>
      <c r="AP1194" s="30"/>
      <c r="AQ1194" s="30"/>
      <c r="AR1194" s="30"/>
      <c r="AS1194" s="30"/>
      <c r="AT1194" s="30"/>
      <c r="AU1194" s="30"/>
      <c r="AV1194" s="30"/>
      <c r="AW1194" s="30"/>
      <c r="AX1194" s="30"/>
    </row>
    <row r="1195" spans="4:50" s="23" customFormat="1" x14ac:dyDescent="0.3">
      <c r="D1195" s="34"/>
      <c r="E1195" s="24"/>
      <c r="F1195" s="24"/>
      <c r="G1195" s="24"/>
      <c r="H1195" s="24"/>
      <c r="I1195" s="24"/>
      <c r="J1195" s="27"/>
      <c r="K1195" s="30"/>
      <c r="L1195" s="30"/>
      <c r="M1195" s="30"/>
      <c r="N1195" s="30"/>
      <c r="O1195" s="30"/>
      <c r="P1195" s="30"/>
      <c r="Q1195" s="30"/>
      <c r="R1195" s="30"/>
      <c r="S1195" s="30"/>
      <c r="T1195" s="30"/>
      <c r="U1195" s="30"/>
      <c r="V1195" s="30"/>
      <c r="W1195" s="30"/>
      <c r="X1195" s="30"/>
      <c r="Y1195" s="30"/>
      <c r="Z1195" s="30"/>
      <c r="AA1195" s="30"/>
      <c r="AB1195" s="30"/>
      <c r="AC1195" s="30"/>
      <c r="AD1195" s="30"/>
      <c r="AE1195" s="30"/>
      <c r="AF1195" s="30"/>
      <c r="AG1195" s="30"/>
      <c r="AH1195" s="30"/>
      <c r="AI1195" s="30"/>
      <c r="AJ1195" s="30"/>
      <c r="AK1195" s="30"/>
      <c r="AL1195" s="30"/>
      <c r="AM1195" s="30"/>
      <c r="AN1195" s="30"/>
      <c r="AO1195" s="30"/>
      <c r="AP1195" s="30"/>
      <c r="AQ1195" s="30"/>
      <c r="AR1195" s="30"/>
      <c r="AS1195" s="30"/>
      <c r="AT1195" s="30"/>
      <c r="AU1195" s="30"/>
      <c r="AV1195" s="30"/>
      <c r="AW1195" s="30"/>
      <c r="AX1195" s="30"/>
    </row>
    <row r="1196" spans="4:50" s="23" customFormat="1" x14ac:dyDescent="0.3">
      <c r="D1196" s="34"/>
      <c r="E1196" s="24"/>
      <c r="F1196" s="24"/>
      <c r="G1196" s="24"/>
      <c r="H1196" s="24"/>
      <c r="I1196" s="24"/>
      <c r="J1196" s="27"/>
      <c r="K1196" s="30"/>
      <c r="L1196" s="30"/>
      <c r="M1196" s="30"/>
      <c r="N1196" s="30"/>
      <c r="O1196" s="30"/>
      <c r="P1196" s="30"/>
      <c r="Q1196" s="30"/>
      <c r="R1196" s="30"/>
      <c r="S1196" s="30"/>
      <c r="T1196" s="30"/>
      <c r="U1196" s="30"/>
      <c r="V1196" s="30"/>
      <c r="W1196" s="30"/>
      <c r="X1196" s="30"/>
      <c r="Y1196" s="30"/>
      <c r="Z1196" s="30"/>
      <c r="AA1196" s="30"/>
      <c r="AB1196" s="30"/>
      <c r="AC1196" s="30"/>
      <c r="AD1196" s="30"/>
      <c r="AE1196" s="30"/>
      <c r="AF1196" s="30"/>
      <c r="AG1196" s="30"/>
      <c r="AH1196" s="30"/>
      <c r="AI1196" s="30"/>
      <c r="AJ1196" s="30"/>
      <c r="AK1196" s="30"/>
      <c r="AL1196" s="30"/>
      <c r="AM1196" s="30"/>
      <c r="AN1196" s="30"/>
      <c r="AO1196" s="30"/>
      <c r="AP1196" s="30"/>
      <c r="AQ1196" s="30"/>
      <c r="AR1196" s="30"/>
      <c r="AS1196" s="30"/>
      <c r="AT1196" s="30"/>
      <c r="AU1196" s="30"/>
      <c r="AV1196" s="30"/>
      <c r="AW1196" s="30"/>
      <c r="AX1196" s="30"/>
    </row>
    <row r="1197" spans="4:50" s="23" customFormat="1" x14ac:dyDescent="0.3">
      <c r="D1197" s="34"/>
      <c r="E1197" s="24"/>
      <c r="F1197" s="24"/>
      <c r="G1197" s="24"/>
      <c r="H1197" s="24"/>
      <c r="I1197" s="24"/>
      <c r="J1197" s="27"/>
      <c r="K1197" s="30"/>
      <c r="L1197" s="30"/>
      <c r="M1197" s="30"/>
      <c r="N1197" s="30"/>
      <c r="O1197" s="30"/>
      <c r="P1197" s="30"/>
      <c r="Q1197" s="30"/>
      <c r="R1197" s="30"/>
      <c r="S1197" s="30"/>
      <c r="T1197" s="30"/>
      <c r="U1197" s="30"/>
      <c r="V1197" s="30"/>
      <c r="W1197" s="30"/>
      <c r="X1197" s="30"/>
      <c r="Y1197" s="30"/>
      <c r="Z1197" s="30"/>
      <c r="AA1197" s="30"/>
      <c r="AB1197" s="30"/>
      <c r="AC1197" s="30"/>
      <c r="AD1197" s="30"/>
      <c r="AE1197" s="30"/>
      <c r="AF1197" s="30"/>
      <c r="AG1197" s="30"/>
      <c r="AH1197" s="30"/>
      <c r="AI1197" s="30"/>
      <c r="AJ1197" s="30"/>
      <c r="AK1197" s="30"/>
      <c r="AL1197" s="30"/>
      <c r="AM1197" s="30"/>
      <c r="AN1197" s="30"/>
      <c r="AO1197" s="30"/>
      <c r="AP1197" s="30"/>
      <c r="AQ1197" s="30"/>
      <c r="AR1197" s="30"/>
      <c r="AS1197" s="30"/>
      <c r="AT1197" s="30"/>
      <c r="AU1197" s="30"/>
      <c r="AV1197" s="30"/>
      <c r="AW1197" s="30"/>
      <c r="AX1197" s="30"/>
    </row>
    <row r="1198" spans="4:50" s="23" customFormat="1" x14ac:dyDescent="0.3">
      <c r="D1198" s="34"/>
      <c r="E1198" s="24"/>
      <c r="F1198" s="24"/>
      <c r="G1198" s="24"/>
      <c r="H1198" s="24"/>
      <c r="I1198" s="24"/>
      <c r="J1198" s="27"/>
      <c r="K1198" s="30"/>
      <c r="L1198" s="30"/>
      <c r="M1198" s="30"/>
      <c r="N1198" s="30"/>
      <c r="O1198" s="30"/>
      <c r="P1198" s="30"/>
      <c r="Q1198" s="30"/>
      <c r="R1198" s="30"/>
      <c r="S1198" s="30"/>
      <c r="T1198" s="30"/>
      <c r="U1198" s="30"/>
      <c r="V1198" s="30"/>
      <c r="W1198" s="30"/>
      <c r="X1198" s="30"/>
      <c r="Y1198" s="30"/>
      <c r="Z1198" s="30"/>
      <c r="AA1198" s="30"/>
      <c r="AB1198" s="30"/>
      <c r="AC1198" s="30"/>
      <c r="AD1198" s="30"/>
      <c r="AE1198" s="30"/>
      <c r="AF1198" s="30"/>
      <c r="AG1198" s="30"/>
      <c r="AH1198" s="30"/>
      <c r="AI1198" s="30"/>
      <c r="AJ1198" s="30"/>
      <c r="AK1198" s="30"/>
      <c r="AL1198" s="30"/>
      <c r="AM1198" s="30"/>
      <c r="AN1198" s="30"/>
      <c r="AO1198" s="30"/>
      <c r="AP1198" s="30"/>
      <c r="AQ1198" s="30"/>
      <c r="AR1198" s="30"/>
      <c r="AS1198" s="30"/>
      <c r="AT1198" s="30"/>
      <c r="AU1198" s="30"/>
      <c r="AV1198" s="30"/>
      <c r="AW1198" s="30"/>
      <c r="AX1198" s="30"/>
    </row>
    <row r="1199" spans="4:50" s="23" customFormat="1" x14ac:dyDescent="0.3">
      <c r="D1199" s="34"/>
      <c r="E1199" s="24"/>
      <c r="F1199" s="24"/>
      <c r="G1199" s="24"/>
      <c r="H1199" s="24"/>
      <c r="I1199" s="24"/>
      <c r="J1199" s="27"/>
      <c r="K1199" s="30"/>
      <c r="L1199" s="30"/>
      <c r="M1199" s="30"/>
      <c r="N1199" s="30"/>
      <c r="O1199" s="30"/>
      <c r="P1199" s="30"/>
      <c r="Q1199" s="30"/>
      <c r="R1199" s="30"/>
      <c r="S1199" s="30"/>
      <c r="T1199" s="30"/>
      <c r="U1199" s="30"/>
      <c r="V1199" s="30"/>
      <c r="W1199" s="30"/>
      <c r="X1199" s="30"/>
      <c r="Y1199" s="30"/>
      <c r="Z1199" s="30"/>
      <c r="AA1199" s="30"/>
      <c r="AB1199" s="30"/>
      <c r="AC1199" s="30"/>
      <c r="AD1199" s="30"/>
      <c r="AE1199" s="30"/>
      <c r="AF1199" s="30"/>
      <c r="AG1199" s="30"/>
      <c r="AH1199" s="30"/>
      <c r="AI1199" s="30"/>
      <c r="AJ1199" s="30"/>
      <c r="AK1199" s="30"/>
      <c r="AL1199" s="30"/>
      <c r="AM1199" s="30"/>
      <c r="AN1199" s="30"/>
      <c r="AO1199" s="30"/>
      <c r="AP1199" s="30"/>
      <c r="AQ1199" s="30"/>
      <c r="AR1199" s="30"/>
      <c r="AS1199" s="30"/>
      <c r="AT1199" s="30"/>
      <c r="AU1199" s="30"/>
      <c r="AV1199" s="30"/>
      <c r="AW1199" s="30"/>
      <c r="AX1199" s="30"/>
    </row>
    <row r="1200" spans="4:50" s="23" customFormat="1" x14ac:dyDescent="0.3">
      <c r="D1200" s="34"/>
      <c r="E1200" s="24"/>
      <c r="F1200" s="24"/>
      <c r="G1200" s="24"/>
      <c r="H1200" s="24"/>
      <c r="I1200" s="24"/>
      <c r="J1200" s="27"/>
      <c r="K1200" s="30"/>
      <c r="L1200" s="30"/>
      <c r="M1200" s="30"/>
      <c r="N1200" s="30"/>
      <c r="O1200" s="30"/>
      <c r="P1200" s="30"/>
      <c r="Q1200" s="30"/>
      <c r="R1200" s="30"/>
      <c r="S1200" s="30"/>
      <c r="T1200" s="30"/>
      <c r="U1200" s="30"/>
      <c r="V1200" s="30"/>
      <c r="W1200" s="30"/>
      <c r="X1200" s="30"/>
      <c r="Y1200" s="30"/>
      <c r="Z1200" s="30"/>
      <c r="AA1200" s="30"/>
      <c r="AB1200" s="30"/>
      <c r="AC1200" s="30"/>
      <c r="AD1200" s="30"/>
      <c r="AE1200" s="30"/>
      <c r="AF1200" s="30"/>
      <c r="AG1200" s="30"/>
      <c r="AH1200" s="30"/>
      <c r="AI1200" s="30"/>
      <c r="AJ1200" s="30"/>
      <c r="AK1200" s="30"/>
      <c r="AL1200" s="30"/>
      <c r="AM1200" s="30"/>
      <c r="AN1200" s="30"/>
      <c r="AO1200" s="30"/>
      <c r="AP1200" s="30"/>
      <c r="AQ1200" s="30"/>
      <c r="AR1200" s="30"/>
      <c r="AS1200" s="30"/>
      <c r="AT1200" s="30"/>
      <c r="AU1200" s="30"/>
      <c r="AV1200" s="30"/>
      <c r="AW1200" s="30"/>
      <c r="AX1200" s="30"/>
    </row>
    <row r="1201" spans="4:50" s="23" customFormat="1" x14ac:dyDescent="0.3">
      <c r="D1201" s="34"/>
      <c r="E1201" s="24"/>
      <c r="F1201" s="24"/>
      <c r="G1201" s="24"/>
      <c r="H1201" s="24"/>
      <c r="I1201" s="24"/>
      <c r="J1201" s="27"/>
      <c r="K1201" s="30"/>
      <c r="L1201" s="30"/>
      <c r="M1201" s="30"/>
      <c r="N1201" s="30"/>
      <c r="O1201" s="30"/>
      <c r="P1201" s="30"/>
      <c r="Q1201" s="30"/>
      <c r="R1201" s="30"/>
      <c r="S1201" s="30"/>
      <c r="T1201" s="30"/>
      <c r="U1201" s="30"/>
      <c r="V1201" s="30"/>
      <c r="W1201" s="30"/>
      <c r="X1201" s="30"/>
      <c r="Y1201" s="30"/>
      <c r="Z1201" s="30"/>
      <c r="AA1201" s="30"/>
      <c r="AB1201" s="30"/>
      <c r="AC1201" s="30"/>
      <c r="AD1201" s="30"/>
      <c r="AE1201" s="30"/>
      <c r="AF1201" s="30"/>
      <c r="AG1201" s="30"/>
      <c r="AH1201" s="30"/>
      <c r="AI1201" s="30"/>
      <c r="AJ1201" s="30"/>
      <c r="AK1201" s="30"/>
      <c r="AL1201" s="30"/>
      <c r="AM1201" s="30"/>
      <c r="AN1201" s="30"/>
      <c r="AO1201" s="30"/>
      <c r="AP1201" s="30"/>
      <c r="AQ1201" s="30"/>
      <c r="AR1201" s="30"/>
      <c r="AS1201" s="30"/>
      <c r="AT1201" s="30"/>
      <c r="AU1201" s="30"/>
      <c r="AV1201" s="30"/>
      <c r="AW1201" s="30"/>
      <c r="AX1201" s="30"/>
    </row>
    <row r="1202" spans="4:50" s="23" customFormat="1" x14ac:dyDescent="0.3">
      <c r="D1202" s="34"/>
      <c r="E1202" s="24"/>
      <c r="F1202" s="24"/>
      <c r="G1202" s="24"/>
      <c r="H1202" s="24"/>
      <c r="I1202" s="24"/>
      <c r="J1202" s="27"/>
      <c r="K1202" s="30"/>
      <c r="L1202" s="30"/>
      <c r="M1202" s="30"/>
      <c r="N1202" s="30"/>
      <c r="O1202" s="30"/>
      <c r="P1202" s="30"/>
      <c r="Q1202" s="30"/>
      <c r="R1202" s="30"/>
      <c r="S1202" s="30"/>
      <c r="T1202" s="30"/>
      <c r="U1202" s="30"/>
      <c r="V1202" s="30"/>
      <c r="W1202" s="30"/>
      <c r="X1202" s="30"/>
      <c r="Y1202" s="30"/>
      <c r="Z1202" s="30"/>
      <c r="AA1202" s="30"/>
      <c r="AB1202" s="30"/>
      <c r="AC1202" s="30"/>
      <c r="AD1202" s="30"/>
      <c r="AE1202" s="30"/>
      <c r="AF1202" s="30"/>
      <c r="AG1202" s="30"/>
      <c r="AH1202" s="30"/>
      <c r="AI1202" s="30"/>
      <c r="AJ1202" s="30"/>
      <c r="AK1202" s="30"/>
      <c r="AL1202" s="30"/>
      <c r="AM1202" s="30"/>
      <c r="AN1202" s="30"/>
      <c r="AO1202" s="30"/>
      <c r="AP1202" s="30"/>
      <c r="AQ1202" s="30"/>
      <c r="AR1202" s="30"/>
      <c r="AS1202" s="30"/>
      <c r="AT1202" s="30"/>
      <c r="AU1202" s="30"/>
      <c r="AV1202" s="30"/>
      <c r="AW1202" s="30"/>
      <c r="AX1202" s="30"/>
    </row>
    <row r="1203" spans="4:50" s="23" customFormat="1" x14ac:dyDescent="0.3">
      <c r="D1203" s="34"/>
      <c r="E1203" s="24"/>
      <c r="F1203" s="24"/>
      <c r="G1203" s="24"/>
      <c r="H1203" s="24"/>
      <c r="I1203" s="24"/>
      <c r="J1203" s="27"/>
      <c r="K1203" s="30"/>
      <c r="L1203" s="30"/>
      <c r="M1203" s="30"/>
      <c r="N1203" s="30"/>
      <c r="O1203" s="30"/>
      <c r="P1203" s="30"/>
      <c r="Q1203" s="30"/>
      <c r="R1203" s="30"/>
      <c r="S1203" s="30"/>
      <c r="T1203" s="30"/>
      <c r="U1203" s="30"/>
      <c r="V1203" s="30"/>
      <c r="W1203" s="30"/>
      <c r="X1203" s="30"/>
      <c r="Y1203" s="30"/>
      <c r="Z1203" s="30"/>
      <c r="AA1203" s="30"/>
      <c r="AB1203" s="30"/>
      <c r="AC1203" s="30"/>
      <c r="AD1203" s="30"/>
      <c r="AE1203" s="30"/>
      <c r="AF1203" s="30"/>
      <c r="AG1203" s="30"/>
      <c r="AH1203" s="30"/>
      <c r="AI1203" s="30"/>
      <c r="AJ1203" s="30"/>
      <c r="AK1203" s="30"/>
      <c r="AL1203" s="30"/>
      <c r="AM1203" s="30"/>
      <c r="AN1203" s="30"/>
      <c r="AO1203" s="30"/>
      <c r="AP1203" s="30"/>
      <c r="AQ1203" s="30"/>
      <c r="AR1203" s="30"/>
      <c r="AS1203" s="30"/>
      <c r="AT1203" s="30"/>
      <c r="AU1203" s="30"/>
      <c r="AV1203" s="30"/>
      <c r="AW1203" s="30"/>
      <c r="AX1203" s="30"/>
    </row>
    <row r="1204" spans="4:50" s="23" customFormat="1" x14ac:dyDescent="0.3">
      <c r="D1204" s="34"/>
      <c r="E1204" s="24"/>
      <c r="F1204" s="24"/>
      <c r="G1204" s="24"/>
      <c r="H1204" s="24"/>
      <c r="I1204" s="24"/>
      <c r="J1204" s="27"/>
      <c r="K1204" s="30"/>
      <c r="L1204" s="30"/>
      <c r="M1204" s="30"/>
      <c r="N1204" s="30"/>
      <c r="O1204" s="30"/>
      <c r="P1204" s="30"/>
      <c r="Q1204" s="30"/>
      <c r="R1204" s="30"/>
      <c r="S1204" s="30"/>
      <c r="T1204" s="30"/>
      <c r="U1204" s="30"/>
      <c r="V1204" s="30"/>
      <c r="W1204" s="30"/>
      <c r="X1204" s="30"/>
      <c r="Y1204" s="30"/>
      <c r="Z1204" s="30"/>
      <c r="AA1204" s="30"/>
      <c r="AB1204" s="30"/>
      <c r="AC1204" s="30"/>
      <c r="AD1204" s="30"/>
      <c r="AE1204" s="30"/>
      <c r="AF1204" s="30"/>
      <c r="AG1204" s="30"/>
      <c r="AH1204" s="30"/>
      <c r="AI1204" s="30"/>
      <c r="AJ1204" s="30"/>
      <c r="AK1204" s="30"/>
      <c r="AL1204" s="30"/>
      <c r="AM1204" s="30"/>
      <c r="AN1204" s="30"/>
      <c r="AO1204" s="30"/>
      <c r="AP1204" s="30"/>
      <c r="AQ1204" s="30"/>
      <c r="AR1204" s="30"/>
      <c r="AS1204" s="30"/>
      <c r="AT1204" s="30"/>
      <c r="AU1204" s="30"/>
      <c r="AV1204" s="30"/>
      <c r="AW1204" s="30"/>
      <c r="AX1204" s="30"/>
    </row>
    <row r="1205" spans="4:50" s="23" customFormat="1" x14ac:dyDescent="0.3">
      <c r="D1205" s="34"/>
      <c r="E1205" s="24"/>
      <c r="F1205" s="24"/>
      <c r="G1205" s="24"/>
      <c r="H1205" s="24"/>
      <c r="I1205" s="24"/>
      <c r="J1205" s="27"/>
      <c r="K1205" s="30"/>
      <c r="L1205" s="30"/>
      <c r="M1205" s="30"/>
      <c r="N1205" s="30"/>
      <c r="O1205" s="30"/>
      <c r="P1205" s="30"/>
      <c r="Q1205" s="30"/>
      <c r="R1205" s="30"/>
      <c r="S1205" s="30"/>
      <c r="T1205" s="30"/>
      <c r="U1205" s="30"/>
      <c r="V1205" s="30"/>
      <c r="W1205" s="30"/>
      <c r="X1205" s="30"/>
      <c r="Y1205" s="30"/>
      <c r="Z1205" s="30"/>
      <c r="AA1205" s="30"/>
      <c r="AB1205" s="30"/>
      <c r="AC1205" s="30"/>
      <c r="AD1205" s="30"/>
      <c r="AE1205" s="30"/>
      <c r="AF1205" s="30"/>
      <c r="AG1205" s="30"/>
      <c r="AH1205" s="30"/>
      <c r="AI1205" s="30"/>
      <c r="AJ1205" s="30"/>
      <c r="AK1205" s="30"/>
      <c r="AL1205" s="30"/>
      <c r="AM1205" s="30"/>
      <c r="AN1205" s="30"/>
      <c r="AO1205" s="30"/>
      <c r="AP1205" s="30"/>
      <c r="AQ1205" s="30"/>
      <c r="AR1205" s="30"/>
      <c r="AS1205" s="30"/>
      <c r="AT1205" s="30"/>
      <c r="AU1205" s="30"/>
      <c r="AV1205" s="30"/>
      <c r="AW1205" s="30"/>
      <c r="AX1205" s="30"/>
    </row>
    <row r="1206" spans="4:50" s="23" customFormat="1" x14ac:dyDescent="0.3">
      <c r="D1206" s="34"/>
      <c r="E1206" s="24"/>
      <c r="F1206" s="24"/>
      <c r="G1206" s="24"/>
      <c r="H1206" s="24"/>
      <c r="I1206" s="24"/>
      <c r="J1206" s="27"/>
      <c r="K1206" s="30"/>
      <c r="L1206" s="30"/>
      <c r="M1206" s="30"/>
      <c r="N1206" s="30"/>
      <c r="O1206" s="30"/>
      <c r="P1206" s="30"/>
      <c r="Q1206" s="30"/>
      <c r="R1206" s="30"/>
      <c r="S1206" s="30"/>
      <c r="T1206" s="30"/>
      <c r="U1206" s="30"/>
      <c r="V1206" s="30"/>
      <c r="W1206" s="30"/>
      <c r="X1206" s="30"/>
      <c r="Y1206" s="30"/>
      <c r="Z1206" s="30"/>
      <c r="AA1206" s="30"/>
      <c r="AB1206" s="30"/>
      <c r="AC1206" s="30"/>
      <c r="AD1206" s="30"/>
      <c r="AE1206" s="30"/>
      <c r="AF1206" s="30"/>
      <c r="AG1206" s="30"/>
      <c r="AH1206" s="30"/>
      <c r="AI1206" s="30"/>
      <c r="AJ1206" s="30"/>
      <c r="AK1206" s="30"/>
      <c r="AL1206" s="30"/>
      <c r="AM1206" s="30"/>
      <c r="AN1206" s="30"/>
      <c r="AO1206" s="30"/>
      <c r="AP1206" s="30"/>
      <c r="AQ1206" s="30"/>
      <c r="AR1206" s="30"/>
      <c r="AS1206" s="30"/>
      <c r="AT1206" s="30"/>
      <c r="AU1206" s="30"/>
      <c r="AV1206" s="30"/>
      <c r="AW1206" s="30"/>
      <c r="AX1206" s="30"/>
    </row>
    <row r="1207" spans="4:50" s="23" customFormat="1" x14ac:dyDescent="0.3">
      <c r="D1207" s="34"/>
      <c r="E1207" s="24"/>
      <c r="F1207" s="24"/>
      <c r="G1207" s="24"/>
      <c r="H1207" s="24"/>
      <c r="I1207" s="24"/>
      <c r="J1207" s="27"/>
      <c r="K1207" s="30"/>
      <c r="L1207" s="30"/>
      <c r="M1207" s="30"/>
      <c r="N1207" s="30"/>
      <c r="O1207" s="30"/>
      <c r="P1207" s="30"/>
      <c r="Q1207" s="30"/>
      <c r="R1207" s="30"/>
      <c r="S1207" s="30"/>
      <c r="T1207" s="30"/>
      <c r="U1207" s="30"/>
      <c r="V1207" s="30"/>
      <c r="W1207" s="30"/>
      <c r="X1207" s="30"/>
      <c r="Y1207" s="30"/>
      <c r="Z1207" s="30"/>
      <c r="AA1207" s="30"/>
      <c r="AB1207" s="30"/>
      <c r="AC1207" s="30"/>
      <c r="AD1207" s="30"/>
      <c r="AE1207" s="30"/>
      <c r="AF1207" s="30"/>
      <c r="AG1207" s="30"/>
      <c r="AH1207" s="30"/>
      <c r="AI1207" s="30"/>
      <c r="AJ1207" s="30"/>
      <c r="AK1207" s="30"/>
      <c r="AL1207" s="30"/>
      <c r="AM1207" s="30"/>
      <c r="AN1207" s="30"/>
      <c r="AO1207" s="30"/>
      <c r="AP1207" s="30"/>
      <c r="AQ1207" s="30"/>
      <c r="AR1207" s="30"/>
      <c r="AS1207" s="30"/>
      <c r="AT1207" s="30"/>
      <c r="AU1207" s="30"/>
      <c r="AV1207" s="30"/>
      <c r="AW1207" s="30"/>
      <c r="AX1207" s="30"/>
    </row>
    <row r="1208" spans="4:50" s="23" customFormat="1" x14ac:dyDescent="0.3">
      <c r="D1208" s="34"/>
      <c r="E1208" s="24"/>
      <c r="F1208" s="24"/>
      <c r="G1208" s="24"/>
      <c r="H1208" s="24"/>
      <c r="I1208" s="24"/>
      <c r="J1208" s="27"/>
      <c r="K1208" s="30"/>
      <c r="L1208" s="30"/>
      <c r="M1208" s="30"/>
      <c r="N1208" s="30"/>
      <c r="O1208" s="30"/>
      <c r="P1208" s="30"/>
      <c r="Q1208" s="30"/>
      <c r="R1208" s="30"/>
      <c r="S1208" s="30"/>
      <c r="T1208" s="30"/>
      <c r="U1208" s="30"/>
      <c r="V1208" s="30"/>
      <c r="W1208" s="30"/>
      <c r="X1208" s="30"/>
      <c r="Y1208" s="30"/>
      <c r="Z1208" s="30"/>
      <c r="AA1208" s="30"/>
      <c r="AB1208" s="30"/>
      <c r="AC1208" s="30"/>
      <c r="AD1208" s="30"/>
      <c r="AE1208" s="30"/>
      <c r="AF1208" s="30"/>
      <c r="AG1208" s="30"/>
      <c r="AH1208" s="30"/>
      <c r="AI1208" s="30"/>
      <c r="AJ1208" s="30"/>
      <c r="AK1208" s="30"/>
      <c r="AL1208" s="30"/>
      <c r="AM1208" s="30"/>
      <c r="AN1208" s="30"/>
      <c r="AO1208" s="30"/>
      <c r="AP1208" s="30"/>
      <c r="AQ1208" s="30"/>
      <c r="AR1208" s="30"/>
      <c r="AS1208" s="30"/>
      <c r="AT1208" s="30"/>
      <c r="AU1208" s="30"/>
      <c r="AV1208" s="30"/>
      <c r="AW1208" s="30"/>
      <c r="AX1208" s="30"/>
    </row>
    <row r="1209" spans="4:50" s="23" customFormat="1" x14ac:dyDescent="0.3">
      <c r="D1209" s="34"/>
      <c r="E1209" s="24"/>
      <c r="F1209" s="24"/>
      <c r="G1209" s="24"/>
      <c r="H1209" s="24"/>
      <c r="I1209" s="24"/>
      <c r="J1209" s="27"/>
      <c r="K1209" s="30"/>
      <c r="L1209" s="30"/>
      <c r="M1209" s="30"/>
      <c r="N1209" s="30"/>
      <c r="O1209" s="30"/>
      <c r="P1209" s="30"/>
      <c r="Q1209" s="30"/>
      <c r="R1209" s="30"/>
      <c r="S1209" s="30"/>
      <c r="T1209" s="30"/>
      <c r="U1209" s="30"/>
      <c r="V1209" s="30"/>
      <c r="W1209" s="30"/>
      <c r="X1209" s="30"/>
      <c r="Y1209" s="30"/>
      <c r="Z1209" s="30"/>
      <c r="AA1209" s="30"/>
      <c r="AB1209" s="30"/>
      <c r="AC1209" s="30"/>
      <c r="AD1209" s="30"/>
      <c r="AE1209" s="30"/>
      <c r="AF1209" s="30"/>
      <c r="AG1209" s="30"/>
      <c r="AH1209" s="30"/>
      <c r="AI1209" s="30"/>
      <c r="AJ1209" s="30"/>
      <c r="AK1209" s="30"/>
      <c r="AL1209" s="30"/>
      <c r="AM1209" s="30"/>
      <c r="AN1209" s="30"/>
      <c r="AO1209" s="30"/>
      <c r="AP1209" s="30"/>
      <c r="AQ1209" s="30"/>
      <c r="AR1209" s="30"/>
      <c r="AS1209" s="30"/>
      <c r="AT1209" s="30"/>
      <c r="AU1209" s="30"/>
      <c r="AV1209" s="30"/>
      <c r="AW1209" s="30"/>
      <c r="AX1209" s="30"/>
    </row>
    <row r="1210" spans="4:50" s="23" customFormat="1" x14ac:dyDescent="0.3">
      <c r="D1210" s="34"/>
      <c r="E1210" s="24"/>
      <c r="F1210" s="24"/>
      <c r="G1210" s="24"/>
      <c r="H1210" s="24"/>
      <c r="I1210" s="24"/>
      <c r="J1210" s="27"/>
      <c r="K1210" s="30"/>
      <c r="L1210" s="30"/>
      <c r="M1210" s="30"/>
      <c r="N1210" s="30"/>
      <c r="O1210" s="30"/>
      <c r="P1210" s="30"/>
      <c r="Q1210" s="30"/>
      <c r="R1210" s="30"/>
      <c r="S1210" s="30"/>
      <c r="T1210" s="30"/>
      <c r="U1210" s="30"/>
      <c r="V1210" s="30"/>
      <c r="W1210" s="30"/>
      <c r="X1210" s="30"/>
      <c r="Y1210" s="30"/>
      <c r="Z1210" s="30"/>
      <c r="AA1210" s="30"/>
      <c r="AB1210" s="30"/>
      <c r="AC1210" s="30"/>
      <c r="AD1210" s="30"/>
      <c r="AE1210" s="30"/>
      <c r="AF1210" s="30"/>
      <c r="AG1210" s="30"/>
      <c r="AH1210" s="30"/>
      <c r="AI1210" s="30"/>
      <c r="AJ1210" s="30"/>
      <c r="AK1210" s="30"/>
      <c r="AL1210" s="30"/>
      <c r="AM1210" s="30"/>
      <c r="AN1210" s="30"/>
      <c r="AO1210" s="30"/>
      <c r="AP1210" s="30"/>
      <c r="AQ1210" s="30"/>
      <c r="AR1210" s="30"/>
      <c r="AS1210" s="30"/>
      <c r="AT1210" s="30"/>
      <c r="AU1210" s="30"/>
      <c r="AV1210" s="30"/>
      <c r="AW1210" s="30"/>
      <c r="AX1210" s="30"/>
    </row>
    <row r="1211" spans="4:50" s="23" customFormat="1" x14ac:dyDescent="0.3">
      <c r="D1211" s="34"/>
      <c r="E1211" s="24"/>
      <c r="F1211" s="24"/>
      <c r="G1211" s="24"/>
      <c r="H1211" s="24"/>
      <c r="I1211" s="24"/>
      <c r="J1211" s="27"/>
      <c r="K1211" s="30"/>
      <c r="L1211" s="30"/>
      <c r="M1211" s="30"/>
      <c r="N1211" s="30"/>
      <c r="O1211" s="30"/>
      <c r="P1211" s="30"/>
      <c r="Q1211" s="30"/>
      <c r="R1211" s="30"/>
      <c r="S1211" s="30"/>
      <c r="T1211" s="30"/>
      <c r="U1211" s="30"/>
      <c r="V1211" s="30"/>
      <c r="W1211" s="30"/>
      <c r="X1211" s="30"/>
      <c r="Y1211" s="30"/>
      <c r="Z1211" s="30"/>
      <c r="AA1211" s="30"/>
      <c r="AB1211" s="30"/>
      <c r="AC1211" s="30"/>
      <c r="AD1211" s="30"/>
      <c r="AE1211" s="30"/>
      <c r="AF1211" s="30"/>
      <c r="AG1211" s="30"/>
      <c r="AH1211" s="30"/>
      <c r="AI1211" s="30"/>
      <c r="AJ1211" s="30"/>
      <c r="AK1211" s="30"/>
      <c r="AL1211" s="30"/>
      <c r="AM1211" s="30"/>
      <c r="AN1211" s="30"/>
      <c r="AO1211" s="30"/>
      <c r="AP1211" s="30"/>
      <c r="AQ1211" s="30"/>
      <c r="AR1211" s="30"/>
      <c r="AS1211" s="30"/>
      <c r="AT1211" s="30"/>
      <c r="AU1211" s="30"/>
      <c r="AV1211" s="30"/>
      <c r="AW1211" s="30"/>
      <c r="AX1211" s="30"/>
    </row>
    <row r="1212" spans="4:50" s="23" customFormat="1" x14ac:dyDescent="0.3">
      <c r="D1212" s="34"/>
      <c r="E1212" s="24"/>
      <c r="F1212" s="24"/>
      <c r="G1212" s="24"/>
      <c r="H1212" s="24"/>
      <c r="I1212" s="24"/>
      <c r="J1212" s="27"/>
      <c r="K1212" s="30"/>
      <c r="L1212" s="30"/>
      <c r="M1212" s="30"/>
      <c r="N1212" s="30"/>
      <c r="O1212" s="30"/>
      <c r="P1212" s="30"/>
      <c r="Q1212" s="30"/>
      <c r="R1212" s="30"/>
      <c r="S1212" s="30"/>
      <c r="T1212" s="30"/>
      <c r="U1212" s="30"/>
      <c r="V1212" s="30"/>
      <c r="W1212" s="30"/>
      <c r="X1212" s="30"/>
      <c r="Y1212" s="30"/>
      <c r="Z1212" s="30"/>
      <c r="AA1212" s="30"/>
      <c r="AB1212" s="30"/>
      <c r="AC1212" s="30"/>
      <c r="AD1212" s="30"/>
      <c r="AE1212" s="30"/>
      <c r="AF1212" s="30"/>
      <c r="AG1212" s="30"/>
      <c r="AH1212" s="30"/>
      <c r="AI1212" s="30"/>
      <c r="AJ1212" s="30"/>
      <c r="AK1212" s="30"/>
      <c r="AL1212" s="30"/>
      <c r="AM1212" s="30"/>
      <c r="AN1212" s="30"/>
      <c r="AO1212" s="30"/>
      <c r="AP1212" s="30"/>
      <c r="AQ1212" s="30"/>
      <c r="AR1212" s="30"/>
      <c r="AS1212" s="30"/>
      <c r="AT1212" s="30"/>
      <c r="AU1212" s="30"/>
      <c r="AV1212" s="30"/>
      <c r="AW1212" s="30"/>
      <c r="AX1212" s="30"/>
    </row>
    <row r="1213" spans="4:50" s="23" customFormat="1" x14ac:dyDescent="0.3">
      <c r="D1213" s="34"/>
      <c r="E1213" s="24"/>
      <c r="F1213" s="24"/>
      <c r="G1213" s="24"/>
      <c r="H1213" s="24"/>
      <c r="I1213" s="24"/>
      <c r="J1213" s="27"/>
      <c r="K1213" s="30"/>
      <c r="L1213" s="30"/>
      <c r="M1213" s="30"/>
      <c r="N1213" s="30"/>
      <c r="O1213" s="30"/>
      <c r="P1213" s="30"/>
      <c r="Q1213" s="30"/>
      <c r="R1213" s="30"/>
      <c r="S1213" s="30"/>
      <c r="T1213" s="30"/>
      <c r="U1213" s="30"/>
      <c r="V1213" s="30"/>
      <c r="W1213" s="30"/>
      <c r="X1213" s="30"/>
      <c r="Y1213" s="30"/>
      <c r="Z1213" s="30"/>
      <c r="AA1213" s="30"/>
      <c r="AB1213" s="30"/>
      <c r="AC1213" s="30"/>
      <c r="AD1213" s="30"/>
      <c r="AE1213" s="30"/>
      <c r="AF1213" s="30"/>
      <c r="AG1213" s="30"/>
      <c r="AH1213" s="30"/>
      <c r="AI1213" s="30"/>
      <c r="AJ1213" s="30"/>
      <c r="AK1213" s="30"/>
      <c r="AL1213" s="30"/>
      <c r="AM1213" s="30"/>
      <c r="AN1213" s="30"/>
      <c r="AO1213" s="30"/>
      <c r="AP1213" s="30"/>
      <c r="AQ1213" s="30"/>
      <c r="AR1213" s="30"/>
      <c r="AS1213" s="30"/>
      <c r="AT1213" s="30"/>
      <c r="AU1213" s="30"/>
      <c r="AV1213" s="30"/>
      <c r="AW1213" s="30"/>
      <c r="AX1213" s="30"/>
    </row>
    <row r="1214" spans="4:50" s="23" customFormat="1" x14ac:dyDescent="0.3">
      <c r="D1214" s="34"/>
      <c r="E1214" s="24"/>
      <c r="F1214" s="24"/>
      <c r="G1214" s="24"/>
      <c r="H1214" s="24"/>
      <c r="I1214" s="24"/>
      <c r="J1214" s="27"/>
      <c r="K1214" s="30"/>
      <c r="L1214" s="30"/>
      <c r="M1214" s="30"/>
      <c r="N1214" s="30"/>
      <c r="O1214" s="30"/>
      <c r="P1214" s="30"/>
      <c r="Q1214" s="30"/>
      <c r="R1214" s="30"/>
      <c r="S1214" s="30"/>
      <c r="T1214" s="30"/>
      <c r="U1214" s="30"/>
      <c r="V1214" s="30"/>
      <c r="W1214" s="30"/>
      <c r="X1214" s="30"/>
      <c r="Y1214" s="30"/>
      <c r="Z1214" s="30"/>
      <c r="AA1214" s="30"/>
      <c r="AB1214" s="30"/>
      <c r="AC1214" s="30"/>
      <c r="AD1214" s="30"/>
      <c r="AE1214" s="30"/>
      <c r="AF1214" s="30"/>
      <c r="AG1214" s="30"/>
      <c r="AH1214" s="30"/>
      <c r="AI1214" s="30"/>
      <c r="AJ1214" s="30"/>
      <c r="AK1214" s="30"/>
      <c r="AL1214" s="30"/>
      <c r="AM1214" s="30"/>
      <c r="AN1214" s="30"/>
      <c r="AO1214" s="30"/>
      <c r="AP1214" s="30"/>
      <c r="AQ1214" s="30"/>
      <c r="AR1214" s="30"/>
      <c r="AS1214" s="30"/>
      <c r="AT1214" s="30"/>
      <c r="AU1214" s="30"/>
      <c r="AV1214" s="30"/>
      <c r="AW1214" s="30"/>
      <c r="AX1214" s="30"/>
    </row>
    <row r="1215" spans="4:50" s="23" customFormat="1" x14ac:dyDescent="0.3">
      <c r="D1215" s="34"/>
      <c r="E1215" s="24"/>
      <c r="F1215" s="24"/>
      <c r="G1215" s="24"/>
      <c r="H1215" s="24"/>
      <c r="I1215" s="24"/>
      <c r="J1215" s="27"/>
      <c r="K1215" s="30"/>
      <c r="L1215" s="30"/>
      <c r="M1215" s="30"/>
      <c r="N1215" s="30"/>
      <c r="O1215" s="30"/>
      <c r="P1215" s="30"/>
      <c r="Q1215" s="30"/>
      <c r="R1215" s="30"/>
      <c r="S1215" s="30"/>
      <c r="T1215" s="30"/>
      <c r="U1215" s="30"/>
      <c r="V1215" s="30"/>
      <c r="W1215" s="30"/>
      <c r="X1215" s="30"/>
      <c r="Y1215" s="30"/>
      <c r="Z1215" s="30"/>
      <c r="AA1215" s="30"/>
      <c r="AB1215" s="30"/>
      <c r="AC1215" s="30"/>
      <c r="AD1215" s="30"/>
      <c r="AE1215" s="30"/>
      <c r="AF1215" s="30"/>
      <c r="AG1215" s="30"/>
      <c r="AH1215" s="30"/>
      <c r="AI1215" s="30"/>
      <c r="AJ1215" s="30"/>
      <c r="AK1215" s="30"/>
      <c r="AL1215" s="30"/>
      <c r="AM1215" s="30"/>
      <c r="AN1215" s="30"/>
      <c r="AO1215" s="30"/>
      <c r="AP1215" s="30"/>
      <c r="AQ1215" s="30"/>
      <c r="AR1215" s="30"/>
      <c r="AS1215" s="30"/>
      <c r="AT1215" s="30"/>
      <c r="AU1215" s="30"/>
      <c r="AV1215" s="30"/>
      <c r="AW1215" s="30"/>
      <c r="AX1215" s="30"/>
    </row>
    <row r="1216" spans="4:50" s="23" customFormat="1" x14ac:dyDescent="0.3">
      <c r="D1216" s="34"/>
      <c r="E1216" s="24"/>
      <c r="F1216" s="24"/>
      <c r="G1216" s="24"/>
      <c r="H1216" s="24"/>
      <c r="I1216" s="24"/>
      <c r="J1216" s="27"/>
      <c r="K1216" s="30"/>
      <c r="L1216" s="30"/>
      <c r="M1216" s="30"/>
      <c r="N1216" s="30"/>
      <c r="O1216" s="30"/>
      <c r="P1216" s="30"/>
      <c r="Q1216" s="30"/>
      <c r="R1216" s="30"/>
      <c r="S1216" s="30"/>
      <c r="T1216" s="30"/>
      <c r="U1216" s="30"/>
      <c r="V1216" s="30"/>
      <c r="W1216" s="30"/>
      <c r="X1216" s="30"/>
      <c r="Y1216" s="30"/>
      <c r="Z1216" s="30"/>
      <c r="AA1216" s="30"/>
      <c r="AB1216" s="30"/>
      <c r="AC1216" s="30"/>
      <c r="AD1216" s="30"/>
      <c r="AE1216" s="30"/>
      <c r="AF1216" s="30"/>
      <c r="AG1216" s="30"/>
      <c r="AH1216" s="30"/>
      <c r="AI1216" s="30"/>
      <c r="AJ1216" s="30"/>
      <c r="AK1216" s="30"/>
      <c r="AL1216" s="30"/>
      <c r="AM1216" s="30"/>
      <c r="AN1216" s="30"/>
      <c r="AO1216" s="30"/>
      <c r="AP1216" s="30"/>
      <c r="AQ1216" s="30"/>
      <c r="AR1216" s="30"/>
      <c r="AS1216" s="30"/>
      <c r="AT1216" s="30"/>
      <c r="AU1216" s="30"/>
      <c r="AV1216" s="30"/>
      <c r="AW1216" s="30"/>
      <c r="AX1216" s="30"/>
    </row>
    <row r="1217" spans="4:50" s="23" customFormat="1" x14ac:dyDescent="0.3">
      <c r="D1217" s="34"/>
      <c r="E1217" s="24"/>
      <c r="F1217" s="24"/>
      <c r="G1217" s="24"/>
      <c r="H1217" s="24"/>
      <c r="I1217" s="24"/>
      <c r="J1217" s="27"/>
      <c r="K1217" s="30"/>
      <c r="L1217" s="30"/>
      <c r="M1217" s="30"/>
      <c r="N1217" s="30"/>
      <c r="O1217" s="30"/>
      <c r="P1217" s="30"/>
      <c r="Q1217" s="30"/>
      <c r="R1217" s="30"/>
      <c r="S1217" s="30"/>
      <c r="T1217" s="30"/>
      <c r="U1217" s="30"/>
      <c r="V1217" s="30"/>
      <c r="W1217" s="30"/>
      <c r="X1217" s="30"/>
      <c r="Y1217" s="30"/>
      <c r="Z1217" s="30"/>
      <c r="AA1217" s="30"/>
      <c r="AB1217" s="30"/>
      <c r="AC1217" s="30"/>
      <c r="AD1217" s="30"/>
      <c r="AE1217" s="30"/>
      <c r="AF1217" s="30"/>
      <c r="AG1217" s="30"/>
      <c r="AH1217" s="30"/>
      <c r="AI1217" s="30"/>
      <c r="AJ1217" s="30"/>
      <c r="AK1217" s="30"/>
      <c r="AL1217" s="30"/>
      <c r="AM1217" s="30"/>
      <c r="AN1217" s="30"/>
      <c r="AO1217" s="30"/>
      <c r="AP1217" s="30"/>
      <c r="AQ1217" s="30"/>
      <c r="AR1217" s="30"/>
      <c r="AS1217" s="30"/>
      <c r="AT1217" s="30"/>
      <c r="AU1217" s="30"/>
      <c r="AV1217" s="30"/>
      <c r="AW1217" s="30"/>
      <c r="AX1217" s="30"/>
    </row>
    <row r="1218" spans="4:50" s="23" customFormat="1" x14ac:dyDescent="0.3">
      <c r="D1218" s="34"/>
      <c r="E1218" s="24"/>
      <c r="F1218" s="24"/>
      <c r="G1218" s="24"/>
      <c r="H1218" s="24"/>
      <c r="I1218" s="24"/>
      <c r="J1218" s="27"/>
      <c r="K1218" s="30"/>
      <c r="L1218" s="30"/>
      <c r="M1218" s="30"/>
      <c r="N1218" s="30"/>
      <c r="O1218" s="30"/>
      <c r="P1218" s="30"/>
      <c r="Q1218" s="30"/>
      <c r="R1218" s="30"/>
      <c r="S1218" s="30"/>
      <c r="T1218" s="30"/>
      <c r="U1218" s="30"/>
      <c r="V1218" s="30"/>
      <c r="W1218" s="30"/>
      <c r="X1218" s="30"/>
      <c r="Y1218" s="30"/>
      <c r="Z1218" s="30"/>
      <c r="AA1218" s="30"/>
      <c r="AB1218" s="30"/>
      <c r="AC1218" s="30"/>
      <c r="AD1218" s="30"/>
      <c r="AE1218" s="30"/>
      <c r="AF1218" s="30"/>
      <c r="AG1218" s="30"/>
      <c r="AH1218" s="30"/>
      <c r="AI1218" s="30"/>
      <c r="AJ1218" s="30"/>
      <c r="AK1218" s="30"/>
      <c r="AL1218" s="30"/>
      <c r="AM1218" s="30"/>
      <c r="AN1218" s="30"/>
      <c r="AO1218" s="30"/>
      <c r="AP1218" s="30"/>
      <c r="AQ1218" s="30"/>
      <c r="AR1218" s="30"/>
      <c r="AS1218" s="30"/>
      <c r="AT1218" s="30"/>
      <c r="AU1218" s="30"/>
      <c r="AV1218" s="30"/>
      <c r="AW1218" s="30"/>
      <c r="AX1218" s="30"/>
    </row>
    <row r="1219" spans="4:50" s="23" customFormat="1" x14ac:dyDescent="0.3">
      <c r="D1219" s="34"/>
      <c r="E1219" s="24"/>
      <c r="F1219" s="24"/>
      <c r="G1219" s="24"/>
      <c r="H1219" s="24"/>
      <c r="I1219" s="24"/>
      <c r="J1219" s="27"/>
      <c r="K1219" s="30"/>
      <c r="L1219" s="30"/>
      <c r="M1219" s="30"/>
      <c r="N1219" s="30"/>
      <c r="O1219" s="30"/>
      <c r="P1219" s="30"/>
      <c r="Q1219" s="30"/>
      <c r="R1219" s="30"/>
      <c r="S1219" s="30"/>
      <c r="T1219" s="30"/>
      <c r="U1219" s="30"/>
      <c r="V1219" s="30"/>
      <c r="W1219" s="30"/>
      <c r="X1219" s="30"/>
      <c r="Y1219" s="30"/>
      <c r="Z1219" s="30"/>
      <c r="AA1219" s="30"/>
      <c r="AB1219" s="30"/>
      <c r="AC1219" s="30"/>
      <c r="AD1219" s="30"/>
      <c r="AE1219" s="30"/>
      <c r="AF1219" s="30"/>
      <c r="AG1219" s="30"/>
      <c r="AH1219" s="30"/>
      <c r="AI1219" s="30"/>
      <c r="AJ1219" s="30"/>
      <c r="AK1219" s="30"/>
      <c r="AL1219" s="30"/>
      <c r="AM1219" s="30"/>
      <c r="AN1219" s="30"/>
      <c r="AO1219" s="30"/>
      <c r="AP1219" s="30"/>
      <c r="AQ1219" s="30"/>
      <c r="AR1219" s="30"/>
      <c r="AS1219" s="30"/>
      <c r="AT1219" s="30"/>
      <c r="AU1219" s="30"/>
      <c r="AV1219" s="30"/>
      <c r="AW1219" s="30"/>
      <c r="AX1219" s="30"/>
    </row>
    <row r="1220" spans="4:50" s="23" customFormat="1" x14ac:dyDescent="0.3">
      <c r="D1220" s="34"/>
      <c r="E1220" s="24"/>
      <c r="F1220" s="24"/>
      <c r="G1220" s="24"/>
      <c r="H1220" s="24"/>
      <c r="I1220" s="24"/>
      <c r="J1220" s="27"/>
      <c r="K1220" s="30"/>
      <c r="L1220" s="30"/>
      <c r="M1220" s="30"/>
      <c r="N1220" s="30"/>
      <c r="O1220" s="30"/>
      <c r="P1220" s="30"/>
      <c r="Q1220" s="30"/>
      <c r="R1220" s="30"/>
      <c r="S1220" s="30"/>
      <c r="T1220" s="30"/>
      <c r="U1220" s="30"/>
      <c r="V1220" s="30"/>
      <c r="W1220" s="30"/>
      <c r="X1220" s="30"/>
      <c r="Y1220" s="30"/>
      <c r="Z1220" s="30"/>
      <c r="AA1220" s="30"/>
      <c r="AB1220" s="30"/>
      <c r="AC1220" s="30"/>
      <c r="AD1220" s="30"/>
      <c r="AE1220" s="30"/>
      <c r="AF1220" s="30"/>
      <c r="AG1220" s="30"/>
      <c r="AH1220" s="30"/>
      <c r="AI1220" s="30"/>
      <c r="AJ1220" s="30"/>
      <c r="AK1220" s="30"/>
      <c r="AL1220" s="30"/>
      <c r="AM1220" s="30"/>
      <c r="AN1220" s="30"/>
      <c r="AO1220" s="30"/>
      <c r="AP1220" s="30"/>
      <c r="AQ1220" s="30"/>
      <c r="AR1220" s="30"/>
      <c r="AS1220" s="30"/>
      <c r="AT1220" s="30"/>
      <c r="AU1220" s="30"/>
      <c r="AV1220" s="30"/>
      <c r="AW1220" s="30"/>
      <c r="AX1220" s="30"/>
    </row>
    <row r="1221" spans="4:50" s="23" customFormat="1" x14ac:dyDescent="0.3">
      <c r="D1221" s="34"/>
      <c r="E1221" s="24"/>
      <c r="F1221" s="24"/>
      <c r="G1221" s="24"/>
      <c r="H1221" s="24"/>
      <c r="I1221" s="24"/>
      <c r="J1221" s="27"/>
      <c r="K1221" s="30"/>
      <c r="L1221" s="30"/>
      <c r="M1221" s="30"/>
      <c r="N1221" s="30"/>
      <c r="O1221" s="30"/>
      <c r="P1221" s="30"/>
      <c r="Q1221" s="30"/>
      <c r="R1221" s="30"/>
      <c r="S1221" s="30"/>
      <c r="T1221" s="30"/>
      <c r="U1221" s="30"/>
      <c r="V1221" s="30"/>
      <c r="W1221" s="30"/>
      <c r="X1221" s="30"/>
      <c r="Y1221" s="30"/>
      <c r="Z1221" s="30"/>
      <c r="AA1221" s="30"/>
      <c r="AB1221" s="30"/>
      <c r="AC1221" s="30"/>
      <c r="AD1221" s="30"/>
      <c r="AE1221" s="30"/>
      <c r="AF1221" s="30"/>
      <c r="AG1221" s="30"/>
      <c r="AH1221" s="30"/>
      <c r="AI1221" s="30"/>
      <c r="AJ1221" s="30"/>
      <c r="AK1221" s="30"/>
      <c r="AL1221" s="30"/>
      <c r="AM1221" s="30"/>
      <c r="AN1221" s="30"/>
      <c r="AO1221" s="30"/>
      <c r="AP1221" s="30"/>
      <c r="AQ1221" s="30"/>
      <c r="AR1221" s="30"/>
      <c r="AS1221" s="30"/>
      <c r="AT1221" s="30"/>
      <c r="AU1221" s="30"/>
      <c r="AV1221" s="30"/>
      <c r="AW1221" s="30"/>
      <c r="AX1221" s="30"/>
    </row>
    <row r="1222" spans="4:50" s="23" customFormat="1" x14ac:dyDescent="0.3">
      <c r="D1222" s="34"/>
      <c r="E1222" s="24"/>
      <c r="F1222" s="24"/>
      <c r="G1222" s="24"/>
      <c r="H1222" s="24"/>
      <c r="I1222" s="24"/>
      <c r="J1222" s="27"/>
      <c r="K1222" s="30"/>
      <c r="L1222" s="30"/>
      <c r="M1222" s="30"/>
      <c r="N1222" s="30"/>
      <c r="O1222" s="30"/>
      <c r="P1222" s="30"/>
      <c r="Q1222" s="30"/>
      <c r="R1222" s="30"/>
      <c r="S1222" s="30"/>
      <c r="T1222" s="30"/>
      <c r="U1222" s="30"/>
      <c r="V1222" s="30"/>
      <c r="W1222" s="30"/>
      <c r="X1222" s="30"/>
      <c r="Y1222" s="30"/>
      <c r="Z1222" s="30"/>
      <c r="AA1222" s="30"/>
      <c r="AB1222" s="30"/>
      <c r="AC1222" s="30"/>
      <c r="AD1222" s="30"/>
      <c r="AE1222" s="30"/>
      <c r="AF1222" s="30"/>
      <c r="AG1222" s="30"/>
      <c r="AH1222" s="30"/>
      <c r="AI1222" s="30"/>
      <c r="AJ1222" s="30"/>
      <c r="AK1222" s="30"/>
      <c r="AL1222" s="30"/>
      <c r="AM1222" s="30"/>
      <c r="AN1222" s="30"/>
      <c r="AO1222" s="30"/>
      <c r="AP1222" s="30"/>
      <c r="AQ1222" s="30"/>
      <c r="AR1222" s="30"/>
      <c r="AS1222" s="30"/>
      <c r="AT1222" s="30"/>
      <c r="AU1222" s="30"/>
      <c r="AV1222" s="30"/>
      <c r="AW1222" s="30"/>
      <c r="AX1222" s="30"/>
    </row>
    <row r="1223" spans="4:50" s="23" customFormat="1" x14ac:dyDescent="0.3">
      <c r="D1223" s="34"/>
      <c r="E1223" s="24"/>
      <c r="F1223" s="24"/>
      <c r="G1223" s="24"/>
      <c r="H1223" s="24"/>
      <c r="I1223" s="24"/>
      <c r="J1223" s="27"/>
      <c r="K1223" s="30"/>
      <c r="L1223" s="30"/>
      <c r="M1223" s="30"/>
      <c r="N1223" s="30"/>
      <c r="O1223" s="30"/>
      <c r="P1223" s="30"/>
      <c r="Q1223" s="30"/>
      <c r="R1223" s="30"/>
      <c r="S1223" s="30"/>
      <c r="T1223" s="30"/>
      <c r="U1223" s="30"/>
      <c r="V1223" s="30"/>
      <c r="W1223" s="30"/>
      <c r="X1223" s="30"/>
      <c r="Y1223" s="30"/>
      <c r="Z1223" s="30"/>
      <c r="AA1223" s="30"/>
      <c r="AB1223" s="30"/>
      <c r="AC1223" s="30"/>
      <c r="AD1223" s="30"/>
      <c r="AE1223" s="30"/>
      <c r="AF1223" s="30"/>
      <c r="AG1223" s="30"/>
      <c r="AH1223" s="30"/>
      <c r="AI1223" s="30"/>
      <c r="AJ1223" s="30"/>
      <c r="AK1223" s="30"/>
      <c r="AL1223" s="30"/>
      <c r="AM1223" s="30"/>
      <c r="AN1223" s="30"/>
      <c r="AO1223" s="30"/>
      <c r="AP1223" s="30"/>
      <c r="AQ1223" s="30"/>
      <c r="AR1223" s="30"/>
      <c r="AS1223" s="30"/>
      <c r="AT1223" s="30"/>
      <c r="AU1223" s="30"/>
      <c r="AV1223" s="30"/>
      <c r="AW1223" s="30"/>
      <c r="AX1223" s="30"/>
    </row>
    <row r="1224" spans="4:50" s="23" customFormat="1" x14ac:dyDescent="0.3">
      <c r="D1224" s="34"/>
      <c r="E1224" s="24"/>
      <c r="F1224" s="24"/>
      <c r="G1224" s="24"/>
      <c r="H1224" s="24"/>
      <c r="I1224" s="24"/>
      <c r="J1224" s="27"/>
      <c r="K1224" s="30"/>
      <c r="L1224" s="30"/>
      <c r="M1224" s="30"/>
      <c r="N1224" s="30"/>
      <c r="O1224" s="30"/>
      <c r="P1224" s="30"/>
      <c r="Q1224" s="30"/>
      <c r="R1224" s="30"/>
      <c r="S1224" s="30"/>
      <c r="T1224" s="30"/>
      <c r="U1224" s="30"/>
      <c r="V1224" s="30"/>
      <c r="W1224" s="30"/>
      <c r="X1224" s="30"/>
      <c r="Y1224" s="30"/>
      <c r="Z1224" s="30"/>
      <c r="AA1224" s="30"/>
      <c r="AB1224" s="30"/>
      <c r="AC1224" s="30"/>
      <c r="AD1224" s="30"/>
      <c r="AE1224" s="30"/>
      <c r="AF1224" s="30"/>
      <c r="AG1224" s="30"/>
      <c r="AH1224" s="30"/>
      <c r="AI1224" s="30"/>
      <c r="AJ1224" s="30"/>
      <c r="AK1224" s="30"/>
      <c r="AL1224" s="30"/>
      <c r="AM1224" s="30"/>
      <c r="AN1224" s="30"/>
      <c r="AO1224" s="30"/>
      <c r="AP1224" s="30"/>
      <c r="AQ1224" s="30"/>
      <c r="AR1224" s="30"/>
      <c r="AS1224" s="30"/>
      <c r="AT1224" s="30"/>
      <c r="AU1224" s="30"/>
      <c r="AV1224" s="30"/>
      <c r="AW1224" s="30"/>
      <c r="AX1224" s="30"/>
    </row>
    <row r="1225" spans="4:50" s="23" customFormat="1" x14ac:dyDescent="0.3">
      <c r="D1225" s="34"/>
      <c r="E1225" s="24"/>
      <c r="F1225" s="24"/>
      <c r="G1225" s="24"/>
      <c r="H1225" s="24"/>
      <c r="I1225" s="24"/>
      <c r="J1225" s="27"/>
      <c r="K1225" s="30"/>
      <c r="L1225" s="30"/>
      <c r="M1225" s="30"/>
      <c r="N1225" s="30"/>
      <c r="O1225" s="30"/>
      <c r="P1225" s="30"/>
      <c r="Q1225" s="30"/>
      <c r="R1225" s="30"/>
      <c r="S1225" s="30"/>
      <c r="T1225" s="30"/>
      <c r="U1225" s="30"/>
      <c r="V1225" s="30"/>
      <c r="W1225" s="30"/>
      <c r="X1225" s="30"/>
      <c r="Y1225" s="30"/>
      <c r="Z1225" s="30"/>
      <c r="AA1225" s="30"/>
      <c r="AB1225" s="30"/>
      <c r="AC1225" s="30"/>
      <c r="AD1225" s="30"/>
      <c r="AE1225" s="30"/>
      <c r="AF1225" s="30"/>
      <c r="AG1225" s="30"/>
      <c r="AH1225" s="30"/>
      <c r="AI1225" s="30"/>
      <c r="AJ1225" s="30"/>
      <c r="AK1225" s="30"/>
      <c r="AL1225" s="30"/>
      <c r="AM1225" s="30"/>
      <c r="AN1225" s="30"/>
      <c r="AO1225" s="30"/>
      <c r="AP1225" s="30"/>
      <c r="AQ1225" s="30"/>
      <c r="AR1225" s="30"/>
      <c r="AS1225" s="30"/>
      <c r="AT1225" s="30"/>
      <c r="AU1225" s="30"/>
      <c r="AV1225" s="30"/>
      <c r="AW1225" s="30"/>
      <c r="AX1225" s="30"/>
    </row>
    <row r="1226" spans="4:50" s="23" customFormat="1" x14ac:dyDescent="0.3">
      <c r="D1226" s="34"/>
      <c r="E1226" s="24"/>
      <c r="F1226" s="24"/>
      <c r="G1226" s="24"/>
      <c r="H1226" s="24"/>
      <c r="I1226" s="24"/>
      <c r="J1226" s="27"/>
      <c r="K1226" s="30"/>
      <c r="L1226" s="30"/>
      <c r="M1226" s="30"/>
      <c r="N1226" s="30"/>
      <c r="O1226" s="30"/>
      <c r="P1226" s="30"/>
      <c r="Q1226" s="30"/>
      <c r="R1226" s="30"/>
      <c r="S1226" s="30"/>
      <c r="T1226" s="30"/>
      <c r="U1226" s="30"/>
      <c r="V1226" s="30"/>
      <c r="W1226" s="30"/>
      <c r="X1226" s="30"/>
      <c r="Y1226" s="30"/>
      <c r="Z1226" s="30"/>
      <c r="AA1226" s="30"/>
      <c r="AB1226" s="30"/>
      <c r="AC1226" s="30"/>
      <c r="AD1226" s="30"/>
      <c r="AE1226" s="30"/>
      <c r="AF1226" s="30"/>
      <c r="AG1226" s="30"/>
      <c r="AH1226" s="30"/>
      <c r="AI1226" s="30"/>
      <c r="AJ1226" s="30"/>
      <c r="AK1226" s="30"/>
      <c r="AL1226" s="30"/>
      <c r="AM1226" s="30"/>
      <c r="AN1226" s="30"/>
      <c r="AO1226" s="30"/>
      <c r="AP1226" s="30"/>
      <c r="AQ1226" s="30"/>
      <c r="AR1226" s="30"/>
      <c r="AS1226" s="30"/>
      <c r="AT1226" s="30"/>
      <c r="AU1226" s="30"/>
      <c r="AV1226" s="30"/>
      <c r="AW1226" s="30"/>
      <c r="AX1226" s="30"/>
    </row>
    <row r="1227" spans="4:50" s="23" customFormat="1" x14ac:dyDescent="0.3">
      <c r="D1227" s="34"/>
      <c r="E1227" s="24"/>
      <c r="F1227" s="24"/>
      <c r="G1227" s="24"/>
      <c r="H1227" s="24"/>
      <c r="I1227" s="24"/>
      <c r="J1227" s="27"/>
      <c r="K1227" s="30"/>
      <c r="L1227" s="30"/>
      <c r="M1227" s="30"/>
      <c r="N1227" s="30"/>
      <c r="O1227" s="30"/>
      <c r="P1227" s="30"/>
      <c r="Q1227" s="30"/>
      <c r="R1227" s="30"/>
      <c r="S1227" s="30"/>
      <c r="T1227" s="30"/>
      <c r="U1227" s="30"/>
      <c r="V1227" s="30"/>
      <c r="W1227" s="30"/>
      <c r="X1227" s="30"/>
      <c r="Y1227" s="30"/>
      <c r="Z1227" s="30"/>
      <c r="AA1227" s="30"/>
      <c r="AB1227" s="30"/>
      <c r="AC1227" s="30"/>
      <c r="AD1227" s="30"/>
      <c r="AE1227" s="30"/>
      <c r="AF1227" s="30"/>
      <c r="AG1227" s="30"/>
      <c r="AH1227" s="30"/>
      <c r="AI1227" s="30"/>
      <c r="AJ1227" s="30"/>
      <c r="AK1227" s="30"/>
      <c r="AL1227" s="30"/>
      <c r="AM1227" s="30"/>
      <c r="AN1227" s="30"/>
      <c r="AO1227" s="30"/>
      <c r="AP1227" s="30"/>
      <c r="AQ1227" s="30"/>
      <c r="AR1227" s="30"/>
      <c r="AS1227" s="30"/>
      <c r="AT1227" s="30"/>
      <c r="AU1227" s="30"/>
      <c r="AV1227" s="30"/>
      <c r="AW1227" s="30"/>
      <c r="AX1227" s="30"/>
    </row>
    <row r="1228" spans="4:50" s="23" customFormat="1" x14ac:dyDescent="0.3">
      <c r="D1228" s="34"/>
      <c r="E1228" s="24"/>
      <c r="F1228" s="24"/>
      <c r="G1228" s="24"/>
      <c r="H1228" s="24"/>
      <c r="I1228" s="24"/>
      <c r="J1228" s="27"/>
      <c r="K1228" s="30"/>
      <c r="L1228" s="30"/>
      <c r="M1228" s="30"/>
      <c r="N1228" s="30"/>
      <c r="O1228" s="30"/>
      <c r="P1228" s="30"/>
      <c r="Q1228" s="30"/>
      <c r="R1228" s="30"/>
      <c r="S1228" s="30"/>
      <c r="T1228" s="30"/>
      <c r="U1228" s="30"/>
      <c r="V1228" s="30"/>
      <c r="W1228" s="30"/>
      <c r="X1228" s="30"/>
      <c r="Y1228" s="30"/>
      <c r="Z1228" s="30"/>
      <c r="AA1228" s="30"/>
      <c r="AB1228" s="30"/>
      <c r="AC1228" s="30"/>
      <c r="AD1228" s="30"/>
      <c r="AE1228" s="30"/>
      <c r="AF1228" s="30"/>
      <c r="AG1228" s="30"/>
      <c r="AH1228" s="30"/>
      <c r="AI1228" s="30"/>
      <c r="AJ1228" s="30"/>
      <c r="AK1228" s="30"/>
      <c r="AL1228" s="30"/>
      <c r="AM1228" s="30"/>
      <c r="AN1228" s="30"/>
      <c r="AO1228" s="30"/>
      <c r="AP1228" s="30"/>
      <c r="AQ1228" s="30"/>
      <c r="AR1228" s="30"/>
      <c r="AS1228" s="30"/>
      <c r="AT1228" s="30"/>
      <c r="AU1228" s="30"/>
      <c r="AV1228" s="30"/>
      <c r="AW1228" s="30"/>
      <c r="AX1228" s="30"/>
    </row>
    <row r="1229" spans="4:50" s="23" customFormat="1" x14ac:dyDescent="0.3">
      <c r="D1229" s="34"/>
      <c r="E1229" s="24"/>
      <c r="F1229" s="24"/>
      <c r="G1229" s="24"/>
      <c r="H1229" s="24"/>
      <c r="I1229" s="24"/>
      <c r="J1229" s="27"/>
      <c r="K1229" s="30"/>
      <c r="L1229" s="30"/>
      <c r="M1229" s="30"/>
      <c r="N1229" s="30"/>
      <c r="O1229" s="30"/>
      <c r="P1229" s="30"/>
      <c r="Q1229" s="30"/>
      <c r="R1229" s="30"/>
      <c r="S1229" s="30"/>
      <c r="T1229" s="30"/>
      <c r="U1229" s="30"/>
      <c r="V1229" s="30"/>
      <c r="W1229" s="30"/>
      <c r="X1229" s="30"/>
      <c r="Y1229" s="30"/>
      <c r="Z1229" s="30"/>
      <c r="AA1229" s="30"/>
      <c r="AB1229" s="30"/>
      <c r="AC1229" s="30"/>
      <c r="AD1229" s="30"/>
      <c r="AE1229" s="30"/>
      <c r="AF1229" s="30"/>
      <c r="AG1229" s="30"/>
      <c r="AH1229" s="30"/>
      <c r="AI1229" s="30"/>
      <c r="AJ1229" s="30"/>
      <c r="AK1229" s="30"/>
      <c r="AL1229" s="30"/>
      <c r="AM1229" s="30"/>
      <c r="AN1229" s="30"/>
      <c r="AO1229" s="30"/>
      <c r="AP1229" s="30"/>
      <c r="AQ1229" s="30"/>
      <c r="AR1229" s="30"/>
      <c r="AS1229" s="30"/>
      <c r="AT1229" s="30"/>
      <c r="AU1229" s="30"/>
      <c r="AV1229" s="30"/>
      <c r="AW1229" s="30"/>
      <c r="AX1229" s="30"/>
    </row>
    <row r="1230" spans="4:50" s="23" customFormat="1" x14ac:dyDescent="0.3">
      <c r="D1230" s="34"/>
      <c r="E1230" s="24"/>
      <c r="F1230" s="24"/>
      <c r="G1230" s="24"/>
      <c r="H1230" s="24"/>
      <c r="I1230" s="24"/>
      <c r="J1230" s="27"/>
      <c r="K1230" s="30"/>
      <c r="L1230" s="30"/>
      <c r="M1230" s="30"/>
      <c r="N1230" s="30"/>
      <c r="O1230" s="30"/>
      <c r="P1230" s="30"/>
      <c r="Q1230" s="30"/>
      <c r="R1230" s="30"/>
      <c r="S1230" s="30"/>
      <c r="T1230" s="30"/>
      <c r="U1230" s="30"/>
      <c r="V1230" s="30"/>
      <c r="W1230" s="30"/>
      <c r="X1230" s="30"/>
      <c r="Y1230" s="30"/>
      <c r="Z1230" s="30"/>
      <c r="AA1230" s="30"/>
      <c r="AB1230" s="30"/>
      <c r="AC1230" s="30"/>
      <c r="AD1230" s="30"/>
      <c r="AE1230" s="30"/>
      <c r="AF1230" s="30"/>
      <c r="AG1230" s="30"/>
      <c r="AH1230" s="30"/>
      <c r="AI1230" s="30"/>
      <c r="AJ1230" s="30"/>
      <c r="AK1230" s="30"/>
      <c r="AL1230" s="30"/>
      <c r="AM1230" s="30"/>
      <c r="AN1230" s="30"/>
      <c r="AO1230" s="30"/>
      <c r="AP1230" s="30"/>
      <c r="AQ1230" s="30"/>
      <c r="AR1230" s="30"/>
      <c r="AS1230" s="30"/>
      <c r="AT1230" s="30"/>
      <c r="AU1230" s="30"/>
      <c r="AV1230" s="30"/>
      <c r="AW1230" s="30"/>
      <c r="AX1230" s="30"/>
    </row>
    <row r="1231" spans="4:50" s="23" customFormat="1" x14ac:dyDescent="0.3">
      <c r="D1231" s="34"/>
      <c r="E1231" s="24"/>
      <c r="F1231" s="24"/>
      <c r="G1231" s="24"/>
      <c r="H1231" s="24"/>
      <c r="I1231" s="24"/>
      <c r="J1231" s="27"/>
      <c r="K1231" s="30"/>
      <c r="L1231" s="30"/>
      <c r="M1231" s="30"/>
      <c r="N1231" s="30"/>
      <c r="O1231" s="30"/>
      <c r="P1231" s="30"/>
      <c r="Q1231" s="30"/>
      <c r="R1231" s="30"/>
      <c r="S1231" s="30"/>
      <c r="T1231" s="30"/>
      <c r="U1231" s="30"/>
      <c r="V1231" s="30"/>
      <c r="W1231" s="30"/>
      <c r="X1231" s="30"/>
      <c r="Y1231" s="30"/>
      <c r="Z1231" s="30"/>
      <c r="AA1231" s="30"/>
      <c r="AB1231" s="30"/>
      <c r="AC1231" s="30"/>
      <c r="AD1231" s="30"/>
      <c r="AE1231" s="30"/>
      <c r="AF1231" s="30"/>
      <c r="AG1231" s="30"/>
      <c r="AH1231" s="30"/>
      <c r="AI1231" s="30"/>
      <c r="AJ1231" s="30"/>
      <c r="AK1231" s="30"/>
      <c r="AL1231" s="30"/>
      <c r="AM1231" s="30"/>
      <c r="AN1231" s="30"/>
      <c r="AO1231" s="30"/>
      <c r="AP1231" s="30"/>
      <c r="AQ1231" s="30"/>
      <c r="AR1231" s="30"/>
      <c r="AS1231" s="30"/>
      <c r="AT1231" s="30"/>
      <c r="AU1231" s="30"/>
      <c r="AV1231" s="30"/>
      <c r="AW1231" s="30"/>
      <c r="AX1231" s="30"/>
    </row>
    <row r="1232" spans="4:50" s="23" customFormat="1" x14ac:dyDescent="0.3">
      <c r="D1232" s="34"/>
      <c r="E1232" s="24"/>
      <c r="F1232" s="24"/>
      <c r="G1232" s="24"/>
      <c r="H1232" s="24"/>
      <c r="I1232" s="24"/>
      <c r="J1232" s="27"/>
      <c r="K1232" s="30"/>
      <c r="L1232" s="30"/>
      <c r="M1232" s="30"/>
      <c r="N1232" s="30"/>
      <c r="O1232" s="30"/>
      <c r="P1232" s="30"/>
      <c r="Q1232" s="30"/>
      <c r="R1232" s="30"/>
      <c r="S1232" s="30"/>
      <c r="T1232" s="30"/>
      <c r="U1232" s="30"/>
      <c r="V1232" s="30"/>
      <c r="W1232" s="30"/>
      <c r="X1232" s="30"/>
      <c r="Y1232" s="30"/>
      <c r="Z1232" s="30"/>
      <c r="AA1232" s="30"/>
      <c r="AB1232" s="30"/>
      <c r="AC1232" s="30"/>
      <c r="AD1232" s="30"/>
      <c r="AE1232" s="30"/>
      <c r="AF1232" s="30"/>
      <c r="AG1232" s="30"/>
      <c r="AH1232" s="30"/>
      <c r="AI1232" s="30"/>
      <c r="AJ1232" s="30"/>
      <c r="AK1232" s="30"/>
      <c r="AL1232" s="30"/>
      <c r="AM1232" s="30"/>
      <c r="AN1232" s="30"/>
      <c r="AO1232" s="30"/>
      <c r="AP1232" s="30"/>
      <c r="AQ1232" s="30"/>
      <c r="AR1232" s="30"/>
      <c r="AS1232" s="30"/>
      <c r="AT1232" s="30"/>
      <c r="AU1232" s="30"/>
      <c r="AV1232" s="30"/>
      <c r="AW1232" s="30"/>
      <c r="AX1232" s="30"/>
    </row>
    <row r="1233" spans="4:50" s="23" customFormat="1" x14ac:dyDescent="0.3">
      <c r="D1233" s="34"/>
      <c r="E1233" s="24"/>
      <c r="F1233" s="24"/>
      <c r="G1233" s="24"/>
      <c r="H1233" s="24"/>
      <c r="I1233" s="24"/>
      <c r="J1233" s="27"/>
      <c r="K1233" s="30"/>
      <c r="L1233" s="30"/>
      <c r="M1233" s="30"/>
      <c r="N1233" s="30"/>
      <c r="O1233" s="30"/>
      <c r="P1233" s="30"/>
      <c r="Q1233" s="30"/>
      <c r="R1233" s="30"/>
      <c r="S1233" s="30"/>
      <c r="T1233" s="30"/>
      <c r="U1233" s="30"/>
      <c r="V1233" s="30"/>
      <c r="W1233" s="30"/>
      <c r="X1233" s="30"/>
      <c r="Y1233" s="30"/>
      <c r="Z1233" s="30"/>
      <c r="AA1233" s="30"/>
      <c r="AB1233" s="30"/>
      <c r="AC1233" s="30"/>
      <c r="AD1233" s="30"/>
      <c r="AE1233" s="30"/>
      <c r="AF1233" s="30"/>
      <c r="AG1233" s="30"/>
      <c r="AH1233" s="30"/>
      <c r="AI1233" s="30"/>
      <c r="AJ1233" s="30"/>
      <c r="AK1233" s="30"/>
      <c r="AL1233" s="30"/>
      <c r="AM1233" s="30"/>
      <c r="AN1233" s="30"/>
      <c r="AO1233" s="30"/>
      <c r="AP1233" s="30"/>
      <c r="AQ1233" s="30"/>
      <c r="AR1233" s="30"/>
      <c r="AS1233" s="30"/>
      <c r="AT1233" s="30"/>
      <c r="AU1233" s="30"/>
      <c r="AV1233" s="30"/>
      <c r="AW1233" s="30"/>
      <c r="AX1233" s="30"/>
    </row>
    <row r="1234" spans="4:50" s="23" customFormat="1" x14ac:dyDescent="0.3">
      <c r="D1234" s="34"/>
      <c r="E1234" s="24"/>
      <c r="F1234" s="24"/>
      <c r="G1234" s="24"/>
      <c r="H1234" s="24"/>
      <c r="I1234" s="24"/>
      <c r="J1234" s="27"/>
      <c r="K1234" s="30"/>
      <c r="L1234" s="30"/>
      <c r="M1234" s="30"/>
      <c r="N1234" s="30"/>
      <c r="O1234" s="30"/>
      <c r="P1234" s="30"/>
      <c r="Q1234" s="30"/>
      <c r="R1234" s="30"/>
      <c r="S1234" s="30"/>
      <c r="T1234" s="30"/>
      <c r="U1234" s="30"/>
      <c r="V1234" s="30"/>
      <c r="W1234" s="30"/>
      <c r="X1234" s="30"/>
      <c r="Y1234" s="30"/>
      <c r="Z1234" s="30"/>
      <c r="AA1234" s="30"/>
      <c r="AB1234" s="30"/>
      <c r="AC1234" s="30"/>
      <c r="AD1234" s="30"/>
      <c r="AE1234" s="30"/>
      <c r="AF1234" s="30"/>
      <c r="AG1234" s="30"/>
      <c r="AH1234" s="30"/>
      <c r="AI1234" s="30"/>
      <c r="AJ1234" s="30"/>
      <c r="AK1234" s="30"/>
      <c r="AL1234" s="30"/>
      <c r="AM1234" s="30"/>
      <c r="AN1234" s="30"/>
      <c r="AO1234" s="30"/>
      <c r="AP1234" s="30"/>
      <c r="AQ1234" s="30"/>
      <c r="AR1234" s="30"/>
      <c r="AS1234" s="30"/>
      <c r="AT1234" s="30"/>
      <c r="AU1234" s="30"/>
      <c r="AV1234" s="30"/>
      <c r="AW1234" s="30"/>
      <c r="AX1234" s="30"/>
    </row>
    <row r="1235" spans="4:50" s="23" customFormat="1" x14ac:dyDescent="0.3">
      <c r="D1235" s="34"/>
      <c r="E1235" s="24"/>
      <c r="F1235" s="24"/>
      <c r="G1235" s="24"/>
      <c r="H1235" s="24"/>
      <c r="I1235" s="24"/>
      <c r="J1235" s="27"/>
      <c r="K1235" s="30"/>
      <c r="L1235" s="30"/>
      <c r="M1235" s="30"/>
      <c r="N1235" s="30"/>
      <c r="O1235" s="30"/>
      <c r="P1235" s="30"/>
      <c r="Q1235" s="30"/>
      <c r="R1235" s="30"/>
      <c r="S1235" s="30"/>
      <c r="T1235" s="30"/>
      <c r="U1235" s="30"/>
      <c r="V1235" s="30"/>
      <c r="W1235" s="30"/>
      <c r="X1235" s="30"/>
      <c r="Y1235" s="30"/>
      <c r="Z1235" s="30"/>
      <c r="AA1235" s="30"/>
      <c r="AB1235" s="30"/>
      <c r="AC1235" s="30"/>
      <c r="AD1235" s="30"/>
      <c r="AE1235" s="30"/>
      <c r="AF1235" s="30"/>
      <c r="AG1235" s="30"/>
      <c r="AH1235" s="30"/>
      <c r="AI1235" s="30"/>
      <c r="AJ1235" s="30"/>
      <c r="AK1235" s="30"/>
      <c r="AL1235" s="30"/>
      <c r="AM1235" s="30"/>
      <c r="AN1235" s="30"/>
      <c r="AO1235" s="30"/>
      <c r="AP1235" s="30"/>
      <c r="AQ1235" s="30"/>
      <c r="AR1235" s="30"/>
      <c r="AS1235" s="30"/>
      <c r="AT1235" s="30"/>
      <c r="AU1235" s="30"/>
      <c r="AV1235" s="30"/>
      <c r="AW1235" s="30"/>
      <c r="AX1235" s="30"/>
    </row>
    <row r="1236" spans="4:50" s="23" customFormat="1" x14ac:dyDescent="0.3">
      <c r="D1236" s="34"/>
      <c r="E1236" s="24"/>
      <c r="F1236" s="24"/>
      <c r="G1236" s="24"/>
      <c r="H1236" s="24"/>
      <c r="I1236" s="24"/>
      <c r="J1236" s="27"/>
      <c r="K1236" s="30"/>
      <c r="L1236" s="30"/>
      <c r="M1236" s="30"/>
      <c r="N1236" s="30"/>
      <c r="O1236" s="30"/>
      <c r="P1236" s="30"/>
      <c r="Q1236" s="30"/>
      <c r="R1236" s="30"/>
      <c r="S1236" s="30"/>
      <c r="T1236" s="30"/>
      <c r="U1236" s="30"/>
      <c r="V1236" s="30"/>
      <c r="W1236" s="30"/>
      <c r="X1236" s="30"/>
      <c r="Y1236" s="30"/>
      <c r="Z1236" s="30"/>
      <c r="AA1236" s="30"/>
      <c r="AB1236" s="30"/>
      <c r="AC1236" s="30"/>
      <c r="AD1236" s="30"/>
      <c r="AE1236" s="30"/>
      <c r="AF1236" s="30"/>
      <c r="AG1236" s="30"/>
      <c r="AH1236" s="30"/>
      <c r="AI1236" s="30"/>
      <c r="AJ1236" s="30"/>
      <c r="AK1236" s="30"/>
      <c r="AL1236" s="30"/>
      <c r="AM1236" s="30"/>
      <c r="AN1236" s="30"/>
      <c r="AO1236" s="30"/>
      <c r="AP1236" s="30"/>
      <c r="AQ1236" s="30"/>
      <c r="AR1236" s="30"/>
      <c r="AS1236" s="30"/>
      <c r="AT1236" s="30"/>
      <c r="AU1236" s="30"/>
      <c r="AV1236" s="30"/>
      <c r="AW1236" s="30"/>
      <c r="AX1236" s="30"/>
    </row>
    <row r="1237" spans="4:50" s="23" customFormat="1" x14ac:dyDescent="0.3">
      <c r="D1237" s="34"/>
      <c r="E1237" s="24"/>
      <c r="F1237" s="24"/>
      <c r="G1237" s="24"/>
      <c r="H1237" s="24"/>
      <c r="I1237" s="24"/>
      <c r="J1237" s="27"/>
      <c r="K1237" s="30"/>
      <c r="L1237" s="30"/>
      <c r="M1237" s="30"/>
      <c r="N1237" s="30"/>
      <c r="O1237" s="30"/>
      <c r="P1237" s="30"/>
      <c r="Q1237" s="30"/>
      <c r="R1237" s="30"/>
      <c r="S1237" s="30"/>
      <c r="T1237" s="30"/>
      <c r="U1237" s="30"/>
      <c r="V1237" s="30"/>
      <c r="W1237" s="30"/>
      <c r="X1237" s="30"/>
      <c r="Y1237" s="30"/>
      <c r="Z1237" s="30"/>
      <c r="AA1237" s="30"/>
      <c r="AB1237" s="30"/>
      <c r="AC1237" s="30"/>
      <c r="AD1237" s="30"/>
      <c r="AE1237" s="30"/>
      <c r="AF1237" s="30"/>
      <c r="AG1237" s="30"/>
      <c r="AH1237" s="30"/>
      <c r="AI1237" s="30"/>
      <c r="AJ1237" s="30"/>
      <c r="AK1237" s="30"/>
      <c r="AL1237" s="30"/>
      <c r="AM1237" s="30"/>
      <c r="AN1237" s="30"/>
      <c r="AO1237" s="30"/>
      <c r="AP1237" s="30"/>
      <c r="AQ1237" s="30"/>
      <c r="AR1237" s="30"/>
      <c r="AS1237" s="30"/>
      <c r="AT1237" s="30"/>
      <c r="AU1237" s="30"/>
      <c r="AV1237" s="30"/>
      <c r="AW1237" s="30"/>
      <c r="AX1237" s="30"/>
    </row>
    <row r="1238" spans="4:50" s="23" customFormat="1" x14ac:dyDescent="0.3">
      <c r="D1238" s="34"/>
      <c r="E1238" s="24"/>
      <c r="F1238" s="24"/>
      <c r="G1238" s="24"/>
      <c r="H1238" s="24"/>
      <c r="I1238" s="24"/>
      <c r="J1238" s="27"/>
      <c r="K1238" s="30"/>
      <c r="L1238" s="30"/>
      <c r="M1238" s="30"/>
      <c r="N1238" s="30"/>
      <c r="O1238" s="30"/>
      <c r="P1238" s="30"/>
      <c r="Q1238" s="30"/>
      <c r="R1238" s="30"/>
      <c r="S1238" s="30"/>
      <c r="T1238" s="30"/>
      <c r="U1238" s="30"/>
      <c r="V1238" s="30"/>
      <c r="W1238" s="30"/>
      <c r="X1238" s="30"/>
      <c r="Y1238" s="30"/>
      <c r="Z1238" s="30"/>
      <c r="AA1238" s="30"/>
      <c r="AB1238" s="30"/>
      <c r="AC1238" s="30"/>
      <c r="AD1238" s="30"/>
      <c r="AE1238" s="30"/>
      <c r="AF1238" s="30"/>
      <c r="AG1238" s="30"/>
      <c r="AH1238" s="30"/>
      <c r="AI1238" s="30"/>
      <c r="AJ1238" s="30"/>
      <c r="AK1238" s="30"/>
      <c r="AL1238" s="30"/>
      <c r="AM1238" s="30"/>
      <c r="AN1238" s="30"/>
      <c r="AO1238" s="30"/>
      <c r="AP1238" s="30"/>
      <c r="AQ1238" s="30"/>
      <c r="AR1238" s="30"/>
      <c r="AS1238" s="30"/>
      <c r="AT1238" s="30"/>
      <c r="AU1238" s="30"/>
      <c r="AV1238" s="30"/>
      <c r="AW1238" s="30"/>
      <c r="AX1238" s="30"/>
    </row>
    <row r="1239" spans="4:50" s="23" customFormat="1" x14ac:dyDescent="0.3">
      <c r="D1239" s="34"/>
      <c r="E1239" s="24"/>
      <c r="F1239" s="24"/>
      <c r="G1239" s="24"/>
      <c r="H1239" s="24"/>
      <c r="I1239" s="24"/>
      <c r="J1239" s="27"/>
      <c r="K1239" s="30"/>
      <c r="L1239" s="30"/>
      <c r="M1239" s="30"/>
      <c r="N1239" s="30"/>
      <c r="O1239" s="30"/>
      <c r="P1239" s="30"/>
      <c r="Q1239" s="30"/>
      <c r="R1239" s="30"/>
      <c r="S1239" s="30"/>
      <c r="T1239" s="30"/>
      <c r="U1239" s="30"/>
      <c r="V1239" s="30"/>
      <c r="W1239" s="30"/>
      <c r="X1239" s="30"/>
      <c r="Y1239" s="30"/>
      <c r="Z1239" s="30"/>
      <c r="AA1239" s="30"/>
      <c r="AB1239" s="30"/>
      <c r="AC1239" s="30"/>
      <c r="AD1239" s="30"/>
      <c r="AE1239" s="30"/>
      <c r="AF1239" s="30"/>
      <c r="AG1239" s="30"/>
      <c r="AH1239" s="30"/>
      <c r="AI1239" s="30"/>
      <c r="AJ1239" s="30"/>
      <c r="AK1239" s="30"/>
      <c r="AL1239" s="30"/>
      <c r="AM1239" s="30"/>
      <c r="AN1239" s="30"/>
      <c r="AO1239" s="30"/>
      <c r="AP1239" s="30"/>
      <c r="AQ1239" s="30"/>
      <c r="AR1239" s="30"/>
      <c r="AS1239" s="30"/>
      <c r="AT1239" s="30"/>
      <c r="AU1239" s="30"/>
      <c r="AV1239" s="30"/>
      <c r="AW1239" s="30"/>
      <c r="AX1239" s="30"/>
    </row>
    <row r="1240" spans="4:50" s="23" customFormat="1" x14ac:dyDescent="0.3">
      <c r="D1240" s="34"/>
      <c r="E1240" s="24"/>
      <c r="F1240" s="24"/>
      <c r="G1240" s="24"/>
      <c r="H1240" s="24"/>
      <c r="I1240" s="24"/>
      <c r="J1240" s="27"/>
      <c r="K1240" s="30"/>
      <c r="L1240" s="30"/>
      <c r="M1240" s="30"/>
      <c r="N1240" s="30"/>
      <c r="O1240" s="30"/>
      <c r="P1240" s="30"/>
      <c r="Q1240" s="30"/>
      <c r="R1240" s="30"/>
      <c r="S1240" s="30"/>
      <c r="T1240" s="30"/>
      <c r="U1240" s="30"/>
      <c r="V1240" s="30"/>
      <c r="W1240" s="30"/>
      <c r="X1240" s="30"/>
      <c r="Y1240" s="30"/>
      <c r="Z1240" s="30"/>
      <c r="AA1240" s="30"/>
      <c r="AB1240" s="30"/>
      <c r="AC1240" s="30"/>
      <c r="AD1240" s="30"/>
      <c r="AE1240" s="30"/>
      <c r="AF1240" s="30"/>
      <c r="AG1240" s="30"/>
      <c r="AH1240" s="30"/>
      <c r="AI1240" s="30"/>
      <c r="AJ1240" s="30"/>
      <c r="AK1240" s="30"/>
      <c r="AL1240" s="30"/>
      <c r="AM1240" s="30"/>
      <c r="AN1240" s="30"/>
      <c r="AO1240" s="30"/>
      <c r="AP1240" s="30"/>
      <c r="AQ1240" s="30"/>
      <c r="AR1240" s="30"/>
      <c r="AS1240" s="30"/>
      <c r="AT1240" s="30"/>
      <c r="AU1240" s="30"/>
      <c r="AV1240" s="30"/>
      <c r="AW1240" s="30"/>
      <c r="AX1240" s="30"/>
    </row>
    <row r="1241" spans="4:50" s="23" customFormat="1" x14ac:dyDescent="0.3">
      <c r="D1241" s="34"/>
      <c r="E1241" s="24"/>
      <c r="F1241" s="24"/>
      <c r="G1241" s="24"/>
      <c r="H1241" s="24"/>
      <c r="I1241" s="24"/>
      <c r="J1241" s="27"/>
      <c r="K1241" s="30"/>
      <c r="L1241" s="30"/>
      <c r="M1241" s="30"/>
      <c r="N1241" s="30"/>
      <c r="O1241" s="30"/>
      <c r="P1241" s="30"/>
      <c r="Q1241" s="30"/>
      <c r="R1241" s="30"/>
      <c r="S1241" s="30"/>
      <c r="T1241" s="30"/>
      <c r="U1241" s="30"/>
      <c r="V1241" s="30"/>
      <c r="W1241" s="30"/>
      <c r="X1241" s="30"/>
      <c r="Y1241" s="30"/>
      <c r="Z1241" s="30"/>
      <c r="AA1241" s="30"/>
      <c r="AB1241" s="30"/>
      <c r="AC1241" s="30"/>
      <c r="AD1241" s="30"/>
      <c r="AE1241" s="30"/>
      <c r="AF1241" s="30"/>
      <c r="AG1241" s="30"/>
      <c r="AH1241" s="30"/>
      <c r="AI1241" s="30"/>
      <c r="AJ1241" s="30"/>
      <c r="AK1241" s="30"/>
      <c r="AL1241" s="30"/>
      <c r="AM1241" s="30"/>
      <c r="AN1241" s="30"/>
      <c r="AO1241" s="30"/>
      <c r="AP1241" s="30"/>
      <c r="AQ1241" s="30"/>
      <c r="AR1241" s="30"/>
      <c r="AS1241" s="30"/>
      <c r="AT1241" s="30"/>
      <c r="AU1241" s="30"/>
      <c r="AV1241" s="30"/>
      <c r="AW1241" s="30"/>
      <c r="AX1241" s="30"/>
    </row>
    <row r="1242" spans="4:50" s="23" customFormat="1" x14ac:dyDescent="0.3">
      <c r="D1242" s="34"/>
      <c r="E1242" s="24"/>
      <c r="F1242" s="24"/>
      <c r="G1242" s="24"/>
      <c r="H1242" s="24"/>
      <c r="I1242" s="24"/>
      <c r="J1242" s="27"/>
      <c r="K1242" s="30"/>
      <c r="L1242" s="30"/>
      <c r="M1242" s="30"/>
      <c r="N1242" s="30"/>
      <c r="O1242" s="30"/>
      <c r="P1242" s="30"/>
      <c r="Q1242" s="30"/>
      <c r="R1242" s="30"/>
      <c r="S1242" s="30"/>
      <c r="T1242" s="30"/>
      <c r="U1242" s="30"/>
      <c r="V1242" s="30"/>
      <c r="W1242" s="30"/>
      <c r="X1242" s="30"/>
      <c r="Y1242" s="30"/>
      <c r="Z1242" s="30"/>
      <c r="AA1242" s="30"/>
      <c r="AB1242" s="30"/>
      <c r="AC1242" s="30"/>
      <c r="AD1242" s="30"/>
      <c r="AE1242" s="30"/>
      <c r="AF1242" s="30"/>
      <c r="AG1242" s="30"/>
      <c r="AH1242" s="30"/>
      <c r="AI1242" s="30"/>
      <c r="AJ1242" s="30"/>
      <c r="AK1242" s="30"/>
      <c r="AL1242" s="30"/>
      <c r="AM1242" s="30"/>
      <c r="AN1242" s="30"/>
      <c r="AO1242" s="30"/>
      <c r="AP1242" s="30"/>
      <c r="AQ1242" s="30"/>
      <c r="AR1242" s="30"/>
      <c r="AS1242" s="30"/>
      <c r="AT1242" s="30"/>
      <c r="AU1242" s="30"/>
      <c r="AV1242" s="30"/>
      <c r="AW1242" s="30"/>
      <c r="AX1242" s="30"/>
    </row>
    <row r="1243" spans="4:50" s="23" customFormat="1" x14ac:dyDescent="0.3">
      <c r="D1243" s="34"/>
      <c r="E1243" s="24"/>
      <c r="F1243" s="24"/>
      <c r="G1243" s="24"/>
      <c r="H1243" s="24"/>
      <c r="I1243" s="24"/>
      <c r="J1243" s="27"/>
      <c r="K1243" s="30"/>
      <c r="L1243" s="30"/>
      <c r="M1243" s="30"/>
      <c r="N1243" s="30"/>
      <c r="O1243" s="30"/>
      <c r="P1243" s="30"/>
      <c r="Q1243" s="30"/>
      <c r="R1243" s="30"/>
      <c r="S1243" s="30"/>
      <c r="T1243" s="30"/>
      <c r="U1243" s="30"/>
      <c r="V1243" s="30"/>
      <c r="W1243" s="30"/>
      <c r="X1243" s="30"/>
      <c r="Y1243" s="30"/>
      <c r="Z1243" s="30"/>
      <c r="AA1243" s="30"/>
      <c r="AB1243" s="30"/>
      <c r="AC1243" s="30"/>
      <c r="AD1243" s="30"/>
      <c r="AE1243" s="30"/>
      <c r="AF1243" s="30"/>
      <c r="AG1243" s="30"/>
      <c r="AH1243" s="30"/>
      <c r="AI1243" s="30"/>
      <c r="AJ1243" s="30"/>
      <c r="AK1243" s="30"/>
      <c r="AL1243" s="30"/>
      <c r="AM1243" s="30"/>
      <c r="AN1243" s="30"/>
      <c r="AO1243" s="30"/>
      <c r="AP1243" s="30"/>
      <c r="AQ1243" s="30"/>
      <c r="AR1243" s="30"/>
      <c r="AS1243" s="30"/>
      <c r="AT1243" s="30"/>
      <c r="AU1243" s="30"/>
      <c r="AV1243" s="30"/>
      <c r="AW1243" s="30"/>
      <c r="AX1243" s="30"/>
    </row>
    <row r="1244" spans="4:50" s="23" customFormat="1" x14ac:dyDescent="0.3">
      <c r="D1244" s="34"/>
      <c r="E1244" s="24"/>
      <c r="F1244" s="24"/>
      <c r="G1244" s="24"/>
      <c r="H1244" s="24"/>
      <c r="I1244" s="24"/>
      <c r="J1244" s="27"/>
      <c r="K1244" s="30"/>
      <c r="L1244" s="30"/>
      <c r="M1244" s="30"/>
      <c r="N1244" s="30"/>
      <c r="O1244" s="30"/>
      <c r="P1244" s="30"/>
      <c r="Q1244" s="30"/>
      <c r="R1244" s="30"/>
      <c r="S1244" s="30"/>
      <c r="T1244" s="30"/>
      <c r="U1244" s="30"/>
      <c r="V1244" s="30"/>
      <c r="W1244" s="30"/>
      <c r="X1244" s="30"/>
      <c r="Y1244" s="30"/>
      <c r="Z1244" s="30"/>
      <c r="AA1244" s="30"/>
      <c r="AB1244" s="30"/>
      <c r="AC1244" s="30"/>
      <c r="AD1244" s="30"/>
      <c r="AE1244" s="30"/>
      <c r="AF1244" s="30"/>
      <c r="AG1244" s="30"/>
      <c r="AH1244" s="30"/>
      <c r="AI1244" s="30"/>
      <c r="AJ1244" s="30"/>
      <c r="AK1244" s="30"/>
      <c r="AL1244" s="30"/>
      <c r="AM1244" s="30"/>
      <c r="AN1244" s="30"/>
      <c r="AO1244" s="30"/>
      <c r="AP1244" s="30"/>
      <c r="AQ1244" s="30"/>
      <c r="AR1244" s="30"/>
      <c r="AS1244" s="30"/>
      <c r="AT1244" s="30"/>
      <c r="AU1244" s="30"/>
      <c r="AV1244" s="30"/>
      <c r="AW1244" s="30"/>
      <c r="AX1244" s="30"/>
    </row>
    <row r="1245" spans="4:50" s="23" customFormat="1" x14ac:dyDescent="0.3">
      <c r="D1245" s="34"/>
      <c r="E1245" s="24"/>
      <c r="F1245" s="24"/>
      <c r="G1245" s="24"/>
      <c r="H1245" s="24"/>
      <c r="I1245" s="24"/>
      <c r="J1245" s="27"/>
      <c r="K1245" s="30"/>
      <c r="L1245" s="30"/>
      <c r="M1245" s="30"/>
      <c r="N1245" s="30"/>
      <c r="O1245" s="30"/>
      <c r="P1245" s="30"/>
      <c r="Q1245" s="30"/>
      <c r="R1245" s="30"/>
      <c r="S1245" s="30"/>
      <c r="T1245" s="30"/>
      <c r="U1245" s="30"/>
      <c r="V1245" s="30"/>
      <c r="W1245" s="30"/>
      <c r="X1245" s="30"/>
      <c r="Y1245" s="30"/>
      <c r="Z1245" s="30"/>
      <c r="AA1245" s="30"/>
      <c r="AB1245" s="30"/>
      <c r="AC1245" s="30"/>
      <c r="AD1245" s="30"/>
      <c r="AE1245" s="30"/>
      <c r="AF1245" s="30"/>
      <c r="AG1245" s="30"/>
      <c r="AH1245" s="30"/>
      <c r="AI1245" s="30"/>
      <c r="AJ1245" s="30"/>
      <c r="AK1245" s="30"/>
      <c r="AL1245" s="30"/>
      <c r="AM1245" s="30"/>
      <c r="AN1245" s="30"/>
      <c r="AO1245" s="30"/>
      <c r="AP1245" s="30"/>
      <c r="AQ1245" s="30"/>
      <c r="AR1245" s="30"/>
      <c r="AS1245" s="30"/>
      <c r="AT1245" s="30"/>
      <c r="AU1245" s="30"/>
      <c r="AV1245" s="30"/>
      <c r="AW1245" s="30"/>
      <c r="AX1245" s="30"/>
    </row>
    <row r="1246" spans="4:50" s="23" customFormat="1" x14ac:dyDescent="0.3">
      <c r="D1246" s="34"/>
      <c r="E1246" s="24"/>
      <c r="F1246" s="24"/>
      <c r="G1246" s="24"/>
      <c r="H1246" s="24"/>
      <c r="I1246" s="24"/>
      <c r="J1246" s="27"/>
      <c r="K1246" s="30"/>
      <c r="L1246" s="30"/>
      <c r="M1246" s="30"/>
      <c r="N1246" s="30"/>
      <c r="O1246" s="30"/>
      <c r="P1246" s="30"/>
      <c r="Q1246" s="30"/>
      <c r="R1246" s="30"/>
      <c r="S1246" s="30"/>
      <c r="T1246" s="30"/>
      <c r="U1246" s="30"/>
      <c r="V1246" s="30"/>
      <c r="W1246" s="30"/>
      <c r="X1246" s="30"/>
      <c r="Y1246" s="30"/>
      <c r="Z1246" s="30"/>
      <c r="AA1246" s="30"/>
      <c r="AB1246" s="30"/>
      <c r="AC1246" s="30"/>
      <c r="AD1246" s="30"/>
      <c r="AE1246" s="30"/>
      <c r="AF1246" s="30"/>
      <c r="AG1246" s="30"/>
      <c r="AH1246" s="30"/>
      <c r="AI1246" s="30"/>
      <c r="AJ1246" s="30"/>
      <c r="AK1246" s="30"/>
      <c r="AL1246" s="30"/>
      <c r="AM1246" s="30"/>
      <c r="AN1246" s="30"/>
      <c r="AO1246" s="30"/>
      <c r="AP1246" s="30"/>
      <c r="AQ1246" s="30"/>
      <c r="AR1246" s="30"/>
      <c r="AS1246" s="30"/>
      <c r="AT1246" s="30"/>
      <c r="AU1246" s="30"/>
      <c r="AV1246" s="30"/>
      <c r="AW1246" s="30"/>
      <c r="AX1246" s="30"/>
    </row>
    <row r="1247" spans="4:50" s="23" customFormat="1" x14ac:dyDescent="0.3">
      <c r="D1247" s="34"/>
      <c r="E1247" s="24"/>
      <c r="F1247" s="24"/>
      <c r="G1247" s="24"/>
      <c r="H1247" s="24"/>
      <c r="I1247" s="24"/>
      <c r="J1247" s="27"/>
      <c r="K1247" s="30"/>
      <c r="L1247" s="30"/>
      <c r="M1247" s="30"/>
      <c r="N1247" s="30"/>
      <c r="O1247" s="30"/>
      <c r="P1247" s="30"/>
      <c r="Q1247" s="30"/>
      <c r="R1247" s="30"/>
      <c r="S1247" s="30"/>
      <c r="T1247" s="30"/>
      <c r="U1247" s="30"/>
      <c r="V1247" s="30"/>
      <c r="W1247" s="30"/>
      <c r="X1247" s="30"/>
      <c r="Y1247" s="30"/>
      <c r="Z1247" s="30"/>
      <c r="AA1247" s="30"/>
      <c r="AB1247" s="30"/>
      <c r="AC1247" s="30"/>
      <c r="AD1247" s="30"/>
      <c r="AE1247" s="30"/>
      <c r="AF1247" s="30"/>
      <c r="AG1247" s="30"/>
      <c r="AH1247" s="30"/>
      <c r="AI1247" s="30"/>
      <c r="AJ1247" s="30"/>
      <c r="AK1247" s="30"/>
      <c r="AL1247" s="30"/>
      <c r="AM1247" s="30"/>
      <c r="AN1247" s="30"/>
      <c r="AO1247" s="30"/>
      <c r="AP1247" s="30"/>
      <c r="AQ1247" s="30"/>
      <c r="AR1247" s="30"/>
      <c r="AS1247" s="30"/>
      <c r="AT1247" s="30"/>
      <c r="AU1247" s="30"/>
      <c r="AV1247" s="30"/>
      <c r="AW1247" s="30"/>
      <c r="AX1247" s="30"/>
    </row>
    <row r="1248" spans="4:50" s="23" customFormat="1" x14ac:dyDescent="0.3">
      <c r="D1248" s="34"/>
      <c r="E1248" s="24"/>
      <c r="F1248" s="24"/>
      <c r="G1248" s="24"/>
      <c r="H1248" s="24"/>
      <c r="I1248" s="24"/>
      <c r="J1248" s="27"/>
      <c r="K1248" s="30"/>
      <c r="L1248" s="30"/>
      <c r="M1248" s="30"/>
      <c r="N1248" s="30"/>
      <c r="O1248" s="30"/>
      <c r="P1248" s="30"/>
      <c r="Q1248" s="30"/>
      <c r="R1248" s="30"/>
      <c r="S1248" s="30"/>
      <c r="T1248" s="30"/>
      <c r="U1248" s="30"/>
      <c r="V1248" s="30"/>
      <c r="W1248" s="30"/>
      <c r="X1248" s="30"/>
      <c r="Y1248" s="30"/>
      <c r="Z1248" s="30"/>
      <c r="AA1248" s="30"/>
      <c r="AB1248" s="30"/>
      <c r="AC1248" s="30"/>
      <c r="AD1248" s="30"/>
      <c r="AE1248" s="30"/>
      <c r="AF1248" s="30"/>
      <c r="AG1248" s="30"/>
      <c r="AH1248" s="30"/>
      <c r="AI1248" s="30"/>
      <c r="AJ1248" s="30"/>
      <c r="AK1248" s="30"/>
      <c r="AL1248" s="30"/>
      <c r="AM1248" s="30"/>
      <c r="AN1248" s="30"/>
      <c r="AO1248" s="30"/>
      <c r="AP1248" s="30"/>
      <c r="AQ1248" s="30"/>
      <c r="AR1248" s="30"/>
      <c r="AS1248" s="30"/>
      <c r="AT1248" s="30"/>
      <c r="AU1248" s="30"/>
      <c r="AV1248" s="30"/>
      <c r="AW1248" s="30"/>
      <c r="AX1248" s="30"/>
    </row>
    <row r="1249" spans="4:50" s="23" customFormat="1" x14ac:dyDescent="0.3">
      <c r="D1249" s="34"/>
      <c r="E1249" s="24"/>
      <c r="F1249" s="24"/>
      <c r="G1249" s="24"/>
      <c r="H1249" s="24"/>
      <c r="I1249" s="24"/>
      <c r="J1249" s="27"/>
      <c r="K1249" s="30"/>
      <c r="L1249" s="30"/>
      <c r="M1249" s="30"/>
      <c r="N1249" s="30"/>
      <c r="O1249" s="30"/>
      <c r="P1249" s="30"/>
      <c r="Q1249" s="30"/>
      <c r="R1249" s="30"/>
      <c r="S1249" s="30"/>
      <c r="T1249" s="30"/>
      <c r="U1249" s="30"/>
      <c r="V1249" s="30"/>
      <c r="W1249" s="30"/>
      <c r="X1249" s="30"/>
      <c r="Y1249" s="30"/>
      <c r="Z1249" s="30"/>
      <c r="AA1249" s="30"/>
      <c r="AB1249" s="30"/>
      <c r="AC1249" s="30"/>
      <c r="AD1249" s="30"/>
      <c r="AE1249" s="30"/>
      <c r="AF1249" s="30"/>
      <c r="AG1249" s="30"/>
      <c r="AH1249" s="30"/>
      <c r="AI1249" s="30"/>
      <c r="AJ1249" s="30"/>
      <c r="AK1249" s="30"/>
      <c r="AL1249" s="30"/>
      <c r="AM1249" s="30"/>
      <c r="AN1249" s="30"/>
      <c r="AO1249" s="30"/>
      <c r="AP1249" s="30"/>
      <c r="AQ1249" s="30"/>
      <c r="AR1249" s="30"/>
      <c r="AS1249" s="30"/>
      <c r="AT1249" s="30"/>
      <c r="AU1249" s="30"/>
      <c r="AV1249" s="30"/>
      <c r="AW1249" s="30"/>
      <c r="AX1249" s="30"/>
    </row>
    <row r="1250" spans="4:50" s="23" customFormat="1" x14ac:dyDescent="0.3">
      <c r="D1250" s="34"/>
      <c r="E1250" s="24"/>
      <c r="F1250" s="24"/>
      <c r="G1250" s="24"/>
      <c r="H1250" s="24"/>
      <c r="I1250" s="24"/>
      <c r="J1250" s="27"/>
      <c r="K1250" s="30"/>
      <c r="L1250" s="30"/>
      <c r="M1250" s="30"/>
      <c r="N1250" s="30"/>
      <c r="O1250" s="30"/>
      <c r="P1250" s="30"/>
      <c r="Q1250" s="30"/>
      <c r="R1250" s="30"/>
      <c r="S1250" s="30"/>
      <c r="T1250" s="30"/>
      <c r="U1250" s="30"/>
      <c r="V1250" s="30"/>
      <c r="W1250" s="30"/>
      <c r="X1250" s="30"/>
      <c r="Y1250" s="30"/>
      <c r="Z1250" s="30"/>
      <c r="AA1250" s="30"/>
      <c r="AB1250" s="30"/>
      <c r="AC1250" s="30"/>
      <c r="AD1250" s="30"/>
      <c r="AE1250" s="30"/>
      <c r="AF1250" s="30"/>
      <c r="AG1250" s="30"/>
      <c r="AH1250" s="30"/>
      <c r="AI1250" s="30"/>
      <c r="AJ1250" s="30"/>
      <c r="AK1250" s="30"/>
      <c r="AL1250" s="30"/>
      <c r="AM1250" s="30"/>
      <c r="AN1250" s="30"/>
      <c r="AO1250" s="30"/>
      <c r="AP1250" s="30"/>
      <c r="AQ1250" s="30"/>
      <c r="AR1250" s="30"/>
      <c r="AS1250" s="30"/>
      <c r="AT1250" s="30"/>
      <c r="AU1250" s="30"/>
      <c r="AV1250" s="30"/>
      <c r="AW1250" s="30"/>
      <c r="AX1250" s="30"/>
    </row>
    <row r="1251" spans="4:50" s="23" customFormat="1" x14ac:dyDescent="0.3">
      <c r="D1251" s="34"/>
      <c r="E1251" s="24"/>
      <c r="F1251" s="24"/>
      <c r="G1251" s="24"/>
      <c r="H1251" s="24"/>
      <c r="I1251" s="24"/>
      <c r="J1251" s="27"/>
      <c r="K1251" s="30"/>
      <c r="L1251" s="30"/>
      <c r="M1251" s="30"/>
      <c r="N1251" s="30"/>
      <c r="O1251" s="30"/>
      <c r="P1251" s="30"/>
      <c r="Q1251" s="30"/>
      <c r="R1251" s="30"/>
      <c r="S1251" s="30"/>
      <c r="T1251" s="30"/>
      <c r="U1251" s="30"/>
      <c r="V1251" s="30"/>
      <c r="W1251" s="30"/>
      <c r="X1251" s="30"/>
      <c r="Y1251" s="30"/>
      <c r="Z1251" s="30"/>
      <c r="AA1251" s="30"/>
      <c r="AB1251" s="30"/>
      <c r="AC1251" s="30"/>
      <c r="AD1251" s="30"/>
      <c r="AE1251" s="30"/>
      <c r="AF1251" s="30"/>
      <c r="AG1251" s="30"/>
      <c r="AH1251" s="30"/>
      <c r="AI1251" s="30"/>
      <c r="AJ1251" s="30"/>
      <c r="AK1251" s="30"/>
      <c r="AL1251" s="30"/>
      <c r="AM1251" s="30"/>
      <c r="AN1251" s="30"/>
      <c r="AO1251" s="30"/>
      <c r="AP1251" s="30"/>
      <c r="AQ1251" s="30"/>
      <c r="AR1251" s="30"/>
      <c r="AS1251" s="30"/>
      <c r="AT1251" s="30"/>
      <c r="AU1251" s="30"/>
      <c r="AV1251" s="30"/>
      <c r="AW1251" s="30"/>
      <c r="AX1251" s="30"/>
    </row>
    <row r="1252" spans="4:50" s="23" customFormat="1" x14ac:dyDescent="0.3">
      <c r="D1252" s="34"/>
      <c r="E1252" s="24"/>
      <c r="F1252" s="24"/>
      <c r="G1252" s="24"/>
      <c r="H1252" s="24"/>
      <c r="I1252" s="24"/>
      <c r="J1252" s="27"/>
      <c r="K1252" s="30"/>
      <c r="L1252" s="30"/>
      <c r="M1252" s="30"/>
      <c r="N1252" s="30"/>
      <c r="O1252" s="30"/>
      <c r="P1252" s="30"/>
      <c r="Q1252" s="30"/>
      <c r="R1252" s="30"/>
      <c r="S1252" s="30"/>
      <c r="T1252" s="30"/>
      <c r="U1252" s="30"/>
      <c r="V1252" s="30"/>
      <c r="W1252" s="30"/>
      <c r="X1252" s="30"/>
      <c r="Y1252" s="30"/>
      <c r="Z1252" s="30"/>
      <c r="AA1252" s="30"/>
      <c r="AB1252" s="30"/>
      <c r="AC1252" s="30"/>
      <c r="AD1252" s="30"/>
      <c r="AE1252" s="30"/>
      <c r="AF1252" s="30"/>
      <c r="AG1252" s="30"/>
      <c r="AH1252" s="30"/>
      <c r="AI1252" s="30"/>
      <c r="AJ1252" s="30"/>
      <c r="AK1252" s="30"/>
      <c r="AL1252" s="30"/>
      <c r="AM1252" s="30"/>
      <c r="AN1252" s="30"/>
      <c r="AO1252" s="30"/>
      <c r="AP1252" s="30"/>
      <c r="AQ1252" s="30"/>
      <c r="AR1252" s="30"/>
      <c r="AS1252" s="30"/>
      <c r="AT1252" s="30"/>
      <c r="AU1252" s="30"/>
      <c r="AV1252" s="30"/>
      <c r="AW1252" s="30"/>
      <c r="AX1252" s="30"/>
    </row>
    <row r="1253" spans="4:50" s="23" customFormat="1" x14ac:dyDescent="0.3">
      <c r="D1253" s="34"/>
      <c r="E1253" s="24"/>
      <c r="F1253" s="24"/>
      <c r="G1253" s="24"/>
      <c r="H1253" s="24"/>
      <c r="I1253" s="24"/>
      <c r="J1253" s="27"/>
      <c r="K1253" s="30"/>
      <c r="L1253" s="30"/>
      <c r="M1253" s="30"/>
      <c r="N1253" s="30"/>
      <c r="O1253" s="30"/>
      <c r="P1253" s="30"/>
      <c r="Q1253" s="30"/>
      <c r="R1253" s="30"/>
      <c r="S1253" s="30"/>
      <c r="T1253" s="30"/>
      <c r="U1253" s="30"/>
      <c r="V1253" s="30"/>
      <c r="W1253" s="30"/>
      <c r="X1253" s="30"/>
      <c r="Y1253" s="30"/>
      <c r="Z1253" s="30"/>
      <c r="AA1253" s="30"/>
      <c r="AB1253" s="30"/>
      <c r="AC1253" s="30"/>
      <c r="AD1253" s="30"/>
      <c r="AE1253" s="30"/>
      <c r="AF1253" s="30"/>
      <c r="AG1253" s="30"/>
      <c r="AH1253" s="30"/>
      <c r="AI1253" s="30"/>
      <c r="AJ1253" s="30"/>
      <c r="AK1253" s="30"/>
      <c r="AL1253" s="30"/>
      <c r="AM1253" s="30"/>
      <c r="AN1253" s="30"/>
      <c r="AO1253" s="30"/>
      <c r="AP1253" s="30"/>
      <c r="AQ1253" s="30"/>
      <c r="AR1253" s="30"/>
      <c r="AS1253" s="30"/>
      <c r="AT1253" s="30"/>
      <c r="AU1253" s="30"/>
      <c r="AV1253" s="30"/>
      <c r="AW1253" s="30"/>
      <c r="AX1253" s="30"/>
    </row>
    <row r="1254" spans="4:50" s="23" customFormat="1" x14ac:dyDescent="0.3">
      <c r="D1254" s="34"/>
      <c r="E1254" s="24"/>
      <c r="F1254" s="24"/>
      <c r="G1254" s="24"/>
      <c r="H1254" s="24"/>
      <c r="I1254" s="24"/>
      <c r="J1254" s="27"/>
      <c r="K1254" s="30"/>
      <c r="L1254" s="30"/>
      <c r="M1254" s="30"/>
      <c r="N1254" s="30"/>
      <c r="O1254" s="30"/>
      <c r="P1254" s="30"/>
      <c r="Q1254" s="30"/>
      <c r="R1254" s="30"/>
      <c r="S1254" s="30"/>
      <c r="T1254" s="30"/>
      <c r="U1254" s="30"/>
      <c r="V1254" s="30"/>
      <c r="W1254" s="30"/>
      <c r="X1254" s="30"/>
      <c r="Y1254" s="30"/>
      <c r="Z1254" s="30"/>
      <c r="AA1254" s="30"/>
      <c r="AB1254" s="30"/>
      <c r="AC1254" s="30"/>
      <c r="AD1254" s="30"/>
      <c r="AE1254" s="30"/>
      <c r="AF1254" s="30"/>
      <c r="AG1254" s="30"/>
      <c r="AH1254" s="30"/>
      <c r="AI1254" s="30"/>
      <c r="AJ1254" s="30"/>
      <c r="AK1254" s="30"/>
      <c r="AL1254" s="30"/>
      <c r="AM1254" s="30"/>
      <c r="AN1254" s="30"/>
      <c r="AO1254" s="30"/>
      <c r="AP1254" s="30"/>
      <c r="AQ1254" s="30"/>
      <c r="AR1254" s="30"/>
      <c r="AS1254" s="30"/>
      <c r="AT1254" s="30"/>
      <c r="AU1254" s="30"/>
      <c r="AV1254" s="30"/>
      <c r="AW1254" s="30"/>
      <c r="AX1254" s="30"/>
    </row>
    <row r="1255" spans="4:50" s="23" customFormat="1" x14ac:dyDescent="0.3">
      <c r="D1255" s="34"/>
      <c r="E1255" s="24"/>
      <c r="F1255" s="24"/>
      <c r="G1255" s="24"/>
      <c r="H1255" s="24"/>
      <c r="I1255" s="24"/>
      <c r="J1255" s="27"/>
      <c r="K1255" s="30"/>
      <c r="L1255" s="30"/>
      <c r="M1255" s="30"/>
      <c r="N1255" s="30"/>
      <c r="O1255" s="30"/>
      <c r="P1255" s="30"/>
      <c r="Q1255" s="30"/>
      <c r="R1255" s="30"/>
      <c r="S1255" s="30"/>
      <c r="T1255" s="30"/>
      <c r="U1255" s="30"/>
      <c r="V1255" s="30"/>
      <c r="W1255" s="30"/>
      <c r="X1255" s="30"/>
      <c r="Y1255" s="30"/>
      <c r="Z1255" s="30"/>
      <c r="AA1255" s="30"/>
      <c r="AB1255" s="30"/>
      <c r="AC1255" s="30"/>
      <c r="AD1255" s="30"/>
      <c r="AE1255" s="30"/>
      <c r="AF1255" s="30"/>
      <c r="AG1255" s="30"/>
      <c r="AH1255" s="30"/>
      <c r="AI1255" s="30"/>
      <c r="AJ1255" s="30"/>
      <c r="AK1255" s="30"/>
      <c r="AL1255" s="30"/>
      <c r="AM1255" s="30"/>
      <c r="AN1255" s="30"/>
      <c r="AO1255" s="30"/>
      <c r="AP1255" s="30"/>
      <c r="AQ1255" s="30"/>
      <c r="AR1255" s="30"/>
      <c r="AS1255" s="30"/>
      <c r="AT1255" s="30"/>
      <c r="AU1255" s="30"/>
      <c r="AV1255" s="30"/>
      <c r="AW1255" s="30"/>
      <c r="AX1255" s="30"/>
    </row>
    <row r="1256" spans="4:50" s="23" customFormat="1" x14ac:dyDescent="0.3">
      <c r="D1256" s="34"/>
      <c r="E1256" s="24"/>
      <c r="F1256" s="24"/>
      <c r="G1256" s="24"/>
      <c r="H1256" s="24"/>
      <c r="I1256" s="24"/>
      <c r="J1256" s="27"/>
      <c r="K1256" s="30"/>
      <c r="L1256" s="30"/>
      <c r="M1256" s="30"/>
      <c r="N1256" s="30"/>
      <c r="O1256" s="30"/>
      <c r="P1256" s="30"/>
      <c r="Q1256" s="30"/>
      <c r="R1256" s="30"/>
      <c r="S1256" s="30"/>
      <c r="T1256" s="30"/>
      <c r="U1256" s="30"/>
      <c r="V1256" s="30"/>
      <c r="W1256" s="30"/>
      <c r="X1256" s="30"/>
      <c r="Y1256" s="30"/>
      <c r="Z1256" s="30"/>
      <c r="AA1256" s="30"/>
      <c r="AB1256" s="30"/>
      <c r="AC1256" s="30"/>
      <c r="AD1256" s="30"/>
      <c r="AE1256" s="30"/>
      <c r="AF1256" s="30"/>
      <c r="AG1256" s="30"/>
      <c r="AH1256" s="30"/>
      <c r="AI1256" s="30"/>
      <c r="AJ1256" s="30"/>
      <c r="AK1256" s="30"/>
      <c r="AL1256" s="30"/>
      <c r="AM1256" s="30"/>
      <c r="AN1256" s="30"/>
      <c r="AO1256" s="30"/>
      <c r="AP1256" s="30"/>
      <c r="AQ1256" s="30"/>
      <c r="AR1256" s="30"/>
      <c r="AS1256" s="30"/>
      <c r="AT1256" s="30"/>
      <c r="AU1256" s="30"/>
      <c r="AV1256" s="30"/>
      <c r="AW1256" s="30"/>
      <c r="AX1256" s="30"/>
    </row>
    <row r="1257" spans="4:50" s="23" customFormat="1" x14ac:dyDescent="0.3">
      <c r="D1257" s="34"/>
      <c r="E1257" s="24"/>
      <c r="F1257" s="24"/>
      <c r="G1257" s="24"/>
      <c r="H1257" s="24"/>
      <c r="I1257" s="24"/>
      <c r="J1257" s="27"/>
      <c r="K1257" s="30"/>
      <c r="L1257" s="30"/>
      <c r="M1257" s="30"/>
      <c r="N1257" s="30"/>
      <c r="O1257" s="30"/>
      <c r="P1257" s="30"/>
      <c r="Q1257" s="30"/>
      <c r="R1257" s="30"/>
      <c r="S1257" s="30"/>
      <c r="T1257" s="30"/>
      <c r="U1257" s="30"/>
      <c r="V1257" s="30"/>
      <c r="W1257" s="30"/>
      <c r="X1257" s="30"/>
      <c r="Y1257" s="30"/>
      <c r="Z1257" s="30"/>
      <c r="AA1257" s="30"/>
      <c r="AB1257" s="30"/>
      <c r="AC1257" s="30"/>
      <c r="AD1257" s="30"/>
      <c r="AE1257" s="30"/>
      <c r="AF1257" s="30"/>
      <c r="AG1257" s="30"/>
      <c r="AH1257" s="30"/>
      <c r="AI1257" s="30"/>
      <c r="AJ1257" s="30"/>
      <c r="AK1257" s="30"/>
      <c r="AL1257" s="30"/>
      <c r="AM1257" s="30"/>
      <c r="AN1257" s="30"/>
      <c r="AO1257" s="30"/>
      <c r="AP1257" s="30"/>
      <c r="AQ1257" s="30"/>
      <c r="AR1257" s="30"/>
      <c r="AS1257" s="30"/>
      <c r="AT1257" s="30"/>
      <c r="AU1257" s="30"/>
      <c r="AV1257" s="30"/>
      <c r="AW1257" s="30"/>
      <c r="AX1257" s="30"/>
    </row>
    <row r="1258" spans="4:50" s="23" customFormat="1" x14ac:dyDescent="0.3">
      <c r="D1258" s="34"/>
      <c r="E1258" s="24"/>
      <c r="F1258" s="24"/>
      <c r="G1258" s="24"/>
      <c r="H1258" s="24"/>
      <c r="I1258" s="24"/>
      <c r="J1258" s="27"/>
      <c r="K1258" s="30"/>
      <c r="L1258" s="30"/>
      <c r="M1258" s="30"/>
      <c r="N1258" s="30"/>
      <c r="O1258" s="30"/>
      <c r="P1258" s="30"/>
      <c r="Q1258" s="30"/>
      <c r="R1258" s="30"/>
      <c r="S1258" s="30"/>
      <c r="T1258" s="30"/>
      <c r="U1258" s="30"/>
      <c r="V1258" s="30"/>
      <c r="W1258" s="30"/>
      <c r="X1258" s="30"/>
      <c r="Y1258" s="30"/>
      <c r="Z1258" s="30"/>
      <c r="AA1258" s="30"/>
      <c r="AB1258" s="30"/>
      <c r="AC1258" s="30"/>
      <c r="AD1258" s="30"/>
      <c r="AE1258" s="30"/>
      <c r="AF1258" s="30"/>
      <c r="AG1258" s="30"/>
      <c r="AH1258" s="30"/>
      <c r="AI1258" s="30"/>
      <c r="AJ1258" s="30"/>
      <c r="AK1258" s="30"/>
      <c r="AL1258" s="30"/>
      <c r="AM1258" s="30"/>
      <c r="AN1258" s="30"/>
      <c r="AO1258" s="30"/>
      <c r="AP1258" s="30"/>
      <c r="AQ1258" s="30"/>
      <c r="AR1258" s="30"/>
      <c r="AS1258" s="30"/>
      <c r="AT1258" s="30"/>
      <c r="AU1258" s="30"/>
      <c r="AV1258" s="30"/>
      <c r="AW1258" s="30"/>
      <c r="AX1258" s="30"/>
    </row>
    <row r="1259" spans="4:50" s="23" customFormat="1" x14ac:dyDescent="0.3">
      <c r="D1259" s="34"/>
      <c r="E1259" s="24"/>
      <c r="F1259" s="24"/>
      <c r="G1259" s="24"/>
      <c r="H1259" s="24"/>
      <c r="I1259" s="24"/>
      <c r="J1259" s="27"/>
      <c r="K1259" s="30"/>
      <c r="L1259" s="30"/>
      <c r="M1259" s="30"/>
      <c r="N1259" s="30"/>
      <c r="O1259" s="30"/>
      <c r="P1259" s="30"/>
      <c r="Q1259" s="30"/>
      <c r="R1259" s="30"/>
      <c r="S1259" s="30"/>
      <c r="T1259" s="30"/>
      <c r="U1259" s="30"/>
      <c r="V1259" s="30"/>
      <c r="W1259" s="30"/>
      <c r="X1259" s="30"/>
      <c r="Y1259" s="30"/>
      <c r="Z1259" s="30"/>
      <c r="AA1259" s="30"/>
      <c r="AB1259" s="30"/>
      <c r="AC1259" s="30"/>
      <c r="AD1259" s="30"/>
      <c r="AE1259" s="30"/>
      <c r="AF1259" s="30"/>
      <c r="AG1259" s="30"/>
      <c r="AH1259" s="30"/>
      <c r="AI1259" s="30"/>
      <c r="AJ1259" s="30"/>
      <c r="AK1259" s="30"/>
      <c r="AL1259" s="30"/>
      <c r="AM1259" s="30"/>
      <c r="AN1259" s="30"/>
      <c r="AO1259" s="30"/>
      <c r="AP1259" s="30"/>
      <c r="AQ1259" s="30"/>
      <c r="AR1259" s="30"/>
      <c r="AS1259" s="30"/>
      <c r="AT1259" s="30"/>
      <c r="AU1259" s="30"/>
      <c r="AV1259" s="30"/>
      <c r="AW1259" s="30"/>
      <c r="AX1259" s="30"/>
    </row>
    <row r="1260" spans="4:50" s="23" customFormat="1" x14ac:dyDescent="0.3">
      <c r="D1260" s="34"/>
      <c r="E1260" s="24"/>
      <c r="F1260" s="24"/>
      <c r="G1260" s="24"/>
      <c r="H1260" s="24"/>
      <c r="I1260" s="24"/>
      <c r="J1260" s="27"/>
      <c r="K1260" s="30"/>
      <c r="L1260" s="30"/>
      <c r="M1260" s="30"/>
      <c r="N1260" s="30"/>
      <c r="O1260" s="30"/>
      <c r="P1260" s="30"/>
      <c r="Q1260" s="30"/>
      <c r="R1260" s="30"/>
      <c r="S1260" s="30"/>
      <c r="T1260" s="30"/>
      <c r="U1260" s="30"/>
      <c r="V1260" s="30"/>
      <c r="W1260" s="30"/>
      <c r="X1260" s="30"/>
      <c r="Y1260" s="30"/>
      <c r="Z1260" s="30"/>
      <c r="AA1260" s="30"/>
      <c r="AB1260" s="30"/>
      <c r="AC1260" s="30"/>
      <c r="AD1260" s="30"/>
      <c r="AE1260" s="30"/>
      <c r="AF1260" s="30"/>
      <c r="AG1260" s="30"/>
      <c r="AH1260" s="30"/>
      <c r="AI1260" s="30"/>
      <c r="AJ1260" s="30"/>
      <c r="AK1260" s="30"/>
      <c r="AL1260" s="30"/>
      <c r="AM1260" s="30"/>
      <c r="AN1260" s="30"/>
      <c r="AO1260" s="30"/>
      <c r="AP1260" s="30"/>
      <c r="AQ1260" s="30"/>
      <c r="AR1260" s="30"/>
      <c r="AS1260" s="30"/>
      <c r="AT1260" s="30"/>
      <c r="AU1260" s="30"/>
      <c r="AV1260" s="30"/>
      <c r="AW1260" s="30"/>
      <c r="AX1260" s="30"/>
    </row>
    <row r="1261" spans="4:50" s="23" customFormat="1" x14ac:dyDescent="0.3">
      <c r="D1261" s="34"/>
      <c r="E1261" s="24"/>
      <c r="F1261" s="24"/>
      <c r="G1261" s="24"/>
      <c r="H1261" s="24"/>
      <c r="I1261" s="24"/>
      <c r="J1261" s="27"/>
      <c r="K1261" s="30"/>
      <c r="L1261" s="30"/>
      <c r="M1261" s="30"/>
      <c r="N1261" s="30"/>
      <c r="O1261" s="30"/>
      <c r="P1261" s="30"/>
      <c r="Q1261" s="30"/>
      <c r="R1261" s="30"/>
      <c r="S1261" s="30"/>
      <c r="T1261" s="30"/>
      <c r="U1261" s="30"/>
      <c r="V1261" s="30"/>
      <c r="W1261" s="30"/>
      <c r="X1261" s="30"/>
      <c r="Y1261" s="30"/>
      <c r="Z1261" s="30"/>
      <c r="AA1261" s="30"/>
      <c r="AB1261" s="30"/>
      <c r="AC1261" s="30"/>
      <c r="AD1261" s="30"/>
      <c r="AE1261" s="30"/>
      <c r="AF1261" s="30"/>
      <c r="AG1261" s="30"/>
      <c r="AH1261" s="30"/>
      <c r="AI1261" s="30"/>
      <c r="AJ1261" s="30"/>
      <c r="AK1261" s="30"/>
      <c r="AL1261" s="30"/>
      <c r="AM1261" s="30"/>
      <c r="AN1261" s="30"/>
      <c r="AO1261" s="30"/>
      <c r="AP1261" s="30"/>
      <c r="AQ1261" s="30"/>
      <c r="AR1261" s="30"/>
      <c r="AS1261" s="30"/>
      <c r="AT1261" s="30"/>
      <c r="AU1261" s="30"/>
      <c r="AV1261" s="30"/>
      <c r="AW1261" s="30"/>
      <c r="AX1261" s="30"/>
    </row>
    <row r="1262" spans="4:50" s="23" customFormat="1" x14ac:dyDescent="0.3">
      <c r="D1262" s="34"/>
      <c r="E1262" s="24"/>
      <c r="F1262" s="24"/>
      <c r="G1262" s="24"/>
      <c r="H1262" s="24"/>
      <c r="I1262" s="24"/>
      <c r="J1262" s="27"/>
      <c r="K1262" s="30"/>
      <c r="L1262" s="30"/>
      <c r="M1262" s="30"/>
      <c r="N1262" s="30"/>
      <c r="O1262" s="30"/>
      <c r="P1262" s="30"/>
      <c r="Q1262" s="30"/>
      <c r="R1262" s="30"/>
      <c r="S1262" s="30"/>
      <c r="T1262" s="30"/>
      <c r="U1262" s="30"/>
      <c r="V1262" s="30"/>
      <c r="W1262" s="30"/>
      <c r="X1262" s="30"/>
      <c r="Y1262" s="30"/>
      <c r="Z1262" s="30"/>
      <c r="AA1262" s="30"/>
      <c r="AB1262" s="30"/>
      <c r="AC1262" s="30"/>
      <c r="AD1262" s="30"/>
      <c r="AE1262" s="30"/>
      <c r="AF1262" s="30"/>
      <c r="AG1262" s="30"/>
      <c r="AH1262" s="30"/>
      <c r="AI1262" s="30"/>
      <c r="AJ1262" s="30"/>
      <c r="AK1262" s="30"/>
      <c r="AL1262" s="30"/>
      <c r="AM1262" s="30"/>
      <c r="AN1262" s="30"/>
      <c r="AO1262" s="30"/>
      <c r="AP1262" s="30"/>
      <c r="AQ1262" s="30"/>
      <c r="AR1262" s="30"/>
      <c r="AS1262" s="30"/>
      <c r="AT1262" s="30"/>
      <c r="AU1262" s="30"/>
      <c r="AV1262" s="30"/>
      <c r="AW1262" s="30"/>
      <c r="AX1262" s="30"/>
    </row>
    <row r="1263" spans="4:50" s="23" customFormat="1" x14ac:dyDescent="0.3">
      <c r="D1263" s="34"/>
      <c r="E1263" s="24"/>
      <c r="F1263" s="24"/>
      <c r="G1263" s="24"/>
      <c r="H1263" s="24"/>
      <c r="I1263" s="24"/>
      <c r="J1263" s="27"/>
      <c r="K1263" s="30"/>
      <c r="L1263" s="30"/>
      <c r="M1263" s="30"/>
      <c r="N1263" s="30"/>
      <c r="O1263" s="30"/>
      <c r="P1263" s="30"/>
      <c r="Q1263" s="30"/>
      <c r="R1263" s="30"/>
      <c r="S1263" s="30"/>
      <c r="T1263" s="30"/>
      <c r="U1263" s="30"/>
      <c r="V1263" s="30"/>
      <c r="W1263" s="30"/>
      <c r="X1263" s="30"/>
      <c r="Y1263" s="30"/>
      <c r="Z1263" s="30"/>
      <c r="AA1263" s="30"/>
      <c r="AB1263" s="30"/>
      <c r="AC1263" s="30"/>
      <c r="AD1263" s="30"/>
      <c r="AE1263" s="30"/>
      <c r="AF1263" s="30"/>
      <c r="AG1263" s="30"/>
      <c r="AH1263" s="30"/>
      <c r="AI1263" s="30"/>
      <c r="AJ1263" s="30"/>
      <c r="AK1263" s="30"/>
      <c r="AL1263" s="30"/>
      <c r="AM1263" s="30"/>
      <c r="AN1263" s="30"/>
      <c r="AO1263" s="30"/>
      <c r="AP1263" s="30"/>
      <c r="AQ1263" s="30"/>
      <c r="AR1263" s="30"/>
      <c r="AS1263" s="30"/>
      <c r="AT1263" s="30"/>
      <c r="AU1263" s="30"/>
      <c r="AV1263" s="30"/>
      <c r="AW1263" s="30"/>
      <c r="AX1263" s="30"/>
    </row>
    <row r="1264" spans="4:50" s="23" customFormat="1" x14ac:dyDescent="0.3">
      <c r="D1264" s="34"/>
      <c r="E1264" s="24"/>
      <c r="F1264" s="24"/>
      <c r="G1264" s="24"/>
      <c r="H1264" s="24"/>
      <c r="I1264" s="24"/>
      <c r="J1264" s="27"/>
      <c r="K1264" s="30"/>
      <c r="L1264" s="30"/>
      <c r="M1264" s="30"/>
      <c r="N1264" s="30"/>
      <c r="O1264" s="30"/>
      <c r="P1264" s="30"/>
      <c r="Q1264" s="30"/>
      <c r="R1264" s="30"/>
      <c r="S1264" s="30"/>
      <c r="T1264" s="30"/>
      <c r="U1264" s="30"/>
      <c r="V1264" s="30"/>
      <c r="W1264" s="30"/>
      <c r="X1264" s="30"/>
      <c r="Y1264" s="30"/>
      <c r="Z1264" s="30"/>
      <c r="AA1264" s="30"/>
      <c r="AB1264" s="30"/>
      <c r="AC1264" s="30"/>
      <c r="AD1264" s="30"/>
      <c r="AE1264" s="30"/>
      <c r="AF1264" s="30"/>
      <c r="AG1264" s="30"/>
      <c r="AH1264" s="30"/>
      <c r="AI1264" s="30"/>
      <c r="AJ1264" s="30"/>
      <c r="AK1264" s="30"/>
      <c r="AL1264" s="30"/>
      <c r="AM1264" s="30"/>
      <c r="AN1264" s="30"/>
      <c r="AO1264" s="30"/>
      <c r="AP1264" s="30"/>
      <c r="AQ1264" s="30"/>
      <c r="AR1264" s="30"/>
      <c r="AS1264" s="30"/>
      <c r="AT1264" s="30"/>
      <c r="AU1264" s="30"/>
      <c r="AV1264" s="30"/>
      <c r="AW1264" s="30"/>
      <c r="AX1264" s="30"/>
    </row>
    <row r="1265" spans="4:50" s="23" customFormat="1" x14ac:dyDescent="0.3">
      <c r="D1265" s="34"/>
      <c r="E1265" s="24"/>
      <c r="F1265" s="24"/>
      <c r="G1265" s="24"/>
      <c r="H1265" s="24"/>
      <c r="I1265" s="24"/>
      <c r="J1265" s="27"/>
      <c r="K1265" s="30"/>
      <c r="L1265" s="30"/>
      <c r="M1265" s="30"/>
      <c r="N1265" s="30"/>
      <c r="O1265" s="30"/>
      <c r="P1265" s="30"/>
      <c r="Q1265" s="30"/>
      <c r="R1265" s="30"/>
      <c r="S1265" s="30"/>
      <c r="T1265" s="30"/>
      <c r="U1265" s="30"/>
      <c r="V1265" s="30"/>
      <c r="W1265" s="30"/>
      <c r="X1265" s="30"/>
      <c r="Y1265" s="30"/>
      <c r="Z1265" s="30"/>
      <c r="AA1265" s="30"/>
      <c r="AB1265" s="30"/>
      <c r="AC1265" s="30"/>
      <c r="AD1265" s="30"/>
      <c r="AE1265" s="30"/>
      <c r="AF1265" s="30"/>
      <c r="AG1265" s="30"/>
      <c r="AH1265" s="30"/>
      <c r="AI1265" s="30"/>
      <c r="AJ1265" s="30"/>
      <c r="AK1265" s="30"/>
      <c r="AL1265" s="30"/>
      <c r="AM1265" s="30"/>
      <c r="AN1265" s="30"/>
      <c r="AO1265" s="30"/>
      <c r="AP1265" s="30"/>
      <c r="AQ1265" s="30"/>
      <c r="AR1265" s="30"/>
      <c r="AS1265" s="30"/>
      <c r="AT1265" s="30"/>
      <c r="AU1265" s="30"/>
      <c r="AV1265" s="30"/>
      <c r="AW1265" s="30"/>
      <c r="AX1265" s="30"/>
    </row>
    <row r="1266" spans="4:50" s="23" customFormat="1" x14ac:dyDescent="0.3">
      <c r="D1266" s="34"/>
      <c r="E1266" s="24"/>
      <c r="F1266" s="24"/>
      <c r="G1266" s="24"/>
      <c r="H1266" s="24"/>
      <c r="I1266" s="24"/>
      <c r="J1266" s="27"/>
      <c r="K1266" s="30"/>
      <c r="L1266" s="30"/>
      <c r="M1266" s="30"/>
      <c r="N1266" s="30"/>
      <c r="O1266" s="30"/>
      <c r="P1266" s="30"/>
      <c r="Q1266" s="30"/>
      <c r="R1266" s="30"/>
      <c r="S1266" s="30"/>
      <c r="T1266" s="30"/>
      <c r="U1266" s="30"/>
      <c r="V1266" s="30"/>
      <c r="W1266" s="30"/>
      <c r="X1266" s="30"/>
      <c r="Y1266" s="30"/>
      <c r="Z1266" s="30"/>
      <c r="AA1266" s="30"/>
      <c r="AB1266" s="30"/>
      <c r="AC1266" s="30"/>
      <c r="AD1266" s="30"/>
      <c r="AE1266" s="30"/>
      <c r="AF1266" s="30"/>
      <c r="AG1266" s="30"/>
      <c r="AH1266" s="30"/>
      <c r="AI1266" s="30"/>
      <c r="AJ1266" s="30"/>
      <c r="AK1266" s="30"/>
      <c r="AL1266" s="30"/>
      <c r="AM1266" s="30"/>
      <c r="AN1266" s="30"/>
      <c r="AO1266" s="30"/>
      <c r="AP1266" s="30"/>
      <c r="AQ1266" s="30"/>
      <c r="AR1266" s="30"/>
      <c r="AS1266" s="30"/>
      <c r="AT1266" s="30"/>
      <c r="AU1266" s="30"/>
      <c r="AV1266" s="30"/>
      <c r="AW1266" s="30"/>
      <c r="AX1266" s="30"/>
    </row>
    <row r="1267" spans="4:50" s="23" customFormat="1" x14ac:dyDescent="0.3">
      <c r="D1267" s="34"/>
      <c r="E1267" s="24"/>
      <c r="F1267" s="24"/>
      <c r="G1267" s="24"/>
      <c r="H1267" s="24"/>
      <c r="I1267" s="24"/>
      <c r="J1267" s="27"/>
      <c r="K1267" s="30"/>
      <c r="L1267" s="30"/>
      <c r="M1267" s="30"/>
      <c r="N1267" s="30"/>
      <c r="O1267" s="30"/>
      <c r="P1267" s="30"/>
      <c r="Q1267" s="30"/>
      <c r="R1267" s="30"/>
      <c r="S1267" s="30"/>
      <c r="T1267" s="30"/>
      <c r="U1267" s="30"/>
      <c r="V1267" s="30"/>
      <c r="W1267" s="30"/>
      <c r="X1267" s="30"/>
      <c r="Y1267" s="30"/>
      <c r="Z1267" s="30"/>
      <c r="AA1267" s="30"/>
      <c r="AB1267" s="30"/>
      <c r="AC1267" s="30"/>
      <c r="AD1267" s="30"/>
      <c r="AE1267" s="30"/>
      <c r="AF1267" s="30"/>
      <c r="AG1267" s="30"/>
      <c r="AH1267" s="30"/>
      <c r="AI1267" s="30"/>
      <c r="AJ1267" s="30"/>
      <c r="AK1267" s="30"/>
      <c r="AL1267" s="30"/>
      <c r="AM1267" s="30"/>
      <c r="AN1267" s="30"/>
      <c r="AO1267" s="30"/>
      <c r="AP1267" s="30"/>
      <c r="AQ1267" s="30"/>
      <c r="AR1267" s="30"/>
      <c r="AS1267" s="30"/>
      <c r="AT1267" s="30"/>
      <c r="AU1267" s="30"/>
      <c r="AV1267" s="30"/>
      <c r="AW1267" s="30"/>
      <c r="AX1267" s="30"/>
    </row>
    <row r="1268" spans="4:50" s="23" customFormat="1" x14ac:dyDescent="0.3">
      <c r="D1268" s="34"/>
      <c r="E1268" s="24"/>
      <c r="F1268" s="24"/>
      <c r="G1268" s="24"/>
      <c r="H1268" s="24"/>
      <c r="I1268" s="24"/>
      <c r="J1268" s="27"/>
      <c r="K1268" s="30"/>
      <c r="L1268" s="30"/>
      <c r="M1268" s="30"/>
      <c r="N1268" s="30"/>
      <c r="O1268" s="30"/>
      <c r="P1268" s="30"/>
      <c r="Q1268" s="30"/>
      <c r="R1268" s="30"/>
      <c r="S1268" s="30"/>
      <c r="T1268" s="30"/>
      <c r="U1268" s="30"/>
      <c r="V1268" s="30"/>
      <c r="W1268" s="30"/>
      <c r="X1268" s="30"/>
      <c r="Y1268" s="30"/>
      <c r="Z1268" s="30"/>
      <c r="AA1268" s="30"/>
      <c r="AB1268" s="30"/>
      <c r="AC1268" s="30"/>
      <c r="AD1268" s="30"/>
      <c r="AE1268" s="30"/>
      <c r="AF1268" s="30"/>
      <c r="AG1268" s="30"/>
      <c r="AH1268" s="30"/>
      <c r="AI1268" s="30"/>
      <c r="AJ1268" s="30"/>
      <c r="AK1268" s="30"/>
      <c r="AL1268" s="30"/>
      <c r="AM1268" s="30"/>
      <c r="AN1268" s="30"/>
      <c r="AO1268" s="30"/>
      <c r="AP1268" s="30"/>
      <c r="AQ1268" s="30"/>
      <c r="AR1268" s="30"/>
      <c r="AS1268" s="30"/>
      <c r="AT1268" s="30"/>
      <c r="AU1268" s="30"/>
      <c r="AV1268" s="30"/>
      <c r="AW1268" s="30"/>
      <c r="AX1268" s="30"/>
    </row>
    <row r="1269" spans="4:50" s="23" customFormat="1" x14ac:dyDescent="0.3">
      <c r="D1269" s="34"/>
      <c r="E1269" s="24"/>
      <c r="F1269" s="24"/>
      <c r="G1269" s="24"/>
      <c r="H1269" s="24"/>
      <c r="I1269" s="24"/>
      <c r="J1269" s="27"/>
      <c r="K1269" s="30"/>
      <c r="L1269" s="30"/>
      <c r="M1269" s="30"/>
      <c r="N1269" s="30"/>
      <c r="O1269" s="30"/>
      <c r="P1269" s="30"/>
      <c r="Q1269" s="30"/>
      <c r="R1269" s="30"/>
      <c r="S1269" s="30"/>
      <c r="T1269" s="30"/>
      <c r="U1269" s="30"/>
      <c r="V1269" s="30"/>
      <c r="W1269" s="30"/>
      <c r="X1269" s="30"/>
      <c r="Y1269" s="30"/>
      <c r="Z1269" s="30"/>
      <c r="AA1269" s="30"/>
      <c r="AB1269" s="30"/>
      <c r="AC1269" s="30"/>
      <c r="AD1269" s="30"/>
      <c r="AE1269" s="30"/>
      <c r="AF1269" s="30"/>
      <c r="AG1269" s="30"/>
      <c r="AH1269" s="30"/>
      <c r="AI1269" s="30"/>
      <c r="AJ1269" s="30"/>
      <c r="AK1269" s="30"/>
      <c r="AL1269" s="30"/>
      <c r="AM1269" s="30"/>
      <c r="AN1269" s="30"/>
      <c r="AO1269" s="30"/>
      <c r="AP1269" s="30"/>
      <c r="AQ1269" s="30"/>
      <c r="AR1269" s="30"/>
      <c r="AS1269" s="30"/>
      <c r="AT1269" s="30"/>
      <c r="AU1269" s="30"/>
      <c r="AV1269" s="30"/>
      <c r="AW1269" s="30"/>
      <c r="AX1269" s="30"/>
    </row>
    <row r="1270" spans="4:50" s="23" customFormat="1" x14ac:dyDescent="0.3">
      <c r="D1270" s="34"/>
      <c r="E1270" s="24"/>
      <c r="F1270" s="24"/>
      <c r="G1270" s="24"/>
      <c r="H1270" s="24"/>
      <c r="I1270" s="24"/>
      <c r="J1270" s="27"/>
      <c r="K1270" s="30"/>
      <c r="L1270" s="30"/>
      <c r="M1270" s="30"/>
      <c r="N1270" s="30"/>
      <c r="O1270" s="30"/>
      <c r="P1270" s="30"/>
      <c r="Q1270" s="30"/>
      <c r="R1270" s="30"/>
      <c r="S1270" s="30"/>
      <c r="T1270" s="30"/>
      <c r="U1270" s="30"/>
      <c r="V1270" s="30"/>
      <c r="W1270" s="30"/>
      <c r="X1270" s="30"/>
      <c r="Y1270" s="30"/>
      <c r="Z1270" s="30"/>
      <c r="AA1270" s="30"/>
      <c r="AB1270" s="30"/>
      <c r="AC1270" s="30"/>
      <c r="AD1270" s="30"/>
      <c r="AE1270" s="30"/>
      <c r="AF1270" s="30"/>
      <c r="AG1270" s="30"/>
      <c r="AH1270" s="30"/>
      <c r="AI1270" s="30"/>
      <c r="AJ1270" s="30"/>
      <c r="AK1270" s="30"/>
      <c r="AL1270" s="30"/>
      <c r="AM1270" s="30"/>
      <c r="AN1270" s="30"/>
      <c r="AO1270" s="30"/>
      <c r="AP1270" s="30"/>
      <c r="AQ1270" s="30"/>
      <c r="AR1270" s="30"/>
      <c r="AS1270" s="30"/>
      <c r="AT1270" s="30"/>
      <c r="AU1270" s="30"/>
      <c r="AV1270" s="30"/>
      <c r="AW1270" s="30"/>
      <c r="AX1270" s="30"/>
    </row>
    <row r="1271" spans="4:50" s="23" customFormat="1" x14ac:dyDescent="0.3">
      <c r="D1271" s="34"/>
      <c r="E1271" s="24"/>
      <c r="F1271" s="24"/>
      <c r="G1271" s="24"/>
      <c r="H1271" s="24"/>
      <c r="I1271" s="24"/>
      <c r="J1271" s="27"/>
      <c r="K1271" s="30"/>
      <c r="L1271" s="30"/>
      <c r="M1271" s="30"/>
      <c r="N1271" s="30"/>
      <c r="O1271" s="30"/>
      <c r="P1271" s="30"/>
      <c r="Q1271" s="30"/>
      <c r="R1271" s="30"/>
      <c r="S1271" s="30"/>
      <c r="T1271" s="30"/>
      <c r="U1271" s="30"/>
      <c r="V1271" s="30"/>
      <c r="W1271" s="30"/>
      <c r="X1271" s="30"/>
      <c r="Y1271" s="30"/>
      <c r="Z1271" s="30"/>
      <c r="AA1271" s="30"/>
      <c r="AB1271" s="30"/>
      <c r="AC1271" s="30"/>
      <c r="AD1271" s="30"/>
      <c r="AE1271" s="30"/>
      <c r="AF1271" s="30"/>
      <c r="AG1271" s="30"/>
      <c r="AH1271" s="30"/>
      <c r="AI1271" s="30"/>
      <c r="AJ1271" s="30"/>
      <c r="AK1271" s="30"/>
      <c r="AL1271" s="30"/>
      <c r="AM1271" s="30"/>
      <c r="AN1271" s="30"/>
      <c r="AO1271" s="30"/>
      <c r="AP1271" s="30"/>
      <c r="AQ1271" s="30"/>
      <c r="AR1271" s="30"/>
      <c r="AS1271" s="30"/>
      <c r="AT1271" s="30"/>
      <c r="AU1271" s="30"/>
      <c r="AV1271" s="30"/>
      <c r="AW1271" s="30"/>
      <c r="AX1271" s="30"/>
    </row>
    <row r="1272" spans="4:50" s="23" customFormat="1" x14ac:dyDescent="0.3">
      <c r="D1272" s="34"/>
      <c r="E1272" s="24"/>
      <c r="F1272" s="24"/>
      <c r="G1272" s="24"/>
      <c r="H1272" s="24"/>
      <c r="I1272" s="24"/>
      <c r="J1272" s="27"/>
      <c r="K1272" s="30"/>
      <c r="L1272" s="30"/>
      <c r="M1272" s="30"/>
      <c r="N1272" s="30"/>
      <c r="O1272" s="30"/>
      <c r="P1272" s="30"/>
      <c r="Q1272" s="30"/>
      <c r="R1272" s="30"/>
      <c r="S1272" s="30"/>
      <c r="T1272" s="30"/>
      <c r="U1272" s="30"/>
      <c r="V1272" s="30"/>
      <c r="W1272" s="30"/>
      <c r="X1272" s="30"/>
      <c r="Y1272" s="30"/>
      <c r="Z1272" s="30"/>
      <c r="AA1272" s="30"/>
      <c r="AB1272" s="30"/>
      <c r="AC1272" s="30"/>
      <c r="AD1272" s="30"/>
      <c r="AE1272" s="30"/>
      <c r="AF1272" s="30"/>
      <c r="AG1272" s="30"/>
      <c r="AH1272" s="30"/>
      <c r="AI1272" s="30"/>
      <c r="AJ1272" s="30"/>
      <c r="AK1272" s="30"/>
      <c r="AL1272" s="30"/>
      <c r="AM1272" s="30"/>
      <c r="AN1272" s="30"/>
      <c r="AO1272" s="30"/>
      <c r="AP1272" s="30"/>
      <c r="AQ1272" s="30"/>
      <c r="AR1272" s="30"/>
      <c r="AS1272" s="30"/>
      <c r="AT1272" s="30"/>
      <c r="AU1272" s="30"/>
      <c r="AV1272" s="30"/>
      <c r="AW1272" s="30"/>
      <c r="AX1272" s="30"/>
    </row>
    <row r="1273" spans="4:50" s="23" customFormat="1" x14ac:dyDescent="0.3">
      <c r="D1273" s="34"/>
      <c r="E1273" s="24"/>
      <c r="F1273" s="24"/>
      <c r="G1273" s="24"/>
      <c r="H1273" s="24"/>
      <c r="I1273" s="24"/>
      <c r="J1273" s="27"/>
      <c r="K1273" s="30"/>
      <c r="L1273" s="30"/>
      <c r="M1273" s="30"/>
      <c r="N1273" s="30"/>
      <c r="O1273" s="30"/>
      <c r="P1273" s="30"/>
      <c r="Q1273" s="30"/>
      <c r="R1273" s="30"/>
      <c r="S1273" s="30"/>
      <c r="T1273" s="30"/>
      <c r="U1273" s="30"/>
      <c r="V1273" s="30"/>
      <c r="W1273" s="30"/>
      <c r="X1273" s="30"/>
      <c r="Y1273" s="30"/>
      <c r="Z1273" s="30"/>
      <c r="AA1273" s="30"/>
      <c r="AB1273" s="30"/>
      <c r="AC1273" s="30"/>
      <c r="AD1273" s="30"/>
      <c r="AE1273" s="30"/>
      <c r="AF1273" s="30"/>
      <c r="AG1273" s="30"/>
      <c r="AH1273" s="30"/>
      <c r="AI1273" s="30"/>
      <c r="AJ1273" s="30"/>
      <c r="AK1273" s="30"/>
      <c r="AL1273" s="30"/>
      <c r="AM1273" s="30"/>
      <c r="AN1273" s="30"/>
      <c r="AO1273" s="30"/>
      <c r="AP1273" s="30"/>
      <c r="AQ1273" s="30"/>
      <c r="AR1273" s="30"/>
      <c r="AS1273" s="30"/>
      <c r="AT1273" s="30"/>
      <c r="AU1273" s="30"/>
      <c r="AV1273" s="30"/>
      <c r="AW1273" s="30"/>
      <c r="AX1273" s="30"/>
    </row>
    <row r="1274" spans="4:50" s="23" customFormat="1" x14ac:dyDescent="0.3">
      <c r="D1274" s="34"/>
      <c r="E1274" s="24"/>
      <c r="F1274" s="24"/>
      <c r="G1274" s="24"/>
      <c r="H1274" s="24"/>
      <c r="I1274" s="24"/>
      <c r="J1274" s="27"/>
      <c r="K1274" s="30"/>
      <c r="L1274" s="30"/>
      <c r="M1274" s="30"/>
      <c r="N1274" s="30"/>
      <c r="O1274" s="30"/>
      <c r="P1274" s="30"/>
      <c r="Q1274" s="30"/>
      <c r="R1274" s="30"/>
      <c r="S1274" s="30"/>
      <c r="T1274" s="30"/>
      <c r="U1274" s="30"/>
      <c r="V1274" s="30"/>
      <c r="W1274" s="30"/>
      <c r="X1274" s="30"/>
      <c r="Y1274" s="30"/>
      <c r="Z1274" s="30"/>
      <c r="AA1274" s="30"/>
      <c r="AB1274" s="30"/>
      <c r="AC1274" s="30"/>
      <c r="AD1274" s="30"/>
      <c r="AE1274" s="30"/>
      <c r="AF1274" s="30"/>
      <c r="AG1274" s="30"/>
      <c r="AH1274" s="30"/>
      <c r="AI1274" s="30"/>
      <c r="AJ1274" s="30"/>
      <c r="AK1274" s="30"/>
      <c r="AL1274" s="30"/>
      <c r="AM1274" s="30"/>
      <c r="AN1274" s="30"/>
      <c r="AO1274" s="30"/>
      <c r="AP1274" s="30"/>
      <c r="AQ1274" s="30"/>
      <c r="AR1274" s="30"/>
      <c r="AS1274" s="30"/>
      <c r="AT1274" s="30"/>
      <c r="AU1274" s="30"/>
      <c r="AV1274" s="30"/>
      <c r="AW1274" s="30"/>
      <c r="AX1274" s="30"/>
    </row>
    <row r="1275" spans="4:50" s="23" customFormat="1" x14ac:dyDescent="0.3">
      <c r="D1275" s="34"/>
      <c r="E1275" s="24"/>
      <c r="F1275" s="24"/>
      <c r="G1275" s="24"/>
      <c r="H1275" s="24"/>
      <c r="I1275" s="24"/>
      <c r="J1275" s="27"/>
      <c r="K1275" s="30"/>
      <c r="L1275" s="30"/>
      <c r="M1275" s="30"/>
      <c r="N1275" s="30"/>
      <c r="O1275" s="30"/>
      <c r="P1275" s="30"/>
      <c r="Q1275" s="30"/>
      <c r="R1275" s="30"/>
      <c r="S1275" s="30"/>
      <c r="T1275" s="30"/>
      <c r="U1275" s="30"/>
      <c r="V1275" s="30"/>
      <c r="W1275" s="30"/>
      <c r="X1275" s="30"/>
      <c r="Y1275" s="30"/>
      <c r="Z1275" s="30"/>
      <c r="AA1275" s="30"/>
      <c r="AB1275" s="30"/>
      <c r="AC1275" s="30"/>
      <c r="AD1275" s="30"/>
      <c r="AE1275" s="30"/>
      <c r="AF1275" s="30"/>
      <c r="AG1275" s="30"/>
      <c r="AH1275" s="30"/>
      <c r="AI1275" s="30"/>
      <c r="AJ1275" s="30"/>
      <c r="AK1275" s="30"/>
      <c r="AL1275" s="30"/>
      <c r="AM1275" s="30"/>
      <c r="AN1275" s="30"/>
      <c r="AO1275" s="30"/>
      <c r="AP1275" s="30"/>
      <c r="AQ1275" s="30"/>
      <c r="AR1275" s="30"/>
      <c r="AS1275" s="30"/>
      <c r="AT1275" s="30"/>
      <c r="AU1275" s="30"/>
      <c r="AV1275" s="30"/>
      <c r="AW1275" s="30"/>
      <c r="AX1275" s="30"/>
    </row>
    <row r="1276" spans="4:50" s="23" customFormat="1" x14ac:dyDescent="0.3">
      <c r="D1276" s="34"/>
      <c r="E1276" s="24"/>
      <c r="F1276" s="24"/>
      <c r="G1276" s="24"/>
      <c r="H1276" s="24"/>
      <c r="I1276" s="24"/>
      <c r="J1276" s="27"/>
      <c r="K1276" s="30"/>
      <c r="L1276" s="30"/>
      <c r="M1276" s="30"/>
      <c r="N1276" s="30"/>
      <c r="O1276" s="30"/>
      <c r="P1276" s="30"/>
      <c r="Q1276" s="30"/>
      <c r="R1276" s="30"/>
      <c r="S1276" s="30"/>
      <c r="T1276" s="30"/>
      <c r="U1276" s="30"/>
      <c r="V1276" s="30"/>
      <c r="W1276" s="30"/>
      <c r="X1276" s="30"/>
      <c r="Y1276" s="30"/>
      <c r="Z1276" s="30"/>
      <c r="AA1276" s="30"/>
      <c r="AB1276" s="30"/>
      <c r="AC1276" s="30"/>
      <c r="AD1276" s="30"/>
      <c r="AE1276" s="30"/>
      <c r="AF1276" s="30"/>
      <c r="AG1276" s="30"/>
      <c r="AH1276" s="30"/>
      <c r="AI1276" s="30"/>
      <c r="AJ1276" s="30"/>
      <c r="AK1276" s="30"/>
      <c r="AL1276" s="30"/>
      <c r="AM1276" s="30"/>
      <c r="AN1276" s="30"/>
      <c r="AO1276" s="30"/>
      <c r="AP1276" s="30"/>
      <c r="AQ1276" s="30"/>
      <c r="AR1276" s="30"/>
      <c r="AS1276" s="30"/>
      <c r="AT1276" s="30"/>
      <c r="AU1276" s="30"/>
      <c r="AV1276" s="30"/>
      <c r="AW1276" s="30"/>
      <c r="AX1276" s="30"/>
    </row>
    <row r="1277" spans="4:50" s="23" customFormat="1" x14ac:dyDescent="0.3">
      <c r="D1277" s="34"/>
      <c r="E1277" s="24"/>
      <c r="F1277" s="24"/>
      <c r="G1277" s="24"/>
      <c r="H1277" s="24"/>
      <c r="I1277" s="24"/>
      <c r="J1277" s="27"/>
      <c r="K1277" s="30"/>
      <c r="L1277" s="30"/>
      <c r="M1277" s="30"/>
      <c r="N1277" s="30"/>
      <c r="O1277" s="30"/>
      <c r="P1277" s="30"/>
      <c r="Q1277" s="30"/>
      <c r="R1277" s="30"/>
      <c r="S1277" s="30"/>
      <c r="T1277" s="30"/>
      <c r="U1277" s="30"/>
      <c r="V1277" s="30"/>
      <c r="W1277" s="30"/>
      <c r="X1277" s="30"/>
      <c r="Y1277" s="30"/>
      <c r="Z1277" s="30"/>
      <c r="AA1277" s="30"/>
      <c r="AB1277" s="30"/>
      <c r="AC1277" s="30"/>
      <c r="AD1277" s="30"/>
      <c r="AE1277" s="30"/>
      <c r="AF1277" s="30"/>
      <c r="AG1277" s="30"/>
      <c r="AH1277" s="30"/>
      <c r="AI1277" s="30"/>
      <c r="AJ1277" s="30"/>
      <c r="AK1277" s="30"/>
      <c r="AL1277" s="30"/>
      <c r="AM1277" s="30"/>
      <c r="AN1277" s="30"/>
      <c r="AO1277" s="30"/>
      <c r="AP1277" s="30"/>
      <c r="AQ1277" s="30"/>
      <c r="AR1277" s="30"/>
      <c r="AS1277" s="30"/>
      <c r="AT1277" s="30"/>
      <c r="AU1277" s="30"/>
      <c r="AV1277" s="30"/>
      <c r="AW1277" s="30"/>
      <c r="AX1277" s="30"/>
    </row>
    <row r="1278" spans="4:50" s="23" customFormat="1" x14ac:dyDescent="0.3">
      <c r="D1278" s="34"/>
      <c r="E1278" s="24"/>
      <c r="F1278" s="24"/>
      <c r="G1278" s="24"/>
      <c r="H1278" s="24"/>
      <c r="I1278" s="24"/>
      <c r="J1278" s="27"/>
      <c r="K1278" s="30"/>
      <c r="L1278" s="30"/>
      <c r="M1278" s="30"/>
      <c r="N1278" s="30"/>
      <c r="O1278" s="30"/>
      <c r="P1278" s="30"/>
      <c r="Q1278" s="30"/>
      <c r="R1278" s="30"/>
      <c r="S1278" s="30"/>
      <c r="T1278" s="30"/>
      <c r="U1278" s="30"/>
      <c r="V1278" s="30"/>
      <c r="W1278" s="30"/>
      <c r="X1278" s="30"/>
      <c r="Y1278" s="30"/>
      <c r="Z1278" s="30"/>
      <c r="AA1278" s="30"/>
      <c r="AB1278" s="30"/>
      <c r="AC1278" s="30"/>
      <c r="AD1278" s="30"/>
      <c r="AE1278" s="30"/>
      <c r="AF1278" s="30"/>
      <c r="AG1278" s="30"/>
      <c r="AH1278" s="30"/>
      <c r="AI1278" s="30"/>
      <c r="AJ1278" s="30"/>
      <c r="AK1278" s="30"/>
      <c r="AL1278" s="30"/>
      <c r="AM1278" s="30"/>
      <c r="AN1278" s="30"/>
      <c r="AO1278" s="30"/>
      <c r="AP1278" s="30"/>
      <c r="AQ1278" s="30"/>
      <c r="AR1278" s="30"/>
      <c r="AS1278" s="30"/>
      <c r="AT1278" s="30"/>
      <c r="AU1278" s="30"/>
      <c r="AV1278" s="30"/>
      <c r="AW1278" s="30"/>
      <c r="AX1278" s="30"/>
    </row>
    <row r="1279" spans="4:50" s="23" customFormat="1" x14ac:dyDescent="0.3">
      <c r="D1279" s="34"/>
      <c r="E1279" s="24"/>
      <c r="F1279" s="24"/>
      <c r="G1279" s="24"/>
      <c r="H1279" s="24"/>
      <c r="I1279" s="24"/>
      <c r="J1279" s="27"/>
      <c r="K1279" s="30"/>
      <c r="L1279" s="30"/>
      <c r="M1279" s="30"/>
      <c r="N1279" s="30"/>
      <c r="O1279" s="30"/>
      <c r="P1279" s="30"/>
      <c r="Q1279" s="30"/>
      <c r="R1279" s="30"/>
      <c r="S1279" s="30"/>
      <c r="T1279" s="30"/>
      <c r="U1279" s="30"/>
      <c r="V1279" s="30"/>
      <c r="W1279" s="30"/>
      <c r="X1279" s="30"/>
      <c r="Y1279" s="30"/>
      <c r="Z1279" s="30"/>
      <c r="AA1279" s="30"/>
      <c r="AB1279" s="30"/>
      <c r="AC1279" s="30"/>
      <c r="AD1279" s="30"/>
      <c r="AE1279" s="30"/>
      <c r="AF1279" s="30"/>
      <c r="AG1279" s="30"/>
      <c r="AH1279" s="30"/>
      <c r="AI1279" s="30"/>
      <c r="AJ1279" s="30"/>
      <c r="AK1279" s="30"/>
      <c r="AL1279" s="30"/>
      <c r="AM1279" s="30"/>
      <c r="AN1279" s="30"/>
      <c r="AO1279" s="30"/>
      <c r="AP1279" s="30"/>
      <c r="AQ1279" s="30"/>
      <c r="AR1279" s="30"/>
      <c r="AS1279" s="30"/>
      <c r="AT1279" s="30"/>
      <c r="AU1279" s="30"/>
      <c r="AV1279" s="30"/>
      <c r="AW1279" s="30"/>
      <c r="AX1279" s="30"/>
    </row>
    <row r="1280" spans="4:50" s="23" customFormat="1" x14ac:dyDescent="0.3">
      <c r="D1280" s="34"/>
      <c r="E1280" s="24"/>
      <c r="F1280" s="24"/>
      <c r="G1280" s="24"/>
      <c r="H1280" s="24"/>
      <c r="I1280" s="24"/>
      <c r="J1280" s="27"/>
      <c r="K1280" s="30"/>
      <c r="L1280" s="30"/>
      <c r="M1280" s="30"/>
      <c r="N1280" s="30"/>
      <c r="O1280" s="30"/>
      <c r="P1280" s="30"/>
      <c r="Q1280" s="30"/>
      <c r="R1280" s="30"/>
      <c r="S1280" s="30"/>
      <c r="T1280" s="30"/>
      <c r="U1280" s="30"/>
      <c r="V1280" s="30"/>
      <c r="W1280" s="30"/>
      <c r="X1280" s="30"/>
      <c r="Y1280" s="30"/>
      <c r="Z1280" s="30"/>
      <c r="AA1280" s="30"/>
      <c r="AB1280" s="30"/>
      <c r="AC1280" s="30"/>
      <c r="AD1280" s="30"/>
      <c r="AE1280" s="30"/>
      <c r="AF1280" s="30"/>
      <c r="AG1280" s="30"/>
      <c r="AH1280" s="30"/>
      <c r="AI1280" s="30"/>
      <c r="AJ1280" s="30"/>
      <c r="AK1280" s="30"/>
      <c r="AL1280" s="30"/>
      <c r="AM1280" s="30"/>
      <c r="AN1280" s="30"/>
      <c r="AO1280" s="30"/>
      <c r="AP1280" s="30"/>
      <c r="AQ1280" s="30"/>
      <c r="AR1280" s="30"/>
      <c r="AS1280" s="30"/>
      <c r="AT1280" s="30"/>
      <c r="AU1280" s="30"/>
      <c r="AV1280" s="30"/>
      <c r="AW1280" s="30"/>
      <c r="AX1280" s="30"/>
    </row>
    <row r="1281" spans="4:50" s="23" customFormat="1" x14ac:dyDescent="0.3">
      <c r="D1281" s="34"/>
      <c r="E1281" s="24"/>
      <c r="F1281" s="24"/>
      <c r="G1281" s="24"/>
      <c r="H1281" s="24"/>
      <c r="I1281" s="24"/>
      <c r="J1281" s="27"/>
      <c r="K1281" s="30"/>
      <c r="L1281" s="30"/>
      <c r="M1281" s="30"/>
      <c r="N1281" s="30"/>
      <c r="O1281" s="30"/>
      <c r="P1281" s="30"/>
      <c r="Q1281" s="30"/>
      <c r="R1281" s="30"/>
      <c r="S1281" s="30"/>
      <c r="T1281" s="30"/>
      <c r="U1281" s="30"/>
      <c r="V1281" s="30"/>
      <c r="W1281" s="30"/>
      <c r="X1281" s="30"/>
      <c r="Y1281" s="30"/>
      <c r="Z1281" s="30"/>
      <c r="AA1281" s="30"/>
      <c r="AB1281" s="30"/>
      <c r="AC1281" s="30"/>
      <c r="AD1281" s="30"/>
      <c r="AE1281" s="30"/>
      <c r="AF1281" s="30"/>
      <c r="AG1281" s="30"/>
      <c r="AH1281" s="30"/>
      <c r="AI1281" s="30"/>
      <c r="AJ1281" s="30"/>
      <c r="AK1281" s="30"/>
      <c r="AL1281" s="30"/>
      <c r="AM1281" s="30"/>
      <c r="AN1281" s="30"/>
      <c r="AO1281" s="30"/>
      <c r="AP1281" s="30"/>
      <c r="AQ1281" s="30"/>
      <c r="AR1281" s="30"/>
      <c r="AS1281" s="30"/>
      <c r="AT1281" s="30"/>
      <c r="AU1281" s="30"/>
      <c r="AV1281" s="30"/>
      <c r="AW1281" s="30"/>
      <c r="AX1281" s="30"/>
    </row>
    <row r="1282" spans="4:50" s="23" customFormat="1" x14ac:dyDescent="0.3">
      <c r="D1282" s="34"/>
      <c r="E1282" s="24"/>
      <c r="F1282" s="24"/>
      <c r="G1282" s="24"/>
      <c r="H1282" s="24"/>
      <c r="I1282" s="24"/>
      <c r="J1282" s="27"/>
      <c r="K1282" s="30"/>
      <c r="L1282" s="30"/>
      <c r="M1282" s="30"/>
      <c r="N1282" s="30"/>
      <c r="O1282" s="30"/>
      <c r="P1282" s="30"/>
      <c r="Q1282" s="30"/>
      <c r="R1282" s="30"/>
      <c r="S1282" s="30"/>
      <c r="T1282" s="30"/>
      <c r="U1282" s="30"/>
      <c r="V1282" s="30"/>
      <c r="W1282" s="30"/>
      <c r="X1282" s="30"/>
      <c r="Y1282" s="30"/>
      <c r="Z1282" s="30"/>
      <c r="AA1282" s="30"/>
      <c r="AB1282" s="30"/>
      <c r="AC1282" s="30"/>
      <c r="AD1282" s="30"/>
      <c r="AE1282" s="30"/>
      <c r="AF1282" s="30"/>
      <c r="AG1282" s="30"/>
      <c r="AH1282" s="30"/>
      <c r="AI1282" s="30"/>
      <c r="AJ1282" s="30"/>
      <c r="AK1282" s="30"/>
      <c r="AL1282" s="30"/>
      <c r="AM1282" s="30"/>
      <c r="AN1282" s="30"/>
      <c r="AO1282" s="30"/>
      <c r="AP1282" s="30"/>
      <c r="AQ1282" s="30"/>
      <c r="AR1282" s="30"/>
      <c r="AS1282" s="30"/>
      <c r="AT1282" s="30"/>
      <c r="AU1282" s="30"/>
      <c r="AV1282" s="30"/>
      <c r="AW1282" s="30"/>
      <c r="AX1282" s="30"/>
    </row>
    <row r="1283" spans="4:50" s="23" customFormat="1" x14ac:dyDescent="0.3">
      <c r="D1283" s="34"/>
      <c r="E1283" s="24"/>
      <c r="F1283" s="24"/>
      <c r="G1283" s="24"/>
      <c r="H1283" s="24"/>
      <c r="I1283" s="24"/>
      <c r="J1283" s="27"/>
      <c r="K1283" s="30"/>
      <c r="L1283" s="30"/>
      <c r="M1283" s="30"/>
      <c r="N1283" s="30"/>
      <c r="O1283" s="30"/>
      <c r="P1283" s="30"/>
      <c r="Q1283" s="30"/>
      <c r="R1283" s="30"/>
      <c r="S1283" s="30"/>
      <c r="T1283" s="30"/>
      <c r="U1283" s="30"/>
      <c r="V1283" s="30"/>
      <c r="W1283" s="30"/>
      <c r="X1283" s="30"/>
      <c r="Y1283" s="30"/>
      <c r="Z1283" s="30"/>
      <c r="AA1283" s="30"/>
      <c r="AB1283" s="30"/>
      <c r="AC1283" s="30"/>
      <c r="AD1283" s="30"/>
      <c r="AE1283" s="30"/>
      <c r="AF1283" s="30"/>
      <c r="AG1283" s="30"/>
      <c r="AH1283" s="30"/>
      <c r="AI1283" s="30"/>
      <c r="AJ1283" s="30"/>
      <c r="AK1283" s="30"/>
      <c r="AL1283" s="30"/>
      <c r="AM1283" s="30"/>
      <c r="AN1283" s="30"/>
      <c r="AO1283" s="30"/>
      <c r="AP1283" s="30"/>
      <c r="AQ1283" s="30"/>
      <c r="AR1283" s="30"/>
      <c r="AS1283" s="30"/>
      <c r="AT1283" s="30"/>
      <c r="AU1283" s="30"/>
      <c r="AV1283" s="30"/>
      <c r="AW1283" s="30"/>
      <c r="AX1283" s="30"/>
    </row>
    <row r="1284" spans="4:50" s="23" customFormat="1" x14ac:dyDescent="0.3">
      <c r="D1284" s="34"/>
      <c r="E1284" s="24"/>
      <c r="F1284" s="24"/>
      <c r="G1284" s="24"/>
      <c r="H1284" s="24"/>
      <c r="I1284" s="24"/>
      <c r="J1284" s="27"/>
      <c r="K1284" s="30"/>
      <c r="L1284" s="30"/>
      <c r="M1284" s="30"/>
      <c r="N1284" s="30"/>
      <c r="O1284" s="30"/>
      <c r="P1284" s="30"/>
      <c r="Q1284" s="30"/>
      <c r="R1284" s="30"/>
      <c r="S1284" s="30"/>
      <c r="T1284" s="30"/>
      <c r="U1284" s="30"/>
      <c r="V1284" s="30"/>
      <c r="W1284" s="30"/>
      <c r="X1284" s="30"/>
      <c r="Y1284" s="30"/>
      <c r="Z1284" s="30"/>
      <c r="AA1284" s="30"/>
      <c r="AB1284" s="30"/>
      <c r="AC1284" s="30"/>
      <c r="AD1284" s="30"/>
      <c r="AE1284" s="30"/>
      <c r="AF1284" s="30"/>
      <c r="AG1284" s="30"/>
      <c r="AH1284" s="30"/>
      <c r="AI1284" s="30"/>
      <c r="AJ1284" s="30"/>
      <c r="AK1284" s="30"/>
      <c r="AL1284" s="30"/>
      <c r="AM1284" s="30"/>
      <c r="AN1284" s="30"/>
      <c r="AO1284" s="30"/>
      <c r="AP1284" s="30"/>
      <c r="AQ1284" s="30"/>
      <c r="AR1284" s="30"/>
      <c r="AS1284" s="30"/>
      <c r="AT1284" s="30"/>
      <c r="AU1284" s="30"/>
      <c r="AV1284" s="30"/>
      <c r="AW1284" s="30"/>
      <c r="AX1284" s="30"/>
    </row>
    <row r="1285" spans="4:50" s="23" customFormat="1" x14ac:dyDescent="0.3">
      <c r="D1285" s="34"/>
      <c r="E1285" s="24"/>
      <c r="F1285" s="24"/>
      <c r="G1285" s="24"/>
      <c r="H1285" s="24"/>
      <c r="I1285" s="24"/>
      <c r="J1285" s="27"/>
      <c r="K1285" s="30"/>
      <c r="L1285" s="30"/>
      <c r="M1285" s="30"/>
      <c r="N1285" s="30"/>
      <c r="O1285" s="30"/>
      <c r="P1285" s="30"/>
      <c r="Q1285" s="30"/>
      <c r="R1285" s="30"/>
      <c r="S1285" s="30"/>
      <c r="T1285" s="30"/>
      <c r="U1285" s="30"/>
      <c r="V1285" s="30"/>
      <c r="W1285" s="30"/>
      <c r="X1285" s="30"/>
      <c r="Y1285" s="30"/>
      <c r="Z1285" s="30"/>
      <c r="AA1285" s="30"/>
      <c r="AB1285" s="30"/>
      <c r="AC1285" s="30"/>
      <c r="AD1285" s="30"/>
      <c r="AE1285" s="30"/>
      <c r="AF1285" s="30"/>
      <c r="AG1285" s="30"/>
      <c r="AH1285" s="30"/>
      <c r="AI1285" s="30"/>
      <c r="AJ1285" s="30"/>
      <c r="AK1285" s="30"/>
      <c r="AL1285" s="30"/>
      <c r="AM1285" s="30"/>
      <c r="AN1285" s="30"/>
      <c r="AO1285" s="30"/>
      <c r="AP1285" s="30"/>
      <c r="AQ1285" s="30"/>
      <c r="AR1285" s="30"/>
      <c r="AS1285" s="30"/>
      <c r="AT1285" s="30"/>
      <c r="AU1285" s="30"/>
      <c r="AV1285" s="30"/>
      <c r="AW1285" s="30"/>
      <c r="AX1285" s="30"/>
    </row>
    <row r="1286" spans="4:50" s="23" customFormat="1" x14ac:dyDescent="0.3">
      <c r="D1286" s="34"/>
      <c r="E1286" s="24"/>
      <c r="F1286" s="24"/>
      <c r="G1286" s="24"/>
      <c r="H1286" s="24"/>
      <c r="I1286" s="24"/>
      <c r="J1286" s="27"/>
      <c r="K1286" s="30"/>
      <c r="L1286" s="30"/>
      <c r="M1286" s="30"/>
      <c r="N1286" s="30"/>
      <c r="O1286" s="30"/>
      <c r="P1286" s="30"/>
      <c r="Q1286" s="30"/>
      <c r="R1286" s="30"/>
      <c r="S1286" s="30"/>
      <c r="T1286" s="30"/>
      <c r="U1286" s="30"/>
      <c r="V1286" s="30"/>
      <c r="W1286" s="30"/>
      <c r="X1286" s="30"/>
      <c r="Y1286" s="30"/>
      <c r="Z1286" s="30"/>
      <c r="AA1286" s="30"/>
      <c r="AB1286" s="30"/>
      <c r="AC1286" s="30"/>
      <c r="AD1286" s="30"/>
      <c r="AE1286" s="30"/>
      <c r="AF1286" s="30"/>
      <c r="AG1286" s="30"/>
      <c r="AH1286" s="30"/>
      <c r="AI1286" s="30"/>
      <c r="AJ1286" s="30"/>
      <c r="AK1286" s="30"/>
      <c r="AL1286" s="30"/>
      <c r="AM1286" s="30"/>
      <c r="AN1286" s="30"/>
      <c r="AO1286" s="30"/>
      <c r="AP1286" s="30"/>
      <c r="AQ1286" s="30"/>
      <c r="AR1286" s="30"/>
      <c r="AS1286" s="30"/>
      <c r="AT1286" s="30"/>
      <c r="AU1286" s="30"/>
      <c r="AV1286" s="30"/>
      <c r="AW1286" s="30"/>
      <c r="AX1286" s="30"/>
    </row>
    <row r="1287" spans="4:50" s="23" customFormat="1" x14ac:dyDescent="0.3">
      <c r="D1287" s="34"/>
      <c r="E1287" s="24"/>
      <c r="F1287" s="24"/>
      <c r="G1287" s="24"/>
      <c r="H1287" s="24"/>
      <c r="I1287" s="24"/>
      <c r="J1287" s="27"/>
      <c r="K1287" s="30"/>
      <c r="L1287" s="30"/>
      <c r="M1287" s="30"/>
      <c r="N1287" s="30"/>
      <c r="O1287" s="30"/>
      <c r="P1287" s="30"/>
      <c r="Q1287" s="30"/>
      <c r="R1287" s="30"/>
      <c r="S1287" s="30"/>
      <c r="T1287" s="30"/>
      <c r="U1287" s="30"/>
      <c r="V1287" s="30"/>
      <c r="W1287" s="30"/>
      <c r="X1287" s="30"/>
      <c r="Y1287" s="30"/>
      <c r="Z1287" s="30"/>
      <c r="AA1287" s="30"/>
      <c r="AB1287" s="30"/>
      <c r="AC1287" s="30"/>
      <c r="AD1287" s="30"/>
      <c r="AE1287" s="30"/>
      <c r="AF1287" s="30"/>
      <c r="AG1287" s="30"/>
      <c r="AH1287" s="30"/>
      <c r="AI1287" s="30"/>
      <c r="AJ1287" s="30"/>
      <c r="AK1287" s="30"/>
      <c r="AL1287" s="30"/>
      <c r="AM1287" s="30"/>
      <c r="AN1287" s="30"/>
      <c r="AO1287" s="30"/>
      <c r="AP1287" s="30"/>
      <c r="AQ1287" s="30"/>
      <c r="AR1287" s="30"/>
      <c r="AS1287" s="30"/>
      <c r="AT1287" s="30"/>
      <c r="AU1287" s="30"/>
      <c r="AV1287" s="30"/>
      <c r="AW1287" s="30"/>
      <c r="AX1287" s="30"/>
    </row>
    <row r="1288" spans="4:50" s="23" customFormat="1" x14ac:dyDescent="0.3">
      <c r="D1288" s="34"/>
      <c r="E1288" s="24"/>
      <c r="F1288" s="24"/>
      <c r="G1288" s="24"/>
      <c r="H1288" s="24"/>
      <c r="I1288" s="24"/>
      <c r="J1288" s="27"/>
      <c r="K1288" s="30"/>
      <c r="L1288" s="30"/>
      <c r="M1288" s="30"/>
      <c r="N1288" s="30"/>
      <c r="O1288" s="30"/>
      <c r="P1288" s="30"/>
      <c r="Q1288" s="30"/>
      <c r="R1288" s="30"/>
      <c r="S1288" s="30"/>
      <c r="T1288" s="30"/>
      <c r="U1288" s="30"/>
      <c r="V1288" s="30"/>
      <c r="W1288" s="30"/>
      <c r="X1288" s="30"/>
      <c r="Y1288" s="30"/>
      <c r="Z1288" s="30"/>
      <c r="AA1288" s="30"/>
      <c r="AB1288" s="30"/>
      <c r="AC1288" s="30"/>
      <c r="AD1288" s="30"/>
      <c r="AE1288" s="30"/>
      <c r="AF1288" s="30"/>
      <c r="AG1288" s="30"/>
      <c r="AH1288" s="30"/>
      <c r="AI1288" s="30"/>
      <c r="AJ1288" s="30"/>
      <c r="AK1288" s="30"/>
      <c r="AL1288" s="30"/>
      <c r="AM1288" s="30"/>
      <c r="AN1288" s="30"/>
      <c r="AO1288" s="30"/>
      <c r="AP1288" s="30"/>
      <c r="AQ1288" s="30"/>
      <c r="AR1288" s="30"/>
      <c r="AS1288" s="30"/>
      <c r="AT1288" s="30"/>
      <c r="AU1288" s="30"/>
      <c r="AV1288" s="30"/>
      <c r="AW1288" s="30"/>
      <c r="AX1288" s="30"/>
    </row>
    <row r="1289" spans="4:50" s="23" customFormat="1" x14ac:dyDescent="0.3">
      <c r="D1289" s="34"/>
      <c r="E1289" s="24"/>
      <c r="F1289" s="24"/>
      <c r="G1289" s="24"/>
      <c r="H1289" s="24"/>
      <c r="I1289" s="24"/>
      <c r="J1289" s="27"/>
      <c r="K1289" s="30"/>
      <c r="L1289" s="30"/>
      <c r="M1289" s="30"/>
      <c r="N1289" s="30"/>
      <c r="O1289" s="30"/>
      <c r="P1289" s="30"/>
      <c r="Q1289" s="30"/>
      <c r="R1289" s="30"/>
      <c r="S1289" s="30"/>
      <c r="T1289" s="30"/>
      <c r="U1289" s="30"/>
      <c r="V1289" s="30"/>
      <c r="W1289" s="30"/>
      <c r="X1289" s="30"/>
      <c r="Y1289" s="30"/>
      <c r="Z1289" s="30"/>
      <c r="AA1289" s="30"/>
      <c r="AB1289" s="30"/>
      <c r="AC1289" s="30"/>
      <c r="AD1289" s="30"/>
      <c r="AE1289" s="30"/>
      <c r="AF1289" s="30"/>
      <c r="AG1289" s="30"/>
      <c r="AH1289" s="30"/>
      <c r="AI1289" s="30"/>
      <c r="AJ1289" s="30"/>
      <c r="AK1289" s="30"/>
      <c r="AL1289" s="30"/>
      <c r="AM1289" s="30"/>
      <c r="AN1289" s="30"/>
      <c r="AO1289" s="30"/>
      <c r="AP1289" s="30"/>
      <c r="AQ1289" s="30"/>
      <c r="AR1289" s="30"/>
      <c r="AS1289" s="30"/>
      <c r="AT1289" s="30"/>
      <c r="AU1289" s="30"/>
      <c r="AV1289" s="30"/>
      <c r="AW1289" s="30"/>
      <c r="AX1289" s="30"/>
    </row>
    <row r="1290" spans="4:50" s="23" customFormat="1" x14ac:dyDescent="0.3">
      <c r="D1290" s="34"/>
      <c r="E1290" s="24"/>
      <c r="F1290" s="24"/>
      <c r="G1290" s="24"/>
      <c r="H1290" s="24"/>
      <c r="I1290" s="24"/>
      <c r="J1290" s="27"/>
      <c r="K1290" s="30"/>
      <c r="L1290" s="30"/>
      <c r="M1290" s="30"/>
      <c r="N1290" s="30"/>
      <c r="O1290" s="30"/>
      <c r="P1290" s="30"/>
      <c r="Q1290" s="30"/>
      <c r="R1290" s="30"/>
      <c r="S1290" s="30"/>
      <c r="T1290" s="30"/>
      <c r="U1290" s="30"/>
      <c r="V1290" s="30"/>
      <c r="W1290" s="30"/>
      <c r="X1290" s="30"/>
      <c r="Y1290" s="30"/>
      <c r="Z1290" s="30"/>
      <c r="AA1290" s="30"/>
      <c r="AB1290" s="30"/>
      <c r="AC1290" s="30"/>
      <c r="AD1290" s="30"/>
      <c r="AE1290" s="30"/>
      <c r="AF1290" s="30"/>
      <c r="AG1290" s="30"/>
      <c r="AH1290" s="30"/>
      <c r="AI1290" s="30"/>
      <c r="AJ1290" s="30"/>
      <c r="AK1290" s="30"/>
      <c r="AL1290" s="30"/>
      <c r="AM1290" s="30"/>
      <c r="AN1290" s="30"/>
      <c r="AO1290" s="30"/>
      <c r="AP1290" s="30"/>
      <c r="AQ1290" s="30"/>
      <c r="AR1290" s="30"/>
      <c r="AS1290" s="30"/>
      <c r="AT1290" s="30"/>
      <c r="AU1290" s="30"/>
      <c r="AV1290" s="30"/>
      <c r="AW1290" s="30"/>
      <c r="AX1290" s="30"/>
    </row>
    <row r="1291" spans="4:50" s="23" customFormat="1" x14ac:dyDescent="0.3">
      <c r="D1291" s="34"/>
      <c r="E1291" s="24"/>
      <c r="F1291" s="24"/>
      <c r="G1291" s="24"/>
      <c r="H1291" s="24"/>
      <c r="I1291" s="24"/>
      <c r="J1291" s="27"/>
      <c r="K1291" s="30"/>
      <c r="L1291" s="30"/>
      <c r="M1291" s="30"/>
      <c r="N1291" s="30"/>
      <c r="O1291" s="30"/>
      <c r="P1291" s="30"/>
      <c r="Q1291" s="30"/>
      <c r="R1291" s="30"/>
      <c r="S1291" s="30"/>
      <c r="T1291" s="30"/>
      <c r="U1291" s="30"/>
      <c r="V1291" s="30"/>
      <c r="W1291" s="30"/>
      <c r="X1291" s="30"/>
      <c r="Y1291" s="30"/>
      <c r="Z1291" s="30"/>
      <c r="AA1291" s="30"/>
      <c r="AB1291" s="30"/>
      <c r="AC1291" s="30"/>
      <c r="AD1291" s="30"/>
      <c r="AE1291" s="30"/>
      <c r="AF1291" s="30"/>
      <c r="AG1291" s="30"/>
      <c r="AH1291" s="30"/>
      <c r="AI1291" s="30"/>
      <c r="AJ1291" s="30"/>
      <c r="AK1291" s="30"/>
      <c r="AL1291" s="30"/>
      <c r="AM1291" s="30"/>
      <c r="AN1291" s="30"/>
      <c r="AO1291" s="30"/>
      <c r="AP1291" s="30"/>
      <c r="AQ1291" s="30"/>
      <c r="AR1291" s="30"/>
      <c r="AS1291" s="30"/>
      <c r="AT1291" s="30"/>
      <c r="AU1291" s="30"/>
      <c r="AV1291" s="30"/>
      <c r="AW1291" s="30"/>
      <c r="AX1291" s="30"/>
    </row>
    <row r="1292" spans="4:50" s="23" customFormat="1" x14ac:dyDescent="0.3">
      <c r="D1292" s="34"/>
      <c r="E1292" s="24"/>
      <c r="F1292" s="24"/>
      <c r="G1292" s="24"/>
      <c r="H1292" s="24"/>
      <c r="I1292" s="24"/>
      <c r="J1292" s="27"/>
      <c r="K1292" s="30"/>
      <c r="L1292" s="30"/>
      <c r="M1292" s="30"/>
      <c r="N1292" s="30"/>
      <c r="O1292" s="30"/>
      <c r="P1292" s="30"/>
      <c r="Q1292" s="30"/>
      <c r="R1292" s="30"/>
      <c r="S1292" s="30"/>
      <c r="T1292" s="30"/>
      <c r="U1292" s="30"/>
      <c r="V1292" s="30"/>
      <c r="W1292" s="30"/>
      <c r="X1292" s="30"/>
      <c r="Y1292" s="30"/>
      <c r="Z1292" s="30"/>
      <c r="AA1292" s="30"/>
      <c r="AB1292" s="30"/>
      <c r="AC1292" s="30"/>
      <c r="AD1292" s="30"/>
      <c r="AE1292" s="30"/>
      <c r="AF1292" s="30"/>
      <c r="AG1292" s="30"/>
      <c r="AH1292" s="30"/>
      <c r="AI1292" s="30"/>
      <c r="AJ1292" s="30"/>
      <c r="AK1292" s="30"/>
      <c r="AL1292" s="30"/>
      <c r="AM1292" s="30"/>
      <c r="AN1292" s="30"/>
      <c r="AO1292" s="30"/>
      <c r="AP1292" s="30"/>
      <c r="AQ1292" s="30"/>
      <c r="AR1292" s="30"/>
      <c r="AS1292" s="30"/>
      <c r="AT1292" s="30"/>
      <c r="AU1292" s="30"/>
      <c r="AV1292" s="30"/>
      <c r="AW1292" s="30"/>
      <c r="AX1292" s="30"/>
    </row>
    <row r="1293" spans="4:50" s="23" customFormat="1" x14ac:dyDescent="0.3">
      <c r="D1293" s="34"/>
      <c r="E1293" s="24"/>
      <c r="F1293" s="24"/>
      <c r="G1293" s="24"/>
      <c r="H1293" s="24"/>
      <c r="I1293" s="24"/>
      <c r="J1293" s="27"/>
      <c r="K1293" s="30"/>
      <c r="L1293" s="30"/>
      <c r="M1293" s="30"/>
      <c r="N1293" s="30"/>
      <c r="O1293" s="30"/>
      <c r="P1293" s="30"/>
      <c r="Q1293" s="30"/>
      <c r="R1293" s="30"/>
      <c r="S1293" s="30"/>
      <c r="T1293" s="30"/>
      <c r="U1293" s="30"/>
      <c r="V1293" s="30"/>
      <c r="W1293" s="30"/>
      <c r="X1293" s="30"/>
      <c r="Y1293" s="30"/>
      <c r="Z1293" s="30"/>
      <c r="AA1293" s="30"/>
      <c r="AB1293" s="30"/>
      <c r="AC1293" s="30"/>
      <c r="AD1293" s="30"/>
      <c r="AE1293" s="30"/>
      <c r="AF1293" s="30"/>
      <c r="AG1293" s="30"/>
      <c r="AH1293" s="30"/>
      <c r="AI1293" s="30"/>
      <c r="AJ1293" s="30"/>
      <c r="AK1293" s="30"/>
      <c r="AL1293" s="30"/>
      <c r="AM1293" s="30"/>
      <c r="AN1293" s="30"/>
      <c r="AO1293" s="30"/>
      <c r="AP1293" s="30"/>
      <c r="AQ1293" s="30"/>
      <c r="AR1293" s="30"/>
      <c r="AS1293" s="30"/>
      <c r="AT1293" s="30"/>
      <c r="AU1293" s="30"/>
      <c r="AV1293" s="30"/>
      <c r="AW1293" s="30"/>
      <c r="AX1293" s="30"/>
    </row>
    <row r="1294" spans="4:50" s="23" customFormat="1" x14ac:dyDescent="0.3">
      <c r="D1294" s="34"/>
      <c r="E1294" s="24"/>
      <c r="F1294" s="24"/>
      <c r="G1294" s="24"/>
      <c r="H1294" s="24"/>
      <c r="I1294" s="24"/>
      <c r="J1294" s="27"/>
      <c r="K1294" s="30"/>
      <c r="L1294" s="30"/>
      <c r="M1294" s="30"/>
      <c r="N1294" s="30"/>
      <c r="O1294" s="30"/>
      <c r="P1294" s="30"/>
      <c r="Q1294" s="30"/>
      <c r="R1294" s="30"/>
      <c r="S1294" s="30"/>
      <c r="T1294" s="30"/>
      <c r="U1294" s="30"/>
      <c r="V1294" s="30"/>
      <c r="W1294" s="30"/>
      <c r="X1294" s="30"/>
      <c r="Y1294" s="30"/>
      <c r="Z1294" s="30"/>
      <c r="AA1294" s="30"/>
      <c r="AB1294" s="30"/>
      <c r="AC1294" s="30"/>
      <c r="AD1294" s="30"/>
      <c r="AE1294" s="30"/>
      <c r="AF1294" s="30"/>
      <c r="AG1294" s="30"/>
      <c r="AH1294" s="30"/>
      <c r="AI1294" s="30"/>
      <c r="AJ1294" s="30"/>
      <c r="AK1294" s="30"/>
      <c r="AL1294" s="30"/>
      <c r="AM1294" s="30"/>
      <c r="AN1294" s="30"/>
      <c r="AO1294" s="30"/>
      <c r="AP1294" s="30"/>
      <c r="AQ1294" s="30"/>
      <c r="AR1294" s="30"/>
      <c r="AS1294" s="30"/>
      <c r="AT1294" s="30"/>
      <c r="AU1294" s="30"/>
      <c r="AV1294" s="30"/>
      <c r="AW1294" s="30"/>
      <c r="AX1294" s="30"/>
    </row>
    <row r="1295" spans="4:50" s="23" customFormat="1" x14ac:dyDescent="0.3">
      <c r="D1295" s="34"/>
      <c r="E1295" s="24"/>
      <c r="F1295" s="24"/>
      <c r="G1295" s="24"/>
      <c r="H1295" s="24"/>
      <c r="I1295" s="24"/>
      <c r="J1295" s="27"/>
      <c r="K1295" s="30"/>
      <c r="L1295" s="30"/>
      <c r="M1295" s="30"/>
      <c r="N1295" s="30"/>
      <c r="O1295" s="30"/>
      <c r="P1295" s="30"/>
      <c r="Q1295" s="30"/>
      <c r="R1295" s="30"/>
      <c r="S1295" s="30"/>
      <c r="T1295" s="30"/>
      <c r="U1295" s="30"/>
      <c r="V1295" s="30"/>
      <c r="W1295" s="30"/>
      <c r="X1295" s="30"/>
      <c r="Y1295" s="30"/>
      <c r="Z1295" s="30"/>
      <c r="AA1295" s="30"/>
      <c r="AB1295" s="30"/>
      <c r="AC1295" s="30"/>
      <c r="AD1295" s="30"/>
      <c r="AE1295" s="30"/>
      <c r="AF1295" s="30"/>
      <c r="AG1295" s="30"/>
      <c r="AH1295" s="30"/>
      <c r="AI1295" s="30"/>
      <c r="AJ1295" s="30"/>
      <c r="AK1295" s="30"/>
      <c r="AL1295" s="30"/>
      <c r="AM1295" s="30"/>
      <c r="AN1295" s="30"/>
      <c r="AO1295" s="30"/>
      <c r="AP1295" s="30"/>
      <c r="AQ1295" s="30"/>
      <c r="AR1295" s="30"/>
      <c r="AS1295" s="30"/>
      <c r="AT1295" s="30"/>
      <c r="AU1295" s="30"/>
      <c r="AV1295" s="30"/>
      <c r="AW1295" s="30"/>
      <c r="AX1295" s="30"/>
    </row>
    <row r="1296" spans="4:50" s="23" customFormat="1" x14ac:dyDescent="0.3">
      <c r="D1296" s="34"/>
      <c r="E1296" s="24"/>
      <c r="F1296" s="24"/>
      <c r="G1296" s="24"/>
      <c r="H1296" s="24"/>
      <c r="I1296" s="24"/>
      <c r="J1296" s="27"/>
      <c r="K1296" s="30"/>
      <c r="L1296" s="30"/>
      <c r="M1296" s="30"/>
      <c r="N1296" s="30"/>
      <c r="O1296" s="30"/>
      <c r="P1296" s="30"/>
      <c r="Q1296" s="30"/>
      <c r="R1296" s="30"/>
      <c r="S1296" s="30"/>
      <c r="T1296" s="30"/>
      <c r="U1296" s="30"/>
      <c r="V1296" s="30"/>
      <c r="W1296" s="30"/>
      <c r="X1296" s="30"/>
      <c r="Y1296" s="30"/>
      <c r="Z1296" s="30"/>
      <c r="AA1296" s="30"/>
      <c r="AB1296" s="30"/>
      <c r="AC1296" s="30"/>
      <c r="AD1296" s="30"/>
      <c r="AE1296" s="30"/>
      <c r="AF1296" s="30"/>
      <c r="AG1296" s="30"/>
      <c r="AH1296" s="30"/>
      <c r="AI1296" s="30"/>
      <c r="AJ1296" s="30"/>
      <c r="AK1296" s="30"/>
      <c r="AL1296" s="30"/>
      <c r="AM1296" s="30"/>
      <c r="AN1296" s="30"/>
      <c r="AO1296" s="30"/>
      <c r="AP1296" s="30"/>
      <c r="AQ1296" s="30"/>
      <c r="AR1296" s="30"/>
      <c r="AS1296" s="30"/>
      <c r="AT1296" s="30"/>
      <c r="AU1296" s="30"/>
      <c r="AV1296" s="30"/>
      <c r="AW1296" s="30"/>
      <c r="AX1296" s="30"/>
    </row>
    <row r="1297" spans="4:50" s="23" customFormat="1" x14ac:dyDescent="0.3">
      <c r="D1297" s="34"/>
      <c r="E1297" s="24"/>
      <c r="F1297" s="24"/>
      <c r="G1297" s="24"/>
      <c r="H1297" s="24"/>
      <c r="I1297" s="24"/>
      <c r="J1297" s="27"/>
      <c r="K1297" s="30"/>
      <c r="L1297" s="30"/>
      <c r="M1297" s="30"/>
      <c r="N1297" s="30"/>
      <c r="O1297" s="30"/>
      <c r="P1297" s="30"/>
      <c r="Q1297" s="30"/>
      <c r="R1297" s="30"/>
      <c r="S1297" s="30"/>
      <c r="T1297" s="30"/>
      <c r="U1297" s="30"/>
      <c r="V1297" s="30"/>
      <c r="W1297" s="30"/>
      <c r="X1297" s="30"/>
      <c r="Y1297" s="30"/>
      <c r="Z1297" s="30"/>
      <c r="AA1297" s="30"/>
      <c r="AB1297" s="30"/>
      <c r="AC1297" s="30"/>
      <c r="AD1297" s="30"/>
      <c r="AE1297" s="30"/>
      <c r="AF1297" s="30"/>
      <c r="AG1297" s="30"/>
      <c r="AH1297" s="30"/>
      <c r="AI1297" s="30"/>
      <c r="AJ1297" s="30"/>
      <c r="AK1297" s="30"/>
      <c r="AL1297" s="30"/>
      <c r="AM1297" s="30"/>
      <c r="AN1297" s="30"/>
      <c r="AO1297" s="30"/>
      <c r="AP1297" s="30"/>
      <c r="AQ1297" s="30"/>
      <c r="AR1297" s="30"/>
      <c r="AS1297" s="30"/>
      <c r="AT1297" s="30"/>
      <c r="AU1297" s="30"/>
      <c r="AV1297" s="30"/>
      <c r="AW1297" s="30"/>
      <c r="AX1297" s="30"/>
    </row>
    <row r="1298" spans="4:50" s="23" customFormat="1" x14ac:dyDescent="0.3">
      <c r="D1298" s="34"/>
      <c r="E1298" s="24"/>
      <c r="F1298" s="24"/>
      <c r="G1298" s="24"/>
      <c r="H1298" s="24"/>
      <c r="I1298" s="24"/>
      <c r="J1298" s="27"/>
      <c r="K1298" s="30"/>
      <c r="L1298" s="30"/>
      <c r="M1298" s="30"/>
      <c r="N1298" s="30"/>
      <c r="O1298" s="30"/>
      <c r="P1298" s="30"/>
      <c r="Q1298" s="30"/>
      <c r="R1298" s="30"/>
      <c r="S1298" s="30"/>
      <c r="T1298" s="30"/>
      <c r="U1298" s="30"/>
      <c r="V1298" s="30"/>
      <c r="W1298" s="30"/>
      <c r="X1298" s="30"/>
      <c r="Y1298" s="30"/>
      <c r="Z1298" s="30"/>
      <c r="AA1298" s="30"/>
      <c r="AB1298" s="30"/>
      <c r="AC1298" s="30"/>
      <c r="AD1298" s="30"/>
      <c r="AE1298" s="30"/>
      <c r="AF1298" s="30"/>
      <c r="AG1298" s="30"/>
      <c r="AH1298" s="30"/>
      <c r="AI1298" s="30"/>
      <c r="AJ1298" s="30"/>
      <c r="AK1298" s="30"/>
      <c r="AL1298" s="30"/>
      <c r="AM1298" s="30"/>
      <c r="AN1298" s="30"/>
      <c r="AO1298" s="30"/>
      <c r="AP1298" s="30"/>
      <c r="AQ1298" s="30"/>
      <c r="AR1298" s="30"/>
      <c r="AS1298" s="30"/>
      <c r="AT1298" s="30"/>
      <c r="AU1298" s="30"/>
      <c r="AV1298" s="30"/>
      <c r="AW1298" s="30"/>
      <c r="AX1298" s="30"/>
    </row>
    <row r="1299" spans="4:50" s="23" customFormat="1" x14ac:dyDescent="0.3">
      <c r="D1299" s="34"/>
      <c r="E1299" s="24"/>
      <c r="F1299" s="24"/>
      <c r="G1299" s="24"/>
      <c r="H1299" s="24"/>
      <c r="I1299" s="24"/>
      <c r="J1299" s="27"/>
      <c r="K1299" s="30"/>
      <c r="L1299" s="30"/>
      <c r="M1299" s="30"/>
      <c r="N1299" s="30"/>
      <c r="O1299" s="30"/>
      <c r="P1299" s="30"/>
      <c r="Q1299" s="30"/>
      <c r="R1299" s="30"/>
      <c r="S1299" s="30"/>
      <c r="T1299" s="30"/>
      <c r="U1299" s="30"/>
      <c r="V1299" s="30"/>
      <c r="W1299" s="30"/>
      <c r="X1299" s="30"/>
      <c r="Y1299" s="30"/>
      <c r="Z1299" s="30"/>
      <c r="AA1299" s="30"/>
      <c r="AB1299" s="30"/>
      <c r="AC1299" s="30"/>
      <c r="AD1299" s="30"/>
      <c r="AE1299" s="30"/>
      <c r="AF1299" s="30"/>
      <c r="AG1299" s="30"/>
      <c r="AH1299" s="30"/>
      <c r="AI1299" s="30"/>
      <c r="AJ1299" s="30"/>
      <c r="AK1299" s="30"/>
      <c r="AL1299" s="30"/>
      <c r="AM1299" s="30"/>
      <c r="AN1299" s="30"/>
      <c r="AO1299" s="30"/>
      <c r="AP1299" s="30"/>
      <c r="AQ1299" s="30"/>
      <c r="AR1299" s="30"/>
      <c r="AS1299" s="30"/>
      <c r="AT1299" s="30"/>
      <c r="AU1299" s="30"/>
      <c r="AV1299" s="30"/>
      <c r="AW1299" s="30"/>
      <c r="AX1299" s="30"/>
    </row>
    <row r="1300" spans="4:50" s="23" customFormat="1" x14ac:dyDescent="0.3">
      <c r="D1300" s="34"/>
      <c r="E1300" s="24"/>
      <c r="F1300" s="24"/>
      <c r="G1300" s="24"/>
      <c r="H1300" s="24"/>
      <c r="I1300" s="24"/>
      <c r="J1300" s="27"/>
      <c r="K1300" s="30"/>
      <c r="L1300" s="30"/>
      <c r="M1300" s="30"/>
      <c r="N1300" s="30"/>
      <c r="O1300" s="30"/>
      <c r="P1300" s="30"/>
      <c r="Q1300" s="30"/>
      <c r="R1300" s="30"/>
      <c r="S1300" s="30"/>
      <c r="T1300" s="30"/>
      <c r="U1300" s="30"/>
      <c r="V1300" s="30"/>
      <c r="W1300" s="30"/>
      <c r="X1300" s="30"/>
      <c r="Y1300" s="30"/>
      <c r="Z1300" s="30"/>
      <c r="AA1300" s="30"/>
      <c r="AB1300" s="30"/>
      <c r="AC1300" s="30"/>
      <c r="AD1300" s="30"/>
      <c r="AE1300" s="30"/>
      <c r="AF1300" s="30"/>
      <c r="AG1300" s="30"/>
      <c r="AH1300" s="30"/>
      <c r="AI1300" s="30"/>
      <c r="AJ1300" s="30"/>
      <c r="AK1300" s="30"/>
      <c r="AL1300" s="30"/>
      <c r="AM1300" s="30"/>
      <c r="AN1300" s="30"/>
      <c r="AO1300" s="30"/>
      <c r="AP1300" s="30"/>
      <c r="AQ1300" s="30"/>
      <c r="AR1300" s="30"/>
      <c r="AS1300" s="30"/>
      <c r="AT1300" s="30"/>
      <c r="AU1300" s="30"/>
      <c r="AV1300" s="30"/>
      <c r="AW1300" s="30"/>
      <c r="AX1300" s="30"/>
    </row>
    <row r="1301" spans="4:50" s="23" customFormat="1" x14ac:dyDescent="0.3">
      <c r="D1301" s="34"/>
      <c r="E1301" s="24"/>
      <c r="F1301" s="24"/>
      <c r="G1301" s="24"/>
      <c r="H1301" s="24"/>
      <c r="I1301" s="24"/>
      <c r="J1301" s="27"/>
      <c r="K1301" s="30"/>
      <c r="L1301" s="30"/>
      <c r="M1301" s="30"/>
      <c r="N1301" s="30"/>
      <c r="O1301" s="30"/>
      <c r="P1301" s="30"/>
      <c r="Q1301" s="30"/>
      <c r="R1301" s="30"/>
      <c r="S1301" s="30"/>
      <c r="T1301" s="30"/>
      <c r="U1301" s="30"/>
      <c r="V1301" s="30"/>
      <c r="W1301" s="30"/>
      <c r="X1301" s="30"/>
      <c r="Y1301" s="30"/>
      <c r="Z1301" s="30"/>
      <c r="AA1301" s="30"/>
      <c r="AB1301" s="30"/>
      <c r="AC1301" s="30"/>
      <c r="AD1301" s="30"/>
      <c r="AE1301" s="30"/>
      <c r="AF1301" s="30"/>
      <c r="AG1301" s="30"/>
      <c r="AH1301" s="30"/>
      <c r="AI1301" s="30"/>
      <c r="AJ1301" s="30"/>
      <c r="AK1301" s="30"/>
      <c r="AL1301" s="30"/>
      <c r="AM1301" s="30"/>
      <c r="AN1301" s="30"/>
      <c r="AO1301" s="30"/>
      <c r="AP1301" s="30"/>
      <c r="AQ1301" s="30"/>
      <c r="AR1301" s="30"/>
      <c r="AS1301" s="30"/>
      <c r="AT1301" s="30"/>
      <c r="AU1301" s="30"/>
      <c r="AV1301" s="30"/>
      <c r="AW1301" s="30"/>
      <c r="AX1301" s="30"/>
    </row>
    <row r="1302" spans="4:50" s="23" customFormat="1" x14ac:dyDescent="0.3">
      <c r="D1302" s="34"/>
      <c r="E1302" s="24"/>
      <c r="F1302" s="24"/>
      <c r="G1302" s="24"/>
      <c r="H1302" s="24"/>
      <c r="I1302" s="24"/>
      <c r="J1302" s="27"/>
      <c r="K1302" s="30"/>
      <c r="L1302" s="30"/>
      <c r="M1302" s="30"/>
      <c r="N1302" s="30"/>
      <c r="O1302" s="30"/>
      <c r="P1302" s="30"/>
      <c r="Q1302" s="30"/>
      <c r="R1302" s="30"/>
      <c r="S1302" s="30"/>
      <c r="T1302" s="30"/>
      <c r="U1302" s="30"/>
      <c r="V1302" s="30"/>
      <c r="W1302" s="30"/>
      <c r="X1302" s="30"/>
      <c r="Y1302" s="30"/>
      <c r="Z1302" s="30"/>
      <c r="AA1302" s="30"/>
      <c r="AB1302" s="30"/>
      <c r="AC1302" s="30"/>
      <c r="AD1302" s="30"/>
      <c r="AE1302" s="30"/>
      <c r="AF1302" s="30"/>
      <c r="AG1302" s="30"/>
      <c r="AH1302" s="30"/>
      <c r="AI1302" s="30"/>
      <c r="AJ1302" s="30"/>
      <c r="AK1302" s="30"/>
      <c r="AL1302" s="30"/>
      <c r="AM1302" s="30"/>
      <c r="AN1302" s="30"/>
      <c r="AO1302" s="30"/>
      <c r="AP1302" s="30"/>
      <c r="AQ1302" s="30"/>
      <c r="AR1302" s="30"/>
      <c r="AS1302" s="30"/>
      <c r="AT1302" s="30"/>
      <c r="AU1302" s="30"/>
      <c r="AV1302" s="30"/>
      <c r="AW1302" s="30"/>
      <c r="AX1302" s="30"/>
    </row>
    <row r="1303" spans="4:50" s="23" customFormat="1" x14ac:dyDescent="0.3">
      <c r="D1303" s="34"/>
      <c r="E1303" s="24"/>
      <c r="F1303" s="24"/>
      <c r="G1303" s="24"/>
      <c r="H1303" s="24"/>
      <c r="I1303" s="24"/>
      <c r="J1303" s="27"/>
      <c r="K1303" s="30"/>
      <c r="L1303" s="30"/>
      <c r="M1303" s="30"/>
      <c r="N1303" s="30"/>
      <c r="O1303" s="30"/>
      <c r="P1303" s="30"/>
      <c r="Q1303" s="30"/>
      <c r="R1303" s="30"/>
      <c r="S1303" s="30"/>
      <c r="T1303" s="30"/>
      <c r="U1303" s="30"/>
      <c r="V1303" s="30"/>
      <c r="W1303" s="30"/>
      <c r="X1303" s="30"/>
      <c r="Y1303" s="30"/>
      <c r="Z1303" s="30"/>
      <c r="AA1303" s="30"/>
      <c r="AB1303" s="30"/>
      <c r="AC1303" s="30"/>
      <c r="AD1303" s="30"/>
      <c r="AE1303" s="30"/>
      <c r="AF1303" s="30"/>
      <c r="AG1303" s="30"/>
      <c r="AH1303" s="30"/>
      <c r="AI1303" s="30"/>
      <c r="AJ1303" s="30"/>
      <c r="AK1303" s="30"/>
      <c r="AL1303" s="30"/>
      <c r="AM1303" s="30"/>
      <c r="AN1303" s="30"/>
      <c r="AO1303" s="30"/>
      <c r="AP1303" s="30"/>
      <c r="AQ1303" s="30"/>
      <c r="AR1303" s="30"/>
      <c r="AS1303" s="30"/>
      <c r="AT1303" s="30"/>
      <c r="AU1303" s="30"/>
      <c r="AV1303" s="30"/>
      <c r="AW1303" s="30"/>
      <c r="AX1303" s="30"/>
    </row>
    <row r="1304" spans="4:50" s="23" customFormat="1" x14ac:dyDescent="0.3">
      <c r="D1304" s="34"/>
      <c r="E1304" s="24"/>
      <c r="F1304" s="24"/>
      <c r="G1304" s="24"/>
      <c r="H1304" s="24"/>
      <c r="I1304" s="24"/>
      <c r="J1304" s="27"/>
      <c r="K1304" s="30"/>
      <c r="L1304" s="30"/>
      <c r="M1304" s="30"/>
      <c r="N1304" s="30"/>
      <c r="O1304" s="30"/>
      <c r="P1304" s="30"/>
      <c r="Q1304" s="30"/>
      <c r="R1304" s="30"/>
      <c r="S1304" s="30"/>
      <c r="T1304" s="30"/>
      <c r="U1304" s="30"/>
      <c r="V1304" s="30"/>
      <c r="W1304" s="30"/>
      <c r="X1304" s="30"/>
      <c r="Y1304" s="30"/>
      <c r="Z1304" s="30"/>
      <c r="AA1304" s="30"/>
      <c r="AB1304" s="30"/>
      <c r="AC1304" s="30"/>
      <c r="AD1304" s="30"/>
      <c r="AE1304" s="30"/>
      <c r="AF1304" s="30"/>
      <c r="AG1304" s="30"/>
      <c r="AH1304" s="30"/>
      <c r="AI1304" s="30"/>
      <c r="AJ1304" s="30"/>
      <c r="AK1304" s="30"/>
      <c r="AL1304" s="30"/>
      <c r="AM1304" s="30"/>
      <c r="AN1304" s="30"/>
      <c r="AO1304" s="30"/>
      <c r="AP1304" s="30"/>
      <c r="AQ1304" s="30"/>
      <c r="AR1304" s="30"/>
      <c r="AS1304" s="30"/>
      <c r="AT1304" s="30"/>
      <c r="AU1304" s="30"/>
      <c r="AV1304" s="30"/>
      <c r="AW1304" s="30"/>
      <c r="AX1304" s="30"/>
    </row>
    <row r="1305" spans="4:50" s="23" customFormat="1" x14ac:dyDescent="0.3">
      <c r="D1305" s="34"/>
      <c r="E1305" s="24"/>
      <c r="F1305" s="24"/>
      <c r="G1305" s="24"/>
      <c r="H1305" s="24"/>
      <c r="I1305" s="24"/>
      <c r="J1305" s="27"/>
      <c r="K1305" s="30"/>
      <c r="L1305" s="30"/>
      <c r="M1305" s="30"/>
      <c r="N1305" s="30"/>
      <c r="O1305" s="30"/>
      <c r="P1305" s="30"/>
      <c r="Q1305" s="30"/>
      <c r="R1305" s="30"/>
      <c r="S1305" s="30"/>
      <c r="T1305" s="30"/>
      <c r="U1305" s="30"/>
      <c r="V1305" s="30"/>
      <c r="W1305" s="30"/>
      <c r="X1305" s="30"/>
      <c r="Y1305" s="30"/>
      <c r="Z1305" s="30"/>
      <c r="AA1305" s="30"/>
      <c r="AB1305" s="30"/>
      <c r="AC1305" s="30"/>
      <c r="AD1305" s="30"/>
      <c r="AE1305" s="30"/>
      <c r="AF1305" s="30"/>
      <c r="AG1305" s="30"/>
      <c r="AH1305" s="30"/>
      <c r="AI1305" s="30"/>
      <c r="AJ1305" s="30"/>
      <c r="AK1305" s="30"/>
      <c r="AL1305" s="30"/>
      <c r="AM1305" s="30"/>
      <c r="AN1305" s="30"/>
      <c r="AO1305" s="30"/>
      <c r="AP1305" s="30"/>
      <c r="AQ1305" s="30"/>
      <c r="AR1305" s="30"/>
      <c r="AS1305" s="30"/>
      <c r="AT1305" s="30"/>
      <c r="AU1305" s="30"/>
      <c r="AV1305" s="30"/>
      <c r="AW1305" s="30"/>
      <c r="AX1305" s="30"/>
    </row>
    <row r="1306" spans="4:50" s="23" customFormat="1" x14ac:dyDescent="0.3">
      <c r="D1306" s="34"/>
      <c r="E1306" s="24"/>
      <c r="F1306" s="24"/>
      <c r="G1306" s="24"/>
      <c r="H1306" s="24"/>
      <c r="I1306" s="24"/>
      <c r="J1306" s="27"/>
      <c r="K1306" s="30"/>
      <c r="L1306" s="30"/>
      <c r="M1306" s="30"/>
      <c r="N1306" s="30"/>
      <c r="O1306" s="30"/>
      <c r="P1306" s="30"/>
      <c r="Q1306" s="30"/>
      <c r="R1306" s="30"/>
      <c r="S1306" s="30"/>
      <c r="T1306" s="30"/>
      <c r="U1306" s="30"/>
      <c r="V1306" s="30"/>
      <c r="W1306" s="30"/>
      <c r="X1306" s="30"/>
      <c r="Y1306" s="30"/>
      <c r="Z1306" s="30"/>
      <c r="AA1306" s="30"/>
      <c r="AB1306" s="30"/>
      <c r="AC1306" s="30"/>
      <c r="AD1306" s="30"/>
      <c r="AE1306" s="30"/>
      <c r="AF1306" s="30"/>
      <c r="AG1306" s="30"/>
      <c r="AH1306" s="30"/>
      <c r="AI1306" s="30"/>
      <c r="AJ1306" s="30"/>
      <c r="AK1306" s="30"/>
      <c r="AL1306" s="30"/>
      <c r="AM1306" s="30"/>
      <c r="AN1306" s="30"/>
      <c r="AO1306" s="30"/>
      <c r="AP1306" s="30"/>
      <c r="AQ1306" s="30"/>
      <c r="AR1306" s="30"/>
      <c r="AS1306" s="30"/>
      <c r="AT1306" s="30"/>
      <c r="AU1306" s="30"/>
      <c r="AV1306" s="30"/>
      <c r="AW1306" s="30"/>
      <c r="AX1306" s="30"/>
    </row>
    <row r="1307" spans="4:50" s="23" customFormat="1" x14ac:dyDescent="0.3">
      <c r="D1307" s="34"/>
      <c r="E1307" s="24"/>
      <c r="F1307" s="24"/>
      <c r="G1307" s="24"/>
      <c r="H1307" s="24"/>
      <c r="I1307" s="24"/>
      <c r="J1307" s="27"/>
      <c r="K1307" s="30"/>
      <c r="L1307" s="30"/>
      <c r="M1307" s="30"/>
      <c r="N1307" s="30"/>
      <c r="O1307" s="30"/>
      <c r="P1307" s="30"/>
      <c r="Q1307" s="30"/>
      <c r="R1307" s="30"/>
      <c r="S1307" s="30"/>
      <c r="T1307" s="30"/>
      <c r="U1307" s="30"/>
      <c r="V1307" s="30"/>
      <c r="W1307" s="30"/>
      <c r="X1307" s="30"/>
      <c r="Y1307" s="30"/>
      <c r="Z1307" s="30"/>
      <c r="AA1307" s="30"/>
      <c r="AB1307" s="30"/>
      <c r="AC1307" s="30"/>
      <c r="AD1307" s="30"/>
      <c r="AE1307" s="30"/>
      <c r="AF1307" s="30"/>
      <c r="AG1307" s="30"/>
      <c r="AH1307" s="30"/>
      <c r="AI1307" s="30"/>
      <c r="AJ1307" s="30"/>
      <c r="AK1307" s="30"/>
      <c r="AL1307" s="30"/>
      <c r="AM1307" s="30"/>
      <c r="AN1307" s="30"/>
      <c r="AO1307" s="30"/>
      <c r="AP1307" s="30"/>
      <c r="AQ1307" s="30"/>
      <c r="AR1307" s="30"/>
      <c r="AS1307" s="30"/>
      <c r="AT1307" s="30"/>
      <c r="AU1307" s="30"/>
      <c r="AV1307" s="30"/>
      <c r="AW1307" s="30"/>
      <c r="AX1307" s="30"/>
    </row>
    <row r="1308" spans="4:50" s="23" customFormat="1" x14ac:dyDescent="0.3">
      <c r="D1308" s="34"/>
      <c r="E1308" s="24"/>
      <c r="F1308" s="24"/>
      <c r="G1308" s="24"/>
      <c r="H1308" s="24"/>
      <c r="I1308" s="24"/>
      <c r="J1308" s="27"/>
      <c r="K1308" s="30"/>
      <c r="L1308" s="30"/>
      <c r="M1308" s="30"/>
      <c r="N1308" s="30"/>
      <c r="O1308" s="30"/>
      <c r="P1308" s="30"/>
      <c r="Q1308" s="30"/>
      <c r="R1308" s="30"/>
      <c r="S1308" s="30"/>
      <c r="T1308" s="30"/>
      <c r="U1308" s="30"/>
      <c r="V1308" s="30"/>
      <c r="W1308" s="30"/>
      <c r="X1308" s="30"/>
      <c r="Y1308" s="30"/>
      <c r="Z1308" s="30"/>
      <c r="AA1308" s="30"/>
      <c r="AB1308" s="30"/>
      <c r="AC1308" s="30"/>
      <c r="AD1308" s="30"/>
      <c r="AE1308" s="30"/>
      <c r="AF1308" s="30"/>
      <c r="AG1308" s="30"/>
      <c r="AH1308" s="30"/>
      <c r="AI1308" s="30"/>
      <c r="AJ1308" s="30"/>
      <c r="AK1308" s="30"/>
      <c r="AL1308" s="30"/>
      <c r="AM1308" s="30"/>
      <c r="AN1308" s="30"/>
      <c r="AO1308" s="30"/>
      <c r="AP1308" s="30"/>
      <c r="AQ1308" s="30"/>
      <c r="AR1308" s="30"/>
      <c r="AS1308" s="30"/>
      <c r="AT1308" s="30"/>
      <c r="AU1308" s="30"/>
      <c r="AV1308" s="30"/>
      <c r="AW1308" s="30"/>
      <c r="AX1308" s="30"/>
    </row>
    <row r="1309" spans="4:50" s="23" customFormat="1" x14ac:dyDescent="0.3">
      <c r="D1309" s="34"/>
      <c r="E1309" s="24"/>
      <c r="F1309" s="24"/>
      <c r="G1309" s="24"/>
      <c r="H1309" s="24"/>
      <c r="I1309" s="24"/>
      <c r="J1309" s="27"/>
      <c r="K1309" s="30"/>
      <c r="L1309" s="30"/>
      <c r="M1309" s="30"/>
      <c r="N1309" s="30"/>
      <c r="O1309" s="30"/>
      <c r="P1309" s="30"/>
      <c r="Q1309" s="30"/>
      <c r="R1309" s="30"/>
      <c r="S1309" s="30"/>
      <c r="T1309" s="30"/>
      <c r="U1309" s="30"/>
      <c r="V1309" s="30"/>
      <c r="W1309" s="30"/>
      <c r="X1309" s="30"/>
      <c r="Y1309" s="30"/>
      <c r="Z1309" s="30"/>
      <c r="AA1309" s="30"/>
      <c r="AB1309" s="30"/>
      <c r="AC1309" s="30"/>
      <c r="AD1309" s="30"/>
      <c r="AE1309" s="30"/>
      <c r="AF1309" s="30"/>
      <c r="AG1309" s="30"/>
      <c r="AH1309" s="30"/>
      <c r="AI1309" s="30"/>
      <c r="AJ1309" s="30"/>
      <c r="AK1309" s="30"/>
      <c r="AL1309" s="30"/>
      <c r="AM1309" s="30"/>
      <c r="AN1309" s="30"/>
      <c r="AO1309" s="30"/>
      <c r="AP1309" s="30"/>
      <c r="AQ1309" s="30"/>
      <c r="AR1309" s="30"/>
      <c r="AS1309" s="30"/>
      <c r="AT1309" s="30"/>
      <c r="AU1309" s="30"/>
      <c r="AV1309" s="30"/>
      <c r="AW1309" s="30"/>
      <c r="AX1309" s="30"/>
    </row>
    <row r="1310" spans="4:50" s="23" customFormat="1" x14ac:dyDescent="0.3">
      <c r="D1310" s="34"/>
      <c r="E1310" s="24"/>
      <c r="F1310" s="24"/>
      <c r="G1310" s="24"/>
      <c r="H1310" s="24"/>
      <c r="I1310" s="24"/>
      <c r="J1310" s="27"/>
      <c r="K1310" s="30"/>
      <c r="L1310" s="30"/>
      <c r="M1310" s="30"/>
      <c r="N1310" s="30"/>
      <c r="O1310" s="30"/>
      <c r="P1310" s="30"/>
      <c r="Q1310" s="30"/>
      <c r="R1310" s="30"/>
      <c r="S1310" s="30"/>
      <c r="T1310" s="30"/>
      <c r="U1310" s="30"/>
      <c r="V1310" s="30"/>
      <c r="W1310" s="30"/>
      <c r="X1310" s="30"/>
      <c r="Y1310" s="30"/>
      <c r="Z1310" s="30"/>
      <c r="AA1310" s="30"/>
      <c r="AB1310" s="30"/>
      <c r="AC1310" s="30"/>
      <c r="AD1310" s="30"/>
      <c r="AE1310" s="30"/>
      <c r="AF1310" s="30"/>
      <c r="AG1310" s="30"/>
      <c r="AH1310" s="30"/>
      <c r="AI1310" s="30"/>
      <c r="AJ1310" s="30"/>
      <c r="AK1310" s="30"/>
      <c r="AL1310" s="30"/>
      <c r="AM1310" s="30"/>
      <c r="AN1310" s="30"/>
      <c r="AO1310" s="30"/>
      <c r="AP1310" s="30"/>
      <c r="AQ1310" s="30"/>
      <c r="AR1310" s="30"/>
      <c r="AS1310" s="30"/>
      <c r="AT1310" s="30"/>
      <c r="AU1310" s="30"/>
      <c r="AV1310" s="30"/>
      <c r="AW1310" s="30"/>
      <c r="AX1310" s="30"/>
    </row>
    <row r="1311" spans="4:50" s="23" customFormat="1" x14ac:dyDescent="0.3">
      <c r="D1311" s="34"/>
      <c r="E1311" s="24"/>
      <c r="F1311" s="24"/>
      <c r="G1311" s="24"/>
      <c r="H1311" s="24"/>
      <c r="I1311" s="24"/>
      <c r="J1311" s="27"/>
      <c r="K1311" s="30"/>
      <c r="L1311" s="30"/>
      <c r="M1311" s="30"/>
      <c r="N1311" s="30"/>
      <c r="O1311" s="30"/>
      <c r="P1311" s="30"/>
      <c r="Q1311" s="30"/>
      <c r="R1311" s="30"/>
      <c r="S1311" s="30"/>
      <c r="T1311" s="30"/>
      <c r="U1311" s="30"/>
      <c r="V1311" s="30"/>
      <c r="W1311" s="30"/>
      <c r="X1311" s="30"/>
      <c r="Y1311" s="30"/>
      <c r="Z1311" s="30"/>
      <c r="AA1311" s="30"/>
      <c r="AB1311" s="30"/>
      <c r="AC1311" s="30"/>
      <c r="AD1311" s="30"/>
      <c r="AE1311" s="30"/>
      <c r="AF1311" s="30"/>
      <c r="AG1311" s="30"/>
      <c r="AH1311" s="30"/>
      <c r="AI1311" s="30"/>
      <c r="AJ1311" s="30"/>
      <c r="AK1311" s="30"/>
      <c r="AL1311" s="30"/>
      <c r="AM1311" s="30"/>
      <c r="AN1311" s="30"/>
      <c r="AO1311" s="30"/>
      <c r="AP1311" s="30"/>
      <c r="AQ1311" s="30"/>
      <c r="AR1311" s="30"/>
      <c r="AS1311" s="30"/>
      <c r="AT1311" s="30"/>
      <c r="AU1311" s="30"/>
      <c r="AV1311" s="30"/>
      <c r="AW1311" s="30"/>
      <c r="AX1311" s="30"/>
    </row>
    <row r="1312" spans="4:50" s="23" customFormat="1" x14ac:dyDescent="0.3">
      <c r="D1312" s="34"/>
      <c r="E1312" s="24"/>
      <c r="F1312" s="24"/>
      <c r="G1312" s="24"/>
      <c r="H1312" s="24"/>
      <c r="I1312" s="24"/>
      <c r="J1312" s="27"/>
      <c r="K1312" s="30"/>
      <c r="L1312" s="30"/>
      <c r="M1312" s="30"/>
      <c r="N1312" s="30"/>
      <c r="O1312" s="30"/>
      <c r="P1312" s="30"/>
      <c r="Q1312" s="30"/>
      <c r="R1312" s="30"/>
      <c r="S1312" s="30"/>
      <c r="T1312" s="30"/>
      <c r="U1312" s="30"/>
      <c r="V1312" s="30"/>
      <c r="W1312" s="30"/>
      <c r="X1312" s="30"/>
      <c r="Y1312" s="30"/>
      <c r="Z1312" s="30"/>
      <c r="AA1312" s="30"/>
      <c r="AB1312" s="30"/>
      <c r="AC1312" s="30"/>
      <c r="AD1312" s="30"/>
      <c r="AE1312" s="30"/>
      <c r="AF1312" s="30"/>
      <c r="AG1312" s="30"/>
      <c r="AH1312" s="30"/>
      <c r="AI1312" s="30"/>
      <c r="AJ1312" s="30"/>
      <c r="AK1312" s="30"/>
      <c r="AL1312" s="30"/>
      <c r="AM1312" s="30"/>
      <c r="AN1312" s="30"/>
      <c r="AO1312" s="30"/>
      <c r="AP1312" s="30"/>
      <c r="AQ1312" s="30"/>
      <c r="AR1312" s="30"/>
      <c r="AS1312" s="30"/>
      <c r="AT1312" s="30"/>
      <c r="AU1312" s="30"/>
      <c r="AV1312" s="30"/>
      <c r="AW1312" s="30"/>
      <c r="AX1312" s="30"/>
    </row>
    <row r="1313" spans="4:50" s="23" customFormat="1" x14ac:dyDescent="0.3">
      <c r="D1313" s="34"/>
      <c r="E1313" s="24"/>
      <c r="F1313" s="24"/>
      <c r="G1313" s="24"/>
      <c r="H1313" s="24"/>
      <c r="I1313" s="24"/>
      <c r="J1313" s="27"/>
      <c r="K1313" s="30"/>
      <c r="L1313" s="30"/>
      <c r="M1313" s="30"/>
      <c r="N1313" s="30"/>
      <c r="O1313" s="30"/>
      <c r="P1313" s="30"/>
      <c r="Q1313" s="30"/>
      <c r="R1313" s="30"/>
      <c r="S1313" s="30"/>
      <c r="T1313" s="30"/>
      <c r="U1313" s="30"/>
      <c r="V1313" s="30"/>
      <c r="W1313" s="30"/>
      <c r="X1313" s="30"/>
      <c r="Y1313" s="30"/>
      <c r="Z1313" s="30"/>
      <c r="AA1313" s="30"/>
      <c r="AB1313" s="30"/>
      <c r="AC1313" s="30"/>
      <c r="AD1313" s="30"/>
      <c r="AE1313" s="30"/>
      <c r="AF1313" s="30"/>
      <c r="AG1313" s="30"/>
      <c r="AH1313" s="30"/>
      <c r="AI1313" s="30"/>
      <c r="AJ1313" s="30"/>
      <c r="AK1313" s="30"/>
      <c r="AL1313" s="30"/>
      <c r="AM1313" s="30"/>
      <c r="AN1313" s="30"/>
      <c r="AO1313" s="30"/>
      <c r="AP1313" s="30"/>
      <c r="AQ1313" s="30"/>
      <c r="AR1313" s="30"/>
      <c r="AS1313" s="30"/>
      <c r="AT1313" s="30"/>
      <c r="AU1313" s="30"/>
      <c r="AV1313" s="30"/>
      <c r="AW1313" s="30"/>
      <c r="AX1313" s="30"/>
    </row>
    <row r="1314" spans="4:50" s="23" customFormat="1" x14ac:dyDescent="0.3">
      <c r="D1314" s="34"/>
      <c r="E1314" s="24"/>
      <c r="F1314" s="24"/>
      <c r="G1314" s="24"/>
      <c r="H1314" s="24"/>
      <c r="I1314" s="24"/>
      <c r="J1314" s="27"/>
      <c r="K1314" s="30"/>
      <c r="L1314" s="30"/>
      <c r="M1314" s="30"/>
      <c r="N1314" s="30"/>
      <c r="O1314" s="30"/>
      <c r="P1314" s="30"/>
      <c r="Q1314" s="30"/>
      <c r="R1314" s="30"/>
      <c r="S1314" s="30"/>
      <c r="T1314" s="30"/>
      <c r="U1314" s="30"/>
      <c r="V1314" s="30"/>
      <c r="W1314" s="30"/>
      <c r="X1314" s="30"/>
      <c r="Y1314" s="30"/>
      <c r="Z1314" s="30"/>
      <c r="AA1314" s="30"/>
      <c r="AB1314" s="30"/>
      <c r="AC1314" s="30"/>
      <c r="AD1314" s="30"/>
      <c r="AE1314" s="30"/>
      <c r="AF1314" s="30"/>
      <c r="AG1314" s="30"/>
      <c r="AH1314" s="30"/>
      <c r="AI1314" s="30"/>
      <c r="AJ1314" s="30"/>
      <c r="AK1314" s="30"/>
      <c r="AL1314" s="30"/>
      <c r="AM1314" s="30"/>
      <c r="AN1314" s="30"/>
      <c r="AO1314" s="30"/>
      <c r="AP1314" s="30"/>
      <c r="AQ1314" s="30"/>
      <c r="AR1314" s="30"/>
      <c r="AS1314" s="30"/>
      <c r="AT1314" s="30"/>
      <c r="AU1314" s="30"/>
      <c r="AV1314" s="30"/>
      <c r="AW1314" s="30"/>
      <c r="AX1314" s="30"/>
    </row>
    <row r="1315" spans="4:50" s="23" customFormat="1" x14ac:dyDescent="0.3">
      <c r="D1315" s="34"/>
      <c r="E1315" s="24"/>
      <c r="F1315" s="24"/>
      <c r="G1315" s="24"/>
      <c r="H1315" s="24"/>
      <c r="I1315" s="24"/>
      <c r="J1315" s="27"/>
      <c r="K1315" s="30"/>
      <c r="L1315" s="30"/>
      <c r="M1315" s="30"/>
      <c r="N1315" s="30"/>
      <c r="O1315" s="30"/>
      <c r="P1315" s="30"/>
      <c r="Q1315" s="30"/>
      <c r="R1315" s="30"/>
      <c r="S1315" s="30"/>
      <c r="T1315" s="30"/>
      <c r="U1315" s="30"/>
      <c r="V1315" s="30"/>
      <c r="W1315" s="30"/>
      <c r="X1315" s="30"/>
      <c r="Y1315" s="30"/>
      <c r="Z1315" s="30"/>
      <c r="AA1315" s="30"/>
      <c r="AB1315" s="30"/>
      <c r="AC1315" s="30"/>
      <c r="AD1315" s="30"/>
      <c r="AE1315" s="30"/>
      <c r="AF1315" s="30"/>
      <c r="AG1315" s="30"/>
      <c r="AH1315" s="30"/>
      <c r="AI1315" s="30"/>
      <c r="AJ1315" s="30"/>
      <c r="AK1315" s="30"/>
      <c r="AL1315" s="30"/>
      <c r="AM1315" s="30"/>
      <c r="AN1315" s="30"/>
      <c r="AO1315" s="30"/>
      <c r="AP1315" s="30"/>
      <c r="AQ1315" s="30"/>
      <c r="AR1315" s="30"/>
      <c r="AS1315" s="30"/>
      <c r="AT1315" s="30"/>
      <c r="AU1315" s="30"/>
      <c r="AV1315" s="30"/>
      <c r="AW1315" s="30"/>
      <c r="AX1315" s="30"/>
    </row>
    <row r="1316" spans="4:50" s="23" customFormat="1" x14ac:dyDescent="0.3">
      <c r="D1316" s="34"/>
      <c r="E1316" s="24"/>
      <c r="F1316" s="24"/>
      <c r="G1316" s="24"/>
      <c r="H1316" s="24"/>
      <c r="I1316" s="24"/>
      <c r="J1316" s="27"/>
      <c r="K1316" s="30"/>
      <c r="L1316" s="30"/>
      <c r="M1316" s="30"/>
      <c r="N1316" s="30"/>
      <c r="O1316" s="30"/>
      <c r="P1316" s="30"/>
      <c r="Q1316" s="30"/>
      <c r="R1316" s="30"/>
      <c r="S1316" s="30"/>
      <c r="T1316" s="30"/>
      <c r="U1316" s="30"/>
      <c r="V1316" s="30"/>
      <c r="W1316" s="30"/>
      <c r="X1316" s="30"/>
      <c r="Y1316" s="30"/>
      <c r="Z1316" s="30"/>
      <c r="AA1316" s="30"/>
      <c r="AB1316" s="30"/>
      <c r="AC1316" s="30"/>
      <c r="AD1316" s="30"/>
      <c r="AE1316" s="30"/>
      <c r="AF1316" s="30"/>
      <c r="AG1316" s="30"/>
      <c r="AH1316" s="30"/>
      <c r="AI1316" s="30"/>
      <c r="AJ1316" s="30"/>
      <c r="AK1316" s="30"/>
      <c r="AL1316" s="30"/>
      <c r="AM1316" s="30"/>
      <c r="AN1316" s="30"/>
      <c r="AO1316" s="30"/>
      <c r="AP1316" s="30"/>
      <c r="AQ1316" s="30"/>
      <c r="AR1316" s="30"/>
      <c r="AS1316" s="30"/>
      <c r="AT1316" s="30"/>
      <c r="AU1316" s="30"/>
      <c r="AV1316" s="30"/>
      <c r="AW1316" s="30"/>
      <c r="AX1316" s="30"/>
    </row>
    <row r="1317" spans="4:50" s="23" customFormat="1" x14ac:dyDescent="0.3">
      <c r="D1317" s="34"/>
      <c r="E1317" s="24"/>
      <c r="F1317" s="24"/>
      <c r="G1317" s="24"/>
      <c r="H1317" s="24"/>
      <c r="I1317" s="24"/>
      <c r="J1317" s="27"/>
      <c r="K1317" s="30"/>
      <c r="L1317" s="30"/>
      <c r="M1317" s="30"/>
      <c r="N1317" s="30"/>
      <c r="O1317" s="30"/>
      <c r="P1317" s="30"/>
      <c r="Q1317" s="30"/>
      <c r="R1317" s="30"/>
      <c r="S1317" s="30"/>
      <c r="T1317" s="30"/>
      <c r="U1317" s="30"/>
      <c r="V1317" s="30"/>
      <c r="W1317" s="30"/>
      <c r="X1317" s="30"/>
      <c r="Y1317" s="30"/>
      <c r="Z1317" s="30"/>
      <c r="AA1317" s="30"/>
      <c r="AB1317" s="30"/>
      <c r="AC1317" s="30"/>
      <c r="AD1317" s="30"/>
      <c r="AE1317" s="30"/>
      <c r="AF1317" s="30"/>
      <c r="AG1317" s="30"/>
      <c r="AH1317" s="30"/>
      <c r="AI1317" s="30"/>
      <c r="AJ1317" s="30"/>
      <c r="AK1317" s="30"/>
      <c r="AL1317" s="30"/>
      <c r="AM1317" s="30"/>
      <c r="AN1317" s="30"/>
      <c r="AO1317" s="30"/>
      <c r="AP1317" s="30"/>
      <c r="AQ1317" s="30"/>
      <c r="AR1317" s="30"/>
      <c r="AS1317" s="30"/>
      <c r="AT1317" s="30"/>
      <c r="AU1317" s="30"/>
      <c r="AV1317" s="30"/>
      <c r="AW1317" s="30"/>
      <c r="AX1317" s="30"/>
    </row>
    <row r="1318" spans="4:50" s="23" customFormat="1" x14ac:dyDescent="0.3">
      <c r="D1318" s="34"/>
      <c r="E1318" s="24"/>
      <c r="F1318" s="24"/>
      <c r="G1318" s="24"/>
      <c r="H1318" s="24"/>
      <c r="I1318" s="24"/>
      <c r="J1318" s="27"/>
      <c r="K1318" s="30"/>
      <c r="L1318" s="30"/>
      <c r="M1318" s="30"/>
      <c r="N1318" s="30"/>
      <c r="O1318" s="30"/>
      <c r="P1318" s="30"/>
      <c r="Q1318" s="30"/>
      <c r="R1318" s="30"/>
      <c r="S1318" s="30"/>
      <c r="T1318" s="30"/>
      <c r="U1318" s="30"/>
      <c r="V1318" s="30"/>
      <c r="W1318" s="30"/>
      <c r="X1318" s="30"/>
      <c r="Y1318" s="30"/>
      <c r="Z1318" s="30"/>
      <c r="AA1318" s="30"/>
      <c r="AB1318" s="30"/>
      <c r="AC1318" s="30"/>
      <c r="AD1318" s="30"/>
      <c r="AE1318" s="30"/>
      <c r="AF1318" s="30"/>
      <c r="AG1318" s="30"/>
      <c r="AH1318" s="30"/>
      <c r="AI1318" s="30"/>
      <c r="AJ1318" s="30"/>
      <c r="AK1318" s="30"/>
      <c r="AL1318" s="30"/>
      <c r="AM1318" s="30"/>
      <c r="AN1318" s="30"/>
      <c r="AO1318" s="30"/>
      <c r="AP1318" s="30"/>
      <c r="AQ1318" s="30"/>
      <c r="AR1318" s="30"/>
      <c r="AS1318" s="30"/>
      <c r="AT1318" s="30"/>
      <c r="AU1318" s="30"/>
      <c r="AV1318" s="30"/>
      <c r="AW1318" s="30"/>
      <c r="AX1318" s="30"/>
    </row>
    <row r="1319" spans="4:50" s="23" customFormat="1" x14ac:dyDescent="0.3">
      <c r="D1319" s="34"/>
      <c r="E1319" s="24"/>
      <c r="F1319" s="24"/>
      <c r="G1319" s="24"/>
      <c r="H1319" s="24"/>
      <c r="I1319" s="24"/>
      <c r="J1319" s="27"/>
      <c r="K1319" s="30"/>
      <c r="L1319" s="30"/>
      <c r="M1319" s="30"/>
      <c r="N1319" s="30"/>
      <c r="O1319" s="30"/>
      <c r="P1319" s="30"/>
      <c r="Q1319" s="30"/>
      <c r="R1319" s="30"/>
      <c r="S1319" s="30"/>
      <c r="T1319" s="30"/>
      <c r="U1319" s="30"/>
      <c r="V1319" s="30"/>
      <c r="W1319" s="30"/>
      <c r="X1319" s="30"/>
      <c r="Y1319" s="30"/>
      <c r="Z1319" s="30"/>
      <c r="AA1319" s="30"/>
      <c r="AB1319" s="30"/>
      <c r="AC1319" s="30"/>
      <c r="AD1319" s="30"/>
      <c r="AE1319" s="30"/>
      <c r="AF1319" s="30"/>
      <c r="AG1319" s="30"/>
      <c r="AH1319" s="30"/>
      <c r="AI1319" s="30"/>
      <c r="AJ1319" s="30"/>
      <c r="AK1319" s="30"/>
      <c r="AL1319" s="30"/>
      <c r="AM1319" s="30"/>
      <c r="AN1319" s="30"/>
      <c r="AO1319" s="30"/>
      <c r="AP1319" s="30"/>
      <c r="AQ1319" s="30"/>
      <c r="AR1319" s="30"/>
      <c r="AS1319" s="30"/>
      <c r="AT1319" s="30"/>
      <c r="AU1319" s="30"/>
      <c r="AV1319" s="30"/>
      <c r="AW1319" s="30"/>
      <c r="AX1319" s="30"/>
    </row>
    <row r="1320" spans="4:50" s="23" customFormat="1" x14ac:dyDescent="0.3">
      <c r="D1320" s="34"/>
      <c r="E1320" s="24"/>
      <c r="F1320" s="24"/>
      <c r="G1320" s="24"/>
      <c r="H1320" s="24"/>
      <c r="I1320" s="24"/>
      <c r="J1320" s="27"/>
      <c r="K1320" s="30"/>
      <c r="L1320" s="30"/>
      <c r="M1320" s="30"/>
      <c r="N1320" s="30"/>
      <c r="O1320" s="30"/>
      <c r="P1320" s="30"/>
      <c r="Q1320" s="30"/>
      <c r="R1320" s="30"/>
      <c r="S1320" s="30"/>
      <c r="T1320" s="30"/>
      <c r="U1320" s="30"/>
      <c r="V1320" s="30"/>
      <c r="W1320" s="30"/>
      <c r="X1320" s="30"/>
      <c r="Y1320" s="30"/>
      <c r="Z1320" s="30"/>
      <c r="AA1320" s="30"/>
      <c r="AB1320" s="30"/>
      <c r="AC1320" s="30"/>
      <c r="AD1320" s="30"/>
      <c r="AE1320" s="30"/>
      <c r="AF1320" s="30"/>
      <c r="AG1320" s="30"/>
      <c r="AH1320" s="30"/>
      <c r="AI1320" s="30"/>
      <c r="AJ1320" s="30"/>
      <c r="AK1320" s="30"/>
      <c r="AL1320" s="30"/>
      <c r="AM1320" s="30"/>
      <c r="AN1320" s="30"/>
      <c r="AO1320" s="30"/>
      <c r="AP1320" s="30"/>
      <c r="AQ1320" s="30"/>
      <c r="AR1320" s="30"/>
      <c r="AS1320" s="30"/>
      <c r="AT1320" s="30"/>
      <c r="AU1320" s="30"/>
      <c r="AV1320" s="30"/>
      <c r="AW1320" s="30"/>
      <c r="AX1320" s="30"/>
    </row>
    <row r="1321" spans="4:50" s="23" customFormat="1" x14ac:dyDescent="0.3">
      <c r="D1321" s="34"/>
      <c r="E1321" s="24"/>
      <c r="F1321" s="24"/>
      <c r="G1321" s="24"/>
      <c r="H1321" s="24"/>
      <c r="I1321" s="24"/>
      <c r="J1321" s="27"/>
      <c r="K1321" s="30"/>
      <c r="L1321" s="30"/>
      <c r="M1321" s="30"/>
      <c r="N1321" s="30"/>
      <c r="O1321" s="30"/>
      <c r="P1321" s="30"/>
      <c r="Q1321" s="30"/>
      <c r="R1321" s="30"/>
      <c r="S1321" s="30"/>
      <c r="T1321" s="30"/>
      <c r="U1321" s="30"/>
      <c r="V1321" s="30"/>
      <c r="W1321" s="30"/>
      <c r="X1321" s="30"/>
      <c r="Y1321" s="30"/>
      <c r="Z1321" s="30"/>
      <c r="AA1321" s="30"/>
      <c r="AB1321" s="30"/>
      <c r="AC1321" s="30"/>
      <c r="AD1321" s="30"/>
      <c r="AE1321" s="30"/>
      <c r="AF1321" s="30"/>
      <c r="AG1321" s="30"/>
      <c r="AH1321" s="30"/>
      <c r="AI1321" s="30"/>
      <c r="AJ1321" s="30"/>
      <c r="AK1321" s="30"/>
      <c r="AL1321" s="30"/>
      <c r="AM1321" s="30"/>
      <c r="AN1321" s="30"/>
      <c r="AO1321" s="30"/>
      <c r="AP1321" s="30"/>
      <c r="AQ1321" s="30"/>
      <c r="AR1321" s="30"/>
      <c r="AS1321" s="30"/>
      <c r="AT1321" s="30"/>
      <c r="AU1321" s="30"/>
      <c r="AV1321" s="30"/>
      <c r="AW1321" s="30"/>
      <c r="AX1321" s="30"/>
    </row>
    <row r="1322" spans="4:50" s="23" customFormat="1" x14ac:dyDescent="0.3">
      <c r="D1322" s="34"/>
      <c r="E1322" s="24"/>
      <c r="F1322" s="24"/>
      <c r="G1322" s="24"/>
      <c r="H1322" s="24"/>
      <c r="I1322" s="24"/>
      <c r="J1322" s="27"/>
      <c r="K1322" s="30"/>
      <c r="L1322" s="30"/>
      <c r="M1322" s="30"/>
      <c r="N1322" s="30"/>
      <c r="O1322" s="30"/>
      <c r="P1322" s="30"/>
      <c r="Q1322" s="30"/>
      <c r="R1322" s="30"/>
      <c r="S1322" s="30"/>
      <c r="T1322" s="30"/>
      <c r="U1322" s="30"/>
      <c r="V1322" s="30"/>
      <c r="W1322" s="30"/>
      <c r="X1322" s="30"/>
      <c r="Y1322" s="30"/>
      <c r="Z1322" s="30"/>
      <c r="AA1322" s="30"/>
      <c r="AB1322" s="30"/>
      <c r="AC1322" s="30"/>
      <c r="AD1322" s="30"/>
      <c r="AE1322" s="30"/>
      <c r="AF1322" s="30"/>
      <c r="AG1322" s="30"/>
      <c r="AH1322" s="30"/>
      <c r="AI1322" s="30"/>
      <c r="AJ1322" s="30"/>
      <c r="AK1322" s="30"/>
      <c r="AL1322" s="30"/>
      <c r="AM1322" s="30"/>
      <c r="AN1322" s="30"/>
      <c r="AO1322" s="30"/>
      <c r="AP1322" s="30"/>
      <c r="AQ1322" s="30"/>
      <c r="AR1322" s="30"/>
      <c r="AS1322" s="30"/>
      <c r="AT1322" s="30"/>
      <c r="AU1322" s="30"/>
      <c r="AV1322" s="30"/>
      <c r="AW1322" s="30"/>
      <c r="AX1322" s="30"/>
    </row>
    <row r="1323" spans="4:50" s="23" customFormat="1" x14ac:dyDescent="0.3">
      <c r="D1323" s="34"/>
      <c r="E1323" s="24"/>
      <c r="F1323" s="24"/>
      <c r="G1323" s="24"/>
      <c r="H1323" s="24"/>
      <c r="I1323" s="24"/>
      <c r="J1323" s="27"/>
      <c r="K1323" s="30"/>
      <c r="L1323" s="30"/>
      <c r="M1323" s="30"/>
      <c r="N1323" s="30"/>
      <c r="O1323" s="30"/>
      <c r="P1323" s="30"/>
      <c r="Q1323" s="30"/>
      <c r="R1323" s="30"/>
      <c r="S1323" s="30"/>
      <c r="T1323" s="30"/>
      <c r="U1323" s="30"/>
      <c r="V1323" s="30"/>
      <c r="W1323" s="30"/>
      <c r="X1323" s="30"/>
      <c r="Y1323" s="30"/>
      <c r="Z1323" s="30"/>
      <c r="AA1323" s="30"/>
      <c r="AB1323" s="30"/>
      <c r="AC1323" s="30"/>
      <c r="AD1323" s="30"/>
      <c r="AE1323" s="30"/>
      <c r="AF1323" s="30"/>
      <c r="AG1323" s="30"/>
      <c r="AH1323" s="30"/>
      <c r="AI1323" s="30"/>
      <c r="AJ1323" s="30"/>
      <c r="AK1323" s="30"/>
      <c r="AL1323" s="30"/>
      <c r="AM1323" s="30"/>
      <c r="AN1323" s="30"/>
      <c r="AO1323" s="30"/>
      <c r="AP1323" s="30"/>
      <c r="AQ1323" s="30"/>
      <c r="AR1323" s="30"/>
      <c r="AS1323" s="30"/>
      <c r="AT1323" s="30"/>
      <c r="AU1323" s="30"/>
      <c r="AV1323" s="30"/>
      <c r="AW1323" s="30"/>
      <c r="AX1323" s="30"/>
    </row>
    <row r="1324" spans="4:50" s="23" customFormat="1" x14ac:dyDescent="0.3">
      <c r="D1324" s="34"/>
      <c r="E1324" s="24"/>
      <c r="F1324" s="24"/>
      <c r="G1324" s="24"/>
      <c r="H1324" s="24"/>
      <c r="I1324" s="24"/>
      <c r="J1324" s="27"/>
      <c r="K1324" s="30"/>
      <c r="L1324" s="30"/>
      <c r="M1324" s="30"/>
      <c r="N1324" s="30"/>
      <c r="O1324" s="30"/>
      <c r="P1324" s="30"/>
      <c r="Q1324" s="30"/>
      <c r="R1324" s="30"/>
      <c r="S1324" s="30"/>
      <c r="T1324" s="30"/>
      <c r="U1324" s="30"/>
      <c r="V1324" s="30"/>
      <c r="W1324" s="30"/>
      <c r="X1324" s="30"/>
      <c r="Y1324" s="30"/>
      <c r="Z1324" s="30"/>
      <c r="AA1324" s="30"/>
      <c r="AB1324" s="30"/>
      <c r="AC1324" s="30"/>
      <c r="AD1324" s="30"/>
      <c r="AE1324" s="30"/>
      <c r="AF1324" s="30"/>
      <c r="AG1324" s="30"/>
      <c r="AH1324" s="30"/>
      <c r="AI1324" s="30"/>
      <c r="AJ1324" s="30"/>
      <c r="AK1324" s="30"/>
      <c r="AL1324" s="30"/>
      <c r="AM1324" s="30"/>
      <c r="AN1324" s="30"/>
      <c r="AO1324" s="30"/>
      <c r="AP1324" s="30"/>
      <c r="AQ1324" s="30"/>
      <c r="AR1324" s="30"/>
      <c r="AS1324" s="30"/>
      <c r="AT1324" s="30"/>
      <c r="AU1324" s="30"/>
      <c r="AV1324" s="30"/>
      <c r="AW1324" s="30"/>
      <c r="AX1324" s="30"/>
    </row>
    <row r="1325" spans="4:50" s="23" customFormat="1" x14ac:dyDescent="0.3">
      <c r="D1325" s="34"/>
      <c r="E1325" s="24"/>
      <c r="F1325" s="24"/>
      <c r="G1325" s="24"/>
      <c r="H1325" s="24"/>
      <c r="I1325" s="24"/>
      <c r="J1325" s="27"/>
      <c r="K1325" s="30"/>
      <c r="L1325" s="30"/>
      <c r="M1325" s="30"/>
      <c r="N1325" s="30"/>
      <c r="O1325" s="30"/>
      <c r="P1325" s="30"/>
      <c r="Q1325" s="30"/>
      <c r="R1325" s="30"/>
      <c r="S1325" s="30"/>
      <c r="T1325" s="30"/>
      <c r="U1325" s="30"/>
      <c r="V1325" s="30"/>
      <c r="W1325" s="30"/>
      <c r="X1325" s="30"/>
      <c r="Y1325" s="30"/>
      <c r="Z1325" s="30"/>
      <c r="AA1325" s="30"/>
      <c r="AB1325" s="30"/>
      <c r="AC1325" s="30"/>
      <c r="AD1325" s="30"/>
      <c r="AE1325" s="30"/>
      <c r="AF1325" s="30"/>
      <c r="AG1325" s="30"/>
      <c r="AH1325" s="30"/>
      <c r="AI1325" s="30"/>
      <c r="AJ1325" s="30"/>
      <c r="AK1325" s="30"/>
      <c r="AL1325" s="30"/>
      <c r="AM1325" s="30"/>
      <c r="AN1325" s="30"/>
      <c r="AO1325" s="30"/>
      <c r="AP1325" s="30"/>
      <c r="AQ1325" s="30"/>
      <c r="AR1325" s="30"/>
      <c r="AS1325" s="30"/>
      <c r="AT1325" s="30"/>
      <c r="AU1325" s="30"/>
      <c r="AV1325" s="30"/>
      <c r="AW1325" s="30"/>
      <c r="AX1325" s="30"/>
    </row>
    <row r="1326" spans="4:50" s="23" customFormat="1" x14ac:dyDescent="0.3">
      <c r="D1326" s="34"/>
      <c r="E1326" s="24"/>
      <c r="F1326" s="24"/>
      <c r="G1326" s="24"/>
      <c r="H1326" s="24"/>
      <c r="I1326" s="24"/>
      <c r="J1326" s="27"/>
      <c r="K1326" s="30"/>
      <c r="L1326" s="30"/>
      <c r="M1326" s="30"/>
      <c r="N1326" s="30"/>
      <c r="O1326" s="30"/>
      <c r="P1326" s="30"/>
      <c r="Q1326" s="30"/>
      <c r="R1326" s="30"/>
      <c r="S1326" s="30"/>
      <c r="T1326" s="30"/>
      <c r="U1326" s="30"/>
      <c r="V1326" s="30"/>
      <c r="W1326" s="30"/>
      <c r="X1326" s="30"/>
      <c r="Y1326" s="30"/>
      <c r="Z1326" s="30"/>
      <c r="AA1326" s="30"/>
      <c r="AB1326" s="30"/>
      <c r="AC1326" s="30"/>
      <c r="AD1326" s="30"/>
      <c r="AE1326" s="30"/>
      <c r="AF1326" s="30"/>
      <c r="AG1326" s="30"/>
      <c r="AH1326" s="30"/>
      <c r="AI1326" s="30"/>
      <c r="AJ1326" s="30"/>
      <c r="AK1326" s="30"/>
      <c r="AL1326" s="30"/>
      <c r="AM1326" s="30"/>
      <c r="AN1326" s="30"/>
      <c r="AO1326" s="30"/>
      <c r="AP1326" s="30"/>
      <c r="AQ1326" s="30"/>
      <c r="AR1326" s="30"/>
      <c r="AS1326" s="30"/>
      <c r="AT1326" s="30"/>
      <c r="AU1326" s="30"/>
      <c r="AV1326" s="30"/>
      <c r="AW1326" s="30"/>
      <c r="AX1326" s="30"/>
    </row>
    <row r="1327" spans="4:50" s="23" customFormat="1" x14ac:dyDescent="0.3">
      <c r="D1327" s="34"/>
      <c r="E1327" s="24"/>
      <c r="F1327" s="24"/>
      <c r="G1327" s="24"/>
      <c r="H1327" s="24"/>
      <c r="I1327" s="24"/>
      <c r="J1327" s="27"/>
      <c r="K1327" s="30"/>
      <c r="L1327" s="30"/>
      <c r="M1327" s="30"/>
      <c r="N1327" s="30"/>
      <c r="O1327" s="30"/>
      <c r="P1327" s="30"/>
      <c r="Q1327" s="30"/>
      <c r="R1327" s="30"/>
      <c r="S1327" s="30"/>
      <c r="T1327" s="30"/>
      <c r="U1327" s="30"/>
      <c r="V1327" s="30"/>
      <c r="W1327" s="30"/>
      <c r="X1327" s="30"/>
      <c r="Y1327" s="30"/>
      <c r="Z1327" s="30"/>
      <c r="AA1327" s="30"/>
      <c r="AB1327" s="30"/>
      <c r="AC1327" s="30"/>
      <c r="AD1327" s="30"/>
      <c r="AE1327" s="30"/>
      <c r="AF1327" s="30"/>
      <c r="AG1327" s="30"/>
      <c r="AH1327" s="30"/>
      <c r="AI1327" s="30"/>
      <c r="AJ1327" s="30"/>
      <c r="AK1327" s="30"/>
      <c r="AL1327" s="30"/>
      <c r="AM1327" s="30"/>
      <c r="AN1327" s="30"/>
      <c r="AO1327" s="30"/>
      <c r="AP1327" s="30"/>
      <c r="AQ1327" s="30"/>
      <c r="AR1327" s="30"/>
      <c r="AS1327" s="30"/>
      <c r="AT1327" s="30"/>
      <c r="AU1327" s="30"/>
      <c r="AV1327" s="30"/>
      <c r="AW1327" s="30"/>
      <c r="AX1327" s="30"/>
    </row>
    <row r="1328" spans="4:50" s="23" customFormat="1" x14ac:dyDescent="0.3">
      <c r="D1328" s="34"/>
      <c r="E1328" s="24"/>
      <c r="F1328" s="24"/>
      <c r="G1328" s="24"/>
      <c r="H1328" s="24"/>
      <c r="I1328" s="24"/>
      <c r="J1328" s="27"/>
      <c r="K1328" s="30"/>
      <c r="L1328" s="30"/>
      <c r="M1328" s="30"/>
      <c r="N1328" s="30"/>
      <c r="O1328" s="30"/>
      <c r="P1328" s="30"/>
      <c r="Q1328" s="30"/>
      <c r="R1328" s="30"/>
      <c r="S1328" s="30"/>
      <c r="T1328" s="30"/>
      <c r="U1328" s="30"/>
      <c r="V1328" s="30"/>
      <c r="W1328" s="30"/>
      <c r="X1328" s="30"/>
      <c r="Y1328" s="30"/>
      <c r="Z1328" s="30"/>
      <c r="AA1328" s="30"/>
      <c r="AB1328" s="30"/>
      <c r="AC1328" s="30"/>
      <c r="AD1328" s="30"/>
      <c r="AE1328" s="30"/>
      <c r="AF1328" s="30"/>
      <c r="AG1328" s="30"/>
      <c r="AH1328" s="30"/>
      <c r="AI1328" s="30"/>
      <c r="AJ1328" s="30"/>
      <c r="AK1328" s="30"/>
      <c r="AL1328" s="30"/>
      <c r="AM1328" s="30"/>
      <c r="AN1328" s="30"/>
      <c r="AO1328" s="30"/>
      <c r="AP1328" s="30"/>
      <c r="AQ1328" s="30"/>
      <c r="AR1328" s="30"/>
      <c r="AS1328" s="30"/>
      <c r="AT1328" s="30"/>
      <c r="AU1328" s="30"/>
      <c r="AV1328" s="30"/>
      <c r="AW1328" s="30"/>
      <c r="AX1328" s="30"/>
    </row>
    <row r="1329" spans="4:50" s="23" customFormat="1" x14ac:dyDescent="0.3">
      <c r="D1329" s="34"/>
      <c r="E1329" s="24"/>
      <c r="F1329" s="24"/>
      <c r="G1329" s="24"/>
      <c r="H1329" s="24"/>
      <c r="I1329" s="24"/>
      <c r="J1329" s="27"/>
      <c r="K1329" s="30"/>
      <c r="L1329" s="30"/>
      <c r="M1329" s="30"/>
      <c r="N1329" s="30"/>
      <c r="O1329" s="30"/>
      <c r="P1329" s="30"/>
      <c r="Q1329" s="30"/>
      <c r="R1329" s="30"/>
      <c r="S1329" s="30"/>
      <c r="T1329" s="30"/>
      <c r="U1329" s="30"/>
      <c r="V1329" s="30"/>
      <c r="W1329" s="30"/>
      <c r="X1329" s="30"/>
      <c r="Y1329" s="30"/>
      <c r="Z1329" s="30"/>
      <c r="AA1329" s="30"/>
      <c r="AB1329" s="30"/>
      <c r="AC1329" s="30"/>
      <c r="AD1329" s="30"/>
      <c r="AE1329" s="30"/>
      <c r="AF1329" s="30"/>
      <c r="AG1329" s="30"/>
      <c r="AH1329" s="30"/>
      <c r="AI1329" s="30"/>
      <c r="AJ1329" s="30"/>
      <c r="AK1329" s="30"/>
      <c r="AL1329" s="30"/>
      <c r="AM1329" s="30"/>
      <c r="AN1329" s="30"/>
      <c r="AO1329" s="30"/>
      <c r="AP1329" s="30"/>
      <c r="AQ1329" s="30"/>
      <c r="AR1329" s="30"/>
      <c r="AS1329" s="30"/>
      <c r="AT1329" s="30"/>
      <c r="AU1329" s="30"/>
      <c r="AV1329" s="30"/>
      <c r="AW1329" s="30"/>
      <c r="AX1329" s="30"/>
    </row>
    <row r="1330" spans="4:50" s="23" customFormat="1" x14ac:dyDescent="0.3">
      <c r="D1330" s="34"/>
      <c r="E1330" s="24"/>
      <c r="F1330" s="24"/>
      <c r="G1330" s="24"/>
      <c r="H1330" s="24"/>
      <c r="I1330" s="24"/>
      <c r="J1330" s="27"/>
      <c r="K1330" s="30"/>
      <c r="L1330" s="30"/>
      <c r="M1330" s="30"/>
      <c r="N1330" s="30"/>
      <c r="O1330" s="30"/>
      <c r="P1330" s="30"/>
      <c r="Q1330" s="30"/>
      <c r="R1330" s="30"/>
      <c r="S1330" s="30"/>
      <c r="T1330" s="30"/>
      <c r="U1330" s="30"/>
      <c r="V1330" s="30"/>
      <c r="W1330" s="30"/>
      <c r="X1330" s="30"/>
      <c r="Y1330" s="30"/>
      <c r="Z1330" s="30"/>
      <c r="AA1330" s="30"/>
      <c r="AB1330" s="30"/>
      <c r="AC1330" s="30"/>
      <c r="AD1330" s="30"/>
      <c r="AE1330" s="30"/>
      <c r="AF1330" s="30"/>
      <c r="AG1330" s="30"/>
      <c r="AH1330" s="30"/>
      <c r="AI1330" s="30"/>
      <c r="AJ1330" s="30"/>
      <c r="AK1330" s="30"/>
      <c r="AL1330" s="30"/>
      <c r="AM1330" s="30"/>
      <c r="AN1330" s="30"/>
      <c r="AO1330" s="30"/>
      <c r="AP1330" s="30"/>
      <c r="AQ1330" s="30"/>
      <c r="AR1330" s="30"/>
      <c r="AS1330" s="30"/>
      <c r="AT1330" s="30"/>
      <c r="AU1330" s="30"/>
      <c r="AV1330" s="30"/>
      <c r="AW1330" s="30"/>
      <c r="AX1330" s="30"/>
    </row>
    <row r="1331" spans="4:50" s="23" customFormat="1" x14ac:dyDescent="0.3">
      <c r="D1331" s="34"/>
      <c r="E1331" s="24"/>
      <c r="F1331" s="24"/>
      <c r="G1331" s="24"/>
      <c r="H1331" s="24"/>
      <c r="I1331" s="24"/>
      <c r="J1331" s="27"/>
      <c r="K1331" s="30"/>
      <c r="L1331" s="30"/>
      <c r="M1331" s="30"/>
      <c r="N1331" s="30"/>
      <c r="O1331" s="30"/>
      <c r="P1331" s="30"/>
      <c r="Q1331" s="30"/>
      <c r="R1331" s="30"/>
      <c r="S1331" s="30"/>
      <c r="T1331" s="30"/>
      <c r="U1331" s="30"/>
      <c r="V1331" s="30"/>
      <c r="W1331" s="30"/>
      <c r="X1331" s="30"/>
      <c r="Y1331" s="30"/>
      <c r="Z1331" s="30"/>
      <c r="AA1331" s="30"/>
      <c r="AB1331" s="30"/>
      <c r="AC1331" s="30"/>
      <c r="AD1331" s="30"/>
      <c r="AE1331" s="30"/>
      <c r="AF1331" s="30"/>
      <c r="AG1331" s="30"/>
      <c r="AH1331" s="30"/>
      <c r="AI1331" s="30"/>
      <c r="AJ1331" s="30"/>
      <c r="AK1331" s="30"/>
      <c r="AL1331" s="30"/>
      <c r="AM1331" s="30"/>
      <c r="AN1331" s="30"/>
      <c r="AO1331" s="30"/>
      <c r="AP1331" s="30"/>
      <c r="AQ1331" s="30"/>
      <c r="AR1331" s="30"/>
      <c r="AS1331" s="30"/>
      <c r="AT1331" s="30"/>
      <c r="AU1331" s="30"/>
      <c r="AV1331" s="30"/>
      <c r="AW1331" s="30"/>
      <c r="AX1331" s="30"/>
    </row>
    <row r="1332" spans="4:50" s="23" customFormat="1" x14ac:dyDescent="0.3">
      <c r="D1332" s="34"/>
      <c r="E1332" s="24"/>
      <c r="F1332" s="24"/>
      <c r="G1332" s="24"/>
      <c r="H1332" s="24"/>
      <c r="I1332" s="24"/>
      <c r="J1332" s="27"/>
      <c r="K1332" s="30"/>
      <c r="L1332" s="30"/>
      <c r="M1332" s="30"/>
      <c r="N1332" s="30"/>
      <c r="O1332" s="30"/>
      <c r="P1332" s="30"/>
      <c r="Q1332" s="30"/>
      <c r="R1332" s="30"/>
      <c r="S1332" s="30"/>
      <c r="T1332" s="30"/>
      <c r="U1332" s="30"/>
      <c r="V1332" s="30"/>
      <c r="W1332" s="30"/>
      <c r="X1332" s="30"/>
      <c r="Y1332" s="30"/>
      <c r="Z1332" s="30"/>
      <c r="AA1332" s="30"/>
      <c r="AB1332" s="30"/>
      <c r="AC1332" s="30"/>
      <c r="AD1332" s="30"/>
      <c r="AE1332" s="30"/>
      <c r="AF1332" s="30"/>
      <c r="AG1332" s="30"/>
      <c r="AH1332" s="30"/>
      <c r="AI1332" s="30"/>
      <c r="AJ1332" s="30"/>
      <c r="AK1332" s="30"/>
      <c r="AL1332" s="30"/>
      <c r="AM1332" s="30"/>
      <c r="AN1332" s="30"/>
      <c r="AO1332" s="30"/>
      <c r="AP1332" s="30"/>
      <c r="AQ1332" s="30"/>
      <c r="AR1332" s="30"/>
      <c r="AS1332" s="30"/>
      <c r="AT1332" s="30"/>
      <c r="AU1332" s="30"/>
      <c r="AV1332" s="30"/>
      <c r="AW1332" s="30"/>
      <c r="AX1332" s="30"/>
    </row>
    <row r="1333" spans="4:50" s="23" customFormat="1" x14ac:dyDescent="0.3">
      <c r="D1333" s="34"/>
      <c r="E1333" s="24"/>
      <c r="F1333" s="24"/>
      <c r="G1333" s="24"/>
      <c r="H1333" s="24"/>
      <c r="I1333" s="24"/>
      <c r="J1333" s="27"/>
      <c r="K1333" s="30"/>
      <c r="L1333" s="30"/>
      <c r="M1333" s="30"/>
      <c r="N1333" s="30"/>
      <c r="O1333" s="30"/>
      <c r="P1333" s="30"/>
      <c r="Q1333" s="30"/>
      <c r="R1333" s="30"/>
      <c r="S1333" s="30"/>
      <c r="T1333" s="30"/>
      <c r="U1333" s="30"/>
      <c r="V1333" s="30"/>
      <c r="W1333" s="30"/>
      <c r="X1333" s="30"/>
      <c r="Y1333" s="30"/>
      <c r="Z1333" s="30"/>
      <c r="AA1333" s="30"/>
      <c r="AB1333" s="30"/>
      <c r="AC1333" s="30"/>
      <c r="AD1333" s="30"/>
      <c r="AE1333" s="30"/>
      <c r="AF1333" s="30"/>
      <c r="AG1333" s="30"/>
      <c r="AH1333" s="30"/>
      <c r="AI1333" s="30"/>
      <c r="AJ1333" s="30"/>
      <c r="AK1333" s="30"/>
      <c r="AL1333" s="30"/>
      <c r="AM1333" s="30"/>
      <c r="AN1333" s="30"/>
      <c r="AO1333" s="30"/>
      <c r="AP1333" s="30"/>
      <c r="AQ1333" s="30"/>
      <c r="AR1333" s="30"/>
      <c r="AS1333" s="30"/>
      <c r="AT1333" s="30"/>
      <c r="AU1333" s="30"/>
      <c r="AV1333" s="30"/>
      <c r="AW1333" s="30"/>
      <c r="AX1333" s="30"/>
    </row>
    <row r="1334" spans="4:50" s="23" customFormat="1" x14ac:dyDescent="0.3">
      <c r="D1334" s="34"/>
      <c r="E1334" s="24"/>
      <c r="F1334" s="24"/>
      <c r="G1334" s="24"/>
      <c r="H1334" s="24"/>
      <c r="I1334" s="24"/>
      <c r="J1334" s="27"/>
      <c r="K1334" s="30"/>
      <c r="L1334" s="30"/>
      <c r="M1334" s="30"/>
      <c r="N1334" s="30"/>
      <c r="O1334" s="30"/>
      <c r="P1334" s="30"/>
      <c r="Q1334" s="30"/>
      <c r="R1334" s="30"/>
      <c r="S1334" s="30"/>
      <c r="T1334" s="30"/>
      <c r="U1334" s="30"/>
      <c r="V1334" s="30"/>
      <c r="W1334" s="30"/>
      <c r="X1334" s="30"/>
      <c r="Y1334" s="30"/>
      <c r="Z1334" s="30"/>
      <c r="AA1334" s="30"/>
      <c r="AB1334" s="30"/>
      <c r="AC1334" s="30"/>
      <c r="AD1334" s="30"/>
      <c r="AE1334" s="30"/>
      <c r="AF1334" s="30"/>
      <c r="AG1334" s="30"/>
      <c r="AH1334" s="30"/>
      <c r="AI1334" s="30"/>
      <c r="AJ1334" s="30"/>
      <c r="AK1334" s="30"/>
      <c r="AL1334" s="30"/>
      <c r="AM1334" s="30"/>
      <c r="AN1334" s="30"/>
      <c r="AO1334" s="30"/>
      <c r="AP1334" s="30"/>
      <c r="AQ1334" s="30"/>
      <c r="AR1334" s="30"/>
      <c r="AS1334" s="30"/>
      <c r="AT1334" s="30"/>
      <c r="AU1334" s="30"/>
      <c r="AV1334" s="30"/>
      <c r="AW1334" s="30"/>
      <c r="AX1334" s="30"/>
    </row>
    <row r="1335" spans="4:50" s="23" customFormat="1" x14ac:dyDescent="0.3">
      <c r="D1335" s="34"/>
      <c r="E1335" s="24"/>
      <c r="F1335" s="24"/>
      <c r="G1335" s="24"/>
      <c r="H1335" s="24"/>
      <c r="I1335" s="24"/>
      <c r="J1335" s="27"/>
      <c r="K1335" s="30"/>
      <c r="L1335" s="30"/>
      <c r="M1335" s="30"/>
      <c r="N1335" s="30"/>
      <c r="O1335" s="30"/>
      <c r="P1335" s="30"/>
      <c r="Q1335" s="30"/>
      <c r="R1335" s="30"/>
      <c r="S1335" s="30"/>
      <c r="T1335" s="30"/>
      <c r="U1335" s="30"/>
      <c r="V1335" s="30"/>
      <c r="W1335" s="30"/>
      <c r="X1335" s="30"/>
      <c r="Y1335" s="30"/>
      <c r="Z1335" s="30"/>
      <c r="AA1335" s="30"/>
      <c r="AB1335" s="30"/>
      <c r="AC1335" s="30"/>
      <c r="AD1335" s="30"/>
      <c r="AE1335" s="30"/>
      <c r="AF1335" s="30"/>
      <c r="AG1335" s="30"/>
      <c r="AH1335" s="30"/>
      <c r="AI1335" s="30"/>
      <c r="AJ1335" s="30"/>
      <c r="AK1335" s="30"/>
      <c r="AL1335" s="30"/>
      <c r="AM1335" s="30"/>
      <c r="AN1335" s="30"/>
      <c r="AO1335" s="30"/>
      <c r="AP1335" s="30"/>
      <c r="AQ1335" s="30"/>
      <c r="AR1335" s="30"/>
      <c r="AS1335" s="30"/>
      <c r="AT1335" s="30"/>
      <c r="AU1335" s="30"/>
      <c r="AV1335" s="30"/>
      <c r="AW1335" s="30"/>
      <c r="AX1335" s="30"/>
    </row>
    <row r="1336" spans="4:50" s="23" customFormat="1" x14ac:dyDescent="0.3">
      <c r="D1336" s="34"/>
      <c r="E1336" s="24"/>
      <c r="F1336" s="24"/>
      <c r="G1336" s="24"/>
      <c r="H1336" s="24"/>
      <c r="I1336" s="24"/>
      <c r="J1336" s="27"/>
      <c r="K1336" s="30"/>
      <c r="L1336" s="30"/>
      <c r="M1336" s="30"/>
      <c r="N1336" s="30"/>
      <c r="O1336" s="30"/>
      <c r="P1336" s="30"/>
      <c r="Q1336" s="30"/>
      <c r="R1336" s="30"/>
      <c r="S1336" s="30"/>
      <c r="T1336" s="30"/>
      <c r="U1336" s="30"/>
      <c r="V1336" s="30"/>
      <c r="W1336" s="30"/>
      <c r="X1336" s="30"/>
      <c r="Y1336" s="30"/>
      <c r="Z1336" s="30"/>
      <c r="AA1336" s="30"/>
      <c r="AB1336" s="30"/>
      <c r="AC1336" s="30"/>
      <c r="AD1336" s="30"/>
      <c r="AE1336" s="30"/>
      <c r="AF1336" s="30"/>
      <c r="AG1336" s="30"/>
      <c r="AH1336" s="30"/>
      <c r="AI1336" s="30"/>
      <c r="AJ1336" s="30"/>
      <c r="AK1336" s="30"/>
      <c r="AL1336" s="30"/>
      <c r="AM1336" s="30"/>
      <c r="AN1336" s="30"/>
      <c r="AO1336" s="30"/>
      <c r="AP1336" s="30"/>
      <c r="AQ1336" s="30"/>
      <c r="AR1336" s="30"/>
      <c r="AS1336" s="30"/>
      <c r="AT1336" s="30"/>
      <c r="AU1336" s="30"/>
      <c r="AV1336" s="30"/>
      <c r="AW1336" s="30"/>
      <c r="AX1336" s="30"/>
    </row>
    <row r="1337" spans="4:50" s="23" customFormat="1" x14ac:dyDescent="0.3">
      <c r="D1337" s="34"/>
      <c r="E1337" s="24"/>
      <c r="F1337" s="24"/>
      <c r="G1337" s="24"/>
      <c r="H1337" s="24"/>
      <c r="I1337" s="24"/>
      <c r="J1337" s="27"/>
      <c r="K1337" s="30"/>
      <c r="L1337" s="30"/>
      <c r="M1337" s="30"/>
      <c r="N1337" s="30"/>
      <c r="O1337" s="30"/>
      <c r="P1337" s="30"/>
      <c r="Q1337" s="30"/>
      <c r="R1337" s="30"/>
      <c r="S1337" s="30"/>
      <c r="T1337" s="30"/>
      <c r="U1337" s="30"/>
      <c r="V1337" s="30"/>
      <c r="W1337" s="30"/>
      <c r="X1337" s="30"/>
      <c r="Y1337" s="30"/>
      <c r="Z1337" s="30"/>
      <c r="AA1337" s="30"/>
      <c r="AB1337" s="30"/>
      <c r="AC1337" s="30"/>
      <c r="AD1337" s="30"/>
      <c r="AE1337" s="30"/>
      <c r="AF1337" s="30"/>
      <c r="AG1337" s="30"/>
      <c r="AH1337" s="30"/>
      <c r="AI1337" s="30"/>
      <c r="AJ1337" s="30"/>
      <c r="AK1337" s="30"/>
      <c r="AL1337" s="30"/>
      <c r="AM1337" s="30"/>
      <c r="AN1337" s="30"/>
      <c r="AO1337" s="30"/>
      <c r="AP1337" s="30"/>
      <c r="AQ1337" s="30"/>
      <c r="AR1337" s="30"/>
      <c r="AS1337" s="30"/>
      <c r="AT1337" s="30"/>
      <c r="AU1337" s="30"/>
      <c r="AV1337" s="30"/>
      <c r="AW1337" s="30"/>
      <c r="AX1337" s="30"/>
    </row>
    <row r="1338" spans="4:50" s="23" customFormat="1" x14ac:dyDescent="0.3">
      <c r="D1338" s="34"/>
      <c r="E1338" s="24"/>
      <c r="F1338" s="24"/>
      <c r="G1338" s="24"/>
      <c r="H1338" s="24"/>
      <c r="I1338" s="24"/>
      <c r="J1338" s="27"/>
      <c r="K1338" s="30"/>
      <c r="L1338" s="30"/>
      <c r="M1338" s="30"/>
      <c r="N1338" s="30"/>
      <c r="O1338" s="30"/>
      <c r="P1338" s="30"/>
      <c r="Q1338" s="30"/>
      <c r="R1338" s="30"/>
      <c r="S1338" s="30"/>
      <c r="T1338" s="30"/>
      <c r="U1338" s="30"/>
      <c r="V1338" s="30"/>
      <c r="W1338" s="30"/>
      <c r="X1338" s="30"/>
      <c r="Y1338" s="30"/>
      <c r="Z1338" s="30"/>
      <c r="AA1338" s="30"/>
      <c r="AB1338" s="30"/>
      <c r="AC1338" s="30"/>
      <c r="AD1338" s="30"/>
      <c r="AE1338" s="30"/>
      <c r="AF1338" s="30"/>
      <c r="AG1338" s="30"/>
      <c r="AH1338" s="30"/>
      <c r="AI1338" s="30"/>
      <c r="AJ1338" s="30"/>
      <c r="AK1338" s="30"/>
      <c r="AL1338" s="30"/>
      <c r="AM1338" s="30"/>
      <c r="AN1338" s="30"/>
      <c r="AO1338" s="30"/>
      <c r="AP1338" s="30"/>
      <c r="AQ1338" s="30"/>
      <c r="AR1338" s="30"/>
      <c r="AS1338" s="30"/>
      <c r="AT1338" s="30"/>
      <c r="AU1338" s="30"/>
      <c r="AV1338" s="30"/>
      <c r="AW1338" s="30"/>
      <c r="AX1338" s="30"/>
    </row>
    <row r="1339" spans="4:50" s="23" customFormat="1" x14ac:dyDescent="0.3">
      <c r="D1339" s="34"/>
      <c r="E1339" s="24"/>
      <c r="F1339" s="24"/>
      <c r="G1339" s="24"/>
      <c r="H1339" s="24"/>
      <c r="I1339" s="24"/>
      <c r="J1339" s="27"/>
      <c r="K1339" s="30"/>
      <c r="L1339" s="30"/>
      <c r="M1339" s="30"/>
      <c r="N1339" s="30"/>
      <c r="O1339" s="30"/>
      <c r="P1339" s="30"/>
      <c r="Q1339" s="30"/>
      <c r="R1339" s="30"/>
      <c r="S1339" s="30"/>
      <c r="T1339" s="30"/>
      <c r="U1339" s="30"/>
      <c r="V1339" s="30"/>
      <c r="W1339" s="30"/>
      <c r="X1339" s="30"/>
      <c r="Y1339" s="30"/>
      <c r="Z1339" s="30"/>
      <c r="AA1339" s="30"/>
      <c r="AB1339" s="30"/>
      <c r="AC1339" s="30"/>
      <c r="AD1339" s="30"/>
      <c r="AE1339" s="30"/>
      <c r="AF1339" s="30"/>
      <c r="AG1339" s="30"/>
      <c r="AH1339" s="30"/>
      <c r="AI1339" s="30"/>
      <c r="AJ1339" s="30"/>
      <c r="AK1339" s="30"/>
      <c r="AL1339" s="30"/>
      <c r="AM1339" s="30"/>
      <c r="AN1339" s="30"/>
      <c r="AO1339" s="30"/>
      <c r="AP1339" s="30"/>
      <c r="AQ1339" s="30"/>
      <c r="AR1339" s="30"/>
      <c r="AS1339" s="30"/>
      <c r="AT1339" s="30"/>
      <c r="AU1339" s="30"/>
      <c r="AV1339" s="30"/>
      <c r="AW1339" s="30"/>
      <c r="AX1339" s="30"/>
    </row>
    <row r="1340" spans="4:50" s="23" customFormat="1" x14ac:dyDescent="0.3">
      <c r="D1340" s="34"/>
      <c r="E1340" s="24"/>
      <c r="F1340" s="24"/>
      <c r="G1340" s="24"/>
      <c r="H1340" s="24"/>
      <c r="I1340" s="24"/>
      <c r="J1340" s="27"/>
      <c r="K1340" s="30"/>
      <c r="L1340" s="30"/>
      <c r="M1340" s="30"/>
      <c r="N1340" s="30"/>
      <c r="O1340" s="30"/>
      <c r="P1340" s="30"/>
      <c r="Q1340" s="30"/>
      <c r="R1340" s="30"/>
      <c r="S1340" s="30"/>
      <c r="T1340" s="30"/>
      <c r="U1340" s="30"/>
      <c r="V1340" s="30"/>
      <c r="W1340" s="30"/>
      <c r="X1340" s="30"/>
      <c r="Y1340" s="30"/>
      <c r="Z1340" s="30"/>
      <c r="AA1340" s="30"/>
      <c r="AB1340" s="30"/>
      <c r="AC1340" s="30"/>
      <c r="AD1340" s="30"/>
      <c r="AE1340" s="30"/>
      <c r="AF1340" s="30"/>
      <c r="AG1340" s="30"/>
      <c r="AH1340" s="30"/>
      <c r="AI1340" s="30"/>
      <c r="AJ1340" s="30"/>
      <c r="AK1340" s="30"/>
      <c r="AL1340" s="30"/>
      <c r="AM1340" s="30"/>
      <c r="AN1340" s="30"/>
      <c r="AO1340" s="30"/>
      <c r="AP1340" s="30"/>
      <c r="AQ1340" s="30"/>
      <c r="AR1340" s="30"/>
      <c r="AS1340" s="30"/>
      <c r="AT1340" s="30"/>
      <c r="AU1340" s="30"/>
      <c r="AV1340" s="30"/>
      <c r="AW1340" s="30"/>
      <c r="AX1340" s="30"/>
    </row>
    <row r="1341" spans="4:50" s="23" customFormat="1" x14ac:dyDescent="0.3">
      <c r="D1341" s="34"/>
      <c r="E1341" s="24"/>
      <c r="F1341" s="24"/>
      <c r="G1341" s="24"/>
      <c r="H1341" s="24"/>
      <c r="I1341" s="24"/>
      <c r="J1341" s="27"/>
      <c r="K1341" s="30"/>
      <c r="L1341" s="30"/>
      <c r="M1341" s="30"/>
      <c r="N1341" s="30"/>
      <c r="O1341" s="30"/>
      <c r="P1341" s="30"/>
      <c r="Q1341" s="30"/>
      <c r="R1341" s="30"/>
      <c r="S1341" s="30"/>
      <c r="T1341" s="30"/>
      <c r="U1341" s="30"/>
      <c r="V1341" s="30"/>
      <c r="W1341" s="30"/>
      <c r="X1341" s="30"/>
      <c r="Y1341" s="30"/>
      <c r="Z1341" s="30"/>
      <c r="AA1341" s="30"/>
      <c r="AB1341" s="30"/>
      <c r="AC1341" s="30"/>
      <c r="AD1341" s="30"/>
      <c r="AE1341" s="30"/>
      <c r="AF1341" s="30"/>
      <c r="AG1341" s="30"/>
      <c r="AH1341" s="30"/>
      <c r="AI1341" s="30"/>
      <c r="AJ1341" s="30"/>
      <c r="AK1341" s="30"/>
      <c r="AL1341" s="30"/>
      <c r="AM1341" s="30"/>
      <c r="AN1341" s="30"/>
      <c r="AO1341" s="30"/>
      <c r="AP1341" s="30"/>
      <c r="AQ1341" s="30"/>
      <c r="AR1341" s="30"/>
      <c r="AS1341" s="30"/>
      <c r="AT1341" s="30"/>
      <c r="AU1341" s="30"/>
      <c r="AV1341" s="30"/>
      <c r="AW1341" s="30"/>
      <c r="AX1341" s="30"/>
    </row>
    <row r="1342" spans="4:50" s="23" customFormat="1" x14ac:dyDescent="0.3">
      <c r="D1342" s="34"/>
      <c r="E1342" s="24"/>
      <c r="F1342" s="24"/>
      <c r="G1342" s="24"/>
      <c r="H1342" s="24"/>
      <c r="I1342" s="24"/>
      <c r="J1342" s="27"/>
      <c r="K1342" s="30"/>
      <c r="L1342" s="30"/>
      <c r="M1342" s="30"/>
      <c r="N1342" s="30"/>
      <c r="O1342" s="30"/>
      <c r="P1342" s="30"/>
      <c r="Q1342" s="30"/>
      <c r="R1342" s="30"/>
      <c r="S1342" s="30"/>
      <c r="T1342" s="30"/>
      <c r="U1342" s="30"/>
      <c r="V1342" s="30"/>
      <c r="W1342" s="30"/>
      <c r="X1342" s="30"/>
      <c r="Y1342" s="30"/>
      <c r="Z1342" s="30"/>
      <c r="AA1342" s="30"/>
      <c r="AB1342" s="30"/>
      <c r="AC1342" s="30"/>
      <c r="AD1342" s="30"/>
      <c r="AE1342" s="30"/>
      <c r="AF1342" s="30"/>
      <c r="AG1342" s="30"/>
      <c r="AH1342" s="30"/>
      <c r="AI1342" s="30"/>
      <c r="AJ1342" s="30"/>
      <c r="AK1342" s="30"/>
      <c r="AL1342" s="30"/>
      <c r="AM1342" s="30"/>
      <c r="AN1342" s="30"/>
      <c r="AO1342" s="30"/>
      <c r="AP1342" s="30"/>
      <c r="AQ1342" s="30"/>
      <c r="AR1342" s="30"/>
      <c r="AS1342" s="30"/>
      <c r="AT1342" s="30"/>
      <c r="AU1342" s="30"/>
      <c r="AV1342" s="30"/>
      <c r="AW1342" s="30"/>
      <c r="AX1342" s="30"/>
    </row>
    <row r="1343" spans="4:50" s="23" customFormat="1" x14ac:dyDescent="0.3">
      <c r="D1343" s="34"/>
      <c r="E1343" s="24"/>
      <c r="F1343" s="24"/>
      <c r="G1343" s="24"/>
      <c r="H1343" s="24"/>
      <c r="I1343" s="24"/>
      <c r="J1343" s="27"/>
      <c r="K1343" s="30"/>
      <c r="L1343" s="30"/>
      <c r="M1343" s="30"/>
      <c r="N1343" s="30"/>
      <c r="O1343" s="30"/>
      <c r="P1343" s="30"/>
      <c r="Q1343" s="30"/>
      <c r="R1343" s="30"/>
      <c r="S1343" s="30"/>
      <c r="T1343" s="30"/>
      <c r="U1343" s="30"/>
      <c r="V1343" s="30"/>
      <c r="W1343" s="30"/>
      <c r="X1343" s="30"/>
      <c r="Y1343" s="30"/>
      <c r="Z1343" s="30"/>
      <c r="AA1343" s="30"/>
      <c r="AB1343" s="30"/>
      <c r="AC1343" s="30"/>
      <c r="AD1343" s="30"/>
      <c r="AE1343" s="30"/>
      <c r="AF1343" s="30"/>
      <c r="AG1343" s="30"/>
      <c r="AH1343" s="30"/>
      <c r="AI1343" s="30"/>
      <c r="AJ1343" s="30"/>
      <c r="AK1343" s="30"/>
      <c r="AL1343" s="30"/>
      <c r="AM1343" s="30"/>
      <c r="AN1343" s="30"/>
      <c r="AO1343" s="30"/>
      <c r="AP1343" s="30"/>
      <c r="AQ1343" s="30"/>
      <c r="AR1343" s="30"/>
      <c r="AS1343" s="30"/>
      <c r="AT1343" s="30"/>
      <c r="AU1343" s="30"/>
      <c r="AV1343" s="30"/>
      <c r="AW1343" s="30"/>
      <c r="AX1343" s="30"/>
    </row>
    <row r="1344" spans="4:50" s="23" customFormat="1" x14ac:dyDescent="0.3">
      <c r="D1344" s="34"/>
      <c r="E1344" s="24"/>
      <c r="F1344" s="24"/>
      <c r="G1344" s="24"/>
      <c r="H1344" s="24"/>
      <c r="I1344" s="24"/>
      <c r="J1344" s="27"/>
      <c r="K1344" s="30"/>
      <c r="L1344" s="30"/>
      <c r="M1344" s="30"/>
      <c r="N1344" s="30"/>
      <c r="O1344" s="30"/>
      <c r="P1344" s="30"/>
      <c r="Q1344" s="30"/>
      <c r="R1344" s="30"/>
      <c r="S1344" s="30"/>
      <c r="T1344" s="30"/>
      <c r="U1344" s="30"/>
      <c r="V1344" s="30"/>
      <c r="W1344" s="30"/>
      <c r="X1344" s="30"/>
      <c r="Y1344" s="30"/>
      <c r="Z1344" s="30"/>
      <c r="AA1344" s="30"/>
      <c r="AB1344" s="30"/>
      <c r="AC1344" s="30"/>
      <c r="AD1344" s="30"/>
      <c r="AE1344" s="30"/>
      <c r="AF1344" s="30"/>
      <c r="AG1344" s="30"/>
      <c r="AH1344" s="30"/>
      <c r="AI1344" s="30"/>
      <c r="AJ1344" s="30"/>
      <c r="AK1344" s="30"/>
      <c r="AL1344" s="30"/>
      <c r="AM1344" s="30"/>
      <c r="AN1344" s="30"/>
      <c r="AO1344" s="30"/>
      <c r="AP1344" s="30"/>
      <c r="AQ1344" s="30"/>
      <c r="AR1344" s="30"/>
      <c r="AS1344" s="30"/>
      <c r="AT1344" s="30"/>
      <c r="AU1344" s="30"/>
      <c r="AV1344" s="30"/>
      <c r="AW1344" s="30"/>
      <c r="AX1344" s="30"/>
    </row>
    <row r="1345" spans="4:50" s="23" customFormat="1" x14ac:dyDescent="0.3">
      <c r="D1345" s="34"/>
      <c r="E1345" s="24"/>
      <c r="F1345" s="24"/>
      <c r="G1345" s="24"/>
      <c r="H1345" s="24"/>
      <c r="I1345" s="24"/>
      <c r="J1345" s="27"/>
      <c r="K1345" s="30"/>
      <c r="L1345" s="30"/>
      <c r="M1345" s="30"/>
      <c r="N1345" s="30"/>
      <c r="O1345" s="30"/>
      <c r="P1345" s="30"/>
      <c r="Q1345" s="30"/>
      <c r="R1345" s="30"/>
      <c r="S1345" s="30"/>
      <c r="T1345" s="30"/>
      <c r="U1345" s="30"/>
      <c r="V1345" s="30"/>
      <c r="W1345" s="30"/>
      <c r="X1345" s="30"/>
      <c r="Y1345" s="30"/>
      <c r="Z1345" s="30"/>
      <c r="AA1345" s="30"/>
      <c r="AB1345" s="30"/>
      <c r="AC1345" s="30"/>
      <c r="AD1345" s="30"/>
      <c r="AE1345" s="30"/>
      <c r="AF1345" s="30"/>
      <c r="AG1345" s="30"/>
      <c r="AH1345" s="30"/>
      <c r="AI1345" s="30"/>
      <c r="AJ1345" s="30"/>
      <c r="AK1345" s="30"/>
      <c r="AL1345" s="30"/>
      <c r="AM1345" s="30"/>
      <c r="AN1345" s="30"/>
      <c r="AO1345" s="30"/>
      <c r="AP1345" s="30"/>
      <c r="AQ1345" s="30"/>
      <c r="AR1345" s="30"/>
      <c r="AS1345" s="30"/>
      <c r="AT1345" s="30"/>
      <c r="AU1345" s="30"/>
      <c r="AV1345" s="30"/>
      <c r="AW1345" s="30"/>
      <c r="AX1345" s="30"/>
    </row>
    <row r="1346" spans="4:50" s="23" customFormat="1" x14ac:dyDescent="0.3">
      <c r="D1346" s="34"/>
      <c r="E1346" s="24"/>
      <c r="F1346" s="24"/>
      <c r="G1346" s="24"/>
      <c r="H1346" s="24"/>
      <c r="I1346" s="24"/>
      <c r="J1346" s="27"/>
      <c r="K1346" s="30"/>
      <c r="L1346" s="30"/>
      <c r="M1346" s="30"/>
      <c r="N1346" s="30"/>
      <c r="O1346" s="30"/>
      <c r="P1346" s="30"/>
      <c r="Q1346" s="30"/>
      <c r="R1346" s="30"/>
      <c r="S1346" s="30"/>
      <c r="T1346" s="30"/>
      <c r="U1346" s="30"/>
      <c r="V1346" s="30"/>
      <c r="W1346" s="30"/>
      <c r="X1346" s="30"/>
      <c r="Y1346" s="30"/>
      <c r="Z1346" s="30"/>
      <c r="AA1346" s="30"/>
      <c r="AB1346" s="30"/>
      <c r="AC1346" s="30"/>
      <c r="AD1346" s="30"/>
      <c r="AE1346" s="30"/>
      <c r="AF1346" s="30"/>
      <c r="AG1346" s="30"/>
      <c r="AH1346" s="30"/>
      <c r="AI1346" s="30"/>
      <c r="AJ1346" s="30"/>
      <c r="AK1346" s="30"/>
      <c r="AL1346" s="30"/>
      <c r="AM1346" s="30"/>
      <c r="AN1346" s="30"/>
      <c r="AO1346" s="30"/>
      <c r="AP1346" s="30"/>
      <c r="AQ1346" s="30"/>
      <c r="AR1346" s="30"/>
      <c r="AS1346" s="30"/>
      <c r="AT1346" s="30"/>
      <c r="AU1346" s="30"/>
      <c r="AV1346" s="30"/>
      <c r="AW1346" s="30"/>
      <c r="AX1346" s="30"/>
    </row>
    <row r="1347" spans="4:50" s="23" customFormat="1" x14ac:dyDescent="0.3">
      <c r="D1347" s="34"/>
      <c r="E1347" s="24"/>
      <c r="F1347" s="24"/>
      <c r="G1347" s="24"/>
      <c r="H1347" s="24"/>
      <c r="I1347" s="24"/>
      <c r="J1347" s="27"/>
      <c r="K1347" s="30"/>
      <c r="L1347" s="30"/>
      <c r="M1347" s="30"/>
      <c r="N1347" s="30"/>
      <c r="O1347" s="30"/>
      <c r="P1347" s="30"/>
      <c r="Q1347" s="30"/>
      <c r="R1347" s="30"/>
      <c r="S1347" s="30"/>
      <c r="T1347" s="30"/>
      <c r="U1347" s="30"/>
      <c r="V1347" s="30"/>
      <c r="W1347" s="30"/>
      <c r="X1347" s="30"/>
      <c r="Y1347" s="30"/>
      <c r="Z1347" s="30"/>
      <c r="AA1347" s="30"/>
      <c r="AB1347" s="30"/>
      <c r="AC1347" s="30"/>
      <c r="AD1347" s="30"/>
      <c r="AE1347" s="30"/>
      <c r="AF1347" s="30"/>
      <c r="AG1347" s="30"/>
      <c r="AH1347" s="30"/>
      <c r="AI1347" s="30"/>
      <c r="AJ1347" s="30"/>
      <c r="AK1347" s="30"/>
      <c r="AL1347" s="30"/>
      <c r="AM1347" s="30"/>
      <c r="AN1347" s="30"/>
      <c r="AO1347" s="30"/>
      <c r="AP1347" s="30"/>
      <c r="AQ1347" s="30"/>
      <c r="AR1347" s="30"/>
      <c r="AS1347" s="30"/>
      <c r="AT1347" s="30"/>
      <c r="AU1347" s="30"/>
      <c r="AV1347" s="30"/>
      <c r="AW1347" s="30"/>
      <c r="AX1347" s="30"/>
    </row>
    <row r="1348" spans="4:50" s="23" customFormat="1" x14ac:dyDescent="0.3">
      <c r="D1348" s="34"/>
      <c r="E1348" s="24"/>
      <c r="F1348" s="24"/>
      <c r="G1348" s="24"/>
      <c r="H1348" s="24"/>
      <c r="I1348" s="24"/>
      <c r="J1348" s="27"/>
      <c r="K1348" s="30"/>
      <c r="L1348" s="30"/>
      <c r="M1348" s="30"/>
      <c r="N1348" s="30"/>
      <c r="O1348" s="30"/>
      <c r="P1348" s="30"/>
      <c r="Q1348" s="30"/>
      <c r="R1348" s="30"/>
      <c r="S1348" s="30"/>
      <c r="T1348" s="30"/>
      <c r="U1348" s="30"/>
      <c r="V1348" s="30"/>
      <c r="W1348" s="30"/>
      <c r="X1348" s="30"/>
      <c r="Y1348" s="30"/>
      <c r="Z1348" s="30"/>
      <c r="AA1348" s="30"/>
      <c r="AB1348" s="30"/>
      <c r="AC1348" s="30"/>
      <c r="AD1348" s="30"/>
      <c r="AE1348" s="30"/>
      <c r="AF1348" s="30"/>
      <c r="AG1348" s="30"/>
      <c r="AH1348" s="30"/>
      <c r="AI1348" s="30"/>
      <c r="AJ1348" s="30"/>
      <c r="AK1348" s="30"/>
      <c r="AL1348" s="30"/>
      <c r="AM1348" s="30"/>
      <c r="AN1348" s="30"/>
      <c r="AO1348" s="30"/>
      <c r="AP1348" s="30"/>
      <c r="AQ1348" s="30"/>
      <c r="AR1348" s="30"/>
      <c r="AS1348" s="30"/>
      <c r="AT1348" s="30"/>
      <c r="AU1348" s="30"/>
      <c r="AV1348" s="30"/>
      <c r="AW1348" s="30"/>
      <c r="AX1348" s="30"/>
    </row>
  </sheetData>
  <sheetProtection formatCells="0" formatColumns="0" formatRows="0" sort="0" autoFilter="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449B-6174-481E-9BC6-452185D8E4E3}">
  <dimension ref="A1:AF104"/>
  <sheetViews>
    <sheetView workbookViewId="0">
      <selection activeCell="B8" sqref="B8"/>
    </sheetView>
  </sheetViews>
  <sheetFormatPr defaultColWidth="11.19921875" defaultRowHeight="15.6" x14ac:dyDescent="0.3"/>
  <cols>
    <col min="1" max="1" width="24.296875" style="81" customWidth="1"/>
    <col min="2" max="2" width="48.5" style="81" customWidth="1"/>
    <col min="3" max="3" width="31.19921875" style="81" customWidth="1"/>
    <col min="4" max="4" width="14.19921875" style="81" customWidth="1"/>
    <col min="5" max="5" width="26" style="81" customWidth="1"/>
    <col min="6" max="7" width="22.296875" style="42" customWidth="1"/>
    <col min="8" max="8" width="30.19921875" style="42" customWidth="1"/>
    <col min="9" max="9" width="20.296875" style="42" customWidth="1"/>
    <col min="10" max="15" width="30.19921875" style="42" customWidth="1"/>
    <col min="16" max="16" width="20.796875" style="42" customWidth="1"/>
    <col min="17" max="17" width="20.5" style="42" customWidth="1"/>
    <col min="18" max="18" width="25.5" style="42" customWidth="1"/>
    <col min="19" max="19" width="32.796875" style="66" customWidth="1"/>
    <col min="20" max="20" width="20.296875" style="66" customWidth="1"/>
    <col min="21" max="21" width="27" style="66" customWidth="1"/>
    <col min="22" max="22" width="19.5" style="66" customWidth="1"/>
    <col min="23" max="23" width="34.19921875" style="66" customWidth="1"/>
    <col min="24" max="24" width="20" style="66" customWidth="1"/>
    <col min="25" max="28" width="22.19921875" style="66" customWidth="1"/>
    <col min="29" max="29" width="11.19921875" style="66"/>
    <col min="30" max="30" width="21.796875" style="66" customWidth="1"/>
    <col min="31" max="31" width="24.796875" style="66" customWidth="1"/>
    <col min="32" max="32" width="88.69921875" style="85" customWidth="1"/>
    <col min="33" max="16384" width="11.19921875" style="47"/>
  </cols>
  <sheetData>
    <row r="1" spans="1:32" x14ac:dyDescent="0.3">
      <c r="A1" s="8" t="s">
        <v>115</v>
      </c>
      <c r="B1" s="40"/>
      <c r="C1" s="40"/>
      <c r="D1" s="40"/>
      <c r="E1" s="41"/>
      <c r="S1" s="43"/>
      <c r="T1" s="44"/>
      <c r="U1" s="44"/>
      <c r="V1" s="44"/>
      <c r="W1" s="44"/>
      <c r="X1" s="44"/>
      <c r="Y1" s="44"/>
      <c r="Z1" s="44"/>
      <c r="AA1" s="44"/>
      <c r="AB1" s="44"/>
      <c r="AC1" s="44"/>
      <c r="AD1" s="44"/>
      <c r="AE1" s="45"/>
      <c r="AF1" s="46"/>
    </row>
    <row r="2" spans="1:32" x14ac:dyDescent="0.3">
      <c r="A2" s="48" t="s">
        <v>116</v>
      </c>
      <c r="B2" s="49"/>
      <c r="C2" s="49"/>
      <c r="D2" s="49"/>
      <c r="E2" s="50"/>
      <c r="F2" s="51" t="s">
        <v>117</v>
      </c>
      <c r="G2" s="51"/>
      <c r="H2" s="51"/>
      <c r="I2" s="51"/>
      <c r="J2" s="51"/>
      <c r="K2" s="51"/>
      <c r="L2" s="51"/>
      <c r="M2" s="51"/>
      <c r="N2" s="51"/>
      <c r="O2" s="51"/>
      <c r="P2" s="51"/>
      <c r="Q2" s="51"/>
      <c r="R2" s="51"/>
      <c r="S2" s="52" t="s">
        <v>118</v>
      </c>
      <c r="T2" s="53"/>
      <c r="U2" s="53"/>
      <c r="V2" s="53"/>
      <c r="W2" s="53"/>
      <c r="X2" s="53"/>
      <c r="Y2" s="53"/>
      <c r="Z2" s="53"/>
      <c r="AA2" s="53"/>
      <c r="AB2" s="53"/>
      <c r="AC2" s="49"/>
      <c r="AD2" s="49"/>
      <c r="AE2" s="50"/>
      <c r="AF2" s="54"/>
    </row>
    <row r="3" spans="1:32" x14ac:dyDescent="0.3">
      <c r="A3" s="55"/>
      <c r="B3" s="56"/>
      <c r="C3" s="56"/>
      <c r="D3" s="56"/>
      <c r="E3" s="57"/>
      <c r="F3" s="58" t="s">
        <v>119</v>
      </c>
      <c r="G3" s="58"/>
      <c r="H3" s="59"/>
      <c r="I3" s="59"/>
      <c r="J3" s="60" t="s">
        <v>120</v>
      </c>
      <c r="K3" s="61"/>
      <c r="L3" s="60" t="s">
        <v>121</v>
      </c>
      <c r="M3" s="62"/>
      <c r="N3" s="62"/>
      <c r="O3" s="61"/>
      <c r="P3" s="58" t="s">
        <v>122</v>
      </c>
      <c r="Q3" s="59"/>
      <c r="R3" s="59"/>
      <c r="S3" s="55"/>
      <c r="T3" s="56"/>
      <c r="U3" s="56"/>
      <c r="V3" s="56"/>
      <c r="W3" s="56"/>
      <c r="X3" s="56"/>
      <c r="Y3" s="56"/>
      <c r="Z3" s="56"/>
      <c r="AA3" s="56"/>
      <c r="AB3" s="56"/>
      <c r="AC3" s="56"/>
      <c r="AD3" s="56"/>
      <c r="AE3" s="57"/>
      <c r="AF3" s="63"/>
    </row>
    <row r="4" spans="1:32" s="70" customFormat="1" ht="229.05" customHeight="1" x14ac:dyDescent="0.3">
      <c r="A4" s="64" t="s">
        <v>123</v>
      </c>
      <c r="B4" s="64" t="s">
        <v>124</v>
      </c>
      <c r="C4" s="64" t="s">
        <v>125</v>
      </c>
      <c r="D4" s="64"/>
      <c r="E4" s="64"/>
      <c r="F4" s="65" t="s">
        <v>126</v>
      </c>
      <c r="G4" s="65" t="s">
        <v>127</v>
      </c>
      <c r="H4" s="65" t="s">
        <v>128</v>
      </c>
      <c r="I4" s="65"/>
      <c r="J4" s="65" t="s">
        <v>129</v>
      </c>
      <c r="K4" s="65" t="s">
        <v>130</v>
      </c>
      <c r="L4" s="65"/>
      <c r="M4" s="65"/>
      <c r="N4" s="65"/>
      <c r="O4" s="65"/>
      <c r="P4" s="65" t="s">
        <v>131</v>
      </c>
      <c r="Q4" s="65" t="s">
        <v>132</v>
      </c>
      <c r="R4" s="65" t="s">
        <v>133</v>
      </c>
      <c r="S4" s="66" t="s">
        <v>134</v>
      </c>
      <c r="T4" s="67" t="s">
        <v>135</v>
      </c>
      <c r="U4" s="66" t="s">
        <v>134</v>
      </c>
      <c r="V4" s="67" t="s">
        <v>136</v>
      </c>
      <c r="W4" s="66" t="s">
        <v>134</v>
      </c>
      <c r="X4" s="67" t="s">
        <v>137</v>
      </c>
      <c r="Y4" s="68" t="s">
        <v>138</v>
      </c>
      <c r="Z4" s="66" t="s">
        <v>134</v>
      </c>
      <c r="AA4" s="67" t="s">
        <v>139</v>
      </c>
      <c r="AB4" s="68" t="s">
        <v>140</v>
      </c>
      <c r="AC4" s="68" t="s">
        <v>141</v>
      </c>
      <c r="AD4" s="66" t="s">
        <v>134</v>
      </c>
      <c r="AE4" s="67" t="s">
        <v>142</v>
      </c>
      <c r="AF4" s="69" t="s">
        <v>143</v>
      </c>
    </row>
    <row r="5" spans="1:32" s="74" customFormat="1" ht="47.4" thickBot="1" x14ac:dyDescent="0.35">
      <c r="A5" s="9" t="s">
        <v>144</v>
      </c>
      <c r="B5" s="39" t="s">
        <v>145</v>
      </c>
      <c r="C5" s="10" t="s">
        <v>146</v>
      </c>
      <c r="D5" s="39" t="s">
        <v>147</v>
      </c>
      <c r="E5" s="10" t="s">
        <v>323</v>
      </c>
      <c r="F5" s="71" t="s">
        <v>148</v>
      </c>
      <c r="G5" s="71" t="s">
        <v>149</v>
      </c>
      <c r="H5" s="71" t="s">
        <v>150</v>
      </c>
      <c r="I5" s="71" t="s">
        <v>151</v>
      </c>
      <c r="J5" s="71" t="s">
        <v>152</v>
      </c>
      <c r="K5" s="71" t="s">
        <v>153</v>
      </c>
      <c r="L5" s="71" t="s">
        <v>154</v>
      </c>
      <c r="M5" s="71" t="s">
        <v>155</v>
      </c>
      <c r="N5" s="71" t="s">
        <v>156</v>
      </c>
      <c r="O5" s="71" t="s">
        <v>157</v>
      </c>
      <c r="P5" s="71" t="s">
        <v>158</v>
      </c>
      <c r="Q5" s="71" t="s">
        <v>159</v>
      </c>
      <c r="R5" s="71" t="s">
        <v>160</v>
      </c>
      <c r="S5" s="72" t="s">
        <v>161</v>
      </c>
      <c r="T5" s="72" t="s">
        <v>162</v>
      </c>
      <c r="U5" s="72" t="s">
        <v>163</v>
      </c>
      <c r="V5" s="72" t="s">
        <v>164</v>
      </c>
      <c r="W5" s="72" t="s">
        <v>165</v>
      </c>
      <c r="X5" s="72" t="s">
        <v>166</v>
      </c>
      <c r="Y5" s="72" t="s">
        <v>167</v>
      </c>
      <c r="Z5" s="72" t="s">
        <v>168</v>
      </c>
      <c r="AA5" s="72" t="s">
        <v>169</v>
      </c>
      <c r="AB5" s="72" t="s">
        <v>170</v>
      </c>
      <c r="AC5" s="72" t="s">
        <v>171</v>
      </c>
      <c r="AD5" s="72" t="s">
        <v>172</v>
      </c>
      <c r="AE5" s="72" t="s">
        <v>173</v>
      </c>
      <c r="AF5" s="73" t="s">
        <v>174</v>
      </c>
    </row>
    <row r="6" spans="1:32" x14ac:dyDescent="0.3">
      <c r="A6" s="75" t="s">
        <v>179</v>
      </c>
      <c r="B6" s="76" t="s">
        <v>221</v>
      </c>
      <c r="C6" s="77" t="s">
        <v>322</v>
      </c>
      <c r="D6" s="76">
        <v>65.5</v>
      </c>
      <c r="E6" s="77">
        <v>0.20000000000000284</v>
      </c>
      <c r="F6" s="78"/>
      <c r="G6" s="78"/>
      <c r="H6" s="78"/>
      <c r="I6" s="78"/>
      <c r="J6" s="78"/>
      <c r="K6" s="78"/>
      <c r="L6" s="78"/>
      <c r="M6" s="78"/>
      <c r="N6" s="78"/>
      <c r="O6" s="78"/>
      <c r="P6" s="78"/>
      <c r="Q6" s="78"/>
      <c r="R6" s="78"/>
      <c r="S6" s="79"/>
      <c r="T6" s="79"/>
      <c r="U6" s="79"/>
      <c r="V6" s="79"/>
      <c r="W6" s="79"/>
      <c r="X6" s="79"/>
      <c r="Y6" s="79"/>
      <c r="Z6" s="79"/>
      <c r="AA6" s="79"/>
      <c r="AB6" s="79"/>
      <c r="AC6" s="79"/>
      <c r="AD6" s="79"/>
      <c r="AE6" s="79"/>
      <c r="AF6" s="80" t="s">
        <v>223</v>
      </c>
    </row>
    <row r="7" spans="1:32" x14ac:dyDescent="0.3">
      <c r="A7" s="76" t="s">
        <v>180</v>
      </c>
      <c r="B7" s="76" t="s">
        <v>233</v>
      </c>
      <c r="C7" s="77" t="s">
        <v>322</v>
      </c>
      <c r="D7" s="76">
        <v>64.5</v>
      </c>
      <c r="E7" s="77">
        <v>0.29999999999999716</v>
      </c>
      <c r="F7" s="78"/>
      <c r="G7" s="78"/>
      <c r="H7" s="78"/>
      <c r="I7" s="78"/>
      <c r="J7" s="78"/>
      <c r="K7" s="78"/>
      <c r="L7" s="78"/>
      <c r="M7" s="78"/>
      <c r="N7" s="78"/>
      <c r="O7" s="78"/>
      <c r="P7" s="78"/>
      <c r="Q7" s="78"/>
      <c r="R7" s="78"/>
      <c r="S7" s="79"/>
      <c r="T7" s="79"/>
      <c r="U7" s="79"/>
      <c r="V7" s="79"/>
      <c r="W7" s="79"/>
      <c r="X7" s="79"/>
      <c r="Y7" s="79"/>
      <c r="Z7" s="79"/>
      <c r="AA7" s="79"/>
      <c r="AB7" s="79"/>
      <c r="AC7" s="79"/>
      <c r="AD7" s="79"/>
      <c r="AE7" s="79"/>
      <c r="AF7" s="80" t="s">
        <v>234</v>
      </c>
    </row>
    <row r="8" spans="1:32" x14ac:dyDescent="0.3">
      <c r="A8" s="76" t="s">
        <v>181</v>
      </c>
      <c r="B8" s="76" t="s">
        <v>233</v>
      </c>
      <c r="C8" s="77" t="s">
        <v>322</v>
      </c>
      <c r="D8" s="76">
        <v>64.5</v>
      </c>
      <c r="E8" s="77">
        <v>0.29999999999999716</v>
      </c>
      <c r="F8" s="78"/>
      <c r="G8" s="78"/>
      <c r="H8" s="78"/>
      <c r="I8" s="78"/>
      <c r="J8" s="78"/>
      <c r="K8" s="78"/>
      <c r="L8" s="78"/>
      <c r="M8" s="78"/>
      <c r="N8" s="78"/>
      <c r="O8" s="78"/>
      <c r="P8" s="78"/>
      <c r="Q8" s="78"/>
      <c r="R8" s="78"/>
      <c r="S8" s="79"/>
      <c r="T8" s="79"/>
      <c r="U8" s="79"/>
      <c r="V8" s="79"/>
      <c r="W8" s="79"/>
      <c r="X8" s="79"/>
      <c r="Y8" s="79"/>
      <c r="Z8" s="79"/>
      <c r="AA8" s="79"/>
      <c r="AB8" s="79"/>
      <c r="AC8" s="79"/>
      <c r="AD8" s="79"/>
      <c r="AE8" s="79"/>
      <c r="AF8" s="80" t="s">
        <v>234</v>
      </c>
    </row>
    <row r="9" spans="1:32" x14ac:dyDescent="0.3">
      <c r="A9" s="76" t="s">
        <v>182</v>
      </c>
      <c r="B9" s="76" t="s">
        <v>241</v>
      </c>
      <c r="C9" s="77" t="s">
        <v>322</v>
      </c>
      <c r="D9" s="76">
        <v>64.13</v>
      </c>
      <c r="E9" s="77">
        <v>0.21000000000000085</v>
      </c>
      <c r="F9" s="78"/>
      <c r="G9" s="78"/>
      <c r="H9" s="78"/>
      <c r="I9" s="78"/>
      <c r="J9" s="78"/>
      <c r="K9" s="78"/>
      <c r="L9" s="78"/>
      <c r="M9" s="78"/>
      <c r="N9" s="78"/>
      <c r="O9" s="78"/>
      <c r="P9" s="78"/>
      <c r="Q9" s="78"/>
      <c r="R9" s="78"/>
      <c r="S9" s="79"/>
      <c r="T9" s="79"/>
      <c r="U9" s="79"/>
      <c r="V9" s="79"/>
      <c r="W9" s="79"/>
      <c r="X9" s="79"/>
      <c r="Y9" s="79"/>
      <c r="Z9" s="79"/>
      <c r="AA9" s="79"/>
      <c r="AB9" s="79"/>
      <c r="AC9" s="79"/>
      <c r="AD9" s="79"/>
      <c r="AE9" s="79"/>
      <c r="AF9" s="80" t="s">
        <v>241</v>
      </c>
    </row>
    <row r="10" spans="1:32" x14ac:dyDescent="0.3">
      <c r="A10" s="76" t="s">
        <v>183</v>
      </c>
      <c r="B10" s="76" t="s">
        <v>244</v>
      </c>
      <c r="C10" s="77" t="s">
        <v>322</v>
      </c>
      <c r="D10" s="76">
        <v>64</v>
      </c>
      <c r="E10" s="77">
        <v>0.95000000000000284</v>
      </c>
      <c r="F10" s="78"/>
      <c r="G10" s="78"/>
      <c r="H10" s="78"/>
      <c r="I10" s="78"/>
      <c r="J10" s="78"/>
      <c r="K10" s="78"/>
      <c r="L10" s="78"/>
      <c r="M10" s="78"/>
      <c r="N10" s="78"/>
      <c r="O10" s="78"/>
      <c r="P10" s="78"/>
      <c r="Q10" s="78"/>
      <c r="R10" s="78"/>
      <c r="S10" s="79"/>
      <c r="T10" s="79"/>
      <c r="U10" s="79"/>
      <c r="V10" s="79"/>
      <c r="W10" s="79"/>
      <c r="X10" s="79"/>
      <c r="Y10" s="79"/>
      <c r="Z10" s="79"/>
      <c r="AA10" s="79"/>
      <c r="AB10" s="79"/>
      <c r="AC10" s="79"/>
      <c r="AD10" s="79"/>
      <c r="AE10" s="79"/>
      <c r="AF10" s="80" t="s">
        <v>245</v>
      </c>
    </row>
    <row r="11" spans="1:32" x14ac:dyDescent="0.3">
      <c r="A11" s="76" t="s">
        <v>185</v>
      </c>
      <c r="B11" s="76" t="s">
        <v>247</v>
      </c>
      <c r="C11" s="77" t="s">
        <v>322</v>
      </c>
      <c r="D11" s="76">
        <v>61</v>
      </c>
      <c r="E11" s="77" t="s">
        <v>45</v>
      </c>
      <c r="F11" s="78"/>
      <c r="G11" s="78"/>
      <c r="H11" s="78"/>
      <c r="I11" s="78"/>
      <c r="J11" s="78"/>
      <c r="K11" s="78"/>
      <c r="L11" s="78"/>
      <c r="M11" s="78"/>
      <c r="N11" s="78"/>
      <c r="O11" s="78"/>
      <c r="P11" s="78"/>
      <c r="Q11" s="78"/>
      <c r="R11" s="78"/>
      <c r="S11" s="79"/>
      <c r="T11" s="79"/>
      <c r="U11" s="79"/>
      <c r="V11" s="79"/>
      <c r="W11" s="79"/>
      <c r="X11" s="79"/>
      <c r="Y11" s="79"/>
      <c r="Z11" s="79"/>
      <c r="AA11" s="79"/>
      <c r="AB11" s="79"/>
      <c r="AC11" s="79"/>
      <c r="AD11" s="79"/>
      <c r="AE11" s="79"/>
      <c r="AF11" s="80" t="s">
        <v>248</v>
      </c>
    </row>
    <row r="12" spans="1:32" x14ac:dyDescent="0.3">
      <c r="A12" s="76" t="s">
        <v>186</v>
      </c>
      <c r="B12" s="76" t="s">
        <v>252</v>
      </c>
      <c r="C12" s="77" t="s">
        <v>322</v>
      </c>
      <c r="D12" s="76">
        <v>58.5</v>
      </c>
      <c r="E12" s="77">
        <v>0.64999999999999858</v>
      </c>
      <c r="F12" s="78"/>
      <c r="G12" s="78"/>
      <c r="H12" s="78"/>
      <c r="I12" s="78"/>
      <c r="J12" s="78"/>
      <c r="K12" s="78"/>
      <c r="L12" s="78"/>
      <c r="M12" s="78"/>
      <c r="N12" s="78"/>
      <c r="O12" s="78"/>
      <c r="P12" s="78"/>
      <c r="Q12" s="78"/>
      <c r="R12" s="78"/>
      <c r="S12" s="79"/>
      <c r="T12" s="79"/>
      <c r="U12" s="79"/>
      <c r="V12" s="79"/>
      <c r="W12" s="79"/>
      <c r="X12" s="79"/>
      <c r="Y12" s="79"/>
      <c r="Z12" s="79"/>
      <c r="AA12" s="79"/>
      <c r="AB12" s="79"/>
      <c r="AC12" s="79"/>
      <c r="AD12" s="79"/>
      <c r="AE12" s="79"/>
      <c r="AF12" s="80" t="s">
        <v>253</v>
      </c>
    </row>
    <row r="13" spans="1:32" x14ac:dyDescent="0.3">
      <c r="A13" s="76" t="s">
        <v>187</v>
      </c>
      <c r="B13" s="76" t="s">
        <v>252</v>
      </c>
      <c r="C13" s="77" t="s">
        <v>322</v>
      </c>
      <c r="D13" s="76">
        <v>58.5</v>
      </c>
      <c r="E13" s="77">
        <v>0.64999999999999858</v>
      </c>
      <c r="F13" s="78"/>
      <c r="G13" s="78"/>
      <c r="H13" s="78"/>
      <c r="I13" s="78"/>
      <c r="J13" s="78"/>
      <c r="K13" s="78"/>
      <c r="L13" s="78"/>
      <c r="M13" s="78"/>
      <c r="N13" s="78"/>
      <c r="O13" s="78"/>
      <c r="P13" s="78"/>
      <c r="Q13" s="78"/>
      <c r="R13" s="78"/>
      <c r="S13" s="79"/>
      <c r="T13" s="79"/>
      <c r="U13" s="79"/>
      <c r="V13" s="79"/>
      <c r="W13" s="79"/>
      <c r="X13" s="79"/>
      <c r="Y13" s="79"/>
      <c r="Z13" s="79"/>
      <c r="AA13" s="79"/>
      <c r="AB13" s="79"/>
      <c r="AC13" s="79"/>
      <c r="AD13" s="79"/>
      <c r="AE13" s="79"/>
      <c r="AF13" s="80" t="s">
        <v>253</v>
      </c>
    </row>
    <row r="14" spans="1:32" x14ac:dyDescent="0.3">
      <c r="A14" s="76" t="s">
        <v>188</v>
      </c>
      <c r="B14" s="76" t="s">
        <v>257</v>
      </c>
      <c r="C14" s="77" t="s">
        <v>322</v>
      </c>
      <c r="D14" s="76">
        <v>57.335999999999999</v>
      </c>
      <c r="E14" s="77">
        <v>0.64800000000000324</v>
      </c>
      <c r="F14" s="78"/>
      <c r="G14" s="78"/>
      <c r="H14" s="78"/>
      <c r="I14" s="78"/>
      <c r="J14" s="78"/>
      <c r="K14" s="78"/>
      <c r="L14" s="78"/>
      <c r="M14" s="78"/>
      <c r="N14" s="78"/>
      <c r="O14" s="78"/>
      <c r="P14" s="78"/>
      <c r="Q14" s="78"/>
      <c r="R14" s="78"/>
      <c r="S14" s="79"/>
      <c r="T14" s="79"/>
      <c r="U14" s="79"/>
      <c r="V14" s="79"/>
      <c r="W14" s="79"/>
      <c r="X14" s="79"/>
      <c r="Y14" s="79"/>
      <c r="Z14" s="79"/>
      <c r="AA14" s="79"/>
      <c r="AB14" s="79"/>
      <c r="AC14" s="79"/>
      <c r="AD14" s="79"/>
      <c r="AE14" s="79"/>
      <c r="AF14" s="80" t="s">
        <v>258</v>
      </c>
    </row>
    <row r="15" spans="1:32" x14ac:dyDescent="0.3">
      <c r="A15" s="76" t="s">
        <v>189</v>
      </c>
      <c r="B15" s="76" t="s">
        <v>260</v>
      </c>
      <c r="C15" s="77" t="s">
        <v>322</v>
      </c>
      <c r="D15" s="76">
        <v>56.353999999999999</v>
      </c>
      <c r="E15" s="77">
        <v>0.33500000000000085</v>
      </c>
      <c r="F15" s="78"/>
      <c r="G15" s="78"/>
      <c r="H15" s="78"/>
      <c r="I15" s="78"/>
      <c r="J15" s="78"/>
      <c r="K15" s="78"/>
      <c r="L15" s="78"/>
      <c r="M15" s="78"/>
      <c r="N15" s="78"/>
      <c r="O15" s="78"/>
      <c r="P15" s="78"/>
      <c r="Q15" s="78"/>
      <c r="R15" s="78"/>
      <c r="S15" s="79"/>
      <c r="T15" s="79"/>
      <c r="U15" s="79"/>
      <c r="V15" s="79"/>
      <c r="W15" s="79"/>
      <c r="X15" s="79"/>
      <c r="Y15" s="79"/>
      <c r="Z15" s="79"/>
      <c r="AA15" s="79"/>
      <c r="AB15" s="79"/>
      <c r="AC15" s="79"/>
      <c r="AD15" s="79"/>
      <c r="AE15" s="79"/>
      <c r="AF15" s="80" t="s">
        <v>261</v>
      </c>
    </row>
    <row r="16" spans="1:32" x14ac:dyDescent="0.3">
      <c r="A16" s="76" t="s">
        <v>190</v>
      </c>
      <c r="B16" s="76" t="s">
        <v>263</v>
      </c>
      <c r="C16" s="77" t="s">
        <v>322</v>
      </c>
      <c r="D16" s="76">
        <v>55.942999999999998</v>
      </c>
      <c r="E16" s="77">
        <v>0.14999999999999858</v>
      </c>
      <c r="F16" s="78"/>
      <c r="G16" s="78"/>
      <c r="H16" s="78"/>
      <c r="I16" s="78"/>
      <c r="J16" s="78"/>
      <c r="K16" s="78"/>
      <c r="L16" s="78"/>
      <c r="M16" s="78"/>
      <c r="N16" s="78"/>
      <c r="O16" s="78"/>
      <c r="P16" s="78"/>
      <c r="Q16" s="78"/>
      <c r="R16" s="78"/>
      <c r="S16" s="79"/>
      <c r="T16" s="79"/>
      <c r="U16" s="79"/>
      <c r="V16" s="79"/>
      <c r="W16" s="79"/>
      <c r="X16" s="79"/>
      <c r="Y16" s="79"/>
      <c r="Z16" s="79"/>
      <c r="AA16" s="79"/>
      <c r="AB16" s="79"/>
      <c r="AC16" s="79"/>
      <c r="AD16" s="79"/>
      <c r="AE16" s="79"/>
      <c r="AF16" s="80" t="s">
        <v>264</v>
      </c>
    </row>
    <row r="17" spans="1:32" x14ac:dyDescent="0.3">
      <c r="A17" s="76" t="s">
        <v>191</v>
      </c>
      <c r="B17" s="76" t="s">
        <v>263</v>
      </c>
      <c r="C17" s="77" t="s">
        <v>322</v>
      </c>
      <c r="D17" s="76">
        <v>55.942999999999998</v>
      </c>
      <c r="E17" s="77">
        <v>0.14999999999999858</v>
      </c>
      <c r="F17" s="78"/>
      <c r="G17" s="78"/>
      <c r="H17" s="78"/>
      <c r="I17" s="78"/>
      <c r="J17" s="78"/>
      <c r="K17" s="78"/>
      <c r="L17" s="78"/>
      <c r="M17" s="78"/>
      <c r="N17" s="78"/>
      <c r="O17" s="78"/>
      <c r="P17" s="78"/>
      <c r="Q17" s="78"/>
      <c r="R17" s="78"/>
      <c r="S17" s="79"/>
      <c r="T17" s="79"/>
      <c r="U17" s="79"/>
      <c r="V17" s="79"/>
      <c r="W17" s="79"/>
      <c r="X17" s="79"/>
      <c r="Y17" s="79"/>
      <c r="Z17" s="79"/>
      <c r="AA17" s="79"/>
      <c r="AB17" s="79"/>
      <c r="AC17" s="79"/>
      <c r="AD17" s="79"/>
      <c r="AE17" s="79"/>
      <c r="AF17" s="80" t="s">
        <v>264</v>
      </c>
    </row>
    <row r="18" spans="1:32" x14ac:dyDescent="0.3">
      <c r="A18" s="76" t="s">
        <v>192</v>
      </c>
      <c r="B18" s="76" t="s">
        <v>263</v>
      </c>
      <c r="C18" s="77" t="s">
        <v>322</v>
      </c>
      <c r="D18" s="76">
        <v>55.942999999999998</v>
      </c>
      <c r="E18" s="77">
        <v>0.14999999999999858</v>
      </c>
      <c r="F18" s="78"/>
      <c r="G18" s="78"/>
      <c r="H18" s="78"/>
      <c r="I18" s="78"/>
      <c r="J18" s="78"/>
      <c r="K18" s="78"/>
      <c r="L18" s="78"/>
      <c r="M18" s="78"/>
      <c r="N18" s="78"/>
      <c r="O18" s="78"/>
      <c r="P18" s="78"/>
      <c r="Q18" s="78"/>
      <c r="R18" s="78"/>
      <c r="S18" s="79"/>
      <c r="T18" s="79"/>
      <c r="U18" s="79"/>
      <c r="V18" s="79"/>
      <c r="W18" s="79"/>
      <c r="X18" s="79"/>
      <c r="Y18" s="79"/>
      <c r="Z18" s="79"/>
      <c r="AA18" s="79"/>
      <c r="AB18" s="79"/>
      <c r="AC18" s="79"/>
      <c r="AD18" s="79"/>
      <c r="AE18" s="79"/>
      <c r="AF18" s="80" t="s">
        <v>264</v>
      </c>
    </row>
    <row r="19" spans="1:32" x14ac:dyDescent="0.3">
      <c r="A19" s="76" t="s">
        <v>193</v>
      </c>
      <c r="B19" s="76" t="s">
        <v>268</v>
      </c>
      <c r="C19" s="77" t="s">
        <v>322</v>
      </c>
      <c r="D19" s="76">
        <v>55.807000000000002</v>
      </c>
      <c r="E19" s="77">
        <v>0.21300000000000097</v>
      </c>
      <c r="F19" s="78"/>
      <c r="G19" s="78"/>
      <c r="H19" s="78"/>
      <c r="I19" s="78"/>
      <c r="J19" s="78"/>
      <c r="K19" s="78"/>
      <c r="L19" s="78"/>
      <c r="M19" s="78"/>
      <c r="N19" s="78"/>
      <c r="O19" s="78"/>
      <c r="P19" s="78"/>
      <c r="Q19" s="78"/>
      <c r="R19" s="78"/>
      <c r="S19" s="79"/>
      <c r="T19" s="79"/>
      <c r="U19" s="79"/>
      <c r="V19" s="79"/>
      <c r="W19" s="79"/>
      <c r="X19" s="79"/>
      <c r="Y19" s="79"/>
      <c r="Z19" s="79"/>
      <c r="AA19" s="79"/>
      <c r="AB19" s="79"/>
      <c r="AC19" s="79"/>
      <c r="AD19" s="79"/>
      <c r="AE19" s="79"/>
      <c r="AF19" s="80" t="s">
        <v>269</v>
      </c>
    </row>
    <row r="20" spans="1:32" x14ac:dyDescent="0.3">
      <c r="A20" s="76" t="s">
        <v>194</v>
      </c>
      <c r="B20" s="76" t="s">
        <v>271</v>
      </c>
      <c r="C20" s="77" t="s">
        <v>322</v>
      </c>
      <c r="D20" s="76">
        <v>55.664000000000001</v>
      </c>
      <c r="E20" s="77">
        <v>0.125</v>
      </c>
      <c r="F20" s="78"/>
      <c r="G20" s="78"/>
      <c r="H20" s="78"/>
      <c r="I20" s="78"/>
      <c r="J20" s="78"/>
      <c r="K20" s="78"/>
      <c r="L20" s="78"/>
      <c r="M20" s="78"/>
      <c r="N20" s="78"/>
      <c r="O20" s="78"/>
      <c r="P20" s="78"/>
      <c r="Q20" s="78"/>
      <c r="R20" s="78"/>
      <c r="S20" s="79"/>
      <c r="T20" s="79"/>
      <c r="U20" s="79"/>
      <c r="V20" s="79"/>
      <c r="W20" s="79"/>
      <c r="X20" s="79"/>
      <c r="Y20" s="79"/>
      <c r="Z20" s="79"/>
      <c r="AA20" s="79"/>
      <c r="AB20" s="79"/>
      <c r="AC20" s="79"/>
      <c r="AD20" s="79"/>
      <c r="AE20" s="79"/>
      <c r="AF20" s="80" t="s">
        <v>272</v>
      </c>
    </row>
    <row r="21" spans="1:32" x14ac:dyDescent="0.3">
      <c r="A21" s="76" t="s">
        <v>195</v>
      </c>
      <c r="B21" s="76" t="s">
        <v>274</v>
      </c>
      <c r="C21" s="77" t="s">
        <v>322</v>
      </c>
      <c r="D21" s="76">
        <v>55.594999999999999</v>
      </c>
      <c r="E21" s="77">
        <v>0.10000000000000142</v>
      </c>
      <c r="F21" s="78"/>
      <c r="G21" s="78"/>
      <c r="H21" s="78"/>
      <c r="I21" s="78"/>
      <c r="J21" s="78"/>
      <c r="K21" s="78"/>
      <c r="L21" s="78"/>
      <c r="M21" s="78"/>
      <c r="N21" s="78"/>
      <c r="O21" s="78"/>
      <c r="P21" s="78"/>
      <c r="Q21" s="78"/>
      <c r="R21" s="78"/>
      <c r="S21" s="79"/>
      <c r="T21" s="79"/>
      <c r="U21" s="79"/>
      <c r="V21" s="79"/>
      <c r="W21" s="79"/>
      <c r="X21" s="79"/>
      <c r="Y21" s="79"/>
      <c r="Z21" s="79"/>
      <c r="AA21" s="79"/>
      <c r="AB21" s="79"/>
      <c r="AC21" s="79"/>
      <c r="AD21" s="79"/>
      <c r="AE21" s="79"/>
      <c r="AF21" s="80" t="s">
        <v>275</v>
      </c>
    </row>
    <row r="22" spans="1:32" x14ac:dyDescent="0.3">
      <c r="A22" s="76" t="s">
        <v>196</v>
      </c>
      <c r="B22" s="76" t="s">
        <v>277</v>
      </c>
      <c r="C22" s="77" t="s">
        <v>322</v>
      </c>
      <c r="D22" s="76">
        <v>55.363</v>
      </c>
      <c r="E22" s="77">
        <v>0.12899999999999778</v>
      </c>
      <c r="F22" s="78"/>
      <c r="G22" s="78"/>
      <c r="H22" s="78"/>
      <c r="I22" s="78"/>
      <c r="J22" s="78"/>
      <c r="K22" s="78"/>
      <c r="L22" s="78"/>
      <c r="M22" s="78"/>
      <c r="N22" s="78"/>
      <c r="O22" s="78"/>
      <c r="P22" s="78"/>
      <c r="Q22" s="78"/>
      <c r="R22" s="78"/>
      <c r="S22" s="79"/>
      <c r="T22" s="79"/>
      <c r="U22" s="79"/>
      <c r="V22" s="79"/>
      <c r="W22" s="79"/>
      <c r="X22" s="79"/>
      <c r="Y22" s="79"/>
      <c r="Z22" s="79"/>
      <c r="AA22" s="79"/>
      <c r="AB22" s="79"/>
      <c r="AC22" s="79"/>
      <c r="AD22" s="79"/>
      <c r="AE22" s="79"/>
      <c r="AF22" s="80" t="s">
        <v>278</v>
      </c>
    </row>
    <row r="23" spans="1:32" x14ac:dyDescent="0.3">
      <c r="A23" s="76" t="s">
        <v>197</v>
      </c>
      <c r="B23" s="76" t="s">
        <v>280</v>
      </c>
      <c r="C23" s="77" t="s">
        <v>322</v>
      </c>
      <c r="D23" s="76">
        <v>55.343000000000004</v>
      </c>
      <c r="E23" s="77">
        <v>0.10900000000000176</v>
      </c>
      <c r="F23" s="78"/>
      <c r="G23" s="78"/>
      <c r="H23" s="78"/>
      <c r="I23" s="78"/>
      <c r="J23" s="78"/>
      <c r="K23" s="78"/>
      <c r="L23" s="78"/>
      <c r="M23" s="78"/>
      <c r="N23" s="78"/>
      <c r="O23" s="78"/>
      <c r="P23" s="78"/>
      <c r="Q23" s="78"/>
      <c r="R23" s="78"/>
      <c r="S23" s="79"/>
      <c r="T23" s="79"/>
      <c r="U23" s="79"/>
      <c r="V23" s="79"/>
      <c r="W23" s="79"/>
      <c r="X23" s="79"/>
      <c r="Y23" s="79"/>
      <c r="Z23" s="79"/>
      <c r="AA23" s="79"/>
      <c r="AB23" s="79"/>
      <c r="AC23" s="79"/>
      <c r="AD23" s="79"/>
      <c r="AE23" s="79"/>
      <c r="AF23" s="80" t="s">
        <v>281</v>
      </c>
    </row>
    <row r="24" spans="1:32" x14ac:dyDescent="0.3">
      <c r="A24" s="76" t="s">
        <v>198</v>
      </c>
      <c r="B24" s="76" t="s">
        <v>283</v>
      </c>
      <c r="C24" s="77" t="s">
        <v>322</v>
      </c>
      <c r="D24" s="76">
        <v>55.341000000000001</v>
      </c>
      <c r="E24" s="77">
        <v>0.10699999999999932</v>
      </c>
      <c r="F24" s="78"/>
      <c r="G24" s="78"/>
      <c r="H24" s="78"/>
      <c r="I24" s="78"/>
      <c r="J24" s="78"/>
      <c r="K24" s="78"/>
      <c r="L24" s="78"/>
      <c r="M24" s="78"/>
      <c r="N24" s="78"/>
      <c r="O24" s="78"/>
      <c r="P24" s="78"/>
      <c r="Q24" s="78"/>
      <c r="R24" s="78"/>
      <c r="S24" s="79"/>
      <c r="T24" s="79"/>
      <c r="U24" s="79"/>
      <c r="V24" s="79"/>
      <c r="W24" s="79"/>
      <c r="X24" s="79"/>
      <c r="Y24" s="79"/>
      <c r="Z24" s="79"/>
      <c r="AA24" s="79"/>
      <c r="AB24" s="79"/>
      <c r="AC24" s="79"/>
      <c r="AD24" s="79"/>
      <c r="AE24" s="79"/>
      <c r="AF24" s="80" t="s">
        <v>281</v>
      </c>
    </row>
    <row r="25" spans="1:32" x14ac:dyDescent="0.3">
      <c r="A25" s="76" t="s">
        <v>199</v>
      </c>
      <c r="B25" s="76" t="s">
        <v>277</v>
      </c>
      <c r="C25" s="77" t="s">
        <v>322</v>
      </c>
      <c r="D25" s="76">
        <v>55.3</v>
      </c>
      <c r="E25" s="77">
        <v>6.6000000000002501E-2</v>
      </c>
      <c r="F25" s="78"/>
      <c r="G25" s="78"/>
      <c r="H25" s="78"/>
      <c r="I25" s="78"/>
      <c r="J25" s="78"/>
      <c r="K25" s="78"/>
      <c r="L25" s="78"/>
      <c r="M25" s="78"/>
      <c r="N25" s="78"/>
      <c r="O25" s="78"/>
      <c r="P25" s="78"/>
      <c r="Q25" s="78"/>
      <c r="R25" s="78"/>
      <c r="S25" s="79"/>
      <c r="T25" s="79"/>
      <c r="U25" s="79"/>
      <c r="V25" s="79"/>
      <c r="W25" s="79"/>
      <c r="X25" s="79"/>
      <c r="Y25" s="79"/>
      <c r="Z25" s="79"/>
      <c r="AA25" s="79"/>
      <c r="AB25" s="79"/>
      <c r="AC25" s="79"/>
      <c r="AD25" s="79"/>
      <c r="AE25" s="79"/>
      <c r="AF25" s="80" t="s">
        <v>281</v>
      </c>
    </row>
    <row r="26" spans="1:32" x14ac:dyDescent="0.3">
      <c r="A26" s="76" t="s">
        <v>200</v>
      </c>
      <c r="B26" s="76" t="s">
        <v>286</v>
      </c>
      <c r="C26" s="77" t="s">
        <v>322</v>
      </c>
      <c r="D26" s="76">
        <v>55.298000000000002</v>
      </c>
      <c r="E26" s="77">
        <v>6.4000000000000057E-2</v>
      </c>
      <c r="F26" s="78"/>
      <c r="G26" s="78"/>
      <c r="H26" s="78"/>
      <c r="I26" s="78"/>
      <c r="J26" s="78"/>
      <c r="K26" s="78"/>
      <c r="L26" s="78"/>
      <c r="M26" s="78"/>
      <c r="N26" s="78"/>
      <c r="O26" s="78"/>
      <c r="P26" s="78"/>
      <c r="Q26" s="78"/>
      <c r="R26" s="78"/>
      <c r="S26" s="79"/>
      <c r="T26" s="79"/>
      <c r="U26" s="79"/>
      <c r="V26" s="79"/>
      <c r="W26" s="79"/>
      <c r="X26" s="79"/>
      <c r="Y26" s="79"/>
      <c r="Z26" s="79"/>
      <c r="AA26" s="79"/>
      <c r="AB26" s="79"/>
      <c r="AC26" s="79"/>
      <c r="AD26" s="79"/>
      <c r="AE26" s="79"/>
      <c r="AF26" s="80" t="s">
        <v>281</v>
      </c>
    </row>
    <row r="27" spans="1:32" x14ac:dyDescent="0.3">
      <c r="A27" s="76" t="s">
        <v>202</v>
      </c>
      <c r="B27" s="76" t="s">
        <v>291</v>
      </c>
      <c r="C27" s="77" t="s">
        <v>322</v>
      </c>
      <c r="D27" s="76">
        <v>55.125</v>
      </c>
      <c r="E27" s="77">
        <v>0.125</v>
      </c>
      <c r="F27" s="78"/>
      <c r="G27" s="78"/>
      <c r="H27" s="78"/>
      <c r="I27" s="78"/>
      <c r="J27" s="78"/>
      <c r="K27" s="78"/>
      <c r="L27" s="78"/>
      <c r="M27" s="78"/>
      <c r="N27" s="78"/>
      <c r="O27" s="78"/>
      <c r="P27" s="78"/>
      <c r="Q27" s="78"/>
      <c r="R27" s="78"/>
      <c r="S27" s="79"/>
      <c r="T27" s="79"/>
      <c r="U27" s="79"/>
      <c r="V27" s="79"/>
      <c r="W27" s="79"/>
      <c r="X27" s="79"/>
      <c r="Y27" s="79"/>
      <c r="Z27" s="79"/>
      <c r="AA27" s="79"/>
      <c r="AB27" s="79"/>
      <c r="AC27" s="79"/>
      <c r="AD27" s="79"/>
      <c r="AE27" s="79"/>
      <c r="AF27" s="80" t="s">
        <v>292</v>
      </c>
    </row>
    <row r="28" spans="1:32" x14ac:dyDescent="0.3">
      <c r="A28" s="76" t="s">
        <v>203</v>
      </c>
      <c r="B28" s="76" t="s">
        <v>294</v>
      </c>
      <c r="C28" s="77" t="s">
        <v>322</v>
      </c>
      <c r="D28" s="76">
        <v>54.798000000000002</v>
      </c>
      <c r="E28" s="77">
        <v>0.10000000000000142</v>
      </c>
      <c r="F28" s="78"/>
      <c r="G28" s="78"/>
      <c r="H28" s="78"/>
      <c r="I28" s="78"/>
      <c r="J28" s="78"/>
      <c r="K28" s="78"/>
      <c r="L28" s="78"/>
      <c r="M28" s="78"/>
      <c r="N28" s="78"/>
      <c r="O28" s="78"/>
      <c r="P28" s="78"/>
      <c r="Q28" s="78"/>
      <c r="R28" s="78"/>
      <c r="S28" s="79"/>
      <c r="T28" s="79"/>
      <c r="U28" s="79"/>
      <c r="V28" s="79"/>
      <c r="W28" s="79"/>
      <c r="X28" s="79"/>
      <c r="Y28" s="79"/>
      <c r="Z28" s="79"/>
      <c r="AA28" s="79"/>
      <c r="AB28" s="79"/>
      <c r="AC28" s="79"/>
      <c r="AD28" s="79"/>
      <c r="AE28" s="79"/>
      <c r="AF28" s="80" t="s">
        <v>295</v>
      </c>
    </row>
    <row r="29" spans="1:32" x14ac:dyDescent="0.3">
      <c r="A29" s="76" t="s">
        <v>204</v>
      </c>
      <c r="B29" s="76" t="s">
        <v>297</v>
      </c>
      <c r="C29" s="77" t="s">
        <v>322</v>
      </c>
      <c r="D29" s="76">
        <v>53.896999999999998</v>
      </c>
      <c r="E29" s="77">
        <v>0.10000000000000142</v>
      </c>
      <c r="F29" s="78"/>
      <c r="G29" s="78"/>
      <c r="H29" s="78"/>
      <c r="I29" s="78"/>
      <c r="J29" s="78"/>
      <c r="K29" s="78"/>
      <c r="L29" s="78"/>
      <c r="M29" s="78"/>
      <c r="N29" s="78"/>
      <c r="O29" s="78"/>
      <c r="P29" s="78"/>
      <c r="Q29" s="78"/>
      <c r="R29" s="78"/>
      <c r="S29" s="79"/>
      <c r="T29" s="79"/>
      <c r="U29" s="79"/>
      <c r="V29" s="79"/>
      <c r="W29" s="79"/>
      <c r="X29" s="79"/>
      <c r="Y29" s="79"/>
      <c r="Z29" s="79"/>
      <c r="AA29" s="79"/>
      <c r="AB29" s="79"/>
      <c r="AC29" s="79"/>
      <c r="AD29" s="79"/>
      <c r="AE29" s="79"/>
      <c r="AF29" s="80" t="s">
        <v>298</v>
      </c>
    </row>
    <row r="30" spans="1:32" x14ac:dyDescent="0.3">
      <c r="A30" s="76" t="s">
        <v>205</v>
      </c>
      <c r="B30" s="76" t="s">
        <v>300</v>
      </c>
      <c r="C30" s="77" t="s">
        <v>322</v>
      </c>
      <c r="D30" s="76">
        <v>53.488</v>
      </c>
      <c r="E30" s="77">
        <v>0.10000000000000142</v>
      </c>
      <c r="F30" s="78"/>
      <c r="G30" s="78"/>
      <c r="H30" s="78"/>
      <c r="I30" s="78"/>
      <c r="J30" s="78"/>
      <c r="K30" s="78"/>
      <c r="L30" s="78"/>
      <c r="M30" s="78"/>
      <c r="N30" s="78"/>
      <c r="O30" s="78"/>
      <c r="P30" s="78"/>
      <c r="Q30" s="78"/>
      <c r="R30" s="78"/>
      <c r="S30" s="79"/>
      <c r="T30" s="79"/>
      <c r="U30" s="79"/>
      <c r="V30" s="79"/>
      <c r="W30" s="79"/>
      <c r="X30" s="79"/>
      <c r="Y30" s="79"/>
      <c r="Z30" s="79"/>
      <c r="AA30" s="79"/>
      <c r="AB30" s="79"/>
      <c r="AC30" s="79"/>
      <c r="AD30" s="79"/>
      <c r="AE30" s="79"/>
      <c r="AF30" s="80" t="s">
        <v>301</v>
      </c>
    </row>
    <row r="31" spans="1:32" x14ac:dyDescent="0.3">
      <c r="A31" s="76" t="s">
        <v>206</v>
      </c>
      <c r="B31" s="76" t="s">
        <v>303</v>
      </c>
      <c r="C31" s="77" t="s">
        <v>322</v>
      </c>
      <c r="D31" s="76">
        <v>53.433</v>
      </c>
      <c r="E31" s="77">
        <v>0.10000000000000142</v>
      </c>
      <c r="F31" s="78"/>
      <c r="G31" s="78"/>
      <c r="H31" s="78"/>
      <c r="I31" s="78"/>
      <c r="J31" s="78"/>
      <c r="K31" s="78"/>
      <c r="L31" s="78"/>
      <c r="M31" s="78"/>
      <c r="N31" s="78"/>
      <c r="O31" s="78"/>
      <c r="P31" s="78"/>
      <c r="Q31" s="78"/>
      <c r="R31" s="78"/>
      <c r="S31" s="79"/>
      <c r="T31" s="79"/>
      <c r="U31" s="79"/>
      <c r="V31" s="79"/>
      <c r="W31" s="79"/>
      <c r="X31" s="79"/>
      <c r="Y31" s="79"/>
      <c r="Z31" s="79"/>
      <c r="AA31" s="79"/>
      <c r="AB31" s="79"/>
      <c r="AC31" s="79"/>
      <c r="AD31" s="79"/>
      <c r="AE31" s="79"/>
      <c r="AF31" s="80" t="s">
        <v>304</v>
      </c>
    </row>
    <row r="32" spans="1:32" x14ac:dyDescent="0.3">
      <c r="A32" s="76" t="s">
        <v>207</v>
      </c>
      <c r="B32" s="76" t="s">
        <v>45</v>
      </c>
      <c r="C32" s="77" t="s">
        <v>322</v>
      </c>
      <c r="D32" s="76">
        <v>16.5</v>
      </c>
      <c r="E32" s="77">
        <v>1.5</v>
      </c>
      <c r="F32" s="78"/>
      <c r="G32" s="78"/>
      <c r="H32" s="78"/>
      <c r="I32" s="78"/>
      <c r="J32" s="78"/>
      <c r="K32" s="78"/>
      <c r="L32" s="78"/>
      <c r="M32" s="78"/>
      <c r="N32" s="78"/>
      <c r="O32" s="78"/>
      <c r="P32" s="78"/>
      <c r="Q32" s="78"/>
      <c r="R32" s="78"/>
      <c r="S32" s="79"/>
      <c r="T32" s="79"/>
      <c r="U32" s="79"/>
      <c r="V32" s="79"/>
      <c r="W32" s="79"/>
      <c r="X32" s="79"/>
      <c r="Y32" s="79"/>
      <c r="Z32" s="79"/>
      <c r="AA32" s="79"/>
      <c r="AB32" s="79"/>
      <c r="AC32" s="79"/>
      <c r="AD32" s="79"/>
      <c r="AE32" s="79"/>
      <c r="AF32" s="80" t="s">
        <v>307</v>
      </c>
    </row>
    <row r="33" spans="1:32" x14ac:dyDescent="0.3">
      <c r="A33" s="76" t="s">
        <v>208</v>
      </c>
      <c r="B33" s="76" t="s">
        <v>45</v>
      </c>
      <c r="C33" s="77" t="s">
        <v>322</v>
      </c>
      <c r="D33" s="76">
        <v>15.25</v>
      </c>
      <c r="E33" s="77">
        <v>1.5</v>
      </c>
      <c r="F33" s="78"/>
      <c r="G33" s="78"/>
      <c r="H33" s="78"/>
      <c r="I33" s="78"/>
      <c r="J33" s="78"/>
      <c r="K33" s="78"/>
      <c r="L33" s="78"/>
      <c r="M33" s="78"/>
      <c r="N33" s="78"/>
      <c r="O33" s="78"/>
      <c r="P33" s="78"/>
      <c r="Q33" s="78"/>
      <c r="R33" s="78"/>
      <c r="S33" s="79"/>
      <c r="T33" s="79"/>
      <c r="U33" s="79"/>
      <c r="V33" s="79"/>
      <c r="W33" s="79"/>
      <c r="X33" s="79"/>
      <c r="Y33" s="79"/>
      <c r="Z33" s="79"/>
      <c r="AA33" s="79"/>
      <c r="AB33" s="79"/>
      <c r="AC33" s="79"/>
      <c r="AD33" s="79"/>
      <c r="AE33" s="79"/>
      <c r="AF33" s="80" t="s">
        <v>307</v>
      </c>
    </row>
    <row r="34" spans="1:32" x14ac:dyDescent="0.3">
      <c r="A34" s="76" t="s">
        <v>212</v>
      </c>
      <c r="B34" s="76" t="s">
        <v>45</v>
      </c>
      <c r="C34" s="77" t="s">
        <v>322</v>
      </c>
      <c r="D34" s="76">
        <v>15.25</v>
      </c>
      <c r="E34" s="77">
        <v>1.5</v>
      </c>
      <c r="F34" s="78"/>
      <c r="G34" s="78"/>
      <c r="H34" s="78"/>
      <c r="I34" s="78"/>
      <c r="J34" s="78"/>
      <c r="K34" s="78"/>
      <c r="L34" s="78"/>
      <c r="M34" s="78"/>
      <c r="N34" s="78"/>
      <c r="O34" s="78"/>
      <c r="P34" s="78"/>
      <c r="Q34" s="78"/>
      <c r="R34" s="78"/>
      <c r="S34" s="79"/>
      <c r="T34" s="79"/>
      <c r="U34" s="79"/>
      <c r="V34" s="79"/>
      <c r="W34" s="79"/>
      <c r="X34" s="79"/>
      <c r="Y34" s="79"/>
      <c r="Z34" s="79"/>
      <c r="AA34" s="79"/>
      <c r="AB34" s="79"/>
      <c r="AC34" s="79"/>
      <c r="AD34" s="79"/>
      <c r="AE34" s="79"/>
      <c r="AF34" s="80" t="s">
        <v>307</v>
      </c>
    </row>
    <row r="35" spans="1:32" x14ac:dyDescent="0.3">
      <c r="A35" s="76" t="s">
        <v>213</v>
      </c>
      <c r="B35" s="76" t="s">
        <v>45</v>
      </c>
      <c r="C35" s="77" t="s">
        <v>322</v>
      </c>
      <c r="D35" s="76">
        <v>15.15</v>
      </c>
      <c r="E35" s="77">
        <v>1.5</v>
      </c>
      <c r="F35" s="78"/>
      <c r="G35" s="78"/>
      <c r="H35" s="78"/>
      <c r="I35" s="78"/>
      <c r="J35" s="78"/>
      <c r="K35" s="78"/>
      <c r="L35" s="78"/>
      <c r="M35" s="78"/>
      <c r="N35" s="78"/>
      <c r="O35" s="78"/>
      <c r="P35" s="78"/>
      <c r="Q35" s="78"/>
      <c r="R35" s="78"/>
      <c r="S35" s="79"/>
      <c r="T35" s="79"/>
      <c r="U35" s="79"/>
      <c r="V35" s="79"/>
      <c r="W35" s="79"/>
      <c r="X35" s="79"/>
      <c r="Y35" s="79"/>
      <c r="Z35" s="79"/>
      <c r="AA35" s="79"/>
      <c r="AB35" s="79"/>
      <c r="AC35" s="79"/>
      <c r="AD35" s="79"/>
      <c r="AE35" s="79"/>
      <c r="AF35" s="80" t="s">
        <v>307</v>
      </c>
    </row>
    <row r="36" spans="1:32" x14ac:dyDescent="0.3">
      <c r="A36" s="76" t="s">
        <v>215</v>
      </c>
      <c r="B36" s="76" t="s">
        <v>45</v>
      </c>
      <c r="C36" s="77" t="s">
        <v>322</v>
      </c>
      <c r="D36" s="76">
        <v>13.9</v>
      </c>
      <c r="E36" s="77">
        <v>0.40000000000000036</v>
      </c>
      <c r="F36" s="78"/>
      <c r="G36" s="78"/>
      <c r="H36" s="78"/>
      <c r="I36" s="78"/>
      <c r="J36" s="78"/>
      <c r="K36" s="78"/>
      <c r="L36" s="78"/>
      <c r="M36" s="78"/>
      <c r="N36" s="78"/>
      <c r="O36" s="78"/>
      <c r="P36" s="78"/>
      <c r="Q36" s="78"/>
      <c r="R36" s="78"/>
      <c r="S36" s="79"/>
      <c r="T36" s="79"/>
      <c r="U36" s="79"/>
      <c r="V36" s="79"/>
      <c r="W36" s="79"/>
      <c r="X36" s="79"/>
      <c r="Y36" s="79"/>
      <c r="Z36" s="79"/>
      <c r="AA36" s="79"/>
      <c r="AB36" s="79"/>
      <c r="AC36" s="79"/>
      <c r="AD36" s="79"/>
      <c r="AE36" s="79"/>
      <c r="AF36" s="80" t="s">
        <v>315</v>
      </c>
    </row>
    <row r="37" spans="1:32" x14ac:dyDescent="0.3">
      <c r="A37" s="76" t="s">
        <v>217</v>
      </c>
      <c r="B37" s="76" t="s">
        <v>45</v>
      </c>
      <c r="C37" s="77" t="s">
        <v>322</v>
      </c>
      <c r="D37" s="76">
        <v>15.7</v>
      </c>
      <c r="E37" s="77">
        <v>0.69999999999999929</v>
      </c>
      <c r="F37" s="78"/>
      <c r="G37" s="78"/>
      <c r="H37" s="78"/>
      <c r="I37" s="78"/>
      <c r="J37" s="78"/>
      <c r="K37" s="78"/>
      <c r="L37" s="78"/>
      <c r="M37" s="78"/>
      <c r="N37" s="78"/>
      <c r="O37" s="78"/>
      <c r="P37" s="78"/>
      <c r="Q37" s="78"/>
      <c r="R37" s="78"/>
      <c r="S37" s="79"/>
      <c r="T37" s="79"/>
      <c r="U37" s="79"/>
      <c r="V37" s="79"/>
      <c r="W37" s="79"/>
      <c r="X37" s="79"/>
      <c r="Y37" s="79"/>
      <c r="Z37" s="79"/>
      <c r="AA37" s="79"/>
      <c r="AB37" s="79"/>
      <c r="AC37" s="79"/>
      <c r="AD37" s="79"/>
      <c r="AE37" s="79"/>
      <c r="AF37" s="80" t="s">
        <v>315</v>
      </c>
    </row>
    <row r="38" spans="1:32" x14ac:dyDescent="0.3">
      <c r="A38" s="76" t="s">
        <v>218</v>
      </c>
      <c r="B38" s="76" t="s">
        <v>45</v>
      </c>
      <c r="C38" s="77" t="s">
        <v>322</v>
      </c>
      <c r="D38" s="76">
        <v>15.8</v>
      </c>
      <c r="E38" s="77">
        <v>0.20000000000000107</v>
      </c>
      <c r="F38" s="78"/>
      <c r="G38" s="78"/>
      <c r="H38" s="78"/>
      <c r="I38" s="78"/>
      <c r="J38" s="78"/>
      <c r="K38" s="78"/>
      <c r="L38" s="78"/>
      <c r="M38" s="78"/>
      <c r="N38" s="78"/>
      <c r="O38" s="78"/>
      <c r="P38" s="78"/>
      <c r="Q38" s="78"/>
      <c r="R38" s="78"/>
      <c r="S38" s="79"/>
      <c r="T38" s="79"/>
      <c r="U38" s="79"/>
      <c r="V38" s="79"/>
      <c r="W38" s="79"/>
      <c r="X38" s="79"/>
      <c r="Y38" s="79"/>
      <c r="Z38" s="79"/>
      <c r="AA38" s="79"/>
      <c r="AB38" s="79"/>
      <c r="AC38" s="79"/>
      <c r="AD38" s="79"/>
      <c r="AE38" s="79"/>
      <c r="AF38" s="80" t="s">
        <v>315</v>
      </c>
    </row>
    <row r="39" spans="1:32" x14ac:dyDescent="0.3">
      <c r="C39" s="77"/>
      <c r="D39" s="82"/>
      <c r="E39" s="77"/>
      <c r="F39" s="78"/>
      <c r="G39" s="78"/>
      <c r="H39" s="78"/>
      <c r="I39" s="78"/>
      <c r="J39" s="78"/>
      <c r="K39" s="78"/>
      <c r="L39" s="78"/>
      <c r="M39" s="78"/>
      <c r="N39" s="78"/>
      <c r="O39" s="78"/>
      <c r="P39" s="78"/>
      <c r="Q39" s="78"/>
      <c r="R39" s="78"/>
      <c r="S39" s="79"/>
      <c r="T39" s="79"/>
      <c r="U39" s="79"/>
      <c r="V39" s="79"/>
      <c r="W39" s="79"/>
      <c r="X39" s="79"/>
      <c r="Y39" s="79"/>
      <c r="Z39" s="79"/>
      <c r="AA39" s="79"/>
      <c r="AB39" s="79"/>
      <c r="AC39" s="79"/>
      <c r="AD39" s="79"/>
      <c r="AE39" s="79"/>
      <c r="AF39" s="83"/>
    </row>
    <row r="40" spans="1:32" x14ac:dyDescent="0.3">
      <c r="A40" s="84"/>
      <c r="B40" s="84"/>
      <c r="C40" s="77"/>
      <c r="D40" s="77"/>
      <c r="E40" s="77"/>
      <c r="F40" s="78"/>
      <c r="G40" s="78"/>
      <c r="H40" s="78"/>
      <c r="I40" s="78"/>
      <c r="J40" s="78"/>
      <c r="K40" s="78"/>
      <c r="L40" s="78"/>
      <c r="M40" s="78"/>
      <c r="N40" s="78"/>
      <c r="O40" s="78"/>
      <c r="P40" s="78"/>
      <c r="Q40" s="78"/>
      <c r="R40" s="78"/>
      <c r="S40" s="79"/>
      <c r="T40" s="79"/>
      <c r="U40" s="79"/>
      <c r="V40" s="79"/>
      <c r="W40" s="79"/>
      <c r="X40" s="79"/>
      <c r="Y40" s="79"/>
      <c r="Z40" s="79"/>
      <c r="AA40" s="79"/>
      <c r="AB40" s="79"/>
      <c r="AC40" s="79"/>
      <c r="AD40" s="79"/>
      <c r="AE40" s="79"/>
      <c r="AF40" s="83"/>
    </row>
    <row r="41" spans="1:32" x14ac:dyDescent="0.3">
      <c r="A41" s="84"/>
      <c r="B41" s="84"/>
      <c r="C41" s="77"/>
      <c r="D41" s="77"/>
      <c r="E41" s="77"/>
      <c r="F41" s="78"/>
      <c r="G41" s="78"/>
      <c r="H41" s="78"/>
      <c r="I41" s="78"/>
      <c r="J41" s="78"/>
      <c r="K41" s="78"/>
      <c r="L41" s="78"/>
      <c r="M41" s="78"/>
      <c r="N41" s="78"/>
      <c r="O41" s="78"/>
      <c r="P41" s="78"/>
      <c r="Q41" s="78"/>
      <c r="R41" s="78"/>
      <c r="S41" s="79"/>
      <c r="T41" s="79"/>
      <c r="U41" s="79"/>
      <c r="V41" s="79"/>
      <c r="W41" s="79"/>
      <c r="X41" s="79"/>
      <c r="Y41" s="79"/>
      <c r="Z41" s="79"/>
      <c r="AA41" s="79"/>
      <c r="AB41" s="79"/>
      <c r="AC41" s="79"/>
      <c r="AD41" s="79"/>
      <c r="AE41" s="79"/>
      <c r="AF41" s="83"/>
    </row>
    <row r="42" spans="1:32" x14ac:dyDescent="0.3">
      <c r="A42" s="84"/>
      <c r="B42" s="84"/>
      <c r="C42" s="77"/>
      <c r="D42" s="77"/>
      <c r="E42" s="77"/>
      <c r="F42" s="78"/>
      <c r="G42" s="78"/>
      <c r="H42" s="78"/>
      <c r="I42" s="78"/>
      <c r="J42" s="78"/>
      <c r="K42" s="78"/>
      <c r="L42" s="78"/>
      <c r="M42" s="78"/>
      <c r="N42" s="78"/>
      <c r="O42" s="78"/>
      <c r="P42" s="78"/>
      <c r="Q42" s="78"/>
      <c r="R42" s="78"/>
      <c r="S42" s="79"/>
      <c r="T42" s="79"/>
      <c r="U42" s="79"/>
      <c r="V42" s="79"/>
      <c r="W42" s="79"/>
      <c r="X42" s="79"/>
      <c r="Y42" s="79"/>
      <c r="Z42" s="79"/>
      <c r="AA42" s="79"/>
      <c r="AB42" s="79"/>
      <c r="AC42" s="79"/>
      <c r="AD42" s="79"/>
      <c r="AE42" s="79"/>
      <c r="AF42" s="83"/>
    </row>
    <row r="43" spans="1:32" x14ac:dyDescent="0.3">
      <c r="A43" s="84"/>
      <c r="B43" s="84"/>
      <c r="C43" s="77"/>
      <c r="D43" s="77"/>
      <c r="E43" s="77"/>
      <c r="F43" s="78"/>
      <c r="G43" s="78"/>
      <c r="H43" s="78"/>
      <c r="I43" s="78"/>
      <c r="J43" s="78"/>
      <c r="K43" s="78"/>
      <c r="L43" s="78"/>
      <c r="M43" s="78"/>
      <c r="N43" s="78"/>
      <c r="O43" s="78"/>
      <c r="P43" s="78"/>
      <c r="Q43" s="78"/>
      <c r="R43" s="78"/>
      <c r="S43" s="79"/>
      <c r="T43" s="79"/>
      <c r="U43" s="79"/>
      <c r="V43" s="79"/>
      <c r="W43" s="79"/>
      <c r="X43" s="79"/>
      <c r="Y43" s="79"/>
      <c r="Z43" s="79"/>
      <c r="AA43" s="79"/>
      <c r="AB43" s="79"/>
      <c r="AC43" s="79"/>
      <c r="AD43" s="79"/>
      <c r="AE43" s="79"/>
      <c r="AF43" s="83"/>
    </row>
    <row r="44" spans="1:32" x14ac:dyDescent="0.3">
      <c r="A44" s="84"/>
      <c r="B44" s="84"/>
      <c r="C44" s="77"/>
      <c r="D44" s="77"/>
      <c r="E44" s="77"/>
      <c r="F44" s="78"/>
      <c r="G44" s="78"/>
      <c r="H44" s="78"/>
      <c r="I44" s="78"/>
      <c r="J44" s="78"/>
      <c r="K44" s="78"/>
      <c r="L44" s="78"/>
      <c r="M44" s="78"/>
      <c r="N44" s="78"/>
      <c r="O44" s="78"/>
      <c r="P44" s="78"/>
      <c r="Q44" s="78"/>
      <c r="R44" s="78"/>
      <c r="S44" s="79"/>
      <c r="T44" s="79"/>
      <c r="U44" s="79"/>
      <c r="V44" s="79"/>
      <c r="W44" s="79"/>
      <c r="X44" s="79"/>
      <c r="Y44" s="79"/>
      <c r="Z44" s="79"/>
      <c r="AA44" s="79"/>
      <c r="AB44" s="79"/>
      <c r="AC44" s="79"/>
      <c r="AD44" s="79"/>
      <c r="AE44" s="79"/>
      <c r="AF44" s="83"/>
    </row>
    <row r="45" spans="1:32" x14ac:dyDescent="0.3">
      <c r="A45" s="84"/>
      <c r="B45" s="84"/>
      <c r="C45" s="77"/>
      <c r="D45" s="77"/>
      <c r="E45" s="77"/>
      <c r="F45" s="78"/>
      <c r="G45" s="78"/>
      <c r="H45" s="78"/>
      <c r="I45" s="78"/>
      <c r="J45" s="78"/>
      <c r="K45" s="78"/>
      <c r="L45" s="78"/>
      <c r="M45" s="78"/>
      <c r="N45" s="78"/>
      <c r="O45" s="78"/>
      <c r="P45" s="78"/>
      <c r="Q45" s="78"/>
      <c r="R45" s="78"/>
      <c r="S45" s="79"/>
      <c r="T45" s="79"/>
      <c r="U45" s="79"/>
      <c r="V45" s="79"/>
      <c r="W45" s="79"/>
      <c r="X45" s="79"/>
      <c r="Y45" s="79"/>
      <c r="Z45" s="79"/>
      <c r="AA45" s="79"/>
      <c r="AB45" s="79"/>
      <c r="AC45" s="79"/>
      <c r="AD45" s="79"/>
      <c r="AE45" s="79"/>
      <c r="AF45" s="83"/>
    </row>
    <row r="46" spans="1:32" x14ac:dyDescent="0.3">
      <c r="A46" s="84"/>
      <c r="B46" s="84"/>
      <c r="C46" s="77"/>
      <c r="D46" s="77"/>
      <c r="E46" s="77"/>
      <c r="F46" s="78"/>
      <c r="G46" s="78"/>
      <c r="H46" s="78"/>
      <c r="I46" s="78"/>
      <c r="J46" s="78"/>
      <c r="K46" s="78"/>
      <c r="L46" s="78"/>
      <c r="M46" s="78"/>
      <c r="N46" s="78"/>
      <c r="O46" s="78"/>
      <c r="P46" s="78"/>
      <c r="Q46" s="78"/>
      <c r="R46" s="78"/>
      <c r="S46" s="79"/>
      <c r="T46" s="79"/>
      <c r="U46" s="79"/>
      <c r="V46" s="79"/>
      <c r="W46" s="79"/>
      <c r="X46" s="79"/>
      <c r="Y46" s="79"/>
      <c r="Z46" s="79"/>
      <c r="AA46" s="79"/>
      <c r="AB46" s="79"/>
      <c r="AC46" s="79"/>
      <c r="AD46" s="79"/>
      <c r="AE46" s="79"/>
      <c r="AF46" s="83"/>
    </row>
    <row r="47" spans="1:32" x14ac:dyDescent="0.3">
      <c r="A47" s="84"/>
      <c r="B47" s="84"/>
      <c r="C47" s="77"/>
      <c r="D47" s="77"/>
      <c r="E47" s="77"/>
      <c r="F47" s="78"/>
      <c r="G47" s="78"/>
      <c r="H47" s="78"/>
      <c r="I47" s="78"/>
      <c r="J47" s="78"/>
      <c r="K47" s="78"/>
      <c r="L47" s="78"/>
      <c r="M47" s="78"/>
      <c r="N47" s="78"/>
      <c r="O47" s="78"/>
      <c r="P47" s="78"/>
      <c r="Q47" s="78"/>
      <c r="R47" s="78"/>
      <c r="S47" s="79"/>
      <c r="T47" s="79"/>
      <c r="U47" s="79"/>
      <c r="V47" s="79"/>
      <c r="W47" s="79"/>
      <c r="X47" s="79"/>
      <c r="Y47" s="79"/>
      <c r="Z47" s="79"/>
      <c r="AA47" s="79"/>
      <c r="AB47" s="79"/>
      <c r="AC47" s="79"/>
      <c r="AD47" s="79"/>
      <c r="AE47" s="79"/>
      <c r="AF47" s="83"/>
    </row>
    <row r="48" spans="1:32" x14ac:dyDescent="0.3">
      <c r="A48" s="84"/>
      <c r="B48" s="84"/>
      <c r="C48" s="77"/>
      <c r="D48" s="77"/>
      <c r="E48" s="77"/>
      <c r="F48" s="78"/>
      <c r="G48" s="78"/>
      <c r="H48" s="78"/>
      <c r="I48" s="78"/>
      <c r="J48" s="78"/>
      <c r="K48" s="78"/>
      <c r="L48" s="78"/>
      <c r="M48" s="78"/>
      <c r="N48" s="78"/>
      <c r="O48" s="78"/>
      <c r="P48" s="78"/>
      <c r="Q48" s="78"/>
      <c r="R48" s="78"/>
      <c r="S48" s="79"/>
      <c r="T48" s="79"/>
      <c r="U48" s="79"/>
      <c r="V48" s="79"/>
      <c r="W48" s="79"/>
      <c r="X48" s="79"/>
      <c r="Y48" s="79"/>
      <c r="Z48" s="79"/>
      <c r="AA48" s="79"/>
      <c r="AB48" s="79"/>
      <c r="AC48" s="79"/>
      <c r="AD48" s="79"/>
      <c r="AE48" s="79"/>
      <c r="AF48" s="83"/>
    </row>
    <row r="49" spans="1:32" x14ac:dyDescent="0.3">
      <c r="A49" s="84"/>
      <c r="B49" s="84"/>
      <c r="C49" s="77"/>
      <c r="D49" s="77"/>
      <c r="E49" s="77"/>
      <c r="F49" s="78"/>
      <c r="G49" s="78"/>
      <c r="H49" s="78"/>
      <c r="I49" s="78"/>
      <c r="J49" s="78"/>
      <c r="K49" s="78"/>
      <c r="L49" s="78"/>
      <c r="M49" s="78"/>
      <c r="N49" s="78"/>
      <c r="O49" s="78"/>
      <c r="P49" s="78"/>
      <c r="Q49" s="78"/>
      <c r="R49" s="78"/>
      <c r="S49" s="79"/>
      <c r="T49" s="79"/>
      <c r="U49" s="79"/>
      <c r="V49" s="79"/>
      <c r="W49" s="79"/>
      <c r="X49" s="79"/>
      <c r="Y49" s="79"/>
      <c r="Z49" s="79"/>
      <c r="AA49" s="79"/>
      <c r="AB49" s="79"/>
      <c r="AC49" s="79"/>
      <c r="AD49" s="79"/>
      <c r="AE49" s="79"/>
      <c r="AF49" s="83"/>
    </row>
    <row r="50" spans="1:32" x14ac:dyDescent="0.3">
      <c r="A50" s="84"/>
      <c r="B50" s="84"/>
      <c r="C50" s="77"/>
      <c r="D50" s="77"/>
      <c r="E50" s="77"/>
      <c r="F50" s="78"/>
      <c r="G50" s="78"/>
      <c r="H50" s="78"/>
      <c r="I50" s="78"/>
      <c r="J50" s="78"/>
      <c r="K50" s="78"/>
      <c r="L50" s="78"/>
      <c r="M50" s="78"/>
      <c r="N50" s="78"/>
      <c r="O50" s="78"/>
      <c r="P50" s="78"/>
      <c r="Q50" s="78"/>
      <c r="R50" s="78"/>
      <c r="S50" s="79"/>
      <c r="T50" s="79"/>
      <c r="U50" s="79"/>
      <c r="V50" s="79"/>
      <c r="W50" s="79"/>
      <c r="X50" s="79"/>
      <c r="Y50" s="79"/>
      <c r="Z50" s="79"/>
      <c r="AA50" s="79"/>
      <c r="AB50" s="79"/>
      <c r="AC50" s="79"/>
      <c r="AD50" s="79"/>
      <c r="AE50" s="79"/>
      <c r="AF50" s="83"/>
    </row>
    <row r="51" spans="1:32" x14ac:dyDescent="0.3">
      <c r="A51" s="84"/>
      <c r="B51" s="84"/>
      <c r="C51" s="77"/>
      <c r="D51" s="77"/>
      <c r="E51" s="77"/>
      <c r="F51" s="78"/>
      <c r="G51" s="78"/>
      <c r="H51" s="78"/>
      <c r="I51" s="78"/>
      <c r="J51" s="78"/>
      <c r="K51" s="78"/>
      <c r="L51" s="78"/>
      <c r="M51" s="78"/>
      <c r="N51" s="78"/>
      <c r="O51" s="78"/>
      <c r="P51" s="78"/>
      <c r="Q51" s="78"/>
      <c r="R51" s="78"/>
      <c r="S51" s="79"/>
      <c r="T51" s="79"/>
      <c r="U51" s="79"/>
      <c r="V51" s="79"/>
      <c r="W51" s="79"/>
      <c r="X51" s="79"/>
      <c r="Y51" s="79"/>
      <c r="Z51" s="79"/>
      <c r="AA51" s="79"/>
      <c r="AB51" s="79"/>
      <c r="AC51" s="79"/>
      <c r="AD51" s="79"/>
      <c r="AE51" s="79"/>
      <c r="AF51" s="83"/>
    </row>
    <row r="52" spans="1:32" x14ac:dyDescent="0.3">
      <c r="A52" s="84"/>
      <c r="B52" s="84"/>
      <c r="C52" s="77"/>
      <c r="D52" s="77"/>
      <c r="E52" s="77"/>
      <c r="F52" s="78"/>
      <c r="G52" s="78"/>
      <c r="H52" s="78"/>
      <c r="I52" s="78"/>
      <c r="J52" s="78"/>
      <c r="K52" s="78"/>
      <c r="L52" s="78"/>
      <c r="M52" s="78"/>
      <c r="N52" s="78"/>
      <c r="O52" s="78"/>
      <c r="P52" s="78"/>
      <c r="Q52" s="78"/>
      <c r="R52" s="78"/>
      <c r="S52" s="79"/>
      <c r="T52" s="79"/>
      <c r="U52" s="79"/>
      <c r="V52" s="79"/>
      <c r="W52" s="79"/>
      <c r="X52" s="79"/>
      <c r="Y52" s="79"/>
      <c r="Z52" s="79"/>
      <c r="AA52" s="79"/>
      <c r="AB52" s="79"/>
      <c r="AC52" s="79"/>
      <c r="AD52" s="79"/>
      <c r="AE52" s="79"/>
      <c r="AF52" s="83"/>
    </row>
    <row r="53" spans="1:32" x14ac:dyDescent="0.3">
      <c r="A53" s="84"/>
      <c r="B53" s="84"/>
      <c r="C53" s="77"/>
      <c r="D53" s="77"/>
      <c r="E53" s="77"/>
      <c r="F53" s="78"/>
      <c r="G53" s="78"/>
      <c r="H53" s="78"/>
      <c r="I53" s="78"/>
      <c r="J53" s="78"/>
      <c r="K53" s="78"/>
      <c r="L53" s="78"/>
      <c r="M53" s="78"/>
      <c r="N53" s="78"/>
      <c r="O53" s="78"/>
      <c r="P53" s="78"/>
      <c r="Q53" s="78"/>
      <c r="R53" s="78"/>
      <c r="S53" s="79"/>
      <c r="T53" s="79"/>
      <c r="U53" s="79"/>
      <c r="V53" s="79"/>
      <c r="W53" s="79"/>
      <c r="X53" s="79"/>
      <c r="Y53" s="79"/>
      <c r="Z53" s="79"/>
      <c r="AA53" s="79"/>
      <c r="AB53" s="79"/>
      <c r="AC53" s="79"/>
      <c r="AD53" s="79"/>
      <c r="AE53" s="79"/>
      <c r="AF53" s="83"/>
    </row>
    <row r="54" spans="1:32" x14ac:dyDescent="0.3">
      <c r="A54" s="84"/>
      <c r="B54" s="84"/>
      <c r="C54" s="77"/>
      <c r="D54" s="77"/>
      <c r="E54" s="77"/>
      <c r="F54" s="78"/>
      <c r="G54" s="78"/>
      <c r="H54" s="78"/>
      <c r="I54" s="78"/>
      <c r="J54" s="78"/>
      <c r="K54" s="78"/>
      <c r="L54" s="78"/>
      <c r="M54" s="78"/>
      <c r="N54" s="78"/>
      <c r="O54" s="78"/>
      <c r="P54" s="78"/>
      <c r="Q54" s="78"/>
      <c r="R54" s="78"/>
      <c r="S54" s="79"/>
      <c r="T54" s="79"/>
      <c r="U54" s="79"/>
      <c r="V54" s="79"/>
      <c r="W54" s="79"/>
      <c r="X54" s="79"/>
      <c r="Y54" s="79"/>
      <c r="Z54" s="79"/>
      <c r="AA54" s="79"/>
      <c r="AB54" s="79"/>
      <c r="AC54" s="79"/>
      <c r="AD54" s="79"/>
      <c r="AE54" s="79"/>
      <c r="AF54" s="83"/>
    </row>
    <row r="55" spans="1:32" x14ac:dyDescent="0.3">
      <c r="A55" s="84"/>
      <c r="B55" s="84"/>
      <c r="C55" s="77"/>
      <c r="D55" s="77"/>
      <c r="E55" s="77"/>
      <c r="F55" s="78"/>
      <c r="G55" s="78"/>
      <c r="H55" s="78"/>
      <c r="I55" s="78"/>
      <c r="J55" s="78"/>
      <c r="K55" s="78"/>
      <c r="L55" s="78"/>
      <c r="M55" s="78"/>
      <c r="N55" s="78"/>
      <c r="O55" s="78"/>
      <c r="P55" s="78"/>
      <c r="Q55" s="78"/>
      <c r="R55" s="78"/>
      <c r="S55" s="79"/>
      <c r="T55" s="79"/>
      <c r="U55" s="79"/>
      <c r="V55" s="79"/>
      <c r="W55" s="79"/>
      <c r="X55" s="79"/>
      <c r="Y55" s="79"/>
      <c r="Z55" s="79"/>
      <c r="AA55" s="79"/>
      <c r="AB55" s="79"/>
      <c r="AC55" s="79"/>
      <c r="AD55" s="79"/>
      <c r="AE55" s="79"/>
      <c r="AF55" s="83"/>
    </row>
    <row r="56" spans="1:32" x14ac:dyDescent="0.3">
      <c r="A56" s="84"/>
      <c r="B56" s="84"/>
      <c r="C56" s="77"/>
      <c r="D56" s="77"/>
      <c r="E56" s="77"/>
      <c r="F56" s="78"/>
      <c r="G56" s="78"/>
      <c r="H56" s="78"/>
      <c r="I56" s="78"/>
      <c r="J56" s="78"/>
      <c r="K56" s="78"/>
      <c r="L56" s="78"/>
      <c r="M56" s="78"/>
      <c r="N56" s="78"/>
      <c r="O56" s="78"/>
      <c r="P56" s="78"/>
      <c r="Q56" s="78"/>
      <c r="R56" s="78"/>
      <c r="S56" s="79"/>
      <c r="T56" s="79"/>
      <c r="U56" s="79"/>
      <c r="V56" s="79"/>
      <c r="W56" s="79"/>
      <c r="X56" s="79"/>
      <c r="Y56" s="79"/>
      <c r="Z56" s="79"/>
      <c r="AA56" s="79"/>
      <c r="AB56" s="79"/>
      <c r="AC56" s="79"/>
      <c r="AD56" s="79"/>
      <c r="AE56" s="79"/>
      <c r="AF56" s="83"/>
    </row>
    <row r="57" spans="1:32" x14ac:dyDescent="0.3">
      <c r="A57" s="84"/>
      <c r="B57" s="84"/>
      <c r="C57" s="77"/>
      <c r="D57" s="77"/>
      <c r="E57" s="77"/>
      <c r="F57" s="78"/>
      <c r="G57" s="78"/>
      <c r="H57" s="78"/>
      <c r="I57" s="78"/>
      <c r="J57" s="78"/>
      <c r="K57" s="78"/>
      <c r="L57" s="78"/>
      <c r="M57" s="78"/>
      <c r="N57" s="78"/>
      <c r="O57" s="78"/>
      <c r="P57" s="78"/>
      <c r="Q57" s="78"/>
      <c r="R57" s="78"/>
      <c r="S57" s="79"/>
      <c r="T57" s="79"/>
      <c r="U57" s="79"/>
      <c r="V57" s="79"/>
      <c r="W57" s="79"/>
      <c r="X57" s="79"/>
      <c r="Y57" s="79"/>
      <c r="Z57" s="79"/>
      <c r="AA57" s="79"/>
      <c r="AB57" s="79"/>
      <c r="AC57" s="79"/>
      <c r="AD57" s="79"/>
      <c r="AE57" s="79"/>
      <c r="AF57" s="83"/>
    </row>
    <row r="58" spans="1:32" x14ac:dyDescent="0.3">
      <c r="A58" s="84"/>
      <c r="B58" s="84"/>
      <c r="C58" s="77"/>
      <c r="D58" s="77"/>
      <c r="E58" s="77"/>
      <c r="F58" s="78"/>
      <c r="G58" s="78"/>
      <c r="H58" s="78"/>
      <c r="I58" s="78"/>
      <c r="J58" s="78"/>
      <c r="K58" s="78"/>
      <c r="L58" s="78"/>
      <c r="M58" s="78"/>
      <c r="N58" s="78"/>
      <c r="O58" s="78"/>
      <c r="P58" s="78"/>
      <c r="Q58" s="78"/>
      <c r="R58" s="78"/>
      <c r="S58" s="79"/>
      <c r="T58" s="79"/>
      <c r="U58" s="79"/>
      <c r="V58" s="79"/>
      <c r="W58" s="79"/>
      <c r="X58" s="79"/>
      <c r="Y58" s="79"/>
      <c r="Z58" s="79"/>
      <c r="AA58" s="79"/>
      <c r="AB58" s="79"/>
      <c r="AC58" s="79"/>
      <c r="AD58" s="79"/>
      <c r="AE58" s="79"/>
      <c r="AF58" s="83"/>
    </row>
    <row r="59" spans="1:32" x14ac:dyDescent="0.3">
      <c r="A59" s="84"/>
      <c r="B59" s="84"/>
      <c r="C59" s="77"/>
      <c r="D59" s="77"/>
      <c r="E59" s="77"/>
      <c r="F59" s="78"/>
      <c r="G59" s="78"/>
      <c r="H59" s="78"/>
      <c r="I59" s="78"/>
      <c r="J59" s="78"/>
      <c r="K59" s="78"/>
      <c r="L59" s="78"/>
      <c r="M59" s="78"/>
      <c r="N59" s="78"/>
      <c r="O59" s="78"/>
      <c r="P59" s="78"/>
      <c r="Q59" s="78"/>
      <c r="R59" s="78"/>
      <c r="S59" s="79"/>
      <c r="T59" s="79"/>
      <c r="U59" s="79"/>
      <c r="V59" s="79"/>
      <c r="W59" s="79"/>
      <c r="X59" s="79"/>
      <c r="Y59" s="79"/>
      <c r="Z59" s="79"/>
      <c r="AA59" s="79"/>
      <c r="AB59" s="79"/>
      <c r="AC59" s="79"/>
      <c r="AD59" s="79"/>
      <c r="AE59" s="79"/>
      <c r="AF59" s="83"/>
    </row>
    <row r="60" spans="1:32" x14ac:dyDescent="0.3">
      <c r="A60" s="84"/>
      <c r="B60" s="84"/>
      <c r="C60" s="77"/>
      <c r="D60" s="77"/>
      <c r="E60" s="77"/>
      <c r="F60" s="78"/>
      <c r="G60" s="78"/>
      <c r="H60" s="78"/>
      <c r="I60" s="78"/>
      <c r="J60" s="78"/>
      <c r="K60" s="78"/>
      <c r="L60" s="78"/>
      <c r="M60" s="78"/>
      <c r="N60" s="78"/>
      <c r="O60" s="78"/>
      <c r="P60" s="78"/>
      <c r="Q60" s="78"/>
      <c r="R60" s="78"/>
      <c r="S60" s="79"/>
      <c r="T60" s="79"/>
      <c r="U60" s="79"/>
      <c r="V60" s="79"/>
      <c r="W60" s="79"/>
      <c r="X60" s="79"/>
      <c r="Y60" s="79"/>
      <c r="Z60" s="79"/>
      <c r="AA60" s="79"/>
      <c r="AB60" s="79"/>
      <c r="AC60" s="79"/>
      <c r="AD60" s="79"/>
      <c r="AE60" s="79"/>
      <c r="AF60" s="83"/>
    </row>
    <row r="61" spans="1:32" x14ac:dyDescent="0.3">
      <c r="A61" s="84"/>
      <c r="B61" s="84"/>
      <c r="C61" s="77"/>
      <c r="D61" s="77"/>
      <c r="E61" s="77"/>
      <c r="F61" s="78"/>
      <c r="G61" s="78"/>
      <c r="H61" s="78"/>
      <c r="I61" s="78"/>
      <c r="J61" s="78"/>
      <c r="K61" s="78"/>
      <c r="L61" s="78"/>
      <c r="M61" s="78"/>
      <c r="N61" s="78"/>
      <c r="O61" s="78"/>
      <c r="P61" s="78"/>
      <c r="Q61" s="78"/>
      <c r="R61" s="78"/>
      <c r="S61" s="79"/>
      <c r="T61" s="79"/>
      <c r="U61" s="79"/>
      <c r="V61" s="79"/>
      <c r="W61" s="79"/>
      <c r="X61" s="79"/>
      <c r="Y61" s="79"/>
      <c r="Z61" s="79"/>
      <c r="AA61" s="79"/>
      <c r="AB61" s="79"/>
      <c r="AC61" s="79"/>
      <c r="AD61" s="79"/>
      <c r="AE61" s="79"/>
      <c r="AF61" s="83"/>
    </row>
    <row r="62" spans="1:32" x14ac:dyDescent="0.3">
      <c r="A62" s="84"/>
      <c r="B62" s="84"/>
      <c r="C62" s="77"/>
      <c r="D62" s="77"/>
      <c r="E62" s="77"/>
      <c r="F62" s="78"/>
      <c r="G62" s="78"/>
      <c r="H62" s="78"/>
      <c r="I62" s="78"/>
      <c r="J62" s="78"/>
      <c r="K62" s="78"/>
      <c r="L62" s="78"/>
      <c r="M62" s="78"/>
      <c r="N62" s="78"/>
      <c r="O62" s="78"/>
      <c r="P62" s="78"/>
      <c r="Q62" s="78"/>
      <c r="R62" s="78"/>
      <c r="S62" s="79"/>
      <c r="T62" s="79"/>
      <c r="U62" s="79"/>
      <c r="V62" s="79"/>
      <c r="W62" s="79"/>
      <c r="X62" s="79"/>
      <c r="Y62" s="79"/>
      <c r="Z62" s="79"/>
      <c r="AA62" s="79"/>
      <c r="AB62" s="79"/>
      <c r="AC62" s="79"/>
      <c r="AD62" s="79"/>
      <c r="AE62" s="79"/>
      <c r="AF62" s="83"/>
    </row>
    <row r="63" spans="1:32" x14ac:dyDescent="0.3">
      <c r="A63" s="84"/>
      <c r="B63" s="84"/>
      <c r="C63" s="77"/>
      <c r="D63" s="77"/>
      <c r="E63" s="77"/>
      <c r="F63" s="78"/>
      <c r="G63" s="78"/>
      <c r="H63" s="78"/>
      <c r="I63" s="78"/>
      <c r="J63" s="78"/>
      <c r="K63" s="78"/>
      <c r="L63" s="78"/>
      <c r="M63" s="78"/>
      <c r="N63" s="78"/>
      <c r="O63" s="78"/>
      <c r="P63" s="78"/>
      <c r="Q63" s="78"/>
      <c r="R63" s="78"/>
      <c r="S63" s="79"/>
      <c r="T63" s="79"/>
      <c r="U63" s="79"/>
      <c r="V63" s="79"/>
      <c r="W63" s="79"/>
      <c r="X63" s="79"/>
      <c r="Y63" s="79"/>
      <c r="Z63" s="79"/>
      <c r="AA63" s="79"/>
      <c r="AB63" s="79"/>
      <c r="AC63" s="79"/>
      <c r="AD63" s="79"/>
      <c r="AE63" s="79"/>
      <c r="AF63" s="83"/>
    </row>
    <row r="64" spans="1:32" x14ac:dyDescent="0.3">
      <c r="A64" s="84"/>
      <c r="B64" s="84"/>
      <c r="C64" s="77"/>
      <c r="D64" s="77"/>
      <c r="E64" s="77"/>
      <c r="F64" s="78"/>
      <c r="G64" s="78"/>
      <c r="H64" s="78"/>
      <c r="I64" s="78"/>
      <c r="J64" s="78"/>
      <c r="K64" s="78"/>
      <c r="L64" s="78"/>
      <c r="M64" s="78"/>
      <c r="N64" s="78"/>
      <c r="O64" s="78"/>
      <c r="P64" s="78"/>
      <c r="Q64" s="78"/>
      <c r="R64" s="78"/>
      <c r="S64" s="79"/>
      <c r="T64" s="79"/>
      <c r="U64" s="79"/>
      <c r="V64" s="79"/>
      <c r="W64" s="79"/>
      <c r="X64" s="79"/>
      <c r="Y64" s="79"/>
      <c r="Z64" s="79"/>
      <c r="AA64" s="79"/>
      <c r="AB64" s="79"/>
      <c r="AC64" s="79"/>
      <c r="AD64" s="79"/>
      <c r="AE64" s="79"/>
      <c r="AF64" s="83"/>
    </row>
    <row r="65" spans="1:32" x14ac:dyDescent="0.3">
      <c r="A65" s="84"/>
      <c r="B65" s="84"/>
      <c r="C65" s="77"/>
      <c r="D65" s="77"/>
      <c r="E65" s="77"/>
      <c r="F65" s="78"/>
      <c r="G65" s="78"/>
      <c r="H65" s="78"/>
      <c r="I65" s="78"/>
      <c r="J65" s="78"/>
      <c r="K65" s="78"/>
      <c r="L65" s="78"/>
      <c r="M65" s="78"/>
      <c r="N65" s="78"/>
      <c r="O65" s="78"/>
      <c r="P65" s="78"/>
      <c r="Q65" s="78"/>
      <c r="R65" s="78"/>
      <c r="S65" s="79"/>
      <c r="T65" s="79"/>
      <c r="U65" s="79"/>
      <c r="V65" s="79"/>
      <c r="W65" s="79"/>
      <c r="X65" s="79"/>
      <c r="Y65" s="79"/>
      <c r="Z65" s="79"/>
      <c r="AA65" s="79"/>
      <c r="AB65" s="79"/>
      <c r="AC65" s="79"/>
      <c r="AD65" s="79"/>
      <c r="AE65" s="79"/>
      <c r="AF65" s="83"/>
    </row>
    <row r="66" spans="1:32" x14ac:dyDescent="0.3">
      <c r="A66" s="84"/>
      <c r="B66" s="84"/>
      <c r="C66" s="77"/>
      <c r="D66" s="77"/>
      <c r="E66" s="77"/>
      <c r="F66" s="78"/>
      <c r="G66" s="78"/>
      <c r="H66" s="78"/>
      <c r="I66" s="78"/>
      <c r="J66" s="78"/>
      <c r="K66" s="78"/>
      <c r="L66" s="78"/>
      <c r="M66" s="78"/>
      <c r="N66" s="78"/>
      <c r="O66" s="78"/>
      <c r="P66" s="78"/>
      <c r="Q66" s="78"/>
      <c r="R66" s="78"/>
      <c r="S66" s="79"/>
      <c r="T66" s="79"/>
      <c r="U66" s="79"/>
      <c r="V66" s="79"/>
      <c r="W66" s="79"/>
      <c r="X66" s="79"/>
      <c r="Y66" s="79"/>
      <c r="Z66" s="79"/>
      <c r="AA66" s="79"/>
      <c r="AB66" s="79"/>
      <c r="AC66" s="79"/>
      <c r="AD66" s="79"/>
      <c r="AE66" s="79"/>
      <c r="AF66" s="83"/>
    </row>
    <row r="67" spans="1:32" x14ac:dyDescent="0.3">
      <c r="A67" s="84"/>
      <c r="B67" s="84"/>
      <c r="C67" s="77"/>
      <c r="D67" s="77"/>
      <c r="E67" s="77"/>
      <c r="F67" s="78"/>
      <c r="G67" s="78"/>
      <c r="H67" s="78"/>
      <c r="I67" s="78"/>
      <c r="J67" s="78"/>
      <c r="K67" s="78"/>
      <c r="L67" s="78"/>
      <c r="M67" s="78"/>
      <c r="N67" s="78"/>
      <c r="O67" s="78"/>
      <c r="P67" s="78"/>
      <c r="Q67" s="78"/>
      <c r="R67" s="78"/>
      <c r="S67" s="79"/>
      <c r="T67" s="79"/>
      <c r="U67" s="79"/>
      <c r="V67" s="79"/>
      <c r="W67" s="79"/>
      <c r="X67" s="79"/>
      <c r="Y67" s="79"/>
      <c r="Z67" s="79"/>
      <c r="AA67" s="79"/>
      <c r="AB67" s="79"/>
      <c r="AC67" s="79"/>
      <c r="AD67" s="79"/>
      <c r="AE67" s="79"/>
      <c r="AF67" s="83"/>
    </row>
    <row r="68" spans="1:32" x14ac:dyDescent="0.3">
      <c r="A68" s="84"/>
      <c r="B68" s="84"/>
      <c r="C68" s="77"/>
      <c r="D68" s="77"/>
      <c r="E68" s="77"/>
      <c r="F68" s="78"/>
      <c r="G68" s="78"/>
      <c r="H68" s="78"/>
      <c r="I68" s="78"/>
      <c r="J68" s="78"/>
      <c r="K68" s="78"/>
      <c r="L68" s="78"/>
      <c r="M68" s="78"/>
      <c r="N68" s="78"/>
      <c r="O68" s="78"/>
      <c r="P68" s="78"/>
      <c r="Q68" s="78"/>
      <c r="R68" s="78"/>
      <c r="S68" s="79"/>
      <c r="T68" s="79"/>
      <c r="U68" s="79"/>
      <c r="V68" s="79"/>
      <c r="W68" s="79"/>
      <c r="X68" s="79"/>
      <c r="Y68" s="79"/>
      <c r="Z68" s="79"/>
      <c r="AA68" s="79"/>
      <c r="AB68" s="79"/>
      <c r="AC68" s="79"/>
      <c r="AD68" s="79"/>
      <c r="AE68" s="79"/>
      <c r="AF68" s="83"/>
    </row>
    <row r="69" spans="1:32" x14ac:dyDescent="0.3">
      <c r="A69" s="84"/>
      <c r="B69" s="84"/>
      <c r="C69" s="77"/>
      <c r="D69" s="77"/>
      <c r="E69" s="77"/>
      <c r="F69" s="78"/>
      <c r="G69" s="78"/>
      <c r="H69" s="78"/>
      <c r="I69" s="78"/>
      <c r="J69" s="78"/>
      <c r="K69" s="78"/>
      <c r="L69" s="78"/>
      <c r="M69" s="78"/>
      <c r="N69" s="78"/>
      <c r="O69" s="78"/>
      <c r="P69" s="78"/>
      <c r="Q69" s="78"/>
      <c r="R69" s="78"/>
      <c r="S69" s="79"/>
      <c r="T69" s="79"/>
      <c r="U69" s="79"/>
      <c r="V69" s="79"/>
      <c r="W69" s="79"/>
      <c r="X69" s="79"/>
      <c r="Y69" s="79"/>
      <c r="Z69" s="79"/>
      <c r="AA69" s="79"/>
      <c r="AB69" s="79"/>
      <c r="AC69" s="79"/>
      <c r="AD69" s="79"/>
      <c r="AE69" s="79"/>
      <c r="AF69" s="83"/>
    </row>
    <row r="70" spans="1:32" x14ac:dyDescent="0.3">
      <c r="A70" s="84"/>
      <c r="B70" s="84"/>
      <c r="C70" s="77"/>
      <c r="D70" s="77"/>
      <c r="E70" s="77"/>
      <c r="F70" s="78"/>
      <c r="G70" s="78"/>
      <c r="H70" s="78"/>
      <c r="I70" s="78"/>
      <c r="J70" s="78"/>
      <c r="K70" s="78"/>
      <c r="L70" s="78"/>
      <c r="M70" s="78"/>
      <c r="N70" s="78"/>
      <c r="O70" s="78"/>
      <c r="P70" s="78"/>
      <c r="Q70" s="78"/>
      <c r="R70" s="78"/>
      <c r="S70" s="79"/>
      <c r="T70" s="79"/>
      <c r="U70" s="79"/>
      <c r="V70" s="79"/>
      <c r="W70" s="79"/>
      <c r="X70" s="79"/>
      <c r="Y70" s="79"/>
      <c r="Z70" s="79"/>
      <c r="AA70" s="79"/>
      <c r="AB70" s="79"/>
      <c r="AC70" s="79"/>
      <c r="AD70" s="79"/>
      <c r="AE70" s="79"/>
      <c r="AF70" s="83"/>
    </row>
    <row r="71" spans="1:32" x14ac:dyDescent="0.3">
      <c r="A71" s="84"/>
      <c r="B71" s="84"/>
      <c r="C71" s="77"/>
      <c r="D71" s="77"/>
      <c r="E71" s="77"/>
      <c r="F71" s="78"/>
      <c r="G71" s="78"/>
      <c r="H71" s="78"/>
      <c r="I71" s="78"/>
      <c r="J71" s="78"/>
      <c r="K71" s="78"/>
      <c r="L71" s="78"/>
      <c r="M71" s="78"/>
      <c r="N71" s="78"/>
      <c r="O71" s="78"/>
      <c r="P71" s="78"/>
      <c r="Q71" s="78"/>
      <c r="R71" s="78"/>
      <c r="S71" s="79"/>
      <c r="T71" s="79"/>
      <c r="U71" s="79"/>
      <c r="V71" s="79"/>
      <c r="W71" s="79"/>
      <c r="X71" s="79"/>
      <c r="Y71" s="79"/>
      <c r="Z71" s="79"/>
      <c r="AA71" s="79"/>
      <c r="AB71" s="79"/>
      <c r="AC71" s="79"/>
      <c r="AD71" s="79"/>
      <c r="AE71" s="79"/>
      <c r="AF71" s="83"/>
    </row>
    <row r="72" spans="1:32" x14ac:dyDescent="0.3">
      <c r="A72" s="84"/>
      <c r="B72" s="84"/>
      <c r="C72" s="77"/>
      <c r="D72" s="77"/>
      <c r="E72" s="77"/>
      <c r="F72" s="78"/>
      <c r="G72" s="78"/>
      <c r="H72" s="78"/>
      <c r="I72" s="78"/>
      <c r="J72" s="78"/>
      <c r="K72" s="78"/>
      <c r="L72" s="78"/>
      <c r="M72" s="78"/>
      <c r="N72" s="78"/>
      <c r="O72" s="78"/>
      <c r="P72" s="78"/>
      <c r="Q72" s="78"/>
      <c r="R72" s="78"/>
      <c r="S72" s="79"/>
      <c r="T72" s="79"/>
      <c r="U72" s="79"/>
      <c r="V72" s="79"/>
      <c r="W72" s="79"/>
      <c r="X72" s="79"/>
      <c r="Y72" s="79"/>
      <c r="Z72" s="79"/>
      <c r="AA72" s="79"/>
      <c r="AB72" s="79"/>
      <c r="AC72" s="79"/>
      <c r="AD72" s="79"/>
      <c r="AE72" s="79"/>
      <c r="AF72" s="83"/>
    </row>
    <row r="73" spans="1:32" x14ac:dyDescent="0.3">
      <c r="A73" s="84"/>
      <c r="B73" s="84"/>
      <c r="C73" s="77"/>
      <c r="D73" s="77"/>
      <c r="E73" s="77"/>
      <c r="F73" s="78"/>
      <c r="G73" s="78"/>
      <c r="H73" s="78"/>
      <c r="I73" s="78"/>
      <c r="J73" s="78"/>
      <c r="K73" s="78"/>
      <c r="L73" s="78"/>
      <c r="M73" s="78"/>
      <c r="N73" s="78"/>
      <c r="O73" s="78"/>
      <c r="P73" s="78"/>
      <c r="Q73" s="78"/>
      <c r="R73" s="78"/>
      <c r="S73" s="79"/>
      <c r="T73" s="79"/>
      <c r="U73" s="79"/>
      <c r="V73" s="79"/>
      <c r="W73" s="79"/>
      <c r="X73" s="79"/>
      <c r="Y73" s="79"/>
      <c r="Z73" s="79"/>
      <c r="AA73" s="79"/>
      <c r="AB73" s="79"/>
      <c r="AC73" s="79"/>
      <c r="AD73" s="79"/>
      <c r="AE73" s="79"/>
      <c r="AF73" s="83"/>
    </row>
    <row r="74" spans="1:32" x14ac:dyDescent="0.3">
      <c r="A74" s="84"/>
      <c r="B74" s="84"/>
      <c r="C74" s="77"/>
      <c r="D74" s="77"/>
      <c r="E74" s="77"/>
      <c r="F74" s="78"/>
      <c r="G74" s="78"/>
      <c r="H74" s="78"/>
      <c r="I74" s="78"/>
      <c r="J74" s="78"/>
      <c r="K74" s="78"/>
      <c r="L74" s="78"/>
      <c r="M74" s="78"/>
      <c r="N74" s="78"/>
      <c r="O74" s="78"/>
      <c r="P74" s="78"/>
      <c r="Q74" s="78"/>
      <c r="R74" s="78"/>
      <c r="S74" s="79"/>
      <c r="T74" s="79"/>
      <c r="U74" s="79"/>
      <c r="V74" s="79"/>
      <c r="W74" s="79"/>
      <c r="X74" s="79"/>
      <c r="Y74" s="79"/>
      <c r="Z74" s="79"/>
      <c r="AA74" s="79"/>
      <c r="AB74" s="79"/>
      <c r="AC74" s="79"/>
      <c r="AD74" s="79"/>
      <c r="AE74" s="79"/>
      <c r="AF74" s="83"/>
    </row>
    <row r="75" spans="1:32" x14ac:dyDescent="0.3">
      <c r="A75" s="84"/>
      <c r="B75" s="84"/>
      <c r="C75" s="77"/>
      <c r="D75" s="77"/>
      <c r="E75" s="77"/>
      <c r="F75" s="78"/>
      <c r="G75" s="78"/>
      <c r="H75" s="78"/>
      <c r="I75" s="78"/>
      <c r="J75" s="78"/>
      <c r="K75" s="78"/>
      <c r="L75" s="78"/>
      <c r="M75" s="78"/>
      <c r="N75" s="78"/>
      <c r="O75" s="78"/>
      <c r="P75" s="78"/>
      <c r="Q75" s="78"/>
      <c r="R75" s="78"/>
      <c r="S75" s="79"/>
      <c r="T75" s="79"/>
      <c r="U75" s="79"/>
      <c r="V75" s="79"/>
      <c r="W75" s="79"/>
      <c r="X75" s="79"/>
      <c r="Y75" s="79"/>
      <c r="Z75" s="79"/>
      <c r="AA75" s="79"/>
      <c r="AB75" s="79"/>
      <c r="AC75" s="79"/>
      <c r="AD75" s="79"/>
      <c r="AE75" s="79"/>
      <c r="AF75" s="83"/>
    </row>
    <row r="76" spans="1:32" x14ac:dyDescent="0.3">
      <c r="A76" s="84"/>
      <c r="B76" s="84"/>
      <c r="C76" s="77"/>
      <c r="D76" s="77"/>
      <c r="E76" s="77"/>
      <c r="F76" s="78"/>
      <c r="G76" s="78"/>
      <c r="H76" s="78"/>
      <c r="I76" s="78"/>
      <c r="J76" s="78"/>
      <c r="K76" s="78"/>
      <c r="L76" s="78"/>
      <c r="M76" s="78"/>
      <c r="N76" s="78"/>
      <c r="O76" s="78"/>
      <c r="P76" s="78"/>
      <c r="Q76" s="78"/>
      <c r="R76" s="78"/>
      <c r="S76" s="79"/>
      <c r="T76" s="79"/>
      <c r="U76" s="79"/>
      <c r="V76" s="79"/>
      <c r="W76" s="79"/>
      <c r="X76" s="79"/>
      <c r="Y76" s="79"/>
      <c r="Z76" s="79"/>
      <c r="AA76" s="79"/>
      <c r="AB76" s="79"/>
      <c r="AC76" s="79"/>
      <c r="AD76" s="79"/>
      <c r="AE76" s="79"/>
      <c r="AF76" s="83"/>
    </row>
    <row r="77" spans="1:32" x14ac:dyDescent="0.3">
      <c r="A77" s="84"/>
      <c r="B77" s="84"/>
      <c r="C77" s="77"/>
      <c r="D77" s="77"/>
      <c r="E77" s="77"/>
      <c r="F77" s="78"/>
      <c r="G77" s="78"/>
      <c r="H77" s="78"/>
      <c r="I77" s="78"/>
      <c r="J77" s="78"/>
      <c r="K77" s="78"/>
      <c r="L77" s="78"/>
      <c r="M77" s="78"/>
      <c r="N77" s="78"/>
      <c r="O77" s="78"/>
      <c r="P77" s="78"/>
      <c r="Q77" s="78"/>
      <c r="R77" s="78"/>
      <c r="S77" s="79"/>
      <c r="T77" s="79"/>
      <c r="U77" s="79"/>
      <c r="V77" s="79"/>
      <c r="W77" s="79"/>
      <c r="X77" s="79"/>
      <c r="Y77" s="79"/>
      <c r="Z77" s="79"/>
      <c r="AA77" s="79"/>
      <c r="AB77" s="79"/>
      <c r="AC77" s="79"/>
      <c r="AD77" s="79"/>
      <c r="AE77" s="79"/>
      <c r="AF77" s="83"/>
    </row>
    <row r="78" spans="1:32" x14ac:dyDescent="0.3">
      <c r="A78" s="84"/>
      <c r="B78" s="84"/>
      <c r="C78" s="77"/>
      <c r="D78" s="77"/>
      <c r="E78" s="77"/>
      <c r="F78" s="78"/>
      <c r="G78" s="78"/>
      <c r="H78" s="78"/>
      <c r="I78" s="78"/>
      <c r="J78" s="78"/>
      <c r="K78" s="78"/>
      <c r="L78" s="78"/>
      <c r="M78" s="78"/>
      <c r="N78" s="78"/>
      <c r="O78" s="78"/>
      <c r="P78" s="78"/>
      <c r="Q78" s="78"/>
      <c r="R78" s="78"/>
      <c r="S78" s="79"/>
      <c r="T78" s="79"/>
      <c r="U78" s="79"/>
      <c r="V78" s="79"/>
      <c r="W78" s="79"/>
      <c r="X78" s="79"/>
      <c r="Y78" s="79"/>
      <c r="Z78" s="79"/>
      <c r="AA78" s="79"/>
      <c r="AB78" s="79"/>
      <c r="AC78" s="79"/>
      <c r="AD78" s="79"/>
      <c r="AE78" s="79"/>
      <c r="AF78" s="83"/>
    </row>
    <row r="79" spans="1:32" x14ac:dyDescent="0.3">
      <c r="A79" s="84"/>
      <c r="B79" s="84"/>
      <c r="C79" s="77"/>
      <c r="D79" s="77"/>
      <c r="E79" s="77"/>
      <c r="F79" s="78"/>
      <c r="G79" s="78"/>
      <c r="H79" s="78"/>
      <c r="I79" s="78"/>
      <c r="J79" s="78"/>
      <c r="K79" s="78"/>
      <c r="L79" s="78"/>
      <c r="M79" s="78"/>
      <c r="N79" s="78"/>
      <c r="O79" s="78"/>
      <c r="P79" s="78"/>
      <c r="Q79" s="78"/>
      <c r="R79" s="78"/>
      <c r="S79" s="79"/>
      <c r="T79" s="79"/>
      <c r="U79" s="79"/>
      <c r="V79" s="79"/>
      <c r="W79" s="79"/>
      <c r="X79" s="79"/>
      <c r="Y79" s="79"/>
      <c r="Z79" s="79"/>
      <c r="AA79" s="79"/>
      <c r="AB79" s="79"/>
      <c r="AC79" s="79"/>
      <c r="AD79" s="79"/>
      <c r="AE79" s="79"/>
      <c r="AF79" s="83"/>
    </row>
    <row r="80" spans="1:32" x14ac:dyDescent="0.3">
      <c r="A80" s="84"/>
      <c r="B80" s="84"/>
      <c r="C80" s="77"/>
      <c r="D80" s="77"/>
      <c r="E80" s="77"/>
      <c r="F80" s="78"/>
      <c r="G80" s="78"/>
      <c r="H80" s="78"/>
      <c r="I80" s="78"/>
      <c r="J80" s="78"/>
      <c r="K80" s="78"/>
      <c r="L80" s="78"/>
      <c r="M80" s="78"/>
      <c r="N80" s="78"/>
      <c r="O80" s="78"/>
      <c r="P80" s="78"/>
      <c r="Q80" s="78"/>
      <c r="R80" s="78"/>
      <c r="S80" s="79"/>
      <c r="T80" s="79"/>
      <c r="U80" s="79"/>
      <c r="V80" s="79"/>
      <c r="W80" s="79"/>
      <c r="X80" s="79"/>
      <c r="Y80" s="79"/>
      <c r="Z80" s="79"/>
      <c r="AA80" s="79"/>
      <c r="AB80" s="79"/>
      <c r="AC80" s="79"/>
      <c r="AD80" s="79"/>
      <c r="AE80" s="79"/>
      <c r="AF80" s="83"/>
    </row>
    <row r="81" spans="1:32" x14ac:dyDescent="0.3">
      <c r="A81" s="84"/>
      <c r="B81" s="84"/>
      <c r="C81" s="77"/>
      <c r="D81" s="77"/>
      <c r="E81" s="77"/>
      <c r="F81" s="78"/>
      <c r="G81" s="78"/>
      <c r="H81" s="78"/>
      <c r="I81" s="78"/>
      <c r="J81" s="78"/>
      <c r="K81" s="78"/>
      <c r="L81" s="78"/>
      <c r="M81" s="78"/>
      <c r="N81" s="78"/>
      <c r="O81" s="78"/>
      <c r="P81" s="78"/>
      <c r="Q81" s="78"/>
      <c r="R81" s="78"/>
      <c r="S81" s="79"/>
      <c r="T81" s="79"/>
      <c r="U81" s="79"/>
      <c r="V81" s="79"/>
      <c r="W81" s="79"/>
      <c r="X81" s="79"/>
      <c r="Y81" s="79"/>
      <c r="Z81" s="79"/>
      <c r="AA81" s="79"/>
      <c r="AB81" s="79"/>
      <c r="AC81" s="79"/>
      <c r="AD81" s="79"/>
      <c r="AE81" s="79"/>
      <c r="AF81" s="83"/>
    </row>
    <row r="82" spans="1:32" x14ac:dyDescent="0.3">
      <c r="A82" s="84"/>
      <c r="B82" s="84"/>
      <c r="C82" s="77"/>
      <c r="D82" s="77"/>
      <c r="E82" s="77"/>
      <c r="F82" s="78"/>
      <c r="G82" s="78"/>
      <c r="H82" s="78"/>
      <c r="I82" s="78"/>
      <c r="J82" s="78"/>
      <c r="K82" s="78"/>
      <c r="L82" s="78"/>
      <c r="M82" s="78"/>
      <c r="N82" s="78"/>
      <c r="O82" s="78"/>
      <c r="P82" s="78"/>
      <c r="Q82" s="78"/>
      <c r="R82" s="78"/>
      <c r="S82" s="79"/>
      <c r="T82" s="79"/>
      <c r="U82" s="79"/>
      <c r="V82" s="79"/>
      <c r="W82" s="79"/>
      <c r="X82" s="79"/>
      <c r="Y82" s="79"/>
      <c r="Z82" s="79"/>
      <c r="AA82" s="79"/>
      <c r="AB82" s="79"/>
      <c r="AC82" s="79"/>
      <c r="AD82" s="79"/>
      <c r="AE82" s="79"/>
      <c r="AF82" s="83"/>
    </row>
    <row r="83" spans="1:32" x14ac:dyDescent="0.3">
      <c r="A83" s="84"/>
      <c r="B83" s="84"/>
      <c r="C83" s="77"/>
      <c r="D83" s="77"/>
      <c r="E83" s="77"/>
      <c r="F83" s="78"/>
      <c r="G83" s="78"/>
      <c r="H83" s="78"/>
      <c r="I83" s="78"/>
      <c r="J83" s="78"/>
      <c r="K83" s="78"/>
      <c r="L83" s="78"/>
      <c r="M83" s="78"/>
      <c r="N83" s="78"/>
      <c r="O83" s="78"/>
      <c r="P83" s="78"/>
      <c r="Q83" s="78"/>
      <c r="R83" s="78"/>
      <c r="S83" s="79"/>
      <c r="T83" s="79"/>
      <c r="U83" s="79"/>
      <c r="V83" s="79"/>
      <c r="W83" s="79"/>
      <c r="X83" s="79"/>
      <c r="Y83" s="79"/>
      <c r="Z83" s="79"/>
      <c r="AA83" s="79"/>
      <c r="AB83" s="79"/>
      <c r="AC83" s="79"/>
      <c r="AD83" s="79"/>
      <c r="AE83" s="79"/>
      <c r="AF83" s="83"/>
    </row>
    <row r="84" spans="1:32" x14ac:dyDescent="0.3">
      <c r="A84" s="84"/>
      <c r="B84" s="84"/>
      <c r="C84" s="77"/>
      <c r="D84" s="77"/>
      <c r="E84" s="77"/>
      <c r="F84" s="78"/>
      <c r="G84" s="78"/>
      <c r="H84" s="78"/>
      <c r="I84" s="78"/>
      <c r="J84" s="78"/>
      <c r="K84" s="78"/>
      <c r="L84" s="78"/>
      <c r="M84" s="78"/>
      <c r="N84" s="78"/>
      <c r="O84" s="78"/>
      <c r="P84" s="78"/>
      <c r="Q84" s="78"/>
      <c r="R84" s="78"/>
      <c r="S84" s="79"/>
      <c r="T84" s="79"/>
      <c r="U84" s="79"/>
      <c r="V84" s="79"/>
      <c r="W84" s="79"/>
      <c r="X84" s="79"/>
      <c r="Y84" s="79"/>
      <c r="Z84" s="79"/>
      <c r="AA84" s="79"/>
      <c r="AB84" s="79"/>
      <c r="AC84" s="79"/>
      <c r="AD84" s="79"/>
      <c r="AE84" s="79"/>
      <c r="AF84" s="83"/>
    </row>
    <row r="85" spans="1:32" x14ac:dyDescent="0.3">
      <c r="A85" s="84"/>
      <c r="B85" s="84"/>
      <c r="C85" s="77"/>
      <c r="D85" s="77"/>
      <c r="E85" s="77"/>
      <c r="F85" s="78"/>
      <c r="G85" s="78"/>
      <c r="H85" s="78"/>
      <c r="I85" s="78"/>
      <c r="J85" s="78"/>
      <c r="K85" s="78"/>
      <c r="L85" s="78"/>
      <c r="M85" s="78"/>
      <c r="N85" s="78"/>
      <c r="O85" s="78"/>
      <c r="P85" s="78"/>
      <c r="Q85" s="78"/>
      <c r="R85" s="78"/>
      <c r="S85" s="79"/>
      <c r="T85" s="79"/>
      <c r="U85" s="79"/>
      <c r="V85" s="79"/>
      <c r="W85" s="79"/>
      <c r="X85" s="79"/>
      <c r="Y85" s="79"/>
      <c r="Z85" s="79"/>
      <c r="AA85" s="79"/>
      <c r="AB85" s="79"/>
      <c r="AC85" s="79"/>
      <c r="AD85" s="79"/>
      <c r="AE85" s="79"/>
      <c r="AF85" s="83"/>
    </row>
    <row r="86" spans="1:32" x14ac:dyDescent="0.3">
      <c r="A86" s="84"/>
      <c r="B86" s="84"/>
      <c r="C86" s="77"/>
      <c r="D86" s="77"/>
      <c r="E86" s="77"/>
      <c r="F86" s="78"/>
      <c r="G86" s="78"/>
      <c r="H86" s="78"/>
      <c r="I86" s="78"/>
      <c r="J86" s="78"/>
      <c r="K86" s="78"/>
      <c r="L86" s="78"/>
      <c r="M86" s="78"/>
      <c r="N86" s="78"/>
      <c r="O86" s="78"/>
      <c r="P86" s="78"/>
      <c r="Q86" s="78"/>
      <c r="R86" s="78"/>
      <c r="S86" s="79"/>
      <c r="T86" s="79"/>
      <c r="U86" s="79"/>
      <c r="V86" s="79"/>
      <c r="W86" s="79"/>
      <c r="X86" s="79"/>
      <c r="Y86" s="79"/>
      <c r="Z86" s="79"/>
      <c r="AA86" s="79"/>
      <c r="AB86" s="79"/>
      <c r="AC86" s="79"/>
      <c r="AD86" s="79"/>
      <c r="AE86" s="79"/>
      <c r="AF86" s="83"/>
    </row>
    <row r="87" spans="1:32" x14ac:dyDescent="0.3">
      <c r="A87" s="84"/>
      <c r="B87" s="84"/>
      <c r="C87" s="77"/>
      <c r="D87" s="77"/>
      <c r="E87" s="77"/>
      <c r="F87" s="78"/>
      <c r="G87" s="78"/>
      <c r="H87" s="78"/>
      <c r="I87" s="78"/>
      <c r="J87" s="78"/>
      <c r="K87" s="78"/>
      <c r="L87" s="78"/>
      <c r="M87" s="78"/>
      <c r="N87" s="78"/>
      <c r="O87" s="78"/>
      <c r="P87" s="78"/>
      <c r="Q87" s="78"/>
      <c r="R87" s="78"/>
      <c r="S87" s="79"/>
      <c r="T87" s="79"/>
      <c r="U87" s="79"/>
      <c r="V87" s="79"/>
      <c r="W87" s="79"/>
      <c r="X87" s="79"/>
      <c r="Y87" s="79"/>
      <c r="Z87" s="79"/>
      <c r="AA87" s="79"/>
      <c r="AB87" s="79"/>
      <c r="AC87" s="79"/>
      <c r="AD87" s="79"/>
      <c r="AE87" s="79"/>
      <c r="AF87" s="83"/>
    </row>
    <row r="88" spans="1:32" x14ac:dyDescent="0.3">
      <c r="A88" s="84"/>
      <c r="B88" s="84"/>
      <c r="C88" s="77"/>
      <c r="D88" s="77"/>
      <c r="E88" s="77"/>
      <c r="F88" s="78"/>
      <c r="G88" s="78"/>
      <c r="H88" s="78"/>
      <c r="I88" s="78"/>
      <c r="J88" s="78"/>
      <c r="K88" s="78"/>
      <c r="L88" s="78"/>
      <c r="M88" s="78"/>
      <c r="N88" s="78"/>
      <c r="O88" s="78"/>
      <c r="P88" s="78"/>
      <c r="Q88" s="78"/>
      <c r="R88" s="78"/>
      <c r="S88" s="79"/>
      <c r="T88" s="79"/>
      <c r="U88" s="79"/>
      <c r="V88" s="79"/>
      <c r="W88" s="79"/>
      <c r="X88" s="79"/>
      <c r="Y88" s="79"/>
      <c r="Z88" s="79"/>
      <c r="AA88" s="79"/>
      <c r="AB88" s="79"/>
      <c r="AC88" s="79"/>
      <c r="AD88" s="79"/>
      <c r="AE88" s="79"/>
      <c r="AF88" s="83"/>
    </row>
    <row r="89" spans="1:32" x14ac:dyDescent="0.3">
      <c r="A89" s="84"/>
      <c r="B89" s="84"/>
      <c r="C89" s="77"/>
      <c r="D89" s="77"/>
      <c r="E89" s="77"/>
      <c r="F89" s="78"/>
      <c r="G89" s="78"/>
      <c r="H89" s="78"/>
      <c r="I89" s="78"/>
      <c r="J89" s="78"/>
      <c r="K89" s="78"/>
      <c r="L89" s="78"/>
      <c r="M89" s="78"/>
      <c r="N89" s="78"/>
      <c r="O89" s="78"/>
      <c r="P89" s="78"/>
      <c r="Q89" s="78"/>
      <c r="R89" s="78"/>
      <c r="S89" s="79"/>
      <c r="T89" s="79"/>
      <c r="U89" s="79"/>
      <c r="V89" s="79"/>
      <c r="W89" s="79"/>
      <c r="X89" s="79"/>
      <c r="Y89" s="79"/>
      <c r="Z89" s="79"/>
      <c r="AA89" s="79"/>
      <c r="AB89" s="79"/>
      <c r="AC89" s="79"/>
      <c r="AD89" s="79"/>
      <c r="AE89" s="79"/>
      <c r="AF89" s="83"/>
    </row>
    <row r="90" spans="1:32" x14ac:dyDescent="0.3">
      <c r="A90" s="84"/>
      <c r="B90" s="84"/>
      <c r="C90" s="77"/>
      <c r="D90" s="77"/>
      <c r="E90" s="77"/>
      <c r="F90" s="78"/>
      <c r="G90" s="78"/>
      <c r="H90" s="78"/>
      <c r="I90" s="78"/>
      <c r="J90" s="78"/>
      <c r="K90" s="78"/>
      <c r="L90" s="78"/>
      <c r="M90" s="78"/>
      <c r="N90" s="78"/>
      <c r="O90" s="78"/>
      <c r="P90" s="78"/>
      <c r="Q90" s="78"/>
      <c r="R90" s="78"/>
      <c r="S90" s="79"/>
      <c r="T90" s="79"/>
      <c r="U90" s="79"/>
      <c r="V90" s="79"/>
      <c r="W90" s="79"/>
      <c r="X90" s="79"/>
      <c r="Y90" s="79"/>
      <c r="Z90" s="79"/>
      <c r="AA90" s="79"/>
      <c r="AB90" s="79"/>
      <c r="AC90" s="79"/>
      <c r="AD90" s="79"/>
      <c r="AE90" s="79"/>
      <c r="AF90" s="83"/>
    </row>
    <row r="91" spans="1:32" x14ac:dyDescent="0.3">
      <c r="A91" s="84"/>
      <c r="B91" s="84"/>
      <c r="C91" s="77"/>
      <c r="D91" s="77"/>
      <c r="E91" s="77"/>
      <c r="F91" s="78"/>
      <c r="G91" s="78"/>
      <c r="H91" s="78"/>
      <c r="I91" s="78"/>
      <c r="J91" s="78"/>
      <c r="K91" s="78"/>
      <c r="L91" s="78"/>
      <c r="M91" s="78"/>
      <c r="N91" s="78"/>
      <c r="O91" s="78"/>
      <c r="P91" s="78"/>
      <c r="Q91" s="78"/>
      <c r="R91" s="78"/>
      <c r="S91" s="79"/>
      <c r="T91" s="79"/>
      <c r="U91" s="79"/>
      <c r="V91" s="79"/>
      <c r="W91" s="79"/>
      <c r="X91" s="79"/>
      <c r="Y91" s="79"/>
      <c r="Z91" s="79"/>
      <c r="AA91" s="79"/>
      <c r="AB91" s="79"/>
      <c r="AC91" s="79"/>
      <c r="AD91" s="79"/>
      <c r="AE91" s="79"/>
      <c r="AF91" s="83"/>
    </row>
    <row r="92" spans="1:32" x14ac:dyDescent="0.3">
      <c r="A92" s="84"/>
      <c r="B92" s="84"/>
      <c r="C92" s="77"/>
      <c r="D92" s="77"/>
      <c r="E92" s="77"/>
      <c r="F92" s="78"/>
      <c r="G92" s="78"/>
      <c r="H92" s="78"/>
      <c r="I92" s="78"/>
      <c r="J92" s="78"/>
      <c r="K92" s="78"/>
      <c r="L92" s="78"/>
      <c r="M92" s="78"/>
      <c r="N92" s="78"/>
      <c r="O92" s="78"/>
      <c r="P92" s="78"/>
      <c r="Q92" s="78"/>
      <c r="R92" s="78"/>
      <c r="S92" s="79"/>
      <c r="T92" s="79"/>
      <c r="U92" s="79"/>
      <c r="V92" s="79"/>
      <c r="W92" s="79"/>
      <c r="X92" s="79"/>
      <c r="Y92" s="79"/>
      <c r="Z92" s="79"/>
      <c r="AA92" s="79"/>
      <c r="AB92" s="79"/>
      <c r="AC92" s="79"/>
      <c r="AD92" s="79"/>
      <c r="AE92" s="79"/>
      <c r="AF92" s="83"/>
    </row>
    <row r="93" spans="1:32" x14ac:dyDescent="0.3">
      <c r="A93" s="84"/>
      <c r="B93" s="84"/>
      <c r="C93" s="77"/>
      <c r="D93" s="77"/>
      <c r="E93" s="77"/>
      <c r="F93" s="78"/>
      <c r="G93" s="78"/>
      <c r="H93" s="78"/>
      <c r="I93" s="78"/>
      <c r="J93" s="78"/>
      <c r="K93" s="78"/>
      <c r="L93" s="78"/>
      <c r="M93" s="78"/>
      <c r="N93" s="78"/>
      <c r="O93" s="78"/>
      <c r="P93" s="78"/>
      <c r="Q93" s="78"/>
      <c r="R93" s="78"/>
      <c r="S93" s="79"/>
      <c r="T93" s="79"/>
      <c r="U93" s="79"/>
      <c r="V93" s="79"/>
      <c r="W93" s="79"/>
      <c r="X93" s="79"/>
      <c r="Y93" s="79"/>
      <c r="Z93" s="79"/>
      <c r="AA93" s="79"/>
      <c r="AB93" s="79"/>
      <c r="AC93" s="79"/>
      <c r="AD93" s="79"/>
      <c r="AE93" s="79"/>
      <c r="AF93" s="83"/>
    </row>
    <row r="94" spans="1:32" x14ac:dyDescent="0.3">
      <c r="A94" s="84"/>
      <c r="B94" s="84"/>
      <c r="C94" s="77"/>
      <c r="D94" s="77"/>
      <c r="E94" s="77"/>
      <c r="F94" s="78"/>
      <c r="G94" s="78"/>
      <c r="H94" s="78"/>
      <c r="I94" s="78"/>
      <c r="J94" s="78"/>
      <c r="K94" s="78"/>
      <c r="L94" s="78"/>
      <c r="M94" s="78"/>
      <c r="N94" s="78"/>
      <c r="O94" s="78"/>
      <c r="P94" s="78"/>
      <c r="Q94" s="78"/>
      <c r="R94" s="78"/>
      <c r="S94" s="79"/>
      <c r="T94" s="79"/>
      <c r="U94" s="79"/>
      <c r="V94" s="79"/>
      <c r="W94" s="79"/>
      <c r="X94" s="79"/>
      <c r="Y94" s="79"/>
      <c r="Z94" s="79"/>
      <c r="AA94" s="79"/>
      <c r="AB94" s="79"/>
      <c r="AC94" s="79"/>
      <c r="AD94" s="79"/>
      <c r="AE94" s="79"/>
      <c r="AF94" s="83"/>
    </row>
    <row r="95" spans="1:32" x14ac:dyDescent="0.3">
      <c r="A95" s="84"/>
      <c r="B95" s="84"/>
      <c r="C95" s="77"/>
      <c r="D95" s="77"/>
      <c r="E95" s="77"/>
      <c r="F95" s="78"/>
      <c r="G95" s="78"/>
      <c r="H95" s="78"/>
      <c r="I95" s="78"/>
      <c r="J95" s="78"/>
      <c r="K95" s="78"/>
      <c r="L95" s="78"/>
      <c r="M95" s="78"/>
      <c r="N95" s="78"/>
      <c r="O95" s="78"/>
      <c r="P95" s="78"/>
      <c r="Q95" s="78"/>
      <c r="R95" s="78"/>
      <c r="S95" s="79"/>
      <c r="T95" s="79"/>
      <c r="U95" s="79"/>
      <c r="V95" s="79"/>
      <c r="W95" s="79"/>
      <c r="X95" s="79"/>
      <c r="Y95" s="79"/>
      <c r="Z95" s="79"/>
      <c r="AA95" s="79"/>
      <c r="AB95" s="79"/>
      <c r="AC95" s="79"/>
      <c r="AD95" s="79"/>
      <c r="AE95" s="79"/>
      <c r="AF95" s="83"/>
    </row>
    <row r="96" spans="1:32" x14ac:dyDescent="0.3">
      <c r="A96" s="84"/>
      <c r="B96" s="84"/>
      <c r="C96" s="77"/>
      <c r="D96" s="77"/>
      <c r="E96" s="77"/>
      <c r="F96" s="78"/>
      <c r="G96" s="78"/>
      <c r="H96" s="78"/>
      <c r="I96" s="78"/>
      <c r="J96" s="78"/>
      <c r="K96" s="78"/>
      <c r="L96" s="78"/>
      <c r="M96" s="78"/>
      <c r="N96" s="78"/>
      <c r="O96" s="78"/>
      <c r="P96" s="78"/>
      <c r="Q96" s="78"/>
      <c r="R96" s="78"/>
      <c r="S96" s="79"/>
      <c r="T96" s="79"/>
      <c r="U96" s="79"/>
      <c r="V96" s="79"/>
      <c r="W96" s="79"/>
      <c r="X96" s="79"/>
      <c r="Y96" s="79"/>
      <c r="Z96" s="79"/>
      <c r="AA96" s="79"/>
      <c r="AB96" s="79"/>
      <c r="AC96" s="79"/>
      <c r="AD96" s="79"/>
      <c r="AE96" s="79"/>
      <c r="AF96" s="83"/>
    </row>
    <row r="97" spans="1:32" x14ac:dyDescent="0.3">
      <c r="A97" s="84"/>
      <c r="B97" s="84"/>
      <c r="C97" s="77"/>
      <c r="D97" s="77"/>
      <c r="E97" s="77"/>
      <c r="F97" s="78"/>
      <c r="G97" s="78"/>
      <c r="H97" s="78"/>
      <c r="I97" s="78"/>
      <c r="J97" s="78"/>
      <c r="K97" s="78"/>
      <c r="L97" s="78"/>
      <c r="M97" s="78"/>
      <c r="N97" s="78"/>
      <c r="O97" s="78"/>
      <c r="P97" s="78"/>
      <c r="Q97" s="78"/>
      <c r="R97" s="78"/>
      <c r="S97" s="79"/>
      <c r="T97" s="79"/>
      <c r="U97" s="79"/>
      <c r="V97" s="79"/>
      <c r="W97" s="79"/>
      <c r="X97" s="79"/>
      <c r="Y97" s="79"/>
      <c r="Z97" s="79"/>
      <c r="AA97" s="79"/>
      <c r="AB97" s="79"/>
      <c r="AC97" s="79"/>
      <c r="AD97" s="79"/>
      <c r="AE97" s="79"/>
      <c r="AF97" s="83"/>
    </row>
    <row r="98" spans="1:32" x14ac:dyDescent="0.3">
      <c r="A98" s="84"/>
      <c r="B98" s="84"/>
      <c r="C98" s="77"/>
      <c r="D98" s="77"/>
      <c r="E98" s="77"/>
      <c r="F98" s="78"/>
      <c r="G98" s="78"/>
      <c r="H98" s="78"/>
      <c r="I98" s="78"/>
      <c r="J98" s="78"/>
      <c r="K98" s="78"/>
      <c r="L98" s="78"/>
      <c r="M98" s="78"/>
      <c r="N98" s="78"/>
      <c r="O98" s="78"/>
      <c r="P98" s="78"/>
      <c r="Q98" s="78"/>
      <c r="R98" s="78"/>
      <c r="S98" s="79"/>
      <c r="T98" s="79"/>
      <c r="U98" s="79"/>
      <c r="V98" s="79"/>
      <c r="W98" s="79"/>
      <c r="X98" s="79"/>
      <c r="Y98" s="79"/>
      <c r="Z98" s="79"/>
      <c r="AA98" s="79"/>
      <c r="AB98" s="79"/>
      <c r="AC98" s="79"/>
      <c r="AD98" s="79"/>
      <c r="AE98" s="79"/>
      <c r="AF98" s="83"/>
    </row>
    <row r="99" spans="1:32" x14ac:dyDescent="0.3">
      <c r="A99" s="84"/>
      <c r="B99" s="84"/>
      <c r="C99" s="77"/>
      <c r="D99" s="77"/>
      <c r="E99" s="77"/>
      <c r="F99" s="78"/>
      <c r="G99" s="78"/>
      <c r="H99" s="78"/>
      <c r="I99" s="78"/>
      <c r="J99" s="78"/>
      <c r="K99" s="78"/>
      <c r="L99" s="78"/>
      <c r="M99" s="78"/>
      <c r="N99" s="78"/>
      <c r="O99" s="78"/>
      <c r="P99" s="78"/>
      <c r="Q99" s="78"/>
      <c r="R99" s="78"/>
      <c r="S99" s="79"/>
      <c r="T99" s="79"/>
      <c r="U99" s="79"/>
      <c r="V99" s="79"/>
      <c r="W99" s="79"/>
      <c r="X99" s="79"/>
      <c r="Y99" s="79"/>
      <c r="Z99" s="79"/>
      <c r="AA99" s="79"/>
      <c r="AB99" s="79"/>
      <c r="AC99" s="79"/>
      <c r="AD99" s="79"/>
      <c r="AE99" s="79"/>
      <c r="AF99" s="83"/>
    </row>
    <row r="100" spans="1:32" x14ac:dyDescent="0.3">
      <c r="A100" s="84"/>
      <c r="B100" s="84"/>
      <c r="C100" s="77"/>
      <c r="D100" s="77"/>
      <c r="E100" s="77"/>
      <c r="F100" s="78"/>
      <c r="G100" s="78"/>
      <c r="H100" s="78"/>
      <c r="I100" s="78"/>
      <c r="J100" s="78"/>
      <c r="K100" s="78"/>
      <c r="L100" s="78"/>
      <c r="M100" s="78"/>
      <c r="N100" s="78"/>
      <c r="O100" s="78"/>
      <c r="P100" s="78"/>
      <c r="Q100" s="78"/>
      <c r="R100" s="78"/>
      <c r="S100" s="79"/>
      <c r="T100" s="79"/>
      <c r="U100" s="79"/>
      <c r="V100" s="79"/>
      <c r="W100" s="79"/>
      <c r="X100" s="79"/>
      <c r="Y100" s="79"/>
      <c r="Z100" s="79"/>
      <c r="AA100" s="79"/>
      <c r="AB100" s="79"/>
      <c r="AC100" s="79"/>
      <c r="AD100" s="79"/>
      <c r="AE100" s="79"/>
      <c r="AF100" s="83"/>
    </row>
    <row r="101" spans="1:32" x14ac:dyDescent="0.3">
      <c r="A101" s="84"/>
      <c r="B101" s="84"/>
      <c r="C101" s="77"/>
      <c r="D101" s="77"/>
      <c r="E101" s="77"/>
      <c r="F101" s="78"/>
      <c r="G101" s="78"/>
      <c r="H101" s="78"/>
      <c r="I101" s="78"/>
      <c r="J101" s="78"/>
      <c r="K101" s="78"/>
      <c r="L101" s="78"/>
      <c r="M101" s="78"/>
      <c r="N101" s="78"/>
      <c r="O101" s="78"/>
      <c r="P101" s="78"/>
      <c r="Q101" s="78"/>
      <c r="R101" s="78"/>
      <c r="S101" s="79"/>
      <c r="T101" s="79"/>
      <c r="U101" s="79"/>
      <c r="V101" s="79"/>
      <c r="W101" s="79"/>
      <c r="X101" s="79"/>
      <c r="Y101" s="79"/>
      <c r="Z101" s="79"/>
      <c r="AA101" s="79"/>
      <c r="AB101" s="79"/>
      <c r="AC101" s="79"/>
      <c r="AD101" s="79"/>
      <c r="AE101" s="79"/>
      <c r="AF101" s="83"/>
    </row>
    <row r="102" spans="1:32" x14ac:dyDescent="0.3">
      <c r="A102" s="84"/>
      <c r="B102" s="84"/>
      <c r="C102" s="77"/>
      <c r="D102" s="77"/>
      <c r="E102" s="77"/>
      <c r="F102" s="78"/>
      <c r="G102" s="78"/>
      <c r="H102" s="78"/>
      <c r="I102" s="78"/>
      <c r="J102" s="78"/>
      <c r="K102" s="78"/>
      <c r="L102" s="78"/>
      <c r="M102" s="78"/>
      <c r="N102" s="78"/>
      <c r="O102" s="78"/>
      <c r="P102" s="78"/>
      <c r="Q102" s="78"/>
      <c r="R102" s="78"/>
      <c r="S102" s="79"/>
      <c r="T102" s="79"/>
      <c r="U102" s="79"/>
      <c r="V102" s="79"/>
      <c r="W102" s="79"/>
      <c r="X102" s="79"/>
      <c r="Y102" s="79"/>
      <c r="Z102" s="79"/>
      <c r="AA102" s="79"/>
      <c r="AB102" s="79"/>
      <c r="AC102" s="79"/>
      <c r="AD102" s="79"/>
      <c r="AE102" s="79"/>
      <c r="AF102" s="83"/>
    </row>
    <row r="103" spans="1:32" x14ac:dyDescent="0.3">
      <c r="A103" s="84"/>
      <c r="B103" s="84"/>
      <c r="C103" s="77"/>
      <c r="D103" s="77"/>
      <c r="E103" s="77"/>
      <c r="F103" s="78"/>
      <c r="G103" s="78"/>
      <c r="H103" s="78"/>
      <c r="I103" s="78"/>
      <c r="J103" s="78"/>
      <c r="K103" s="78"/>
      <c r="L103" s="78"/>
      <c r="M103" s="78"/>
      <c r="N103" s="78"/>
      <c r="O103" s="78"/>
      <c r="P103" s="78"/>
      <c r="Q103" s="78"/>
      <c r="R103" s="78"/>
      <c r="S103" s="79"/>
      <c r="T103" s="79"/>
      <c r="U103" s="79"/>
      <c r="V103" s="79"/>
      <c r="W103" s="79"/>
      <c r="X103" s="79"/>
      <c r="Y103" s="79"/>
      <c r="Z103" s="79"/>
      <c r="AA103" s="79"/>
      <c r="AB103" s="79"/>
      <c r="AC103" s="79"/>
      <c r="AD103" s="79"/>
      <c r="AE103" s="79"/>
      <c r="AF103" s="83"/>
    </row>
    <row r="104" spans="1:32" x14ac:dyDescent="0.3">
      <c r="A104" s="84"/>
      <c r="B104" s="84"/>
      <c r="C104" s="77"/>
      <c r="D104" s="77"/>
      <c r="E104" s="77"/>
      <c r="F104" s="78"/>
      <c r="G104" s="78"/>
      <c r="H104" s="78"/>
      <c r="I104" s="78"/>
      <c r="J104" s="78"/>
      <c r="K104" s="78"/>
      <c r="L104" s="78"/>
      <c r="M104" s="78"/>
      <c r="N104" s="78"/>
      <c r="O104" s="78"/>
      <c r="P104" s="78"/>
      <c r="Q104" s="78"/>
      <c r="R104" s="78"/>
      <c r="S104" s="79"/>
      <c r="T104" s="79"/>
      <c r="U104" s="79"/>
      <c r="V104" s="79"/>
      <c r="W104" s="79"/>
      <c r="X104" s="79"/>
      <c r="Y104" s="79"/>
      <c r="Z104" s="79"/>
      <c r="AA104" s="79"/>
      <c r="AB104" s="79"/>
      <c r="AC104" s="79"/>
      <c r="AD104" s="79"/>
      <c r="AE104" s="79"/>
      <c r="AF104" s="83"/>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C9EF-BC6E-44FC-9BDF-5181842577C9}">
  <dimension ref="A1:A18"/>
  <sheetViews>
    <sheetView topLeftCell="A2" workbookViewId="0">
      <selection activeCell="A18" sqref="A17:A18"/>
    </sheetView>
  </sheetViews>
  <sheetFormatPr defaultColWidth="200.19921875" defaultRowHeight="33.299999999999997" customHeight="1" x14ac:dyDescent="0.3"/>
  <cols>
    <col min="1" max="16384" width="200.19921875" style="2"/>
  </cols>
  <sheetData>
    <row r="1" spans="1:1" ht="33.299999999999997" customHeight="1" thickBot="1" x14ac:dyDescent="0.35">
      <c r="A1" s="1" t="s">
        <v>80</v>
      </c>
    </row>
    <row r="2" spans="1:1" ht="33.299999999999997" customHeight="1" thickBot="1" x14ac:dyDescent="0.35">
      <c r="A2" s="3" t="s">
        <v>81</v>
      </c>
    </row>
    <row r="3" spans="1:1" ht="33.299999999999997" customHeight="1" thickBot="1" x14ac:dyDescent="0.35">
      <c r="A3" s="3" t="s">
        <v>82</v>
      </c>
    </row>
    <row r="4" spans="1:1" ht="33.299999999999997" customHeight="1" thickBot="1" x14ac:dyDescent="0.35">
      <c r="A4" s="3" t="s">
        <v>83</v>
      </c>
    </row>
    <row r="5" spans="1:1" ht="33.299999999999997" customHeight="1" thickBot="1" x14ac:dyDescent="0.35">
      <c r="A5" s="3" t="s">
        <v>84</v>
      </c>
    </row>
    <row r="6" spans="1:1" ht="33.299999999999997" customHeight="1" thickBot="1" x14ac:dyDescent="0.35">
      <c r="A6" s="3" t="s">
        <v>85</v>
      </c>
    </row>
    <row r="7" spans="1:1" ht="33.299999999999997" customHeight="1" thickBot="1" x14ac:dyDescent="0.35">
      <c r="A7" s="3" t="s">
        <v>86</v>
      </c>
    </row>
    <row r="8" spans="1:1" ht="33.299999999999997" customHeight="1" thickBot="1" x14ac:dyDescent="0.35">
      <c r="A8" s="4"/>
    </row>
    <row r="9" spans="1:1" ht="33.299999999999997" customHeight="1" thickBot="1" x14ac:dyDescent="0.35">
      <c r="A9" s="1" t="s">
        <v>87</v>
      </c>
    </row>
    <row r="10" spans="1:1" ht="33.299999999999997" customHeight="1" thickBot="1" x14ac:dyDescent="0.35">
      <c r="A10" s="3" t="s">
        <v>88</v>
      </c>
    </row>
    <row r="11" spans="1:1" ht="33.299999999999997" customHeight="1" thickBot="1" x14ac:dyDescent="0.35">
      <c r="A11" s="5" t="s">
        <v>89</v>
      </c>
    </row>
    <row r="12" spans="1:1" ht="33.299999999999997" customHeight="1" thickBot="1" x14ac:dyDescent="0.35">
      <c r="A12" s="3" t="s">
        <v>90</v>
      </c>
    </row>
    <row r="13" spans="1:1" ht="33.299999999999997" customHeight="1" thickBot="1" x14ac:dyDescent="0.35">
      <c r="A13" s="3" t="s">
        <v>91</v>
      </c>
    </row>
    <row r="14" spans="1:1" ht="33.299999999999997" customHeight="1" thickBot="1" x14ac:dyDescent="0.35">
      <c r="A14" s="3" t="s">
        <v>92</v>
      </c>
    </row>
    <row r="15" spans="1:1" ht="33.299999999999997" customHeight="1" thickBot="1" x14ac:dyDescent="0.35">
      <c r="A15" s="3" t="s">
        <v>93</v>
      </c>
    </row>
    <row r="16" spans="1:1" ht="33.299999999999997" customHeight="1" thickBot="1" x14ac:dyDescent="0.35">
      <c r="A16" s="3" t="s">
        <v>94</v>
      </c>
    </row>
    <row r="17" spans="1:1" ht="33.299999999999997" customHeight="1" thickBot="1" x14ac:dyDescent="0.35">
      <c r="A17" s="4"/>
    </row>
    <row r="18" spans="1:1" ht="33.299999999999997" customHeight="1" thickBot="1" x14ac:dyDescent="0.35">
      <c r="A18" s="1" t="s">
        <v>95</v>
      </c>
    </row>
  </sheetData>
  <hyperlinks>
    <hyperlink ref="A11" r:id="rId1" display="https://www.youtube.com/channel/UC4Atw5hMWRF6ncDWwQmegLg" xr:uid="{39426A6B-230D-4E9C-8CFE-7F02659BD3BA}"/>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296D-8DF0-4C69-A4B6-165792433FCE}">
  <dimension ref="A1:A24"/>
  <sheetViews>
    <sheetView workbookViewId="0">
      <selection activeCell="A10" sqref="A10:XFD10"/>
    </sheetView>
  </sheetViews>
  <sheetFormatPr defaultColWidth="8.796875" defaultRowHeight="27.3" customHeight="1" x14ac:dyDescent="0.3"/>
  <cols>
    <col min="1" max="1" width="207.19921875" style="2" customWidth="1"/>
    <col min="2" max="16384" width="8.796875" style="2"/>
  </cols>
  <sheetData>
    <row r="1" spans="1:1" ht="27.3" customHeight="1" thickBot="1" x14ac:dyDescent="0.35">
      <c r="A1" s="1" t="s">
        <v>96</v>
      </c>
    </row>
    <row r="2" spans="1:1" ht="27.3" customHeight="1" thickBot="1" x14ac:dyDescent="0.35">
      <c r="A2" s="3" t="s">
        <v>97</v>
      </c>
    </row>
    <row r="3" spans="1:1" ht="27.3" customHeight="1" thickBot="1" x14ac:dyDescent="0.35">
      <c r="A3" s="3" t="s">
        <v>98</v>
      </c>
    </row>
    <row r="4" spans="1:1" ht="27.3" customHeight="1" thickBot="1" x14ac:dyDescent="0.35">
      <c r="A4" s="3" t="s">
        <v>99</v>
      </c>
    </row>
    <row r="5" spans="1:1" ht="27.3" customHeight="1" thickBot="1" x14ac:dyDescent="0.35">
      <c r="A5" s="4"/>
    </row>
    <row r="6" spans="1:1" ht="27.3" customHeight="1" thickBot="1" x14ac:dyDescent="0.35">
      <c r="A6" s="1" t="s">
        <v>100</v>
      </c>
    </row>
    <row r="7" spans="1:1" ht="27.3" customHeight="1" thickBot="1" x14ac:dyDescent="0.35">
      <c r="A7" s="3" t="s">
        <v>97</v>
      </c>
    </row>
    <row r="8" spans="1:1" ht="27.3" customHeight="1" thickBot="1" x14ac:dyDescent="0.35">
      <c r="A8" s="3" t="s">
        <v>101</v>
      </c>
    </row>
    <row r="9" spans="1:1" ht="27.3" customHeight="1" thickBot="1" x14ac:dyDescent="0.35">
      <c r="A9" s="3" t="s">
        <v>102</v>
      </c>
    </row>
    <row r="10" spans="1:1" ht="57.3" customHeight="1" thickBot="1" x14ac:dyDescent="0.35">
      <c r="A10" s="3" t="s">
        <v>103</v>
      </c>
    </row>
    <row r="11" spans="1:1" ht="27.3" customHeight="1" thickBot="1" x14ac:dyDescent="0.35">
      <c r="A11" s="3" t="s">
        <v>104</v>
      </c>
    </row>
    <row r="12" spans="1:1" ht="27.3" customHeight="1" thickBot="1" x14ac:dyDescent="0.35">
      <c r="A12" s="3" t="s">
        <v>105</v>
      </c>
    </row>
    <row r="13" spans="1:1" ht="27.3" customHeight="1" thickBot="1" x14ac:dyDescent="0.35">
      <c r="A13" s="4"/>
    </row>
    <row r="14" spans="1:1" ht="27.3" customHeight="1" thickBot="1" x14ac:dyDescent="0.35">
      <c r="A14" s="1" t="s">
        <v>106</v>
      </c>
    </row>
    <row r="15" spans="1:1" ht="27.3" customHeight="1" thickBot="1" x14ac:dyDescent="0.35">
      <c r="A15" s="4"/>
    </row>
    <row r="16" spans="1:1" ht="27.3" customHeight="1" thickBot="1" x14ac:dyDescent="0.35">
      <c r="A16" s="6" t="s">
        <v>107</v>
      </c>
    </row>
    <row r="17" spans="1:1" ht="27.3" customHeight="1" thickBot="1" x14ac:dyDescent="0.35">
      <c r="A17" s="7" t="s">
        <v>108</v>
      </c>
    </row>
    <row r="18" spans="1:1" ht="27.3" customHeight="1" thickBot="1" x14ac:dyDescent="0.35">
      <c r="A18" s="6" t="s">
        <v>109</v>
      </c>
    </row>
    <row r="19" spans="1:1" ht="27.3" customHeight="1" thickBot="1" x14ac:dyDescent="0.35">
      <c r="A19" s="6" t="s">
        <v>110</v>
      </c>
    </row>
    <row r="20" spans="1:1" ht="27.3" customHeight="1" thickBot="1" x14ac:dyDescent="0.35">
      <c r="A20" s="4"/>
    </row>
    <row r="21" spans="1:1" ht="27.3" customHeight="1" thickBot="1" x14ac:dyDescent="0.35">
      <c r="A21" s="1" t="s">
        <v>111</v>
      </c>
    </row>
    <row r="22" spans="1:1" ht="27.3" customHeight="1" thickBot="1" x14ac:dyDescent="0.35">
      <c r="A22" s="4" t="s">
        <v>112</v>
      </c>
    </row>
    <row r="23" spans="1:1" ht="27.3" customHeight="1" thickBot="1" x14ac:dyDescent="0.35">
      <c r="A23" s="3" t="s">
        <v>113</v>
      </c>
    </row>
    <row r="24" spans="1:1" ht="27.3" customHeight="1" thickBot="1" x14ac:dyDescent="0.35">
      <c r="A24" s="3"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index</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2017-12-08T17:21:04Z</dcterms:created>
  <dcterms:modified xsi:type="dcterms:W3CDTF">2024-08-28T00:16:02Z</dcterms:modified>
</cp:coreProperties>
</file>