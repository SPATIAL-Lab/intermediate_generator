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minimized="1" xWindow="6765" yWindow="585" windowWidth="28185" windowHeight="16275" tabRatio="500"/>
  </bookViews>
  <sheets>
    <sheet name="stomatal density" sheetId="1" r:id="rId1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5" i="1" l="1"/>
  <c r="E5" i="1" s="1"/>
  <c r="V4" i="1"/>
  <c r="E4" i="1" s="1"/>
  <c r="H5" i="1"/>
  <c r="AU4" i="1"/>
  <c r="I4" i="1" s="1"/>
  <c r="AU5" i="1"/>
  <c r="I5" i="1" s="1"/>
  <c r="AT5" i="1"/>
  <c r="J5" i="1" s="1"/>
  <c r="AT4" i="1"/>
  <c r="D5" i="1"/>
  <c r="D4" i="1"/>
  <c r="F4" i="1"/>
  <c r="H4" i="1"/>
  <c r="J4" i="1"/>
  <c r="G4" i="1" l="1"/>
  <c r="G5" i="1"/>
  <c r="F5" i="1"/>
</calcChain>
</file>

<file path=xl/sharedStrings.xml><?xml version="1.0" encoding="utf-8"?>
<sst xmlns="http://schemas.openxmlformats.org/spreadsheetml/2006/main" count="116" uniqueCount="72">
  <si>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</si>
  <si>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</si>
  <si>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</si>
  <si>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</si>
  <si>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</si>
  <si>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</si>
  <si>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</si>
  <si>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</si>
  <si>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</si>
  <si>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</si>
  <si>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</si>
  <si>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</si>
  <si>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</si>
  <si>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</si>
  <si>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</si>
  <si>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</si>
  <si>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</si>
  <si>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</si>
  <si>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</si>
  <si>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</si>
  <si>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</si>
  <si>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</si>
  <si>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</si>
  <si>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</si>
  <si>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</si>
  <si>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</si>
  <si>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</si>
  <si>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</si>
  <si>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</si>
  <si>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</si>
  <si>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</si>
  <si>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</si>
  <si>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</si>
  <si>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Dana L. Royer</t>
  </si>
  <si>
    <t>Uncertainties only in the calibration function are included</t>
  </si>
  <si>
    <t>mean</t>
  </si>
  <si>
    <t>95% confidence intervals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</si>
  <si>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</si>
  <si>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</si>
  <si>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</si>
  <si>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</si>
  <si>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</si>
  <si>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</si>
  <si>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Stults</t>
  </si>
  <si>
    <t>10.1016/j.palaeo.2011.06.017</t>
  </si>
  <si>
    <t>Cuppressaceae</t>
  </si>
  <si>
    <t>Taxodium</t>
  </si>
  <si>
    <t>distichum</t>
  </si>
  <si>
    <t>University of South Alabama (Brian Axsmith)?</t>
  </si>
  <si>
    <t>Citronelle</t>
  </si>
  <si>
    <t>Brandywine</t>
  </si>
  <si>
    <t>Late Miocene</t>
  </si>
  <si>
    <t>Pliocene</t>
  </si>
  <si>
    <t>Taxodium distichum</t>
  </si>
  <si>
    <t>Stults et al. (2011)</t>
  </si>
  <si>
    <t>SD error (+/- 1 s.d.)</t>
  </si>
  <si>
    <t>left skewed</t>
  </si>
  <si>
    <t>Stults, D. Z., Wagner-Cremer, F., and Axsmith, B. J., 2011, Atmospheric paleo-CO2 estimates based on Taxodium distichum (Cupressaceae) fossils from the Miocene and Pliocene of eastern North America: Palaeogeography Palaeoclimatology Palaeoecology, v. 309, p. 327-332.</t>
  </si>
  <si>
    <t>CO2_ppm</t>
  </si>
  <si>
    <t>CO2_uncertainty_pos_ppm</t>
  </si>
  <si>
    <t>NA</t>
  </si>
  <si>
    <t>CO2_uncertainty_neg_ppm</t>
  </si>
  <si>
    <t>reference of the data product</t>
  </si>
  <si>
    <t>Modern Latitude (decimal degree, south negative)</t>
  </si>
  <si>
    <t>stomata-SD</t>
  </si>
  <si>
    <t>email of individual entering the data</t>
  </si>
  <si>
    <t>droyer@wesleyan.edu</t>
  </si>
  <si>
    <t>Modern Longitude (decimal degree, west negative)</t>
  </si>
  <si>
    <t>Paleo Latitude (decimal degree, south negative)</t>
  </si>
  <si>
    <t>Paleo Longitude (decimal degree, west negative)</t>
  </si>
  <si>
    <t>biostratigraphy: late Miocene</t>
  </si>
  <si>
    <t>biostratigraphy: Pliocene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</si>
</sst>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0" fillId="0" borderId="0" xfId="0" applyBorder="1" applyAlignment="1"/>
    <xf numFmtId="0" fontId="3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2" fillId="3" borderId="0" xfId="0" applyFont="1" applyFill="1" applyAlignment="1">
      <alignment vertical="top" wrapText="1"/>
    </xf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Border="1" applyAlignment="1"/>
    <xf numFmtId="17" fontId="0" fillId="0" borderId="0" xfId="0" applyNumberFormat="1" applyFill="1" applyBorder="1" applyAlignment="1">
      <alignment horizontal="left"/>
    </xf>
    <xf numFmtId="0" fontId="5" fillId="0" borderId="0" xfId="0" applyFont="1" applyBorder="1" applyAlignment="1"/>
    <xf numFmtId="0" fontId="6" fillId="3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943"/>
  <sheetViews>
    <sheetView tabSelected="1" topLeftCell="H1" workbookViewId="0">
      <pane ySplit="3" topLeftCell="A4" activePane="bottomLeft" state="frozen"/>
      <selection pane="bottomLeft" activeCell="Z4" sqref="Z4:Z5"/>
    </sheetView>
  </sheetViews>
  <sheetFormatPr defaultColWidth="11" defaultRowHeight="15.75" x14ac:dyDescent="0.25"/>
  <cols>
    <col min="21" max="21" width="12.125" customWidth="1"/>
    <col min="23" max="23" width="12.625" customWidth="1"/>
    <col min="24" max="24" width="12.125" customWidth="1"/>
    <col min="26" max="26" width="12.625" customWidth="1"/>
    <col min="31" max="31" width="12.125" customWidth="1"/>
    <col min="32" max="32" width="12.5" customWidth="1"/>
    <col min="38" max="38" width="13.625" customWidth="1"/>
    <col min="49" max="49" width="16.125" customWidth="1"/>
  </cols>
  <sheetData>
    <row r="3" spans="1:50" s="4" customFormat="1" ht="94.5" x14ac:dyDescent="0.25">
      <c r="A3" s="7" t="s">
        <v>37</v>
      </c>
      <c r="B3" s="7" t="s">
        <v>38</v>
      </c>
      <c r="C3" s="7" t="s">
        <v>39</v>
      </c>
      <c r="D3" s="7" t="s">
        <v>2</v>
      </c>
      <c r="E3" s="7" t="s">
        <v>40</v>
      </c>
      <c r="F3" s="7" t="s">
        <v>41</v>
      </c>
      <c r="G3" s="7" t="s">
        <v>42</v>
      </c>
      <c r="H3" s="7" t="s">
        <v>58</v>
      </c>
      <c r="I3" s="7" t="s">
        <v>59</v>
      </c>
      <c r="J3" s="7" t="s">
        <v>61</v>
      </c>
      <c r="K3" s="2" t="s">
        <v>0</v>
      </c>
      <c r="L3" s="2" t="s">
        <v>65</v>
      </c>
      <c r="M3" s="2" t="s">
        <v>62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63</v>
      </c>
      <c r="AB3" s="2" t="s">
        <v>67</v>
      </c>
      <c r="AC3" s="12" t="s">
        <v>68</v>
      </c>
      <c r="AD3" s="12" t="s">
        <v>69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55</v>
      </c>
      <c r="AN3" s="3" t="s">
        <v>23</v>
      </c>
      <c r="AO3" s="3" t="s">
        <v>24</v>
      </c>
      <c r="AP3" s="3" t="s">
        <v>25</v>
      </c>
      <c r="AQ3" s="3" t="s">
        <v>26</v>
      </c>
      <c r="AR3" s="3" t="s">
        <v>27</v>
      </c>
      <c r="AS3" s="2" t="s">
        <v>28</v>
      </c>
      <c r="AT3" s="3" t="s">
        <v>29</v>
      </c>
      <c r="AU3" s="3" t="s">
        <v>30</v>
      </c>
      <c r="AV3" s="2" t="s">
        <v>31</v>
      </c>
      <c r="AW3" s="2" t="s">
        <v>32</v>
      </c>
      <c r="AX3" s="2" t="s">
        <v>1</v>
      </c>
    </row>
    <row r="4" spans="1:50" x14ac:dyDescent="0.25">
      <c r="A4" t="s">
        <v>64</v>
      </c>
      <c r="B4" t="s">
        <v>43</v>
      </c>
      <c r="C4">
        <v>2011</v>
      </c>
      <c r="D4" s="1" t="str">
        <f>N4</f>
        <v>10.1016/j.palaeo.2011.06.017</v>
      </c>
      <c r="E4">
        <f t="shared" ref="E4" si="0">V4*1000</f>
        <v>8850</v>
      </c>
      <c r="F4">
        <f t="shared" ref="F4" si="1">(W4-V4)*1000</f>
        <v>2349.9999999999995</v>
      </c>
      <c r="G4">
        <f t="shared" ref="G4" si="2">(V4-X4)*1000</f>
        <v>2349.9999999999995</v>
      </c>
      <c r="H4">
        <f t="shared" ref="H4" si="3">AR4</f>
        <v>360</v>
      </c>
      <c r="I4">
        <f t="shared" ref="I4" si="4">AU4-AR4</f>
        <v>46</v>
      </c>
      <c r="J4">
        <f t="shared" ref="J4" si="5">AR4-AT4</f>
        <v>34</v>
      </c>
      <c r="K4" s="5" t="s">
        <v>33</v>
      </c>
      <c r="L4" s="10" t="s">
        <v>66</v>
      </c>
      <c r="M4" s="5" t="s">
        <v>57</v>
      </c>
      <c r="N4" s="1" t="s">
        <v>44</v>
      </c>
      <c r="O4" s="5" t="s">
        <v>60</v>
      </c>
      <c r="P4" s="5" t="s">
        <v>45</v>
      </c>
      <c r="Q4" s="5" t="s">
        <v>46</v>
      </c>
      <c r="R4" s="5" t="s">
        <v>47</v>
      </c>
      <c r="S4" s="5" t="s">
        <v>48</v>
      </c>
      <c r="T4" s="5" t="s">
        <v>50</v>
      </c>
      <c r="U4" s="5" t="s">
        <v>51</v>
      </c>
      <c r="V4" s="8">
        <f t="shared" ref="V4:V5" si="6">AVERAGE(W4:X4)</f>
        <v>8.85</v>
      </c>
      <c r="W4" s="8">
        <v>11.2</v>
      </c>
      <c r="X4" s="8">
        <v>6.5</v>
      </c>
      <c r="Y4" s="5" t="s">
        <v>60</v>
      </c>
      <c r="Z4" s="5" t="s">
        <v>70</v>
      </c>
      <c r="AA4" s="5" t="s">
        <v>60</v>
      </c>
      <c r="AB4" s="5" t="s">
        <v>60</v>
      </c>
      <c r="AC4" s="11" t="s">
        <v>60</v>
      </c>
      <c r="AD4" s="11" t="s">
        <v>60</v>
      </c>
      <c r="AE4" s="5" t="s">
        <v>60</v>
      </c>
      <c r="AF4" s="5" t="s">
        <v>60</v>
      </c>
      <c r="AG4" s="5" t="s">
        <v>60</v>
      </c>
      <c r="AH4" s="5" t="s">
        <v>60</v>
      </c>
      <c r="AI4" s="5" t="s">
        <v>60</v>
      </c>
      <c r="AJ4" s="5" t="s">
        <v>60</v>
      </c>
      <c r="AK4" s="5">
        <v>150</v>
      </c>
      <c r="AL4" s="5" t="s">
        <v>60</v>
      </c>
      <c r="AM4" s="5">
        <v>33</v>
      </c>
      <c r="AN4" s="5" t="s">
        <v>60</v>
      </c>
      <c r="AO4" s="5" t="s">
        <v>53</v>
      </c>
      <c r="AP4" s="5" t="s">
        <v>54</v>
      </c>
      <c r="AQ4" s="5" t="s">
        <v>34</v>
      </c>
      <c r="AR4" s="6">
        <v>360</v>
      </c>
      <c r="AS4" s="5" t="s">
        <v>35</v>
      </c>
      <c r="AT4" s="6">
        <f>AR4-17*2</f>
        <v>326</v>
      </c>
      <c r="AU4" s="6">
        <f>AR4+23*2</f>
        <v>406</v>
      </c>
      <c r="AV4" s="5" t="s">
        <v>36</v>
      </c>
      <c r="AW4" s="5" t="s">
        <v>56</v>
      </c>
      <c r="AX4" s="5" t="s">
        <v>60</v>
      </c>
    </row>
    <row r="5" spans="1:50" x14ac:dyDescent="0.25">
      <c r="A5" t="s">
        <v>64</v>
      </c>
      <c r="B5" t="s">
        <v>43</v>
      </c>
      <c r="C5">
        <v>2011</v>
      </c>
      <c r="D5" s="1" t="str">
        <f>N5</f>
        <v>10.1016/j.palaeo.2011.06.017</v>
      </c>
      <c r="E5">
        <f t="shared" ref="E5" si="7">V5*1000</f>
        <v>3050</v>
      </c>
      <c r="F5">
        <f t="shared" ref="F5" si="8">(W5-V5)*1000</f>
        <v>350.00000000000011</v>
      </c>
      <c r="G5">
        <f t="shared" ref="G5" si="9">(V5-X5)*1000</f>
        <v>349.99999999999966</v>
      </c>
      <c r="H5">
        <f t="shared" ref="H5" si="10">AR5</f>
        <v>351</v>
      </c>
      <c r="I5">
        <f t="shared" ref="I5" si="11">AU5-AR5</f>
        <v>54</v>
      </c>
      <c r="J5">
        <f t="shared" ref="J5" si="12">AR5-AT5</f>
        <v>36</v>
      </c>
      <c r="K5" s="5" t="s">
        <v>33</v>
      </c>
      <c r="L5" s="10" t="s">
        <v>66</v>
      </c>
      <c r="M5" s="5" t="s">
        <v>57</v>
      </c>
      <c r="N5" s="1" t="s">
        <v>44</v>
      </c>
      <c r="O5" s="5" t="s">
        <v>60</v>
      </c>
      <c r="P5" s="5" t="s">
        <v>45</v>
      </c>
      <c r="Q5" s="5" t="s">
        <v>46</v>
      </c>
      <c r="R5" s="5" t="s">
        <v>47</v>
      </c>
      <c r="S5" s="5" t="s">
        <v>48</v>
      </c>
      <c r="T5" s="1" t="s">
        <v>49</v>
      </c>
      <c r="U5" s="5" t="s">
        <v>52</v>
      </c>
      <c r="V5" s="9">
        <f t="shared" si="6"/>
        <v>3.05</v>
      </c>
      <c r="W5" s="9">
        <v>3.4</v>
      </c>
      <c r="X5" s="9">
        <v>2.7</v>
      </c>
      <c r="Y5" s="5" t="s">
        <v>60</v>
      </c>
      <c r="Z5" s="5" t="s">
        <v>71</v>
      </c>
      <c r="AA5" s="1">
        <v>30.343499999999999</v>
      </c>
      <c r="AB5" s="5">
        <v>-87.485332999999997</v>
      </c>
      <c r="AC5" s="11" t="s">
        <v>60</v>
      </c>
      <c r="AD5" s="11" t="s">
        <v>60</v>
      </c>
      <c r="AE5" s="5" t="s">
        <v>60</v>
      </c>
      <c r="AF5" s="5" t="s">
        <v>60</v>
      </c>
      <c r="AG5" s="5" t="s">
        <v>60</v>
      </c>
      <c r="AH5" s="5" t="s">
        <v>60</v>
      </c>
      <c r="AI5" s="5" t="s">
        <v>60</v>
      </c>
      <c r="AJ5" s="5" t="s">
        <v>60</v>
      </c>
      <c r="AK5" s="1">
        <v>166</v>
      </c>
      <c r="AL5" s="5" t="s">
        <v>60</v>
      </c>
      <c r="AM5" s="1">
        <v>42</v>
      </c>
      <c r="AN5" s="5" t="s">
        <v>60</v>
      </c>
      <c r="AO5" s="5" t="s">
        <v>53</v>
      </c>
      <c r="AP5" s="5" t="s">
        <v>54</v>
      </c>
      <c r="AQ5" s="5" t="s">
        <v>34</v>
      </c>
      <c r="AR5" s="1">
        <v>351</v>
      </c>
      <c r="AS5" s="5" t="s">
        <v>35</v>
      </c>
      <c r="AT5" s="6">
        <f>AR5-18*2</f>
        <v>315</v>
      </c>
      <c r="AU5" s="6">
        <f>AR5+27*2</f>
        <v>405</v>
      </c>
      <c r="AV5" s="5" t="s">
        <v>36</v>
      </c>
      <c r="AW5" s="5" t="s">
        <v>56</v>
      </c>
      <c r="AX5" s="5" t="s">
        <v>60</v>
      </c>
    </row>
    <row r="6" spans="1:50" x14ac:dyDescent="0.25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1"/>
      <c r="AD6" s="1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 x14ac:dyDescent="0.25"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 x14ac:dyDescent="0.25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 x14ac:dyDescent="0.25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 x14ac:dyDescent="0.2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 x14ac:dyDescent="0.2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 x14ac:dyDescent="0.2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 x14ac:dyDescent="0.2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 x14ac:dyDescent="0.25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 x14ac:dyDescent="0.2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 x14ac:dyDescent="0.25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 x14ac:dyDescent="0.25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 x14ac:dyDescent="0.25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 x14ac:dyDescent="0.25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 x14ac:dyDescent="0.2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 x14ac:dyDescent="0.25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 x14ac:dyDescent="0.25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 x14ac:dyDescent="0.25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 x14ac:dyDescent="0.25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 x14ac:dyDescent="0.25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 x14ac:dyDescent="0.25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 x14ac:dyDescent="0.2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 x14ac:dyDescent="0.2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 x14ac:dyDescent="0.2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 x14ac:dyDescent="0.2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 x14ac:dyDescent="0.2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 x14ac:dyDescent="0.2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 x14ac:dyDescent="0.2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 x14ac:dyDescent="0.2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 x14ac:dyDescent="0.2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 x14ac:dyDescent="0.2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 x14ac:dyDescent="0.2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 x14ac:dyDescent="0.2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 x14ac:dyDescent="0.2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 x14ac:dyDescent="0.2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 x14ac:dyDescent="0.2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 x14ac:dyDescent="0.2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 x14ac:dyDescent="0.2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 x14ac:dyDescent="0.2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 x14ac:dyDescent="0.2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 x14ac:dyDescent="0.2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 x14ac:dyDescent="0.2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 x14ac:dyDescent="0.2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 x14ac:dyDescent="0.2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 x14ac:dyDescent="0.2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 x14ac:dyDescent="0.2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 x14ac:dyDescent="0.2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 x14ac:dyDescent="0.2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 x14ac:dyDescent="0.2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 x14ac:dyDescent="0.2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 x14ac:dyDescent="0.2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 x14ac:dyDescent="0.2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 x14ac:dyDescent="0.2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 x14ac:dyDescent="0.2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 x14ac:dyDescent="0.2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 x14ac:dyDescent="0.2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 x14ac:dyDescent="0.2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 x14ac:dyDescent="0.2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 x14ac:dyDescent="0.2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 x14ac:dyDescent="0.2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 x14ac:dyDescent="0.2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 x14ac:dyDescent="0.2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 x14ac:dyDescent="0.2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 x14ac:dyDescent="0.2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 x14ac:dyDescent="0.2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 x14ac:dyDescent="0.2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 x14ac:dyDescent="0.2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 x14ac:dyDescent="0.2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 x14ac:dyDescent="0.2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 x14ac:dyDescent="0.2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 x14ac:dyDescent="0.2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 x14ac:dyDescent="0.2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 x14ac:dyDescent="0.2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 x14ac:dyDescent="0.2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 x14ac:dyDescent="0.2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 x14ac:dyDescent="0.2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 x14ac:dyDescent="0.2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 x14ac:dyDescent="0.2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 x14ac:dyDescent="0.2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 x14ac:dyDescent="0.2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 x14ac:dyDescent="0.2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 x14ac:dyDescent="0.2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 x14ac:dyDescent="0.2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 x14ac:dyDescent="0.2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 x14ac:dyDescent="0.2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 x14ac:dyDescent="0.2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 x14ac:dyDescent="0.2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 x14ac:dyDescent="0.2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 x14ac:dyDescent="0.2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 x14ac:dyDescent="0.2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 x14ac:dyDescent="0.2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 x14ac:dyDescent="0.2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 x14ac:dyDescent="0.2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 x14ac:dyDescent="0.2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 x14ac:dyDescent="0.2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 x14ac:dyDescent="0.2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 x14ac:dyDescent="0.2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 x14ac:dyDescent="0.2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 x14ac:dyDescent="0.2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 x14ac:dyDescent="0.2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 x14ac:dyDescent="0.2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 x14ac:dyDescent="0.2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 x14ac:dyDescent="0.2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 x14ac:dyDescent="0.2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 x14ac:dyDescent="0.2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 x14ac:dyDescent="0.2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 x14ac:dyDescent="0.2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 x14ac:dyDescent="0.2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 x14ac:dyDescent="0.2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 x14ac:dyDescent="0.2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 x14ac:dyDescent="0.2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 x14ac:dyDescent="0.2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 x14ac:dyDescent="0.2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 x14ac:dyDescent="0.2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 x14ac:dyDescent="0.2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 x14ac:dyDescent="0.2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 x14ac:dyDescent="0.2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 x14ac:dyDescent="0.2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 x14ac:dyDescent="0.2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 x14ac:dyDescent="0.2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 x14ac:dyDescent="0.2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 x14ac:dyDescent="0.2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 x14ac:dyDescent="0.2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 x14ac:dyDescent="0.2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 x14ac:dyDescent="0.2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 x14ac:dyDescent="0.2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 x14ac:dyDescent="0.2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 x14ac:dyDescent="0.2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 x14ac:dyDescent="0.2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 x14ac:dyDescent="0.2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 x14ac:dyDescent="0.2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 x14ac:dyDescent="0.2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 x14ac:dyDescent="0.2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 x14ac:dyDescent="0.2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 x14ac:dyDescent="0.2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 x14ac:dyDescent="0.2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 x14ac:dyDescent="0.2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 x14ac:dyDescent="0.2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 x14ac:dyDescent="0.2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 x14ac:dyDescent="0.2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 x14ac:dyDescent="0.2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 x14ac:dyDescent="0.2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 x14ac:dyDescent="0.2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 x14ac:dyDescent="0.2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 x14ac:dyDescent="0.2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 x14ac:dyDescent="0.2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 x14ac:dyDescent="0.2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 x14ac:dyDescent="0.2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 x14ac:dyDescent="0.2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 x14ac:dyDescent="0.2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 x14ac:dyDescent="0.2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 x14ac:dyDescent="0.2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 x14ac:dyDescent="0.2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 x14ac:dyDescent="0.2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 x14ac:dyDescent="0.2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 x14ac:dyDescent="0.2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 x14ac:dyDescent="0.2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 x14ac:dyDescent="0.2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 x14ac:dyDescent="0.2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 x14ac:dyDescent="0.2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 x14ac:dyDescent="0.2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 x14ac:dyDescent="0.2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 x14ac:dyDescent="0.2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 x14ac:dyDescent="0.2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 x14ac:dyDescent="0.2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 x14ac:dyDescent="0.2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 x14ac:dyDescent="0.2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 x14ac:dyDescent="0.2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 x14ac:dyDescent="0.2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 x14ac:dyDescent="0.2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 x14ac:dyDescent="0.2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 x14ac:dyDescent="0.2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 x14ac:dyDescent="0.2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 x14ac:dyDescent="0.2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 x14ac:dyDescent="0.2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 x14ac:dyDescent="0.2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 x14ac:dyDescent="0.2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 x14ac:dyDescent="0.2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 x14ac:dyDescent="0.2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 x14ac:dyDescent="0.2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 x14ac:dyDescent="0.2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 x14ac:dyDescent="0.2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 x14ac:dyDescent="0.2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 x14ac:dyDescent="0.2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 x14ac:dyDescent="0.2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 x14ac:dyDescent="0.2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 x14ac:dyDescent="0.2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 x14ac:dyDescent="0.2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 x14ac:dyDescent="0.2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 x14ac:dyDescent="0.2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 x14ac:dyDescent="0.2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 x14ac:dyDescent="0.2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 x14ac:dyDescent="0.2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 x14ac:dyDescent="0.2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 x14ac:dyDescent="0.2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 x14ac:dyDescent="0.2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 x14ac:dyDescent="0.2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 x14ac:dyDescent="0.2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 x14ac:dyDescent="0.2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 x14ac:dyDescent="0.2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 x14ac:dyDescent="0.2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 x14ac:dyDescent="0.2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 x14ac:dyDescent="0.2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 x14ac:dyDescent="0.2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 x14ac:dyDescent="0.2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 x14ac:dyDescent="0.2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 x14ac:dyDescent="0.2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 x14ac:dyDescent="0.2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 x14ac:dyDescent="0.2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 x14ac:dyDescent="0.2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 x14ac:dyDescent="0.2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 x14ac:dyDescent="0.2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 x14ac:dyDescent="0.2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 x14ac:dyDescent="0.2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 x14ac:dyDescent="0.2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 x14ac:dyDescent="0.2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 x14ac:dyDescent="0.2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 x14ac:dyDescent="0.2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 x14ac:dyDescent="0.2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 x14ac:dyDescent="0.2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 x14ac:dyDescent="0.2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 x14ac:dyDescent="0.2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 x14ac:dyDescent="0.2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 x14ac:dyDescent="0.2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 x14ac:dyDescent="0.2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 x14ac:dyDescent="0.2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 x14ac:dyDescent="0.2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 x14ac:dyDescent="0.2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 x14ac:dyDescent="0.2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 x14ac:dyDescent="0.2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 x14ac:dyDescent="0.2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 x14ac:dyDescent="0.2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 x14ac:dyDescent="0.2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 x14ac:dyDescent="0.2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 x14ac:dyDescent="0.2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 x14ac:dyDescent="0.2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 x14ac:dyDescent="0.2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 x14ac:dyDescent="0.2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 x14ac:dyDescent="0.2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 x14ac:dyDescent="0.2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 x14ac:dyDescent="0.2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 x14ac:dyDescent="0.2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 x14ac:dyDescent="0.2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 x14ac:dyDescent="0.2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 x14ac:dyDescent="0.2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 x14ac:dyDescent="0.2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 x14ac:dyDescent="0.2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 x14ac:dyDescent="0.2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 x14ac:dyDescent="0.2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 x14ac:dyDescent="0.2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 x14ac:dyDescent="0.2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 x14ac:dyDescent="0.2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 x14ac:dyDescent="0.2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 x14ac:dyDescent="0.2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 x14ac:dyDescent="0.2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 x14ac:dyDescent="0.2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 x14ac:dyDescent="0.2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 x14ac:dyDescent="0.2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 x14ac:dyDescent="0.2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 x14ac:dyDescent="0.2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 x14ac:dyDescent="0.2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 x14ac:dyDescent="0.2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 x14ac:dyDescent="0.2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 x14ac:dyDescent="0.2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 x14ac:dyDescent="0.2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 x14ac:dyDescent="0.2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 x14ac:dyDescent="0.2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 x14ac:dyDescent="0.2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 x14ac:dyDescent="0.2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 x14ac:dyDescent="0.2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 x14ac:dyDescent="0.2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 x14ac:dyDescent="0.2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 x14ac:dyDescent="0.2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 x14ac:dyDescent="0.2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 x14ac:dyDescent="0.2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 x14ac:dyDescent="0.2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 x14ac:dyDescent="0.2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 x14ac:dyDescent="0.2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 x14ac:dyDescent="0.2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 x14ac:dyDescent="0.2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 x14ac:dyDescent="0.2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 x14ac:dyDescent="0.2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 x14ac:dyDescent="0.2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 x14ac:dyDescent="0.2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 x14ac:dyDescent="0.2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 x14ac:dyDescent="0.2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 x14ac:dyDescent="0.2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 x14ac:dyDescent="0.2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 x14ac:dyDescent="0.2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 x14ac:dyDescent="0.2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 x14ac:dyDescent="0.2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 x14ac:dyDescent="0.2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 x14ac:dyDescent="0.2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 x14ac:dyDescent="0.2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 x14ac:dyDescent="0.2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 x14ac:dyDescent="0.2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 x14ac:dyDescent="0.2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 x14ac:dyDescent="0.2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 x14ac:dyDescent="0.2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 x14ac:dyDescent="0.2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 x14ac:dyDescent="0.2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 x14ac:dyDescent="0.2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 x14ac:dyDescent="0.2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 x14ac:dyDescent="0.2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 x14ac:dyDescent="0.2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 x14ac:dyDescent="0.2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 x14ac:dyDescent="0.2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 x14ac:dyDescent="0.2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 x14ac:dyDescent="0.2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 x14ac:dyDescent="0.2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 x14ac:dyDescent="0.2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 x14ac:dyDescent="0.2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 x14ac:dyDescent="0.2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 x14ac:dyDescent="0.2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 x14ac:dyDescent="0.2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 x14ac:dyDescent="0.2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 x14ac:dyDescent="0.2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 x14ac:dyDescent="0.2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 x14ac:dyDescent="0.2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 x14ac:dyDescent="0.2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 x14ac:dyDescent="0.2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 x14ac:dyDescent="0.2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 x14ac:dyDescent="0.2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 x14ac:dyDescent="0.2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 x14ac:dyDescent="0.2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 x14ac:dyDescent="0.2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 x14ac:dyDescent="0.2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 x14ac:dyDescent="0.2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 x14ac:dyDescent="0.2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 x14ac:dyDescent="0.2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 x14ac:dyDescent="0.2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 x14ac:dyDescent="0.2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 x14ac:dyDescent="0.2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 x14ac:dyDescent="0.2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 x14ac:dyDescent="0.2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 x14ac:dyDescent="0.2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 x14ac:dyDescent="0.2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 x14ac:dyDescent="0.2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 x14ac:dyDescent="0.2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 x14ac:dyDescent="0.2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 x14ac:dyDescent="0.2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 x14ac:dyDescent="0.2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 x14ac:dyDescent="0.2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 x14ac:dyDescent="0.2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 x14ac:dyDescent="0.2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 x14ac:dyDescent="0.2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 x14ac:dyDescent="0.2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 x14ac:dyDescent="0.2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 x14ac:dyDescent="0.2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 x14ac:dyDescent="0.2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 x14ac:dyDescent="0.2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 x14ac:dyDescent="0.2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 x14ac:dyDescent="0.2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 x14ac:dyDescent="0.2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 x14ac:dyDescent="0.2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 x14ac:dyDescent="0.2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 x14ac:dyDescent="0.2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 x14ac:dyDescent="0.2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 x14ac:dyDescent="0.2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 x14ac:dyDescent="0.2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 x14ac:dyDescent="0.2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 x14ac:dyDescent="0.2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 x14ac:dyDescent="0.2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 x14ac:dyDescent="0.2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 x14ac:dyDescent="0.2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 x14ac:dyDescent="0.2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 x14ac:dyDescent="0.2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 x14ac:dyDescent="0.2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 x14ac:dyDescent="0.2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 x14ac:dyDescent="0.2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 x14ac:dyDescent="0.2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 x14ac:dyDescent="0.2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 x14ac:dyDescent="0.2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 x14ac:dyDescent="0.2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 x14ac:dyDescent="0.2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 x14ac:dyDescent="0.2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 x14ac:dyDescent="0.2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 x14ac:dyDescent="0.2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 x14ac:dyDescent="0.2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 x14ac:dyDescent="0.2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 x14ac:dyDescent="0.2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 x14ac:dyDescent="0.2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 x14ac:dyDescent="0.2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 x14ac:dyDescent="0.2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 x14ac:dyDescent="0.2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 x14ac:dyDescent="0.2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 x14ac:dyDescent="0.2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 x14ac:dyDescent="0.2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 x14ac:dyDescent="0.2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 x14ac:dyDescent="0.2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 x14ac:dyDescent="0.2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 x14ac:dyDescent="0.2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 x14ac:dyDescent="0.2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 x14ac:dyDescent="0.2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 x14ac:dyDescent="0.2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 x14ac:dyDescent="0.2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 x14ac:dyDescent="0.2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 x14ac:dyDescent="0.2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 x14ac:dyDescent="0.2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 x14ac:dyDescent="0.2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 x14ac:dyDescent="0.2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 x14ac:dyDescent="0.2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 x14ac:dyDescent="0.2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 x14ac:dyDescent="0.2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 x14ac:dyDescent="0.2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 x14ac:dyDescent="0.2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 x14ac:dyDescent="0.2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 x14ac:dyDescent="0.2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 x14ac:dyDescent="0.2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 x14ac:dyDescent="0.2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 x14ac:dyDescent="0.2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 x14ac:dyDescent="0.2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 x14ac:dyDescent="0.2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 x14ac:dyDescent="0.2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 x14ac:dyDescent="0.2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 x14ac:dyDescent="0.2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 x14ac:dyDescent="0.2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 x14ac:dyDescent="0.2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 x14ac:dyDescent="0.2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 x14ac:dyDescent="0.2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 x14ac:dyDescent="0.2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 x14ac:dyDescent="0.2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 x14ac:dyDescent="0.2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 x14ac:dyDescent="0.2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 x14ac:dyDescent="0.2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 x14ac:dyDescent="0.2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 x14ac:dyDescent="0.2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 x14ac:dyDescent="0.2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 x14ac:dyDescent="0.2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 x14ac:dyDescent="0.2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 x14ac:dyDescent="0.2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 x14ac:dyDescent="0.2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 x14ac:dyDescent="0.2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 x14ac:dyDescent="0.2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 x14ac:dyDescent="0.2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 x14ac:dyDescent="0.2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 x14ac:dyDescent="0.2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 x14ac:dyDescent="0.2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 x14ac:dyDescent="0.2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 x14ac:dyDescent="0.2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 x14ac:dyDescent="0.2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 x14ac:dyDescent="0.2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 x14ac:dyDescent="0.2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 x14ac:dyDescent="0.2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 x14ac:dyDescent="0.2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 x14ac:dyDescent="0.2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 x14ac:dyDescent="0.2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 x14ac:dyDescent="0.2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 x14ac:dyDescent="0.2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 x14ac:dyDescent="0.2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 x14ac:dyDescent="0.2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 x14ac:dyDescent="0.2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 x14ac:dyDescent="0.2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 x14ac:dyDescent="0.2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 x14ac:dyDescent="0.2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 x14ac:dyDescent="0.2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 x14ac:dyDescent="0.2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 x14ac:dyDescent="0.2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 x14ac:dyDescent="0.2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 x14ac:dyDescent="0.2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 x14ac:dyDescent="0.2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 x14ac:dyDescent="0.2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 x14ac:dyDescent="0.2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 x14ac:dyDescent="0.2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 x14ac:dyDescent="0.2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 x14ac:dyDescent="0.2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 x14ac:dyDescent="0.2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 x14ac:dyDescent="0.2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 x14ac:dyDescent="0.2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 x14ac:dyDescent="0.2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 x14ac:dyDescent="0.2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 x14ac:dyDescent="0.2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 x14ac:dyDescent="0.2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 x14ac:dyDescent="0.2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 x14ac:dyDescent="0.2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 x14ac:dyDescent="0.2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 x14ac:dyDescent="0.2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 x14ac:dyDescent="0.2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 x14ac:dyDescent="0.2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 x14ac:dyDescent="0.2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 x14ac:dyDescent="0.2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 x14ac:dyDescent="0.2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 x14ac:dyDescent="0.2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 x14ac:dyDescent="0.2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 x14ac:dyDescent="0.2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 x14ac:dyDescent="0.2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 x14ac:dyDescent="0.2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 x14ac:dyDescent="0.2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 x14ac:dyDescent="0.2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 x14ac:dyDescent="0.2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 x14ac:dyDescent="0.2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 x14ac:dyDescent="0.2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 x14ac:dyDescent="0.2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 x14ac:dyDescent="0.2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 x14ac:dyDescent="0.2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 x14ac:dyDescent="0.2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 x14ac:dyDescent="0.2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 x14ac:dyDescent="0.2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 x14ac:dyDescent="0.2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 x14ac:dyDescent="0.2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 x14ac:dyDescent="0.2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 x14ac:dyDescent="0.2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 x14ac:dyDescent="0.2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 x14ac:dyDescent="0.2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 x14ac:dyDescent="0.2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 x14ac:dyDescent="0.2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 x14ac:dyDescent="0.2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 x14ac:dyDescent="0.2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 x14ac:dyDescent="0.2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 x14ac:dyDescent="0.2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 x14ac:dyDescent="0.2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 x14ac:dyDescent="0.2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 x14ac:dyDescent="0.2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 x14ac:dyDescent="0.2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 x14ac:dyDescent="0.2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 x14ac:dyDescent="0.2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 x14ac:dyDescent="0.2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 x14ac:dyDescent="0.2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 x14ac:dyDescent="0.2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 x14ac:dyDescent="0.2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 x14ac:dyDescent="0.2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 x14ac:dyDescent="0.2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 x14ac:dyDescent="0.2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 x14ac:dyDescent="0.2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 x14ac:dyDescent="0.2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 x14ac:dyDescent="0.2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 x14ac:dyDescent="0.2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 x14ac:dyDescent="0.2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 x14ac:dyDescent="0.2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 x14ac:dyDescent="0.2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 x14ac:dyDescent="0.2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 x14ac:dyDescent="0.2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 x14ac:dyDescent="0.2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 x14ac:dyDescent="0.2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 x14ac:dyDescent="0.2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 x14ac:dyDescent="0.2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 x14ac:dyDescent="0.2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 x14ac:dyDescent="0.2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 x14ac:dyDescent="0.2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 x14ac:dyDescent="0.2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 x14ac:dyDescent="0.2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 x14ac:dyDescent="0.2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 x14ac:dyDescent="0.2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 x14ac:dyDescent="0.2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 x14ac:dyDescent="0.2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 x14ac:dyDescent="0.2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 x14ac:dyDescent="0.2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 x14ac:dyDescent="0.2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 x14ac:dyDescent="0.2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 x14ac:dyDescent="0.2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 x14ac:dyDescent="0.2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 x14ac:dyDescent="0.2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 x14ac:dyDescent="0.2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 x14ac:dyDescent="0.2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 x14ac:dyDescent="0.2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 x14ac:dyDescent="0.2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 x14ac:dyDescent="0.2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 x14ac:dyDescent="0.2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 x14ac:dyDescent="0.2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 x14ac:dyDescent="0.2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 x14ac:dyDescent="0.2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 x14ac:dyDescent="0.2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 x14ac:dyDescent="0.2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 x14ac:dyDescent="0.2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 x14ac:dyDescent="0.2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 x14ac:dyDescent="0.2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 x14ac:dyDescent="0.2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 x14ac:dyDescent="0.2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 x14ac:dyDescent="0.2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 x14ac:dyDescent="0.2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 x14ac:dyDescent="0.2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 x14ac:dyDescent="0.2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 x14ac:dyDescent="0.2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 x14ac:dyDescent="0.2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 x14ac:dyDescent="0.2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 x14ac:dyDescent="0.2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 x14ac:dyDescent="0.2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 x14ac:dyDescent="0.2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 x14ac:dyDescent="0.2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 x14ac:dyDescent="0.2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 x14ac:dyDescent="0.2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 x14ac:dyDescent="0.2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 x14ac:dyDescent="0.2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 x14ac:dyDescent="0.2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 x14ac:dyDescent="0.2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 x14ac:dyDescent="0.2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 x14ac:dyDescent="0.2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 x14ac:dyDescent="0.2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 x14ac:dyDescent="0.2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 x14ac:dyDescent="0.2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 x14ac:dyDescent="0.2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 x14ac:dyDescent="0.2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 x14ac:dyDescent="0.2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 x14ac:dyDescent="0.2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 x14ac:dyDescent="0.2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 x14ac:dyDescent="0.2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 x14ac:dyDescent="0.2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 x14ac:dyDescent="0.2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 x14ac:dyDescent="0.2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 x14ac:dyDescent="0.2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 x14ac:dyDescent="0.2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 x14ac:dyDescent="0.2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 x14ac:dyDescent="0.2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 x14ac:dyDescent="0.2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 x14ac:dyDescent="0.2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 x14ac:dyDescent="0.2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 x14ac:dyDescent="0.2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 x14ac:dyDescent="0.2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 x14ac:dyDescent="0.2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 x14ac:dyDescent="0.2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 x14ac:dyDescent="0.2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 x14ac:dyDescent="0.2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 x14ac:dyDescent="0.2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 x14ac:dyDescent="0.2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 x14ac:dyDescent="0.2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 x14ac:dyDescent="0.2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 x14ac:dyDescent="0.2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 x14ac:dyDescent="0.2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 x14ac:dyDescent="0.2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 x14ac:dyDescent="0.2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 x14ac:dyDescent="0.2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 x14ac:dyDescent="0.2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 x14ac:dyDescent="0.2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 x14ac:dyDescent="0.2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 x14ac:dyDescent="0.2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 x14ac:dyDescent="0.2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 x14ac:dyDescent="0.2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 x14ac:dyDescent="0.2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 x14ac:dyDescent="0.2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 x14ac:dyDescent="0.2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 x14ac:dyDescent="0.2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 x14ac:dyDescent="0.2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 x14ac:dyDescent="0.2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 x14ac:dyDescent="0.2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 x14ac:dyDescent="0.2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 x14ac:dyDescent="0.2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 x14ac:dyDescent="0.2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 x14ac:dyDescent="0.2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 x14ac:dyDescent="0.2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 x14ac:dyDescent="0.2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 x14ac:dyDescent="0.2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 x14ac:dyDescent="0.2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 x14ac:dyDescent="0.2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 x14ac:dyDescent="0.2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 x14ac:dyDescent="0.2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 x14ac:dyDescent="0.2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 x14ac:dyDescent="0.2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 x14ac:dyDescent="0.2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 x14ac:dyDescent="0.2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 x14ac:dyDescent="0.2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 x14ac:dyDescent="0.2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 x14ac:dyDescent="0.2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 x14ac:dyDescent="0.2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 x14ac:dyDescent="0.2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 x14ac:dyDescent="0.2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 x14ac:dyDescent="0.2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 x14ac:dyDescent="0.2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 x14ac:dyDescent="0.2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 x14ac:dyDescent="0.2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 x14ac:dyDescent="0.2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 x14ac:dyDescent="0.2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 x14ac:dyDescent="0.2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 x14ac:dyDescent="0.2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 x14ac:dyDescent="0.2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 x14ac:dyDescent="0.2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 x14ac:dyDescent="0.2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 x14ac:dyDescent="0.2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 x14ac:dyDescent="0.2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 x14ac:dyDescent="0.2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 x14ac:dyDescent="0.2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 x14ac:dyDescent="0.2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 x14ac:dyDescent="0.2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 x14ac:dyDescent="0.2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 x14ac:dyDescent="0.2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 x14ac:dyDescent="0.2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 x14ac:dyDescent="0.2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 x14ac:dyDescent="0.2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 x14ac:dyDescent="0.2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 x14ac:dyDescent="0.2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 x14ac:dyDescent="0.2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 x14ac:dyDescent="0.2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 x14ac:dyDescent="0.2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 x14ac:dyDescent="0.2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 x14ac:dyDescent="0.2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 x14ac:dyDescent="0.2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 x14ac:dyDescent="0.2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 x14ac:dyDescent="0.2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 x14ac:dyDescent="0.2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 x14ac:dyDescent="0.2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 x14ac:dyDescent="0.2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 x14ac:dyDescent="0.2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 x14ac:dyDescent="0.2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 x14ac:dyDescent="0.2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 x14ac:dyDescent="0.2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 x14ac:dyDescent="0.2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 x14ac:dyDescent="0.2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 x14ac:dyDescent="0.2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 x14ac:dyDescent="0.2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 x14ac:dyDescent="0.2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 x14ac:dyDescent="0.2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 x14ac:dyDescent="0.2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 x14ac:dyDescent="0.2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 x14ac:dyDescent="0.2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 x14ac:dyDescent="0.2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 x14ac:dyDescent="0.2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 x14ac:dyDescent="0.2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 x14ac:dyDescent="0.2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 x14ac:dyDescent="0.2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 x14ac:dyDescent="0.2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 x14ac:dyDescent="0.2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 x14ac:dyDescent="0.2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 x14ac:dyDescent="0.2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 x14ac:dyDescent="0.2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 x14ac:dyDescent="0.2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 x14ac:dyDescent="0.2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 x14ac:dyDescent="0.2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 x14ac:dyDescent="0.2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 x14ac:dyDescent="0.2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 x14ac:dyDescent="0.2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 x14ac:dyDescent="0.2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 x14ac:dyDescent="0.2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 x14ac:dyDescent="0.2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 x14ac:dyDescent="0.2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 x14ac:dyDescent="0.2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 x14ac:dyDescent="0.2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 x14ac:dyDescent="0.2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 x14ac:dyDescent="0.2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 x14ac:dyDescent="0.2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 x14ac:dyDescent="0.2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 x14ac:dyDescent="0.2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 x14ac:dyDescent="0.2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 x14ac:dyDescent="0.2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 x14ac:dyDescent="0.2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 x14ac:dyDescent="0.2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 x14ac:dyDescent="0.2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 x14ac:dyDescent="0.2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 x14ac:dyDescent="0.2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 x14ac:dyDescent="0.2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 x14ac:dyDescent="0.2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 x14ac:dyDescent="0.2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 x14ac:dyDescent="0.2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 x14ac:dyDescent="0.2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 x14ac:dyDescent="0.2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 x14ac:dyDescent="0.2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 x14ac:dyDescent="0.2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 x14ac:dyDescent="0.2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 x14ac:dyDescent="0.2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 x14ac:dyDescent="0.2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 x14ac:dyDescent="0.2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 x14ac:dyDescent="0.2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 x14ac:dyDescent="0.2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 x14ac:dyDescent="0.2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 x14ac:dyDescent="0.2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 x14ac:dyDescent="0.2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 x14ac:dyDescent="0.2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 x14ac:dyDescent="0.2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 x14ac:dyDescent="0.2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 x14ac:dyDescent="0.2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 x14ac:dyDescent="0.2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 x14ac:dyDescent="0.2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 x14ac:dyDescent="0.2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 x14ac:dyDescent="0.2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 x14ac:dyDescent="0.25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 x14ac:dyDescent="0.25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 x14ac:dyDescent="0.25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 x14ac:dyDescent="0.25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 x14ac:dyDescent="0.25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 x14ac:dyDescent="0.25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 x14ac:dyDescent="0.25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 x14ac:dyDescent="0.25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 x14ac:dyDescent="0.25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 x14ac:dyDescent="0.25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Royer, Dana</cp:lastModifiedBy>
  <dcterms:created xsi:type="dcterms:W3CDTF">2017-12-08T17:21:04Z</dcterms:created>
  <dcterms:modified xsi:type="dcterms:W3CDTF">2020-12-08T16:13:20Z</dcterms:modified>
</cp:coreProperties>
</file>