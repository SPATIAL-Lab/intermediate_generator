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24D5C272-30BB-B740-9F14-BA5E7FC06F33}" xr6:coauthVersionLast="36" xr6:coauthVersionMax="36" xr10:uidLastSave="{00000000-0000-0000-0000-000000000000}"/>
  <bookViews>
    <workbookView xWindow="0" yWindow="1700" windowWidth="26760" windowHeight="13320" xr2:uid="{00000000-000D-0000-FFFF-FFFF00000000}"/>
  </bookViews>
  <sheets>
    <sheet name="Stomatal inde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D11" i="1"/>
  <c r="E11" i="1"/>
  <c r="F11" i="1"/>
  <c r="G11" i="1"/>
  <c r="D12" i="1"/>
  <c r="E12" i="1"/>
  <c r="F12" i="1"/>
  <c r="G12" i="1"/>
  <c r="H5" i="1"/>
  <c r="AU5" i="1"/>
  <c r="I5" i="1"/>
  <c r="AT5" i="1"/>
  <c r="J5" i="1" s="1"/>
  <c r="H6" i="1"/>
  <c r="AU6" i="1"/>
  <c r="I6" i="1"/>
  <c r="AT6" i="1"/>
  <c r="J6" i="1" s="1"/>
  <c r="H7" i="1"/>
  <c r="AU7" i="1"/>
  <c r="I7" i="1" s="1"/>
  <c r="AT7" i="1"/>
  <c r="J7" i="1" s="1"/>
  <c r="H8" i="1"/>
  <c r="AU8" i="1"/>
  <c r="I8" i="1"/>
  <c r="AT8" i="1"/>
  <c r="J8" i="1"/>
  <c r="H9" i="1"/>
  <c r="AU9" i="1"/>
  <c r="I9" i="1" s="1"/>
  <c r="AT9" i="1"/>
  <c r="J9" i="1" s="1"/>
  <c r="H10" i="1"/>
  <c r="AU10" i="1"/>
  <c r="I10" i="1" s="1"/>
  <c r="AT10" i="1"/>
  <c r="J10" i="1"/>
  <c r="H11" i="1"/>
  <c r="AU11" i="1"/>
  <c r="I11" i="1" s="1"/>
  <c r="AT11" i="1"/>
  <c r="J11" i="1"/>
  <c r="H12" i="1"/>
  <c r="AU12" i="1"/>
  <c r="I12" i="1"/>
  <c r="AT12" i="1"/>
  <c r="J12" i="1"/>
  <c r="AT4" i="1"/>
  <c r="J4" i="1"/>
  <c r="AU4" i="1"/>
  <c r="I4" i="1"/>
  <c r="H4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E4" i="1"/>
  <c r="D4" i="1"/>
  <c r="G4" i="1"/>
  <c r="F4" i="1"/>
</calcChain>
</file>

<file path=xl/sharedStrings.xml><?xml version="1.0" encoding="utf-8"?>
<sst xmlns="http://schemas.openxmlformats.org/spreadsheetml/2006/main" count="326" uniqueCount="86">
  <si>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</si>
  <si>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</si>
  <si>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</si>
  <si>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</si>
  <si>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</si>
  <si>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</si>
  <si>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</si>
  <si>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</si>
  <si>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</si>
  <si>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</si>
  <si>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</si>
  <si>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</si>
  <si>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</si>
  <si>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</si>
  <si>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</si>
  <si>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</si>
  <si>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</si>
  <si>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</si>
  <si>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</si>
  <si>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</si>
  <si>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</si>
  <si>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</si>
  <si>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</si>
  <si>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</si>
  <si>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</si>
  <si>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</si>
  <si>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</si>
  <si>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</si>
  <si>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</si>
  <si>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</si>
  <si>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</si>
  <si>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</si>
  <si>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</si>
  <si>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</si>
  <si>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</si>
  <si>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</si>
  <si>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</si>
  <si>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</si>
  <si>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</si>
  <si>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stomata-SI</t>
  </si>
  <si>
    <t>Steinthorsdottir</t>
  </si>
  <si>
    <t>estimates of CO2 were also made using the stomatal ratio proxy with the same fossil leaves</t>
  </si>
  <si>
    <t>SI error (+/- 1 s.d.)</t>
  </si>
  <si>
    <t>SD error (+/- 1 s.d.)</t>
  </si>
  <si>
    <t>Laurus nobilis</t>
    <phoneticPr fontId="2" type="noConversion"/>
  </si>
  <si>
    <t>Laurus pseudoprinceps</t>
  </si>
  <si>
    <t>CO2 = 10^2.9567 - [0.4284 x log(SI)]</t>
  </si>
  <si>
    <t>CO2 = -46.011 x SI + 993.37</t>
  </si>
  <si>
    <t>Uncertainties in the fossil SI measurement are included; uncertainties in the extant calibration are not</t>
  </si>
  <si>
    <t>mean</t>
  </si>
  <si>
    <t>gaussian</t>
  </si>
  <si>
    <t>+/- standard deviation of the measured fossil SI values</t>
  </si>
  <si>
    <t>Steinthorsdottir, M., Vajda, V., and Pole, M., 2019, Significant transient pCO2 perturbation at the New Zealand Oligocene-Miocene transition recorded by fossil plant stomata: Palaeogeography, Palaeoclimatology, Palaeoecology, v. 515, p. 152-161.</t>
  </si>
  <si>
    <t>10.1016/j.palaeo.2018.01.039</t>
  </si>
  <si>
    <t>Grey Lake</t>
    <phoneticPr fontId="2" type="noConversion"/>
  </si>
  <si>
    <t>Lauraceae</t>
    <phoneticPr fontId="2" type="noConversion"/>
  </si>
  <si>
    <t>Dunstan</t>
    <phoneticPr fontId="2" type="noConversion"/>
  </si>
  <si>
    <t>Early Miocene</t>
    <phoneticPr fontId="2" type="noConversion"/>
  </si>
  <si>
    <t>Palynology</t>
    <phoneticPr fontId="2" type="noConversion"/>
  </si>
  <si>
    <t>Mataura River</t>
    <phoneticPr fontId="2" type="noConversion"/>
  </si>
  <si>
    <t>Lauraceae</t>
    <phoneticPr fontId="2" type="noConversion"/>
  </si>
  <si>
    <t>Gore Lignite Meaasures</t>
    <phoneticPr fontId="2" type="noConversion"/>
  </si>
  <si>
    <t>Earliest Miocene</t>
    <phoneticPr fontId="2" type="noConversion"/>
  </si>
  <si>
    <t>Palynology</t>
    <phoneticPr fontId="2" type="noConversion"/>
  </si>
  <si>
    <t>Foulden Maar</t>
    <phoneticPr fontId="2" type="noConversion"/>
  </si>
  <si>
    <t>Lauraceae</t>
    <phoneticPr fontId="2" type="noConversion"/>
  </si>
  <si>
    <t>Waipiate Volcanic group</t>
    <phoneticPr fontId="2" type="noConversion"/>
  </si>
  <si>
    <t>Oligocene-Miocene transition</t>
    <phoneticPr fontId="2" type="noConversion"/>
  </si>
  <si>
    <t>Radiometric</t>
    <phoneticPr fontId="2" type="noConversion"/>
  </si>
  <si>
    <t>Image</t>
    <phoneticPr fontId="2" type="noConversion"/>
  </si>
  <si>
    <t xml:space="preserve">0.09 mm2 </t>
    <phoneticPr fontId="2" type="noConversion"/>
  </si>
  <si>
    <t>Image</t>
    <phoneticPr fontId="2" type="noConversion"/>
  </si>
  <si>
    <t xml:space="preserve">0.09 mm2 </t>
    <phoneticPr fontId="2" type="noConversion"/>
  </si>
  <si>
    <t>Ocetea foetens</t>
  </si>
  <si>
    <t>CO2 = 10^3.173 - [0.5499 x log(SI)]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</si>
  <si>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</si>
  <si>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</si>
  <si>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</si>
  <si>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</si>
  <si>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</si>
  <si>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</si>
  <si>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Reference of the data product</t>
  </si>
  <si>
    <t>email of individual entering the data</t>
  </si>
  <si>
    <t>droyer@wesleyan.edu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</si>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</sst>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u/>
      <sz val="12"/>
      <color indexed="12"/>
      <name val="Calibri"/>
      <family val="2"/>
    </font>
    <font>
      <sz val="12"/>
      <name val="Calibri"/>
      <family val="2"/>
    </font>
    <font>
      <sz val="12"/>
      <color indexed="63"/>
      <name val="Calibri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/>
    <xf numFmtId="164" fontId="3" fillId="0" borderId="0" xfId="0" applyNumberFormat="1" applyFont="1" applyFill="1"/>
    <xf numFmtId="0" fontId="3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0" fontId="3" fillId="0" borderId="0" xfId="1" applyFont="1" applyFill="1"/>
    <xf numFmtId="164" fontId="5" fillId="0" borderId="0" xfId="0" applyNumberFormat="1" applyFont="1" applyFill="1" applyBorder="1" applyAlignment="1"/>
    <xf numFmtId="0" fontId="5" fillId="0" borderId="0" xfId="0" applyFont="1" applyAlignment="1"/>
    <xf numFmtId="0" fontId="5" fillId="0" borderId="0" xfId="0" applyFont="1" applyFill="1" applyAlignment="1"/>
    <xf numFmtId="0" fontId="3" fillId="0" borderId="1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0" fillId="0" borderId="0" xfId="0" applyFill="1"/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1" fontId="0" fillId="0" borderId="0" xfId="0" applyNumberFormat="1" applyFill="1"/>
    <xf numFmtId="0" fontId="6" fillId="0" borderId="0" xfId="0" applyFont="1"/>
    <xf numFmtId="0" fontId="8" fillId="0" borderId="0" xfId="2" applyFont="1" applyAlignment="1" applyProtection="1"/>
    <xf numFmtId="0" fontId="9" fillId="0" borderId="0" xfId="0" applyFont="1"/>
    <xf numFmtId="0" fontId="6" fillId="0" borderId="0" xfId="0" applyFont="1" applyFill="1"/>
    <xf numFmtId="0" fontId="3" fillId="0" borderId="0" xfId="0" quotePrefix="1" applyFont="1" applyFill="1" applyBorder="1"/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17" fontId="0" fillId="0" borderId="0" xfId="0" applyNumberFormat="1" applyFill="1" applyBorder="1" applyAlignment="1">
      <alignment horizontal="left"/>
    </xf>
    <xf numFmtId="0" fontId="10" fillId="2" borderId="2" xfId="0" applyFont="1" applyFill="1" applyBorder="1" applyAlignment="1">
      <alignment horizontal="center" vertical="top" wrapText="1"/>
    </xf>
    <xf numFmtId="0" fontId="11" fillId="0" borderId="0" xfId="0" applyFont="1" applyBorder="1" applyAlignment="1"/>
  </cellXfs>
  <cellStyles count="3">
    <cellStyle name="Hyperlink" xfId="2" builtinId="8"/>
    <cellStyle name="Normal" xfId="0" builtinId="0"/>
    <cellStyle name="Normal_CO2 proxy data &amp; documentation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palaeo.2018.01.039" TargetMode="External"/><Relationship Id="rId3" Type="http://schemas.openxmlformats.org/officeDocument/2006/relationships/hyperlink" Target="https://doi.org/10.1016/j.palaeo.2018.01.039" TargetMode="External"/><Relationship Id="rId7" Type="http://schemas.openxmlformats.org/officeDocument/2006/relationships/hyperlink" Target="https://doi.org/10.1016/j.palaeo.2018.01.039" TargetMode="External"/><Relationship Id="rId2" Type="http://schemas.openxmlformats.org/officeDocument/2006/relationships/hyperlink" Target="https://doi.org/10.1016/j.palaeo.2018.01.039" TargetMode="External"/><Relationship Id="rId1" Type="http://schemas.openxmlformats.org/officeDocument/2006/relationships/hyperlink" Target="https://doi.org/10.1016/j.palaeo.2018.01.039" TargetMode="External"/><Relationship Id="rId6" Type="http://schemas.openxmlformats.org/officeDocument/2006/relationships/hyperlink" Target="https://doi.org/10.1016/j.palaeo.2018.01.039" TargetMode="External"/><Relationship Id="rId5" Type="http://schemas.openxmlformats.org/officeDocument/2006/relationships/hyperlink" Target="https://doi.org/10.1016/j.palaeo.2018.01.03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j.palaeo.2018.01.039" TargetMode="External"/><Relationship Id="rId9" Type="http://schemas.openxmlformats.org/officeDocument/2006/relationships/hyperlink" Target="https://doi.org/10.1016/j.palaeo.2018.01.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870"/>
  <sheetViews>
    <sheetView tabSelected="1" topLeftCell="R1" workbookViewId="0">
      <pane ySplit="3" topLeftCell="A4" activePane="bottomLeft" state="frozen"/>
      <selection pane="bottomLeft" activeCell="AC4" sqref="AC4:AD12"/>
    </sheetView>
  </sheetViews>
  <sheetFormatPr baseColWidth="10" defaultColWidth="12" defaultRowHeight="16"/>
  <cols>
    <col min="1" max="1" width="12" style="12"/>
    <col min="2" max="2" width="13.5" style="12" customWidth="1"/>
    <col min="3" max="12" width="12" style="12"/>
    <col min="13" max="13" width="29" style="12" customWidth="1"/>
    <col min="14" max="14" width="14.1640625" style="12" customWidth="1"/>
    <col min="15" max="15" width="14.33203125" style="12" bestFit="1" customWidth="1"/>
    <col min="16" max="16" width="10.5" style="12" bestFit="1" customWidth="1"/>
    <col min="17" max="17" width="7.5" style="12" bestFit="1" customWidth="1"/>
    <col min="18" max="18" width="8.1640625" style="12" bestFit="1" customWidth="1"/>
    <col min="19" max="19" width="11.5" style="21" bestFit="1" customWidth="1"/>
    <col min="20" max="20" width="12.6640625" style="21" bestFit="1" customWidth="1"/>
    <col min="21" max="21" width="13.5" style="12" customWidth="1"/>
    <col min="22" max="22" width="9.83203125" style="12" bestFit="1" customWidth="1"/>
    <col min="23" max="23" width="14" style="12" customWidth="1"/>
    <col min="24" max="24" width="13.5" style="12" customWidth="1"/>
    <col min="25" max="25" width="11" style="12" bestFit="1" customWidth="1"/>
    <col min="26" max="26" width="13.83203125" style="21" customWidth="1"/>
    <col min="27" max="30" width="12" style="12"/>
    <col min="31" max="31" width="13.5" style="27" customWidth="1"/>
    <col min="32" max="32" width="13.5" style="28" customWidth="1"/>
    <col min="33" max="33" width="12.83203125" style="12" customWidth="1"/>
    <col min="34" max="34" width="12" style="12"/>
    <col min="35" max="35" width="11" style="29" bestFit="1" customWidth="1"/>
    <col min="36" max="36" width="10.83203125" style="29" bestFit="1" customWidth="1"/>
    <col min="37" max="37" width="14" style="29" customWidth="1"/>
    <col min="38" max="38" width="15.5" style="26" customWidth="1"/>
    <col min="39" max="39" width="9.1640625" style="29" bestFit="1" customWidth="1"/>
    <col min="40" max="40" width="13.6640625" style="26" customWidth="1"/>
    <col min="41" max="41" width="22.6640625" style="12" bestFit="1" customWidth="1"/>
    <col min="42" max="42" width="12.5" style="21" customWidth="1"/>
    <col min="43" max="43" width="12" style="12"/>
    <col min="44" max="44" width="10.83203125" style="25" bestFit="1" customWidth="1"/>
    <col min="45" max="45" width="9.83203125" style="12" bestFit="1" customWidth="1"/>
    <col min="46" max="47" width="12" style="25"/>
    <col min="48" max="48" width="12" style="12"/>
    <col min="49" max="49" width="18.83203125" style="12" customWidth="1"/>
    <col min="50" max="16384" width="12" style="12"/>
  </cols>
  <sheetData>
    <row r="3" spans="1:50" s="33" customFormat="1" ht="84" customHeight="1">
      <c r="A3" s="40" t="s">
        <v>32</v>
      </c>
      <c r="B3" s="40" t="s">
        <v>33</v>
      </c>
      <c r="C3" s="40" t="s">
        <v>34</v>
      </c>
      <c r="D3" s="40" t="s">
        <v>2</v>
      </c>
      <c r="E3" s="40" t="s">
        <v>35</v>
      </c>
      <c r="F3" s="40" t="s">
        <v>36</v>
      </c>
      <c r="G3" s="40" t="s">
        <v>37</v>
      </c>
      <c r="H3" s="40" t="s">
        <v>75</v>
      </c>
      <c r="I3" s="40" t="s">
        <v>76</v>
      </c>
      <c r="J3" s="40" t="s">
        <v>78</v>
      </c>
      <c r="K3" s="41" t="s">
        <v>0</v>
      </c>
      <c r="L3" s="41" t="s">
        <v>82</v>
      </c>
      <c r="M3" s="41" t="s">
        <v>81</v>
      </c>
      <c r="N3" s="41" t="s">
        <v>2</v>
      </c>
      <c r="O3" s="41" t="s">
        <v>3</v>
      </c>
      <c r="P3" s="41" t="s">
        <v>4</v>
      </c>
      <c r="Q3" s="41" t="s">
        <v>5</v>
      </c>
      <c r="R3" s="41" t="s">
        <v>6</v>
      </c>
      <c r="S3" s="41" t="s">
        <v>7</v>
      </c>
      <c r="T3" s="41" t="s">
        <v>8</v>
      </c>
      <c r="U3" s="42" t="s">
        <v>9</v>
      </c>
      <c r="V3" s="41" t="s">
        <v>10</v>
      </c>
      <c r="W3" s="41" t="s">
        <v>11</v>
      </c>
      <c r="X3" s="41" t="s">
        <v>12</v>
      </c>
      <c r="Y3" s="41" t="s">
        <v>13</v>
      </c>
      <c r="Z3" s="41" t="s">
        <v>14</v>
      </c>
      <c r="AA3" s="41" t="s">
        <v>79</v>
      </c>
      <c r="AB3" s="41" t="s">
        <v>80</v>
      </c>
      <c r="AC3" s="44" t="s">
        <v>84</v>
      </c>
      <c r="AD3" s="44" t="s">
        <v>85</v>
      </c>
      <c r="AE3" s="32" t="s">
        <v>15</v>
      </c>
      <c r="AF3" s="32" t="s">
        <v>16</v>
      </c>
      <c r="AG3" s="32" t="s">
        <v>17</v>
      </c>
      <c r="AH3" s="32" t="s">
        <v>18</v>
      </c>
      <c r="AI3" s="32" t="s">
        <v>19</v>
      </c>
      <c r="AJ3" s="32" t="s">
        <v>20</v>
      </c>
      <c r="AK3" s="32" t="s">
        <v>21</v>
      </c>
      <c r="AL3" s="32" t="s">
        <v>22</v>
      </c>
      <c r="AM3" s="32" t="s">
        <v>43</v>
      </c>
      <c r="AN3" s="32" t="s">
        <v>42</v>
      </c>
      <c r="AO3" s="32" t="s">
        <v>23</v>
      </c>
      <c r="AP3" s="32" t="s">
        <v>24</v>
      </c>
      <c r="AQ3" s="32" t="s">
        <v>25</v>
      </c>
      <c r="AR3" s="32" t="s">
        <v>26</v>
      </c>
      <c r="AS3" s="31" t="s">
        <v>27</v>
      </c>
      <c r="AT3" s="32" t="s">
        <v>28</v>
      </c>
      <c r="AU3" s="32" t="s">
        <v>29</v>
      </c>
      <c r="AV3" s="31" t="s">
        <v>30</v>
      </c>
      <c r="AW3" s="31" t="s">
        <v>31</v>
      </c>
      <c r="AX3" s="31" t="s">
        <v>1</v>
      </c>
    </row>
    <row r="4" spans="1:50">
      <c r="A4" s="30" t="s">
        <v>39</v>
      </c>
      <c r="B4" t="s">
        <v>40</v>
      </c>
      <c r="C4">
        <v>2019</v>
      </c>
      <c r="D4" s="30" t="str">
        <f t="shared" ref="D4" si="0">N4</f>
        <v>10.1016/j.palaeo.2018.01.039</v>
      </c>
      <c r="E4" s="30">
        <f t="shared" ref="E4" si="1">V4*1000</f>
        <v>19000</v>
      </c>
      <c r="F4" s="30">
        <f t="shared" ref="F4" si="2">(W4-V4)*1000</f>
        <v>2000</v>
      </c>
      <c r="G4" s="30">
        <f t="shared" ref="G4" si="3">(V4-X4)*1000</f>
        <v>2000</v>
      </c>
      <c r="H4" s="30">
        <f>AR4</f>
        <v>542</v>
      </c>
      <c r="I4" s="34">
        <f>AU4-AR4</f>
        <v>49</v>
      </c>
      <c r="J4" s="30">
        <f>AR4-AT4</f>
        <v>49</v>
      </c>
      <c r="K4" s="1" t="s">
        <v>38</v>
      </c>
      <c r="L4" s="43" t="s">
        <v>83</v>
      </c>
      <c r="M4" s="38" t="s">
        <v>52</v>
      </c>
      <c r="N4" s="36" t="s">
        <v>53</v>
      </c>
      <c r="O4" s="38" t="s">
        <v>54</v>
      </c>
      <c r="P4" s="38" t="s">
        <v>55</v>
      </c>
      <c r="Q4" s="38" t="s">
        <v>77</v>
      </c>
      <c r="R4" s="38" t="s">
        <v>77</v>
      </c>
      <c r="S4" s="38" t="s">
        <v>77</v>
      </c>
      <c r="T4" s="38" t="s">
        <v>56</v>
      </c>
      <c r="U4" s="38" t="s">
        <v>57</v>
      </c>
      <c r="V4" s="38">
        <v>19</v>
      </c>
      <c r="W4" s="38">
        <v>21</v>
      </c>
      <c r="X4" s="38">
        <v>17</v>
      </c>
      <c r="Y4" s="38" t="s">
        <v>77</v>
      </c>
      <c r="Z4" s="38" t="s">
        <v>58</v>
      </c>
      <c r="AA4" s="38" t="s">
        <v>77</v>
      </c>
      <c r="AB4" s="38" t="s">
        <v>77</v>
      </c>
      <c r="AC4" s="45" t="s">
        <v>77</v>
      </c>
      <c r="AD4" s="45" t="s">
        <v>77</v>
      </c>
      <c r="AE4" s="38">
        <v>7</v>
      </c>
      <c r="AF4" s="38">
        <v>9</v>
      </c>
      <c r="AG4" s="38" t="s">
        <v>69</v>
      </c>
      <c r="AH4" s="38" t="s">
        <v>70</v>
      </c>
      <c r="AI4" s="38" t="s">
        <v>77</v>
      </c>
      <c r="AJ4" s="38" t="s">
        <v>77</v>
      </c>
      <c r="AK4" s="38" t="s">
        <v>77</v>
      </c>
      <c r="AL4" s="38">
        <v>11.7</v>
      </c>
      <c r="AM4" s="35" t="s">
        <v>77</v>
      </c>
      <c r="AN4" s="3">
        <v>2.7</v>
      </c>
      <c r="AO4" s="38" t="s">
        <v>44</v>
      </c>
      <c r="AP4" s="5" t="s">
        <v>46</v>
      </c>
      <c r="AQ4" s="1" t="s">
        <v>48</v>
      </c>
      <c r="AR4" s="4">
        <v>542</v>
      </c>
      <c r="AS4" s="4" t="s">
        <v>49</v>
      </c>
      <c r="AT4" s="19">
        <f>AR4-49</f>
        <v>493</v>
      </c>
      <c r="AU4" s="19">
        <f>AR4+49</f>
        <v>591</v>
      </c>
      <c r="AV4" s="39" t="s">
        <v>51</v>
      </c>
      <c r="AW4" s="4" t="s">
        <v>50</v>
      </c>
      <c r="AX4" s="2" t="s">
        <v>41</v>
      </c>
    </row>
    <row r="5" spans="1:50">
      <c r="A5" s="30" t="s">
        <v>39</v>
      </c>
      <c r="B5" t="s">
        <v>40</v>
      </c>
      <c r="C5">
        <v>2019</v>
      </c>
      <c r="D5" s="30" t="str">
        <f t="shared" ref="D5:D7" si="4">N5</f>
        <v>10.1016/j.palaeo.2018.01.039</v>
      </c>
      <c r="E5" s="30">
        <f t="shared" ref="E5:E7" si="5">V5*1000</f>
        <v>22500</v>
      </c>
      <c r="F5" s="30">
        <f t="shared" ref="F5:F7" si="6">(W5-V5)*1000</f>
        <v>1000</v>
      </c>
      <c r="G5" s="30">
        <f t="shared" ref="G5:G7" si="7">(V5-X5)*1000</f>
        <v>1000</v>
      </c>
      <c r="H5" s="30">
        <f t="shared" ref="H5:H12" si="8">AR5</f>
        <v>538</v>
      </c>
      <c r="I5" s="34">
        <f t="shared" ref="I5:I12" si="9">AU5-AR5</f>
        <v>69</v>
      </c>
      <c r="J5" s="30">
        <f t="shared" ref="J5:J12" si="10">AR5-AT5</f>
        <v>69</v>
      </c>
      <c r="K5" s="1" t="s">
        <v>38</v>
      </c>
      <c r="L5" s="43" t="s">
        <v>83</v>
      </c>
      <c r="M5" s="38" t="s">
        <v>52</v>
      </c>
      <c r="N5" s="36" t="s">
        <v>53</v>
      </c>
      <c r="O5" s="35" t="s">
        <v>59</v>
      </c>
      <c r="P5" s="35" t="s">
        <v>60</v>
      </c>
      <c r="Q5" s="38" t="s">
        <v>77</v>
      </c>
      <c r="R5" s="38" t="s">
        <v>77</v>
      </c>
      <c r="S5" s="38" t="s">
        <v>77</v>
      </c>
      <c r="T5" s="38" t="s">
        <v>61</v>
      </c>
      <c r="U5" s="35" t="s">
        <v>62</v>
      </c>
      <c r="V5" s="35">
        <v>22.5</v>
      </c>
      <c r="W5" s="35">
        <v>23.5</v>
      </c>
      <c r="X5" s="35">
        <v>21.5</v>
      </c>
      <c r="Y5" s="38" t="s">
        <v>77</v>
      </c>
      <c r="Z5" s="35" t="s">
        <v>63</v>
      </c>
      <c r="AA5" s="35">
        <v>-45</v>
      </c>
      <c r="AB5" s="35">
        <v>167</v>
      </c>
      <c r="AC5" s="45" t="s">
        <v>77</v>
      </c>
      <c r="AD5" s="45" t="s">
        <v>77</v>
      </c>
      <c r="AE5" s="35">
        <v>7</v>
      </c>
      <c r="AF5" s="35">
        <v>9</v>
      </c>
      <c r="AG5" s="35" t="s">
        <v>69</v>
      </c>
      <c r="AH5" s="35" t="s">
        <v>70</v>
      </c>
      <c r="AI5" s="38" t="s">
        <v>77</v>
      </c>
      <c r="AJ5" s="38" t="s">
        <v>77</v>
      </c>
      <c r="AK5" s="38" t="s">
        <v>77</v>
      </c>
      <c r="AL5" s="35">
        <v>12.2</v>
      </c>
      <c r="AM5" s="35" t="s">
        <v>77</v>
      </c>
      <c r="AN5" s="3">
        <v>3.1</v>
      </c>
      <c r="AO5" s="38" t="s">
        <v>44</v>
      </c>
      <c r="AP5" s="5" t="s">
        <v>46</v>
      </c>
      <c r="AQ5" s="1" t="s">
        <v>48</v>
      </c>
      <c r="AR5" s="4">
        <v>538</v>
      </c>
      <c r="AS5" s="4" t="s">
        <v>49</v>
      </c>
      <c r="AT5" s="19">
        <f>AR5-69</f>
        <v>469</v>
      </c>
      <c r="AU5" s="19">
        <f>AR5+69</f>
        <v>607</v>
      </c>
      <c r="AV5" s="39" t="s">
        <v>51</v>
      </c>
      <c r="AW5" s="4" t="s">
        <v>50</v>
      </c>
      <c r="AX5" s="2" t="s">
        <v>41</v>
      </c>
    </row>
    <row r="6" spans="1:50">
      <c r="A6" s="30" t="s">
        <v>39</v>
      </c>
      <c r="B6" t="s">
        <v>40</v>
      </c>
      <c r="C6">
        <v>2019</v>
      </c>
      <c r="D6" s="30" t="str">
        <f t="shared" si="4"/>
        <v>10.1016/j.palaeo.2018.01.039</v>
      </c>
      <c r="E6" s="30">
        <f t="shared" si="5"/>
        <v>23200</v>
      </c>
      <c r="F6" s="30">
        <f t="shared" si="6"/>
        <v>199.99999999999929</v>
      </c>
      <c r="G6" s="30">
        <f t="shared" si="7"/>
        <v>199.99999999999929</v>
      </c>
      <c r="H6" s="30">
        <f t="shared" si="8"/>
        <v>641</v>
      </c>
      <c r="I6" s="34">
        <f t="shared" si="9"/>
        <v>17</v>
      </c>
      <c r="J6" s="30">
        <f t="shared" si="10"/>
        <v>17</v>
      </c>
      <c r="K6" s="1" t="s">
        <v>38</v>
      </c>
      <c r="L6" s="43" t="s">
        <v>83</v>
      </c>
      <c r="M6" s="38" t="s">
        <v>52</v>
      </c>
      <c r="N6" s="36" t="s">
        <v>53</v>
      </c>
      <c r="O6" s="35" t="s">
        <v>64</v>
      </c>
      <c r="P6" s="35" t="s">
        <v>65</v>
      </c>
      <c r="Q6" s="38" t="s">
        <v>77</v>
      </c>
      <c r="R6" s="38" t="s">
        <v>77</v>
      </c>
      <c r="S6" s="38" t="s">
        <v>77</v>
      </c>
      <c r="T6" s="38" t="s">
        <v>66</v>
      </c>
      <c r="U6" s="35" t="s">
        <v>67</v>
      </c>
      <c r="V6" s="35">
        <v>23.2</v>
      </c>
      <c r="W6" s="35">
        <v>23.4</v>
      </c>
      <c r="X6" s="35">
        <v>23</v>
      </c>
      <c r="Y6" s="38" t="s">
        <v>77</v>
      </c>
      <c r="Z6" s="35" t="s">
        <v>68</v>
      </c>
      <c r="AA6" s="37">
        <v>-45.516666000000001</v>
      </c>
      <c r="AB6" s="37">
        <v>170.21665999999999</v>
      </c>
      <c r="AC6" s="45" t="s">
        <v>77</v>
      </c>
      <c r="AD6" s="45" t="s">
        <v>77</v>
      </c>
      <c r="AE6" s="35">
        <v>7</v>
      </c>
      <c r="AF6" s="35">
        <v>3</v>
      </c>
      <c r="AG6" s="35" t="s">
        <v>71</v>
      </c>
      <c r="AH6" s="35" t="s">
        <v>72</v>
      </c>
      <c r="AI6" s="38" t="s">
        <v>77</v>
      </c>
      <c r="AJ6" s="38" t="s">
        <v>77</v>
      </c>
      <c r="AK6" s="38" t="s">
        <v>77</v>
      </c>
      <c r="AL6" s="35">
        <v>7.5</v>
      </c>
      <c r="AM6" s="35" t="s">
        <v>77</v>
      </c>
      <c r="AN6" s="3">
        <v>0.5</v>
      </c>
      <c r="AO6" s="38" t="s">
        <v>44</v>
      </c>
      <c r="AP6" s="5" t="s">
        <v>46</v>
      </c>
      <c r="AQ6" s="1" t="s">
        <v>48</v>
      </c>
      <c r="AR6" s="4">
        <v>641</v>
      </c>
      <c r="AS6" s="4" t="s">
        <v>49</v>
      </c>
      <c r="AT6" s="19">
        <f>AR6-17</f>
        <v>624</v>
      </c>
      <c r="AU6" s="19">
        <f>AR6+17</f>
        <v>658</v>
      </c>
      <c r="AV6" s="39" t="s">
        <v>51</v>
      </c>
      <c r="AW6" s="4" t="s">
        <v>50</v>
      </c>
      <c r="AX6" s="2" t="s">
        <v>41</v>
      </c>
    </row>
    <row r="7" spans="1:50" s="15" customFormat="1">
      <c r="A7" s="30" t="s">
        <v>39</v>
      </c>
      <c r="B7" t="s">
        <v>40</v>
      </c>
      <c r="C7">
        <v>2019</v>
      </c>
      <c r="D7" s="30" t="str">
        <f t="shared" si="4"/>
        <v>10.1016/j.palaeo.2018.01.039</v>
      </c>
      <c r="E7" s="30">
        <f t="shared" si="5"/>
        <v>19000</v>
      </c>
      <c r="F7" s="30">
        <f t="shared" si="6"/>
        <v>2000</v>
      </c>
      <c r="G7" s="30">
        <f t="shared" si="7"/>
        <v>2000</v>
      </c>
      <c r="H7" s="30">
        <f t="shared" si="8"/>
        <v>520</v>
      </c>
      <c r="I7" s="34">
        <f t="shared" si="9"/>
        <v>31</v>
      </c>
      <c r="J7" s="30">
        <f t="shared" si="10"/>
        <v>31</v>
      </c>
      <c r="K7" s="1" t="s">
        <v>38</v>
      </c>
      <c r="L7" s="43" t="s">
        <v>83</v>
      </c>
      <c r="M7" s="38" t="s">
        <v>52</v>
      </c>
      <c r="N7" s="36" t="s">
        <v>53</v>
      </c>
      <c r="O7" s="38" t="s">
        <v>54</v>
      </c>
      <c r="P7" s="38" t="s">
        <v>55</v>
      </c>
      <c r="Q7" s="38" t="s">
        <v>77</v>
      </c>
      <c r="R7" s="38" t="s">
        <v>77</v>
      </c>
      <c r="S7" s="38" t="s">
        <v>77</v>
      </c>
      <c r="T7" s="38" t="s">
        <v>56</v>
      </c>
      <c r="U7" s="38" t="s">
        <v>57</v>
      </c>
      <c r="V7" s="38">
        <v>19</v>
      </c>
      <c r="W7" s="38">
        <v>21</v>
      </c>
      <c r="X7" s="38">
        <v>17</v>
      </c>
      <c r="Y7" s="38" t="s">
        <v>77</v>
      </c>
      <c r="Z7" s="38" t="s">
        <v>58</v>
      </c>
      <c r="AA7" s="38" t="s">
        <v>77</v>
      </c>
      <c r="AB7" s="38" t="s">
        <v>77</v>
      </c>
      <c r="AC7" s="45" t="s">
        <v>77</v>
      </c>
      <c r="AD7" s="45" t="s">
        <v>77</v>
      </c>
      <c r="AE7" s="38">
        <v>7</v>
      </c>
      <c r="AF7" s="38">
        <v>9</v>
      </c>
      <c r="AG7" s="38" t="s">
        <v>69</v>
      </c>
      <c r="AH7" s="38" t="s">
        <v>70</v>
      </c>
      <c r="AI7" s="38" t="s">
        <v>77</v>
      </c>
      <c r="AJ7" s="38" t="s">
        <v>77</v>
      </c>
      <c r="AK7" s="38" t="s">
        <v>77</v>
      </c>
      <c r="AL7" s="38">
        <v>11.7</v>
      </c>
      <c r="AM7" s="35" t="s">
        <v>77</v>
      </c>
      <c r="AN7" s="3">
        <v>2.7</v>
      </c>
      <c r="AO7" s="13" t="s">
        <v>73</v>
      </c>
      <c r="AP7" s="15" t="s">
        <v>74</v>
      </c>
      <c r="AQ7" s="1" t="s">
        <v>48</v>
      </c>
      <c r="AR7" s="12">
        <v>520</v>
      </c>
      <c r="AS7" s="4" t="s">
        <v>49</v>
      </c>
      <c r="AT7" s="15">
        <f>AR7-31</f>
        <v>489</v>
      </c>
      <c r="AU7" s="15">
        <f>AR7+31</f>
        <v>551</v>
      </c>
      <c r="AV7" s="39" t="s">
        <v>51</v>
      </c>
      <c r="AW7" s="4" t="s">
        <v>50</v>
      </c>
      <c r="AX7" s="2" t="s">
        <v>41</v>
      </c>
    </row>
    <row r="8" spans="1:50" s="15" customFormat="1">
      <c r="A8" s="30" t="s">
        <v>39</v>
      </c>
      <c r="B8" t="s">
        <v>40</v>
      </c>
      <c r="C8">
        <v>2019</v>
      </c>
      <c r="D8" s="30" t="str">
        <f t="shared" ref="D8:D12" si="11">N8</f>
        <v>10.1016/j.palaeo.2018.01.039</v>
      </c>
      <c r="E8" s="30">
        <f t="shared" ref="E8:E12" si="12">V8*1000</f>
        <v>22500</v>
      </c>
      <c r="F8" s="30">
        <f t="shared" ref="F8:F12" si="13">(W8-V8)*1000</f>
        <v>1000</v>
      </c>
      <c r="G8" s="30">
        <f t="shared" ref="G8:G12" si="14">(V8-X8)*1000</f>
        <v>1000</v>
      </c>
      <c r="H8" s="30">
        <f t="shared" si="8"/>
        <v>517</v>
      </c>
      <c r="I8" s="34">
        <f t="shared" si="9"/>
        <v>43</v>
      </c>
      <c r="J8" s="30">
        <f t="shared" si="10"/>
        <v>43</v>
      </c>
      <c r="K8" s="1" t="s">
        <v>38</v>
      </c>
      <c r="L8" s="43" t="s">
        <v>83</v>
      </c>
      <c r="M8" s="38" t="s">
        <v>52</v>
      </c>
      <c r="N8" s="36" t="s">
        <v>53</v>
      </c>
      <c r="O8" s="35" t="s">
        <v>59</v>
      </c>
      <c r="P8" s="35" t="s">
        <v>60</v>
      </c>
      <c r="Q8" s="38" t="s">
        <v>77</v>
      </c>
      <c r="R8" s="38" t="s">
        <v>77</v>
      </c>
      <c r="S8" s="38" t="s">
        <v>77</v>
      </c>
      <c r="T8" s="38" t="s">
        <v>61</v>
      </c>
      <c r="U8" s="35" t="s">
        <v>62</v>
      </c>
      <c r="V8" s="35">
        <v>22.5</v>
      </c>
      <c r="W8" s="35">
        <v>23.5</v>
      </c>
      <c r="X8" s="35">
        <v>21.5</v>
      </c>
      <c r="Y8" s="38" t="s">
        <v>77</v>
      </c>
      <c r="Z8" s="35" t="s">
        <v>63</v>
      </c>
      <c r="AA8" s="35">
        <v>-45</v>
      </c>
      <c r="AB8" s="35">
        <v>167</v>
      </c>
      <c r="AC8" s="45" t="s">
        <v>77</v>
      </c>
      <c r="AD8" s="45" t="s">
        <v>77</v>
      </c>
      <c r="AE8" s="35">
        <v>7</v>
      </c>
      <c r="AF8" s="35">
        <v>9</v>
      </c>
      <c r="AG8" s="35" t="s">
        <v>69</v>
      </c>
      <c r="AH8" s="35" t="s">
        <v>70</v>
      </c>
      <c r="AI8" s="38" t="s">
        <v>77</v>
      </c>
      <c r="AJ8" s="38" t="s">
        <v>77</v>
      </c>
      <c r="AK8" s="38" t="s">
        <v>77</v>
      </c>
      <c r="AL8" s="35">
        <v>12.2</v>
      </c>
      <c r="AM8" s="35" t="s">
        <v>77</v>
      </c>
      <c r="AN8" s="3">
        <v>3.1</v>
      </c>
      <c r="AO8" s="13" t="s">
        <v>73</v>
      </c>
      <c r="AP8" s="15" t="s">
        <v>74</v>
      </c>
      <c r="AQ8" s="1" t="s">
        <v>48</v>
      </c>
      <c r="AR8" s="12">
        <v>517</v>
      </c>
      <c r="AS8" s="4" t="s">
        <v>49</v>
      </c>
      <c r="AT8" s="15">
        <f>AR8-43</f>
        <v>474</v>
      </c>
      <c r="AU8" s="15">
        <f>AR8+43</f>
        <v>560</v>
      </c>
      <c r="AV8" s="39" t="s">
        <v>51</v>
      </c>
      <c r="AW8" s="4" t="s">
        <v>50</v>
      </c>
      <c r="AX8" s="2" t="s">
        <v>41</v>
      </c>
    </row>
    <row r="9" spans="1:50" s="15" customFormat="1">
      <c r="A9" s="30" t="s">
        <v>39</v>
      </c>
      <c r="B9" t="s">
        <v>40</v>
      </c>
      <c r="C9">
        <v>2019</v>
      </c>
      <c r="D9" s="30" t="str">
        <f t="shared" si="11"/>
        <v>10.1016/j.palaeo.2018.01.039</v>
      </c>
      <c r="E9" s="30">
        <f t="shared" si="12"/>
        <v>23200</v>
      </c>
      <c r="F9" s="30">
        <f t="shared" si="13"/>
        <v>199.99999999999929</v>
      </c>
      <c r="G9" s="30">
        <f t="shared" si="14"/>
        <v>199.99999999999929</v>
      </c>
      <c r="H9" s="30">
        <f t="shared" si="8"/>
        <v>582</v>
      </c>
      <c r="I9" s="34">
        <f t="shared" si="9"/>
        <v>11</v>
      </c>
      <c r="J9" s="30">
        <f t="shared" si="10"/>
        <v>11</v>
      </c>
      <c r="K9" s="1" t="s">
        <v>38</v>
      </c>
      <c r="L9" s="43" t="s">
        <v>83</v>
      </c>
      <c r="M9" s="38" t="s">
        <v>52</v>
      </c>
      <c r="N9" s="36" t="s">
        <v>53</v>
      </c>
      <c r="O9" s="35" t="s">
        <v>64</v>
      </c>
      <c r="P9" s="35" t="s">
        <v>65</v>
      </c>
      <c r="Q9" s="38" t="s">
        <v>77</v>
      </c>
      <c r="R9" s="38" t="s">
        <v>77</v>
      </c>
      <c r="S9" s="38" t="s">
        <v>77</v>
      </c>
      <c r="T9" s="38" t="s">
        <v>66</v>
      </c>
      <c r="U9" s="35" t="s">
        <v>67</v>
      </c>
      <c r="V9" s="35">
        <v>23.2</v>
      </c>
      <c r="W9" s="35">
        <v>23.4</v>
      </c>
      <c r="X9" s="35">
        <v>23</v>
      </c>
      <c r="Y9" s="38" t="s">
        <v>77</v>
      </c>
      <c r="Z9" s="35" t="s">
        <v>68</v>
      </c>
      <c r="AA9" s="37">
        <v>-45.516666000000001</v>
      </c>
      <c r="AB9" s="37">
        <v>170.21665999999999</v>
      </c>
      <c r="AC9" s="45" t="s">
        <v>77</v>
      </c>
      <c r="AD9" s="45" t="s">
        <v>77</v>
      </c>
      <c r="AE9" s="35">
        <v>7</v>
      </c>
      <c r="AF9" s="35">
        <v>3</v>
      </c>
      <c r="AG9" s="35" t="s">
        <v>71</v>
      </c>
      <c r="AH9" s="35" t="s">
        <v>72</v>
      </c>
      <c r="AI9" s="38" t="s">
        <v>77</v>
      </c>
      <c r="AJ9" s="38" t="s">
        <v>77</v>
      </c>
      <c r="AK9" s="38" t="s">
        <v>77</v>
      </c>
      <c r="AL9" s="35">
        <v>7.5</v>
      </c>
      <c r="AM9" s="35" t="s">
        <v>77</v>
      </c>
      <c r="AN9" s="3">
        <v>0.5</v>
      </c>
      <c r="AO9" s="13" t="s">
        <v>73</v>
      </c>
      <c r="AP9" s="15" t="s">
        <v>74</v>
      </c>
      <c r="AQ9" s="1" t="s">
        <v>48</v>
      </c>
      <c r="AR9" s="12">
        <v>582</v>
      </c>
      <c r="AS9" s="4" t="s">
        <v>49</v>
      </c>
      <c r="AT9" s="12">
        <f>AR9-11</f>
        <v>571</v>
      </c>
      <c r="AU9" s="12">
        <f>AR9+11</f>
        <v>593</v>
      </c>
      <c r="AV9" s="39" t="s">
        <v>51</v>
      </c>
      <c r="AW9" s="4" t="s">
        <v>50</v>
      </c>
      <c r="AX9" s="2" t="s">
        <v>41</v>
      </c>
    </row>
    <row r="10" spans="1:50" s="15" customFormat="1">
      <c r="A10" s="30" t="s">
        <v>39</v>
      </c>
      <c r="B10" t="s">
        <v>40</v>
      </c>
      <c r="C10">
        <v>2019</v>
      </c>
      <c r="D10" s="30" t="str">
        <f t="shared" si="11"/>
        <v>10.1016/j.palaeo.2018.01.039</v>
      </c>
      <c r="E10" s="30">
        <f t="shared" si="12"/>
        <v>19000</v>
      </c>
      <c r="F10" s="30">
        <f t="shared" si="13"/>
        <v>2000</v>
      </c>
      <c r="G10" s="30">
        <f t="shared" si="14"/>
        <v>2000</v>
      </c>
      <c r="H10" s="30">
        <f t="shared" si="8"/>
        <v>454</v>
      </c>
      <c r="I10" s="34">
        <f t="shared" si="9"/>
        <v>122</v>
      </c>
      <c r="J10" s="30">
        <f t="shared" si="10"/>
        <v>122</v>
      </c>
      <c r="K10" s="1" t="s">
        <v>38</v>
      </c>
      <c r="L10" s="43" t="s">
        <v>83</v>
      </c>
      <c r="M10" s="38" t="s">
        <v>52</v>
      </c>
      <c r="N10" s="36" t="s">
        <v>53</v>
      </c>
      <c r="O10" s="38" t="s">
        <v>54</v>
      </c>
      <c r="P10" s="38" t="s">
        <v>55</v>
      </c>
      <c r="Q10" s="38" t="s">
        <v>77</v>
      </c>
      <c r="R10" s="38" t="s">
        <v>77</v>
      </c>
      <c r="S10" s="38" t="s">
        <v>77</v>
      </c>
      <c r="T10" s="38" t="s">
        <v>56</v>
      </c>
      <c r="U10" s="38" t="s">
        <v>57</v>
      </c>
      <c r="V10" s="38">
        <v>19</v>
      </c>
      <c r="W10" s="38">
        <v>21</v>
      </c>
      <c r="X10" s="38">
        <v>17</v>
      </c>
      <c r="Y10" s="38" t="s">
        <v>77</v>
      </c>
      <c r="Z10" s="38" t="s">
        <v>58</v>
      </c>
      <c r="AA10" s="38" t="s">
        <v>77</v>
      </c>
      <c r="AB10" s="38" t="s">
        <v>77</v>
      </c>
      <c r="AC10" s="45" t="s">
        <v>77</v>
      </c>
      <c r="AD10" s="45" t="s">
        <v>77</v>
      </c>
      <c r="AE10" s="38">
        <v>7</v>
      </c>
      <c r="AF10" s="38">
        <v>9</v>
      </c>
      <c r="AG10" s="38" t="s">
        <v>69</v>
      </c>
      <c r="AH10" s="38" t="s">
        <v>70</v>
      </c>
      <c r="AI10" s="38" t="s">
        <v>77</v>
      </c>
      <c r="AJ10" s="38" t="s">
        <v>77</v>
      </c>
      <c r="AK10" s="38" t="s">
        <v>77</v>
      </c>
      <c r="AL10" s="38">
        <v>11.7</v>
      </c>
      <c r="AM10" s="35" t="s">
        <v>77</v>
      </c>
      <c r="AN10" s="3">
        <v>2.7</v>
      </c>
      <c r="AO10" s="13" t="s">
        <v>45</v>
      </c>
      <c r="AP10" s="5" t="s">
        <v>47</v>
      </c>
      <c r="AQ10" s="1" t="s">
        <v>48</v>
      </c>
      <c r="AR10" s="12">
        <v>454</v>
      </c>
      <c r="AS10" s="4" t="s">
        <v>49</v>
      </c>
      <c r="AT10" s="12">
        <f>AR10-122</f>
        <v>332</v>
      </c>
      <c r="AU10" s="12">
        <f>AR10+122</f>
        <v>576</v>
      </c>
      <c r="AV10" s="39" t="s">
        <v>51</v>
      </c>
      <c r="AW10" s="4" t="s">
        <v>50</v>
      </c>
      <c r="AX10" s="2" t="s">
        <v>41</v>
      </c>
    </row>
    <row r="11" spans="1:50" s="15" customFormat="1">
      <c r="A11" s="30" t="s">
        <v>39</v>
      </c>
      <c r="B11" t="s">
        <v>40</v>
      </c>
      <c r="C11">
        <v>2019</v>
      </c>
      <c r="D11" s="30" t="str">
        <f t="shared" si="11"/>
        <v>10.1016/j.palaeo.2018.01.039</v>
      </c>
      <c r="E11" s="30">
        <f t="shared" si="12"/>
        <v>22500</v>
      </c>
      <c r="F11" s="30">
        <f t="shared" si="13"/>
        <v>1000</v>
      </c>
      <c r="G11" s="30">
        <f t="shared" si="14"/>
        <v>1000</v>
      </c>
      <c r="H11" s="30">
        <f t="shared" si="8"/>
        <v>430</v>
      </c>
      <c r="I11" s="34">
        <f t="shared" si="9"/>
        <v>142</v>
      </c>
      <c r="J11" s="30">
        <f t="shared" si="10"/>
        <v>142</v>
      </c>
      <c r="K11" s="1" t="s">
        <v>38</v>
      </c>
      <c r="L11" s="43" t="s">
        <v>83</v>
      </c>
      <c r="M11" s="38" t="s">
        <v>52</v>
      </c>
      <c r="N11" s="36" t="s">
        <v>53</v>
      </c>
      <c r="O11" s="35" t="s">
        <v>59</v>
      </c>
      <c r="P11" s="35" t="s">
        <v>60</v>
      </c>
      <c r="Q11" s="38" t="s">
        <v>77</v>
      </c>
      <c r="R11" s="38" t="s">
        <v>77</v>
      </c>
      <c r="S11" s="38" t="s">
        <v>77</v>
      </c>
      <c r="T11" s="38" t="s">
        <v>61</v>
      </c>
      <c r="U11" s="35" t="s">
        <v>62</v>
      </c>
      <c r="V11" s="35">
        <v>22.5</v>
      </c>
      <c r="W11" s="35">
        <v>23.5</v>
      </c>
      <c r="X11" s="35">
        <v>21.5</v>
      </c>
      <c r="Y11" s="38" t="s">
        <v>77</v>
      </c>
      <c r="Z11" s="35" t="s">
        <v>63</v>
      </c>
      <c r="AA11" s="35">
        <v>-45</v>
      </c>
      <c r="AB11" s="35">
        <v>167</v>
      </c>
      <c r="AC11" s="45" t="s">
        <v>77</v>
      </c>
      <c r="AD11" s="45" t="s">
        <v>77</v>
      </c>
      <c r="AE11" s="35">
        <v>7</v>
      </c>
      <c r="AF11" s="35">
        <v>9</v>
      </c>
      <c r="AG11" s="35" t="s">
        <v>69</v>
      </c>
      <c r="AH11" s="35" t="s">
        <v>70</v>
      </c>
      <c r="AI11" s="38" t="s">
        <v>77</v>
      </c>
      <c r="AJ11" s="38" t="s">
        <v>77</v>
      </c>
      <c r="AK11" s="38" t="s">
        <v>77</v>
      </c>
      <c r="AL11" s="35">
        <v>12.2</v>
      </c>
      <c r="AM11" s="35" t="s">
        <v>77</v>
      </c>
      <c r="AN11" s="3">
        <v>3.1</v>
      </c>
      <c r="AO11" s="13" t="s">
        <v>45</v>
      </c>
      <c r="AP11" s="5" t="s">
        <v>47</v>
      </c>
      <c r="AQ11" s="1" t="s">
        <v>48</v>
      </c>
      <c r="AR11" s="12">
        <v>430</v>
      </c>
      <c r="AS11" s="4" t="s">
        <v>49</v>
      </c>
      <c r="AT11" s="12">
        <f>AR11-142</f>
        <v>288</v>
      </c>
      <c r="AU11" s="12">
        <f>AR11+142</f>
        <v>572</v>
      </c>
      <c r="AV11" s="39" t="s">
        <v>51</v>
      </c>
      <c r="AW11" s="4" t="s">
        <v>50</v>
      </c>
      <c r="AX11" s="2" t="s">
        <v>41</v>
      </c>
    </row>
    <row r="12" spans="1:50" s="15" customFormat="1">
      <c r="A12" s="30" t="s">
        <v>39</v>
      </c>
      <c r="B12" t="s">
        <v>40</v>
      </c>
      <c r="C12">
        <v>2019</v>
      </c>
      <c r="D12" s="30" t="str">
        <f t="shared" si="11"/>
        <v>10.1016/j.palaeo.2018.01.039</v>
      </c>
      <c r="E12" s="30">
        <f t="shared" si="12"/>
        <v>23200</v>
      </c>
      <c r="F12" s="30">
        <f t="shared" si="13"/>
        <v>199.99999999999929</v>
      </c>
      <c r="G12" s="30">
        <f t="shared" si="14"/>
        <v>199.99999999999929</v>
      </c>
      <c r="H12" s="30">
        <f t="shared" si="8"/>
        <v>647</v>
      </c>
      <c r="I12" s="34">
        <f t="shared" si="9"/>
        <v>22</v>
      </c>
      <c r="J12" s="30">
        <f t="shared" si="10"/>
        <v>22</v>
      </c>
      <c r="K12" s="1" t="s">
        <v>38</v>
      </c>
      <c r="L12" s="43" t="s">
        <v>83</v>
      </c>
      <c r="M12" s="38" t="s">
        <v>52</v>
      </c>
      <c r="N12" s="36" t="s">
        <v>53</v>
      </c>
      <c r="O12" s="35" t="s">
        <v>64</v>
      </c>
      <c r="P12" s="35" t="s">
        <v>65</v>
      </c>
      <c r="Q12" s="38" t="s">
        <v>77</v>
      </c>
      <c r="R12" s="38" t="s">
        <v>77</v>
      </c>
      <c r="S12" s="38" t="s">
        <v>77</v>
      </c>
      <c r="T12" s="38" t="s">
        <v>66</v>
      </c>
      <c r="U12" s="35" t="s">
        <v>67</v>
      </c>
      <c r="V12" s="35">
        <v>23.2</v>
      </c>
      <c r="W12" s="35">
        <v>23.4</v>
      </c>
      <c r="X12" s="35">
        <v>23</v>
      </c>
      <c r="Y12" s="38" t="s">
        <v>77</v>
      </c>
      <c r="Z12" s="35" t="s">
        <v>68</v>
      </c>
      <c r="AA12" s="37">
        <v>-45.516666000000001</v>
      </c>
      <c r="AB12" s="37">
        <v>170.21665999999999</v>
      </c>
      <c r="AC12" s="45" t="s">
        <v>77</v>
      </c>
      <c r="AD12" s="45" t="s">
        <v>77</v>
      </c>
      <c r="AE12" s="35">
        <v>7</v>
      </c>
      <c r="AF12" s="35">
        <v>3</v>
      </c>
      <c r="AG12" s="35" t="s">
        <v>71</v>
      </c>
      <c r="AH12" s="35" t="s">
        <v>72</v>
      </c>
      <c r="AI12" s="38" t="s">
        <v>77</v>
      </c>
      <c r="AJ12" s="38" t="s">
        <v>77</v>
      </c>
      <c r="AK12" s="38" t="s">
        <v>77</v>
      </c>
      <c r="AL12" s="35">
        <v>7.5</v>
      </c>
      <c r="AM12" s="35" t="s">
        <v>77</v>
      </c>
      <c r="AN12" s="3">
        <v>0.5</v>
      </c>
      <c r="AO12" s="13" t="s">
        <v>45</v>
      </c>
      <c r="AP12" s="5" t="s">
        <v>47</v>
      </c>
      <c r="AQ12" s="1" t="s">
        <v>48</v>
      </c>
      <c r="AR12" s="17">
        <v>647</v>
      </c>
      <c r="AS12" s="4" t="s">
        <v>49</v>
      </c>
      <c r="AT12" s="25">
        <f>AR12-22</f>
        <v>625</v>
      </c>
      <c r="AU12" s="25">
        <f>AR12+22</f>
        <v>669</v>
      </c>
      <c r="AV12" s="39" t="s">
        <v>51</v>
      </c>
      <c r="AW12" s="4" t="s">
        <v>50</v>
      </c>
      <c r="AX12" s="2" t="s">
        <v>41</v>
      </c>
    </row>
    <row r="13" spans="1:50" s="15" customFormat="1">
      <c r="K13" s="13"/>
      <c r="L13" s="14"/>
      <c r="AG13" s="13"/>
      <c r="AH13" s="13"/>
      <c r="AI13" s="20"/>
      <c r="AJ13" s="20"/>
      <c r="AK13" s="20"/>
      <c r="AL13" s="16"/>
      <c r="AO13" s="13"/>
      <c r="AP13" s="22"/>
      <c r="AQ13" s="13"/>
      <c r="AR13" s="17"/>
      <c r="AS13" s="12"/>
      <c r="AT13" s="12"/>
      <c r="AU13" s="12"/>
      <c r="AV13" s="13"/>
      <c r="AW13" s="13"/>
    </row>
    <row r="14" spans="1:50" s="15" customFormat="1">
      <c r="K14" s="13"/>
      <c r="L14" s="14"/>
      <c r="AG14" s="13"/>
      <c r="AH14" s="13"/>
      <c r="AI14" s="20"/>
      <c r="AJ14" s="20"/>
      <c r="AK14" s="20"/>
      <c r="AL14" s="16"/>
      <c r="AO14" s="13"/>
      <c r="AP14" s="13"/>
      <c r="AQ14" s="13"/>
      <c r="AR14" s="17"/>
      <c r="AS14" s="12"/>
      <c r="AT14" s="12"/>
      <c r="AU14" s="12"/>
      <c r="AV14" s="13"/>
      <c r="AW14" s="13"/>
    </row>
    <row r="15" spans="1:50" s="15" customFormat="1">
      <c r="K15" s="13"/>
      <c r="L15" s="14"/>
      <c r="AG15" s="13"/>
      <c r="AH15" s="13"/>
      <c r="AI15" s="20"/>
      <c r="AJ15" s="20"/>
      <c r="AK15" s="20"/>
      <c r="AL15" s="16"/>
      <c r="AO15" s="13"/>
      <c r="AP15" s="13"/>
      <c r="AQ15" s="13"/>
      <c r="AR15" s="17"/>
      <c r="AV15" s="13"/>
      <c r="AW15" s="13"/>
    </row>
    <row r="16" spans="1:50" s="15" customFormat="1">
      <c r="K16" s="13"/>
      <c r="L16" s="14"/>
      <c r="AG16" s="13"/>
      <c r="AH16" s="13"/>
      <c r="AI16" s="20"/>
      <c r="AJ16" s="20"/>
      <c r="AK16" s="20"/>
      <c r="AL16" s="16"/>
      <c r="AO16" s="13"/>
      <c r="AP16" s="13"/>
      <c r="AQ16" s="13"/>
      <c r="AR16" s="17"/>
      <c r="AV16" s="13"/>
      <c r="AW16" s="13"/>
    </row>
    <row r="17" spans="11:49" s="15" customFormat="1">
      <c r="K17" s="13"/>
      <c r="L17" s="14"/>
      <c r="M17" s="23"/>
      <c r="O17" s="13"/>
      <c r="P17" s="13"/>
      <c r="Q17" s="13"/>
      <c r="R17" s="13"/>
      <c r="S17" s="13"/>
      <c r="T17" s="13"/>
      <c r="U17" s="13"/>
      <c r="V17" s="13"/>
      <c r="W17" s="1"/>
      <c r="X17" s="1"/>
      <c r="Y17" s="13"/>
      <c r="Z17" s="13"/>
      <c r="AA17" s="13"/>
      <c r="AB17" s="13"/>
      <c r="AC17" s="13"/>
      <c r="AD17" s="13"/>
      <c r="AE17" s="24"/>
      <c r="AG17" s="13"/>
      <c r="AH17" s="13"/>
      <c r="AI17" s="20"/>
      <c r="AJ17" s="20"/>
      <c r="AK17" s="20"/>
      <c r="AL17" s="16"/>
      <c r="AO17" s="13"/>
      <c r="AP17" s="13"/>
      <c r="AQ17" s="13"/>
      <c r="AR17" s="17"/>
      <c r="AS17" s="12"/>
      <c r="AT17" s="12"/>
      <c r="AU17" s="12"/>
      <c r="AV17" s="13"/>
      <c r="AW17" s="13"/>
    </row>
    <row r="18" spans="11:49" s="15" customFormat="1">
      <c r="K18" s="13"/>
      <c r="L18" s="14"/>
      <c r="M18" s="23"/>
      <c r="O18" s="13"/>
      <c r="P18" s="13"/>
      <c r="Q18" s="13"/>
      <c r="R18" s="13"/>
      <c r="S18" s="13"/>
      <c r="T18" s="13"/>
      <c r="U18" s="13"/>
      <c r="V18" s="13"/>
      <c r="W18" s="1"/>
      <c r="X18" s="1"/>
      <c r="Y18" s="13"/>
      <c r="Z18" s="13"/>
      <c r="AA18" s="13"/>
      <c r="AB18" s="13"/>
      <c r="AC18" s="13"/>
      <c r="AD18" s="13"/>
      <c r="AE18" s="24"/>
      <c r="AG18" s="13"/>
      <c r="AH18" s="13"/>
      <c r="AI18" s="20"/>
      <c r="AJ18" s="20"/>
      <c r="AK18" s="20"/>
      <c r="AL18" s="16"/>
      <c r="AO18" s="13"/>
      <c r="AP18" s="13"/>
      <c r="AQ18" s="13"/>
      <c r="AR18" s="17"/>
      <c r="AS18" s="12"/>
      <c r="AT18" s="12"/>
      <c r="AU18" s="12"/>
      <c r="AV18" s="13"/>
      <c r="AW18" s="13"/>
    </row>
    <row r="19" spans="11:49" s="15" customFormat="1">
      <c r="K19" s="13"/>
      <c r="L19" s="14"/>
      <c r="M19" s="23"/>
      <c r="O19" s="13"/>
      <c r="P19" s="13"/>
      <c r="Q19" s="13"/>
      <c r="R19" s="13"/>
      <c r="S19" s="13"/>
      <c r="T19" s="13"/>
      <c r="U19" s="13"/>
      <c r="V19" s="13"/>
      <c r="W19" s="1"/>
      <c r="X19" s="1"/>
      <c r="Y19" s="13"/>
      <c r="Z19" s="13"/>
      <c r="AA19" s="13"/>
      <c r="AB19" s="13"/>
      <c r="AC19" s="13"/>
      <c r="AD19" s="13"/>
      <c r="AE19" s="24"/>
      <c r="AG19" s="13"/>
      <c r="AH19" s="13"/>
      <c r="AI19" s="20"/>
      <c r="AJ19" s="20"/>
      <c r="AK19" s="20"/>
      <c r="AL19" s="16"/>
      <c r="AO19" s="13"/>
      <c r="AP19" s="22"/>
      <c r="AQ19" s="13"/>
      <c r="AR19" s="17"/>
      <c r="AS19" s="12"/>
      <c r="AT19" s="12"/>
      <c r="AU19" s="12"/>
      <c r="AV19" s="13"/>
      <c r="AW19" s="13"/>
    </row>
    <row r="20" spans="11:49" s="15" customFormat="1">
      <c r="K20" s="13"/>
      <c r="L20" s="14"/>
      <c r="M20" s="23"/>
      <c r="O20" s="13"/>
      <c r="P20" s="13"/>
      <c r="Q20" s="13"/>
      <c r="R20" s="13"/>
      <c r="S20" s="13"/>
      <c r="T20" s="13"/>
      <c r="U20" s="13"/>
      <c r="V20" s="13"/>
      <c r="W20" s="1"/>
      <c r="X20" s="1"/>
      <c r="Y20" s="13"/>
      <c r="Z20" s="13"/>
      <c r="AA20" s="13"/>
      <c r="AB20" s="13"/>
      <c r="AC20" s="13"/>
      <c r="AD20" s="13"/>
      <c r="AE20" s="24"/>
      <c r="AG20" s="13"/>
      <c r="AH20" s="13"/>
      <c r="AI20" s="20"/>
      <c r="AJ20" s="20"/>
      <c r="AK20" s="20"/>
      <c r="AL20" s="16"/>
      <c r="AO20" s="13"/>
      <c r="AP20" s="22"/>
      <c r="AQ20" s="13"/>
      <c r="AR20" s="17"/>
      <c r="AS20" s="12"/>
      <c r="AT20" s="12"/>
      <c r="AU20" s="12"/>
      <c r="AV20" s="13"/>
      <c r="AW20" s="13"/>
    </row>
    <row r="21" spans="11:49" s="15" customFormat="1">
      <c r="K21" s="13"/>
      <c r="L21" s="14"/>
      <c r="M21" s="23"/>
      <c r="O21" s="13"/>
      <c r="P21" s="13"/>
      <c r="Q21" s="13"/>
      <c r="R21" s="13"/>
      <c r="S21" s="13"/>
      <c r="T21" s="13"/>
      <c r="U21" s="13"/>
      <c r="V21" s="13"/>
      <c r="W21" s="1"/>
      <c r="X21" s="1"/>
      <c r="Y21" s="13"/>
      <c r="Z21" s="13"/>
      <c r="AA21" s="13"/>
      <c r="AB21" s="13"/>
      <c r="AC21" s="13"/>
      <c r="AD21" s="13"/>
      <c r="AE21" s="24"/>
      <c r="AG21" s="13"/>
      <c r="AH21" s="13"/>
      <c r="AI21" s="20"/>
      <c r="AJ21" s="20"/>
      <c r="AK21" s="20"/>
      <c r="AL21" s="16"/>
      <c r="AO21" s="13"/>
      <c r="AP21" s="22"/>
      <c r="AQ21" s="13"/>
      <c r="AR21" s="17"/>
      <c r="AS21" s="13"/>
      <c r="AT21" s="17"/>
      <c r="AU21" s="17"/>
      <c r="AV21" s="13"/>
      <c r="AW21" s="13"/>
    </row>
    <row r="22" spans="11:49" s="15" customFormat="1"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24"/>
      <c r="AF22" s="18"/>
      <c r="AG22" s="13"/>
      <c r="AH22" s="13"/>
      <c r="AI22" s="20"/>
      <c r="AJ22" s="20"/>
      <c r="AK22" s="20"/>
      <c r="AL22" s="16"/>
      <c r="AM22" s="20"/>
      <c r="AN22" s="16"/>
      <c r="AO22" s="13"/>
      <c r="AP22" s="13"/>
      <c r="AQ22" s="13"/>
      <c r="AR22" s="17"/>
      <c r="AS22" s="13"/>
      <c r="AT22" s="17"/>
      <c r="AU22" s="17"/>
      <c r="AV22" s="13"/>
      <c r="AW22" s="13"/>
    </row>
    <row r="23" spans="11:49" s="15" customFormat="1"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24"/>
      <c r="AF23" s="18"/>
      <c r="AG23" s="13"/>
      <c r="AH23" s="13"/>
      <c r="AI23" s="20"/>
      <c r="AJ23" s="20"/>
      <c r="AK23" s="20"/>
      <c r="AL23" s="16"/>
      <c r="AM23" s="20"/>
      <c r="AN23" s="16"/>
      <c r="AO23" s="13"/>
      <c r="AP23" s="13"/>
      <c r="AQ23" s="13"/>
      <c r="AR23" s="17"/>
      <c r="AS23" s="13"/>
      <c r="AT23" s="17"/>
      <c r="AU23" s="17"/>
      <c r="AV23" s="13"/>
      <c r="AW23" s="13"/>
    </row>
    <row r="24" spans="11:49" s="15" customFormat="1"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24"/>
      <c r="AF24" s="18"/>
      <c r="AG24" s="13"/>
      <c r="AH24" s="13"/>
      <c r="AI24" s="20"/>
      <c r="AJ24" s="20"/>
      <c r="AK24" s="20"/>
      <c r="AL24" s="16"/>
      <c r="AM24" s="20"/>
      <c r="AN24" s="16"/>
      <c r="AO24" s="13"/>
      <c r="AP24" s="13"/>
      <c r="AQ24" s="13"/>
      <c r="AR24" s="17"/>
      <c r="AS24" s="13"/>
      <c r="AT24" s="17"/>
      <c r="AU24" s="17"/>
      <c r="AV24" s="13"/>
      <c r="AW24" s="13"/>
    </row>
    <row r="25" spans="11:49" s="15" customFormat="1"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24"/>
      <c r="AF25" s="18"/>
      <c r="AG25" s="13"/>
      <c r="AH25" s="13"/>
      <c r="AI25" s="20"/>
      <c r="AJ25" s="20"/>
      <c r="AK25" s="20"/>
      <c r="AL25" s="16"/>
      <c r="AM25" s="20"/>
      <c r="AN25" s="16"/>
      <c r="AO25" s="13"/>
      <c r="AP25" s="13"/>
      <c r="AQ25" s="13"/>
      <c r="AR25" s="17"/>
      <c r="AS25" s="13"/>
      <c r="AT25" s="17"/>
      <c r="AU25" s="17"/>
      <c r="AV25" s="13"/>
      <c r="AW25" s="13"/>
    </row>
    <row r="26" spans="11:49" s="15" customFormat="1"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24"/>
      <c r="AF26" s="18"/>
      <c r="AG26" s="13"/>
      <c r="AH26" s="13"/>
      <c r="AI26" s="20"/>
      <c r="AJ26" s="20"/>
      <c r="AK26" s="20"/>
      <c r="AL26" s="16"/>
      <c r="AM26" s="20"/>
      <c r="AN26" s="16"/>
      <c r="AO26" s="13"/>
      <c r="AP26" s="13"/>
      <c r="AQ26" s="13"/>
      <c r="AR26" s="17"/>
      <c r="AS26" s="13"/>
      <c r="AT26" s="17"/>
      <c r="AU26" s="17"/>
      <c r="AV26" s="13"/>
      <c r="AW26" s="13"/>
    </row>
    <row r="27" spans="11:49" s="15" customFormat="1"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24"/>
      <c r="AF27" s="18"/>
      <c r="AG27" s="13"/>
      <c r="AH27" s="13"/>
      <c r="AI27" s="20"/>
      <c r="AJ27" s="20"/>
      <c r="AK27" s="20"/>
      <c r="AL27" s="16"/>
      <c r="AM27" s="20"/>
      <c r="AN27" s="16"/>
      <c r="AO27" s="13"/>
      <c r="AP27" s="13"/>
      <c r="AQ27" s="13"/>
      <c r="AR27" s="17"/>
      <c r="AS27" s="13"/>
      <c r="AT27" s="17"/>
      <c r="AU27" s="17"/>
      <c r="AV27" s="13"/>
      <c r="AW27" s="13"/>
    </row>
    <row r="28" spans="11:49" s="15" customFormat="1"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24"/>
      <c r="AF28" s="18"/>
      <c r="AG28" s="13"/>
      <c r="AH28" s="13"/>
      <c r="AI28" s="20"/>
      <c r="AJ28" s="20"/>
      <c r="AK28" s="20"/>
      <c r="AL28" s="16"/>
      <c r="AM28" s="20"/>
      <c r="AN28" s="16"/>
      <c r="AO28" s="13"/>
      <c r="AP28" s="13"/>
      <c r="AQ28" s="13"/>
      <c r="AR28" s="17"/>
      <c r="AS28" s="13"/>
      <c r="AT28" s="17"/>
      <c r="AU28" s="17"/>
      <c r="AV28" s="13"/>
      <c r="AW28" s="13"/>
    </row>
    <row r="29" spans="11:49" s="15" customFormat="1"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24"/>
      <c r="AF29" s="18"/>
      <c r="AG29" s="13"/>
      <c r="AH29" s="13"/>
      <c r="AI29" s="20"/>
      <c r="AJ29" s="20"/>
      <c r="AK29" s="20"/>
      <c r="AL29" s="16"/>
      <c r="AM29" s="20"/>
      <c r="AN29" s="16"/>
      <c r="AO29" s="13"/>
      <c r="AP29" s="13"/>
      <c r="AQ29" s="13"/>
      <c r="AR29" s="17"/>
      <c r="AS29" s="13"/>
      <c r="AT29" s="17"/>
      <c r="AU29" s="17"/>
      <c r="AV29" s="13"/>
      <c r="AW29" s="13"/>
    </row>
    <row r="30" spans="11:49" s="15" customFormat="1"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24"/>
      <c r="AF30" s="18"/>
      <c r="AG30" s="13"/>
      <c r="AH30" s="13"/>
      <c r="AI30" s="20"/>
      <c r="AJ30" s="20"/>
      <c r="AK30" s="20"/>
      <c r="AL30" s="16"/>
      <c r="AM30" s="20"/>
      <c r="AN30" s="16"/>
      <c r="AO30" s="13"/>
      <c r="AP30" s="13"/>
      <c r="AQ30" s="13"/>
      <c r="AR30" s="17"/>
      <c r="AS30" s="13"/>
      <c r="AT30" s="17"/>
      <c r="AU30" s="17"/>
      <c r="AV30" s="13"/>
      <c r="AW30" s="13"/>
    </row>
    <row r="31" spans="11:49" s="15" customFormat="1"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24"/>
      <c r="AF31" s="18"/>
      <c r="AG31" s="13"/>
      <c r="AH31" s="13"/>
      <c r="AI31" s="20"/>
      <c r="AJ31" s="20"/>
      <c r="AK31" s="20"/>
      <c r="AL31" s="16"/>
      <c r="AM31" s="20"/>
      <c r="AN31" s="16"/>
      <c r="AO31" s="13"/>
      <c r="AP31" s="13"/>
      <c r="AQ31" s="13"/>
      <c r="AR31" s="17"/>
      <c r="AS31" s="13"/>
      <c r="AT31" s="17"/>
      <c r="AU31" s="17"/>
      <c r="AV31" s="13"/>
      <c r="AW31" s="13"/>
    </row>
    <row r="32" spans="11:49" s="15" customFormat="1"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24"/>
      <c r="AF32" s="18"/>
      <c r="AG32" s="13"/>
      <c r="AH32" s="13"/>
      <c r="AI32" s="20"/>
      <c r="AJ32" s="20"/>
      <c r="AK32" s="20"/>
      <c r="AL32" s="16"/>
      <c r="AM32" s="20"/>
      <c r="AN32" s="16"/>
      <c r="AO32" s="13"/>
      <c r="AP32" s="13"/>
      <c r="AQ32" s="13"/>
      <c r="AR32" s="17"/>
      <c r="AS32" s="13"/>
      <c r="AT32" s="17"/>
      <c r="AU32" s="17"/>
      <c r="AV32" s="13"/>
      <c r="AW32" s="13"/>
    </row>
    <row r="33" spans="11:49" s="15" customFormat="1"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24"/>
      <c r="AF33" s="18"/>
      <c r="AG33" s="13"/>
      <c r="AH33" s="13"/>
      <c r="AI33" s="20"/>
      <c r="AJ33" s="20"/>
      <c r="AK33" s="20"/>
      <c r="AL33" s="16"/>
      <c r="AM33" s="20"/>
      <c r="AN33" s="16"/>
      <c r="AO33" s="13"/>
      <c r="AP33" s="13"/>
      <c r="AQ33" s="13"/>
      <c r="AR33" s="17"/>
      <c r="AS33" s="13"/>
      <c r="AT33" s="17"/>
      <c r="AU33" s="17"/>
      <c r="AV33" s="13"/>
      <c r="AW33" s="13"/>
    </row>
    <row r="34" spans="11:49" s="15" customFormat="1"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24"/>
      <c r="AF34" s="18"/>
      <c r="AG34" s="13"/>
      <c r="AH34" s="13"/>
      <c r="AI34" s="20"/>
      <c r="AJ34" s="20"/>
      <c r="AK34" s="20"/>
      <c r="AL34" s="16"/>
      <c r="AM34" s="20"/>
      <c r="AN34" s="16"/>
      <c r="AO34" s="13"/>
      <c r="AP34" s="13"/>
      <c r="AQ34" s="13"/>
      <c r="AR34" s="17"/>
      <c r="AS34" s="13"/>
      <c r="AT34" s="17"/>
      <c r="AU34" s="17"/>
      <c r="AV34" s="13"/>
      <c r="AW34" s="13"/>
    </row>
    <row r="35" spans="11:49" s="15" customFormat="1"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24"/>
      <c r="AF35" s="18"/>
      <c r="AG35" s="13"/>
      <c r="AH35" s="13"/>
      <c r="AI35" s="20"/>
      <c r="AJ35" s="20"/>
      <c r="AK35" s="20"/>
      <c r="AL35" s="16"/>
      <c r="AM35" s="20"/>
      <c r="AN35" s="16"/>
      <c r="AO35" s="13"/>
      <c r="AP35" s="13"/>
      <c r="AQ35" s="13"/>
      <c r="AR35" s="17"/>
      <c r="AS35" s="13"/>
      <c r="AT35" s="17"/>
      <c r="AU35" s="17"/>
      <c r="AV35" s="13"/>
      <c r="AW35" s="13"/>
    </row>
    <row r="36" spans="11:49" s="15" customFormat="1"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24"/>
      <c r="AF36" s="18"/>
      <c r="AG36" s="13"/>
      <c r="AH36" s="13"/>
      <c r="AI36" s="20"/>
      <c r="AJ36" s="20"/>
      <c r="AK36" s="20"/>
      <c r="AL36" s="16"/>
      <c r="AM36" s="20"/>
      <c r="AN36" s="16"/>
      <c r="AO36" s="13"/>
      <c r="AP36" s="13"/>
      <c r="AQ36" s="13"/>
      <c r="AR36" s="17"/>
      <c r="AS36" s="13"/>
      <c r="AT36" s="17"/>
      <c r="AU36" s="17"/>
      <c r="AV36" s="13"/>
      <c r="AW36" s="13"/>
    </row>
    <row r="37" spans="11:49" s="15" customFormat="1"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24"/>
      <c r="AF37" s="18"/>
      <c r="AG37" s="13"/>
      <c r="AH37" s="13"/>
      <c r="AI37" s="20"/>
      <c r="AJ37" s="20"/>
      <c r="AK37" s="20"/>
      <c r="AL37" s="16"/>
      <c r="AM37" s="20"/>
      <c r="AN37" s="16"/>
      <c r="AO37" s="13"/>
      <c r="AP37" s="13"/>
      <c r="AQ37" s="13"/>
      <c r="AR37" s="17"/>
      <c r="AS37" s="13"/>
      <c r="AT37" s="17"/>
      <c r="AU37" s="17"/>
      <c r="AV37" s="13"/>
      <c r="AW37" s="13"/>
    </row>
    <row r="38" spans="11:49" s="15" customFormat="1"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24"/>
      <c r="AF38" s="18"/>
      <c r="AG38" s="13"/>
      <c r="AH38" s="13"/>
      <c r="AI38" s="20"/>
      <c r="AJ38" s="20"/>
      <c r="AK38" s="20"/>
      <c r="AL38" s="16"/>
      <c r="AM38" s="20"/>
      <c r="AN38" s="16"/>
      <c r="AO38" s="13"/>
      <c r="AP38" s="13"/>
      <c r="AQ38" s="13"/>
      <c r="AR38" s="17"/>
      <c r="AS38" s="13"/>
      <c r="AT38" s="17"/>
      <c r="AU38" s="17"/>
      <c r="AV38" s="13"/>
      <c r="AW38" s="13"/>
    </row>
    <row r="39" spans="11:49" s="15" customFormat="1"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24"/>
      <c r="AF39" s="18"/>
      <c r="AG39" s="13"/>
      <c r="AH39" s="13"/>
      <c r="AI39" s="20"/>
      <c r="AJ39" s="20"/>
      <c r="AK39" s="20"/>
      <c r="AL39" s="16"/>
      <c r="AM39" s="20"/>
      <c r="AN39" s="16"/>
      <c r="AO39" s="13"/>
      <c r="AP39" s="13"/>
      <c r="AQ39" s="13"/>
      <c r="AR39" s="17"/>
      <c r="AS39" s="13"/>
      <c r="AT39" s="17"/>
      <c r="AU39" s="17"/>
      <c r="AV39" s="13"/>
      <c r="AW39" s="13"/>
    </row>
    <row r="40" spans="11:49" s="15" customFormat="1"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24"/>
      <c r="AF40" s="18"/>
      <c r="AG40" s="13"/>
      <c r="AH40" s="13"/>
      <c r="AI40" s="20"/>
      <c r="AJ40" s="20"/>
      <c r="AK40" s="20"/>
      <c r="AL40" s="16"/>
      <c r="AM40" s="20"/>
      <c r="AN40" s="16"/>
      <c r="AO40" s="13"/>
      <c r="AP40" s="13"/>
      <c r="AQ40" s="13"/>
      <c r="AR40" s="17"/>
      <c r="AS40" s="13"/>
      <c r="AT40" s="17"/>
      <c r="AU40" s="17"/>
      <c r="AV40" s="13"/>
      <c r="AW40" s="13"/>
    </row>
    <row r="41" spans="11:49" s="15" customFormat="1"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24"/>
      <c r="AF41" s="18"/>
      <c r="AG41" s="13"/>
      <c r="AH41" s="13"/>
      <c r="AI41" s="20"/>
      <c r="AJ41" s="20"/>
      <c r="AK41" s="20"/>
      <c r="AL41" s="16"/>
      <c r="AM41" s="20"/>
      <c r="AN41" s="16"/>
      <c r="AO41" s="13"/>
      <c r="AP41" s="13"/>
      <c r="AQ41" s="13"/>
      <c r="AR41" s="17"/>
      <c r="AS41" s="13"/>
      <c r="AT41" s="17"/>
      <c r="AU41" s="17"/>
      <c r="AV41" s="13"/>
      <c r="AW41" s="13"/>
    </row>
    <row r="42" spans="11:49" s="15" customFormat="1"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24"/>
      <c r="AF42" s="18"/>
      <c r="AG42" s="13"/>
      <c r="AH42" s="13"/>
      <c r="AI42" s="20"/>
      <c r="AJ42" s="20"/>
      <c r="AK42" s="20"/>
      <c r="AL42" s="16"/>
      <c r="AM42" s="20"/>
      <c r="AN42" s="16"/>
      <c r="AO42" s="13"/>
      <c r="AP42" s="13"/>
      <c r="AQ42" s="13"/>
      <c r="AR42" s="17"/>
      <c r="AS42" s="13"/>
      <c r="AT42" s="17"/>
      <c r="AU42" s="17"/>
      <c r="AV42" s="13"/>
      <c r="AW42" s="13"/>
    </row>
    <row r="43" spans="11:49" s="15" customFormat="1"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24"/>
      <c r="AF43" s="18"/>
      <c r="AG43" s="13"/>
      <c r="AH43" s="13"/>
      <c r="AI43" s="20"/>
      <c r="AJ43" s="20"/>
      <c r="AK43" s="20"/>
      <c r="AL43" s="16"/>
      <c r="AM43" s="20"/>
      <c r="AN43" s="16"/>
      <c r="AO43" s="13"/>
      <c r="AP43" s="13"/>
      <c r="AQ43" s="13"/>
      <c r="AR43" s="17"/>
      <c r="AS43" s="13"/>
      <c r="AT43" s="17"/>
      <c r="AU43" s="17"/>
      <c r="AV43" s="13"/>
      <c r="AW43" s="13"/>
    </row>
    <row r="44" spans="11:49" s="15" customFormat="1"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24"/>
      <c r="AF44" s="18"/>
      <c r="AG44" s="13"/>
      <c r="AH44" s="13"/>
      <c r="AI44" s="20"/>
      <c r="AJ44" s="20"/>
      <c r="AK44" s="20"/>
      <c r="AL44" s="16"/>
      <c r="AM44" s="20"/>
      <c r="AN44" s="16"/>
      <c r="AO44" s="13"/>
      <c r="AP44" s="13"/>
      <c r="AQ44" s="13"/>
      <c r="AR44" s="17"/>
      <c r="AS44" s="13"/>
      <c r="AT44" s="17"/>
      <c r="AU44" s="17"/>
      <c r="AV44" s="13"/>
      <c r="AW44" s="13"/>
    </row>
    <row r="45" spans="11:49" s="15" customFormat="1"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4"/>
      <c r="AF45" s="18"/>
      <c r="AG45" s="13"/>
      <c r="AH45" s="13"/>
      <c r="AI45" s="20"/>
      <c r="AJ45" s="20"/>
      <c r="AK45" s="20"/>
      <c r="AL45" s="16"/>
      <c r="AM45" s="20"/>
      <c r="AN45" s="16"/>
      <c r="AO45" s="13"/>
      <c r="AP45" s="13"/>
      <c r="AQ45" s="13"/>
      <c r="AR45" s="17"/>
      <c r="AS45" s="13"/>
      <c r="AT45" s="17"/>
      <c r="AU45" s="17"/>
      <c r="AV45" s="13"/>
      <c r="AW45" s="13"/>
    </row>
    <row r="46" spans="11:49" s="15" customFormat="1"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4"/>
      <c r="AF46" s="18"/>
      <c r="AG46" s="13"/>
      <c r="AH46" s="13"/>
      <c r="AI46" s="20"/>
      <c r="AJ46" s="20"/>
      <c r="AK46" s="20"/>
      <c r="AL46" s="16"/>
      <c r="AM46" s="20"/>
      <c r="AN46" s="16"/>
      <c r="AO46" s="13"/>
      <c r="AP46" s="13"/>
      <c r="AQ46" s="13"/>
      <c r="AR46" s="17"/>
      <c r="AS46" s="13"/>
      <c r="AT46" s="17"/>
      <c r="AU46" s="17"/>
      <c r="AV46" s="13"/>
      <c r="AW46" s="13"/>
    </row>
    <row r="47" spans="11:49" s="15" customFormat="1">
      <c r="K47" s="13"/>
      <c r="L47" s="13"/>
      <c r="M47" s="13"/>
      <c r="N47" s="13"/>
      <c r="O47" s="6"/>
      <c r="P47" s="13"/>
      <c r="Q47" s="13"/>
      <c r="R47" s="13"/>
      <c r="S47" s="13"/>
      <c r="T47" s="13"/>
      <c r="U47" s="13"/>
      <c r="V47" s="13"/>
      <c r="W47" s="13"/>
      <c r="X47" s="13"/>
      <c r="Y47" s="6"/>
      <c r="Z47" s="13"/>
      <c r="AA47" s="13"/>
      <c r="AB47" s="13"/>
      <c r="AC47" s="13"/>
      <c r="AD47" s="13"/>
      <c r="AE47" s="24"/>
      <c r="AF47" s="18"/>
      <c r="AG47" s="13"/>
      <c r="AH47" s="13"/>
      <c r="AI47" s="20"/>
      <c r="AJ47" s="20"/>
      <c r="AK47" s="20"/>
      <c r="AL47" s="16"/>
      <c r="AM47" s="20"/>
      <c r="AN47" s="16"/>
      <c r="AO47" s="13"/>
      <c r="AP47" s="13"/>
      <c r="AQ47" s="13"/>
      <c r="AR47" s="17"/>
      <c r="AS47" s="13"/>
      <c r="AT47" s="17"/>
      <c r="AU47" s="17"/>
      <c r="AV47" s="13"/>
      <c r="AW47" s="13"/>
    </row>
    <row r="48" spans="11:49" s="15" customFormat="1"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7"/>
      <c r="AF48" s="8"/>
      <c r="AG48" s="6"/>
      <c r="AH48" s="6"/>
      <c r="AI48" s="9"/>
      <c r="AJ48" s="9"/>
      <c r="AK48" s="9"/>
      <c r="AL48" s="10"/>
      <c r="AM48" s="9"/>
      <c r="AN48" s="10"/>
      <c r="AO48" s="6"/>
      <c r="AP48" s="6"/>
      <c r="AQ48" s="6"/>
      <c r="AR48" s="11"/>
      <c r="AS48" s="6"/>
      <c r="AT48" s="11"/>
      <c r="AU48" s="11"/>
      <c r="AV48" s="6"/>
      <c r="AW48" s="6"/>
    </row>
    <row r="49" spans="11:49" s="15" customFormat="1"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7"/>
      <c r="AF49" s="8"/>
      <c r="AG49" s="6"/>
      <c r="AH49" s="6"/>
      <c r="AI49" s="9"/>
      <c r="AJ49" s="9"/>
      <c r="AK49" s="9"/>
      <c r="AL49" s="10"/>
      <c r="AM49" s="9"/>
      <c r="AN49" s="10"/>
      <c r="AO49" s="6"/>
      <c r="AP49" s="6"/>
      <c r="AQ49" s="6"/>
      <c r="AR49" s="11"/>
      <c r="AS49" s="6"/>
      <c r="AT49" s="11"/>
      <c r="AU49" s="11"/>
      <c r="AV49" s="6"/>
      <c r="AW49" s="6"/>
    </row>
    <row r="50" spans="11:49" s="15" customFormat="1"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7"/>
      <c r="AF50" s="8"/>
      <c r="AG50" s="6"/>
      <c r="AH50" s="6"/>
      <c r="AI50" s="9"/>
      <c r="AJ50" s="9"/>
      <c r="AK50" s="9"/>
      <c r="AL50" s="10"/>
      <c r="AM50" s="9"/>
      <c r="AN50" s="10"/>
      <c r="AO50" s="6"/>
      <c r="AP50" s="6"/>
      <c r="AQ50" s="6"/>
      <c r="AR50" s="11"/>
      <c r="AS50" s="6"/>
      <c r="AT50" s="11"/>
      <c r="AU50" s="11"/>
      <c r="AV50" s="6"/>
      <c r="AW50" s="6"/>
    </row>
    <row r="51" spans="11:49" s="15" customFormat="1"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7"/>
      <c r="AF51" s="8"/>
      <c r="AG51" s="6"/>
      <c r="AH51" s="6"/>
      <c r="AI51" s="9"/>
      <c r="AJ51" s="9"/>
      <c r="AK51" s="9"/>
      <c r="AL51" s="10"/>
      <c r="AM51" s="9"/>
      <c r="AN51" s="10"/>
      <c r="AO51" s="6"/>
      <c r="AP51" s="6"/>
      <c r="AQ51" s="6"/>
      <c r="AR51" s="11"/>
      <c r="AS51" s="6"/>
      <c r="AT51" s="11"/>
      <c r="AU51" s="11"/>
      <c r="AV51" s="6"/>
      <c r="AW51" s="6"/>
    </row>
    <row r="52" spans="11:49" s="15" customFormat="1"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7"/>
      <c r="AF52" s="8"/>
      <c r="AG52" s="6"/>
      <c r="AH52" s="6"/>
      <c r="AI52" s="9"/>
      <c r="AJ52" s="9"/>
      <c r="AK52" s="9"/>
      <c r="AL52" s="10"/>
      <c r="AM52" s="9"/>
      <c r="AN52" s="10"/>
      <c r="AO52" s="6"/>
      <c r="AP52" s="6"/>
      <c r="AQ52" s="6"/>
      <c r="AR52" s="11"/>
      <c r="AS52" s="6"/>
      <c r="AT52" s="11"/>
      <c r="AU52" s="11"/>
      <c r="AV52" s="6"/>
      <c r="AW52" s="6"/>
    </row>
    <row r="53" spans="11:49" s="15" customFormat="1"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7"/>
      <c r="AF53" s="8"/>
      <c r="AG53" s="6"/>
      <c r="AH53" s="6"/>
      <c r="AI53" s="9"/>
      <c r="AJ53" s="9"/>
      <c r="AK53" s="9"/>
      <c r="AL53" s="10"/>
      <c r="AM53" s="9"/>
      <c r="AN53" s="10"/>
      <c r="AO53" s="6"/>
      <c r="AP53" s="6"/>
      <c r="AQ53" s="6"/>
      <c r="AR53" s="11"/>
      <c r="AS53" s="6"/>
      <c r="AT53" s="11"/>
      <c r="AU53" s="11"/>
      <c r="AV53" s="6"/>
      <c r="AW53" s="6"/>
    </row>
    <row r="54" spans="11:49" s="15" customFormat="1"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7"/>
      <c r="AF54" s="8"/>
      <c r="AG54" s="6"/>
      <c r="AH54" s="6"/>
      <c r="AI54" s="9"/>
      <c r="AJ54" s="9"/>
      <c r="AK54" s="9"/>
      <c r="AL54" s="10"/>
      <c r="AM54" s="9"/>
      <c r="AN54" s="10"/>
      <c r="AO54" s="6"/>
      <c r="AP54" s="6"/>
      <c r="AQ54" s="6"/>
      <c r="AR54" s="11"/>
      <c r="AS54" s="6"/>
      <c r="AT54" s="11"/>
      <c r="AU54" s="11"/>
      <c r="AV54" s="6"/>
      <c r="AW54" s="6"/>
    </row>
    <row r="55" spans="11:49" s="15" customFormat="1"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7"/>
      <c r="AF55" s="8"/>
      <c r="AG55" s="6"/>
      <c r="AH55" s="6"/>
      <c r="AI55" s="9"/>
      <c r="AJ55" s="9"/>
      <c r="AK55" s="9"/>
      <c r="AL55" s="10"/>
      <c r="AM55" s="9"/>
      <c r="AN55" s="10"/>
      <c r="AO55" s="6"/>
      <c r="AP55" s="6"/>
      <c r="AQ55" s="6"/>
      <c r="AR55" s="11"/>
      <c r="AS55" s="6"/>
      <c r="AT55" s="11"/>
      <c r="AU55" s="11"/>
      <c r="AV55" s="6"/>
      <c r="AW55" s="6"/>
    </row>
    <row r="56" spans="11:49" s="15" customFormat="1"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7"/>
      <c r="AF56" s="8"/>
      <c r="AG56" s="6"/>
      <c r="AH56" s="6"/>
      <c r="AI56" s="9"/>
      <c r="AJ56" s="9"/>
      <c r="AK56" s="9"/>
      <c r="AL56" s="10"/>
      <c r="AM56" s="9"/>
      <c r="AN56" s="10"/>
      <c r="AO56" s="6"/>
      <c r="AP56" s="6"/>
      <c r="AQ56" s="6"/>
      <c r="AR56" s="11"/>
      <c r="AS56" s="6"/>
      <c r="AT56" s="11"/>
      <c r="AU56" s="11"/>
      <c r="AV56" s="6"/>
      <c r="AW56" s="6"/>
    </row>
    <row r="57" spans="11:49" s="15" customFormat="1"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7"/>
      <c r="AF57" s="8"/>
      <c r="AG57" s="6"/>
      <c r="AH57" s="6"/>
      <c r="AI57" s="9"/>
      <c r="AJ57" s="9"/>
      <c r="AK57" s="9"/>
      <c r="AL57" s="10"/>
      <c r="AM57" s="9"/>
      <c r="AN57" s="10"/>
      <c r="AO57" s="6"/>
      <c r="AP57" s="6"/>
      <c r="AQ57" s="6"/>
      <c r="AR57" s="11"/>
      <c r="AS57" s="6"/>
      <c r="AT57" s="11"/>
      <c r="AU57" s="11"/>
      <c r="AV57" s="6"/>
      <c r="AW57" s="6"/>
    </row>
    <row r="58" spans="11:49" s="15" customFormat="1"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7"/>
      <c r="AF58" s="8"/>
      <c r="AG58" s="6"/>
      <c r="AH58" s="6"/>
      <c r="AI58" s="9"/>
      <c r="AJ58" s="9"/>
      <c r="AK58" s="9"/>
      <c r="AL58" s="10"/>
      <c r="AM58" s="9"/>
      <c r="AN58" s="10"/>
      <c r="AO58" s="6"/>
      <c r="AP58" s="6"/>
      <c r="AQ58" s="6"/>
      <c r="AR58" s="11"/>
      <c r="AS58" s="6"/>
      <c r="AT58" s="11"/>
      <c r="AU58" s="11"/>
      <c r="AV58" s="6"/>
      <c r="AW58" s="6"/>
    </row>
    <row r="59" spans="11:49" s="15" customFormat="1"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7"/>
      <c r="AF59" s="8"/>
      <c r="AG59" s="6"/>
      <c r="AH59" s="6"/>
      <c r="AI59" s="9"/>
      <c r="AJ59" s="9"/>
      <c r="AK59" s="9"/>
      <c r="AL59" s="10"/>
      <c r="AM59" s="9"/>
      <c r="AN59" s="10"/>
      <c r="AO59" s="6"/>
      <c r="AP59" s="6"/>
      <c r="AQ59" s="6"/>
      <c r="AR59" s="11"/>
      <c r="AS59" s="6"/>
      <c r="AT59" s="11"/>
      <c r="AU59" s="11"/>
      <c r="AV59" s="6"/>
      <c r="AW59" s="6"/>
    </row>
    <row r="60" spans="11:49" s="15" customFormat="1"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7"/>
      <c r="AF60" s="8"/>
      <c r="AG60" s="6"/>
      <c r="AH60" s="6"/>
      <c r="AI60" s="9"/>
      <c r="AJ60" s="9"/>
      <c r="AK60" s="9"/>
      <c r="AL60" s="10"/>
      <c r="AM60" s="9"/>
      <c r="AN60" s="10"/>
      <c r="AO60" s="6"/>
      <c r="AP60" s="6"/>
      <c r="AQ60" s="6"/>
      <c r="AR60" s="11"/>
      <c r="AS60" s="6"/>
      <c r="AT60" s="11"/>
      <c r="AU60" s="11"/>
      <c r="AV60" s="6"/>
      <c r="AW60" s="6"/>
    </row>
    <row r="61" spans="11:49" s="15" customFormat="1"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7"/>
      <c r="AF61" s="8"/>
      <c r="AG61" s="6"/>
      <c r="AH61" s="6"/>
      <c r="AI61" s="9"/>
      <c r="AJ61" s="9"/>
      <c r="AK61" s="9"/>
      <c r="AL61" s="10"/>
      <c r="AM61" s="9"/>
      <c r="AN61" s="10"/>
      <c r="AO61" s="6"/>
      <c r="AP61" s="6"/>
      <c r="AQ61" s="6"/>
      <c r="AR61" s="11"/>
      <c r="AS61" s="6"/>
      <c r="AT61" s="11"/>
      <c r="AU61" s="11"/>
      <c r="AV61" s="6"/>
      <c r="AW61" s="6"/>
    </row>
    <row r="62" spans="11:49" s="15" customFormat="1"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7"/>
      <c r="AF62" s="8"/>
      <c r="AG62" s="6"/>
      <c r="AH62" s="6"/>
      <c r="AI62" s="9"/>
      <c r="AJ62" s="9"/>
      <c r="AK62" s="9"/>
      <c r="AL62" s="10"/>
      <c r="AM62" s="9"/>
      <c r="AN62" s="10"/>
      <c r="AO62" s="6"/>
      <c r="AP62" s="6"/>
      <c r="AQ62" s="6"/>
      <c r="AR62" s="11"/>
      <c r="AS62" s="6"/>
      <c r="AT62" s="11"/>
      <c r="AU62" s="11"/>
      <c r="AV62" s="6"/>
      <c r="AW62" s="6"/>
    </row>
    <row r="63" spans="11:49" s="15" customFormat="1"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7"/>
      <c r="AF63" s="8"/>
      <c r="AG63" s="6"/>
      <c r="AH63" s="6"/>
      <c r="AI63" s="9"/>
      <c r="AJ63" s="9"/>
      <c r="AK63" s="9"/>
      <c r="AL63" s="10"/>
      <c r="AM63" s="9"/>
      <c r="AN63" s="10"/>
      <c r="AO63" s="6"/>
      <c r="AP63" s="6"/>
      <c r="AQ63" s="6"/>
      <c r="AR63" s="11"/>
      <c r="AS63" s="6"/>
      <c r="AT63" s="11"/>
      <c r="AU63" s="11"/>
      <c r="AV63" s="6"/>
      <c r="AW63" s="6"/>
    </row>
    <row r="64" spans="11:49" s="15" customFormat="1"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7"/>
      <c r="AF64" s="8"/>
      <c r="AG64" s="6"/>
      <c r="AH64" s="6"/>
      <c r="AI64" s="9"/>
      <c r="AJ64" s="9"/>
      <c r="AK64" s="9"/>
      <c r="AL64" s="10"/>
      <c r="AM64" s="9"/>
      <c r="AN64" s="10"/>
      <c r="AO64" s="6"/>
      <c r="AP64" s="6"/>
      <c r="AQ64" s="6"/>
      <c r="AR64" s="11"/>
      <c r="AS64" s="6"/>
      <c r="AT64" s="11"/>
      <c r="AU64" s="11"/>
      <c r="AV64" s="6"/>
      <c r="AW64" s="6"/>
    </row>
    <row r="65" spans="11:49" s="15" customFormat="1"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7"/>
      <c r="AF65" s="8"/>
      <c r="AG65" s="6"/>
      <c r="AH65" s="6"/>
      <c r="AI65" s="9"/>
      <c r="AJ65" s="9"/>
      <c r="AK65" s="9"/>
      <c r="AL65" s="10"/>
      <c r="AM65" s="9"/>
      <c r="AN65" s="10"/>
      <c r="AO65" s="6"/>
      <c r="AP65" s="6"/>
      <c r="AQ65" s="6"/>
      <c r="AR65" s="11"/>
      <c r="AS65" s="6"/>
      <c r="AT65" s="11"/>
      <c r="AU65" s="11"/>
      <c r="AV65" s="6"/>
      <c r="AW65" s="6"/>
    </row>
    <row r="66" spans="11:49" s="15" customFormat="1"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7"/>
      <c r="AF66" s="8"/>
      <c r="AG66" s="6"/>
      <c r="AH66" s="6"/>
      <c r="AI66" s="9"/>
      <c r="AJ66" s="9"/>
      <c r="AK66" s="9"/>
      <c r="AL66" s="10"/>
      <c r="AM66" s="9"/>
      <c r="AN66" s="10"/>
      <c r="AO66" s="6"/>
      <c r="AP66" s="6"/>
      <c r="AQ66" s="6"/>
      <c r="AR66" s="11"/>
      <c r="AS66" s="6"/>
      <c r="AT66" s="11"/>
      <c r="AU66" s="11"/>
      <c r="AV66" s="6"/>
      <c r="AW66" s="6"/>
    </row>
    <row r="67" spans="11:49" s="15" customFormat="1"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7"/>
      <c r="AF67" s="8"/>
      <c r="AG67" s="6"/>
      <c r="AH67" s="6"/>
      <c r="AI67" s="9"/>
      <c r="AJ67" s="9"/>
      <c r="AK67" s="9"/>
      <c r="AL67" s="10"/>
      <c r="AM67" s="9"/>
      <c r="AN67" s="10"/>
      <c r="AO67" s="6"/>
      <c r="AP67" s="6"/>
      <c r="AQ67" s="6"/>
      <c r="AR67" s="11"/>
      <c r="AS67" s="6"/>
      <c r="AT67" s="11"/>
      <c r="AU67" s="11"/>
      <c r="AV67" s="6"/>
      <c r="AW67" s="6"/>
    </row>
    <row r="68" spans="11:49" s="15" customFormat="1"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7"/>
      <c r="AF68" s="8"/>
      <c r="AG68" s="6"/>
      <c r="AH68" s="6"/>
      <c r="AI68" s="9"/>
      <c r="AJ68" s="9"/>
      <c r="AK68" s="9"/>
      <c r="AL68" s="10"/>
      <c r="AM68" s="9"/>
      <c r="AN68" s="10"/>
      <c r="AO68" s="6"/>
      <c r="AP68" s="6"/>
      <c r="AQ68" s="6"/>
      <c r="AR68" s="11"/>
      <c r="AS68" s="6"/>
      <c r="AT68" s="11"/>
      <c r="AU68" s="11"/>
      <c r="AV68" s="6"/>
      <c r="AW68" s="6"/>
    </row>
    <row r="69" spans="11:49" s="15" customFormat="1"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7"/>
      <c r="AF69" s="8"/>
      <c r="AG69" s="6"/>
      <c r="AH69" s="6"/>
      <c r="AI69" s="9"/>
      <c r="AJ69" s="9"/>
      <c r="AK69" s="9"/>
      <c r="AL69" s="10"/>
      <c r="AM69" s="9"/>
      <c r="AN69" s="10"/>
      <c r="AO69" s="6"/>
      <c r="AP69" s="6"/>
      <c r="AQ69" s="6"/>
      <c r="AR69" s="11"/>
      <c r="AS69" s="6"/>
      <c r="AT69" s="11"/>
      <c r="AU69" s="11"/>
      <c r="AV69" s="6"/>
      <c r="AW69" s="6"/>
    </row>
    <row r="70" spans="11:49" s="15" customFormat="1"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7"/>
      <c r="AF70" s="8"/>
      <c r="AG70" s="6"/>
      <c r="AH70" s="6"/>
      <c r="AI70" s="9"/>
      <c r="AJ70" s="9"/>
      <c r="AK70" s="9"/>
      <c r="AL70" s="10"/>
      <c r="AM70" s="9"/>
      <c r="AN70" s="10"/>
      <c r="AO70" s="6"/>
      <c r="AP70" s="6"/>
      <c r="AQ70" s="6"/>
      <c r="AR70" s="11"/>
      <c r="AS70" s="6"/>
      <c r="AT70" s="11"/>
      <c r="AU70" s="11"/>
      <c r="AV70" s="6"/>
      <c r="AW70" s="6"/>
    </row>
    <row r="71" spans="11:49" s="15" customFormat="1"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7"/>
      <c r="AF71" s="8"/>
      <c r="AG71" s="6"/>
      <c r="AH71" s="6"/>
      <c r="AI71" s="9"/>
      <c r="AJ71" s="9"/>
      <c r="AK71" s="9"/>
      <c r="AL71" s="10"/>
      <c r="AM71" s="9"/>
      <c r="AN71" s="10"/>
      <c r="AO71" s="6"/>
      <c r="AP71" s="6"/>
      <c r="AQ71" s="6"/>
      <c r="AR71" s="11"/>
      <c r="AS71" s="6"/>
      <c r="AT71" s="11"/>
      <c r="AU71" s="11"/>
      <c r="AV71" s="6"/>
      <c r="AW71" s="6"/>
    </row>
    <row r="72" spans="11:49" s="15" customFormat="1"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7"/>
      <c r="AF72" s="8"/>
      <c r="AG72" s="6"/>
      <c r="AH72" s="6"/>
      <c r="AI72" s="9"/>
      <c r="AJ72" s="9"/>
      <c r="AK72" s="9"/>
      <c r="AL72" s="10"/>
      <c r="AM72" s="9"/>
      <c r="AN72" s="10"/>
      <c r="AO72" s="6"/>
      <c r="AP72" s="6"/>
      <c r="AQ72" s="6"/>
      <c r="AR72" s="11"/>
      <c r="AS72" s="6"/>
      <c r="AT72" s="11"/>
      <c r="AU72" s="11"/>
      <c r="AV72" s="6"/>
      <c r="AW72" s="6"/>
    </row>
    <row r="73" spans="11:49" s="15" customFormat="1"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7"/>
      <c r="AF73" s="8"/>
      <c r="AG73" s="6"/>
      <c r="AH73" s="6"/>
      <c r="AI73" s="9"/>
      <c r="AJ73" s="9"/>
      <c r="AK73" s="9"/>
      <c r="AL73" s="10"/>
      <c r="AM73" s="9"/>
      <c r="AN73" s="10"/>
      <c r="AO73" s="6"/>
      <c r="AP73" s="6"/>
      <c r="AQ73" s="6"/>
      <c r="AR73" s="11"/>
      <c r="AS73" s="6"/>
      <c r="AT73" s="11"/>
      <c r="AU73" s="11"/>
      <c r="AV73" s="6"/>
      <c r="AW73" s="6"/>
    </row>
    <row r="74" spans="11:49" s="15" customFormat="1"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7"/>
      <c r="AF74" s="8"/>
      <c r="AG74" s="6"/>
      <c r="AH74" s="6"/>
      <c r="AI74" s="9"/>
      <c r="AJ74" s="9"/>
      <c r="AK74" s="9"/>
      <c r="AL74" s="10"/>
      <c r="AM74" s="9"/>
      <c r="AN74" s="10"/>
      <c r="AO74" s="6"/>
      <c r="AP74" s="6"/>
      <c r="AQ74" s="6"/>
      <c r="AR74" s="11"/>
      <c r="AS74" s="6"/>
      <c r="AT74" s="11"/>
      <c r="AU74" s="11"/>
      <c r="AV74" s="6"/>
      <c r="AW74" s="6"/>
    </row>
    <row r="75" spans="11:49" s="15" customFormat="1"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7"/>
      <c r="AF75" s="8"/>
      <c r="AG75" s="6"/>
      <c r="AH75" s="6"/>
      <c r="AI75" s="9"/>
      <c r="AJ75" s="9"/>
      <c r="AK75" s="9"/>
      <c r="AL75" s="10"/>
      <c r="AM75" s="9"/>
      <c r="AN75" s="10"/>
      <c r="AO75" s="6"/>
      <c r="AP75" s="6"/>
      <c r="AQ75" s="6"/>
      <c r="AR75" s="11"/>
      <c r="AS75" s="6"/>
      <c r="AT75" s="11"/>
      <c r="AU75" s="11"/>
      <c r="AV75" s="6"/>
      <c r="AW75" s="6"/>
    </row>
    <row r="76" spans="11:49" s="15" customFormat="1"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7"/>
      <c r="AF76" s="8"/>
      <c r="AG76" s="6"/>
      <c r="AH76" s="6"/>
      <c r="AI76" s="9"/>
      <c r="AJ76" s="9"/>
      <c r="AK76" s="9"/>
      <c r="AL76" s="10"/>
      <c r="AM76" s="9"/>
      <c r="AN76" s="10"/>
      <c r="AO76" s="6"/>
      <c r="AP76" s="6"/>
      <c r="AQ76" s="6"/>
      <c r="AR76" s="11"/>
      <c r="AS76" s="6"/>
      <c r="AT76" s="11"/>
      <c r="AU76" s="11"/>
      <c r="AV76" s="6"/>
      <c r="AW76" s="6"/>
    </row>
    <row r="77" spans="11:49" s="15" customFormat="1"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7"/>
      <c r="AF77" s="8"/>
      <c r="AG77" s="6"/>
      <c r="AH77" s="6"/>
      <c r="AI77" s="9"/>
      <c r="AJ77" s="9"/>
      <c r="AK77" s="9"/>
      <c r="AL77" s="10"/>
      <c r="AM77" s="9"/>
      <c r="AN77" s="10"/>
      <c r="AO77" s="6"/>
      <c r="AP77" s="6"/>
      <c r="AQ77" s="6"/>
      <c r="AR77" s="11"/>
      <c r="AS77" s="6"/>
      <c r="AT77" s="11"/>
      <c r="AU77" s="11"/>
      <c r="AV77" s="6"/>
      <c r="AW77" s="6"/>
    </row>
    <row r="78" spans="11:49" s="15" customFormat="1"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7"/>
      <c r="AF78" s="8"/>
      <c r="AG78" s="6"/>
      <c r="AH78" s="6"/>
      <c r="AI78" s="9"/>
      <c r="AJ78" s="9"/>
      <c r="AK78" s="9"/>
      <c r="AL78" s="10"/>
      <c r="AM78" s="9"/>
      <c r="AN78" s="10"/>
      <c r="AO78" s="6"/>
      <c r="AP78" s="6"/>
      <c r="AQ78" s="6"/>
      <c r="AR78" s="11"/>
      <c r="AS78" s="6"/>
      <c r="AT78" s="11"/>
      <c r="AU78" s="11"/>
      <c r="AV78" s="6"/>
      <c r="AW78" s="6"/>
    </row>
    <row r="79" spans="11:49" s="15" customFormat="1"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7"/>
      <c r="AF79" s="8"/>
      <c r="AG79" s="6"/>
      <c r="AH79" s="6"/>
      <c r="AI79" s="9"/>
      <c r="AJ79" s="9"/>
      <c r="AK79" s="9"/>
      <c r="AL79" s="10"/>
      <c r="AM79" s="9"/>
      <c r="AN79" s="10"/>
      <c r="AO79" s="6"/>
      <c r="AP79" s="6"/>
      <c r="AQ79" s="6"/>
      <c r="AR79" s="11"/>
      <c r="AS79" s="6"/>
      <c r="AT79" s="11"/>
      <c r="AU79" s="11"/>
      <c r="AV79" s="6"/>
      <c r="AW79" s="6"/>
    </row>
    <row r="80" spans="11:49" s="15" customFormat="1"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7"/>
      <c r="AF80" s="8"/>
      <c r="AG80" s="6"/>
      <c r="AH80" s="6"/>
      <c r="AI80" s="9"/>
      <c r="AJ80" s="9"/>
      <c r="AK80" s="9"/>
      <c r="AL80" s="10"/>
      <c r="AM80" s="9"/>
      <c r="AN80" s="10"/>
      <c r="AO80" s="6"/>
      <c r="AP80" s="6"/>
      <c r="AQ80" s="6"/>
      <c r="AR80" s="11"/>
      <c r="AS80" s="6"/>
      <c r="AT80" s="11"/>
      <c r="AU80" s="11"/>
      <c r="AV80" s="6"/>
      <c r="AW80" s="6"/>
    </row>
    <row r="81" spans="11:49" s="15" customFormat="1"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7"/>
      <c r="AF81" s="8"/>
      <c r="AG81" s="6"/>
      <c r="AH81" s="6"/>
      <c r="AI81" s="9"/>
      <c r="AJ81" s="9"/>
      <c r="AK81" s="9"/>
      <c r="AL81" s="10"/>
      <c r="AM81" s="9"/>
      <c r="AN81" s="10"/>
      <c r="AO81" s="6"/>
      <c r="AP81" s="6"/>
      <c r="AQ81" s="6"/>
      <c r="AR81" s="11"/>
      <c r="AS81" s="6"/>
      <c r="AT81" s="11"/>
      <c r="AU81" s="11"/>
      <c r="AV81" s="6"/>
      <c r="AW81" s="6"/>
    </row>
    <row r="82" spans="11:49" s="15" customFormat="1"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7"/>
      <c r="AF82" s="8"/>
      <c r="AG82" s="6"/>
      <c r="AH82" s="6"/>
      <c r="AI82" s="9"/>
      <c r="AJ82" s="9"/>
      <c r="AK82" s="9"/>
      <c r="AL82" s="10"/>
      <c r="AM82" s="9"/>
      <c r="AN82" s="10"/>
      <c r="AO82" s="6"/>
      <c r="AP82" s="6"/>
      <c r="AQ82" s="6"/>
      <c r="AR82" s="11"/>
      <c r="AS82" s="6"/>
      <c r="AT82" s="11"/>
      <c r="AU82" s="11"/>
      <c r="AV82" s="6"/>
      <c r="AW82" s="6"/>
    </row>
    <row r="83" spans="11:49" s="15" customFormat="1"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7"/>
      <c r="AF83" s="8"/>
      <c r="AG83" s="6"/>
      <c r="AH83" s="6"/>
      <c r="AI83" s="9"/>
      <c r="AJ83" s="9"/>
      <c r="AK83" s="9"/>
      <c r="AL83" s="10"/>
      <c r="AM83" s="9"/>
      <c r="AN83" s="10"/>
      <c r="AO83" s="6"/>
      <c r="AP83" s="6"/>
      <c r="AQ83" s="6"/>
      <c r="AR83" s="11"/>
      <c r="AS83" s="6"/>
      <c r="AT83" s="11"/>
      <c r="AU83" s="11"/>
      <c r="AV83" s="6"/>
      <c r="AW83" s="6"/>
    </row>
    <row r="84" spans="11:49" s="15" customFormat="1"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7"/>
      <c r="AF84" s="8"/>
      <c r="AG84" s="6"/>
      <c r="AH84" s="6"/>
      <c r="AI84" s="9"/>
      <c r="AJ84" s="9"/>
      <c r="AK84" s="9"/>
      <c r="AL84" s="10"/>
      <c r="AM84" s="9"/>
      <c r="AN84" s="10"/>
      <c r="AO84" s="6"/>
      <c r="AP84" s="6"/>
      <c r="AQ84" s="6"/>
      <c r="AR84" s="11"/>
      <c r="AS84" s="6"/>
      <c r="AT84" s="11"/>
      <c r="AU84" s="11"/>
      <c r="AV84" s="6"/>
      <c r="AW84" s="6"/>
    </row>
    <row r="85" spans="11:49" s="15" customFormat="1"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7"/>
      <c r="AF85" s="8"/>
      <c r="AG85" s="6"/>
      <c r="AH85" s="6"/>
      <c r="AI85" s="9"/>
      <c r="AJ85" s="9"/>
      <c r="AK85" s="9"/>
      <c r="AL85" s="10"/>
      <c r="AM85" s="9"/>
      <c r="AN85" s="10"/>
      <c r="AO85" s="6"/>
      <c r="AP85" s="6"/>
      <c r="AQ85" s="6"/>
      <c r="AR85" s="11"/>
      <c r="AS85" s="6"/>
      <c r="AT85" s="11"/>
      <c r="AU85" s="11"/>
      <c r="AV85" s="6"/>
      <c r="AW85" s="6"/>
    </row>
    <row r="86" spans="11:49" s="15" customFormat="1"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7"/>
      <c r="AF86" s="8"/>
      <c r="AG86" s="6"/>
      <c r="AH86" s="6"/>
      <c r="AI86" s="9"/>
      <c r="AJ86" s="9"/>
      <c r="AK86" s="9"/>
      <c r="AL86" s="10"/>
      <c r="AM86" s="9"/>
      <c r="AN86" s="10"/>
      <c r="AO86" s="6"/>
      <c r="AP86" s="6"/>
      <c r="AQ86" s="6"/>
      <c r="AR86" s="11"/>
      <c r="AS86" s="6"/>
      <c r="AT86" s="11"/>
      <c r="AU86" s="11"/>
      <c r="AV86" s="6"/>
      <c r="AW86" s="6"/>
    </row>
    <row r="87" spans="11:49" s="15" customFormat="1"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7"/>
      <c r="AF87" s="8"/>
      <c r="AG87" s="6"/>
      <c r="AH87" s="6"/>
      <c r="AI87" s="9"/>
      <c r="AJ87" s="9"/>
      <c r="AK87" s="9"/>
      <c r="AL87" s="10"/>
      <c r="AM87" s="9"/>
      <c r="AN87" s="10"/>
      <c r="AO87" s="6"/>
      <c r="AP87" s="6"/>
      <c r="AQ87" s="6"/>
      <c r="AR87" s="11"/>
      <c r="AS87" s="6"/>
      <c r="AT87" s="11"/>
      <c r="AU87" s="11"/>
      <c r="AV87" s="6"/>
      <c r="AW87" s="6"/>
    </row>
    <row r="88" spans="11:49" s="15" customFormat="1"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7"/>
      <c r="AF88" s="8"/>
      <c r="AG88" s="6"/>
      <c r="AH88" s="6"/>
      <c r="AI88" s="9"/>
      <c r="AJ88" s="9"/>
      <c r="AK88" s="9"/>
      <c r="AL88" s="10"/>
      <c r="AM88" s="9"/>
      <c r="AN88" s="10"/>
      <c r="AO88" s="6"/>
      <c r="AP88" s="6"/>
      <c r="AQ88" s="6"/>
      <c r="AR88" s="11"/>
      <c r="AS88" s="6"/>
      <c r="AT88" s="11"/>
      <c r="AU88" s="11"/>
      <c r="AV88" s="6"/>
      <c r="AW88" s="6"/>
    </row>
    <row r="89" spans="11:49" s="15" customFormat="1"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7"/>
      <c r="AF89" s="8"/>
      <c r="AG89" s="6"/>
      <c r="AH89" s="6"/>
      <c r="AI89" s="9"/>
      <c r="AJ89" s="9"/>
      <c r="AK89" s="9"/>
      <c r="AL89" s="10"/>
      <c r="AM89" s="9"/>
      <c r="AN89" s="10"/>
      <c r="AO89" s="6"/>
      <c r="AP89" s="6"/>
      <c r="AQ89" s="6"/>
      <c r="AR89" s="11"/>
      <c r="AS89" s="6"/>
      <c r="AT89" s="11"/>
      <c r="AU89" s="11"/>
      <c r="AV89" s="6"/>
      <c r="AW89" s="6"/>
    </row>
    <row r="90" spans="11:49" s="15" customFormat="1"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7"/>
      <c r="AF90" s="8"/>
      <c r="AG90" s="6"/>
      <c r="AH90" s="6"/>
      <c r="AI90" s="9"/>
      <c r="AJ90" s="9"/>
      <c r="AK90" s="9"/>
      <c r="AL90" s="10"/>
      <c r="AM90" s="9"/>
      <c r="AN90" s="10"/>
      <c r="AO90" s="6"/>
      <c r="AP90" s="6"/>
      <c r="AQ90" s="6"/>
      <c r="AR90" s="11"/>
      <c r="AS90" s="6"/>
      <c r="AT90" s="11"/>
      <c r="AU90" s="11"/>
      <c r="AV90" s="6"/>
      <c r="AW90" s="6"/>
    </row>
    <row r="91" spans="11:49" s="15" customFormat="1"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7"/>
      <c r="AF91" s="8"/>
      <c r="AG91" s="6"/>
      <c r="AH91" s="6"/>
      <c r="AI91" s="9"/>
      <c r="AJ91" s="9"/>
      <c r="AK91" s="9"/>
      <c r="AL91" s="10"/>
      <c r="AM91" s="9"/>
      <c r="AN91" s="10"/>
      <c r="AO91" s="6"/>
      <c r="AP91" s="6"/>
      <c r="AQ91" s="6"/>
      <c r="AR91" s="11"/>
      <c r="AS91" s="6"/>
      <c r="AT91" s="11"/>
      <c r="AU91" s="11"/>
      <c r="AV91" s="6"/>
      <c r="AW91" s="6"/>
    </row>
    <row r="92" spans="11:49" s="15" customFormat="1"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7"/>
      <c r="AF92" s="8"/>
      <c r="AG92" s="6"/>
      <c r="AH92" s="6"/>
      <c r="AI92" s="9"/>
      <c r="AJ92" s="9"/>
      <c r="AK92" s="9"/>
      <c r="AL92" s="10"/>
      <c r="AM92" s="9"/>
      <c r="AN92" s="10"/>
      <c r="AO92" s="6"/>
      <c r="AP92" s="6"/>
      <c r="AQ92" s="6"/>
      <c r="AR92" s="11"/>
      <c r="AS92" s="6"/>
      <c r="AT92" s="11"/>
      <c r="AU92" s="11"/>
      <c r="AV92" s="6"/>
      <c r="AW92" s="6"/>
    </row>
    <row r="93" spans="11:49" s="15" customFormat="1"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7"/>
      <c r="AF93" s="8"/>
      <c r="AG93" s="6"/>
      <c r="AH93" s="6"/>
      <c r="AI93" s="9"/>
      <c r="AJ93" s="9"/>
      <c r="AK93" s="9"/>
      <c r="AL93" s="10"/>
      <c r="AM93" s="9"/>
      <c r="AN93" s="10"/>
      <c r="AO93" s="6"/>
      <c r="AP93" s="6"/>
      <c r="AQ93" s="6"/>
      <c r="AR93" s="11"/>
      <c r="AS93" s="6"/>
      <c r="AT93" s="11"/>
      <c r="AU93" s="11"/>
      <c r="AV93" s="6"/>
      <c r="AW93" s="6"/>
    </row>
    <row r="94" spans="11:49" s="15" customFormat="1"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7"/>
      <c r="AF94" s="8"/>
      <c r="AG94" s="6"/>
      <c r="AH94" s="6"/>
      <c r="AI94" s="9"/>
      <c r="AJ94" s="9"/>
      <c r="AK94" s="9"/>
      <c r="AL94" s="10"/>
      <c r="AM94" s="9"/>
      <c r="AN94" s="10"/>
      <c r="AO94" s="6"/>
      <c r="AP94" s="6"/>
      <c r="AQ94" s="6"/>
      <c r="AR94" s="11"/>
      <c r="AS94" s="6"/>
      <c r="AT94" s="11"/>
      <c r="AU94" s="11"/>
      <c r="AV94" s="6"/>
      <c r="AW94" s="6"/>
    </row>
    <row r="95" spans="11:49" s="15" customFormat="1"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7"/>
      <c r="AF95" s="8"/>
      <c r="AG95" s="6"/>
      <c r="AH95" s="6"/>
      <c r="AI95" s="9"/>
      <c r="AJ95" s="9"/>
      <c r="AK95" s="9"/>
      <c r="AL95" s="10"/>
      <c r="AM95" s="9"/>
      <c r="AN95" s="10"/>
      <c r="AO95" s="6"/>
      <c r="AP95" s="6"/>
      <c r="AQ95" s="6"/>
      <c r="AR95" s="11"/>
      <c r="AS95" s="6"/>
      <c r="AT95" s="11"/>
      <c r="AU95" s="11"/>
      <c r="AV95" s="6"/>
      <c r="AW95" s="6"/>
    </row>
    <row r="96" spans="11:49" s="15" customFormat="1"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7"/>
      <c r="AF96" s="8"/>
      <c r="AG96" s="6"/>
      <c r="AH96" s="6"/>
      <c r="AI96" s="9"/>
      <c r="AJ96" s="9"/>
      <c r="AK96" s="9"/>
      <c r="AL96" s="10"/>
      <c r="AM96" s="9"/>
      <c r="AN96" s="10"/>
      <c r="AO96" s="6"/>
      <c r="AP96" s="6"/>
      <c r="AQ96" s="6"/>
      <c r="AR96" s="11"/>
      <c r="AS96" s="6"/>
      <c r="AT96" s="11"/>
      <c r="AU96" s="11"/>
      <c r="AV96" s="6"/>
      <c r="AW96" s="6"/>
    </row>
    <row r="97" spans="11:49" s="15" customFormat="1"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7"/>
      <c r="AF97" s="8"/>
      <c r="AG97" s="6"/>
      <c r="AH97" s="6"/>
      <c r="AI97" s="9"/>
      <c r="AJ97" s="9"/>
      <c r="AK97" s="9"/>
      <c r="AL97" s="10"/>
      <c r="AM97" s="9"/>
      <c r="AN97" s="10"/>
      <c r="AO97" s="6"/>
      <c r="AP97" s="6"/>
      <c r="AQ97" s="6"/>
      <c r="AR97" s="11"/>
      <c r="AS97" s="6"/>
      <c r="AT97" s="11"/>
      <c r="AU97" s="11"/>
      <c r="AV97" s="6"/>
      <c r="AW97" s="6"/>
    </row>
    <row r="98" spans="11:49" s="15" customFormat="1"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7"/>
      <c r="AF98" s="8"/>
      <c r="AG98" s="6"/>
      <c r="AH98" s="6"/>
      <c r="AI98" s="9"/>
      <c r="AJ98" s="9"/>
      <c r="AK98" s="9"/>
      <c r="AL98" s="10"/>
      <c r="AM98" s="9"/>
      <c r="AN98" s="10"/>
      <c r="AO98" s="6"/>
      <c r="AP98" s="6"/>
      <c r="AQ98" s="6"/>
      <c r="AR98" s="11"/>
      <c r="AS98" s="6"/>
      <c r="AT98" s="11"/>
      <c r="AU98" s="11"/>
      <c r="AV98" s="6"/>
      <c r="AW98" s="6"/>
    </row>
    <row r="99" spans="11:49" s="15" customFormat="1"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7"/>
      <c r="AF99" s="8"/>
      <c r="AG99" s="6"/>
      <c r="AH99" s="6"/>
      <c r="AI99" s="9"/>
      <c r="AJ99" s="9"/>
      <c r="AK99" s="9"/>
      <c r="AL99" s="10"/>
      <c r="AM99" s="9"/>
      <c r="AN99" s="10"/>
      <c r="AO99" s="6"/>
      <c r="AP99" s="6"/>
      <c r="AQ99" s="6"/>
      <c r="AR99" s="11"/>
      <c r="AS99" s="6"/>
      <c r="AT99" s="11"/>
      <c r="AU99" s="11"/>
      <c r="AV99" s="6"/>
      <c r="AW99" s="6"/>
    </row>
    <row r="100" spans="11:49" s="15" customFormat="1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7"/>
      <c r="AF100" s="8"/>
      <c r="AG100" s="6"/>
      <c r="AH100" s="6"/>
      <c r="AI100" s="9"/>
      <c r="AJ100" s="9"/>
      <c r="AK100" s="9"/>
      <c r="AL100" s="10"/>
      <c r="AM100" s="9"/>
      <c r="AN100" s="10"/>
      <c r="AO100" s="6"/>
      <c r="AP100" s="6"/>
      <c r="AQ100" s="6"/>
      <c r="AR100" s="11"/>
      <c r="AS100" s="6"/>
      <c r="AT100" s="11"/>
      <c r="AU100" s="11"/>
      <c r="AV100" s="6"/>
      <c r="AW100" s="6"/>
    </row>
    <row r="101" spans="11:49" s="15" customFormat="1"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7"/>
      <c r="AF101" s="8"/>
      <c r="AG101" s="6"/>
      <c r="AH101" s="6"/>
      <c r="AI101" s="9"/>
      <c r="AJ101" s="9"/>
      <c r="AK101" s="9"/>
      <c r="AL101" s="10"/>
      <c r="AM101" s="9"/>
      <c r="AN101" s="10"/>
      <c r="AO101" s="6"/>
      <c r="AP101" s="6"/>
      <c r="AQ101" s="6"/>
      <c r="AR101" s="11"/>
      <c r="AS101" s="6"/>
      <c r="AT101" s="11"/>
      <c r="AU101" s="11"/>
      <c r="AV101" s="6"/>
      <c r="AW101" s="6"/>
    </row>
    <row r="102" spans="11:49" s="15" customFormat="1"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7"/>
      <c r="AF102" s="8"/>
      <c r="AG102" s="6"/>
      <c r="AH102" s="6"/>
      <c r="AI102" s="9"/>
      <c r="AJ102" s="9"/>
      <c r="AK102" s="9"/>
      <c r="AL102" s="10"/>
      <c r="AM102" s="9"/>
      <c r="AN102" s="10"/>
      <c r="AO102" s="6"/>
      <c r="AP102" s="6"/>
      <c r="AQ102" s="6"/>
      <c r="AR102" s="11"/>
      <c r="AS102" s="6"/>
      <c r="AT102" s="11"/>
      <c r="AU102" s="11"/>
      <c r="AV102" s="6"/>
      <c r="AW102" s="6"/>
    </row>
    <row r="103" spans="11:49" s="15" customFormat="1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7"/>
      <c r="AF103" s="8"/>
      <c r="AG103" s="6"/>
      <c r="AH103" s="6"/>
      <c r="AI103" s="9"/>
      <c r="AJ103" s="9"/>
      <c r="AK103" s="9"/>
      <c r="AL103" s="10"/>
      <c r="AM103" s="9"/>
      <c r="AN103" s="10"/>
      <c r="AO103" s="6"/>
      <c r="AP103" s="6"/>
      <c r="AQ103" s="6"/>
      <c r="AR103" s="11"/>
      <c r="AS103" s="6"/>
      <c r="AT103" s="11"/>
      <c r="AU103" s="11"/>
      <c r="AV103" s="6"/>
      <c r="AW103" s="6"/>
    </row>
    <row r="104" spans="11:49" s="15" customFormat="1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7"/>
      <c r="AF104" s="8"/>
      <c r="AG104" s="6"/>
      <c r="AH104" s="6"/>
      <c r="AI104" s="9"/>
      <c r="AJ104" s="9"/>
      <c r="AK104" s="9"/>
      <c r="AL104" s="10"/>
      <c r="AM104" s="9"/>
      <c r="AN104" s="10"/>
      <c r="AO104" s="6"/>
      <c r="AP104" s="6"/>
      <c r="AQ104" s="6"/>
      <c r="AR104" s="11"/>
      <c r="AS104" s="6"/>
      <c r="AT104" s="11"/>
      <c r="AU104" s="11"/>
      <c r="AV104" s="6"/>
      <c r="AW104" s="6"/>
    </row>
    <row r="105" spans="11:49" s="15" customFormat="1"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7"/>
      <c r="AF105" s="8"/>
      <c r="AG105" s="6"/>
      <c r="AH105" s="6"/>
      <c r="AI105" s="9"/>
      <c r="AJ105" s="9"/>
      <c r="AK105" s="9"/>
      <c r="AL105" s="10"/>
      <c r="AM105" s="9"/>
      <c r="AN105" s="10"/>
      <c r="AO105" s="6"/>
      <c r="AP105" s="6"/>
      <c r="AQ105" s="6"/>
      <c r="AR105" s="11"/>
      <c r="AS105" s="6"/>
      <c r="AT105" s="11"/>
      <c r="AU105" s="11"/>
      <c r="AV105" s="6"/>
      <c r="AW105" s="6"/>
    </row>
    <row r="106" spans="11:49" s="15" customFormat="1"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7"/>
      <c r="AF106" s="8"/>
      <c r="AG106" s="6"/>
      <c r="AH106" s="6"/>
      <c r="AI106" s="9"/>
      <c r="AJ106" s="9"/>
      <c r="AK106" s="9"/>
      <c r="AL106" s="10"/>
      <c r="AM106" s="9"/>
      <c r="AN106" s="10"/>
      <c r="AO106" s="6"/>
      <c r="AP106" s="6"/>
      <c r="AQ106" s="6"/>
      <c r="AR106" s="11"/>
      <c r="AS106" s="6"/>
      <c r="AT106" s="11"/>
      <c r="AU106" s="11"/>
      <c r="AV106" s="6"/>
      <c r="AW106" s="6"/>
    </row>
    <row r="107" spans="11:49" s="15" customFormat="1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7"/>
      <c r="AF107" s="8"/>
      <c r="AG107" s="6"/>
      <c r="AH107" s="6"/>
      <c r="AI107" s="9"/>
      <c r="AJ107" s="9"/>
      <c r="AK107" s="9"/>
      <c r="AL107" s="10"/>
      <c r="AM107" s="9"/>
      <c r="AN107" s="10"/>
      <c r="AO107" s="6"/>
      <c r="AP107" s="6"/>
      <c r="AQ107" s="6"/>
      <c r="AR107" s="11"/>
      <c r="AS107" s="6"/>
      <c r="AT107" s="11"/>
      <c r="AU107" s="11"/>
      <c r="AV107" s="6"/>
      <c r="AW107" s="6"/>
    </row>
    <row r="108" spans="11:49" s="15" customFormat="1"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7"/>
      <c r="AF108" s="8"/>
      <c r="AG108" s="6"/>
      <c r="AH108" s="6"/>
      <c r="AI108" s="9"/>
      <c r="AJ108" s="9"/>
      <c r="AK108" s="9"/>
      <c r="AL108" s="10"/>
      <c r="AM108" s="9"/>
      <c r="AN108" s="10"/>
      <c r="AO108" s="6"/>
      <c r="AP108" s="6"/>
      <c r="AQ108" s="6"/>
      <c r="AR108" s="11"/>
      <c r="AS108" s="6"/>
      <c r="AT108" s="11"/>
      <c r="AU108" s="11"/>
      <c r="AV108" s="6"/>
      <c r="AW108" s="6"/>
    </row>
    <row r="109" spans="11:49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7"/>
      <c r="AF109" s="8"/>
      <c r="AG109" s="6"/>
      <c r="AH109" s="6"/>
      <c r="AI109" s="9"/>
      <c r="AJ109" s="9"/>
      <c r="AK109" s="9"/>
      <c r="AL109" s="10"/>
      <c r="AM109" s="9"/>
      <c r="AN109" s="10"/>
      <c r="AO109" s="6"/>
      <c r="AP109" s="6"/>
      <c r="AQ109" s="6"/>
      <c r="AR109" s="11"/>
      <c r="AS109" s="6"/>
      <c r="AT109" s="11"/>
      <c r="AU109" s="11"/>
      <c r="AV109" s="6"/>
      <c r="AW109" s="6"/>
    </row>
    <row r="110" spans="11:49"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7"/>
      <c r="AF110" s="8"/>
      <c r="AG110" s="6"/>
      <c r="AH110" s="6"/>
      <c r="AI110" s="9"/>
      <c r="AJ110" s="9"/>
      <c r="AK110" s="9"/>
      <c r="AL110" s="10"/>
      <c r="AM110" s="9"/>
      <c r="AN110" s="10"/>
      <c r="AO110" s="6"/>
      <c r="AP110" s="6"/>
      <c r="AQ110" s="6"/>
      <c r="AR110" s="11"/>
      <c r="AS110" s="6"/>
      <c r="AT110" s="11"/>
      <c r="AU110" s="11"/>
      <c r="AV110" s="6"/>
      <c r="AW110" s="6"/>
    </row>
    <row r="111" spans="11:49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7"/>
      <c r="AF111" s="8"/>
      <c r="AG111" s="6"/>
      <c r="AH111" s="6"/>
      <c r="AI111" s="9"/>
      <c r="AJ111" s="9"/>
      <c r="AK111" s="9"/>
      <c r="AL111" s="10"/>
      <c r="AM111" s="9"/>
      <c r="AN111" s="10"/>
      <c r="AO111" s="6"/>
      <c r="AP111" s="6"/>
      <c r="AQ111" s="6"/>
      <c r="AR111" s="11"/>
      <c r="AS111" s="6"/>
      <c r="AT111" s="11"/>
      <c r="AU111" s="11"/>
      <c r="AV111" s="6"/>
      <c r="AW111" s="6"/>
    </row>
    <row r="112" spans="11:49"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7"/>
      <c r="AF112" s="8"/>
      <c r="AG112" s="6"/>
      <c r="AH112" s="6"/>
      <c r="AI112" s="9"/>
      <c r="AJ112" s="9"/>
      <c r="AK112" s="9"/>
      <c r="AL112" s="10"/>
      <c r="AM112" s="9"/>
      <c r="AN112" s="10"/>
      <c r="AO112" s="6"/>
      <c r="AP112" s="6"/>
      <c r="AQ112" s="6"/>
      <c r="AR112" s="11"/>
      <c r="AS112" s="6"/>
      <c r="AT112" s="11"/>
      <c r="AU112" s="11"/>
      <c r="AV112" s="6"/>
      <c r="AW112" s="6"/>
    </row>
    <row r="113" spans="11:49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7"/>
      <c r="AF113" s="8"/>
      <c r="AG113" s="6"/>
      <c r="AH113" s="6"/>
      <c r="AI113" s="9"/>
      <c r="AJ113" s="9"/>
      <c r="AK113" s="9"/>
      <c r="AL113" s="10"/>
      <c r="AM113" s="9"/>
      <c r="AN113" s="10"/>
      <c r="AO113" s="6"/>
      <c r="AP113" s="6"/>
      <c r="AQ113" s="6"/>
      <c r="AR113" s="11"/>
      <c r="AS113" s="6"/>
      <c r="AT113" s="11"/>
      <c r="AU113" s="11"/>
      <c r="AV113" s="6"/>
      <c r="AW113" s="6"/>
    </row>
    <row r="114" spans="11:49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7"/>
      <c r="AF114" s="8"/>
      <c r="AG114" s="6"/>
      <c r="AH114" s="6"/>
      <c r="AI114" s="9"/>
      <c r="AJ114" s="9"/>
      <c r="AK114" s="9"/>
      <c r="AL114" s="10"/>
      <c r="AM114" s="9"/>
      <c r="AN114" s="10"/>
      <c r="AO114" s="6"/>
      <c r="AP114" s="6"/>
      <c r="AQ114" s="6"/>
      <c r="AR114" s="11"/>
      <c r="AS114" s="6"/>
      <c r="AT114" s="11"/>
      <c r="AU114" s="11"/>
      <c r="AV114" s="6"/>
      <c r="AW114" s="6"/>
    </row>
    <row r="115" spans="11:49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7"/>
      <c r="AF115" s="8"/>
      <c r="AG115" s="6"/>
      <c r="AH115" s="6"/>
      <c r="AI115" s="9"/>
      <c r="AJ115" s="9"/>
      <c r="AK115" s="9"/>
      <c r="AL115" s="10"/>
      <c r="AM115" s="9"/>
      <c r="AN115" s="10"/>
      <c r="AO115" s="6"/>
      <c r="AP115" s="6"/>
      <c r="AQ115" s="6"/>
      <c r="AR115" s="11"/>
      <c r="AS115" s="6"/>
      <c r="AT115" s="11"/>
      <c r="AU115" s="11"/>
      <c r="AV115" s="6"/>
      <c r="AW115" s="6"/>
    </row>
    <row r="116" spans="11:49"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7"/>
      <c r="AF116" s="8"/>
      <c r="AG116" s="6"/>
      <c r="AH116" s="6"/>
      <c r="AI116" s="9"/>
      <c r="AJ116" s="9"/>
      <c r="AK116" s="9"/>
      <c r="AL116" s="10"/>
      <c r="AM116" s="9"/>
      <c r="AN116" s="10"/>
      <c r="AO116" s="6"/>
      <c r="AP116" s="6"/>
      <c r="AQ116" s="6"/>
      <c r="AR116" s="11"/>
      <c r="AS116" s="6"/>
      <c r="AT116" s="11"/>
      <c r="AU116" s="11"/>
      <c r="AV116" s="6"/>
      <c r="AW116" s="6"/>
    </row>
    <row r="117" spans="11:49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7"/>
      <c r="AF117" s="8"/>
      <c r="AG117" s="6"/>
      <c r="AH117" s="6"/>
      <c r="AI117" s="9"/>
      <c r="AJ117" s="9"/>
      <c r="AK117" s="9"/>
      <c r="AL117" s="10"/>
      <c r="AM117" s="9"/>
      <c r="AN117" s="10"/>
      <c r="AO117" s="6"/>
      <c r="AP117" s="6"/>
      <c r="AQ117" s="6"/>
      <c r="AR117" s="11"/>
      <c r="AS117" s="6"/>
      <c r="AT117" s="11"/>
      <c r="AU117" s="11"/>
      <c r="AV117" s="6"/>
      <c r="AW117" s="6"/>
    </row>
    <row r="118" spans="11:49"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7"/>
      <c r="AF118" s="8"/>
      <c r="AG118" s="6"/>
      <c r="AH118" s="6"/>
      <c r="AI118" s="9"/>
      <c r="AJ118" s="9"/>
      <c r="AK118" s="9"/>
      <c r="AL118" s="10"/>
      <c r="AM118" s="9"/>
      <c r="AN118" s="10"/>
      <c r="AO118" s="6"/>
      <c r="AP118" s="6"/>
      <c r="AQ118" s="6"/>
      <c r="AR118" s="11"/>
      <c r="AS118" s="6"/>
      <c r="AT118" s="11"/>
      <c r="AU118" s="11"/>
      <c r="AV118" s="6"/>
      <c r="AW118" s="6"/>
    </row>
    <row r="119" spans="11:49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7"/>
      <c r="AF119" s="8"/>
      <c r="AG119" s="6"/>
      <c r="AH119" s="6"/>
      <c r="AI119" s="9"/>
      <c r="AJ119" s="9"/>
      <c r="AK119" s="9"/>
      <c r="AL119" s="10"/>
      <c r="AM119" s="9"/>
      <c r="AN119" s="10"/>
      <c r="AO119" s="6"/>
      <c r="AP119" s="6"/>
      <c r="AQ119" s="6"/>
      <c r="AR119" s="11"/>
      <c r="AS119" s="6"/>
      <c r="AT119" s="11"/>
      <c r="AU119" s="11"/>
      <c r="AV119" s="6"/>
      <c r="AW119" s="6"/>
    </row>
    <row r="120" spans="11:49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7"/>
      <c r="AF120" s="8"/>
      <c r="AG120" s="6"/>
      <c r="AH120" s="6"/>
      <c r="AI120" s="9"/>
      <c r="AJ120" s="9"/>
      <c r="AK120" s="9"/>
      <c r="AL120" s="10"/>
      <c r="AM120" s="9"/>
      <c r="AN120" s="10"/>
      <c r="AO120" s="6"/>
      <c r="AP120" s="6"/>
      <c r="AQ120" s="6"/>
      <c r="AR120" s="11"/>
      <c r="AS120" s="6"/>
      <c r="AT120" s="11"/>
      <c r="AU120" s="11"/>
      <c r="AV120" s="6"/>
      <c r="AW120" s="6"/>
    </row>
    <row r="121" spans="11:49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7"/>
      <c r="AF121" s="8"/>
      <c r="AG121" s="6"/>
      <c r="AH121" s="6"/>
      <c r="AI121" s="9"/>
      <c r="AJ121" s="9"/>
      <c r="AK121" s="9"/>
      <c r="AL121" s="10"/>
      <c r="AM121" s="9"/>
      <c r="AN121" s="10"/>
      <c r="AO121" s="6"/>
      <c r="AP121" s="6"/>
      <c r="AQ121" s="6"/>
      <c r="AR121" s="11"/>
      <c r="AS121" s="6"/>
      <c r="AT121" s="11"/>
      <c r="AU121" s="11"/>
      <c r="AV121" s="6"/>
      <c r="AW121" s="6"/>
    </row>
    <row r="122" spans="11:49"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7"/>
      <c r="AF122" s="8"/>
      <c r="AG122" s="6"/>
      <c r="AH122" s="6"/>
      <c r="AI122" s="9"/>
      <c r="AJ122" s="9"/>
      <c r="AK122" s="9"/>
      <c r="AL122" s="10"/>
      <c r="AM122" s="9"/>
      <c r="AN122" s="10"/>
      <c r="AO122" s="6"/>
      <c r="AP122" s="6"/>
      <c r="AQ122" s="6"/>
      <c r="AR122" s="11"/>
      <c r="AS122" s="6"/>
      <c r="AT122" s="11"/>
      <c r="AU122" s="11"/>
      <c r="AV122" s="6"/>
      <c r="AW122" s="6"/>
    </row>
    <row r="123" spans="11:49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7"/>
      <c r="AF123" s="8"/>
      <c r="AG123" s="6"/>
      <c r="AH123" s="6"/>
      <c r="AI123" s="9"/>
      <c r="AJ123" s="9"/>
      <c r="AK123" s="9"/>
      <c r="AL123" s="10"/>
      <c r="AM123" s="9"/>
      <c r="AN123" s="10"/>
      <c r="AO123" s="6"/>
      <c r="AP123" s="6"/>
      <c r="AQ123" s="6"/>
      <c r="AR123" s="11"/>
      <c r="AS123" s="6"/>
      <c r="AT123" s="11"/>
      <c r="AU123" s="11"/>
      <c r="AV123" s="6"/>
      <c r="AW123" s="6"/>
    </row>
    <row r="124" spans="11:49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7"/>
      <c r="AF124" s="8"/>
      <c r="AG124" s="6"/>
      <c r="AH124" s="6"/>
      <c r="AI124" s="9"/>
      <c r="AJ124" s="9"/>
      <c r="AK124" s="9"/>
      <c r="AL124" s="10"/>
      <c r="AM124" s="9"/>
      <c r="AN124" s="10"/>
      <c r="AO124" s="6"/>
      <c r="AP124" s="6"/>
      <c r="AQ124" s="6"/>
      <c r="AR124" s="11"/>
      <c r="AS124" s="6"/>
      <c r="AT124" s="11"/>
      <c r="AU124" s="11"/>
      <c r="AV124" s="6"/>
      <c r="AW124" s="6"/>
    </row>
    <row r="125" spans="11:49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7"/>
      <c r="AF125" s="8"/>
      <c r="AG125" s="6"/>
      <c r="AH125" s="6"/>
      <c r="AI125" s="9"/>
      <c r="AJ125" s="9"/>
      <c r="AK125" s="9"/>
      <c r="AL125" s="10"/>
      <c r="AM125" s="9"/>
      <c r="AN125" s="10"/>
      <c r="AO125" s="6"/>
      <c r="AP125" s="6"/>
      <c r="AQ125" s="6"/>
      <c r="AR125" s="11"/>
      <c r="AS125" s="6"/>
      <c r="AT125" s="11"/>
      <c r="AU125" s="11"/>
      <c r="AV125" s="6"/>
      <c r="AW125" s="6"/>
    </row>
    <row r="126" spans="11:49"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7"/>
      <c r="AF126" s="8"/>
      <c r="AG126" s="6"/>
      <c r="AH126" s="6"/>
      <c r="AI126" s="9"/>
      <c r="AJ126" s="9"/>
      <c r="AK126" s="9"/>
      <c r="AL126" s="10"/>
      <c r="AM126" s="9"/>
      <c r="AN126" s="10"/>
      <c r="AO126" s="6"/>
      <c r="AP126" s="6"/>
      <c r="AQ126" s="6"/>
      <c r="AR126" s="11"/>
      <c r="AS126" s="6"/>
      <c r="AT126" s="11"/>
      <c r="AU126" s="11"/>
      <c r="AV126" s="6"/>
      <c r="AW126" s="6"/>
    </row>
    <row r="127" spans="11:49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7"/>
      <c r="AF127" s="8"/>
      <c r="AG127" s="6"/>
      <c r="AH127" s="6"/>
      <c r="AI127" s="9"/>
      <c r="AJ127" s="9"/>
      <c r="AK127" s="9"/>
      <c r="AL127" s="10"/>
      <c r="AM127" s="9"/>
      <c r="AN127" s="10"/>
      <c r="AO127" s="6"/>
      <c r="AP127" s="6"/>
      <c r="AQ127" s="6"/>
      <c r="AR127" s="11"/>
      <c r="AS127" s="6"/>
      <c r="AT127" s="11"/>
      <c r="AU127" s="11"/>
      <c r="AV127" s="6"/>
      <c r="AW127" s="6"/>
    </row>
    <row r="128" spans="11:49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7"/>
      <c r="AF128" s="8"/>
      <c r="AG128" s="6"/>
      <c r="AH128" s="6"/>
      <c r="AI128" s="9"/>
      <c r="AJ128" s="9"/>
      <c r="AK128" s="9"/>
      <c r="AL128" s="10"/>
      <c r="AM128" s="9"/>
      <c r="AN128" s="10"/>
      <c r="AO128" s="6"/>
      <c r="AP128" s="6"/>
      <c r="AQ128" s="6"/>
      <c r="AR128" s="11"/>
      <c r="AS128" s="6"/>
      <c r="AT128" s="11"/>
      <c r="AU128" s="11"/>
      <c r="AV128" s="6"/>
      <c r="AW128" s="6"/>
    </row>
    <row r="129" spans="11:49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7"/>
      <c r="AF129" s="8"/>
      <c r="AG129" s="6"/>
      <c r="AH129" s="6"/>
      <c r="AI129" s="9"/>
      <c r="AJ129" s="9"/>
      <c r="AK129" s="9"/>
      <c r="AL129" s="10"/>
      <c r="AM129" s="9"/>
      <c r="AN129" s="10"/>
      <c r="AO129" s="6"/>
      <c r="AP129" s="6"/>
      <c r="AQ129" s="6"/>
      <c r="AR129" s="11"/>
      <c r="AS129" s="6"/>
      <c r="AT129" s="11"/>
      <c r="AU129" s="11"/>
      <c r="AV129" s="6"/>
      <c r="AW129" s="6"/>
    </row>
    <row r="130" spans="11:49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7"/>
      <c r="AF130" s="8"/>
      <c r="AG130" s="6"/>
      <c r="AH130" s="6"/>
      <c r="AI130" s="9"/>
      <c r="AJ130" s="9"/>
      <c r="AK130" s="9"/>
      <c r="AL130" s="10"/>
      <c r="AM130" s="9"/>
      <c r="AN130" s="10"/>
      <c r="AO130" s="6"/>
      <c r="AP130" s="6"/>
      <c r="AQ130" s="6"/>
      <c r="AR130" s="11"/>
      <c r="AS130" s="6"/>
      <c r="AT130" s="11"/>
      <c r="AU130" s="11"/>
      <c r="AV130" s="6"/>
      <c r="AW130" s="6"/>
    </row>
    <row r="131" spans="11:49"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7"/>
      <c r="AF131" s="8"/>
      <c r="AG131" s="6"/>
      <c r="AH131" s="6"/>
      <c r="AI131" s="9"/>
      <c r="AJ131" s="9"/>
      <c r="AK131" s="9"/>
      <c r="AL131" s="10"/>
      <c r="AM131" s="9"/>
      <c r="AN131" s="10"/>
      <c r="AO131" s="6"/>
      <c r="AP131" s="6"/>
      <c r="AQ131" s="6"/>
      <c r="AR131" s="11"/>
      <c r="AS131" s="6"/>
      <c r="AT131" s="11"/>
      <c r="AU131" s="11"/>
      <c r="AV131" s="6"/>
      <c r="AW131" s="6"/>
    </row>
    <row r="132" spans="11:49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7"/>
      <c r="AF132" s="8"/>
      <c r="AG132" s="6"/>
      <c r="AH132" s="6"/>
      <c r="AI132" s="9"/>
      <c r="AJ132" s="9"/>
      <c r="AK132" s="9"/>
      <c r="AL132" s="10"/>
      <c r="AM132" s="9"/>
      <c r="AN132" s="10"/>
      <c r="AO132" s="6"/>
      <c r="AP132" s="6"/>
      <c r="AQ132" s="6"/>
      <c r="AR132" s="11"/>
      <c r="AS132" s="6"/>
      <c r="AT132" s="11"/>
      <c r="AU132" s="11"/>
      <c r="AV132" s="6"/>
      <c r="AW132" s="6"/>
    </row>
    <row r="133" spans="11:49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7"/>
      <c r="AF133" s="8"/>
      <c r="AG133" s="6"/>
      <c r="AH133" s="6"/>
      <c r="AI133" s="9"/>
      <c r="AJ133" s="9"/>
      <c r="AK133" s="9"/>
      <c r="AL133" s="10"/>
      <c r="AM133" s="9"/>
      <c r="AN133" s="10"/>
      <c r="AO133" s="6"/>
      <c r="AP133" s="6"/>
      <c r="AQ133" s="6"/>
      <c r="AR133" s="11"/>
      <c r="AS133" s="6"/>
      <c r="AT133" s="11"/>
      <c r="AU133" s="11"/>
      <c r="AV133" s="6"/>
      <c r="AW133" s="6"/>
    </row>
    <row r="134" spans="11:49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7"/>
      <c r="AF134" s="8"/>
      <c r="AG134" s="6"/>
      <c r="AH134" s="6"/>
      <c r="AI134" s="9"/>
      <c r="AJ134" s="9"/>
      <c r="AK134" s="9"/>
      <c r="AL134" s="10"/>
      <c r="AM134" s="9"/>
      <c r="AN134" s="10"/>
      <c r="AO134" s="6"/>
      <c r="AP134" s="6"/>
      <c r="AQ134" s="6"/>
      <c r="AR134" s="11"/>
      <c r="AS134" s="6"/>
      <c r="AT134" s="11"/>
      <c r="AU134" s="11"/>
      <c r="AV134" s="6"/>
      <c r="AW134" s="6"/>
    </row>
    <row r="135" spans="11:49"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7"/>
      <c r="AF135" s="8"/>
      <c r="AG135" s="6"/>
      <c r="AH135" s="6"/>
      <c r="AI135" s="9"/>
      <c r="AJ135" s="9"/>
      <c r="AK135" s="9"/>
      <c r="AL135" s="10"/>
      <c r="AM135" s="9"/>
      <c r="AN135" s="10"/>
      <c r="AO135" s="6"/>
      <c r="AP135" s="6"/>
      <c r="AQ135" s="6"/>
      <c r="AR135" s="11"/>
      <c r="AS135" s="6"/>
      <c r="AT135" s="11"/>
      <c r="AU135" s="11"/>
      <c r="AV135" s="6"/>
      <c r="AW135" s="6"/>
    </row>
    <row r="136" spans="11:49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7"/>
      <c r="AF136" s="8"/>
      <c r="AG136" s="6"/>
      <c r="AH136" s="6"/>
      <c r="AI136" s="9"/>
      <c r="AJ136" s="9"/>
      <c r="AK136" s="9"/>
      <c r="AL136" s="10"/>
      <c r="AM136" s="9"/>
      <c r="AN136" s="10"/>
      <c r="AO136" s="6"/>
      <c r="AP136" s="6"/>
      <c r="AQ136" s="6"/>
      <c r="AR136" s="11"/>
      <c r="AS136" s="6"/>
      <c r="AT136" s="11"/>
      <c r="AU136" s="11"/>
      <c r="AV136" s="6"/>
      <c r="AW136" s="6"/>
    </row>
    <row r="137" spans="11:49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7"/>
      <c r="AF137" s="8"/>
      <c r="AG137" s="6"/>
      <c r="AH137" s="6"/>
      <c r="AI137" s="9"/>
      <c r="AJ137" s="9"/>
      <c r="AK137" s="9"/>
      <c r="AL137" s="10"/>
      <c r="AM137" s="9"/>
      <c r="AN137" s="10"/>
      <c r="AO137" s="6"/>
      <c r="AP137" s="6"/>
      <c r="AQ137" s="6"/>
      <c r="AR137" s="11"/>
      <c r="AS137" s="6"/>
      <c r="AT137" s="11"/>
      <c r="AU137" s="11"/>
      <c r="AV137" s="6"/>
      <c r="AW137" s="6"/>
    </row>
    <row r="138" spans="11:49"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7"/>
      <c r="AF138" s="8"/>
      <c r="AG138" s="6"/>
      <c r="AH138" s="6"/>
      <c r="AI138" s="9"/>
      <c r="AJ138" s="9"/>
      <c r="AK138" s="9"/>
      <c r="AL138" s="10"/>
      <c r="AM138" s="9"/>
      <c r="AN138" s="10"/>
      <c r="AO138" s="6"/>
      <c r="AP138" s="6"/>
      <c r="AQ138" s="6"/>
      <c r="AR138" s="11"/>
      <c r="AS138" s="6"/>
      <c r="AT138" s="11"/>
      <c r="AU138" s="11"/>
      <c r="AV138" s="6"/>
      <c r="AW138" s="6"/>
    </row>
    <row r="139" spans="11:49"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7"/>
      <c r="AF139" s="8"/>
      <c r="AG139" s="6"/>
      <c r="AH139" s="6"/>
      <c r="AI139" s="9"/>
      <c r="AJ139" s="9"/>
      <c r="AK139" s="9"/>
      <c r="AL139" s="10"/>
      <c r="AM139" s="9"/>
      <c r="AN139" s="10"/>
      <c r="AO139" s="6"/>
      <c r="AP139" s="6"/>
      <c r="AQ139" s="6"/>
      <c r="AR139" s="11"/>
      <c r="AS139" s="6"/>
      <c r="AT139" s="11"/>
      <c r="AU139" s="11"/>
      <c r="AV139" s="6"/>
      <c r="AW139" s="6"/>
    </row>
    <row r="140" spans="11:49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7"/>
      <c r="AF140" s="8"/>
      <c r="AG140" s="6"/>
      <c r="AH140" s="6"/>
      <c r="AI140" s="9"/>
      <c r="AJ140" s="9"/>
      <c r="AK140" s="9"/>
      <c r="AL140" s="10"/>
      <c r="AM140" s="9"/>
      <c r="AN140" s="10"/>
      <c r="AO140" s="6"/>
      <c r="AP140" s="6"/>
      <c r="AQ140" s="6"/>
      <c r="AR140" s="11"/>
      <c r="AS140" s="6"/>
      <c r="AT140" s="11"/>
      <c r="AU140" s="11"/>
      <c r="AV140" s="6"/>
      <c r="AW140" s="6"/>
    </row>
    <row r="141" spans="11:49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7"/>
      <c r="AF141" s="8"/>
      <c r="AG141" s="6"/>
      <c r="AH141" s="6"/>
      <c r="AI141" s="9"/>
      <c r="AJ141" s="9"/>
      <c r="AK141" s="9"/>
      <c r="AL141" s="10"/>
      <c r="AM141" s="9"/>
      <c r="AN141" s="10"/>
      <c r="AO141" s="6"/>
      <c r="AP141" s="6"/>
      <c r="AQ141" s="6"/>
      <c r="AR141" s="11"/>
      <c r="AS141" s="6"/>
      <c r="AT141" s="11"/>
      <c r="AU141" s="11"/>
      <c r="AV141" s="6"/>
      <c r="AW141" s="6"/>
    </row>
    <row r="142" spans="11:49"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7"/>
      <c r="AF142" s="8"/>
      <c r="AG142" s="6"/>
      <c r="AH142" s="6"/>
      <c r="AI142" s="9"/>
      <c r="AJ142" s="9"/>
      <c r="AK142" s="9"/>
      <c r="AL142" s="10"/>
      <c r="AM142" s="9"/>
      <c r="AN142" s="10"/>
      <c r="AO142" s="6"/>
      <c r="AP142" s="6"/>
      <c r="AQ142" s="6"/>
      <c r="AR142" s="11"/>
      <c r="AS142" s="6"/>
      <c r="AT142" s="11"/>
      <c r="AU142" s="11"/>
      <c r="AV142" s="6"/>
      <c r="AW142" s="6"/>
    </row>
    <row r="143" spans="11:49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7"/>
      <c r="AF143" s="8"/>
      <c r="AG143" s="6"/>
      <c r="AH143" s="6"/>
      <c r="AI143" s="9"/>
      <c r="AJ143" s="9"/>
      <c r="AK143" s="9"/>
      <c r="AL143" s="10"/>
      <c r="AM143" s="9"/>
      <c r="AN143" s="10"/>
      <c r="AO143" s="6"/>
      <c r="AP143" s="6"/>
      <c r="AQ143" s="6"/>
      <c r="AR143" s="11"/>
      <c r="AS143" s="6"/>
      <c r="AT143" s="11"/>
      <c r="AU143" s="11"/>
      <c r="AV143" s="6"/>
      <c r="AW143" s="6"/>
    </row>
    <row r="144" spans="11:49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7"/>
      <c r="AF144" s="8"/>
      <c r="AG144" s="6"/>
      <c r="AH144" s="6"/>
      <c r="AI144" s="9"/>
      <c r="AJ144" s="9"/>
      <c r="AK144" s="9"/>
      <c r="AL144" s="10"/>
      <c r="AM144" s="9"/>
      <c r="AN144" s="10"/>
      <c r="AO144" s="6"/>
      <c r="AP144" s="6"/>
      <c r="AQ144" s="6"/>
      <c r="AR144" s="11"/>
      <c r="AS144" s="6"/>
      <c r="AT144" s="11"/>
      <c r="AU144" s="11"/>
      <c r="AV144" s="6"/>
      <c r="AW144" s="6"/>
    </row>
    <row r="145" spans="11:49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7"/>
      <c r="AF145" s="8"/>
      <c r="AG145" s="6"/>
      <c r="AH145" s="6"/>
      <c r="AI145" s="9"/>
      <c r="AJ145" s="9"/>
      <c r="AK145" s="9"/>
      <c r="AL145" s="10"/>
      <c r="AM145" s="9"/>
      <c r="AN145" s="10"/>
      <c r="AO145" s="6"/>
      <c r="AP145" s="6"/>
      <c r="AQ145" s="6"/>
      <c r="AR145" s="11"/>
      <c r="AS145" s="6"/>
      <c r="AT145" s="11"/>
      <c r="AU145" s="11"/>
      <c r="AV145" s="6"/>
      <c r="AW145" s="6"/>
    </row>
    <row r="146" spans="11:49"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7"/>
      <c r="AF146" s="8"/>
      <c r="AG146" s="6"/>
      <c r="AH146" s="6"/>
      <c r="AI146" s="9"/>
      <c r="AJ146" s="9"/>
      <c r="AK146" s="9"/>
      <c r="AL146" s="10"/>
      <c r="AM146" s="9"/>
      <c r="AN146" s="10"/>
      <c r="AO146" s="6"/>
      <c r="AP146" s="6"/>
      <c r="AQ146" s="6"/>
      <c r="AR146" s="11"/>
      <c r="AS146" s="6"/>
      <c r="AT146" s="11"/>
      <c r="AU146" s="11"/>
      <c r="AV146" s="6"/>
      <c r="AW146" s="6"/>
    </row>
    <row r="147" spans="11:49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7"/>
      <c r="AF147" s="8"/>
      <c r="AG147" s="6"/>
      <c r="AH147" s="6"/>
      <c r="AI147" s="9"/>
      <c r="AJ147" s="9"/>
      <c r="AK147" s="9"/>
      <c r="AL147" s="10"/>
      <c r="AM147" s="9"/>
      <c r="AN147" s="10"/>
      <c r="AO147" s="6"/>
      <c r="AP147" s="6"/>
      <c r="AQ147" s="6"/>
      <c r="AR147" s="11"/>
      <c r="AS147" s="6"/>
      <c r="AT147" s="11"/>
      <c r="AU147" s="11"/>
      <c r="AV147" s="6"/>
      <c r="AW147" s="6"/>
    </row>
    <row r="148" spans="11:49"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7"/>
      <c r="AF148" s="8"/>
      <c r="AG148" s="6"/>
      <c r="AH148" s="6"/>
      <c r="AI148" s="9"/>
      <c r="AJ148" s="9"/>
      <c r="AK148" s="9"/>
      <c r="AL148" s="10"/>
      <c r="AM148" s="9"/>
      <c r="AN148" s="10"/>
      <c r="AO148" s="6"/>
      <c r="AP148" s="6"/>
      <c r="AQ148" s="6"/>
      <c r="AR148" s="11"/>
      <c r="AS148" s="6"/>
      <c r="AT148" s="11"/>
      <c r="AU148" s="11"/>
      <c r="AV148" s="6"/>
      <c r="AW148" s="6"/>
    </row>
    <row r="149" spans="11:49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7"/>
      <c r="AF149" s="8"/>
      <c r="AG149" s="6"/>
      <c r="AH149" s="6"/>
      <c r="AI149" s="9"/>
      <c r="AJ149" s="9"/>
      <c r="AK149" s="9"/>
      <c r="AL149" s="10"/>
      <c r="AM149" s="9"/>
      <c r="AN149" s="10"/>
      <c r="AO149" s="6"/>
      <c r="AP149" s="6"/>
      <c r="AQ149" s="6"/>
      <c r="AR149" s="11"/>
      <c r="AS149" s="6"/>
      <c r="AT149" s="11"/>
      <c r="AU149" s="11"/>
      <c r="AV149" s="6"/>
      <c r="AW149" s="6"/>
    </row>
    <row r="150" spans="11:49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7"/>
      <c r="AF150" s="8"/>
      <c r="AG150" s="6"/>
      <c r="AH150" s="6"/>
      <c r="AI150" s="9"/>
      <c r="AJ150" s="9"/>
      <c r="AK150" s="9"/>
      <c r="AL150" s="10"/>
      <c r="AM150" s="9"/>
      <c r="AN150" s="10"/>
      <c r="AO150" s="6"/>
      <c r="AP150" s="6"/>
      <c r="AQ150" s="6"/>
      <c r="AR150" s="11"/>
      <c r="AS150" s="6"/>
      <c r="AT150" s="11"/>
      <c r="AU150" s="11"/>
      <c r="AV150" s="6"/>
      <c r="AW150" s="6"/>
    </row>
    <row r="151" spans="11:49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7"/>
      <c r="AF151" s="8"/>
      <c r="AG151" s="6"/>
      <c r="AH151" s="6"/>
      <c r="AI151" s="9"/>
      <c r="AJ151" s="9"/>
      <c r="AK151" s="9"/>
      <c r="AL151" s="10"/>
      <c r="AM151" s="9"/>
      <c r="AN151" s="10"/>
      <c r="AO151" s="6"/>
      <c r="AP151" s="6"/>
      <c r="AQ151" s="6"/>
      <c r="AR151" s="11"/>
      <c r="AS151" s="6"/>
      <c r="AT151" s="11"/>
      <c r="AU151" s="11"/>
      <c r="AV151" s="6"/>
      <c r="AW151" s="6"/>
    </row>
    <row r="152" spans="11:49"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7"/>
      <c r="AF152" s="8"/>
      <c r="AG152" s="6"/>
      <c r="AH152" s="6"/>
      <c r="AI152" s="9"/>
      <c r="AJ152" s="9"/>
      <c r="AK152" s="9"/>
      <c r="AL152" s="10"/>
      <c r="AM152" s="9"/>
      <c r="AN152" s="10"/>
      <c r="AO152" s="6"/>
      <c r="AP152" s="6"/>
      <c r="AQ152" s="6"/>
      <c r="AR152" s="11"/>
      <c r="AS152" s="6"/>
      <c r="AT152" s="11"/>
      <c r="AU152" s="11"/>
      <c r="AV152" s="6"/>
      <c r="AW152" s="6"/>
    </row>
    <row r="153" spans="11:49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7"/>
      <c r="AF153" s="8"/>
      <c r="AG153" s="6"/>
      <c r="AH153" s="6"/>
      <c r="AI153" s="9"/>
      <c r="AJ153" s="9"/>
      <c r="AK153" s="9"/>
      <c r="AL153" s="10"/>
      <c r="AM153" s="9"/>
      <c r="AN153" s="10"/>
      <c r="AO153" s="6"/>
      <c r="AP153" s="6"/>
      <c r="AQ153" s="6"/>
      <c r="AR153" s="11"/>
      <c r="AS153" s="6"/>
      <c r="AT153" s="11"/>
      <c r="AU153" s="11"/>
      <c r="AV153" s="6"/>
      <c r="AW153" s="6"/>
    </row>
    <row r="154" spans="11:49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7"/>
      <c r="AF154" s="8"/>
      <c r="AG154" s="6"/>
      <c r="AH154" s="6"/>
      <c r="AI154" s="9"/>
      <c r="AJ154" s="9"/>
      <c r="AK154" s="9"/>
      <c r="AL154" s="10"/>
      <c r="AM154" s="9"/>
      <c r="AN154" s="10"/>
      <c r="AO154" s="6"/>
      <c r="AP154" s="6"/>
      <c r="AQ154" s="6"/>
      <c r="AR154" s="11"/>
      <c r="AS154" s="6"/>
      <c r="AT154" s="11"/>
      <c r="AU154" s="11"/>
      <c r="AV154" s="6"/>
      <c r="AW154" s="6"/>
    </row>
    <row r="155" spans="11:49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7"/>
      <c r="AF155" s="8"/>
      <c r="AG155" s="6"/>
      <c r="AH155" s="6"/>
      <c r="AI155" s="9"/>
      <c r="AJ155" s="9"/>
      <c r="AK155" s="9"/>
      <c r="AL155" s="10"/>
      <c r="AM155" s="9"/>
      <c r="AN155" s="10"/>
      <c r="AO155" s="6"/>
      <c r="AP155" s="6"/>
      <c r="AQ155" s="6"/>
      <c r="AR155" s="11"/>
      <c r="AS155" s="6"/>
      <c r="AT155" s="11"/>
      <c r="AU155" s="11"/>
      <c r="AV155" s="6"/>
      <c r="AW155" s="6"/>
    </row>
    <row r="156" spans="11:49"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7"/>
      <c r="AF156" s="8"/>
      <c r="AG156" s="6"/>
      <c r="AH156" s="6"/>
      <c r="AI156" s="9"/>
      <c r="AJ156" s="9"/>
      <c r="AK156" s="9"/>
      <c r="AL156" s="10"/>
      <c r="AM156" s="9"/>
      <c r="AN156" s="10"/>
      <c r="AO156" s="6"/>
      <c r="AP156" s="6"/>
      <c r="AQ156" s="6"/>
      <c r="AR156" s="11"/>
      <c r="AS156" s="6"/>
      <c r="AT156" s="11"/>
      <c r="AU156" s="11"/>
      <c r="AV156" s="6"/>
      <c r="AW156" s="6"/>
    </row>
    <row r="157" spans="11:49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7"/>
      <c r="AF157" s="8"/>
      <c r="AG157" s="6"/>
      <c r="AH157" s="6"/>
      <c r="AI157" s="9"/>
      <c r="AJ157" s="9"/>
      <c r="AK157" s="9"/>
      <c r="AL157" s="10"/>
      <c r="AM157" s="9"/>
      <c r="AN157" s="10"/>
      <c r="AO157" s="6"/>
      <c r="AP157" s="6"/>
      <c r="AQ157" s="6"/>
      <c r="AR157" s="11"/>
      <c r="AS157" s="6"/>
      <c r="AT157" s="11"/>
      <c r="AU157" s="11"/>
      <c r="AV157" s="6"/>
      <c r="AW157" s="6"/>
    </row>
    <row r="158" spans="11:49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7"/>
      <c r="AF158" s="8"/>
      <c r="AG158" s="6"/>
      <c r="AH158" s="6"/>
      <c r="AI158" s="9"/>
      <c r="AJ158" s="9"/>
      <c r="AK158" s="9"/>
      <c r="AL158" s="10"/>
      <c r="AM158" s="9"/>
      <c r="AN158" s="10"/>
      <c r="AO158" s="6"/>
      <c r="AP158" s="6"/>
      <c r="AQ158" s="6"/>
      <c r="AR158" s="11"/>
      <c r="AS158" s="6"/>
      <c r="AT158" s="11"/>
      <c r="AU158" s="11"/>
      <c r="AV158" s="6"/>
      <c r="AW158" s="6"/>
    </row>
    <row r="159" spans="11:49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7"/>
      <c r="AF159" s="8"/>
      <c r="AG159" s="6"/>
      <c r="AH159" s="6"/>
      <c r="AI159" s="9"/>
      <c r="AJ159" s="9"/>
      <c r="AK159" s="9"/>
      <c r="AL159" s="10"/>
      <c r="AM159" s="9"/>
      <c r="AN159" s="10"/>
      <c r="AO159" s="6"/>
      <c r="AP159" s="6"/>
      <c r="AQ159" s="6"/>
      <c r="AR159" s="11"/>
      <c r="AS159" s="6"/>
      <c r="AT159" s="11"/>
      <c r="AU159" s="11"/>
      <c r="AV159" s="6"/>
      <c r="AW159" s="6"/>
    </row>
    <row r="160" spans="11:49"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7"/>
      <c r="AF160" s="8"/>
      <c r="AG160" s="6"/>
      <c r="AH160" s="6"/>
      <c r="AI160" s="9"/>
      <c r="AJ160" s="9"/>
      <c r="AK160" s="9"/>
      <c r="AL160" s="10"/>
      <c r="AM160" s="9"/>
      <c r="AN160" s="10"/>
      <c r="AO160" s="6"/>
      <c r="AP160" s="6"/>
      <c r="AQ160" s="6"/>
      <c r="AR160" s="11"/>
      <c r="AS160" s="6"/>
      <c r="AT160" s="11"/>
      <c r="AU160" s="11"/>
      <c r="AV160" s="6"/>
      <c r="AW160" s="6"/>
    </row>
    <row r="161" spans="11:49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7"/>
      <c r="AF161" s="8"/>
      <c r="AG161" s="6"/>
      <c r="AH161" s="6"/>
      <c r="AI161" s="9"/>
      <c r="AJ161" s="9"/>
      <c r="AK161" s="9"/>
      <c r="AL161" s="10"/>
      <c r="AM161" s="9"/>
      <c r="AN161" s="10"/>
      <c r="AO161" s="6"/>
      <c r="AP161" s="6"/>
      <c r="AQ161" s="6"/>
      <c r="AR161" s="11"/>
      <c r="AS161" s="6"/>
      <c r="AT161" s="11"/>
      <c r="AU161" s="11"/>
      <c r="AV161" s="6"/>
      <c r="AW161" s="6"/>
    </row>
    <row r="162" spans="11:49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7"/>
      <c r="AF162" s="8"/>
      <c r="AG162" s="6"/>
      <c r="AH162" s="6"/>
      <c r="AI162" s="9"/>
      <c r="AJ162" s="9"/>
      <c r="AK162" s="9"/>
      <c r="AL162" s="10"/>
      <c r="AM162" s="9"/>
      <c r="AN162" s="10"/>
      <c r="AO162" s="6"/>
      <c r="AP162" s="6"/>
      <c r="AQ162" s="6"/>
      <c r="AR162" s="11"/>
      <c r="AS162" s="6"/>
      <c r="AT162" s="11"/>
      <c r="AU162" s="11"/>
      <c r="AV162" s="6"/>
      <c r="AW162" s="6"/>
    </row>
    <row r="163" spans="11:49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7"/>
      <c r="AF163" s="8"/>
      <c r="AG163" s="6"/>
      <c r="AH163" s="6"/>
      <c r="AI163" s="9"/>
      <c r="AJ163" s="9"/>
      <c r="AK163" s="9"/>
      <c r="AL163" s="10"/>
      <c r="AM163" s="9"/>
      <c r="AN163" s="10"/>
      <c r="AO163" s="6"/>
      <c r="AP163" s="6"/>
      <c r="AQ163" s="6"/>
      <c r="AR163" s="11"/>
      <c r="AS163" s="6"/>
      <c r="AT163" s="11"/>
      <c r="AU163" s="11"/>
      <c r="AV163" s="6"/>
      <c r="AW163" s="6"/>
    </row>
    <row r="164" spans="11:49"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7"/>
      <c r="AF164" s="8"/>
      <c r="AG164" s="6"/>
      <c r="AH164" s="6"/>
      <c r="AI164" s="9"/>
      <c r="AJ164" s="9"/>
      <c r="AK164" s="9"/>
      <c r="AL164" s="10"/>
      <c r="AM164" s="9"/>
      <c r="AN164" s="10"/>
      <c r="AO164" s="6"/>
      <c r="AP164" s="6"/>
      <c r="AQ164" s="6"/>
      <c r="AR164" s="11"/>
      <c r="AS164" s="6"/>
      <c r="AT164" s="11"/>
      <c r="AU164" s="11"/>
      <c r="AV164" s="6"/>
      <c r="AW164" s="6"/>
    </row>
    <row r="165" spans="11:49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7"/>
      <c r="AF165" s="8"/>
      <c r="AG165" s="6"/>
      <c r="AH165" s="6"/>
      <c r="AI165" s="9"/>
      <c r="AJ165" s="9"/>
      <c r="AK165" s="9"/>
      <c r="AL165" s="10"/>
      <c r="AM165" s="9"/>
      <c r="AN165" s="10"/>
      <c r="AO165" s="6"/>
      <c r="AP165" s="6"/>
      <c r="AQ165" s="6"/>
      <c r="AR165" s="11"/>
      <c r="AS165" s="6"/>
      <c r="AT165" s="11"/>
      <c r="AU165" s="11"/>
      <c r="AV165" s="6"/>
      <c r="AW165" s="6"/>
    </row>
    <row r="166" spans="11:49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7"/>
      <c r="AF166" s="8"/>
      <c r="AG166" s="6"/>
      <c r="AH166" s="6"/>
      <c r="AI166" s="9"/>
      <c r="AJ166" s="9"/>
      <c r="AK166" s="9"/>
      <c r="AL166" s="10"/>
      <c r="AM166" s="9"/>
      <c r="AN166" s="10"/>
      <c r="AO166" s="6"/>
      <c r="AP166" s="6"/>
      <c r="AQ166" s="6"/>
      <c r="AR166" s="11"/>
      <c r="AS166" s="6"/>
      <c r="AT166" s="11"/>
      <c r="AU166" s="11"/>
      <c r="AV166" s="6"/>
      <c r="AW166" s="6"/>
    </row>
    <row r="167" spans="11:49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7"/>
      <c r="AF167" s="8"/>
      <c r="AG167" s="6"/>
      <c r="AH167" s="6"/>
      <c r="AI167" s="9"/>
      <c r="AJ167" s="9"/>
      <c r="AK167" s="9"/>
      <c r="AL167" s="10"/>
      <c r="AM167" s="9"/>
      <c r="AN167" s="10"/>
      <c r="AO167" s="6"/>
      <c r="AP167" s="6"/>
      <c r="AQ167" s="6"/>
      <c r="AR167" s="11"/>
      <c r="AS167" s="6"/>
      <c r="AT167" s="11"/>
      <c r="AU167" s="11"/>
      <c r="AV167" s="6"/>
      <c r="AW167" s="6"/>
    </row>
    <row r="168" spans="11:49"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7"/>
      <c r="AF168" s="8"/>
      <c r="AG168" s="6"/>
      <c r="AH168" s="6"/>
      <c r="AI168" s="9"/>
      <c r="AJ168" s="9"/>
      <c r="AK168" s="9"/>
      <c r="AL168" s="10"/>
      <c r="AM168" s="9"/>
      <c r="AN168" s="10"/>
      <c r="AO168" s="6"/>
      <c r="AP168" s="6"/>
      <c r="AQ168" s="6"/>
      <c r="AR168" s="11"/>
      <c r="AS168" s="6"/>
      <c r="AT168" s="11"/>
      <c r="AU168" s="11"/>
      <c r="AV168" s="6"/>
      <c r="AW168" s="6"/>
    </row>
    <row r="169" spans="11:49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7"/>
      <c r="AF169" s="8"/>
      <c r="AG169" s="6"/>
      <c r="AH169" s="6"/>
      <c r="AI169" s="9"/>
      <c r="AJ169" s="9"/>
      <c r="AK169" s="9"/>
      <c r="AL169" s="10"/>
      <c r="AM169" s="9"/>
      <c r="AN169" s="10"/>
      <c r="AO169" s="6"/>
      <c r="AP169" s="6"/>
      <c r="AQ169" s="6"/>
      <c r="AR169" s="11"/>
      <c r="AS169" s="6"/>
      <c r="AT169" s="11"/>
      <c r="AU169" s="11"/>
      <c r="AV169" s="6"/>
      <c r="AW169" s="6"/>
    </row>
    <row r="170" spans="11:49"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7"/>
      <c r="AF170" s="8"/>
      <c r="AG170" s="6"/>
      <c r="AH170" s="6"/>
      <c r="AI170" s="9"/>
      <c r="AJ170" s="9"/>
      <c r="AK170" s="9"/>
      <c r="AL170" s="10"/>
      <c r="AM170" s="9"/>
      <c r="AN170" s="10"/>
      <c r="AO170" s="6"/>
      <c r="AP170" s="6"/>
      <c r="AQ170" s="6"/>
      <c r="AR170" s="11"/>
      <c r="AS170" s="6"/>
      <c r="AT170" s="11"/>
      <c r="AU170" s="11"/>
      <c r="AV170" s="6"/>
      <c r="AW170" s="6"/>
    </row>
    <row r="171" spans="11:49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7"/>
      <c r="AF171" s="8"/>
      <c r="AG171" s="6"/>
      <c r="AH171" s="6"/>
      <c r="AI171" s="9"/>
      <c r="AJ171" s="9"/>
      <c r="AK171" s="9"/>
      <c r="AL171" s="10"/>
      <c r="AM171" s="9"/>
      <c r="AN171" s="10"/>
      <c r="AO171" s="6"/>
      <c r="AP171" s="6"/>
      <c r="AQ171" s="6"/>
      <c r="AR171" s="11"/>
      <c r="AS171" s="6"/>
      <c r="AT171" s="11"/>
      <c r="AU171" s="11"/>
      <c r="AV171" s="6"/>
      <c r="AW171" s="6"/>
    </row>
    <row r="172" spans="11:49"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7"/>
      <c r="AF172" s="8"/>
      <c r="AG172" s="6"/>
      <c r="AH172" s="6"/>
      <c r="AI172" s="9"/>
      <c r="AJ172" s="9"/>
      <c r="AK172" s="9"/>
      <c r="AL172" s="10"/>
      <c r="AM172" s="9"/>
      <c r="AN172" s="10"/>
      <c r="AO172" s="6"/>
      <c r="AP172" s="6"/>
      <c r="AQ172" s="6"/>
      <c r="AR172" s="11"/>
      <c r="AS172" s="6"/>
      <c r="AT172" s="11"/>
      <c r="AU172" s="11"/>
      <c r="AV172" s="6"/>
      <c r="AW172" s="6"/>
    </row>
    <row r="173" spans="11:49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7"/>
      <c r="AF173" s="8"/>
      <c r="AG173" s="6"/>
      <c r="AH173" s="6"/>
      <c r="AI173" s="9"/>
      <c r="AJ173" s="9"/>
      <c r="AK173" s="9"/>
      <c r="AL173" s="10"/>
      <c r="AM173" s="9"/>
      <c r="AN173" s="10"/>
      <c r="AO173" s="6"/>
      <c r="AP173" s="6"/>
      <c r="AQ173" s="6"/>
      <c r="AR173" s="11"/>
      <c r="AS173" s="6"/>
      <c r="AT173" s="11"/>
      <c r="AU173" s="11"/>
      <c r="AV173" s="6"/>
      <c r="AW173" s="6"/>
    </row>
    <row r="174" spans="11:49"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7"/>
      <c r="AF174" s="8"/>
      <c r="AG174" s="6"/>
      <c r="AH174" s="6"/>
      <c r="AI174" s="9"/>
      <c r="AJ174" s="9"/>
      <c r="AK174" s="9"/>
      <c r="AL174" s="10"/>
      <c r="AM174" s="9"/>
      <c r="AN174" s="10"/>
      <c r="AO174" s="6"/>
      <c r="AP174" s="6"/>
      <c r="AQ174" s="6"/>
      <c r="AR174" s="11"/>
      <c r="AS174" s="6"/>
      <c r="AT174" s="11"/>
      <c r="AU174" s="11"/>
      <c r="AV174" s="6"/>
      <c r="AW174" s="6"/>
    </row>
    <row r="175" spans="11:49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7"/>
      <c r="AF175" s="8"/>
      <c r="AG175" s="6"/>
      <c r="AH175" s="6"/>
      <c r="AI175" s="9"/>
      <c r="AJ175" s="9"/>
      <c r="AK175" s="9"/>
      <c r="AL175" s="10"/>
      <c r="AM175" s="9"/>
      <c r="AN175" s="10"/>
      <c r="AO175" s="6"/>
      <c r="AP175" s="6"/>
      <c r="AQ175" s="6"/>
      <c r="AR175" s="11"/>
      <c r="AS175" s="6"/>
      <c r="AT175" s="11"/>
      <c r="AU175" s="11"/>
      <c r="AV175" s="6"/>
      <c r="AW175" s="6"/>
    </row>
    <row r="176" spans="11:49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7"/>
      <c r="AF176" s="8"/>
      <c r="AG176" s="6"/>
      <c r="AH176" s="6"/>
      <c r="AI176" s="9"/>
      <c r="AJ176" s="9"/>
      <c r="AK176" s="9"/>
      <c r="AL176" s="10"/>
      <c r="AM176" s="9"/>
      <c r="AN176" s="10"/>
      <c r="AO176" s="6"/>
      <c r="AP176" s="6"/>
      <c r="AQ176" s="6"/>
      <c r="AR176" s="11"/>
      <c r="AS176" s="6"/>
      <c r="AT176" s="11"/>
      <c r="AU176" s="11"/>
      <c r="AV176" s="6"/>
      <c r="AW176" s="6"/>
    </row>
    <row r="177" spans="11:49"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7"/>
      <c r="AF177" s="8"/>
      <c r="AG177" s="6"/>
      <c r="AH177" s="6"/>
      <c r="AI177" s="9"/>
      <c r="AJ177" s="9"/>
      <c r="AK177" s="9"/>
      <c r="AL177" s="10"/>
      <c r="AM177" s="9"/>
      <c r="AN177" s="10"/>
      <c r="AO177" s="6"/>
      <c r="AP177" s="6"/>
      <c r="AQ177" s="6"/>
      <c r="AR177" s="11"/>
      <c r="AS177" s="6"/>
      <c r="AT177" s="11"/>
      <c r="AU177" s="11"/>
      <c r="AV177" s="6"/>
      <c r="AW177" s="6"/>
    </row>
    <row r="178" spans="11:49"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7"/>
      <c r="AF178" s="8"/>
      <c r="AG178" s="6"/>
      <c r="AH178" s="6"/>
      <c r="AI178" s="9"/>
      <c r="AJ178" s="9"/>
      <c r="AK178" s="9"/>
      <c r="AL178" s="10"/>
      <c r="AM178" s="9"/>
      <c r="AN178" s="10"/>
      <c r="AO178" s="6"/>
      <c r="AP178" s="6"/>
      <c r="AQ178" s="6"/>
      <c r="AR178" s="11"/>
      <c r="AS178" s="6"/>
      <c r="AT178" s="11"/>
      <c r="AU178" s="11"/>
      <c r="AV178" s="6"/>
      <c r="AW178" s="6"/>
    </row>
    <row r="179" spans="11:49"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7"/>
      <c r="AF179" s="8"/>
      <c r="AG179" s="6"/>
      <c r="AH179" s="6"/>
      <c r="AI179" s="9"/>
      <c r="AJ179" s="9"/>
      <c r="AK179" s="9"/>
      <c r="AL179" s="10"/>
      <c r="AM179" s="9"/>
      <c r="AN179" s="10"/>
      <c r="AO179" s="6"/>
      <c r="AP179" s="6"/>
      <c r="AQ179" s="6"/>
      <c r="AR179" s="11"/>
      <c r="AS179" s="6"/>
      <c r="AT179" s="11"/>
      <c r="AU179" s="11"/>
      <c r="AV179" s="6"/>
      <c r="AW179" s="6"/>
    </row>
    <row r="180" spans="11:49"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7"/>
      <c r="AF180" s="8"/>
      <c r="AG180" s="6"/>
      <c r="AH180" s="6"/>
      <c r="AI180" s="9"/>
      <c r="AJ180" s="9"/>
      <c r="AK180" s="9"/>
      <c r="AL180" s="10"/>
      <c r="AM180" s="9"/>
      <c r="AN180" s="10"/>
      <c r="AO180" s="6"/>
      <c r="AP180" s="6"/>
      <c r="AQ180" s="6"/>
      <c r="AR180" s="11"/>
      <c r="AS180" s="6"/>
      <c r="AT180" s="11"/>
      <c r="AU180" s="11"/>
      <c r="AV180" s="6"/>
      <c r="AW180" s="6"/>
    </row>
    <row r="181" spans="11:49"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7"/>
      <c r="AF181" s="8"/>
      <c r="AG181" s="6"/>
      <c r="AH181" s="6"/>
      <c r="AI181" s="9"/>
      <c r="AJ181" s="9"/>
      <c r="AK181" s="9"/>
      <c r="AL181" s="10"/>
      <c r="AM181" s="9"/>
      <c r="AN181" s="10"/>
      <c r="AO181" s="6"/>
      <c r="AP181" s="6"/>
      <c r="AQ181" s="6"/>
      <c r="AR181" s="11"/>
      <c r="AS181" s="6"/>
      <c r="AT181" s="11"/>
      <c r="AU181" s="11"/>
      <c r="AV181" s="6"/>
      <c r="AW181" s="6"/>
    </row>
    <row r="182" spans="11:49"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7"/>
      <c r="AF182" s="8"/>
      <c r="AG182" s="6"/>
      <c r="AH182" s="6"/>
      <c r="AI182" s="9"/>
      <c r="AJ182" s="9"/>
      <c r="AK182" s="9"/>
      <c r="AL182" s="10"/>
      <c r="AM182" s="9"/>
      <c r="AN182" s="10"/>
      <c r="AO182" s="6"/>
      <c r="AP182" s="6"/>
      <c r="AQ182" s="6"/>
      <c r="AR182" s="11"/>
      <c r="AS182" s="6"/>
      <c r="AT182" s="11"/>
      <c r="AU182" s="11"/>
      <c r="AV182" s="6"/>
      <c r="AW182" s="6"/>
    </row>
    <row r="183" spans="11:49"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7"/>
      <c r="AF183" s="8"/>
      <c r="AG183" s="6"/>
      <c r="AH183" s="6"/>
      <c r="AI183" s="9"/>
      <c r="AJ183" s="9"/>
      <c r="AK183" s="9"/>
      <c r="AL183" s="10"/>
      <c r="AM183" s="9"/>
      <c r="AN183" s="10"/>
      <c r="AO183" s="6"/>
      <c r="AP183" s="6"/>
      <c r="AQ183" s="6"/>
      <c r="AR183" s="11"/>
      <c r="AS183" s="6"/>
      <c r="AT183" s="11"/>
      <c r="AU183" s="11"/>
      <c r="AV183" s="6"/>
      <c r="AW183" s="6"/>
    </row>
    <row r="184" spans="11:49"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7"/>
      <c r="AF184" s="8"/>
      <c r="AG184" s="6"/>
      <c r="AH184" s="6"/>
      <c r="AI184" s="9"/>
      <c r="AJ184" s="9"/>
      <c r="AK184" s="9"/>
      <c r="AL184" s="10"/>
      <c r="AM184" s="9"/>
      <c r="AN184" s="10"/>
      <c r="AO184" s="6"/>
      <c r="AP184" s="6"/>
      <c r="AQ184" s="6"/>
      <c r="AR184" s="11"/>
      <c r="AS184" s="6"/>
      <c r="AT184" s="11"/>
      <c r="AU184" s="11"/>
      <c r="AV184" s="6"/>
      <c r="AW184" s="6"/>
    </row>
    <row r="185" spans="11:49"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7"/>
      <c r="AF185" s="8"/>
      <c r="AG185" s="6"/>
      <c r="AH185" s="6"/>
      <c r="AI185" s="9"/>
      <c r="AJ185" s="9"/>
      <c r="AK185" s="9"/>
      <c r="AL185" s="10"/>
      <c r="AM185" s="9"/>
      <c r="AN185" s="10"/>
      <c r="AO185" s="6"/>
      <c r="AP185" s="6"/>
      <c r="AQ185" s="6"/>
      <c r="AR185" s="11"/>
      <c r="AS185" s="6"/>
      <c r="AT185" s="11"/>
      <c r="AU185" s="11"/>
      <c r="AV185" s="6"/>
      <c r="AW185" s="6"/>
    </row>
    <row r="186" spans="11:49"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7"/>
      <c r="AF186" s="8"/>
      <c r="AG186" s="6"/>
      <c r="AH186" s="6"/>
      <c r="AI186" s="9"/>
      <c r="AJ186" s="9"/>
      <c r="AK186" s="9"/>
      <c r="AL186" s="10"/>
      <c r="AM186" s="9"/>
      <c r="AN186" s="10"/>
      <c r="AO186" s="6"/>
      <c r="AP186" s="6"/>
      <c r="AQ186" s="6"/>
      <c r="AR186" s="11"/>
      <c r="AS186" s="6"/>
      <c r="AT186" s="11"/>
      <c r="AU186" s="11"/>
      <c r="AV186" s="6"/>
      <c r="AW186" s="6"/>
    </row>
    <row r="187" spans="11:49"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7"/>
      <c r="AF187" s="8"/>
      <c r="AG187" s="6"/>
      <c r="AH187" s="6"/>
      <c r="AI187" s="9"/>
      <c r="AJ187" s="9"/>
      <c r="AK187" s="9"/>
      <c r="AL187" s="10"/>
      <c r="AM187" s="9"/>
      <c r="AN187" s="10"/>
      <c r="AO187" s="6"/>
      <c r="AP187" s="6"/>
      <c r="AQ187" s="6"/>
      <c r="AR187" s="11"/>
      <c r="AS187" s="6"/>
      <c r="AT187" s="11"/>
      <c r="AU187" s="11"/>
      <c r="AV187" s="6"/>
      <c r="AW187" s="6"/>
    </row>
    <row r="188" spans="11:49"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7"/>
      <c r="AF188" s="8"/>
      <c r="AG188" s="6"/>
      <c r="AH188" s="6"/>
      <c r="AI188" s="9"/>
      <c r="AJ188" s="9"/>
      <c r="AK188" s="9"/>
      <c r="AL188" s="10"/>
      <c r="AM188" s="9"/>
      <c r="AN188" s="10"/>
      <c r="AO188" s="6"/>
      <c r="AP188" s="6"/>
      <c r="AQ188" s="6"/>
      <c r="AR188" s="11"/>
      <c r="AS188" s="6"/>
      <c r="AT188" s="11"/>
      <c r="AU188" s="11"/>
      <c r="AV188" s="6"/>
      <c r="AW188" s="6"/>
    </row>
    <row r="189" spans="11:49"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7"/>
      <c r="AF189" s="8"/>
      <c r="AG189" s="6"/>
      <c r="AH189" s="6"/>
      <c r="AI189" s="9"/>
      <c r="AJ189" s="9"/>
      <c r="AK189" s="9"/>
      <c r="AL189" s="10"/>
      <c r="AM189" s="9"/>
      <c r="AN189" s="10"/>
      <c r="AO189" s="6"/>
      <c r="AP189" s="6"/>
      <c r="AQ189" s="6"/>
      <c r="AR189" s="11"/>
      <c r="AS189" s="6"/>
      <c r="AT189" s="11"/>
      <c r="AU189" s="11"/>
      <c r="AV189" s="6"/>
      <c r="AW189" s="6"/>
    </row>
    <row r="190" spans="11:49"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7"/>
      <c r="AF190" s="8"/>
      <c r="AG190" s="6"/>
      <c r="AH190" s="6"/>
      <c r="AI190" s="9"/>
      <c r="AJ190" s="9"/>
      <c r="AK190" s="9"/>
      <c r="AL190" s="10"/>
      <c r="AM190" s="9"/>
      <c r="AN190" s="10"/>
      <c r="AO190" s="6"/>
      <c r="AP190" s="6"/>
      <c r="AQ190" s="6"/>
      <c r="AR190" s="11"/>
      <c r="AS190" s="6"/>
      <c r="AT190" s="11"/>
      <c r="AU190" s="11"/>
      <c r="AV190" s="6"/>
      <c r="AW190" s="6"/>
    </row>
    <row r="191" spans="11:49"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7"/>
      <c r="AF191" s="8"/>
      <c r="AG191" s="6"/>
      <c r="AH191" s="6"/>
      <c r="AI191" s="9"/>
      <c r="AJ191" s="9"/>
      <c r="AK191" s="9"/>
      <c r="AL191" s="10"/>
      <c r="AM191" s="9"/>
      <c r="AN191" s="10"/>
      <c r="AO191" s="6"/>
      <c r="AP191" s="6"/>
      <c r="AQ191" s="6"/>
      <c r="AR191" s="11"/>
      <c r="AS191" s="6"/>
      <c r="AT191" s="11"/>
      <c r="AU191" s="11"/>
      <c r="AV191" s="6"/>
      <c r="AW191" s="6"/>
    </row>
    <row r="192" spans="11:49"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7"/>
      <c r="AF192" s="8"/>
      <c r="AG192" s="6"/>
      <c r="AH192" s="6"/>
      <c r="AI192" s="9"/>
      <c r="AJ192" s="9"/>
      <c r="AK192" s="9"/>
      <c r="AL192" s="10"/>
      <c r="AM192" s="9"/>
      <c r="AN192" s="10"/>
      <c r="AO192" s="6"/>
      <c r="AP192" s="6"/>
      <c r="AQ192" s="6"/>
      <c r="AR192" s="11"/>
      <c r="AS192" s="6"/>
      <c r="AT192" s="11"/>
      <c r="AU192" s="11"/>
      <c r="AV192" s="6"/>
      <c r="AW192" s="6"/>
    </row>
    <row r="193" spans="11:49"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7"/>
      <c r="AF193" s="8"/>
      <c r="AG193" s="6"/>
      <c r="AH193" s="6"/>
      <c r="AI193" s="9"/>
      <c r="AJ193" s="9"/>
      <c r="AK193" s="9"/>
      <c r="AL193" s="10"/>
      <c r="AM193" s="9"/>
      <c r="AN193" s="10"/>
      <c r="AO193" s="6"/>
      <c r="AP193" s="6"/>
      <c r="AQ193" s="6"/>
      <c r="AR193" s="11"/>
      <c r="AS193" s="6"/>
      <c r="AT193" s="11"/>
      <c r="AU193" s="11"/>
      <c r="AV193" s="6"/>
      <c r="AW193" s="6"/>
    </row>
    <row r="194" spans="11:49"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7"/>
      <c r="AF194" s="8"/>
      <c r="AG194" s="6"/>
      <c r="AH194" s="6"/>
      <c r="AI194" s="9"/>
      <c r="AJ194" s="9"/>
      <c r="AK194" s="9"/>
      <c r="AL194" s="10"/>
      <c r="AM194" s="9"/>
      <c r="AN194" s="10"/>
      <c r="AO194" s="6"/>
      <c r="AP194" s="6"/>
      <c r="AQ194" s="6"/>
      <c r="AR194" s="11"/>
      <c r="AS194" s="6"/>
      <c r="AT194" s="11"/>
      <c r="AU194" s="11"/>
      <c r="AV194" s="6"/>
      <c r="AW194" s="6"/>
    </row>
    <row r="195" spans="11:49"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7"/>
      <c r="AF195" s="8"/>
      <c r="AG195" s="6"/>
      <c r="AH195" s="6"/>
      <c r="AI195" s="9"/>
      <c r="AJ195" s="9"/>
      <c r="AK195" s="9"/>
      <c r="AL195" s="10"/>
      <c r="AM195" s="9"/>
      <c r="AN195" s="10"/>
      <c r="AO195" s="6"/>
      <c r="AP195" s="6"/>
      <c r="AQ195" s="6"/>
      <c r="AR195" s="11"/>
      <c r="AS195" s="6"/>
      <c r="AT195" s="11"/>
      <c r="AU195" s="11"/>
      <c r="AV195" s="6"/>
      <c r="AW195" s="6"/>
    </row>
    <row r="196" spans="11:49"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7"/>
      <c r="AF196" s="8"/>
      <c r="AG196" s="6"/>
      <c r="AH196" s="6"/>
      <c r="AI196" s="9"/>
      <c r="AJ196" s="9"/>
      <c r="AK196" s="9"/>
      <c r="AL196" s="10"/>
      <c r="AM196" s="9"/>
      <c r="AN196" s="10"/>
      <c r="AO196" s="6"/>
      <c r="AP196" s="6"/>
      <c r="AQ196" s="6"/>
      <c r="AR196" s="11"/>
      <c r="AS196" s="6"/>
      <c r="AT196" s="11"/>
      <c r="AU196" s="11"/>
      <c r="AV196" s="6"/>
      <c r="AW196" s="6"/>
    </row>
    <row r="197" spans="11:49"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7"/>
      <c r="AF197" s="8"/>
      <c r="AG197" s="6"/>
      <c r="AH197" s="6"/>
      <c r="AI197" s="9"/>
      <c r="AJ197" s="9"/>
      <c r="AK197" s="9"/>
      <c r="AL197" s="10"/>
      <c r="AM197" s="9"/>
      <c r="AN197" s="10"/>
      <c r="AO197" s="6"/>
      <c r="AP197" s="6"/>
      <c r="AQ197" s="6"/>
      <c r="AR197" s="11"/>
      <c r="AS197" s="6"/>
      <c r="AT197" s="11"/>
      <c r="AU197" s="11"/>
      <c r="AV197" s="6"/>
      <c r="AW197" s="6"/>
    </row>
    <row r="198" spans="11:49"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7"/>
      <c r="AF198" s="8"/>
      <c r="AG198" s="6"/>
      <c r="AH198" s="6"/>
      <c r="AI198" s="9"/>
      <c r="AJ198" s="9"/>
      <c r="AK198" s="9"/>
      <c r="AL198" s="10"/>
      <c r="AM198" s="9"/>
      <c r="AN198" s="10"/>
      <c r="AO198" s="6"/>
      <c r="AP198" s="6"/>
      <c r="AQ198" s="6"/>
      <c r="AR198" s="11"/>
      <c r="AS198" s="6"/>
      <c r="AT198" s="11"/>
      <c r="AU198" s="11"/>
      <c r="AV198" s="6"/>
      <c r="AW198" s="6"/>
    </row>
    <row r="199" spans="11:49"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7"/>
      <c r="AF199" s="8"/>
      <c r="AG199" s="6"/>
      <c r="AH199" s="6"/>
      <c r="AI199" s="9"/>
      <c r="AJ199" s="9"/>
      <c r="AK199" s="9"/>
      <c r="AL199" s="10"/>
      <c r="AM199" s="9"/>
      <c r="AN199" s="10"/>
      <c r="AO199" s="6"/>
      <c r="AP199" s="6"/>
      <c r="AQ199" s="6"/>
      <c r="AR199" s="11"/>
      <c r="AS199" s="6"/>
      <c r="AT199" s="11"/>
      <c r="AU199" s="11"/>
      <c r="AV199" s="6"/>
      <c r="AW199" s="6"/>
    </row>
    <row r="200" spans="11:49"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7"/>
      <c r="AF200" s="8"/>
      <c r="AG200" s="6"/>
      <c r="AH200" s="6"/>
      <c r="AI200" s="9"/>
      <c r="AJ200" s="9"/>
      <c r="AK200" s="9"/>
      <c r="AL200" s="10"/>
      <c r="AM200" s="9"/>
      <c r="AN200" s="10"/>
      <c r="AO200" s="6"/>
      <c r="AP200" s="6"/>
      <c r="AQ200" s="6"/>
      <c r="AR200" s="11"/>
      <c r="AS200" s="6"/>
      <c r="AT200" s="11"/>
      <c r="AU200" s="11"/>
      <c r="AV200" s="6"/>
      <c r="AW200" s="6"/>
    </row>
    <row r="201" spans="11:49"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7"/>
      <c r="AF201" s="8"/>
      <c r="AG201" s="6"/>
      <c r="AH201" s="6"/>
      <c r="AI201" s="9"/>
      <c r="AJ201" s="9"/>
      <c r="AK201" s="9"/>
      <c r="AL201" s="10"/>
      <c r="AM201" s="9"/>
      <c r="AN201" s="10"/>
      <c r="AO201" s="6"/>
      <c r="AP201" s="6"/>
      <c r="AQ201" s="6"/>
      <c r="AR201" s="11"/>
      <c r="AS201" s="6"/>
      <c r="AT201" s="11"/>
      <c r="AU201" s="11"/>
      <c r="AV201" s="6"/>
      <c r="AW201" s="6"/>
    </row>
    <row r="202" spans="11:49"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7"/>
      <c r="AF202" s="8"/>
      <c r="AG202" s="6"/>
      <c r="AH202" s="6"/>
      <c r="AI202" s="9"/>
      <c r="AJ202" s="9"/>
      <c r="AK202" s="9"/>
      <c r="AL202" s="10"/>
      <c r="AM202" s="9"/>
      <c r="AN202" s="10"/>
      <c r="AO202" s="6"/>
      <c r="AP202" s="6"/>
      <c r="AQ202" s="6"/>
      <c r="AR202" s="11"/>
      <c r="AS202" s="6"/>
      <c r="AT202" s="11"/>
      <c r="AU202" s="11"/>
      <c r="AV202" s="6"/>
      <c r="AW202" s="6"/>
    </row>
    <row r="203" spans="11:49"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7"/>
      <c r="AF203" s="8"/>
      <c r="AG203" s="6"/>
      <c r="AH203" s="6"/>
      <c r="AI203" s="9"/>
      <c r="AJ203" s="9"/>
      <c r="AK203" s="9"/>
      <c r="AL203" s="10"/>
      <c r="AM203" s="9"/>
      <c r="AN203" s="10"/>
      <c r="AO203" s="6"/>
      <c r="AP203" s="6"/>
      <c r="AQ203" s="6"/>
      <c r="AR203" s="11"/>
      <c r="AS203" s="6"/>
      <c r="AT203" s="11"/>
      <c r="AU203" s="11"/>
      <c r="AV203" s="6"/>
      <c r="AW203" s="6"/>
    </row>
    <row r="204" spans="11:49"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7"/>
      <c r="AF204" s="8"/>
      <c r="AG204" s="6"/>
      <c r="AH204" s="6"/>
      <c r="AI204" s="9"/>
      <c r="AJ204" s="9"/>
      <c r="AK204" s="9"/>
      <c r="AL204" s="10"/>
      <c r="AM204" s="9"/>
      <c r="AN204" s="10"/>
      <c r="AO204" s="6"/>
      <c r="AP204" s="6"/>
      <c r="AQ204" s="6"/>
      <c r="AR204" s="11"/>
      <c r="AS204" s="6"/>
      <c r="AT204" s="11"/>
      <c r="AU204" s="11"/>
      <c r="AV204" s="6"/>
      <c r="AW204" s="6"/>
    </row>
    <row r="205" spans="11:49"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7"/>
      <c r="AF205" s="8"/>
      <c r="AG205" s="6"/>
      <c r="AH205" s="6"/>
      <c r="AI205" s="9"/>
      <c r="AJ205" s="9"/>
      <c r="AK205" s="9"/>
      <c r="AL205" s="10"/>
      <c r="AM205" s="9"/>
      <c r="AN205" s="10"/>
      <c r="AO205" s="6"/>
      <c r="AP205" s="6"/>
      <c r="AQ205" s="6"/>
      <c r="AR205" s="11"/>
      <c r="AS205" s="6"/>
      <c r="AT205" s="11"/>
      <c r="AU205" s="11"/>
      <c r="AV205" s="6"/>
      <c r="AW205" s="6"/>
    </row>
    <row r="206" spans="11:49"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7"/>
      <c r="AF206" s="8"/>
      <c r="AG206" s="6"/>
      <c r="AH206" s="6"/>
      <c r="AI206" s="9"/>
      <c r="AJ206" s="9"/>
      <c r="AK206" s="9"/>
      <c r="AL206" s="10"/>
      <c r="AM206" s="9"/>
      <c r="AN206" s="10"/>
      <c r="AO206" s="6"/>
      <c r="AP206" s="6"/>
      <c r="AQ206" s="6"/>
      <c r="AR206" s="11"/>
      <c r="AS206" s="6"/>
      <c r="AT206" s="11"/>
      <c r="AU206" s="11"/>
      <c r="AV206" s="6"/>
      <c r="AW206" s="6"/>
    </row>
    <row r="207" spans="11:49"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7"/>
      <c r="AF207" s="8"/>
      <c r="AG207" s="6"/>
      <c r="AH207" s="6"/>
      <c r="AI207" s="9"/>
      <c r="AJ207" s="9"/>
      <c r="AK207" s="9"/>
      <c r="AL207" s="10"/>
      <c r="AM207" s="9"/>
      <c r="AN207" s="10"/>
      <c r="AO207" s="6"/>
      <c r="AP207" s="6"/>
      <c r="AQ207" s="6"/>
      <c r="AR207" s="11"/>
      <c r="AS207" s="6"/>
      <c r="AT207" s="11"/>
      <c r="AU207" s="11"/>
      <c r="AV207" s="6"/>
      <c r="AW207" s="6"/>
    </row>
    <row r="208" spans="11:49"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7"/>
      <c r="AF208" s="8"/>
      <c r="AG208" s="6"/>
      <c r="AH208" s="6"/>
      <c r="AI208" s="9"/>
      <c r="AJ208" s="9"/>
      <c r="AK208" s="9"/>
      <c r="AL208" s="10"/>
      <c r="AM208" s="9"/>
      <c r="AN208" s="10"/>
      <c r="AO208" s="6"/>
      <c r="AP208" s="6"/>
      <c r="AQ208" s="6"/>
      <c r="AR208" s="11"/>
      <c r="AS208" s="6"/>
      <c r="AT208" s="11"/>
      <c r="AU208" s="11"/>
      <c r="AV208" s="6"/>
      <c r="AW208" s="6"/>
    </row>
    <row r="209" spans="11:49"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7"/>
      <c r="AF209" s="8"/>
      <c r="AG209" s="6"/>
      <c r="AH209" s="6"/>
      <c r="AI209" s="9"/>
      <c r="AJ209" s="9"/>
      <c r="AK209" s="9"/>
      <c r="AL209" s="10"/>
      <c r="AM209" s="9"/>
      <c r="AN209" s="10"/>
      <c r="AO209" s="6"/>
      <c r="AP209" s="6"/>
      <c r="AQ209" s="6"/>
      <c r="AR209" s="11"/>
      <c r="AS209" s="6"/>
      <c r="AT209" s="11"/>
      <c r="AU209" s="11"/>
      <c r="AV209" s="6"/>
      <c r="AW209" s="6"/>
    </row>
    <row r="210" spans="11:49"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7"/>
      <c r="AF210" s="8"/>
      <c r="AG210" s="6"/>
      <c r="AH210" s="6"/>
      <c r="AI210" s="9"/>
      <c r="AJ210" s="9"/>
      <c r="AK210" s="9"/>
      <c r="AL210" s="10"/>
      <c r="AM210" s="9"/>
      <c r="AN210" s="10"/>
      <c r="AO210" s="6"/>
      <c r="AP210" s="6"/>
      <c r="AQ210" s="6"/>
      <c r="AR210" s="11"/>
      <c r="AS210" s="6"/>
      <c r="AT210" s="11"/>
      <c r="AU210" s="11"/>
      <c r="AV210" s="6"/>
      <c r="AW210" s="6"/>
    </row>
    <row r="211" spans="11:49"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7"/>
      <c r="AF211" s="8"/>
      <c r="AG211" s="6"/>
      <c r="AH211" s="6"/>
      <c r="AI211" s="9"/>
      <c r="AJ211" s="9"/>
      <c r="AK211" s="9"/>
      <c r="AL211" s="10"/>
      <c r="AM211" s="9"/>
      <c r="AN211" s="10"/>
      <c r="AO211" s="6"/>
      <c r="AP211" s="6"/>
      <c r="AQ211" s="6"/>
      <c r="AR211" s="11"/>
      <c r="AS211" s="6"/>
      <c r="AT211" s="11"/>
      <c r="AU211" s="11"/>
      <c r="AV211" s="6"/>
      <c r="AW211" s="6"/>
    </row>
    <row r="212" spans="11:49"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7"/>
      <c r="AF212" s="8"/>
      <c r="AG212" s="6"/>
      <c r="AH212" s="6"/>
      <c r="AI212" s="9"/>
      <c r="AJ212" s="9"/>
      <c r="AK212" s="9"/>
      <c r="AL212" s="10"/>
      <c r="AM212" s="9"/>
      <c r="AN212" s="10"/>
      <c r="AO212" s="6"/>
      <c r="AP212" s="6"/>
      <c r="AQ212" s="6"/>
      <c r="AR212" s="11"/>
      <c r="AS212" s="6"/>
      <c r="AT212" s="11"/>
      <c r="AU212" s="11"/>
      <c r="AV212" s="6"/>
      <c r="AW212" s="6"/>
    </row>
    <row r="213" spans="11:49"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7"/>
      <c r="AF213" s="8"/>
      <c r="AG213" s="6"/>
      <c r="AH213" s="6"/>
      <c r="AI213" s="9"/>
      <c r="AJ213" s="9"/>
      <c r="AK213" s="9"/>
      <c r="AL213" s="10"/>
      <c r="AM213" s="9"/>
      <c r="AN213" s="10"/>
      <c r="AO213" s="6"/>
      <c r="AP213" s="6"/>
      <c r="AQ213" s="6"/>
      <c r="AR213" s="11"/>
      <c r="AS213" s="6"/>
      <c r="AT213" s="11"/>
      <c r="AU213" s="11"/>
      <c r="AV213" s="6"/>
      <c r="AW213" s="6"/>
    </row>
    <row r="214" spans="11:49"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7"/>
      <c r="AF214" s="8"/>
      <c r="AG214" s="6"/>
      <c r="AH214" s="6"/>
      <c r="AI214" s="9"/>
      <c r="AJ214" s="9"/>
      <c r="AK214" s="9"/>
      <c r="AL214" s="10"/>
      <c r="AM214" s="9"/>
      <c r="AN214" s="10"/>
      <c r="AO214" s="6"/>
      <c r="AP214" s="6"/>
      <c r="AQ214" s="6"/>
      <c r="AR214" s="11"/>
      <c r="AS214" s="6"/>
      <c r="AT214" s="11"/>
      <c r="AU214" s="11"/>
      <c r="AV214" s="6"/>
      <c r="AW214" s="6"/>
    </row>
    <row r="215" spans="11:49"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7"/>
      <c r="AF215" s="8"/>
      <c r="AG215" s="6"/>
      <c r="AH215" s="6"/>
      <c r="AI215" s="9"/>
      <c r="AJ215" s="9"/>
      <c r="AK215" s="9"/>
      <c r="AL215" s="10"/>
      <c r="AM215" s="9"/>
      <c r="AN215" s="10"/>
      <c r="AO215" s="6"/>
      <c r="AP215" s="6"/>
      <c r="AQ215" s="6"/>
      <c r="AR215" s="11"/>
      <c r="AS215" s="6"/>
      <c r="AT215" s="11"/>
      <c r="AU215" s="11"/>
      <c r="AV215" s="6"/>
      <c r="AW215" s="6"/>
    </row>
    <row r="216" spans="11:49"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7"/>
      <c r="AF216" s="8"/>
      <c r="AG216" s="6"/>
      <c r="AH216" s="6"/>
      <c r="AI216" s="9"/>
      <c r="AJ216" s="9"/>
      <c r="AK216" s="9"/>
      <c r="AL216" s="10"/>
      <c r="AM216" s="9"/>
      <c r="AN216" s="10"/>
      <c r="AO216" s="6"/>
      <c r="AP216" s="6"/>
      <c r="AQ216" s="6"/>
      <c r="AR216" s="11"/>
      <c r="AS216" s="6"/>
      <c r="AT216" s="11"/>
      <c r="AU216" s="11"/>
      <c r="AV216" s="6"/>
      <c r="AW216" s="6"/>
    </row>
    <row r="217" spans="11:49"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7"/>
      <c r="AF217" s="8"/>
      <c r="AG217" s="6"/>
      <c r="AH217" s="6"/>
      <c r="AI217" s="9"/>
      <c r="AJ217" s="9"/>
      <c r="AK217" s="9"/>
      <c r="AL217" s="10"/>
      <c r="AM217" s="9"/>
      <c r="AN217" s="10"/>
      <c r="AO217" s="6"/>
      <c r="AP217" s="6"/>
      <c r="AQ217" s="6"/>
      <c r="AR217" s="11"/>
      <c r="AS217" s="6"/>
      <c r="AT217" s="11"/>
      <c r="AU217" s="11"/>
      <c r="AV217" s="6"/>
      <c r="AW217" s="6"/>
    </row>
    <row r="218" spans="11:49"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7"/>
      <c r="AF218" s="8"/>
      <c r="AG218" s="6"/>
      <c r="AH218" s="6"/>
      <c r="AI218" s="9"/>
      <c r="AJ218" s="9"/>
      <c r="AK218" s="9"/>
      <c r="AL218" s="10"/>
      <c r="AM218" s="9"/>
      <c r="AN218" s="10"/>
      <c r="AO218" s="6"/>
      <c r="AP218" s="6"/>
      <c r="AQ218" s="6"/>
      <c r="AR218" s="11"/>
      <c r="AS218" s="6"/>
      <c r="AT218" s="11"/>
      <c r="AU218" s="11"/>
      <c r="AV218" s="6"/>
      <c r="AW218" s="6"/>
    </row>
    <row r="219" spans="11:49"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7"/>
      <c r="AF219" s="8"/>
      <c r="AG219" s="6"/>
      <c r="AH219" s="6"/>
      <c r="AI219" s="9"/>
      <c r="AJ219" s="9"/>
      <c r="AK219" s="9"/>
      <c r="AL219" s="10"/>
      <c r="AM219" s="9"/>
      <c r="AN219" s="10"/>
      <c r="AO219" s="6"/>
      <c r="AP219" s="6"/>
      <c r="AQ219" s="6"/>
      <c r="AR219" s="11"/>
      <c r="AS219" s="6"/>
      <c r="AT219" s="11"/>
      <c r="AU219" s="11"/>
      <c r="AV219" s="6"/>
      <c r="AW219" s="6"/>
    </row>
    <row r="220" spans="11:49"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7"/>
      <c r="AF220" s="8"/>
      <c r="AG220" s="6"/>
      <c r="AH220" s="6"/>
      <c r="AI220" s="9"/>
      <c r="AJ220" s="9"/>
      <c r="AK220" s="9"/>
      <c r="AL220" s="10"/>
      <c r="AM220" s="9"/>
      <c r="AN220" s="10"/>
      <c r="AO220" s="6"/>
      <c r="AP220" s="6"/>
      <c r="AQ220" s="6"/>
      <c r="AR220" s="11"/>
      <c r="AS220" s="6"/>
      <c r="AT220" s="11"/>
      <c r="AU220" s="11"/>
      <c r="AV220" s="6"/>
      <c r="AW220" s="6"/>
    </row>
    <row r="221" spans="11:49"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7"/>
      <c r="AF221" s="8"/>
      <c r="AG221" s="6"/>
      <c r="AH221" s="6"/>
      <c r="AI221" s="9"/>
      <c r="AJ221" s="9"/>
      <c r="AK221" s="9"/>
      <c r="AL221" s="10"/>
      <c r="AM221" s="9"/>
      <c r="AN221" s="10"/>
      <c r="AO221" s="6"/>
      <c r="AP221" s="6"/>
      <c r="AQ221" s="6"/>
      <c r="AR221" s="11"/>
      <c r="AS221" s="6"/>
      <c r="AT221" s="11"/>
      <c r="AU221" s="11"/>
      <c r="AV221" s="6"/>
      <c r="AW221" s="6"/>
    </row>
    <row r="222" spans="11:49"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7"/>
      <c r="AF222" s="8"/>
      <c r="AG222" s="6"/>
      <c r="AH222" s="6"/>
      <c r="AI222" s="9"/>
      <c r="AJ222" s="9"/>
      <c r="AK222" s="9"/>
      <c r="AL222" s="10"/>
      <c r="AM222" s="9"/>
      <c r="AN222" s="10"/>
      <c r="AO222" s="6"/>
      <c r="AP222" s="6"/>
      <c r="AQ222" s="6"/>
      <c r="AR222" s="11"/>
      <c r="AS222" s="6"/>
      <c r="AT222" s="11"/>
      <c r="AU222" s="11"/>
      <c r="AV222" s="6"/>
      <c r="AW222" s="6"/>
    </row>
    <row r="223" spans="11:49"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7"/>
      <c r="AF223" s="8"/>
      <c r="AG223" s="6"/>
      <c r="AH223" s="6"/>
      <c r="AI223" s="9"/>
      <c r="AJ223" s="9"/>
      <c r="AK223" s="9"/>
      <c r="AL223" s="10"/>
      <c r="AM223" s="9"/>
      <c r="AN223" s="10"/>
      <c r="AO223" s="6"/>
      <c r="AP223" s="6"/>
      <c r="AQ223" s="6"/>
      <c r="AR223" s="11"/>
      <c r="AS223" s="6"/>
      <c r="AT223" s="11"/>
      <c r="AU223" s="11"/>
      <c r="AV223" s="6"/>
      <c r="AW223" s="6"/>
    </row>
    <row r="224" spans="11:49"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7"/>
      <c r="AF224" s="8"/>
      <c r="AG224" s="6"/>
      <c r="AH224" s="6"/>
      <c r="AI224" s="9"/>
      <c r="AJ224" s="9"/>
      <c r="AK224" s="9"/>
      <c r="AL224" s="10"/>
      <c r="AM224" s="9"/>
      <c r="AN224" s="10"/>
      <c r="AO224" s="6"/>
      <c r="AP224" s="6"/>
      <c r="AQ224" s="6"/>
      <c r="AR224" s="11"/>
      <c r="AS224" s="6"/>
      <c r="AT224" s="11"/>
      <c r="AU224" s="11"/>
      <c r="AV224" s="6"/>
      <c r="AW224" s="6"/>
    </row>
    <row r="225" spans="11:49"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7"/>
      <c r="AF225" s="8"/>
      <c r="AG225" s="6"/>
      <c r="AH225" s="6"/>
      <c r="AI225" s="9"/>
      <c r="AJ225" s="9"/>
      <c r="AK225" s="9"/>
      <c r="AL225" s="10"/>
      <c r="AM225" s="9"/>
      <c r="AN225" s="10"/>
      <c r="AO225" s="6"/>
      <c r="AP225" s="6"/>
      <c r="AQ225" s="6"/>
      <c r="AR225" s="11"/>
      <c r="AS225" s="6"/>
      <c r="AT225" s="11"/>
      <c r="AU225" s="11"/>
      <c r="AV225" s="6"/>
      <c r="AW225" s="6"/>
    </row>
    <row r="226" spans="11:49"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7"/>
      <c r="AF226" s="8"/>
      <c r="AG226" s="6"/>
      <c r="AH226" s="6"/>
      <c r="AI226" s="9"/>
      <c r="AJ226" s="9"/>
      <c r="AK226" s="9"/>
      <c r="AL226" s="10"/>
      <c r="AM226" s="9"/>
      <c r="AN226" s="10"/>
      <c r="AO226" s="6"/>
      <c r="AP226" s="6"/>
      <c r="AQ226" s="6"/>
      <c r="AR226" s="11"/>
      <c r="AS226" s="6"/>
      <c r="AT226" s="11"/>
      <c r="AU226" s="11"/>
      <c r="AV226" s="6"/>
      <c r="AW226" s="6"/>
    </row>
    <row r="227" spans="11:49"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7"/>
      <c r="AF227" s="8"/>
      <c r="AG227" s="6"/>
      <c r="AH227" s="6"/>
      <c r="AI227" s="9"/>
      <c r="AJ227" s="9"/>
      <c r="AK227" s="9"/>
      <c r="AL227" s="10"/>
      <c r="AM227" s="9"/>
      <c r="AN227" s="10"/>
      <c r="AO227" s="6"/>
      <c r="AP227" s="6"/>
      <c r="AQ227" s="6"/>
      <c r="AR227" s="11"/>
      <c r="AS227" s="6"/>
      <c r="AT227" s="11"/>
      <c r="AU227" s="11"/>
      <c r="AV227" s="6"/>
      <c r="AW227" s="6"/>
    </row>
    <row r="228" spans="11:49"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7"/>
      <c r="AF228" s="8"/>
      <c r="AG228" s="6"/>
      <c r="AH228" s="6"/>
      <c r="AI228" s="9"/>
      <c r="AJ228" s="9"/>
      <c r="AK228" s="9"/>
      <c r="AL228" s="10"/>
      <c r="AM228" s="9"/>
      <c r="AN228" s="10"/>
      <c r="AO228" s="6"/>
      <c r="AP228" s="6"/>
      <c r="AQ228" s="6"/>
      <c r="AR228" s="11"/>
      <c r="AS228" s="6"/>
      <c r="AT228" s="11"/>
      <c r="AU228" s="11"/>
      <c r="AV228" s="6"/>
      <c r="AW228" s="6"/>
    </row>
    <row r="229" spans="11:49"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7"/>
      <c r="AF229" s="8"/>
      <c r="AG229" s="6"/>
      <c r="AH229" s="6"/>
      <c r="AI229" s="9"/>
      <c r="AJ229" s="9"/>
      <c r="AK229" s="9"/>
      <c r="AL229" s="10"/>
      <c r="AM229" s="9"/>
      <c r="AN229" s="10"/>
      <c r="AO229" s="6"/>
      <c r="AP229" s="6"/>
      <c r="AQ229" s="6"/>
      <c r="AR229" s="11"/>
      <c r="AS229" s="6"/>
      <c r="AT229" s="11"/>
      <c r="AU229" s="11"/>
      <c r="AV229" s="6"/>
      <c r="AW229" s="6"/>
    </row>
    <row r="230" spans="11:49"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7"/>
      <c r="AF230" s="8"/>
      <c r="AG230" s="6"/>
      <c r="AH230" s="6"/>
      <c r="AI230" s="9"/>
      <c r="AJ230" s="9"/>
      <c r="AK230" s="9"/>
      <c r="AL230" s="10"/>
      <c r="AM230" s="9"/>
      <c r="AN230" s="10"/>
      <c r="AO230" s="6"/>
      <c r="AP230" s="6"/>
      <c r="AQ230" s="6"/>
      <c r="AR230" s="11"/>
      <c r="AS230" s="6"/>
      <c r="AT230" s="11"/>
      <c r="AU230" s="11"/>
      <c r="AV230" s="6"/>
      <c r="AW230" s="6"/>
    </row>
    <row r="231" spans="11:49"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7"/>
      <c r="AF231" s="8"/>
      <c r="AG231" s="6"/>
      <c r="AH231" s="6"/>
      <c r="AI231" s="9"/>
      <c r="AJ231" s="9"/>
      <c r="AK231" s="9"/>
      <c r="AL231" s="10"/>
      <c r="AM231" s="9"/>
      <c r="AN231" s="10"/>
      <c r="AO231" s="6"/>
      <c r="AP231" s="6"/>
      <c r="AQ231" s="6"/>
      <c r="AR231" s="11"/>
      <c r="AS231" s="6"/>
      <c r="AT231" s="11"/>
      <c r="AU231" s="11"/>
      <c r="AV231" s="6"/>
      <c r="AW231" s="6"/>
    </row>
    <row r="232" spans="11:49"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7"/>
      <c r="AF232" s="8"/>
      <c r="AG232" s="6"/>
      <c r="AH232" s="6"/>
      <c r="AI232" s="9"/>
      <c r="AJ232" s="9"/>
      <c r="AK232" s="9"/>
      <c r="AL232" s="10"/>
      <c r="AM232" s="9"/>
      <c r="AN232" s="10"/>
      <c r="AO232" s="6"/>
      <c r="AP232" s="6"/>
      <c r="AQ232" s="6"/>
      <c r="AR232" s="11"/>
      <c r="AS232" s="6"/>
      <c r="AT232" s="11"/>
      <c r="AU232" s="11"/>
      <c r="AV232" s="6"/>
      <c r="AW232" s="6"/>
    </row>
    <row r="233" spans="11:49"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7"/>
      <c r="AF233" s="8"/>
      <c r="AG233" s="6"/>
      <c r="AH233" s="6"/>
      <c r="AI233" s="9"/>
      <c r="AJ233" s="9"/>
      <c r="AK233" s="9"/>
      <c r="AL233" s="10"/>
      <c r="AM233" s="9"/>
      <c r="AN233" s="10"/>
      <c r="AO233" s="6"/>
      <c r="AP233" s="6"/>
      <c r="AQ233" s="6"/>
      <c r="AR233" s="11"/>
      <c r="AS233" s="6"/>
      <c r="AT233" s="11"/>
      <c r="AU233" s="11"/>
      <c r="AV233" s="6"/>
      <c r="AW233" s="6"/>
    </row>
    <row r="234" spans="11:49"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7"/>
      <c r="AF234" s="8"/>
      <c r="AG234" s="6"/>
      <c r="AH234" s="6"/>
      <c r="AI234" s="9"/>
      <c r="AJ234" s="9"/>
      <c r="AK234" s="9"/>
      <c r="AL234" s="10"/>
      <c r="AM234" s="9"/>
      <c r="AN234" s="10"/>
      <c r="AO234" s="6"/>
      <c r="AP234" s="6"/>
      <c r="AQ234" s="6"/>
      <c r="AR234" s="11"/>
      <c r="AS234" s="6"/>
      <c r="AT234" s="11"/>
      <c r="AU234" s="11"/>
      <c r="AV234" s="6"/>
      <c r="AW234" s="6"/>
    </row>
    <row r="235" spans="11:49"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7"/>
      <c r="AF235" s="8"/>
      <c r="AG235" s="6"/>
      <c r="AH235" s="6"/>
      <c r="AI235" s="9"/>
      <c r="AJ235" s="9"/>
      <c r="AK235" s="9"/>
      <c r="AL235" s="10"/>
      <c r="AM235" s="9"/>
      <c r="AN235" s="10"/>
      <c r="AO235" s="6"/>
      <c r="AP235" s="6"/>
      <c r="AQ235" s="6"/>
      <c r="AR235" s="11"/>
      <c r="AS235" s="6"/>
      <c r="AT235" s="11"/>
      <c r="AU235" s="11"/>
      <c r="AV235" s="6"/>
      <c r="AW235" s="6"/>
    </row>
    <row r="236" spans="11:49"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7"/>
      <c r="AF236" s="8"/>
      <c r="AG236" s="6"/>
      <c r="AH236" s="6"/>
      <c r="AI236" s="9"/>
      <c r="AJ236" s="9"/>
      <c r="AK236" s="9"/>
      <c r="AL236" s="10"/>
      <c r="AM236" s="9"/>
      <c r="AN236" s="10"/>
      <c r="AO236" s="6"/>
      <c r="AP236" s="6"/>
      <c r="AQ236" s="6"/>
      <c r="AR236" s="11"/>
      <c r="AS236" s="6"/>
      <c r="AT236" s="11"/>
      <c r="AU236" s="11"/>
      <c r="AV236" s="6"/>
      <c r="AW236" s="6"/>
    </row>
    <row r="237" spans="11:49"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7"/>
      <c r="AF237" s="8"/>
      <c r="AG237" s="6"/>
      <c r="AH237" s="6"/>
      <c r="AI237" s="9"/>
      <c r="AJ237" s="9"/>
      <c r="AK237" s="9"/>
      <c r="AL237" s="10"/>
      <c r="AM237" s="9"/>
      <c r="AN237" s="10"/>
      <c r="AO237" s="6"/>
      <c r="AP237" s="6"/>
      <c r="AQ237" s="6"/>
      <c r="AR237" s="11"/>
      <c r="AS237" s="6"/>
      <c r="AT237" s="11"/>
      <c r="AU237" s="11"/>
      <c r="AV237" s="6"/>
      <c r="AW237" s="6"/>
    </row>
    <row r="238" spans="11:49"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7"/>
      <c r="AF238" s="8"/>
      <c r="AG238" s="6"/>
      <c r="AH238" s="6"/>
      <c r="AI238" s="9"/>
      <c r="AJ238" s="9"/>
      <c r="AK238" s="9"/>
      <c r="AL238" s="10"/>
      <c r="AM238" s="9"/>
      <c r="AN238" s="10"/>
      <c r="AO238" s="6"/>
      <c r="AP238" s="6"/>
      <c r="AQ238" s="6"/>
      <c r="AR238" s="11"/>
      <c r="AS238" s="6"/>
      <c r="AT238" s="11"/>
      <c r="AU238" s="11"/>
      <c r="AV238" s="6"/>
      <c r="AW238" s="6"/>
    </row>
    <row r="239" spans="11:49"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7"/>
      <c r="AF239" s="8"/>
      <c r="AG239" s="6"/>
      <c r="AH239" s="6"/>
      <c r="AI239" s="9"/>
      <c r="AJ239" s="9"/>
      <c r="AK239" s="9"/>
      <c r="AL239" s="10"/>
      <c r="AM239" s="9"/>
      <c r="AN239" s="10"/>
      <c r="AO239" s="6"/>
      <c r="AP239" s="6"/>
      <c r="AQ239" s="6"/>
      <c r="AR239" s="11"/>
      <c r="AS239" s="6"/>
      <c r="AT239" s="11"/>
      <c r="AU239" s="11"/>
      <c r="AV239" s="6"/>
      <c r="AW239" s="6"/>
    </row>
    <row r="240" spans="11:49"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7"/>
      <c r="AF240" s="8"/>
      <c r="AG240" s="6"/>
      <c r="AH240" s="6"/>
      <c r="AI240" s="9"/>
      <c r="AJ240" s="9"/>
      <c r="AK240" s="9"/>
      <c r="AL240" s="10"/>
      <c r="AM240" s="9"/>
      <c r="AN240" s="10"/>
      <c r="AO240" s="6"/>
      <c r="AP240" s="6"/>
      <c r="AQ240" s="6"/>
      <c r="AR240" s="11"/>
      <c r="AS240" s="6"/>
      <c r="AT240" s="11"/>
      <c r="AU240" s="11"/>
      <c r="AV240" s="6"/>
      <c r="AW240" s="6"/>
    </row>
    <row r="241" spans="11:49"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7"/>
      <c r="AF241" s="8"/>
      <c r="AG241" s="6"/>
      <c r="AH241" s="6"/>
      <c r="AI241" s="9"/>
      <c r="AJ241" s="9"/>
      <c r="AK241" s="9"/>
      <c r="AL241" s="10"/>
      <c r="AM241" s="9"/>
      <c r="AN241" s="10"/>
      <c r="AO241" s="6"/>
      <c r="AP241" s="6"/>
      <c r="AQ241" s="6"/>
      <c r="AR241" s="11"/>
      <c r="AS241" s="6"/>
      <c r="AT241" s="11"/>
      <c r="AU241" s="11"/>
      <c r="AV241" s="6"/>
      <c r="AW241" s="6"/>
    </row>
    <row r="242" spans="11:49"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7"/>
      <c r="AF242" s="8"/>
      <c r="AG242" s="6"/>
      <c r="AH242" s="6"/>
      <c r="AI242" s="9"/>
      <c r="AJ242" s="9"/>
      <c r="AK242" s="9"/>
      <c r="AL242" s="10"/>
      <c r="AM242" s="9"/>
      <c r="AN242" s="10"/>
      <c r="AO242" s="6"/>
      <c r="AP242" s="6"/>
      <c r="AQ242" s="6"/>
      <c r="AR242" s="11"/>
      <c r="AS242" s="6"/>
      <c r="AT242" s="11"/>
      <c r="AU242" s="11"/>
      <c r="AV242" s="6"/>
      <c r="AW242" s="6"/>
    </row>
    <row r="243" spans="11:49"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7"/>
      <c r="AF243" s="8"/>
      <c r="AG243" s="6"/>
      <c r="AH243" s="6"/>
      <c r="AI243" s="9"/>
      <c r="AJ243" s="9"/>
      <c r="AK243" s="9"/>
      <c r="AL243" s="10"/>
      <c r="AM243" s="9"/>
      <c r="AN243" s="10"/>
      <c r="AO243" s="6"/>
      <c r="AP243" s="6"/>
      <c r="AQ243" s="6"/>
      <c r="AR243" s="11"/>
      <c r="AS243" s="6"/>
      <c r="AT243" s="11"/>
      <c r="AU243" s="11"/>
      <c r="AV243" s="6"/>
      <c r="AW243" s="6"/>
    </row>
    <row r="244" spans="11:49"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7"/>
      <c r="AF244" s="8"/>
      <c r="AG244" s="6"/>
      <c r="AH244" s="6"/>
      <c r="AI244" s="9"/>
      <c r="AJ244" s="9"/>
      <c r="AK244" s="9"/>
      <c r="AL244" s="10"/>
      <c r="AM244" s="9"/>
      <c r="AN244" s="10"/>
      <c r="AO244" s="6"/>
      <c r="AP244" s="6"/>
      <c r="AQ244" s="6"/>
      <c r="AR244" s="11"/>
      <c r="AS244" s="6"/>
      <c r="AT244" s="11"/>
      <c r="AU244" s="11"/>
      <c r="AV244" s="6"/>
      <c r="AW244" s="6"/>
    </row>
    <row r="245" spans="11:49"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7"/>
      <c r="AF245" s="8"/>
      <c r="AG245" s="6"/>
      <c r="AH245" s="6"/>
      <c r="AI245" s="9"/>
      <c r="AJ245" s="9"/>
      <c r="AK245" s="9"/>
      <c r="AL245" s="10"/>
      <c r="AM245" s="9"/>
      <c r="AN245" s="10"/>
      <c r="AO245" s="6"/>
      <c r="AP245" s="6"/>
      <c r="AQ245" s="6"/>
      <c r="AR245" s="11"/>
      <c r="AS245" s="6"/>
      <c r="AT245" s="11"/>
      <c r="AU245" s="11"/>
      <c r="AV245" s="6"/>
      <c r="AW245" s="6"/>
    </row>
    <row r="246" spans="11:49"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7"/>
      <c r="AF246" s="8"/>
      <c r="AG246" s="6"/>
      <c r="AH246" s="6"/>
      <c r="AI246" s="9"/>
      <c r="AJ246" s="9"/>
      <c r="AK246" s="9"/>
      <c r="AL246" s="10"/>
      <c r="AM246" s="9"/>
      <c r="AN246" s="10"/>
      <c r="AO246" s="6"/>
      <c r="AP246" s="6"/>
      <c r="AQ246" s="6"/>
      <c r="AR246" s="11"/>
      <c r="AS246" s="6"/>
      <c r="AT246" s="11"/>
      <c r="AU246" s="11"/>
      <c r="AV246" s="6"/>
      <c r="AW246" s="6"/>
    </row>
    <row r="247" spans="11:49"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7"/>
      <c r="AF247" s="8"/>
      <c r="AG247" s="6"/>
      <c r="AH247" s="6"/>
      <c r="AI247" s="9"/>
      <c r="AJ247" s="9"/>
      <c r="AK247" s="9"/>
      <c r="AL247" s="10"/>
      <c r="AM247" s="9"/>
      <c r="AN247" s="10"/>
      <c r="AO247" s="6"/>
      <c r="AP247" s="6"/>
      <c r="AQ247" s="6"/>
      <c r="AR247" s="11"/>
      <c r="AS247" s="6"/>
      <c r="AT247" s="11"/>
      <c r="AU247" s="11"/>
      <c r="AV247" s="6"/>
      <c r="AW247" s="6"/>
    </row>
    <row r="248" spans="11:49"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7"/>
      <c r="AF248" s="8"/>
      <c r="AG248" s="6"/>
      <c r="AH248" s="6"/>
      <c r="AI248" s="9"/>
      <c r="AJ248" s="9"/>
      <c r="AK248" s="9"/>
      <c r="AL248" s="10"/>
      <c r="AM248" s="9"/>
      <c r="AN248" s="10"/>
      <c r="AO248" s="6"/>
      <c r="AP248" s="6"/>
      <c r="AQ248" s="6"/>
      <c r="AR248" s="11"/>
      <c r="AS248" s="6"/>
      <c r="AT248" s="11"/>
      <c r="AU248" s="11"/>
      <c r="AV248" s="6"/>
      <c r="AW248" s="6"/>
    </row>
    <row r="249" spans="11:49"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7"/>
      <c r="AF249" s="8"/>
      <c r="AG249" s="6"/>
      <c r="AH249" s="6"/>
      <c r="AI249" s="9"/>
      <c r="AJ249" s="9"/>
      <c r="AK249" s="9"/>
      <c r="AL249" s="10"/>
      <c r="AM249" s="9"/>
      <c r="AN249" s="10"/>
      <c r="AO249" s="6"/>
      <c r="AP249" s="6"/>
      <c r="AQ249" s="6"/>
      <c r="AR249" s="11"/>
      <c r="AS249" s="6"/>
      <c r="AT249" s="11"/>
      <c r="AU249" s="11"/>
      <c r="AV249" s="6"/>
      <c r="AW249" s="6"/>
    </row>
    <row r="250" spans="11:49"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7"/>
      <c r="AF250" s="8"/>
      <c r="AG250" s="6"/>
      <c r="AH250" s="6"/>
      <c r="AI250" s="9"/>
      <c r="AJ250" s="9"/>
      <c r="AK250" s="9"/>
      <c r="AL250" s="10"/>
      <c r="AM250" s="9"/>
      <c r="AN250" s="10"/>
      <c r="AO250" s="6"/>
      <c r="AP250" s="6"/>
      <c r="AQ250" s="6"/>
      <c r="AR250" s="11"/>
      <c r="AS250" s="6"/>
      <c r="AT250" s="11"/>
      <c r="AU250" s="11"/>
      <c r="AV250" s="6"/>
      <c r="AW250" s="6"/>
    </row>
    <row r="251" spans="11:49"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7"/>
      <c r="AF251" s="8"/>
      <c r="AG251" s="6"/>
      <c r="AH251" s="6"/>
      <c r="AI251" s="9"/>
      <c r="AJ251" s="9"/>
      <c r="AK251" s="9"/>
      <c r="AL251" s="10"/>
      <c r="AM251" s="9"/>
      <c r="AN251" s="10"/>
      <c r="AO251" s="6"/>
      <c r="AP251" s="6"/>
      <c r="AQ251" s="6"/>
      <c r="AR251" s="11"/>
      <c r="AS251" s="6"/>
      <c r="AT251" s="11"/>
      <c r="AU251" s="11"/>
      <c r="AV251" s="6"/>
      <c r="AW251" s="6"/>
    </row>
    <row r="252" spans="11:49"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7"/>
      <c r="AF252" s="8"/>
      <c r="AG252" s="6"/>
      <c r="AH252" s="6"/>
      <c r="AI252" s="9"/>
      <c r="AJ252" s="9"/>
      <c r="AK252" s="9"/>
      <c r="AL252" s="10"/>
      <c r="AM252" s="9"/>
      <c r="AN252" s="10"/>
      <c r="AO252" s="6"/>
      <c r="AP252" s="6"/>
      <c r="AQ252" s="6"/>
      <c r="AR252" s="11"/>
      <c r="AS252" s="6"/>
      <c r="AT252" s="11"/>
      <c r="AU252" s="11"/>
      <c r="AV252" s="6"/>
      <c r="AW252" s="6"/>
    </row>
    <row r="253" spans="11:49"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7"/>
      <c r="AF253" s="8"/>
      <c r="AG253" s="6"/>
      <c r="AH253" s="6"/>
      <c r="AI253" s="9"/>
      <c r="AJ253" s="9"/>
      <c r="AK253" s="9"/>
      <c r="AL253" s="10"/>
      <c r="AM253" s="9"/>
      <c r="AN253" s="10"/>
      <c r="AO253" s="6"/>
      <c r="AP253" s="6"/>
      <c r="AQ253" s="6"/>
      <c r="AR253" s="11"/>
      <c r="AS253" s="6"/>
      <c r="AT253" s="11"/>
      <c r="AU253" s="11"/>
      <c r="AV253" s="6"/>
      <c r="AW253" s="6"/>
    </row>
    <row r="254" spans="11:49"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7"/>
      <c r="AF254" s="8"/>
      <c r="AG254" s="6"/>
      <c r="AH254" s="6"/>
      <c r="AI254" s="9"/>
      <c r="AJ254" s="9"/>
      <c r="AK254" s="9"/>
      <c r="AL254" s="10"/>
      <c r="AM254" s="9"/>
      <c r="AN254" s="10"/>
      <c r="AO254" s="6"/>
      <c r="AP254" s="6"/>
      <c r="AQ254" s="6"/>
      <c r="AR254" s="11"/>
      <c r="AS254" s="6"/>
      <c r="AT254" s="11"/>
      <c r="AU254" s="11"/>
      <c r="AV254" s="6"/>
      <c r="AW254" s="6"/>
    </row>
    <row r="255" spans="11:49"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7"/>
      <c r="AF255" s="8"/>
      <c r="AG255" s="6"/>
      <c r="AH255" s="6"/>
      <c r="AI255" s="9"/>
      <c r="AJ255" s="9"/>
      <c r="AK255" s="9"/>
      <c r="AL255" s="10"/>
      <c r="AM255" s="9"/>
      <c r="AN255" s="10"/>
      <c r="AO255" s="6"/>
      <c r="AP255" s="6"/>
      <c r="AQ255" s="6"/>
      <c r="AR255" s="11"/>
      <c r="AS255" s="6"/>
      <c r="AT255" s="11"/>
      <c r="AU255" s="11"/>
      <c r="AV255" s="6"/>
      <c r="AW255" s="6"/>
    </row>
    <row r="256" spans="11:49"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7"/>
      <c r="AF256" s="8"/>
      <c r="AG256" s="6"/>
      <c r="AH256" s="6"/>
      <c r="AI256" s="9"/>
      <c r="AJ256" s="9"/>
      <c r="AK256" s="9"/>
      <c r="AL256" s="10"/>
      <c r="AM256" s="9"/>
      <c r="AN256" s="10"/>
      <c r="AO256" s="6"/>
      <c r="AP256" s="6"/>
      <c r="AQ256" s="6"/>
      <c r="AR256" s="11"/>
      <c r="AS256" s="6"/>
      <c r="AT256" s="11"/>
      <c r="AU256" s="11"/>
      <c r="AV256" s="6"/>
      <c r="AW256" s="6"/>
    </row>
    <row r="257" spans="11:49"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7"/>
      <c r="AF257" s="8"/>
      <c r="AG257" s="6"/>
      <c r="AH257" s="6"/>
      <c r="AI257" s="9"/>
      <c r="AJ257" s="9"/>
      <c r="AK257" s="9"/>
      <c r="AL257" s="10"/>
      <c r="AM257" s="9"/>
      <c r="AN257" s="10"/>
      <c r="AO257" s="6"/>
      <c r="AP257" s="6"/>
      <c r="AQ257" s="6"/>
      <c r="AR257" s="11"/>
      <c r="AS257" s="6"/>
      <c r="AT257" s="11"/>
      <c r="AU257" s="11"/>
      <c r="AV257" s="6"/>
      <c r="AW257" s="6"/>
    </row>
    <row r="258" spans="11:49"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7"/>
      <c r="AF258" s="8"/>
      <c r="AG258" s="6"/>
      <c r="AH258" s="6"/>
      <c r="AI258" s="9"/>
      <c r="AJ258" s="9"/>
      <c r="AK258" s="9"/>
      <c r="AL258" s="10"/>
      <c r="AM258" s="9"/>
      <c r="AN258" s="10"/>
      <c r="AO258" s="6"/>
      <c r="AP258" s="6"/>
      <c r="AQ258" s="6"/>
      <c r="AR258" s="11"/>
      <c r="AS258" s="6"/>
      <c r="AT258" s="11"/>
      <c r="AU258" s="11"/>
      <c r="AV258" s="6"/>
      <c r="AW258" s="6"/>
    </row>
    <row r="259" spans="11:49"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7"/>
      <c r="AF259" s="8"/>
      <c r="AG259" s="6"/>
      <c r="AH259" s="6"/>
      <c r="AI259" s="9"/>
      <c r="AJ259" s="9"/>
      <c r="AK259" s="9"/>
      <c r="AL259" s="10"/>
      <c r="AM259" s="9"/>
      <c r="AN259" s="10"/>
      <c r="AO259" s="6"/>
      <c r="AP259" s="6"/>
      <c r="AQ259" s="6"/>
      <c r="AR259" s="11"/>
      <c r="AS259" s="6"/>
      <c r="AT259" s="11"/>
      <c r="AU259" s="11"/>
      <c r="AV259" s="6"/>
      <c r="AW259" s="6"/>
    </row>
    <row r="260" spans="11:49"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7"/>
      <c r="AF260" s="8"/>
      <c r="AG260" s="6"/>
      <c r="AH260" s="6"/>
      <c r="AI260" s="9"/>
      <c r="AJ260" s="9"/>
      <c r="AK260" s="9"/>
      <c r="AL260" s="10"/>
      <c r="AM260" s="9"/>
      <c r="AN260" s="10"/>
      <c r="AO260" s="6"/>
      <c r="AP260" s="6"/>
      <c r="AQ260" s="6"/>
      <c r="AR260" s="11"/>
      <c r="AS260" s="6"/>
      <c r="AT260" s="11"/>
      <c r="AU260" s="11"/>
      <c r="AV260" s="6"/>
      <c r="AW260" s="6"/>
    </row>
    <row r="261" spans="11:49"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7"/>
      <c r="AF261" s="8"/>
      <c r="AG261" s="6"/>
      <c r="AH261" s="6"/>
      <c r="AI261" s="9"/>
      <c r="AJ261" s="9"/>
      <c r="AK261" s="9"/>
      <c r="AL261" s="10"/>
      <c r="AM261" s="9"/>
      <c r="AN261" s="10"/>
      <c r="AO261" s="6"/>
      <c r="AP261" s="6"/>
      <c r="AQ261" s="6"/>
      <c r="AR261" s="11"/>
      <c r="AS261" s="6"/>
      <c r="AT261" s="11"/>
      <c r="AU261" s="11"/>
      <c r="AV261" s="6"/>
      <c r="AW261" s="6"/>
    </row>
    <row r="262" spans="11:49"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7"/>
      <c r="AF262" s="8"/>
      <c r="AG262" s="6"/>
      <c r="AH262" s="6"/>
      <c r="AI262" s="9"/>
      <c r="AJ262" s="9"/>
      <c r="AK262" s="9"/>
      <c r="AL262" s="10"/>
      <c r="AM262" s="9"/>
      <c r="AN262" s="10"/>
      <c r="AO262" s="6"/>
      <c r="AP262" s="6"/>
      <c r="AQ262" s="6"/>
      <c r="AR262" s="11"/>
      <c r="AS262" s="6"/>
      <c r="AT262" s="11"/>
      <c r="AU262" s="11"/>
      <c r="AV262" s="6"/>
      <c r="AW262" s="6"/>
    </row>
    <row r="263" spans="11:49"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7"/>
      <c r="AF263" s="8"/>
      <c r="AG263" s="6"/>
      <c r="AH263" s="6"/>
      <c r="AI263" s="9"/>
      <c r="AJ263" s="9"/>
      <c r="AK263" s="9"/>
      <c r="AL263" s="10"/>
      <c r="AM263" s="9"/>
      <c r="AN263" s="10"/>
      <c r="AO263" s="6"/>
      <c r="AP263" s="6"/>
      <c r="AQ263" s="6"/>
      <c r="AR263" s="11"/>
      <c r="AS263" s="6"/>
      <c r="AT263" s="11"/>
      <c r="AU263" s="11"/>
      <c r="AV263" s="6"/>
      <c r="AW263" s="6"/>
    </row>
    <row r="264" spans="11:49"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7"/>
      <c r="AF264" s="8"/>
      <c r="AG264" s="6"/>
      <c r="AH264" s="6"/>
      <c r="AI264" s="9"/>
      <c r="AJ264" s="9"/>
      <c r="AK264" s="9"/>
      <c r="AL264" s="10"/>
      <c r="AM264" s="9"/>
      <c r="AN264" s="10"/>
      <c r="AO264" s="6"/>
      <c r="AP264" s="6"/>
      <c r="AQ264" s="6"/>
      <c r="AR264" s="11"/>
      <c r="AS264" s="6"/>
      <c r="AT264" s="11"/>
      <c r="AU264" s="11"/>
      <c r="AV264" s="6"/>
      <c r="AW264" s="6"/>
    </row>
    <row r="265" spans="11:49"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7"/>
      <c r="AF265" s="8"/>
      <c r="AG265" s="6"/>
      <c r="AH265" s="6"/>
      <c r="AI265" s="9"/>
      <c r="AJ265" s="9"/>
      <c r="AK265" s="9"/>
      <c r="AL265" s="10"/>
      <c r="AM265" s="9"/>
      <c r="AN265" s="10"/>
      <c r="AO265" s="6"/>
      <c r="AP265" s="6"/>
      <c r="AQ265" s="6"/>
      <c r="AR265" s="11"/>
      <c r="AS265" s="6"/>
      <c r="AT265" s="11"/>
      <c r="AU265" s="11"/>
      <c r="AV265" s="6"/>
      <c r="AW265" s="6"/>
    </row>
    <row r="266" spans="11:49"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7"/>
      <c r="AF266" s="8"/>
      <c r="AG266" s="6"/>
      <c r="AH266" s="6"/>
      <c r="AI266" s="9"/>
      <c r="AJ266" s="9"/>
      <c r="AK266" s="9"/>
      <c r="AL266" s="10"/>
      <c r="AM266" s="9"/>
      <c r="AN266" s="10"/>
      <c r="AO266" s="6"/>
      <c r="AP266" s="6"/>
      <c r="AQ266" s="6"/>
      <c r="AR266" s="11"/>
      <c r="AS266" s="6"/>
      <c r="AT266" s="11"/>
      <c r="AU266" s="11"/>
      <c r="AV266" s="6"/>
      <c r="AW266" s="6"/>
    </row>
    <row r="267" spans="11:49"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7"/>
      <c r="AF267" s="8"/>
      <c r="AG267" s="6"/>
      <c r="AH267" s="6"/>
      <c r="AI267" s="9"/>
      <c r="AJ267" s="9"/>
      <c r="AK267" s="9"/>
      <c r="AL267" s="10"/>
      <c r="AM267" s="9"/>
      <c r="AN267" s="10"/>
      <c r="AO267" s="6"/>
      <c r="AP267" s="6"/>
      <c r="AQ267" s="6"/>
      <c r="AR267" s="11"/>
      <c r="AS267" s="6"/>
      <c r="AT267" s="11"/>
      <c r="AU267" s="11"/>
      <c r="AV267" s="6"/>
      <c r="AW267" s="6"/>
    </row>
    <row r="268" spans="11:49"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7"/>
      <c r="AF268" s="8"/>
      <c r="AG268" s="6"/>
      <c r="AH268" s="6"/>
      <c r="AI268" s="9"/>
      <c r="AJ268" s="9"/>
      <c r="AK268" s="9"/>
      <c r="AL268" s="10"/>
      <c r="AM268" s="9"/>
      <c r="AN268" s="10"/>
      <c r="AO268" s="6"/>
      <c r="AP268" s="6"/>
      <c r="AQ268" s="6"/>
      <c r="AR268" s="11"/>
      <c r="AS268" s="6"/>
      <c r="AT268" s="11"/>
      <c r="AU268" s="11"/>
      <c r="AV268" s="6"/>
      <c r="AW268" s="6"/>
    </row>
    <row r="269" spans="11:49"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7"/>
      <c r="AF269" s="8"/>
      <c r="AG269" s="6"/>
      <c r="AH269" s="6"/>
      <c r="AI269" s="9"/>
      <c r="AJ269" s="9"/>
      <c r="AK269" s="9"/>
      <c r="AL269" s="10"/>
      <c r="AM269" s="9"/>
      <c r="AN269" s="10"/>
      <c r="AO269" s="6"/>
      <c r="AP269" s="6"/>
      <c r="AQ269" s="6"/>
      <c r="AR269" s="11"/>
      <c r="AS269" s="6"/>
      <c r="AT269" s="11"/>
      <c r="AU269" s="11"/>
      <c r="AV269" s="6"/>
      <c r="AW269" s="6"/>
    </row>
    <row r="270" spans="11:49"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7"/>
      <c r="AF270" s="8"/>
      <c r="AG270" s="6"/>
      <c r="AH270" s="6"/>
      <c r="AI270" s="9"/>
      <c r="AJ270" s="9"/>
      <c r="AK270" s="9"/>
      <c r="AL270" s="10"/>
      <c r="AM270" s="9"/>
      <c r="AN270" s="10"/>
      <c r="AO270" s="6"/>
      <c r="AP270" s="6"/>
      <c r="AQ270" s="6"/>
      <c r="AR270" s="11"/>
      <c r="AS270" s="6"/>
      <c r="AT270" s="11"/>
      <c r="AU270" s="11"/>
      <c r="AV270" s="6"/>
      <c r="AW270" s="6"/>
    </row>
    <row r="271" spans="11:49"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7"/>
      <c r="AF271" s="8"/>
      <c r="AG271" s="6"/>
      <c r="AH271" s="6"/>
      <c r="AI271" s="9"/>
      <c r="AJ271" s="9"/>
      <c r="AK271" s="9"/>
      <c r="AL271" s="10"/>
      <c r="AM271" s="9"/>
      <c r="AN271" s="10"/>
      <c r="AO271" s="6"/>
      <c r="AP271" s="6"/>
      <c r="AQ271" s="6"/>
      <c r="AR271" s="11"/>
      <c r="AS271" s="6"/>
      <c r="AT271" s="11"/>
      <c r="AU271" s="11"/>
      <c r="AV271" s="6"/>
      <c r="AW271" s="6"/>
    </row>
    <row r="272" spans="11:49"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7"/>
      <c r="AF272" s="8"/>
      <c r="AG272" s="6"/>
      <c r="AH272" s="6"/>
      <c r="AI272" s="9"/>
      <c r="AJ272" s="9"/>
      <c r="AK272" s="9"/>
      <c r="AL272" s="10"/>
      <c r="AM272" s="9"/>
      <c r="AN272" s="10"/>
      <c r="AO272" s="6"/>
      <c r="AP272" s="6"/>
      <c r="AQ272" s="6"/>
      <c r="AR272" s="11"/>
      <c r="AS272" s="6"/>
      <c r="AT272" s="11"/>
      <c r="AU272" s="11"/>
      <c r="AV272" s="6"/>
      <c r="AW272" s="6"/>
    </row>
    <row r="273" spans="11:49"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7"/>
      <c r="AF273" s="8"/>
      <c r="AG273" s="6"/>
      <c r="AH273" s="6"/>
      <c r="AI273" s="9"/>
      <c r="AJ273" s="9"/>
      <c r="AK273" s="9"/>
      <c r="AL273" s="10"/>
      <c r="AM273" s="9"/>
      <c r="AN273" s="10"/>
      <c r="AO273" s="6"/>
      <c r="AP273" s="6"/>
      <c r="AQ273" s="6"/>
      <c r="AR273" s="11"/>
      <c r="AS273" s="6"/>
      <c r="AT273" s="11"/>
      <c r="AU273" s="11"/>
      <c r="AV273" s="6"/>
      <c r="AW273" s="6"/>
    </row>
    <row r="274" spans="11:49"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7"/>
      <c r="AF274" s="8"/>
      <c r="AG274" s="6"/>
      <c r="AH274" s="6"/>
      <c r="AI274" s="9"/>
      <c r="AJ274" s="9"/>
      <c r="AK274" s="9"/>
      <c r="AL274" s="10"/>
      <c r="AM274" s="9"/>
      <c r="AN274" s="10"/>
      <c r="AO274" s="6"/>
      <c r="AP274" s="6"/>
      <c r="AQ274" s="6"/>
      <c r="AR274" s="11"/>
      <c r="AS274" s="6"/>
      <c r="AT274" s="11"/>
      <c r="AU274" s="11"/>
      <c r="AV274" s="6"/>
      <c r="AW274" s="6"/>
    </row>
    <row r="275" spans="11:49"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7"/>
      <c r="AF275" s="8"/>
      <c r="AG275" s="6"/>
      <c r="AH275" s="6"/>
      <c r="AI275" s="9"/>
      <c r="AJ275" s="9"/>
      <c r="AK275" s="9"/>
      <c r="AL275" s="10"/>
      <c r="AM275" s="9"/>
      <c r="AN275" s="10"/>
      <c r="AO275" s="6"/>
      <c r="AP275" s="6"/>
      <c r="AQ275" s="6"/>
      <c r="AR275" s="11"/>
      <c r="AS275" s="6"/>
      <c r="AT275" s="11"/>
      <c r="AU275" s="11"/>
      <c r="AV275" s="6"/>
      <c r="AW275" s="6"/>
    </row>
    <row r="276" spans="11:49"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7"/>
      <c r="AF276" s="8"/>
      <c r="AG276" s="6"/>
      <c r="AH276" s="6"/>
      <c r="AI276" s="9"/>
      <c r="AJ276" s="9"/>
      <c r="AK276" s="9"/>
      <c r="AL276" s="10"/>
      <c r="AM276" s="9"/>
      <c r="AN276" s="10"/>
      <c r="AO276" s="6"/>
      <c r="AP276" s="6"/>
      <c r="AQ276" s="6"/>
      <c r="AR276" s="11"/>
      <c r="AS276" s="6"/>
      <c r="AT276" s="11"/>
      <c r="AU276" s="11"/>
      <c r="AV276" s="6"/>
      <c r="AW276" s="6"/>
    </row>
    <row r="277" spans="11:49"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7"/>
      <c r="AF277" s="8"/>
      <c r="AG277" s="6"/>
      <c r="AH277" s="6"/>
      <c r="AI277" s="9"/>
      <c r="AJ277" s="9"/>
      <c r="AK277" s="9"/>
      <c r="AL277" s="10"/>
      <c r="AM277" s="9"/>
      <c r="AN277" s="10"/>
      <c r="AO277" s="6"/>
      <c r="AP277" s="6"/>
      <c r="AQ277" s="6"/>
      <c r="AR277" s="11"/>
      <c r="AS277" s="6"/>
      <c r="AT277" s="11"/>
      <c r="AU277" s="11"/>
      <c r="AV277" s="6"/>
      <c r="AW277" s="6"/>
    </row>
    <row r="278" spans="11:49"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7"/>
      <c r="AF278" s="8"/>
      <c r="AG278" s="6"/>
      <c r="AH278" s="6"/>
      <c r="AI278" s="9"/>
      <c r="AJ278" s="9"/>
      <c r="AK278" s="9"/>
      <c r="AL278" s="10"/>
      <c r="AM278" s="9"/>
      <c r="AN278" s="10"/>
      <c r="AO278" s="6"/>
      <c r="AP278" s="6"/>
      <c r="AQ278" s="6"/>
      <c r="AR278" s="11"/>
      <c r="AS278" s="6"/>
      <c r="AT278" s="11"/>
      <c r="AU278" s="11"/>
      <c r="AV278" s="6"/>
      <c r="AW278" s="6"/>
    </row>
    <row r="279" spans="11:49"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7"/>
      <c r="AF279" s="8"/>
      <c r="AG279" s="6"/>
      <c r="AH279" s="6"/>
      <c r="AI279" s="9"/>
      <c r="AJ279" s="9"/>
      <c r="AK279" s="9"/>
      <c r="AL279" s="10"/>
      <c r="AM279" s="9"/>
      <c r="AN279" s="10"/>
      <c r="AO279" s="6"/>
      <c r="AP279" s="6"/>
      <c r="AQ279" s="6"/>
      <c r="AR279" s="11"/>
      <c r="AS279" s="6"/>
      <c r="AT279" s="11"/>
      <c r="AU279" s="11"/>
      <c r="AV279" s="6"/>
      <c r="AW279" s="6"/>
    </row>
    <row r="280" spans="11:49"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7"/>
      <c r="AF280" s="8"/>
      <c r="AG280" s="6"/>
      <c r="AH280" s="6"/>
      <c r="AI280" s="9"/>
      <c r="AJ280" s="9"/>
      <c r="AK280" s="9"/>
      <c r="AL280" s="10"/>
      <c r="AM280" s="9"/>
      <c r="AN280" s="10"/>
      <c r="AO280" s="6"/>
      <c r="AP280" s="6"/>
      <c r="AQ280" s="6"/>
      <c r="AR280" s="11"/>
      <c r="AS280" s="6"/>
      <c r="AT280" s="11"/>
      <c r="AU280" s="11"/>
      <c r="AV280" s="6"/>
      <c r="AW280" s="6"/>
    </row>
    <row r="281" spans="11:49"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7"/>
      <c r="AF281" s="8"/>
      <c r="AG281" s="6"/>
      <c r="AH281" s="6"/>
      <c r="AI281" s="9"/>
      <c r="AJ281" s="9"/>
      <c r="AK281" s="9"/>
      <c r="AL281" s="10"/>
      <c r="AM281" s="9"/>
      <c r="AN281" s="10"/>
      <c r="AO281" s="6"/>
      <c r="AP281" s="6"/>
      <c r="AQ281" s="6"/>
      <c r="AR281" s="11"/>
      <c r="AS281" s="6"/>
      <c r="AT281" s="11"/>
      <c r="AU281" s="11"/>
      <c r="AV281" s="6"/>
      <c r="AW281" s="6"/>
    </row>
    <row r="282" spans="11:49"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7"/>
      <c r="AF282" s="8"/>
      <c r="AG282" s="6"/>
      <c r="AH282" s="6"/>
      <c r="AI282" s="9"/>
      <c r="AJ282" s="9"/>
      <c r="AK282" s="9"/>
      <c r="AL282" s="10"/>
      <c r="AM282" s="9"/>
      <c r="AN282" s="10"/>
      <c r="AO282" s="6"/>
      <c r="AP282" s="6"/>
      <c r="AQ282" s="6"/>
      <c r="AR282" s="11"/>
      <c r="AS282" s="6"/>
      <c r="AT282" s="11"/>
      <c r="AU282" s="11"/>
      <c r="AV282" s="6"/>
      <c r="AW282" s="6"/>
    </row>
    <row r="283" spans="11:49"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7"/>
      <c r="AF283" s="8"/>
      <c r="AG283" s="6"/>
      <c r="AH283" s="6"/>
      <c r="AI283" s="9"/>
      <c r="AJ283" s="9"/>
      <c r="AK283" s="9"/>
      <c r="AL283" s="10"/>
      <c r="AM283" s="9"/>
      <c r="AN283" s="10"/>
      <c r="AO283" s="6"/>
      <c r="AP283" s="6"/>
      <c r="AQ283" s="6"/>
      <c r="AR283" s="11"/>
      <c r="AS283" s="6"/>
      <c r="AT283" s="11"/>
      <c r="AU283" s="11"/>
      <c r="AV283" s="6"/>
      <c r="AW283" s="6"/>
    </row>
    <row r="284" spans="11:49"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7"/>
      <c r="AF284" s="8"/>
      <c r="AG284" s="6"/>
      <c r="AH284" s="6"/>
      <c r="AI284" s="9"/>
      <c r="AJ284" s="9"/>
      <c r="AK284" s="9"/>
      <c r="AL284" s="10"/>
      <c r="AM284" s="9"/>
      <c r="AN284" s="10"/>
      <c r="AO284" s="6"/>
      <c r="AP284" s="6"/>
      <c r="AQ284" s="6"/>
      <c r="AR284" s="11"/>
      <c r="AS284" s="6"/>
      <c r="AT284" s="11"/>
      <c r="AU284" s="11"/>
      <c r="AV284" s="6"/>
      <c r="AW284" s="6"/>
    </row>
    <row r="285" spans="11:49"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7"/>
      <c r="AF285" s="8"/>
      <c r="AG285" s="6"/>
      <c r="AH285" s="6"/>
      <c r="AI285" s="9"/>
      <c r="AJ285" s="9"/>
      <c r="AK285" s="9"/>
      <c r="AL285" s="10"/>
      <c r="AM285" s="9"/>
      <c r="AN285" s="10"/>
      <c r="AO285" s="6"/>
      <c r="AP285" s="6"/>
      <c r="AQ285" s="6"/>
      <c r="AR285" s="11"/>
      <c r="AS285" s="6"/>
      <c r="AT285" s="11"/>
      <c r="AU285" s="11"/>
      <c r="AV285" s="6"/>
      <c r="AW285" s="6"/>
    </row>
    <row r="286" spans="11:49"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7"/>
      <c r="AF286" s="8"/>
      <c r="AG286" s="6"/>
      <c r="AH286" s="6"/>
      <c r="AI286" s="9"/>
      <c r="AJ286" s="9"/>
      <c r="AK286" s="9"/>
      <c r="AL286" s="10"/>
      <c r="AM286" s="9"/>
      <c r="AN286" s="10"/>
      <c r="AO286" s="6"/>
      <c r="AP286" s="6"/>
      <c r="AQ286" s="6"/>
      <c r="AR286" s="11"/>
      <c r="AS286" s="6"/>
      <c r="AT286" s="11"/>
      <c r="AU286" s="11"/>
      <c r="AV286" s="6"/>
      <c r="AW286" s="6"/>
    </row>
    <row r="287" spans="11:49"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7"/>
      <c r="AF287" s="8"/>
      <c r="AG287" s="6"/>
      <c r="AH287" s="6"/>
      <c r="AI287" s="9"/>
      <c r="AJ287" s="9"/>
      <c r="AK287" s="9"/>
      <c r="AL287" s="10"/>
      <c r="AM287" s="9"/>
      <c r="AN287" s="10"/>
      <c r="AO287" s="6"/>
      <c r="AP287" s="6"/>
      <c r="AQ287" s="6"/>
      <c r="AR287" s="11"/>
      <c r="AS287" s="6"/>
      <c r="AT287" s="11"/>
      <c r="AU287" s="11"/>
      <c r="AV287" s="6"/>
      <c r="AW287" s="6"/>
    </row>
    <row r="288" spans="11:49"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7"/>
      <c r="AF288" s="8"/>
      <c r="AG288" s="6"/>
      <c r="AH288" s="6"/>
      <c r="AI288" s="9"/>
      <c r="AJ288" s="9"/>
      <c r="AK288" s="9"/>
      <c r="AL288" s="10"/>
      <c r="AM288" s="9"/>
      <c r="AN288" s="10"/>
      <c r="AO288" s="6"/>
      <c r="AP288" s="6"/>
      <c r="AQ288" s="6"/>
      <c r="AR288" s="11"/>
      <c r="AS288" s="6"/>
      <c r="AT288" s="11"/>
      <c r="AU288" s="11"/>
      <c r="AV288" s="6"/>
      <c r="AW288" s="6"/>
    </row>
    <row r="289" spans="11:49"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7"/>
      <c r="AF289" s="8"/>
      <c r="AG289" s="6"/>
      <c r="AH289" s="6"/>
      <c r="AI289" s="9"/>
      <c r="AJ289" s="9"/>
      <c r="AK289" s="9"/>
      <c r="AL289" s="10"/>
      <c r="AM289" s="9"/>
      <c r="AN289" s="10"/>
      <c r="AO289" s="6"/>
      <c r="AP289" s="6"/>
      <c r="AQ289" s="6"/>
      <c r="AR289" s="11"/>
      <c r="AS289" s="6"/>
      <c r="AT289" s="11"/>
      <c r="AU289" s="11"/>
      <c r="AV289" s="6"/>
      <c r="AW289" s="6"/>
    </row>
    <row r="290" spans="11:49"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7"/>
      <c r="AF290" s="8"/>
      <c r="AG290" s="6"/>
      <c r="AH290" s="6"/>
      <c r="AI290" s="9"/>
      <c r="AJ290" s="9"/>
      <c r="AK290" s="9"/>
      <c r="AL290" s="10"/>
      <c r="AM290" s="9"/>
      <c r="AN290" s="10"/>
      <c r="AO290" s="6"/>
      <c r="AP290" s="6"/>
      <c r="AQ290" s="6"/>
      <c r="AR290" s="11"/>
      <c r="AS290" s="6"/>
      <c r="AT290" s="11"/>
      <c r="AU290" s="11"/>
      <c r="AV290" s="6"/>
      <c r="AW290" s="6"/>
    </row>
    <row r="291" spans="11:49"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7"/>
      <c r="AF291" s="8"/>
      <c r="AG291" s="6"/>
      <c r="AH291" s="6"/>
      <c r="AI291" s="9"/>
      <c r="AJ291" s="9"/>
      <c r="AK291" s="9"/>
      <c r="AL291" s="10"/>
      <c r="AM291" s="9"/>
      <c r="AN291" s="10"/>
      <c r="AO291" s="6"/>
      <c r="AP291" s="6"/>
      <c r="AQ291" s="6"/>
      <c r="AR291" s="11"/>
      <c r="AS291" s="6"/>
      <c r="AT291" s="11"/>
      <c r="AU291" s="11"/>
      <c r="AV291" s="6"/>
      <c r="AW291" s="6"/>
    </row>
    <row r="292" spans="11:49"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7"/>
      <c r="AF292" s="8"/>
      <c r="AG292" s="6"/>
      <c r="AH292" s="6"/>
      <c r="AI292" s="9"/>
      <c r="AJ292" s="9"/>
      <c r="AK292" s="9"/>
      <c r="AL292" s="10"/>
      <c r="AM292" s="9"/>
      <c r="AN292" s="10"/>
      <c r="AO292" s="6"/>
      <c r="AP292" s="6"/>
      <c r="AQ292" s="6"/>
      <c r="AR292" s="11"/>
      <c r="AS292" s="6"/>
      <c r="AT292" s="11"/>
      <c r="AU292" s="11"/>
      <c r="AV292" s="6"/>
      <c r="AW292" s="6"/>
    </row>
    <row r="293" spans="11:49"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7"/>
      <c r="AF293" s="8"/>
      <c r="AG293" s="6"/>
      <c r="AH293" s="6"/>
      <c r="AI293" s="9"/>
      <c r="AJ293" s="9"/>
      <c r="AK293" s="9"/>
      <c r="AL293" s="10"/>
      <c r="AM293" s="9"/>
      <c r="AN293" s="10"/>
      <c r="AO293" s="6"/>
      <c r="AP293" s="6"/>
      <c r="AQ293" s="6"/>
      <c r="AR293" s="11"/>
      <c r="AS293" s="6"/>
      <c r="AT293" s="11"/>
      <c r="AU293" s="11"/>
      <c r="AV293" s="6"/>
      <c r="AW293" s="6"/>
    </row>
    <row r="294" spans="11:49"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7"/>
      <c r="AF294" s="8"/>
      <c r="AG294" s="6"/>
      <c r="AH294" s="6"/>
      <c r="AI294" s="9"/>
      <c r="AJ294" s="9"/>
      <c r="AK294" s="9"/>
      <c r="AL294" s="10"/>
      <c r="AM294" s="9"/>
      <c r="AN294" s="10"/>
      <c r="AO294" s="6"/>
      <c r="AP294" s="6"/>
      <c r="AQ294" s="6"/>
      <c r="AR294" s="11"/>
      <c r="AS294" s="6"/>
      <c r="AT294" s="11"/>
      <c r="AU294" s="11"/>
      <c r="AV294" s="6"/>
      <c r="AW294" s="6"/>
    </row>
    <row r="295" spans="11:49"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7"/>
      <c r="AF295" s="8"/>
      <c r="AG295" s="6"/>
      <c r="AH295" s="6"/>
      <c r="AI295" s="9"/>
      <c r="AJ295" s="9"/>
      <c r="AK295" s="9"/>
      <c r="AL295" s="10"/>
      <c r="AM295" s="9"/>
      <c r="AN295" s="10"/>
      <c r="AO295" s="6"/>
      <c r="AP295" s="6"/>
      <c r="AQ295" s="6"/>
      <c r="AR295" s="11"/>
      <c r="AS295" s="6"/>
      <c r="AT295" s="11"/>
      <c r="AU295" s="11"/>
      <c r="AV295" s="6"/>
      <c r="AW295" s="6"/>
    </row>
    <row r="296" spans="11:49"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7"/>
      <c r="AF296" s="8"/>
      <c r="AG296" s="6"/>
      <c r="AH296" s="6"/>
      <c r="AI296" s="9"/>
      <c r="AJ296" s="9"/>
      <c r="AK296" s="9"/>
      <c r="AL296" s="10"/>
      <c r="AM296" s="9"/>
      <c r="AN296" s="10"/>
      <c r="AO296" s="6"/>
      <c r="AP296" s="6"/>
      <c r="AQ296" s="6"/>
      <c r="AR296" s="11"/>
      <c r="AS296" s="6"/>
      <c r="AT296" s="11"/>
      <c r="AU296" s="11"/>
      <c r="AV296" s="6"/>
      <c r="AW296" s="6"/>
    </row>
    <row r="297" spans="11:49"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7"/>
      <c r="AF297" s="8"/>
      <c r="AG297" s="6"/>
      <c r="AH297" s="6"/>
      <c r="AI297" s="9"/>
      <c r="AJ297" s="9"/>
      <c r="AK297" s="9"/>
      <c r="AL297" s="10"/>
      <c r="AM297" s="9"/>
      <c r="AN297" s="10"/>
      <c r="AO297" s="6"/>
      <c r="AP297" s="6"/>
      <c r="AQ297" s="6"/>
      <c r="AR297" s="11"/>
      <c r="AS297" s="6"/>
      <c r="AT297" s="11"/>
      <c r="AU297" s="11"/>
      <c r="AV297" s="6"/>
      <c r="AW297" s="6"/>
    </row>
    <row r="298" spans="11:49"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7"/>
      <c r="AF298" s="8"/>
      <c r="AG298" s="6"/>
      <c r="AH298" s="6"/>
      <c r="AI298" s="9"/>
      <c r="AJ298" s="9"/>
      <c r="AK298" s="9"/>
      <c r="AL298" s="10"/>
      <c r="AM298" s="9"/>
      <c r="AN298" s="10"/>
      <c r="AO298" s="6"/>
      <c r="AP298" s="6"/>
      <c r="AQ298" s="6"/>
      <c r="AR298" s="11"/>
      <c r="AS298" s="6"/>
      <c r="AT298" s="11"/>
      <c r="AU298" s="11"/>
      <c r="AV298" s="6"/>
      <c r="AW298" s="6"/>
    </row>
    <row r="299" spans="11:49"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7"/>
      <c r="AF299" s="8"/>
      <c r="AG299" s="6"/>
      <c r="AH299" s="6"/>
      <c r="AI299" s="9"/>
      <c r="AJ299" s="9"/>
      <c r="AK299" s="9"/>
      <c r="AL299" s="10"/>
      <c r="AM299" s="9"/>
      <c r="AN299" s="10"/>
      <c r="AO299" s="6"/>
      <c r="AP299" s="6"/>
      <c r="AQ299" s="6"/>
      <c r="AR299" s="11"/>
      <c r="AS299" s="6"/>
      <c r="AT299" s="11"/>
      <c r="AU299" s="11"/>
      <c r="AV299" s="6"/>
      <c r="AW299" s="6"/>
    </row>
    <row r="300" spans="11:49"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7"/>
      <c r="AF300" s="8"/>
      <c r="AG300" s="6"/>
      <c r="AH300" s="6"/>
      <c r="AI300" s="9"/>
      <c r="AJ300" s="9"/>
      <c r="AK300" s="9"/>
      <c r="AL300" s="10"/>
      <c r="AM300" s="9"/>
      <c r="AN300" s="10"/>
      <c r="AO300" s="6"/>
      <c r="AP300" s="6"/>
      <c r="AQ300" s="6"/>
      <c r="AR300" s="11"/>
      <c r="AS300" s="6"/>
      <c r="AT300" s="11"/>
      <c r="AU300" s="11"/>
      <c r="AV300" s="6"/>
      <c r="AW300" s="6"/>
    </row>
    <row r="301" spans="11:49"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7"/>
      <c r="AF301" s="8"/>
      <c r="AG301" s="6"/>
      <c r="AH301" s="6"/>
      <c r="AI301" s="9"/>
      <c r="AJ301" s="9"/>
      <c r="AK301" s="9"/>
      <c r="AL301" s="10"/>
      <c r="AM301" s="9"/>
      <c r="AN301" s="10"/>
      <c r="AO301" s="6"/>
      <c r="AP301" s="6"/>
      <c r="AQ301" s="6"/>
      <c r="AR301" s="11"/>
      <c r="AS301" s="6"/>
      <c r="AT301" s="11"/>
      <c r="AU301" s="11"/>
      <c r="AV301" s="6"/>
      <c r="AW301" s="6"/>
    </row>
    <row r="302" spans="11:49"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7"/>
      <c r="AF302" s="8"/>
      <c r="AG302" s="6"/>
      <c r="AH302" s="6"/>
      <c r="AI302" s="9"/>
      <c r="AJ302" s="9"/>
      <c r="AK302" s="9"/>
      <c r="AL302" s="10"/>
      <c r="AM302" s="9"/>
      <c r="AN302" s="10"/>
      <c r="AO302" s="6"/>
      <c r="AP302" s="6"/>
      <c r="AQ302" s="6"/>
      <c r="AR302" s="11"/>
      <c r="AS302" s="6"/>
      <c r="AT302" s="11"/>
      <c r="AU302" s="11"/>
      <c r="AV302" s="6"/>
      <c r="AW302" s="6"/>
    </row>
    <row r="303" spans="11:49"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7"/>
      <c r="AF303" s="8"/>
      <c r="AG303" s="6"/>
      <c r="AH303" s="6"/>
      <c r="AI303" s="9"/>
      <c r="AJ303" s="9"/>
      <c r="AK303" s="9"/>
      <c r="AL303" s="10"/>
      <c r="AM303" s="9"/>
      <c r="AN303" s="10"/>
      <c r="AO303" s="6"/>
      <c r="AP303" s="6"/>
      <c r="AQ303" s="6"/>
      <c r="AR303" s="11"/>
      <c r="AS303" s="6"/>
      <c r="AT303" s="11"/>
      <c r="AU303" s="11"/>
      <c r="AV303" s="6"/>
      <c r="AW303" s="6"/>
    </row>
    <row r="304" spans="11:49"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7"/>
      <c r="AF304" s="8"/>
      <c r="AG304" s="6"/>
      <c r="AH304" s="6"/>
      <c r="AI304" s="9"/>
      <c r="AJ304" s="9"/>
      <c r="AK304" s="9"/>
      <c r="AL304" s="10"/>
      <c r="AM304" s="9"/>
      <c r="AN304" s="10"/>
      <c r="AO304" s="6"/>
      <c r="AP304" s="6"/>
      <c r="AQ304" s="6"/>
      <c r="AR304" s="11"/>
      <c r="AS304" s="6"/>
      <c r="AT304" s="11"/>
      <c r="AU304" s="11"/>
      <c r="AV304" s="6"/>
      <c r="AW304" s="6"/>
    </row>
    <row r="305" spans="11:49"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7"/>
      <c r="AF305" s="8"/>
      <c r="AG305" s="6"/>
      <c r="AH305" s="6"/>
      <c r="AI305" s="9"/>
      <c r="AJ305" s="9"/>
      <c r="AK305" s="9"/>
      <c r="AL305" s="10"/>
      <c r="AM305" s="9"/>
      <c r="AN305" s="10"/>
      <c r="AO305" s="6"/>
      <c r="AP305" s="6"/>
      <c r="AQ305" s="6"/>
      <c r="AR305" s="11"/>
      <c r="AS305" s="6"/>
      <c r="AT305" s="11"/>
      <c r="AU305" s="11"/>
      <c r="AV305" s="6"/>
      <c r="AW305" s="6"/>
    </row>
    <row r="306" spans="11:49"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7"/>
      <c r="AF306" s="8"/>
      <c r="AG306" s="6"/>
      <c r="AH306" s="6"/>
      <c r="AI306" s="9"/>
      <c r="AJ306" s="9"/>
      <c r="AK306" s="9"/>
      <c r="AL306" s="10"/>
      <c r="AM306" s="9"/>
      <c r="AN306" s="10"/>
      <c r="AO306" s="6"/>
      <c r="AP306" s="6"/>
      <c r="AQ306" s="6"/>
      <c r="AR306" s="11"/>
      <c r="AS306" s="6"/>
      <c r="AT306" s="11"/>
      <c r="AU306" s="11"/>
      <c r="AV306" s="6"/>
      <c r="AW306" s="6"/>
    </row>
    <row r="307" spans="11:49"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7"/>
      <c r="AF307" s="8"/>
      <c r="AG307" s="6"/>
      <c r="AH307" s="6"/>
      <c r="AI307" s="9"/>
      <c r="AJ307" s="9"/>
      <c r="AK307" s="9"/>
      <c r="AL307" s="10"/>
      <c r="AM307" s="9"/>
      <c r="AN307" s="10"/>
      <c r="AO307" s="6"/>
      <c r="AP307" s="6"/>
      <c r="AQ307" s="6"/>
      <c r="AR307" s="11"/>
      <c r="AS307" s="6"/>
      <c r="AT307" s="11"/>
      <c r="AU307" s="11"/>
      <c r="AV307" s="6"/>
      <c r="AW307" s="6"/>
    </row>
    <row r="308" spans="11:49"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7"/>
      <c r="AF308" s="8"/>
      <c r="AG308" s="6"/>
      <c r="AH308" s="6"/>
      <c r="AI308" s="9"/>
      <c r="AJ308" s="9"/>
      <c r="AK308" s="9"/>
      <c r="AL308" s="10"/>
      <c r="AM308" s="9"/>
      <c r="AN308" s="10"/>
      <c r="AO308" s="6"/>
      <c r="AP308" s="6"/>
      <c r="AQ308" s="6"/>
      <c r="AR308" s="11"/>
      <c r="AS308" s="6"/>
      <c r="AT308" s="11"/>
      <c r="AU308" s="11"/>
      <c r="AV308" s="6"/>
      <c r="AW308" s="6"/>
    </row>
    <row r="309" spans="11:49"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7"/>
      <c r="AF309" s="8"/>
      <c r="AG309" s="6"/>
      <c r="AH309" s="6"/>
      <c r="AI309" s="9"/>
      <c r="AJ309" s="9"/>
      <c r="AK309" s="9"/>
      <c r="AL309" s="10"/>
      <c r="AM309" s="9"/>
      <c r="AN309" s="10"/>
      <c r="AO309" s="6"/>
      <c r="AP309" s="6"/>
      <c r="AQ309" s="6"/>
      <c r="AR309" s="11"/>
      <c r="AS309" s="6"/>
      <c r="AT309" s="11"/>
      <c r="AU309" s="11"/>
      <c r="AV309" s="6"/>
      <c r="AW309" s="6"/>
    </row>
    <row r="310" spans="11:49"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7"/>
      <c r="AF310" s="8"/>
      <c r="AG310" s="6"/>
      <c r="AH310" s="6"/>
      <c r="AI310" s="9"/>
      <c r="AJ310" s="9"/>
      <c r="AK310" s="9"/>
      <c r="AL310" s="10"/>
      <c r="AM310" s="9"/>
      <c r="AN310" s="10"/>
      <c r="AO310" s="6"/>
      <c r="AP310" s="6"/>
      <c r="AQ310" s="6"/>
      <c r="AR310" s="11"/>
      <c r="AS310" s="6"/>
      <c r="AT310" s="11"/>
      <c r="AU310" s="11"/>
      <c r="AV310" s="6"/>
      <c r="AW310" s="6"/>
    </row>
    <row r="311" spans="11:49"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7"/>
      <c r="AF311" s="8"/>
      <c r="AG311" s="6"/>
      <c r="AH311" s="6"/>
      <c r="AI311" s="9"/>
      <c r="AJ311" s="9"/>
      <c r="AK311" s="9"/>
      <c r="AL311" s="10"/>
      <c r="AM311" s="9"/>
      <c r="AN311" s="10"/>
      <c r="AO311" s="6"/>
      <c r="AP311" s="6"/>
      <c r="AQ311" s="6"/>
      <c r="AR311" s="11"/>
      <c r="AS311" s="6"/>
      <c r="AT311" s="11"/>
      <c r="AU311" s="11"/>
      <c r="AV311" s="6"/>
      <c r="AW311" s="6"/>
    </row>
    <row r="312" spans="11:49"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7"/>
      <c r="AF312" s="8"/>
      <c r="AG312" s="6"/>
      <c r="AH312" s="6"/>
      <c r="AI312" s="9"/>
      <c r="AJ312" s="9"/>
      <c r="AK312" s="9"/>
      <c r="AL312" s="10"/>
      <c r="AM312" s="9"/>
      <c r="AN312" s="10"/>
      <c r="AO312" s="6"/>
      <c r="AP312" s="6"/>
      <c r="AQ312" s="6"/>
      <c r="AR312" s="11"/>
      <c r="AS312" s="6"/>
      <c r="AT312" s="11"/>
      <c r="AU312" s="11"/>
      <c r="AV312" s="6"/>
      <c r="AW312" s="6"/>
    </row>
    <row r="313" spans="11:49"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7"/>
      <c r="AF313" s="8"/>
      <c r="AG313" s="6"/>
      <c r="AH313" s="6"/>
      <c r="AI313" s="9"/>
      <c r="AJ313" s="9"/>
      <c r="AK313" s="9"/>
      <c r="AL313" s="10"/>
      <c r="AM313" s="9"/>
      <c r="AN313" s="10"/>
      <c r="AO313" s="6"/>
      <c r="AP313" s="6"/>
      <c r="AQ313" s="6"/>
      <c r="AR313" s="11"/>
      <c r="AS313" s="6"/>
      <c r="AT313" s="11"/>
      <c r="AU313" s="11"/>
      <c r="AV313" s="6"/>
      <c r="AW313" s="6"/>
    </row>
    <row r="314" spans="11:49"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7"/>
      <c r="AF314" s="8"/>
      <c r="AG314" s="6"/>
      <c r="AH314" s="6"/>
      <c r="AI314" s="9"/>
      <c r="AJ314" s="9"/>
      <c r="AK314" s="9"/>
      <c r="AL314" s="10"/>
      <c r="AM314" s="9"/>
      <c r="AN314" s="10"/>
      <c r="AO314" s="6"/>
      <c r="AP314" s="6"/>
      <c r="AQ314" s="6"/>
      <c r="AR314" s="11"/>
      <c r="AS314" s="6"/>
      <c r="AT314" s="11"/>
      <c r="AU314" s="11"/>
      <c r="AV314" s="6"/>
      <c r="AW314" s="6"/>
    </row>
    <row r="315" spans="11:49"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7"/>
      <c r="AF315" s="8"/>
      <c r="AG315" s="6"/>
      <c r="AH315" s="6"/>
      <c r="AI315" s="9"/>
      <c r="AJ315" s="9"/>
      <c r="AK315" s="9"/>
      <c r="AL315" s="10"/>
      <c r="AM315" s="9"/>
      <c r="AN315" s="10"/>
      <c r="AO315" s="6"/>
      <c r="AP315" s="6"/>
      <c r="AQ315" s="6"/>
      <c r="AR315" s="11"/>
      <c r="AS315" s="6"/>
      <c r="AT315" s="11"/>
      <c r="AU315" s="11"/>
      <c r="AV315" s="6"/>
      <c r="AW315" s="6"/>
    </row>
    <row r="316" spans="11:49"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7"/>
      <c r="AF316" s="8"/>
      <c r="AG316" s="6"/>
      <c r="AH316" s="6"/>
      <c r="AI316" s="9"/>
      <c r="AJ316" s="9"/>
      <c r="AK316" s="9"/>
      <c r="AL316" s="10"/>
      <c r="AM316" s="9"/>
      <c r="AN316" s="10"/>
      <c r="AO316" s="6"/>
      <c r="AP316" s="6"/>
      <c r="AQ316" s="6"/>
      <c r="AR316" s="11"/>
      <c r="AS316" s="6"/>
      <c r="AT316" s="11"/>
      <c r="AU316" s="11"/>
      <c r="AV316" s="6"/>
      <c r="AW316" s="6"/>
    </row>
    <row r="317" spans="11:49"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7"/>
      <c r="AF317" s="8"/>
      <c r="AG317" s="6"/>
      <c r="AH317" s="6"/>
      <c r="AI317" s="9"/>
      <c r="AJ317" s="9"/>
      <c r="AK317" s="9"/>
      <c r="AL317" s="10"/>
      <c r="AM317" s="9"/>
      <c r="AN317" s="10"/>
      <c r="AO317" s="6"/>
      <c r="AP317" s="6"/>
      <c r="AQ317" s="6"/>
      <c r="AR317" s="11"/>
      <c r="AS317" s="6"/>
      <c r="AT317" s="11"/>
      <c r="AU317" s="11"/>
      <c r="AV317" s="6"/>
      <c r="AW317" s="6"/>
    </row>
    <row r="318" spans="11:49"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7"/>
      <c r="AF318" s="8"/>
      <c r="AG318" s="6"/>
      <c r="AH318" s="6"/>
      <c r="AI318" s="9"/>
      <c r="AJ318" s="9"/>
      <c r="AK318" s="9"/>
      <c r="AL318" s="10"/>
      <c r="AM318" s="9"/>
      <c r="AN318" s="10"/>
      <c r="AO318" s="6"/>
      <c r="AP318" s="6"/>
      <c r="AQ318" s="6"/>
      <c r="AR318" s="11"/>
      <c r="AS318" s="6"/>
      <c r="AT318" s="11"/>
      <c r="AU318" s="11"/>
      <c r="AV318" s="6"/>
      <c r="AW318" s="6"/>
    </row>
    <row r="319" spans="11:49"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7"/>
      <c r="AF319" s="8"/>
      <c r="AG319" s="6"/>
      <c r="AH319" s="6"/>
      <c r="AI319" s="9"/>
      <c r="AJ319" s="9"/>
      <c r="AK319" s="9"/>
      <c r="AL319" s="10"/>
      <c r="AM319" s="9"/>
      <c r="AN319" s="10"/>
      <c r="AO319" s="6"/>
      <c r="AP319" s="6"/>
      <c r="AQ319" s="6"/>
      <c r="AR319" s="11"/>
      <c r="AS319" s="6"/>
      <c r="AT319" s="11"/>
      <c r="AU319" s="11"/>
      <c r="AV319" s="6"/>
      <c r="AW319" s="6"/>
    </row>
    <row r="320" spans="11:49"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7"/>
      <c r="AF320" s="8"/>
      <c r="AG320" s="6"/>
      <c r="AH320" s="6"/>
      <c r="AI320" s="9"/>
      <c r="AJ320" s="9"/>
      <c r="AK320" s="9"/>
      <c r="AL320" s="10"/>
      <c r="AM320" s="9"/>
      <c r="AN320" s="10"/>
      <c r="AO320" s="6"/>
      <c r="AP320" s="6"/>
      <c r="AQ320" s="6"/>
      <c r="AR320" s="11"/>
      <c r="AS320" s="6"/>
      <c r="AT320" s="11"/>
      <c r="AU320" s="11"/>
      <c r="AV320" s="6"/>
      <c r="AW320" s="6"/>
    </row>
    <row r="321" spans="11:49"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7"/>
      <c r="AF321" s="8"/>
      <c r="AG321" s="6"/>
      <c r="AH321" s="6"/>
      <c r="AI321" s="9"/>
      <c r="AJ321" s="9"/>
      <c r="AK321" s="9"/>
      <c r="AL321" s="10"/>
      <c r="AM321" s="9"/>
      <c r="AN321" s="10"/>
      <c r="AO321" s="6"/>
      <c r="AP321" s="6"/>
      <c r="AQ321" s="6"/>
      <c r="AR321" s="11"/>
      <c r="AS321" s="6"/>
      <c r="AT321" s="11"/>
      <c r="AU321" s="11"/>
      <c r="AV321" s="6"/>
      <c r="AW321" s="6"/>
    </row>
    <row r="322" spans="11:49"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7"/>
      <c r="AF322" s="8"/>
      <c r="AG322" s="6"/>
      <c r="AH322" s="6"/>
      <c r="AI322" s="9"/>
      <c r="AJ322" s="9"/>
      <c r="AK322" s="9"/>
      <c r="AL322" s="10"/>
      <c r="AM322" s="9"/>
      <c r="AN322" s="10"/>
      <c r="AO322" s="6"/>
      <c r="AP322" s="6"/>
      <c r="AQ322" s="6"/>
      <c r="AR322" s="11"/>
      <c r="AS322" s="6"/>
      <c r="AT322" s="11"/>
      <c r="AU322" s="11"/>
      <c r="AV322" s="6"/>
      <c r="AW322" s="6"/>
    </row>
    <row r="323" spans="11:49"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7"/>
      <c r="AF323" s="8"/>
      <c r="AG323" s="6"/>
      <c r="AH323" s="6"/>
      <c r="AI323" s="9"/>
      <c r="AJ323" s="9"/>
      <c r="AK323" s="9"/>
      <c r="AL323" s="10"/>
      <c r="AM323" s="9"/>
      <c r="AN323" s="10"/>
      <c r="AO323" s="6"/>
      <c r="AP323" s="6"/>
      <c r="AQ323" s="6"/>
      <c r="AR323" s="11"/>
      <c r="AS323" s="6"/>
      <c r="AT323" s="11"/>
      <c r="AU323" s="11"/>
      <c r="AV323" s="6"/>
      <c r="AW323" s="6"/>
    </row>
    <row r="324" spans="11:49"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7"/>
      <c r="AF324" s="8"/>
      <c r="AG324" s="6"/>
      <c r="AH324" s="6"/>
      <c r="AI324" s="9"/>
      <c r="AJ324" s="9"/>
      <c r="AK324" s="9"/>
      <c r="AL324" s="10"/>
      <c r="AM324" s="9"/>
      <c r="AN324" s="10"/>
      <c r="AO324" s="6"/>
      <c r="AP324" s="6"/>
      <c r="AQ324" s="6"/>
      <c r="AR324" s="11"/>
      <c r="AS324" s="6"/>
      <c r="AT324" s="11"/>
      <c r="AU324" s="11"/>
      <c r="AV324" s="6"/>
      <c r="AW324" s="6"/>
    </row>
    <row r="325" spans="11:49"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7"/>
      <c r="AF325" s="8"/>
      <c r="AG325" s="6"/>
      <c r="AH325" s="6"/>
      <c r="AI325" s="9"/>
      <c r="AJ325" s="9"/>
      <c r="AK325" s="9"/>
      <c r="AL325" s="10"/>
      <c r="AM325" s="9"/>
      <c r="AN325" s="10"/>
      <c r="AO325" s="6"/>
      <c r="AP325" s="6"/>
      <c r="AQ325" s="6"/>
      <c r="AR325" s="11"/>
      <c r="AS325" s="6"/>
      <c r="AT325" s="11"/>
      <c r="AU325" s="11"/>
      <c r="AV325" s="6"/>
      <c r="AW325" s="6"/>
    </row>
    <row r="326" spans="11:49"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7"/>
      <c r="AF326" s="8"/>
      <c r="AG326" s="6"/>
      <c r="AH326" s="6"/>
      <c r="AI326" s="9"/>
      <c r="AJ326" s="9"/>
      <c r="AK326" s="9"/>
      <c r="AL326" s="10"/>
      <c r="AM326" s="9"/>
      <c r="AN326" s="10"/>
      <c r="AO326" s="6"/>
      <c r="AP326" s="6"/>
      <c r="AQ326" s="6"/>
      <c r="AR326" s="11"/>
      <c r="AS326" s="6"/>
      <c r="AT326" s="11"/>
      <c r="AU326" s="11"/>
      <c r="AV326" s="6"/>
      <c r="AW326" s="6"/>
    </row>
    <row r="327" spans="11:49"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7"/>
      <c r="AF327" s="8"/>
      <c r="AG327" s="6"/>
      <c r="AH327" s="6"/>
      <c r="AI327" s="9"/>
      <c r="AJ327" s="9"/>
      <c r="AK327" s="9"/>
      <c r="AL327" s="10"/>
      <c r="AM327" s="9"/>
      <c r="AN327" s="10"/>
      <c r="AO327" s="6"/>
      <c r="AP327" s="6"/>
      <c r="AQ327" s="6"/>
      <c r="AR327" s="11"/>
      <c r="AS327" s="6"/>
      <c r="AT327" s="11"/>
      <c r="AU327" s="11"/>
      <c r="AV327" s="6"/>
      <c r="AW327" s="6"/>
    </row>
    <row r="328" spans="11:49"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7"/>
      <c r="AF328" s="8"/>
      <c r="AG328" s="6"/>
      <c r="AH328" s="6"/>
      <c r="AI328" s="9"/>
      <c r="AJ328" s="9"/>
      <c r="AK328" s="9"/>
      <c r="AL328" s="10"/>
      <c r="AM328" s="9"/>
      <c r="AN328" s="10"/>
      <c r="AO328" s="6"/>
      <c r="AP328" s="6"/>
      <c r="AQ328" s="6"/>
      <c r="AR328" s="11"/>
      <c r="AS328" s="6"/>
      <c r="AT328" s="11"/>
      <c r="AU328" s="11"/>
      <c r="AV328" s="6"/>
      <c r="AW328" s="6"/>
    </row>
    <row r="329" spans="11:49"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7"/>
      <c r="AF329" s="8"/>
      <c r="AG329" s="6"/>
      <c r="AH329" s="6"/>
      <c r="AI329" s="9"/>
      <c r="AJ329" s="9"/>
      <c r="AK329" s="9"/>
      <c r="AL329" s="10"/>
      <c r="AM329" s="9"/>
      <c r="AN329" s="10"/>
      <c r="AO329" s="6"/>
      <c r="AP329" s="6"/>
      <c r="AQ329" s="6"/>
      <c r="AR329" s="11"/>
      <c r="AS329" s="6"/>
      <c r="AT329" s="11"/>
      <c r="AU329" s="11"/>
      <c r="AV329" s="6"/>
      <c r="AW329" s="6"/>
    </row>
    <row r="330" spans="11:49"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7"/>
      <c r="AF330" s="8"/>
      <c r="AG330" s="6"/>
      <c r="AH330" s="6"/>
      <c r="AI330" s="9"/>
      <c r="AJ330" s="9"/>
      <c r="AK330" s="9"/>
      <c r="AL330" s="10"/>
      <c r="AM330" s="9"/>
      <c r="AN330" s="10"/>
      <c r="AO330" s="6"/>
      <c r="AP330" s="6"/>
      <c r="AQ330" s="6"/>
      <c r="AR330" s="11"/>
      <c r="AS330" s="6"/>
      <c r="AT330" s="11"/>
      <c r="AU330" s="11"/>
      <c r="AV330" s="6"/>
      <c r="AW330" s="6"/>
    </row>
    <row r="331" spans="11:49"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7"/>
      <c r="AF331" s="8"/>
      <c r="AG331" s="6"/>
      <c r="AH331" s="6"/>
      <c r="AI331" s="9"/>
      <c r="AJ331" s="9"/>
      <c r="AK331" s="9"/>
      <c r="AL331" s="10"/>
      <c r="AM331" s="9"/>
      <c r="AN331" s="10"/>
      <c r="AO331" s="6"/>
      <c r="AP331" s="6"/>
      <c r="AQ331" s="6"/>
      <c r="AR331" s="11"/>
      <c r="AS331" s="6"/>
      <c r="AT331" s="11"/>
      <c r="AU331" s="11"/>
      <c r="AV331" s="6"/>
      <c r="AW331" s="6"/>
    </row>
    <row r="332" spans="11:49"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7"/>
      <c r="AF332" s="8"/>
      <c r="AG332" s="6"/>
      <c r="AH332" s="6"/>
      <c r="AI332" s="9"/>
      <c r="AJ332" s="9"/>
      <c r="AK332" s="9"/>
      <c r="AL332" s="10"/>
      <c r="AM332" s="9"/>
      <c r="AN332" s="10"/>
      <c r="AO332" s="6"/>
      <c r="AP332" s="6"/>
      <c r="AQ332" s="6"/>
      <c r="AR332" s="11"/>
      <c r="AS332" s="6"/>
      <c r="AT332" s="11"/>
      <c r="AU332" s="11"/>
      <c r="AV332" s="6"/>
      <c r="AW332" s="6"/>
    </row>
    <row r="333" spans="11:49"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7"/>
      <c r="AF333" s="8"/>
      <c r="AG333" s="6"/>
      <c r="AH333" s="6"/>
      <c r="AI333" s="9"/>
      <c r="AJ333" s="9"/>
      <c r="AK333" s="9"/>
      <c r="AL333" s="10"/>
      <c r="AM333" s="9"/>
      <c r="AN333" s="10"/>
      <c r="AO333" s="6"/>
      <c r="AP333" s="6"/>
      <c r="AQ333" s="6"/>
      <c r="AR333" s="11"/>
      <c r="AS333" s="6"/>
      <c r="AT333" s="11"/>
      <c r="AU333" s="11"/>
      <c r="AV333" s="6"/>
      <c r="AW333" s="6"/>
    </row>
    <row r="334" spans="11:49"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7"/>
      <c r="AF334" s="8"/>
      <c r="AG334" s="6"/>
      <c r="AH334" s="6"/>
      <c r="AI334" s="9"/>
      <c r="AJ334" s="9"/>
      <c r="AK334" s="9"/>
      <c r="AL334" s="10"/>
      <c r="AM334" s="9"/>
      <c r="AN334" s="10"/>
      <c r="AO334" s="6"/>
      <c r="AP334" s="6"/>
      <c r="AQ334" s="6"/>
      <c r="AR334" s="11"/>
      <c r="AS334" s="6"/>
      <c r="AT334" s="11"/>
      <c r="AU334" s="11"/>
      <c r="AV334" s="6"/>
      <c r="AW334" s="6"/>
    </row>
    <row r="335" spans="11:49"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7"/>
      <c r="AF335" s="8"/>
      <c r="AG335" s="6"/>
      <c r="AH335" s="6"/>
      <c r="AI335" s="9"/>
      <c r="AJ335" s="9"/>
      <c r="AK335" s="9"/>
      <c r="AL335" s="10"/>
      <c r="AM335" s="9"/>
      <c r="AN335" s="10"/>
      <c r="AO335" s="6"/>
      <c r="AP335" s="6"/>
      <c r="AQ335" s="6"/>
      <c r="AR335" s="11"/>
      <c r="AS335" s="6"/>
      <c r="AT335" s="11"/>
      <c r="AU335" s="11"/>
      <c r="AV335" s="6"/>
      <c r="AW335" s="6"/>
    </row>
    <row r="336" spans="11:49"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7"/>
      <c r="AF336" s="8"/>
      <c r="AG336" s="6"/>
      <c r="AH336" s="6"/>
      <c r="AI336" s="9"/>
      <c r="AJ336" s="9"/>
      <c r="AK336" s="9"/>
      <c r="AL336" s="10"/>
      <c r="AM336" s="9"/>
      <c r="AN336" s="10"/>
      <c r="AO336" s="6"/>
      <c r="AP336" s="6"/>
      <c r="AQ336" s="6"/>
      <c r="AR336" s="11"/>
      <c r="AS336" s="6"/>
      <c r="AT336" s="11"/>
      <c r="AU336" s="11"/>
      <c r="AV336" s="6"/>
      <c r="AW336" s="6"/>
    </row>
    <row r="337" spans="11:49"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7"/>
      <c r="AF337" s="8"/>
      <c r="AG337" s="6"/>
      <c r="AH337" s="6"/>
      <c r="AI337" s="9"/>
      <c r="AJ337" s="9"/>
      <c r="AK337" s="9"/>
      <c r="AL337" s="10"/>
      <c r="AM337" s="9"/>
      <c r="AN337" s="10"/>
      <c r="AO337" s="6"/>
      <c r="AP337" s="6"/>
      <c r="AQ337" s="6"/>
      <c r="AR337" s="11"/>
      <c r="AS337" s="6"/>
      <c r="AT337" s="11"/>
      <c r="AU337" s="11"/>
      <c r="AV337" s="6"/>
      <c r="AW337" s="6"/>
    </row>
    <row r="338" spans="11:49"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7"/>
      <c r="AF338" s="8"/>
      <c r="AG338" s="6"/>
      <c r="AH338" s="6"/>
      <c r="AI338" s="9"/>
      <c r="AJ338" s="9"/>
      <c r="AK338" s="9"/>
      <c r="AL338" s="10"/>
      <c r="AM338" s="9"/>
      <c r="AN338" s="10"/>
      <c r="AO338" s="6"/>
      <c r="AP338" s="6"/>
      <c r="AQ338" s="6"/>
      <c r="AR338" s="11"/>
      <c r="AS338" s="6"/>
      <c r="AT338" s="11"/>
      <c r="AU338" s="11"/>
      <c r="AV338" s="6"/>
      <c r="AW338" s="6"/>
    </row>
    <row r="339" spans="11:49"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7"/>
      <c r="AF339" s="8"/>
      <c r="AG339" s="6"/>
      <c r="AH339" s="6"/>
      <c r="AI339" s="9"/>
      <c r="AJ339" s="9"/>
      <c r="AK339" s="9"/>
      <c r="AL339" s="10"/>
      <c r="AM339" s="9"/>
      <c r="AN339" s="10"/>
      <c r="AO339" s="6"/>
      <c r="AP339" s="6"/>
      <c r="AQ339" s="6"/>
      <c r="AR339" s="11"/>
      <c r="AS339" s="6"/>
      <c r="AT339" s="11"/>
      <c r="AU339" s="11"/>
      <c r="AV339" s="6"/>
      <c r="AW339" s="6"/>
    </row>
    <row r="340" spans="11:49"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7"/>
      <c r="AF340" s="8"/>
      <c r="AG340" s="6"/>
      <c r="AH340" s="6"/>
      <c r="AI340" s="9"/>
      <c r="AJ340" s="9"/>
      <c r="AK340" s="9"/>
      <c r="AL340" s="10"/>
      <c r="AM340" s="9"/>
      <c r="AN340" s="10"/>
      <c r="AO340" s="6"/>
      <c r="AP340" s="6"/>
      <c r="AQ340" s="6"/>
      <c r="AR340" s="11"/>
      <c r="AS340" s="6"/>
      <c r="AT340" s="11"/>
      <c r="AU340" s="11"/>
      <c r="AV340" s="6"/>
      <c r="AW340" s="6"/>
    </row>
    <row r="341" spans="11:49"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7"/>
      <c r="AF341" s="8"/>
      <c r="AG341" s="6"/>
      <c r="AH341" s="6"/>
      <c r="AI341" s="9"/>
      <c r="AJ341" s="9"/>
      <c r="AK341" s="9"/>
      <c r="AL341" s="10"/>
      <c r="AM341" s="9"/>
      <c r="AN341" s="10"/>
      <c r="AO341" s="6"/>
      <c r="AP341" s="6"/>
      <c r="AQ341" s="6"/>
      <c r="AR341" s="11"/>
      <c r="AS341" s="6"/>
      <c r="AT341" s="11"/>
      <c r="AU341" s="11"/>
      <c r="AV341" s="6"/>
      <c r="AW341" s="6"/>
    </row>
    <row r="342" spans="11:49"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7"/>
      <c r="AF342" s="8"/>
      <c r="AG342" s="6"/>
      <c r="AH342" s="6"/>
      <c r="AI342" s="9"/>
      <c r="AJ342" s="9"/>
      <c r="AK342" s="9"/>
      <c r="AL342" s="10"/>
      <c r="AM342" s="9"/>
      <c r="AN342" s="10"/>
      <c r="AO342" s="6"/>
      <c r="AP342" s="6"/>
      <c r="AQ342" s="6"/>
      <c r="AR342" s="11"/>
      <c r="AS342" s="6"/>
      <c r="AT342" s="11"/>
      <c r="AU342" s="11"/>
      <c r="AV342" s="6"/>
      <c r="AW342" s="6"/>
    </row>
    <row r="343" spans="11:49"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7"/>
      <c r="AF343" s="8"/>
      <c r="AG343" s="6"/>
      <c r="AH343" s="6"/>
      <c r="AI343" s="9"/>
      <c r="AJ343" s="9"/>
      <c r="AK343" s="9"/>
      <c r="AL343" s="10"/>
      <c r="AM343" s="9"/>
      <c r="AN343" s="10"/>
      <c r="AO343" s="6"/>
      <c r="AP343" s="6"/>
      <c r="AQ343" s="6"/>
      <c r="AR343" s="11"/>
      <c r="AS343" s="6"/>
      <c r="AT343" s="11"/>
      <c r="AU343" s="11"/>
      <c r="AV343" s="6"/>
      <c r="AW343" s="6"/>
    </row>
    <row r="344" spans="11:49"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7"/>
      <c r="AF344" s="8"/>
      <c r="AG344" s="6"/>
      <c r="AH344" s="6"/>
      <c r="AI344" s="9"/>
      <c r="AJ344" s="9"/>
      <c r="AK344" s="9"/>
      <c r="AL344" s="10"/>
      <c r="AM344" s="9"/>
      <c r="AN344" s="10"/>
      <c r="AO344" s="6"/>
      <c r="AP344" s="6"/>
      <c r="AQ344" s="6"/>
      <c r="AR344" s="11"/>
      <c r="AS344" s="6"/>
      <c r="AT344" s="11"/>
      <c r="AU344" s="11"/>
      <c r="AV344" s="6"/>
      <c r="AW344" s="6"/>
    </row>
    <row r="345" spans="11:49"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7"/>
      <c r="AF345" s="8"/>
      <c r="AG345" s="6"/>
      <c r="AH345" s="6"/>
      <c r="AI345" s="9"/>
      <c r="AJ345" s="9"/>
      <c r="AK345" s="9"/>
      <c r="AL345" s="10"/>
      <c r="AM345" s="9"/>
      <c r="AN345" s="10"/>
      <c r="AO345" s="6"/>
      <c r="AP345" s="6"/>
      <c r="AQ345" s="6"/>
      <c r="AR345" s="11"/>
      <c r="AS345" s="6"/>
      <c r="AT345" s="11"/>
      <c r="AU345" s="11"/>
      <c r="AV345" s="6"/>
      <c r="AW345" s="6"/>
    </row>
    <row r="346" spans="11:49"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7"/>
      <c r="AF346" s="8"/>
      <c r="AG346" s="6"/>
      <c r="AH346" s="6"/>
      <c r="AI346" s="9"/>
      <c r="AJ346" s="9"/>
      <c r="AK346" s="9"/>
      <c r="AL346" s="10"/>
      <c r="AM346" s="9"/>
      <c r="AN346" s="10"/>
      <c r="AO346" s="6"/>
      <c r="AP346" s="6"/>
      <c r="AQ346" s="6"/>
      <c r="AR346" s="11"/>
      <c r="AS346" s="6"/>
      <c r="AT346" s="11"/>
      <c r="AU346" s="11"/>
      <c r="AV346" s="6"/>
      <c r="AW346" s="6"/>
    </row>
    <row r="347" spans="11:49"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7"/>
      <c r="AF347" s="8"/>
      <c r="AG347" s="6"/>
      <c r="AH347" s="6"/>
      <c r="AI347" s="9"/>
      <c r="AJ347" s="9"/>
      <c r="AK347" s="9"/>
      <c r="AL347" s="10"/>
      <c r="AM347" s="9"/>
      <c r="AN347" s="10"/>
      <c r="AO347" s="6"/>
      <c r="AP347" s="6"/>
      <c r="AQ347" s="6"/>
      <c r="AR347" s="11"/>
      <c r="AS347" s="6"/>
      <c r="AT347" s="11"/>
      <c r="AU347" s="11"/>
      <c r="AV347" s="6"/>
      <c r="AW347" s="6"/>
    </row>
    <row r="348" spans="11:49"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7"/>
      <c r="AF348" s="8"/>
      <c r="AG348" s="6"/>
      <c r="AH348" s="6"/>
      <c r="AI348" s="9"/>
      <c r="AJ348" s="9"/>
      <c r="AK348" s="9"/>
      <c r="AL348" s="10"/>
      <c r="AM348" s="9"/>
      <c r="AN348" s="10"/>
      <c r="AO348" s="6"/>
      <c r="AP348" s="6"/>
      <c r="AQ348" s="6"/>
      <c r="AR348" s="11"/>
      <c r="AS348" s="6"/>
      <c r="AT348" s="11"/>
      <c r="AU348" s="11"/>
      <c r="AV348" s="6"/>
      <c r="AW348" s="6"/>
    </row>
    <row r="349" spans="11:49"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7"/>
      <c r="AF349" s="8"/>
      <c r="AG349" s="6"/>
      <c r="AH349" s="6"/>
      <c r="AI349" s="9"/>
      <c r="AJ349" s="9"/>
      <c r="AK349" s="9"/>
      <c r="AL349" s="10"/>
      <c r="AM349" s="9"/>
      <c r="AN349" s="10"/>
      <c r="AO349" s="6"/>
      <c r="AP349" s="6"/>
      <c r="AQ349" s="6"/>
      <c r="AR349" s="11"/>
      <c r="AS349" s="6"/>
      <c r="AT349" s="11"/>
      <c r="AU349" s="11"/>
      <c r="AV349" s="6"/>
      <c r="AW349" s="6"/>
    </row>
    <row r="350" spans="11:49"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7"/>
      <c r="AF350" s="8"/>
      <c r="AG350" s="6"/>
      <c r="AH350" s="6"/>
      <c r="AI350" s="9"/>
      <c r="AJ350" s="9"/>
      <c r="AK350" s="9"/>
      <c r="AL350" s="10"/>
      <c r="AM350" s="9"/>
      <c r="AN350" s="10"/>
      <c r="AO350" s="6"/>
      <c r="AP350" s="6"/>
      <c r="AQ350" s="6"/>
      <c r="AR350" s="11"/>
      <c r="AS350" s="6"/>
      <c r="AT350" s="11"/>
      <c r="AU350" s="11"/>
      <c r="AV350" s="6"/>
      <c r="AW350" s="6"/>
    </row>
    <row r="351" spans="11:49"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7"/>
      <c r="AF351" s="8"/>
      <c r="AG351" s="6"/>
      <c r="AH351" s="6"/>
      <c r="AI351" s="9"/>
      <c r="AJ351" s="9"/>
      <c r="AK351" s="9"/>
      <c r="AL351" s="10"/>
      <c r="AM351" s="9"/>
      <c r="AN351" s="10"/>
      <c r="AO351" s="6"/>
      <c r="AP351" s="6"/>
      <c r="AQ351" s="6"/>
      <c r="AR351" s="11"/>
      <c r="AS351" s="6"/>
      <c r="AT351" s="11"/>
      <c r="AU351" s="11"/>
      <c r="AV351" s="6"/>
      <c r="AW351" s="6"/>
    </row>
    <row r="352" spans="11:49"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7"/>
      <c r="AF352" s="8"/>
      <c r="AG352" s="6"/>
      <c r="AH352" s="6"/>
      <c r="AI352" s="9"/>
      <c r="AJ352" s="9"/>
      <c r="AK352" s="9"/>
      <c r="AL352" s="10"/>
      <c r="AM352" s="9"/>
      <c r="AN352" s="10"/>
      <c r="AO352" s="6"/>
      <c r="AP352" s="6"/>
      <c r="AQ352" s="6"/>
      <c r="AR352" s="11"/>
      <c r="AS352" s="6"/>
      <c r="AT352" s="11"/>
      <c r="AU352" s="11"/>
      <c r="AV352" s="6"/>
      <c r="AW352" s="6"/>
    </row>
    <row r="353" spans="11:49"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7"/>
      <c r="AF353" s="8"/>
      <c r="AG353" s="6"/>
      <c r="AH353" s="6"/>
      <c r="AI353" s="9"/>
      <c r="AJ353" s="9"/>
      <c r="AK353" s="9"/>
      <c r="AL353" s="10"/>
      <c r="AM353" s="9"/>
      <c r="AN353" s="10"/>
      <c r="AO353" s="6"/>
      <c r="AP353" s="6"/>
      <c r="AQ353" s="6"/>
      <c r="AR353" s="11"/>
      <c r="AS353" s="6"/>
      <c r="AT353" s="11"/>
      <c r="AU353" s="11"/>
      <c r="AV353" s="6"/>
      <c r="AW353" s="6"/>
    </row>
    <row r="354" spans="11:49"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7"/>
      <c r="AF354" s="8"/>
      <c r="AG354" s="6"/>
      <c r="AH354" s="6"/>
      <c r="AI354" s="9"/>
      <c r="AJ354" s="9"/>
      <c r="AK354" s="9"/>
      <c r="AL354" s="10"/>
      <c r="AM354" s="9"/>
      <c r="AN354" s="10"/>
      <c r="AO354" s="6"/>
      <c r="AP354" s="6"/>
      <c r="AQ354" s="6"/>
      <c r="AR354" s="11"/>
      <c r="AS354" s="6"/>
      <c r="AT354" s="11"/>
      <c r="AU354" s="11"/>
      <c r="AV354" s="6"/>
      <c r="AW354" s="6"/>
    </row>
    <row r="355" spans="11:49"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7"/>
      <c r="AF355" s="8"/>
      <c r="AG355" s="6"/>
      <c r="AH355" s="6"/>
      <c r="AI355" s="9"/>
      <c r="AJ355" s="9"/>
      <c r="AK355" s="9"/>
      <c r="AL355" s="10"/>
      <c r="AM355" s="9"/>
      <c r="AN355" s="10"/>
      <c r="AO355" s="6"/>
      <c r="AP355" s="6"/>
      <c r="AQ355" s="6"/>
      <c r="AR355" s="11"/>
      <c r="AS355" s="6"/>
      <c r="AT355" s="11"/>
      <c r="AU355" s="11"/>
      <c r="AV355" s="6"/>
      <c r="AW355" s="6"/>
    </row>
    <row r="356" spans="11:49"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7"/>
      <c r="AF356" s="8"/>
      <c r="AG356" s="6"/>
      <c r="AH356" s="6"/>
      <c r="AI356" s="9"/>
      <c r="AJ356" s="9"/>
      <c r="AK356" s="9"/>
      <c r="AL356" s="10"/>
      <c r="AM356" s="9"/>
      <c r="AN356" s="10"/>
      <c r="AO356" s="6"/>
      <c r="AP356" s="6"/>
      <c r="AQ356" s="6"/>
      <c r="AR356" s="11"/>
      <c r="AS356" s="6"/>
      <c r="AT356" s="11"/>
      <c r="AU356" s="11"/>
      <c r="AV356" s="6"/>
      <c r="AW356" s="6"/>
    </row>
    <row r="357" spans="11:49"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7"/>
      <c r="AF357" s="8"/>
      <c r="AG357" s="6"/>
      <c r="AH357" s="6"/>
      <c r="AI357" s="9"/>
      <c r="AJ357" s="9"/>
      <c r="AK357" s="9"/>
      <c r="AL357" s="10"/>
      <c r="AM357" s="9"/>
      <c r="AN357" s="10"/>
      <c r="AO357" s="6"/>
      <c r="AP357" s="6"/>
      <c r="AQ357" s="6"/>
      <c r="AR357" s="11"/>
      <c r="AS357" s="6"/>
      <c r="AT357" s="11"/>
      <c r="AU357" s="11"/>
      <c r="AV357" s="6"/>
      <c r="AW357" s="6"/>
    </row>
    <row r="358" spans="11:49"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7"/>
      <c r="AF358" s="8"/>
      <c r="AG358" s="6"/>
      <c r="AH358" s="6"/>
      <c r="AI358" s="9"/>
      <c r="AJ358" s="9"/>
      <c r="AK358" s="9"/>
      <c r="AL358" s="10"/>
      <c r="AM358" s="9"/>
      <c r="AN358" s="10"/>
      <c r="AO358" s="6"/>
      <c r="AP358" s="6"/>
      <c r="AQ358" s="6"/>
      <c r="AR358" s="11"/>
      <c r="AS358" s="6"/>
      <c r="AT358" s="11"/>
      <c r="AU358" s="11"/>
      <c r="AV358" s="6"/>
      <c r="AW358" s="6"/>
    </row>
    <row r="359" spans="11:49"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7"/>
      <c r="AF359" s="8"/>
      <c r="AG359" s="6"/>
      <c r="AH359" s="6"/>
      <c r="AI359" s="9"/>
      <c r="AJ359" s="9"/>
      <c r="AK359" s="9"/>
      <c r="AL359" s="10"/>
      <c r="AM359" s="9"/>
      <c r="AN359" s="10"/>
      <c r="AO359" s="6"/>
      <c r="AP359" s="6"/>
      <c r="AQ359" s="6"/>
      <c r="AR359" s="11"/>
      <c r="AS359" s="6"/>
      <c r="AT359" s="11"/>
      <c r="AU359" s="11"/>
      <c r="AV359" s="6"/>
      <c r="AW359" s="6"/>
    </row>
    <row r="360" spans="11:49"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7"/>
      <c r="AF360" s="8"/>
      <c r="AG360" s="6"/>
      <c r="AH360" s="6"/>
      <c r="AI360" s="9"/>
      <c r="AJ360" s="9"/>
      <c r="AK360" s="9"/>
      <c r="AL360" s="10"/>
      <c r="AM360" s="9"/>
      <c r="AN360" s="10"/>
      <c r="AO360" s="6"/>
      <c r="AP360" s="6"/>
      <c r="AQ360" s="6"/>
      <c r="AR360" s="11"/>
      <c r="AS360" s="6"/>
      <c r="AT360" s="11"/>
      <c r="AU360" s="11"/>
      <c r="AV360" s="6"/>
      <c r="AW360" s="6"/>
    </row>
    <row r="361" spans="11:49"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7"/>
      <c r="AF361" s="8"/>
      <c r="AG361" s="6"/>
      <c r="AH361" s="6"/>
      <c r="AI361" s="9"/>
      <c r="AJ361" s="9"/>
      <c r="AK361" s="9"/>
      <c r="AL361" s="10"/>
      <c r="AM361" s="9"/>
      <c r="AN361" s="10"/>
      <c r="AO361" s="6"/>
      <c r="AP361" s="6"/>
      <c r="AQ361" s="6"/>
      <c r="AR361" s="11"/>
      <c r="AS361" s="6"/>
      <c r="AT361" s="11"/>
      <c r="AU361" s="11"/>
      <c r="AV361" s="6"/>
      <c r="AW361" s="6"/>
    </row>
    <row r="362" spans="11:49"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7"/>
      <c r="AF362" s="8"/>
      <c r="AG362" s="6"/>
      <c r="AH362" s="6"/>
      <c r="AI362" s="9"/>
      <c r="AJ362" s="9"/>
      <c r="AK362" s="9"/>
      <c r="AL362" s="10"/>
      <c r="AM362" s="9"/>
      <c r="AN362" s="10"/>
      <c r="AO362" s="6"/>
      <c r="AP362" s="6"/>
      <c r="AQ362" s="6"/>
      <c r="AR362" s="11"/>
      <c r="AS362" s="6"/>
      <c r="AT362" s="11"/>
      <c r="AU362" s="11"/>
      <c r="AV362" s="6"/>
      <c r="AW362" s="6"/>
    </row>
    <row r="363" spans="11:49"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7"/>
      <c r="AF363" s="8"/>
      <c r="AG363" s="6"/>
      <c r="AH363" s="6"/>
      <c r="AI363" s="9"/>
      <c r="AJ363" s="9"/>
      <c r="AK363" s="9"/>
      <c r="AL363" s="10"/>
      <c r="AM363" s="9"/>
      <c r="AN363" s="10"/>
      <c r="AO363" s="6"/>
      <c r="AP363" s="6"/>
      <c r="AQ363" s="6"/>
      <c r="AR363" s="11"/>
      <c r="AS363" s="6"/>
      <c r="AT363" s="11"/>
      <c r="AU363" s="11"/>
      <c r="AV363" s="6"/>
      <c r="AW363" s="6"/>
    </row>
    <row r="364" spans="11:49"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7"/>
      <c r="AF364" s="8"/>
      <c r="AG364" s="6"/>
      <c r="AH364" s="6"/>
      <c r="AI364" s="9"/>
      <c r="AJ364" s="9"/>
      <c r="AK364" s="9"/>
      <c r="AL364" s="10"/>
      <c r="AM364" s="9"/>
      <c r="AN364" s="10"/>
      <c r="AO364" s="6"/>
      <c r="AP364" s="6"/>
      <c r="AQ364" s="6"/>
      <c r="AR364" s="11"/>
      <c r="AS364" s="6"/>
      <c r="AT364" s="11"/>
      <c r="AU364" s="11"/>
      <c r="AV364" s="6"/>
      <c r="AW364" s="6"/>
    </row>
    <row r="365" spans="11:49"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7"/>
      <c r="AF365" s="8"/>
      <c r="AG365" s="6"/>
      <c r="AH365" s="6"/>
      <c r="AI365" s="9"/>
      <c r="AJ365" s="9"/>
      <c r="AK365" s="9"/>
      <c r="AL365" s="10"/>
      <c r="AM365" s="9"/>
      <c r="AN365" s="10"/>
      <c r="AO365" s="6"/>
      <c r="AP365" s="6"/>
      <c r="AQ365" s="6"/>
      <c r="AR365" s="11"/>
      <c r="AS365" s="6"/>
      <c r="AT365" s="11"/>
      <c r="AU365" s="11"/>
      <c r="AV365" s="6"/>
      <c r="AW365" s="6"/>
    </row>
    <row r="366" spans="11:49"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7"/>
      <c r="AF366" s="8"/>
      <c r="AG366" s="6"/>
      <c r="AH366" s="6"/>
      <c r="AI366" s="9"/>
      <c r="AJ366" s="9"/>
      <c r="AK366" s="9"/>
      <c r="AL366" s="10"/>
      <c r="AM366" s="9"/>
      <c r="AN366" s="10"/>
      <c r="AO366" s="6"/>
      <c r="AP366" s="6"/>
      <c r="AQ366" s="6"/>
      <c r="AR366" s="11"/>
      <c r="AS366" s="6"/>
      <c r="AT366" s="11"/>
      <c r="AU366" s="11"/>
      <c r="AV366" s="6"/>
      <c r="AW366" s="6"/>
    </row>
    <row r="367" spans="11:49"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7"/>
      <c r="AF367" s="8"/>
      <c r="AG367" s="6"/>
      <c r="AH367" s="6"/>
      <c r="AI367" s="9"/>
      <c r="AJ367" s="9"/>
      <c r="AK367" s="9"/>
      <c r="AL367" s="10"/>
      <c r="AM367" s="9"/>
      <c r="AN367" s="10"/>
      <c r="AO367" s="6"/>
      <c r="AP367" s="6"/>
      <c r="AQ367" s="6"/>
      <c r="AR367" s="11"/>
      <c r="AS367" s="6"/>
      <c r="AT367" s="11"/>
      <c r="AU367" s="11"/>
      <c r="AV367" s="6"/>
      <c r="AW367" s="6"/>
    </row>
    <row r="368" spans="11:49"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7"/>
      <c r="AF368" s="8"/>
      <c r="AG368" s="6"/>
      <c r="AH368" s="6"/>
      <c r="AI368" s="9"/>
      <c r="AJ368" s="9"/>
      <c r="AK368" s="9"/>
      <c r="AL368" s="10"/>
      <c r="AM368" s="9"/>
      <c r="AN368" s="10"/>
      <c r="AO368" s="6"/>
      <c r="AP368" s="6"/>
      <c r="AQ368" s="6"/>
      <c r="AR368" s="11"/>
      <c r="AS368" s="6"/>
      <c r="AT368" s="11"/>
      <c r="AU368" s="11"/>
      <c r="AV368" s="6"/>
      <c r="AW368" s="6"/>
    </row>
    <row r="369" spans="11:49"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7"/>
      <c r="AF369" s="8"/>
      <c r="AG369" s="6"/>
      <c r="AH369" s="6"/>
      <c r="AI369" s="9"/>
      <c r="AJ369" s="9"/>
      <c r="AK369" s="9"/>
      <c r="AL369" s="10"/>
      <c r="AM369" s="9"/>
      <c r="AN369" s="10"/>
      <c r="AO369" s="6"/>
      <c r="AP369" s="6"/>
      <c r="AQ369" s="6"/>
      <c r="AR369" s="11"/>
      <c r="AS369" s="6"/>
      <c r="AT369" s="11"/>
      <c r="AU369" s="11"/>
      <c r="AV369" s="6"/>
      <c r="AW369" s="6"/>
    </row>
    <row r="370" spans="11:49"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7"/>
      <c r="AF370" s="8"/>
      <c r="AG370" s="6"/>
      <c r="AH370" s="6"/>
      <c r="AI370" s="9"/>
      <c r="AJ370" s="9"/>
      <c r="AK370" s="9"/>
      <c r="AL370" s="10"/>
      <c r="AM370" s="9"/>
      <c r="AN370" s="10"/>
      <c r="AO370" s="6"/>
      <c r="AP370" s="6"/>
      <c r="AQ370" s="6"/>
      <c r="AR370" s="11"/>
      <c r="AS370" s="6"/>
      <c r="AT370" s="11"/>
      <c r="AU370" s="11"/>
      <c r="AV370" s="6"/>
      <c r="AW370" s="6"/>
    </row>
    <row r="371" spans="11:49"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7"/>
      <c r="AF371" s="8"/>
      <c r="AG371" s="6"/>
      <c r="AH371" s="6"/>
      <c r="AI371" s="9"/>
      <c r="AJ371" s="9"/>
      <c r="AK371" s="9"/>
      <c r="AL371" s="10"/>
      <c r="AM371" s="9"/>
      <c r="AN371" s="10"/>
      <c r="AO371" s="6"/>
      <c r="AP371" s="6"/>
      <c r="AQ371" s="6"/>
      <c r="AR371" s="11"/>
      <c r="AS371" s="6"/>
      <c r="AT371" s="11"/>
      <c r="AU371" s="11"/>
      <c r="AV371" s="6"/>
      <c r="AW371" s="6"/>
    </row>
    <row r="372" spans="11:49"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7"/>
      <c r="AF372" s="8"/>
      <c r="AG372" s="6"/>
      <c r="AH372" s="6"/>
      <c r="AI372" s="9"/>
      <c r="AJ372" s="9"/>
      <c r="AK372" s="9"/>
      <c r="AL372" s="10"/>
      <c r="AM372" s="9"/>
      <c r="AN372" s="10"/>
      <c r="AO372" s="6"/>
      <c r="AP372" s="6"/>
      <c r="AQ372" s="6"/>
      <c r="AR372" s="11"/>
      <c r="AS372" s="6"/>
      <c r="AT372" s="11"/>
      <c r="AU372" s="11"/>
      <c r="AV372" s="6"/>
      <c r="AW372" s="6"/>
    </row>
    <row r="373" spans="11:49"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7"/>
      <c r="AF373" s="8"/>
      <c r="AG373" s="6"/>
      <c r="AH373" s="6"/>
      <c r="AI373" s="9"/>
      <c r="AJ373" s="9"/>
      <c r="AK373" s="9"/>
      <c r="AL373" s="10"/>
      <c r="AM373" s="9"/>
      <c r="AN373" s="10"/>
      <c r="AO373" s="6"/>
      <c r="AP373" s="6"/>
      <c r="AQ373" s="6"/>
      <c r="AR373" s="11"/>
      <c r="AS373" s="6"/>
      <c r="AT373" s="11"/>
      <c r="AU373" s="11"/>
      <c r="AV373" s="6"/>
      <c r="AW373" s="6"/>
    </row>
    <row r="374" spans="11:49"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7"/>
      <c r="AF374" s="8"/>
      <c r="AG374" s="6"/>
      <c r="AH374" s="6"/>
      <c r="AI374" s="9"/>
      <c r="AJ374" s="9"/>
      <c r="AK374" s="9"/>
      <c r="AL374" s="10"/>
      <c r="AM374" s="9"/>
      <c r="AN374" s="10"/>
      <c r="AO374" s="6"/>
      <c r="AP374" s="6"/>
      <c r="AQ374" s="6"/>
      <c r="AR374" s="11"/>
      <c r="AS374" s="6"/>
      <c r="AT374" s="11"/>
      <c r="AU374" s="11"/>
      <c r="AV374" s="6"/>
      <c r="AW374" s="6"/>
    </row>
    <row r="375" spans="11:49"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7"/>
      <c r="AF375" s="8"/>
      <c r="AG375" s="6"/>
      <c r="AH375" s="6"/>
      <c r="AI375" s="9"/>
      <c r="AJ375" s="9"/>
      <c r="AK375" s="9"/>
      <c r="AL375" s="10"/>
      <c r="AM375" s="9"/>
      <c r="AN375" s="10"/>
      <c r="AO375" s="6"/>
      <c r="AP375" s="6"/>
      <c r="AQ375" s="6"/>
      <c r="AR375" s="11"/>
      <c r="AS375" s="6"/>
      <c r="AT375" s="11"/>
      <c r="AU375" s="11"/>
      <c r="AV375" s="6"/>
      <c r="AW375" s="6"/>
    </row>
    <row r="376" spans="11:49"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7"/>
      <c r="AF376" s="8"/>
      <c r="AG376" s="6"/>
      <c r="AH376" s="6"/>
      <c r="AI376" s="9"/>
      <c r="AJ376" s="9"/>
      <c r="AK376" s="9"/>
      <c r="AL376" s="10"/>
      <c r="AM376" s="9"/>
      <c r="AN376" s="10"/>
      <c r="AO376" s="6"/>
      <c r="AP376" s="6"/>
      <c r="AQ376" s="6"/>
      <c r="AR376" s="11"/>
      <c r="AS376" s="6"/>
      <c r="AT376" s="11"/>
      <c r="AU376" s="11"/>
      <c r="AV376" s="6"/>
      <c r="AW376" s="6"/>
    </row>
    <row r="377" spans="11:49"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7"/>
      <c r="AF377" s="8"/>
      <c r="AG377" s="6"/>
      <c r="AH377" s="6"/>
      <c r="AI377" s="9"/>
      <c r="AJ377" s="9"/>
      <c r="AK377" s="9"/>
      <c r="AL377" s="10"/>
      <c r="AM377" s="9"/>
      <c r="AN377" s="10"/>
      <c r="AO377" s="6"/>
      <c r="AP377" s="6"/>
      <c r="AQ377" s="6"/>
      <c r="AR377" s="11"/>
      <c r="AS377" s="6"/>
      <c r="AT377" s="11"/>
      <c r="AU377" s="11"/>
      <c r="AV377" s="6"/>
      <c r="AW377" s="6"/>
    </row>
    <row r="378" spans="11:49"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7"/>
      <c r="AF378" s="8"/>
      <c r="AG378" s="6"/>
      <c r="AH378" s="6"/>
      <c r="AI378" s="9"/>
      <c r="AJ378" s="9"/>
      <c r="AK378" s="9"/>
      <c r="AL378" s="10"/>
      <c r="AM378" s="9"/>
      <c r="AN378" s="10"/>
      <c r="AO378" s="6"/>
      <c r="AP378" s="6"/>
      <c r="AQ378" s="6"/>
      <c r="AR378" s="11"/>
      <c r="AS378" s="6"/>
      <c r="AT378" s="11"/>
      <c r="AU378" s="11"/>
      <c r="AV378" s="6"/>
      <c r="AW378" s="6"/>
    </row>
    <row r="379" spans="11:49"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7"/>
      <c r="AF379" s="8"/>
      <c r="AG379" s="6"/>
      <c r="AH379" s="6"/>
      <c r="AI379" s="9"/>
      <c r="AJ379" s="9"/>
      <c r="AK379" s="9"/>
      <c r="AL379" s="10"/>
      <c r="AM379" s="9"/>
      <c r="AN379" s="10"/>
      <c r="AO379" s="6"/>
      <c r="AP379" s="6"/>
      <c r="AQ379" s="6"/>
      <c r="AR379" s="11"/>
      <c r="AS379" s="6"/>
      <c r="AT379" s="11"/>
      <c r="AU379" s="11"/>
      <c r="AV379" s="6"/>
      <c r="AW379" s="6"/>
    </row>
    <row r="380" spans="11:49"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7"/>
      <c r="AF380" s="8"/>
      <c r="AG380" s="6"/>
      <c r="AH380" s="6"/>
      <c r="AI380" s="9"/>
      <c r="AJ380" s="9"/>
      <c r="AK380" s="9"/>
      <c r="AL380" s="10"/>
      <c r="AM380" s="9"/>
      <c r="AN380" s="10"/>
      <c r="AO380" s="6"/>
      <c r="AP380" s="6"/>
      <c r="AQ380" s="6"/>
      <c r="AR380" s="11"/>
      <c r="AS380" s="6"/>
      <c r="AT380" s="11"/>
      <c r="AU380" s="11"/>
      <c r="AV380" s="6"/>
      <c r="AW380" s="6"/>
    </row>
    <row r="381" spans="11:49"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7"/>
      <c r="AF381" s="8"/>
      <c r="AG381" s="6"/>
      <c r="AH381" s="6"/>
      <c r="AI381" s="9"/>
      <c r="AJ381" s="9"/>
      <c r="AK381" s="9"/>
      <c r="AL381" s="10"/>
      <c r="AM381" s="9"/>
      <c r="AN381" s="10"/>
      <c r="AO381" s="6"/>
      <c r="AP381" s="6"/>
      <c r="AQ381" s="6"/>
      <c r="AR381" s="11"/>
      <c r="AS381" s="6"/>
      <c r="AT381" s="11"/>
      <c r="AU381" s="11"/>
      <c r="AV381" s="6"/>
      <c r="AW381" s="6"/>
    </row>
    <row r="382" spans="11:49"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7"/>
      <c r="AF382" s="8"/>
      <c r="AG382" s="6"/>
      <c r="AH382" s="6"/>
      <c r="AI382" s="9"/>
      <c r="AJ382" s="9"/>
      <c r="AK382" s="9"/>
      <c r="AL382" s="10"/>
      <c r="AM382" s="9"/>
      <c r="AN382" s="10"/>
      <c r="AO382" s="6"/>
      <c r="AP382" s="6"/>
      <c r="AQ382" s="6"/>
      <c r="AR382" s="11"/>
      <c r="AS382" s="6"/>
      <c r="AT382" s="11"/>
      <c r="AU382" s="11"/>
      <c r="AV382" s="6"/>
      <c r="AW382" s="6"/>
    </row>
    <row r="383" spans="11:49"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7"/>
      <c r="AF383" s="8"/>
      <c r="AG383" s="6"/>
      <c r="AH383" s="6"/>
      <c r="AI383" s="9"/>
      <c r="AJ383" s="9"/>
      <c r="AK383" s="9"/>
      <c r="AL383" s="10"/>
      <c r="AM383" s="9"/>
      <c r="AN383" s="10"/>
      <c r="AO383" s="6"/>
      <c r="AP383" s="6"/>
      <c r="AQ383" s="6"/>
      <c r="AR383" s="11"/>
      <c r="AS383" s="6"/>
      <c r="AT383" s="11"/>
      <c r="AU383" s="11"/>
      <c r="AV383" s="6"/>
      <c r="AW383" s="6"/>
    </row>
    <row r="384" spans="11:49"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7"/>
      <c r="AF384" s="8"/>
      <c r="AG384" s="6"/>
      <c r="AH384" s="6"/>
      <c r="AI384" s="9"/>
      <c r="AJ384" s="9"/>
      <c r="AK384" s="9"/>
      <c r="AL384" s="10"/>
      <c r="AM384" s="9"/>
      <c r="AN384" s="10"/>
      <c r="AO384" s="6"/>
      <c r="AP384" s="6"/>
      <c r="AQ384" s="6"/>
      <c r="AR384" s="11"/>
      <c r="AS384" s="6"/>
      <c r="AT384" s="11"/>
      <c r="AU384" s="11"/>
      <c r="AV384" s="6"/>
      <c r="AW384" s="6"/>
    </row>
    <row r="385" spans="11:49"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7"/>
      <c r="AF385" s="8"/>
      <c r="AG385" s="6"/>
      <c r="AH385" s="6"/>
      <c r="AI385" s="9"/>
      <c r="AJ385" s="9"/>
      <c r="AK385" s="9"/>
      <c r="AL385" s="10"/>
      <c r="AM385" s="9"/>
      <c r="AN385" s="10"/>
      <c r="AO385" s="6"/>
      <c r="AP385" s="6"/>
      <c r="AQ385" s="6"/>
      <c r="AR385" s="11"/>
      <c r="AS385" s="6"/>
      <c r="AT385" s="11"/>
      <c r="AU385" s="11"/>
      <c r="AV385" s="6"/>
      <c r="AW385" s="6"/>
    </row>
    <row r="386" spans="11:49"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7"/>
      <c r="AF386" s="8"/>
      <c r="AG386" s="6"/>
      <c r="AH386" s="6"/>
      <c r="AI386" s="9"/>
      <c r="AJ386" s="9"/>
      <c r="AK386" s="9"/>
      <c r="AL386" s="10"/>
      <c r="AM386" s="9"/>
      <c r="AN386" s="10"/>
      <c r="AO386" s="6"/>
      <c r="AP386" s="6"/>
      <c r="AQ386" s="6"/>
      <c r="AR386" s="11"/>
      <c r="AS386" s="6"/>
      <c r="AT386" s="11"/>
      <c r="AU386" s="11"/>
      <c r="AV386" s="6"/>
      <c r="AW386" s="6"/>
    </row>
    <row r="387" spans="11:49"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7"/>
      <c r="AF387" s="8"/>
      <c r="AG387" s="6"/>
      <c r="AH387" s="6"/>
      <c r="AI387" s="9"/>
      <c r="AJ387" s="9"/>
      <c r="AK387" s="9"/>
      <c r="AL387" s="10"/>
      <c r="AM387" s="9"/>
      <c r="AN387" s="10"/>
      <c r="AO387" s="6"/>
      <c r="AP387" s="6"/>
      <c r="AQ387" s="6"/>
      <c r="AR387" s="11"/>
      <c r="AS387" s="6"/>
      <c r="AT387" s="11"/>
      <c r="AU387" s="11"/>
      <c r="AV387" s="6"/>
      <c r="AW387" s="6"/>
    </row>
    <row r="388" spans="11:49"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7"/>
      <c r="AF388" s="8"/>
      <c r="AG388" s="6"/>
      <c r="AH388" s="6"/>
      <c r="AI388" s="9"/>
      <c r="AJ388" s="9"/>
      <c r="AK388" s="9"/>
      <c r="AL388" s="10"/>
      <c r="AM388" s="9"/>
      <c r="AN388" s="10"/>
      <c r="AO388" s="6"/>
      <c r="AP388" s="6"/>
      <c r="AQ388" s="6"/>
      <c r="AR388" s="11"/>
      <c r="AS388" s="6"/>
      <c r="AT388" s="11"/>
      <c r="AU388" s="11"/>
      <c r="AV388" s="6"/>
      <c r="AW388" s="6"/>
    </row>
    <row r="389" spans="11:49"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7"/>
      <c r="AF389" s="8"/>
      <c r="AG389" s="6"/>
      <c r="AH389" s="6"/>
      <c r="AI389" s="9"/>
      <c r="AJ389" s="9"/>
      <c r="AK389" s="9"/>
      <c r="AL389" s="10"/>
      <c r="AM389" s="9"/>
      <c r="AN389" s="10"/>
      <c r="AO389" s="6"/>
      <c r="AP389" s="6"/>
      <c r="AQ389" s="6"/>
      <c r="AR389" s="11"/>
      <c r="AS389" s="6"/>
      <c r="AT389" s="11"/>
      <c r="AU389" s="11"/>
      <c r="AV389" s="6"/>
      <c r="AW389" s="6"/>
    </row>
    <row r="390" spans="11:49"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7"/>
      <c r="AF390" s="8"/>
      <c r="AG390" s="6"/>
      <c r="AH390" s="6"/>
      <c r="AI390" s="9"/>
      <c r="AJ390" s="9"/>
      <c r="AK390" s="9"/>
      <c r="AL390" s="10"/>
      <c r="AM390" s="9"/>
      <c r="AN390" s="10"/>
      <c r="AO390" s="6"/>
      <c r="AP390" s="6"/>
      <c r="AQ390" s="6"/>
      <c r="AR390" s="11"/>
      <c r="AS390" s="6"/>
      <c r="AT390" s="11"/>
      <c r="AU390" s="11"/>
      <c r="AV390" s="6"/>
      <c r="AW390" s="6"/>
    </row>
    <row r="391" spans="11:49"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7"/>
      <c r="AF391" s="8"/>
      <c r="AG391" s="6"/>
      <c r="AH391" s="6"/>
      <c r="AI391" s="9"/>
      <c r="AJ391" s="9"/>
      <c r="AK391" s="9"/>
      <c r="AL391" s="10"/>
      <c r="AM391" s="9"/>
      <c r="AN391" s="10"/>
      <c r="AO391" s="6"/>
      <c r="AP391" s="6"/>
      <c r="AQ391" s="6"/>
      <c r="AR391" s="11"/>
      <c r="AS391" s="6"/>
      <c r="AT391" s="11"/>
      <c r="AU391" s="11"/>
      <c r="AV391" s="6"/>
      <c r="AW391" s="6"/>
    </row>
    <row r="392" spans="11:49"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7"/>
      <c r="AF392" s="8"/>
      <c r="AG392" s="6"/>
      <c r="AH392" s="6"/>
      <c r="AI392" s="9"/>
      <c r="AJ392" s="9"/>
      <c r="AK392" s="9"/>
      <c r="AL392" s="10"/>
      <c r="AM392" s="9"/>
      <c r="AN392" s="10"/>
      <c r="AO392" s="6"/>
      <c r="AP392" s="6"/>
      <c r="AQ392" s="6"/>
      <c r="AR392" s="11"/>
      <c r="AS392" s="6"/>
      <c r="AT392" s="11"/>
      <c r="AU392" s="11"/>
      <c r="AV392" s="6"/>
      <c r="AW392" s="6"/>
    </row>
    <row r="393" spans="11:49"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7"/>
      <c r="AF393" s="8"/>
      <c r="AG393" s="6"/>
      <c r="AH393" s="6"/>
      <c r="AI393" s="9"/>
      <c r="AJ393" s="9"/>
      <c r="AK393" s="9"/>
      <c r="AL393" s="10"/>
      <c r="AM393" s="9"/>
      <c r="AN393" s="10"/>
      <c r="AO393" s="6"/>
      <c r="AP393" s="6"/>
      <c r="AQ393" s="6"/>
      <c r="AR393" s="11"/>
      <c r="AS393" s="6"/>
      <c r="AT393" s="11"/>
      <c r="AU393" s="11"/>
      <c r="AV393" s="6"/>
      <c r="AW393" s="6"/>
    </row>
    <row r="394" spans="11:49"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7"/>
      <c r="AF394" s="8"/>
      <c r="AG394" s="6"/>
      <c r="AH394" s="6"/>
      <c r="AI394" s="9"/>
      <c r="AJ394" s="9"/>
      <c r="AK394" s="9"/>
      <c r="AL394" s="10"/>
      <c r="AM394" s="9"/>
      <c r="AN394" s="10"/>
      <c r="AO394" s="6"/>
      <c r="AP394" s="6"/>
      <c r="AQ394" s="6"/>
      <c r="AR394" s="11"/>
      <c r="AS394" s="6"/>
      <c r="AT394" s="11"/>
      <c r="AU394" s="11"/>
      <c r="AV394" s="6"/>
      <c r="AW394" s="6"/>
    </row>
    <row r="395" spans="11:49"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7"/>
      <c r="AF395" s="8"/>
      <c r="AG395" s="6"/>
      <c r="AH395" s="6"/>
      <c r="AI395" s="9"/>
      <c r="AJ395" s="9"/>
      <c r="AK395" s="9"/>
      <c r="AL395" s="10"/>
      <c r="AM395" s="9"/>
      <c r="AN395" s="10"/>
      <c r="AO395" s="6"/>
      <c r="AP395" s="6"/>
      <c r="AQ395" s="6"/>
      <c r="AR395" s="11"/>
      <c r="AS395" s="6"/>
      <c r="AT395" s="11"/>
      <c r="AU395" s="11"/>
      <c r="AV395" s="6"/>
      <c r="AW395" s="6"/>
    </row>
    <row r="396" spans="11:49"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7"/>
      <c r="AF396" s="8"/>
      <c r="AG396" s="6"/>
      <c r="AH396" s="6"/>
      <c r="AI396" s="9"/>
      <c r="AJ396" s="9"/>
      <c r="AK396" s="9"/>
      <c r="AL396" s="10"/>
      <c r="AM396" s="9"/>
      <c r="AN396" s="10"/>
      <c r="AO396" s="6"/>
      <c r="AP396" s="6"/>
      <c r="AQ396" s="6"/>
      <c r="AR396" s="11"/>
      <c r="AS396" s="6"/>
      <c r="AT396" s="11"/>
      <c r="AU396" s="11"/>
      <c r="AV396" s="6"/>
      <c r="AW396" s="6"/>
    </row>
    <row r="397" spans="11:49"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7"/>
      <c r="AF397" s="8"/>
      <c r="AG397" s="6"/>
      <c r="AH397" s="6"/>
      <c r="AI397" s="9"/>
      <c r="AJ397" s="9"/>
      <c r="AK397" s="9"/>
      <c r="AL397" s="10"/>
      <c r="AM397" s="9"/>
      <c r="AN397" s="10"/>
      <c r="AO397" s="6"/>
      <c r="AP397" s="6"/>
      <c r="AQ397" s="6"/>
      <c r="AR397" s="11"/>
      <c r="AS397" s="6"/>
      <c r="AT397" s="11"/>
      <c r="AU397" s="11"/>
      <c r="AV397" s="6"/>
      <c r="AW397" s="6"/>
    </row>
    <row r="398" spans="11:49"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7"/>
      <c r="AF398" s="8"/>
      <c r="AG398" s="6"/>
      <c r="AH398" s="6"/>
      <c r="AI398" s="9"/>
      <c r="AJ398" s="9"/>
      <c r="AK398" s="9"/>
      <c r="AL398" s="10"/>
      <c r="AM398" s="9"/>
      <c r="AN398" s="10"/>
      <c r="AO398" s="6"/>
      <c r="AP398" s="6"/>
      <c r="AQ398" s="6"/>
      <c r="AR398" s="11"/>
      <c r="AS398" s="6"/>
      <c r="AT398" s="11"/>
      <c r="AU398" s="11"/>
      <c r="AV398" s="6"/>
      <c r="AW398" s="6"/>
    </row>
    <row r="399" spans="11:49"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7"/>
      <c r="AF399" s="8"/>
      <c r="AG399" s="6"/>
      <c r="AH399" s="6"/>
      <c r="AI399" s="9"/>
      <c r="AJ399" s="9"/>
      <c r="AK399" s="9"/>
      <c r="AL399" s="10"/>
      <c r="AM399" s="9"/>
      <c r="AN399" s="10"/>
      <c r="AO399" s="6"/>
      <c r="AP399" s="6"/>
      <c r="AQ399" s="6"/>
      <c r="AR399" s="11"/>
      <c r="AS399" s="6"/>
      <c r="AT399" s="11"/>
      <c r="AU399" s="11"/>
      <c r="AV399" s="6"/>
      <c r="AW399" s="6"/>
    </row>
    <row r="400" spans="11:49"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7"/>
      <c r="AF400" s="8"/>
      <c r="AG400" s="6"/>
      <c r="AH400" s="6"/>
      <c r="AI400" s="9"/>
      <c r="AJ400" s="9"/>
      <c r="AK400" s="9"/>
      <c r="AL400" s="10"/>
      <c r="AM400" s="9"/>
      <c r="AN400" s="10"/>
      <c r="AO400" s="6"/>
      <c r="AP400" s="6"/>
      <c r="AQ400" s="6"/>
      <c r="AR400" s="11"/>
      <c r="AS400" s="6"/>
      <c r="AT400" s="11"/>
      <c r="AU400" s="11"/>
      <c r="AV400" s="6"/>
      <c r="AW400" s="6"/>
    </row>
    <row r="401" spans="11:49"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7"/>
      <c r="AF401" s="8"/>
      <c r="AG401" s="6"/>
      <c r="AH401" s="6"/>
      <c r="AI401" s="9"/>
      <c r="AJ401" s="9"/>
      <c r="AK401" s="9"/>
      <c r="AL401" s="10"/>
      <c r="AM401" s="9"/>
      <c r="AN401" s="10"/>
      <c r="AO401" s="6"/>
      <c r="AP401" s="6"/>
      <c r="AQ401" s="6"/>
      <c r="AR401" s="11"/>
      <c r="AS401" s="6"/>
      <c r="AT401" s="11"/>
      <c r="AU401" s="11"/>
      <c r="AV401" s="6"/>
      <c r="AW401" s="6"/>
    </row>
    <row r="402" spans="11:49"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7"/>
      <c r="AF402" s="8"/>
      <c r="AG402" s="6"/>
      <c r="AH402" s="6"/>
      <c r="AI402" s="9"/>
      <c r="AJ402" s="9"/>
      <c r="AK402" s="9"/>
      <c r="AL402" s="10"/>
      <c r="AM402" s="9"/>
      <c r="AN402" s="10"/>
      <c r="AO402" s="6"/>
      <c r="AP402" s="6"/>
      <c r="AQ402" s="6"/>
      <c r="AR402" s="11"/>
      <c r="AS402" s="6"/>
      <c r="AT402" s="11"/>
      <c r="AU402" s="11"/>
      <c r="AV402" s="6"/>
      <c r="AW402" s="6"/>
    </row>
    <row r="403" spans="11:49"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7"/>
      <c r="AF403" s="8"/>
      <c r="AG403" s="6"/>
      <c r="AH403" s="6"/>
      <c r="AI403" s="9"/>
      <c r="AJ403" s="9"/>
      <c r="AK403" s="9"/>
      <c r="AL403" s="10"/>
      <c r="AM403" s="9"/>
      <c r="AN403" s="10"/>
      <c r="AO403" s="6"/>
      <c r="AP403" s="6"/>
      <c r="AQ403" s="6"/>
      <c r="AR403" s="11"/>
      <c r="AS403" s="6"/>
      <c r="AT403" s="11"/>
      <c r="AU403" s="11"/>
      <c r="AV403" s="6"/>
      <c r="AW403" s="6"/>
    </row>
    <row r="404" spans="11:49"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7"/>
      <c r="AF404" s="8"/>
      <c r="AG404" s="6"/>
      <c r="AH404" s="6"/>
      <c r="AI404" s="9"/>
      <c r="AJ404" s="9"/>
      <c r="AK404" s="9"/>
      <c r="AL404" s="10"/>
      <c r="AM404" s="9"/>
      <c r="AN404" s="10"/>
      <c r="AO404" s="6"/>
      <c r="AP404" s="6"/>
      <c r="AQ404" s="6"/>
      <c r="AR404" s="11"/>
      <c r="AS404" s="6"/>
      <c r="AT404" s="11"/>
      <c r="AU404" s="11"/>
      <c r="AV404" s="6"/>
      <c r="AW404" s="6"/>
    </row>
    <row r="405" spans="11:49"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7"/>
      <c r="AF405" s="8"/>
      <c r="AG405" s="6"/>
      <c r="AH405" s="6"/>
      <c r="AI405" s="9"/>
      <c r="AJ405" s="9"/>
      <c r="AK405" s="9"/>
      <c r="AL405" s="10"/>
      <c r="AM405" s="9"/>
      <c r="AN405" s="10"/>
      <c r="AO405" s="6"/>
      <c r="AP405" s="6"/>
      <c r="AQ405" s="6"/>
      <c r="AR405" s="11"/>
      <c r="AS405" s="6"/>
      <c r="AT405" s="11"/>
      <c r="AU405" s="11"/>
      <c r="AV405" s="6"/>
      <c r="AW405" s="6"/>
    </row>
    <row r="406" spans="11:49"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7"/>
      <c r="AF406" s="8"/>
      <c r="AG406" s="6"/>
      <c r="AH406" s="6"/>
      <c r="AI406" s="9"/>
      <c r="AJ406" s="9"/>
      <c r="AK406" s="9"/>
      <c r="AL406" s="10"/>
      <c r="AM406" s="9"/>
      <c r="AN406" s="10"/>
      <c r="AO406" s="6"/>
      <c r="AP406" s="6"/>
      <c r="AQ406" s="6"/>
      <c r="AR406" s="11"/>
      <c r="AS406" s="6"/>
      <c r="AT406" s="11"/>
      <c r="AU406" s="11"/>
      <c r="AV406" s="6"/>
      <c r="AW406" s="6"/>
    </row>
    <row r="407" spans="11:49"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7"/>
      <c r="AF407" s="8"/>
      <c r="AG407" s="6"/>
      <c r="AH407" s="6"/>
      <c r="AI407" s="9"/>
      <c r="AJ407" s="9"/>
      <c r="AK407" s="9"/>
      <c r="AL407" s="10"/>
      <c r="AM407" s="9"/>
      <c r="AN407" s="10"/>
      <c r="AO407" s="6"/>
      <c r="AP407" s="6"/>
      <c r="AQ407" s="6"/>
      <c r="AR407" s="11"/>
      <c r="AS407" s="6"/>
      <c r="AT407" s="11"/>
      <c r="AU407" s="11"/>
      <c r="AV407" s="6"/>
      <c r="AW407" s="6"/>
    </row>
    <row r="408" spans="11:49"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7"/>
      <c r="AF408" s="8"/>
      <c r="AG408" s="6"/>
      <c r="AH408" s="6"/>
      <c r="AI408" s="9"/>
      <c r="AJ408" s="9"/>
      <c r="AK408" s="9"/>
      <c r="AL408" s="10"/>
      <c r="AM408" s="9"/>
      <c r="AN408" s="10"/>
      <c r="AO408" s="6"/>
      <c r="AP408" s="6"/>
      <c r="AQ408" s="6"/>
      <c r="AR408" s="11"/>
      <c r="AS408" s="6"/>
      <c r="AT408" s="11"/>
      <c r="AU408" s="11"/>
      <c r="AV408" s="6"/>
      <c r="AW408" s="6"/>
    </row>
    <row r="409" spans="11:49"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7"/>
      <c r="AF409" s="8"/>
      <c r="AG409" s="6"/>
      <c r="AH409" s="6"/>
      <c r="AI409" s="9"/>
      <c r="AJ409" s="9"/>
      <c r="AK409" s="9"/>
      <c r="AL409" s="10"/>
      <c r="AM409" s="9"/>
      <c r="AN409" s="10"/>
      <c r="AO409" s="6"/>
      <c r="AP409" s="6"/>
      <c r="AQ409" s="6"/>
      <c r="AR409" s="11"/>
      <c r="AS409" s="6"/>
      <c r="AT409" s="11"/>
      <c r="AU409" s="11"/>
      <c r="AV409" s="6"/>
      <c r="AW409" s="6"/>
    </row>
    <row r="410" spans="11:49"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7"/>
      <c r="AF410" s="8"/>
      <c r="AG410" s="6"/>
      <c r="AH410" s="6"/>
      <c r="AI410" s="9"/>
      <c r="AJ410" s="9"/>
      <c r="AK410" s="9"/>
      <c r="AL410" s="10"/>
      <c r="AM410" s="9"/>
      <c r="AN410" s="10"/>
      <c r="AO410" s="6"/>
      <c r="AP410" s="6"/>
      <c r="AQ410" s="6"/>
      <c r="AR410" s="11"/>
      <c r="AS410" s="6"/>
      <c r="AT410" s="11"/>
      <c r="AU410" s="11"/>
      <c r="AV410" s="6"/>
      <c r="AW410" s="6"/>
    </row>
    <row r="411" spans="11:49"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7"/>
      <c r="AF411" s="8"/>
      <c r="AG411" s="6"/>
      <c r="AH411" s="6"/>
      <c r="AI411" s="9"/>
      <c r="AJ411" s="9"/>
      <c r="AK411" s="9"/>
      <c r="AL411" s="10"/>
      <c r="AM411" s="9"/>
      <c r="AN411" s="10"/>
      <c r="AO411" s="6"/>
      <c r="AP411" s="6"/>
      <c r="AQ411" s="6"/>
      <c r="AR411" s="11"/>
      <c r="AS411" s="6"/>
      <c r="AT411" s="11"/>
      <c r="AU411" s="11"/>
      <c r="AV411" s="6"/>
      <c r="AW411" s="6"/>
    </row>
    <row r="412" spans="11:49"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7"/>
      <c r="AF412" s="8"/>
      <c r="AG412" s="6"/>
      <c r="AH412" s="6"/>
      <c r="AI412" s="9"/>
      <c r="AJ412" s="9"/>
      <c r="AK412" s="9"/>
      <c r="AL412" s="10"/>
      <c r="AM412" s="9"/>
      <c r="AN412" s="10"/>
      <c r="AO412" s="6"/>
      <c r="AP412" s="6"/>
      <c r="AQ412" s="6"/>
      <c r="AR412" s="11"/>
      <c r="AS412" s="6"/>
      <c r="AT412" s="11"/>
      <c r="AU412" s="11"/>
      <c r="AV412" s="6"/>
      <c r="AW412" s="6"/>
    </row>
    <row r="413" spans="11:49"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7"/>
      <c r="AF413" s="8"/>
      <c r="AG413" s="6"/>
      <c r="AH413" s="6"/>
      <c r="AI413" s="9"/>
      <c r="AJ413" s="9"/>
      <c r="AK413" s="9"/>
      <c r="AL413" s="10"/>
      <c r="AM413" s="9"/>
      <c r="AN413" s="10"/>
      <c r="AO413" s="6"/>
      <c r="AP413" s="6"/>
      <c r="AQ413" s="6"/>
      <c r="AR413" s="11"/>
      <c r="AS413" s="6"/>
      <c r="AT413" s="11"/>
      <c r="AU413" s="11"/>
      <c r="AV413" s="6"/>
      <c r="AW413" s="6"/>
    </row>
    <row r="414" spans="11:49"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7"/>
      <c r="AF414" s="8"/>
      <c r="AG414" s="6"/>
      <c r="AH414" s="6"/>
      <c r="AI414" s="9"/>
      <c r="AJ414" s="9"/>
      <c r="AK414" s="9"/>
      <c r="AL414" s="10"/>
      <c r="AM414" s="9"/>
      <c r="AN414" s="10"/>
      <c r="AO414" s="6"/>
      <c r="AP414" s="6"/>
      <c r="AQ414" s="6"/>
      <c r="AR414" s="11"/>
      <c r="AS414" s="6"/>
      <c r="AT414" s="11"/>
      <c r="AU414" s="11"/>
      <c r="AV414" s="6"/>
      <c r="AW414" s="6"/>
    </row>
    <row r="415" spans="11:49"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7"/>
      <c r="AF415" s="8"/>
      <c r="AG415" s="6"/>
      <c r="AH415" s="6"/>
      <c r="AI415" s="9"/>
      <c r="AJ415" s="9"/>
      <c r="AK415" s="9"/>
      <c r="AL415" s="10"/>
      <c r="AM415" s="9"/>
      <c r="AN415" s="10"/>
      <c r="AO415" s="6"/>
      <c r="AP415" s="6"/>
      <c r="AQ415" s="6"/>
      <c r="AR415" s="11"/>
      <c r="AS415" s="6"/>
      <c r="AT415" s="11"/>
      <c r="AU415" s="11"/>
      <c r="AV415" s="6"/>
      <c r="AW415" s="6"/>
    </row>
    <row r="416" spans="11:49"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7"/>
      <c r="AF416" s="8"/>
      <c r="AG416" s="6"/>
      <c r="AH416" s="6"/>
      <c r="AI416" s="9"/>
      <c r="AJ416" s="9"/>
      <c r="AK416" s="9"/>
      <c r="AL416" s="10"/>
      <c r="AM416" s="9"/>
      <c r="AN416" s="10"/>
      <c r="AO416" s="6"/>
      <c r="AP416" s="6"/>
      <c r="AQ416" s="6"/>
      <c r="AR416" s="11"/>
      <c r="AS416" s="6"/>
      <c r="AT416" s="11"/>
      <c r="AU416" s="11"/>
      <c r="AV416" s="6"/>
      <c r="AW416" s="6"/>
    </row>
    <row r="417" spans="11:49"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7"/>
      <c r="AF417" s="8"/>
      <c r="AG417" s="6"/>
      <c r="AH417" s="6"/>
      <c r="AI417" s="9"/>
      <c r="AJ417" s="9"/>
      <c r="AK417" s="9"/>
      <c r="AL417" s="10"/>
      <c r="AM417" s="9"/>
      <c r="AN417" s="10"/>
      <c r="AO417" s="6"/>
      <c r="AP417" s="6"/>
      <c r="AQ417" s="6"/>
      <c r="AR417" s="11"/>
      <c r="AS417" s="6"/>
      <c r="AT417" s="11"/>
      <c r="AU417" s="11"/>
      <c r="AV417" s="6"/>
      <c r="AW417" s="6"/>
    </row>
    <row r="418" spans="11:49"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7"/>
      <c r="AF418" s="8"/>
      <c r="AG418" s="6"/>
      <c r="AH418" s="6"/>
      <c r="AI418" s="9"/>
      <c r="AJ418" s="9"/>
      <c r="AK418" s="9"/>
      <c r="AL418" s="10"/>
      <c r="AM418" s="9"/>
      <c r="AN418" s="10"/>
      <c r="AO418" s="6"/>
      <c r="AP418" s="6"/>
      <c r="AQ418" s="6"/>
      <c r="AR418" s="11"/>
      <c r="AS418" s="6"/>
      <c r="AT418" s="11"/>
      <c r="AU418" s="11"/>
      <c r="AV418" s="6"/>
      <c r="AW418" s="6"/>
    </row>
    <row r="419" spans="11:49"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7"/>
      <c r="AF419" s="8"/>
      <c r="AG419" s="6"/>
      <c r="AH419" s="6"/>
      <c r="AI419" s="9"/>
      <c r="AJ419" s="9"/>
      <c r="AK419" s="9"/>
      <c r="AL419" s="10"/>
      <c r="AM419" s="9"/>
      <c r="AN419" s="10"/>
      <c r="AO419" s="6"/>
      <c r="AP419" s="6"/>
      <c r="AQ419" s="6"/>
      <c r="AR419" s="11"/>
      <c r="AS419" s="6"/>
      <c r="AT419" s="11"/>
      <c r="AU419" s="11"/>
      <c r="AV419" s="6"/>
      <c r="AW419" s="6"/>
    </row>
    <row r="420" spans="11:49"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7"/>
      <c r="AF420" s="8"/>
      <c r="AG420" s="6"/>
      <c r="AH420" s="6"/>
      <c r="AI420" s="9"/>
      <c r="AJ420" s="9"/>
      <c r="AK420" s="9"/>
      <c r="AL420" s="10"/>
      <c r="AM420" s="9"/>
      <c r="AN420" s="10"/>
      <c r="AO420" s="6"/>
      <c r="AP420" s="6"/>
      <c r="AQ420" s="6"/>
      <c r="AR420" s="11"/>
      <c r="AS420" s="6"/>
      <c r="AT420" s="11"/>
      <c r="AU420" s="11"/>
      <c r="AV420" s="6"/>
      <c r="AW420" s="6"/>
    </row>
    <row r="421" spans="11:49"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7"/>
      <c r="AF421" s="8"/>
      <c r="AG421" s="6"/>
      <c r="AH421" s="6"/>
      <c r="AI421" s="9"/>
      <c r="AJ421" s="9"/>
      <c r="AK421" s="9"/>
      <c r="AL421" s="10"/>
      <c r="AM421" s="9"/>
      <c r="AN421" s="10"/>
      <c r="AO421" s="6"/>
      <c r="AP421" s="6"/>
      <c r="AQ421" s="6"/>
      <c r="AR421" s="11"/>
      <c r="AS421" s="6"/>
      <c r="AT421" s="11"/>
      <c r="AU421" s="11"/>
      <c r="AV421" s="6"/>
      <c r="AW421" s="6"/>
    </row>
    <row r="422" spans="11:49"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7"/>
      <c r="AF422" s="8"/>
      <c r="AG422" s="6"/>
      <c r="AH422" s="6"/>
      <c r="AI422" s="9"/>
      <c r="AJ422" s="9"/>
      <c r="AK422" s="9"/>
      <c r="AL422" s="10"/>
      <c r="AM422" s="9"/>
      <c r="AN422" s="10"/>
      <c r="AO422" s="6"/>
      <c r="AP422" s="6"/>
      <c r="AQ422" s="6"/>
      <c r="AR422" s="11"/>
      <c r="AS422" s="6"/>
      <c r="AT422" s="11"/>
      <c r="AU422" s="11"/>
      <c r="AV422" s="6"/>
      <c r="AW422" s="6"/>
    </row>
    <row r="423" spans="11:49"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7"/>
      <c r="AF423" s="8"/>
      <c r="AG423" s="6"/>
      <c r="AH423" s="6"/>
      <c r="AI423" s="9"/>
      <c r="AJ423" s="9"/>
      <c r="AK423" s="9"/>
      <c r="AL423" s="10"/>
      <c r="AM423" s="9"/>
      <c r="AN423" s="10"/>
      <c r="AO423" s="6"/>
      <c r="AP423" s="6"/>
      <c r="AQ423" s="6"/>
      <c r="AR423" s="11"/>
      <c r="AS423" s="6"/>
      <c r="AT423" s="11"/>
      <c r="AU423" s="11"/>
      <c r="AV423" s="6"/>
      <c r="AW423" s="6"/>
    </row>
    <row r="424" spans="11:49"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7"/>
      <c r="AF424" s="8"/>
      <c r="AG424" s="6"/>
      <c r="AH424" s="6"/>
      <c r="AI424" s="9"/>
      <c r="AJ424" s="9"/>
      <c r="AK424" s="9"/>
      <c r="AL424" s="10"/>
      <c r="AM424" s="9"/>
      <c r="AN424" s="10"/>
      <c r="AO424" s="6"/>
      <c r="AP424" s="6"/>
      <c r="AQ424" s="6"/>
      <c r="AR424" s="11"/>
      <c r="AS424" s="6"/>
      <c r="AT424" s="11"/>
      <c r="AU424" s="11"/>
      <c r="AV424" s="6"/>
      <c r="AW424" s="6"/>
    </row>
    <row r="425" spans="11:49"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7"/>
      <c r="AF425" s="8"/>
      <c r="AG425" s="6"/>
      <c r="AH425" s="6"/>
      <c r="AI425" s="9"/>
      <c r="AJ425" s="9"/>
      <c r="AK425" s="9"/>
      <c r="AL425" s="10"/>
      <c r="AM425" s="9"/>
      <c r="AN425" s="10"/>
      <c r="AO425" s="6"/>
      <c r="AP425" s="6"/>
      <c r="AQ425" s="6"/>
      <c r="AR425" s="11"/>
      <c r="AS425" s="6"/>
      <c r="AT425" s="11"/>
      <c r="AU425" s="11"/>
      <c r="AV425" s="6"/>
      <c r="AW425" s="6"/>
    </row>
    <row r="426" spans="11:49"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7"/>
      <c r="AF426" s="8"/>
      <c r="AG426" s="6"/>
      <c r="AH426" s="6"/>
      <c r="AI426" s="9"/>
      <c r="AJ426" s="9"/>
      <c r="AK426" s="9"/>
      <c r="AL426" s="10"/>
      <c r="AM426" s="9"/>
      <c r="AN426" s="10"/>
      <c r="AO426" s="6"/>
      <c r="AP426" s="6"/>
      <c r="AQ426" s="6"/>
      <c r="AR426" s="11"/>
      <c r="AS426" s="6"/>
      <c r="AT426" s="11"/>
      <c r="AU426" s="11"/>
      <c r="AV426" s="6"/>
      <c r="AW426" s="6"/>
    </row>
    <row r="427" spans="11:49"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7"/>
      <c r="AF427" s="8"/>
      <c r="AG427" s="6"/>
      <c r="AH427" s="6"/>
      <c r="AI427" s="9"/>
      <c r="AJ427" s="9"/>
      <c r="AK427" s="9"/>
      <c r="AL427" s="10"/>
      <c r="AM427" s="9"/>
      <c r="AN427" s="10"/>
      <c r="AO427" s="6"/>
      <c r="AP427" s="6"/>
      <c r="AQ427" s="6"/>
      <c r="AR427" s="11"/>
      <c r="AS427" s="6"/>
      <c r="AT427" s="11"/>
      <c r="AU427" s="11"/>
      <c r="AV427" s="6"/>
      <c r="AW427" s="6"/>
    </row>
    <row r="428" spans="11:49"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7"/>
      <c r="AF428" s="8"/>
      <c r="AG428" s="6"/>
      <c r="AH428" s="6"/>
      <c r="AI428" s="9"/>
      <c r="AJ428" s="9"/>
      <c r="AK428" s="9"/>
      <c r="AL428" s="10"/>
      <c r="AM428" s="9"/>
      <c r="AN428" s="10"/>
      <c r="AO428" s="6"/>
      <c r="AP428" s="6"/>
      <c r="AQ428" s="6"/>
      <c r="AR428" s="11"/>
      <c r="AS428" s="6"/>
      <c r="AT428" s="11"/>
      <c r="AU428" s="11"/>
      <c r="AV428" s="6"/>
      <c r="AW428" s="6"/>
    </row>
    <row r="429" spans="11:49"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7"/>
      <c r="AF429" s="8"/>
      <c r="AG429" s="6"/>
      <c r="AH429" s="6"/>
      <c r="AI429" s="9"/>
      <c r="AJ429" s="9"/>
      <c r="AK429" s="9"/>
      <c r="AL429" s="10"/>
      <c r="AM429" s="9"/>
      <c r="AN429" s="10"/>
      <c r="AO429" s="6"/>
      <c r="AP429" s="6"/>
      <c r="AQ429" s="6"/>
      <c r="AR429" s="11"/>
      <c r="AS429" s="6"/>
      <c r="AT429" s="11"/>
      <c r="AU429" s="11"/>
      <c r="AV429" s="6"/>
      <c r="AW429" s="6"/>
    </row>
    <row r="430" spans="11:49"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7"/>
      <c r="AF430" s="8"/>
      <c r="AG430" s="6"/>
      <c r="AH430" s="6"/>
      <c r="AI430" s="9"/>
      <c r="AJ430" s="9"/>
      <c r="AK430" s="9"/>
      <c r="AL430" s="10"/>
      <c r="AM430" s="9"/>
      <c r="AN430" s="10"/>
      <c r="AO430" s="6"/>
      <c r="AP430" s="6"/>
      <c r="AQ430" s="6"/>
      <c r="AR430" s="11"/>
      <c r="AS430" s="6"/>
      <c r="AT430" s="11"/>
      <c r="AU430" s="11"/>
      <c r="AV430" s="6"/>
      <c r="AW430" s="6"/>
    </row>
    <row r="431" spans="11:49"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7"/>
      <c r="AF431" s="8"/>
      <c r="AG431" s="6"/>
      <c r="AH431" s="6"/>
      <c r="AI431" s="9"/>
      <c r="AJ431" s="9"/>
      <c r="AK431" s="9"/>
      <c r="AL431" s="10"/>
      <c r="AM431" s="9"/>
      <c r="AN431" s="10"/>
      <c r="AO431" s="6"/>
      <c r="AP431" s="6"/>
      <c r="AQ431" s="6"/>
      <c r="AR431" s="11"/>
      <c r="AS431" s="6"/>
      <c r="AT431" s="11"/>
      <c r="AU431" s="11"/>
      <c r="AV431" s="6"/>
      <c r="AW431" s="6"/>
    </row>
    <row r="432" spans="11:49"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7"/>
      <c r="AF432" s="8"/>
      <c r="AG432" s="6"/>
      <c r="AH432" s="6"/>
      <c r="AI432" s="9"/>
      <c r="AJ432" s="9"/>
      <c r="AK432" s="9"/>
      <c r="AL432" s="10"/>
      <c r="AM432" s="9"/>
      <c r="AN432" s="10"/>
      <c r="AO432" s="6"/>
      <c r="AP432" s="6"/>
      <c r="AQ432" s="6"/>
      <c r="AR432" s="11"/>
      <c r="AS432" s="6"/>
      <c r="AT432" s="11"/>
      <c r="AU432" s="11"/>
      <c r="AV432" s="6"/>
      <c r="AW432" s="6"/>
    </row>
    <row r="433" spans="11:49"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7"/>
      <c r="AF433" s="8"/>
      <c r="AG433" s="6"/>
      <c r="AH433" s="6"/>
      <c r="AI433" s="9"/>
      <c r="AJ433" s="9"/>
      <c r="AK433" s="9"/>
      <c r="AL433" s="10"/>
      <c r="AM433" s="9"/>
      <c r="AN433" s="10"/>
      <c r="AO433" s="6"/>
      <c r="AP433" s="6"/>
      <c r="AQ433" s="6"/>
      <c r="AR433" s="11"/>
      <c r="AS433" s="6"/>
      <c r="AT433" s="11"/>
      <c r="AU433" s="11"/>
      <c r="AV433" s="6"/>
      <c r="AW433" s="6"/>
    </row>
    <row r="434" spans="11:49"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7"/>
      <c r="AF434" s="8"/>
      <c r="AG434" s="6"/>
      <c r="AH434" s="6"/>
      <c r="AI434" s="9"/>
      <c r="AJ434" s="9"/>
      <c r="AK434" s="9"/>
      <c r="AL434" s="10"/>
      <c r="AM434" s="9"/>
      <c r="AN434" s="10"/>
      <c r="AO434" s="6"/>
      <c r="AP434" s="6"/>
      <c r="AQ434" s="6"/>
      <c r="AR434" s="11"/>
      <c r="AS434" s="6"/>
      <c r="AT434" s="11"/>
      <c r="AU434" s="11"/>
      <c r="AV434" s="6"/>
      <c r="AW434" s="6"/>
    </row>
    <row r="435" spans="11:49"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7"/>
      <c r="AF435" s="8"/>
      <c r="AG435" s="6"/>
      <c r="AH435" s="6"/>
      <c r="AI435" s="9"/>
      <c r="AJ435" s="9"/>
      <c r="AK435" s="9"/>
      <c r="AL435" s="10"/>
      <c r="AM435" s="9"/>
      <c r="AN435" s="10"/>
      <c r="AO435" s="6"/>
      <c r="AP435" s="6"/>
      <c r="AQ435" s="6"/>
      <c r="AR435" s="11"/>
      <c r="AS435" s="6"/>
      <c r="AT435" s="11"/>
      <c r="AU435" s="11"/>
      <c r="AV435" s="6"/>
      <c r="AW435" s="6"/>
    </row>
    <row r="436" spans="11:49"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7"/>
      <c r="AF436" s="8"/>
      <c r="AG436" s="6"/>
      <c r="AH436" s="6"/>
      <c r="AI436" s="9"/>
      <c r="AJ436" s="9"/>
      <c r="AK436" s="9"/>
      <c r="AL436" s="10"/>
      <c r="AM436" s="9"/>
      <c r="AN436" s="10"/>
      <c r="AO436" s="6"/>
      <c r="AP436" s="6"/>
      <c r="AQ436" s="6"/>
      <c r="AR436" s="11"/>
      <c r="AS436" s="6"/>
      <c r="AT436" s="11"/>
      <c r="AU436" s="11"/>
      <c r="AV436" s="6"/>
      <c r="AW436" s="6"/>
    </row>
    <row r="437" spans="11:49"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7"/>
      <c r="AF437" s="8"/>
      <c r="AG437" s="6"/>
      <c r="AH437" s="6"/>
      <c r="AI437" s="9"/>
      <c r="AJ437" s="9"/>
      <c r="AK437" s="9"/>
      <c r="AL437" s="10"/>
      <c r="AM437" s="9"/>
      <c r="AN437" s="10"/>
      <c r="AO437" s="6"/>
      <c r="AP437" s="6"/>
      <c r="AQ437" s="6"/>
      <c r="AR437" s="11"/>
      <c r="AS437" s="6"/>
      <c r="AT437" s="11"/>
      <c r="AU437" s="11"/>
      <c r="AV437" s="6"/>
      <c r="AW437" s="6"/>
    </row>
    <row r="438" spans="11:49"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7"/>
      <c r="AF438" s="8"/>
      <c r="AG438" s="6"/>
      <c r="AH438" s="6"/>
      <c r="AI438" s="9"/>
      <c r="AJ438" s="9"/>
      <c r="AK438" s="9"/>
      <c r="AL438" s="10"/>
      <c r="AM438" s="9"/>
      <c r="AN438" s="10"/>
      <c r="AO438" s="6"/>
      <c r="AP438" s="6"/>
      <c r="AQ438" s="6"/>
      <c r="AR438" s="11"/>
      <c r="AS438" s="6"/>
      <c r="AT438" s="11"/>
      <c r="AU438" s="11"/>
      <c r="AV438" s="6"/>
      <c r="AW438" s="6"/>
    </row>
    <row r="439" spans="11:49"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7"/>
      <c r="AF439" s="8"/>
      <c r="AG439" s="6"/>
      <c r="AH439" s="6"/>
      <c r="AI439" s="9"/>
      <c r="AJ439" s="9"/>
      <c r="AK439" s="9"/>
      <c r="AL439" s="10"/>
      <c r="AM439" s="9"/>
      <c r="AN439" s="10"/>
      <c r="AO439" s="6"/>
      <c r="AP439" s="6"/>
      <c r="AQ439" s="6"/>
      <c r="AR439" s="11"/>
      <c r="AS439" s="6"/>
      <c r="AT439" s="11"/>
      <c r="AU439" s="11"/>
      <c r="AV439" s="6"/>
      <c r="AW439" s="6"/>
    </row>
    <row r="440" spans="11:49"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7"/>
      <c r="AF440" s="8"/>
      <c r="AG440" s="6"/>
      <c r="AH440" s="6"/>
      <c r="AI440" s="9"/>
      <c r="AJ440" s="9"/>
      <c r="AK440" s="9"/>
      <c r="AL440" s="10"/>
      <c r="AM440" s="9"/>
      <c r="AN440" s="10"/>
      <c r="AO440" s="6"/>
      <c r="AP440" s="6"/>
      <c r="AQ440" s="6"/>
      <c r="AR440" s="11"/>
      <c r="AS440" s="6"/>
      <c r="AT440" s="11"/>
      <c r="AU440" s="11"/>
      <c r="AV440" s="6"/>
      <c r="AW440" s="6"/>
    </row>
    <row r="441" spans="11:49"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7"/>
      <c r="AF441" s="8"/>
      <c r="AG441" s="6"/>
      <c r="AH441" s="6"/>
      <c r="AI441" s="9"/>
      <c r="AJ441" s="9"/>
      <c r="AK441" s="9"/>
      <c r="AL441" s="10"/>
      <c r="AM441" s="9"/>
      <c r="AN441" s="10"/>
      <c r="AO441" s="6"/>
      <c r="AP441" s="6"/>
      <c r="AQ441" s="6"/>
      <c r="AR441" s="11"/>
      <c r="AS441" s="6"/>
      <c r="AT441" s="11"/>
      <c r="AU441" s="11"/>
      <c r="AV441" s="6"/>
      <c r="AW441" s="6"/>
    </row>
    <row r="442" spans="11:49"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7"/>
      <c r="AF442" s="8"/>
      <c r="AG442" s="6"/>
      <c r="AH442" s="6"/>
      <c r="AI442" s="9"/>
      <c r="AJ442" s="9"/>
      <c r="AK442" s="9"/>
      <c r="AL442" s="10"/>
      <c r="AM442" s="9"/>
      <c r="AN442" s="10"/>
      <c r="AO442" s="6"/>
      <c r="AP442" s="6"/>
      <c r="AQ442" s="6"/>
      <c r="AR442" s="11"/>
      <c r="AS442" s="6"/>
      <c r="AT442" s="11"/>
      <c r="AU442" s="11"/>
      <c r="AV442" s="6"/>
      <c r="AW442" s="6"/>
    </row>
    <row r="443" spans="11:49"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7"/>
      <c r="AF443" s="8"/>
      <c r="AG443" s="6"/>
      <c r="AH443" s="6"/>
      <c r="AI443" s="9"/>
      <c r="AJ443" s="9"/>
      <c r="AK443" s="9"/>
      <c r="AL443" s="10"/>
      <c r="AM443" s="9"/>
      <c r="AN443" s="10"/>
      <c r="AO443" s="6"/>
      <c r="AP443" s="6"/>
      <c r="AQ443" s="6"/>
      <c r="AR443" s="11"/>
      <c r="AS443" s="6"/>
      <c r="AT443" s="11"/>
      <c r="AU443" s="11"/>
      <c r="AV443" s="6"/>
      <c r="AW443" s="6"/>
    </row>
    <row r="444" spans="11:49"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7"/>
      <c r="AF444" s="8"/>
      <c r="AG444" s="6"/>
      <c r="AH444" s="6"/>
      <c r="AI444" s="9"/>
      <c r="AJ444" s="9"/>
      <c r="AK444" s="9"/>
      <c r="AL444" s="10"/>
      <c r="AM444" s="9"/>
      <c r="AN444" s="10"/>
      <c r="AO444" s="6"/>
      <c r="AP444" s="6"/>
      <c r="AQ444" s="6"/>
      <c r="AR444" s="11"/>
      <c r="AS444" s="6"/>
      <c r="AT444" s="11"/>
      <c r="AU444" s="11"/>
      <c r="AV444" s="6"/>
      <c r="AW444" s="6"/>
    </row>
    <row r="445" spans="11:49"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7"/>
      <c r="AF445" s="8"/>
      <c r="AG445" s="6"/>
      <c r="AH445" s="6"/>
      <c r="AI445" s="9"/>
      <c r="AJ445" s="9"/>
      <c r="AK445" s="9"/>
      <c r="AL445" s="10"/>
      <c r="AM445" s="9"/>
      <c r="AN445" s="10"/>
      <c r="AO445" s="6"/>
      <c r="AP445" s="6"/>
      <c r="AQ445" s="6"/>
      <c r="AR445" s="11"/>
      <c r="AS445" s="6"/>
      <c r="AT445" s="11"/>
      <c r="AU445" s="11"/>
      <c r="AV445" s="6"/>
      <c r="AW445" s="6"/>
    </row>
    <row r="446" spans="11:49"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7"/>
      <c r="AF446" s="8"/>
      <c r="AG446" s="6"/>
      <c r="AH446" s="6"/>
      <c r="AI446" s="9"/>
      <c r="AJ446" s="9"/>
      <c r="AK446" s="9"/>
      <c r="AL446" s="10"/>
      <c r="AM446" s="9"/>
      <c r="AN446" s="10"/>
      <c r="AO446" s="6"/>
      <c r="AP446" s="6"/>
      <c r="AQ446" s="6"/>
      <c r="AR446" s="11"/>
      <c r="AS446" s="6"/>
      <c r="AT446" s="11"/>
      <c r="AU446" s="11"/>
      <c r="AV446" s="6"/>
      <c r="AW446" s="6"/>
    </row>
    <row r="447" spans="11:49"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7"/>
      <c r="AF447" s="8"/>
      <c r="AG447" s="6"/>
      <c r="AH447" s="6"/>
      <c r="AI447" s="9"/>
      <c r="AJ447" s="9"/>
      <c r="AK447" s="9"/>
      <c r="AL447" s="10"/>
      <c r="AM447" s="9"/>
      <c r="AN447" s="10"/>
      <c r="AO447" s="6"/>
      <c r="AP447" s="6"/>
      <c r="AQ447" s="6"/>
      <c r="AR447" s="11"/>
      <c r="AS447" s="6"/>
      <c r="AT447" s="11"/>
      <c r="AU447" s="11"/>
      <c r="AV447" s="6"/>
      <c r="AW447" s="6"/>
    </row>
    <row r="448" spans="11:49"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7"/>
      <c r="AF448" s="8"/>
      <c r="AG448" s="6"/>
      <c r="AH448" s="6"/>
      <c r="AI448" s="9"/>
      <c r="AJ448" s="9"/>
      <c r="AK448" s="9"/>
      <c r="AL448" s="10"/>
      <c r="AM448" s="9"/>
      <c r="AN448" s="10"/>
      <c r="AO448" s="6"/>
      <c r="AP448" s="6"/>
      <c r="AQ448" s="6"/>
      <c r="AR448" s="11"/>
      <c r="AS448" s="6"/>
      <c r="AT448" s="11"/>
      <c r="AU448" s="11"/>
      <c r="AV448" s="6"/>
      <c r="AW448" s="6"/>
    </row>
    <row r="449" spans="11:49"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7"/>
      <c r="AF449" s="8"/>
      <c r="AG449" s="6"/>
      <c r="AH449" s="6"/>
      <c r="AI449" s="9"/>
      <c r="AJ449" s="9"/>
      <c r="AK449" s="9"/>
      <c r="AL449" s="10"/>
      <c r="AM449" s="9"/>
      <c r="AN449" s="10"/>
      <c r="AO449" s="6"/>
      <c r="AP449" s="6"/>
      <c r="AQ449" s="6"/>
      <c r="AR449" s="11"/>
      <c r="AS449" s="6"/>
      <c r="AT449" s="11"/>
      <c r="AU449" s="11"/>
      <c r="AV449" s="6"/>
      <c r="AW449" s="6"/>
    </row>
    <row r="450" spans="11:49"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7"/>
      <c r="AF450" s="8"/>
      <c r="AG450" s="6"/>
      <c r="AH450" s="6"/>
      <c r="AI450" s="9"/>
      <c r="AJ450" s="9"/>
      <c r="AK450" s="9"/>
      <c r="AL450" s="10"/>
      <c r="AM450" s="9"/>
      <c r="AN450" s="10"/>
      <c r="AO450" s="6"/>
      <c r="AP450" s="6"/>
      <c r="AQ450" s="6"/>
      <c r="AR450" s="11"/>
      <c r="AS450" s="6"/>
      <c r="AT450" s="11"/>
      <c r="AU450" s="11"/>
      <c r="AV450" s="6"/>
      <c r="AW450" s="6"/>
    </row>
    <row r="451" spans="11:49"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7"/>
      <c r="AF451" s="8"/>
      <c r="AG451" s="6"/>
      <c r="AH451" s="6"/>
      <c r="AI451" s="9"/>
      <c r="AJ451" s="9"/>
      <c r="AK451" s="9"/>
      <c r="AL451" s="10"/>
      <c r="AM451" s="9"/>
      <c r="AN451" s="10"/>
      <c r="AO451" s="6"/>
      <c r="AP451" s="6"/>
      <c r="AQ451" s="6"/>
      <c r="AR451" s="11"/>
      <c r="AS451" s="6"/>
      <c r="AT451" s="11"/>
      <c r="AU451" s="11"/>
      <c r="AV451" s="6"/>
      <c r="AW451" s="6"/>
    </row>
    <row r="452" spans="11:49"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7"/>
      <c r="AF452" s="8"/>
      <c r="AG452" s="6"/>
      <c r="AH452" s="6"/>
      <c r="AI452" s="9"/>
      <c r="AJ452" s="9"/>
      <c r="AK452" s="9"/>
      <c r="AL452" s="10"/>
      <c r="AM452" s="9"/>
      <c r="AN452" s="10"/>
      <c r="AO452" s="6"/>
      <c r="AP452" s="6"/>
      <c r="AQ452" s="6"/>
      <c r="AR452" s="11"/>
      <c r="AS452" s="6"/>
      <c r="AT452" s="11"/>
      <c r="AU452" s="11"/>
      <c r="AV452" s="6"/>
      <c r="AW452" s="6"/>
    </row>
    <row r="453" spans="11:49"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7"/>
      <c r="AF453" s="8"/>
      <c r="AG453" s="6"/>
      <c r="AH453" s="6"/>
      <c r="AI453" s="9"/>
      <c r="AJ453" s="9"/>
      <c r="AK453" s="9"/>
      <c r="AL453" s="10"/>
      <c r="AM453" s="9"/>
      <c r="AN453" s="10"/>
      <c r="AO453" s="6"/>
      <c r="AP453" s="6"/>
      <c r="AQ453" s="6"/>
      <c r="AR453" s="11"/>
      <c r="AS453" s="6"/>
      <c r="AT453" s="11"/>
      <c r="AU453" s="11"/>
      <c r="AV453" s="6"/>
      <c r="AW453" s="6"/>
    </row>
    <row r="454" spans="11:49"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7"/>
      <c r="AF454" s="8"/>
      <c r="AG454" s="6"/>
      <c r="AH454" s="6"/>
      <c r="AI454" s="9"/>
      <c r="AJ454" s="9"/>
      <c r="AK454" s="9"/>
      <c r="AL454" s="10"/>
      <c r="AM454" s="9"/>
      <c r="AN454" s="10"/>
      <c r="AO454" s="6"/>
      <c r="AP454" s="6"/>
      <c r="AQ454" s="6"/>
      <c r="AR454" s="11"/>
      <c r="AS454" s="6"/>
      <c r="AT454" s="11"/>
      <c r="AU454" s="11"/>
      <c r="AV454" s="6"/>
      <c r="AW454" s="6"/>
    </row>
    <row r="455" spans="11:49"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7"/>
      <c r="AF455" s="8"/>
      <c r="AG455" s="6"/>
      <c r="AH455" s="6"/>
      <c r="AI455" s="9"/>
      <c r="AJ455" s="9"/>
      <c r="AK455" s="9"/>
      <c r="AL455" s="10"/>
      <c r="AM455" s="9"/>
      <c r="AN455" s="10"/>
      <c r="AO455" s="6"/>
      <c r="AP455" s="6"/>
      <c r="AQ455" s="6"/>
      <c r="AR455" s="11"/>
      <c r="AS455" s="6"/>
      <c r="AT455" s="11"/>
      <c r="AU455" s="11"/>
      <c r="AV455" s="6"/>
      <c r="AW455" s="6"/>
    </row>
    <row r="456" spans="11:49"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7"/>
      <c r="AF456" s="8"/>
      <c r="AG456" s="6"/>
      <c r="AH456" s="6"/>
      <c r="AI456" s="9"/>
      <c r="AJ456" s="9"/>
      <c r="AK456" s="9"/>
      <c r="AL456" s="10"/>
      <c r="AM456" s="9"/>
      <c r="AN456" s="10"/>
      <c r="AO456" s="6"/>
      <c r="AP456" s="6"/>
      <c r="AQ456" s="6"/>
      <c r="AR456" s="11"/>
      <c r="AS456" s="6"/>
      <c r="AT456" s="11"/>
      <c r="AU456" s="11"/>
      <c r="AV456" s="6"/>
      <c r="AW456" s="6"/>
    </row>
    <row r="457" spans="11:49"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7"/>
      <c r="AF457" s="8"/>
      <c r="AG457" s="6"/>
      <c r="AH457" s="6"/>
      <c r="AI457" s="9"/>
      <c r="AJ457" s="9"/>
      <c r="AK457" s="9"/>
      <c r="AL457" s="10"/>
      <c r="AM457" s="9"/>
      <c r="AN457" s="10"/>
      <c r="AO457" s="6"/>
      <c r="AP457" s="6"/>
      <c r="AQ457" s="6"/>
      <c r="AR457" s="11"/>
      <c r="AS457" s="6"/>
      <c r="AT457" s="11"/>
      <c r="AU457" s="11"/>
      <c r="AV457" s="6"/>
      <c r="AW457" s="6"/>
    </row>
    <row r="458" spans="11:49"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7"/>
      <c r="AF458" s="8"/>
      <c r="AG458" s="6"/>
      <c r="AH458" s="6"/>
      <c r="AI458" s="9"/>
      <c r="AJ458" s="9"/>
      <c r="AK458" s="9"/>
      <c r="AL458" s="10"/>
      <c r="AM458" s="9"/>
      <c r="AN458" s="10"/>
      <c r="AO458" s="6"/>
      <c r="AP458" s="6"/>
      <c r="AQ458" s="6"/>
      <c r="AR458" s="11"/>
      <c r="AS458" s="6"/>
      <c r="AT458" s="11"/>
      <c r="AU458" s="11"/>
      <c r="AV458" s="6"/>
      <c r="AW458" s="6"/>
    </row>
    <row r="459" spans="11:49"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7"/>
      <c r="AF459" s="8"/>
      <c r="AG459" s="6"/>
      <c r="AH459" s="6"/>
      <c r="AI459" s="9"/>
      <c r="AJ459" s="9"/>
      <c r="AK459" s="9"/>
      <c r="AL459" s="10"/>
      <c r="AM459" s="9"/>
      <c r="AN459" s="10"/>
      <c r="AO459" s="6"/>
      <c r="AP459" s="6"/>
      <c r="AQ459" s="6"/>
      <c r="AR459" s="11"/>
      <c r="AS459" s="6"/>
      <c r="AT459" s="11"/>
      <c r="AU459" s="11"/>
      <c r="AV459" s="6"/>
      <c r="AW459" s="6"/>
    </row>
    <row r="460" spans="11:49"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7"/>
      <c r="AF460" s="8"/>
      <c r="AG460" s="6"/>
      <c r="AH460" s="6"/>
      <c r="AI460" s="9"/>
      <c r="AJ460" s="9"/>
      <c r="AK460" s="9"/>
      <c r="AL460" s="10"/>
      <c r="AM460" s="9"/>
      <c r="AN460" s="10"/>
      <c r="AO460" s="6"/>
      <c r="AP460" s="6"/>
      <c r="AQ460" s="6"/>
      <c r="AR460" s="11"/>
      <c r="AS460" s="6"/>
      <c r="AT460" s="11"/>
      <c r="AU460" s="11"/>
      <c r="AV460" s="6"/>
      <c r="AW460" s="6"/>
    </row>
    <row r="461" spans="11:49"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7"/>
      <c r="AF461" s="8"/>
      <c r="AG461" s="6"/>
      <c r="AH461" s="6"/>
      <c r="AI461" s="9"/>
      <c r="AJ461" s="9"/>
      <c r="AK461" s="9"/>
      <c r="AL461" s="10"/>
      <c r="AM461" s="9"/>
      <c r="AN461" s="10"/>
      <c r="AO461" s="6"/>
      <c r="AP461" s="6"/>
      <c r="AQ461" s="6"/>
      <c r="AR461" s="11"/>
      <c r="AS461" s="6"/>
      <c r="AT461" s="11"/>
      <c r="AU461" s="11"/>
      <c r="AV461" s="6"/>
      <c r="AW461" s="6"/>
    </row>
    <row r="462" spans="11:49"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7"/>
      <c r="AF462" s="8"/>
      <c r="AG462" s="6"/>
      <c r="AH462" s="6"/>
      <c r="AI462" s="9"/>
      <c r="AJ462" s="9"/>
      <c r="AK462" s="9"/>
      <c r="AL462" s="10"/>
      <c r="AM462" s="9"/>
      <c r="AN462" s="10"/>
      <c r="AO462" s="6"/>
      <c r="AP462" s="6"/>
      <c r="AQ462" s="6"/>
      <c r="AR462" s="11"/>
      <c r="AS462" s="6"/>
      <c r="AT462" s="11"/>
      <c r="AU462" s="11"/>
      <c r="AV462" s="6"/>
      <c r="AW462" s="6"/>
    </row>
    <row r="463" spans="11:49"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7"/>
      <c r="AF463" s="8"/>
      <c r="AG463" s="6"/>
      <c r="AH463" s="6"/>
      <c r="AI463" s="9"/>
      <c r="AJ463" s="9"/>
      <c r="AK463" s="9"/>
      <c r="AL463" s="10"/>
      <c r="AM463" s="9"/>
      <c r="AN463" s="10"/>
      <c r="AO463" s="6"/>
      <c r="AP463" s="6"/>
      <c r="AQ463" s="6"/>
      <c r="AR463" s="11"/>
      <c r="AS463" s="6"/>
      <c r="AT463" s="11"/>
      <c r="AU463" s="11"/>
      <c r="AV463" s="6"/>
      <c r="AW463" s="6"/>
    </row>
    <row r="464" spans="11:49"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7"/>
      <c r="AF464" s="8"/>
      <c r="AG464" s="6"/>
      <c r="AH464" s="6"/>
      <c r="AI464" s="9"/>
      <c r="AJ464" s="9"/>
      <c r="AK464" s="9"/>
      <c r="AL464" s="10"/>
      <c r="AM464" s="9"/>
      <c r="AN464" s="10"/>
      <c r="AO464" s="6"/>
      <c r="AP464" s="6"/>
      <c r="AQ464" s="6"/>
      <c r="AR464" s="11"/>
      <c r="AS464" s="6"/>
      <c r="AT464" s="11"/>
      <c r="AU464" s="11"/>
      <c r="AV464" s="6"/>
      <c r="AW464" s="6"/>
    </row>
    <row r="465" spans="11:49"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7"/>
      <c r="AF465" s="8"/>
      <c r="AG465" s="6"/>
      <c r="AH465" s="6"/>
      <c r="AI465" s="9"/>
      <c r="AJ465" s="9"/>
      <c r="AK465" s="9"/>
      <c r="AL465" s="10"/>
      <c r="AM465" s="9"/>
      <c r="AN465" s="10"/>
      <c r="AO465" s="6"/>
      <c r="AP465" s="6"/>
      <c r="AQ465" s="6"/>
      <c r="AR465" s="11"/>
      <c r="AS465" s="6"/>
      <c r="AT465" s="11"/>
      <c r="AU465" s="11"/>
      <c r="AV465" s="6"/>
      <c r="AW465" s="6"/>
    </row>
    <row r="466" spans="11:49"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7"/>
      <c r="AF466" s="8"/>
      <c r="AG466" s="6"/>
      <c r="AH466" s="6"/>
      <c r="AI466" s="9"/>
      <c r="AJ466" s="9"/>
      <c r="AK466" s="9"/>
      <c r="AL466" s="10"/>
      <c r="AM466" s="9"/>
      <c r="AN466" s="10"/>
      <c r="AO466" s="6"/>
      <c r="AP466" s="6"/>
      <c r="AQ466" s="6"/>
      <c r="AR466" s="11"/>
      <c r="AS466" s="6"/>
      <c r="AT466" s="11"/>
      <c r="AU466" s="11"/>
      <c r="AV466" s="6"/>
      <c r="AW466" s="6"/>
    </row>
    <row r="467" spans="11:49"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7"/>
      <c r="AF467" s="8"/>
      <c r="AG467" s="6"/>
      <c r="AH467" s="6"/>
      <c r="AI467" s="9"/>
      <c r="AJ467" s="9"/>
      <c r="AK467" s="9"/>
      <c r="AL467" s="10"/>
      <c r="AM467" s="9"/>
      <c r="AN467" s="10"/>
      <c r="AO467" s="6"/>
      <c r="AP467" s="6"/>
      <c r="AQ467" s="6"/>
      <c r="AR467" s="11"/>
      <c r="AS467" s="6"/>
      <c r="AT467" s="11"/>
      <c r="AU467" s="11"/>
      <c r="AV467" s="6"/>
      <c r="AW467" s="6"/>
    </row>
    <row r="468" spans="11:49"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7"/>
      <c r="AF468" s="8"/>
      <c r="AG468" s="6"/>
      <c r="AH468" s="6"/>
      <c r="AI468" s="9"/>
      <c r="AJ468" s="9"/>
      <c r="AK468" s="9"/>
      <c r="AL468" s="10"/>
      <c r="AM468" s="9"/>
      <c r="AN468" s="10"/>
      <c r="AO468" s="6"/>
      <c r="AP468" s="6"/>
      <c r="AQ468" s="6"/>
      <c r="AR468" s="11"/>
      <c r="AS468" s="6"/>
      <c r="AT468" s="11"/>
      <c r="AU468" s="11"/>
      <c r="AV468" s="6"/>
      <c r="AW468" s="6"/>
    </row>
    <row r="469" spans="11:49"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7"/>
      <c r="AF469" s="8"/>
      <c r="AG469" s="6"/>
      <c r="AH469" s="6"/>
      <c r="AI469" s="9"/>
      <c r="AJ469" s="9"/>
      <c r="AK469" s="9"/>
      <c r="AL469" s="10"/>
      <c r="AM469" s="9"/>
      <c r="AN469" s="10"/>
      <c r="AO469" s="6"/>
      <c r="AP469" s="6"/>
      <c r="AQ469" s="6"/>
      <c r="AR469" s="11"/>
      <c r="AS469" s="6"/>
      <c r="AT469" s="11"/>
      <c r="AU469" s="11"/>
      <c r="AV469" s="6"/>
      <c r="AW469" s="6"/>
    </row>
    <row r="470" spans="11:49"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7"/>
      <c r="AF470" s="8"/>
      <c r="AG470" s="6"/>
      <c r="AH470" s="6"/>
      <c r="AI470" s="9"/>
      <c r="AJ470" s="9"/>
      <c r="AK470" s="9"/>
      <c r="AL470" s="10"/>
      <c r="AM470" s="9"/>
      <c r="AN470" s="10"/>
      <c r="AO470" s="6"/>
      <c r="AP470" s="6"/>
      <c r="AQ470" s="6"/>
      <c r="AR470" s="11"/>
      <c r="AS470" s="6"/>
      <c r="AT470" s="11"/>
      <c r="AU470" s="11"/>
      <c r="AV470" s="6"/>
      <c r="AW470" s="6"/>
    </row>
    <row r="471" spans="11:49"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7"/>
      <c r="AF471" s="8"/>
      <c r="AG471" s="6"/>
      <c r="AH471" s="6"/>
      <c r="AI471" s="9"/>
      <c r="AJ471" s="9"/>
      <c r="AK471" s="9"/>
      <c r="AL471" s="10"/>
      <c r="AM471" s="9"/>
      <c r="AN471" s="10"/>
      <c r="AO471" s="6"/>
      <c r="AP471" s="6"/>
      <c r="AQ471" s="6"/>
      <c r="AR471" s="11"/>
      <c r="AS471" s="6"/>
      <c r="AT471" s="11"/>
      <c r="AU471" s="11"/>
      <c r="AV471" s="6"/>
      <c r="AW471" s="6"/>
    </row>
    <row r="472" spans="11:49"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7"/>
      <c r="AF472" s="8"/>
      <c r="AG472" s="6"/>
      <c r="AH472" s="6"/>
      <c r="AI472" s="9"/>
      <c r="AJ472" s="9"/>
      <c r="AK472" s="9"/>
      <c r="AL472" s="10"/>
      <c r="AM472" s="9"/>
      <c r="AN472" s="10"/>
      <c r="AO472" s="6"/>
      <c r="AP472" s="6"/>
      <c r="AQ472" s="6"/>
      <c r="AR472" s="11"/>
      <c r="AS472" s="6"/>
      <c r="AT472" s="11"/>
      <c r="AU472" s="11"/>
      <c r="AV472" s="6"/>
      <c r="AW472" s="6"/>
    </row>
    <row r="473" spans="11:49"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7"/>
      <c r="AF473" s="8"/>
      <c r="AG473" s="6"/>
      <c r="AH473" s="6"/>
      <c r="AI473" s="9"/>
      <c r="AJ473" s="9"/>
      <c r="AK473" s="9"/>
      <c r="AL473" s="10"/>
      <c r="AM473" s="9"/>
      <c r="AN473" s="10"/>
      <c r="AO473" s="6"/>
      <c r="AP473" s="6"/>
      <c r="AQ473" s="6"/>
      <c r="AR473" s="11"/>
      <c r="AS473" s="6"/>
      <c r="AT473" s="11"/>
      <c r="AU473" s="11"/>
      <c r="AV473" s="6"/>
      <c r="AW473" s="6"/>
    </row>
    <row r="474" spans="11:49"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7"/>
      <c r="AF474" s="8"/>
      <c r="AG474" s="6"/>
      <c r="AH474" s="6"/>
      <c r="AI474" s="9"/>
      <c r="AJ474" s="9"/>
      <c r="AK474" s="9"/>
      <c r="AL474" s="10"/>
      <c r="AM474" s="9"/>
      <c r="AN474" s="10"/>
      <c r="AO474" s="6"/>
      <c r="AP474" s="6"/>
      <c r="AQ474" s="6"/>
      <c r="AR474" s="11"/>
      <c r="AS474" s="6"/>
      <c r="AT474" s="11"/>
      <c r="AU474" s="11"/>
      <c r="AV474" s="6"/>
      <c r="AW474" s="6"/>
    </row>
    <row r="475" spans="11:49"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7"/>
      <c r="AF475" s="8"/>
      <c r="AG475" s="6"/>
      <c r="AH475" s="6"/>
      <c r="AI475" s="9"/>
      <c r="AJ475" s="9"/>
      <c r="AK475" s="9"/>
      <c r="AL475" s="10"/>
      <c r="AM475" s="9"/>
      <c r="AN475" s="10"/>
      <c r="AO475" s="6"/>
      <c r="AP475" s="6"/>
      <c r="AQ475" s="6"/>
      <c r="AR475" s="11"/>
      <c r="AS475" s="6"/>
      <c r="AT475" s="11"/>
      <c r="AU475" s="11"/>
      <c r="AV475" s="6"/>
      <c r="AW475" s="6"/>
    </row>
    <row r="476" spans="11:49"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7"/>
      <c r="AF476" s="8"/>
      <c r="AG476" s="6"/>
      <c r="AH476" s="6"/>
      <c r="AI476" s="9"/>
      <c r="AJ476" s="9"/>
      <c r="AK476" s="9"/>
      <c r="AL476" s="10"/>
      <c r="AM476" s="9"/>
      <c r="AN476" s="10"/>
      <c r="AO476" s="6"/>
      <c r="AP476" s="6"/>
      <c r="AQ476" s="6"/>
      <c r="AR476" s="11"/>
      <c r="AS476" s="6"/>
      <c r="AT476" s="11"/>
      <c r="AU476" s="11"/>
      <c r="AV476" s="6"/>
      <c r="AW476" s="6"/>
    </row>
    <row r="477" spans="11:49"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7"/>
      <c r="AF477" s="8"/>
      <c r="AG477" s="6"/>
      <c r="AH477" s="6"/>
      <c r="AI477" s="9"/>
      <c r="AJ477" s="9"/>
      <c r="AK477" s="9"/>
      <c r="AL477" s="10"/>
      <c r="AM477" s="9"/>
      <c r="AN477" s="10"/>
      <c r="AO477" s="6"/>
      <c r="AP477" s="6"/>
      <c r="AQ477" s="6"/>
      <c r="AR477" s="11"/>
      <c r="AS477" s="6"/>
      <c r="AT477" s="11"/>
      <c r="AU477" s="11"/>
      <c r="AV477" s="6"/>
      <c r="AW477" s="6"/>
    </row>
    <row r="478" spans="11:49"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7"/>
      <c r="AF478" s="8"/>
      <c r="AG478" s="6"/>
      <c r="AH478" s="6"/>
      <c r="AI478" s="9"/>
      <c r="AJ478" s="9"/>
      <c r="AK478" s="9"/>
      <c r="AL478" s="10"/>
      <c r="AM478" s="9"/>
      <c r="AN478" s="10"/>
      <c r="AO478" s="6"/>
      <c r="AP478" s="6"/>
      <c r="AQ478" s="6"/>
      <c r="AR478" s="11"/>
      <c r="AS478" s="6"/>
      <c r="AT478" s="11"/>
      <c r="AU478" s="11"/>
      <c r="AV478" s="6"/>
      <c r="AW478" s="6"/>
    </row>
    <row r="479" spans="11:49"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7"/>
      <c r="AF479" s="8"/>
      <c r="AG479" s="6"/>
      <c r="AH479" s="6"/>
      <c r="AI479" s="9"/>
      <c r="AJ479" s="9"/>
      <c r="AK479" s="9"/>
      <c r="AL479" s="10"/>
      <c r="AM479" s="9"/>
      <c r="AN479" s="10"/>
      <c r="AO479" s="6"/>
      <c r="AP479" s="6"/>
      <c r="AQ479" s="6"/>
      <c r="AR479" s="11"/>
      <c r="AS479" s="6"/>
      <c r="AT479" s="11"/>
      <c r="AU479" s="11"/>
      <c r="AV479" s="6"/>
      <c r="AW479" s="6"/>
    </row>
    <row r="480" spans="11:49"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7"/>
      <c r="AF480" s="8"/>
      <c r="AG480" s="6"/>
      <c r="AH480" s="6"/>
      <c r="AI480" s="9"/>
      <c r="AJ480" s="9"/>
      <c r="AK480" s="9"/>
      <c r="AL480" s="10"/>
      <c r="AM480" s="9"/>
      <c r="AN480" s="10"/>
      <c r="AO480" s="6"/>
      <c r="AP480" s="6"/>
      <c r="AQ480" s="6"/>
      <c r="AR480" s="11"/>
      <c r="AS480" s="6"/>
      <c r="AT480" s="11"/>
      <c r="AU480" s="11"/>
      <c r="AV480" s="6"/>
      <c r="AW480" s="6"/>
    </row>
    <row r="481" spans="11:49"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7"/>
      <c r="AF481" s="8"/>
      <c r="AG481" s="6"/>
      <c r="AH481" s="6"/>
      <c r="AI481" s="9"/>
      <c r="AJ481" s="9"/>
      <c r="AK481" s="9"/>
      <c r="AL481" s="10"/>
      <c r="AM481" s="9"/>
      <c r="AN481" s="10"/>
      <c r="AO481" s="6"/>
      <c r="AP481" s="6"/>
      <c r="AQ481" s="6"/>
      <c r="AR481" s="11"/>
      <c r="AS481" s="6"/>
      <c r="AT481" s="11"/>
      <c r="AU481" s="11"/>
      <c r="AV481" s="6"/>
      <c r="AW481" s="6"/>
    </row>
    <row r="482" spans="11:49"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7"/>
      <c r="AF482" s="8"/>
      <c r="AG482" s="6"/>
      <c r="AH482" s="6"/>
      <c r="AI482" s="9"/>
      <c r="AJ482" s="9"/>
      <c r="AK482" s="9"/>
      <c r="AL482" s="10"/>
      <c r="AM482" s="9"/>
      <c r="AN482" s="10"/>
      <c r="AO482" s="6"/>
      <c r="AP482" s="6"/>
      <c r="AQ482" s="6"/>
      <c r="AR482" s="11"/>
      <c r="AS482" s="6"/>
      <c r="AT482" s="11"/>
      <c r="AU482" s="11"/>
      <c r="AV482" s="6"/>
      <c r="AW482" s="6"/>
    </row>
    <row r="483" spans="11:49"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7"/>
      <c r="AF483" s="8"/>
      <c r="AG483" s="6"/>
      <c r="AH483" s="6"/>
      <c r="AI483" s="9"/>
      <c r="AJ483" s="9"/>
      <c r="AK483" s="9"/>
      <c r="AL483" s="10"/>
      <c r="AM483" s="9"/>
      <c r="AN483" s="10"/>
      <c r="AO483" s="6"/>
      <c r="AP483" s="6"/>
      <c r="AQ483" s="6"/>
      <c r="AR483" s="11"/>
      <c r="AS483" s="6"/>
      <c r="AT483" s="11"/>
      <c r="AU483" s="11"/>
      <c r="AV483" s="6"/>
      <c r="AW483" s="6"/>
    </row>
    <row r="484" spans="11:49"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7"/>
      <c r="AF484" s="8"/>
      <c r="AG484" s="6"/>
      <c r="AH484" s="6"/>
      <c r="AI484" s="9"/>
      <c r="AJ484" s="9"/>
      <c r="AK484" s="9"/>
      <c r="AL484" s="10"/>
      <c r="AM484" s="9"/>
      <c r="AN484" s="10"/>
      <c r="AO484" s="6"/>
      <c r="AP484" s="6"/>
      <c r="AQ484" s="6"/>
      <c r="AR484" s="11"/>
      <c r="AS484" s="6"/>
      <c r="AT484" s="11"/>
      <c r="AU484" s="11"/>
      <c r="AV484" s="6"/>
      <c r="AW484" s="6"/>
    </row>
    <row r="485" spans="11:49"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7"/>
      <c r="AF485" s="8"/>
      <c r="AG485" s="6"/>
      <c r="AH485" s="6"/>
      <c r="AI485" s="9"/>
      <c r="AJ485" s="9"/>
      <c r="AK485" s="9"/>
      <c r="AL485" s="10"/>
      <c r="AM485" s="9"/>
      <c r="AN485" s="10"/>
      <c r="AO485" s="6"/>
      <c r="AP485" s="6"/>
      <c r="AQ485" s="6"/>
      <c r="AR485" s="11"/>
      <c r="AS485" s="6"/>
      <c r="AT485" s="11"/>
      <c r="AU485" s="11"/>
      <c r="AV485" s="6"/>
      <c r="AW485" s="6"/>
    </row>
    <row r="486" spans="11:49"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7"/>
      <c r="AF486" s="8"/>
      <c r="AG486" s="6"/>
      <c r="AH486" s="6"/>
      <c r="AI486" s="9"/>
      <c r="AJ486" s="9"/>
      <c r="AK486" s="9"/>
      <c r="AL486" s="10"/>
      <c r="AM486" s="9"/>
      <c r="AN486" s="10"/>
      <c r="AO486" s="6"/>
      <c r="AP486" s="6"/>
      <c r="AQ486" s="6"/>
      <c r="AR486" s="11"/>
      <c r="AS486" s="6"/>
      <c r="AT486" s="11"/>
      <c r="AU486" s="11"/>
      <c r="AV486" s="6"/>
      <c r="AW486" s="6"/>
    </row>
    <row r="487" spans="11:49"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7"/>
      <c r="AF487" s="8"/>
      <c r="AG487" s="6"/>
      <c r="AH487" s="6"/>
      <c r="AI487" s="9"/>
      <c r="AJ487" s="9"/>
      <c r="AK487" s="9"/>
      <c r="AL487" s="10"/>
      <c r="AM487" s="9"/>
      <c r="AN487" s="10"/>
      <c r="AO487" s="6"/>
      <c r="AP487" s="6"/>
      <c r="AQ487" s="6"/>
      <c r="AR487" s="11"/>
      <c r="AS487" s="6"/>
      <c r="AT487" s="11"/>
      <c r="AU487" s="11"/>
      <c r="AV487" s="6"/>
      <c r="AW487" s="6"/>
    </row>
    <row r="488" spans="11:49"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7"/>
      <c r="AF488" s="8"/>
      <c r="AG488" s="6"/>
      <c r="AH488" s="6"/>
      <c r="AI488" s="9"/>
      <c r="AJ488" s="9"/>
      <c r="AK488" s="9"/>
      <c r="AL488" s="10"/>
      <c r="AM488" s="9"/>
      <c r="AN488" s="10"/>
      <c r="AO488" s="6"/>
      <c r="AP488" s="6"/>
      <c r="AQ488" s="6"/>
      <c r="AR488" s="11"/>
      <c r="AS488" s="6"/>
      <c r="AT488" s="11"/>
      <c r="AU488" s="11"/>
      <c r="AV488" s="6"/>
      <c r="AW488" s="6"/>
    </row>
    <row r="489" spans="11:49"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7"/>
      <c r="AF489" s="8"/>
      <c r="AG489" s="6"/>
      <c r="AH489" s="6"/>
      <c r="AI489" s="9"/>
      <c r="AJ489" s="9"/>
      <c r="AK489" s="9"/>
      <c r="AL489" s="10"/>
      <c r="AM489" s="9"/>
      <c r="AN489" s="10"/>
      <c r="AO489" s="6"/>
      <c r="AP489" s="6"/>
      <c r="AQ489" s="6"/>
      <c r="AR489" s="11"/>
      <c r="AS489" s="6"/>
      <c r="AT489" s="11"/>
      <c r="AU489" s="11"/>
      <c r="AV489" s="6"/>
      <c r="AW489" s="6"/>
    </row>
    <row r="490" spans="11:49"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7"/>
      <c r="AF490" s="8"/>
      <c r="AG490" s="6"/>
      <c r="AH490" s="6"/>
      <c r="AI490" s="9"/>
      <c r="AJ490" s="9"/>
      <c r="AK490" s="9"/>
      <c r="AL490" s="10"/>
      <c r="AM490" s="9"/>
      <c r="AN490" s="10"/>
      <c r="AO490" s="6"/>
      <c r="AP490" s="6"/>
      <c r="AQ490" s="6"/>
      <c r="AR490" s="11"/>
      <c r="AS490" s="6"/>
      <c r="AT490" s="11"/>
      <c r="AU490" s="11"/>
      <c r="AV490" s="6"/>
      <c r="AW490" s="6"/>
    </row>
    <row r="491" spans="11:49"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7"/>
      <c r="AF491" s="8"/>
      <c r="AG491" s="6"/>
      <c r="AH491" s="6"/>
      <c r="AI491" s="9"/>
      <c r="AJ491" s="9"/>
      <c r="AK491" s="9"/>
      <c r="AL491" s="10"/>
      <c r="AM491" s="9"/>
      <c r="AN491" s="10"/>
      <c r="AO491" s="6"/>
      <c r="AP491" s="6"/>
      <c r="AQ491" s="6"/>
      <c r="AR491" s="11"/>
      <c r="AS491" s="6"/>
      <c r="AT491" s="11"/>
      <c r="AU491" s="11"/>
      <c r="AV491" s="6"/>
      <c r="AW491" s="6"/>
    </row>
    <row r="492" spans="11:49"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7"/>
      <c r="AF492" s="8"/>
      <c r="AG492" s="6"/>
      <c r="AH492" s="6"/>
      <c r="AI492" s="9"/>
      <c r="AJ492" s="9"/>
      <c r="AK492" s="9"/>
      <c r="AL492" s="10"/>
      <c r="AM492" s="9"/>
      <c r="AN492" s="10"/>
      <c r="AO492" s="6"/>
      <c r="AP492" s="6"/>
      <c r="AQ492" s="6"/>
      <c r="AR492" s="11"/>
      <c r="AS492" s="6"/>
      <c r="AT492" s="11"/>
      <c r="AU492" s="11"/>
      <c r="AV492" s="6"/>
      <c r="AW492" s="6"/>
    </row>
    <row r="493" spans="11:49"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7"/>
      <c r="AF493" s="8"/>
      <c r="AG493" s="6"/>
      <c r="AH493" s="6"/>
      <c r="AI493" s="9"/>
      <c r="AJ493" s="9"/>
      <c r="AK493" s="9"/>
      <c r="AL493" s="10"/>
      <c r="AM493" s="9"/>
      <c r="AN493" s="10"/>
      <c r="AO493" s="6"/>
      <c r="AP493" s="6"/>
      <c r="AQ493" s="6"/>
      <c r="AR493" s="11"/>
      <c r="AS493" s="6"/>
      <c r="AT493" s="11"/>
      <c r="AU493" s="11"/>
      <c r="AV493" s="6"/>
      <c r="AW493" s="6"/>
    </row>
    <row r="494" spans="11:49"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7"/>
      <c r="AF494" s="8"/>
      <c r="AG494" s="6"/>
      <c r="AH494" s="6"/>
      <c r="AI494" s="9"/>
      <c r="AJ494" s="9"/>
      <c r="AK494" s="9"/>
      <c r="AL494" s="10"/>
      <c r="AM494" s="9"/>
      <c r="AN494" s="10"/>
      <c r="AO494" s="6"/>
      <c r="AP494" s="6"/>
      <c r="AQ494" s="6"/>
      <c r="AR494" s="11"/>
      <c r="AS494" s="6"/>
      <c r="AT494" s="11"/>
      <c r="AU494" s="11"/>
      <c r="AV494" s="6"/>
      <c r="AW494" s="6"/>
    </row>
    <row r="495" spans="11:49"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7"/>
      <c r="AF495" s="8"/>
      <c r="AG495" s="6"/>
      <c r="AH495" s="6"/>
      <c r="AI495" s="9"/>
      <c r="AJ495" s="9"/>
      <c r="AK495" s="9"/>
      <c r="AL495" s="10"/>
      <c r="AM495" s="9"/>
      <c r="AN495" s="10"/>
      <c r="AO495" s="6"/>
      <c r="AP495" s="6"/>
      <c r="AQ495" s="6"/>
      <c r="AR495" s="11"/>
      <c r="AS495" s="6"/>
      <c r="AT495" s="11"/>
      <c r="AU495" s="11"/>
      <c r="AV495" s="6"/>
      <c r="AW495" s="6"/>
    </row>
    <row r="496" spans="11:49"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7"/>
      <c r="AF496" s="8"/>
      <c r="AG496" s="6"/>
      <c r="AH496" s="6"/>
      <c r="AI496" s="9"/>
      <c r="AJ496" s="9"/>
      <c r="AK496" s="9"/>
      <c r="AL496" s="10"/>
      <c r="AM496" s="9"/>
      <c r="AN496" s="10"/>
      <c r="AO496" s="6"/>
      <c r="AP496" s="6"/>
      <c r="AQ496" s="6"/>
      <c r="AR496" s="11"/>
      <c r="AS496" s="6"/>
      <c r="AT496" s="11"/>
      <c r="AU496" s="11"/>
      <c r="AV496" s="6"/>
      <c r="AW496" s="6"/>
    </row>
    <row r="497" spans="11:49"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7"/>
      <c r="AF497" s="8"/>
      <c r="AG497" s="6"/>
      <c r="AH497" s="6"/>
      <c r="AI497" s="9"/>
      <c r="AJ497" s="9"/>
      <c r="AK497" s="9"/>
      <c r="AL497" s="10"/>
      <c r="AM497" s="9"/>
      <c r="AN497" s="10"/>
      <c r="AO497" s="6"/>
      <c r="AP497" s="6"/>
      <c r="AQ497" s="6"/>
      <c r="AR497" s="11"/>
      <c r="AS497" s="6"/>
      <c r="AT497" s="11"/>
      <c r="AU497" s="11"/>
      <c r="AV497" s="6"/>
      <c r="AW497" s="6"/>
    </row>
    <row r="498" spans="11:49"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7"/>
      <c r="AF498" s="8"/>
      <c r="AG498" s="6"/>
      <c r="AH498" s="6"/>
      <c r="AI498" s="9"/>
      <c r="AJ498" s="9"/>
      <c r="AK498" s="9"/>
      <c r="AL498" s="10"/>
      <c r="AM498" s="9"/>
      <c r="AN498" s="10"/>
      <c r="AO498" s="6"/>
      <c r="AP498" s="6"/>
      <c r="AQ498" s="6"/>
      <c r="AR498" s="11"/>
      <c r="AS498" s="6"/>
      <c r="AT498" s="11"/>
      <c r="AU498" s="11"/>
      <c r="AV498" s="6"/>
      <c r="AW498" s="6"/>
    </row>
    <row r="499" spans="11:49"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7"/>
      <c r="AF499" s="8"/>
      <c r="AG499" s="6"/>
      <c r="AH499" s="6"/>
      <c r="AI499" s="9"/>
      <c r="AJ499" s="9"/>
      <c r="AK499" s="9"/>
      <c r="AL499" s="10"/>
      <c r="AM499" s="9"/>
      <c r="AN499" s="10"/>
      <c r="AO499" s="6"/>
      <c r="AP499" s="6"/>
      <c r="AQ499" s="6"/>
      <c r="AR499" s="11"/>
      <c r="AS499" s="6"/>
      <c r="AT499" s="11"/>
      <c r="AU499" s="11"/>
      <c r="AV499" s="6"/>
      <c r="AW499" s="6"/>
    </row>
    <row r="500" spans="11:49"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7"/>
      <c r="AF500" s="8"/>
      <c r="AG500" s="6"/>
      <c r="AH500" s="6"/>
      <c r="AI500" s="9"/>
      <c r="AJ500" s="9"/>
      <c r="AK500" s="9"/>
      <c r="AL500" s="10"/>
      <c r="AM500" s="9"/>
      <c r="AN500" s="10"/>
      <c r="AO500" s="6"/>
      <c r="AP500" s="6"/>
      <c r="AQ500" s="6"/>
      <c r="AR500" s="11"/>
      <c r="AS500" s="6"/>
      <c r="AT500" s="11"/>
      <c r="AU500" s="11"/>
      <c r="AV500" s="6"/>
      <c r="AW500" s="6"/>
    </row>
    <row r="501" spans="11:49"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7"/>
      <c r="AF501" s="8"/>
      <c r="AG501" s="6"/>
      <c r="AH501" s="6"/>
      <c r="AI501" s="9"/>
      <c r="AJ501" s="9"/>
      <c r="AK501" s="9"/>
      <c r="AL501" s="10"/>
      <c r="AM501" s="9"/>
      <c r="AN501" s="10"/>
      <c r="AO501" s="6"/>
      <c r="AP501" s="6"/>
      <c r="AQ501" s="6"/>
      <c r="AR501" s="11"/>
      <c r="AS501" s="6"/>
      <c r="AT501" s="11"/>
      <c r="AU501" s="11"/>
      <c r="AV501" s="6"/>
      <c r="AW501" s="6"/>
    </row>
    <row r="502" spans="11:49"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7"/>
      <c r="AF502" s="8"/>
      <c r="AG502" s="6"/>
      <c r="AH502" s="6"/>
      <c r="AI502" s="9"/>
      <c r="AJ502" s="9"/>
      <c r="AK502" s="9"/>
      <c r="AL502" s="10"/>
      <c r="AM502" s="9"/>
      <c r="AN502" s="10"/>
      <c r="AO502" s="6"/>
      <c r="AP502" s="6"/>
      <c r="AQ502" s="6"/>
      <c r="AR502" s="11"/>
      <c r="AS502" s="6"/>
      <c r="AT502" s="11"/>
      <c r="AU502" s="11"/>
      <c r="AV502" s="6"/>
      <c r="AW502" s="6"/>
    </row>
    <row r="503" spans="11:49"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7"/>
      <c r="AF503" s="8"/>
      <c r="AG503" s="6"/>
      <c r="AH503" s="6"/>
      <c r="AI503" s="9"/>
      <c r="AJ503" s="9"/>
      <c r="AK503" s="9"/>
      <c r="AL503" s="10"/>
      <c r="AM503" s="9"/>
      <c r="AN503" s="10"/>
      <c r="AO503" s="6"/>
      <c r="AP503" s="6"/>
      <c r="AQ503" s="6"/>
      <c r="AR503" s="11"/>
      <c r="AS503" s="6"/>
      <c r="AT503" s="11"/>
      <c r="AU503" s="11"/>
      <c r="AV503" s="6"/>
      <c r="AW503" s="6"/>
    </row>
    <row r="504" spans="11:49"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7"/>
      <c r="AF504" s="8"/>
      <c r="AG504" s="6"/>
      <c r="AH504" s="6"/>
      <c r="AI504" s="9"/>
      <c r="AJ504" s="9"/>
      <c r="AK504" s="9"/>
      <c r="AL504" s="10"/>
      <c r="AM504" s="9"/>
      <c r="AN504" s="10"/>
      <c r="AO504" s="6"/>
      <c r="AP504" s="6"/>
      <c r="AQ504" s="6"/>
      <c r="AR504" s="11"/>
      <c r="AS504" s="6"/>
      <c r="AT504" s="11"/>
      <c r="AU504" s="11"/>
      <c r="AV504" s="6"/>
      <c r="AW504" s="6"/>
    </row>
    <row r="505" spans="11:49"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7"/>
      <c r="AF505" s="8"/>
      <c r="AG505" s="6"/>
      <c r="AH505" s="6"/>
      <c r="AI505" s="9"/>
      <c r="AJ505" s="9"/>
      <c r="AK505" s="9"/>
      <c r="AL505" s="10"/>
      <c r="AM505" s="9"/>
      <c r="AN505" s="10"/>
      <c r="AO505" s="6"/>
      <c r="AP505" s="6"/>
      <c r="AQ505" s="6"/>
      <c r="AR505" s="11"/>
      <c r="AS505" s="6"/>
      <c r="AT505" s="11"/>
      <c r="AU505" s="11"/>
      <c r="AV505" s="6"/>
      <c r="AW505" s="6"/>
    </row>
    <row r="506" spans="11:49"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7"/>
      <c r="AF506" s="8"/>
      <c r="AG506" s="6"/>
      <c r="AH506" s="6"/>
      <c r="AI506" s="9"/>
      <c r="AJ506" s="9"/>
      <c r="AK506" s="9"/>
      <c r="AL506" s="10"/>
      <c r="AM506" s="9"/>
      <c r="AN506" s="10"/>
      <c r="AO506" s="6"/>
      <c r="AP506" s="6"/>
      <c r="AQ506" s="6"/>
      <c r="AR506" s="11"/>
      <c r="AS506" s="6"/>
      <c r="AT506" s="11"/>
      <c r="AU506" s="11"/>
      <c r="AV506" s="6"/>
      <c r="AW506" s="6"/>
    </row>
    <row r="507" spans="11:49"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7"/>
      <c r="AF507" s="8"/>
      <c r="AG507" s="6"/>
      <c r="AH507" s="6"/>
      <c r="AI507" s="9"/>
      <c r="AJ507" s="9"/>
      <c r="AK507" s="9"/>
      <c r="AL507" s="10"/>
      <c r="AM507" s="9"/>
      <c r="AN507" s="10"/>
      <c r="AO507" s="6"/>
      <c r="AP507" s="6"/>
      <c r="AQ507" s="6"/>
      <c r="AR507" s="11"/>
      <c r="AS507" s="6"/>
      <c r="AT507" s="11"/>
      <c r="AU507" s="11"/>
      <c r="AV507" s="6"/>
      <c r="AW507" s="6"/>
    </row>
    <row r="508" spans="11:49"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7"/>
      <c r="AF508" s="8"/>
      <c r="AG508" s="6"/>
      <c r="AH508" s="6"/>
      <c r="AI508" s="9"/>
      <c r="AJ508" s="9"/>
      <c r="AK508" s="9"/>
      <c r="AL508" s="10"/>
      <c r="AM508" s="9"/>
      <c r="AN508" s="10"/>
      <c r="AO508" s="6"/>
      <c r="AP508" s="6"/>
      <c r="AQ508" s="6"/>
      <c r="AR508" s="11"/>
      <c r="AS508" s="6"/>
      <c r="AT508" s="11"/>
      <c r="AU508" s="11"/>
      <c r="AV508" s="6"/>
      <c r="AW508" s="6"/>
    </row>
    <row r="509" spans="11:49"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7"/>
      <c r="AF509" s="8"/>
      <c r="AG509" s="6"/>
      <c r="AH509" s="6"/>
      <c r="AI509" s="9"/>
      <c r="AJ509" s="9"/>
      <c r="AK509" s="9"/>
      <c r="AL509" s="10"/>
      <c r="AM509" s="9"/>
      <c r="AN509" s="10"/>
      <c r="AO509" s="6"/>
      <c r="AP509" s="6"/>
      <c r="AQ509" s="6"/>
      <c r="AR509" s="11"/>
      <c r="AS509" s="6"/>
      <c r="AT509" s="11"/>
      <c r="AU509" s="11"/>
      <c r="AV509" s="6"/>
      <c r="AW509" s="6"/>
    </row>
    <row r="510" spans="11:49"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7"/>
      <c r="AF510" s="8"/>
      <c r="AG510" s="6"/>
      <c r="AH510" s="6"/>
      <c r="AI510" s="9"/>
      <c r="AJ510" s="9"/>
      <c r="AK510" s="9"/>
      <c r="AL510" s="10"/>
      <c r="AM510" s="9"/>
      <c r="AN510" s="10"/>
      <c r="AO510" s="6"/>
      <c r="AP510" s="6"/>
      <c r="AQ510" s="6"/>
      <c r="AR510" s="11"/>
      <c r="AS510" s="6"/>
      <c r="AT510" s="11"/>
      <c r="AU510" s="11"/>
      <c r="AV510" s="6"/>
      <c r="AW510" s="6"/>
    </row>
    <row r="511" spans="11:49"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7"/>
      <c r="AF511" s="8"/>
      <c r="AG511" s="6"/>
      <c r="AH511" s="6"/>
      <c r="AI511" s="9"/>
      <c r="AJ511" s="9"/>
      <c r="AK511" s="9"/>
      <c r="AL511" s="10"/>
      <c r="AM511" s="9"/>
      <c r="AN511" s="10"/>
      <c r="AO511" s="6"/>
      <c r="AP511" s="6"/>
      <c r="AQ511" s="6"/>
      <c r="AR511" s="11"/>
      <c r="AS511" s="6"/>
      <c r="AT511" s="11"/>
      <c r="AU511" s="11"/>
      <c r="AV511" s="6"/>
      <c r="AW511" s="6"/>
    </row>
    <row r="512" spans="11:49"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7"/>
      <c r="AF512" s="8"/>
      <c r="AG512" s="6"/>
      <c r="AH512" s="6"/>
      <c r="AI512" s="9"/>
      <c r="AJ512" s="9"/>
      <c r="AK512" s="9"/>
      <c r="AL512" s="10"/>
      <c r="AM512" s="9"/>
      <c r="AN512" s="10"/>
      <c r="AO512" s="6"/>
      <c r="AP512" s="6"/>
      <c r="AQ512" s="6"/>
      <c r="AR512" s="11"/>
      <c r="AS512" s="6"/>
      <c r="AT512" s="11"/>
      <c r="AU512" s="11"/>
      <c r="AV512" s="6"/>
      <c r="AW512" s="6"/>
    </row>
    <row r="513" spans="11:49"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7"/>
      <c r="AF513" s="8"/>
      <c r="AG513" s="6"/>
      <c r="AH513" s="6"/>
      <c r="AI513" s="9"/>
      <c r="AJ513" s="9"/>
      <c r="AK513" s="9"/>
      <c r="AL513" s="10"/>
      <c r="AM513" s="9"/>
      <c r="AN513" s="10"/>
      <c r="AO513" s="6"/>
      <c r="AP513" s="6"/>
      <c r="AQ513" s="6"/>
      <c r="AR513" s="11"/>
      <c r="AS513" s="6"/>
      <c r="AT513" s="11"/>
      <c r="AU513" s="11"/>
      <c r="AV513" s="6"/>
      <c r="AW513" s="6"/>
    </row>
    <row r="514" spans="11:49"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7"/>
      <c r="AF514" s="8"/>
      <c r="AG514" s="6"/>
      <c r="AH514" s="6"/>
      <c r="AI514" s="9"/>
      <c r="AJ514" s="9"/>
      <c r="AK514" s="9"/>
      <c r="AL514" s="10"/>
      <c r="AM514" s="9"/>
      <c r="AN514" s="10"/>
      <c r="AO514" s="6"/>
      <c r="AP514" s="6"/>
      <c r="AQ514" s="6"/>
      <c r="AR514" s="11"/>
      <c r="AS514" s="6"/>
      <c r="AT514" s="11"/>
      <c r="AU514" s="11"/>
      <c r="AV514" s="6"/>
      <c r="AW514" s="6"/>
    </row>
    <row r="515" spans="11:49"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7"/>
      <c r="AF515" s="8"/>
      <c r="AG515" s="6"/>
      <c r="AH515" s="6"/>
      <c r="AI515" s="9"/>
      <c r="AJ515" s="9"/>
      <c r="AK515" s="9"/>
      <c r="AL515" s="10"/>
      <c r="AM515" s="9"/>
      <c r="AN515" s="10"/>
      <c r="AO515" s="6"/>
      <c r="AP515" s="6"/>
      <c r="AQ515" s="6"/>
      <c r="AR515" s="11"/>
      <c r="AS515" s="6"/>
      <c r="AT515" s="11"/>
      <c r="AU515" s="11"/>
      <c r="AV515" s="6"/>
      <c r="AW515" s="6"/>
    </row>
    <row r="516" spans="11:49"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7"/>
      <c r="AF516" s="8"/>
      <c r="AG516" s="6"/>
      <c r="AH516" s="6"/>
      <c r="AI516" s="9"/>
      <c r="AJ516" s="9"/>
      <c r="AK516" s="9"/>
      <c r="AL516" s="10"/>
      <c r="AM516" s="9"/>
      <c r="AN516" s="10"/>
      <c r="AO516" s="6"/>
      <c r="AP516" s="6"/>
      <c r="AQ516" s="6"/>
      <c r="AR516" s="11"/>
      <c r="AS516" s="6"/>
      <c r="AT516" s="11"/>
      <c r="AU516" s="11"/>
      <c r="AV516" s="6"/>
      <c r="AW516" s="6"/>
    </row>
    <row r="517" spans="11:49"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7"/>
      <c r="AF517" s="8"/>
      <c r="AG517" s="6"/>
      <c r="AH517" s="6"/>
      <c r="AI517" s="9"/>
      <c r="AJ517" s="9"/>
      <c r="AK517" s="9"/>
      <c r="AL517" s="10"/>
      <c r="AM517" s="9"/>
      <c r="AN517" s="10"/>
      <c r="AO517" s="6"/>
      <c r="AP517" s="6"/>
      <c r="AQ517" s="6"/>
      <c r="AR517" s="11"/>
      <c r="AS517" s="6"/>
      <c r="AT517" s="11"/>
      <c r="AU517" s="11"/>
      <c r="AV517" s="6"/>
      <c r="AW517" s="6"/>
    </row>
    <row r="518" spans="11:49"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7"/>
      <c r="AF518" s="8"/>
      <c r="AG518" s="6"/>
      <c r="AH518" s="6"/>
      <c r="AI518" s="9"/>
      <c r="AJ518" s="9"/>
      <c r="AK518" s="9"/>
      <c r="AL518" s="10"/>
      <c r="AM518" s="9"/>
      <c r="AN518" s="10"/>
      <c r="AO518" s="6"/>
      <c r="AP518" s="6"/>
      <c r="AQ518" s="6"/>
      <c r="AR518" s="11"/>
      <c r="AS518" s="6"/>
      <c r="AT518" s="11"/>
      <c r="AU518" s="11"/>
      <c r="AV518" s="6"/>
      <c r="AW518" s="6"/>
    </row>
    <row r="519" spans="11:49"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7"/>
      <c r="AF519" s="8"/>
      <c r="AG519" s="6"/>
      <c r="AH519" s="6"/>
      <c r="AI519" s="9"/>
      <c r="AJ519" s="9"/>
      <c r="AK519" s="9"/>
      <c r="AL519" s="10"/>
      <c r="AM519" s="9"/>
      <c r="AN519" s="10"/>
      <c r="AO519" s="6"/>
      <c r="AP519" s="6"/>
      <c r="AQ519" s="6"/>
      <c r="AR519" s="11"/>
      <c r="AS519" s="6"/>
      <c r="AT519" s="11"/>
      <c r="AU519" s="11"/>
      <c r="AV519" s="6"/>
      <c r="AW519" s="6"/>
    </row>
    <row r="520" spans="11:49"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7"/>
      <c r="AF520" s="8"/>
      <c r="AG520" s="6"/>
      <c r="AH520" s="6"/>
      <c r="AI520" s="9"/>
      <c r="AJ520" s="9"/>
      <c r="AK520" s="9"/>
      <c r="AL520" s="10"/>
      <c r="AM520" s="9"/>
      <c r="AN520" s="10"/>
      <c r="AO520" s="6"/>
      <c r="AP520" s="6"/>
      <c r="AQ520" s="6"/>
      <c r="AR520" s="11"/>
      <c r="AS520" s="6"/>
      <c r="AT520" s="11"/>
      <c r="AU520" s="11"/>
      <c r="AV520" s="6"/>
      <c r="AW520" s="6"/>
    </row>
    <row r="521" spans="11:49"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7"/>
      <c r="AF521" s="8"/>
      <c r="AG521" s="6"/>
      <c r="AH521" s="6"/>
      <c r="AI521" s="9"/>
      <c r="AJ521" s="9"/>
      <c r="AK521" s="9"/>
      <c r="AL521" s="10"/>
      <c r="AM521" s="9"/>
      <c r="AN521" s="10"/>
      <c r="AO521" s="6"/>
      <c r="AP521" s="6"/>
      <c r="AQ521" s="6"/>
      <c r="AR521" s="11"/>
      <c r="AS521" s="6"/>
      <c r="AT521" s="11"/>
      <c r="AU521" s="11"/>
      <c r="AV521" s="6"/>
      <c r="AW521" s="6"/>
    </row>
    <row r="522" spans="11:49"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7"/>
      <c r="AF522" s="8"/>
      <c r="AG522" s="6"/>
      <c r="AH522" s="6"/>
      <c r="AI522" s="9"/>
      <c r="AJ522" s="9"/>
      <c r="AK522" s="9"/>
      <c r="AL522" s="10"/>
      <c r="AM522" s="9"/>
      <c r="AN522" s="10"/>
      <c r="AO522" s="6"/>
      <c r="AP522" s="6"/>
      <c r="AQ522" s="6"/>
      <c r="AR522" s="11"/>
      <c r="AS522" s="6"/>
      <c r="AT522" s="11"/>
      <c r="AU522" s="11"/>
      <c r="AV522" s="6"/>
      <c r="AW522" s="6"/>
    </row>
    <row r="523" spans="11:49"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7"/>
      <c r="AF523" s="8"/>
      <c r="AG523" s="6"/>
      <c r="AH523" s="6"/>
      <c r="AI523" s="9"/>
      <c r="AJ523" s="9"/>
      <c r="AK523" s="9"/>
      <c r="AL523" s="10"/>
      <c r="AM523" s="9"/>
      <c r="AN523" s="10"/>
      <c r="AO523" s="6"/>
      <c r="AP523" s="6"/>
      <c r="AQ523" s="6"/>
      <c r="AR523" s="11"/>
      <c r="AS523" s="6"/>
      <c r="AT523" s="11"/>
      <c r="AU523" s="11"/>
      <c r="AV523" s="6"/>
      <c r="AW523" s="6"/>
    </row>
    <row r="524" spans="11:49"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7"/>
      <c r="AF524" s="8"/>
      <c r="AG524" s="6"/>
      <c r="AH524" s="6"/>
      <c r="AI524" s="9"/>
      <c r="AJ524" s="9"/>
      <c r="AK524" s="9"/>
      <c r="AL524" s="10"/>
      <c r="AM524" s="9"/>
      <c r="AN524" s="10"/>
      <c r="AO524" s="6"/>
      <c r="AP524" s="6"/>
      <c r="AQ524" s="6"/>
      <c r="AR524" s="11"/>
      <c r="AS524" s="6"/>
      <c r="AT524" s="11"/>
      <c r="AU524" s="11"/>
      <c r="AV524" s="6"/>
      <c r="AW524" s="6"/>
    </row>
    <row r="525" spans="11:49"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7"/>
      <c r="AF525" s="8"/>
      <c r="AG525" s="6"/>
      <c r="AH525" s="6"/>
      <c r="AI525" s="9"/>
      <c r="AJ525" s="9"/>
      <c r="AK525" s="9"/>
      <c r="AL525" s="10"/>
      <c r="AM525" s="9"/>
      <c r="AN525" s="10"/>
      <c r="AO525" s="6"/>
      <c r="AP525" s="6"/>
      <c r="AQ525" s="6"/>
      <c r="AR525" s="11"/>
      <c r="AS525" s="6"/>
      <c r="AT525" s="11"/>
      <c r="AU525" s="11"/>
      <c r="AV525" s="6"/>
      <c r="AW525" s="6"/>
    </row>
    <row r="526" spans="11:49"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7"/>
      <c r="AF526" s="8"/>
      <c r="AG526" s="6"/>
      <c r="AH526" s="6"/>
      <c r="AI526" s="9"/>
      <c r="AJ526" s="9"/>
      <c r="AK526" s="9"/>
      <c r="AL526" s="10"/>
      <c r="AM526" s="9"/>
      <c r="AN526" s="10"/>
      <c r="AO526" s="6"/>
      <c r="AP526" s="6"/>
      <c r="AQ526" s="6"/>
      <c r="AR526" s="11"/>
      <c r="AS526" s="6"/>
      <c r="AT526" s="11"/>
      <c r="AU526" s="11"/>
      <c r="AV526" s="6"/>
      <c r="AW526" s="6"/>
    </row>
    <row r="527" spans="11:49"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7"/>
      <c r="AF527" s="8"/>
      <c r="AG527" s="6"/>
      <c r="AH527" s="6"/>
      <c r="AI527" s="9"/>
      <c r="AJ527" s="9"/>
      <c r="AK527" s="9"/>
      <c r="AL527" s="10"/>
      <c r="AM527" s="9"/>
      <c r="AN527" s="10"/>
      <c r="AO527" s="6"/>
      <c r="AP527" s="6"/>
      <c r="AQ527" s="6"/>
      <c r="AR527" s="11"/>
      <c r="AS527" s="6"/>
      <c r="AT527" s="11"/>
      <c r="AU527" s="11"/>
      <c r="AV527" s="6"/>
      <c r="AW527" s="6"/>
    </row>
    <row r="528" spans="11:49"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7"/>
      <c r="AF528" s="8"/>
      <c r="AG528" s="6"/>
      <c r="AH528" s="6"/>
      <c r="AI528" s="9"/>
      <c r="AJ528" s="9"/>
      <c r="AK528" s="9"/>
      <c r="AL528" s="10"/>
      <c r="AM528" s="9"/>
      <c r="AN528" s="10"/>
      <c r="AO528" s="6"/>
      <c r="AP528" s="6"/>
      <c r="AQ528" s="6"/>
      <c r="AR528" s="11"/>
      <c r="AS528" s="6"/>
      <c r="AT528" s="11"/>
      <c r="AU528" s="11"/>
      <c r="AV528" s="6"/>
      <c r="AW528" s="6"/>
    </row>
    <row r="529" spans="11:49"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7"/>
      <c r="AF529" s="8"/>
      <c r="AG529" s="6"/>
      <c r="AH529" s="6"/>
      <c r="AI529" s="9"/>
      <c r="AJ529" s="9"/>
      <c r="AK529" s="9"/>
      <c r="AL529" s="10"/>
      <c r="AM529" s="9"/>
      <c r="AN529" s="10"/>
      <c r="AO529" s="6"/>
      <c r="AP529" s="6"/>
      <c r="AQ529" s="6"/>
      <c r="AR529" s="11"/>
      <c r="AS529" s="6"/>
      <c r="AT529" s="11"/>
      <c r="AU529" s="11"/>
      <c r="AV529" s="6"/>
      <c r="AW529" s="6"/>
    </row>
    <row r="530" spans="11:49"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7"/>
      <c r="AF530" s="8"/>
      <c r="AG530" s="6"/>
      <c r="AH530" s="6"/>
      <c r="AI530" s="9"/>
      <c r="AJ530" s="9"/>
      <c r="AK530" s="9"/>
      <c r="AL530" s="10"/>
      <c r="AM530" s="9"/>
      <c r="AN530" s="10"/>
      <c r="AO530" s="6"/>
      <c r="AP530" s="6"/>
      <c r="AQ530" s="6"/>
      <c r="AR530" s="11"/>
      <c r="AS530" s="6"/>
      <c r="AT530" s="11"/>
      <c r="AU530" s="11"/>
      <c r="AV530" s="6"/>
      <c r="AW530" s="6"/>
    </row>
    <row r="531" spans="11:49"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7"/>
      <c r="AF531" s="8"/>
      <c r="AG531" s="6"/>
      <c r="AH531" s="6"/>
      <c r="AI531" s="9"/>
      <c r="AJ531" s="9"/>
      <c r="AK531" s="9"/>
      <c r="AL531" s="10"/>
      <c r="AM531" s="9"/>
      <c r="AN531" s="10"/>
      <c r="AO531" s="6"/>
      <c r="AP531" s="6"/>
      <c r="AQ531" s="6"/>
      <c r="AR531" s="11"/>
      <c r="AS531" s="6"/>
      <c r="AT531" s="11"/>
      <c r="AU531" s="11"/>
      <c r="AV531" s="6"/>
      <c r="AW531" s="6"/>
    </row>
    <row r="532" spans="11:49"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7"/>
      <c r="AF532" s="8"/>
      <c r="AG532" s="6"/>
      <c r="AH532" s="6"/>
      <c r="AI532" s="9"/>
      <c r="AJ532" s="9"/>
      <c r="AK532" s="9"/>
      <c r="AL532" s="10"/>
      <c r="AM532" s="9"/>
      <c r="AN532" s="10"/>
      <c r="AO532" s="6"/>
      <c r="AP532" s="6"/>
      <c r="AQ532" s="6"/>
      <c r="AR532" s="11"/>
      <c r="AS532" s="6"/>
      <c r="AT532" s="11"/>
      <c r="AU532" s="11"/>
      <c r="AV532" s="6"/>
      <c r="AW532" s="6"/>
    </row>
    <row r="533" spans="11:49"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7"/>
      <c r="AF533" s="8"/>
      <c r="AG533" s="6"/>
      <c r="AH533" s="6"/>
      <c r="AI533" s="9"/>
      <c r="AJ533" s="9"/>
      <c r="AK533" s="9"/>
      <c r="AL533" s="10"/>
      <c r="AM533" s="9"/>
      <c r="AN533" s="10"/>
      <c r="AO533" s="6"/>
      <c r="AP533" s="6"/>
      <c r="AQ533" s="6"/>
      <c r="AR533" s="11"/>
      <c r="AS533" s="6"/>
      <c r="AT533" s="11"/>
      <c r="AU533" s="11"/>
      <c r="AV533" s="6"/>
      <c r="AW533" s="6"/>
    </row>
    <row r="534" spans="11:49"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7"/>
      <c r="AF534" s="8"/>
      <c r="AG534" s="6"/>
      <c r="AH534" s="6"/>
      <c r="AI534" s="9"/>
      <c r="AJ534" s="9"/>
      <c r="AK534" s="9"/>
      <c r="AL534" s="10"/>
      <c r="AM534" s="9"/>
      <c r="AN534" s="10"/>
      <c r="AO534" s="6"/>
      <c r="AP534" s="6"/>
      <c r="AQ534" s="6"/>
      <c r="AR534" s="11"/>
      <c r="AS534" s="6"/>
      <c r="AT534" s="11"/>
      <c r="AU534" s="11"/>
      <c r="AV534" s="6"/>
      <c r="AW534" s="6"/>
    </row>
    <row r="535" spans="11:49"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7"/>
      <c r="AF535" s="8"/>
      <c r="AG535" s="6"/>
      <c r="AH535" s="6"/>
      <c r="AI535" s="9"/>
      <c r="AJ535" s="9"/>
      <c r="AK535" s="9"/>
      <c r="AL535" s="10"/>
      <c r="AM535" s="9"/>
      <c r="AN535" s="10"/>
      <c r="AO535" s="6"/>
      <c r="AP535" s="6"/>
      <c r="AQ535" s="6"/>
      <c r="AR535" s="11"/>
      <c r="AS535" s="6"/>
      <c r="AT535" s="11"/>
      <c r="AU535" s="11"/>
      <c r="AV535" s="6"/>
      <c r="AW535" s="6"/>
    </row>
    <row r="536" spans="11:49"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7"/>
      <c r="AF536" s="8"/>
      <c r="AG536" s="6"/>
      <c r="AH536" s="6"/>
      <c r="AI536" s="9"/>
      <c r="AJ536" s="9"/>
      <c r="AK536" s="9"/>
      <c r="AL536" s="10"/>
      <c r="AM536" s="9"/>
      <c r="AN536" s="10"/>
      <c r="AO536" s="6"/>
      <c r="AP536" s="6"/>
      <c r="AQ536" s="6"/>
      <c r="AR536" s="11"/>
      <c r="AS536" s="6"/>
      <c r="AT536" s="11"/>
      <c r="AU536" s="11"/>
      <c r="AV536" s="6"/>
      <c r="AW536" s="6"/>
    </row>
    <row r="537" spans="11:49"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7"/>
      <c r="AF537" s="8"/>
      <c r="AG537" s="6"/>
      <c r="AH537" s="6"/>
      <c r="AI537" s="9"/>
      <c r="AJ537" s="9"/>
      <c r="AK537" s="9"/>
      <c r="AL537" s="10"/>
      <c r="AM537" s="9"/>
      <c r="AN537" s="10"/>
      <c r="AO537" s="6"/>
      <c r="AP537" s="6"/>
      <c r="AQ537" s="6"/>
      <c r="AR537" s="11"/>
      <c r="AS537" s="6"/>
      <c r="AT537" s="11"/>
      <c r="AU537" s="11"/>
      <c r="AV537" s="6"/>
      <c r="AW537" s="6"/>
    </row>
    <row r="538" spans="11:49"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7"/>
      <c r="AF538" s="8"/>
      <c r="AG538" s="6"/>
      <c r="AH538" s="6"/>
      <c r="AI538" s="9"/>
      <c r="AJ538" s="9"/>
      <c r="AK538" s="9"/>
      <c r="AL538" s="10"/>
      <c r="AM538" s="9"/>
      <c r="AN538" s="10"/>
      <c r="AO538" s="6"/>
      <c r="AP538" s="6"/>
      <c r="AQ538" s="6"/>
      <c r="AR538" s="11"/>
      <c r="AS538" s="6"/>
      <c r="AT538" s="11"/>
      <c r="AU538" s="11"/>
      <c r="AV538" s="6"/>
      <c r="AW538" s="6"/>
    </row>
    <row r="539" spans="11:49"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7"/>
      <c r="AF539" s="8"/>
      <c r="AG539" s="6"/>
      <c r="AH539" s="6"/>
      <c r="AI539" s="9"/>
      <c r="AJ539" s="9"/>
      <c r="AK539" s="9"/>
      <c r="AL539" s="10"/>
      <c r="AM539" s="9"/>
      <c r="AN539" s="10"/>
      <c r="AO539" s="6"/>
      <c r="AP539" s="6"/>
      <c r="AQ539" s="6"/>
      <c r="AR539" s="11"/>
      <c r="AS539" s="6"/>
      <c r="AT539" s="11"/>
      <c r="AU539" s="11"/>
      <c r="AV539" s="6"/>
      <c r="AW539" s="6"/>
    </row>
    <row r="540" spans="11:49"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7"/>
      <c r="AF540" s="8"/>
      <c r="AG540" s="6"/>
      <c r="AH540" s="6"/>
      <c r="AI540" s="9"/>
      <c r="AJ540" s="9"/>
      <c r="AK540" s="9"/>
      <c r="AL540" s="10"/>
      <c r="AM540" s="9"/>
      <c r="AN540" s="10"/>
      <c r="AO540" s="6"/>
      <c r="AP540" s="6"/>
      <c r="AQ540" s="6"/>
      <c r="AR540" s="11"/>
      <c r="AS540" s="6"/>
      <c r="AT540" s="11"/>
      <c r="AU540" s="11"/>
      <c r="AV540" s="6"/>
      <c r="AW540" s="6"/>
    </row>
    <row r="541" spans="11:49"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7"/>
      <c r="AF541" s="8"/>
      <c r="AG541" s="6"/>
      <c r="AH541" s="6"/>
      <c r="AI541" s="9"/>
      <c r="AJ541" s="9"/>
      <c r="AK541" s="9"/>
      <c r="AL541" s="10"/>
      <c r="AM541" s="9"/>
      <c r="AN541" s="10"/>
      <c r="AO541" s="6"/>
      <c r="AP541" s="6"/>
      <c r="AQ541" s="6"/>
      <c r="AR541" s="11"/>
      <c r="AS541" s="6"/>
      <c r="AT541" s="11"/>
      <c r="AU541" s="11"/>
      <c r="AV541" s="6"/>
      <c r="AW541" s="6"/>
    </row>
    <row r="542" spans="11:49"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7"/>
      <c r="AF542" s="8"/>
      <c r="AG542" s="6"/>
      <c r="AH542" s="6"/>
      <c r="AI542" s="9"/>
      <c r="AJ542" s="9"/>
      <c r="AK542" s="9"/>
      <c r="AL542" s="10"/>
      <c r="AM542" s="9"/>
      <c r="AN542" s="10"/>
      <c r="AO542" s="6"/>
      <c r="AP542" s="6"/>
      <c r="AQ542" s="6"/>
      <c r="AR542" s="11"/>
      <c r="AS542" s="6"/>
      <c r="AT542" s="11"/>
      <c r="AU542" s="11"/>
      <c r="AV542" s="6"/>
      <c r="AW542" s="6"/>
    </row>
    <row r="543" spans="11:49"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7"/>
      <c r="AF543" s="8"/>
      <c r="AG543" s="6"/>
      <c r="AH543" s="6"/>
      <c r="AI543" s="9"/>
      <c r="AJ543" s="9"/>
      <c r="AK543" s="9"/>
      <c r="AL543" s="10"/>
      <c r="AM543" s="9"/>
      <c r="AN543" s="10"/>
      <c r="AO543" s="6"/>
      <c r="AP543" s="6"/>
      <c r="AQ543" s="6"/>
      <c r="AR543" s="11"/>
      <c r="AS543" s="6"/>
      <c r="AT543" s="11"/>
      <c r="AU543" s="11"/>
      <c r="AV543" s="6"/>
      <c r="AW543" s="6"/>
    </row>
    <row r="544" spans="11:49"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7"/>
      <c r="AF544" s="8"/>
      <c r="AG544" s="6"/>
      <c r="AH544" s="6"/>
      <c r="AI544" s="9"/>
      <c r="AJ544" s="9"/>
      <c r="AK544" s="9"/>
      <c r="AL544" s="10"/>
      <c r="AM544" s="9"/>
      <c r="AN544" s="10"/>
      <c r="AO544" s="6"/>
      <c r="AP544" s="6"/>
      <c r="AQ544" s="6"/>
      <c r="AR544" s="11"/>
      <c r="AS544" s="6"/>
      <c r="AT544" s="11"/>
      <c r="AU544" s="11"/>
      <c r="AV544" s="6"/>
      <c r="AW544" s="6"/>
    </row>
    <row r="545" spans="11:49"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7"/>
      <c r="AF545" s="8"/>
      <c r="AG545" s="6"/>
      <c r="AH545" s="6"/>
      <c r="AI545" s="9"/>
      <c r="AJ545" s="9"/>
      <c r="AK545" s="9"/>
      <c r="AL545" s="10"/>
      <c r="AM545" s="9"/>
      <c r="AN545" s="10"/>
      <c r="AO545" s="6"/>
      <c r="AP545" s="6"/>
      <c r="AQ545" s="6"/>
      <c r="AR545" s="11"/>
      <c r="AS545" s="6"/>
      <c r="AT545" s="11"/>
      <c r="AU545" s="11"/>
      <c r="AV545" s="6"/>
      <c r="AW545" s="6"/>
    </row>
    <row r="546" spans="11:49"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7"/>
      <c r="AF546" s="8"/>
      <c r="AG546" s="6"/>
      <c r="AH546" s="6"/>
      <c r="AI546" s="9"/>
      <c r="AJ546" s="9"/>
      <c r="AK546" s="9"/>
      <c r="AL546" s="10"/>
      <c r="AM546" s="9"/>
      <c r="AN546" s="10"/>
      <c r="AO546" s="6"/>
      <c r="AP546" s="6"/>
      <c r="AQ546" s="6"/>
      <c r="AR546" s="11"/>
      <c r="AS546" s="6"/>
      <c r="AT546" s="11"/>
      <c r="AU546" s="11"/>
      <c r="AV546" s="6"/>
      <c r="AW546" s="6"/>
    </row>
    <row r="547" spans="11:49"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7"/>
      <c r="AF547" s="8"/>
      <c r="AG547" s="6"/>
      <c r="AH547" s="6"/>
      <c r="AI547" s="9"/>
      <c r="AJ547" s="9"/>
      <c r="AK547" s="9"/>
      <c r="AL547" s="10"/>
      <c r="AM547" s="9"/>
      <c r="AN547" s="10"/>
      <c r="AO547" s="6"/>
      <c r="AP547" s="6"/>
      <c r="AQ547" s="6"/>
      <c r="AR547" s="11"/>
      <c r="AS547" s="6"/>
      <c r="AT547" s="11"/>
      <c r="AU547" s="11"/>
      <c r="AV547" s="6"/>
      <c r="AW547" s="6"/>
    </row>
    <row r="548" spans="11:49"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7"/>
      <c r="AF548" s="8"/>
      <c r="AG548" s="6"/>
      <c r="AH548" s="6"/>
      <c r="AI548" s="9"/>
      <c r="AJ548" s="9"/>
      <c r="AK548" s="9"/>
      <c r="AL548" s="10"/>
      <c r="AM548" s="9"/>
      <c r="AN548" s="10"/>
      <c r="AO548" s="6"/>
      <c r="AP548" s="6"/>
      <c r="AQ548" s="6"/>
      <c r="AR548" s="11"/>
      <c r="AS548" s="6"/>
      <c r="AT548" s="11"/>
      <c r="AU548" s="11"/>
      <c r="AV548" s="6"/>
      <c r="AW548" s="6"/>
    </row>
    <row r="549" spans="11:49"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7"/>
      <c r="AF549" s="8"/>
      <c r="AG549" s="6"/>
      <c r="AH549" s="6"/>
      <c r="AI549" s="9"/>
      <c r="AJ549" s="9"/>
      <c r="AK549" s="9"/>
      <c r="AL549" s="10"/>
      <c r="AM549" s="9"/>
      <c r="AN549" s="10"/>
      <c r="AO549" s="6"/>
      <c r="AP549" s="6"/>
      <c r="AQ549" s="6"/>
      <c r="AR549" s="11"/>
      <c r="AS549" s="6"/>
      <c r="AT549" s="11"/>
      <c r="AU549" s="11"/>
      <c r="AV549" s="6"/>
      <c r="AW549" s="6"/>
    </row>
    <row r="550" spans="11:49"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7"/>
      <c r="AF550" s="8"/>
      <c r="AG550" s="6"/>
      <c r="AH550" s="6"/>
      <c r="AI550" s="9"/>
      <c r="AJ550" s="9"/>
      <c r="AK550" s="9"/>
      <c r="AL550" s="10"/>
      <c r="AM550" s="9"/>
      <c r="AN550" s="10"/>
      <c r="AO550" s="6"/>
      <c r="AP550" s="6"/>
      <c r="AQ550" s="6"/>
      <c r="AR550" s="11"/>
      <c r="AS550" s="6"/>
      <c r="AT550" s="11"/>
      <c r="AU550" s="11"/>
      <c r="AV550" s="6"/>
      <c r="AW550" s="6"/>
    </row>
    <row r="551" spans="11:49"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7"/>
      <c r="AF551" s="8"/>
      <c r="AG551" s="6"/>
      <c r="AH551" s="6"/>
      <c r="AI551" s="9"/>
      <c r="AJ551" s="9"/>
      <c r="AK551" s="9"/>
      <c r="AL551" s="10"/>
      <c r="AM551" s="9"/>
      <c r="AN551" s="10"/>
      <c r="AO551" s="6"/>
      <c r="AP551" s="6"/>
      <c r="AQ551" s="6"/>
      <c r="AR551" s="11"/>
      <c r="AS551" s="6"/>
      <c r="AT551" s="11"/>
      <c r="AU551" s="11"/>
      <c r="AV551" s="6"/>
      <c r="AW551" s="6"/>
    </row>
    <row r="552" spans="11:49"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7"/>
      <c r="AF552" s="8"/>
      <c r="AG552" s="6"/>
      <c r="AH552" s="6"/>
      <c r="AI552" s="9"/>
      <c r="AJ552" s="9"/>
      <c r="AK552" s="9"/>
      <c r="AL552" s="10"/>
      <c r="AM552" s="9"/>
      <c r="AN552" s="10"/>
      <c r="AO552" s="6"/>
      <c r="AP552" s="6"/>
      <c r="AQ552" s="6"/>
      <c r="AR552" s="11"/>
      <c r="AS552" s="6"/>
      <c r="AT552" s="11"/>
      <c r="AU552" s="11"/>
      <c r="AV552" s="6"/>
      <c r="AW552" s="6"/>
    </row>
    <row r="553" spans="11:49"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7"/>
      <c r="AF553" s="8"/>
      <c r="AG553" s="6"/>
      <c r="AH553" s="6"/>
      <c r="AI553" s="9"/>
      <c r="AJ553" s="9"/>
      <c r="AK553" s="9"/>
      <c r="AL553" s="10"/>
      <c r="AM553" s="9"/>
      <c r="AN553" s="10"/>
      <c r="AO553" s="6"/>
      <c r="AP553" s="6"/>
      <c r="AQ553" s="6"/>
      <c r="AR553" s="11"/>
      <c r="AS553" s="6"/>
      <c r="AT553" s="11"/>
      <c r="AU553" s="11"/>
      <c r="AV553" s="6"/>
      <c r="AW553" s="6"/>
    </row>
    <row r="554" spans="11:49"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7"/>
      <c r="AF554" s="8"/>
      <c r="AG554" s="6"/>
      <c r="AH554" s="6"/>
      <c r="AI554" s="9"/>
      <c r="AJ554" s="9"/>
      <c r="AK554" s="9"/>
      <c r="AL554" s="10"/>
      <c r="AM554" s="9"/>
      <c r="AN554" s="10"/>
      <c r="AO554" s="6"/>
      <c r="AP554" s="6"/>
      <c r="AQ554" s="6"/>
      <c r="AR554" s="11"/>
      <c r="AS554" s="6"/>
      <c r="AT554" s="11"/>
      <c r="AU554" s="11"/>
      <c r="AV554" s="6"/>
      <c r="AW554" s="6"/>
    </row>
    <row r="555" spans="11:49"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7"/>
      <c r="AF555" s="8"/>
      <c r="AG555" s="6"/>
      <c r="AH555" s="6"/>
      <c r="AI555" s="9"/>
      <c r="AJ555" s="9"/>
      <c r="AK555" s="9"/>
      <c r="AL555" s="10"/>
      <c r="AM555" s="9"/>
      <c r="AN555" s="10"/>
      <c r="AO555" s="6"/>
      <c r="AP555" s="6"/>
      <c r="AQ555" s="6"/>
      <c r="AR555" s="11"/>
      <c r="AS555" s="6"/>
      <c r="AT555" s="11"/>
      <c r="AU555" s="11"/>
      <c r="AV555" s="6"/>
      <c r="AW555" s="6"/>
    </row>
    <row r="556" spans="11:49"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7"/>
      <c r="AF556" s="8"/>
      <c r="AG556" s="6"/>
      <c r="AH556" s="6"/>
      <c r="AI556" s="9"/>
      <c r="AJ556" s="9"/>
      <c r="AK556" s="9"/>
      <c r="AL556" s="10"/>
      <c r="AM556" s="9"/>
      <c r="AN556" s="10"/>
      <c r="AO556" s="6"/>
      <c r="AP556" s="6"/>
      <c r="AQ556" s="6"/>
      <c r="AR556" s="11"/>
      <c r="AS556" s="6"/>
      <c r="AT556" s="11"/>
      <c r="AU556" s="11"/>
      <c r="AV556" s="6"/>
      <c r="AW556" s="6"/>
    </row>
    <row r="557" spans="11:49"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7"/>
      <c r="AF557" s="8"/>
      <c r="AG557" s="6"/>
      <c r="AH557" s="6"/>
      <c r="AI557" s="9"/>
      <c r="AJ557" s="9"/>
      <c r="AK557" s="9"/>
      <c r="AL557" s="10"/>
      <c r="AM557" s="9"/>
      <c r="AN557" s="10"/>
      <c r="AO557" s="6"/>
      <c r="AP557" s="6"/>
      <c r="AQ557" s="6"/>
      <c r="AR557" s="11"/>
      <c r="AS557" s="6"/>
      <c r="AT557" s="11"/>
      <c r="AU557" s="11"/>
      <c r="AV557" s="6"/>
      <c r="AW557" s="6"/>
    </row>
    <row r="558" spans="11:49"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7"/>
      <c r="AF558" s="8"/>
      <c r="AG558" s="6"/>
      <c r="AH558" s="6"/>
      <c r="AI558" s="9"/>
      <c r="AJ558" s="9"/>
      <c r="AK558" s="9"/>
      <c r="AL558" s="10"/>
      <c r="AM558" s="9"/>
      <c r="AN558" s="10"/>
      <c r="AO558" s="6"/>
      <c r="AP558" s="6"/>
      <c r="AQ558" s="6"/>
      <c r="AR558" s="11"/>
      <c r="AS558" s="6"/>
      <c r="AT558" s="11"/>
      <c r="AU558" s="11"/>
      <c r="AV558" s="6"/>
      <c r="AW558" s="6"/>
    </row>
    <row r="559" spans="11:49"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7"/>
      <c r="AF559" s="8"/>
      <c r="AG559" s="6"/>
      <c r="AH559" s="6"/>
      <c r="AI559" s="9"/>
      <c r="AJ559" s="9"/>
      <c r="AK559" s="9"/>
      <c r="AL559" s="10"/>
      <c r="AM559" s="9"/>
      <c r="AN559" s="10"/>
      <c r="AO559" s="6"/>
      <c r="AP559" s="6"/>
      <c r="AQ559" s="6"/>
      <c r="AR559" s="11"/>
      <c r="AS559" s="6"/>
      <c r="AT559" s="11"/>
      <c r="AU559" s="11"/>
      <c r="AV559" s="6"/>
      <c r="AW559" s="6"/>
    </row>
    <row r="560" spans="11:49"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7"/>
      <c r="AF560" s="8"/>
      <c r="AG560" s="6"/>
      <c r="AH560" s="6"/>
      <c r="AI560" s="9"/>
      <c r="AJ560" s="9"/>
      <c r="AK560" s="9"/>
      <c r="AL560" s="10"/>
      <c r="AM560" s="9"/>
      <c r="AN560" s="10"/>
      <c r="AO560" s="6"/>
      <c r="AP560" s="6"/>
      <c r="AQ560" s="6"/>
      <c r="AR560" s="11"/>
      <c r="AS560" s="6"/>
      <c r="AT560" s="11"/>
      <c r="AU560" s="11"/>
      <c r="AV560" s="6"/>
      <c r="AW560" s="6"/>
    </row>
    <row r="561" spans="11:49"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7"/>
      <c r="AF561" s="8"/>
      <c r="AG561" s="6"/>
      <c r="AH561" s="6"/>
      <c r="AI561" s="9"/>
      <c r="AJ561" s="9"/>
      <c r="AK561" s="9"/>
      <c r="AL561" s="10"/>
      <c r="AM561" s="9"/>
      <c r="AN561" s="10"/>
      <c r="AO561" s="6"/>
      <c r="AP561" s="6"/>
      <c r="AQ561" s="6"/>
      <c r="AR561" s="11"/>
      <c r="AS561" s="6"/>
      <c r="AT561" s="11"/>
      <c r="AU561" s="11"/>
      <c r="AV561" s="6"/>
      <c r="AW561" s="6"/>
    </row>
    <row r="562" spans="11:49"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7"/>
      <c r="AF562" s="8"/>
      <c r="AG562" s="6"/>
      <c r="AH562" s="6"/>
      <c r="AI562" s="9"/>
      <c r="AJ562" s="9"/>
      <c r="AK562" s="9"/>
      <c r="AL562" s="10"/>
      <c r="AM562" s="9"/>
      <c r="AN562" s="10"/>
      <c r="AO562" s="6"/>
      <c r="AP562" s="6"/>
      <c r="AQ562" s="6"/>
      <c r="AR562" s="11"/>
      <c r="AS562" s="6"/>
      <c r="AT562" s="11"/>
      <c r="AU562" s="11"/>
      <c r="AV562" s="6"/>
      <c r="AW562" s="6"/>
    </row>
    <row r="563" spans="11:49"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7"/>
      <c r="AF563" s="8"/>
      <c r="AG563" s="6"/>
      <c r="AH563" s="6"/>
      <c r="AI563" s="9"/>
      <c r="AJ563" s="9"/>
      <c r="AK563" s="9"/>
      <c r="AL563" s="10"/>
      <c r="AM563" s="9"/>
      <c r="AN563" s="10"/>
      <c r="AO563" s="6"/>
      <c r="AP563" s="6"/>
      <c r="AQ563" s="6"/>
      <c r="AR563" s="11"/>
      <c r="AS563" s="6"/>
      <c r="AT563" s="11"/>
      <c r="AU563" s="11"/>
      <c r="AV563" s="6"/>
      <c r="AW563" s="6"/>
    </row>
    <row r="564" spans="11:49"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7"/>
      <c r="AF564" s="8"/>
      <c r="AG564" s="6"/>
      <c r="AH564" s="6"/>
      <c r="AI564" s="9"/>
      <c r="AJ564" s="9"/>
      <c r="AK564" s="9"/>
      <c r="AL564" s="10"/>
      <c r="AM564" s="9"/>
      <c r="AN564" s="10"/>
      <c r="AO564" s="6"/>
      <c r="AP564" s="6"/>
      <c r="AQ564" s="6"/>
      <c r="AR564" s="11"/>
      <c r="AS564" s="6"/>
      <c r="AT564" s="11"/>
      <c r="AU564" s="11"/>
      <c r="AV564" s="6"/>
      <c r="AW564" s="6"/>
    </row>
    <row r="565" spans="11:49"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7"/>
      <c r="AF565" s="8"/>
      <c r="AG565" s="6"/>
      <c r="AH565" s="6"/>
      <c r="AI565" s="9"/>
      <c r="AJ565" s="9"/>
      <c r="AK565" s="9"/>
      <c r="AL565" s="10"/>
      <c r="AM565" s="9"/>
      <c r="AN565" s="10"/>
      <c r="AO565" s="6"/>
      <c r="AP565" s="6"/>
      <c r="AQ565" s="6"/>
      <c r="AR565" s="11"/>
      <c r="AS565" s="6"/>
      <c r="AT565" s="11"/>
      <c r="AU565" s="11"/>
      <c r="AV565" s="6"/>
      <c r="AW565" s="6"/>
    </row>
    <row r="566" spans="11:49"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7"/>
      <c r="AF566" s="8"/>
      <c r="AG566" s="6"/>
      <c r="AH566" s="6"/>
      <c r="AI566" s="9"/>
      <c r="AJ566" s="9"/>
      <c r="AK566" s="9"/>
      <c r="AL566" s="10"/>
      <c r="AM566" s="9"/>
      <c r="AN566" s="10"/>
      <c r="AO566" s="6"/>
      <c r="AP566" s="6"/>
      <c r="AQ566" s="6"/>
      <c r="AR566" s="11"/>
      <c r="AS566" s="6"/>
      <c r="AT566" s="11"/>
      <c r="AU566" s="11"/>
      <c r="AV566" s="6"/>
      <c r="AW566" s="6"/>
    </row>
    <row r="567" spans="11:49"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7"/>
      <c r="AF567" s="8"/>
      <c r="AG567" s="6"/>
      <c r="AH567" s="6"/>
      <c r="AI567" s="9"/>
      <c r="AJ567" s="9"/>
      <c r="AK567" s="9"/>
      <c r="AL567" s="10"/>
      <c r="AM567" s="9"/>
      <c r="AN567" s="10"/>
      <c r="AO567" s="6"/>
      <c r="AP567" s="6"/>
      <c r="AQ567" s="6"/>
      <c r="AR567" s="11"/>
      <c r="AS567" s="6"/>
      <c r="AT567" s="11"/>
      <c r="AU567" s="11"/>
      <c r="AV567" s="6"/>
      <c r="AW567" s="6"/>
    </row>
    <row r="568" spans="11:49"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7"/>
      <c r="AF568" s="8"/>
      <c r="AG568" s="6"/>
      <c r="AH568" s="6"/>
      <c r="AI568" s="9"/>
      <c r="AJ568" s="9"/>
      <c r="AK568" s="9"/>
      <c r="AL568" s="10"/>
      <c r="AM568" s="9"/>
      <c r="AN568" s="10"/>
      <c r="AO568" s="6"/>
      <c r="AP568" s="6"/>
      <c r="AQ568" s="6"/>
      <c r="AR568" s="11"/>
      <c r="AS568" s="6"/>
      <c r="AT568" s="11"/>
      <c r="AU568" s="11"/>
      <c r="AV568" s="6"/>
      <c r="AW568" s="6"/>
    </row>
    <row r="569" spans="11:49"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7"/>
      <c r="AF569" s="8"/>
      <c r="AG569" s="6"/>
      <c r="AH569" s="6"/>
      <c r="AI569" s="9"/>
      <c r="AJ569" s="9"/>
      <c r="AK569" s="9"/>
      <c r="AL569" s="10"/>
      <c r="AM569" s="9"/>
      <c r="AN569" s="10"/>
      <c r="AO569" s="6"/>
      <c r="AP569" s="6"/>
      <c r="AQ569" s="6"/>
      <c r="AR569" s="11"/>
      <c r="AS569" s="6"/>
      <c r="AT569" s="11"/>
      <c r="AU569" s="11"/>
      <c r="AV569" s="6"/>
      <c r="AW569" s="6"/>
    </row>
    <row r="570" spans="11:49"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7"/>
      <c r="AF570" s="8"/>
      <c r="AG570" s="6"/>
      <c r="AH570" s="6"/>
      <c r="AI570" s="9"/>
      <c r="AJ570" s="9"/>
      <c r="AK570" s="9"/>
      <c r="AL570" s="10"/>
      <c r="AM570" s="9"/>
      <c r="AN570" s="10"/>
      <c r="AO570" s="6"/>
      <c r="AP570" s="6"/>
      <c r="AQ570" s="6"/>
      <c r="AR570" s="11"/>
      <c r="AS570" s="6"/>
      <c r="AT570" s="11"/>
      <c r="AU570" s="11"/>
      <c r="AV570" s="6"/>
      <c r="AW570" s="6"/>
    </row>
    <row r="571" spans="11:49"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7"/>
      <c r="AF571" s="8"/>
      <c r="AG571" s="6"/>
      <c r="AH571" s="6"/>
      <c r="AI571" s="9"/>
      <c r="AJ571" s="9"/>
      <c r="AK571" s="9"/>
      <c r="AL571" s="10"/>
      <c r="AM571" s="9"/>
      <c r="AN571" s="10"/>
      <c r="AO571" s="6"/>
      <c r="AP571" s="6"/>
      <c r="AQ571" s="6"/>
      <c r="AR571" s="11"/>
      <c r="AS571" s="6"/>
      <c r="AT571" s="11"/>
      <c r="AU571" s="11"/>
      <c r="AV571" s="6"/>
      <c r="AW571" s="6"/>
    </row>
    <row r="572" spans="11:49"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7"/>
      <c r="AF572" s="8"/>
      <c r="AG572" s="6"/>
      <c r="AH572" s="6"/>
      <c r="AI572" s="9"/>
      <c r="AJ572" s="9"/>
      <c r="AK572" s="9"/>
      <c r="AL572" s="10"/>
      <c r="AM572" s="9"/>
      <c r="AN572" s="10"/>
      <c r="AO572" s="6"/>
      <c r="AP572" s="6"/>
      <c r="AQ572" s="6"/>
      <c r="AR572" s="11"/>
      <c r="AS572" s="6"/>
      <c r="AT572" s="11"/>
      <c r="AU572" s="11"/>
      <c r="AV572" s="6"/>
      <c r="AW572" s="6"/>
    </row>
    <row r="573" spans="11:49"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7"/>
      <c r="AF573" s="8"/>
      <c r="AG573" s="6"/>
      <c r="AH573" s="6"/>
      <c r="AI573" s="9"/>
      <c r="AJ573" s="9"/>
      <c r="AK573" s="9"/>
      <c r="AL573" s="10"/>
      <c r="AM573" s="9"/>
      <c r="AN573" s="10"/>
      <c r="AO573" s="6"/>
      <c r="AP573" s="6"/>
      <c r="AQ573" s="6"/>
      <c r="AR573" s="11"/>
      <c r="AS573" s="6"/>
      <c r="AT573" s="11"/>
      <c r="AU573" s="11"/>
      <c r="AV573" s="6"/>
      <c r="AW573" s="6"/>
    </row>
    <row r="574" spans="11:49"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7"/>
      <c r="AF574" s="8"/>
      <c r="AG574" s="6"/>
      <c r="AH574" s="6"/>
      <c r="AI574" s="9"/>
      <c r="AJ574" s="9"/>
      <c r="AK574" s="9"/>
      <c r="AL574" s="10"/>
      <c r="AM574" s="9"/>
      <c r="AN574" s="10"/>
      <c r="AO574" s="6"/>
      <c r="AP574" s="6"/>
      <c r="AQ574" s="6"/>
      <c r="AR574" s="11"/>
      <c r="AS574" s="6"/>
      <c r="AT574" s="11"/>
      <c r="AU574" s="11"/>
      <c r="AV574" s="6"/>
      <c r="AW574" s="6"/>
    </row>
    <row r="575" spans="11:49"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7"/>
      <c r="AF575" s="8"/>
      <c r="AG575" s="6"/>
      <c r="AH575" s="6"/>
      <c r="AI575" s="9"/>
      <c r="AJ575" s="9"/>
      <c r="AK575" s="9"/>
      <c r="AL575" s="10"/>
      <c r="AM575" s="9"/>
      <c r="AN575" s="10"/>
      <c r="AO575" s="6"/>
      <c r="AP575" s="6"/>
      <c r="AQ575" s="6"/>
      <c r="AR575" s="11"/>
      <c r="AS575" s="6"/>
      <c r="AT575" s="11"/>
      <c r="AU575" s="11"/>
      <c r="AV575" s="6"/>
      <c r="AW575" s="6"/>
    </row>
    <row r="576" spans="11:49"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7"/>
      <c r="AF576" s="8"/>
      <c r="AG576" s="6"/>
      <c r="AH576" s="6"/>
      <c r="AI576" s="9"/>
      <c r="AJ576" s="9"/>
      <c r="AK576" s="9"/>
      <c r="AL576" s="10"/>
      <c r="AM576" s="9"/>
      <c r="AN576" s="10"/>
      <c r="AO576" s="6"/>
      <c r="AP576" s="6"/>
      <c r="AQ576" s="6"/>
      <c r="AR576" s="11"/>
      <c r="AS576" s="6"/>
      <c r="AT576" s="11"/>
      <c r="AU576" s="11"/>
      <c r="AV576" s="6"/>
      <c r="AW576" s="6"/>
    </row>
    <row r="577" spans="11:49"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7"/>
      <c r="AF577" s="8"/>
      <c r="AG577" s="6"/>
      <c r="AH577" s="6"/>
      <c r="AI577" s="9"/>
      <c r="AJ577" s="9"/>
      <c r="AK577" s="9"/>
      <c r="AL577" s="10"/>
      <c r="AM577" s="9"/>
      <c r="AN577" s="10"/>
      <c r="AO577" s="6"/>
      <c r="AP577" s="6"/>
      <c r="AQ577" s="6"/>
      <c r="AR577" s="11"/>
      <c r="AS577" s="6"/>
      <c r="AT577" s="11"/>
      <c r="AU577" s="11"/>
      <c r="AV577" s="6"/>
      <c r="AW577" s="6"/>
    </row>
    <row r="578" spans="11:49"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7"/>
      <c r="AF578" s="8"/>
      <c r="AG578" s="6"/>
      <c r="AH578" s="6"/>
      <c r="AI578" s="9"/>
      <c r="AJ578" s="9"/>
      <c r="AK578" s="9"/>
      <c r="AL578" s="10"/>
      <c r="AM578" s="9"/>
      <c r="AN578" s="10"/>
      <c r="AO578" s="6"/>
      <c r="AP578" s="6"/>
      <c r="AQ578" s="6"/>
      <c r="AR578" s="11"/>
      <c r="AS578" s="6"/>
      <c r="AT578" s="11"/>
      <c r="AU578" s="11"/>
      <c r="AV578" s="6"/>
      <c r="AW578" s="6"/>
    </row>
    <row r="579" spans="11:49"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7"/>
      <c r="AF579" s="8"/>
      <c r="AG579" s="6"/>
      <c r="AH579" s="6"/>
      <c r="AI579" s="9"/>
      <c r="AJ579" s="9"/>
      <c r="AK579" s="9"/>
      <c r="AL579" s="10"/>
      <c r="AM579" s="9"/>
      <c r="AN579" s="10"/>
      <c r="AO579" s="6"/>
      <c r="AP579" s="6"/>
      <c r="AQ579" s="6"/>
      <c r="AR579" s="11"/>
      <c r="AS579" s="6"/>
      <c r="AT579" s="11"/>
      <c r="AU579" s="11"/>
      <c r="AV579" s="6"/>
      <c r="AW579" s="6"/>
    </row>
    <row r="580" spans="11:49"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7"/>
      <c r="AF580" s="8"/>
      <c r="AG580" s="6"/>
      <c r="AH580" s="6"/>
      <c r="AI580" s="9"/>
      <c r="AJ580" s="9"/>
      <c r="AK580" s="9"/>
      <c r="AL580" s="10"/>
      <c r="AM580" s="9"/>
      <c r="AN580" s="10"/>
      <c r="AO580" s="6"/>
      <c r="AP580" s="6"/>
      <c r="AQ580" s="6"/>
      <c r="AR580" s="11"/>
      <c r="AS580" s="6"/>
      <c r="AT580" s="11"/>
      <c r="AU580" s="11"/>
      <c r="AV580" s="6"/>
      <c r="AW580" s="6"/>
    </row>
    <row r="581" spans="11:49"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7"/>
      <c r="AF581" s="8"/>
      <c r="AG581" s="6"/>
      <c r="AH581" s="6"/>
      <c r="AI581" s="9"/>
      <c r="AJ581" s="9"/>
      <c r="AK581" s="9"/>
      <c r="AL581" s="10"/>
      <c r="AM581" s="9"/>
      <c r="AN581" s="10"/>
      <c r="AO581" s="6"/>
      <c r="AP581" s="6"/>
      <c r="AQ581" s="6"/>
      <c r="AR581" s="11"/>
      <c r="AS581" s="6"/>
      <c r="AT581" s="11"/>
      <c r="AU581" s="11"/>
      <c r="AV581" s="6"/>
      <c r="AW581" s="6"/>
    </row>
    <row r="582" spans="11:49"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7"/>
      <c r="AF582" s="8"/>
      <c r="AG582" s="6"/>
      <c r="AH582" s="6"/>
      <c r="AI582" s="9"/>
      <c r="AJ582" s="9"/>
      <c r="AK582" s="9"/>
      <c r="AL582" s="10"/>
      <c r="AM582" s="9"/>
      <c r="AN582" s="10"/>
      <c r="AO582" s="6"/>
      <c r="AP582" s="6"/>
      <c r="AQ582" s="6"/>
      <c r="AR582" s="11"/>
      <c r="AS582" s="6"/>
      <c r="AT582" s="11"/>
      <c r="AU582" s="11"/>
      <c r="AV582" s="6"/>
      <c r="AW582" s="6"/>
    </row>
    <row r="583" spans="11:49"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7"/>
      <c r="AF583" s="8"/>
      <c r="AG583" s="6"/>
      <c r="AH583" s="6"/>
      <c r="AI583" s="9"/>
      <c r="AJ583" s="9"/>
      <c r="AK583" s="9"/>
      <c r="AL583" s="10"/>
      <c r="AM583" s="9"/>
      <c r="AN583" s="10"/>
      <c r="AO583" s="6"/>
      <c r="AP583" s="6"/>
      <c r="AQ583" s="6"/>
      <c r="AR583" s="11"/>
      <c r="AS583" s="6"/>
      <c r="AT583" s="11"/>
      <c r="AU583" s="11"/>
      <c r="AV583" s="6"/>
      <c r="AW583" s="6"/>
    </row>
    <row r="584" spans="11:49"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7"/>
      <c r="AF584" s="8"/>
      <c r="AG584" s="6"/>
      <c r="AH584" s="6"/>
      <c r="AI584" s="9"/>
      <c r="AJ584" s="9"/>
      <c r="AK584" s="9"/>
      <c r="AL584" s="10"/>
      <c r="AM584" s="9"/>
      <c r="AN584" s="10"/>
      <c r="AO584" s="6"/>
      <c r="AP584" s="6"/>
      <c r="AQ584" s="6"/>
      <c r="AR584" s="11"/>
      <c r="AS584" s="6"/>
      <c r="AT584" s="11"/>
      <c r="AU584" s="11"/>
      <c r="AV584" s="6"/>
      <c r="AW584" s="6"/>
    </row>
    <row r="585" spans="11:49"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7"/>
      <c r="AF585" s="8"/>
      <c r="AG585" s="6"/>
      <c r="AH585" s="6"/>
      <c r="AI585" s="9"/>
      <c r="AJ585" s="9"/>
      <c r="AK585" s="9"/>
      <c r="AL585" s="10"/>
      <c r="AM585" s="9"/>
      <c r="AN585" s="10"/>
      <c r="AO585" s="6"/>
      <c r="AP585" s="6"/>
      <c r="AQ585" s="6"/>
      <c r="AR585" s="11"/>
      <c r="AS585" s="6"/>
      <c r="AT585" s="11"/>
      <c r="AU585" s="11"/>
      <c r="AV585" s="6"/>
      <c r="AW585" s="6"/>
    </row>
    <row r="586" spans="11:49"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7"/>
      <c r="AF586" s="8"/>
      <c r="AG586" s="6"/>
      <c r="AH586" s="6"/>
      <c r="AI586" s="9"/>
      <c r="AJ586" s="9"/>
      <c r="AK586" s="9"/>
      <c r="AL586" s="10"/>
      <c r="AM586" s="9"/>
      <c r="AN586" s="10"/>
      <c r="AO586" s="6"/>
      <c r="AP586" s="6"/>
      <c r="AQ586" s="6"/>
      <c r="AR586" s="11"/>
      <c r="AS586" s="6"/>
      <c r="AT586" s="11"/>
      <c r="AU586" s="11"/>
      <c r="AV586" s="6"/>
      <c r="AW586" s="6"/>
    </row>
    <row r="587" spans="11:49"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7"/>
      <c r="AF587" s="8"/>
      <c r="AG587" s="6"/>
      <c r="AH587" s="6"/>
      <c r="AI587" s="9"/>
      <c r="AJ587" s="9"/>
      <c r="AK587" s="9"/>
      <c r="AL587" s="10"/>
      <c r="AM587" s="9"/>
      <c r="AN587" s="10"/>
      <c r="AO587" s="6"/>
      <c r="AP587" s="6"/>
      <c r="AQ587" s="6"/>
      <c r="AR587" s="11"/>
      <c r="AS587" s="6"/>
      <c r="AT587" s="11"/>
      <c r="AU587" s="11"/>
      <c r="AV587" s="6"/>
      <c r="AW587" s="6"/>
    </row>
    <row r="588" spans="11:49"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7"/>
      <c r="AF588" s="8"/>
      <c r="AG588" s="6"/>
      <c r="AH588" s="6"/>
      <c r="AI588" s="9"/>
      <c r="AJ588" s="9"/>
      <c r="AK588" s="9"/>
      <c r="AL588" s="10"/>
      <c r="AM588" s="9"/>
      <c r="AN588" s="10"/>
      <c r="AO588" s="6"/>
      <c r="AP588" s="6"/>
      <c r="AQ588" s="6"/>
      <c r="AR588" s="11"/>
      <c r="AS588" s="6"/>
      <c r="AT588" s="11"/>
      <c r="AU588" s="11"/>
      <c r="AV588" s="6"/>
      <c r="AW588" s="6"/>
    </row>
    <row r="589" spans="11:49"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7"/>
      <c r="AF589" s="8"/>
      <c r="AG589" s="6"/>
      <c r="AH589" s="6"/>
      <c r="AI589" s="9"/>
      <c r="AJ589" s="9"/>
      <c r="AK589" s="9"/>
      <c r="AL589" s="10"/>
      <c r="AM589" s="9"/>
      <c r="AN589" s="10"/>
      <c r="AO589" s="6"/>
      <c r="AP589" s="6"/>
      <c r="AQ589" s="6"/>
      <c r="AR589" s="11"/>
      <c r="AS589" s="6"/>
      <c r="AT589" s="11"/>
      <c r="AU589" s="11"/>
      <c r="AV589" s="6"/>
      <c r="AW589" s="6"/>
    </row>
    <row r="590" spans="11:49"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7"/>
      <c r="AF590" s="8"/>
      <c r="AG590" s="6"/>
      <c r="AH590" s="6"/>
      <c r="AI590" s="9"/>
      <c r="AJ590" s="9"/>
      <c r="AK590" s="9"/>
      <c r="AL590" s="10"/>
      <c r="AM590" s="9"/>
      <c r="AN590" s="10"/>
      <c r="AO590" s="6"/>
      <c r="AP590" s="6"/>
      <c r="AQ590" s="6"/>
      <c r="AR590" s="11"/>
      <c r="AS590" s="6"/>
      <c r="AT590" s="11"/>
      <c r="AU590" s="11"/>
      <c r="AV590" s="6"/>
      <c r="AW590" s="6"/>
    </row>
    <row r="591" spans="11:49"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7"/>
      <c r="AF591" s="8"/>
      <c r="AG591" s="6"/>
      <c r="AH591" s="6"/>
      <c r="AI591" s="9"/>
      <c r="AJ591" s="9"/>
      <c r="AK591" s="9"/>
      <c r="AL591" s="10"/>
      <c r="AM591" s="9"/>
      <c r="AN591" s="10"/>
      <c r="AO591" s="6"/>
      <c r="AP591" s="6"/>
      <c r="AQ591" s="6"/>
      <c r="AR591" s="11"/>
      <c r="AS591" s="6"/>
      <c r="AT591" s="11"/>
      <c r="AU591" s="11"/>
      <c r="AV591" s="6"/>
      <c r="AW591" s="6"/>
    </row>
    <row r="592" spans="11:49"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7"/>
      <c r="AF592" s="8"/>
      <c r="AG592" s="6"/>
      <c r="AH592" s="6"/>
      <c r="AI592" s="9"/>
      <c r="AJ592" s="9"/>
      <c r="AK592" s="9"/>
      <c r="AL592" s="10"/>
      <c r="AM592" s="9"/>
      <c r="AN592" s="10"/>
      <c r="AO592" s="6"/>
      <c r="AP592" s="6"/>
      <c r="AQ592" s="6"/>
      <c r="AR592" s="11"/>
      <c r="AS592" s="6"/>
      <c r="AT592" s="11"/>
      <c r="AU592" s="11"/>
      <c r="AV592" s="6"/>
      <c r="AW592" s="6"/>
    </row>
    <row r="593" spans="11:49"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7"/>
      <c r="AF593" s="8"/>
      <c r="AG593" s="6"/>
      <c r="AH593" s="6"/>
      <c r="AI593" s="9"/>
      <c r="AJ593" s="9"/>
      <c r="AK593" s="9"/>
      <c r="AL593" s="10"/>
      <c r="AM593" s="9"/>
      <c r="AN593" s="10"/>
      <c r="AO593" s="6"/>
      <c r="AP593" s="6"/>
      <c r="AQ593" s="6"/>
      <c r="AR593" s="11"/>
      <c r="AS593" s="6"/>
      <c r="AT593" s="11"/>
      <c r="AU593" s="11"/>
      <c r="AV593" s="6"/>
      <c r="AW593" s="6"/>
    </row>
    <row r="594" spans="11:49"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7"/>
      <c r="AF594" s="8"/>
      <c r="AG594" s="6"/>
      <c r="AH594" s="6"/>
      <c r="AI594" s="9"/>
      <c r="AJ594" s="9"/>
      <c r="AK594" s="9"/>
      <c r="AL594" s="10"/>
      <c r="AM594" s="9"/>
      <c r="AN594" s="10"/>
      <c r="AO594" s="6"/>
      <c r="AP594" s="6"/>
      <c r="AQ594" s="6"/>
      <c r="AR594" s="11"/>
      <c r="AS594" s="6"/>
      <c r="AT594" s="11"/>
      <c r="AU594" s="11"/>
      <c r="AV594" s="6"/>
      <c r="AW594" s="6"/>
    </row>
    <row r="595" spans="11:49"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7"/>
      <c r="AF595" s="8"/>
      <c r="AG595" s="6"/>
      <c r="AH595" s="6"/>
      <c r="AI595" s="9"/>
      <c r="AJ595" s="9"/>
      <c r="AK595" s="9"/>
      <c r="AL595" s="10"/>
      <c r="AM595" s="9"/>
      <c r="AN595" s="10"/>
      <c r="AO595" s="6"/>
      <c r="AP595" s="6"/>
      <c r="AQ595" s="6"/>
      <c r="AR595" s="11"/>
      <c r="AS595" s="6"/>
      <c r="AT595" s="11"/>
      <c r="AU595" s="11"/>
      <c r="AV595" s="6"/>
      <c r="AW595" s="6"/>
    </row>
    <row r="596" spans="11:49"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7"/>
      <c r="AF596" s="8"/>
      <c r="AG596" s="6"/>
      <c r="AH596" s="6"/>
      <c r="AI596" s="9"/>
      <c r="AJ596" s="9"/>
      <c r="AK596" s="9"/>
      <c r="AL596" s="10"/>
      <c r="AM596" s="9"/>
      <c r="AN596" s="10"/>
      <c r="AO596" s="6"/>
      <c r="AP596" s="6"/>
      <c r="AQ596" s="6"/>
      <c r="AR596" s="11"/>
      <c r="AS596" s="6"/>
      <c r="AT596" s="11"/>
      <c r="AU596" s="11"/>
      <c r="AV596" s="6"/>
      <c r="AW596" s="6"/>
    </row>
    <row r="597" spans="11:49"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7"/>
      <c r="AF597" s="8"/>
      <c r="AG597" s="6"/>
      <c r="AH597" s="6"/>
      <c r="AI597" s="9"/>
      <c r="AJ597" s="9"/>
      <c r="AK597" s="9"/>
      <c r="AL597" s="10"/>
      <c r="AM597" s="9"/>
      <c r="AN597" s="10"/>
      <c r="AO597" s="6"/>
      <c r="AP597" s="6"/>
      <c r="AQ597" s="6"/>
      <c r="AR597" s="11"/>
      <c r="AS597" s="6"/>
      <c r="AT597" s="11"/>
      <c r="AU597" s="11"/>
      <c r="AV597" s="6"/>
      <c r="AW597" s="6"/>
    </row>
    <row r="598" spans="11:49"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7"/>
      <c r="AF598" s="8"/>
      <c r="AG598" s="6"/>
      <c r="AH598" s="6"/>
      <c r="AI598" s="9"/>
      <c r="AJ598" s="9"/>
      <c r="AK598" s="9"/>
      <c r="AL598" s="10"/>
      <c r="AM598" s="9"/>
      <c r="AN598" s="10"/>
      <c r="AO598" s="6"/>
      <c r="AP598" s="6"/>
      <c r="AQ598" s="6"/>
      <c r="AR598" s="11"/>
      <c r="AS598" s="6"/>
      <c r="AT598" s="11"/>
      <c r="AU598" s="11"/>
      <c r="AV598" s="6"/>
      <c r="AW598" s="6"/>
    </row>
    <row r="599" spans="11:49"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7"/>
      <c r="AF599" s="8"/>
      <c r="AG599" s="6"/>
      <c r="AH599" s="6"/>
      <c r="AI599" s="9"/>
      <c r="AJ599" s="9"/>
      <c r="AK599" s="9"/>
      <c r="AL599" s="10"/>
      <c r="AM599" s="9"/>
      <c r="AN599" s="10"/>
      <c r="AO599" s="6"/>
      <c r="AP599" s="6"/>
      <c r="AQ599" s="6"/>
      <c r="AR599" s="11"/>
      <c r="AS599" s="6"/>
      <c r="AT599" s="11"/>
      <c r="AU599" s="11"/>
      <c r="AV599" s="6"/>
      <c r="AW599" s="6"/>
    </row>
    <row r="600" spans="11:49"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7"/>
      <c r="AF600" s="8"/>
      <c r="AG600" s="6"/>
      <c r="AH600" s="6"/>
      <c r="AI600" s="9"/>
      <c r="AJ600" s="9"/>
      <c r="AK600" s="9"/>
      <c r="AL600" s="10"/>
      <c r="AM600" s="9"/>
      <c r="AN600" s="10"/>
      <c r="AO600" s="6"/>
      <c r="AP600" s="6"/>
      <c r="AQ600" s="6"/>
      <c r="AR600" s="11"/>
      <c r="AS600" s="6"/>
      <c r="AT600" s="11"/>
      <c r="AU600" s="11"/>
      <c r="AV600" s="6"/>
      <c r="AW600" s="6"/>
    </row>
    <row r="601" spans="11:49"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7"/>
      <c r="AF601" s="8"/>
      <c r="AG601" s="6"/>
      <c r="AH601" s="6"/>
      <c r="AI601" s="9"/>
      <c r="AJ601" s="9"/>
      <c r="AK601" s="9"/>
      <c r="AL601" s="10"/>
      <c r="AM601" s="9"/>
      <c r="AN601" s="10"/>
      <c r="AO601" s="6"/>
      <c r="AP601" s="6"/>
      <c r="AQ601" s="6"/>
      <c r="AR601" s="11"/>
      <c r="AS601" s="6"/>
      <c r="AT601" s="11"/>
      <c r="AU601" s="11"/>
      <c r="AV601" s="6"/>
      <c r="AW601" s="6"/>
    </row>
    <row r="602" spans="11:49"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7"/>
      <c r="AF602" s="8"/>
      <c r="AG602" s="6"/>
      <c r="AH602" s="6"/>
      <c r="AI602" s="9"/>
      <c r="AJ602" s="9"/>
      <c r="AK602" s="9"/>
      <c r="AL602" s="10"/>
      <c r="AM602" s="9"/>
      <c r="AN602" s="10"/>
      <c r="AO602" s="6"/>
      <c r="AP602" s="6"/>
      <c r="AQ602" s="6"/>
      <c r="AR602" s="11"/>
      <c r="AS602" s="6"/>
      <c r="AT602" s="11"/>
      <c r="AU602" s="11"/>
      <c r="AV602" s="6"/>
      <c r="AW602" s="6"/>
    </row>
    <row r="603" spans="11:49"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7"/>
      <c r="AF603" s="8"/>
      <c r="AG603" s="6"/>
      <c r="AH603" s="6"/>
      <c r="AI603" s="9"/>
      <c r="AJ603" s="9"/>
      <c r="AK603" s="9"/>
      <c r="AL603" s="10"/>
      <c r="AM603" s="9"/>
      <c r="AN603" s="10"/>
      <c r="AO603" s="6"/>
      <c r="AP603" s="6"/>
      <c r="AQ603" s="6"/>
      <c r="AR603" s="11"/>
      <c r="AS603" s="6"/>
      <c r="AT603" s="11"/>
      <c r="AU603" s="11"/>
      <c r="AV603" s="6"/>
      <c r="AW603" s="6"/>
    </row>
    <row r="604" spans="11:49"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7"/>
      <c r="AF604" s="8"/>
      <c r="AG604" s="6"/>
      <c r="AH604" s="6"/>
      <c r="AI604" s="9"/>
      <c r="AJ604" s="9"/>
      <c r="AK604" s="9"/>
      <c r="AL604" s="10"/>
      <c r="AM604" s="9"/>
      <c r="AN604" s="10"/>
      <c r="AO604" s="6"/>
      <c r="AP604" s="6"/>
      <c r="AQ604" s="6"/>
      <c r="AR604" s="11"/>
      <c r="AS604" s="6"/>
      <c r="AT604" s="11"/>
      <c r="AU604" s="11"/>
      <c r="AV604" s="6"/>
      <c r="AW604" s="6"/>
    </row>
    <row r="605" spans="11:49"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7"/>
      <c r="AF605" s="8"/>
      <c r="AG605" s="6"/>
      <c r="AH605" s="6"/>
      <c r="AI605" s="9"/>
      <c r="AJ605" s="9"/>
      <c r="AK605" s="9"/>
      <c r="AL605" s="10"/>
      <c r="AM605" s="9"/>
      <c r="AN605" s="10"/>
      <c r="AO605" s="6"/>
      <c r="AP605" s="6"/>
      <c r="AQ605" s="6"/>
      <c r="AR605" s="11"/>
      <c r="AS605" s="6"/>
      <c r="AT605" s="11"/>
      <c r="AU605" s="11"/>
      <c r="AV605" s="6"/>
      <c r="AW605" s="6"/>
    </row>
    <row r="606" spans="11:49"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7"/>
      <c r="AF606" s="8"/>
      <c r="AG606" s="6"/>
      <c r="AH606" s="6"/>
      <c r="AI606" s="9"/>
      <c r="AJ606" s="9"/>
      <c r="AK606" s="9"/>
      <c r="AL606" s="10"/>
      <c r="AM606" s="9"/>
      <c r="AN606" s="10"/>
      <c r="AO606" s="6"/>
      <c r="AP606" s="6"/>
      <c r="AQ606" s="6"/>
      <c r="AR606" s="11"/>
      <c r="AS606" s="6"/>
      <c r="AT606" s="11"/>
      <c r="AU606" s="11"/>
      <c r="AV606" s="6"/>
      <c r="AW606" s="6"/>
    </row>
    <row r="607" spans="11:49"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7"/>
      <c r="AF607" s="8"/>
      <c r="AG607" s="6"/>
      <c r="AH607" s="6"/>
      <c r="AI607" s="9"/>
      <c r="AJ607" s="9"/>
      <c r="AK607" s="9"/>
      <c r="AL607" s="10"/>
      <c r="AM607" s="9"/>
      <c r="AN607" s="10"/>
      <c r="AO607" s="6"/>
      <c r="AP607" s="6"/>
      <c r="AQ607" s="6"/>
      <c r="AR607" s="11"/>
      <c r="AS607" s="6"/>
      <c r="AT607" s="11"/>
      <c r="AU607" s="11"/>
      <c r="AV607" s="6"/>
      <c r="AW607" s="6"/>
    </row>
    <row r="608" spans="11:49"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7"/>
      <c r="AF608" s="8"/>
      <c r="AG608" s="6"/>
      <c r="AH608" s="6"/>
      <c r="AI608" s="9"/>
      <c r="AJ608" s="9"/>
      <c r="AK608" s="9"/>
      <c r="AL608" s="10"/>
      <c r="AM608" s="9"/>
      <c r="AN608" s="10"/>
      <c r="AO608" s="6"/>
      <c r="AP608" s="6"/>
      <c r="AQ608" s="6"/>
      <c r="AR608" s="11"/>
      <c r="AS608" s="6"/>
      <c r="AT608" s="11"/>
      <c r="AU608" s="11"/>
      <c r="AV608" s="6"/>
      <c r="AW608" s="6"/>
    </row>
    <row r="609" spans="11:49"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7"/>
      <c r="AF609" s="8"/>
      <c r="AG609" s="6"/>
      <c r="AH609" s="6"/>
      <c r="AI609" s="9"/>
      <c r="AJ609" s="9"/>
      <c r="AK609" s="9"/>
      <c r="AL609" s="10"/>
      <c r="AM609" s="9"/>
      <c r="AN609" s="10"/>
      <c r="AO609" s="6"/>
      <c r="AP609" s="6"/>
      <c r="AQ609" s="6"/>
      <c r="AR609" s="11"/>
      <c r="AS609" s="6"/>
      <c r="AT609" s="11"/>
      <c r="AU609" s="11"/>
      <c r="AV609" s="6"/>
      <c r="AW609" s="6"/>
    </row>
    <row r="610" spans="11:49"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7"/>
      <c r="AF610" s="8"/>
      <c r="AG610" s="6"/>
      <c r="AH610" s="6"/>
      <c r="AI610" s="9"/>
      <c r="AJ610" s="9"/>
      <c r="AK610" s="9"/>
      <c r="AL610" s="10"/>
      <c r="AM610" s="9"/>
      <c r="AN610" s="10"/>
      <c r="AO610" s="6"/>
      <c r="AP610" s="6"/>
      <c r="AQ610" s="6"/>
      <c r="AR610" s="11"/>
      <c r="AS610" s="6"/>
      <c r="AT610" s="11"/>
      <c r="AU610" s="11"/>
      <c r="AV610" s="6"/>
      <c r="AW610" s="6"/>
    </row>
    <row r="611" spans="11:49"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7"/>
      <c r="AF611" s="8"/>
      <c r="AG611" s="6"/>
      <c r="AH611" s="6"/>
      <c r="AI611" s="9"/>
      <c r="AJ611" s="9"/>
      <c r="AK611" s="9"/>
      <c r="AL611" s="10"/>
      <c r="AM611" s="9"/>
      <c r="AN611" s="10"/>
      <c r="AO611" s="6"/>
      <c r="AP611" s="6"/>
      <c r="AQ611" s="6"/>
      <c r="AR611" s="11"/>
      <c r="AS611" s="6"/>
      <c r="AT611" s="11"/>
      <c r="AU611" s="11"/>
      <c r="AV611" s="6"/>
      <c r="AW611" s="6"/>
    </row>
    <row r="612" spans="11:49"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7"/>
      <c r="AF612" s="8"/>
      <c r="AG612" s="6"/>
      <c r="AH612" s="6"/>
      <c r="AI612" s="9"/>
      <c r="AJ612" s="9"/>
      <c r="AK612" s="9"/>
      <c r="AL612" s="10"/>
      <c r="AM612" s="9"/>
      <c r="AN612" s="10"/>
      <c r="AO612" s="6"/>
      <c r="AP612" s="6"/>
      <c r="AQ612" s="6"/>
      <c r="AR612" s="11"/>
      <c r="AS612" s="6"/>
      <c r="AT612" s="11"/>
      <c r="AU612" s="11"/>
      <c r="AV612" s="6"/>
      <c r="AW612" s="6"/>
    </row>
    <row r="613" spans="11:49"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7"/>
      <c r="AF613" s="8"/>
      <c r="AG613" s="6"/>
      <c r="AH613" s="6"/>
      <c r="AI613" s="9"/>
      <c r="AJ613" s="9"/>
      <c r="AK613" s="9"/>
      <c r="AL613" s="10"/>
      <c r="AM613" s="9"/>
      <c r="AN613" s="10"/>
      <c r="AO613" s="6"/>
      <c r="AP613" s="6"/>
      <c r="AQ613" s="6"/>
      <c r="AR613" s="11"/>
      <c r="AS613" s="6"/>
      <c r="AT613" s="11"/>
      <c r="AU613" s="11"/>
      <c r="AV613" s="6"/>
      <c r="AW613" s="6"/>
    </row>
    <row r="614" spans="11:49"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7"/>
      <c r="AF614" s="8"/>
      <c r="AG614" s="6"/>
      <c r="AH614" s="6"/>
      <c r="AI614" s="9"/>
      <c r="AJ614" s="9"/>
      <c r="AK614" s="9"/>
      <c r="AL614" s="10"/>
      <c r="AM614" s="9"/>
      <c r="AN614" s="10"/>
      <c r="AO614" s="6"/>
      <c r="AP614" s="6"/>
      <c r="AQ614" s="6"/>
      <c r="AR614" s="11"/>
      <c r="AS614" s="6"/>
      <c r="AT614" s="11"/>
      <c r="AU614" s="11"/>
      <c r="AV614" s="6"/>
      <c r="AW614" s="6"/>
    </row>
    <row r="615" spans="11:49"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7"/>
      <c r="AF615" s="8"/>
      <c r="AG615" s="6"/>
      <c r="AH615" s="6"/>
      <c r="AI615" s="9"/>
      <c r="AJ615" s="9"/>
      <c r="AK615" s="9"/>
      <c r="AL615" s="10"/>
      <c r="AM615" s="9"/>
      <c r="AN615" s="10"/>
      <c r="AO615" s="6"/>
      <c r="AP615" s="6"/>
      <c r="AQ615" s="6"/>
      <c r="AR615" s="11"/>
      <c r="AS615" s="6"/>
      <c r="AT615" s="11"/>
      <c r="AU615" s="11"/>
      <c r="AV615" s="6"/>
      <c r="AW615" s="6"/>
    </row>
    <row r="616" spans="11:49"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7"/>
      <c r="AF616" s="8"/>
      <c r="AG616" s="6"/>
      <c r="AH616" s="6"/>
      <c r="AI616" s="9"/>
      <c r="AJ616" s="9"/>
      <c r="AK616" s="9"/>
      <c r="AL616" s="10"/>
      <c r="AM616" s="9"/>
      <c r="AN616" s="10"/>
      <c r="AO616" s="6"/>
      <c r="AP616" s="6"/>
      <c r="AQ616" s="6"/>
      <c r="AR616" s="11"/>
      <c r="AS616" s="6"/>
      <c r="AT616" s="11"/>
      <c r="AU616" s="11"/>
      <c r="AV616" s="6"/>
      <c r="AW616" s="6"/>
    </row>
    <row r="617" spans="11:49"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7"/>
      <c r="AF617" s="8"/>
      <c r="AG617" s="6"/>
      <c r="AH617" s="6"/>
      <c r="AI617" s="9"/>
      <c r="AJ617" s="9"/>
      <c r="AK617" s="9"/>
      <c r="AL617" s="10"/>
      <c r="AM617" s="9"/>
      <c r="AN617" s="10"/>
      <c r="AO617" s="6"/>
      <c r="AP617" s="6"/>
      <c r="AQ617" s="6"/>
      <c r="AR617" s="11"/>
      <c r="AS617" s="6"/>
      <c r="AT617" s="11"/>
      <c r="AU617" s="11"/>
      <c r="AV617" s="6"/>
      <c r="AW617" s="6"/>
    </row>
    <row r="618" spans="11:49"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7"/>
      <c r="AF618" s="8"/>
      <c r="AG618" s="6"/>
      <c r="AH618" s="6"/>
      <c r="AI618" s="9"/>
      <c r="AJ618" s="9"/>
      <c r="AK618" s="9"/>
      <c r="AL618" s="10"/>
      <c r="AM618" s="9"/>
      <c r="AN618" s="10"/>
      <c r="AO618" s="6"/>
      <c r="AP618" s="6"/>
      <c r="AQ618" s="6"/>
      <c r="AR618" s="11"/>
      <c r="AS618" s="6"/>
      <c r="AT618" s="11"/>
      <c r="AU618" s="11"/>
      <c r="AV618" s="6"/>
      <c r="AW618" s="6"/>
    </row>
    <row r="619" spans="11:49"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7"/>
      <c r="AF619" s="8"/>
      <c r="AG619" s="6"/>
      <c r="AH619" s="6"/>
      <c r="AI619" s="9"/>
      <c r="AJ619" s="9"/>
      <c r="AK619" s="9"/>
      <c r="AL619" s="10"/>
      <c r="AM619" s="9"/>
      <c r="AN619" s="10"/>
      <c r="AO619" s="6"/>
      <c r="AP619" s="6"/>
      <c r="AQ619" s="6"/>
      <c r="AR619" s="11"/>
      <c r="AS619" s="6"/>
      <c r="AT619" s="11"/>
      <c r="AU619" s="11"/>
      <c r="AV619" s="6"/>
      <c r="AW619" s="6"/>
    </row>
    <row r="620" spans="11:49"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7"/>
      <c r="AF620" s="8"/>
      <c r="AG620" s="6"/>
      <c r="AH620" s="6"/>
      <c r="AI620" s="9"/>
      <c r="AJ620" s="9"/>
      <c r="AK620" s="9"/>
      <c r="AL620" s="10"/>
      <c r="AM620" s="9"/>
      <c r="AN620" s="10"/>
      <c r="AO620" s="6"/>
      <c r="AP620" s="6"/>
      <c r="AQ620" s="6"/>
      <c r="AR620" s="11"/>
      <c r="AS620" s="6"/>
      <c r="AT620" s="11"/>
      <c r="AU620" s="11"/>
      <c r="AV620" s="6"/>
      <c r="AW620" s="6"/>
    </row>
    <row r="621" spans="11:49"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7"/>
      <c r="AF621" s="8"/>
      <c r="AG621" s="6"/>
      <c r="AH621" s="6"/>
      <c r="AI621" s="9"/>
      <c r="AJ621" s="9"/>
      <c r="AK621" s="9"/>
      <c r="AL621" s="10"/>
      <c r="AM621" s="9"/>
      <c r="AN621" s="10"/>
      <c r="AO621" s="6"/>
      <c r="AP621" s="6"/>
      <c r="AQ621" s="6"/>
      <c r="AR621" s="11"/>
      <c r="AS621" s="6"/>
      <c r="AT621" s="11"/>
      <c r="AU621" s="11"/>
      <c r="AV621" s="6"/>
      <c r="AW621" s="6"/>
    </row>
    <row r="622" spans="11:49"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7"/>
      <c r="AF622" s="8"/>
      <c r="AG622" s="6"/>
      <c r="AH622" s="6"/>
      <c r="AI622" s="9"/>
      <c r="AJ622" s="9"/>
      <c r="AK622" s="9"/>
      <c r="AL622" s="10"/>
      <c r="AM622" s="9"/>
      <c r="AN622" s="10"/>
      <c r="AO622" s="6"/>
      <c r="AP622" s="6"/>
      <c r="AQ622" s="6"/>
      <c r="AR622" s="11"/>
      <c r="AS622" s="6"/>
      <c r="AT622" s="11"/>
      <c r="AU622" s="11"/>
      <c r="AV622" s="6"/>
      <c r="AW622" s="6"/>
    </row>
    <row r="623" spans="11:49"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7"/>
      <c r="AF623" s="8"/>
      <c r="AG623" s="6"/>
      <c r="AH623" s="6"/>
      <c r="AI623" s="9"/>
      <c r="AJ623" s="9"/>
      <c r="AK623" s="9"/>
      <c r="AL623" s="10"/>
      <c r="AM623" s="9"/>
      <c r="AN623" s="10"/>
      <c r="AO623" s="6"/>
      <c r="AP623" s="6"/>
      <c r="AQ623" s="6"/>
      <c r="AR623" s="11"/>
      <c r="AS623" s="6"/>
      <c r="AT623" s="11"/>
      <c r="AU623" s="11"/>
      <c r="AV623" s="6"/>
      <c r="AW623" s="6"/>
    </row>
    <row r="624" spans="11:49"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7"/>
      <c r="AF624" s="8"/>
      <c r="AG624" s="6"/>
      <c r="AH624" s="6"/>
      <c r="AI624" s="9"/>
      <c r="AJ624" s="9"/>
      <c r="AK624" s="9"/>
      <c r="AL624" s="10"/>
      <c r="AM624" s="9"/>
      <c r="AN624" s="10"/>
      <c r="AO624" s="6"/>
      <c r="AP624" s="6"/>
      <c r="AQ624" s="6"/>
      <c r="AR624" s="11"/>
      <c r="AS624" s="6"/>
      <c r="AT624" s="11"/>
      <c r="AU624" s="11"/>
      <c r="AV624" s="6"/>
      <c r="AW624" s="6"/>
    </row>
    <row r="625" spans="11:49"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7"/>
      <c r="AF625" s="8"/>
      <c r="AG625" s="6"/>
      <c r="AH625" s="6"/>
      <c r="AI625" s="9"/>
      <c r="AJ625" s="9"/>
      <c r="AK625" s="9"/>
      <c r="AL625" s="10"/>
      <c r="AM625" s="9"/>
      <c r="AN625" s="10"/>
      <c r="AO625" s="6"/>
      <c r="AP625" s="6"/>
      <c r="AQ625" s="6"/>
      <c r="AR625" s="11"/>
      <c r="AS625" s="6"/>
      <c r="AT625" s="11"/>
      <c r="AU625" s="11"/>
      <c r="AV625" s="6"/>
      <c r="AW625" s="6"/>
    </row>
    <row r="626" spans="11:49"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7"/>
      <c r="AF626" s="8"/>
      <c r="AG626" s="6"/>
      <c r="AH626" s="6"/>
      <c r="AI626" s="9"/>
      <c r="AJ626" s="9"/>
      <c r="AK626" s="9"/>
      <c r="AL626" s="10"/>
      <c r="AM626" s="9"/>
      <c r="AN626" s="10"/>
      <c r="AO626" s="6"/>
      <c r="AP626" s="6"/>
      <c r="AQ626" s="6"/>
      <c r="AR626" s="11"/>
      <c r="AS626" s="6"/>
      <c r="AT626" s="11"/>
      <c r="AU626" s="11"/>
      <c r="AV626" s="6"/>
      <c r="AW626" s="6"/>
    </row>
    <row r="627" spans="11:49"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7"/>
      <c r="AF627" s="8"/>
      <c r="AG627" s="6"/>
      <c r="AH627" s="6"/>
      <c r="AI627" s="9"/>
      <c r="AJ627" s="9"/>
      <c r="AK627" s="9"/>
      <c r="AL627" s="10"/>
      <c r="AM627" s="9"/>
      <c r="AN627" s="10"/>
      <c r="AO627" s="6"/>
      <c r="AP627" s="6"/>
      <c r="AQ627" s="6"/>
      <c r="AR627" s="11"/>
      <c r="AS627" s="6"/>
      <c r="AT627" s="11"/>
      <c r="AU627" s="11"/>
      <c r="AV627" s="6"/>
      <c r="AW627" s="6"/>
    </row>
    <row r="628" spans="11:49"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7"/>
      <c r="AF628" s="8"/>
      <c r="AG628" s="6"/>
      <c r="AH628" s="6"/>
      <c r="AI628" s="9"/>
      <c r="AJ628" s="9"/>
      <c r="AK628" s="9"/>
      <c r="AL628" s="10"/>
      <c r="AM628" s="9"/>
      <c r="AN628" s="10"/>
      <c r="AO628" s="6"/>
      <c r="AP628" s="6"/>
      <c r="AQ628" s="6"/>
      <c r="AR628" s="11"/>
      <c r="AS628" s="6"/>
      <c r="AT628" s="11"/>
      <c r="AU628" s="11"/>
      <c r="AV628" s="6"/>
      <c r="AW628" s="6"/>
    </row>
    <row r="629" spans="11:49"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7"/>
      <c r="AF629" s="8"/>
      <c r="AG629" s="6"/>
      <c r="AH629" s="6"/>
      <c r="AI629" s="9"/>
      <c r="AJ629" s="9"/>
      <c r="AK629" s="9"/>
      <c r="AL629" s="10"/>
      <c r="AM629" s="9"/>
      <c r="AN629" s="10"/>
      <c r="AO629" s="6"/>
      <c r="AP629" s="6"/>
      <c r="AQ629" s="6"/>
      <c r="AR629" s="11"/>
      <c r="AS629" s="6"/>
      <c r="AT629" s="11"/>
      <c r="AU629" s="11"/>
      <c r="AV629" s="6"/>
      <c r="AW629" s="6"/>
    </row>
    <row r="630" spans="11:49"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7"/>
      <c r="AF630" s="8"/>
      <c r="AG630" s="6"/>
      <c r="AH630" s="6"/>
      <c r="AI630" s="9"/>
      <c r="AJ630" s="9"/>
      <c r="AK630" s="9"/>
      <c r="AL630" s="10"/>
      <c r="AM630" s="9"/>
      <c r="AN630" s="10"/>
      <c r="AO630" s="6"/>
      <c r="AP630" s="6"/>
      <c r="AQ630" s="6"/>
      <c r="AR630" s="11"/>
      <c r="AS630" s="6"/>
      <c r="AT630" s="11"/>
      <c r="AU630" s="11"/>
      <c r="AV630" s="6"/>
      <c r="AW630" s="6"/>
    </row>
    <row r="631" spans="11:49"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7"/>
      <c r="AF631" s="8"/>
      <c r="AG631" s="6"/>
      <c r="AH631" s="6"/>
      <c r="AI631" s="9"/>
      <c r="AJ631" s="9"/>
      <c r="AK631" s="9"/>
      <c r="AL631" s="10"/>
      <c r="AM631" s="9"/>
      <c r="AN631" s="10"/>
      <c r="AO631" s="6"/>
      <c r="AP631" s="6"/>
      <c r="AQ631" s="6"/>
      <c r="AR631" s="11"/>
      <c r="AS631" s="6"/>
      <c r="AT631" s="11"/>
      <c r="AU631" s="11"/>
      <c r="AV631" s="6"/>
      <c r="AW631" s="6"/>
    </row>
    <row r="632" spans="11:49"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7"/>
      <c r="AF632" s="8"/>
      <c r="AG632" s="6"/>
      <c r="AH632" s="6"/>
      <c r="AI632" s="9"/>
      <c r="AJ632" s="9"/>
      <c r="AK632" s="9"/>
      <c r="AL632" s="10"/>
      <c r="AM632" s="9"/>
      <c r="AN632" s="10"/>
      <c r="AO632" s="6"/>
      <c r="AP632" s="6"/>
      <c r="AQ632" s="6"/>
      <c r="AR632" s="11"/>
      <c r="AS632" s="6"/>
      <c r="AT632" s="11"/>
      <c r="AU632" s="11"/>
      <c r="AV632" s="6"/>
      <c r="AW632" s="6"/>
    </row>
    <row r="633" spans="11:49"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7"/>
      <c r="AF633" s="8"/>
      <c r="AG633" s="6"/>
      <c r="AH633" s="6"/>
      <c r="AI633" s="9"/>
      <c r="AJ633" s="9"/>
      <c r="AK633" s="9"/>
      <c r="AL633" s="10"/>
      <c r="AM633" s="9"/>
      <c r="AN633" s="10"/>
      <c r="AO633" s="6"/>
      <c r="AP633" s="6"/>
      <c r="AQ633" s="6"/>
      <c r="AR633" s="11"/>
      <c r="AS633" s="6"/>
      <c r="AT633" s="11"/>
      <c r="AU633" s="11"/>
      <c r="AV633" s="6"/>
      <c r="AW633" s="6"/>
    </row>
    <row r="634" spans="11:49"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7"/>
      <c r="AF634" s="8"/>
      <c r="AG634" s="6"/>
      <c r="AH634" s="6"/>
      <c r="AI634" s="9"/>
      <c r="AJ634" s="9"/>
      <c r="AK634" s="9"/>
      <c r="AL634" s="10"/>
      <c r="AM634" s="9"/>
      <c r="AN634" s="10"/>
      <c r="AO634" s="6"/>
      <c r="AP634" s="6"/>
      <c r="AQ634" s="6"/>
      <c r="AR634" s="11"/>
      <c r="AS634" s="6"/>
      <c r="AT634" s="11"/>
      <c r="AU634" s="11"/>
      <c r="AV634" s="6"/>
      <c r="AW634" s="6"/>
    </row>
    <row r="635" spans="11:49"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7"/>
      <c r="AF635" s="8"/>
      <c r="AG635" s="6"/>
      <c r="AH635" s="6"/>
      <c r="AI635" s="9"/>
      <c r="AJ635" s="9"/>
      <c r="AK635" s="9"/>
      <c r="AL635" s="10"/>
      <c r="AM635" s="9"/>
      <c r="AN635" s="10"/>
      <c r="AO635" s="6"/>
      <c r="AP635" s="6"/>
      <c r="AQ635" s="6"/>
      <c r="AR635" s="11"/>
      <c r="AS635" s="6"/>
      <c r="AT635" s="11"/>
      <c r="AU635" s="11"/>
      <c r="AV635" s="6"/>
      <c r="AW635" s="6"/>
    </row>
    <row r="636" spans="11:49"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7"/>
      <c r="AF636" s="8"/>
      <c r="AG636" s="6"/>
      <c r="AH636" s="6"/>
      <c r="AI636" s="9"/>
      <c r="AJ636" s="9"/>
      <c r="AK636" s="9"/>
      <c r="AL636" s="10"/>
      <c r="AM636" s="9"/>
      <c r="AN636" s="10"/>
      <c r="AO636" s="6"/>
      <c r="AP636" s="6"/>
      <c r="AQ636" s="6"/>
      <c r="AR636" s="11"/>
      <c r="AS636" s="6"/>
      <c r="AT636" s="11"/>
      <c r="AU636" s="11"/>
      <c r="AV636" s="6"/>
      <c r="AW636" s="6"/>
    </row>
    <row r="637" spans="11:49"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7"/>
      <c r="AF637" s="8"/>
      <c r="AG637" s="6"/>
      <c r="AH637" s="6"/>
      <c r="AI637" s="9"/>
      <c r="AJ637" s="9"/>
      <c r="AK637" s="9"/>
      <c r="AL637" s="10"/>
      <c r="AM637" s="9"/>
      <c r="AN637" s="10"/>
      <c r="AO637" s="6"/>
      <c r="AP637" s="6"/>
      <c r="AQ637" s="6"/>
      <c r="AR637" s="11"/>
      <c r="AS637" s="6"/>
      <c r="AT637" s="11"/>
      <c r="AU637" s="11"/>
      <c r="AV637" s="6"/>
      <c r="AW637" s="6"/>
    </row>
    <row r="638" spans="11:49"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7"/>
      <c r="AF638" s="8"/>
      <c r="AG638" s="6"/>
      <c r="AH638" s="6"/>
      <c r="AI638" s="9"/>
      <c r="AJ638" s="9"/>
      <c r="AK638" s="9"/>
      <c r="AL638" s="10"/>
      <c r="AM638" s="9"/>
      <c r="AN638" s="10"/>
      <c r="AO638" s="6"/>
      <c r="AP638" s="6"/>
      <c r="AQ638" s="6"/>
      <c r="AR638" s="11"/>
      <c r="AS638" s="6"/>
      <c r="AT638" s="11"/>
      <c r="AU638" s="11"/>
      <c r="AV638" s="6"/>
      <c r="AW638" s="6"/>
    </row>
    <row r="639" spans="11:49"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7"/>
      <c r="AF639" s="8"/>
      <c r="AG639" s="6"/>
      <c r="AH639" s="6"/>
      <c r="AI639" s="9"/>
      <c r="AJ639" s="9"/>
      <c r="AK639" s="9"/>
      <c r="AL639" s="10"/>
      <c r="AM639" s="9"/>
      <c r="AN639" s="10"/>
      <c r="AO639" s="6"/>
      <c r="AP639" s="6"/>
      <c r="AQ639" s="6"/>
      <c r="AR639" s="11"/>
      <c r="AS639" s="6"/>
      <c r="AT639" s="11"/>
      <c r="AU639" s="11"/>
      <c r="AV639" s="6"/>
      <c r="AW639" s="6"/>
    </row>
    <row r="640" spans="11:49"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7"/>
      <c r="AF640" s="8"/>
      <c r="AG640" s="6"/>
      <c r="AH640" s="6"/>
      <c r="AI640" s="9"/>
      <c r="AJ640" s="9"/>
      <c r="AK640" s="9"/>
      <c r="AL640" s="10"/>
      <c r="AM640" s="9"/>
      <c r="AN640" s="10"/>
      <c r="AO640" s="6"/>
      <c r="AP640" s="6"/>
      <c r="AQ640" s="6"/>
      <c r="AR640" s="11"/>
      <c r="AS640" s="6"/>
      <c r="AT640" s="11"/>
      <c r="AU640" s="11"/>
      <c r="AV640" s="6"/>
      <c r="AW640" s="6"/>
    </row>
    <row r="641" spans="11:49"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7"/>
      <c r="AF641" s="8"/>
      <c r="AG641" s="6"/>
      <c r="AH641" s="6"/>
      <c r="AI641" s="9"/>
      <c r="AJ641" s="9"/>
      <c r="AK641" s="9"/>
      <c r="AL641" s="10"/>
      <c r="AM641" s="9"/>
      <c r="AN641" s="10"/>
      <c r="AO641" s="6"/>
      <c r="AP641" s="6"/>
      <c r="AQ641" s="6"/>
      <c r="AR641" s="11"/>
      <c r="AS641" s="6"/>
      <c r="AT641" s="11"/>
      <c r="AU641" s="11"/>
      <c r="AV641" s="6"/>
      <c r="AW641" s="6"/>
    </row>
    <row r="642" spans="11:49"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7"/>
      <c r="AF642" s="8"/>
      <c r="AG642" s="6"/>
      <c r="AH642" s="6"/>
      <c r="AI642" s="9"/>
      <c r="AJ642" s="9"/>
      <c r="AK642" s="9"/>
      <c r="AL642" s="10"/>
      <c r="AM642" s="9"/>
      <c r="AN642" s="10"/>
      <c r="AO642" s="6"/>
      <c r="AP642" s="6"/>
      <c r="AQ642" s="6"/>
      <c r="AR642" s="11"/>
      <c r="AS642" s="6"/>
      <c r="AT642" s="11"/>
      <c r="AU642" s="11"/>
      <c r="AV642" s="6"/>
      <c r="AW642" s="6"/>
    </row>
    <row r="643" spans="11:49"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7"/>
      <c r="AF643" s="8"/>
      <c r="AG643" s="6"/>
      <c r="AH643" s="6"/>
      <c r="AI643" s="9"/>
      <c r="AJ643" s="9"/>
      <c r="AK643" s="9"/>
      <c r="AL643" s="10"/>
      <c r="AM643" s="9"/>
      <c r="AN643" s="10"/>
      <c r="AO643" s="6"/>
      <c r="AP643" s="6"/>
      <c r="AQ643" s="6"/>
      <c r="AR643" s="11"/>
      <c r="AS643" s="6"/>
      <c r="AT643" s="11"/>
      <c r="AU643" s="11"/>
      <c r="AV643" s="6"/>
      <c r="AW643" s="6"/>
    </row>
    <row r="644" spans="11:49"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7"/>
      <c r="AF644" s="8"/>
      <c r="AG644" s="6"/>
      <c r="AH644" s="6"/>
      <c r="AI644" s="9"/>
      <c r="AJ644" s="9"/>
      <c r="AK644" s="9"/>
      <c r="AL644" s="10"/>
      <c r="AM644" s="9"/>
      <c r="AN644" s="10"/>
      <c r="AO644" s="6"/>
      <c r="AP644" s="6"/>
      <c r="AQ644" s="6"/>
      <c r="AR644" s="11"/>
      <c r="AS644" s="6"/>
      <c r="AT644" s="11"/>
      <c r="AU644" s="11"/>
      <c r="AV644" s="6"/>
      <c r="AW644" s="6"/>
    </row>
    <row r="645" spans="11:49"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7"/>
      <c r="AF645" s="8"/>
      <c r="AG645" s="6"/>
      <c r="AH645" s="6"/>
      <c r="AI645" s="9"/>
      <c r="AJ645" s="9"/>
      <c r="AK645" s="9"/>
      <c r="AL645" s="10"/>
      <c r="AM645" s="9"/>
      <c r="AN645" s="10"/>
      <c r="AO645" s="6"/>
      <c r="AP645" s="6"/>
      <c r="AQ645" s="6"/>
      <c r="AR645" s="11"/>
      <c r="AS645" s="6"/>
      <c r="AT645" s="11"/>
      <c r="AU645" s="11"/>
      <c r="AV645" s="6"/>
      <c r="AW645" s="6"/>
    </row>
    <row r="646" spans="11:49"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7"/>
      <c r="AF646" s="8"/>
      <c r="AG646" s="6"/>
      <c r="AH646" s="6"/>
      <c r="AI646" s="9"/>
      <c r="AJ646" s="9"/>
      <c r="AK646" s="9"/>
      <c r="AL646" s="10"/>
      <c r="AM646" s="9"/>
      <c r="AN646" s="10"/>
      <c r="AO646" s="6"/>
      <c r="AP646" s="6"/>
      <c r="AQ646" s="6"/>
      <c r="AR646" s="11"/>
      <c r="AS646" s="6"/>
      <c r="AT646" s="11"/>
      <c r="AU646" s="11"/>
      <c r="AV646" s="6"/>
      <c r="AW646" s="6"/>
    </row>
    <row r="647" spans="11:49"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7"/>
      <c r="AF647" s="8"/>
      <c r="AG647" s="6"/>
      <c r="AH647" s="6"/>
      <c r="AI647" s="9"/>
      <c r="AJ647" s="9"/>
      <c r="AK647" s="9"/>
      <c r="AL647" s="10"/>
      <c r="AM647" s="9"/>
      <c r="AN647" s="10"/>
      <c r="AO647" s="6"/>
      <c r="AP647" s="6"/>
      <c r="AQ647" s="6"/>
      <c r="AR647" s="11"/>
      <c r="AS647" s="6"/>
      <c r="AT647" s="11"/>
      <c r="AU647" s="11"/>
      <c r="AV647" s="6"/>
      <c r="AW647" s="6"/>
    </row>
    <row r="648" spans="11:49"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7"/>
      <c r="AF648" s="8"/>
      <c r="AG648" s="6"/>
      <c r="AH648" s="6"/>
      <c r="AI648" s="9"/>
      <c r="AJ648" s="9"/>
      <c r="AK648" s="9"/>
      <c r="AL648" s="10"/>
      <c r="AM648" s="9"/>
      <c r="AN648" s="10"/>
      <c r="AO648" s="6"/>
      <c r="AP648" s="6"/>
      <c r="AQ648" s="6"/>
      <c r="AR648" s="11"/>
      <c r="AS648" s="6"/>
      <c r="AT648" s="11"/>
      <c r="AU648" s="11"/>
      <c r="AV648" s="6"/>
      <c r="AW648" s="6"/>
    </row>
    <row r="649" spans="11:49"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7"/>
      <c r="AF649" s="8"/>
      <c r="AG649" s="6"/>
      <c r="AH649" s="6"/>
      <c r="AI649" s="9"/>
      <c r="AJ649" s="9"/>
      <c r="AK649" s="9"/>
      <c r="AL649" s="10"/>
      <c r="AM649" s="9"/>
      <c r="AN649" s="10"/>
      <c r="AO649" s="6"/>
      <c r="AP649" s="6"/>
      <c r="AQ649" s="6"/>
      <c r="AR649" s="11"/>
      <c r="AS649" s="6"/>
      <c r="AT649" s="11"/>
      <c r="AU649" s="11"/>
      <c r="AV649" s="6"/>
      <c r="AW649" s="6"/>
    </row>
    <row r="650" spans="11:49"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7"/>
      <c r="AF650" s="8"/>
      <c r="AG650" s="6"/>
      <c r="AH650" s="6"/>
      <c r="AI650" s="9"/>
      <c r="AJ650" s="9"/>
      <c r="AK650" s="9"/>
      <c r="AL650" s="10"/>
      <c r="AM650" s="9"/>
      <c r="AN650" s="10"/>
      <c r="AO650" s="6"/>
      <c r="AP650" s="6"/>
      <c r="AQ650" s="6"/>
      <c r="AR650" s="11"/>
      <c r="AS650" s="6"/>
      <c r="AT650" s="11"/>
      <c r="AU650" s="11"/>
      <c r="AV650" s="6"/>
      <c r="AW650" s="6"/>
    </row>
    <row r="651" spans="11:49"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7"/>
      <c r="AF651" s="8"/>
      <c r="AG651" s="6"/>
      <c r="AH651" s="6"/>
      <c r="AI651" s="9"/>
      <c r="AJ651" s="9"/>
      <c r="AK651" s="9"/>
      <c r="AL651" s="10"/>
      <c r="AM651" s="9"/>
      <c r="AN651" s="10"/>
      <c r="AO651" s="6"/>
      <c r="AP651" s="6"/>
      <c r="AQ651" s="6"/>
      <c r="AR651" s="11"/>
      <c r="AS651" s="6"/>
      <c r="AT651" s="11"/>
      <c r="AU651" s="11"/>
      <c r="AV651" s="6"/>
      <c r="AW651" s="6"/>
    </row>
    <row r="652" spans="11:49"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7"/>
      <c r="AF652" s="8"/>
      <c r="AG652" s="6"/>
      <c r="AH652" s="6"/>
      <c r="AI652" s="9"/>
      <c r="AJ652" s="9"/>
      <c r="AK652" s="9"/>
      <c r="AL652" s="10"/>
      <c r="AM652" s="9"/>
      <c r="AN652" s="10"/>
      <c r="AO652" s="6"/>
      <c r="AP652" s="6"/>
      <c r="AQ652" s="6"/>
      <c r="AR652" s="11"/>
      <c r="AS652" s="6"/>
      <c r="AT652" s="11"/>
      <c r="AU652" s="11"/>
      <c r="AV652" s="6"/>
      <c r="AW652" s="6"/>
    </row>
    <row r="653" spans="11:49"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7"/>
      <c r="AF653" s="8"/>
      <c r="AG653" s="6"/>
      <c r="AH653" s="6"/>
      <c r="AI653" s="9"/>
      <c r="AJ653" s="9"/>
      <c r="AK653" s="9"/>
      <c r="AL653" s="10"/>
      <c r="AM653" s="9"/>
      <c r="AN653" s="10"/>
      <c r="AO653" s="6"/>
      <c r="AP653" s="6"/>
      <c r="AQ653" s="6"/>
      <c r="AR653" s="11"/>
      <c r="AS653" s="6"/>
      <c r="AT653" s="11"/>
      <c r="AU653" s="11"/>
      <c r="AV653" s="6"/>
      <c r="AW653" s="6"/>
    </row>
    <row r="654" spans="11:49"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7"/>
      <c r="AF654" s="8"/>
      <c r="AG654" s="6"/>
      <c r="AH654" s="6"/>
      <c r="AI654" s="9"/>
      <c r="AJ654" s="9"/>
      <c r="AK654" s="9"/>
      <c r="AL654" s="10"/>
      <c r="AM654" s="9"/>
      <c r="AN654" s="10"/>
      <c r="AO654" s="6"/>
      <c r="AP654" s="6"/>
      <c r="AQ654" s="6"/>
      <c r="AR654" s="11"/>
      <c r="AS654" s="6"/>
      <c r="AT654" s="11"/>
      <c r="AU654" s="11"/>
      <c r="AV654" s="6"/>
      <c r="AW654" s="6"/>
    </row>
    <row r="655" spans="11:49"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7"/>
      <c r="AF655" s="8"/>
      <c r="AG655" s="6"/>
      <c r="AH655" s="6"/>
      <c r="AI655" s="9"/>
      <c r="AJ655" s="9"/>
      <c r="AK655" s="9"/>
      <c r="AL655" s="10"/>
      <c r="AM655" s="9"/>
      <c r="AN655" s="10"/>
      <c r="AO655" s="6"/>
      <c r="AP655" s="6"/>
      <c r="AQ655" s="6"/>
      <c r="AR655" s="11"/>
      <c r="AS655" s="6"/>
      <c r="AT655" s="11"/>
      <c r="AU655" s="11"/>
      <c r="AV655" s="6"/>
      <c r="AW655" s="6"/>
    </row>
    <row r="656" spans="11:49"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7"/>
      <c r="AF656" s="8"/>
      <c r="AG656" s="6"/>
      <c r="AH656" s="6"/>
      <c r="AI656" s="9"/>
      <c r="AJ656" s="9"/>
      <c r="AK656" s="9"/>
      <c r="AL656" s="10"/>
      <c r="AM656" s="9"/>
      <c r="AN656" s="10"/>
      <c r="AO656" s="6"/>
      <c r="AP656" s="6"/>
      <c r="AQ656" s="6"/>
      <c r="AR656" s="11"/>
      <c r="AS656" s="6"/>
      <c r="AT656" s="11"/>
      <c r="AU656" s="11"/>
      <c r="AV656" s="6"/>
      <c r="AW656" s="6"/>
    </row>
    <row r="657" spans="11:49"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7"/>
      <c r="AF657" s="8"/>
      <c r="AG657" s="6"/>
      <c r="AH657" s="6"/>
      <c r="AI657" s="9"/>
      <c r="AJ657" s="9"/>
      <c r="AK657" s="9"/>
      <c r="AL657" s="10"/>
      <c r="AM657" s="9"/>
      <c r="AN657" s="10"/>
      <c r="AO657" s="6"/>
      <c r="AP657" s="6"/>
      <c r="AQ657" s="6"/>
      <c r="AR657" s="11"/>
      <c r="AS657" s="6"/>
      <c r="AT657" s="11"/>
      <c r="AU657" s="11"/>
      <c r="AV657" s="6"/>
      <c r="AW657" s="6"/>
    </row>
    <row r="658" spans="11:49"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7"/>
      <c r="AF658" s="8"/>
      <c r="AG658" s="6"/>
      <c r="AH658" s="6"/>
      <c r="AI658" s="9"/>
      <c r="AJ658" s="9"/>
      <c r="AK658" s="9"/>
      <c r="AL658" s="10"/>
      <c r="AM658" s="9"/>
      <c r="AN658" s="10"/>
      <c r="AO658" s="6"/>
      <c r="AP658" s="6"/>
      <c r="AQ658" s="6"/>
      <c r="AR658" s="11"/>
      <c r="AS658" s="6"/>
      <c r="AT658" s="11"/>
      <c r="AU658" s="11"/>
      <c r="AV658" s="6"/>
      <c r="AW658" s="6"/>
    </row>
    <row r="659" spans="11:49"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7"/>
      <c r="AF659" s="8"/>
      <c r="AG659" s="6"/>
      <c r="AH659" s="6"/>
      <c r="AI659" s="9"/>
      <c r="AJ659" s="9"/>
      <c r="AK659" s="9"/>
      <c r="AL659" s="10"/>
      <c r="AM659" s="9"/>
      <c r="AN659" s="10"/>
      <c r="AO659" s="6"/>
      <c r="AP659" s="6"/>
      <c r="AQ659" s="6"/>
      <c r="AR659" s="11"/>
      <c r="AS659" s="6"/>
      <c r="AT659" s="11"/>
      <c r="AU659" s="11"/>
      <c r="AV659" s="6"/>
      <c r="AW659" s="6"/>
    </row>
    <row r="660" spans="11:49"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7"/>
      <c r="AF660" s="8"/>
      <c r="AG660" s="6"/>
      <c r="AH660" s="6"/>
      <c r="AI660" s="9"/>
      <c r="AJ660" s="9"/>
      <c r="AK660" s="9"/>
      <c r="AL660" s="10"/>
      <c r="AM660" s="9"/>
      <c r="AN660" s="10"/>
      <c r="AO660" s="6"/>
      <c r="AP660" s="6"/>
      <c r="AQ660" s="6"/>
      <c r="AR660" s="11"/>
      <c r="AS660" s="6"/>
      <c r="AT660" s="11"/>
      <c r="AU660" s="11"/>
      <c r="AV660" s="6"/>
      <c r="AW660" s="6"/>
    </row>
    <row r="661" spans="11:49"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7"/>
      <c r="AF661" s="8"/>
      <c r="AG661" s="6"/>
      <c r="AH661" s="6"/>
      <c r="AI661" s="9"/>
      <c r="AJ661" s="9"/>
      <c r="AK661" s="9"/>
      <c r="AL661" s="10"/>
      <c r="AM661" s="9"/>
      <c r="AN661" s="10"/>
      <c r="AO661" s="6"/>
      <c r="AP661" s="6"/>
      <c r="AQ661" s="6"/>
      <c r="AR661" s="11"/>
      <c r="AS661" s="6"/>
      <c r="AT661" s="11"/>
      <c r="AU661" s="11"/>
      <c r="AV661" s="6"/>
      <c r="AW661" s="6"/>
    </row>
    <row r="662" spans="11:49"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7"/>
      <c r="AF662" s="8"/>
      <c r="AG662" s="6"/>
      <c r="AH662" s="6"/>
      <c r="AI662" s="9"/>
      <c r="AJ662" s="9"/>
      <c r="AK662" s="9"/>
      <c r="AL662" s="10"/>
      <c r="AM662" s="9"/>
      <c r="AN662" s="10"/>
      <c r="AO662" s="6"/>
      <c r="AP662" s="6"/>
      <c r="AQ662" s="6"/>
      <c r="AR662" s="11"/>
      <c r="AS662" s="6"/>
      <c r="AT662" s="11"/>
      <c r="AU662" s="11"/>
      <c r="AV662" s="6"/>
      <c r="AW662" s="6"/>
    </row>
    <row r="663" spans="11:49"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7"/>
      <c r="AF663" s="8"/>
      <c r="AG663" s="6"/>
      <c r="AH663" s="6"/>
      <c r="AI663" s="9"/>
      <c r="AJ663" s="9"/>
      <c r="AK663" s="9"/>
      <c r="AL663" s="10"/>
      <c r="AM663" s="9"/>
      <c r="AN663" s="10"/>
      <c r="AO663" s="6"/>
      <c r="AP663" s="6"/>
      <c r="AQ663" s="6"/>
      <c r="AR663" s="11"/>
      <c r="AS663" s="6"/>
      <c r="AT663" s="11"/>
      <c r="AU663" s="11"/>
      <c r="AV663" s="6"/>
      <c r="AW663" s="6"/>
    </row>
    <row r="664" spans="11:49"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7"/>
      <c r="AF664" s="8"/>
      <c r="AG664" s="6"/>
      <c r="AH664" s="6"/>
      <c r="AI664" s="9"/>
      <c r="AJ664" s="9"/>
      <c r="AK664" s="9"/>
      <c r="AL664" s="10"/>
      <c r="AM664" s="9"/>
      <c r="AN664" s="10"/>
      <c r="AO664" s="6"/>
      <c r="AP664" s="6"/>
      <c r="AQ664" s="6"/>
      <c r="AR664" s="11"/>
      <c r="AS664" s="6"/>
      <c r="AT664" s="11"/>
      <c r="AU664" s="11"/>
      <c r="AV664" s="6"/>
      <c r="AW664" s="6"/>
    </row>
    <row r="665" spans="11:49"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7"/>
      <c r="AF665" s="8"/>
      <c r="AG665" s="6"/>
      <c r="AH665" s="6"/>
      <c r="AI665" s="9"/>
      <c r="AJ665" s="9"/>
      <c r="AK665" s="9"/>
      <c r="AL665" s="10"/>
      <c r="AM665" s="9"/>
      <c r="AN665" s="10"/>
      <c r="AO665" s="6"/>
      <c r="AP665" s="6"/>
      <c r="AQ665" s="6"/>
      <c r="AR665" s="11"/>
      <c r="AS665" s="6"/>
      <c r="AT665" s="11"/>
      <c r="AU665" s="11"/>
      <c r="AV665" s="6"/>
      <c r="AW665" s="6"/>
    </row>
    <row r="666" spans="11:49"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7"/>
      <c r="AF666" s="8"/>
      <c r="AG666" s="6"/>
      <c r="AH666" s="6"/>
      <c r="AI666" s="9"/>
      <c r="AJ666" s="9"/>
      <c r="AK666" s="9"/>
      <c r="AL666" s="10"/>
      <c r="AM666" s="9"/>
      <c r="AN666" s="10"/>
      <c r="AO666" s="6"/>
      <c r="AP666" s="6"/>
      <c r="AQ666" s="6"/>
      <c r="AR666" s="11"/>
      <c r="AS666" s="6"/>
      <c r="AT666" s="11"/>
      <c r="AU666" s="11"/>
      <c r="AV666" s="6"/>
      <c r="AW666" s="6"/>
    </row>
    <row r="667" spans="11:49"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7"/>
      <c r="AF667" s="8"/>
      <c r="AG667" s="6"/>
      <c r="AH667" s="6"/>
      <c r="AI667" s="9"/>
      <c r="AJ667" s="9"/>
      <c r="AK667" s="9"/>
      <c r="AL667" s="10"/>
      <c r="AM667" s="9"/>
      <c r="AN667" s="10"/>
      <c r="AO667" s="6"/>
      <c r="AP667" s="6"/>
      <c r="AQ667" s="6"/>
      <c r="AR667" s="11"/>
      <c r="AS667" s="6"/>
      <c r="AT667" s="11"/>
      <c r="AU667" s="11"/>
      <c r="AV667" s="6"/>
      <c r="AW667" s="6"/>
    </row>
    <row r="668" spans="11:49"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7"/>
      <c r="AF668" s="8"/>
      <c r="AG668" s="6"/>
      <c r="AH668" s="6"/>
      <c r="AI668" s="9"/>
      <c r="AJ668" s="9"/>
      <c r="AK668" s="9"/>
      <c r="AL668" s="10"/>
      <c r="AM668" s="9"/>
      <c r="AN668" s="10"/>
      <c r="AO668" s="6"/>
      <c r="AP668" s="6"/>
      <c r="AQ668" s="6"/>
      <c r="AR668" s="11"/>
      <c r="AS668" s="6"/>
      <c r="AT668" s="11"/>
      <c r="AU668" s="11"/>
      <c r="AV668" s="6"/>
      <c r="AW668" s="6"/>
    </row>
    <row r="669" spans="11:49"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7"/>
      <c r="AF669" s="8"/>
      <c r="AG669" s="6"/>
      <c r="AH669" s="6"/>
      <c r="AI669" s="9"/>
      <c r="AJ669" s="9"/>
      <c r="AK669" s="9"/>
      <c r="AL669" s="10"/>
      <c r="AM669" s="9"/>
      <c r="AN669" s="10"/>
      <c r="AO669" s="6"/>
      <c r="AP669" s="6"/>
      <c r="AQ669" s="6"/>
      <c r="AR669" s="11"/>
      <c r="AS669" s="6"/>
      <c r="AT669" s="11"/>
      <c r="AU669" s="11"/>
      <c r="AV669" s="6"/>
      <c r="AW669" s="6"/>
    </row>
    <row r="670" spans="11:49"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7"/>
      <c r="AF670" s="8"/>
      <c r="AG670" s="6"/>
      <c r="AH670" s="6"/>
      <c r="AI670" s="9"/>
      <c r="AJ670" s="9"/>
      <c r="AK670" s="9"/>
      <c r="AL670" s="10"/>
      <c r="AM670" s="9"/>
      <c r="AN670" s="10"/>
      <c r="AO670" s="6"/>
      <c r="AP670" s="6"/>
      <c r="AQ670" s="6"/>
      <c r="AR670" s="11"/>
      <c r="AS670" s="6"/>
      <c r="AT670" s="11"/>
      <c r="AU670" s="11"/>
      <c r="AV670" s="6"/>
      <c r="AW670" s="6"/>
    </row>
    <row r="671" spans="11:49"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7"/>
      <c r="AF671" s="8"/>
      <c r="AG671" s="6"/>
      <c r="AH671" s="6"/>
      <c r="AI671" s="9"/>
      <c r="AJ671" s="9"/>
      <c r="AK671" s="9"/>
      <c r="AL671" s="10"/>
      <c r="AM671" s="9"/>
      <c r="AN671" s="10"/>
      <c r="AO671" s="6"/>
      <c r="AP671" s="6"/>
      <c r="AQ671" s="6"/>
      <c r="AR671" s="11"/>
      <c r="AS671" s="6"/>
      <c r="AT671" s="11"/>
      <c r="AU671" s="11"/>
      <c r="AV671" s="6"/>
      <c r="AW671" s="6"/>
    </row>
    <row r="672" spans="11:49"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7"/>
      <c r="AF672" s="8"/>
      <c r="AG672" s="6"/>
      <c r="AH672" s="6"/>
      <c r="AI672" s="9"/>
      <c r="AJ672" s="9"/>
      <c r="AK672" s="9"/>
      <c r="AL672" s="10"/>
      <c r="AM672" s="9"/>
      <c r="AN672" s="10"/>
      <c r="AO672" s="6"/>
      <c r="AP672" s="6"/>
      <c r="AQ672" s="6"/>
      <c r="AR672" s="11"/>
      <c r="AS672" s="6"/>
      <c r="AT672" s="11"/>
      <c r="AU672" s="11"/>
      <c r="AV672" s="6"/>
      <c r="AW672" s="6"/>
    </row>
    <row r="673" spans="11:49"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7"/>
      <c r="AF673" s="8"/>
      <c r="AG673" s="6"/>
      <c r="AH673" s="6"/>
      <c r="AI673" s="9"/>
      <c r="AJ673" s="9"/>
      <c r="AK673" s="9"/>
      <c r="AL673" s="10"/>
      <c r="AM673" s="9"/>
      <c r="AN673" s="10"/>
      <c r="AO673" s="6"/>
      <c r="AP673" s="6"/>
      <c r="AQ673" s="6"/>
      <c r="AR673" s="11"/>
      <c r="AS673" s="6"/>
      <c r="AT673" s="11"/>
      <c r="AU673" s="11"/>
      <c r="AV673" s="6"/>
      <c r="AW673" s="6"/>
    </row>
    <row r="674" spans="11:49"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7"/>
      <c r="AF674" s="8"/>
      <c r="AG674" s="6"/>
      <c r="AH674" s="6"/>
      <c r="AI674" s="9"/>
      <c r="AJ674" s="9"/>
      <c r="AK674" s="9"/>
      <c r="AL674" s="10"/>
      <c r="AM674" s="9"/>
      <c r="AN674" s="10"/>
      <c r="AO674" s="6"/>
      <c r="AP674" s="6"/>
      <c r="AQ674" s="6"/>
      <c r="AR674" s="11"/>
      <c r="AS674" s="6"/>
      <c r="AT674" s="11"/>
      <c r="AU674" s="11"/>
      <c r="AV674" s="6"/>
      <c r="AW674" s="6"/>
    </row>
    <row r="675" spans="11:49"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7"/>
      <c r="AF675" s="8"/>
      <c r="AG675" s="6"/>
      <c r="AH675" s="6"/>
      <c r="AI675" s="9"/>
      <c r="AJ675" s="9"/>
      <c r="AK675" s="9"/>
      <c r="AL675" s="10"/>
      <c r="AM675" s="9"/>
      <c r="AN675" s="10"/>
      <c r="AO675" s="6"/>
      <c r="AP675" s="6"/>
      <c r="AQ675" s="6"/>
      <c r="AR675" s="11"/>
      <c r="AS675" s="6"/>
      <c r="AT675" s="11"/>
      <c r="AU675" s="11"/>
      <c r="AV675" s="6"/>
      <c r="AW675" s="6"/>
    </row>
    <row r="676" spans="11:49"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7"/>
      <c r="AF676" s="8"/>
      <c r="AG676" s="6"/>
      <c r="AH676" s="6"/>
      <c r="AI676" s="9"/>
      <c r="AJ676" s="9"/>
      <c r="AK676" s="9"/>
      <c r="AL676" s="10"/>
      <c r="AM676" s="9"/>
      <c r="AN676" s="10"/>
      <c r="AO676" s="6"/>
      <c r="AP676" s="6"/>
      <c r="AQ676" s="6"/>
      <c r="AR676" s="11"/>
      <c r="AS676" s="6"/>
      <c r="AT676" s="11"/>
      <c r="AU676" s="11"/>
      <c r="AV676" s="6"/>
      <c r="AW676" s="6"/>
    </row>
    <row r="677" spans="11:49"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7"/>
      <c r="AF677" s="8"/>
      <c r="AG677" s="6"/>
      <c r="AH677" s="6"/>
      <c r="AI677" s="9"/>
      <c r="AJ677" s="9"/>
      <c r="AK677" s="9"/>
      <c r="AL677" s="10"/>
      <c r="AM677" s="9"/>
      <c r="AN677" s="10"/>
      <c r="AO677" s="6"/>
      <c r="AP677" s="6"/>
      <c r="AQ677" s="6"/>
      <c r="AR677" s="11"/>
      <c r="AS677" s="6"/>
      <c r="AT677" s="11"/>
      <c r="AU677" s="11"/>
      <c r="AV677" s="6"/>
      <c r="AW677" s="6"/>
    </row>
    <row r="678" spans="11:49"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7"/>
      <c r="AF678" s="8"/>
      <c r="AG678" s="6"/>
      <c r="AH678" s="6"/>
      <c r="AI678" s="9"/>
      <c r="AJ678" s="9"/>
      <c r="AK678" s="9"/>
      <c r="AL678" s="10"/>
      <c r="AM678" s="9"/>
      <c r="AN678" s="10"/>
      <c r="AO678" s="6"/>
      <c r="AP678" s="6"/>
      <c r="AQ678" s="6"/>
      <c r="AR678" s="11"/>
      <c r="AS678" s="6"/>
      <c r="AT678" s="11"/>
      <c r="AU678" s="11"/>
      <c r="AV678" s="6"/>
      <c r="AW678" s="6"/>
    </row>
    <row r="679" spans="11:49"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7"/>
      <c r="AF679" s="8"/>
      <c r="AG679" s="6"/>
      <c r="AH679" s="6"/>
      <c r="AI679" s="9"/>
      <c r="AJ679" s="9"/>
      <c r="AK679" s="9"/>
      <c r="AL679" s="10"/>
      <c r="AM679" s="9"/>
      <c r="AN679" s="10"/>
      <c r="AO679" s="6"/>
      <c r="AP679" s="6"/>
      <c r="AQ679" s="6"/>
      <c r="AR679" s="11"/>
      <c r="AS679" s="6"/>
      <c r="AT679" s="11"/>
      <c r="AU679" s="11"/>
      <c r="AV679" s="6"/>
      <c r="AW679" s="6"/>
    </row>
    <row r="680" spans="11:49"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7"/>
      <c r="AF680" s="8"/>
      <c r="AG680" s="6"/>
      <c r="AH680" s="6"/>
      <c r="AI680" s="9"/>
      <c r="AJ680" s="9"/>
      <c r="AK680" s="9"/>
      <c r="AL680" s="10"/>
      <c r="AM680" s="9"/>
      <c r="AN680" s="10"/>
      <c r="AO680" s="6"/>
      <c r="AP680" s="6"/>
      <c r="AQ680" s="6"/>
      <c r="AR680" s="11"/>
      <c r="AS680" s="6"/>
      <c r="AT680" s="11"/>
      <c r="AU680" s="11"/>
      <c r="AV680" s="6"/>
      <c r="AW680" s="6"/>
    </row>
    <row r="681" spans="11:49"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7"/>
      <c r="AF681" s="8"/>
      <c r="AG681" s="6"/>
      <c r="AH681" s="6"/>
      <c r="AI681" s="9"/>
      <c r="AJ681" s="9"/>
      <c r="AK681" s="9"/>
      <c r="AL681" s="10"/>
      <c r="AM681" s="9"/>
      <c r="AN681" s="10"/>
      <c r="AO681" s="6"/>
      <c r="AP681" s="6"/>
      <c r="AQ681" s="6"/>
      <c r="AR681" s="11"/>
      <c r="AS681" s="6"/>
      <c r="AT681" s="11"/>
      <c r="AU681" s="11"/>
      <c r="AV681" s="6"/>
      <c r="AW681" s="6"/>
    </row>
    <row r="682" spans="11:49"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7"/>
      <c r="AF682" s="8"/>
      <c r="AG682" s="6"/>
      <c r="AH682" s="6"/>
      <c r="AI682" s="9"/>
      <c r="AJ682" s="9"/>
      <c r="AK682" s="9"/>
      <c r="AL682" s="10"/>
      <c r="AM682" s="9"/>
      <c r="AN682" s="10"/>
      <c r="AO682" s="6"/>
      <c r="AP682" s="6"/>
      <c r="AQ682" s="6"/>
      <c r="AR682" s="11"/>
      <c r="AS682" s="6"/>
      <c r="AT682" s="11"/>
      <c r="AU682" s="11"/>
      <c r="AV682" s="6"/>
      <c r="AW682" s="6"/>
    </row>
    <row r="683" spans="11:49"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7"/>
      <c r="AF683" s="8"/>
      <c r="AG683" s="6"/>
      <c r="AH683" s="6"/>
      <c r="AI683" s="9"/>
      <c r="AJ683" s="9"/>
      <c r="AK683" s="9"/>
      <c r="AL683" s="10"/>
      <c r="AM683" s="9"/>
      <c r="AN683" s="10"/>
      <c r="AO683" s="6"/>
      <c r="AP683" s="6"/>
      <c r="AQ683" s="6"/>
      <c r="AR683" s="11"/>
      <c r="AS683" s="6"/>
      <c r="AT683" s="11"/>
      <c r="AU683" s="11"/>
      <c r="AV683" s="6"/>
      <c r="AW683" s="6"/>
    </row>
    <row r="684" spans="11:49"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7"/>
      <c r="AF684" s="8"/>
      <c r="AG684" s="6"/>
      <c r="AH684" s="6"/>
      <c r="AI684" s="9"/>
      <c r="AJ684" s="9"/>
      <c r="AK684" s="9"/>
      <c r="AL684" s="10"/>
      <c r="AM684" s="9"/>
      <c r="AN684" s="10"/>
      <c r="AO684" s="6"/>
      <c r="AP684" s="6"/>
      <c r="AQ684" s="6"/>
      <c r="AR684" s="11"/>
      <c r="AS684" s="6"/>
      <c r="AT684" s="11"/>
      <c r="AU684" s="11"/>
      <c r="AV684" s="6"/>
      <c r="AW684" s="6"/>
    </row>
    <row r="685" spans="11:49"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7"/>
      <c r="AF685" s="8"/>
      <c r="AG685" s="6"/>
      <c r="AH685" s="6"/>
      <c r="AI685" s="9"/>
      <c r="AJ685" s="9"/>
      <c r="AK685" s="9"/>
      <c r="AL685" s="10"/>
      <c r="AM685" s="9"/>
      <c r="AN685" s="10"/>
      <c r="AO685" s="6"/>
      <c r="AP685" s="6"/>
      <c r="AQ685" s="6"/>
      <c r="AR685" s="11"/>
      <c r="AS685" s="6"/>
      <c r="AT685" s="11"/>
      <c r="AU685" s="11"/>
      <c r="AV685" s="6"/>
      <c r="AW685" s="6"/>
    </row>
    <row r="686" spans="11:49"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7"/>
      <c r="AF686" s="8"/>
      <c r="AG686" s="6"/>
      <c r="AH686" s="6"/>
      <c r="AI686" s="9"/>
      <c r="AJ686" s="9"/>
      <c r="AK686" s="9"/>
      <c r="AL686" s="10"/>
      <c r="AM686" s="9"/>
      <c r="AN686" s="10"/>
      <c r="AO686" s="6"/>
      <c r="AP686" s="6"/>
      <c r="AQ686" s="6"/>
      <c r="AR686" s="11"/>
      <c r="AS686" s="6"/>
      <c r="AT686" s="11"/>
      <c r="AU686" s="11"/>
      <c r="AV686" s="6"/>
      <c r="AW686" s="6"/>
    </row>
    <row r="687" spans="11:49"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7"/>
      <c r="AF687" s="8"/>
      <c r="AG687" s="6"/>
      <c r="AH687" s="6"/>
      <c r="AI687" s="9"/>
      <c r="AJ687" s="9"/>
      <c r="AK687" s="9"/>
      <c r="AL687" s="10"/>
      <c r="AM687" s="9"/>
      <c r="AN687" s="10"/>
      <c r="AO687" s="6"/>
      <c r="AP687" s="6"/>
      <c r="AQ687" s="6"/>
      <c r="AR687" s="11"/>
      <c r="AS687" s="6"/>
      <c r="AT687" s="11"/>
      <c r="AU687" s="11"/>
      <c r="AV687" s="6"/>
      <c r="AW687" s="6"/>
    </row>
    <row r="688" spans="11:49"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7"/>
      <c r="AF688" s="8"/>
      <c r="AG688" s="6"/>
      <c r="AH688" s="6"/>
      <c r="AI688" s="9"/>
      <c r="AJ688" s="9"/>
      <c r="AK688" s="9"/>
      <c r="AL688" s="10"/>
      <c r="AM688" s="9"/>
      <c r="AN688" s="10"/>
      <c r="AO688" s="6"/>
      <c r="AP688" s="6"/>
      <c r="AQ688" s="6"/>
      <c r="AR688" s="11"/>
      <c r="AS688" s="6"/>
      <c r="AT688" s="11"/>
      <c r="AU688" s="11"/>
      <c r="AV688" s="6"/>
      <c r="AW688" s="6"/>
    </row>
    <row r="689" spans="11:49"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7"/>
      <c r="AF689" s="8"/>
      <c r="AG689" s="6"/>
      <c r="AH689" s="6"/>
      <c r="AI689" s="9"/>
      <c r="AJ689" s="9"/>
      <c r="AK689" s="9"/>
      <c r="AL689" s="10"/>
      <c r="AM689" s="9"/>
      <c r="AN689" s="10"/>
      <c r="AO689" s="6"/>
      <c r="AP689" s="6"/>
      <c r="AQ689" s="6"/>
      <c r="AR689" s="11"/>
      <c r="AS689" s="6"/>
      <c r="AT689" s="11"/>
      <c r="AU689" s="11"/>
      <c r="AV689" s="6"/>
      <c r="AW689" s="6"/>
    </row>
    <row r="690" spans="11:49"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7"/>
      <c r="AF690" s="8"/>
      <c r="AG690" s="6"/>
      <c r="AH690" s="6"/>
      <c r="AI690" s="9"/>
      <c r="AJ690" s="9"/>
      <c r="AK690" s="9"/>
      <c r="AL690" s="10"/>
      <c r="AM690" s="9"/>
      <c r="AN690" s="10"/>
      <c r="AO690" s="6"/>
      <c r="AP690" s="6"/>
      <c r="AQ690" s="6"/>
      <c r="AR690" s="11"/>
      <c r="AS690" s="6"/>
      <c r="AT690" s="11"/>
      <c r="AU690" s="11"/>
      <c r="AV690" s="6"/>
      <c r="AW690" s="6"/>
    </row>
    <row r="691" spans="11:49"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7"/>
      <c r="AF691" s="8"/>
      <c r="AG691" s="6"/>
      <c r="AH691" s="6"/>
      <c r="AI691" s="9"/>
      <c r="AJ691" s="9"/>
      <c r="AK691" s="9"/>
      <c r="AL691" s="10"/>
      <c r="AM691" s="9"/>
      <c r="AN691" s="10"/>
      <c r="AO691" s="6"/>
      <c r="AP691" s="6"/>
      <c r="AQ691" s="6"/>
      <c r="AR691" s="11"/>
      <c r="AS691" s="6"/>
      <c r="AT691" s="11"/>
      <c r="AU691" s="11"/>
      <c r="AV691" s="6"/>
      <c r="AW691" s="6"/>
    </row>
    <row r="692" spans="11:49"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7"/>
      <c r="AF692" s="8"/>
      <c r="AG692" s="6"/>
      <c r="AH692" s="6"/>
      <c r="AI692" s="9"/>
      <c r="AJ692" s="9"/>
      <c r="AK692" s="9"/>
      <c r="AL692" s="10"/>
      <c r="AM692" s="9"/>
      <c r="AN692" s="10"/>
      <c r="AO692" s="6"/>
      <c r="AP692" s="6"/>
      <c r="AQ692" s="6"/>
      <c r="AR692" s="11"/>
      <c r="AS692" s="6"/>
      <c r="AT692" s="11"/>
      <c r="AU692" s="11"/>
      <c r="AV692" s="6"/>
      <c r="AW692" s="6"/>
    </row>
    <row r="693" spans="11:49"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7"/>
      <c r="AF693" s="8"/>
      <c r="AG693" s="6"/>
      <c r="AH693" s="6"/>
      <c r="AI693" s="9"/>
      <c r="AJ693" s="9"/>
      <c r="AK693" s="9"/>
      <c r="AL693" s="10"/>
      <c r="AM693" s="9"/>
      <c r="AN693" s="10"/>
      <c r="AO693" s="6"/>
      <c r="AP693" s="6"/>
      <c r="AQ693" s="6"/>
      <c r="AR693" s="11"/>
      <c r="AS693" s="6"/>
      <c r="AT693" s="11"/>
      <c r="AU693" s="11"/>
      <c r="AV693" s="6"/>
      <c r="AW693" s="6"/>
    </row>
    <row r="694" spans="11:49"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7"/>
      <c r="AF694" s="8"/>
      <c r="AG694" s="6"/>
      <c r="AH694" s="6"/>
      <c r="AI694" s="9"/>
      <c r="AJ694" s="9"/>
      <c r="AK694" s="9"/>
      <c r="AL694" s="10"/>
      <c r="AM694" s="9"/>
      <c r="AN694" s="10"/>
      <c r="AO694" s="6"/>
      <c r="AP694" s="6"/>
      <c r="AQ694" s="6"/>
      <c r="AR694" s="11"/>
      <c r="AS694" s="6"/>
      <c r="AT694" s="11"/>
      <c r="AU694" s="11"/>
      <c r="AV694" s="6"/>
      <c r="AW694" s="6"/>
    </row>
    <row r="695" spans="11:49"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7"/>
      <c r="AF695" s="8"/>
      <c r="AG695" s="6"/>
      <c r="AH695" s="6"/>
      <c r="AI695" s="9"/>
      <c r="AJ695" s="9"/>
      <c r="AK695" s="9"/>
      <c r="AL695" s="10"/>
      <c r="AM695" s="9"/>
      <c r="AN695" s="10"/>
      <c r="AO695" s="6"/>
      <c r="AP695" s="6"/>
      <c r="AQ695" s="6"/>
      <c r="AR695" s="11"/>
      <c r="AS695" s="6"/>
      <c r="AT695" s="11"/>
      <c r="AU695" s="11"/>
      <c r="AV695" s="6"/>
      <c r="AW695" s="6"/>
    </row>
    <row r="696" spans="11:49"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7"/>
      <c r="AF696" s="8"/>
      <c r="AG696" s="6"/>
      <c r="AH696" s="6"/>
      <c r="AI696" s="9"/>
      <c r="AJ696" s="9"/>
      <c r="AK696" s="9"/>
      <c r="AL696" s="10"/>
      <c r="AM696" s="9"/>
      <c r="AN696" s="10"/>
      <c r="AO696" s="6"/>
      <c r="AP696" s="6"/>
      <c r="AQ696" s="6"/>
      <c r="AR696" s="11"/>
      <c r="AS696" s="6"/>
      <c r="AT696" s="11"/>
      <c r="AU696" s="11"/>
      <c r="AV696" s="6"/>
      <c r="AW696" s="6"/>
    </row>
    <row r="697" spans="11:49"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7"/>
      <c r="AF697" s="8"/>
      <c r="AG697" s="6"/>
      <c r="AH697" s="6"/>
      <c r="AI697" s="9"/>
      <c r="AJ697" s="9"/>
      <c r="AK697" s="9"/>
      <c r="AL697" s="10"/>
      <c r="AM697" s="9"/>
      <c r="AN697" s="10"/>
      <c r="AO697" s="6"/>
      <c r="AP697" s="6"/>
      <c r="AQ697" s="6"/>
      <c r="AR697" s="11"/>
      <c r="AS697" s="6"/>
      <c r="AT697" s="11"/>
      <c r="AU697" s="11"/>
      <c r="AV697" s="6"/>
      <c r="AW697" s="6"/>
    </row>
    <row r="698" spans="11:49"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7"/>
      <c r="AF698" s="8"/>
      <c r="AG698" s="6"/>
      <c r="AH698" s="6"/>
      <c r="AI698" s="9"/>
      <c r="AJ698" s="9"/>
      <c r="AK698" s="9"/>
      <c r="AL698" s="10"/>
      <c r="AM698" s="9"/>
      <c r="AN698" s="10"/>
      <c r="AO698" s="6"/>
      <c r="AP698" s="6"/>
      <c r="AQ698" s="6"/>
      <c r="AR698" s="11"/>
      <c r="AS698" s="6"/>
      <c r="AT698" s="11"/>
      <c r="AU698" s="11"/>
      <c r="AV698" s="6"/>
      <c r="AW698" s="6"/>
    </row>
    <row r="699" spans="11:49"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7"/>
      <c r="AF699" s="8"/>
      <c r="AG699" s="6"/>
      <c r="AH699" s="6"/>
      <c r="AI699" s="9"/>
      <c r="AJ699" s="9"/>
      <c r="AK699" s="9"/>
      <c r="AL699" s="10"/>
      <c r="AM699" s="9"/>
      <c r="AN699" s="10"/>
      <c r="AO699" s="6"/>
      <c r="AP699" s="6"/>
      <c r="AQ699" s="6"/>
      <c r="AR699" s="11"/>
      <c r="AS699" s="6"/>
      <c r="AT699" s="11"/>
      <c r="AU699" s="11"/>
      <c r="AV699" s="6"/>
      <c r="AW699" s="6"/>
    </row>
    <row r="700" spans="11:49"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7"/>
      <c r="AF700" s="8"/>
      <c r="AG700" s="6"/>
      <c r="AH700" s="6"/>
      <c r="AI700" s="9"/>
      <c r="AJ700" s="9"/>
      <c r="AK700" s="9"/>
      <c r="AL700" s="10"/>
      <c r="AM700" s="9"/>
      <c r="AN700" s="10"/>
      <c r="AO700" s="6"/>
      <c r="AP700" s="6"/>
      <c r="AQ700" s="6"/>
      <c r="AR700" s="11"/>
      <c r="AS700" s="6"/>
      <c r="AT700" s="11"/>
      <c r="AU700" s="11"/>
      <c r="AV700" s="6"/>
      <c r="AW700" s="6"/>
    </row>
    <row r="701" spans="11:49"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7"/>
      <c r="AF701" s="8"/>
      <c r="AG701" s="6"/>
      <c r="AH701" s="6"/>
      <c r="AI701" s="9"/>
      <c r="AJ701" s="9"/>
      <c r="AK701" s="9"/>
      <c r="AL701" s="10"/>
      <c r="AM701" s="9"/>
      <c r="AN701" s="10"/>
      <c r="AO701" s="6"/>
      <c r="AP701" s="6"/>
      <c r="AQ701" s="6"/>
      <c r="AR701" s="11"/>
      <c r="AS701" s="6"/>
      <c r="AT701" s="11"/>
      <c r="AU701" s="11"/>
      <c r="AV701" s="6"/>
      <c r="AW701" s="6"/>
    </row>
    <row r="702" spans="11:49"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7"/>
      <c r="AF702" s="8"/>
      <c r="AG702" s="6"/>
      <c r="AH702" s="6"/>
      <c r="AI702" s="9"/>
      <c r="AJ702" s="9"/>
      <c r="AK702" s="9"/>
      <c r="AL702" s="10"/>
      <c r="AM702" s="9"/>
      <c r="AN702" s="10"/>
      <c r="AO702" s="6"/>
      <c r="AP702" s="6"/>
      <c r="AQ702" s="6"/>
      <c r="AR702" s="11"/>
      <c r="AS702" s="6"/>
      <c r="AT702" s="11"/>
      <c r="AU702" s="11"/>
      <c r="AV702" s="6"/>
      <c r="AW702" s="6"/>
    </row>
    <row r="703" spans="11:49"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7"/>
      <c r="AF703" s="8"/>
      <c r="AG703" s="6"/>
      <c r="AH703" s="6"/>
      <c r="AI703" s="9"/>
      <c r="AJ703" s="9"/>
      <c r="AK703" s="9"/>
      <c r="AL703" s="10"/>
      <c r="AM703" s="9"/>
      <c r="AN703" s="10"/>
      <c r="AO703" s="6"/>
      <c r="AP703" s="6"/>
      <c r="AQ703" s="6"/>
      <c r="AR703" s="11"/>
      <c r="AS703" s="6"/>
      <c r="AT703" s="11"/>
      <c r="AU703" s="11"/>
      <c r="AV703" s="6"/>
      <c r="AW703" s="6"/>
    </row>
    <row r="704" spans="11:49"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7"/>
      <c r="AF704" s="8"/>
      <c r="AG704" s="6"/>
      <c r="AH704" s="6"/>
      <c r="AI704" s="9"/>
      <c r="AJ704" s="9"/>
      <c r="AK704" s="9"/>
      <c r="AL704" s="10"/>
      <c r="AM704" s="9"/>
      <c r="AN704" s="10"/>
      <c r="AO704" s="6"/>
      <c r="AP704" s="6"/>
      <c r="AQ704" s="6"/>
      <c r="AR704" s="11"/>
      <c r="AS704" s="6"/>
      <c r="AT704" s="11"/>
      <c r="AU704" s="11"/>
      <c r="AV704" s="6"/>
      <c r="AW704" s="6"/>
    </row>
    <row r="705" spans="11:49"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7"/>
      <c r="AF705" s="8"/>
      <c r="AG705" s="6"/>
      <c r="AH705" s="6"/>
      <c r="AI705" s="9"/>
      <c r="AJ705" s="9"/>
      <c r="AK705" s="9"/>
      <c r="AL705" s="10"/>
      <c r="AM705" s="9"/>
      <c r="AN705" s="10"/>
      <c r="AO705" s="6"/>
      <c r="AP705" s="6"/>
      <c r="AQ705" s="6"/>
      <c r="AR705" s="11"/>
      <c r="AS705" s="6"/>
      <c r="AT705" s="11"/>
      <c r="AU705" s="11"/>
      <c r="AV705" s="6"/>
      <c r="AW705" s="6"/>
    </row>
    <row r="706" spans="11:49"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7"/>
      <c r="AF706" s="8"/>
      <c r="AG706" s="6"/>
      <c r="AH706" s="6"/>
      <c r="AI706" s="9"/>
      <c r="AJ706" s="9"/>
      <c r="AK706" s="9"/>
      <c r="AL706" s="10"/>
      <c r="AM706" s="9"/>
      <c r="AN706" s="10"/>
      <c r="AO706" s="6"/>
      <c r="AP706" s="6"/>
      <c r="AQ706" s="6"/>
      <c r="AR706" s="11"/>
      <c r="AS706" s="6"/>
      <c r="AT706" s="11"/>
      <c r="AU706" s="11"/>
      <c r="AV706" s="6"/>
      <c r="AW706" s="6"/>
    </row>
    <row r="707" spans="11:49"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7"/>
      <c r="AF707" s="8"/>
      <c r="AG707" s="6"/>
      <c r="AH707" s="6"/>
      <c r="AI707" s="9"/>
      <c r="AJ707" s="9"/>
      <c r="AK707" s="9"/>
      <c r="AL707" s="10"/>
      <c r="AM707" s="9"/>
      <c r="AN707" s="10"/>
      <c r="AO707" s="6"/>
      <c r="AP707" s="6"/>
      <c r="AQ707" s="6"/>
      <c r="AR707" s="11"/>
      <c r="AS707" s="6"/>
      <c r="AT707" s="11"/>
      <c r="AU707" s="11"/>
      <c r="AV707" s="6"/>
      <c r="AW707" s="6"/>
    </row>
    <row r="708" spans="11:49"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7"/>
      <c r="AF708" s="8"/>
      <c r="AG708" s="6"/>
      <c r="AH708" s="6"/>
      <c r="AI708" s="9"/>
      <c r="AJ708" s="9"/>
      <c r="AK708" s="9"/>
      <c r="AL708" s="10"/>
      <c r="AM708" s="9"/>
      <c r="AN708" s="10"/>
      <c r="AO708" s="6"/>
      <c r="AP708" s="6"/>
      <c r="AQ708" s="6"/>
      <c r="AR708" s="11"/>
      <c r="AS708" s="6"/>
      <c r="AT708" s="11"/>
      <c r="AU708" s="11"/>
      <c r="AV708" s="6"/>
      <c r="AW708" s="6"/>
    </row>
    <row r="709" spans="11:49"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7"/>
      <c r="AF709" s="8"/>
      <c r="AG709" s="6"/>
      <c r="AH709" s="6"/>
      <c r="AI709" s="9"/>
      <c r="AJ709" s="9"/>
      <c r="AK709" s="9"/>
      <c r="AL709" s="10"/>
      <c r="AM709" s="9"/>
      <c r="AN709" s="10"/>
      <c r="AO709" s="6"/>
      <c r="AP709" s="6"/>
      <c r="AQ709" s="6"/>
      <c r="AR709" s="11"/>
      <c r="AS709" s="6"/>
      <c r="AT709" s="11"/>
      <c r="AU709" s="11"/>
      <c r="AV709" s="6"/>
      <c r="AW709" s="6"/>
    </row>
    <row r="710" spans="11:49"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7"/>
      <c r="AF710" s="8"/>
      <c r="AG710" s="6"/>
      <c r="AH710" s="6"/>
      <c r="AI710" s="9"/>
      <c r="AJ710" s="9"/>
      <c r="AK710" s="9"/>
      <c r="AL710" s="10"/>
      <c r="AM710" s="9"/>
      <c r="AN710" s="10"/>
      <c r="AO710" s="6"/>
      <c r="AP710" s="6"/>
      <c r="AQ710" s="6"/>
      <c r="AR710" s="11"/>
      <c r="AS710" s="6"/>
      <c r="AT710" s="11"/>
      <c r="AU710" s="11"/>
      <c r="AV710" s="6"/>
      <c r="AW710" s="6"/>
    </row>
    <row r="711" spans="11:49"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7"/>
      <c r="AF711" s="8"/>
      <c r="AG711" s="6"/>
      <c r="AH711" s="6"/>
      <c r="AI711" s="9"/>
      <c r="AJ711" s="9"/>
      <c r="AK711" s="9"/>
      <c r="AL711" s="10"/>
      <c r="AM711" s="9"/>
      <c r="AN711" s="10"/>
      <c r="AO711" s="6"/>
      <c r="AP711" s="6"/>
      <c r="AQ711" s="6"/>
      <c r="AR711" s="11"/>
      <c r="AS711" s="6"/>
      <c r="AT711" s="11"/>
      <c r="AU711" s="11"/>
      <c r="AV711" s="6"/>
      <c r="AW711" s="6"/>
    </row>
    <row r="712" spans="11:49"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7"/>
      <c r="AF712" s="8"/>
      <c r="AG712" s="6"/>
      <c r="AH712" s="6"/>
      <c r="AI712" s="9"/>
      <c r="AJ712" s="9"/>
      <c r="AK712" s="9"/>
      <c r="AL712" s="10"/>
      <c r="AM712" s="9"/>
      <c r="AN712" s="10"/>
      <c r="AO712" s="6"/>
      <c r="AP712" s="6"/>
      <c r="AQ712" s="6"/>
      <c r="AR712" s="11"/>
      <c r="AS712" s="6"/>
      <c r="AT712" s="11"/>
      <c r="AU712" s="11"/>
      <c r="AV712" s="6"/>
      <c r="AW712" s="6"/>
    </row>
    <row r="713" spans="11:49"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7"/>
      <c r="AF713" s="8"/>
      <c r="AG713" s="6"/>
      <c r="AH713" s="6"/>
      <c r="AI713" s="9"/>
      <c r="AJ713" s="9"/>
      <c r="AK713" s="9"/>
      <c r="AL713" s="10"/>
      <c r="AM713" s="9"/>
      <c r="AN713" s="10"/>
      <c r="AO713" s="6"/>
      <c r="AP713" s="6"/>
      <c r="AQ713" s="6"/>
      <c r="AR713" s="11"/>
      <c r="AS713" s="6"/>
      <c r="AT713" s="11"/>
      <c r="AU713" s="11"/>
      <c r="AV713" s="6"/>
      <c r="AW713" s="6"/>
    </row>
    <row r="714" spans="11:49"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7"/>
      <c r="AF714" s="8"/>
      <c r="AG714" s="6"/>
      <c r="AH714" s="6"/>
      <c r="AI714" s="9"/>
      <c r="AJ714" s="9"/>
      <c r="AK714" s="9"/>
      <c r="AL714" s="10"/>
      <c r="AM714" s="9"/>
      <c r="AN714" s="10"/>
      <c r="AO714" s="6"/>
      <c r="AP714" s="6"/>
      <c r="AQ714" s="6"/>
      <c r="AR714" s="11"/>
      <c r="AS714" s="6"/>
      <c r="AT714" s="11"/>
      <c r="AU714" s="11"/>
      <c r="AV714" s="6"/>
      <c r="AW714" s="6"/>
    </row>
    <row r="715" spans="11:49"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7"/>
      <c r="AF715" s="8"/>
      <c r="AG715" s="6"/>
      <c r="AH715" s="6"/>
      <c r="AI715" s="9"/>
      <c r="AJ715" s="9"/>
      <c r="AK715" s="9"/>
      <c r="AL715" s="10"/>
      <c r="AM715" s="9"/>
      <c r="AN715" s="10"/>
      <c r="AO715" s="6"/>
      <c r="AP715" s="6"/>
      <c r="AQ715" s="6"/>
      <c r="AR715" s="11"/>
      <c r="AS715" s="6"/>
      <c r="AT715" s="11"/>
      <c r="AU715" s="11"/>
      <c r="AV715" s="6"/>
      <c r="AW715" s="6"/>
    </row>
    <row r="716" spans="11:49"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7"/>
      <c r="AF716" s="8"/>
      <c r="AG716" s="6"/>
      <c r="AH716" s="6"/>
      <c r="AI716" s="9"/>
      <c r="AJ716" s="9"/>
      <c r="AK716" s="9"/>
      <c r="AL716" s="10"/>
      <c r="AM716" s="9"/>
      <c r="AN716" s="10"/>
      <c r="AO716" s="6"/>
      <c r="AP716" s="6"/>
      <c r="AQ716" s="6"/>
      <c r="AR716" s="11"/>
      <c r="AS716" s="6"/>
      <c r="AT716" s="11"/>
      <c r="AU716" s="11"/>
      <c r="AV716" s="6"/>
      <c r="AW716" s="6"/>
    </row>
    <row r="717" spans="11:49"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7"/>
      <c r="AF717" s="8"/>
      <c r="AG717" s="6"/>
      <c r="AH717" s="6"/>
      <c r="AI717" s="9"/>
      <c r="AJ717" s="9"/>
      <c r="AK717" s="9"/>
      <c r="AL717" s="10"/>
      <c r="AM717" s="9"/>
      <c r="AN717" s="10"/>
      <c r="AO717" s="6"/>
      <c r="AP717" s="6"/>
      <c r="AQ717" s="6"/>
      <c r="AR717" s="11"/>
      <c r="AS717" s="6"/>
      <c r="AT717" s="11"/>
      <c r="AU717" s="11"/>
      <c r="AV717" s="6"/>
      <c r="AW717" s="6"/>
    </row>
    <row r="718" spans="11:49"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7"/>
      <c r="AF718" s="8"/>
      <c r="AG718" s="6"/>
      <c r="AH718" s="6"/>
      <c r="AI718" s="9"/>
      <c r="AJ718" s="9"/>
      <c r="AK718" s="9"/>
      <c r="AL718" s="10"/>
      <c r="AM718" s="9"/>
      <c r="AN718" s="10"/>
      <c r="AO718" s="6"/>
      <c r="AP718" s="6"/>
      <c r="AQ718" s="6"/>
      <c r="AR718" s="11"/>
      <c r="AS718" s="6"/>
      <c r="AT718" s="11"/>
      <c r="AU718" s="11"/>
      <c r="AV718" s="6"/>
      <c r="AW718" s="6"/>
    </row>
    <row r="719" spans="11:49"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7"/>
      <c r="AF719" s="8"/>
      <c r="AG719" s="6"/>
      <c r="AH719" s="6"/>
      <c r="AI719" s="9"/>
      <c r="AJ719" s="9"/>
      <c r="AK719" s="9"/>
      <c r="AL719" s="10"/>
      <c r="AM719" s="9"/>
      <c r="AN719" s="10"/>
      <c r="AO719" s="6"/>
      <c r="AP719" s="6"/>
      <c r="AQ719" s="6"/>
      <c r="AR719" s="11"/>
      <c r="AS719" s="6"/>
      <c r="AT719" s="11"/>
      <c r="AU719" s="11"/>
      <c r="AV719" s="6"/>
      <c r="AW719" s="6"/>
    </row>
    <row r="720" spans="11:49"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7"/>
      <c r="AF720" s="8"/>
      <c r="AG720" s="6"/>
      <c r="AH720" s="6"/>
      <c r="AI720" s="9"/>
      <c r="AJ720" s="9"/>
      <c r="AK720" s="9"/>
      <c r="AL720" s="10"/>
      <c r="AM720" s="9"/>
      <c r="AN720" s="10"/>
      <c r="AO720" s="6"/>
      <c r="AP720" s="6"/>
      <c r="AQ720" s="6"/>
      <c r="AR720" s="11"/>
      <c r="AS720" s="6"/>
      <c r="AT720" s="11"/>
      <c r="AU720" s="11"/>
      <c r="AV720" s="6"/>
      <c r="AW720" s="6"/>
    </row>
    <row r="721" spans="11:49"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7"/>
      <c r="AF721" s="8"/>
      <c r="AG721" s="6"/>
      <c r="AH721" s="6"/>
      <c r="AI721" s="9"/>
      <c r="AJ721" s="9"/>
      <c r="AK721" s="9"/>
      <c r="AL721" s="10"/>
      <c r="AM721" s="9"/>
      <c r="AN721" s="10"/>
      <c r="AO721" s="6"/>
      <c r="AP721" s="6"/>
      <c r="AQ721" s="6"/>
      <c r="AR721" s="11"/>
      <c r="AS721" s="6"/>
      <c r="AT721" s="11"/>
      <c r="AU721" s="11"/>
      <c r="AV721" s="6"/>
      <c r="AW721" s="6"/>
    </row>
    <row r="722" spans="11:49"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7"/>
      <c r="AF722" s="8"/>
      <c r="AG722" s="6"/>
      <c r="AH722" s="6"/>
      <c r="AI722" s="9"/>
      <c r="AJ722" s="9"/>
      <c r="AK722" s="9"/>
      <c r="AL722" s="10"/>
      <c r="AM722" s="9"/>
      <c r="AN722" s="10"/>
      <c r="AO722" s="6"/>
      <c r="AP722" s="6"/>
      <c r="AQ722" s="6"/>
      <c r="AR722" s="11"/>
      <c r="AS722" s="6"/>
      <c r="AT722" s="11"/>
      <c r="AU722" s="11"/>
      <c r="AV722" s="6"/>
      <c r="AW722" s="6"/>
    </row>
    <row r="723" spans="11:49"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7"/>
      <c r="AF723" s="8"/>
      <c r="AG723" s="6"/>
      <c r="AH723" s="6"/>
      <c r="AI723" s="9"/>
      <c r="AJ723" s="9"/>
      <c r="AK723" s="9"/>
      <c r="AL723" s="10"/>
      <c r="AM723" s="9"/>
      <c r="AN723" s="10"/>
      <c r="AO723" s="6"/>
      <c r="AP723" s="6"/>
      <c r="AQ723" s="6"/>
      <c r="AR723" s="11"/>
      <c r="AS723" s="6"/>
      <c r="AT723" s="11"/>
      <c r="AU723" s="11"/>
      <c r="AV723" s="6"/>
      <c r="AW723" s="6"/>
    </row>
    <row r="724" spans="11:49"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7"/>
      <c r="AF724" s="8"/>
      <c r="AG724" s="6"/>
      <c r="AH724" s="6"/>
      <c r="AI724" s="9"/>
      <c r="AJ724" s="9"/>
      <c r="AK724" s="9"/>
      <c r="AL724" s="10"/>
      <c r="AM724" s="9"/>
      <c r="AN724" s="10"/>
      <c r="AO724" s="6"/>
      <c r="AP724" s="6"/>
      <c r="AQ724" s="6"/>
      <c r="AR724" s="11"/>
      <c r="AS724" s="6"/>
      <c r="AT724" s="11"/>
      <c r="AU724" s="11"/>
      <c r="AV724" s="6"/>
      <c r="AW724" s="6"/>
    </row>
    <row r="725" spans="11:49"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7"/>
      <c r="AF725" s="8"/>
      <c r="AG725" s="6"/>
      <c r="AH725" s="6"/>
      <c r="AI725" s="9"/>
      <c r="AJ725" s="9"/>
      <c r="AK725" s="9"/>
      <c r="AL725" s="10"/>
      <c r="AM725" s="9"/>
      <c r="AN725" s="10"/>
      <c r="AO725" s="6"/>
      <c r="AP725" s="6"/>
      <c r="AQ725" s="6"/>
      <c r="AR725" s="11"/>
      <c r="AS725" s="6"/>
      <c r="AT725" s="11"/>
      <c r="AU725" s="11"/>
      <c r="AV725" s="6"/>
      <c r="AW725" s="6"/>
    </row>
    <row r="726" spans="11:49"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7"/>
      <c r="AF726" s="8"/>
      <c r="AG726" s="6"/>
      <c r="AH726" s="6"/>
      <c r="AI726" s="9"/>
      <c r="AJ726" s="9"/>
      <c r="AK726" s="9"/>
      <c r="AL726" s="10"/>
      <c r="AM726" s="9"/>
      <c r="AN726" s="10"/>
      <c r="AO726" s="6"/>
      <c r="AP726" s="6"/>
      <c r="AQ726" s="6"/>
      <c r="AR726" s="11"/>
      <c r="AS726" s="6"/>
      <c r="AT726" s="11"/>
      <c r="AU726" s="11"/>
      <c r="AV726" s="6"/>
      <c r="AW726" s="6"/>
    </row>
    <row r="727" spans="11:49"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7"/>
      <c r="AF727" s="8"/>
      <c r="AG727" s="6"/>
      <c r="AH727" s="6"/>
      <c r="AI727" s="9"/>
      <c r="AJ727" s="9"/>
      <c r="AK727" s="9"/>
      <c r="AL727" s="10"/>
      <c r="AM727" s="9"/>
      <c r="AN727" s="10"/>
      <c r="AO727" s="6"/>
      <c r="AP727" s="6"/>
      <c r="AQ727" s="6"/>
      <c r="AR727" s="11"/>
      <c r="AS727" s="6"/>
      <c r="AT727" s="11"/>
      <c r="AU727" s="11"/>
      <c r="AV727" s="6"/>
      <c r="AW727" s="6"/>
    </row>
    <row r="728" spans="11:49"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7"/>
      <c r="AF728" s="8"/>
      <c r="AG728" s="6"/>
      <c r="AH728" s="6"/>
      <c r="AI728" s="9"/>
      <c r="AJ728" s="9"/>
      <c r="AK728" s="9"/>
      <c r="AL728" s="10"/>
      <c r="AM728" s="9"/>
      <c r="AN728" s="10"/>
      <c r="AO728" s="6"/>
      <c r="AP728" s="6"/>
      <c r="AQ728" s="6"/>
      <c r="AR728" s="11"/>
      <c r="AS728" s="6"/>
      <c r="AT728" s="11"/>
      <c r="AU728" s="11"/>
      <c r="AV728" s="6"/>
      <c r="AW728" s="6"/>
    </row>
    <row r="729" spans="11:49"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7"/>
      <c r="AF729" s="8"/>
      <c r="AG729" s="6"/>
      <c r="AH729" s="6"/>
      <c r="AI729" s="9"/>
      <c r="AJ729" s="9"/>
      <c r="AK729" s="9"/>
      <c r="AL729" s="10"/>
      <c r="AM729" s="9"/>
      <c r="AN729" s="10"/>
      <c r="AO729" s="6"/>
      <c r="AP729" s="6"/>
      <c r="AQ729" s="6"/>
      <c r="AR729" s="11"/>
      <c r="AS729" s="6"/>
      <c r="AT729" s="11"/>
      <c r="AU729" s="11"/>
      <c r="AV729" s="6"/>
      <c r="AW729" s="6"/>
    </row>
    <row r="730" spans="11:49"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7"/>
      <c r="AF730" s="8"/>
      <c r="AG730" s="6"/>
      <c r="AH730" s="6"/>
      <c r="AI730" s="9"/>
      <c r="AJ730" s="9"/>
      <c r="AK730" s="9"/>
      <c r="AL730" s="10"/>
      <c r="AM730" s="9"/>
      <c r="AN730" s="10"/>
      <c r="AO730" s="6"/>
      <c r="AP730" s="6"/>
      <c r="AQ730" s="6"/>
      <c r="AR730" s="11"/>
      <c r="AS730" s="6"/>
      <c r="AT730" s="11"/>
      <c r="AU730" s="11"/>
      <c r="AV730" s="6"/>
      <c r="AW730" s="6"/>
    </row>
    <row r="731" spans="11:49"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7"/>
      <c r="AF731" s="8"/>
      <c r="AG731" s="6"/>
      <c r="AH731" s="6"/>
      <c r="AI731" s="9"/>
      <c r="AJ731" s="9"/>
      <c r="AK731" s="9"/>
      <c r="AL731" s="10"/>
      <c r="AM731" s="9"/>
      <c r="AN731" s="10"/>
      <c r="AO731" s="6"/>
      <c r="AP731" s="6"/>
      <c r="AQ731" s="6"/>
      <c r="AR731" s="11"/>
      <c r="AS731" s="6"/>
      <c r="AT731" s="11"/>
      <c r="AU731" s="11"/>
      <c r="AV731" s="6"/>
      <c r="AW731" s="6"/>
    </row>
    <row r="732" spans="11:49"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7"/>
      <c r="AF732" s="8"/>
      <c r="AG732" s="6"/>
      <c r="AH732" s="6"/>
      <c r="AI732" s="9"/>
      <c r="AJ732" s="9"/>
      <c r="AK732" s="9"/>
      <c r="AL732" s="10"/>
      <c r="AM732" s="9"/>
      <c r="AN732" s="10"/>
      <c r="AO732" s="6"/>
      <c r="AP732" s="6"/>
      <c r="AQ732" s="6"/>
      <c r="AR732" s="11"/>
      <c r="AS732" s="6"/>
      <c r="AT732" s="11"/>
      <c r="AU732" s="11"/>
      <c r="AV732" s="6"/>
      <c r="AW732" s="6"/>
    </row>
    <row r="733" spans="11:49"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7"/>
      <c r="AF733" s="8"/>
      <c r="AG733" s="6"/>
      <c r="AH733" s="6"/>
      <c r="AI733" s="9"/>
      <c r="AJ733" s="9"/>
      <c r="AK733" s="9"/>
      <c r="AL733" s="10"/>
      <c r="AM733" s="9"/>
      <c r="AN733" s="10"/>
      <c r="AO733" s="6"/>
      <c r="AP733" s="6"/>
      <c r="AQ733" s="6"/>
      <c r="AR733" s="11"/>
      <c r="AS733" s="6"/>
      <c r="AT733" s="11"/>
      <c r="AU733" s="11"/>
      <c r="AV733" s="6"/>
      <c r="AW733" s="6"/>
    </row>
    <row r="734" spans="11:49"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7"/>
      <c r="AF734" s="8"/>
      <c r="AG734" s="6"/>
      <c r="AH734" s="6"/>
      <c r="AI734" s="9"/>
      <c r="AJ734" s="9"/>
      <c r="AK734" s="9"/>
      <c r="AL734" s="10"/>
      <c r="AM734" s="9"/>
      <c r="AN734" s="10"/>
      <c r="AO734" s="6"/>
      <c r="AP734" s="6"/>
      <c r="AQ734" s="6"/>
      <c r="AR734" s="11"/>
      <c r="AS734" s="6"/>
      <c r="AT734" s="11"/>
      <c r="AU734" s="11"/>
      <c r="AV734" s="6"/>
      <c r="AW734" s="6"/>
    </row>
    <row r="735" spans="11:49"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7"/>
      <c r="AF735" s="8"/>
      <c r="AG735" s="6"/>
      <c r="AH735" s="6"/>
      <c r="AI735" s="9"/>
      <c r="AJ735" s="9"/>
      <c r="AK735" s="9"/>
      <c r="AL735" s="10"/>
      <c r="AM735" s="9"/>
      <c r="AN735" s="10"/>
      <c r="AO735" s="6"/>
      <c r="AP735" s="6"/>
      <c r="AQ735" s="6"/>
      <c r="AR735" s="11"/>
      <c r="AS735" s="6"/>
      <c r="AT735" s="11"/>
      <c r="AU735" s="11"/>
      <c r="AV735" s="6"/>
      <c r="AW735" s="6"/>
    </row>
    <row r="736" spans="11:49"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7"/>
      <c r="AF736" s="8"/>
      <c r="AG736" s="6"/>
      <c r="AH736" s="6"/>
      <c r="AI736" s="9"/>
      <c r="AJ736" s="9"/>
      <c r="AK736" s="9"/>
      <c r="AL736" s="10"/>
      <c r="AM736" s="9"/>
      <c r="AN736" s="10"/>
      <c r="AO736" s="6"/>
      <c r="AP736" s="6"/>
      <c r="AQ736" s="6"/>
      <c r="AR736" s="11"/>
      <c r="AS736" s="6"/>
      <c r="AT736" s="11"/>
      <c r="AU736" s="11"/>
      <c r="AV736" s="6"/>
      <c r="AW736" s="6"/>
    </row>
    <row r="737" spans="11:49"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7"/>
      <c r="AF737" s="8"/>
      <c r="AG737" s="6"/>
      <c r="AH737" s="6"/>
      <c r="AI737" s="9"/>
      <c r="AJ737" s="9"/>
      <c r="AK737" s="9"/>
      <c r="AL737" s="10"/>
      <c r="AM737" s="9"/>
      <c r="AN737" s="10"/>
      <c r="AO737" s="6"/>
      <c r="AP737" s="6"/>
      <c r="AQ737" s="6"/>
      <c r="AR737" s="11"/>
      <c r="AS737" s="6"/>
      <c r="AT737" s="11"/>
      <c r="AU737" s="11"/>
      <c r="AV737" s="6"/>
      <c r="AW737" s="6"/>
    </row>
    <row r="738" spans="11:49"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7"/>
      <c r="AF738" s="8"/>
      <c r="AG738" s="6"/>
      <c r="AH738" s="6"/>
      <c r="AI738" s="9"/>
      <c r="AJ738" s="9"/>
      <c r="AK738" s="9"/>
      <c r="AL738" s="10"/>
      <c r="AM738" s="9"/>
      <c r="AN738" s="10"/>
      <c r="AO738" s="6"/>
      <c r="AP738" s="6"/>
      <c r="AQ738" s="6"/>
      <c r="AR738" s="11"/>
      <c r="AS738" s="6"/>
      <c r="AT738" s="11"/>
      <c r="AU738" s="11"/>
      <c r="AV738" s="6"/>
      <c r="AW738" s="6"/>
    </row>
    <row r="739" spans="11:49"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7"/>
      <c r="AF739" s="8"/>
      <c r="AG739" s="6"/>
      <c r="AH739" s="6"/>
      <c r="AI739" s="9"/>
      <c r="AJ739" s="9"/>
      <c r="AK739" s="9"/>
      <c r="AL739" s="10"/>
      <c r="AM739" s="9"/>
      <c r="AN739" s="10"/>
      <c r="AO739" s="6"/>
      <c r="AP739" s="6"/>
      <c r="AQ739" s="6"/>
      <c r="AR739" s="11"/>
      <c r="AS739" s="6"/>
      <c r="AT739" s="11"/>
      <c r="AU739" s="11"/>
      <c r="AV739" s="6"/>
      <c r="AW739" s="6"/>
    </row>
    <row r="740" spans="11:49"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7"/>
      <c r="AF740" s="8"/>
      <c r="AG740" s="6"/>
      <c r="AH740" s="6"/>
      <c r="AI740" s="9"/>
      <c r="AJ740" s="9"/>
      <c r="AK740" s="9"/>
      <c r="AL740" s="10"/>
      <c r="AM740" s="9"/>
      <c r="AN740" s="10"/>
      <c r="AO740" s="6"/>
      <c r="AP740" s="6"/>
      <c r="AQ740" s="6"/>
      <c r="AR740" s="11"/>
      <c r="AS740" s="6"/>
      <c r="AT740" s="11"/>
      <c r="AU740" s="11"/>
      <c r="AV740" s="6"/>
      <c r="AW740" s="6"/>
    </row>
    <row r="741" spans="11:49"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7"/>
      <c r="AF741" s="8"/>
      <c r="AG741" s="6"/>
      <c r="AH741" s="6"/>
      <c r="AI741" s="9"/>
      <c r="AJ741" s="9"/>
      <c r="AK741" s="9"/>
      <c r="AL741" s="10"/>
      <c r="AM741" s="9"/>
      <c r="AN741" s="10"/>
      <c r="AO741" s="6"/>
      <c r="AP741" s="6"/>
      <c r="AQ741" s="6"/>
      <c r="AR741" s="11"/>
      <c r="AS741" s="6"/>
      <c r="AT741" s="11"/>
      <c r="AU741" s="11"/>
      <c r="AV741" s="6"/>
      <c r="AW741" s="6"/>
    </row>
    <row r="742" spans="11:49"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7"/>
      <c r="AF742" s="8"/>
      <c r="AG742" s="6"/>
      <c r="AH742" s="6"/>
      <c r="AI742" s="9"/>
      <c r="AJ742" s="9"/>
      <c r="AK742" s="9"/>
      <c r="AL742" s="10"/>
      <c r="AM742" s="9"/>
      <c r="AN742" s="10"/>
      <c r="AO742" s="6"/>
      <c r="AP742" s="6"/>
      <c r="AQ742" s="6"/>
      <c r="AR742" s="11"/>
      <c r="AS742" s="6"/>
      <c r="AT742" s="11"/>
      <c r="AU742" s="11"/>
      <c r="AV742" s="6"/>
      <c r="AW742" s="6"/>
    </row>
    <row r="743" spans="11:49"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7"/>
      <c r="AF743" s="8"/>
      <c r="AG743" s="6"/>
      <c r="AH743" s="6"/>
      <c r="AI743" s="9"/>
      <c r="AJ743" s="9"/>
      <c r="AK743" s="9"/>
      <c r="AL743" s="10"/>
      <c r="AM743" s="9"/>
      <c r="AN743" s="10"/>
      <c r="AO743" s="6"/>
      <c r="AP743" s="6"/>
      <c r="AQ743" s="6"/>
      <c r="AR743" s="11"/>
      <c r="AS743" s="6"/>
      <c r="AT743" s="11"/>
      <c r="AU743" s="11"/>
      <c r="AV743" s="6"/>
      <c r="AW743" s="6"/>
    </row>
    <row r="744" spans="11:49"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7"/>
      <c r="AF744" s="8"/>
      <c r="AG744" s="6"/>
      <c r="AH744" s="6"/>
      <c r="AI744" s="9"/>
      <c r="AJ744" s="9"/>
      <c r="AK744" s="9"/>
      <c r="AL744" s="10"/>
      <c r="AM744" s="9"/>
      <c r="AN744" s="10"/>
      <c r="AO744" s="6"/>
      <c r="AP744" s="6"/>
      <c r="AQ744" s="6"/>
      <c r="AR744" s="11"/>
      <c r="AS744" s="6"/>
      <c r="AT744" s="11"/>
      <c r="AU744" s="11"/>
      <c r="AV744" s="6"/>
      <c r="AW744" s="6"/>
    </row>
    <row r="745" spans="11:49"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7"/>
      <c r="AF745" s="8"/>
      <c r="AG745" s="6"/>
      <c r="AH745" s="6"/>
      <c r="AI745" s="9"/>
      <c r="AJ745" s="9"/>
      <c r="AK745" s="9"/>
      <c r="AL745" s="10"/>
      <c r="AM745" s="9"/>
      <c r="AN745" s="10"/>
      <c r="AO745" s="6"/>
      <c r="AP745" s="6"/>
      <c r="AQ745" s="6"/>
      <c r="AR745" s="11"/>
      <c r="AS745" s="6"/>
      <c r="AT745" s="11"/>
      <c r="AU745" s="11"/>
      <c r="AV745" s="6"/>
      <c r="AW745" s="6"/>
    </row>
    <row r="746" spans="11:49"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7"/>
      <c r="AF746" s="8"/>
      <c r="AG746" s="6"/>
      <c r="AH746" s="6"/>
      <c r="AI746" s="9"/>
      <c r="AJ746" s="9"/>
      <c r="AK746" s="9"/>
      <c r="AL746" s="10"/>
      <c r="AM746" s="9"/>
      <c r="AN746" s="10"/>
      <c r="AO746" s="6"/>
      <c r="AP746" s="6"/>
      <c r="AQ746" s="6"/>
      <c r="AR746" s="11"/>
      <c r="AS746" s="6"/>
      <c r="AT746" s="11"/>
      <c r="AU746" s="11"/>
      <c r="AV746" s="6"/>
      <c r="AW746" s="6"/>
    </row>
    <row r="747" spans="11:49"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7"/>
      <c r="AF747" s="8"/>
      <c r="AG747" s="6"/>
      <c r="AH747" s="6"/>
      <c r="AI747" s="9"/>
      <c r="AJ747" s="9"/>
      <c r="AK747" s="9"/>
      <c r="AL747" s="10"/>
      <c r="AM747" s="9"/>
      <c r="AN747" s="10"/>
      <c r="AO747" s="6"/>
      <c r="AP747" s="6"/>
      <c r="AQ747" s="6"/>
      <c r="AR747" s="11"/>
      <c r="AS747" s="6"/>
      <c r="AT747" s="11"/>
      <c r="AU747" s="11"/>
      <c r="AV747" s="6"/>
      <c r="AW747" s="6"/>
    </row>
    <row r="748" spans="11:49"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7"/>
      <c r="AF748" s="8"/>
      <c r="AG748" s="6"/>
      <c r="AH748" s="6"/>
      <c r="AI748" s="9"/>
      <c r="AJ748" s="9"/>
      <c r="AK748" s="9"/>
      <c r="AL748" s="10"/>
      <c r="AM748" s="9"/>
      <c r="AN748" s="10"/>
      <c r="AO748" s="6"/>
      <c r="AP748" s="6"/>
      <c r="AQ748" s="6"/>
      <c r="AR748" s="11"/>
      <c r="AS748" s="6"/>
      <c r="AT748" s="11"/>
      <c r="AU748" s="11"/>
      <c r="AV748" s="6"/>
      <c r="AW748" s="6"/>
    </row>
    <row r="749" spans="11:49"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7"/>
      <c r="AF749" s="8"/>
      <c r="AG749" s="6"/>
      <c r="AH749" s="6"/>
      <c r="AI749" s="9"/>
      <c r="AJ749" s="9"/>
      <c r="AK749" s="9"/>
      <c r="AL749" s="10"/>
      <c r="AM749" s="9"/>
      <c r="AN749" s="10"/>
      <c r="AO749" s="6"/>
      <c r="AP749" s="6"/>
      <c r="AQ749" s="6"/>
      <c r="AR749" s="11"/>
      <c r="AS749" s="6"/>
      <c r="AT749" s="11"/>
      <c r="AU749" s="11"/>
      <c r="AV749" s="6"/>
      <c r="AW749" s="6"/>
    </row>
    <row r="750" spans="11:49"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7"/>
      <c r="AF750" s="8"/>
      <c r="AG750" s="6"/>
      <c r="AH750" s="6"/>
      <c r="AI750" s="9"/>
      <c r="AJ750" s="9"/>
      <c r="AK750" s="9"/>
      <c r="AL750" s="10"/>
      <c r="AM750" s="9"/>
      <c r="AN750" s="10"/>
      <c r="AO750" s="6"/>
      <c r="AP750" s="6"/>
      <c r="AQ750" s="6"/>
      <c r="AR750" s="11"/>
      <c r="AS750" s="6"/>
      <c r="AT750" s="11"/>
      <c r="AU750" s="11"/>
      <c r="AV750" s="6"/>
      <c r="AW750" s="6"/>
    </row>
    <row r="751" spans="11:49"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7"/>
      <c r="AF751" s="8"/>
      <c r="AG751" s="6"/>
      <c r="AH751" s="6"/>
      <c r="AI751" s="9"/>
      <c r="AJ751" s="9"/>
      <c r="AK751" s="9"/>
      <c r="AL751" s="10"/>
      <c r="AM751" s="9"/>
      <c r="AN751" s="10"/>
      <c r="AO751" s="6"/>
      <c r="AP751" s="6"/>
      <c r="AQ751" s="6"/>
      <c r="AR751" s="11"/>
      <c r="AS751" s="6"/>
      <c r="AT751" s="11"/>
      <c r="AU751" s="11"/>
      <c r="AV751" s="6"/>
      <c r="AW751" s="6"/>
    </row>
    <row r="752" spans="11:49"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7"/>
      <c r="AF752" s="8"/>
      <c r="AG752" s="6"/>
      <c r="AH752" s="6"/>
      <c r="AI752" s="9"/>
      <c r="AJ752" s="9"/>
      <c r="AK752" s="9"/>
      <c r="AL752" s="10"/>
      <c r="AM752" s="9"/>
      <c r="AN752" s="10"/>
      <c r="AO752" s="6"/>
      <c r="AP752" s="6"/>
      <c r="AQ752" s="6"/>
      <c r="AR752" s="11"/>
      <c r="AS752" s="6"/>
      <c r="AT752" s="11"/>
      <c r="AU752" s="11"/>
      <c r="AV752" s="6"/>
      <c r="AW752" s="6"/>
    </row>
    <row r="753" spans="11:49"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7"/>
      <c r="AF753" s="8"/>
      <c r="AG753" s="6"/>
      <c r="AH753" s="6"/>
      <c r="AI753" s="9"/>
      <c r="AJ753" s="9"/>
      <c r="AK753" s="9"/>
      <c r="AL753" s="10"/>
      <c r="AM753" s="9"/>
      <c r="AN753" s="10"/>
      <c r="AO753" s="6"/>
      <c r="AP753" s="6"/>
      <c r="AQ753" s="6"/>
      <c r="AR753" s="11"/>
      <c r="AS753" s="6"/>
      <c r="AT753" s="11"/>
      <c r="AU753" s="11"/>
      <c r="AV753" s="6"/>
      <c r="AW753" s="6"/>
    </row>
    <row r="754" spans="11:49"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7"/>
      <c r="AF754" s="8"/>
      <c r="AG754" s="6"/>
      <c r="AH754" s="6"/>
      <c r="AI754" s="9"/>
      <c r="AJ754" s="9"/>
      <c r="AK754" s="9"/>
      <c r="AL754" s="10"/>
      <c r="AM754" s="9"/>
      <c r="AN754" s="10"/>
      <c r="AO754" s="6"/>
      <c r="AP754" s="6"/>
      <c r="AQ754" s="6"/>
      <c r="AR754" s="11"/>
      <c r="AS754" s="6"/>
      <c r="AT754" s="11"/>
      <c r="AU754" s="11"/>
      <c r="AV754" s="6"/>
      <c r="AW754" s="6"/>
    </row>
    <row r="755" spans="11:49"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7"/>
      <c r="AF755" s="8"/>
      <c r="AG755" s="6"/>
      <c r="AH755" s="6"/>
      <c r="AI755" s="9"/>
      <c r="AJ755" s="9"/>
      <c r="AK755" s="9"/>
      <c r="AL755" s="10"/>
      <c r="AM755" s="9"/>
      <c r="AN755" s="10"/>
      <c r="AO755" s="6"/>
      <c r="AP755" s="6"/>
      <c r="AQ755" s="6"/>
      <c r="AR755" s="11"/>
      <c r="AS755" s="6"/>
      <c r="AT755" s="11"/>
      <c r="AU755" s="11"/>
      <c r="AV755" s="6"/>
      <c r="AW755" s="6"/>
    </row>
    <row r="756" spans="11:49"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7"/>
      <c r="AF756" s="8"/>
      <c r="AG756" s="6"/>
      <c r="AH756" s="6"/>
      <c r="AI756" s="9"/>
      <c r="AJ756" s="9"/>
      <c r="AK756" s="9"/>
      <c r="AL756" s="10"/>
      <c r="AM756" s="9"/>
      <c r="AN756" s="10"/>
      <c r="AO756" s="6"/>
      <c r="AP756" s="6"/>
      <c r="AQ756" s="6"/>
      <c r="AR756" s="11"/>
      <c r="AS756" s="6"/>
      <c r="AT756" s="11"/>
      <c r="AU756" s="11"/>
      <c r="AV756" s="6"/>
      <c r="AW756" s="6"/>
    </row>
    <row r="757" spans="11:49"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7"/>
      <c r="AF757" s="8"/>
      <c r="AG757" s="6"/>
      <c r="AH757" s="6"/>
      <c r="AI757" s="9"/>
      <c r="AJ757" s="9"/>
      <c r="AK757" s="9"/>
      <c r="AL757" s="10"/>
      <c r="AM757" s="9"/>
      <c r="AN757" s="10"/>
      <c r="AO757" s="6"/>
      <c r="AP757" s="6"/>
      <c r="AQ757" s="6"/>
      <c r="AR757" s="11"/>
      <c r="AS757" s="6"/>
      <c r="AT757" s="11"/>
      <c r="AU757" s="11"/>
      <c r="AV757" s="6"/>
      <c r="AW757" s="6"/>
    </row>
    <row r="758" spans="11:49"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7"/>
      <c r="AF758" s="8"/>
      <c r="AG758" s="6"/>
      <c r="AH758" s="6"/>
      <c r="AI758" s="9"/>
      <c r="AJ758" s="9"/>
      <c r="AK758" s="9"/>
      <c r="AL758" s="10"/>
      <c r="AM758" s="9"/>
      <c r="AN758" s="10"/>
      <c r="AO758" s="6"/>
      <c r="AP758" s="6"/>
      <c r="AQ758" s="6"/>
      <c r="AR758" s="11"/>
      <c r="AS758" s="6"/>
      <c r="AT758" s="11"/>
      <c r="AU758" s="11"/>
      <c r="AV758" s="6"/>
      <c r="AW758" s="6"/>
    </row>
    <row r="759" spans="11:49"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7"/>
      <c r="AF759" s="8"/>
      <c r="AG759" s="6"/>
      <c r="AH759" s="6"/>
      <c r="AI759" s="9"/>
      <c r="AJ759" s="9"/>
      <c r="AK759" s="9"/>
      <c r="AL759" s="10"/>
      <c r="AM759" s="9"/>
      <c r="AN759" s="10"/>
      <c r="AO759" s="6"/>
      <c r="AP759" s="6"/>
      <c r="AQ759" s="6"/>
      <c r="AR759" s="11"/>
      <c r="AS759" s="6"/>
      <c r="AT759" s="11"/>
      <c r="AU759" s="11"/>
      <c r="AV759" s="6"/>
      <c r="AW759" s="6"/>
    </row>
    <row r="760" spans="11:49"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7"/>
      <c r="AF760" s="8"/>
      <c r="AG760" s="6"/>
      <c r="AH760" s="6"/>
      <c r="AI760" s="9"/>
      <c r="AJ760" s="9"/>
      <c r="AK760" s="9"/>
      <c r="AL760" s="10"/>
      <c r="AM760" s="9"/>
      <c r="AN760" s="10"/>
      <c r="AO760" s="6"/>
      <c r="AP760" s="6"/>
      <c r="AQ760" s="6"/>
      <c r="AR760" s="11"/>
      <c r="AS760" s="6"/>
      <c r="AT760" s="11"/>
      <c r="AU760" s="11"/>
      <c r="AV760" s="6"/>
      <c r="AW760" s="6"/>
    </row>
    <row r="761" spans="11:49"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7"/>
      <c r="AF761" s="8"/>
      <c r="AG761" s="6"/>
      <c r="AH761" s="6"/>
      <c r="AI761" s="9"/>
      <c r="AJ761" s="9"/>
      <c r="AK761" s="9"/>
      <c r="AL761" s="10"/>
      <c r="AM761" s="9"/>
      <c r="AN761" s="10"/>
      <c r="AO761" s="6"/>
      <c r="AP761" s="6"/>
      <c r="AQ761" s="6"/>
      <c r="AR761" s="11"/>
      <c r="AS761" s="6"/>
      <c r="AT761" s="11"/>
      <c r="AU761" s="11"/>
      <c r="AV761" s="6"/>
      <c r="AW761" s="6"/>
    </row>
    <row r="762" spans="11:49"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7"/>
      <c r="AF762" s="8"/>
      <c r="AG762" s="6"/>
      <c r="AH762" s="6"/>
      <c r="AI762" s="9"/>
      <c r="AJ762" s="9"/>
      <c r="AK762" s="9"/>
      <c r="AL762" s="10"/>
      <c r="AM762" s="9"/>
      <c r="AN762" s="10"/>
      <c r="AO762" s="6"/>
      <c r="AP762" s="6"/>
      <c r="AQ762" s="6"/>
      <c r="AR762" s="11"/>
      <c r="AS762" s="6"/>
      <c r="AT762" s="11"/>
      <c r="AU762" s="11"/>
      <c r="AV762" s="6"/>
      <c r="AW762" s="6"/>
    </row>
    <row r="763" spans="11:49"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7"/>
      <c r="AF763" s="8"/>
      <c r="AG763" s="6"/>
      <c r="AH763" s="6"/>
      <c r="AI763" s="9"/>
      <c r="AJ763" s="9"/>
      <c r="AK763" s="9"/>
      <c r="AL763" s="10"/>
      <c r="AM763" s="9"/>
      <c r="AN763" s="10"/>
      <c r="AO763" s="6"/>
      <c r="AP763" s="6"/>
      <c r="AQ763" s="6"/>
      <c r="AR763" s="11"/>
      <c r="AS763" s="6"/>
      <c r="AT763" s="11"/>
      <c r="AU763" s="11"/>
      <c r="AV763" s="6"/>
      <c r="AW763" s="6"/>
    </row>
    <row r="764" spans="11:49"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7"/>
      <c r="AF764" s="8"/>
      <c r="AG764" s="6"/>
      <c r="AH764" s="6"/>
      <c r="AI764" s="9"/>
      <c r="AJ764" s="9"/>
      <c r="AK764" s="9"/>
      <c r="AL764" s="10"/>
      <c r="AM764" s="9"/>
      <c r="AN764" s="10"/>
      <c r="AO764" s="6"/>
      <c r="AP764" s="6"/>
      <c r="AQ764" s="6"/>
      <c r="AR764" s="11"/>
      <c r="AS764" s="6"/>
      <c r="AT764" s="11"/>
      <c r="AU764" s="11"/>
      <c r="AV764" s="6"/>
      <c r="AW764" s="6"/>
    </row>
    <row r="765" spans="11:49"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7"/>
      <c r="AF765" s="8"/>
      <c r="AG765" s="6"/>
      <c r="AH765" s="6"/>
      <c r="AI765" s="9"/>
      <c r="AJ765" s="9"/>
      <c r="AK765" s="9"/>
      <c r="AL765" s="10"/>
      <c r="AM765" s="9"/>
      <c r="AN765" s="10"/>
      <c r="AO765" s="6"/>
      <c r="AP765" s="6"/>
      <c r="AQ765" s="6"/>
      <c r="AR765" s="11"/>
      <c r="AS765" s="6"/>
      <c r="AT765" s="11"/>
      <c r="AU765" s="11"/>
      <c r="AV765" s="6"/>
      <c r="AW765" s="6"/>
    </row>
    <row r="766" spans="11:49"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7"/>
      <c r="AF766" s="8"/>
      <c r="AG766" s="6"/>
      <c r="AH766" s="6"/>
      <c r="AI766" s="9"/>
      <c r="AJ766" s="9"/>
      <c r="AK766" s="9"/>
      <c r="AL766" s="10"/>
      <c r="AM766" s="9"/>
      <c r="AN766" s="10"/>
      <c r="AO766" s="6"/>
      <c r="AP766" s="6"/>
      <c r="AQ766" s="6"/>
      <c r="AR766" s="11"/>
      <c r="AS766" s="6"/>
      <c r="AT766" s="11"/>
      <c r="AU766" s="11"/>
      <c r="AV766" s="6"/>
      <c r="AW766" s="6"/>
    </row>
    <row r="767" spans="11:49"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7"/>
      <c r="AF767" s="8"/>
      <c r="AG767" s="6"/>
      <c r="AH767" s="6"/>
      <c r="AI767" s="9"/>
      <c r="AJ767" s="9"/>
      <c r="AK767" s="9"/>
      <c r="AL767" s="10"/>
      <c r="AM767" s="9"/>
      <c r="AN767" s="10"/>
      <c r="AO767" s="6"/>
      <c r="AP767" s="6"/>
      <c r="AQ767" s="6"/>
      <c r="AR767" s="11"/>
      <c r="AS767" s="6"/>
      <c r="AT767" s="11"/>
      <c r="AU767" s="11"/>
      <c r="AV767" s="6"/>
      <c r="AW767" s="6"/>
    </row>
    <row r="768" spans="11:49"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7"/>
      <c r="AF768" s="8"/>
      <c r="AG768" s="6"/>
      <c r="AH768" s="6"/>
      <c r="AI768" s="9"/>
      <c r="AJ768" s="9"/>
      <c r="AK768" s="9"/>
      <c r="AL768" s="10"/>
      <c r="AM768" s="9"/>
      <c r="AN768" s="10"/>
      <c r="AO768" s="6"/>
      <c r="AP768" s="6"/>
      <c r="AQ768" s="6"/>
      <c r="AR768" s="11"/>
      <c r="AS768" s="6"/>
      <c r="AT768" s="11"/>
      <c r="AU768" s="11"/>
      <c r="AV768" s="6"/>
      <c r="AW768" s="6"/>
    </row>
    <row r="769" spans="11:49"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7"/>
      <c r="AF769" s="8"/>
      <c r="AG769" s="6"/>
      <c r="AH769" s="6"/>
      <c r="AI769" s="9"/>
      <c r="AJ769" s="9"/>
      <c r="AK769" s="9"/>
      <c r="AL769" s="10"/>
      <c r="AM769" s="9"/>
      <c r="AN769" s="10"/>
      <c r="AO769" s="6"/>
      <c r="AP769" s="6"/>
      <c r="AQ769" s="6"/>
      <c r="AR769" s="11"/>
      <c r="AS769" s="6"/>
      <c r="AT769" s="11"/>
      <c r="AU769" s="11"/>
      <c r="AV769" s="6"/>
      <c r="AW769" s="6"/>
    </row>
    <row r="770" spans="11:49"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7"/>
      <c r="AF770" s="8"/>
      <c r="AG770" s="6"/>
      <c r="AH770" s="6"/>
      <c r="AI770" s="9"/>
      <c r="AJ770" s="9"/>
      <c r="AK770" s="9"/>
      <c r="AL770" s="10"/>
      <c r="AM770" s="9"/>
      <c r="AN770" s="10"/>
      <c r="AO770" s="6"/>
      <c r="AP770" s="6"/>
      <c r="AQ770" s="6"/>
      <c r="AR770" s="11"/>
      <c r="AS770" s="6"/>
      <c r="AT770" s="11"/>
      <c r="AU770" s="11"/>
      <c r="AV770" s="6"/>
      <c r="AW770" s="6"/>
    </row>
    <row r="771" spans="11:49"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7"/>
      <c r="AF771" s="8"/>
      <c r="AG771" s="6"/>
      <c r="AH771" s="6"/>
      <c r="AI771" s="9"/>
      <c r="AJ771" s="9"/>
      <c r="AK771" s="9"/>
      <c r="AL771" s="10"/>
      <c r="AM771" s="9"/>
      <c r="AN771" s="10"/>
      <c r="AO771" s="6"/>
      <c r="AP771" s="6"/>
      <c r="AQ771" s="6"/>
      <c r="AR771" s="11"/>
      <c r="AS771" s="6"/>
      <c r="AT771" s="11"/>
      <c r="AU771" s="11"/>
      <c r="AV771" s="6"/>
      <c r="AW771" s="6"/>
    </row>
    <row r="772" spans="11:49"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7"/>
      <c r="AF772" s="8"/>
      <c r="AG772" s="6"/>
      <c r="AH772" s="6"/>
      <c r="AI772" s="9"/>
      <c r="AJ772" s="9"/>
      <c r="AK772" s="9"/>
      <c r="AL772" s="10"/>
      <c r="AM772" s="9"/>
      <c r="AN772" s="10"/>
      <c r="AO772" s="6"/>
      <c r="AP772" s="6"/>
      <c r="AQ772" s="6"/>
      <c r="AR772" s="11"/>
      <c r="AS772" s="6"/>
      <c r="AT772" s="11"/>
      <c r="AU772" s="11"/>
      <c r="AV772" s="6"/>
      <c r="AW772" s="6"/>
    </row>
    <row r="773" spans="11:49"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7"/>
      <c r="AF773" s="8"/>
      <c r="AG773" s="6"/>
      <c r="AH773" s="6"/>
      <c r="AI773" s="9"/>
      <c r="AJ773" s="9"/>
      <c r="AK773" s="9"/>
      <c r="AL773" s="10"/>
      <c r="AM773" s="9"/>
      <c r="AN773" s="10"/>
      <c r="AO773" s="6"/>
      <c r="AP773" s="6"/>
      <c r="AQ773" s="6"/>
      <c r="AR773" s="11"/>
      <c r="AS773" s="6"/>
      <c r="AT773" s="11"/>
      <c r="AU773" s="11"/>
      <c r="AV773" s="6"/>
      <c r="AW773" s="6"/>
    </row>
    <row r="774" spans="11:49"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7"/>
      <c r="AF774" s="8"/>
      <c r="AG774" s="6"/>
      <c r="AH774" s="6"/>
      <c r="AI774" s="9"/>
      <c r="AJ774" s="9"/>
      <c r="AK774" s="9"/>
      <c r="AL774" s="10"/>
      <c r="AM774" s="9"/>
      <c r="AN774" s="10"/>
      <c r="AO774" s="6"/>
      <c r="AP774" s="6"/>
      <c r="AQ774" s="6"/>
      <c r="AR774" s="11"/>
      <c r="AS774" s="6"/>
      <c r="AT774" s="11"/>
      <c r="AU774" s="11"/>
      <c r="AV774" s="6"/>
      <c r="AW774" s="6"/>
    </row>
    <row r="775" spans="11:49"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7"/>
      <c r="AF775" s="8"/>
      <c r="AG775" s="6"/>
      <c r="AH775" s="6"/>
      <c r="AI775" s="9"/>
      <c r="AJ775" s="9"/>
      <c r="AK775" s="9"/>
      <c r="AL775" s="10"/>
      <c r="AM775" s="9"/>
      <c r="AN775" s="10"/>
      <c r="AO775" s="6"/>
      <c r="AP775" s="6"/>
      <c r="AQ775" s="6"/>
      <c r="AR775" s="11"/>
      <c r="AS775" s="6"/>
      <c r="AT775" s="11"/>
      <c r="AU775" s="11"/>
      <c r="AV775" s="6"/>
      <c r="AW775" s="6"/>
    </row>
    <row r="776" spans="11:49"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7"/>
      <c r="AF776" s="8"/>
      <c r="AG776" s="6"/>
      <c r="AH776" s="6"/>
      <c r="AI776" s="9"/>
      <c r="AJ776" s="9"/>
      <c r="AK776" s="9"/>
      <c r="AL776" s="10"/>
      <c r="AM776" s="9"/>
      <c r="AN776" s="10"/>
      <c r="AO776" s="6"/>
      <c r="AP776" s="6"/>
      <c r="AQ776" s="6"/>
      <c r="AR776" s="11"/>
      <c r="AS776" s="6"/>
      <c r="AT776" s="11"/>
      <c r="AU776" s="11"/>
      <c r="AV776" s="6"/>
      <c r="AW776" s="6"/>
    </row>
    <row r="777" spans="11:49"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7"/>
      <c r="AF777" s="8"/>
      <c r="AG777" s="6"/>
      <c r="AH777" s="6"/>
      <c r="AI777" s="9"/>
      <c r="AJ777" s="9"/>
      <c r="AK777" s="9"/>
      <c r="AL777" s="10"/>
      <c r="AM777" s="9"/>
      <c r="AN777" s="10"/>
      <c r="AO777" s="6"/>
      <c r="AP777" s="6"/>
      <c r="AQ777" s="6"/>
      <c r="AR777" s="11"/>
      <c r="AS777" s="6"/>
      <c r="AT777" s="11"/>
      <c r="AU777" s="11"/>
      <c r="AV777" s="6"/>
      <c r="AW777" s="6"/>
    </row>
    <row r="778" spans="11:49"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7"/>
      <c r="AF778" s="8"/>
      <c r="AG778" s="6"/>
      <c r="AH778" s="6"/>
      <c r="AI778" s="9"/>
      <c r="AJ778" s="9"/>
      <c r="AK778" s="9"/>
      <c r="AL778" s="10"/>
      <c r="AM778" s="9"/>
      <c r="AN778" s="10"/>
      <c r="AO778" s="6"/>
      <c r="AP778" s="6"/>
      <c r="AQ778" s="6"/>
      <c r="AR778" s="11"/>
      <c r="AS778" s="6"/>
      <c r="AT778" s="11"/>
      <c r="AU778" s="11"/>
      <c r="AV778" s="6"/>
      <c r="AW778" s="6"/>
    </row>
    <row r="779" spans="11:49"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7"/>
      <c r="AF779" s="8"/>
      <c r="AG779" s="6"/>
      <c r="AH779" s="6"/>
      <c r="AI779" s="9"/>
      <c r="AJ779" s="9"/>
      <c r="AK779" s="9"/>
      <c r="AL779" s="10"/>
      <c r="AM779" s="9"/>
      <c r="AN779" s="10"/>
      <c r="AO779" s="6"/>
      <c r="AP779" s="6"/>
      <c r="AQ779" s="6"/>
      <c r="AR779" s="11"/>
      <c r="AS779" s="6"/>
      <c r="AT779" s="11"/>
      <c r="AU779" s="11"/>
      <c r="AV779" s="6"/>
      <c r="AW779" s="6"/>
    </row>
    <row r="780" spans="11:49"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7"/>
      <c r="AF780" s="8"/>
      <c r="AG780" s="6"/>
      <c r="AH780" s="6"/>
      <c r="AI780" s="9"/>
      <c r="AJ780" s="9"/>
      <c r="AK780" s="9"/>
      <c r="AL780" s="10"/>
      <c r="AM780" s="9"/>
      <c r="AN780" s="10"/>
      <c r="AO780" s="6"/>
      <c r="AP780" s="6"/>
      <c r="AQ780" s="6"/>
      <c r="AR780" s="11"/>
      <c r="AS780" s="6"/>
      <c r="AT780" s="11"/>
      <c r="AU780" s="11"/>
      <c r="AV780" s="6"/>
      <c r="AW780" s="6"/>
    </row>
    <row r="781" spans="11:49"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7"/>
      <c r="AF781" s="8"/>
      <c r="AG781" s="6"/>
      <c r="AH781" s="6"/>
      <c r="AI781" s="9"/>
      <c r="AJ781" s="9"/>
      <c r="AK781" s="9"/>
      <c r="AL781" s="10"/>
      <c r="AM781" s="9"/>
      <c r="AN781" s="10"/>
      <c r="AO781" s="6"/>
      <c r="AP781" s="6"/>
      <c r="AQ781" s="6"/>
      <c r="AR781" s="11"/>
      <c r="AS781" s="6"/>
      <c r="AT781" s="11"/>
      <c r="AU781" s="11"/>
      <c r="AV781" s="6"/>
      <c r="AW781" s="6"/>
    </row>
    <row r="782" spans="11:49"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7"/>
      <c r="AF782" s="8"/>
      <c r="AG782" s="6"/>
      <c r="AH782" s="6"/>
      <c r="AI782" s="9"/>
      <c r="AJ782" s="9"/>
      <c r="AK782" s="9"/>
      <c r="AL782" s="10"/>
      <c r="AM782" s="9"/>
      <c r="AN782" s="10"/>
      <c r="AO782" s="6"/>
      <c r="AP782" s="6"/>
      <c r="AQ782" s="6"/>
      <c r="AR782" s="11"/>
      <c r="AS782" s="6"/>
      <c r="AT782" s="11"/>
      <c r="AU782" s="11"/>
      <c r="AV782" s="6"/>
      <c r="AW782" s="6"/>
    </row>
    <row r="783" spans="11:49"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7"/>
      <c r="AF783" s="8"/>
      <c r="AG783" s="6"/>
      <c r="AH783" s="6"/>
      <c r="AI783" s="9"/>
      <c r="AJ783" s="9"/>
      <c r="AK783" s="9"/>
      <c r="AL783" s="10"/>
      <c r="AM783" s="9"/>
      <c r="AN783" s="10"/>
      <c r="AO783" s="6"/>
      <c r="AP783" s="6"/>
      <c r="AQ783" s="6"/>
      <c r="AR783" s="11"/>
      <c r="AS783" s="6"/>
      <c r="AT783" s="11"/>
      <c r="AU783" s="11"/>
      <c r="AV783" s="6"/>
      <c r="AW783" s="6"/>
    </row>
    <row r="784" spans="11:49"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7"/>
      <c r="AF784" s="8"/>
      <c r="AG784" s="6"/>
      <c r="AH784" s="6"/>
      <c r="AI784" s="9"/>
      <c r="AJ784" s="9"/>
      <c r="AK784" s="9"/>
      <c r="AL784" s="10"/>
      <c r="AM784" s="9"/>
      <c r="AN784" s="10"/>
      <c r="AO784" s="6"/>
      <c r="AP784" s="6"/>
      <c r="AQ784" s="6"/>
      <c r="AR784" s="11"/>
      <c r="AS784" s="6"/>
      <c r="AT784" s="11"/>
      <c r="AU784" s="11"/>
      <c r="AV784" s="6"/>
      <c r="AW784" s="6"/>
    </row>
    <row r="785" spans="11:49"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7"/>
      <c r="AF785" s="8"/>
      <c r="AG785" s="6"/>
      <c r="AH785" s="6"/>
      <c r="AI785" s="9"/>
      <c r="AJ785" s="9"/>
      <c r="AK785" s="9"/>
      <c r="AL785" s="10"/>
      <c r="AM785" s="9"/>
      <c r="AN785" s="10"/>
      <c r="AO785" s="6"/>
      <c r="AP785" s="6"/>
      <c r="AQ785" s="6"/>
      <c r="AR785" s="11"/>
      <c r="AS785" s="6"/>
      <c r="AT785" s="11"/>
      <c r="AU785" s="11"/>
      <c r="AV785" s="6"/>
      <c r="AW785" s="6"/>
    </row>
    <row r="786" spans="11:49"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7"/>
      <c r="AF786" s="8"/>
      <c r="AG786" s="6"/>
      <c r="AH786" s="6"/>
      <c r="AI786" s="9"/>
      <c r="AJ786" s="9"/>
      <c r="AK786" s="9"/>
      <c r="AL786" s="10"/>
      <c r="AM786" s="9"/>
      <c r="AN786" s="10"/>
      <c r="AO786" s="6"/>
      <c r="AP786" s="6"/>
      <c r="AQ786" s="6"/>
      <c r="AR786" s="11"/>
      <c r="AS786" s="6"/>
      <c r="AT786" s="11"/>
      <c r="AU786" s="11"/>
      <c r="AV786" s="6"/>
      <c r="AW786" s="6"/>
    </row>
    <row r="787" spans="11:49"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7"/>
      <c r="AF787" s="8"/>
      <c r="AG787" s="6"/>
      <c r="AH787" s="6"/>
      <c r="AI787" s="9"/>
      <c r="AJ787" s="9"/>
      <c r="AK787" s="9"/>
      <c r="AL787" s="10"/>
      <c r="AM787" s="9"/>
      <c r="AN787" s="10"/>
      <c r="AO787" s="6"/>
      <c r="AP787" s="6"/>
      <c r="AQ787" s="6"/>
      <c r="AR787" s="11"/>
      <c r="AS787" s="6"/>
      <c r="AT787" s="11"/>
      <c r="AU787" s="11"/>
      <c r="AV787" s="6"/>
      <c r="AW787" s="6"/>
    </row>
    <row r="788" spans="11:49"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7"/>
      <c r="AF788" s="8"/>
      <c r="AG788" s="6"/>
      <c r="AH788" s="6"/>
      <c r="AI788" s="9"/>
      <c r="AJ788" s="9"/>
      <c r="AK788" s="9"/>
      <c r="AL788" s="10"/>
      <c r="AM788" s="9"/>
      <c r="AN788" s="10"/>
      <c r="AO788" s="6"/>
      <c r="AP788" s="6"/>
      <c r="AQ788" s="6"/>
      <c r="AR788" s="11"/>
      <c r="AS788" s="6"/>
      <c r="AT788" s="11"/>
      <c r="AU788" s="11"/>
      <c r="AV788" s="6"/>
      <c r="AW788" s="6"/>
    </row>
    <row r="789" spans="11:49"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7"/>
      <c r="AF789" s="8"/>
      <c r="AG789" s="6"/>
      <c r="AH789" s="6"/>
      <c r="AI789" s="9"/>
      <c r="AJ789" s="9"/>
      <c r="AK789" s="9"/>
      <c r="AL789" s="10"/>
      <c r="AM789" s="9"/>
      <c r="AN789" s="10"/>
      <c r="AO789" s="6"/>
      <c r="AP789" s="6"/>
      <c r="AQ789" s="6"/>
      <c r="AR789" s="11"/>
      <c r="AS789" s="6"/>
      <c r="AT789" s="11"/>
      <c r="AU789" s="11"/>
      <c r="AV789" s="6"/>
      <c r="AW789" s="6"/>
    </row>
    <row r="790" spans="11:49"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7"/>
      <c r="AF790" s="8"/>
      <c r="AG790" s="6"/>
      <c r="AH790" s="6"/>
      <c r="AI790" s="9"/>
      <c r="AJ790" s="9"/>
      <c r="AK790" s="9"/>
      <c r="AL790" s="10"/>
      <c r="AM790" s="9"/>
      <c r="AN790" s="10"/>
      <c r="AO790" s="6"/>
      <c r="AP790" s="6"/>
      <c r="AQ790" s="6"/>
      <c r="AR790" s="11"/>
      <c r="AS790" s="6"/>
      <c r="AT790" s="11"/>
      <c r="AU790" s="11"/>
      <c r="AV790" s="6"/>
      <c r="AW790" s="6"/>
    </row>
    <row r="791" spans="11:49"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7"/>
      <c r="AF791" s="8"/>
      <c r="AG791" s="6"/>
      <c r="AH791" s="6"/>
      <c r="AI791" s="9"/>
      <c r="AJ791" s="9"/>
      <c r="AK791" s="9"/>
      <c r="AL791" s="10"/>
      <c r="AM791" s="9"/>
      <c r="AN791" s="10"/>
      <c r="AO791" s="6"/>
      <c r="AP791" s="6"/>
      <c r="AQ791" s="6"/>
      <c r="AR791" s="11"/>
      <c r="AS791" s="6"/>
      <c r="AT791" s="11"/>
      <c r="AU791" s="11"/>
      <c r="AV791" s="6"/>
      <c r="AW791" s="6"/>
    </row>
    <row r="792" spans="11:49"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7"/>
      <c r="AF792" s="8"/>
      <c r="AG792" s="6"/>
      <c r="AH792" s="6"/>
      <c r="AI792" s="9"/>
      <c r="AJ792" s="9"/>
      <c r="AK792" s="9"/>
      <c r="AL792" s="10"/>
      <c r="AM792" s="9"/>
      <c r="AN792" s="10"/>
      <c r="AO792" s="6"/>
      <c r="AP792" s="6"/>
      <c r="AQ792" s="6"/>
      <c r="AR792" s="11"/>
      <c r="AS792" s="6"/>
      <c r="AT792" s="11"/>
      <c r="AU792" s="11"/>
      <c r="AV792" s="6"/>
      <c r="AW792" s="6"/>
    </row>
    <row r="793" spans="11:49"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7"/>
      <c r="AF793" s="8"/>
      <c r="AG793" s="6"/>
      <c r="AH793" s="6"/>
      <c r="AI793" s="9"/>
      <c r="AJ793" s="9"/>
      <c r="AK793" s="9"/>
      <c r="AL793" s="10"/>
      <c r="AM793" s="9"/>
      <c r="AN793" s="10"/>
      <c r="AO793" s="6"/>
      <c r="AP793" s="6"/>
      <c r="AQ793" s="6"/>
      <c r="AR793" s="11"/>
      <c r="AS793" s="6"/>
      <c r="AT793" s="11"/>
      <c r="AU793" s="11"/>
      <c r="AV793" s="6"/>
      <c r="AW793" s="6"/>
    </row>
    <row r="794" spans="11:49"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7"/>
      <c r="AF794" s="8"/>
      <c r="AG794" s="6"/>
      <c r="AH794" s="6"/>
      <c r="AI794" s="9"/>
      <c r="AJ794" s="9"/>
      <c r="AK794" s="9"/>
      <c r="AL794" s="10"/>
      <c r="AM794" s="9"/>
      <c r="AN794" s="10"/>
      <c r="AO794" s="6"/>
      <c r="AP794" s="6"/>
      <c r="AQ794" s="6"/>
      <c r="AR794" s="11"/>
      <c r="AS794" s="6"/>
      <c r="AT794" s="11"/>
      <c r="AU794" s="11"/>
      <c r="AV794" s="6"/>
      <c r="AW794" s="6"/>
    </row>
    <row r="795" spans="11:49"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7"/>
      <c r="AF795" s="8"/>
      <c r="AG795" s="6"/>
      <c r="AH795" s="6"/>
      <c r="AI795" s="9"/>
      <c r="AJ795" s="9"/>
      <c r="AK795" s="9"/>
      <c r="AL795" s="10"/>
      <c r="AM795" s="9"/>
      <c r="AN795" s="10"/>
      <c r="AO795" s="6"/>
      <c r="AP795" s="6"/>
      <c r="AQ795" s="6"/>
      <c r="AR795" s="11"/>
      <c r="AS795" s="6"/>
      <c r="AT795" s="11"/>
      <c r="AU795" s="11"/>
      <c r="AV795" s="6"/>
      <c r="AW795" s="6"/>
    </row>
    <row r="796" spans="11:49"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7"/>
      <c r="AF796" s="8"/>
      <c r="AG796" s="6"/>
      <c r="AH796" s="6"/>
      <c r="AI796" s="9"/>
      <c r="AJ796" s="9"/>
      <c r="AK796" s="9"/>
      <c r="AL796" s="10"/>
      <c r="AM796" s="9"/>
      <c r="AN796" s="10"/>
      <c r="AO796" s="6"/>
      <c r="AP796" s="6"/>
      <c r="AQ796" s="6"/>
      <c r="AR796" s="11"/>
      <c r="AS796" s="6"/>
      <c r="AT796" s="11"/>
      <c r="AU796" s="11"/>
      <c r="AV796" s="6"/>
      <c r="AW796" s="6"/>
    </row>
    <row r="797" spans="11:49"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7"/>
      <c r="AF797" s="8"/>
      <c r="AG797" s="6"/>
      <c r="AH797" s="6"/>
      <c r="AI797" s="9"/>
      <c r="AJ797" s="9"/>
      <c r="AK797" s="9"/>
      <c r="AL797" s="10"/>
      <c r="AM797" s="9"/>
      <c r="AN797" s="10"/>
      <c r="AO797" s="6"/>
      <c r="AP797" s="6"/>
      <c r="AQ797" s="6"/>
      <c r="AR797" s="11"/>
      <c r="AS797" s="6"/>
      <c r="AT797" s="11"/>
      <c r="AU797" s="11"/>
      <c r="AV797" s="6"/>
      <c r="AW797" s="6"/>
    </row>
    <row r="798" spans="11:49"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7"/>
      <c r="AF798" s="8"/>
      <c r="AG798" s="6"/>
      <c r="AH798" s="6"/>
      <c r="AI798" s="9"/>
      <c r="AJ798" s="9"/>
      <c r="AK798" s="9"/>
      <c r="AL798" s="10"/>
      <c r="AM798" s="9"/>
      <c r="AN798" s="10"/>
      <c r="AO798" s="6"/>
      <c r="AP798" s="6"/>
      <c r="AQ798" s="6"/>
      <c r="AR798" s="11"/>
      <c r="AS798" s="6"/>
      <c r="AT798" s="11"/>
      <c r="AU798" s="11"/>
      <c r="AV798" s="6"/>
      <c r="AW798" s="6"/>
    </row>
    <row r="799" spans="11:49"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7"/>
      <c r="AF799" s="8"/>
      <c r="AG799" s="6"/>
      <c r="AH799" s="6"/>
      <c r="AI799" s="9"/>
      <c r="AJ799" s="9"/>
      <c r="AK799" s="9"/>
      <c r="AL799" s="10"/>
      <c r="AM799" s="9"/>
      <c r="AN799" s="10"/>
      <c r="AO799" s="6"/>
      <c r="AP799" s="6"/>
      <c r="AQ799" s="6"/>
      <c r="AR799" s="11"/>
      <c r="AS799" s="6"/>
      <c r="AT799" s="11"/>
      <c r="AU799" s="11"/>
      <c r="AV799" s="6"/>
      <c r="AW799" s="6"/>
    </row>
    <row r="800" spans="11:49"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7"/>
      <c r="AF800" s="8"/>
      <c r="AG800" s="6"/>
      <c r="AH800" s="6"/>
      <c r="AI800" s="9"/>
      <c r="AJ800" s="9"/>
      <c r="AK800" s="9"/>
      <c r="AL800" s="10"/>
      <c r="AM800" s="9"/>
      <c r="AN800" s="10"/>
      <c r="AO800" s="6"/>
      <c r="AP800" s="6"/>
      <c r="AQ800" s="6"/>
      <c r="AR800" s="11"/>
      <c r="AS800" s="6"/>
      <c r="AT800" s="11"/>
      <c r="AU800" s="11"/>
      <c r="AV800" s="6"/>
      <c r="AW800" s="6"/>
    </row>
    <row r="801" spans="11:49"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7"/>
      <c r="AF801" s="8"/>
      <c r="AG801" s="6"/>
      <c r="AH801" s="6"/>
      <c r="AI801" s="9"/>
      <c r="AJ801" s="9"/>
      <c r="AK801" s="9"/>
      <c r="AL801" s="10"/>
      <c r="AM801" s="9"/>
      <c r="AN801" s="10"/>
      <c r="AO801" s="6"/>
      <c r="AP801" s="6"/>
      <c r="AQ801" s="6"/>
      <c r="AR801" s="11"/>
      <c r="AS801" s="6"/>
      <c r="AT801" s="11"/>
      <c r="AU801" s="11"/>
      <c r="AV801" s="6"/>
      <c r="AW801" s="6"/>
    </row>
    <row r="802" spans="11:49"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7"/>
      <c r="AF802" s="8"/>
      <c r="AG802" s="6"/>
      <c r="AH802" s="6"/>
      <c r="AI802" s="9"/>
      <c r="AJ802" s="9"/>
      <c r="AK802" s="9"/>
      <c r="AL802" s="10"/>
      <c r="AM802" s="9"/>
      <c r="AN802" s="10"/>
      <c r="AO802" s="6"/>
      <c r="AP802" s="6"/>
      <c r="AQ802" s="6"/>
      <c r="AR802" s="11"/>
      <c r="AS802" s="6"/>
      <c r="AT802" s="11"/>
      <c r="AU802" s="11"/>
      <c r="AV802" s="6"/>
      <c r="AW802" s="6"/>
    </row>
    <row r="803" spans="11:49"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7"/>
      <c r="AF803" s="8"/>
      <c r="AG803" s="6"/>
      <c r="AH803" s="6"/>
      <c r="AI803" s="9"/>
      <c r="AJ803" s="9"/>
      <c r="AK803" s="9"/>
      <c r="AL803" s="10"/>
      <c r="AM803" s="9"/>
      <c r="AN803" s="10"/>
      <c r="AO803" s="6"/>
      <c r="AP803" s="6"/>
      <c r="AQ803" s="6"/>
      <c r="AR803" s="11"/>
      <c r="AS803" s="6"/>
      <c r="AT803" s="11"/>
      <c r="AU803" s="11"/>
      <c r="AV803" s="6"/>
      <c r="AW803" s="6"/>
    </row>
    <row r="804" spans="11:49"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7"/>
      <c r="AF804" s="8"/>
      <c r="AG804" s="6"/>
      <c r="AH804" s="6"/>
      <c r="AI804" s="9"/>
      <c r="AJ804" s="9"/>
      <c r="AK804" s="9"/>
      <c r="AL804" s="10"/>
      <c r="AM804" s="9"/>
      <c r="AN804" s="10"/>
      <c r="AO804" s="6"/>
      <c r="AP804" s="6"/>
      <c r="AQ804" s="6"/>
      <c r="AR804" s="11"/>
      <c r="AS804" s="6"/>
      <c r="AT804" s="11"/>
      <c r="AU804" s="11"/>
      <c r="AV804" s="6"/>
      <c r="AW804" s="6"/>
    </row>
    <row r="805" spans="11:49"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7"/>
      <c r="AF805" s="8"/>
      <c r="AG805" s="6"/>
      <c r="AH805" s="6"/>
      <c r="AI805" s="9"/>
      <c r="AJ805" s="9"/>
      <c r="AK805" s="9"/>
      <c r="AL805" s="10"/>
      <c r="AM805" s="9"/>
      <c r="AN805" s="10"/>
      <c r="AO805" s="6"/>
      <c r="AP805" s="6"/>
      <c r="AQ805" s="6"/>
      <c r="AR805" s="11"/>
      <c r="AS805" s="6"/>
      <c r="AT805" s="11"/>
      <c r="AU805" s="11"/>
      <c r="AV805" s="6"/>
      <c r="AW805" s="6"/>
    </row>
    <row r="806" spans="11:49"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7"/>
      <c r="AF806" s="8"/>
      <c r="AG806" s="6"/>
      <c r="AH806" s="6"/>
      <c r="AI806" s="9"/>
      <c r="AJ806" s="9"/>
      <c r="AK806" s="9"/>
      <c r="AL806" s="10"/>
      <c r="AM806" s="9"/>
      <c r="AN806" s="10"/>
      <c r="AO806" s="6"/>
      <c r="AP806" s="6"/>
      <c r="AQ806" s="6"/>
      <c r="AR806" s="11"/>
      <c r="AS806" s="6"/>
      <c r="AT806" s="11"/>
      <c r="AU806" s="11"/>
      <c r="AV806" s="6"/>
      <c r="AW806" s="6"/>
    </row>
    <row r="807" spans="11:49"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7"/>
      <c r="AF807" s="8"/>
      <c r="AG807" s="6"/>
      <c r="AH807" s="6"/>
      <c r="AI807" s="9"/>
      <c r="AJ807" s="9"/>
      <c r="AK807" s="9"/>
      <c r="AL807" s="10"/>
      <c r="AM807" s="9"/>
      <c r="AN807" s="10"/>
      <c r="AO807" s="6"/>
      <c r="AP807" s="6"/>
      <c r="AQ807" s="6"/>
      <c r="AR807" s="11"/>
      <c r="AS807" s="6"/>
      <c r="AT807" s="11"/>
      <c r="AU807" s="11"/>
      <c r="AV807" s="6"/>
      <c r="AW807" s="6"/>
    </row>
    <row r="808" spans="11:49"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7"/>
      <c r="AF808" s="8"/>
      <c r="AG808" s="6"/>
      <c r="AH808" s="6"/>
      <c r="AI808" s="9"/>
      <c r="AJ808" s="9"/>
      <c r="AK808" s="9"/>
      <c r="AL808" s="10"/>
      <c r="AM808" s="9"/>
      <c r="AN808" s="10"/>
      <c r="AO808" s="6"/>
      <c r="AP808" s="6"/>
      <c r="AQ808" s="6"/>
      <c r="AR808" s="11"/>
      <c r="AS808" s="6"/>
      <c r="AT808" s="11"/>
      <c r="AU808" s="11"/>
      <c r="AV808" s="6"/>
      <c r="AW808" s="6"/>
    </row>
    <row r="809" spans="11:49"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7"/>
      <c r="AF809" s="8"/>
      <c r="AG809" s="6"/>
      <c r="AH809" s="6"/>
      <c r="AI809" s="9"/>
      <c r="AJ809" s="9"/>
      <c r="AK809" s="9"/>
      <c r="AL809" s="10"/>
      <c r="AM809" s="9"/>
      <c r="AN809" s="10"/>
      <c r="AO809" s="6"/>
      <c r="AP809" s="6"/>
      <c r="AQ809" s="6"/>
      <c r="AR809" s="11"/>
      <c r="AS809" s="6"/>
      <c r="AT809" s="11"/>
      <c r="AU809" s="11"/>
      <c r="AV809" s="6"/>
      <c r="AW809" s="6"/>
    </row>
    <row r="810" spans="11:49"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7"/>
      <c r="AF810" s="8"/>
      <c r="AG810" s="6"/>
      <c r="AH810" s="6"/>
      <c r="AI810" s="9"/>
      <c r="AJ810" s="9"/>
      <c r="AK810" s="9"/>
      <c r="AL810" s="10"/>
      <c r="AM810" s="9"/>
      <c r="AN810" s="10"/>
      <c r="AO810" s="6"/>
      <c r="AP810" s="6"/>
      <c r="AQ810" s="6"/>
      <c r="AR810" s="11"/>
      <c r="AS810" s="6"/>
      <c r="AT810" s="11"/>
      <c r="AU810" s="11"/>
      <c r="AV810" s="6"/>
      <c r="AW810" s="6"/>
    </row>
    <row r="811" spans="11:49"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7"/>
      <c r="AF811" s="8"/>
      <c r="AG811" s="6"/>
      <c r="AH811" s="6"/>
      <c r="AI811" s="9"/>
      <c r="AJ811" s="9"/>
      <c r="AK811" s="9"/>
      <c r="AL811" s="10"/>
      <c r="AM811" s="9"/>
      <c r="AN811" s="10"/>
      <c r="AO811" s="6"/>
      <c r="AP811" s="6"/>
      <c r="AQ811" s="6"/>
      <c r="AR811" s="11"/>
      <c r="AS811" s="6"/>
      <c r="AT811" s="11"/>
      <c r="AU811" s="11"/>
      <c r="AV811" s="6"/>
      <c r="AW811" s="6"/>
    </row>
    <row r="812" spans="11:49"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7"/>
      <c r="AF812" s="8"/>
      <c r="AG812" s="6"/>
      <c r="AH812" s="6"/>
      <c r="AI812" s="9"/>
      <c r="AJ812" s="9"/>
      <c r="AK812" s="9"/>
      <c r="AL812" s="10"/>
      <c r="AM812" s="9"/>
      <c r="AN812" s="10"/>
      <c r="AO812" s="6"/>
      <c r="AP812" s="6"/>
      <c r="AQ812" s="6"/>
      <c r="AR812" s="11"/>
      <c r="AS812" s="6"/>
      <c r="AT812" s="11"/>
      <c r="AU812" s="11"/>
      <c r="AV812" s="6"/>
      <c r="AW812" s="6"/>
    </row>
    <row r="813" spans="11:49"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7"/>
      <c r="AF813" s="8"/>
      <c r="AG813" s="6"/>
      <c r="AH813" s="6"/>
      <c r="AI813" s="9"/>
      <c r="AJ813" s="9"/>
      <c r="AK813" s="9"/>
      <c r="AL813" s="10"/>
      <c r="AM813" s="9"/>
      <c r="AN813" s="10"/>
      <c r="AO813" s="6"/>
      <c r="AP813" s="6"/>
      <c r="AQ813" s="6"/>
      <c r="AR813" s="11"/>
      <c r="AS813" s="6"/>
      <c r="AT813" s="11"/>
      <c r="AU813" s="11"/>
      <c r="AV813" s="6"/>
      <c r="AW813" s="6"/>
    </row>
    <row r="814" spans="11:49"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7"/>
      <c r="AF814" s="8"/>
      <c r="AG814" s="6"/>
      <c r="AH814" s="6"/>
      <c r="AI814" s="9"/>
      <c r="AJ814" s="9"/>
      <c r="AK814" s="9"/>
      <c r="AL814" s="10"/>
      <c r="AM814" s="9"/>
      <c r="AN814" s="10"/>
      <c r="AO814" s="6"/>
      <c r="AP814" s="6"/>
      <c r="AQ814" s="6"/>
      <c r="AR814" s="11"/>
      <c r="AS814" s="6"/>
      <c r="AT814" s="11"/>
      <c r="AU814" s="11"/>
      <c r="AV814" s="6"/>
      <c r="AW814" s="6"/>
    </row>
    <row r="815" spans="11:49"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7"/>
      <c r="AF815" s="8"/>
      <c r="AG815" s="6"/>
      <c r="AH815" s="6"/>
      <c r="AI815" s="9"/>
      <c r="AJ815" s="9"/>
      <c r="AK815" s="9"/>
      <c r="AL815" s="10"/>
      <c r="AM815" s="9"/>
      <c r="AN815" s="10"/>
      <c r="AO815" s="6"/>
      <c r="AP815" s="6"/>
      <c r="AQ815" s="6"/>
      <c r="AR815" s="11"/>
      <c r="AS815" s="6"/>
      <c r="AT815" s="11"/>
      <c r="AU815" s="11"/>
      <c r="AV815" s="6"/>
      <c r="AW815" s="6"/>
    </row>
    <row r="816" spans="11:49"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7"/>
      <c r="AF816" s="8"/>
      <c r="AG816" s="6"/>
      <c r="AH816" s="6"/>
      <c r="AI816" s="9"/>
      <c r="AJ816" s="9"/>
      <c r="AK816" s="9"/>
      <c r="AL816" s="10"/>
      <c r="AM816" s="9"/>
      <c r="AN816" s="10"/>
      <c r="AO816" s="6"/>
      <c r="AP816" s="6"/>
      <c r="AQ816" s="6"/>
      <c r="AR816" s="11"/>
      <c r="AS816" s="6"/>
      <c r="AT816" s="11"/>
      <c r="AU816" s="11"/>
      <c r="AV816" s="6"/>
      <c r="AW816" s="6"/>
    </row>
    <row r="817" spans="11:49"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7"/>
      <c r="AF817" s="8"/>
      <c r="AG817" s="6"/>
      <c r="AH817" s="6"/>
      <c r="AI817" s="9"/>
      <c r="AJ817" s="9"/>
      <c r="AK817" s="9"/>
      <c r="AL817" s="10"/>
      <c r="AM817" s="9"/>
      <c r="AN817" s="10"/>
      <c r="AO817" s="6"/>
      <c r="AP817" s="6"/>
      <c r="AQ817" s="6"/>
      <c r="AR817" s="11"/>
      <c r="AS817" s="6"/>
      <c r="AT817" s="11"/>
      <c r="AU817" s="11"/>
      <c r="AV817" s="6"/>
      <c r="AW817" s="6"/>
    </row>
    <row r="818" spans="11:49"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7"/>
      <c r="AF818" s="8"/>
      <c r="AG818" s="6"/>
      <c r="AH818" s="6"/>
      <c r="AI818" s="9"/>
      <c r="AJ818" s="9"/>
      <c r="AK818" s="9"/>
      <c r="AL818" s="10"/>
      <c r="AM818" s="9"/>
      <c r="AN818" s="10"/>
      <c r="AO818" s="6"/>
      <c r="AP818" s="6"/>
      <c r="AQ818" s="6"/>
      <c r="AR818" s="11"/>
      <c r="AS818" s="6"/>
      <c r="AT818" s="11"/>
      <c r="AU818" s="11"/>
      <c r="AV818" s="6"/>
      <c r="AW818" s="6"/>
    </row>
    <row r="819" spans="11:49"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7"/>
      <c r="AF819" s="8"/>
      <c r="AG819" s="6"/>
      <c r="AH819" s="6"/>
      <c r="AI819" s="9"/>
      <c r="AJ819" s="9"/>
      <c r="AK819" s="9"/>
      <c r="AL819" s="10"/>
      <c r="AM819" s="9"/>
      <c r="AN819" s="10"/>
      <c r="AO819" s="6"/>
      <c r="AP819" s="6"/>
      <c r="AQ819" s="6"/>
      <c r="AR819" s="11"/>
      <c r="AS819" s="6"/>
      <c r="AT819" s="11"/>
      <c r="AU819" s="11"/>
      <c r="AV819" s="6"/>
      <c r="AW819" s="6"/>
    </row>
    <row r="820" spans="11:49"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7"/>
      <c r="AF820" s="8"/>
      <c r="AG820" s="6"/>
      <c r="AH820" s="6"/>
      <c r="AI820" s="9"/>
      <c r="AJ820" s="9"/>
      <c r="AK820" s="9"/>
      <c r="AL820" s="10"/>
      <c r="AM820" s="9"/>
      <c r="AN820" s="10"/>
      <c r="AO820" s="6"/>
      <c r="AP820" s="6"/>
      <c r="AQ820" s="6"/>
      <c r="AR820" s="11"/>
      <c r="AS820" s="6"/>
      <c r="AT820" s="11"/>
      <c r="AU820" s="11"/>
      <c r="AV820" s="6"/>
      <c r="AW820" s="6"/>
    </row>
    <row r="821" spans="11:49"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7"/>
      <c r="AF821" s="8"/>
      <c r="AG821" s="6"/>
      <c r="AH821" s="6"/>
      <c r="AI821" s="9"/>
      <c r="AJ821" s="9"/>
      <c r="AK821" s="9"/>
      <c r="AL821" s="10"/>
      <c r="AM821" s="9"/>
      <c r="AN821" s="10"/>
      <c r="AO821" s="6"/>
      <c r="AP821" s="6"/>
      <c r="AQ821" s="6"/>
      <c r="AR821" s="11"/>
      <c r="AS821" s="6"/>
      <c r="AT821" s="11"/>
      <c r="AU821" s="11"/>
      <c r="AV821" s="6"/>
      <c r="AW821" s="6"/>
    </row>
    <row r="822" spans="11:49"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7"/>
      <c r="AF822" s="8"/>
      <c r="AG822" s="6"/>
      <c r="AH822" s="6"/>
      <c r="AI822" s="9"/>
      <c r="AJ822" s="9"/>
      <c r="AK822" s="9"/>
      <c r="AL822" s="10"/>
      <c r="AM822" s="9"/>
      <c r="AN822" s="10"/>
      <c r="AO822" s="6"/>
      <c r="AP822" s="6"/>
      <c r="AQ822" s="6"/>
      <c r="AR822" s="11"/>
      <c r="AS822" s="6"/>
      <c r="AT822" s="11"/>
      <c r="AU822" s="11"/>
      <c r="AV822" s="6"/>
      <c r="AW822" s="6"/>
    </row>
    <row r="823" spans="11:49"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7"/>
      <c r="AF823" s="8"/>
      <c r="AG823" s="6"/>
      <c r="AH823" s="6"/>
      <c r="AI823" s="9"/>
      <c r="AJ823" s="9"/>
      <c r="AK823" s="9"/>
      <c r="AL823" s="10"/>
      <c r="AM823" s="9"/>
      <c r="AN823" s="10"/>
      <c r="AO823" s="6"/>
      <c r="AP823" s="6"/>
      <c r="AQ823" s="6"/>
      <c r="AR823" s="11"/>
      <c r="AS823" s="6"/>
      <c r="AT823" s="11"/>
      <c r="AU823" s="11"/>
      <c r="AV823" s="6"/>
      <c r="AW823" s="6"/>
    </row>
    <row r="824" spans="11:49"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7"/>
      <c r="AF824" s="8"/>
      <c r="AG824" s="6"/>
      <c r="AH824" s="6"/>
      <c r="AI824" s="9"/>
      <c r="AJ824" s="9"/>
      <c r="AK824" s="9"/>
      <c r="AL824" s="10"/>
      <c r="AM824" s="9"/>
      <c r="AN824" s="10"/>
      <c r="AO824" s="6"/>
      <c r="AP824" s="6"/>
      <c r="AQ824" s="6"/>
      <c r="AR824" s="11"/>
      <c r="AS824" s="6"/>
      <c r="AT824" s="11"/>
      <c r="AU824" s="11"/>
      <c r="AV824" s="6"/>
      <c r="AW824" s="6"/>
    </row>
    <row r="825" spans="11:49"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7"/>
      <c r="AF825" s="8"/>
      <c r="AG825" s="6"/>
      <c r="AH825" s="6"/>
      <c r="AI825" s="9"/>
      <c r="AJ825" s="9"/>
      <c r="AK825" s="9"/>
      <c r="AL825" s="10"/>
      <c r="AM825" s="9"/>
      <c r="AN825" s="10"/>
      <c r="AO825" s="6"/>
      <c r="AP825" s="6"/>
      <c r="AQ825" s="6"/>
      <c r="AR825" s="11"/>
      <c r="AS825" s="6"/>
      <c r="AT825" s="11"/>
      <c r="AU825" s="11"/>
      <c r="AV825" s="6"/>
      <c r="AW825" s="6"/>
    </row>
    <row r="826" spans="11:49"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7"/>
      <c r="AF826" s="8"/>
      <c r="AG826" s="6"/>
      <c r="AH826" s="6"/>
      <c r="AI826" s="9"/>
      <c r="AJ826" s="9"/>
      <c r="AK826" s="9"/>
      <c r="AL826" s="10"/>
      <c r="AM826" s="9"/>
      <c r="AN826" s="10"/>
      <c r="AO826" s="6"/>
      <c r="AP826" s="6"/>
      <c r="AQ826" s="6"/>
      <c r="AR826" s="11"/>
      <c r="AS826" s="6"/>
      <c r="AT826" s="11"/>
      <c r="AU826" s="11"/>
      <c r="AV826" s="6"/>
      <c r="AW826" s="6"/>
    </row>
    <row r="827" spans="11:49"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7"/>
      <c r="AF827" s="8"/>
      <c r="AG827" s="6"/>
      <c r="AH827" s="6"/>
      <c r="AI827" s="9"/>
      <c r="AJ827" s="9"/>
      <c r="AK827" s="9"/>
      <c r="AL827" s="10"/>
      <c r="AM827" s="9"/>
      <c r="AN827" s="10"/>
      <c r="AO827" s="6"/>
      <c r="AP827" s="6"/>
      <c r="AQ827" s="6"/>
      <c r="AR827" s="11"/>
      <c r="AS827" s="6"/>
      <c r="AT827" s="11"/>
      <c r="AU827" s="11"/>
      <c r="AV827" s="6"/>
      <c r="AW827" s="6"/>
    </row>
    <row r="828" spans="11:49"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7"/>
      <c r="AF828" s="8"/>
      <c r="AG828" s="6"/>
      <c r="AH828" s="6"/>
      <c r="AI828" s="9"/>
      <c r="AJ828" s="9"/>
      <c r="AK828" s="9"/>
      <c r="AL828" s="10"/>
      <c r="AM828" s="9"/>
      <c r="AN828" s="10"/>
      <c r="AO828" s="6"/>
      <c r="AP828" s="6"/>
      <c r="AQ828" s="6"/>
      <c r="AR828" s="11"/>
      <c r="AS828" s="6"/>
      <c r="AT828" s="11"/>
      <c r="AU828" s="11"/>
      <c r="AV828" s="6"/>
      <c r="AW828" s="6"/>
    </row>
    <row r="829" spans="11:49"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7"/>
      <c r="AF829" s="8"/>
      <c r="AG829" s="6"/>
      <c r="AH829" s="6"/>
      <c r="AI829" s="9"/>
      <c r="AJ829" s="9"/>
      <c r="AK829" s="9"/>
      <c r="AL829" s="10"/>
      <c r="AM829" s="9"/>
      <c r="AN829" s="10"/>
      <c r="AO829" s="6"/>
      <c r="AP829" s="6"/>
      <c r="AQ829" s="6"/>
      <c r="AR829" s="11"/>
      <c r="AS829" s="6"/>
      <c r="AT829" s="11"/>
      <c r="AU829" s="11"/>
      <c r="AV829" s="6"/>
      <c r="AW829" s="6"/>
    </row>
    <row r="830" spans="11:49"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7"/>
      <c r="AF830" s="8"/>
      <c r="AG830" s="6"/>
      <c r="AH830" s="6"/>
      <c r="AI830" s="9"/>
      <c r="AJ830" s="9"/>
      <c r="AK830" s="9"/>
      <c r="AL830" s="10"/>
      <c r="AM830" s="9"/>
      <c r="AN830" s="10"/>
      <c r="AO830" s="6"/>
      <c r="AP830" s="6"/>
      <c r="AQ830" s="6"/>
      <c r="AR830" s="11"/>
      <c r="AS830" s="6"/>
      <c r="AT830" s="11"/>
      <c r="AU830" s="11"/>
      <c r="AV830" s="6"/>
      <c r="AW830" s="6"/>
    </row>
    <row r="831" spans="11:49"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7"/>
      <c r="AF831" s="8"/>
      <c r="AG831" s="6"/>
      <c r="AH831" s="6"/>
      <c r="AI831" s="9"/>
      <c r="AJ831" s="9"/>
      <c r="AK831" s="9"/>
      <c r="AL831" s="10"/>
      <c r="AM831" s="9"/>
      <c r="AN831" s="10"/>
      <c r="AO831" s="6"/>
      <c r="AP831" s="6"/>
      <c r="AQ831" s="6"/>
      <c r="AR831" s="11"/>
      <c r="AS831" s="6"/>
      <c r="AT831" s="11"/>
      <c r="AU831" s="11"/>
      <c r="AV831" s="6"/>
      <c r="AW831" s="6"/>
    </row>
    <row r="832" spans="11:49"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7"/>
      <c r="AF832" s="8"/>
      <c r="AG832" s="6"/>
      <c r="AH832" s="6"/>
      <c r="AI832" s="9"/>
      <c r="AJ832" s="9"/>
      <c r="AK832" s="9"/>
      <c r="AL832" s="10"/>
      <c r="AM832" s="9"/>
      <c r="AN832" s="10"/>
      <c r="AO832" s="6"/>
      <c r="AP832" s="6"/>
      <c r="AQ832" s="6"/>
      <c r="AR832" s="11"/>
      <c r="AS832" s="6"/>
      <c r="AT832" s="11"/>
      <c r="AU832" s="11"/>
      <c r="AV832" s="6"/>
      <c r="AW832" s="6"/>
    </row>
    <row r="833" spans="11:49"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7"/>
      <c r="AF833" s="8"/>
      <c r="AG833" s="6"/>
      <c r="AH833" s="6"/>
      <c r="AI833" s="9"/>
      <c r="AJ833" s="9"/>
      <c r="AK833" s="9"/>
      <c r="AL833" s="10"/>
      <c r="AM833" s="9"/>
      <c r="AN833" s="10"/>
      <c r="AO833" s="6"/>
      <c r="AP833" s="6"/>
      <c r="AQ833" s="6"/>
      <c r="AR833" s="11"/>
      <c r="AS833" s="6"/>
      <c r="AT833" s="11"/>
      <c r="AU833" s="11"/>
      <c r="AV833" s="6"/>
      <c r="AW833" s="6"/>
    </row>
    <row r="834" spans="11:49"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7"/>
      <c r="AF834" s="8"/>
      <c r="AG834" s="6"/>
      <c r="AH834" s="6"/>
      <c r="AI834" s="9"/>
      <c r="AJ834" s="9"/>
      <c r="AK834" s="9"/>
      <c r="AL834" s="10"/>
      <c r="AM834" s="9"/>
      <c r="AN834" s="10"/>
      <c r="AO834" s="6"/>
      <c r="AP834" s="6"/>
      <c r="AQ834" s="6"/>
      <c r="AR834" s="11"/>
      <c r="AS834" s="6"/>
      <c r="AT834" s="11"/>
      <c r="AU834" s="11"/>
      <c r="AV834" s="6"/>
      <c r="AW834" s="6"/>
    </row>
    <row r="835" spans="11:49"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7"/>
      <c r="AF835" s="8"/>
      <c r="AG835" s="6"/>
      <c r="AH835" s="6"/>
      <c r="AI835" s="9"/>
      <c r="AJ835" s="9"/>
      <c r="AK835" s="9"/>
      <c r="AL835" s="10"/>
      <c r="AM835" s="9"/>
      <c r="AN835" s="10"/>
      <c r="AO835" s="6"/>
      <c r="AP835" s="6"/>
      <c r="AQ835" s="6"/>
      <c r="AR835" s="11"/>
      <c r="AS835" s="6"/>
      <c r="AT835" s="11"/>
      <c r="AU835" s="11"/>
      <c r="AV835" s="6"/>
      <c r="AW835" s="6"/>
    </row>
    <row r="836" spans="11:49"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7"/>
      <c r="AF836" s="8"/>
      <c r="AG836" s="6"/>
      <c r="AH836" s="6"/>
      <c r="AI836" s="9"/>
      <c r="AJ836" s="9"/>
      <c r="AK836" s="9"/>
      <c r="AL836" s="10"/>
      <c r="AM836" s="9"/>
      <c r="AN836" s="10"/>
      <c r="AO836" s="6"/>
      <c r="AP836" s="6"/>
      <c r="AQ836" s="6"/>
      <c r="AR836" s="11"/>
      <c r="AS836" s="6"/>
      <c r="AT836" s="11"/>
      <c r="AU836" s="11"/>
      <c r="AV836" s="6"/>
      <c r="AW836" s="6"/>
    </row>
    <row r="837" spans="11:49"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7"/>
      <c r="AF837" s="8"/>
      <c r="AG837" s="6"/>
      <c r="AH837" s="6"/>
      <c r="AI837" s="9"/>
      <c r="AJ837" s="9"/>
      <c r="AK837" s="9"/>
      <c r="AL837" s="10"/>
      <c r="AM837" s="9"/>
      <c r="AN837" s="10"/>
      <c r="AO837" s="6"/>
      <c r="AP837" s="6"/>
      <c r="AQ837" s="6"/>
      <c r="AR837" s="11"/>
      <c r="AS837" s="6"/>
      <c r="AT837" s="11"/>
      <c r="AU837" s="11"/>
      <c r="AV837" s="6"/>
      <c r="AW837" s="6"/>
    </row>
    <row r="838" spans="11:49"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7"/>
      <c r="AF838" s="8"/>
      <c r="AG838" s="6"/>
      <c r="AH838" s="6"/>
      <c r="AI838" s="9"/>
      <c r="AJ838" s="9"/>
      <c r="AK838" s="9"/>
      <c r="AL838" s="10"/>
      <c r="AM838" s="9"/>
      <c r="AN838" s="10"/>
      <c r="AO838" s="6"/>
      <c r="AP838" s="6"/>
      <c r="AQ838" s="6"/>
      <c r="AR838" s="11"/>
      <c r="AS838" s="6"/>
      <c r="AT838" s="11"/>
      <c r="AU838" s="11"/>
      <c r="AV838" s="6"/>
      <c r="AW838" s="6"/>
    </row>
    <row r="839" spans="11:49"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7"/>
      <c r="AF839" s="8"/>
      <c r="AG839" s="6"/>
      <c r="AH839" s="6"/>
      <c r="AI839" s="9"/>
      <c r="AJ839" s="9"/>
      <c r="AK839" s="9"/>
      <c r="AL839" s="10"/>
      <c r="AM839" s="9"/>
      <c r="AN839" s="10"/>
      <c r="AO839" s="6"/>
      <c r="AP839" s="6"/>
      <c r="AQ839" s="6"/>
      <c r="AR839" s="11"/>
      <c r="AS839" s="6"/>
      <c r="AT839" s="11"/>
      <c r="AU839" s="11"/>
      <c r="AV839" s="6"/>
      <c r="AW839" s="6"/>
    </row>
    <row r="840" spans="11:49"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7"/>
      <c r="AF840" s="8"/>
      <c r="AG840" s="6"/>
      <c r="AH840" s="6"/>
      <c r="AI840" s="9"/>
      <c r="AJ840" s="9"/>
      <c r="AK840" s="9"/>
      <c r="AL840" s="10"/>
      <c r="AM840" s="9"/>
      <c r="AN840" s="10"/>
      <c r="AO840" s="6"/>
      <c r="AP840" s="6"/>
      <c r="AQ840" s="6"/>
      <c r="AR840" s="11"/>
      <c r="AS840" s="6"/>
      <c r="AT840" s="11"/>
      <c r="AU840" s="11"/>
      <c r="AV840" s="6"/>
      <c r="AW840" s="6"/>
    </row>
    <row r="841" spans="11:49"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7"/>
      <c r="AF841" s="8"/>
      <c r="AG841" s="6"/>
      <c r="AH841" s="6"/>
      <c r="AI841" s="9"/>
      <c r="AJ841" s="9"/>
      <c r="AK841" s="9"/>
      <c r="AL841" s="10"/>
      <c r="AM841" s="9"/>
      <c r="AN841" s="10"/>
      <c r="AO841" s="6"/>
      <c r="AP841" s="6"/>
      <c r="AQ841" s="6"/>
      <c r="AR841" s="11"/>
      <c r="AS841" s="6"/>
      <c r="AT841" s="11"/>
      <c r="AU841" s="11"/>
      <c r="AV841" s="6"/>
      <c r="AW841" s="6"/>
    </row>
    <row r="842" spans="11:49"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7"/>
      <c r="AF842" s="8"/>
      <c r="AG842" s="6"/>
      <c r="AH842" s="6"/>
      <c r="AI842" s="9"/>
      <c r="AJ842" s="9"/>
      <c r="AK842" s="9"/>
      <c r="AL842" s="10"/>
      <c r="AM842" s="9"/>
      <c r="AN842" s="10"/>
      <c r="AO842" s="6"/>
      <c r="AP842" s="6"/>
      <c r="AQ842" s="6"/>
      <c r="AR842" s="11"/>
      <c r="AS842" s="6"/>
      <c r="AT842" s="11"/>
      <c r="AU842" s="11"/>
      <c r="AV842" s="6"/>
      <c r="AW842" s="6"/>
    </row>
    <row r="843" spans="11:49"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7"/>
      <c r="AF843" s="8"/>
      <c r="AG843" s="6"/>
      <c r="AH843" s="6"/>
      <c r="AI843" s="9"/>
      <c r="AJ843" s="9"/>
      <c r="AK843" s="9"/>
      <c r="AL843" s="10"/>
      <c r="AM843" s="9"/>
      <c r="AN843" s="10"/>
      <c r="AO843" s="6"/>
      <c r="AP843" s="6"/>
      <c r="AQ843" s="6"/>
      <c r="AR843" s="11"/>
      <c r="AS843" s="6"/>
      <c r="AT843" s="11"/>
      <c r="AU843" s="11"/>
      <c r="AV843" s="6"/>
      <c r="AW843" s="6"/>
    </row>
    <row r="844" spans="11:49"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7"/>
      <c r="AF844" s="8"/>
      <c r="AG844" s="6"/>
      <c r="AH844" s="6"/>
      <c r="AI844" s="9"/>
      <c r="AJ844" s="9"/>
      <c r="AK844" s="9"/>
      <c r="AL844" s="10"/>
      <c r="AM844" s="9"/>
      <c r="AN844" s="10"/>
      <c r="AO844" s="6"/>
      <c r="AP844" s="6"/>
      <c r="AQ844" s="6"/>
      <c r="AR844" s="11"/>
      <c r="AS844" s="6"/>
      <c r="AT844" s="11"/>
      <c r="AU844" s="11"/>
      <c r="AV844" s="6"/>
      <c r="AW844" s="6"/>
    </row>
    <row r="845" spans="11:49"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7"/>
      <c r="AF845" s="8"/>
      <c r="AG845" s="6"/>
      <c r="AH845" s="6"/>
      <c r="AI845" s="9"/>
      <c r="AJ845" s="9"/>
      <c r="AK845" s="9"/>
      <c r="AL845" s="10"/>
      <c r="AM845" s="9"/>
      <c r="AN845" s="10"/>
      <c r="AO845" s="6"/>
      <c r="AP845" s="6"/>
      <c r="AQ845" s="6"/>
      <c r="AR845" s="11"/>
      <c r="AS845" s="6"/>
      <c r="AT845" s="11"/>
      <c r="AU845" s="11"/>
      <c r="AV845" s="6"/>
      <c r="AW845" s="6"/>
    </row>
    <row r="846" spans="11:49"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7"/>
      <c r="AF846" s="8"/>
      <c r="AG846" s="6"/>
      <c r="AH846" s="6"/>
      <c r="AI846" s="9"/>
      <c r="AJ846" s="9"/>
      <c r="AK846" s="9"/>
      <c r="AL846" s="10"/>
      <c r="AM846" s="9"/>
      <c r="AN846" s="10"/>
      <c r="AO846" s="6"/>
      <c r="AP846" s="6"/>
      <c r="AQ846" s="6"/>
      <c r="AR846" s="11"/>
      <c r="AS846" s="6"/>
      <c r="AT846" s="11"/>
      <c r="AU846" s="11"/>
      <c r="AV846" s="6"/>
      <c r="AW846" s="6"/>
    </row>
    <row r="847" spans="11:49"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7"/>
      <c r="AF847" s="8"/>
      <c r="AG847" s="6"/>
      <c r="AH847" s="6"/>
      <c r="AI847" s="9"/>
      <c r="AJ847" s="9"/>
      <c r="AK847" s="9"/>
      <c r="AL847" s="10"/>
      <c r="AM847" s="9"/>
      <c r="AN847" s="10"/>
      <c r="AO847" s="6"/>
      <c r="AP847" s="6"/>
      <c r="AQ847" s="6"/>
      <c r="AR847" s="11"/>
      <c r="AS847" s="6"/>
      <c r="AT847" s="11"/>
      <c r="AU847" s="11"/>
      <c r="AV847" s="6"/>
      <c r="AW847" s="6"/>
    </row>
    <row r="848" spans="11:49"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7"/>
      <c r="AF848" s="8"/>
      <c r="AG848" s="6"/>
      <c r="AH848" s="6"/>
      <c r="AI848" s="9"/>
      <c r="AJ848" s="9"/>
      <c r="AK848" s="9"/>
      <c r="AL848" s="10"/>
      <c r="AM848" s="9"/>
      <c r="AN848" s="10"/>
      <c r="AO848" s="6"/>
      <c r="AP848" s="6"/>
      <c r="AQ848" s="6"/>
      <c r="AR848" s="11"/>
      <c r="AS848" s="6"/>
      <c r="AT848" s="11"/>
      <c r="AU848" s="11"/>
      <c r="AV848" s="6"/>
      <c r="AW848" s="6"/>
    </row>
    <row r="849" spans="11:49"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7"/>
      <c r="AF849" s="8"/>
      <c r="AG849" s="6"/>
      <c r="AH849" s="6"/>
      <c r="AI849" s="9"/>
      <c r="AJ849" s="9"/>
      <c r="AK849" s="9"/>
      <c r="AL849" s="10"/>
      <c r="AM849" s="9"/>
      <c r="AN849" s="10"/>
      <c r="AO849" s="6"/>
      <c r="AP849" s="6"/>
      <c r="AQ849" s="6"/>
      <c r="AR849" s="11"/>
      <c r="AS849" s="6"/>
      <c r="AT849" s="11"/>
      <c r="AU849" s="11"/>
      <c r="AV849" s="6"/>
      <c r="AW849" s="6"/>
    </row>
    <row r="850" spans="11:49"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7"/>
      <c r="AF850" s="8"/>
      <c r="AG850" s="6"/>
      <c r="AH850" s="6"/>
      <c r="AI850" s="9"/>
      <c r="AJ850" s="9"/>
      <c r="AK850" s="9"/>
      <c r="AL850" s="10"/>
      <c r="AM850" s="9"/>
      <c r="AN850" s="10"/>
      <c r="AO850" s="6"/>
      <c r="AP850" s="6"/>
      <c r="AQ850" s="6"/>
      <c r="AR850" s="11"/>
      <c r="AS850" s="6"/>
      <c r="AT850" s="11"/>
      <c r="AU850" s="11"/>
      <c r="AV850" s="6"/>
      <c r="AW850" s="6"/>
    </row>
    <row r="851" spans="11:49"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7"/>
      <c r="AF851" s="8"/>
      <c r="AG851" s="6"/>
      <c r="AH851" s="6"/>
      <c r="AI851" s="9"/>
      <c r="AJ851" s="9"/>
      <c r="AK851" s="9"/>
      <c r="AL851" s="10"/>
      <c r="AM851" s="9"/>
      <c r="AN851" s="10"/>
      <c r="AO851" s="6"/>
      <c r="AP851" s="6"/>
      <c r="AQ851" s="6"/>
      <c r="AR851" s="11"/>
      <c r="AS851" s="6"/>
      <c r="AT851" s="11"/>
      <c r="AU851" s="11"/>
      <c r="AV851" s="6"/>
      <c r="AW851" s="6"/>
    </row>
    <row r="852" spans="11:49"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7"/>
      <c r="AF852" s="8"/>
      <c r="AG852" s="6"/>
      <c r="AH852" s="6"/>
      <c r="AI852" s="9"/>
      <c r="AJ852" s="9"/>
      <c r="AK852" s="9"/>
      <c r="AL852" s="10"/>
      <c r="AM852" s="9"/>
      <c r="AN852" s="10"/>
      <c r="AO852" s="6"/>
      <c r="AP852" s="6"/>
      <c r="AQ852" s="6"/>
      <c r="AR852" s="11"/>
      <c r="AS852" s="6"/>
      <c r="AT852" s="11"/>
      <c r="AU852" s="11"/>
      <c r="AV852" s="6"/>
      <c r="AW852" s="6"/>
    </row>
    <row r="853" spans="11:49"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7"/>
      <c r="AF853" s="8"/>
      <c r="AG853" s="6"/>
      <c r="AH853" s="6"/>
      <c r="AI853" s="9"/>
      <c r="AJ853" s="9"/>
      <c r="AK853" s="9"/>
      <c r="AL853" s="10"/>
      <c r="AM853" s="9"/>
      <c r="AN853" s="10"/>
      <c r="AO853" s="6"/>
      <c r="AP853" s="6"/>
      <c r="AQ853" s="6"/>
      <c r="AR853" s="11"/>
      <c r="AS853" s="6"/>
      <c r="AT853" s="11"/>
      <c r="AU853" s="11"/>
      <c r="AV853" s="6"/>
      <c r="AW853" s="6"/>
    </row>
    <row r="854" spans="11:49"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7"/>
      <c r="AF854" s="8"/>
      <c r="AG854" s="6"/>
      <c r="AH854" s="6"/>
      <c r="AI854" s="9"/>
      <c r="AJ854" s="9"/>
      <c r="AK854" s="9"/>
      <c r="AL854" s="10"/>
      <c r="AM854" s="9"/>
      <c r="AN854" s="10"/>
      <c r="AO854" s="6"/>
      <c r="AP854" s="6"/>
      <c r="AQ854" s="6"/>
      <c r="AR854" s="11"/>
      <c r="AS854" s="6"/>
      <c r="AT854" s="11"/>
      <c r="AU854" s="11"/>
      <c r="AV854" s="6"/>
      <c r="AW854" s="6"/>
    </row>
    <row r="855" spans="11:49"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7"/>
      <c r="AF855" s="8"/>
      <c r="AG855" s="6"/>
      <c r="AH855" s="6"/>
      <c r="AI855" s="9"/>
      <c r="AJ855" s="9"/>
      <c r="AK855" s="9"/>
      <c r="AL855" s="10"/>
      <c r="AM855" s="9"/>
      <c r="AN855" s="10"/>
      <c r="AO855" s="6"/>
      <c r="AP855" s="6"/>
      <c r="AQ855" s="6"/>
      <c r="AR855" s="11"/>
      <c r="AS855" s="6"/>
      <c r="AT855" s="11"/>
      <c r="AU855" s="11"/>
      <c r="AV855" s="6"/>
      <c r="AW855" s="6"/>
    </row>
    <row r="856" spans="11:49"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7"/>
      <c r="AF856" s="8"/>
      <c r="AG856" s="6"/>
      <c r="AH856" s="6"/>
      <c r="AI856" s="9"/>
      <c r="AJ856" s="9"/>
      <c r="AK856" s="9"/>
      <c r="AL856" s="10"/>
      <c r="AM856" s="9"/>
      <c r="AN856" s="10"/>
      <c r="AO856" s="6"/>
      <c r="AP856" s="6"/>
      <c r="AQ856" s="6"/>
      <c r="AR856" s="11"/>
      <c r="AS856" s="6"/>
      <c r="AT856" s="11"/>
      <c r="AU856" s="11"/>
      <c r="AV856" s="6"/>
      <c r="AW856" s="6"/>
    </row>
    <row r="857" spans="11:49"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7"/>
      <c r="AF857" s="8"/>
      <c r="AG857" s="6"/>
      <c r="AH857" s="6"/>
      <c r="AI857" s="9"/>
      <c r="AJ857" s="9"/>
      <c r="AK857" s="9"/>
      <c r="AL857" s="10"/>
      <c r="AM857" s="9"/>
      <c r="AN857" s="10"/>
      <c r="AO857" s="6"/>
      <c r="AP857" s="6"/>
      <c r="AQ857" s="6"/>
      <c r="AR857" s="11"/>
      <c r="AS857" s="6"/>
      <c r="AT857" s="11"/>
      <c r="AU857" s="11"/>
      <c r="AV857" s="6"/>
      <c r="AW857" s="6"/>
    </row>
    <row r="858" spans="11:49"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7"/>
      <c r="AF858" s="8"/>
      <c r="AG858" s="6"/>
      <c r="AH858" s="6"/>
      <c r="AI858" s="9"/>
      <c r="AJ858" s="9"/>
      <c r="AK858" s="9"/>
      <c r="AL858" s="10"/>
      <c r="AM858" s="9"/>
      <c r="AN858" s="10"/>
      <c r="AO858" s="6"/>
      <c r="AP858" s="6"/>
      <c r="AQ858" s="6"/>
      <c r="AR858" s="11"/>
      <c r="AS858" s="6"/>
      <c r="AT858" s="11"/>
      <c r="AU858" s="11"/>
      <c r="AV858" s="6"/>
      <c r="AW858" s="6"/>
    </row>
    <row r="859" spans="11:49"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7"/>
      <c r="AF859" s="8"/>
      <c r="AG859" s="6"/>
      <c r="AH859" s="6"/>
      <c r="AI859" s="9"/>
      <c r="AJ859" s="9"/>
      <c r="AK859" s="9"/>
      <c r="AL859" s="10"/>
      <c r="AM859" s="9"/>
      <c r="AN859" s="10"/>
      <c r="AO859" s="6"/>
      <c r="AP859" s="6"/>
      <c r="AQ859" s="6"/>
      <c r="AR859" s="11"/>
      <c r="AS859" s="6"/>
      <c r="AT859" s="11"/>
      <c r="AU859" s="11"/>
      <c r="AV859" s="6"/>
      <c r="AW859" s="6"/>
    </row>
    <row r="860" spans="11:49"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7"/>
      <c r="AF860" s="8"/>
      <c r="AG860" s="6"/>
      <c r="AH860" s="6"/>
      <c r="AI860" s="9"/>
      <c r="AJ860" s="9"/>
      <c r="AK860" s="9"/>
      <c r="AL860" s="10"/>
      <c r="AM860" s="9"/>
      <c r="AN860" s="10"/>
      <c r="AO860" s="6"/>
      <c r="AP860" s="6"/>
      <c r="AQ860" s="6"/>
      <c r="AR860" s="11"/>
      <c r="AS860" s="6"/>
      <c r="AT860" s="11"/>
      <c r="AU860" s="11"/>
      <c r="AV860" s="6"/>
      <c r="AW860" s="6"/>
    </row>
    <row r="861" spans="11:49"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7"/>
      <c r="AF861" s="8"/>
      <c r="AG861" s="6"/>
      <c r="AH861" s="6"/>
      <c r="AI861" s="9"/>
      <c r="AJ861" s="9"/>
      <c r="AK861" s="9"/>
      <c r="AL861" s="10"/>
      <c r="AM861" s="9"/>
      <c r="AN861" s="10"/>
      <c r="AO861" s="6"/>
      <c r="AP861" s="6"/>
      <c r="AQ861" s="6"/>
      <c r="AR861" s="11"/>
      <c r="AS861" s="6"/>
      <c r="AT861" s="11"/>
      <c r="AU861" s="11"/>
      <c r="AV861" s="6"/>
      <c r="AW861" s="6"/>
    </row>
    <row r="862" spans="11:49"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7"/>
      <c r="AF862" s="8"/>
      <c r="AG862" s="6"/>
      <c r="AH862" s="6"/>
      <c r="AI862" s="9"/>
      <c r="AJ862" s="9"/>
      <c r="AK862" s="9"/>
      <c r="AL862" s="10"/>
      <c r="AM862" s="9"/>
      <c r="AN862" s="10"/>
      <c r="AO862" s="6"/>
      <c r="AP862" s="6"/>
      <c r="AQ862" s="6"/>
      <c r="AR862" s="11"/>
      <c r="AS862" s="6"/>
      <c r="AT862" s="11"/>
      <c r="AU862" s="11"/>
      <c r="AV862" s="6"/>
      <c r="AW862" s="6"/>
    </row>
    <row r="863" spans="11:49"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7"/>
      <c r="AF863" s="8"/>
      <c r="AG863" s="6"/>
      <c r="AH863" s="6"/>
      <c r="AI863" s="9"/>
      <c r="AJ863" s="9"/>
      <c r="AK863" s="9"/>
      <c r="AL863" s="10"/>
      <c r="AM863" s="9"/>
      <c r="AN863" s="10"/>
      <c r="AO863" s="6"/>
      <c r="AP863" s="6"/>
      <c r="AQ863" s="6"/>
      <c r="AR863" s="11"/>
      <c r="AS863" s="6"/>
      <c r="AT863" s="11"/>
      <c r="AU863" s="11"/>
      <c r="AV863" s="6"/>
      <c r="AW863" s="6"/>
    </row>
    <row r="864" spans="11:49"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7"/>
      <c r="AF864" s="8"/>
      <c r="AG864" s="6"/>
      <c r="AH864" s="6"/>
      <c r="AI864" s="9"/>
      <c r="AJ864" s="9"/>
      <c r="AK864" s="9"/>
      <c r="AL864" s="10"/>
      <c r="AM864" s="9"/>
      <c r="AN864" s="10"/>
      <c r="AO864" s="6"/>
      <c r="AP864" s="6"/>
      <c r="AQ864" s="6"/>
      <c r="AR864" s="11"/>
      <c r="AS864" s="6"/>
      <c r="AT864" s="11"/>
      <c r="AU864" s="11"/>
      <c r="AV864" s="6"/>
      <c r="AW864" s="6"/>
    </row>
    <row r="865" spans="11:49"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7"/>
      <c r="AF865" s="8"/>
      <c r="AG865" s="6"/>
      <c r="AH865" s="6"/>
      <c r="AI865" s="9"/>
      <c r="AJ865" s="9"/>
      <c r="AK865" s="9"/>
      <c r="AL865" s="10"/>
      <c r="AM865" s="9"/>
      <c r="AN865" s="10"/>
      <c r="AO865" s="6"/>
      <c r="AP865" s="6"/>
      <c r="AQ865" s="6"/>
      <c r="AR865" s="11"/>
      <c r="AS865" s="6"/>
      <c r="AT865" s="11"/>
      <c r="AU865" s="11"/>
      <c r="AV865" s="6"/>
      <c r="AW865" s="6"/>
    </row>
    <row r="866" spans="11:49"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7"/>
      <c r="AF866" s="8"/>
      <c r="AG866" s="6"/>
      <c r="AH866" s="6"/>
      <c r="AI866" s="9"/>
      <c r="AJ866" s="9"/>
      <c r="AK866" s="9"/>
      <c r="AL866" s="10"/>
      <c r="AM866" s="9"/>
      <c r="AN866" s="10"/>
      <c r="AO866" s="6"/>
      <c r="AP866" s="6"/>
      <c r="AQ866" s="6"/>
      <c r="AR866" s="11"/>
      <c r="AS866" s="6"/>
      <c r="AT866" s="11"/>
      <c r="AU866" s="11"/>
      <c r="AV866" s="6"/>
      <c r="AW866" s="6"/>
    </row>
    <row r="867" spans="11:49"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7"/>
      <c r="AF867" s="8"/>
      <c r="AG867" s="6"/>
      <c r="AH867" s="6"/>
      <c r="AI867" s="9"/>
      <c r="AJ867" s="9"/>
      <c r="AK867" s="9"/>
      <c r="AL867" s="10"/>
      <c r="AM867" s="9"/>
      <c r="AN867" s="10"/>
      <c r="AO867" s="6"/>
      <c r="AP867" s="6"/>
      <c r="AQ867" s="6"/>
      <c r="AR867" s="11"/>
      <c r="AS867" s="6"/>
      <c r="AT867" s="11"/>
      <c r="AU867" s="11"/>
      <c r="AV867" s="6"/>
      <c r="AW867" s="6"/>
    </row>
    <row r="868" spans="11:49"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7"/>
      <c r="AF868" s="8"/>
      <c r="AG868" s="6"/>
      <c r="AH868" s="6"/>
      <c r="AI868" s="9"/>
      <c r="AJ868" s="9"/>
      <c r="AK868" s="9"/>
      <c r="AL868" s="10"/>
      <c r="AM868" s="9"/>
      <c r="AN868" s="10"/>
      <c r="AO868" s="6"/>
      <c r="AP868" s="6"/>
      <c r="AQ868" s="6"/>
      <c r="AR868" s="11"/>
      <c r="AS868" s="6"/>
      <c r="AT868" s="11"/>
      <c r="AU868" s="11"/>
      <c r="AV868" s="6"/>
      <c r="AW868" s="6"/>
    </row>
    <row r="869" spans="11:49"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7"/>
      <c r="AF869" s="8"/>
      <c r="AG869" s="6"/>
      <c r="AH869" s="6"/>
      <c r="AI869" s="9"/>
      <c r="AJ869" s="9"/>
      <c r="AK869" s="9"/>
      <c r="AL869" s="10"/>
      <c r="AM869" s="9"/>
      <c r="AN869" s="10"/>
      <c r="AO869" s="6"/>
      <c r="AP869" s="6"/>
      <c r="AQ869" s="6"/>
      <c r="AR869" s="11"/>
      <c r="AS869" s="6"/>
      <c r="AT869" s="11"/>
      <c r="AU869" s="11"/>
      <c r="AV869" s="6"/>
      <c r="AW869" s="6"/>
    </row>
    <row r="870" spans="11:49">
      <c r="K870" s="6"/>
      <c r="L870" s="6"/>
      <c r="M870" s="6"/>
      <c r="N870" s="6"/>
      <c r="P870" s="6"/>
      <c r="Q870" s="6"/>
      <c r="R870" s="6"/>
      <c r="S870" s="6"/>
      <c r="T870" s="6"/>
      <c r="U870" s="6"/>
      <c r="V870" s="6"/>
      <c r="W870" s="6"/>
      <c r="X870" s="6"/>
      <c r="Z870" s="6"/>
      <c r="AA870" s="6"/>
      <c r="AB870" s="6"/>
      <c r="AC870" s="6"/>
      <c r="AD870" s="6"/>
      <c r="AE870" s="7"/>
      <c r="AF870" s="8"/>
      <c r="AG870" s="6"/>
      <c r="AH870" s="6"/>
      <c r="AI870" s="9"/>
      <c r="AJ870" s="9"/>
      <c r="AK870" s="9"/>
      <c r="AL870" s="10"/>
      <c r="AM870" s="9"/>
      <c r="AN870" s="10"/>
      <c r="AO870" s="6"/>
      <c r="AP870" s="6"/>
      <c r="AQ870" s="6"/>
      <c r="AR870" s="11"/>
      <c r="AS870" s="6"/>
      <c r="AT870" s="11"/>
      <c r="AU870" s="11"/>
      <c r="AV870" s="6"/>
      <c r="AW870" s="6"/>
    </row>
  </sheetData>
  <hyperlinks>
    <hyperlink ref="N4" r:id="rId1" tooltip="Persistent link using digital object identifier" xr:uid="{00000000-0004-0000-0000-000000000000}"/>
    <hyperlink ref="N5" r:id="rId2" tooltip="Persistent link using digital object identifier" xr:uid="{00000000-0004-0000-0000-000001000000}"/>
    <hyperlink ref="N6" r:id="rId3" tooltip="Persistent link using digital object identifier" xr:uid="{00000000-0004-0000-0000-000002000000}"/>
    <hyperlink ref="N7" r:id="rId4" tooltip="Persistent link using digital object identifier" xr:uid="{00000000-0004-0000-0000-000003000000}"/>
    <hyperlink ref="N8" r:id="rId5" tooltip="Persistent link using digital object identifier" xr:uid="{00000000-0004-0000-0000-000004000000}"/>
    <hyperlink ref="N9" r:id="rId6" tooltip="Persistent link using digital object identifier" xr:uid="{00000000-0004-0000-0000-000005000000}"/>
    <hyperlink ref="N10" r:id="rId7" tooltip="Persistent link using digital object identifier" xr:uid="{00000000-0004-0000-0000-000006000000}"/>
    <hyperlink ref="N11" r:id="rId8" tooltip="Persistent link using digital object identifier" xr:uid="{00000000-0004-0000-0000-000007000000}"/>
    <hyperlink ref="N12" r:id="rId9" tooltip="Persistent link using digital object identifier" xr:uid="{00000000-0004-0000-0000-00000800000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Bärbel Hönisch</cp:lastModifiedBy>
  <dcterms:created xsi:type="dcterms:W3CDTF">2018-05-25T13:54:02Z</dcterms:created>
  <dcterms:modified xsi:type="dcterms:W3CDTF">2020-08-04T17:44:59Z</dcterms:modified>
</cp:coreProperties>
</file>