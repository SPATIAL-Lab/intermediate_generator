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royer\Desktop\archive\"/>
    </mc:Choice>
  </mc:AlternateContent>
  <bookViews>
    <workbookView xWindow="-2085" yWindow="1305" windowWidth="28185" windowHeight="16320" tabRatio="500"/>
  </bookViews>
  <sheets>
    <sheet name="stomatal index" sheetId="1" r:id="rId1"/>
  </sheets>
  <calcPr calcId="162913"/>
  <extLst>
    <ext xmlns:x14="http://schemas.microsoft.com/office/spreadsheetml/2009/9/main" uri="{79F54976-1DA5-4618-B147-4CDE4B953A38}">
      <x14:workbookPr defaultImageDpi="330"/>
    </ext>
    <ext xmlns:mx="http://schemas.microsoft.com/office/mac/excel/2008/main" uri="{7523E5D3-25F3-A5E0-1632-64F254C22452}">
      <mx:ArchID Flags="2"/>
    </ext>
  </extLst>
</workbook>
</file>

<file path=xl/calcChain.xml><?xml version="1.0" encoding="utf-8"?>
<calcChain xmlns="http://schemas.openxmlformats.org/spreadsheetml/2006/main">
  <c r="W5" i="1" l="1"/>
  <c r="W6" i="1"/>
  <c r="W7" i="1"/>
  <c r="W8" i="1"/>
  <c r="W9" i="1"/>
  <c r="W10" i="1"/>
  <c r="W11" i="1"/>
  <c r="W12" i="1"/>
  <c r="W13" i="1"/>
  <c r="W14" i="1"/>
  <c r="W15" i="1"/>
  <c r="W16" i="1"/>
  <c r="W17" i="1"/>
  <c r="W18" i="1"/>
  <c r="W19" i="1"/>
  <c r="W20" i="1"/>
  <c r="W21" i="1"/>
  <c r="W22" i="1"/>
  <c r="W23" i="1"/>
  <c r="W4" i="1"/>
  <c r="D4" i="1" l="1"/>
  <c r="E4" i="1"/>
  <c r="F4" i="1"/>
  <c r="G4" i="1"/>
  <c r="H4" i="1"/>
  <c r="I4" i="1"/>
  <c r="J4" i="1"/>
  <c r="D5" i="1"/>
  <c r="E5" i="1"/>
  <c r="F5" i="1"/>
  <c r="G5" i="1"/>
  <c r="H5" i="1"/>
  <c r="I5" i="1"/>
  <c r="J5" i="1"/>
  <c r="D6" i="1"/>
  <c r="E6" i="1"/>
  <c r="F6" i="1"/>
  <c r="G6" i="1"/>
  <c r="H6" i="1"/>
  <c r="I6" i="1"/>
  <c r="J6" i="1"/>
  <c r="D7" i="1"/>
  <c r="E7" i="1"/>
  <c r="F7" i="1"/>
  <c r="G7" i="1"/>
  <c r="H7" i="1"/>
  <c r="I7" i="1"/>
  <c r="J7" i="1"/>
  <c r="D8" i="1"/>
  <c r="E8" i="1"/>
  <c r="F8" i="1"/>
  <c r="G8" i="1"/>
  <c r="H8" i="1"/>
  <c r="I8" i="1"/>
  <c r="J8" i="1"/>
  <c r="D9" i="1"/>
  <c r="E9" i="1"/>
  <c r="F9" i="1"/>
  <c r="G9" i="1"/>
  <c r="H9" i="1"/>
  <c r="I9" i="1"/>
  <c r="J9" i="1"/>
  <c r="D10" i="1"/>
  <c r="E10" i="1"/>
  <c r="F10" i="1"/>
  <c r="G10" i="1"/>
  <c r="H10" i="1"/>
  <c r="I10" i="1"/>
  <c r="J10" i="1"/>
  <c r="D11" i="1"/>
  <c r="E11" i="1"/>
  <c r="F11" i="1"/>
  <c r="G11" i="1"/>
  <c r="H11" i="1"/>
  <c r="I11" i="1"/>
  <c r="J11" i="1"/>
  <c r="D12" i="1"/>
  <c r="E12" i="1"/>
  <c r="F12" i="1"/>
  <c r="G12" i="1"/>
  <c r="H12" i="1"/>
  <c r="I12" i="1"/>
  <c r="J12" i="1"/>
  <c r="D13" i="1"/>
  <c r="E13" i="1"/>
  <c r="F13" i="1"/>
  <c r="G13" i="1"/>
  <c r="H13" i="1"/>
  <c r="I13" i="1"/>
  <c r="J13" i="1"/>
  <c r="D14" i="1"/>
  <c r="E14" i="1"/>
  <c r="F14" i="1"/>
  <c r="G14" i="1"/>
  <c r="H14" i="1"/>
  <c r="I14" i="1"/>
  <c r="J14" i="1"/>
  <c r="D15" i="1"/>
  <c r="E15" i="1"/>
  <c r="F15" i="1"/>
  <c r="G15" i="1"/>
  <c r="H15" i="1"/>
  <c r="I15" i="1"/>
  <c r="J15" i="1"/>
  <c r="D16" i="1"/>
  <c r="E16" i="1"/>
  <c r="F16" i="1"/>
  <c r="G16" i="1"/>
  <c r="H16" i="1"/>
  <c r="I16" i="1"/>
  <c r="J16" i="1"/>
  <c r="D17" i="1"/>
  <c r="E17" i="1"/>
  <c r="F17" i="1"/>
  <c r="G17" i="1"/>
  <c r="H17" i="1"/>
  <c r="I17" i="1"/>
  <c r="J17" i="1"/>
  <c r="D18" i="1"/>
  <c r="E18" i="1"/>
  <c r="F18" i="1"/>
  <c r="G18" i="1"/>
  <c r="H18" i="1"/>
  <c r="I18" i="1"/>
  <c r="J18" i="1"/>
  <c r="D19" i="1"/>
  <c r="E19" i="1"/>
  <c r="F19" i="1"/>
  <c r="G19" i="1"/>
  <c r="H19" i="1"/>
  <c r="I19" i="1"/>
  <c r="J19" i="1"/>
  <c r="D20" i="1"/>
  <c r="E20" i="1"/>
  <c r="F20" i="1"/>
  <c r="G20" i="1"/>
  <c r="H20" i="1"/>
  <c r="I20" i="1"/>
  <c r="J20" i="1"/>
  <c r="D21" i="1"/>
  <c r="E21" i="1"/>
  <c r="F21" i="1"/>
  <c r="G21" i="1"/>
  <c r="H21" i="1"/>
  <c r="I21" i="1"/>
  <c r="J21" i="1"/>
  <c r="D22" i="1"/>
  <c r="E22" i="1"/>
  <c r="F22" i="1"/>
  <c r="G22" i="1"/>
  <c r="H22" i="1"/>
  <c r="I22" i="1"/>
  <c r="J22" i="1"/>
  <c r="D23" i="1"/>
  <c r="E23" i="1"/>
  <c r="F23" i="1"/>
  <c r="G23" i="1"/>
  <c r="H23" i="1"/>
  <c r="I23" i="1"/>
  <c r="J23" i="1"/>
  <c r="D24" i="1"/>
  <c r="E24" i="1"/>
  <c r="F24" i="1"/>
  <c r="G24" i="1"/>
  <c r="H24" i="1"/>
  <c r="I24" i="1"/>
  <c r="J24" i="1"/>
  <c r="D25" i="1"/>
  <c r="E25" i="1"/>
  <c r="F25" i="1"/>
  <c r="G25" i="1"/>
  <c r="H25" i="1"/>
  <c r="I25" i="1"/>
  <c r="J25" i="1"/>
  <c r="D26" i="1"/>
  <c r="E26" i="1"/>
  <c r="F26" i="1"/>
  <c r="G26" i="1"/>
  <c r="H26" i="1"/>
  <c r="I26" i="1"/>
  <c r="J26" i="1"/>
  <c r="D27" i="1"/>
  <c r="E27" i="1"/>
  <c r="F27" i="1"/>
  <c r="G27" i="1"/>
  <c r="H27" i="1"/>
  <c r="I27" i="1"/>
  <c r="J27" i="1"/>
</calcChain>
</file>

<file path=xl/sharedStrings.xml><?xml version="1.0" encoding="utf-8"?>
<sst xmlns="http://schemas.openxmlformats.org/spreadsheetml/2006/main" count="731" uniqueCount="158">
  <si>
    <t>Paleodata</t>
  </si>
  <si>
    <t>person who entered data</t>
  </si>
  <si>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</si>
  <si>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</si>
  <si>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</si>
  <si>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</si>
  <si>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</si>
  <si>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</si>
  <si>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</si>
  <si>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</si>
  <si>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</si>
  <si>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</si>
  <si>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</si>
  <si>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</si>
  <si>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</si>
  <si>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</si>
  <si>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</si>
  <si>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</si>
  <si>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</si>
  <si>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</si>
  <si>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</si>
  <si>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</si>
  <si>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</si>
  <si>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</si>
  <si>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</si>
  <si>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</si>
  <si>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</si>
  <si>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</si>
  <si>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</si>
  <si>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</si>
  <si>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</si>
  <si>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</si>
  <si>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</si>
  <si>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</si>
  <si>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</si>
  <si>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Dana L. Royer</t>
  </si>
  <si>
    <t>Ginkgoaceae</t>
  </si>
  <si>
    <t>Ginkgo</t>
  </si>
  <si>
    <t>adiantoides</t>
  </si>
  <si>
    <t>Fort Union (Bighorn Basin)</t>
  </si>
  <si>
    <t>microscope</t>
  </si>
  <si>
    <t>0.1795 mm2</t>
  </si>
  <si>
    <t>fields-of-view were partly comprised of non-stomatal-bearing areas (for example, over top major veins); the field-of-view fraction that was usable was not measured; as such, the measured stomatal densities are not particularly useful.</t>
  </si>
  <si>
    <t>Ginkgo biloba</t>
  </si>
  <si>
    <t>10.1126/science.292.5525.2310</t>
  </si>
  <si>
    <t>Burbank site</t>
  </si>
  <si>
    <t>University of Alberta (dlr 00129-00135)</t>
  </si>
  <si>
    <t>Paskapoo</t>
  </si>
  <si>
    <t>Ti-3 NALMA</t>
  </si>
  <si>
    <t>biostratigraphy (middle Tiffanian, Ti-3)</t>
  </si>
  <si>
    <t>Joffre Bridge site</t>
  </si>
  <si>
    <t>University of Alberta (dlr 00136-00140)</t>
  </si>
  <si>
    <t>SLW 0025 site</t>
  </si>
  <si>
    <t>Smithsonian Museum of Natural History (USNM 519351-519357)</t>
  </si>
  <si>
    <t>Ti-5 NALMA</t>
  </si>
  <si>
    <t>2.1 Myrs before the PETM (Age Model 2 in Wing et al., 2000, which uses measured sections, biostratigraphy, the PETM carbon isotope excursion, and one Ar/Ar radiometric date; see Royer 2003 for details and for Wing citation)</t>
  </si>
  <si>
    <t>LJH 7132 site</t>
  </si>
  <si>
    <t>Yale Peabody Museum (USNM 511364, YPM 45196-45198, YPM 45914)</t>
  </si>
  <si>
    <t>Ti-6/Cf-1 NALMA</t>
  </si>
  <si>
    <t>1.2 Myrs before the PETM (Age Model 2 in Wing et al., 2000, which uses measured sections, biostratigraphy, the PETM carbon isotope excursion, and one Ar/Ar radiometric date; see Royer 2003 for details and for Wing citation)</t>
  </si>
  <si>
    <t>SLW 993 site</t>
  </si>
  <si>
    <t>Smithsonian Museum of Natural History (USNM 516616-516622)</t>
  </si>
  <si>
    <t>~1195 m above the KPg boundary</t>
  </si>
  <si>
    <t>0.7 Myrs before the PETM (Age Model 2 in Wing et al., 2000, which uses measured sections, biostratigraphy, the PETM carbon isotope excursion, and one Ar/Ar radiometric date; see Royer 2003 for details and for Wing citation)</t>
  </si>
  <si>
    <t>SLW 992 site</t>
  </si>
  <si>
    <t>Smithsonian Museum of Natural History (USNM 519363, USNM 519367)</t>
  </si>
  <si>
    <t>SLW 991 site</t>
  </si>
  <si>
    <t>Smithsonian Museum of Natural History (USNM 519358-519362)</t>
  </si>
  <si>
    <t>LJH 72141-1 site</t>
  </si>
  <si>
    <t>Smithsonian Museum of Natural History and Yale Peabody Museum (YPM 45129-45130)</t>
  </si>
  <si>
    <t>Cf2 NALMA</t>
  </si>
  <si>
    <t>0.6 Myrs before the PETM (Age Model 2 in Wing et al., 2000, which uses measured sections, biostratigraphy, the PETM carbon isotope excursion, and one Ar/Ar radiometric date; see Royer 2003 for details and for Wing citation)</t>
  </si>
  <si>
    <t>SLW 9155 site</t>
  </si>
  <si>
    <t>Smithsonian Museum of Natural History (USNM 519368-519377)</t>
  </si>
  <si>
    <t>~100 m below Wa-0 NALMA (Cf2/Cf3)</t>
  </si>
  <si>
    <t>0.5 Myrs before the PETM (Age Model 2 in Wing et al., 2000, which uses measured sections, biostratigraphy, the PETM carbon isotope excursion, and one Ar/Ar radiometric date; see Royer 2003 for details and for Wing citation)</t>
  </si>
  <si>
    <t>SLW 9411 site</t>
  </si>
  <si>
    <t>Smithsonian Museum of Natural History (USNM 519378-519385)</t>
  </si>
  <si>
    <t>~50 m below Wa-0 NALMA</t>
  </si>
  <si>
    <t>0.4 Myrs before the PETM (Age Model 2 in Wing et al., 2000, which uses measured sections, biostratigraphy, the PETM carbon isotope excursion, and one Ar/Ar radiometric date; see Royer 2003 for details and for Wing citation)</t>
  </si>
  <si>
    <t>SLW 9434 site</t>
  </si>
  <si>
    <t>Smithsonian Museum of Natural History (USNM 519386-519392)</t>
  </si>
  <si>
    <t>~30 m below Wa-0 NALMA</t>
  </si>
  <si>
    <t>0.2 Myrs before the PETM (Age Model 2 in Wing et al., 2000, which uses measured sections, biostratigraphy, the PETM carbon isotope excursion, and one Ar/Ar radiometric date; see Royer 2003 for details and for Wing citation)</t>
  </si>
  <si>
    <t>SLW 9715 site</t>
  </si>
  <si>
    <t>Smithsonian Museum of Natural History (dlr 0071-0075, 0081-0085, 00100-00101)</t>
  </si>
  <si>
    <t>~1470 m above the KPg boundary</t>
  </si>
  <si>
    <t>0.1 Myrs before the PETM (Age Model 2 in Wing et al., 2000, which uses measured sections, biostratigraphy, the PETM carbon isotope excursion, and one Ar/Ar radiometric date; see Royer 2003 for details and for Wing citation)</t>
  </si>
  <si>
    <t>SLW 9050 site</t>
  </si>
  <si>
    <t>Smithsonian Museum of Natural History (dlr 00110-00114)</t>
  </si>
  <si>
    <t>~25 m below Wa-0 NALMA</t>
  </si>
  <si>
    <t>SLW 9936 site</t>
  </si>
  <si>
    <t>Smithsonian Museum of Natural History (dlr 9960-9964, dlr 9939-9942, dlr 9955-9959)</t>
  </si>
  <si>
    <t>SLW 8612 site</t>
  </si>
  <si>
    <t>Smithsonian Museum of Natural History (dlr 9947-9951, dlr 9943-9944)</t>
  </si>
  <si>
    <t>~15 m below Wa-0 NALMA</t>
  </si>
  <si>
    <t>SLW 9812 site</t>
  </si>
  <si>
    <t>Smithsonian Museum of Natural History (dlr 0076-0080, dlr 0086-0099, dlr 00102-00104)</t>
  </si>
  <si>
    <t>Willwood (Bighorn Basin)</t>
  </si>
  <si>
    <t>~1570 m above the KPg boundary</t>
  </si>
  <si>
    <t>0.1 Myrs after the PETM (Age Model 2 in Wing et al., 2000, which uses measured sections, biostratigraphy, the PETM carbon isotope excursion, and one Ar/Ar radiometric date; see Royer 2003 for details and for Wing citation)</t>
  </si>
  <si>
    <t>SLW 9915 site</t>
  </si>
  <si>
    <t>Smithsonian Museum of Natural History (USNM 519393-519398)</t>
  </si>
  <si>
    <t>~1720 m above the KPg boundary</t>
  </si>
  <si>
    <t>0.4 Myrs after the PETM (Age Model 2 in Wing et al., 2000, which uses measured sections, biostratigraphy, the PETM carbon isotope excursion, and one Ar/Ar radiometric date; see Royer 2003 for details and for Wing citation)</t>
  </si>
  <si>
    <t>SLW LB site</t>
  </si>
  <si>
    <t>Smithsonian Museum of Natural History (USNM 519399-519403)</t>
  </si>
  <si>
    <t>~311 m above the Wa-0 NALMA</t>
  </si>
  <si>
    <t>1.3 Myrs after the PETM (Age Model 2 in Wing et al., 2000, which uses measured sections, biostratigraphy, the PETM carbon isotope excursion, and one Ar/Ar radiometric date; see Royer 2003 for details and for Wing citation)</t>
  </si>
  <si>
    <t>SLW H site</t>
  </si>
  <si>
    <t>Smithsonian Museum of Natural History (USNM 519404-519412)</t>
  </si>
  <si>
    <t>~420 m above the Wa-0 NALMA</t>
  </si>
  <si>
    <t>1.7 Myrs after the PETM (Age Model 2 in Wing et al., 2000, which uses measured sections, biostratigraphy, the PETM carbon isotope excursion, and one Ar/Ar radiometric date; see Royer 2003 for details and for Wing citation)</t>
  </si>
  <si>
    <t>LJH 9915 site</t>
  </si>
  <si>
    <t>Yale Peabody Museum (YPM 48029, YPM 48002, YPM 40776, YPM 40777, YPM 40778, YPM 47747, YPM 47754, YPM 47780, YPM 47753, YPM 47802, YPM 47833, YPM 47942, YPM 47971, YPM 47939)</t>
  </si>
  <si>
    <t>~429 m above the Wa-0 NALMA</t>
  </si>
  <si>
    <t>1.8 Myrs after the PETM (Age Model 2 in Wing et al., 2000, which uses measured sections, biostratigraphy, the PETM carbon isotope excursion, and one Ar/Ar radiometric date; see Royer 2003 for details and for Wing citation)</t>
  </si>
  <si>
    <t>Juliaetta site (P6)</t>
  </si>
  <si>
    <t>Yale Peabody Museum (YPM 45174-45185)</t>
  </si>
  <si>
    <t>Latah</t>
  </si>
  <si>
    <t>radiometric constraints (Reidel &amp; Fecht, 1987; 10.1130/0016-7606(1987)98&lt;664:thfeos&gt;2.0.co;2)</t>
  </si>
  <si>
    <t>Clarkia site (P33a)</t>
  </si>
  <si>
    <t>Cupressaceae</t>
  </si>
  <si>
    <t>Metasequoia</t>
  </si>
  <si>
    <t>occidentalis</t>
  </si>
  <si>
    <t>Yale Peabody Museum (YPM 45186-45188)</t>
  </si>
  <si>
    <t>Metasequoia glyptostroboides</t>
  </si>
  <si>
    <t>Clarkia site (P33b)</t>
  </si>
  <si>
    <t>Yale Peabody Museum (YPM 45193-45195)</t>
  </si>
  <si>
    <t>Emerald Creek site (P37a)</t>
  </si>
  <si>
    <t>Yale Peabody Museum (YPM 45189-45192)</t>
  </si>
  <si>
    <t>Royer (2003)</t>
  </si>
  <si>
    <t>Uncertainties only in the calibration function are included</t>
  </si>
  <si>
    <t>mean</t>
  </si>
  <si>
    <t>95% confidence intervals</t>
  </si>
  <si>
    <t>slightly right skewed</t>
  </si>
  <si>
    <t>this is the original estimate; it has been updated with more rigorous error propagation by Beerling et al. (2009); see above for revised estimate</t>
  </si>
  <si>
    <t>proxy</t>
  </si>
  <si>
    <t>first_author_last_name</t>
  </si>
  <si>
    <t>publication_year</t>
  </si>
  <si>
    <t>age_ka</t>
  </si>
  <si>
    <t>Age_uncertainty_pos_ka</t>
  </si>
  <si>
    <t>Age_uncertainty_neg_ka</t>
  </si>
  <si>
    <t>stomata-SI</t>
  </si>
  <si>
    <t>Royer</t>
  </si>
  <si>
    <t>CO2_ppm</t>
  </si>
  <si>
    <t>CO2_uncertainty_pos_ppm</t>
  </si>
  <si>
    <t>CO2_uncertainty_neg_ppm</t>
  </si>
  <si>
    <t>Modern Latitude (decimal degree, south negative)</t>
  </si>
  <si>
    <t>Modern Longitude (decimal degree, west negative)</t>
  </si>
  <si>
    <t>Reference of the data product</t>
  </si>
  <si>
    <t>email of individual entering the data</t>
  </si>
  <si>
    <t>droyer@wesleyan.edu</t>
  </si>
  <si>
    <t>NA</t>
  </si>
  <si>
    <t>Royer, D.L., Wing, S.L., Beerling, D.J., Jolley, D.W., Koch, P.L., Hickey, L.J. and Berner, R.A. (2001) Paleobotanical Evidence for Near Present-Day Levels of Atmospheric CO2 During Part of the Tertiary. Science 292, 2310-2313.</t>
  </si>
  <si>
    <t>Paleo Latitude (decimal degree, south negative)</t>
  </si>
  <si>
    <t>Paleo Longitude (decimal degree, west negative)</t>
  </si>
  <si>
    <t>GTS1989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</si>
</sst>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sz val="12"/>
      <color theme="1"/>
      <name val="Calibri"/>
      <family val="2"/>
      <scheme val="minor"/>
    </font>
    <font>
      <sz val="12"/>
      <color theme="1"/>
      <name val="Calibri"/>
      <family val="2"/>
      <scheme val="minor"/>
    </font>
    <font>
      <b/>
      <sz val="12"/>
      <color theme="1"/>
      <name val="Calibri"/>
      <family val="2"/>
      <scheme val="minor"/>
    </font>
    <font>
      <sz val="12"/>
      <color rgb="FF000000"/>
      <name val="Calibri"/>
      <family val="2"/>
      <scheme val="minor"/>
    </font>
    <font>
      <b/>
      <sz val="12"/>
      <color rgb="FF000000"/>
      <name val="Calibri"/>
      <family val="2"/>
      <scheme val="minor"/>
    </font>
    <font>
      <sz val="11"/>
      <color rgb="FF000000"/>
      <name val="Calibri"/>
      <family val="2"/>
      <charset val="1"/>
    </font>
    <font>
      <b/>
      <sz val="12"/>
      <name val="Calibri"/>
      <family val="2"/>
      <scheme val="minor"/>
    </font>
  </fonts>
  <fills count="4">
    <fill>
      <patternFill patternType="none"/>
    </fill>
    <fill>
      <patternFill patternType="gray125"/>
    </fill>
    <fill>
      <patternFill patternType="solid">
        <fgColor rgb="FFE2EFD9"/>
        <bgColor indexed="64"/>
      </patternFill>
    </fill>
    <fill>
      <patternFill patternType="solid">
        <fgColor theme="9" tint="0.79998168889431442"/>
        <bgColor indexed="64"/>
      </patternFill>
    </fill>
  </fills>
  <borders count="2">
    <border>
      <left/>
      <right/>
      <top/>
      <bottom/>
      <diagonal/>
    </border>
    <border>
      <left/>
      <right/>
      <top/>
      <bottom style="thin">
        <color indexed="64"/>
      </bottom>
      <diagonal/>
    </border>
  </borders>
  <cellStyleXfs count="3">
    <xf numFmtId="0" fontId="0" fillId="0" borderId="0"/>
    <xf numFmtId="0" fontId="5" fillId="0" borderId="0"/>
    <xf numFmtId="0" fontId="1" fillId="0" borderId="0"/>
  </cellStyleXfs>
  <cellXfs count="13">
    <xf numFmtId="0" fontId="0" fillId="0" borderId="0" xfId="0"/>
    <xf numFmtId="0" fontId="3" fillId="0" borderId="0" xfId="0" applyFont="1" applyBorder="1" applyAlignment="1"/>
    <xf numFmtId="0" fontId="0" fillId="0" borderId="0" xfId="0" applyBorder="1" applyAlignment="1"/>
    <xf numFmtId="0" fontId="4" fillId="2" borderId="0" xfId="0" applyFont="1" applyFill="1" applyBorder="1" applyAlignment="1">
      <alignment vertical="top" wrapText="1"/>
    </xf>
    <xf numFmtId="0" fontId="2" fillId="2" borderId="0" xfId="0" applyFont="1" applyFill="1" applyBorder="1" applyAlignment="1">
      <alignment horizontal="center" vertical="top" wrapText="1"/>
    </xf>
    <xf numFmtId="0" fontId="2" fillId="0" borderId="0" xfId="0" applyFont="1" applyAlignment="1">
      <alignment wrapText="1"/>
    </xf>
    <xf numFmtId="0" fontId="0" fillId="0" borderId="0" xfId="0" applyFill="1" applyBorder="1" applyAlignment="1"/>
    <xf numFmtId="17" fontId="0" fillId="0" borderId="0" xfId="0" applyNumberFormat="1" applyFill="1" applyBorder="1" applyAlignment="1">
      <alignment horizontal="right"/>
    </xf>
    <xf numFmtId="0" fontId="0" fillId="0" borderId="0" xfId="0" applyFill="1" applyBorder="1" applyAlignment="1">
      <alignment horizontal="right"/>
    </xf>
    <xf numFmtId="0" fontId="0" fillId="0" borderId="0" xfId="0" applyFill="1"/>
    <xf numFmtId="0" fontId="2" fillId="3" borderId="0" xfId="0" applyFont="1" applyFill="1" applyAlignment="1">
      <alignment vertical="top" wrapText="1"/>
    </xf>
    <xf numFmtId="0" fontId="6" fillId="3" borderId="1" xfId="0" applyFont="1" applyFill="1" applyBorder="1" applyAlignment="1">
      <alignment horizontal="center" vertical="top" wrapText="1"/>
    </xf>
    <xf numFmtId="164" fontId="0" fillId="0" borderId="0" xfId="0" applyNumberFormat="1" applyFill="1" applyBorder="1" applyAlignment="1">
      <alignment horizontal="right"/>
    </xf>
  </cellXfs>
  <cellStyles count="3">
    <cellStyle name="Normal" xfId="0" builtinId="0"/>
    <cellStyle name="Normal 3" xfId="1"/>
    <cellStyle name="Normal 4" xfId="2"/>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Y969"/>
  <sheetViews>
    <sheetView tabSelected="1" topLeftCell="K1" workbookViewId="0">
      <pane ySplit="3" topLeftCell="A4" activePane="bottomLeft" state="frozen"/>
      <selection pane="bottomLeft" activeCell="W12" sqref="W12"/>
    </sheetView>
  </sheetViews>
  <sheetFormatPr defaultColWidth="11" defaultRowHeight="15.75" x14ac:dyDescent="0.25"/>
  <cols>
    <col min="22" max="22" width="12.125" customWidth="1"/>
    <col min="24" max="24" width="12.625" customWidth="1"/>
    <col min="25" max="25" width="12.125" customWidth="1"/>
    <col min="27" max="27" width="12.625" customWidth="1"/>
    <col min="32" max="32" width="12.125" customWidth="1"/>
    <col min="33" max="33" width="12.5" customWidth="1"/>
    <col min="39" max="39" width="13.625" customWidth="1"/>
    <col min="50" max="50" width="16.125" customWidth="1"/>
  </cols>
  <sheetData>
    <row r="2" spans="1:51" x14ac:dyDescent="0.25">
      <c r="A2" s="9"/>
      <c r="B2" s="9"/>
      <c r="C2" s="9"/>
      <c r="D2" s="9"/>
      <c r="E2" s="9"/>
      <c r="F2" s="9"/>
      <c r="G2" s="9"/>
      <c r="H2" s="9"/>
      <c r="I2" s="9"/>
      <c r="J2" s="9"/>
      <c r="K2" s="1" t="s">
        <v>0</v>
      </c>
      <c r="L2" s="1"/>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row>
    <row r="3" spans="1:51" s="5" customFormat="1" ht="94.5" x14ac:dyDescent="0.25">
      <c r="A3" s="10" t="s">
        <v>137</v>
      </c>
      <c r="B3" s="10" t="s">
        <v>138</v>
      </c>
      <c r="C3" s="10" t="s">
        <v>139</v>
      </c>
      <c r="D3" s="10" t="s">
        <v>3</v>
      </c>
      <c r="E3" s="10" t="s">
        <v>140</v>
      </c>
      <c r="F3" s="10" t="s">
        <v>141</v>
      </c>
      <c r="G3" s="10" t="s">
        <v>142</v>
      </c>
      <c r="H3" s="10" t="s">
        <v>145</v>
      </c>
      <c r="I3" s="10" t="s">
        <v>146</v>
      </c>
      <c r="J3" s="10" t="s">
        <v>147</v>
      </c>
      <c r="K3" s="3" t="s">
        <v>1</v>
      </c>
      <c r="L3" s="3" t="s">
        <v>151</v>
      </c>
      <c r="M3" s="3" t="s">
        <v>150</v>
      </c>
      <c r="N3" s="3" t="s">
        <v>3</v>
      </c>
      <c r="O3" s="3" t="s">
        <v>4</v>
      </c>
      <c r="P3" s="3" t="s">
        <v>5</v>
      </c>
      <c r="Q3" s="3" t="s">
        <v>6</v>
      </c>
      <c r="R3" s="3" t="s">
        <v>7</v>
      </c>
      <c r="S3" s="3" t="s">
        <v>8</v>
      </c>
      <c r="T3" s="3" t="s">
        <v>9</v>
      </c>
      <c r="U3" s="3"/>
      <c r="V3" s="4" t="s">
        <v>10</v>
      </c>
      <c r="W3" s="3" t="s">
        <v>11</v>
      </c>
      <c r="X3" s="3" t="s">
        <v>12</v>
      </c>
      <c r="Y3" s="3" t="s">
        <v>13</v>
      </c>
      <c r="Z3" s="3" t="s">
        <v>14</v>
      </c>
      <c r="AA3" s="3" t="s">
        <v>15</v>
      </c>
      <c r="AB3" s="3" t="s">
        <v>148</v>
      </c>
      <c r="AC3" s="3" t="s">
        <v>149</v>
      </c>
      <c r="AD3" s="11" t="s">
        <v>155</v>
      </c>
      <c r="AE3" s="11" t="s">
        <v>156</v>
      </c>
      <c r="AF3" s="4" t="s">
        <v>16</v>
      </c>
      <c r="AG3" s="4" t="s">
        <v>17</v>
      </c>
      <c r="AH3" s="4" t="s">
        <v>18</v>
      </c>
      <c r="AI3" s="4" t="s">
        <v>19</v>
      </c>
      <c r="AJ3" s="4" t="s">
        <v>20</v>
      </c>
      <c r="AK3" s="4" t="s">
        <v>21</v>
      </c>
      <c r="AL3" s="4" t="s">
        <v>22</v>
      </c>
      <c r="AM3" s="4" t="s">
        <v>23</v>
      </c>
      <c r="AN3" s="4" t="s">
        <v>24</v>
      </c>
      <c r="AO3" s="4" t="s">
        <v>25</v>
      </c>
      <c r="AP3" s="4" t="s">
        <v>26</v>
      </c>
      <c r="AQ3" s="4" t="s">
        <v>27</v>
      </c>
      <c r="AR3" s="4" t="s">
        <v>28</v>
      </c>
      <c r="AS3" s="4" t="s">
        <v>29</v>
      </c>
      <c r="AT3" s="3" t="s">
        <v>30</v>
      </c>
      <c r="AU3" s="4" t="s">
        <v>31</v>
      </c>
      <c r="AV3" s="4" t="s">
        <v>32</v>
      </c>
      <c r="AW3" s="3" t="s">
        <v>33</v>
      </c>
      <c r="AX3" s="3" t="s">
        <v>34</v>
      </c>
      <c r="AY3" s="3" t="s">
        <v>2</v>
      </c>
    </row>
    <row r="4" spans="1:51" x14ac:dyDescent="0.25">
      <c r="A4" s="9" t="s">
        <v>143</v>
      </c>
      <c r="B4" s="9" t="s">
        <v>144</v>
      </c>
      <c r="C4" s="9">
        <v>2001</v>
      </c>
      <c r="D4" s="9" t="str">
        <f t="shared" ref="D4:D27" si="0">N4</f>
        <v>10.1126/science.292.5525.2310</v>
      </c>
      <c r="E4" s="9">
        <f t="shared" ref="E4:E27" si="1">W4*1000</f>
        <v>58500</v>
      </c>
      <c r="F4" s="9">
        <f t="shared" ref="F4:F27" si="2">(X4-W4)*1000</f>
        <v>649.99999999999864</v>
      </c>
      <c r="G4" s="9">
        <f t="shared" ref="G4:G27" si="3">(W4-Y4)*1000</f>
        <v>649.99999999999864</v>
      </c>
      <c r="H4" s="9">
        <f t="shared" ref="H4:H27" si="4">AS4</f>
        <v>451</v>
      </c>
      <c r="I4" s="9">
        <f t="shared" ref="I4:I27" si="5">AV4-AS4</f>
        <v>68</v>
      </c>
      <c r="J4" s="9">
        <f t="shared" ref="J4:J27" si="6">AS4-AU4</f>
        <v>30</v>
      </c>
      <c r="K4" s="6" t="s">
        <v>35</v>
      </c>
      <c r="L4" s="7" t="s">
        <v>152</v>
      </c>
      <c r="M4" s="6" t="s">
        <v>154</v>
      </c>
      <c r="N4" s="6" t="s">
        <v>44</v>
      </c>
      <c r="O4" s="6" t="s">
        <v>45</v>
      </c>
      <c r="P4" s="6" t="s">
        <v>36</v>
      </c>
      <c r="Q4" s="6" t="s">
        <v>37</v>
      </c>
      <c r="R4" s="6" t="s">
        <v>38</v>
      </c>
      <c r="S4" s="6" t="s">
        <v>46</v>
      </c>
      <c r="T4" s="6" t="s">
        <v>47</v>
      </c>
      <c r="U4" s="6" t="s">
        <v>48</v>
      </c>
      <c r="V4" s="6" t="s">
        <v>48</v>
      </c>
      <c r="W4" s="12">
        <f>AVERAGE(X4:Y4)</f>
        <v>58.5</v>
      </c>
      <c r="X4" s="12">
        <v>59.15</v>
      </c>
      <c r="Y4" s="12">
        <v>57.85</v>
      </c>
      <c r="Z4" s="6" t="s">
        <v>157</v>
      </c>
      <c r="AA4" s="6" t="s">
        <v>49</v>
      </c>
      <c r="AB4" s="8">
        <v>52.25</v>
      </c>
      <c r="AC4" s="6" t="s">
        <v>153</v>
      </c>
      <c r="AD4" s="1" t="s">
        <v>153</v>
      </c>
      <c r="AE4" s="1" t="s">
        <v>153</v>
      </c>
      <c r="AF4" s="8">
        <v>3</v>
      </c>
      <c r="AG4" s="8">
        <v>7</v>
      </c>
      <c r="AH4" s="6" t="s">
        <v>40</v>
      </c>
      <c r="AI4" s="6" t="s">
        <v>41</v>
      </c>
      <c r="AJ4" s="6"/>
      <c r="AK4" s="6"/>
      <c r="AL4" s="6" t="s">
        <v>42</v>
      </c>
      <c r="AM4" s="8">
        <v>7.55</v>
      </c>
      <c r="AN4" s="6"/>
      <c r="AO4" s="8">
        <v>0.82</v>
      </c>
      <c r="AP4" s="6" t="s">
        <v>43</v>
      </c>
      <c r="AQ4" s="6" t="s">
        <v>131</v>
      </c>
      <c r="AR4" s="6" t="s">
        <v>132</v>
      </c>
      <c r="AS4" s="8">
        <v>451</v>
      </c>
      <c r="AT4" s="6" t="s">
        <v>133</v>
      </c>
      <c r="AU4" s="8">
        <v>421</v>
      </c>
      <c r="AV4" s="8">
        <v>519</v>
      </c>
      <c r="AW4" s="6" t="s">
        <v>134</v>
      </c>
      <c r="AX4" s="6" t="s">
        <v>135</v>
      </c>
      <c r="AY4" s="6" t="s">
        <v>136</v>
      </c>
    </row>
    <row r="5" spans="1:51" x14ac:dyDescent="0.25">
      <c r="A5" s="9" t="s">
        <v>143</v>
      </c>
      <c r="B5" s="9" t="s">
        <v>144</v>
      </c>
      <c r="C5" s="9">
        <v>2001</v>
      </c>
      <c r="D5" s="9" t="str">
        <f t="shared" si="0"/>
        <v>10.1126/science.292.5525.2310</v>
      </c>
      <c r="E5" s="9">
        <f t="shared" si="1"/>
        <v>58500</v>
      </c>
      <c r="F5" s="9">
        <f t="shared" si="2"/>
        <v>649.99999999999864</v>
      </c>
      <c r="G5" s="9">
        <f t="shared" si="3"/>
        <v>649.99999999999864</v>
      </c>
      <c r="H5" s="9">
        <f t="shared" si="4"/>
        <v>409</v>
      </c>
      <c r="I5" s="9">
        <f t="shared" si="5"/>
        <v>38</v>
      </c>
      <c r="J5" s="9">
        <f t="shared" si="6"/>
        <v>21</v>
      </c>
      <c r="K5" s="6" t="s">
        <v>35</v>
      </c>
      <c r="L5" s="7" t="s">
        <v>152</v>
      </c>
      <c r="M5" s="6" t="s">
        <v>154</v>
      </c>
      <c r="N5" s="6" t="s">
        <v>44</v>
      </c>
      <c r="O5" s="6" t="s">
        <v>50</v>
      </c>
      <c r="P5" s="6" t="s">
        <v>36</v>
      </c>
      <c r="Q5" s="6" t="s">
        <v>37</v>
      </c>
      <c r="R5" s="6" t="s">
        <v>38</v>
      </c>
      <c r="S5" s="6" t="s">
        <v>51</v>
      </c>
      <c r="T5" s="6" t="s">
        <v>47</v>
      </c>
      <c r="U5" s="6" t="s">
        <v>48</v>
      </c>
      <c r="V5" s="6" t="s">
        <v>48</v>
      </c>
      <c r="W5" s="12">
        <f t="shared" ref="W5:W23" si="7">AVERAGE(X5:Y5)</f>
        <v>58.5</v>
      </c>
      <c r="X5" s="12">
        <v>59.15</v>
      </c>
      <c r="Y5" s="12">
        <v>57.85</v>
      </c>
      <c r="Z5" s="6" t="s">
        <v>157</v>
      </c>
      <c r="AA5" s="6" t="s">
        <v>49</v>
      </c>
      <c r="AB5" s="8">
        <v>52.25</v>
      </c>
      <c r="AC5" s="6" t="s">
        <v>153</v>
      </c>
      <c r="AD5" s="1" t="s">
        <v>153</v>
      </c>
      <c r="AE5" s="1" t="s">
        <v>153</v>
      </c>
      <c r="AF5" s="8">
        <v>3</v>
      </c>
      <c r="AG5" s="8">
        <v>5</v>
      </c>
      <c r="AH5" s="6" t="s">
        <v>40</v>
      </c>
      <c r="AI5" s="6" t="s">
        <v>41</v>
      </c>
      <c r="AJ5" s="6"/>
      <c r="AK5" s="6"/>
      <c r="AL5" s="6" t="s">
        <v>42</v>
      </c>
      <c r="AM5" s="8">
        <v>7.96</v>
      </c>
      <c r="AN5" s="6"/>
      <c r="AO5" s="8">
        <v>0.84</v>
      </c>
      <c r="AP5" s="6" t="s">
        <v>43</v>
      </c>
      <c r="AQ5" s="6" t="s">
        <v>131</v>
      </c>
      <c r="AR5" s="6" t="s">
        <v>132</v>
      </c>
      <c r="AS5" s="8">
        <v>409</v>
      </c>
      <c r="AT5" s="6" t="s">
        <v>133</v>
      </c>
      <c r="AU5" s="8">
        <v>388</v>
      </c>
      <c r="AV5" s="8">
        <v>447</v>
      </c>
      <c r="AW5" s="6" t="s">
        <v>134</v>
      </c>
      <c r="AX5" s="6" t="s">
        <v>135</v>
      </c>
      <c r="AY5" s="6" t="s">
        <v>136</v>
      </c>
    </row>
    <row r="6" spans="1:51" x14ac:dyDescent="0.25">
      <c r="A6" s="9" t="s">
        <v>143</v>
      </c>
      <c r="B6" s="9" t="s">
        <v>144</v>
      </c>
      <c r="C6" s="9">
        <v>2001</v>
      </c>
      <c r="D6" s="9" t="str">
        <f t="shared" si="0"/>
        <v>10.1126/science.292.5525.2310</v>
      </c>
      <c r="E6" s="9">
        <f t="shared" si="1"/>
        <v>57239.499999999993</v>
      </c>
      <c r="F6" s="9">
        <f t="shared" si="2"/>
        <v>551.50000000000432</v>
      </c>
      <c r="G6" s="9">
        <f t="shared" si="3"/>
        <v>551.49999999999727</v>
      </c>
      <c r="H6" s="9">
        <f t="shared" si="4"/>
        <v>353</v>
      </c>
      <c r="I6" s="9">
        <f t="shared" si="5"/>
        <v>8</v>
      </c>
      <c r="J6" s="9">
        <f t="shared" si="6"/>
        <v>6</v>
      </c>
      <c r="K6" s="6" t="s">
        <v>35</v>
      </c>
      <c r="L6" s="7" t="s">
        <v>152</v>
      </c>
      <c r="M6" s="6" t="s">
        <v>154</v>
      </c>
      <c r="N6" s="6" t="s">
        <v>44</v>
      </c>
      <c r="O6" s="6" t="s">
        <v>52</v>
      </c>
      <c r="P6" s="6" t="s">
        <v>36</v>
      </c>
      <c r="Q6" s="6" t="s">
        <v>37</v>
      </c>
      <c r="R6" s="6" t="s">
        <v>38</v>
      </c>
      <c r="S6" s="6" t="s">
        <v>53</v>
      </c>
      <c r="T6" s="6" t="s">
        <v>39</v>
      </c>
      <c r="U6" s="6" t="s">
        <v>54</v>
      </c>
      <c r="V6" s="6" t="s">
        <v>54</v>
      </c>
      <c r="W6" s="12">
        <f t="shared" si="7"/>
        <v>57.239499999999992</v>
      </c>
      <c r="X6" s="12">
        <v>57.790999999999997</v>
      </c>
      <c r="Y6" s="12">
        <v>56.687999999999995</v>
      </c>
      <c r="Z6" s="6" t="s">
        <v>157</v>
      </c>
      <c r="AA6" s="6" t="s">
        <v>55</v>
      </c>
      <c r="AB6" s="8">
        <v>44.86</v>
      </c>
      <c r="AC6" s="8">
        <v>-108.88</v>
      </c>
      <c r="AD6" s="1" t="s">
        <v>153</v>
      </c>
      <c r="AE6" s="1" t="s">
        <v>153</v>
      </c>
      <c r="AF6" s="8">
        <v>3</v>
      </c>
      <c r="AG6" s="8">
        <v>7</v>
      </c>
      <c r="AH6" s="6" t="s">
        <v>40</v>
      </c>
      <c r="AI6" s="6" t="s">
        <v>41</v>
      </c>
      <c r="AJ6" s="6"/>
      <c r="AK6" s="6"/>
      <c r="AL6" s="6" t="s">
        <v>42</v>
      </c>
      <c r="AM6" s="8">
        <v>9.01</v>
      </c>
      <c r="AN6" s="6"/>
      <c r="AO6" s="8">
        <v>0.71</v>
      </c>
      <c r="AP6" s="6" t="s">
        <v>43</v>
      </c>
      <c r="AQ6" s="6" t="s">
        <v>131</v>
      </c>
      <c r="AR6" s="6" t="s">
        <v>132</v>
      </c>
      <c r="AS6" s="8">
        <v>353</v>
      </c>
      <c r="AT6" s="6" t="s">
        <v>133</v>
      </c>
      <c r="AU6" s="8">
        <v>347</v>
      </c>
      <c r="AV6" s="8">
        <v>361</v>
      </c>
      <c r="AW6" s="6" t="s">
        <v>134</v>
      </c>
      <c r="AX6" s="6" t="s">
        <v>135</v>
      </c>
      <c r="AY6" s="6" t="s">
        <v>136</v>
      </c>
    </row>
    <row r="7" spans="1:51" x14ac:dyDescent="0.25">
      <c r="A7" s="9" t="s">
        <v>143</v>
      </c>
      <c r="B7" s="9" t="s">
        <v>144</v>
      </c>
      <c r="C7" s="9">
        <v>2001</v>
      </c>
      <c r="D7" s="9" t="str">
        <f t="shared" si="0"/>
        <v>10.1126/science.292.5525.2310</v>
      </c>
      <c r="E7" s="9">
        <f t="shared" si="1"/>
        <v>56354</v>
      </c>
      <c r="F7" s="9">
        <f t="shared" si="2"/>
        <v>335.00000000000085</v>
      </c>
      <c r="G7" s="9">
        <f t="shared" si="3"/>
        <v>335.00000000000085</v>
      </c>
      <c r="H7" s="9">
        <f t="shared" si="4"/>
        <v>363</v>
      </c>
      <c r="I7" s="9">
        <f t="shared" si="5"/>
        <v>13</v>
      </c>
      <c r="J7" s="9">
        <f t="shared" si="6"/>
        <v>9</v>
      </c>
      <c r="K7" s="6" t="s">
        <v>35</v>
      </c>
      <c r="L7" s="7" t="s">
        <v>152</v>
      </c>
      <c r="M7" s="6" t="s">
        <v>154</v>
      </c>
      <c r="N7" s="6" t="s">
        <v>44</v>
      </c>
      <c r="O7" s="6" t="s">
        <v>56</v>
      </c>
      <c r="P7" s="6" t="s">
        <v>36</v>
      </c>
      <c r="Q7" s="6" t="s">
        <v>37</v>
      </c>
      <c r="R7" s="6" t="s">
        <v>38</v>
      </c>
      <c r="S7" s="6" t="s">
        <v>57</v>
      </c>
      <c r="T7" s="6" t="s">
        <v>39</v>
      </c>
      <c r="U7" s="6" t="s">
        <v>58</v>
      </c>
      <c r="V7" s="6" t="s">
        <v>58</v>
      </c>
      <c r="W7" s="12">
        <f t="shared" si="7"/>
        <v>56.353999999999999</v>
      </c>
      <c r="X7" s="12">
        <v>56.689</v>
      </c>
      <c r="Y7" s="12">
        <v>56.018999999999998</v>
      </c>
      <c r="Z7" s="6" t="s">
        <v>157</v>
      </c>
      <c r="AA7" s="6" t="s">
        <v>59</v>
      </c>
      <c r="AB7" s="8">
        <v>45.03</v>
      </c>
      <c r="AC7" s="8">
        <v>-109.08</v>
      </c>
      <c r="AD7" s="1" t="s">
        <v>153</v>
      </c>
      <c r="AE7" s="1" t="s">
        <v>153</v>
      </c>
      <c r="AF7" s="8">
        <v>3</v>
      </c>
      <c r="AG7" s="8">
        <v>5</v>
      </c>
      <c r="AH7" s="6" t="s">
        <v>40</v>
      </c>
      <c r="AI7" s="6" t="s">
        <v>41</v>
      </c>
      <c r="AJ7" s="6"/>
      <c r="AK7" s="6"/>
      <c r="AL7" s="6" t="s">
        <v>42</v>
      </c>
      <c r="AM7" s="8">
        <v>8.75</v>
      </c>
      <c r="AN7" s="6"/>
      <c r="AO7" s="8">
        <v>0.92</v>
      </c>
      <c r="AP7" s="6" t="s">
        <v>43</v>
      </c>
      <c r="AQ7" s="6" t="s">
        <v>131</v>
      </c>
      <c r="AR7" s="6" t="s">
        <v>132</v>
      </c>
      <c r="AS7" s="8">
        <v>363</v>
      </c>
      <c r="AT7" s="6" t="s">
        <v>133</v>
      </c>
      <c r="AU7" s="8">
        <v>354</v>
      </c>
      <c r="AV7" s="8">
        <v>376</v>
      </c>
      <c r="AW7" s="6" t="s">
        <v>134</v>
      </c>
      <c r="AX7" s="6" t="s">
        <v>135</v>
      </c>
      <c r="AY7" s="6" t="s">
        <v>136</v>
      </c>
    </row>
    <row r="8" spans="1:51" x14ac:dyDescent="0.25">
      <c r="A8" s="9" t="s">
        <v>143</v>
      </c>
      <c r="B8" s="9" t="s">
        <v>144</v>
      </c>
      <c r="C8" s="9">
        <v>2001</v>
      </c>
      <c r="D8" s="9" t="str">
        <f t="shared" si="0"/>
        <v>10.1126/science.292.5525.2310</v>
      </c>
      <c r="E8" s="9">
        <f t="shared" si="1"/>
        <v>55943</v>
      </c>
      <c r="F8" s="9">
        <f t="shared" si="2"/>
        <v>149.99999999999858</v>
      </c>
      <c r="G8" s="9">
        <f t="shared" si="3"/>
        <v>149.99999999999858</v>
      </c>
      <c r="H8" s="9">
        <f t="shared" si="4"/>
        <v>312</v>
      </c>
      <c r="I8" s="9">
        <f t="shared" si="5"/>
        <v>2</v>
      </c>
      <c r="J8" s="9">
        <f t="shared" si="6"/>
        <v>3</v>
      </c>
      <c r="K8" s="6" t="s">
        <v>35</v>
      </c>
      <c r="L8" s="7" t="s">
        <v>152</v>
      </c>
      <c r="M8" s="6" t="s">
        <v>154</v>
      </c>
      <c r="N8" s="6" t="s">
        <v>44</v>
      </c>
      <c r="O8" s="6" t="s">
        <v>60</v>
      </c>
      <c r="P8" s="6" t="s">
        <v>36</v>
      </c>
      <c r="Q8" s="6" t="s">
        <v>37</v>
      </c>
      <c r="R8" s="6" t="s">
        <v>38</v>
      </c>
      <c r="S8" s="6" t="s">
        <v>61</v>
      </c>
      <c r="T8" s="6" t="s">
        <v>39</v>
      </c>
      <c r="U8" s="6" t="s">
        <v>62</v>
      </c>
      <c r="V8" s="6" t="s">
        <v>62</v>
      </c>
      <c r="W8" s="12">
        <f t="shared" si="7"/>
        <v>55.942999999999998</v>
      </c>
      <c r="X8" s="12">
        <v>56.092999999999996</v>
      </c>
      <c r="Y8" s="12">
        <v>55.792999999999999</v>
      </c>
      <c r="Z8" s="6" t="s">
        <v>157</v>
      </c>
      <c r="AA8" s="6" t="s">
        <v>63</v>
      </c>
      <c r="AB8" s="8">
        <v>44.8</v>
      </c>
      <c r="AC8" s="6" t="s">
        <v>153</v>
      </c>
      <c r="AD8" s="1" t="s">
        <v>153</v>
      </c>
      <c r="AE8" s="1" t="s">
        <v>153</v>
      </c>
      <c r="AF8" s="8">
        <v>3</v>
      </c>
      <c r="AG8" s="8">
        <v>8</v>
      </c>
      <c r="AH8" s="6" t="s">
        <v>40</v>
      </c>
      <c r="AI8" s="6" t="s">
        <v>41</v>
      </c>
      <c r="AJ8" s="6"/>
      <c r="AK8" s="6"/>
      <c r="AL8" s="6" t="s">
        <v>42</v>
      </c>
      <c r="AM8" s="8">
        <v>11.43</v>
      </c>
      <c r="AN8" s="6"/>
      <c r="AO8" s="8">
        <v>1.27</v>
      </c>
      <c r="AP8" s="6" t="s">
        <v>43</v>
      </c>
      <c r="AQ8" s="6" t="s">
        <v>131</v>
      </c>
      <c r="AR8" s="6" t="s">
        <v>132</v>
      </c>
      <c r="AS8" s="8">
        <v>312</v>
      </c>
      <c r="AT8" s="6" t="s">
        <v>133</v>
      </c>
      <c r="AU8" s="8">
        <v>309</v>
      </c>
      <c r="AV8" s="8">
        <v>314</v>
      </c>
      <c r="AW8" s="6" t="s">
        <v>134</v>
      </c>
      <c r="AX8" s="6" t="s">
        <v>135</v>
      </c>
      <c r="AY8" s="6" t="s">
        <v>136</v>
      </c>
    </row>
    <row r="9" spans="1:51" x14ac:dyDescent="0.25">
      <c r="A9" s="9" t="s">
        <v>143</v>
      </c>
      <c r="B9" s="9" t="s">
        <v>144</v>
      </c>
      <c r="C9" s="9">
        <v>2001</v>
      </c>
      <c r="D9" s="9" t="str">
        <f t="shared" si="0"/>
        <v>10.1126/science.292.5525.2310</v>
      </c>
      <c r="E9" s="9">
        <f t="shared" si="1"/>
        <v>55943</v>
      </c>
      <c r="F9" s="9">
        <f t="shared" si="2"/>
        <v>149.99999999999858</v>
      </c>
      <c r="G9" s="9">
        <f t="shared" si="3"/>
        <v>149.99999999999858</v>
      </c>
      <c r="H9" s="9">
        <f t="shared" si="4"/>
        <v>314</v>
      </c>
      <c r="I9" s="9">
        <f t="shared" si="5"/>
        <v>2</v>
      </c>
      <c r="J9" s="9">
        <f t="shared" si="6"/>
        <v>2</v>
      </c>
      <c r="K9" s="6" t="s">
        <v>35</v>
      </c>
      <c r="L9" s="7" t="s">
        <v>152</v>
      </c>
      <c r="M9" s="6" t="s">
        <v>154</v>
      </c>
      <c r="N9" s="6" t="s">
        <v>44</v>
      </c>
      <c r="O9" s="6" t="s">
        <v>64</v>
      </c>
      <c r="P9" s="6" t="s">
        <v>36</v>
      </c>
      <c r="Q9" s="6" t="s">
        <v>37</v>
      </c>
      <c r="R9" s="6" t="s">
        <v>38</v>
      </c>
      <c r="S9" s="6" t="s">
        <v>65</v>
      </c>
      <c r="T9" s="6" t="s">
        <v>39</v>
      </c>
      <c r="U9" s="6" t="s">
        <v>62</v>
      </c>
      <c r="V9" s="6" t="s">
        <v>62</v>
      </c>
      <c r="W9" s="12">
        <f t="shared" si="7"/>
        <v>55.942999999999998</v>
      </c>
      <c r="X9" s="12">
        <v>56.092999999999996</v>
      </c>
      <c r="Y9" s="12">
        <v>55.792999999999999</v>
      </c>
      <c r="Z9" s="6" t="s">
        <v>157</v>
      </c>
      <c r="AA9" s="6" t="s">
        <v>63</v>
      </c>
      <c r="AB9" s="8">
        <v>44.8</v>
      </c>
      <c r="AC9" s="6" t="s">
        <v>153</v>
      </c>
      <c r="AD9" s="1" t="s">
        <v>153</v>
      </c>
      <c r="AE9" s="1" t="s">
        <v>153</v>
      </c>
      <c r="AF9" s="8">
        <v>3</v>
      </c>
      <c r="AG9" s="8">
        <v>8</v>
      </c>
      <c r="AH9" s="6" t="s">
        <v>40</v>
      </c>
      <c r="AI9" s="6" t="s">
        <v>41</v>
      </c>
      <c r="AJ9" s="6"/>
      <c r="AK9" s="6"/>
      <c r="AL9" s="6" t="s">
        <v>42</v>
      </c>
      <c r="AM9" s="8">
        <v>10.8</v>
      </c>
      <c r="AN9" s="6"/>
      <c r="AO9" s="8">
        <v>0.96</v>
      </c>
      <c r="AP9" s="6" t="s">
        <v>43</v>
      </c>
      <c r="AQ9" s="6" t="s">
        <v>131</v>
      </c>
      <c r="AR9" s="6" t="s">
        <v>132</v>
      </c>
      <c r="AS9" s="8">
        <v>314</v>
      </c>
      <c r="AT9" s="6" t="s">
        <v>133</v>
      </c>
      <c r="AU9" s="8">
        <v>312</v>
      </c>
      <c r="AV9" s="8">
        <v>316</v>
      </c>
      <c r="AW9" s="6" t="s">
        <v>134</v>
      </c>
      <c r="AX9" s="6" t="s">
        <v>135</v>
      </c>
      <c r="AY9" s="6" t="s">
        <v>136</v>
      </c>
    </row>
    <row r="10" spans="1:51" x14ac:dyDescent="0.25">
      <c r="A10" s="9" t="s">
        <v>143</v>
      </c>
      <c r="B10" s="9" t="s">
        <v>144</v>
      </c>
      <c r="C10" s="9">
        <v>2001</v>
      </c>
      <c r="D10" s="9" t="str">
        <f t="shared" si="0"/>
        <v>10.1126/science.292.5525.2310</v>
      </c>
      <c r="E10" s="9">
        <f t="shared" si="1"/>
        <v>55943</v>
      </c>
      <c r="F10" s="9">
        <f t="shared" si="2"/>
        <v>149.99999999999858</v>
      </c>
      <c r="G10" s="9">
        <f t="shared" si="3"/>
        <v>149.99999999999858</v>
      </c>
      <c r="H10" s="9">
        <f t="shared" si="4"/>
        <v>307</v>
      </c>
      <c r="I10" s="9">
        <f t="shared" si="5"/>
        <v>1</v>
      </c>
      <c r="J10" s="9">
        <f t="shared" si="6"/>
        <v>2</v>
      </c>
      <c r="K10" s="6" t="s">
        <v>35</v>
      </c>
      <c r="L10" s="7" t="s">
        <v>152</v>
      </c>
      <c r="M10" s="6" t="s">
        <v>154</v>
      </c>
      <c r="N10" s="6" t="s">
        <v>44</v>
      </c>
      <c r="O10" s="6" t="s">
        <v>66</v>
      </c>
      <c r="P10" s="6" t="s">
        <v>36</v>
      </c>
      <c r="Q10" s="6" t="s">
        <v>37</v>
      </c>
      <c r="R10" s="6" t="s">
        <v>38</v>
      </c>
      <c r="S10" s="6" t="s">
        <v>67</v>
      </c>
      <c r="T10" s="6" t="s">
        <v>39</v>
      </c>
      <c r="U10" s="6" t="s">
        <v>62</v>
      </c>
      <c r="V10" s="6" t="s">
        <v>62</v>
      </c>
      <c r="W10" s="12">
        <f t="shared" si="7"/>
        <v>55.942999999999998</v>
      </c>
      <c r="X10" s="12">
        <v>56.092999999999996</v>
      </c>
      <c r="Y10" s="12">
        <v>55.792999999999999</v>
      </c>
      <c r="Z10" s="6" t="s">
        <v>157</v>
      </c>
      <c r="AA10" s="6" t="s">
        <v>63</v>
      </c>
      <c r="AB10" s="8">
        <v>44.8</v>
      </c>
      <c r="AC10" s="6" t="s">
        <v>153</v>
      </c>
      <c r="AD10" s="1" t="s">
        <v>153</v>
      </c>
      <c r="AE10" s="1" t="s">
        <v>153</v>
      </c>
      <c r="AF10" s="8">
        <v>3</v>
      </c>
      <c r="AG10" s="8">
        <v>5</v>
      </c>
      <c r="AH10" s="6" t="s">
        <v>40</v>
      </c>
      <c r="AI10" s="6" t="s">
        <v>41</v>
      </c>
      <c r="AJ10" s="6"/>
      <c r="AK10" s="6"/>
      <c r="AL10" s="6" t="s">
        <v>42</v>
      </c>
      <c r="AM10" s="8">
        <v>10.97</v>
      </c>
      <c r="AN10" s="6"/>
      <c r="AO10" s="8">
        <v>0.62</v>
      </c>
      <c r="AP10" s="6" t="s">
        <v>43</v>
      </c>
      <c r="AQ10" s="6" t="s">
        <v>131</v>
      </c>
      <c r="AR10" s="6" t="s">
        <v>132</v>
      </c>
      <c r="AS10" s="8">
        <v>307</v>
      </c>
      <c r="AT10" s="6" t="s">
        <v>133</v>
      </c>
      <c r="AU10" s="8">
        <v>305</v>
      </c>
      <c r="AV10" s="8">
        <v>308</v>
      </c>
      <c r="AW10" s="6" t="s">
        <v>134</v>
      </c>
      <c r="AX10" s="6" t="s">
        <v>135</v>
      </c>
      <c r="AY10" s="6" t="s">
        <v>136</v>
      </c>
    </row>
    <row r="11" spans="1:51" x14ac:dyDescent="0.25">
      <c r="A11" s="9" t="s">
        <v>143</v>
      </c>
      <c r="B11" s="9" t="s">
        <v>144</v>
      </c>
      <c r="C11" s="9">
        <v>2001</v>
      </c>
      <c r="D11" s="9" t="str">
        <f t="shared" si="0"/>
        <v>10.1126/science.292.5525.2310</v>
      </c>
      <c r="E11" s="9">
        <f t="shared" si="1"/>
        <v>55807</v>
      </c>
      <c r="F11" s="9">
        <f t="shared" si="2"/>
        <v>213.00000000000097</v>
      </c>
      <c r="G11" s="9">
        <f t="shared" si="3"/>
        <v>213.00000000000097</v>
      </c>
      <c r="H11" s="9">
        <f t="shared" si="4"/>
        <v>317</v>
      </c>
      <c r="I11" s="9">
        <f t="shared" si="5"/>
        <v>1</v>
      </c>
      <c r="J11" s="9">
        <f t="shared" si="6"/>
        <v>2</v>
      </c>
      <c r="K11" s="6" t="s">
        <v>35</v>
      </c>
      <c r="L11" s="7" t="s">
        <v>152</v>
      </c>
      <c r="M11" s="6" t="s">
        <v>154</v>
      </c>
      <c r="N11" s="6" t="s">
        <v>44</v>
      </c>
      <c r="O11" s="6" t="s">
        <v>68</v>
      </c>
      <c r="P11" s="6" t="s">
        <v>36</v>
      </c>
      <c r="Q11" s="6" t="s">
        <v>37</v>
      </c>
      <c r="R11" s="6" t="s">
        <v>38</v>
      </c>
      <c r="S11" s="6" t="s">
        <v>69</v>
      </c>
      <c r="T11" s="6" t="s">
        <v>39</v>
      </c>
      <c r="U11" s="6" t="s">
        <v>70</v>
      </c>
      <c r="V11" s="6" t="s">
        <v>70</v>
      </c>
      <c r="W11" s="12">
        <f t="shared" si="7"/>
        <v>55.807000000000002</v>
      </c>
      <c r="X11" s="12">
        <v>56.02</v>
      </c>
      <c r="Y11" s="12">
        <v>55.594000000000001</v>
      </c>
      <c r="Z11" s="6" t="s">
        <v>157</v>
      </c>
      <c r="AA11" s="6" t="s">
        <v>71</v>
      </c>
      <c r="AB11" s="8">
        <v>44.73</v>
      </c>
      <c r="AC11" s="8">
        <v>-108.68</v>
      </c>
      <c r="AD11" s="1" t="s">
        <v>153</v>
      </c>
      <c r="AE11" s="1" t="s">
        <v>153</v>
      </c>
      <c r="AF11" s="8">
        <v>3</v>
      </c>
      <c r="AG11" s="8">
        <v>12</v>
      </c>
      <c r="AH11" s="6" t="s">
        <v>40</v>
      </c>
      <c r="AI11" s="6" t="s">
        <v>41</v>
      </c>
      <c r="AJ11" s="6"/>
      <c r="AK11" s="6"/>
      <c r="AL11" s="6" t="s">
        <v>42</v>
      </c>
      <c r="AM11" s="8">
        <v>10.63</v>
      </c>
      <c r="AN11" s="6"/>
      <c r="AO11" s="8">
        <v>1.62</v>
      </c>
      <c r="AP11" s="6" t="s">
        <v>43</v>
      </c>
      <c r="AQ11" s="6" t="s">
        <v>131</v>
      </c>
      <c r="AR11" s="6" t="s">
        <v>132</v>
      </c>
      <c r="AS11" s="8">
        <v>317</v>
      </c>
      <c r="AT11" s="6" t="s">
        <v>133</v>
      </c>
      <c r="AU11" s="8">
        <v>315</v>
      </c>
      <c r="AV11" s="8">
        <v>318</v>
      </c>
      <c r="AW11" s="6" t="s">
        <v>134</v>
      </c>
      <c r="AX11" s="6" t="s">
        <v>135</v>
      </c>
      <c r="AY11" s="6" t="s">
        <v>136</v>
      </c>
    </row>
    <row r="12" spans="1:51" x14ac:dyDescent="0.25">
      <c r="A12" s="9" t="s">
        <v>143</v>
      </c>
      <c r="B12" s="9" t="s">
        <v>144</v>
      </c>
      <c r="C12" s="9">
        <v>2001</v>
      </c>
      <c r="D12" s="9" t="str">
        <f t="shared" si="0"/>
        <v>10.1126/science.292.5525.2310</v>
      </c>
      <c r="E12" s="9">
        <f t="shared" si="1"/>
        <v>55664</v>
      </c>
      <c r="F12" s="9">
        <f t="shared" si="2"/>
        <v>125</v>
      </c>
      <c r="G12" s="9">
        <f t="shared" si="3"/>
        <v>125</v>
      </c>
      <c r="H12" s="9">
        <f t="shared" si="4"/>
        <v>309</v>
      </c>
      <c r="I12" s="9">
        <f t="shared" si="5"/>
        <v>2</v>
      </c>
      <c r="J12" s="9">
        <f t="shared" si="6"/>
        <v>2</v>
      </c>
      <c r="K12" s="6" t="s">
        <v>35</v>
      </c>
      <c r="L12" s="7" t="s">
        <v>152</v>
      </c>
      <c r="M12" s="6" t="s">
        <v>154</v>
      </c>
      <c r="N12" s="6" t="s">
        <v>44</v>
      </c>
      <c r="O12" s="6" t="s">
        <v>72</v>
      </c>
      <c r="P12" s="6" t="s">
        <v>36</v>
      </c>
      <c r="Q12" s="6" t="s">
        <v>37</v>
      </c>
      <c r="R12" s="6" t="s">
        <v>38</v>
      </c>
      <c r="S12" s="6" t="s">
        <v>73</v>
      </c>
      <c r="T12" s="6" t="s">
        <v>39</v>
      </c>
      <c r="U12" s="6" t="s">
        <v>74</v>
      </c>
      <c r="V12" s="6" t="s">
        <v>74</v>
      </c>
      <c r="W12" s="12">
        <f t="shared" si="7"/>
        <v>55.664000000000001</v>
      </c>
      <c r="X12" s="12">
        <v>55.789000000000001</v>
      </c>
      <c r="Y12" s="12">
        <v>55.539000000000001</v>
      </c>
      <c r="Z12" s="6" t="s">
        <v>157</v>
      </c>
      <c r="AA12" s="6" t="s">
        <v>75</v>
      </c>
      <c r="AB12" s="8">
        <v>44.05</v>
      </c>
      <c r="AC12" s="8">
        <v>-107.77</v>
      </c>
      <c r="AD12" s="1" t="s">
        <v>153</v>
      </c>
      <c r="AE12" s="1" t="s">
        <v>153</v>
      </c>
      <c r="AF12" s="8">
        <v>3</v>
      </c>
      <c r="AG12" s="8">
        <v>10</v>
      </c>
      <c r="AH12" s="6" t="s">
        <v>40</v>
      </c>
      <c r="AI12" s="6" t="s">
        <v>41</v>
      </c>
      <c r="AJ12" s="6"/>
      <c r="AK12" s="6"/>
      <c r="AL12" s="6" t="s">
        <v>42</v>
      </c>
      <c r="AM12" s="8">
        <v>11.21</v>
      </c>
      <c r="AN12" s="6"/>
      <c r="AO12" s="8">
        <v>1.1499999999999999</v>
      </c>
      <c r="AP12" s="6" t="s">
        <v>43</v>
      </c>
      <c r="AQ12" s="6" t="s">
        <v>131</v>
      </c>
      <c r="AR12" s="6" t="s">
        <v>132</v>
      </c>
      <c r="AS12" s="8">
        <v>309</v>
      </c>
      <c r="AT12" s="6" t="s">
        <v>133</v>
      </c>
      <c r="AU12" s="8">
        <v>307</v>
      </c>
      <c r="AV12" s="8">
        <v>311</v>
      </c>
      <c r="AW12" s="6" t="s">
        <v>134</v>
      </c>
      <c r="AX12" s="6" t="s">
        <v>135</v>
      </c>
      <c r="AY12" s="6" t="s">
        <v>136</v>
      </c>
    </row>
    <row r="13" spans="1:51" x14ac:dyDescent="0.25">
      <c r="A13" s="9" t="s">
        <v>143</v>
      </c>
      <c r="B13" s="9" t="s">
        <v>144</v>
      </c>
      <c r="C13" s="9">
        <v>2001</v>
      </c>
      <c r="D13" s="9" t="str">
        <f t="shared" si="0"/>
        <v>10.1126/science.292.5525.2310</v>
      </c>
      <c r="E13" s="9">
        <f t="shared" si="1"/>
        <v>55595</v>
      </c>
      <c r="F13" s="9">
        <f t="shared" si="2"/>
        <v>100.00000000000142</v>
      </c>
      <c r="G13" s="9">
        <f t="shared" si="3"/>
        <v>100.00000000000142</v>
      </c>
      <c r="H13" s="9">
        <f t="shared" si="4"/>
        <v>306</v>
      </c>
      <c r="I13" s="9">
        <f t="shared" si="5"/>
        <v>2</v>
      </c>
      <c r="J13" s="9">
        <f t="shared" si="6"/>
        <v>2</v>
      </c>
      <c r="K13" s="6" t="s">
        <v>35</v>
      </c>
      <c r="L13" s="7" t="s">
        <v>152</v>
      </c>
      <c r="M13" s="6" t="s">
        <v>154</v>
      </c>
      <c r="N13" s="6" t="s">
        <v>44</v>
      </c>
      <c r="O13" s="6" t="s">
        <v>76</v>
      </c>
      <c r="P13" s="6" t="s">
        <v>36</v>
      </c>
      <c r="Q13" s="6" t="s">
        <v>37</v>
      </c>
      <c r="R13" s="6" t="s">
        <v>38</v>
      </c>
      <c r="S13" s="6" t="s">
        <v>77</v>
      </c>
      <c r="T13" s="6" t="s">
        <v>39</v>
      </c>
      <c r="U13" s="6" t="s">
        <v>78</v>
      </c>
      <c r="V13" s="6" t="s">
        <v>78</v>
      </c>
      <c r="W13" s="12">
        <f t="shared" si="7"/>
        <v>55.594999999999999</v>
      </c>
      <c r="X13" s="12">
        <v>55.695</v>
      </c>
      <c r="Y13" s="12">
        <v>55.494999999999997</v>
      </c>
      <c r="Z13" s="6" t="s">
        <v>157</v>
      </c>
      <c r="AA13" s="6" t="s">
        <v>79</v>
      </c>
      <c r="AB13" s="8">
        <v>43.95</v>
      </c>
      <c r="AC13" s="8">
        <v>-107.56</v>
      </c>
      <c r="AD13" s="1" t="s">
        <v>153</v>
      </c>
      <c r="AE13" s="1" t="s">
        <v>153</v>
      </c>
      <c r="AF13" s="8">
        <v>3</v>
      </c>
      <c r="AG13" s="8">
        <v>8</v>
      </c>
      <c r="AH13" s="6" t="s">
        <v>40</v>
      </c>
      <c r="AI13" s="6" t="s">
        <v>41</v>
      </c>
      <c r="AJ13" s="6"/>
      <c r="AK13" s="6"/>
      <c r="AL13" s="6" t="s">
        <v>42</v>
      </c>
      <c r="AM13" s="8">
        <v>11.5</v>
      </c>
      <c r="AN13" s="6"/>
      <c r="AO13" s="8">
        <v>1.05</v>
      </c>
      <c r="AP13" s="6" t="s">
        <v>43</v>
      </c>
      <c r="AQ13" s="6" t="s">
        <v>131</v>
      </c>
      <c r="AR13" s="6" t="s">
        <v>132</v>
      </c>
      <c r="AS13" s="8">
        <v>306</v>
      </c>
      <c r="AT13" s="6" t="s">
        <v>133</v>
      </c>
      <c r="AU13" s="8">
        <v>304</v>
      </c>
      <c r="AV13" s="8">
        <v>308</v>
      </c>
      <c r="AW13" s="6" t="s">
        <v>134</v>
      </c>
      <c r="AX13" s="6" t="s">
        <v>135</v>
      </c>
      <c r="AY13" s="6" t="s">
        <v>136</v>
      </c>
    </row>
    <row r="14" spans="1:51" x14ac:dyDescent="0.25">
      <c r="A14" s="9" t="s">
        <v>143</v>
      </c>
      <c r="B14" s="9" t="s">
        <v>144</v>
      </c>
      <c r="C14" s="9">
        <v>2001</v>
      </c>
      <c r="D14" s="9" t="str">
        <f t="shared" si="0"/>
        <v>10.1126/science.292.5525.2310</v>
      </c>
      <c r="E14" s="9">
        <f t="shared" si="1"/>
        <v>55348.5</v>
      </c>
      <c r="F14" s="9">
        <f t="shared" si="2"/>
        <v>114.4999999999996</v>
      </c>
      <c r="G14" s="9">
        <f t="shared" si="3"/>
        <v>114.4999999999996</v>
      </c>
      <c r="H14" s="9">
        <f t="shared" si="4"/>
        <v>299</v>
      </c>
      <c r="I14" s="9">
        <f t="shared" si="5"/>
        <v>2</v>
      </c>
      <c r="J14" s="9">
        <f t="shared" si="6"/>
        <v>2</v>
      </c>
      <c r="K14" s="6" t="s">
        <v>35</v>
      </c>
      <c r="L14" s="7" t="s">
        <v>152</v>
      </c>
      <c r="M14" s="6" t="s">
        <v>154</v>
      </c>
      <c r="N14" s="6" t="s">
        <v>44</v>
      </c>
      <c r="O14" s="6" t="s">
        <v>80</v>
      </c>
      <c r="P14" s="6" t="s">
        <v>36</v>
      </c>
      <c r="Q14" s="6" t="s">
        <v>37</v>
      </c>
      <c r="R14" s="6" t="s">
        <v>38</v>
      </c>
      <c r="S14" s="6" t="s">
        <v>81</v>
      </c>
      <c r="T14" s="6" t="s">
        <v>39</v>
      </c>
      <c r="U14" s="6" t="s">
        <v>82</v>
      </c>
      <c r="V14" s="6" t="s">
        <v>82</v>
      </c>
      <c r="W14" s="12">
        <f t="shared" si="7"/>
        <v>55.348500000000001</v>
      </c>
      <c r="X14" s="12">
        <v>55.463000000000001</v>
      </c>
      <c r="Y14" s="12">
        <v>55.234000000000002</v>
      </c>
      <c r="Z14" s="6" t="s">
        <v>157</v>
      </c>
      <c r="AA14" s="6" t="s">
        <v>83</v>
      </c>
      <c r="AB14" s="8">
        <v>44.16</v>
      </c>
      <c r="AC14" s="8">
        <v>-107.85</v>
      </c>
      <c r="AD14" s="1" t="s">
        <v>153</v>
      </c>
      <c r="AE14" s="1" t="s">
        <v>153</v>
      </c>
      <c r="AF14" s="8">
        <v>3</v>
      </c>
      <c r="AG14" s="8">
        <v>7</v>
      </c>
      <c r="AH14" s="6" t="s">
        <v>40</v>
      </c>
      <c r="AI14" s="6" t="s">
        <v>41</v>
      </c>
      <c r="AJ14" s="6"/>
      <c r="AK14" s="6"/>
      <c r="AL14" s="6" t="s">
        <v>42</v>
      </c>
      <c r="AM14" s="8">
        <v>12.23</v>
      </c>
      <c r="AN14" s="6"/>
      <c r="AO14" s="8">
        <v>1.54</v>
      </c>
      <c r="AP14" s="6" t="s">
        <v>43</v>
      </c>
      <c r="AQ14" s="6" t="s">
        <v>131</v>
      </c>
      <c r="AR14" s="6" t="s">
        <v>132</v>
      </c>
      <c r="AS14" s="8">
        <v>299</v>
      </c>
      <c r="AT14" s="6" t="s">
        <v>133</v>
      </c>
      <c r="AU14" s="8">
        <v>297</v>
      </c>
      <c r="AV14" s="8">
        <v>301</v>
      </c>
      <c r="AW14" s="6" t="s">
        <v>134</v>
      </c>
      <c r="AX14" s="6" t="s">
        <v>135</v>
      </c>
      <c r="AY14" s="6" t="s">
        <v>136</v>
      </c>
    </row>
    <row r="15" spans="1:51" x14ac:dyDescent="0.25">
      <c r="A15" s="9" t="s">
        <v>143</v>
      </c>
      <c r="B15" s="9" t="s">
        <v>144</v>
      </c>
      <c r="C15" s="9">
        <v>2001</v>
      </c>
      <c r="D15" s="9" t="str">
        <f t="shared" si="0"/>
        <v>10.1126/science.292.5525.2310</v>
      </c>
      <c r="E15" s="9">
        <f t="shared" si="1"/>
        <v>55338.5</v>
      </c>
      <c r="F15" s="9">
        <f t="shared" si="2"/>
        <v>104.50000000000159</v>
      </c>
      <c r="G15" s="9">
        <f t="shared" si="3"/>
        <v>104.50000000000159</v>
      </c>
      <c r="H15" s="9">
        <f t="shared" si="4"/>
        <v>390</v>
      </c>
      <c r="I15" s="9">
        <f t="shared" si="5"/>
        <v>16</v>
      </c>
      <c r="J15" s="9">
        <f t="shared" si="6"/>
        <v>10</v>
      </c>
      <c r="K15" s="6" t="s">
        <v>35</v>
      </c>
      <c r="L15" s="7" t="s">
        <v>152</v>
      </c>
      <c r="M15" s="6" t="s">
        <v>154</v>
      </c>
      <c r="N15" s="6" t="s">
        <v>44</v>
      </c>
      <c r="O15" s="6" t="s">
        <v>84</v>
      </c>
      <c r="P15" s="6" t="s">
        <v>36</v>
      </c>
      <c r="Q15" s="6" t="s">
        <v>37</v>
      </c>
      <c r="R15" s="6" t="s">
        <v>38</v>
      </c>
      <c r="S15" s="6" t="s">
        <v>85</v>
      </c>
      <c r="T15" s="6" t="s">
        <v>39</v>
      </c>
      <c r="U15" s="6" t="s">
        <v>86</v>
      </c>
      <c r="V15" s="6" t="s">
        <v>86</v>
      </c>
      <c r="W15" s="12">
        <f t="shared" si="7"/>
        <v>55.338500000000003</v>
      </c>
      <c r="X15" s="12">
        <v>55.443000000000005</v>
      </c>
      <c r="Y15" s="12">
        <v>55.234000000000002</v>
      </c>
      <c r="Z15" s="6" t="s">
        <v>157</v>
      </c>
      <c r="AA15" s="6" t="s">
        <v>87</v>
      </c>
      <c r="AB15" s="8">
        <v>44.8</v>
      </c>
      <c r="AC15" s="6" t="s">
        <v>153</v>
      </c>
      <c r="AD15" s="1" t="s">
        <v>153</v>
      </c>
      <c r="AE15" s="1" t="s">
        <v>153</v>
      </c>
      <c r="AF15" s="8">
        <v>3</v>
      </c>
      <c r="AG15" s="8">
        <v>12</v>
      </c>
      <c r="AH15" s="6" t="s">
        <v>40</v>
      </c>
      <c r="AI15" s="6" t="s">
        <v>41</v>
      </c>
      <c r="AJ15" s="6"/>
      <c r="AK15" s="6"/>
      <c r="AL15" s="6" t="s">
        <v>42</v>
      </c>
      <c r="AM15" s="8">
        <v>8.23</v>
      </c>
      <c r="AN15" s="6"/>
      <c r="AO15" s="8">
        <v>0.84</v>
      </c>
      <c r="AP15" s="6" t="s">
        <v>43</v>
      </c>
      <c r="AQ15" s="6" t="s">
        <v>131</v>
      </c>
      <c r="AR15" s="6" t="s">
        <v>132</v>
      </c>
      <c r="AS15" s="8">
        <v>390</v>
      </c>
      <c r="AT15" s="6" t="s">
        <v>133</v>
      </c>
      <c r="AU15" s="8">
        <v>380</v>
      </c>
      <c r="AV15" s="8">
        <v>406</v>
      </c>
      <c r="AW15" s="6" t="s">
        <v>134</v>
      </c>
      <c r="AX15" s="6" t="s">
        <v>135</v>
      </c>
      <c r="AY15" s="6" t="s">
        <v>136</v>
      </c>
    </row>
    <row r="16" spans="1:51" x14ac:dyDescent="0.25">
      <c r="A16" s="9" t="s">
        <v>143</v>
      </c>
      <c r="B16" s="9" t="s">
        <v>144</v>
      </c>
      <c r="C16" s="9">
        <v>2001</v>
      </c>
      <c r="D16" s="9" t="str">
        <f t="shared" si="0"/>
        <v>10.1126/science.292.5525.2310</v>
      </c>
      <c r="E16" s="9">
        <f t="shared" si="1"/>
        <v>55337.500000000007</v>
      </c>
      <c r="F16" s="9">
        <f t="shared" si="2"/>
        <v>103.49999999999682</v>
      </c>
      <c r="G16" s="9">
        <f t="shared" si="3"/>
        <v>103.50000000000392</v>
      </c>
      <c r="H16" s="9">
        <f t="shared" si="4"/>
        <v>300</v>
      </c>
      <c r="I16" s="9">
        <f t="shared" si="5"/>
        <v>2</v>
      </c>
      <c r="J16" s="9">
        <f t="shared" si="6"/>
        <v>3</v>
      </c>
      <c r="K16" s="6" t="s">
        <v>35</v>
      </c>
      <c r="L16" s="7" t="s">
        <v>152</v>
      </c>
      <c r="M16" s="6" t="s">
        <v>154</v>
      </c>
      <c r="N16" s="6" t="s">
        <v>44</v>
      </c>
      <c r="O16" s="6" t="s">
        <v>88</v>
      </c>
      <c r="P16" s="6" t="s">
        <v>36</v>
      </c>
      <c r="Q16" s="6" t="s">
        <v>37</v>
      </c>
      <c r="R16" s="6" t="s">
        <v>38</v>
      </c>
      <c r="S16" s="6" t="s">
        <v>89</v>
      </c>
      <c r="T16" s="6" t="s">
        <v>39</v>
      </c>
      <c r="U16" s="6" t="s">
        <v>90</v>
      </c>
      <c r="V16" s="6" t="s">
        <v>90</v>
      </c>
      <c r="W16" s="12">
        <f t="shared" si="7"/>
        <v>55.337500000000006</v>
      </c>
      <c r="X16" s="12">
        <v>55.441000000000003</v>
      </c>
      <c r="Y16" s="12">
        <v>55.234000000000002</v>
      </c>
      <c r="Z16" s="6" t="s">
        <v>157</v>
      </c>
      <c r="AA16" s="6" t="s">
        <v>87</v>
      </c>
      <c r="AB16" s="8">
        <v>43.95</v>
      </c>
      <c r="AC16" s="6" t="s">
        <v>153</v>
      </c>
      <c r="AD16" s="1" t="s">
        <v>153</v>
      </c>
      <c r="AE16" s="1" t="s">
        <v>153</v>
      </c>
      <c r="AF16" s="8">
        <v>3</v>
      </c>
      <c r="AG16" s="8">
        <v>5</v>
      </c>
      <c r="AH16" s="6" t="s">
        <v>40</v>
      </c>
      <c r="AI16" s="6" t="s">
        <v>41</v>
      </c>
      <c r="AJ16" s="6"/>
      <c r="AK16" s="6"/>
      <c r="AL16" s="6" t="s">
        <v>42</v>
      </c>
      <c r="AM16" s="8">
        <v>12.18</v>
      </c>
      <c r="AN16" s="6"/>
      <c r="AO16" s="8">
        <v>1.3</v>
      </c>
      <c r="AP16" s="6" t="s">
        <v>43</v>
      </c>
      <c r="AQ16" s="6" t="s">
        <v>131</v>
      </c>
      <c r="AR16" s="6" t="s">
        <v>132</v>
      </c>
      <c r="AS16" s="8">
        <v>300</v>
      </c>
      <c r="AT16" s="6" t="s">
        <v>133</v>
      </c>
      <c r="AU16" s="8">
        <v>297</v>
      </c>
      <c r="AV16" s="8">
        <v>302</v>
      </c>
      <c r="AW16" s="6" t="s">
        <v>134</v>
      </c>
      <c r="AX16" s="6" t="s">
        <v>135</v>
      </c>
      <c r="AY16" s="6" t="s">
        <v>136</v>
      </c>
    </row>
    <row r="17" spans="1:51" x14ac:dyDescent="0.25">
      <c r="A17" s="9" t="s">
        <v>143</v>
      </c>
      <c r="B17" s="9" t="s">
        <v>144</v>
      </c>
      <c r="C17" s="9">
        <v>2001</v>
      </c>
      <c r="D17" s="9" t="str">
        <f t="shared" si="0"/>
        <v>10.1126/science.292.5525.2310</v>
      </c>
      <c r="E17" s="9">
        <f t="shared" si="1"/>
        <v>55316.999999999993</v>
      </c>
      <c r="F17" s="9">
        <f t="shared" si="2"/>
        <v>83.000000000005514</v>
      </c>
      <c r="G17" s="9">
        <f t="shared" si="3"/>
        <v>82.999999999998408</v>
      </c>
      <c r="H17" s="9">
        <f t="shared" si="4"/>
        <v>303</v>
      </c>
      <c r="I17" s="9">
        <f t="shared" si="5"/>
        <v>1</v>
      </c>
      <c r="J17" s="9">
        <f t="shared" si="6"/>
        <v>1</v>
      </c>
      <c r="K17" s="6" t="s">
        <v>35</v>
      </c>
      <c r="L17" s="7" t="s">
        <v>152</v>
      </c>
      <c r="M17" s="6" t="s">
        <v>154</v>
      </c>
      <c r="N17" s="6" t="s">
        <v>44</v>
      </c>
      <c r="O17" s="6" t="s">
        <v>91</v>
      </c>
      <c r="P17" s="6" t="s">
        <v>36</v>
      </c>
      <c r="Q17" s="6" t="s">
        <v>37</v>
      </c>
      <c r="R17" s="6" t="s">
        <v>38</v>
      </c>
      <c r="S17" s="6" t="s">
        <v>92</v>
      </c>
      <c r="T17" s="6" t="s">
        <v>39</v>
      </c>
      <c r="U17" s="6" t="s">
        <v>82</v>
      </c>
      <c r="V17" s="6" t="s">
        <v>82</v>
      </c>
      <c r="W17" s="12">
        <f t="shared" si="7"/>
        <v>55.316999999999993</v>
      </c>
      <c r="X17" s="12">
        <v>55.4</v>
      </c>
      <c r="Y17" s="12">
        <v>55.233999999999995</v>
      </c>
      <c r="Z17" s="6" t="s">
        <v>157</v>
      </c>
      <c r="AA17" s="6" t="s">
        <v>87</v>
      </c>
      <c r="AB17" s="8">
        <v>43.95</v>
      </c>
      <c r="AC17" s="6" t="s">
        <v>153</v>
      </c>
      <c r="AD17" s="1" t="s">
        <v>153</v>
      </c>
      <c r="AE17" s="1" t="s">
        <v>153</v>
      </c>
      <c r="AF17" s="8">
        <v>3</v>
      </c>
      <c r="AG17" s="8">
        <v>15</v>
      </c>
      <c r="AH17" s="6" t="s">
        <v>40</v>
      </c>
      <c r="AI17" s="6" t="s">
        <v>41</v>
      </c>
      <c r="AJ17" s="6"/>
      <c r="AK17" s="6"/>
      <c r="AL17" s="6" t="s">
        <v>42</v>
      </c>
      <c r="AM17" s="8">
        <v>11.77</v>
      </c>
      <c r="AN17" s="6"/>
      <c r="AO17" s="8">
        <v>0.91</v>
      </c>
      <c r="AP17" s="6" t="s">
        <v>43</v>
      </c>
      <c r="AQ17" s="6" t="s">
        <v>131</v>
      </c>
      <c r="AR17" s="6" t="s">
        <v>132</v>
      </c>
      <c r="AS17" s="8">
        <v>303</v>
      </c>
      <c r="AT17" s="6" t="s">
        <v>133</v>
      </c>
      <c r="AU17" s="8">
        <v>302</v>
      </c>
      <c r="AV17" s="8">
        <v>304</v>
      </c>
      <c r="AW17" s="6" t="s">
        <v>134</v>
      </c>
      <c r="AX17" s="6" t="s">
        <v>135</v>
      </c>
      <c r="AY17" s="6" t="s">
        <v>136</v>
      </c>
    </row>
    <row r="18" spans="1:51" x14ac:dyDescent="0.25">
      <c r="A18" s="9" t="s">
        <v>143</v>
      </c>
      <c r="B18" s="9" t="s">
        <v>144</v>
      </c>
      <c r="C18" s="9">
        <v>2001</v>
      </c>
      <c r="D18" s="9" t="str">
        <f t="shared" si="0"/>
        <v>10.1126/science.292.5525.2310</v>
      </c>
      <c r="E18" s="9">
        <f t="shared" si="1"/>
        <v>55316</v>
      </c>
      <c r="F18" s="9">
        <f t="shared" si="2"/>
        <v>82.000000000000739</v>
      </c>
      <c r="G18" s="9">
        <f t="shared" si="3"/>
        <v>82.000000000000739</v>
      </c>
      <c r="H18" s="9">
        <f t="shared" si="4"/>
        <v>298</v>
      </c>
      <c r="I18" s="9">
        <f t="shared" si="5"/>
        <v>2</v>
      </c>
      <c r="J18" s="9">
        <f t="shared" si="6"/>
        <v>2</v>
      </c>
      <c r="K18" s="6" t="s">
        <v>35</v>
      </c>
      <c r="L18" s="7" t="s">
        <v>152</v>
      </c>
      <c r="M18" s="6" t="s">
        <v>154</v>
      </c>
      <c r="N18" s="6" t="s">
        <v>44</v>
      </c>
      <c r="O18" s="6" t="s">
        <v>93</v>
      </c>
      <c r="P18" s="6" t="s">
        <v>36</v>
      </c>
      <c r="Q18" s="6" t="s">
        <v>37</v>
      </c>
      <c r="R18" s="6" t="s">
        <v>38</v>
      </c>
      <c r="S18" s="6" t="s">
        <v>94</v>
      </c>
      <c r="T18" s="6" t="s">
        <v>39</v>
      </c>
      <c r="U18" s="6" t="s">
        <v>95</v>
      </c>
      <c r="V18" s="6" t="s">
        <v>95</v>
      </c>
      <c r="W18" s="12">
        <f t="shared" si="7"/>
        <v>55.316000000000003</v>
      </c>
      <c r="X18" s="12">
        <v>55.398000000000003</v>
      </c>
      <c r="Y18" s="12">
        <v>55.234000000000002</v>
      </c>
      <c r="Z18" s="6" t="s">
        <v>157</v>
      </c>
      <c r="AA18" s="6" t="s">
        <v>87</v>
      </c>
      <c r="AB18" s="8">
        <v>44.15</v>
      </c>
      <c r="AC18" s="6" t="s">
        <v>153</v>
      </c>
      <c r="AD18" s="1" t="s">
        <v>153</v>
      </c>
      <c r="AE18" s="1" t="s">
        <v>153</v>
      </c>
      <c r="AF18" s="8">
        <v>3</v>
      </c>
      <c r="AG18" s="8">
        <v>7</v>
      </c>
      <c r="AH18" s="6" t="s">
        <v>40</v>
      </c>
      <c r="AI18" s="6" t="s">
        <v>41</v>
      </c>
      <c r="AJ18" s="6"/>
      <c r="AK18" s="6"/>
      <c r="AL18" s="6" t="s">
        <v>42</v>
      </c>
      <c r="AM18" s="8">
        <v>12.41</v>
      </c>
      <c r="AN18" s="6"/>
      <c r="AO18" s="8">
        <v>0.88</v>
      </c>
      <c r="AP18" s="6" t="s">
        <v>43</v>
      </c>
      <c r="AQ18" s="6" t="s">
        <v>131</v>
      </c>
      <c r="AR18" s="6" t="s">
        <v>132</v>
      </c>
      <c r="AS18" s="8">
        <v>298</v>
      </c>
      <c r="AT18" s="6" t="s">
        <v>133</v>
      </c>
      <c r="AU18" s="8">
        <v>296</v>
      </c>
      <c r="AV18" s="8">
        <v>300</v>
      </c>
      <c r="AW18" s="6" t="s">
        <v>134</v>
      </c>
      <c r="AX18" s="6" t="s">
        <v>135</v>
      </c>
      <c r="AY18" s="6" t="s">
        <v>136</v>
      </c>
    </row>
    <row r="19" spans="1:51" x14ac:dyDescent="0.25">
      <c r="A19" s="9" t="s">
        <v>143</v>
      </c>
      <c r="B19" s="9" t="s">
        <v>144</v>
      </c>
      <c r="C19" s="9">
        <v>2001</v>
      </c>
      <c r="D19" s="9" t="str">
        <f t="shared" si="0"/>
        <v>10.1126/science.292.5525.2310</v>
      </c>
      <c r="E19" s="9">
        <f t="shared" si="1"/>
        <v>55117.000000000007</v>
      </c>
      <c r="F19" s="9">
        <f t="shared" si="2"/>
        <v>116.99999999999733</v>
      </c>
      <c r="G19" s="9">
        <f t="shared" si="3"/>
        <v>117.00000000000443</v>
      </c>
      <c r="H19" s="9">
        <f t="shared" si="4"/>
        <v>373</v>
      </c>
      <c r="I19" s="9">
        <f t="shared" si="5"/>
        <v>8</v>
      </c>
      <c r="J19" s="9">
        <f t="shared" si="6"/>
        <v>5</v>
      </c>
      <c r="K19" s="6" t="s">
        <v>35</v>
      </c>
      <c r="L19" s="7" t="s">
        <v>152</v>
      </c>
      <c r="M19" s="6" t="s">
        <v>154</v>
      </c>
      <c r="N19" s="6" t="s">
        <v>44</v>
      </c>
      <c r="O19" s="6" t="s">
        <v>96</v>
      </c>
      <c r="P19" s="6" t="s">
        <v>36</v>
      </c>
      <c r="Q19" s="6" t="s">
        <v>37</v>
      </c>
      <c r="R19" s="6" t="s">
        <v>38</v>
      </c>
      <c r="S19" s="6" t="s">
        <v>97</v>
      </c>
      <c r="T19" s="6" t="s">
        <v>98</v>
      </c>
      <c r="U19" s="6" t="s">
        <v>99</v>
      </c>
      <c r="V19" s="6" t="s">
        <v>99</v>
      </c>
      <c r="W19" s="12">
        <f t="shared" si="7"/>
        <v>55.117000000000004</v>
      </c>
      <c r="X19" s="12">
        <v>55.234000000000002</v>
      </c>
      <c r="Y19" s="12">
        <v>55</v>
      </c>
      <c r="Z19" s="6" t="s">
        <v>157</v>
      </c>
      <c r="AA19" s="6" t="s">
        <v>100</v>
      </c>
      <c r="AB19" s="8">
        <v>44.8</v>
      </c>
      <c r="AC19" s="6" t="s">
        <v>153</v>
      </c>
      <c r="AD19" s="1" t="s">
        <v>153</v>
      </c>
      <c r="AE19" s="1" t="s">
        <v>153</v>
      </c>
      <c r="AF19" s="8">
        <v>3</v>
      </c>
      <c r="AG19" s="8">
        <v>22</v>
      </c>
      <c r="AH19" s="6" t="s">
        <v>40</v>
      </c>
      <c r="AI19" s="6" t="s">
        <v>41</v>
      </c>
      <c r="AJ19" s="6"/>
      <c r="AK19" s="6"/>
      <c r="AL19" s="6" t="s">
        <v>42</v>
      </c>
      <c r="AM19" s="8">
        <v>8.5299999999999994</v>
      </c>
      <c r="AN19" s="6"/>
      <c r="AO19" s="8">
        <v>0.73</v>
      </c>
      <c r="AP19" s="6" t="s">
        <v>43</v>
      </c>
      <c r="AQ19" s="6" t="s">
        <v>131</v>
      </c>
      <c r="AR19" s="6" t="s">
        <v>132</v>
      </c>
      <c r="AS19" s="8">
        <v>373</v>
      </c>
      <c r="AT19" s="6" t="s">
        <v>133</v>
      </c>
      <c r="AU19" s="8">
        <v>368</v>
      </c>
      <c r="AV19" s="8">
        <v>381</v>
      </c>
      <c r="AW19" s="6" t="s">
        <v>134</v>
      </c>
      <c r="AX19" s="6" t="s">
        <v>135</v>
      </c>
      <c r="AY19" s="6" t="s">
        <v>136</v>
      </c>
    </row>
    <row r="20" spans="1:51" x14ac:dyDescent="0.25">
      <c r="A20" s="9" t="s">
        <v>143</v>
      </c>
      <c r="B20" s="9" t="s">
        <v>144</v>
      </c>
      <c r="C20" s="9">
        <v>2001</v>
      </c>
      <c r="D20" s="9" t="str">
        <f t="shared" si="0"/>
        <v>10.1126/science.292.5525.2310</v>
      </c>
      <c r="E20" s="9">
        <f t="shared" si="1"/>
        <v>54798</v>
      </c>
      <c r="F20" s="9">
        <f t="shared" si="2"/>
        <v>100.00000000000142</v>
      </c>
      <c r="G20" s="9">
        <f t="shared" si="3"/>
        <v>100.00000000000142</v>
      </c>
      <c r="H20" s="9">
        <f t="shared" si="4"/>
        <v>360</v>
      </c>
      <c r="I20" s="9">
        <f t="shared" si="5"/>
        <v>9</v>
      </c>
      <c r="J20" s="9">
        <f t="shared" si="6"/>
        <v>7</v>
      </c>
      <c r="K20" s="6" t="s">
        <v>35</v>
      </c>
      <c r="L20" s="7" t="s">
        <v>152</v>
      </c>
      <c r="M20" s="6" t="s">
        <v>154</v>
      </c>
      <c r="N20" s="6" t="s">
        <v>44</v>
      </c>
      <c r="O20" s="6" t="s">
        <v>101</v>
      </c>
      <c r="P20" s="6" t="s">
        <v>36</v>
      </c>
      <c r="Q20" s="6" t="s">
        <v>37</v>
      </c>
      <c r="R20" s="6" t="s">
        <v>38</v>
      </c>
      <c r="S20" s="6" t="s">
        <v>102</v>
      </c>
      <c r="T20" s="6" t="s">
        <v>98</v>
      </c>
      <c r="U20" s="6" t="s">
        <v>103</v>
      </c>
      <c r="V20" s="6" t="s">
        <v>103</v>
      </c>
      <c r="W20" s="12">
        <f t="shared" si="7"/>
        <v>54.798000000000002</v>
      </c>
      <c r="X20" s="12">
        <v>54.898000000000003</v>
      </c>
      <c r="Y20" s="12">
        <v>54.698</v>
      </c>
      <c r="Z20" s="6" t="s">
        <v>157</v>
      </c>
      <c r="AA20" s="6" t="s">
        <v>104</v>
      </c>
      <c r="AB20" s="8">
        <v>44.35</v>
      </c>
      <c r="AC20" s="8">
        <v>-108.39</v>
      </c>
      <c r="AD20" s="1" t="s">
        <v>153</v>
      </c>
      <c r="AE20" s="1" t="s">
        <v>153</v>
      </c>
      <c r="AF20" s="8">
        <v>3</v>
      </c>
      <c r="AG20" s="8">
        <v>8</v>
      </c>
      <c r="AH20" s="6" t="s">
        <v>40</v>
      </c>
      <c r="AI20" s="6" t="s">
        <v>41</v>
      </c>
      <c r="AJ20" s="6"/>
      <c r="AK20" s="6"/>
      <c r="AL20" s="6" t="s">
        <v>42</v>
      </c>
      <c r="AM20" s="8">
        <v>8.83</v>
      </c>
      <c r="AN20" s="6"/>
      <c r="AO20" s="8">
        <v>0.85</v>
      </c>
      <c r="AP20" s="6" t="s">
        <v>43</v>
      </c>
      <c r="AQ20" s="6" t="s">
        <v>131</v>
      </c>
      <c r="AR20" s="6" t="s">
        <v>132</v>
      </c>
      <c r="AS20" s="8">
        <v>360</v>
      </c>
      <c r="AT20" s="6" t="s">
        <v>133</v>
      </c>
      <c r="AU20" s="8">
        <v>353</v>
      </c>
      <c r="AV20" s="8">
        <v>369</v>
      </c>
      <c r="AW20" s="6" t="s">
        <v>134</v>
      </c>
      <c r="AX20" s="6" t="s">
        <v>135</v>
      </c>
      <c r="AY20" s="6" t="s">
        <v>136</v>
      </c>
    </row>
    <row r="21" spans="1:51" x14ac:dyDescent="0.25">
      <c r="A21" s="9" t="s">
        <v>143</v>
      </c>
      <c r="B21" s="9" t="s">
        <v>144</v>
      </c>
      <c r="C21" s="9">
        <v>2001</v>
      </c>
      <c r="D21" s="9" t="str">
        <f t="shared" si="0"/>
        <v>10.1126/science.292.5525.2310</v>
      </c>
      <c r="E21" s="9">
        <f t="shared" si="1"/>
        <v>53897</v>
      </c>
      <c r="F21" s="9">
        <f t="shared" si="2"/>
        <v>100.00000000000142</v>
      </c>
      <c r="G21" s="9">
        <f t="shared" si="3"/>
        <v>100.00000000000142</v>
      </c>
      <c r="H21" s="9">
        <f t="shared" si="4"/>
        <v>345</v>
      </c>
      <c r="I21" s="9">
        <f t="shared" si="5"/>
        <v>7</v>
      </c>
      <c r="J21" s="9">
        <f t="shared" si="6"/>
        <v>6</v>
      </c>
      <c r="K21" s="6" t="s">
        <v>35</v>
      </c>
      <c r="L21" s="7" t="s">
        <v>152</v>
      </c>
      <c r="M21" s="6" t="s">
        <v>154</v>
      </c>
      <c r="N21" s="6" t="s">
        <v>44</v>
      </c>
      <c r="O21" s="6" t="s">
        <v>105</v>
      </c>
      <c r="P21" s="6" t="s">
        <v>36</v>
      </c>
      <c r="Q21" s="6" t="s">
        <v>37</v>
      </c>
      <c r="R21" s="6" t="s">
        <v>38</v>
      </c>
      <c r="S21" s="6" t="s">
        <v>106</v>
      </c>
      <c r="T21" s="6" t="s">
        <v>98</v>
      </c>
      <c r="U21" s="6" t="s">
        <v>107</v>
      </c>
      <c r="V21" s="6" t="s">
        <v>107</v>
      </c>
      <c r="W21" s="12">
        <f t="shared" si="7"/>
        <v>53.896999999999998</v>
      </c>
      <c r="X21" s="12">
        <v>53.997</v>
      </c>
      <c r="Y21" s="12">
        <v>53.796999999999997</v>
      </c>
      <c r="Z21" s="6" t="s">
        <v>157</v>
      </c>
      <c r="AA21" s="6" t="s">
        <v>108</v>
      </c>
      <c r="AB21" s="8">
        <v>44.17</v>
      </c>
      <c r="AC21" s="8">
        <v>-108.13</v>
      </c>
      <c r="AD21" s="1" t="s">
        <v>153</v>
      </c>
      <c r="AE21" s="1" t="s">
        <v>153</v>
      </c>
      <c r="AF21" s="8">
        <v>3</v>
      </c>
      <c r="AG21" s="8">
        <v>5</v>
      </c>
      <c r="AH21" s="6" t="s">
        <v>40</v>
      </c>
      <c r="AI21" s="6" t="s">
        <v>41</v>
      </c>
      <c r="AJ21" s="6"/>
      <c r="AK21" s="6"/>
      <c r="AL21" s="6" t="s">
        <v>42</v>
      </c>
      <c r="AM21" s="8">
        <v>9.2899999999999991</v>
      </c>
      <c r="AN21" s="6"/>
      <c r="AO21" s="8">
        <v>0.79</v>
      </c>
      <c r="AP21" s="6" t="s">
        <v>43</v>
      </c>
      <c r="AQ21" s="6" t="s">
        <v>131</v>
      </c>
      <c r="AR21" s="6" t="s">
        <v>132</v>
      </c>
      <c r="AS21" s="8">
        <v>345</v>
      </c>
      <c r="AT21" s="6" t="s">
        <v>133</v>
      </c>
      <c r="AU21" s="8">
        <v>339</v>
      </c>
      <c r="AV21" s="8">
        <v>352</v>
      </c>
      <c r="AW21" s="6" t="s">
        <v>134</v>
      </c>
      <c r="AX21" s="6" t="s">
        <v>135</v>
      </c>
      <c r="AY21" s="6" t="s">
        <v>136</v>
      </c>
    </row>
    <row r="22" spans="1:51" x14ac:dyDescent="0.25">
      <c r="A22" s="9" t="s">
        <v>143</v>
      </c>
      <c r="B22" s="9" t="s">
        <v>144</v>
      </c>
      <c r="C22" s="9">
        <v>2001</v>
      </c>
      <c r="D22" s="9" t="str">
        <f t="shared" si="0"/>
        <v>10.1126/science.292.5525.2310</v>
      </c>
      <c r="E22" s="9">
        <f t="shared" si="1"/>
        <v>53488</v>
      </c>
      <c r="F22" s="9">
        <f t="shared" si="2"/>
        <v>100.00000000000142</v>
      </c>
      <c r="G22" s="9">
        <f t="shared" si="3"/>
        <v>100.00000000000142</v>
      </c>
      <c r="H22" s="9">
        <f t="shared" si="4"/>
        <v>323</v>
      </c>
      <c r="I22" s="9">
        <f t="shared" si="5"/>
        <v>3</v>
      </c>
      <c r="J22" s="9">
        <f t="shared" si="6"/>
        <v>2</v>
      </c>
      <c r="K22" s="6" t="s">
        <v>35</v>
      </c>
      <c r="L22" s="7" t="s">
        <v>152</v>
      </c>
      <c r="M22" s="6" t="s">
        <v>154</v>
      </c>
      <c r="N22" s="6" t="s">
        <v>44</v>
      </c>
      <c r="O22" s="6" t="s">
        <v>109</v>
      </c>
      <c r="P22" s="6" t="s">
        <v>36</v>
      </c>
      <c r="Q22" s="6" t="s">
        <v>37</v>
      </c>
      <c r="R22" s="6" t="s">
        <v>38</v>
      </c>
      <c r="S22" s="6" t="s">
        <v>110</v>
      </c>
      <c r="T22" s="6" t="s">
        <v>98</v>
      </c>
      <c r="U22" s="6" t="s">
        <v>111</v>
      </c>
      <c r="V22" s="6" t="s">
        <v>111</v>
      </c>
      <c r="W22" s="12">
        <f t="shared" si="7"/>
        <v>53.488</v>
      </c>
      <c r="X22" s="12">
        <v>53.588000000000001</v>
      </c>
      <c r="Y22" s="12">
        <v>53.387999999999998</v>
      </c>
      <c r="Z22" s="6" t="s">
        <v>157</v>
      </c>
      <c r="AA22" s="6" t="s">
        <v>112</v>
      </c>
      <c r="AB22" s="8">
        <v>44.3</v>
      </c>
      <c r="AC22" s="6" t="s">
        <v>153</v>
      </c>
      <c r="AD22" s="1" t="s">
        <v>153</v>
      </c>
      <c r="AE22" s="1" t="s">
        <v>153</v>
      </c>
      <c r="AF22" s="8">
        <v>3</v>
      </c>
      <c r="AG22" s="8">
        <v>9</v>
      </c>
      <c r="AH22" s="6" t="s">
        <v>40</v>
      </c>
      <c r="AI22" s="6" t="s">
        <v>41</v>
      </c>
      <c r="AJ22" s="6"/>
      <c r="AK22" s="6"/>
      <c r="AL22" s="6" t="s">
        <v>42</v>
      </c>
      <c r="AM22" s="8">
        <v>10.220000000000001</v>
      </c>
      <c r="AN22" s="6"/>
      <c r="AO22" s="8">
        <v>1.07</v>
      </c>
      <c r="AP22" s="6" t="s">
        <v>43</v>
      </c>
      <c r="AQ22" s="6" t="s">
        <v>131</v>
      </c>
      <c r="AR22" s="6" t="s">
        <v>132</v>
      </c>
      <c r="AS22" s="8">
        <v>323</v>
      </c>
      <c r="AT22" s="6" t="s">
        <v>133</v>
      </c>
      <c r="AU22" s="8">
        <v>321</v>
      </c>
      <c r="AV22" s="8">
        <v>326</v>
      </c>
      <c r="AW22" s="6" t="s">
        <v>134</v>
      </c>
      <c r="AX22" s="6" t="s">
        <v>135</v>
      </c>
      <c r="AY22" s="6" t="s">
        <v>136</v>
      </c>
    </row>
    <row r="23" spans="1:51" x14ac:dyDescent="0.25">
      <c r="A23" s="9" t="s">
        <v>143</v>
      </c>
      <c r="B23" s="9" t="s">
        <v>144</v>
      </c>
      <c r="C23" s="9">
        <v>2001</v>
      </c>
      <c r="D23" s="9" t="str">
        <f t="shared" si="0"/>
        <v>10.1126/science.292.5525.2310</v>
      </c>
      <c r="E23" s="9">
        <f t="shared" si="1"/>
        <v>53433</v>
      </c>
      <c r="F23" s="9">
        <f t="shared" si="2"/>
        <v>100.00000000000142</v>
      </c>
      <c r="G23" s="9">
        <f t="shared" si="3"/>
        <v>100.00000000000142</v>
      </c>
      <c r="H23" s="9">
        <f t="shared" si="4"/>
        <v>342</v>
      </c>
      <c r="I23" s="9">
        <f t="shared" si="5"/>
        <v>4</v>
      </c>
      <c r="J23" s="9">
        <f t="shared" si="6"/>
        <v>3</v>
      </c>
      <c r="K23" s="6" t="s">
        <v>35</v>
      </c>
      <c r="L23" s="7" t="s">
        <v>152</v>
      </c>
      <c r="M23" s="6" t="s">
        <v>154</v>
      </c>
      <c r="N23" s="6" t="s">
        <v>44</v>
      </c>
      <c r="O23" s="6" t="s">
        <v>113</v>
      </c>
      <c r="P23" s="6" t="s">
        <v>36</v>
      </c>
      <c r="Q23" s="6" t="s">
        <v>37</v>
      </c>
      <c r="R23" s="6" t="s">
        <v>38</v>
      </c>
      <c r="S23" s="6" t="s">
        <v>114</v>
      </c>
      <c r="T23" s="6" t="s">
        <v>98</v>
      </c>
      <c r="U23" s="6" t="s">
        <v>115</v>
      </c>
      <c r="V23" s="6" t="s">
        <v>115</v>
      </c>
      <c r="W23" s="12">
        <f t="shared" si="7"/>
        <v>53.433</v>
      </c>
      <c r="X23" s="12">
        <v>53.533000000000001</v>
      </c>
      <c r="Y23" s="12">
        <v>53.332999999999998</v>
      </c>
      <c r="Z23" s="6" t="s">
        <v>157</v>
      </c>
      <c r="AA23" s="6" t="s">
        <v>116</v>
      </c>
      <c r="AB23" s="8">
        <v>44.35</v>
      </c>
      <c r="AC23" s="6" t="s">
        <v>153</v>
      </c>
      <c r="AD23" s="1" t="s">
        <v>153</v>
      </c>
      <c r="AE23" s="1" t="s">
        <v>153</v>
      </c>
      <c r="AF23" s="8">
        <v>3</v>
      </c>
      <c r="AG23" s="8">
        <v>15</v>
      </c>
      <c r="AH23" s="6" t="s">
        <v>40</v>
      </c>
      <c r="AI23" s="6" t="s">
        <v>41</v>
      </c>
      <c r="AJ23" s="6"/>
      <c r="AK23" s="6"/>
      <c r="AL23" s="6" t="s">
        <v>42</v>
      </c>
      <c r="AM23" s="8">
        <v>9.3800000000000008</v>
      </c>
      <c r="AN23" s="6"/>
      <c r="AO23" s="8">
        <v>0.8</v>
      </c>
      <c r="AP23" s="6" t="s">
        <v>43</v>
      </c>
      <c r="AQ23" s="6" t="s">
        <v>131</v>
      </c>
      <c r="AR23" s="6" t="s">
        <v>132</v>
      </c>
      <c r="AS23" s="8">
        <v>342</v>
      </c>
      <c r="AT23" s="6" t="s">
        <v>133</v>
      </c>
      <c r="AU23" s="8">
        <v>339</v>
      </c>
      <c r="AV23" s="8">
        <v>346</v>
      </c>
      <c r="AW23" s="6" t="s">
        <v>134</v>
      </c>
      <c r="AX23" s="6" t="s">
        <v>135</v>
      </c>
      <c r="AY23" s="6" t="s">
        <v>136</v>
      </c>
    </row>
    <row r="24" spans="1:51" x14ac:dyDescent="0.25">
      <c r="A24" s="9" t="s">
        <v>143</v>
      </c>
      <c r="B24" s="9" t="s">
        <v>144</v>
      </c>
      <c r="C24" s="9">
        <v>2001</v>
      </c>
      <c r="D24" s="9" t="str">
        <f t="shared" si="0"/>
        <v>10.1126/science.292.5525.2310</v>
      </c>
      <c r="E24" s="9">
        <f t="shared" si="1"/>
        <v>16500</v>
      </c>
      <c r="F24" s="9">
        <f t="shared" si="2"/>
        <v>1500</v>
      </c>
      <c r="G24" s="9">
        <f t="shared" si="3"/>
        <v>1500</v>
      </c>
      <c r="H24" s="9">
        <f t="shared" si="4"/>
        <v>396</v>
      </c>
      <c r="I24" s="9">
        <f t="shared" si="5"/>
        <v>17</v>
      </c>
      <c r="J24" s="9">
        <f t="shared" si="6"/>
        <v>11</v>
      </c>
      <c r="K24" s="6" t="s">
        <v>35</v>
      </c>
      <c r="L24" s="7" t="s">
        <v>152</v>
      </c>
      <c r="M24" s="6" t="s">
        <v>154</v>
      </c>
      <c r="N24" s="6" t="s">
        <v>44</v>
      </c>
      <c r="O24" s="6" t="s">
        <v>117</v>
      </c>
      <c r="P24" s="6" t="s">
        <v>36</v>
      </c>
      <c r="Q24" s="6" t="s">
        <v>37</v>
      </c>
      <c r="R24" s="6" t="s">
        <v>38</v>
      </c>
      <c r="S24" s="6" t="s">
        <v>118</v>
      </c>
      <c r="T24" s="6" t="s">
        <v>119</v>
      </c>
      <c r="U24" s="6" t="s">
        <v>153</v>
      </c>
      <c r="V24" s="6"/>
      <c r="W24" s="8">
        <v>16.5</v>
      </c>
      <c r="X24" s="8">
        <v>18</v>
      </c>
      <c r="Y24" s="8">
        <v>15</v>
      </c>
      <c r="Z24" s="6" t="s">
        <v>153</v>
      </c>
      <c r="AA24" s="6" t="s">
        <v>120</v>
      </c>
      <c r="AB24" s="8">
        <v>46.52</v>
      </c>
      <c r="AC24" s="8">
        <v>-116.75</v>
      </c>
      <c r="AD24" s="1" t="s">
        <v>153</v>
      </c>
      <c r="AE24" s="1" t="s">
        <v>153</v>
      </c>
      <c r="AF24" s="8">
        <v>3</v>
      </c>
      <c r="AG24" s="8">
        <v>14</v>
      </c>
      <c r="AH24" s="6" t="s">
        <v>40</v>
      </c>
      <c r="AI24" s="6" t="s">
        <v>41</v>
      </c>
      <c r="AJ24" s="6"/>
      <c r="AK24" s="6"/>
      <c r="AL24" s="6" t="s">
        <v>42</v>
      </c>
      <c r="AM24" s="8">
        <v>8.14</v>
      </c>
      <c r="AN24" s="6"/>
      <c r="AO24" s="8">
        <v>0.95</v>
      </c>
      <c r="AP24" s="6" t="s">
        <v>43</v>
      </c>
      <c r="AQ24" s="6" t="s">
        <v>131</v>
      </c>
      <c r="AR24" s="6" t="s">
        <v>132</v>
      </c>
      <c r="AS24" s="8">
        <v>396</v>
      </c>
      <c r="AT24" s="6" t="s">
        <v>133</v>
      </c>
      <c r="AU24" s="8">
        <v>385</v>
      </c>
      <c r="AV24" s="8">
        <v>413</v>
      </c>
      <c r="AW24" s="6" t="s">
        <v>134</v>
      </c>
      <c r="AX24" s="6" t="s">
        <v>135</v>
      </c>
      <c r="AY24" s="6" t="s">
        <v>136</v>
      </c>
    </row>
    <row r="25" spans="1:51" x14ac:dyDescent="0.25">
      <c r="A25" s="9" t="s">
        <v>143</v>
      </c>
      <c r="B25" s="9" t="s">
        <v>144</v>
      </c>
      <c r="C25" s="9">
        <v>2001</v>
      </c>
      <c r="D25" s="9" t="str">
        <f t="shared" si="0"/>
        <v>10.1126/science.292.5525.2310</v>
      </c>
      <c r="E25" s="9">
        <f t="shared" si="1"/>
        <v>15300</v>
      </c>
      <c r="F25" s="9">
        <f t="shared" si="2"/>
        <v>1500</v>
      </c>
      <c r="G25" s="9">
        <f t="shared" si="3"/>
        <v>1500</v>
      </c>
      <c r="H25" s="9">
        <f t="shared" si="4"/>
        <v>310</v>
      </c>
      <c r="I25" s="9">
        <f t="shared" si="5"/>
        <v>3</v>
      </c>
      <c r="J25" s="9">
        <f t="shared" si="6"/>
        <v>3</v>
      </c>
      <c r="K25" s="6" t="s">
        <v>35</v>
      </c>
      <c r="L25" s="7" t="s">
        <v>152</v>
      </c>
      <c r="M25" s="6" t="s">
        <v>154</v>
      </c>
      <c r="N25" s="6" t="s">
        <v>44</v>
      </c>
      <c r="O25" s="6" t="s">
        <v>121</v>
      </c>
      <c r="P25" s="6" t="s">
        <v>122</v>
      </c>
      <c r="Q25" s="6" t="s">
        <v>123</v>
      </c>
      <c r="R25" s="6" t="s">
        <v>124</v>
      </c>
      <c r="S25" s="6" t="s">
        <v>125</v>
      </c>
      <c r="T25" s="6" t="s">
        <v>119</v>
      </c>
      <c r="U25" s="6" t="s">
        <v>153</v>
      </c>
      <c r="V25" s="6"/>
      <c r="W25" s="8">
        <v>15.3</v>
      </c>
      <c r="X25" s="8">
        <v>16.8</v>
      </c>
      <c r="Y25" s="8">
        <v>13.8</v>
      </c>
      <c r="Z25" s="6" t="s">
        <v>153</v>
      </c>
      <c r="AA25" s="6" t="s">
        <v>120</v>
      </c>
      <c r="AB25" s="8">
        <v>46.99</v>
      </c>
      <c r="AC25" s="8">
        <v>-116.27</v>
      </c>
      <c r="AD25" s="1" t="s">
        <v>153</v>
      </c>
      <c r="AE25" s="1" t="s">
        <v>153</v>
      </c>
      <c r="AF25" s="8">
        <v>3</v>
      </c>
      <c r="AG25" s="8">
        <v>6</v>
      </c>
      <c r="AH25" s="6" t="s">
        <v>40</v>
      </c>
      <c r="AI25" s="6" t="s">
        <v>41</v>
      </c>
      <c r="AJ25" s="6"/>
      <c r="AK25" s="6"/>
      <c r="AL25" s="6" t="s">
        <v>42</v>
      </c>
      <c r="AM25" s="8">
        <v>11.59</v>
      </c>
      <c r="AN25" s="6"/>
      <c r="AO25" s="8">
        <v>0.31</v>
      </c>
      <c r="AP25" s="6" t="s">
        <v>126</v>
      </c>
      <c r="AQ25" s="6" t="s">
        <v>131</v>
      </c>
      <c r="AR25" s="6" t="s">
        <v>132</v>
      </c>
      <c r="AS25" s="8">
        <v>310</v>
      </c>
      <c r="AT25" s="6" t="s">
        <v>133</v>
      </c>
      <c r="AU25" s="8">
        <v>307</v>
      </c>
      <c r="AV25" s="8">
        <v>313</v>
      </c>
      <c r="AW25" s="6" t="s">
        <v>134</v>
      </c>
      <c r="AX25" s="6" t="s">
        <v>135</v>
      </c>
      <c r="AY25" s="6" t="s">
        <v>136</v>
      </c>
    </row>
    <row r="26" spans="1:51" x14ac:dyDescent="0.25">
      <c r="A26" s="9" t="s">
        <v>143</v>
      </c>
      <c r="B26" s="9" t="s">
        <v>144</v>
      </c>
      <c r="C26" s="9">
        <v>2001</v>
      </c>
      <c r="D26" s="9" t="str">
        <f t="shared" si="0"/>
        <v>10.1126/science.292.5525.2310</v>
      </c>
      <c r="E26" s="9">
        <f t="shared" si="1"/>
        <v>15300</v>
      </c>
      <c r="F26" s="9">
        <f t="shared" si="2"/>
        <v>1500</v>
      </c>
      <c r="G26" s="9">
        <f t="shared" si="3"/>
        <v>1500</v>
      </c>
      <c r="H26" s="9">
        <f t="shared" si="4"/>
        <v>316</v>
      </c>
      <c r="I26" s="9">
        <f t="shared" si="5"/>
        <v>3</v>
      </c>
      <c r="J26" s="9">
        <f t="shared" si="6"/>
        <v>3</v>
      </c>
      <c r="K26" s="6" t="s">
        <v>35</v>
      </c>
      <c r="L26" s="7" t="s">
        <v>152</v>
      </c>
      <c r="M26" s="6" t="s">
        <v>154</v>
      </c>
      <c r="N26" s="6" t="s">
        <v>44</v>
      </c>
      <c r="O26" s="6" t="s">
        <v>127</v>
      </c>
      <c r="P26" s="6" t="s">
        <v>122</v>
      </c>
      <c r="Q26" s="6" t="s">
        <v>123</v>
      </c>
      <c r="R26" s="6" t="s">
        <v>124</v>
      </c>
      <c r="S26" s="6" t="s">
        <v>128</v>
      </c>
      <c r="T26" s="6" t="s">
        <v>119</v>
      </c>
      <c r="U26" s="6" t="s">
        <v>153</v>
      </c>
      <c r="V26" s="6"/>
      <c r="W26" s="8">
        <v>15.3</v>
      </c>
      <c r="X26" s="8">
        <v>16.8</v>
      </c>
      <c r="Y26" s="8">
        <v>13.8</v>
      </c>
      <c r="Z26" s="6" t="s">
        <v>153</v>
      </c>
      <c r="AA26" s="6" t="s">
        <v>120</v>
      </c>
      <c r="AB26" s="8">
        <v>46.99</v>
      </c>
      <c r="AC26" s="8">
        <v>-116.27</v>
      </c>
      <c r="AD26" s="1" t="s">
        <v>153</v>
      </c>
      <c r="AE26" s="1" t="s">
        <v>153</v>
      </c>
      <c r="AF26" s="8">
        <v>3</v>
      </c>
      <c r="AG26" s="8">
        <v>10</v>
      </c>
      <c r="AH26" s="6" t="s">
        <v>40</v>
      </c>
      <c r="AI26" s="6" t="s">
        <v>41</v>
      </c>
      <c r="AJ26" s="6"/>
      <c r="AK26" s="6"/>
      <c r="AL26" s="6" t="s">
        <v>42</v>
      </c>
      <c r="AM26" s="8">
        <v>10.94</v>
      </c>
      <c r="AN26" s="6"/>
      <c r="AO26" s="8">
        <v>0.33</v>
      </c>
      <c r="AP26" s="6" t="s">
        <v>126</v>
      </c>
      <c r="AQ26" s="6" t="s">
        <v>131</v>
      </c>
      <c r="AR26" s="6" t="s">
        <v>132</v>
      </c>
      <c r="AS26" s="8">
        <v>316</v>
      </c>
      <c r="AT26" s="6" t="s">
        <v>133</v>
      </c>
      <c r="AU26" s="8">
        <v>313</v>
      </c>
      <c r="AV26" s="8">
        <v>319</v>
      </c>
      <c r="AW26" s="6" t="s">
        <v>134</v>
      </c>
      <c r="AX26" s="6" t="s">
        <v>135</v>
      </c>
      <c r="AY26" s="6" t="s">
        <v>136</v>
      </c>
    </row>
    <row r="27" spans="1:51" x14ac:dyDescent="0.25">
      <c r="A27" s="9" t="s">
        <v>143</v>
      </c>
      <c r="B27" s="9" t="s">
        <v>144</v>
      </c>
      <c r="C27" s="9">
        <v>2001</v>
      </c>
      <c r="D27" s="9" t="str">
        <f t="shared" si="0"/>
        <v>10.1126/science.292.5525.2310</v>
      </c>
      <c r="E27" s="9">
        <f t="shared" si="1"/>
        <v>15200</v>
      </c>
      <c r="F27" s="9">
        <f t="shared" si="2"/>
        <v>1500</v>
      </c>
      <c r="G27" s="9">
        <f t="shared" si="3"/>
        <v>1500</v>
      </c>
      <c r="H27" s="9">
        <f t="shared" si="4"/>
        <v>316</v>
      </c>
      <c r="I27" s="9">
        <f t="shared" si="5"/>
        <v>2</v>
      </c>
      <c r="J27" s="9">
        <f t="shared" si="6"/>
        <v>3</v>
      </c>
      <c r="K27" s="6" t="s">
        <v>35</v>
      </c>
      <c r="L27" s="7" t="s">
        <v>152</v>
      </c>
      <c r="M27" s="6" t="s">
        <v>154</v>
      </c>
      <c r="N27" s="6" t="s">
        <v>44</v>
      </c>
      <c r="O27" s="6" t="s">
        <v>129</v>
      </c>
      <c r="P27" s="6" t="s">
        <v>122</v>
      </c>
      <c r="Q27" s="6" t="s">
        <v>123</v>
      </c>
      <c r="R27" s="6" t="s">
        <v>124</v>
      </c>
      <c r="S27" s="6" t="s">
        <v>130</v>
      </c>
      <c r="T27" s="6" t="s">
        <v>119</v>
      </c>
      <c r="U27" s="6" t="s">
        <v>153</v>
      </c>
      <c r="V27" s="6"/>
      <c r="W27" s="8">
        <v>15.2</v>
      </c>
      <c r="X27" s="8">
        <v>16.7</v>
      </c>
      <c r="Y27" s="8">
        <v>13.7</v>
      </c>
      <c r="Z27" s="6" t="s">
        <v>153</v>
      </c>
      <c r="AA27" s="6" t="s">
        <v>120</v>
      </c>
      <c r="AB27" s="8">
        <v>47.03</v>
      </c>
      <c r="AC27" s="8">
        <v>-116.34</v>
      </c>
      <c r="AD27" s="1" t="s">
        <v>153</v>
      </c>
      <c r="AE27" s="1" t="s">
        <v>153</v>
      </c>
      <c r="AF27" s="8">
        <v>3</v>
      </c>
      <c r="AG27" s="8">
        <v>10</v>
      </c>
      <c r="AH27" s="6" t="s">
        <v>40</v>
      </c>
      <c r="AI27" s="6" t="s">
        <v>41</v>
      </c>
      <c r="AJ27" s="6"/>
      <c r="AK27" s="6"/>
      <c r="AL27" s="6" t="s">
        <v>42</v>
      </c>
      <c r="AM27" s="8">
        <v>10.95</v>
      </c>
      <c r="AN27" s="6"/>
      <c r="AO27" s="8">
        <v>0.3</v>
      </c>
      <c r="AP27" s="6" t="s">
        <v>126</v>
      </c>
      <c r="AQ27" s="6" t="s">
        <v>131</v>
      </c>
      <c r="AR27" s="6" t="s">
        <v>132</v>
      </c>
      <c r="AS27" s="8">
        <v>316</v>
      </c>
      <c r="AT27" s="6" t="s">
        <v>133</v>
      </c>
      <c r="AU27" s="8">
        <v>313</v>
      </c>
      <c r="AV27" s="8">
        <v>318</v>
      </c>
      <c r="AW27" s="6" t="s">
        <v>134</v>
      </c>
      <c r="AX27" s="6" t="s">
        <v>135</v>
      </c>
      <c r="AY27" s="6" t="s">
        <v>136</v>
      </c>
    </row>
    <row r="28" spans="1:51" x14ac:dyDescent="0.25">
      <c r="K28" s="2"/>
      <c r="L28" s="2"/>
      <c r="M28" s="2"/>
      <c r="N28" s="2"/>
      <c r="O28" s="2"/>
      <c r="P28" s="2"/>
      <c r="Q28" s="2"/>
      <c r="R28" s="2"/>
      <c r="S28" s="2"/>
      <c r="T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row>
    <row r="29" spans="1:51" x14ac:dyDescent="0.25">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row>
    <row r="30" spans="1:51" x14ac:dyDescent="0.25">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row>
    <row r="31" spans="1:51" x14ac:dyDescent="0.25">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row>
    <row r="32" spans="1:51" x14ac:dyDescent="0.25">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row>
    <row r="33" spans="11:50" x14ac:dyDescent="0.25">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row>
    <row r="34" spans="11:50" x14ac:dyDescent="0.25">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row>
    <row r="35" spans="11:50" x14ac:dyDescent="0.25">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row>
    <row r="36" spans="11:50" x14ac:dyDescent="0.25">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row>
    <row r="37" spans="11:50" x14ac:dyDescent="0.25">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row>
    <row r="38" spans="11:50" x14ac:dyDescent="0.25">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row>
    <row r="39" spans="11:50" x14ac:dyDescent="0.25">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row>
    <row r="40" spans="11:50" x14ac:dyDescent="0.25">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row>
    <row r="41" spans="11:50" x14ac:dyDescent="0.25">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row>
    <row r="42" spans="11:50" x14ac:dyDescent="0.25">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row>
    <row r="43" spans="11:50" x14ac:dyDescent="0.25">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row>
    <row r="44" spans="11:50" x14ac:dyDescent="0.25">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row>
    <row r="45" spans="11:50" x14ac:dyDescent="0.25">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row>
    <row r="46" spans="11:50" x14ac:dyDescent="0.25">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row>
    <row r="47" spans="11:50" x14ac:dyDescent="0.25">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row>
    <row r="48" spans="11:50" x14ac:dyDescent="0.25">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row>
    <row r="49" spans="11:50" x14ac:dyDescent="0.25">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row>
    <row r="50" spans="11:50" x14ac:dyDescent="0.25">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row>
    <row r="51" spans="11:50" x14ac:dyDescent="0.25">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row>
    <row r="52" spans="11:50" x14ac:dyDescent="0.25">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row>
    <row r="53" spans="11:50" x14ac:dyDescent="0.25">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row>
    <row r="54" spans="11:50" x14ac:dyDescent="0.25">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row>
    <row r="55" spans="11:50" x14ac:dyDescent="0.25">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row>
    <row r="56" spans="11:50" x14ac:dyDescent="0.25">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row>
    <row r="57" spans="11:50" x14ac:dyDescent="0.25">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row>
    <row r="58" spans="11:50" x14ac:dyDescent="0.25">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row>
    <row r="59" spans="11:50" x14ac:dyDescent="0.25">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row>
    <row r="60" spans="11:50" x14ac:dyDescent="0.25">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row>
    <row r="61" spans="11:50" x14ac:dyDescent="0.25">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row>
    <row r="62" spans="11:50" x14ac:dyDescent="0.25">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row>
    <row r="63" spans="11:50" x14ac:dyDescent="0.25">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row>
    <row r="64" spans="11:50" x14ac:dyDescent="0.25">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row>
    <row r="65" spans="11:50" x14ac:dyDescent="0.25">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row>
    <row r="66" spans="11:50" x14ac:dyDescent="0.25">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row>
    <row r="67" spans="11:50" x14ac:dyDescent="0.25">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row>
    <row r="68" spans="11:50" x14ac:dyDescent="0.25">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row>
    <row r="69" spans="11:50" x14ac:dyDescent="0.25">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row>
    <row r="70" spans="11:50" x14ac:dyDescent="0.25">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row>
    <row r="71" spans="11:50" x14ac:dyDescent="0.25">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row>
    <row r="72" spans="11:50" x14ac:dyDescent="0.25">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row>
    <row r="73" spans="11:50" x14ac:dyDescent="0.25">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row>
    <row r="74" spans="11:50" x14ac:dyDescent="0.25">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row>
    <row r="75" spans="11:50" x14ac:dyDescent="0.25">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row>
    <row r="76" spans="11:50" x14ac:dyDescent="0.25">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row>
    <row r="77" spans="11:50" x14ac:dyDescent="0.25">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row>
    <row r="78" spans="11:50" x14ac:dyDescent="0.25">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row>
    <row r="79" spans="11:50" x14ac:dyDescent="0.25">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row>
    <row r="80" spans="11:50" x14ac:dyDescent="0.25">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row>
    <row r="81" spans="11:50" x14ac:dyDescent="0.25">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row>
    <row r="82" spans="11:50" x14ac:dyDescent="0.25">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row>
    <row r="83" spans="11:50" x14ac:dyDescent="0.25">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row>
    <row r="84" spans="11:50" x14ac:dyDescent="0.25">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row>
    <row r="85" spans="11:50" x14ac:dyDescent="0.25">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row>
    <row r="86" spans="11:50" x14ac:dyDescent="0.25">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row>
    <row r="87" spans="11:50" x14ac:dyDescent="0.25">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row>
    <row r="88" spans="11:50" x14ac:dyDescent="0.25">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row>
    <row r="89" spans="11:50" x14ac:dyDescent="0.25">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row>
    <row r="90" spans="11:50" x14ac:dyDescent="0.25">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row>
    <row r="91" spans="11:50" x14ac:dyDescent="0.25">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row>
    <row r="92" spans="11:50" x14ac:dyDescent="0.25">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row>
    <row r="93" spans="11:50" x14ac:dyDescent="0.25">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row>
    <row r="94" spans="11:50" x14ac:dyDescent="0.25">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row>
    <row r="95" spans="11:50" x14ac:dyDescent="0.25">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row>
    <row r="96" spans="11:50" x14ac:dyDescent="0.25">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row>
    <row r="97" spans="11:50" x14ac:dyDescent="0.25">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row>
    <row r="98" spans="11:50" x14ac:dyDescent="0.25">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row>
    <row r="99" spans="11:50" x14ac:dyDescent="0.25">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row>
    <row r="100" spans="11:50" x14ac:dyDescent="0.25">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row>
    <row r="101" spans="11:50" x14ac:dyDescent="0.25">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row>
    <row r="102" spans="11:50" x14ac:dyDescent="0.25">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row>
    <row r="103" spans="11:50" x14ac:dyDescent="0.25">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row>
    <row r="104" spans="11:50" x14ac:dyDescent="0.25">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row>
    <row r="105" spans="11:50" x14ac:dyDescent="0.25">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row>
    <row r="106" spans="11:50" x14ac:dyDescent="0.25">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row>
    <row r="107" spans="11:50" x14ac:dyDescent="0.25">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row>
    <row r="108" spans="11:50" x14ac:dyDescent="0.25">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row>
    <row r="109" spans="11:50" x14ac:dyDescent="0.25">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row>
    <row r="110" spans="11:50" x14ac:dyDescent="0.25">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row>
    <row r="111" spans="11:50" x14ac:dyDescent="0.25">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row>
    <row r="112" spans="11:50" x14ac:dyDescent="0.25">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row>
    <row r="113" spans="11:50" x14ac:dyDescent="0.25">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row>
    <row r="114" spans="11:50" x14ac:dyDescent="0.25">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row>
    <row r="115" spans="11:50" x14ac:dyDescent="0.25">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row>
    <row r="116" spans="11:50" x14ac:dyDescent="0.25">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row>
    <row r="117" spans="11:50" x14ac:dyDescent="0.25">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row>
    <row r="118" spans="11:50" x14ac:dyDescent="0.25">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row>
    <row r="119" spans="11:50" x14ac:dyDescent="0.25">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row>
    <row r="120" spans="11:50" x14ac:dyDescent="0.25">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row>
    <row r="121" spans="11:50" x14ac:dyDescent="0.25">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row>
    <row r="122" spans="11:50" x14ac:dyDescent="0.25">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row>
    <row r="123" spans="11:50" x14ac:dyDescent="0.25">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row>
    <row r="124" spans="11:50" x14ac:dyDescent="0.25">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row>
    <row r="125" spans="11:50" x14ac:dyDescent="0.25">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row>
    <row r="126" spans="11:50" x14ac:dyDescent="0.25">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row>
    <row r="127" spans="11:50" x14ac:dyDescent="0.25">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row>
    <row r="128" spans="11:50" x14ac:dyDescent="0.25">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row>
    <row r="129" spans="11:50" x14ac:dyDescent="0.25">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row>
    <row r="130" spans="11:50" x14ac:dyDescent="0.25">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row>
    <row r="131" spans="11:50" x14ac:dyDescent="0.25">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row>
    <row r="132" spans="11:50" x14ac:dyDescent="0.25">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row>
    <row r="133" spans="11:50" x14ac:dyDescent="0.25">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row>
    <row r="134" spans="11:50" x14ac:dyDescent="0.25">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row>
    <row r="135" spans="11:50" x14ac:dyDescent="0.25">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row>
    <row r="136" spans="11:50" x14ac:dyDescent="0.25">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row>
    <row r="137" spans="11:50" x14ac:dyDescent="0.25">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row>
    <row r="138" spans="11:50" x14ac:dyDescent="0.25">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row>
    <row r="139" spans="11:50" x14ac:dyDescent="0.25">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row>
    <row r="140" spans="11:50" x14ac:dyDescent="0.25">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row>
    <row r="141" spans="11:50" x14ac:dyDescent="0.25">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row>
    <row r="142" spans="11:50" x14ac:dyDescent="0.25">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row>
    <row r="143" spans="11:50" x14ac:dyDescent="0.25">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row>
    <row r="144" spans="11:50" x14ac:dyDescent="0.25">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row>
    <row r="145" spans="11:50" x14ac:dyDescent="0.25">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row>
    <row r="146" spans="11:50" x14ac:dyDescent="0.25">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row>
    <row r="147" spans="11:50" x14ac:dyDescent="0.25">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row>
    <row r="148" spans="11:50" x14ac:dyDescent="0.25">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row>
    <row r="149" spans="11:50" x14ac:dyDescent="0.25">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row>
    <row r="150" spans="11:50" x14ac:dyDescent="0.25">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row>
    <row r="151" spans="11:50" x14ac:dyDescent="0.25">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row>
    <row r="152" spans="11:50" x14ac:dyDescent="0.25">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row>
    <row r="153" spans="11:50" x14ac:dyDescent="0.25">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row>
    <row r="154" spans="11:50" x14ac:dyDescent="0.25">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row>
    <row r="155" spans="11:50" x14ac:dyDescent="0.25">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row>
    <row r="156" spans="11:50" x14ac:dyDescent="0.25">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row>
    <row r="157" spans="11:50" x14ac:dyDescent="0.25">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row>
    <row r="158" spans="11:50" x14ac:dyDescent="0.25">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row>
    <row r="159" spans="11:50" x14ac:dyDescent="0.25">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row>
    <row r="160" spans="11:50" x14ac:dyDescent="0.25">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row>
    <row r="161" spans="11:50" x14ac:dyDescent="0.25">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row>
    <row r="162" spans="11:50" x14ac:dyDescent="0.25">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row>
    <row r="163" spans="11:50" x14ac:dyDescent="0.25">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row>
    <row r="164" spans="11:50" x14ac:dyDescent="0.25">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row>
    <row r="165" spans="11:50" x14ac:dyDescent="0.25">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row>
    <row r="166" spans="11:50" x14ac:dyDescent="0.25">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row>
    <row r="167" spans="11:50" x14ac:dyDescent="0.25">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row>
    <row r="168" spans="11:50" x14ac:dyDescent="0.25">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row>
    <row r="169" spans="11:50" x14ac:dyDescent="0.25">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row>
    <row r="170" spans="11:50" x14ac:dyDescent="0.25">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row>
    <row r="171" spans="11:50" x14ac:dyDescent="0.25">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row>
    <row r="172" spans="11:50" x14ac:dyDescent="0.25">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row>
    <row r="173" spans="11:50" x14ac:dyDescent="0.25">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row>
    <row r="174" spans="11:50" x14ac:dyDescent="0.25">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row>
    <row r="175" spans="11:50" x14ac:dyDescent="0.25">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row>
    <row r="176" spans="11:50" x14ac:dyDescent="0.25">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row>
    <row r="177" spans="11:50" x14ac:dyDescent="0.25">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row>
    <row r="178" spans="11:50" x14ac:dyDescent="0.25">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row>
    <row r="179" spans="11:50" x14ac:dyDescent="0.25">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row>
    <row r="180" spans="11:50" x14ac:dyDescent="0.25">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row>
    <row r="181" spans="11:50" x14ac:dyDescent="0.25">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row>
    <row r="182" spans="11:50" x14ac:dyDescent="0.25">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row>
    <row r="183" spans="11:50" x14ac:dyDescent="0.25">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row>
    <row r="184" spans="11:50" x14ac:dyDescent="0.25">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row>
    <row r="185" spans="11:50" x14ac:dyDescent="0.25">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row>
    <row r="186" spans="11:50" x14ac:dyDescent="0.25">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row>
    <row r="187" spans="11:50" x14ac:dyDescent="0.25">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row>
    <row r="188" spans="11:50" x14ac:dyDescent="0.25">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row>
    <row r="189" spans="11:50" x14ac:dyDescent="0.25">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row>
    <row r="190" spans="11:50" x14ac:dyDescent="0.25">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row>
    <row r="191" spans="11:50" x14ac:dyDescent="0.25">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row>
    <row r="192" spans="11:50" x14ac:dyDescent="0.25">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row>
    <row r="193" spans="11:50" x14ac:dyDescent="0.25">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row>
    <row r="194" spans="11:50" x14ac:dyDescent="0.25">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row>
    <row r="195" spans="11:50" x14ac:dyDescent="0.25">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row>
    <row r="196" spans="11:50" x14ac:dyDescent="0.25">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row>
    <row r="197" spans="11:50" x14ac:dyDescent="0.25">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row>
    <row r="198" spans="11:50" x14ac:dyDescent="0.25">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row>
    <row r="199" spans="11:50" x14ac:dyDescent="0.25">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row>
    <row r="200" spans="11:50" x14ac:dyDescent="0.25">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row>
    <row r="201" spans="11:50" x14ac:dyDescent="0.25">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row>
    <row r="202" spans="11:50" x14ac:dyDescent="0.25">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row>
    <row r="203" spans="11:50" x14ac:dyDescent="0.25">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row>
    <row r="204" spans="11:50" x14ac:dyDescent="0.25">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row>
    <row r="205" spans="11:50" x14ac:dyDescent="0.25">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row>
    <row r="206" spans="11:50" x14ac:dyDescent="0.25">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row>
    <row r="207" spans="11:50" x14ac:dyDescent="0.25">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row>
    <row r="208" spans="11:50" x14ac:dyDescent="0.25">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row>
    <row r="209" spans="11:50" x14ac:dyDescent="0.25">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row>
    <row r="210" spans="11:50" x14ac:dyDescent="0.25">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row>
    <row r="211" spans="11:50" x14ac:dyDescent="0.25">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row>
    <row r="212" spans="11:50" x14ac:dyDescent="0.25">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row>
    <row r="213" spans="11:50" x14ac:dyDescent="0.25">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row>
    <row r="214" spans="11:50" x14ac:dyDescent="0.25">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row>
    <row r="215" spans="11:50" x14ac:dyDescent="0.25">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row>
    <row r="216" spans="11:50" x14ac:dyDescent="0.25">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row>
    <row r="217" spans="11:50" x14ac:dyDescent="0.25">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row>
    <row r="218" spans="11:50" x14ac:dyDescent="0.25">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row>
    <row r="219" spans="11:50" x14ac:dyDescent="0.25">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row>
    <row r="220" spans="11:50" x14ac:dyDescent="0.25">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row>
    <row r="221" spans="11:50" x14ac:dyDescent="0.25">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row>
    <row r="222" spans="11:50" x14ac:dyDescent="0.25">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row>
    <row r="223" spans="11:50" x14ac:dyDescent="0.25">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row>
    <row r="224" spans="11:50" x14ac:dyDescent="0.25">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row>
    <row r="225" spans="11:50" x14ac:dyDescent="0.25">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row>
    <row r="226" spans="11:50" x14ac:dyDescent="0.25">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row>
    <row r="227" spans="11:50" x14ac:dyDescent="0.25">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row>
    <row r="228" spans="11:50" x14ac:dyDescent="0.25">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row>
    <row r="229" spans="11:50" x14ac:dyDescent="0.25">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row>
    <row r="230" spans="11:50" x14ac:dyDescent="0.25">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row>
    <row r="231" spans="11:50" x14ac:dyDescent="0.25">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row>
    <row r="232" spans="11:50" x14ac:dyDescent="0.25">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row>
    <row r="233" spans="11:50" x14ac:dyDescent="0.25">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row>
    <row r="234" spans="11:50" x14ac:dyDescent="0.25">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row>
    <row r="235" spans="11:50" x14ac:dyDescent="0.25">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row>
    <row r="236" spans="11:50" x14ac:dyDescent="0.25">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row>
    <row r="237" spans="11:50" x14ac:dyDescent="0.25">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row>
    <row r="238" spans="11:50" x14ac:dyDescent="0.25">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row>
    <row r="239" spans="11:50" x14ac:dyDescent="0.25">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row>
    <row r="240" spans="11:50" x14ac:dyDescent="0.25">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row>
    <row r="241" spans="11:50" x14ac:dyDescent="0.25">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row>
    <row r="242" spans="11:50" x14ac:dyDescent="0.25">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row>
    <row r="243" spans="11:50" x14ac:dyDescent="0.25">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row>
    <row r="244" spans="11:50" x14ac:dyDescent="0.25">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row>
    <row r="245" spans="11:50" x14ac:dyDescent="0.25">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row>
    <row r="246" spans="11:50" x14ac:dyDescent="0.25">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row>
    <row r="247" spans="11:50" x14ac:dyDescent="0.25">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row>
    <row r="248" spans="11:50" x14ac:dyDescent="0.25">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row>
    <row r="249" spans="11:50" x14ac:dyDescent="0.25">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row>
    <row r="250" spans="11:50" x14ac:dyDescent="0.25">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row>
    <row r="251" spans="11:50" x14ac:dyDescent="0.25">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row>
    <row r="252" spans="11:50" x14ac:dyDescent="0.25">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row>
    <row r="253" spans="11:50" x14ac:dyDescent="0.25">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row>
    <row r="254" spans="11:50" x14ac:dyDescent="0.25">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row>
    <row r="255" spans="11:50" x14ac:dyDescent="0.25">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row>
    <row r="256" spans="11:50" x14ac:dyDescent="0.25">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row>
    <row r="257" spans="11:50" x14ac:dyDescent="0.25">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row>
    <row r="258" spans="11:50" x14ac:dyDescent="0.25">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row>
    <row r="259" spans="11:50" x14ac:dyDescent="0.25">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row>
    <row r="260" spans="11:50" x14ac:dyDescent="0.25">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row>
    <row r="261" spans="11:50" x14ac:dyDescent="0.25">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row>
    <row r="262" spans="11:50" x14ac:dyDescent="0.25">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row>
    <row r="263" spans="11:50" x14ac:dyDescent="0.25">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row>
    <row r="264" spans="11:50" x14ac:dyDescent="0.25">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row>
    <row r="265" spans="11:50" x14ac:dyDescent="0.25">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row>
    <row r="266" spans="11:50" x14ac:dyDescent="0.25">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row>
    <row r="267" spans="11:50" x14ac:dyDescent="0.25">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row>
    <row r="268" spans="11:50" x14ac:dyDescent="0.25">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row>
    <row r="269" spans="11:50" x14ac:dyDescent="0.25">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row>
    <row r="270" spans="11:50" x14ac:dyDescent="0.25">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row>
    <row r="271" spans="11:50" x14ac:dyDescent="0.25">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row>
    <row r="272" spans="11:50" x14ac:dyDescent="0.25">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row>
    <row r="273" spans="11:50" x14ac:dyDescent="0.25">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row>
    <row r="274" spans="11:50" x14ac:dyDescent="0.25">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row>
    <row r="275" spans="11:50" x14ac:dyDescent="0.25">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row>
    <row r="276" spans="11:50" x14ac:dyDescent="0.25">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row>
    <row r="277" spans="11:50" x14ac:dyDescent="0.25">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row>
    <row r="278" spans="11:50" x14ac:dyDescent="0.25">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row>
    <row r="279" spans="11:50" x14ac:dyDescent="0.25">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row>
    <row r="280" spans="11:50" x14ac:dyDescent="0.25">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row>
    <row r="281" spans="11:50" x14ac:dyDescent="0.25">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row>
    <row r="282" spans="11:50" x14ac:dyDescent="0.25">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row>
    <row r="283" spans="11:50" x14ac:dyDescent="0.25">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row>
    <row r="284" spans="11:50" x14ac:dyDescent="0.25">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row>
    <row r="285" spans="11:50" x14ac:dyDescent="0.25">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row>
    <row r="286" spans="11:50" x14ac:dyDescent="0.25">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row>
    <row r="287" spans="11:50" x14ac:dyDescent="0.25">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row>
    <row r="288" spans="11:50" x14ac:dyDescent="0.25">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row>
    <row r="289" spans="11:50" x14ac:dyDescent="0.25">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row>
    <row r="290" spans="11:50" x14ac:dyDescent="0.25">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row>
    <row r="291" spans="11:50" x14ac:dyDescent="0.25">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row>
    <row r="292" spans="11:50" x14ac:dyDescent="0.25">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row>
    <row r="293" spans="11:50" x14ac:dyDescent="0.25">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row>
    <row r="294" spans="11:50" x14ac:dyDescent="0.25">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row>
    <row r="295" spans="11:50" x14ac:dyDescent="0.25">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row>
    <row r="296" spans="11:50" x14ac:dyDescent="0.25">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row>
    <row r="297" spans="11:50" x14ac:dyDescent="0.25">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row>
    <row r="298" spans="11:50" x14ac:dyDescent="0.25">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row>
    <row r="299" spans="11:50" x14ac:dyDescent="0.25">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row>
    <row r="300" spans="11:50" x14ac:dyDescent="0.25">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row>
    <row r="301" spans="11:50" x14ac:dyDescent="0.25">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row>
    <row r="302" spans="11:50" x14ac:dyDescent="0.25">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row>
    <row r="303" spans="11:50" x14ac:dyDescent="0.25">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row>
    <row r="304" spans="11:50" x14ac:dyDescent="0.25">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row>
    <row r="305" spans="11:50" x14ac:dyDescent="0.25">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row>
    <row r="306" spans="11:50" x14ac:dyDescent="0.25">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row>
    <row r="307" spans="11:50" x14ac:dyDescent="0.25">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row>
    <row r="308" spans="11:50" x14ac:dyDescent="0.25">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row>
    <row r="309" spans="11:50" x14ac:dyDescent="0.25">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row>
    <row r="310" spans="11:50" x14ac:dyDescent="0.25">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row>
    <row r="311" spans="11:50" x14ac:dyDescent="0.25">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row>
    <row r="312" spans="11:50" x14ac:dyDescent="0.25">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row>
    <row r="313" spans="11:50" x14ac:dyDescent="0.25">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row>
    <row r="314" spans="11:50" x14ac:dyDescent="0.25">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row>
    <row r="315" spans="11:50" x14ac:dyDescent="0.25">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row>
    <row r="316" spans="11:50" x14ac:dyDescent="0.25">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row>
    <row r="317" spans="11:50" x14ac:dyDescent="0.25">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row>
    <row r="318" spans="11:50" x14ac:dyDescent="0.25">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row>
    <row r="319" spans="11:50" x14ac:dyDescent="0.25">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row>
    <row r="320" spans="11:50" x14ac:dyDescent="0.25">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row>
    <row r="321" spans="11:50" x14ac:dyDescent="0.25">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row>
    <row r="322" spans="11:50" x14ac:dyDescent="0.25">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row>
    <row r="323" spans="11:50" x14ac:dyDescent="0.25">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row>
    <row r="324" spans="11:50" x14ac:dyDescent="0.25">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row>
    <row r="325" spans="11:50" x14ac:dyDescent="0.25">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row>
    <row r="326" spans="11:50" x14ac:dyDescent="0.25">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row>
    <row r="327" spans="11:50" x14ac:dyDescent="0.25">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row>
    <row r="328" spans="11:50" x14ac:dyDescent="0.25">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row>
    <row r="329" spans="11:50" x14ac:dyDescent="0.25">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row>
    <row r="330" spans="11:50" x14ac:dyDescent="0.25">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row>
    <row r="331" spans="11:50" x14ac:dyDescent="0.25">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row>
    <row r="332" spans="11:50" x14ac:dyDescent="0.25">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row>
    <row r="333" spans="11:50" x14ac:dyDescent="0.25">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row>
    <row r="334" spans="11:50" x14ac:dyDescent="0.25">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row>
    <row r="335" spans="11:50" x14ac:dyDescent="0.25">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row>
    <row r="336" spans="11:50" x14ac:dyDescent="0.25">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row>
    <row r="337" spans="11:50" x14ac:dyDescent="0.25">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row>
    <row r="338" spans="11:50" x14ac:dyDescent="0.25">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row>
    <row r="339" spans="11:50" x14ac:dyDescent="0.25">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row>
    <row r="340" spans="11:50" x14ac:dyDescent="0.25">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row>
    <row r="341" spans="11:50" x14ac:dyDescent="0.25">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row>
    <row r="342" spans="11:50" x14ac:dyDescent="0.25">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row>
    <row r="343" spans="11:50" x14ac:dyDescent="0.25">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row>
    <row r="344" spans="11:50" x14ac:dyDescent="0.25">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row>
    <row r="345" spans="11:50" x14ac:dyDescent="0.25">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row>
    <row r="346" spans="11:50" x14ac:dyDescent="0.25">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row>
    <row r="347" spans="11:50" x14ac:dyDescent="0.25">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row>
    <row r="348" spans="11:50" x14ac:dyDescent="0.25">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row>
    <row r="349" spans="11:50" x14ac:dyDescent="0.25">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row>
    <row r="350" spans="11:50" x14ac:dyDescent="0.25">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row>
    <row r="351" spans="11:50" x14ac:dyDescent="0.25">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row>
    <row r="352" spans="11:50" x14ac:dyDescent="0.25">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row>
    <row r="353" spans="11:50" x14ac:dyDescent="0.25">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row>
    <row r="354" spans="11:50" x14ac:dyDescent="0.25">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row>
    <row r="355" spans="11:50" x14ac:dyDescent="0.25">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row>
    <row r="356" spans="11:50" x14ac:dyDescent="0.25">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row>
    <row r="357" spans="11:50" x14ac:dyDescent="0.25">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row>
    <row r="358" spans="11:50" x14ac:dyDescent="0.25">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row>
    <row r="359" spans="11:50" x14ac:dyDescent="0.25">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row>
    <row r="360" spans="11:50" x14ac:dyDescent="0.25">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row>
    <row r="361" spans="11:50" x14ac:dyDescent="0.25">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row>
    <row r="362" spans="11:50" x14ac:dyDescent="0.25">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row>
    <row r="363" spans="11:50" x14ac:dyDescent="0.25">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row>
    <row r="364" spans="11:50" x14ac:dyDescent="0.25">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row>
    <row r="365" spans="11:50" x14ac:dyDescent="0.25">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row>
    <row r="366" spans="11:50" x14ac:dyDescent="0.25">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row>
    <row r="367" spans="11:50" x14ac:dyDescent="0.25">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row>
    <row r="368" spans="11:50" x14ac:dyDescent="0.25">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row>
    <row r="369" spans="11:50" x14ac:dyDescent="0.25">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row>
    <row r="370" spans="11:50" x14ac:dyDescent="0.25">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row>
    <row r="371" spans="11:50" x14ac:dyDescent="0.25">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row>
    <row r="372" spans="11:50" x14ac:dyDescent="0.25">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row>
    <row r="373" spans="11:50" x14ac:dyDescent="0.25">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row>
    <row r="374" spans="11:50" x14ac:dyDescent="0.25">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row>
    <row r="375" spans="11:50" x14ac:dyDescent="0.25">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row>
    <row r="376" spans="11:50" x14ac:dyDescent="0.25">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row>
    <row r="377" spans="11:50" x14ac:dyDescent="0.25">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row>
    <row r="378" spans="11:50" x14ac:dyDescent="0.25">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row>
    <row r="379" spans="11:50" x14ac:dyDescent="0.25">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row>
    <row r="380" spans="11:50" x14ac:dyDescent="0.25">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row>
    <row r="381" spans="11:50" x14ac:dyDescent="0.25">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row>
    <row r="382" spans="11:50" x14ac:dyDescent="0.25">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row>
    <row r="383" spans="11:50" x14ac:dyDescent="0.25">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row>
    <row r="384" spans="11:50" x14ac:dyDescent="0.25">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row>
    <row r="385" spans="11:50" x14ac:dyDescent="0.25">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row>
    <row r="386" spans="11:50" x14ac:dyDescent="0.25">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row>
    <row r="387" spans="11:50" x14ac:dyDescent="0.25">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row>
    <row r="388" spans="11:50" x14ac:dyDescent="0.25">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row>
    <row r="389" spans="11:50" x14ac:dyDescent="0.25">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row>
    <row r="390" spans="11:50" x14ac:dyDescent="0.25">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row>
    <row r="391" spans="11:50" x14ac:dyDescent="0.25">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row>
    <row r="392" spans="11:50" x14ac:dyDescent="0.25">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row>
    <row r="393" spans="11:50" x14ac:dyDescent="0.25">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row>
    <row r="394" spans="11:50" x14ac:dyDescent="0.25">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row>
    <row r="395" spans="11:50" x14ac:dyDescent="0.25">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row>
    <row r="396" spans="11:50" x14ac:dyDescent="0.25">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row>
    <row r="397" spans="11:50" x14ac:dyDescent="0.25">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row>
    <row r="398" spans="11:50" x14ac:dyDescent="0.25">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row>
    <row r="399" spans="11:50" x14ac:dyDescent="0.25">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row>
    <row r="400" spans="11:50" x14ac:dyDescent="0.25">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row>
    <row r="401" spans="11:50" x14ac:dyDescent="0.25">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row>
    <row r="402" spans="11:50" x14ac:dyDescent="0.25">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row>
    <row r="403" spans="11:50" x14ac:dyDescent="0.25">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row>
    <row r="404" spans="11:50" x14ac:dyDescent="0.25">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row>
    <row r="405" spans="11:50" x14ac:dyDescent="0.25">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row>
    <row r="406" spans="11:50" x14ac:dyDescent="0.25">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row>
    <row r="407" spans="11:50" x14ac:dyDescent="0.25">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row>
    <row r="408" spans="11:50" x14ac:dyDescent="0.25">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row>
    <row r="409" spans="11:50" x14ac:dyDescent="0.25">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row>
    <row r="410" spans="11:50" x14ac:dyDescent="0.25">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row>
    <row r="411" spans="11:50" x14ac:dyDescent="0.25">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row>
    <row r="412" spans="11:50" x14ac:dyDescent="0.25">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row>
    <row r="413" spans="11:50" x14ac:dyDescent="0.25">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row>
    <row r="414" spans="11:50" x14ac:dyDescent="0.25">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row>
    <row r="415" spans="11:50" x14ac:dyDescent="0.25">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row>
    <row r="416" spans="11:50" x14ac:dyDescent="0.25">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row>
    <row r="417" spans="11:50" x14ac:dyDescent="0.25">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row>
    <row r="418" spans="11:50" x14ac:dyDescent="0.25">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row>
    <row r="419" spans="11:50" x14ac:dyDescent="0.25">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row>
    <row r="420" spans="11:50" x14ac:dyDescent="0.25">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row>
    <row r="421" spans="11:50" x14ac:dyDescent="0.25">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row>
    <row r="422" spans="11:50" x14ac:dyDescent="0.25">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row>
    <row r="423" spans="11:50" x14ac:dyDescent="0.25">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row>
    <row r="424" spans="11:50" x14ac:dyDescent="0.25">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row>
    <row r="425" spans="11:50" x14ac:dyDescent="0.25">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row>
    <row r="426" spans="11:50" x14ac:dyDescent="0.25">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row>
    <row r="427" spans="11:50" x14ac:dyDescent="0.25">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row>
    <row r="428" spans="11:50" x14ac:dyDescent="0.25">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row>
    <row r="429" spans="11:50" x14ac:dyDescent="0.25">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row>
    <row r="430" spans="11:50" x14ac:dyDescent="0.25">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row>
    <row r="431" spans="11:50" x14ac:dyDescent="0.25">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row>
    <row r="432" spans="11:50" x14ac:dyDescent="0.25">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row>
    <row r="433" spans="11:50" x14ac:dyDescent="0.25">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row>
    <row r="434" spans="11:50" x14ac:dyDescent="0.25">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row>
    <row r="435" spans="11:50" x14ac:dyDescent="0.25">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row>
    <row r="436" spans="11:50" x14ac:dyDescent="0.25">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row>
    <row r="437" spans="11:50" x14ac:dyDescent="0.25">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row>
    <row r="438" spans="11:50" x14ac:dyDescent="0.25">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row>
    <row r="439" spans="11:50" x14ac:dyDescent="0.25">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row>
    <row r="440" spans="11:50" x14ac:dyDescent="0.25">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row>
    <row r="441" spans="11:50" x14ac:dyDescent="0.25">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row>
    <row r="442" spans="11:50" x14ac:dyDescent="0.25">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row>
    <row r="443" spans="11:50" x14ac:dyDescent="0.25">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row>
    <row r="444" spans="11:50" x14ac:dyDescent="0.25">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row>
    <row r="445" spans="11:50" x14ac:dyDescent="0.25">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row>
    <row r="446" spans="11:50" x14ac:dyDescent="0.25">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row>
    <row r="447" spans="11:50" x14ac:dyDescent="0.25">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row>
    <row r="448" spans="11:50" x14ac:dyDescent="0.25">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row>
    <row r="449" spans="11:50" x14ac:dyDescent="0.25">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row>
    <row r="450" spans="11:50" x14ac:dyDescent="0.25">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row>
    <row r="451" spans="11:50" x14ac:dyDescent="0.25">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row>
    <row r="452" spans="11:50" x14ac:dyDescent="0.25">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row>
    <row r="453" spans="11:50" x14ac:dyDescent="0.25">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row>
    <row r="454" spans="11:50" x14ac:dyDescent="0.25">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row>
    <row r="455" spans="11:50" x14ac:dyDescent="0.25">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row>
    <row r="456" spans="11:50" x14ac:dyDescent="0.25">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row>
    <row r="457" spans="11:50" x14ac:dyDescent="0.25">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row>
    <row r="458" spans="11:50" x14ac:dyDescent="0.25">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row>
    <row r="459" spans="11:50" x14ac:dyDescent="0.25">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row>
    <row r="460" spans="11:50" x14ac:dyDescent="0.25">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row>
    <row r="461" spans="11:50" x14ac:dyDescent="0.25">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row>
    <row r="462" spans="11:50" x14ac:dyDescent="0.25">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row>
    <row r="463" spans="11:50" x14ac:dyDescent="0.25">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row>
    <row r="464" spans="11:50" x14ac:dyDescent="0.25">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row>
    <row r="465" spans="11:50" x14ac:dyDescent="0.25">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row>
    <row r="466" spans="11:50" x14ac:dyDescent="0.25">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row>
    <row r="467" spans="11:50" x14ac:dyDescent="0.25">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row>
    <row r="468" spans="11:50" x14ac:dyDescent="0.25">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row>
    <row r="469" spans="11:50" x14ac:dyDescent="0.25">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row>
    <row r="470" spans="11:50" x14ac:dyDescent="0.25">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row>
    <row r="471" spans="11:50" x14ac:dyDescent="0.25">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row>
    <row r="472" spans="11:50" x14ac:dyDescent="0.25">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row>
    <row r="473" spans="11:50" x14ac:dyDescent="0.25">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row>
    <row r="474" spans="11:50" x14ac:dyDescent="0.25">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row>
    <row r="475" spans="11:50" x14ac:dyDescent="0.25">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row>
    <row r="476" spans="11:50" x14ac:dyDescent="0.25">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row>
    <row r="477" spans="11:50" x14ac:dyDescent="0.25">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row>
    <row r="478" spans="11:50" x14ac:dyDescent="0.25">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row>
    <row r="479" spans="11:50" x14ac:dyDescent="0.25">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row>
    <row r="480" spans="11:50" x14ac:dyDescent="0.25">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row>
    <row r="481" spans="11:50" x14ac:dyDescent="0.25">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row>
    <row r="482" spans="11:50" x14ac:dyDescent="0.25">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row>
    <row r="483" spans="11:50" x14ac:dyDescent="0.25">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row>
    <row r="484" spans="11:50" x14ac:dyDescent="0.25">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row>
    <row r="485" spans="11:50" x14ac:dyDescent="0.25">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row>
    <row r="486" spans="11:50" x14ac:dyDescent="0.25">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row>
    <row r="487" spans="11:50" x14ac:dyDescent="0.25">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row>
    <row r="488" spans="11:50" x14ac:dyDescent="0.25">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row>
    <row r="489" spans="11:50" x14ac:dyDescent="0.25">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row>
    <row r="490" spans="11:50" x14ac:dyDescent="0.25">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row>
    <row r="491" spans="11:50" x14ac:dyDescent="0.25">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row>
    <row r="492" spans="11:50" x14ac:dyDescent="0.25">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row>
    <row r="493" spans="11:50" x14ac:dyDescent="0.25">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row>
    <row r="494" spans="11:50" x14ac:dyDescent="0.25">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row>
    <row r="495" spans="11:50" x14ac:dyDescent="0.25">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row>
    <row r="496" spans="11:50" x14ac:dyDescent="0.25">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row>
    <row r="497" spans="11:50" x14ac:dyDescent="0.25">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row>
    <row r="498" spans="11:50" x14ac:dyDescent="0.25">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row>
    <row r="499" spans="11:50" x14ac:dyDescent="0.25">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row>
    <row r="500" spans="11:50" x14ac:dyDescent="0.25">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row>
    <row r="501" spans="11:50" x14ac:dyDescent="0.25">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row>
    <row r="502" spans="11:50" x14ac:dyDescent="0.25">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row>
    <row r="503" spans="11:50" x14ac:dyDescent="0.25">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row>
    <row r="504" spans="11:50" x14ac:dyDescent="0.25">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row>
    <row r="505" spans="11:50" x14ac:dyDescent="0.25">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row>
    <row r="506" spans="11:50" x14ac:dyDescent="0.25">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row>
    <row r="507" spans="11:50" x14ac:dyDescent="0.25">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row>
    <row r="508" spans="11:50" x14ac:dyDescent="0.25">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row>
    <row r="509" spans="11:50" x14ac:dyDescent="0.25">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row>
    <row r="510" spans="11:50" x14ac:dyDescent="0.25">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row>
    <row r="511" spans="11:50" x14ac:dyDescent="0.25">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row>
    <row r="512" spans="11:50" x14ac:dyDescent="0.25">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row>
    <row r="513" spans="11:50" x14ac:dyDescent="0.25">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row>
    <row r="514" spans="11:50" x14ac:dyDescent="0.25">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row>
    <row r="515" spans="11:50" x14ac:dyDescent="0.25">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row>
    <row r="516" spans="11:50" x14ac:dyDescent="0.25">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row>
    <row r="517" spans="11:50" x14ac:dyDescent="0.25">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row>
    <row r="518" spans="11:50" x14ac:dyDescent="0.25">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row>
    <row r="519" spans="11:50" x14ac:dyDescent="0.25">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row>
    <row r="520" spans="11:50" x14ac:dyDescent="0.25">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row>
    <row r="521" spans="11:50" x14ac:dyDescent="0.25">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row>
    <row r="522" spans="11:50" x14ac:dyDescent="0.25">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row>
    <row r="523" spans="11:50" x14ac:dyDescent="0.25">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row>
    <row r="524" spans="11:50" x14ac:dyDescent="0.25">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row>
    <row r="525" spans="11:50" x14ac:dyDescent="0.25">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row>
    <row r="526" spans="11:50" x14ac:dyDescent="0.25">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row>
    <row r="527" spans="11:50" x14ac:dyDescent="0.25">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row>
    <row r="528" spans="11:50" x14ac:dyDescent="0.25">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row>
    <row r="529" spans="11:50" x14ac:dyDescent="0.25">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row>
    <row r="530" spans="11:50" x14ac:dyDescent="0.25">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row>
    <row r="531" spans="11:50" x14ac:dyDescent="0.25">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row>
    <row r="532" spans="11:50" x14ac:dyDescent="0.25">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row>
    <row r="533" spans="11:50" x14ac:dyDescent="0.25">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row>
    <row r="534" spans="11:50" x14ac:dyDescent="0.25">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row>
    <row r="535" spans="11:50" x14ac:dyDescent="0.25">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row>
    <row r="536" spans="11:50" x14ac:dyDescent="0.25">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row>
    <row r="537" spans="11:50" x14ac:dyDescent="0.25">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row>
    <row r="538" spans="11:50" x14ac:dyDescent="0.25">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row>
    <row r="539" spans="11:50" x14ac:dyDescent="0.25">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row>
    <row r="540" spans="11:50" x14ac:dyDescent="0.25">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row>
    <row r="541" spans="11:50" x14ac:dyDescent="0.25">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row>
    <row r="542" spans="11:50" x14ac:dyDescent="0.25">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row>
    <row r="543" spans="11:50" x14ac:dyDescent="0.25">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row>
    <row r="544" spans="11:50" x14ac:dyDescent="0.25">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row>
    <row r="545" spans="11:50" x14ac:dyDescent="0.25">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row>
    <row r="546" spans="11:50" x14ac:dyDescent="0.25">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row>
    <row r="547" spans="11:50" x14ac:dyDescent="0.25">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row>
    <row r="548" spans="11:50" x14ac:dyDescent="0.25">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row>
    <row r="549" spans="11:50" x14ac:dyDescent="0.25">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row>
    <row r="550" spans="11:50" x14ac:dyDescent="0.25">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row>
    <row r="551" spans="11:50" x14ac:dyDescent="0.25">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row>
    <row r="552" spans="11:50" x14ac:dyDescent="0.25">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row>
    <row r="553" spans="11:50" x14ac:dyDescent="0.25">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row>
    <row r="554" spans="11:50" x14ac:dyDescent="0.25">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row>
    <row r="555" spans="11:50" x14ac:dyDescent="0.25">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row>
    <row r="556" spans="11:50" x14ac:dyDescent="0.25">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row>
    <row r="557" spans="11:50" x14ac:dyDescent="0.25">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row>
    <row r="558" spans="11:50" x14ac:dyDescent="0.25">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row>
    <row r="559" spans="11:50" x14ac:dyDescent="0.25">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row>
    <row r="560" spans="11:50" x14ac:dyDescent="0.25">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row>
    <row r="561" spans="11:50" x14ac:dyDescent="0.25">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row>
    <row r="562" spans="11:50" x14ac:dyDescent="0.25">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row>
    <row r="563" spans="11:50" x14ac:dyDescent="0.25">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row>
    <row r="564" spans="11:50" x14ac:dyDescent="0.25">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row>
    <row r="565" spans="11:50" x14ac:dyDescent="0.25">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row>
    <row r="566" spans="11:50" x14ac:dyDescent="0.25">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row>
    <row r="567" spans="11:50" x14ac:dyDescent="0.25">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row>
    <row r="568" spans="11:50" x14ac:dyDescent="0.25">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row>
    <row r="569" spans="11:50" x14ac:dyDescent="0.25">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row>
    <row r="570" spans="11:50" x14ac:dyDescent="0.25">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row>
    <row r="571" spans="11:50" x14ac:dyDescent="0.25">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row>
    <row r="572" spans="11:50" x14ac:dyDescent="0.25">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row>
    <row r="573" spans="11:50" x14ac:dyDescent="0.25">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row>
    <row r="574" spans="11:50" x14ac:dyDescent="0.25">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row>
    <row r="575" spans="11:50" x14ac:dyDescent="0.25">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row>
    <row r="576" spans="11:50" x14ac:dyDescent="0.25">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row>
    <row r="577" spans="11:50" x14ac:dyDescent="0.25">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row>
    <row r="578" spans="11:50" x14ac:dyDescent="0.25">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row>
    <row r="579" spans="11:50" x14ac:dyDescent="0.25">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row>
    <row r="580" spans="11:50" x14ac:dyDescent="0.25">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row>
    <row r="581" spans="11:50" x14ac:dyDescent="0.25">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row>
    <row r="582" spans="11:50" x14ac:dyDescent="0.25">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row>
    <row r="583" spans="11:50" x14ac:dyDescent="0.25">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row>
    <row r="584" spans="11:50" x14ac:dyDescent="0.25">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row>
    <row r="585" spans="11:50" x14ac:dyDescent="0.25">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row>
    <row r="586" spans="11:50" x14ac:dyDescent="0.25">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row>
    <row r="587" spans="11:50" x14ac:dyDescent="0.25">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row>
    <row r="588" spans="11:50" x14ac:dyDescent="0.25">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row>
    <row r="589" spans="11:50" x14ac:dyDescent="0.25">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row>
    <row r="590" spans="11:50" x14ac:dyDescent="0.25">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row>
    <row r="591" spans="11:50" x14ac:dyDescent="0.25">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row>
    <row r="592" spans="11:50" x14ac:dyDescent="0.25">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row>
    <row r="593" spans="11:50" x14ac:dyDescent="0.25">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row>
    <row r="594" spans="11:50" x14ac:dyDescent="0.25">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row>
    <row r="595" spans="11:50" x14ac:dyDescent="0.25">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row>
    <row r="596" spans="11:50" x14ac:dyDescent="0.25">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row>
    <row r="597" spans="11:50" x14ac:dyDescent="0.25">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row>
    <row r="598" spans="11:50" x14ac:dyDescent="0.25">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row>
    <row r="599" spans="11:50" x14ac:dyDescent="0.25">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row>
    <row r="600" spans="11:50" x14ac:dyDescent="0.25">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row>
    <row r="601" spans="11:50" x14ac:dyDescent="0.25">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row>
    <row r="602" spans="11:50" x14ac:dyDescent="0.25">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row>
    <row r="603" spans="11:50" x14ac:dyDescent="0.25">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row>
    <row r="604" spans="11:50" x14ac:dyDescent="0.25">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row>
    <row r="605" spans="11:50" x14ac:dyDescent="0.25">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row>
    <row r="606" spans="11:50" x14ac:dyDescent="0.25">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row>
    <row r="607" spans="11:50" x14ac:dyDescent="0.25">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row>
    <row r="608" spans="11:50" x14ac:dyDescent="0.25">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row>
    <row r="609" spans="11:50" x14ac:dyDescent="0.25">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row>
    <row r="610" spans="11:50" x14ac:dyDescent="0.25">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row>
    <row r="611" spans="11:50" x14ac:dyDescent="0.25">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row>
    <row r="612" spans="11:50" x14ac:dyDescent="0.25">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row>
    <row r="613" spans="11:50" x14ac:dyDescent="0.25">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row>
    <row r="614" spans="11:50" x14ac:dyDescent="0.25">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row>
    <row r="615" spans="11:50" x14ac:dyDescent="0.25">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row>
    <row r="616" spans="11:50" x14ac:dyDescent="0.25">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row>
    <row r="617" spans="11:50" x14ac:dyDescent="0.25">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row>
    <row r="618" spans="11:50" x14ac:dyDescent="0.25">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row>
    <row r="619" spans="11:50" x14ac:dyDescent="0.25">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row>
    <row r="620" spans="11:50" x14ac:dyDescent="0.25">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row>
    <row r="621" spans="11:50" x14ac:dyDescent="0.25">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row>
    <row r="622" spans="11:50" x14ac:dyDescent="0.25">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row>
    <row r="623" spans="11:50" x14ac:dyDescent="0.25">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row>
    <row r="624" spans="11:50" x14ac:dyDescent="0.25">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row>
    <row r="625" spans="11:50" x14ac:dyDescent="0.25">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row>
    <row r="626" spans="11:50" x14ac:dyDescent="0.25">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row>
    <row r="627" spans="11:50" x14ac:dyDescent="0.25">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row>
    <row r="628" spans="11:50" x14ac:dyDescent="0.25">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row>
    <row r="629" spans="11:50" x14ac:dyDescent="0.25">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row>
    <row r="630" spans="11:50" x14ac:dyDescent="0.25">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row>
    <row r="631" spans="11:50" x14ac:dyDescent="0.25">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row>
    <row r="632" spans="11:50" x14ac:dyDescent="0.25">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row>
    <row r="633" spans="11:50" x14ac:dyDescent="0.25">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row>
    <row r="634" spans="11:50" x14ac:dyDescent="0.25">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row>
    <row r="635" spans="11:50" x14ac:dyDescent="0.25">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row>
    <row r="636" spans="11:50" x14ac:dyDescent="0.25">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row>
    <row r="637" spans="11:50" x14ac:dyDescent="0.25">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row>
    <row r="638" spans="11:50" x14ac:dyDescent="0.25">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row>
    <row r="639" spans="11:50" x14ac:dyDescent="0.25">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row>
    <row r="640" spans="11:50" x14ac:dyDescent="0.25">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row>
    <row r="641" spans="11:50" x14ac:dyDescent="0.25">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row>
    <row r="642" spans="11:50" x14ac:dyDescent="0.25">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row>
    <row r="643" spans="11:50" x14ac:dyDescent="0.25">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row>
    <row r="644" spans="11:50" x14ac:dyDescent="0.25">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row>
    <row r="645" spans="11:50" x14ac:dyDescent="0.25">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row>
    <row r="646" spans="11:50" x14ac:dyDescent="0.25">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row>
    <row r="647" spans="11:50" x14ac:dyDescent="0.25">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row>
    <row r="648" spans="11:50" x14ac:dyDescent="0.25">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row>
    <row r="649" spans="11:50" x14ac:dyDescent="0.25">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row>
    <row r="650" spans="11:50" x14ac:dyDescent="0.25">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row>
    <row r="651" spans="11:50" x14ac:dyDescent="0.25">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row>
    <row r="652" spans="11:50" x14ac:dyDescent="0.25">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row>
    <row r="653" spans="11:50" x14ac:dyDescent="0.25">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row>
    <row r="654" spans="11:50" x14ac:dyDescent="0.25">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row>
    <row r="655" spans="11:50" x14ac:dyDescent="0.25">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row>
    <row r="656" spans="11:50" x14ac:dyDescent="0.25">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row>
    <row r="657" spans="11:50" x14ac:dyDescent="0.25">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row>
    <row r="658" spans="11:50" x14ac:dyDescent="0.25">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row>
    <row r="659" spans="11:50" x14ac:dyDescent="0.25">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row>
    <row r="660" spans="11:50" x14ac:dyDescent="0.25">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row>
    <row r="661" spans="11:50" x14ac:dyDescent="0.25">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row>
    <row r="662" spans="11:50" x14ac:dyDescent="0.25">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row>
    <row r="663" spans="11:50" x14ac:dyDescent="0.25">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row>
    <row r="664" spans="11:50" x14ac:dyDescent="0.25">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row>
    <row r="665" spans="11:50" x14ac:dyDescent="0.25">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row>
    <row r="666" spans="11:50" x14ac:dyDescent="0.25">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row>
    <row r="667" spans="11:50" x14ac:dyDescent="0.25">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row>
    <row r="668" spans="11:50" x14ac:dyDescent="0.25">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row>
    <row r="669" spans="11:50" x14ac:dyDescent="0.25">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row>
    <row r="670" spans="11:50" x14ac:dyDescent="0.25">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row>
    <row r="671" spans="11:50" x14ac:dyDescent="0.25">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row>
    <row r="672" spans="11:50" x14ac:dyDescent="0.25">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row>
    <row r="673" spans="11:50" x14ac:dyDescent="0.25">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row>
    <row r="674" spans="11:50" x14ac:dyDescent="0.25">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row>
    <row r="675" spans="11:50" x14ac:dyDescent="0.25">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row>
    <row r="676" spans="11:50" x14ac:dyDescent="0.25">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row>
    <row r="677" spans="11:50" x14ac:dyDescent="0.25">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row>
    <row r="678" spans="11:50" x14ac:dyDescent="0.25">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row>
    <row r="679" spans="11:50" x14ac:dyDescent="0.25">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row>
    <row r="680" spans="11:50" x14ac:dyDescent="0.25">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row>
    <row r="681" spans="11:50" x14ac:dyDescent="0.25">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row>
    <row r="682" spans="11:50" x14ac:dyDescent="0.25">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row>
    <row r="683" spans="11:50" x14ac:dyDescent="0.25">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row>
    <row r="684" spans="11:50" x14ac:dyDescent="0.25">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row>
    <row r="685" spans="11:50" x14ac:dyDescent="0.25">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row>
    <row r="686" spans="11:50" x14ac:dyDescent="0.25">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row>
    <row r="687" spans="11:50" x14ac:dyDescent="0.25">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row>
    <row r="688" spans="11:50" x14ac:dyDescent="0.25">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row>
    <row r="689" spans="11:50" x14ac:dyDescent="0.25">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row>
    <row r="690" spans="11:50" x14ac:dyDescent="0.25">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row>
    <row r="691" spans="11:50" x14ac:dyDescent="0.25">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row>
    <row r="692" spans="11:50" x14ac:dyDescent="0.25">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row>
    <row r="693" spans="11:50" x14ac:dyDescent="0.25">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row>
    <row r="694" spans="11:50" x14ac:dyDescent="0.25">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row>
    <row r="695" spans="11:50" x14ac:dyDescent="0.25">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row>
    <row r="696" spans="11:50" x14ac:dyDescent="0.25">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row>
    <row r="697" spans="11:50" x14ac:dyDescent="0.25">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row>
    <row r="698" spans="11:50" x14ac:dyDescent="0.25">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row>
    <row r="699" spans="11:50" x14ac:dyDescent="0.25">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row>
    <row r="700" spans="11:50" x14ac:dyDescent="0.25">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row>
    <row r="701" spans="11:50" x14ac:dyDescent="0.25">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row>
    <row r="702" spans="11:50" x14ac:dyDescent="0.25">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row>
    <row r="703" spans="11:50" x14ac:dyDescent="0.25">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row>
    <row r="704" spans="11:50" x14ac:dyDescent="0.25">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row>
    <row r="705" spans="11:50" x14ac:dyDescent="0.25">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row>
    <row r="706" spans="11:50" x14ac:dyDescent="0.25">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row>
    <row r="707" spans="11:50" x14ac:dyDescent="0.25">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row>
    <row r="708" spans="11:50" x14ac:dyDescent="0.25">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row>
    <row r="709" spans="11:50" x14ac:dyDescent="0.25">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row>
    <row r="710" spans="11:50" x14ac:dyDescent="0.25">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row>
    <row r="711" spans="11:50" x14ac:dyDescent="0.25">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row>
    <row r="712" spans="11:50" x14ac:dyDescent="0.25">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row>
    <row r="713" spans="11:50" x14ac:dyDescent="0.25">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row>
    <row r="714" spans="11:50" x14ac:dyDescent="0.25">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row>
    <row r="715" spans="11:50" x14ac:dyDescent="0.25">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row>
    <row r="716" spans="11:50" x14ac:dyDescent="0.25">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row>
    <row r="717" spans="11:50" x14ac:dyDescent="0.25">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row>
    <row r="718" spans="11:50" x14ac:dyDescent="0.25">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row>
    <row r="719" spans="11:50" x14ac:dyDescent="0.25">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row>
    <row r="720" spans="11:50" x14ac:dyDescent="0.25">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row>
    <row r="721" spans="11:50" x14ac:dyDescent="0.25">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row>
    <row r="722" spans="11:50" x14ac:dyDescent="0.25">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row>
    <row r="723" spans="11:50" x14ac:dyDescent="0.25">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row>
    <row r="724" spans="11:50" x14ac:dyDescent="0.25">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row>
    <row r="725" spans="11:50" x14ac:dyDescent="0.25">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row>
    <row r="726" spans="11:50" x14ac:dyDescent="0.25">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row>
    <row r="727" spans="11:50" x14ac:dyDescent="0.25">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row>
    <row r="728" spans="11:50" x14ac:dyDescent="0.25">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row>
    <row r="729" spans="11:50" x14ac:dyDescent="0.25">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row>
    <row r="730" spans="11:50" x14ac:dyDescent="0.25">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row>
    <row r="731" spans="11:50" x14ac:dyDescent="0.25">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row>
    <row r="732" spans="11:50" x14ac:dyDescent="0.25">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row>
    <row r="733" spans="11:50" x14ac:dyDescent="0.25">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row>
    <row r="734" spans="11:50" x14ac:dyDescent="0.25">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row>
    <row r="735" spans="11:50" x14ac:dyDescent="0.25">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row>
    <row r="736" spans="11:50" x14ac:dyDescent="0.25">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row>
    <row r="737" spans="11:50" x14ac:dyDescent="0.25">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row>
    <row r="738" spans="11:50" x14ac:dyDescent="0.25">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row>
    <row r="739" spans="11:50" x14ac:dyDescent="0.25">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row>
    <row r="740" spans="11:50" x14ac:dyDescent="0.25">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row>
    <row r="741" spans="11:50" x14ac:dyDescent="0.25">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row>
    <row r="742" spans="11:50" x14ac:dyDescent="0.25">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row>
    <row r="743" spans="11:50" x14ac:dyDescent="0.25">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row>
    <row r="744" spans="11:50" x14ac:dyDescent="0.25">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row>
    <row r="745" spans="11:50" x14ac:dyDescent="0.25">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row>
    <row r="746" spans="11:50" x14ac:dyDescent="0.25">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row>
    <row r="747" spans="11:50" x14ac:dyDescent="0.25">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row>
    <row r="748" spans="11:50" x14ac:dyDescent="0.25">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row>
    <row r="749" spans="11:50" x14ac:dyDescent="0.25">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row>
    <row r="750" spans="11:50" x14ac:dyDescent="0.25">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row>
    <row r="751" spans="11:50" x14ac:dyDescent="0.25">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row>
    <row r="752" spans="11:50" x14ac:dyDescent="0.25">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row>
    <row r="753" spans="11:50" x14ac:dyDescent="0.25">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row>
    <row r="754" spans="11:50" x14ac:dyDescent="0.25">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row>
    <row r="755" spans="11:50" x14ac:dyDescent="0.25">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row>
    <row r="756" spans="11:50" x14ac:dyDescent="0.25">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row>
    <row r="757" spans="11:50" x14ac:dyDescent="0.25">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row>
    <row r="758" spans="11:50" x14ac:dyDescent="0.25">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row>
    <row r="759" spans="11:50" x14ac:dyDescent="0.25">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row>
    <row r="760" spans="11:50" x14ac:dyDescent="0.25">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row>
    <row r="761" spans="11:50" x14ac:dyDescent="0.25">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row>
    <row r="762" spans="11:50" x14ac:dyDescent="0.25">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row>
    <row r="763" spans="11:50" x14ac:dyDescent="0.25">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row>
    <row r="764" spans="11:50" x14ac:dyDescent="0.25">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row>
    <row r="765" spans="11:50" x14ac:dyDescent="0.25">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row>
    <row r="766" spans="11:50" x14ac:dyDescent="0.25">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row>
    <row r="767" spans="11:50" x14ac:dyDescent="0.25">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row>
    <row r="768" spans="11:50" x14ac:dyDescent="0.25">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row>
    <row r="769" spans="11:50" x14ac:dyDescent="0.25">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row>
    <row r="770" spans="11:50" x14ac:dyDescent="0.25">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row>
    <row r="771" spans="11:50" x14ac:dyDescent="0.25">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row>
    <row r="772" spans="11:50" x14ac:dyDescent="0.25">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row>
    <row r="773" spans="11:50" x14ac:dyDescent="0.25">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row>
    <row r="774" spans="11:50" x14ac:dyDescent="0.25">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row>
    <row r="775" spans="11:50" x14ac:dyDescent="0.25">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row>
    <row r="776" spans="11:50" x14ac:dyDescent="0.25">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row>
    <row r="777" spans="11:50" x14ac:dyDescent="0.25">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row>
    <row r="778" spans="11:50" x14ac:dyDescent="0.25">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row>
    <row r="779" spans="11:50" x14ac:dyDescent="0.25">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row>
    <row r="780" spans="11:50" x14ac:dyDescent="0.25">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row>
    <row r="781" spans="11:50" x14ac:dyDescent="0.25">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row>
    <row r="782" spans="11:50" x14ac:dyDescent="0.25">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row>
    <row r="783" spans="11:50" x14ac:dyDescent="0.25">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row>
    <row r="784" spans="11:50" x14ac:dyDescent="0.25">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row>
    <row r="785" spans="11:50" x14ac:dyDescent="0.25">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row>
    <row r="786" spans="11:50" x14ac:dyDescent="0.25">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row>
    <row r="787" spans="11:50" x14ac:dyDescent="0.25">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row>
    <row r="788" spans="11:50" x14ac:dyDescent="0.25">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row>
    <row r="789" spans="11:50" x14ac:dyDescent="0.25">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row>
    <row r="790" spans="11:50" x14ac:dyDescent="0.25">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row>
    <row r="791" spans="11:50" x14ac:dyDescent="0.25">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row>
    <row r="792" spans="11:50" x14ac:dyDescent="0.25">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row>
    <row r="793" spans="11:50" x14ac:dyDescent="0.25">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row>
    <row r="794" spans="11:50" x14ac:dyDescent="0.25">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row>
    <row r="795" spans="11:50" x14ac:dyDescent="0.25">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row>
    <row r="796" spans="11:50" x14ac:dyDescent="0.25">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row>
    <row r="797" spans="11:50" x14ac:dyDescent="0.25">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row>
    <row r="798" spans="11:50" x14ac:dyDescent="0.25">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row>
    <row r="799" spans="11:50" x14ac:dyDescent="0.25">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row>
    <row r="800" spans="11:50" x14ac:dyDescent="0.25">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row>
    <row r="801" spans="11:50" x14ac:dyDescent="0.25">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row>
    <row r="802" spans="11:50" x14ac:dyDescent="0.25">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row>
    <row r="803" spans="11:50" x14ac:dyDescent="0.25">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row>
    <row r="804" spans="11:50" x14ac:dyDescent="0.25">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row>
    <row r="805" spans="11:50" x14ac:dyDescent="0.25">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row>
    <row r="806" spans="11:50" x14ac:dyDescent="0.25">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row>
    <row r="807" spans="11:50" x14ac:dyDescent="0.25">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row>
    <row r="808" spans="11:50" x14ac:dyDescent="0.25">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row>
    <row r="809" spans="11:50" x14ac:dyDescent="0.25">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row>
    <row r="810" spans="11:50" x14ac:dyDescent="0.25">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row>
    <row r="811" spans="11:50" x14ac:dyDescent="0.25">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row>
    <row r="812" spans="11:50" x14ac:dyDescent="0.25">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row>
    <row r="813" spans="11:50" x14ac:dyDescent="0.25">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row>
    <row r="814" spans="11:50" x14ac:dyDescent="0.25">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row>
    <row r="815" spans="11:50" x14ac:dyDescent="0.25">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row>
    <row r="816" spans="11:50" x14ac:dyDescent="0.25">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row>
    <row r="817" spans="11:50" x14ac:dyDescent="0.25">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row>
    <row r="818" spans="11:50" x14ac:dyDescent="0.25">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row>
    <row r="819" spans="11:50" x14ac:dyDescent="0.25">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row>
    <row r="820" spans="11:50" x14ac:dyDescent="0.25">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row>
    <row r="821" spans="11:50" x14ac:dyDescent="0.25">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row>
    <row r="822" spans="11:50" x14ac:dyDescent="0.25">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row>
    <row r="823" spans="11:50" x14ac:dyDescent="0.25">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row>
    <row r="824" spans="11:50" x14ac:dyDescent="0.25">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row>
    <row r="825" spans="11:50" x14ac:dyDescent="0.25">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row>
    <row r="826" spans="11:50" x14ac:dyDescent="0.25">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row>
    <row r="827" spans="11:50" x14ac:dyDescent="0.25">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row>
    <row r="828" spans="11:50" x14ac:dyDescent="0.25">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row>
    <row r="829" spans="11:50" x14ac:dyDescent="0.25">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row>
    <row r="830" spans="11:50" x14ac:dyDescent="0.25">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row>
    <row r="831" spans="11:50" x14ac:dyDescent="0.25">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row>
    <row r="832" spans="11:50" x14ac:dyDescent="0.25">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row>
    <row r="833" spans="11:50" x14ac:dyDescent="0.25">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row>
    <row r="834" spans="11:50" x14ac:dyDescent="0.25">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row>
    <row r="835" spans="11:50" x14ac:dyDescent="0.25">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row>
    <row r="836" spans="11:50" x14ac:dyDescent="0.25">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row>
    <row r="837" spans="11:50" x14ac:dyDescent="0.25">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row>
    <row r="838" spans="11:50" x14ac:dyDescent="0.25">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row>
    <row r="839" spans="11:50" x14ac:dyDescent="0.25">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row>
    <row r="840" spans="11:50" x14ac:dyDescent="0.25">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row>
    <row r="841" spans="11:50" x14ac:dyDescent="0.25">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row>
    <row r="842" spans="11:50" x14ac:dyDescent="0.25">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row>
    <row r="843" spans="11:50" x14ac:dyDescent="0.25">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row>
    <row r="844" spans="11:50" x14ac:dyDescent="0.25">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row>
    <row r="845" spans="11:50" x14ac:dyDescent="0.25">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row>
    <row r="846" spans="11:50" x14ac:dyDescent="0.25">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row>
    <row r="847" spans="11:50" x14ac:dyDescent="0.25">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row>
    <row r="848" spans="11:50" x14ac:dyDescent="0.25">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row>
    <row r="849" spans="11:50" x14ac:dyDescent="0.25">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row>
    <row r="850" spans="11:50" x14ac:dyDescent="0.25">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row>
    <row r="851" spans="11:50" x14ac:dyDescent="0.25">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row>
    <row r="852" spans="11:50" x14ac:dyDescent="0.25">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row>
    <row r="853" spans="11:50" x14ac:dyDescent="0.25">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row>
    <row r="854" spans="11:50" x14ac:dyDescent="0.25">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row>
    <row r="855" spans="11:50" x14ac:dyDescent="0.25">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row>
    <row r="856" spans="11:50" x14ac:dyDescent="0.25">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row>
    <row r="857" spans="11:50" x14ac:dyDescent="0.25">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row>
    <row r="858" spans="11:50" x14ac:dyDescent="0.25">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row>
    <row r="859" spans="11:50" x14ac:dyDescent="0.25">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row>
    <row r="860" spans="11:50" x14ac:dyDescent="0.25">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row>
    <row r="861" spans="11:50" x14ac:dyDescent="0.25">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row>
    <row r="862" spans="11:50" x14ac:dyDescent="0.25">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row>
    <row r="863" spans="11:50" x14ac:dyDescent="0.25">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row>
    <row r="864" spans="11:50" x14ac:dyDescent="0.25">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row>
    <row r="865" spans="11:50" x14ac:dyDescent="0.25">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row>
    <row r="866" spans="11:50" x14ac:dyDescent="0.25">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row>
    <row r="867" spans="11:50" x14ac:dyDescent="0.25">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row>
    <row r="868" spans="11:50" x14ac:dyDescent="0.25">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row>
    <row r="869" spans="11:50" x14ac:dyDescent="0.25">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row>
    <row r="870" spans="11:50" x14ac:dyDescent="0.25">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row>
    <row r="871" spans="11:50" x14ac:dyDescent="0.25">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row>
    <row r="872" spans="11:50" x14ac:dyDescent="0.25">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row>
    <row r="873" spans="11:50" x14ac:dyDescent="0.25">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row>
    <row r="874" spans="11:50" x14ac:dyDescent="0.25">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row>
    <row r="875" spans="11:50" x14ac:dyDescent="0.25">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row>
    <row r="876" spans="11:50" x14ac:dyDescent="0.25">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row>
    <row r="877" spans="11:50" x14ac:dyDescent="0.25">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row>
    <row r="878" spans="11:50" x14ac:dyDescent="0.25">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row>
    <row r="879" spans="11:50" x14ac:dyDescent="0.25">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row>
    <row r="880" spans="11:50" x14ac:dyDescent="0.25">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row>
    <row r="881" spans="11:50" x14ac:dyDescent="0.25">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row>
    <row r="882" spans="11:50" x14ac:dyDescent="0.25">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row>
    <row r="883" spans="11:50" x14ac:dyDescent="0.25">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row>
    <row r="884" spans="11:50" x14ac:dyDescent="0.25">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row>
    <row r="885" spans="11:50" x14ac:dyDescent="0.25">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row>
    <row r="886" spans="11:50" x14ac:dyDescent="0.25">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row>
    <row r="887" spans="11:50" x14ac:dyDescent="0.25">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row>
    <row r="888" spans="11:50" x14ac:dyDescent="0.25">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row>
    <row r="889" spans="11:50" x14ac:dyDescent="0.25">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row>
    <row r="890" spans="11:50" x14ac:dyDescent="0.25">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row>
    <row r="891" spans="11:50" x14ac:dyDescent="0.25">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row>
    <row r="892" spans="11:50" x14ac:dyDescent="0.25">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row>
    <row r="893" spans="11:50" x14ac:dyDescent="0.25">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row>
    <row r="894" spans="11:50" x14ac:dyDescent="0.25">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row>
    <row r="895" spans="11:50" x14ac:dyDescent="0.25">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row>
    <row r="896" spans="11:50" x14ac:dyDescent="0.25">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row>
    <row r="897" spans="11:50" x14ac:dyDescent="0.25">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row>
    <row r="898" spans="11:50" x14ac:dyDescent="0.25">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row>
    <row r="899" spans="11:50" x14ac:dyDescent="0.25">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row>
    <row r="900" spans="11:50" x14ac:dyDescent="0.25">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row>
    <row r="901" spans="11:50" x14ac:dyDescent="0.25">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row>
    <row r="902" spans="11:50" x14ac:dyDescent="0.25">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row>
    <row r="903" spans="11:50" x14ac:dyDescent="0.25">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row>
    <row r="904" spans="11:50" x14ac:dyDescent="0.25">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row>
    <row r="905" spans="11:50" x14ac:dyDescent="0.25">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row>
    <row r="906" spans="11:50" x14ac:dyDescent="0.25">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row>
    <row r="907" spans="11:50" x14ac:dyDescent="0.25">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row>
    <row r="908" spans="11:50" x14ac:dyDescent="0.25">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row>
    <row r="909" spans="11:50" x14ac:dyDescent="0.25">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row>
    <row r="910" spans="11:50" x14ac:dyDescent="0.25">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row>
    <row r="911" spans="11:50" x14ac:dyDescent="0.25">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row>
    <row r="912" spans="11:50" x14ac:dyDescent="0.25">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row>
    <row r="913" spans="11:50" x14ac:dyDescent="0.25">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row>
    <row r="914" spans="11:50" x14ac:dyDescent="0.25">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row>
    <row r="915" spans="11:50" x14ac:dyDescent="0.25">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row>
    <row r="916" spans="11:50" x14ac:dyDescent="0.25">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row>
    <row r="917" spans="11:50" x14ac:dyDescent="0.25">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row>
    <row r="918" spans="11:50" x14ac:dyDescent="0.25">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row>
    <row r="919" spans="11:50" x14ac:dyDescent="0.25">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row>
    <row r="920" spans="11:50" x14ac:dyDescent="0.25">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row>
    <row r="921" spans="11:50" x14ac:dyDescent="0.25">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row>
    <row r="922" spans="11:50" x14ac:dyDescent="0.25">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row>
    <row r="923" spans="11:50" x14ac:dyDescent="0.25">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row>
    <row r="924" spans="11:50" x14ac:dyDescent="0.25">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row>
    <row r="925" spans="11:50" x14ac:dyDescent="0.25">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row>
    <row r="926" spans="11:50" x14ac:dyDescent="0.25">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row>
    <row r="927" spans="11:50" x14ac:dyDescent="0.25">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row>
    <row r="928" spans="11:50" x14ac:dyDescent="0.25">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row>
    <row r="929" spans="11:50" x14ac:dyDescent="0.25">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row>
    <row r="930" spans="11:50" x14ac:dyDescent="0.25">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row>
    <row r="931" spans="11:50" x14ac:dyDescent="0.25">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row>
    <row r="932" spans="11:50" x14ac:dyDescent="0.25">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row>
    <row r="933" spans="11:50" x14ac:dyDescent="0.25">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row>
    <row r="934" spans="11:50" x14ac:dyDescent="0.25">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row>
    <row r="935" spans="11:50" x14ac:dyDescent="0.25">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row>
    <row r="936" spans="11:50" x14ac:dyDescent="0.25">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row>
    <row r="937" spans="11:50" x14ac:dyDescent="0.25">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row>
    <row r="938" spans="11:50" x14ac:dyDescent="0.25">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row>
    <row r="939" spans="11:50" x14ac:dyDescent="0.25">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row>
    <row r="940" spans="11:50" x14ac:dyDescent="0.25">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row>
    <row r="941" spans="11:50" x14ac:dyDescent="0.25">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row>
    <row r="942" spans="11:50" x14ac:dyDescent="0.25">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row>
    <row r="943" spans="11:50" x14ac:dyDescent="0.25">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row>
    <row r="944" spans="11:50" x14ac:dyDescent="0.25">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row>
    <row r="945" spans="11:50" x14ac:dyDescent="0.25">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row>
    <row r="946" spans="11:50" x14ac:dyDescent="0.25">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row>
    <row r="947" spans="11:50" x14ac:dyDescent="0.25">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row>
    <row r="948" spans="11:50" x14ac:dyDescent="0.25">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row>
    <row r="949" spans="11:50" x14ac:dyDescent="0.25">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row>
    <row r="950" spans="11:50" x14ac:dyDescent="0.25">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row>
    <row r="951" spans="11:50" x14ac:dyDescent="0.25">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row>
    <row r="952" spans="11:50" x14ac:dyDescent="0.25">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row>
    <row r="953" spans="11:50" x14ac:dyDescent="0.25">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row>
    <row r="954" spans="11:50" x14ac:dyDescent="0.25">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row>
    <row r="955" spans="11:50" x14ac:dyDescent="0.25">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row>
    <row r="956" spans="11:50" x14ac:dyDescent="0.25">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row>
    <row r="957" spans="11:50" x14ac:dyDescent="0.25">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row>
    <row r="958" spans="11:50" x14ac:dyDescent="0.25">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row>
    <row r="959" spans="11:50" x14ac:dyDescent="0.25">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row>
    <row r="960" spans="11:50" x14ac:dyDescent="0.25">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row>
    <row r="961" spans="11:50" x14ac:dyDescent="0.25">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row>
    <row r="962" spans="11:50" x14ac:dyDescent="0.25">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row>
    <row r="963" spans="11:50" x14ac:dyDescent="0.25">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row>
    <row r="964" spans="11:50" x14ac:dyDescent="0.25">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row>
    <row r="965" spans="11:50" x14ac:dyDescent="0.25">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row>
    <row r="966" spans="11:50" x14ac:dyDescent="0.25">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row>
    <row r="967" spans="11:50" x14ac:dyDescent="0.25">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row>
    <row r="968" spans="11:50" x14ac:dyDescent="0.25">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row>
    <row r="969" spans="11:50" x14ac:dyDescent="0.25">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Royer, Dana</cp:lastModifiedBy>
  <dcterms:created xsi:type="dcterms:W3CDTF">2017-12-08T17:21:04Z</dcterms:created>
  <dcterms:modified xsi:type="dcterms:W3CDTF">2020-12-08T21:59:18Z</dcterms:modified>
</cp:coreProperties>
</file>