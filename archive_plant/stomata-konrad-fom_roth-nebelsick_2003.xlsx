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15"/>
  <workbookPr/>
  <mc:AlternateContent xmlns:mc="http://schemas.openxmlformats.org/markup-compatibility/2006">
    <mc:Choice Requires="x15">
      <x15ac:absPath xmlns:x15ac="http://schemas.microsoft.com/office/spreadsheetml/2010/11/ac" url="/Users/Claudia/Paleo_Proxies/Templates_Status/Mar_2026/For J. Morton to check (Plant)/"/>
    </mc:Choice>
  </mc:AlternateContent>
  <xr:revisionPtr revIDLastSave="0" documentId="13_ncr:1_{B5431F77-F77E-314A-B2F3-FBF50F4092BD}" xr6:coauthVersionLast="47" xr6:coauthVersionMax="47" xr10:uidLastSave="{00000000-0000-0000-0000-000000000000}"/>
  <bookViews>
    <workbookView xWindow="140" yWindow="660" windowWidth="18960" windowHeight="20800" tabRatio="500" xr2:uid="{00000000-000D-0000-FFFF-FFFF00000000}"/>
  </bookViews>
  <sheets>
    <sheet name="leaf gas-exchange_FOM" sheetId="1" r:id="rId1"/>
    <sheet name="age data" sheetId="3" r:id="rId2"/>
    <sheet name="Specifications and References" sheetId="2" r:id="rId3"/>
    <sheet name="vocab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X6" i="1" l="1"/>
  <c r="BX5" i="1"/>
  <c r="BX4" i="1"/>
  <c r="AX6" i="1"/>
  <c r="AX5" i="1"/>
  <c r="AX4" i="1"/>
  <c r="T5" i="1" l="1"/>
  <c r="T6" i="1"/>
  <c r="T4" i="1"/>
  <c r="D6" i="1"/>
  <c r="D5" i="1"/>
  <c r="D4" i="1"/>
  <c r="E5" i="1" l="1"/>
  <c r="F5" i="1"/>
  <c r="G5" i="1"/>
  <c r="H5" i="1"/>
  <c r="E6" i="1"/>
  <c r="F6" i="1"/>
  <c r="G6" i="1"/>
  <c r="H6" i="1"/>
  <c r="H4" i="1"/>
  <c r="G4" i="1"/>
  <c r="F4" i="1"/>
  <c r="E4" i="1"/>
</calcChain>
</file>

<file path=xl/sharedStrings.xml><?xml version="1.0" encoding="utf-8"?>
<sst xmlns="http://schemas.openxmlformats.org/spreadsheetml/2006/main" count="542" uniqueCount="338">
  <si>
    <t>this spreadsheet is devised for the full optimality approach for stomatal conductance (FOM), see references below</t>
  </si>
  <si>
    <r>
      <rPr>
        <vertAlign val="superscript"/>
        <sz val="12"/>
        <color theme="1"/>
        <rFont val="Calibri"/>
        <family val="2"/>
        <scheme val="minor"/>
      </rPr>
      <t>a</t>
    </r>
    <r>
      <rPr>
        <sz val="12"/>
        <color theme="1"/>
        <rFont val="Calibri"/>
        <family val="2"/>
        <scheme val="minor"/>
      </rPr>
      <t xml:space="preserve"> Sample unit is a single leaf</t>
    </r>
  </si>
  <si>
    <r>
      <rPr>
        <vertAlign val="superscript"/>
        <sz val="12"/>
        <color theme="1"/>
        <rFont val="Calibri"/>
        <family val="2"/>
        <scheme val="minor"/>
      </rPr>
      <t>b</t>
    </r>
    <r>
      <rPr>
        <sz val="12"/>
        <color theme="1"/>
        <rFont val="Calibri"/>
        <family val="2"/>
        <scheme val="minor"/>
      </rPr>
      <t xml:space="preserve"> data to be obtained from extant relative species</t>
    </r>
  </si>
  <si>
    <t>References</t>
  </si>
  <si>
    <t>Konrad, W; Roth-Nebelsick, A; Grein, M; 2008, Modelling of stomatal density response to atmospheric CO2,Journal of Theoretical Biology,253,4,638-658</t>
  </si>
  <si>
    <t>Grein, M; Konrad, W; Wilde, V; Utescher, T; Roth-Nebelsick, A; 2011,  Reconstruction of atmospheric CO 2 during the early middle Eocene by application of a gas exchange model to fossil plants from the Messel Formation, Germany, Palaeogeography, Palaeoclimatology, Palaeoecology,309,3,383-391</t>
  </si>
  <si>
    <t>REFERENCE AND CONTACT INFORMATION</t>
  </si>
  <si>
    <t>SAMPLE IDENTIFICATION</t>
  </si>
  <si>
    <t>AGE CONSTRAINTS</t>
  </si>
  <si>
    <t>TAXONOMIC INFORMATION</t>
  </si>
  <si>
    <t>COUNTING</t>
  </si>
  <si>
    <t>STOMATAL AND OTHER ANATOMICAL DATA</t>
  </si>
  <si>
    <t>d13C DATA</t>
  </si>
  <si>
    <t>BIOCHEMICAL DATA FROM EXTANT RELATIVE SPECIES</t>
  </si>
  <si>
    <t>PALEOCLIMATE INPUT DATA</t>
  </si>
  <si>
    <t>RESULTS</t>
  </si>
  <si>
    <t>Name of individual entering the data</t>
  </si>
  <si>
    <t>Contact email</t>
  </si>
  <si>
    <t>Reference of the data product</t>
  </si>
  <si>
    <t>DOI link to reference</t>
  </si>
  <si>
    <t>Sample
Repository</t>
  </si>
  <si>
    <t>Location</t>
  </si>
  <si>
    <t>Geologic
Formation</t>
  </si>
  <si>
    <t>Stratigraphic level</t>
  </si>
  <si>
    <t>Age (Ma)</t>
  </si>
  <si>
    <t>Age uncertainty, old (Ma)</t>
  </si>
  <si>
    <t>Age uncertainty, young (Ma)</t>
  </si>
  <si>
    <t>Age scale (GTS20XX)</t>
  </si>
  <si>
    <t>How was age determined?</t>
  </si>
  <si>
    <t>Family</t>
  </si>
  <si>
    <t>Genus</t>
  </si>
  <si>
    <t>Species</t>
  </si>
  <si>
    <t>Counting Method
(Image, microscope)</t>
  </si>
  <si>
    <t>Counting box dimensions
(µm × µm)</t>
  </si>
  <si>
    <r>
      <t>Number of counts</t>
    </r>
    <r>
      <rPr>
        <vertAlign val="superscript"/>
        <sz val="11"/>
        <rFont val="Calibri"/>
        <family val="2"/>
        <scheme val="minor"/>
      </rPr>
      <t>a</t>
    </r>
  </si>
  <si>
    <r>
      <t>2</t>
    </r>
    <r>
      <rPr>
        <sz val="11"/>
        <color rgb="FF000000"/>
        <rFont val="Symbol"/>
        <family val="1"/>
        <charset val="2"/>
      </rPr>
      <t xml:space="preserve">s </t>
    </r>
    <r>
      <rPr>
        <sz val="11"/>
        <color rgb="FF000000"/>
        <rFont val="Calibri"/>
        <family val="2"/>
        <scheme val="minor"/>
      </rPr>
      <t>uncertainty</t>
    </r>
  </si>
  <si>
    <t>Stomatal pore length SL [µm]</t>
  </si>
  <si>
    <t>Stomatal pore depth  [µm] (derived from guard cell width)</t>
  </si>
  <si>
    <t>Maximum aperture width [µm] derived from pore length/2</t>
  </si>
  <si>
    <r>
      <t>Thickness of assimilating tissue  [µm] own measurements or estimation from literature</t>
    </r>
    <r>
      <rPr>
        <vertAlign val="superscript"/>
        <sz val="11"/>
        <color rgb="FF000000"/>
        <rFont val="Calibri"/>
        <family val="2"/>
        <scheme val="minor"/>
      </rPr>
      <t>b</t>
    </r>
  </si>
  <si>
    <r>
      <t>if own measurements: 2</t>
    </r>
    <r>
      <rPr>
        <sz val="11"/>
        <color rgb="FF000000"/>
        <rFont val="Symbol"/>
        <family val="1"/>
        <charset val="2"/>
      </rPr>
      <t xml:space="preserve">s </t>
    </r>
    <r>
      <rPr>
        <sz val="11"/>
        <color rgb="FF000000"/>
        <rFont val="Calibri"/>
        <family val="2"/>
        <scheme val="minor"/>
      </rPr>
      <t>uncertainty</t>
    </r>
  </si>
  <si>
    <t>Reference for thickness of assimilating tissue</t>
  </si>
  <si>
    <r>
      <t>Porosity of leaf tissue</t>
    </r>
    <r>
      <rPr>
        <vertAlign val="superscript"/>
        <sz val="11"/>
        <color rgb="FF000000"/>
        <rFont val="Calibri"/>
        <family val="2"/>
        <scheme val="minor"/>
      </rPr>
      <t xml:space="preserve">b </t>
    </r>
    <r>
      <rPr>
        <sz val="11"/>
        <color rgb="FF000000"/>
        <rFont val="Calibri"/>
        <family val="2"/>
        <scheme val="minor"/>
      </rPr>
      <t>[-]</t>
    </r>
  </si>
  <si>
    <t>Reference for porosity of leaf tissue</t>
  </si>
  <si>
    <r>
      <t>Tortuosity of leaf tissue</t>
    </r>
    <r>
      <rPr>
        <vertAlign val="superscript"/>
        <sz val="11"/>
        <color rgb="FF000000"/>
        <rFont val="Calibri"/>
        <family val="2"/>
        <scheme val="minor"/>
      </rPr>
      <t xml:space="preserve">b </t>
    </r>
    <r>
      <rPr>
        <sz val="11"/>
        <color rgb="FF000000"/>
        <rFont val="Calibri"/>
        <family val="2"/>
        <scheme val="minor"/>
      </rPr>
      <t>[-]</t>
    </r>
  </si>
  <si>
    <t>Reference for tortuosity of leaf tissue</t>
  </si>
  <si>
    <t>Leaf length estimated [mm]</t>
  </si>
  <si>
    <r>
      <t>Mean q (=Vcmax) [µmol*m-2*s-1] range of values as derived from literature</t>
    </r>
    <r>
      <rPr>
        <vertAlign val="superscript"/>
        <sz val="11"/>
        <color rgb="FF000000"/>
        <rFont val="Calibri"/>
        <family val="2"/>
        <scheme val="minor"/>
      </rPr>
      <t>b</t>
    </r>
  </si>
  <si>
    <t>Min q (=Vcmax) [µmol*m-2*s-1]</t>
  </si>
  <si>
    <t>Max q (=Vcmax) [µmol*m-2*s-1]</t>
  </si>
  <si>
    <t>References for q</t>
  </si>
  <si>
    <t>Reference for Rd25</t>
  </si>
  <si>
    <t>Paleoclimate reconstruction used for estimating air temperature range during vegetation period</t>
  </si>
  <si>
    <t>Reference for method for estimating air temperature range during vegetation period</t>
  </si>
  <si>
    <t>Mean T of vegetation period [°C] range of values as derived from paleoclimate reconstruction</t>
  </si>
  <si>
    <t>Min T of vegetation period [°C]</t>
  </si>
  <si>
    <t>Max T of vegetation period [°C]</t>
  </si>
  <si>
    <t>Paleoclimate reconstruction used for estimating  relative humidity during vegetation period</t>
  </si>
  <si>
    <t>Reference for relative humidity</t>
  </si>
  <si>
    <t>Mean relative humidity of vegetation period [%]</t>
  </si>
  <si>
    <t>Min relative humidity of vegetation period  [%]</t>
  </si>
  <si>
    <t>Max relative humidity of vegetation period [%]</t>
  </si>
  <si>
    <t>Wind speed [m/s] Estimation</t>
  </si>
  <si>
    <t>O2 of air [ppm]</t>
  </si>
  <si>
    <t>Reference for O2</t>
  </si>
  <si>
    <t>CO2 mean from resulting CO2 range [ppm]</t>
  </si>
  <si>
    <t>Min CO2 [ppm]</t>
  </si>
  <si>
    <t>Max CO2 [ppm]</t>
  </si>
  <si>
    <t>Evaluation of error margin:</t>
  </si>
  <si>
    <t xml:space="preserve">With the introduction of the model approach (Konrad et al. 2008, Journal of Theoretical Biology 253, 638-658), the most “critical“ input parameters were identified. </t>
  </si>
  <si>
    <t>These are</t>
  </si>
  <si>
    <t xml:space="preserve">relative humidity </t>
  </si>
  <si>
    <t>temperature T (of growing season))</t>
  </si>
  <si>
    <t>q</t>
  </si>
  <si>
    <t xml:space="preserve">Ci/Ca </t>
  </si>
  <si>
    <t>Environmental parameters are obtained by paleoclimate reconstruction, via coexistence approach and/or leaf margin analysis. The results are ranges.</t>
  </si>
  <si>
    <t>q is obtained by measurement and literature values of extant relatives of the fossil taxon. Here, also ranges are the result.</t>
  </si>
  <si>
    <t>Ci/Ca is calculated from carbon isotopes of the fossil material. The result is a mean with standard deviation.</t>
  </si>
  <si>
    <t xml:space="preserve">To approximate the error margin, the critical parameters were varied systematically: for each, the lowest and the highest value was inserted. </t>
  </si>
  <si>
    <t xml:space="preserve">While for q and environment this corresponds to the lower and upper end of the ranges, it is for Ci/Ca the mean plus and minus standard deviation. </t>
  </si>
  <si>
    <t xml:space="preserve">Critical parameters have the widest uncertainty ranges and the strongest influence on the results. </t>
  </si>
  <si>
    <t>proxy</t>
  </si>
  <si>
    <t>first_author_last_name</t>
  </si>
  <si>
    <t>publication_year</t>
  </si>
  <si>
    <t>doi</t>
  </si>
  <si>
    <t>age_ka</t>
  </si>
  <si>
    <t>Age_uncertainty_pos_ka</t>
  </si>
  <si>
    <t>Age_uncertainty_neg_ka</t>
  </si>
  <si>
    <t>CO2_ppm</t>
  </si>
  <si>
    <t>CO2_uncertainty_pos_ppm</t>
  </si>
  <si>
    <t>CO2_uncertainty_neg_ppm</t>
  </si>
  <si>
    <t>Modern Latitude (decimal degree, south negative)</t>
  </si>
  <si>
    <t>Modern Longitude (decimal degree, west negative)</t>
  </si>
  <si>
    <t>stomata-konrad-FOM</t>
  </si>
  <si>
    <t>Paleo Latitude (decimal degree, south negative)</t>
  </si>
  <si>
    <t>Paleo Longitude (decimal degree, west negative)</t>
  </si>
  <si>
    <t>NA</t>
  </si>
  <si>
    <t>Roth-Nebelsick</t>
  </si>
  <si>
    <t>10.1016/S0031-0182(03)00634-5</t>
  </si>
  <si>
    <t>Roth-Nebelsick, A., and W. Konrad (2003), Assimilation and transpiration capabilities of rhyniophytic plants from the Lower Devonian and their implications for paleoatmospheric CO2 concentration, Paleogeogr. Paleoclimatol. Paleoecol., 202, 153–178, doi: 10.1016/S0031-0182(03)00634-5.</t>
  </si>
  <si>
    <t>Dana Royer</t>
  </si>
  <si>
    <t>droyer@wesleyan.edu</t>
  </si>
  <si>
    <t>Rhynie Chert</t>
  </si>
  <si>
    <t>Biostratigraphy (Pragian)</t>
  </si>
  <si>
    <t>Aglaophyton</t>
  </si>
  <si>
    <t>major</t>
  </si>
  <si>
    <t>Rhynia</t>
  </si>
  <si>
    <t>gwynne-vaughanii</t>
  </si>
  <si>
    <t>Nothia</t>
  </si>
  <si>
    <t>aphylla</t>
  </si>
  <si>
    <r>
      <t>Sample name</t>
    </r>
    <r>
      <rPr>
        <vertAlign val="superscript"/>
        <sz val="11"/>
        <color theme="1"/>
        <rFont val="Calibri"/>
        <family val="2"/>
        <scheme val="minor"/>
      </rPr>
      <t>a</t>
    </r>
  </si>
  <si>
    <r>
      <rPr>
        <sz val="11"/>
        <color theme="1"/>
        <rFont val="Calibri"/>
        <family val="2"/>
        <scheme val="minor"/>
      </rPr>
      <t>Stomatal density SD [1/mm</t>
    </r>
    <r>
      <rPr>
        <vertAlign val="superscript"/>
        <sz val="11"/>
        <color rgb="FF000000"/>
        <rFont val="Calibri"/>
        <family val="2"/>
        <scheme val="minor"/>
      </rPr>
      <t>2</t>
    </r>
    <r>
      <rPr>
        <sz val="11"/>
        <color theme="1"/>
        <rFont val="Calibri"/>
        <family val="2"/>
        <scheme val="minor"/>
      </rPr>
      <t xml:space="preserve">] </t>
    </r>
  </si>
  <si>
    <r>
      <rPr>
        <sz val="11"/>
        <color theme="1"/>
        <rFont val="Calibri"/>
        <family val="2"/>
        <scheme val="minor"/>
      </rPr>
      <t xml:space="preserve"> </t>
    </r>
    <r>
      <rPr>
        <sz val="11"/>
        <color rgb="FF000000"/>
        <rFont val="Calibri"/>
        <family val="2"/>
        <scheme val="minor"/>
      </rPr>
      <t>d</t>
    </r>
    <r>
      <rPr>
        <vertAlign val="superscript"/>
        <sz val="11"/>
        <color rgb="FF000000"/>
        <rFont val="Calibri"/>
        <family val="2"/>
        <scheme val="minor"/>
      </rPr>
      <t>13</t>
    </r>
    <r>
      <rPr>
        <sz val="11"/>
        <color theme="1"/>
        <rFont val="Calibri"/>
        <family val="2"/>
        <scheme val="minor"/>
      </rPr>
      <t>C atmosphere calculated from marine carbonates [‰]</t>
    </r>
  </si>
  <si>
    <r>
      <rPr>
        <sz val="11"/>
        <color theme="1"/>
        <rFont val="Calibri"/>
        <family val="2"/>
        <scheme val="minor"/>
      </rPr>
      <t xml:space="preserve"> Reference for </t>
    </r>
    <r>
      <rPr>
        <sz val="11"/>
        <color rgb="FF000000"/>
        <rFont val="Calibri"/>
        <family val="2"/>
        <scheme val="minor"/>
      </rPr>
      <t>d</t>
    </r>
    <r>
      <rPr>
        <vertAlign val="superscript"/>
        <sz val="11"/>
        <color rgb="FF000000"/>
        <rFont val="Calibri"/>
        <family val="2"/>
        <scheme val="minor"/>
      </rPr>
      <t>13</t>
    </r>
    <r>
      <rPr>
        <sz val="11"/>
        <color theme="1"/>
        <rFont val="Calibri"/>
        <family val="2"/>
        <scheme val="minor"/>
      </rPr>
      <t>C atmosphere calculated from marine carbonates</t>
    </r>
  </si>
  <si>
    <r>
      <t>d</t>
    </r>
    <r>
      <rPr>
        <vertAlign val="superscript"/>
        <sz val="11"/>
        <color rgb="FF000000"/>
        <rFont val="Calibri"/>
        <family val="2"/>
        <scheme val="minor"/>
      </rPr>
      <t>13</t>
    </r>
    <r>
      <rPr>
        <sz val="11"/>
        <color theme="1"/>
        <rFont val="Calibri"/>
        <family val="2"/>
        <scheme val="minor"/>
      </rPr>
      <t>C plant material [‰]</t>
    </r>
  </si>
  <si>
    <r>
      <rPr>
        <sz val="11"/>
        <color theme="1"/>
        <rFont val="Calibri"/>
        <family val="2"/>
        <scheme val="minor"/>
      </rPr>
      <t xml:space="preserve">Ci/Ca from </t>
    </r>
    <r>
      <rPr>
        <sz val="11"/>
        <color rgb="FF000000"/>
        <rFont val="Calibri"/>
        <family val="2"/>
        <scheme val="minor"/>
      </rPr>
      <t>d</t>
    </r>
    <r>
      <rPr>
        <vertAlign val="superscript"/>
        <sz val="11"/>
        <color rgb="FF000000"/>
        <rFont val="Calibri"/>
        <family val="2"/>
        <scheme val="minor"/>
      </rPr>
      <t>13</t>
    </r>
    <r>
      <rPr>
        <sz val="11"/>
        <color theme="1"/>
        <rFont val="Calibri"/>
        <family val="2"/>
        <scheme val="minor"/>
      </rPr>
      <t>C [-]</t>
    </r>
  </si>
  <si>
    <r>
      <rPr>
        <sz val="11"/>
        <color theme="1"/>
        <rFont val="Calibri"/>
        <family val="2"/>
        <scheme val="minor"/>
      </rPr>
      <t>Rd25 [µmol*m</t>
    </r>
    <r>
      <rPr>
        <vertAlign val="superscript"/>
        <sz val="11"/>
        <color rgb="FF000000"/>
        <rFont val="Calibri"/>
        <family val="2"/>
        <scheme val="minor"/>
      </rPr>
      <t>-2</t>
    </r>
    <r>
      <rPr>
        <sz val="11"/>
        <color theme="1"/>
        <rFont val="Calibri"/>
        <family val="2"/>
        <scheme val="minor"/>
      </rPr>
      <t>*s</t>
    </r>
    <r>
      <rPr>
        <vertAlign val="superscript"/>
        <sz val="11"/>
        <color rgb="FF000000"/>
        <rFont val="Calibri"/>
        <family val="2"/>
        <scheme val="minor"/>
      </rPr>
      <t>-1</t>
    </r>
    <r>
      <rPr>
        <sz val="11"/>
        <color theme="1"/>
        <rFont val="Calibri"/>
        <family val="2"/>
        <scheme val="minor"/>
      </rPr>
      <t>] as derived from literature</t>
    </r>
    <r>
      <rPr>
        <vertAlign val="superscript"/>
        <sz val="11"/>
        <color theme="1"/>
        <rFont val="Calibri"/>
        <family val="2"/>
        <scheme val="minor"/>
      </rPr>
      <t>b</t>
    </r>
  </si>
  <si>
    <t>Edwards 1998; Kerp et al. 2001</t>
  </si>
  <si>
    <t>Roth-Nebelsick and Konrad 2003</t>
  </si>
  <si>
    <t>Beerling et al. 2001</t>
  </si>
  <si>
    <t>Note: this publication does not use the standard Konrad 2008 gas-exchange model to estimate CO2. It uses a different leaf gas-exchange model that has not been used by any other subsequent papers</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</si>
  <si>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</si>
  <si>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</si>
  <si>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</si>
  <si>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</si>
  <si>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</si>
  <si>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</si>
  <si>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</si>
  <si>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</si>
  <si>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</si>
  <si>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</si>
  <si>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</si>
  <si>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</si>
  <si>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</si>
  <si>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</si>
  <si>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</si>
  <si>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</si>
  <si>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</si>
  <si>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</si>
  <si>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</si>
  <si>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</si>
  <si>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</si>
  <si>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</si>
  <si>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</si>
  <si>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</si>
  <si>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</si>
  <si>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</si>
  <si>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</si>
  <si>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</si>
  <si>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</si>
  <si>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</si>
  <si>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</si>
  <si>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</si>
  <si>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</si>
  <si>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</si>
  <si>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</si>
  <si>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</si>
  <si>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</si>
  <si>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</si>
  <si>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t xml:space="preserve"> age uncertainty (±2</t>
    </r>
    <r>
      <rPr>
        <sz val="13"/>
        <color rgb="FF000000"/>
        <rFont val="Symbol"/>
        <charset val="2"/>
      </rPr>
      <t>s</t>
    </r>
    <r>
      <rPr>
        <sz val="13"/>
        <color rgb="FF000000"/>
        <rFont val="Calibri"/>
        <family val="2"/>
        <scheme val="minor"/>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</si>
  <si>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</si>
  <si>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</si>
  <si>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</si>
  <si>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</si>
  <si>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</si>
  <si>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</si>
  <si>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</si>
  <si>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</si>
  <si>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</si>
  <si>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</si>
  <si>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</si>
  <si>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</si>
  <si>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</si>
  <si>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</si>
  <si>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</si>
  <si>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</si>
  <si>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</si>
  <si>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</si>
  <si>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</si>
  <si>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</si>
  <si>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</si>
  <si>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</si>
  <si>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</si>
  <si>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</si>
  <si>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</si>
  <si>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</si>
  <si>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</si>
  <si>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t>
  </si>
  <si>
    <t>volcaniclastic deposit</t>
  </si>
  <si>
    <t>zircon</t>
  </si>
  <si>
    <t>U-Pb</t>
  </si>
  <si>
    <t>other</t>
  </si>
  <si>
    <t>&gt;</t>
  </si>
  <si>
    <t>&lt;</t>
  </si>
  <si>
    <t>Paleosol Data Tab</t>
  </si>
  <si>
    <t>Age Data Tab</t>
  </si>
  <si>
    <t>Start Tab</t>
  </si>
  <si>
    <t>T</t>
  </si>
  <si>
    <r>
      <rPr>
        <b/>
        <sz val="18"/>
        <color rgb="FFFF0000"/>
        <rFont val="Arial"/>
        <family val="2"/>
      </rPr>
      <t>Pull down menu</t>
    </r>
    <r>
      <rPr>
        <sz val="12"/>
        <color rgb="FFFF0000"/>
        <rFont val="Arial"/>
        <family val="2"/>
      </rPr>
      <t xml:space="preserve"> with following options: NAD 83, WGS 84, ITRF, GRS 80, other, NA</t>
    </r>
  </si>
  <si>
    <t>DV</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</si>
  <si>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</si>
  <si>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t>C</t>
  </si>
  <si>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</si>
  <si>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</si>
  <si>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</si>
  <si>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</si>
  <si>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yes</t>
  </si>
  <si>
    <t xml:space="preserve"> WGS 84</t>
  </si>
  <si>
    <t>FAO</t>
  </si>
  <si>
    <t>&lt;=</t>
  </si>
  <si>
    <t>no</t>
  </si>
  <si>
    <t xml:space="preserve"> ITRF</t>
  </si>
  <si>
    <t>Russian Soil Classification System</t>
  </si>
  <si>
    <t xml:space="preserve"> GRS 80</t>
  </si>
  <si>
    <t>Australian Soil Classification</t>
  </si>
  <si>
    <t>&gt;=</t>
  </si>
  <si>
    <t xml:space="preserve"> other</t>
  </si>
  <si>
    <t>Canadian System of Soil Slassification</t>
  </si>
  <si>
    <t xml:space="preserve"> NA</t>
  </si>
  <si>
    <t>French Soil Reference System</t>
  </si>
  <si>
    <t>WRB</t>
  </si>
  <si>
    <t>BZ</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</si>
  <si>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</si>
  <si>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t>DZ</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</si>
  <si>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</si>
  <si>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S</t>
  </si>
  <si>
    <t>from d13Ca</t>
  </si>
  <si>
    <t>gravel</t>
  </si>
  <si>
    <t>Volcanic ash</t>
  </si>
  <si>
    <t>from d13C value of coal (e.g.  following Arens et al., 2000)</t>
  </si>
  <si>
    <t>sand</t>
  </si>
  <si>
    <t>lava</t>
  </si>
  <si>
    <t xml:space="preserve">equal to d13C value of bulk paleosol organic matter </t>
  </si>
  <si>
    <t>mud</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</si>
  <si>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</si>
  <si>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</si>
  <si>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</si>
  <si>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</si>
  <si>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</si>
  <si>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</si>
  <si>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</si>
  <si>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t>nodules</t>
  </si>
  <si>
    <t>rhizoliths</t>
  </si>
  <si>
    <t>filaments</t>
  </si>
  <si>
    <t>CH</t>
  </si>
  <si>
    <t>clast coatings</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</si>
  <si>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</si>
  <si>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disseminated carbonate</t>
  </si>
  <si>
    <t>U</t>
  </si>
  <si>
    <t>sanidine</t>
  </si>
  <si>
    <t>from d13C  values of marine carbonates (e.g. following Passey et al 2002 or Tipple et al. 2010</t>
  </si>
  <si>
    <t>biotite</t>
  </si>
  <si>
    <t>apatite</t>
  </si>
  <si>
    <t>carbonate</t>
  </si>
  <si>
    <t>EE</t>
  </si>
  <si>
    <r>
      <rPr>
        <b/>
        <sz val="18"/>
        <color rgb="FFFF0000"/>
        <rFont val="Arial"/>
        <family val="2"/>
      </rPr>
      <t>Pull down menu</t>
    </r>
    <r>
      <rPr>
        <sz val="12"/>
        <color rgb="FFFF0000"/>
        <rFont val="Arial"/>
        <family val="2"/>
      </rPr>
      <t xml:space="preserve"> with following options: TL, CL, TL + CL, other, NA. TL = transmitted light, CL= cathodoluminescence</t>
    </r>
  </si>
  <si>
    <t>TL</t>
  </si>
  <si>
    <t>CP</t>
  </si>
  <si>
    <t>CL</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</si>
  <si>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</si>
  <si>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TL + CL</t>
  </si>
  <si>
    <t>W</t>
  </si>
  <si>
    <t>clumped isotope themometry</t>
  </si>
  <si>
    <t>K-Ar</t>
  </si>
  <si>
    <t xml:space="preserve">paleosol carbonate d18O (e.g. following Dworkin et al. 2005) </t>
  </si>
  <si>
    <t>Ar-Ar</t>
  </si>
  <si>
    <t>paleosol salinization (e.g.  following Sheldon et al. 2002)</t>
  </si>
  <si>
    <t>paleosol weathering index (e.g.  following Gallagher and Sheldon 2013)</t>
  </si>
  <si>
    <t>fission track</t>
  </si>
  <si>
    <t>ppm1.0 (following Stinchcomb et al. 2016)</t>
  </si>
  <si>
    <t>14C</t>
  </si>
  <si>
    <t>U-series</t>
  </si>
  <si>
    <t>EI</t>
  </si>
  <si>
    <r>
      <t>Pull down menu</t>
    </r>
    <r>
      <rPr>
        <sz val="12"/>
        <color rgb="FFFF0000"/>
        <rFont val="Arial"/>
        <family val="2"/>
      </rPr>
      <t xml:space="preserve"> with following options: calcite, dolomite, mixed, other, NA</t>
    </r>
  </si>
  <si>
    <t>CX</t>
  </si>
  <si>
    <t>calcite</t>
  </si>
  <si>
    <t xml:space="preserve">D47, CDES; D47,I-CDES; D47,HG (archive data only); D47D48,CDES; D47D47,I-CDES, D683, CDES, D638,I-CDES; other,NA </t>
  </si>
  <si>
    <t>dolomite</t>
  </si>
  <si>
    <t>Z</t>
  </si>
  <si>
    <t>D47, CDES</t>
  </si>
  <si>
    <t>mixed</t>
  </si>
  <si>
    <t>LA ICPMS</t>
  </si>
  <si>
    <t>D47, I-CDES</t>
  </si>
  <si>
    <t>solution mode ICPMS</t>
  </si>
  <si>
    <t>D47, HG (archive data only)</t>
  </si>
  <si>
    <t>TIMS</t>
  </si>
  <si>
    <t>D47D48, CDES</t>
  </si>
  <si>
    <t>SIMS</t>
  </si>
  <si>
    <t>D47D47, I-CDES, D683, CDES, D638,I-CDES</t>
  </si>
  <si>
    <t>AMS</t>
  </si>
  <si>
    <t xml:space="preserve">NA </t>
  </si>
  <si>
    <t>EM</t>
  </si>
  <si>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</si>
  <si>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</si>
  <si>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</si>
  <si>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</si>
  <si>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</si>
  <si>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</si>
  <si>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</si>
  <si>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</si>
  <si>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</si>
  <si>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</si>
  <si>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</si>
  <si>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</si>
  <si>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</si>
  <si>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</si>
  <si>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</si>
  <si>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</si>
  <si>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</si>
  <si>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</si>
  <si>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</si>
  <si>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</si>
  <si>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</si>
  <si>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</si>
  <si>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</si>
  <si>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</si>
  <si>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</si>
  <si>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</si>
  <si>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</si>
  <si>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</si>
  <si>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</si>
  <si>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</si>
  <si>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</si>
  <si>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</si>
  <si>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</si>
  <si>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</si>
  <si>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</si>
  <si>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</si>
  <si>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</si>
  <si>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</si>
  <si>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</si>
  <si>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</si>
  <si>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</si>
  <si>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</si>
  <si>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</si>
  <si>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</si>
  <si>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GTS 2020</t>
  </si>
  <si>
    <r>
      <rPr>
        <i/>
        <sz val="12"/>
        <color theme="1"/>
        <rFont val="Calibri"/>
        <family val="2"/>
        <scheme val="minor"/>
      </rPr>
      <t>Gonwania irregularis</t>
    </r>
    <r>
      <rPr>
        <sz val="12"/>
        <color theme="1"/>
        <rFont val="Calibri"/>
        <family val="2"/>
        <scheme val="minor"/>
      </rPr>
      <t xml:space="preserve">, </t>
    </r>
    <r>
      <rPr>
        <i/>
        <sz val="12"/>
        <color theme="1"/>
        <rFont val="Calibri"/>
        <family val="2"/>
        <scheme val="minor"/>
      </rPr>
      <t>G. profunda</t>
    </r>
    <r>
      <rPr>
        <sz val="12"/>
        <color theme="1"/>
        <rFont val="Calibri"/>
        <family val="2"/>
        <scheme val="minor"/>
      </rPr>
      <t xml:space="preserve">, </t>
    </r>
    <r>
      <rPr>
        <i/>
        <sz val="12"/>
        <color theme="1"/>
        <rFont val="Calibri"/>
        <family val="2"/>
        <scheme val="minor"/>
      </rPr>
      <t>Pelekysgnathus serratus</t>
    </r>
    <r>
      <rPr>
        <sz val="12"/>
        <color theme="1"/>
        <rFont val="Calibri"/>
        <family val="2"/>
        <scheme val="minor"/>
      </rPr>
      <t xml:space="preserve"> conodont zones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</si>
</sst>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32"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vertAlign val="superscript"/>
      <sz val="12"/>
      <color theme="1"/>
      <name val="Calibri"/>
      <family val="2"/>
      <scheme val="minor"/>
    </font>
    <font>
      <sz val="11"/>
      <name val="Calibri"/>
      <family val="2"/>
      <scheme val="minor"/>
    </font>
    <font>
      <vertAlign val="superscript"/>
      <sz val="11"/>
      <name val="Calibri"/>
      <family val="2"/>
      <scheme val="minor"/>
    </font>
    <font>
      <sz val="11"/>
      <color rgb="FF000000"/>
      <name val="Calibri"/>
      <family val="2"/>
      <charset val="1"/>
    </font>
    <font>
      <sz val="11"/>
      <color rgb="FF000000"/>
      <name val="Calibri"/>
      <family val="2"/>
      <scheme val="minor"/>
    </font>
    <font>
      <vertAlign val="superscript"/>
      <sz val="11"/>
      <color rgb="FF000000"/>
      <name val="Calibri"/>
      <family val="2"/>
      <scheme val="minor"/>
    </font>
    <font>
      <sz val="11"/>
      <color rgb="FF000000"/>
      <name val="Symbol"/>
      <family val="1"/>
      <charset val="2"/>
    </font>
    <font>
      <b/>
      <sz val="11"/>
      <color theme="1"/>
      <name val="Calibri"/>
      <family val="2"/>
      <scheme val="minor"/>
    </font>
    <font>
      <sz val="12"/>
      <name val="Calibri"/>
      <family val="2"/>
      <scheme val="minor"/>
    </font>
    <font>
      <b/>
      <sz val="11"/>
      <name val="Calibri"/>
      <family val="2"/>
      <scheme val="minor"/>
    </font>
    <font>
      <sz val="11"/>
      <color theme="1"/>
      <name val="Verdana"/>
      <family val="2"/>
    </font>
    <font>
      <vertAlign val="superscript"/>
      <sz val="11"/>
      <color theme="1"/>
      <name val="Calibri"/>
      <family val="2"/>
      <scheme val="minor"/>
    </font>
    <font>
      <sz val="12"/>
      <color theme="1"/>
      <name val="Calibri"/>
      <family val="2"/>
      <scheme val="minor"/>
    </font>
    <font>
      <b/>
      <sz val="12"/>
      <color theme="1"/>
      <name val="Calibri"/>
      <family val="2"/>
      <scheme val="minor"/>
    </font>
    <font>
      <sz val="12"/>
      <color rgb="FFFF0000"/>
      <name val="Calibri"/>
      <family val="2"/>
      <scheme val="minor"/>
    </font>
    <font>
      <b/>
      <sz val="18"/>
      <color rgb="FFFF0000"/>
      <name val="Calibri (Body)"/>
    </font>
    <font>
      <sz val="12"/>
      <color rgb="FFFF0000"/>
      <name val="Symbol"/>
      <charset val="2"/>
    </font>
    <font>
      <sz val="13"/>
      <color theme="1"/>
      <name val="Calibri"/>
      <family val="2"/>
      <scheme val="minor"/>
    </font>
    <font>
      <sz val="13"/>
      <color rgb="FF000000"/>
      <name val="Calibri"/>
      <family val="2"/>
      <scheme val="minor"/>
    </font>
    <font>
      <sz val="13"/>
      <color rgb="FF000000"/>
      <name val="Symbol"/>
      <charset val="2"/>
    </font>
    <font>
      <sz val="12"/>
      <color theme="1"/>
      <name val="Arial"/>
      <family val="2"/>
    </font>
    <font>
      <sz val="12"/>
      <color rgb="FFFF0000"/>
      <name val="Arial"/>
      <family val="2"/>
    </font>
    <font>
      <b/>
      <sz val="18"/>
      <color rgb="FFFF0000"/>
      <name val="Arial"/>
      <family val="2"/>
    </font>
    <font>
      <sz val="12"/>
      <color rgb="FFFF0000"/>
      <name val="Calibri (Body)"/>
    </font>
    <font>
      <vertAlign val="superscript"/>
      <sz val="12"/>
      <color rgb="FFFF0000"/>
      <name val="Arial"/>
      <family val="2"/>
    </font>
    <font>
      <vertAlign val="subscript"/>
      <sz val="12"/>
      <color rgb="FFFF0000"/>
      <name val="Arial"/>
      <family val="2"/>
    </font>
    <font>
      <sz val="12"/>
      <color rgb="FF000000"/>
      <name val="Calibri"/>
      <family val="2"/>
      <scheme val="minor"/>
    </font>
    <font>
      <i/>
      <sz val="12"/>
      <color theme="1"/>
      <name val="Calibri"/>
      <family val="2"/>
      <scheme val="minor"/>
    </font>
  </fonts>
  <fills count="1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bgColor indexed="64"/>
      </patternFill>
    </fill>
    <fill>
      <patternFill patternType="solid">
        <fgColor theme="2" tint="-0.249977111117893"/>
        <bgColor indexed="64"/>
      </patternFill>
    </fill>
    <fill>
      <patternFill patternType="solid">
        <fgColor theme="8" tint="0.59999389629810485"/>
        <bgColor indexed="64"/>
      </patternFill>
    </fill>
    <fill>
      <patternFill patternType="solid">
        <fgColor rgb="FF996633"/>
        <bgColor indexed="64"/>
      </patternFill>
    </fill>
    <fill>
      <patternFill patternType="solid">
        <fgColor rgb="FF00B050"/>
        <bgColor indexed="64"/>
      </patternFill>
    </fill>
    <fill>
      <patternFill patternType="solid">
        <fgColor theme="7" tint="0.39997558519241921"/>
        <bgColor indexed="64"/>
      </patternFill>
    </fill>
    <fill>
      <patternFill patternType="solid">
        <fgColor rgb="FFFF660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indexed="64"/>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s>
  <cellStyleXfs count="5">
    <xf numFmtId="0" fontId="0" fillId="0" borderId="0"/>
    <xf numFmtId="0" fontId="7" fillId="0" borderId="0"/>
    <xf numFmtId="0" fontId="3" fillId="0" borderId="0"/>
    <xf numFmtId="0" fontId="16" fillId="0" borderId="0"/>
    <xf numFmtId="0" fontId="16" fillId="0" borderId="0"/>
  </cellStyleXfs>
  <cellXfs count="80">
    <xf numFmtId="0" fontId="0" fillId="0" borderId="0" xfId="0"/>
    <xf numFmtId="0" fontId="5" fillId="3" borderId="1" xfId="0" applyFont="1" applyFill="1" applyBorder="1" applyAlignment="1">
      <alignment horizontal="center" vertical="top" wrapText="1"/>
    </xf>
    <xf numFmtId="0" fontId="5" fillId="6" borderId="1" xfId="0" applyFont="1" applyFill="1" applyBorder="1" applyAlignment="1">
      <alignment horizontal="center" vertical="top" wrapText="1"/>
    </xf>
    <xf numFmtId="0" fontId="5" fillId="6" borderId="1" xfId="0" applyFont="1" applyFill="1" applyBorder="1" applyAlignment="1">
      <alignment horizontal="left" vertical="top" wrapText="1"/>
    </xf>
    <xf numFmtId="0" fontId="8" fillId="7" borderId="1" xfId="1" applyFont="1" applyFill="1" applyBorder="1" applyAlignment="1">
      <alignment vertical="top" wrapText="1"/>
    </xf>
    <xf numFmtId="0" fontId="8" fillId="8" borderId="1" xfId="1" applyFont="1" applyFill="1" applyBorder="1" applyAlignment="1">
      <alignment vertical="top" wrapText="1"/>
    </xf>
    <xf numFmtId="0" fontId="8" fillId="9" borderId="1" xfId="1" applyFont="1" applyFill="1" applyBorder="1" applyAlignment="1">
      <alignment vertical="top" wrapText="1"/>
    </xf>
    <xf numFmtId="0" fontId="8" fillId="10" borderId="1" xfId="1" applyFont="1" applyFill="1" applyBorder="1" applyAlignment="1">
      <alignment vertical="top" wrapText="1"/>
    </xf>
    <xf numFmtId="0" fontId="8" fillId="11" borderId="1" xfId="1" applyFont="1" applyFill="1" applyBorder="1" applyAlignment="1">
      <alignment vertical="top" wrapText="1"/>
    </xf>
    <xf numFmtId="0" fontId="0" fillId="0" borderId="0" xfId="0" applyAlignment="1">
      <alignment vertical="center"/>
    </xf>
    <xf numFmtId="0" fontId="12" fillId="0" borderId="0" xfId="0" applyFont="1"/>
    <xf numFmtId="0" fontId="8" fillId="0" borderId="0" xfId="1" applyFont="1"/>
    <xf numFmtId="164" fontId="8" fillId="0" borderId="0" xfId="1" applyNumberFormat="1" applyFont="1"/>
    <xf numFmtId="165" fontId="8" fillId="0" borderId="0" xfId="1" applyNumberFormat="1" applyFont="1"/>
    <xf numFmtId="0" fontId="11" fillId="0" borderId="0" xfId="0" applyFont="1" applyAlignment="1">
      <alignment vertical="top"/>
    </xf>
    <xf numFmtId="0" fontId="13" fillId="0" borderId="1" xfId="0" applyFont="1" applyBorder="1" applyAlignment="1">
      <alignment vertical="top"/>
    </xf>
    <xf numFmtId="0" fontId="11" fillId="0" borderId="1" xfId="0" applyFont="1" applyBorder="1" applyAlignment="1">
      <alignment vertical="top"/>
    </xf>
    <xf numFmtId="0" fontId="11" fillId="0" borderId="1" xfId="0" applyFont="1" applyBorder="1" applyAlignment="1">
      <alignment vertical="top" wrapText="1"/>
    </xf>
    <xf numFmtId="0" fontId="2" fillId="0" borderId="0" xfId="0" applyFont="1" applyAlignment="1">
      <alignment vertical="top" wrapText="1"/>
    </xf>
    <xf numFmtId="0" fontId="14" fillId="2" borderId="1" xfId="0" applyFont="1" applyFill="1" applyBorder="1" applyAlignment="1">
      <alignment horizontal="center" vertical="top" wrapText="1"/>
    </xf>
    <xf numFmtId="0" fontId="2" fillId="3" borderId="1" xfId="0" applyFont="1" applyFill="1" applyBorder="1" applyAlignment="1">
      <alignment vertical="top" wrapText="1"/>
    </xf>
    <xf numFmtId="0" fontId="2" fillId="3" borderId="1" xfId="0" applyFont="1" applyFill="1" applyBorder="1" applyAlignment="1">
      <alignment vertical="top"/>
    </xf>
    <xf numFmtId="0" fontId="2" fillId="4" borderId="1" xfId="0" applyFont="1" applyFill="1" applyBorder="1" applyAlignment="1">
      <alignment vertical="top" wrapText="1"/>
    </xf>
    <xf numFmtId="0" fontId="5" fillId="4" borderId="1" xfId="0" applyFont="1" applyFill="1" applyBorder="1" applyAlignment="1">
      <alignment horizontal="center" vertical="top" wrapText="1"/>
    </xf>
    <xf numFmtId="0" fontId="2" fillId="5" borderId="1" xfId="0" applyFont="1" applyFill="1" applyBorder="1" applyAlignment="1">
      <alignment vertical="top" wrapText="1"/>
    </xf>
    <xf numFmtId="0" fontId="2" fillId="0" borderId="0" xfId="0" applyFont="1"/>
    <xf numFmtId="0" fontId="8" fillId="0" borderId="0" xfId="0" applyFont="1"/>
    <xf numFmtId="1" fontId="8" fillId="0" borderId="0" xfId="1" applyNumberFormat="1" applyFont="1"/>
    <xf numFmtId="1" fontId="2" fillId="0" borderId="0" xfId="0" applyNumberFormat="1" applyFont="1"/>
    <xf numFmtId="0" fontId="17" fillId="12" borderId="2" xfId="0" applyFont="1" applyFill="1" applyBorder="1"/>
    <xf numFmtId="0" fontId="0" fillId="12" borderId="3" xfId="0" applyFill="1" applyBorder="1"/>
    <xf numFmtId="0" fontId="0" fillId="12" borderId="4" xfId="0" applyFill="1" applyBorder="1"/>
    <xf numFmtId="0" fontId="0" fillId="13" borderId="1" xfId="0" applyFill="1" applyBorder="1"/>
    <xf numFmtId="0" fontId="0" fillId="14" borderId="2" xfId="0" applyFill="1" applyBorder="1"/>
    <xf numFmtId="0" fontId="0" fillId="14" borderId="3" xfId="0" applyFill="1" applyBorder="1"/>
    <xf numFmtId="0" fontId="0" fillId="14" borderId="4" xfId="0" applyFill="1" applyBorder="1"/>
    <xf numFmtId="0" fontId="0" fillId="0" borderId="5" xfId="0" applyBorder="1"/>
    <xf numFmtId="0" fontId="0" fillId="0" borderId="12" xfId="0" applyBorder="1"/>
    <xf numFmtId="0" fontId="0" fillId="12" borderId="1" xfId="0" applyFill="1" applyBorder="1" applyAlignment="1">
      <alignment vertical="center" wrapText="1"/>
    </xf>
    <xf numFmtId="0" fontId="18" fillId="14" borderId="12" xfId="0" applyFont="1" applyFill="1" applyBorder="1" applyAlignment="1">
      <alignment vertical="center" wrapText="1"/>
    </xf>
    <xf numFmtId="0" fontId="0" fillId="14" borderId="1" xfId="0" applyFill="1" applyBorder="1"/>
    <xf numFmtId="0" fontId="0" fillId="13" borderId="1" xfId="0" applyFill="1" applyBorder="1" applyAlignment="1">
      <alignment vertical="center" wrapText="1"/>
    </xf>
    <xf numFmtId="0" fontId="0" fillId="14" borderId="1" xfId="0" applyFill="1" applyBorder="1" applyAlignment="1">
      <alignment vertical="center" wrapText="1"/>
    </xf>
    <xf numFmtId="0" fontId="0" fillId="14" borderId="12" xfId="0" applyFill="1" applyBorder="1" applyAlignment="1">
      <alignment vertical="center" wrapText="1"/>
    </xf>
    <xf numFmtId="0" fontId="0" fillId="0" borderId="1" xfId="0" applyBorder="1" applyAlignment="1">
      <alignment vertical="center" wrapText="1"/>
    </xf>
    <xf numFmtId="0" fontId="0" fillId="0" borderId="0" xfId="0" applyAlignment="1">
      <alignment vertical="center" wrapText="1"/>
    </xf>
    <xf numFmtId="0" fontId="21" fillId="12" borderId="13" xfId="0" applyFont="1" applyFill="1" applyBorder="1" applyAlignment="1">
      <alignment horizontal="left" vertical="center" wrapText="1"/>
    </xf>
    <xf numFmtId="0" fontId="22" fillId="12" borderId="13" xfId="0" applyFont="1" applyFill="1" applyBorder="1" applyAlignment="1">
      <alignment horizontal="left" vertical="center" wrapText="1"/>
    </xf>
    <xf numFmtId="0" fontId="0" fillId="13" borderId="13" xfId="0" applyFill="1" applyBorder="1" applyAlignment="1">
      <alignment horizontal="left" vertical="center" wrapText="1"/>
    </xf>
    <xf numFmtId="0" fontId="0" fillId="14" borderId="13" xfId="0" applyFill="1" applyBorder="1" applyAlignment="1">
      <alignment horizontal="left" vertical="center" wrapText="1"/>
    </xf>
    <xf numFmtId="0" fontId="0" fillId="0" borderId="13" xfId="0" applyBorder="1" applyAlignment="1">
      <alignment horizontal="left" vertical="center" wrapText="1"/>
    </xf>
    <xf numFmtId="0" fontId="0" fillId="0" borderId="0" xfId="0" applyAlignment="1">
      <alignment horizontal="left" vertical="center" wrapText="1"/>
    </xf>
    <xf numFmtId="0" fontId="0" fillId="12" borderId="12" xfId="0" applyFill="1" applyBorder="1"/>
    <xf numFmtId="0" fontId="24" fillId="12" borderId="12" xfId="0" applyFont="1" applyFill="1" applyBorder="1" applyAlignment="1">
      <alignment horizontal="center"/>
    </xf>
    <xf numFmtId="0" fontId="0" fillId="13" borderId="12" xfId="0" applyFill="1" applyBorder="1"/>
    <xf numFmtId="0" fontId="0" fillId="14" borderId="12" xfId="0" applyFill="1" applyBorder="1"/>
    <xf numFmtId="0" fontId="0" fillId="12" borderId="1" xfId="0" applyFill="1" applyBorder="1"/>
    <xf numFmtId="0" fontId="0" fillId="0" borderId="1" xfId="0" applyBorder="1"/>
    <xf numFmtId="0" fontId="25" fillId="12" borderId="1" xfId="0" applyFont="1" applyFill="1" applyBorder="1" applyAlignment="1">
      <alignment wrapText="1"/>
    </xf>
    <xf numFmtId="0" fontId="25" fillId="15" borderId="1" xfId="0" applyFont="1" applyFill="1" applyBorder="1" applyAlignment="1">
      <alignment wrapText="1"/>
    </xf>
    <xf numFmtId="0" fontId="25" fillId="16" borderId="1" xfId="0" applyFont="1" applyFill="1" applyBorder="1" applyAlignment="1">
      <alignment wrapText="1"/>
    </xf>
    <xf numFmtId="0" fontId="26" fillId="17" borderId="1" xfId="0" applyFont="1" applyFill="1" applyBorder="1" applyAlignment="1">
      <alignment wrapText="1"/>
    </xf>
    <xf numFmtId="0" fontId="30" fillId="0" borderId="0" xfId="0" applyFont="1"/>
    <xf numFmtId="0" fontId="0" fillId="12" borderId="2" xfId="0" applyFill="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13" borderId="1" xfId="0" applyFill="1" applyBorder="1" applyAlignment="1">
      <alignment horizontal="center"/>
    </xf>
    <xf numFmtId="0" fontId="0" fillId="14" borderId="2" xfId="0" applyFill="1" applyBorder="1" applyAlignment="1">
      <alignment horizontal="center" vertical="center"/>
    </xf>
    <xf numFmtId="0" fontId="0" fillId="14" borderId="3" xfId="0" applyFill="1" applyBorder="1" applyAlignment="1">
      <alignment horizontal="center" vertical="center"/>
    </xf>
    <xf numFmtId="0" fontId="0" fillId="0" borderId="5" xfId="0" applyBorder="1"/>
    <xf numFmtId="0" fontId="0" fillId="0" borderId="12" xfId="0" applyBorder="1"/>
    <xf numFmtId="0" fontId="0" fillId="13" borderId="1" xfId="0" applyFill="1" applyBorder="1" applyAlignment="1">
      <alignment horizontal="center" vertical="center"/>
    </xf>
    <xf numFmtId="0" fontId="0" fillId="0" borderId="1" xfId="0" applyBorder="1" applyAlignment="1">
      <alignment horizontal="center" vertical="center"/>
    </xf>
    <xf numFmtId="0" fontId="0" fillId="13" borderId="9" xfId="0" applyFill="1"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1" fillId="0" borderId="0" xfId="0" applyFont="1"/>
  </cellXfs>
  <cellStyles count="5">
    <cellStyle name="Normal" xfId="0" builtinId="0"/>
    <cellStyle name="Normal 3" xfId="1" xr:uid="{00000000-0005-0000-0000-000001000000}"/>
    <cellStyle name="Normal 4" xfId="2" xr:uid="{00000000-0005-0000-0000-000002000000}"/>
    <cellStyle name="Normal 4 2" xfId="4" xr:uid="{834AC3EE-BD38-4E0C-8DE8-75172F0AEC81}"/>
    <cellStyle name="Normal 5" xfId="3" xr:uid="{38FA64CA-EE1D-4150-B8A9-CE9CA263D2CB}"/>
  </cellStyles>
  <dxfs count="2">
    <dxf>
      <fill>
        <patternFill>
          <bgColor theme="0" tint="-0.24994659260841701"/>
        </patternFill>
      </fill>
    </dxf>
    <dxf>
      <fill>
        <patternFill>
          <bgColor theme="0" tint="-0.24994659260841701"/>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A6"/>
  <sheetViews>
    <sheetView tabSelected="1" topLeftCell="F1" workbookViewId="0">
      <selection activeCell="M4" sqref="M4"/>
    </sheetView>
  </sheetViews>
  <sheetFormatPr baseColWidth="10" defaultColWidth="11" defaultRowHeight="16" x14ac:dyDescent="0.2"/>
  <sheetData>
    <row r="2" spans="1:79" s="14" customFormat="1" ht="15" x14ac:dyDescent="0.2">
      <c r="K2" s="15" t="s">
        <v>6</v>
      </c>
      <c r="L2" s="16"/>
      <c r="M2" s="16"/>
      <c r="N2" s="16"/>
      <c r="O2" s="16" t="s">
        <v>7</v>
      </c>
      <c r="P2" s="16"/>
      <c r="Q2" s="16"/>
      <c r="R2" s="16"/>
      <c r="S2" s="16"/>
      <c r="T2" s="16" t="s">
        <v>8</v>
      </c>
      <c r="U2" s="16"/>
      <c r="V2" s="16"/>
      <c r="W2" s="16"/>
      <c r="X2" s="16"/>
      <c r="Y2" s="16"/>
      <c r="Z2" s="16"/>
      <c r="AA2" s="16"/>
      <c r="AB2" s="16"/>
      <c r="AC2" s="16" t="s">
        <v>9</v>
      </c>
      <c r="AD2" s="16"/>
      <c r="AE2" s="16"/>
      <c r="AF2" s="16" t="s">
        <v>10</v>
      </c>
      <c r="AG2" s="16"/>
      <c r="AH2" s="17"/>
      <c r="AI2" s="16" t="s">
        <v>11</v>
      </c>
      <c r="AJ2" s="16"/>
      <c r="AK2" s="16"/>
      <c r="AL2" s="16"/>
      <c r="AM2" s="16"/>
      <c r="AN2" s="16"/>
      <c r="AO2" s="16"/>
      <c r="AP2" s="16"/>
      <c r="AQ2" s="16"/>
      <c r="AR2" s="16"/>
      <c r="AS2" s="16"/>
      <c r="AT2" s="16"/>
      <c r="AU2" s="16"/>
      <c r="AV2" s="16"/>
      <c r="AW2" s="16"/>
      <c r="AX2" s="16"/>
      <c r="AY2" s="16" t="s">
        <v>12</v>
      </c>
      <c r="AZ2" s="16"/>
      <c r="BA2" s="16"/>
      <c r="BB2" s="16"/>
      <c r="BC2" s="16"/>
      <c r="BD2" s="16"/>
      <c r="BE2" s="16" t="s">
        <v>13</v>
      </c>
      <c r="BF2" s="16"/>
      <c r="BG2" s="16"/>
      <c r="BH2" s="16"/>
      <c r="BI2" s="16"/>
      <c r="BJ2" s="16"/>
      <c r="BK2" s="16" t="s">
        <v>14</v>
      </c>
      <c r="BL2" s="16"/>
      <c r="BM2" s="16"/>
      <c r="BN2" s="16"/>
      <c r="BO2" s="16"/>
      <c r="BP2" s="16"/>
      <c r="BQ2" s="16"/>
      <c r="BR2" s="16"/>
      <c r="BS2" s="16"/>
      <c r="BT2" s="16"/>
      <c r="BU2" s="16"/>
      <c r="BV2" s="16"/>
      <c r="BW2" s="16"/>
      <c r="BX2" s="16" t="s">
        <v>15</v>
      </c>
      <c r="BY2" s="16"/>
      <c r="BZ2" s="16"/>
    </row>
    <row r="3" spans="1:79" s="25" customFormat="1" ht="176" x14ac:dyDescent="0.2">
      <c r="A3" s="18" t="s">
        <v>81</v>
      </c>
      <c r="B3" s="18" t="s">
        <v>82</v>
      </c>
      <c r="C3" s="18" t="s">
        <v>83</v>
      </c>
      <c r="D3" s="18" t="s">
        <v>84</v>
      </c>
      <c r="E3" s="18" t="s">
        <v>85</v>
      </c>
      <c r="F3" s="18" t="s">
        <v>86</v>
      </c>
      <c r="G3" s="18" t="s">
        <v>87</v>
      </c>
      <c r="H3" s="18" t="s">
        <v>88</v>
      </c>
      <c r="I3" s="18" t="s">
        <v>89</v>
      </c>
      <c r="J3" s="18" t="s">
        <v>90</v>
      </c>
      <c r="K3" s="19" t="s">
        <v>16</v>
      </c>
      <c r="L3" s="19" t="s">
        <v>17</v>
      </c>
      <c r="M3" s="19" t="s">
        <v>18</v>
      </c>
      <c r="N3" s="19" t="s">
        <v>19</v>
      </c>
      <c r="O3" s="20" t="s">
        <v>110</v>
      </c>
      <c r="P3" s="20" t="s">
        <v>20</v>
      </c>
      <c r="Q3" s="21" t="s">
        <v>21</v>
      </c>
      <c r="R3" s="20" t="s">
        <v>22</v>
      </c>
      <c r="S3" s="1" t="s">
        <v>23</v>
      </c>
      <c r="T3" s="22" t="s">
        <v>24</v>
      </c>
      <c r="U3" s="22" t="s">
        <v>25</v>
      </c>
      <c r="V3" s="22" t="s">
        <v>26</v>
      </c>
      <c r="W3" s="22" t="s">
        <v>27</v>
      </c>
      <c r="X3" s="22" t="s">
        <v>28</v>
      </c>
      <c r="Y3" s="22" t="s">
        <v>91</v>
      </c>
      <c r="Z3" s="22" t="s">
        <v>92</v>
      </c>
      <c r="AA3" s="23" t="s">
        <v>94</v>
      </c>
      <c r="AB3" s="23" t="s">
        <v>95</v>
      </c>
      <c r="AC3" s="24" t="s">
        <v>29</v>
      </c>
      <c r="AD3" s="24" t="s">
        <v>30</v>
      </c>
      <c r="AE3" s="24" t="s">
        <v>31</v>
      </c>
      <c r="AF3" s="2" t="s">
        <v>32</v>
      </c>
      <c r="AG3" s="2" t="s">
        <v>33</v>
      </c>
      <c r="AH3" s="3" t="s">
        <v>34</v>
      </c>
      <c r="AI3" s="4" t="s">
        <v>111</v>
      </c>
      <c r="AJ3" s="4" t="s">
        <v>35</v>
      </c>
      <c r="AK3" s="4" t="s">
        <v>36</v>
      </c>
      <c r="AL3" s="4" t="s">
        <v>35</v>
      </c>
      <c r="AM3" s="4" t="s">
        <v>37</v>
      </c>
      <c r="AN3" s="4" t="s">
        <v>35</v>
      </c>
      <c r="AO3" s="4" t="s">
        <v>38</v>
      </c>
      <c r="AP3" s="4" t="s">
        <v>35</v>
      </c>
      <c r="AQ3" s="4" t="s">
        <v>39</v>
      </c>
      <c r="AR3" s="4" t="s">
        <v>40</v>
      </c>
      <c r="AS3" s="4" t="s">
        <v>41</v>
      </c>
      <c r="AT3" s="4" t="s">
        <v>42</v>
      </c>
      <c r="AU3" s="4" t="s">
        <v>43</v>
      </c>
      <c r="AV3" s="4" t="s">
        <v>44</v>
      </c>
      <c r="AW3" s="4" t="s">
        <v>45</v>
      </c>
      <c r="AX3" s="4" t="s">
        <v>46</v>
      </c>
      <c r="AY3" s="5" t="s">
        <v>112</v>
      </c>
      <c r="AZ3" s="5" t="s">
        <v>113</v>
      </c>
      <c r="BA3" s="5" t="s">
        <v>114</v>
      </c>
      <c r="BB3" s="5" t="s">
        <v>35</v>
      </c>
      <c r="BC3" s="5" t="s">
        <v>115</v>
      </c>
      <c r="BD3" s="5" t="s">
        <v>35</v>
      </c>
      <c r="BE3" s="6" t="s">
        <v>47</v>
      </c>
      <c r="BF3" s="6" t="s">
        <v>48</v>
      </c>
      <c r="BG3" s="6" t="s">
        <v>49</v>
      </c>
      <c r="BH3" s="6" t="s">
        <v>50</v>
      </c>
      <c r="BI3" s="6" t="s">
        <v>116</v>
      </c>
      <c r="BJ3" s="6" t="s">
        <v>51</v>
      </c>
      <c r="BK3" s="7" t="s">
        <v>52</v>
      </c>
      <c r="BL3" s="7" t="s">
        <v>53</v>
      </c>
      <c r="BM3" s="7" t="s">
        <v>54</v>
      </c>
      <c r="BN3" s="7" t="s">
        <v>55</v>
      </c>
      <c r="BO3" s="7" t="s">
        <v>56</v>
      </c>
      <c r="BP3" s="7" t="s">
        <v>57</v>
      </c>
      <c r="BQ3" s="7" t="s">
        <v>58</v>
      </c>
      <c r="BR3" s="7" t="s">
        <v>59</v>
      </c>
      <c r="BS3" s="7" t="s">
        <v>60</v>
      </c>
      <c r="BT3" s="7" t="s">
        <v>61</v>
      </c>
      <c r="BU3" s="7" t="s">
        <v>62</v>
      </c>
      <c r="BV3" s="7" t="s">
        <v>63</v>
      </c>
      <c r="BW3" s="7" t="s">
        <v>64</v>
      </c>
      <c r="BX3" s="8" t="s">
        <v>65</v>
      </c>
      <c r="BY3" s="8" t="s">
        <v>66</v>
      </c>
      <c r="BZ3" s="8" t="s">
        <v>67</v>
      </c>
    </row>
    <row r="4" spans="1:79" s="25" customFormat="1" ht="15" x14ac:dyDescent="0.2">
      <c r="A4" s="25" t="s">
        <v>93</v>
      </c>
      <c r="B4" s="25" t="s">
        <v>97</v>
      </c>
      <c r="C4" s="25">
        <v>2003</v>
      </c>
      <c r="D4" s="25" t="str">
        <f>N4</f>
        <v>10.1016/S0031-0182(03)00634-5</v>
      </c>
      <c r="E4" s="25">
        <f>T4*1000</f>
        <v>411450</v>
      </c>
      <c r="F4" s="25">
        <f>(U4-T4)*1000</f>
        <v>949.99999999998863</v>
      </c>
      <c r="G4" s="25">
        <f>(T4-V4)*1000</f>
        <v>949.99999999998863</v>
      </c>
      <c r="H4" s="28">
        <f>BX4</f>
        <v>4129.4160000000002</v>
      </c>
      <c r="I4" s="26" t="s">
        <v>96</v>
      </c>
      <c r="J4" s="26" t="s">
        <v>96</v>
      </c>
      <c r="K4" s="25" t="s">
        <v>100</v>
      </c>
      <c r="L4" s="25" t="s">
        <v>101</v>
      </c>
      <c r="M4" s="79" t="s">
        <v>99</v>
      </c>
      <c r="N4" s="25" t="s">
        <v>98</v>
      </c>
      <c r="O4" s="26" t="s">
        <v>96</v>
      </c>
      <c r="P4" s="26" t="s">
        <v>96</v>
      </c>
      <c r="Q4" s="11" t="s">
        <v>102</v>
      </c>
      <c r="R4" s="26" t="s">
        <v>96</v>
      </c>
      <c r="S4" s="26" t="s">
        <v>96</v>
      </c>
      <c r="T4" s="13">
        <f>AVERAGE(U4:V4)</f>
        <v>411.45</v>
      </c>
      <c r="U4" s="11">
        <v>412.4</v>
      </c>
      <c r="V4" s="11">
        <v>410.5</v>
      </c>
      <c r="W4" s="26" t="s">
        <v>96</v>
      </c>
      <c r="X4" s="11" t="s">
        <v>103</v>
      </c>
      <c r="Y4" s="26" t="s">
        <v>96</v>
      </c>
      <c r="Z4" s="26" t="s">
        <v>96</v>
      </c>
      <c r="AA4" s="26" t="s">
        <v>96</v>
      </c>
      <c r="AB4" s="26" t="s">
        <v>96</v>
      </c>
      <c r="AC4" s="26" t="s">
        <v>96</v>
      </c>
      <c r="AD4" s="11" t="s">
        <v>104</v>
      </c>
      <c r="AE4" s="11" t="s">
        <v>105</v>
      </c>
      <c r="AF4" s="26" t="s">
        <v>96</v>
      </c>
      <c r="AG4" s="26" t="s">
        <v>96</v>
      </c>
      <c r="AH4" s="26" t="s">
        <v>96</v>
      </c>
      <c r="AI4" s="11">
        <v>1</v>
      </c>
      <c r="AJ4" s="26" t="s">
        <v>96</v>
      </c>
      <c r="AK4" s="11">
        <v>39</v>
      </c>
      <c r="AL4" s="26" t="s">
        <v>96</v>
      </c>
      <c r="AM4" s="11">
        <v>30</v>
      </c>
      <c r="AN4" s="26" t="s">
        <v>96</v>
      </c>
      <c r="AO4" s="11">
        <v>10.5</v>
      </c>
      <c r="AP4" s="26" t="s">
        <v>96</v>
      </c>
      <c r="AQ4" s="11">
        <v>250</v>
      </c>
      <c r="AR4" s="26" t="s">
        <v>96</v>
      </c>
      <c r="AS4" s="25" t="s">
        <v>117</v>
      </c>
      <c r="AT4" s="11">
        <v>0.32</v>
      </c>
      <c r="AU4" s="25" t="s">
        <v>118</v>
      </c>
      <c r="AV4" s="12">
        <v>1.34</v>
      </c>
      <c r="AW4" s="25" t="s">
        <v>118</v>
      </c>
      <c r="AX4" s="11">
        <f>2.25*2</f>
        <v>4.5</v>
      </c>
      <c r="AY4" s="26" t="s">
        <v>96</v>
      </c>
      <c r="AZ4" s="26" t="s">
        <v>96</v>
      </c>
      <c r="BA4" s="26" t="s">
        <v>96</v>
      </c>
      <c r="BB4" s="26" t="s">
        <v>96</v>
      </c>
      <c r="BC4" s="26" t="s">
        <v>96</v>
      </c>
      <c r="BD4" s="26" t="s">
        <v>96</v>
      </c>
      <c r="BE4" s="11">
        <v>0.43</v>
      </c>
      <c r="BF4" s="26" t="s">
        <v>96</v>
      </c>
      <c r="BG4" s="26" t="s">
        <v>96</v>
      </c>
      <c r="BH4" s="26" t="s">
        <v>96</v>
      </c>
      <c r="BI4" s="26" t="s">
        <v>96</v>
      </c>
      <c r="BJ4" s="26" t="s">
        <v>96</v>
      </c>
      <c r="BK4" s="26" t="s">
        <v>96</v>
      </c>
      <c r="BL4" s="25" t="s">
        <v>119</v>
      </c>
      <c r="BM4" s="11">
        <v>30</v>
      </c>
      <c r="BN4" s="26" t="s">
        <v>96</v>
      </c>
      <c r="BO4" s="26" t="s">
        <v>96</v>
      </c>
      <c r="BP4" s="26" t="s">
        <v>96</v>
      </c>
      <c r="BQ4" s="26" t="s">
        <v>96</v>
      </c>
      <c r="BR4" s="26" t="s">
        <v>96</v>
      </c>
      <c r="BS4" s="26" t="s">
        <v>96</v>
      </c>
      <c r="BT4" s="26" t="s">
        <v>96</v>
      </c>
      <c r="BU4" s="11">
        <v>0.8</v>
      </c>
      <c r="BV4" s="26">
        <v>202600</v>
      </c>
      <c r="BW4" s="26" t="s">
        <v>96</v>
      </c>
      <c r="BX4" s="27">
        <f>166*0.024876*1000</f>
        <v>4129.4160000000002</v>
      </c>
      <c r="BY4" s="26" t="s">
        <v>96</v>
      </c>
      <c r="BZ4" s="26" t="s">
        <v>96</v>
      </c>
      <c r="CA4" s="25" t="s">
        <v>120</v>
      </c>
    </row>
    <row r="5" spans="1:79" s="25" customFormat="1" ht="15" x14ac:dyDescent="0.2">
      <c r="A5" s="25" t="s">
        <v>93</v>
      </c>
      <c r="B5" s="25" t="s">
        <v>97</v>
      </c>
      <c r="C5" s="25">
        <v>2003</v>
      </c>
      <c r="D5" s="25" t="str">
        <f>N5</f>
        <v>10.1016/S0031-0182(03)00634-5</v>
      </c>
      <c r="E5" s="25">
        <f t="shared" ref="E5:E6" si="0">T5*1000</f>
        <v>411450</v>
      </c>
      <c r="F5" s="25">
        <f t="shared" ref="F5:F6" si="1">(U5-T5)*1000</f>
        <v>949.99999999998863</v>
      </c>
      <c r="G5" s="25">
        <f t="shared" ref="G5:G6" si="2">(T5-V5)*1000</f>
        <v>949.99999999998863</v>
      </c>
      <c r="H5" s="28">
        <f t="shared" ref="H5:H6" si="3">BX5</f>
        <v>4801.0680000000002</v>
      </c>
      <c r="I5" s="26" t="s">
        <v>96</v>
      </c>
      <c r="J5" s="26" t="s">
        <v>96</v>
      </c>
      <c r="K5" s="25" t="s">
        <v>100</v>
      </c>
      <c r="L5" s="25" t="s">
        <v>101</v>
      </c>
      <c r="M5" s="25" t="s">
        <v>99</v>
      </c>
      <c r="N5" s="25" t="s">
        <v>98</v>
      </c>
      <c r="O5" s="26" t="s">
        <v>96</v>
      </c>
      <c r="P5" s="26" t="s">
        <v>96</v>
      </c>
      <c r="Q5" s="11" t="s">
        <v>102</v>
      </c>
      <c r="R5" s="26" t="s">
        <v>96</v>
      </c>
      <c r="S5" s="26" t="s">
        <v>96</v>
      </c>
      <c r="T5" s="13">
        <f t="shared" ref="T5:T6" si="4">AVERAGE(U5:V5)</f>
        <v>411.45</v>
      </c>
      <c r="U5" s="11">
        <v>412.4</v>
      </c>
      <c r="V5" s="11">
        <v>410.5</v>
      </c>
      <c r="W5" s="26" t="s">
        <v>96</v>
      </c>
      <c r="X5" s="11" t="s">
        <v>103</v>
      </c>
      <c r="Y5" s="26" t="s">
        <v>96</v>
      </c>
      <c r="Z5" s="26" t="s">
        <v>96</v>
      </c>
      <c r="AA5" s="26" t="s">
        <v>96</v>
      </c>
      <c r="AB5" s="26" t="s">
        <v>96</v>
      </c>
      <c r="AC5" s="26" t="s">
        <v>96</v>
      </c>
      <c r="AD5" s="11" t="s">
        <v>106</v>
      </c>
      <c r="AE5" s="11" t="s">
        <v>107</v>
      </c>
      <c r="AF5" s="26" t="s">
        <v>96</v>
      </c>
      <c r="AG5" s="26" t="s">
        <v>96</v>
      </c>
      <c r="AH5" s="26" t="s">
        <v>96</v>
      </c>
      <c r="AI5" s="11">
        <v>1.75</v>
      </c>
      <c r="AJ5" s="26" t="s">
        <v>96</v>
      </c>
      <c r="AK5" s="11">
        <v>29</v>
      </c>
      <c r="AL5" s="26" t="s">
        <v>96</v>
      </c>
      <c r="AM5" s="11">
        <v>15</v>
      </c>
      <c r="AN5" s="26" t="s">
        <v>96</v>
      </c>
      <c r="AO5" s="11">
        <v>10</v>
      </c>
      <c r="AP5" s="26" t="s">
        <v>96</v>
      </c>
      <c r="AQ5" s="11">
        <v>100</v>
      </c>
      <c r="AR5" s="26" t="s">
        <v>96</v>
      </c>
      <c r="AS5" s="25" t="s">
        <v>117</v>
      </c>
      <c r="AT5" s="11">
        <v>0.39900000000000002</v>
      </c>
      <c r="AU5" s="25" t="s">
        <v>118</v>
      </c>
      <c r="AV5" s="12">
        <v>1.57</v>
      </c>
      <c r="AW5" s="25" t="s">
        <v>118</v>
      </c>
      <c r="AX5" s="11">
        <f>1*2</f>
        <v>2</v>
      </c>
      <c r="AY5" s="26" t="s">
        <v>96</v>
      </c>
      <c r="AZ5" s="26" t="s">
        <v>96</v>
      </c>
      <c r="BA5" s="26" t="s">
        <v>96</v>
      </c>
      <c r="BB5" s="26" t="s">
        <v>96</v>
      </c>
      <c r="BC5" s="26" t="s">
        <v>96</v>
      </c>
      <c r="BD5" s="26" t="s">
        <v>96</v>
      </c>
      <c r="BE5" s="11">
        <v>1.1850000000000001</v>
      </c>
      <c r="BF5" s="26" t="s">
        <v>96</v>
      </c>
      <c r="BG5" s="26" t="s">
        <v>96</v>
      </c>
      <c r="BH5" s="26" t="s">
        <v>96</v>
      </c>
      <c r="BI5" s="26" t="s">
        <v>96</v>
      </c>
      <c r="BJ5" s="26" t="s">
        <v>96</v>
      </c>
      <c r="BK5" s="26" t="s">
        <v>96</v>
      </c>
      <c r="BL5" s="25" t="s">
        <v>119</v>
      </c>
      <c r="BM5" s="11">
        <v>30</v>
      </c>
      <c r="BN5" s="26" t="s">
        <v>96</v>
      </c>
      <c r="BO5" s="26" t="s">
        <v>96</v>
      </c>
      <c r="BP5" s="26" t="s">
        <v>96</v>
      </c>
      <c r="BQ5" s="26" t="s">
        <v>96</v>
      </c>
      <c r="BR5" s="26" t="s">
        <v>96</v>
      </c>
      <c r="BS5" s="26" t="s">
        <v>96</v>
      </c>
      <c r="BT5" s="26" t="s">
        <v>96</v>
      </c>
      <c r="BU5" s="11">
        <v>0.8</v>
      </c>
      <c r="BV5" s="26">
        <v>202600</v>
      </c>
      <c r="BW5" s="26" t="s">
        <v>96</v>
      </c>
      <c r="BX5" s="27">
        <f>193*0.024876*1000</f>
        <v>4801.0680000000002</v>
      </c>
      <c r="BY5" s="26" t="s">
        <v>96</v>
      </c>
      <c r="BZ5" s="26" t="s">
        <v>96</v>
      </c>
      <c r="CA5" s="25" t="s">
        <v>120</v>
      </c>
    </row>
    <row r="6" spans="1:79" s="25" customFormat="1" ht="15" x14ac:dyDescent="0.2">
      <c r="A6" s="25" t="s">
        <v>93</v>
      </c>
      <c r="B6" s="25" t="s">
        <v>97</v>
      </c>
      <c r="C6" s="25">
        <v>2003</v>
      </c>
      <c r="D6" s="25" t="str">
        <f>N6</f>
        <v>10.1016/S0031-0182(03)00634-5</v>
      </c>
      <c r="E6" s="25">
        <f t="shared" si="0"/>
        <v>411450</v>
      </c>
      <c r="F6" s="25">
        <f t="shared" si="1"/>
        <v>949.99999999998863</v>
      </c>
      <c r="G6" s="25">
        <f t="shared" si="2"/>
        <v>949.99999999998863</v>
      </c>
      <c r="H6" s="28">
        <f t="shared" si="3"/>
        <v>2636.8559999999998</v>
      </c>
      <c r="I6" s="26" t="s">
        <v>96</v>
      </c>
      <c r="J6" s="26" t="s">
        <v>96</v>
      </c>
      <c r="K6" s="25" t="s">
        <v>100</v>
      </c>
      <c r="L6" s="25" t="s">
        <v>101</v>
      </c>
      <c r="M6" s="25" t="s">
        <v>99</v>
      </c>
      <c r="N6" s="25" t="s">
        <v>98</v>
      </c>
      <c r="O6" s="26" t="s">
        <v>96</v>
      </c>
      <c r="P6" s="26" t="s">
        <v>96</v>
      </c>
      <c r="Q6" s="11" t="s">
        <v>102</v>
      </c>
      <c r="R6" s="26" t="s">
        <v>96</v>
      </c>
      <c r="S6" s="26" t="s">
        <v>96</v>
      </c>
      <c r="T6" s="13">
        <f t="shared" si="4"/>
        <v>411.45</v>
      </c>
      <c r="U6" s="11">
        <v>412.4</v>
      </c>
      <c r="V6" s="11">
        <v>410.5</v>
      </c>
      <c r="W6" s="26" t="s">
        <v>96</v>
      </c>
      <c r="X6" s="11" t="s">
        <v>103</v>
      </c>
      <c r="Y6" s="26" t="s">
        <v>96</v>
      </c>
      <c r="Z6" s="26" t="s">
        <v>96</v>
      </c>
      <c r="AA6" s="26" t="s">
        <v>96</v>
      </c>
      <c r="AB6" s="26" t="s">
        <v>96</v>
      </c>
      <c r="AC6" s="26" t="s">
        <v>96</v>
      </c>
      <c r="AD6" s="11" t="s">
        <v>108</v>
      </c>
      <c r="AE6" s="11" t="s">
        <v>109</v>
      </c>
      <c r="AF6" s="26" t="s">
        <v>96</v>
      </c>
      <c r="AG6" s="26" t="s">
        <v>96</v>
      </c>
      <c r="AH6" s="26" t="s">
        <v>96</v>
      </c>
      <c r="AI6" s="11">
        <v>3.35</v>
      </c>
      <c r="AJ6" s="26" t="s">
        <v>96</v>
      </c>
      <c r="AK6" s="11">
        <v>21</v>
      </c>
      <c r="AL6" s="26" t="s">
        <v>96</v>
      </c>
      <c r="AM6" s="11">
        <v>30</v>
      </c>
      <c r="AN6" s="26" t="s">
        <v>96</v>
      </c>
      <c r="AO6" s="11">
        <v>2.5</v>
      </c>
      <c r="AP6" s="26" t="s">
        <v>96</v>
      </c>
      <c r="AQ6" s="11">
        <v>420</v>
      </c>
      <c r="AR6" s="26" t="s">
        <v>96</v>
      </c>
      <c r="AS6" s="25" t="s">
        <v>117</v>
      </c>
      <c r="AT6" s="11">
        <v>0.35699999999999998</v>
      </c>
      <c r="AU6" s="25" t="s">
        <v>118</v>
      </c>
      <c r="AV6" s="12">
        <v>1.1200000000000001</v>
      </c>
      <c r="AW6" s="25" t="s">
        <v>118</v>
      </c>
      <c r="AX6" s="11">
        <f>1.05*2</f>
        <v>2.1</v>
      </c>
      <c r="AY6" s="26" t="s">
        <v>96</v>
      </c>
      <c r="AZ6" s="26" t="s">
        <v>96</v>
      </c>
      <c r="BA6" s="26" t="s">
        <v>96</v>
      </c>
      <c r="BB6" s="26" t="s">
        <v>96</v>
      </c>
      <c r="BC6" s="26" t="s">
        <v>96</v>
      </c>
      <c r="BD6" s="26" t="s">
        <v>96</v>
      </c>
      <c r="BE6" s="11">
        <v>0.32500000000000001</v>
      </c>
      <c r="BF6" s="26" t="s">
        <v>96</v>
      </c>
      <c r="BG6" s="26" t="s">
        <v>96</v>
      </c>
      <c r="BH6" s="26" t="s">
        <v>96</v>
      </c>
      <c r="BI6" s="26" t="s">
        <v>96</v>
      </c>
      <c r="BJ6" s="26" t="s">
        <v>96</v>
      </c>
      <c r="BK6" s="26" t="s">
        <v>96</v>
      </c>
      <c r="BL6" s="25" t="s">
        <v>119</v>
      </c>
      <c r="BM6" s="11">
        <v>30</v>
      </c>
      <c r="BN6" s="26" t="s">
        <v>96</v>
      </c>
      <c r="BO6" s="26" t="s">
        <v>96</v>
      </c>
      <c r="BP6" s="26" t="s">
        <v>96</v>
      </c>
      <c r="BQ6" s="26" t="s">
        <v>96</v>
      </c>
      <c r="BR6" s="26" t="s">
        <v>96</v>
      </c>
      <c r="BS6" s="26" t="s">
        <v>96</v>
      </c>
      <c r="BT6" s="26" t="s">
        <v>96</v>
      </c>
      <c r="BU6" s="11">
        <v>0.8</v>
      </c>
      <c r="BV6" s="26">
        <v>202600</v>
      </c>
      <c r="BW6" s="26" t="s">
        <v>96</v>
      </c>
      <c r="BX6" s="27">
        <f>106*0.024876*1000</f>
        <v>2636.8559999999998</v>
      </c>
      <c r="BY6" s="26" t="s">
        <v>96</v>
      </c>
      <c r="BZ6" s="26" t="s">
        <v>96</v>
      </c>
      <c r="CA6" s="25" t="s">
        <v>120</v>
      </c>
    </row>
  </sheetData>
  <pageMargins left="0.7" right="0.7" top="0.75" bottom="0.75" header="0.3" footer="0.3"/>
  <pageSetup paperSize="9" orientation="portrait" horizontalDpi="4294967293"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3C9B7-1B2F-4B92-AE23-81E2BD86A0EC}">
  <dimension ref="A1:AF99"/>
  <sheetViews>
    <sheetView topLeftCell="B1" workbookViewId="0">
      <selection activeCell="B4" sqref="A4:XFD4"/>
    </sheetView>
  </sheetViews>
  <sheetFormatPr baseColWidth="10" defaultColWidth="11" defaultRowHeight="16" x14ac:dyDescent="0.2"/>
  <cols>
    <col min="1" max="1" width="24.33203125" style="56" customWidth="1"/>
    <col min="2" max="2" width="48.5" style="56" customWidth="1"/>
    <col min="3" max="3" width="31.1640625" style="56" customWidth="1"/>
    <col min="4" max="4" width="14.1640625" style="56" customWidth="1"/>
    <col min="5" max="5" width="26" style="56" customWidth="1"/>
    <col min="6" max="7" width="22.33203125" style="32" customWidth="1"/>
    <col min="8" max="8" width="30.1640625" style="32" customWidth="1"/>
    <col min="9" max="9" width="20.33203125" style="32" customWidth="1"/>
    <col min="10" max="15" width="30.1640625" style="32" customWidth="1"/>
    <col min="16" max="16" width="20.83203125" style="32" customWidth="1"/>
    <col min="17" max="17" width="20.5" style="32" customWidth="1"/>
    <col min="18" max="18" width="25.5" style="32" customWidth="1"/>
    <col min="19" max="19" width="32.83203125" style="40" customWidth="1"/>
    <col min="20" max="20" width="20.33203125" style="40" customWidth="1"/>
    <col min="21" max="21" width="27" style="40" customWidth="1"/>
    <col min="22" max="22" width="19.5" style="40" customWidth="1"/>
    <col min="23" max="23" width="34.1640625" style="40" customWidth="1"/>
    <col min="24" max="24" width="20" style="40" customWidth="1"/>
    <col min="25" max="28" width="22.1640625" style="40" customWidth="1"/>
    <col min="29" max="29" width="11" style="40"/>
    <col min="30" max="30" width="21.83203125" style="40" customWidth="1"/>
    <col min="31" max="31" width="24.83203125" style="40" customWidth="1"/>
    <col min="32" max="32" width="88.6640625" style="57" customWidth="1"/>
  </cols>
  <sheetData>
    <row r="1" spans="1:32" x14ac:dyDescent="0.2">
      <c r="A1" s="29" t="s">
        <v>121</v>
      </c>
      <c r="B1" s="30"/>
      <c r="C1" s="30"/>
      <c r="D1" s="30"/>
      <c r="E1" s="31"/>
      <c r="S1" s="33"/>
      <c r="T1" s="34"/>
      <c r="U1" s="34"/>
      <c r="V1" s="34"/>
      <c r="W1" s="34"/>
      <c r="X1" s="34"/>
      <c r="Y1" s="34"/>
      <c r="Z1" s="34"/>
      <c r="AA1" s="34"/>
      <c r="AB1" s="34"/>
      <c r="AC1" s="34"/>
      <c r="AD1" s="34"/>
      <c r="AE1" s="35"/>
      <c r="AF1" s="36"/>
    </row>
    <row r="2" spans="1:32" x14ac:dyDescent="0.2">
      <c r="A2" s="63" t="s">
        <v>122</v>
      </c>
      <c r="B2" s="64"/>
      <c r="C2" s="64"/>
      <c r="D2" s="64"/>
      <c r="E2" s="65"/>
      <c r="F2" s="69" t="s">
        <v>123</v>
      </c>
      <c r="G2" s="69"/>
      <c r="H2" s="69"/>
      <c r="I2" s="69"/>
      <c r="J2" s="69"/>
      <c r="K2" s="69"/>
      <c r="L2" s="69"/>
      <c r="M2" s="69"/>
      <c r="N2" s="69"/>
      <c r="O2" s="69"/>
      <c r="P2" s="69"/>
      <c r="Q2" s="69"/>
      <c r="R2" s="69"/>
      <c r="S2" s="70" t="s">
        <v>124</v>
      </c>
      <c r="T2" s="71"/>
      <c r="U2" s="71"/>
      <c r="V2" s="71"/>
      <c r="W2" s="71"/>
      <c r="X2" s="71"/>
      <c r="Y2" s="71"/>
      <c r="Z2" s="71"/>
      <c r="AA2" s="71"/>
      <c r="AB2" s="71"/>
      <c r="AC2" s="64"/>
      <c r="AD2" s="64"/>
      <c r="AE2" s="65"/>
      <c r="AF2" s="72"/>
    </row>
    <row r="3" spans="1:32" x14ac:dyDescent="0.2">
      <c r="A3" s="66"/>
      <c r="B3" s="67"/>
      <c r="C3" s="67"/>
      <c r="D3" s="67"/>
      <c r="E3" s="68"/>
      <c r="F3" s="74" t="s">
        <v>125</v>
      </c>
      <c r="G3" s="74"/>
      <c r="H3" s="75"/>
      <c r="I3" s="75"/>
      <c r="J3" s="76" t="s">
        <v>126</v>
      </c>
      <c r="K3" s="77"/>
      <c r="L3" s="76" t="s">
        <v>127</v>
      </c>
      <c r="M3" s="78"/>
      <c r="N3" s="78"/>
      <c r="O3" s="77"/>
      <c r="P3" s="74" t="s">
        <v>128</v>
      </c>
      <c r="Q3" s="75"/>
      <c r="R3" s="75"/>
      <c r="S3" s="66"/>
      <c r="T3" s="67"/>
      <c r="U3" s="67"/>
      <c r="V3" s="67"/>
      <c r="W3" s="67"/>
      <c r="X3" s="67"/>
      <c r="Y3" s="67"/>
      <c r="Z3" s="67"/>
      <c r="AA3" s="67"/>
      <c r="AB3" s="67"/>
      <c r="AC3" s="67"/>
      <c r="AD3" s="67"/>
      <c r="AE3" s="68"/>
      <c r="AF3" s="73"/>
    </row>
    <row r="4" spans="1:32" s="45" customFormat="1" ht="229" customHeight="1" x14ac:dyDescent="0.2">
      <c r="A4" s="38" t="s">
        <v>134</v>
      </c>
      <c r="B4" s="38" t="s">
        <v>135</v>
      </c>
      <c r="C4" s="38" t="s">
        <v>136</v>
      </c>
      <c r="D4" s="38"/>
      <c r="E4" s="38"/>
      <c r="F4" s="41" t="s">
        <v>137</v>
      </c>
      <c r="G4" s="41" t="s">
        <v>138</v>
      </c>
      <c r="H4" s="41" t="s">
        <v>139</v>
      </c>
      <c r="I4" s="41"/>
      <c r="J4" s="41" t="s">
        <v>140</v>
      </c>
      <c r="K4" s="41" t="s">
        <v>141</v>
      </c>
      <c r="L4" s="41"/>
      <c r="M4" s="41"/>
      <c r="N4" s="41"/>
      <c r="O4" s="41"/>
      <c r="P4" s="41" t="s">
        <v>142</v>
      </c>
      <c r="Q4" s="41" t="s">
        <v>143</v>
      </c>
      <c r="R4" s="41" t="s">
        <v>144</v>
      </c>
      <c r="S4" s="40" t="s">
        <v>145</v>
      </c>
      <c r="T4" s="42" t="s">
        <v>146</v>
      </c>
      <c r="U4" s="40" t="s">
        <v>145</v>
      </c>
      <c r="V4" s="42" t="s">
        <v>147</v>
      </c>
      <c r="W4" s="40" t="s">
        <v>145</v>
      </c>
      <c r="X4" s="42" t="s">
        <v>148</v>
      </c>
      <c r="Y4" s="43" t="s">
        <v>149</v>
      </c>
      <c r="Z4" s="40" t="s">
        <v>145</v>
      </c>
      <c r="AA4" s="42" t="s">
        <v>150</v>
      </c>
      <c r="AB4" s="43" t="s">
        <v>151</v>
      </c>
      <c r="AC4" s="43" t="s">
        <v>152</v>
      </c>
      <c r="AD4" s="40" t="s">
        <v>145</v>
      </c>
      <c r="AE4" s="42" t="s">
        <v>153</v>
      </c>
      <c r="AF4" s="44" t="s">
        <v>154</v>
      </c>
    </row>
    <row r="5" spans="1:32" s="51" customFormat="1" ht="52" thickBot="1" x14ac:dyDescent="0.25">
      <c r="A5" s="46" t="s">
        <v>155</v>
      </c>
      <c r="B5" s="47" t="s">
        <v>156</v>
      </c>
      <c r="C5" s="47" t="s">
        <v>157</v>
      </c>
      <c r="D5" s="47" t="s">
        <v>158</v>
      </c>
      <c r="E5" s="47" t="s">
        <v>159</v>
      </c>
      <c r="F5" s="48" t="s">
        <v>160</v>
      </c>
      <c r="G5" s="48" t="s">
        <v>161</v>
      </c>
      <c r="H5" s="48" t="s">
        <v>162</v>
      </c>
      <c r="I5" s="48" t="s">
        <v>163</v>
      </c>
      <c r="J5" s="48" t="s">
        <v>164</v>
      </c>
      <c r="K5" s="48" t="s">
        <v>165</v>
      </c>
      <c r="L5" s="48" t="s">
        <v>166</v>
      </c>
      <c r="M5" s="48" t="s">
        <v>167</v>
      </c>
      <c r="N5" s="48" t="s">
        <v>168</v>
      </c>
      <c r="O5" s="48" t="s">
        <v>169</v>
      </c>
      <c r="P5" s="48" t="s">
        <v>170</v>
      </c>
      <c r="Q5" s="48" t="s">
        <v>171</v>
      </c>
      <c r="R5" s="48" t="s">
        <v>172</v>
      </c>
      <c r="S5" s="49" t="s">
        <v>173</v>
      </c>
      <c r="T5" s="49" t="s">
        <v>174</v>
      </c>
      <c r="U5" s="49" t="s">
        <v>175</v>
      </c>
      <c r="V5" s="49" t="s">
        <v>176</v>
      </c>
      <c r="W5" s="49" t="s">
        <v>177</v>
      </c>
      <c r="X5" s="49" t="s">
        <v>178</v>
      </c>
      <c r="Y5" s="49" t="s">
        <v>179</v>
      </c>
      <c r="Z5" s="49" t="s">
        <v>180</v>
      </c>
      <c r="AA5" s="49" t="s">
        <v>181</v>
      </c>
      <c r="AB5" s="49" t="s">
        <v>182</v>
      </c>
      <c r="AC5" s="49" t="s">
        <v>183</v>
      </c>
      <c r="AD5" s="49" t="s">
        <v>184</v>
      </c>
      <c r="AE5" s="49" t="s">
        <v>185</v>
      </c>
      <c r="AF5" s="50" t="s">
        <v>186</v>
      </c>
    </row>
    <row r="6" spans="1:32" x14ac:dyDescent="0.2">
      <c r="A6" s="52" t="s">
        <v>102</v>
      </c>
      <c r="B6" s="52" t="s">
        <v>96</v>
      </c>
      <c r="C6" s="53" t="s">
        <v>193</v>
      </c>
      <c r="D6" s="53">
        <v>412.4</v>
      </c>
      <c r="E6" s="53" t="s">
        <v>96</v>
      </c>
      <c r="F6" s="54"/>
      <c r="G6" s="54"/>
      <c r="H6" s="54"/>
      <c r="I6" s="54"/>
      <c r="J6" s="54" t="s">
        <v>337</v>
      </c>
      <c r="K6" s="54" t="s">
        <v>336</v>
      </c>
      <c r="L6" s="54"/>
      <c r="M6" s="54"/>
      <c r="N6" s="54"/>
      <c r="O6" s="54"/>
      <c r="P6" s="54"/>
      <c r="Q6" s="54"/>
      <c r="R6" s="54"/>
      <c r="S6" s="55"/>
      <c r="T6" s="55"/>
      <c r="U6" s="55"/>
      <c r="V6" s="55"/>
      <c r="W6" s="55"/>
      <c r="X6" s="55"/>
      <c r="Y6" s="55"/>
      <c r="Z6" s="55"/>
      <c r="AA6" s="55"/>
      <c r="AB6" s="55"/>
      <c r="AC6" s="55"/>
      <c r="AD6" s="55"/>
      <c r="AE6" s="55"/>
      <c r="AF6" s="37"/>
    </row>
    <row r="7" spans="1:32" x14ac:dyDescent="0.2">
      <c r="A7" s="52" t="s">
        <v>102</v>
      </c>
      <c r="B7" s="52" t="s">
        <v>96</v>
      </c>
      <c r="C7" s="53" t="s">
        <v>192</v>
      </c>
      <c r="D7" s="53">
        <v>410.5</v>
      </c>
      <c r="E7" s="53" t="s">
        <v>96</v>
      </c>
      <c r="F7" s="54"/>
      <c r="G7" s="54"/>
      <c r="H7" s="54"/>
      <c r="I7" s="54"/>
      <c r="J7" s="54" t="s">
        <v>337</v>
      </c>
      <c r="K7" s="54" t="s">
        <v>336</v>
      </c>
      <c r="L7" s="54"/>
      <c r="M7" s="54"/>
      <c r="N7" s="54"/>
      <c r="O7" s="54"/>
      <c r="P7" s="54"/>
      <c r="Q7" s="54"/>
      <c r="R7" s="54"/>
      <c r="S7" s="55"/>
      <c r="T7" s="55"/>
      <c r="U7" s="55"/>
      <c r="V7" s="55"/>
      <c r="W7" s="55"/>
      <c r="X7" s="55"/>
      <c r="Y7" s="55"/>
      <c r="Z7" s="55"/>
      <c r="AA7" s="55"/>
      <c r="AB7" s="55"/>
      <c r="AC7" s="55"/>
      <c r="AD7" s="55"/>
      <c r="AE7" s="55"/>
      <c r="AF7" s="37"/>
    </row>
    <row r="8" spans="1:32" x14ac:dyDescent="0.2">
      <c r="A8" s="52"/>
      <c r="B8" s="52"/>
      <c r="C8" s="53"/>
      <c r="D8" s="53"/>
      <c r="E8" s="53"/>
      <c r="F8" s="54"/>
      <c r="G8" s="54"/>
      <c r="H8" s="54"/>
      <c r="I8" s="54"/>
      <c r="J8" s="54"/>
      <c r="K8" s="54"/>
      <c r="L8" s="54"/>
      <c r="M8" s="54"/>
      <c r="N8" s="54"/>
      <c r="O8" s="54"/>
      <c r="P8" s="54"/>
      <c r="Q8" s="54"/>
      <c r="R8" s="54"/>
      <c r="S8" s="55"/>
      <c r="T8" s="55"/>
      <c r="U8" s="55"/>
      <c r="V8" s="55"/>
      <c r="W8" s="55"/>
      <c r="X8" s="55"/>
      <c r="Y8" s="55"/>
      <c r="Z8" s="55"/>
      <c r="AA8" s="55"/>
      <c r="AB8" s="55"/>
      <c r="AC8" s="55"/>
      <c r="AD8" s="55"/>
      <c r="AE8" s="55"/>
      <c r="AF8" s="37"/>
    </row>
    <row r="9" spans="1:32" x14ac:dyDescent="0.2">
      <c r="A9" s="52"/>
      <c r="B9" s="52"/>
      <c r="C9" s="53"/>
      <c r="D9" s="53"/>
      <c r="E9" s="53"/>
      <c r="F9" s="54"/>
      <c r="G9" s="54"/>
      <c r="H9" s="54"/>
      <c r="I9" s="54"/>
      <c r="J9" s="54"/>
      <c r="K9" s="54"/>
      <c r="L9" s="54"/>
      <c r="M9" s="54"/>
      <c r="N9" s="54"/>
      <c r="O9" s="54"/>
      <c r="P9" s="54"/>
      <c r="Q9" s="54"/>
      <c r="R9" s="54"/>
      <c r="S9" s="55"/>
      <c r="T9" s="55"/>
      <c r="U9" s="55"/>
      <c r="V9" s="55"/>
      <c r="W9" s="55"/>
      <c r="X9" s="55"/>
      <c r="Y9" s="55"/>
      <c r="Z9" s="55"/>
      <c r="AA9" s="55"/>
      <c r="AB9" s="55"/>
      <c r="AC9" s="55"/>
      <c r="AD9" s="55"/>
      <c r="AE9" s="55"/>
      <c r="AF9" s="37"/>
    </row>
    <row r="10" spans="1:32" x14ac:dyDescent="0.2">
      <c r="A10" s="52"/>
      <c r="B10" s="52"/>
      <c r="C10" s="53"/>
      <c r="D10" s="53"/>
      <c r="E10" s="53"/>
      <c r="F10" s="54"/>
      <c r="G10" s="54"/>
      <c r="H10" s="54"/>
      <c r="I10" s="54"/>
      <c r="J10" s="54"/>
      <c r="K10" s="54"/>
      <c r="L10" s="54"/>
      <c r="M10" s="54"/>
      <c r="N10" s="54"/>
      <c r="O10" s="54"/>
      <c r="P10" s="54"/>
      <c r="Q10" s="54"/>
      <c r="R10" s="54"/>
      <c r="S10" s="55"/>
      <c r="T10" s="55"/>
      <c r="U10" s="55"/>
      <c r="V10" s="55"/>
      <c r="W10" s="55"/>
      <c r="X10" s="55"/>
      <c r="Y10" s="55"/>
      <c r="Z10" s="55"/>
      <c r="AA10" s="55"/>
      <c r="AB10" s="55"/>
      <c r="AC10" s="55"/>
      <c r="AD10" s="55"/>
      <c r="AE10" s="55"/>
      <c r="AF10" s="37"/>
    </row>
    <row r="11" spans="1:32" x14ac:dyDescent="0.2">
      <c r="A11" s="52"/>
      <c r="B11" s="52"/>
      <c r="C11" s="53"/>
      <c r="D11" s="53"/>
      <c r="E11" s="53"/>
      <c r="F11" s="54"/>
      <c r="G11" s="54"/>
      <c r="H11" s="54"/>
      <c r="I11" s="54"/>
      <c r="J11" s="54"/>
      <c r="K11" s="54"/>
      <c r="L11" s="54"/>
      <c r="M11" s="54"/>
      <c r="N11" s="54"/>
      <c r="O11" s="54"/>
      <c r="P11" s="54"/>
      <c r="Q11" s="54"/>
      <c r="R11" s="54"/>
      <c r="S11" s="55"/>
      <c r="T11" s="55"/>
      <c r="U11" s="55"/>
      <c r="V11" s="55"/>
      <c r="W11" s="55"/>
      <c r="X11" s="55"/>
      <c r="Y11" s="55"/>
      <c r="Z11" s="55"/>
      <c r="AA11" s="55"/>
      <c r="AB11" s="55"/>
      <c r="AC11" s="55"/>
      <c r="AD11" s="55"/>
      <c r="AE11" s="55"/>
      <c r="AF11" s="37"/>
    </row>
    <row r="12" spans="1:32" x14ac:dyDescent="0.2">
      <c r="A12" s="52"/>
      <c r="B12" s="52"/>
      <c r="C12" s="53"/>
      <c r="D12" s="53"/>
      <c r="E12" s="53"/>
      <c r="F12" s="54"/>
      <c r="G12" s="54"/>
      <c r="H12" s="54"/>
      <c r="I12" s="54"/>
      <c r="J12" s="54"/>
      <c r="K12" s="54"/>
      <c r="L12" s="54"/>
      <c r="M12" s="54"/>
      <c r="N12" s="54"/>
      <c r="O12" s="54"/>
      <c r="P12" s="54"/>
      <c r="Q12" s="54"/>
      <c r="R12" s="54"/>
      <c r="S12" s="55"/>
      <c r="T12" s="55"/>
      <c r="U12" s="55"/>
      <c r="V12" s="55"/>
      <c r="W12" s="55"/>
      <c r="X12" s="55"/>
      <c r="Y12" s="55"/>
      <c r="Z12" s="55"/>
      <c r="AA12" s="55"/>
      <c r="AB12" s="55"/>
      <c r="AC12" s="55"/>
      <c r="AD12" s="55"/>
      <c r="AE12" s="55"/>
      <c r="AF12" s="37"/>
    </row>
    <row r="13" spans="1:32" x14ac:dyDescent="0.2">
      <c r="A13" s="52"/>
      <c r="B13" s="52"/>
      <c r="C13" s="53"/>
      <c r="D13" s="53"/>
      <c r="E13" s="53"/>
      <c r="F13" s="54"/>
      <c r="G13" s="54"/>
      <c r="H13" s="54"/>
      <c r="I13" s="54"/>
      <c r="J13" s="54"/>
      <c r="K13" s="54"/>
      <c r="L13" s="54"/>
      <c r="M13" s="54"/>
      <c r="N13" s="54"/>
      <c r="O13" s="54"/>
      <c r="P13" s="54"/>
      <c r="Q13" s="54"/>
      <c r="R13" s="54"/>
      <c r="S13" s="55"/>
      <c r="T13" s="55"/>
      <c r="U13" s="55"/>
      <c r="V13" s="55"/>
      <c r="W13" s="55"/>
      <c r="X13" s="55"/>
      <c r="Y13" s="55"/>
      <c r="Z13" s="55"/>
      <c r="AA13" s="55"/>
      <c r="AB13" s="55"/>
      <c r="AC13" s="55"/>
      <c r="AD13" s="55"/>
      <c r="AE13" s="55"/>
      <c r="AF13" s="37"/>
    </row>
    <row r="14" spans="1:32" x14ac:dyDescent="0.2">
      <c r="A14" s="52"/>
      <c r="B14" s="52"/>
      <c r="C14" s="53"/>
      <c r="D14" s="53"/>
      <c r="E14" s="53"/>
      <c r="F14" s="54"/>
      <c r="G14" s="54"/>
      <c r="H14" s="54"/>
      <c r="I14" s="54"/>
      <c r="J14" s="54"/>
      <c r="K14" s="54"/>
      <c r="L14" s="54"/>
      <c r="M14" s="54"/>
      <c r="N14" s="54"/>
      <c r="O14" s="54"/>
      <c r="P14" s="54"/>
      <c r="Q14" s="54"/>
      <c r="R14" s="54"/>
      <c r="S14" s="55"/>
      <c r="T14" s="55"/>
      <c r="U14" s="55"/>
      <c r="V14" s="55"/>
      <c r="W14" s="55"/>
      <c r="X14" s="55"/>
      <c r="Y14" s="55"/>
      <c r="Z14" s="55"/>
      <c r="AA14" s="55"/>
      <c r="AB14" s="55"/>
      <c r="AC14" s="55"/>
      <c r="AD14" s="55"/>
      <c r="AE14" s="55"/>
      <c r="AF14" s="37"/>
    </row>
    <row r="15" spans="1:32" x14ac:dyDescent="0.2">
      <c r="A15" s="52"/>
      <c r="B15" s="52"/>
      <c r="C15" s="53"/>
      <c r="D15" s="53"/>
      <c r="E15" s="53"/>
      <c r="F15" s="54"/>
      <c r="G15" s="54"/>
      <c r="H15" s="54"/>
      <c r="I15" s="54"/>
      <c r="J15" s="54"/>
      <c r="K15" s="54"/>
      <c r="L15" s="54"/>
      <c r="M15" s="54"/>
      <c r="N15" s="54"/>
      <c r="O15" s="54"/>
      <c r="P15" s="54"/>
      <c r="Q15" s="54"/>
      <c r="R15" s="54"/>
      <c r="S15" s="55"/>
      <c r="T15" s="55"/>
      <c r="U15" s="55"/>
      <c r="V15" s="55"/>
      <c r="W15" s="55"/>
      <c r="X15" s="55"/>
      <c r="Y15" s="55"/>
      <c r="Z15" s="55"/>
      <c r="AA15" s="55"/>
      <c r="AB15" s="55"/>
      <c r="AC15" s="55"/>
      <c r="AD15" s="55"/>
      <c r="AE15" s="55"/>
      <c r="AF15" s="37"/>
    </row>
    <row r="16" spans="1:32" x14ac:dyDescent="0.2">
      <c r="A16" s="52"/>
      <c r="B16" s="52"/>
      <c r="C16" s="53"/>
      <c r="D16" s="53"/>
      <c r="E16" s="53"/>
      <c r="F16" s="54"/>
      <c r="G16" s="54"/>
      <c r="H16" s="54"/>
      <c r="I16" s="54"/>
      <c r="J16" s="54"/>
      <c r="K16" s="54"/>
      <c r="L16" s="54"/>
      <c r="M16" s="54"/>
      <c r="N16" s="54"/>
      <c r="O16" s="54"/>
      <c r="P16" s="54"/>
      <c r="Q16" s="54"/>
      <c r="R16" s="54"/>
      <c r="S16" s="55"/>
      <c r="T16" s="55"/>
      <c r="U16" s="55"/>
      <c r="V16" s="55"/>
      <c r="W16" s="55"/>
      <c r="X16" s="55"/>
      <c r="Y16" s="55"/>
      <c r="Z16" s="55"/>
      <c r="AA16" s="55"/>
      <c r="AB16" s="55"/>
      <c r="AC16" s="55"/>
      <c r="AD16" s="55"/>
      <c r="AE16" s="55"/>
      <c r="AF16" s="37"/>
    </row>
    <row r="17" spans="1:32" x14ac:dyDescent="0.2">
      <c r="A17" s="52"/>
      <c r="B17" s="52"/>
      <c r="C17" s="53"/>
      <c r="D17" s="53"/>
      <c r="E17" s="53"/>
      <c r="F17" s="54"/>
      <c r="G17" s="54"/>
      <c r="H17" s="54"/>
      <c r="I17" s="54"/>
      <c r="J17" s="54"/>
      <c r="K17" s="54"/>
      <c r="L17" s="54"/>
      <c r="M17" s="54"/>
      <c r="N17" s="54"/>
      <c r="O17" s="54"/>
      <c r="P17" s="54"/>
      <c r="Q17" s="54"/>
      <c r="R17" s="54"/>
      <c r="S17" s="55"/>
      <c r="T17" s="55"/>
      <c r="U17" s="55"/>
      <c r="V17" s="55"/>
      <c r="W17" s="55"/>
      <c r="X17" s="55"/>
      <c r="Y17" s="55"/>
      <c r="Z17" s="55"/>
      <c r="AA17" s="55"/>
      <c r="AB17" s="55"/>
      <c r="AC17" s="55"/>
      <c r="AD17" s="55"/>
      <c r="AE17" s="55"/>
      <c r="AF17" s="37"/>
    </row>
    <row r="18" spans="1:32" x14ac:dyDescent="0.2">
      <c r="A18" s="52"/>
      <c r="B18" s="52"/>
      <c r="C18" s="53"/>
      <c r="D18" s="53"/>
      <c r="E18" s="53"/>
      <c r="F18" s="54"/>
      <c r="G18" s="54"/>
      <c r="H18" s="54"/>
      <c r="I18" s="54"/>
      <c r="J18" s="54"/>
      <c r="K18" s="54"/>
      <c r="L18" s="54"/>
      <c r="M18" s="54"/>
      <c r="N18" s="54"/>
      <c r="O18" s="54"/>
      <c r="P18" s="54"/>
      <c r="Q18" s="54"/>
      <c r="R18" s="54"/>
      <c r="S18" s="55"/>
      <c r="T18" s="55"/>
      <c r="U18" s="55"/>
      <c r="V18" s="55"/>
      <c r="W18" s="55"/>
      <c r="X18" s="55"/>
      <c r="Y18" s="55"/>
      <c r="Z18" s="55"/>
      <c r="AA18" s="55"/>
      <c r="AB18" s="55"/>
      <c r="AC18" s="55"/>
      <c r="AD18" s="55"/>
      <c r="AE18" s="55"/>
      <c r="AF18" s="37"/>
    </row>
    <row r="19" spans="1:32" x14ac:dyDescent="0.2">
      <c r="A19" s="52"/>
      <c r="B19" s="52"/>
      <c r="C19" s="53"/>
      <c r="D19" s="53"/>
      <c r="E19" s="53"/>
      <c r="F19" s="54"/>
      <c r="G19" s="54"/>
      <c r="H19" s="54"/>
      <c r="I19" s="54"/>
      <c r="J19" s="54"/>
      <c r="K19" s="54"/>
      <c r="L19" s="54"/>
      <c r="M19" s="54"/>
      <c r="N19" s="54"/>
      <c r="O19" s="54"/>
      <c r="P19" s="54"/>
      <c r="Q19" s="54"/>
      <c r="R19" s="54"/>
      <c r="S19" s="55"/>
      <c r="T19" s="55"/>
      <c r="U19" s="55"/>
      <c r="V19" s="55"/>
      <c r="W19" s="55"/>
      <c r="X19" s="55"/>
      <c r="Y19" s="55"/>
      <c r="Z19" s="55"/>
      <c r="AA19" s="55"/>
      <c r="AB19" s="55"/>
      <c r="AC19" s="55"/>
      <c r="AD19" s="55"/>
      <c r="AE19" s="55"/>
      <c r="AF19" s="37"/>
    </row>
    <row r="20" spans="1:32" x14ac:dyDescent="0.2">
      <c r="A20" s="52"/>
      <c r="B20" s="52"/>
      <c r="C20" s="53"/>
      <c r="D20" s="53"/>
      <c r="E20" s="53"/>
      <c r="F20" s="54"/>
      <c r="G20" s="54"/>
      <c r="H20" s="54"/>
      <c r="I20" s="54"/>
      <c r="J20" s="54"/>
      <c r="K20" s="54"/>
      <c r="L20" s="54"/>
      <c r="M20" s="54"/>
      <c r="N20" s="54"/>
      <c r="O20" s="54"/>
      <c r="P20" s="54"/>
      <c r="Q20" s="54"/>
      <c r="R20" s="54"/>
      <c r="S20" s="55"/>
      <c r="T20" s="55"/>
      <c r="U20" s="55"/>
      <c r="V20" s="55"/>
      <c r="W20" s="55"/>
      <c r="X20" s="55"/>
      <c r="Y20" s="55"/>
      <c r="Z20" s="55"/>
      <c r="AA20" s="55"/>
      <c r="AB20" s="55"/>
      <c r="AC20" s="55"/>
      <c r="AD20" s="55"/>
      <c r="AE20" s="55"/>
      <c r="AF20" s="37"/>
    </row>
    <row r="21" spans="1:32" x14ac:dyDescent="0.2">
      <c r="A21" s="52"/>
      <c r="B21" s="52"/>
      <c r="C21" s="53"/>
      <c r="D21" s="53"/>
      <c r="E21" s="53"/>
      <c r="F21" s="54"/>
      <c r="G21" s="54"/>
      <c r="H21" s="54"/>
      <c r="I21" s="54"/>
      <c r="J21" s="54"/>
      <c r="K21" s="54"/>
      <c r="L21" s="54"/>
      <c r="M21" s="54"/>
      <c r="N21" s="54"/>
      <c r="O21" s="54"/>
      <c r="P21" s="54"/>
      <c r="Q21" s="54"/>
      <c r="R21" s="54"/>
      <c r="S21" s="55"/>
      <c r="T21" s="55"/>
      <c r="U21" s="55"/>
      <c r="V21" s="55"/>
      <c r="W21" s="55"/>
      <c r="X21" s="55"/>
      <c r="Y21" s="55"/>
      <c r="Z21" s="55"/>
      <c r="AA21" s="55"/>
      <c r="AB21" s="55"/>
      <c r="AC21" s="55"/>
      <c r="AD21" s="55"/>
      <c r="AE21" s="55"/>
      <c r="AF21" s="37"/>
    </row>
    <row r="22" spans="1:32" x14ac:dyDescent="0.2">
      <c r="A22" s="52"/>
      <c r="B22" s="52"/>
      <c r="C22" s="53"/>
      <c r="D22" s="53"/>
      <c r="E22" s="53"/>
      <c r="F22" s="54"/>
      <c r="G22" s="54"/>
      <c r="H22" s="54"/>
      <c r="I22" s="54"/>
      <c r="J22" s="54"/>
      <c r="K22" s="54"/>
      <c r="L22" s="54"/>
      <c r="M22" s="54"/>
      <c r="N22" s="54"/>
      <c r="O22" s="54"/>
      <c r="P22" s="54"/>
      <c r="Q22" s="54"/>
      <c r="R22" s="54"/>
      <c r="S22" s="55"/>
      <c r="T22" s="55"/>
      <c r="U22" s="55"/>
      <c r="V22" s="55"/>
      <c r="W22" s="55"/>
      <c r="X22" s="55"/>
      <c r="Y22" s="55"/>
      <c r="Z22" s="55"/>
      <c r="AA22" s="55"/>
      <c r="AB22" s="55"/>
      <c r="AC22" s="55"/>
      <c r="AD22" s="55"/>
      <c r="AE22" s="55"/>
      <c r="AF22" s="37"/>
    </row>
    <row r="23" spans="1:32" x14ac:dyDescent="0.2">
      <c r="A23" s="52"/>
      <c r="B23" s="52"/>
      <c r="C23" s="53"/>
      <c r="D23" s="53"/>
      <c r="E23" s="53"/>
      <c r="F23" s="54"/>
      <c r="G23" s="54"/>
      <c r="H23" s="54"/>
      <c r="I23" s="54"/>
      <c r="J23" s="54"/>
      <c r="K23" s="54"/>
      <c r="L23" s="54"/>
      <c r="M23" s="54"/>
      <c r="N23" s="54"/>
      <c r="O23" s="54"/>
      <c r="P23" s="54"/>
      <c r="Q23" s="54"/>
      <c r="R23" s="54"/>
      <c r="S23" s="55"/>
      <c r="T23" s="55"/>
      <c r="U23" s="55"/>
      <c r="V23" s="55"/>
      <c r="W23" s="55"/>
      <c r="X23" s="55"/>
      <c r="Y23" s="55"/>
      <c r="Z23" s="55"/>
      <c r="AA23" s="55"/>
      <c r="AB23" s="55"/>
      <c r="AC23" s="55"/>
      <c r="AD23" s="55"/>
      <c r="AE23" s="55"/>
      <c r="AF23" s="37"/>
    </row>
    <row r="24" spans="1:32" x14ac:dyDescent="0.2">
      <c r="A24" s="52"/>
      <c r="B24" s="52"/>
      <c r="C24" s="53"/>
      <c r="D24" s="53"/>
      <c r="E24" s="53"/>
      <c r="F24" s="54"/>
      <c r="G24" s="54"/>
      <c r="H24" s="54"/>
      <c r="I24" s="54"/>
      <c r="J24" s="54"/>
      <c r="K24" s="54"/>
      <c r="L24" s="54"/>
      <c r="M24" s="54"/>
      <c r="N24" s="54"/>
      <c r="O24" s="54"/>
      <c r="P24" s="54"/>
      <c r="Q24" s="54"/>
      <c r="R24" s="54"/>
      <c r="S24" s="55"/>
      <c r="T24" s="55"/>
      <c r="U24" s="55"/>
      <c r="V24" s="55"/>
      <c r="W24" s="55"/>
      <c r="X24" s="55"/>
      <c r="Y24" s="55"/>
      <c r="Z24" s="55"/>
      <c r="AA24" s="55"/>
      <c r="AB24" s="55"/>
      <c r="AC24" s="55"/>
      <c r="AD24" s="55"/>
      <c r="AE24" s="55"/>
      <c r="AF24" s="37"/>
    </row>
    <row r="25" spans="1:32" x14ac:dyDescent="0.2">
      <c r="A25" s="52"/>
      <c r="B25" s="52"/>
      <c r="C25" s="53"/>
      <c r="D25" s="53"/>
      <c r="E25" s="53"/>
      <c r="F25" s="54"/>
      <c r="G25" s="54"/>
      <c r="H25" s="54"/>
      <c r="I25" s="54"/>
      <c r="J25" s="54"/>
      <c r="K25" s="54"/>
      <c r="L25" s="54"/>
      <c r="M25" s="54"/>
      <c r="N25" s="54"/>
      <c r="O25" s="54"/>
      <c r="P25" s="54"/>
      <c r="Q25" s="54"/>
      <c r="R25" s="54"/>
      <c r="S25" s="55"/>
      <c r="T25" s="55"/>
      <c r="U25" s="55"/>
      <c r="V25" s="55"/>
      <c r="W25" s="55"/>
      <c r="X25" s="55"/>
      <c r="Y25" s="55"/>
      <c r="Z25" s="55"/>
      <c r="AA25" s="55"/>
      <c r="AB25" s="55"/>
      <c r="AC25" s="55"/>
      <c r="AD25" s="55"/>
      <c r="AE25" s="55"/>
      <c r="AF25" s="37"/>
    </row>
    <row r="26" spans="1:32" x14ac:dyDescent="0.2">
      <c r="A26" s="52"/>
      <c r="B26" s="52"/>
      <c r="C26" s="53"/>
      <c r="D26" s="53"/>
      <c r="E26" s="53"/>
      <c r="F26" s="54"/>
      <c r="G26" s="54"/>
      <c r="H26" s="54"/>
      <c r="I26" s="54"/>
      <c r="J26" s="54"/>
      <c r="K26" s="54"/>
      <c r="L26" s="54"/>
      <c r="M26" s="54"/>
      <c r="N26" s="54"/>
      <c r="O26" s="54"/>
      <c r="P26" s="54"/>
      <c r="Q26" s="54"/>
      <c r="R26" s="54"/>
      <c r="S26" s="55"/>
      <c r="T26" s="55"/>
      <c r="U26" s="55"/>
      <c r="V26" s="55"/>
      <c r="W26" s="55"/>
      <c r="X26" s="55"/>
      <c r="Y26" s="55"/>
      <c r="Z26" s="55"/>
      <c r="AA26" s="55"/>
      <c r="AB26" s="55"/>
      <c r="AC26" s="55"/>
      <c r="AD26" s="55"/>
      <c r="AE26" s="55"/>
      <c r="AF26" s="37"/>
    </row>
    <row r="27" spans="1:32" x14ac:dyDescent="0.2">
      <c r="A27" s="52"/>
      <c r="B27" s="52"/>
      <c r="C27" s="53"/>
      <c r="D27" s="53"/>
      <c r="E27" s="53"/>
      <c r="F27" s="54"/>
      <c r="G27" s="54"/>
      <c r="H27" s="54"/>
      <c r="I27" s="54"/>
      <c r="J27" s="54"/>
      <c r="K27" s="54"/>
      <c r="L27" s="54"/>
      <c r="M27" s="54"/>
      <c r="N27" s="54"/>
      <c r="O27" s="54"/>
      <c r="P27" s="54"/>
      <c r="Q27" s="54"/>
      <c r="R27" s="54"/>
      <c r="S27" s="55"/>
      <c r="T27" s="55"/>
      <c r="U27" s="55"/>
      <c r="V27" s="55"/>
      <c r="W27" s="55"/>
      <c r="X27" s="55"/>
      <c r="Y27" s="55"/>
      <c r="Z27" s="55"/>
      <c r="AA27" s="55"/>
      <c r="AB27" s="55"/>
      <c r="AC27" s="55"/>
      <c r="AD27" s="55"/>
      <c r="AE27" s="55"/>
      <c r="AF27" s="37"/>
    </row>
    <row r="28" spans="1:32" x14ac:dyDescent="0.2">
      <c r="A28" s="52"/>
      <c r="B28" s="52"/>
      <c r="C28" s="53"/>
      <c r="D28" s="53"/>
      <c r="E28" s="53"/>
      <c r="F28" s="54"/>
      <c r="G28" s="54"/>
      <c r="H28" s="54"/>
      <c r="I28" s="54"/>
      <c r="J28" s="54"/>
      <c r="K28" s="54"/>
      <c r="L28" s="54"/>
      <c r="M28" s="54"/>
      <c r="N28" s="54"/>
      <c r="O28" s="54"/>
      <c r="P28" s="54"/>
      <c r="Q28" s="54"/>
      <c r="R28" s="54"/>
      <c r="S28" s="55"/>
      <c r="T28" s="55"/>
      <c r="U28" s="55"/>
      <c r="V28" s="55"/>
      <c r="W28" s="55"/>
      <c r="X28" s="55"/>
      <c r="Y28" s="55"/>
      <c r="Z28" s="55"/>
      <c r="AA28" s="55"/>
      <c r="AB28" s="55"/>
      <c r="AC28" s="55"/>
      <c r="AD28" s="55"/>
      <c r="AE28" s="55"/>
      <c r="AF28" s="37"/>
    </row>
    <row r="29" spans="1:32" x14ac:dyDescent="0.2">
      <c r="A29" s="52"/>
      <c r="B29" s="52"/>
      <c r="C29" s="53"/>
      <c r="D29" s="53"/>
      <c r="E29" s="53"/>
      <c r="F29" s="54"/>
      <c r="G29" s="54"/>
      <c r="H29" s="54"/>
      <c r="I29" s="54"/>
      <c r="J29" s="54"/>
      <c r="K29" s="54"/>
      <c r="L29" s="54"/>
      <c r="M29" s="54"/>
      <c r="N29" s="54"/>
      <c r="O29" s="54"/>
      <c r="P29" s="54"/>
      <c r="Q29" s="54"/>
      <c r="R29" s="54"/>
      <c r="S29" s="55"/>
      <c r="T29" s="55"/>
      <c r="U29" s="55"/>
      <c r="V29" s="55"/>
      <c r="W29" s="55"/>
      <c r="X29" s="55"/>
      <c r="Y29" s="55"/>
      <c r="Z29" s="55"/>
      <c r="AA29" s="55"/>
      <c r="AB29" s="55"/>
      <c r="AC29" s="55"/>
      <c r="AD29" s="55"/>
      <c r="AE29" s="55"/>
      <c r="AF29" s="37"/>
    </row>
    <row r="30" spans="1:32" x14ac:dyDescent="0.2">
      <c r="A30" s="52"/>
      <c r="B30" s="52"/>
      <c r="C30" s="53"/>
      <c r="D30" s="53"/>
      <c r="E30" s="53"/>
      <c r="F30" s="54"/>
      <c r="G30" s="54"/>
      <c r="H30" s="54"/>
      <c r="I30" s="54"/>
      <c r="J30" s="54"/>
      <c r="K30" s="54"/>
      <c r="L30" s="54"/>
      <c r="M30" s="54"/>
      <c r="N30" s="54"/>
      <c r="O30" s="54"/>
      <c r="P30" s="54"/>
      <c r="Q30" s="54"/>
      <c r="R30" s="54"/>
      <c r="S30" s="55"/>
      <c r="T30" s="55"/>
      <c r="U30" s="55"/>
      <c r="V30" s="55"/>
      <c r="W30" s="55"/>
      <c r="X30" s="55"/>
      <c r="Y30" s="55"/>
      <c r="Z30" s="55"/>
      <c r="AA30" s="55"/>
      <c r="AB30" s="55"/>
      <c r="AC30" s="55"/>
      <c r="AD30" s="55"/>
      <c r="AE30" s="55"/>
      <c r="AF30" s="37"/>
    </row>
    <row r="31" spans="1:32" x14ac:dyDescent="0.2">
      <c r="A31" s="52"/>
      <c r="B31" s="52"/>
      <c r="C31" s="53"/>
      <c r="D31" s="53"/>
      <c r="E31" s="53"/>
      <c r="F31" s="54"/>
      <c r="G31" s="54"/>
      <c r="H31" s="54"/>
      <c r="I31" s="54"/>
      <c r="J31" s="54"/>
      <c r="K31" s="54"/>
      <c r="L31" s="54"/>
      <c r="M31" s="54"/>
      <c r="N31" s="54"/>
      <c r="O31" s="54"/>
      <c r="P31" s="54"/>
      <c r="Q31" s="54"/>
      <c r="R31" s="54"/>
      <c r="S31" s="55"/>
      <c r="T31" s="55"/>
      <c r="U31" s="55"/>
      <c r="V31" s="55"/>
      <c r="W31" s="55"/>
      <c r="X31" s="55"/>
      <c r="Y31" s="55"/>
      <c r="Z31" s="55"/>
      <c r="AA31" s="55"/>
      <c r="AB31" s="55"/>
      <c r="AC31" s="55"/>
      <c r="AD31" s="55"/>
      <c r="AE31" s="55"/>
      <c r="AF31" s="37"/>
    </row>
    <row r="32" spans="1:32" x14ac:dyDescent="0.2">
      <c r="A32" s="52"/>
      <c r="B32" s="52"/>
      <c r="C32" s="53"/>
      <c r="D32" s="53"/>
      <c r="E32" s="53"/>
      <c r="F32" s="54"/>
      <c r="G32" s="54"/>
      <c r="H32" s="54"/>
      <c r="I32" s="54"/>
      <c r="J32" s="54"/>
      <c r="K32" s="54"/>
      <c r="L32" s="54"/>
      <c r="M32" s="54"/>
      <c r="N32" s="54"/>
      <c r="O32" s="54"/>
      <c r="P32" s="54"/>
      <c r="Q32" s="54"/>
      <c r="R32" s="54"/>
      <c r="S32" s="55"/>
      <c r="T32" s="55"/>
      <c r="U32" s="55"/>
      <c r="V32" s="55"/>
      <c r="W32" s="55"/>
      <c r="X32" s="55"/>
      <c r="Y32" s="55"/>
      <c r="Z32" s="55"/>
      <c r="AA32" s="55"/>
      <c r="AB32" s="55"/>
      <c r="AC32" s="55"/>
      <c r="AD32" s="55"/>
      <c r="AE32" s="55"/>
      <c r="AF32" s="37"/>
    </row>
    <row r="33" spans="1:32" x14ac:dyDescent="0.2">
      <c r="A33" s="52"/>
      <c r="B33" s="52"/>
      <c r="C33" s="53"/>
      <c r="D33" s="53"/>
      <c r="E33" s="53"/>
      <c r="F33" s="54"/>
      <c r="G33" s="54"/>
      <c r="H33" s="54"/>
      <c r="I33" s="54"/>
      <c r="J33" s="54"/>
      <c r="K33" s="54"/>
      <c r="L33" s="54"/>
      <c r="M33" s="54"/>
      <c r="N33" s="54"/>
      <c r="O33" s="54"/>
      <c r="P33" s="54"/>
      <c r="Q33" s="54"/>
      <c r="R33" s="54"/>
      <c r="S33" s="55"/>
      <c r="T33" s="55"/>
      <c r="U33" s="55"/>
      <c r="V33" s="55"/>
      <c r="W33" s="55"/>
      <c r="X33" s="55"/>
      <c r="Y33" s="55"/>
      <c r="Z33" s="55"/>
      <c r="AA33" s="55"/>
      <c r="AB33" s="55"/>
      <c r="AC33" s="55"/>
      <c r="AD33" s="55"/>
      <c r="AE33" s="55"/>
      <c r="AF33" s="37"/>
    </row>
    <row r="34" spans="1:32" x14ac:dyDescent="0.2">
      <c r="A34" s="52"/>
      <c r="B34" s="52"/>
      <c r="C34" s="53"/>
      <c r="D34" s="53"/>
      <c r="E34" s="53"/>
      <c r="F34" s="54"/>
      <c r="G34" s="54"/>
      <c r="H34" s="54"/>
      <c r="I34" s="54"/>
      <c r="J34" s="54"/>
      <c r="K34" s="54"/>
      <c r="L34" s="54"/>
      <c r="M34" s="54"/>
      <c r="N34" s="54"/>
      <c r="O34" s="54"/>
      <c r="P34" s="54"/>
      <c r="Q34" s="54"/>
      <c r="R34" s="54"/>
      <c r="S34" s="55"/>
      <c r="T34" s="55"/>
      <c r="U34" s="55"/>
      <c r="V34" s="55"/>
      <c r="W34" s="55"/>
      <c r="X34" s="55"/>
      <c r="Y34" s="55"/>
      <c r="Z34" s="55"/>
      <c r="AA34" s="55"/>
      <c r="AB34" s="55"/>
      <c r="AC34" s="55"/>
      <c r="AD34" s="55"/>
      <c r="AE34" s="55"/>
      <c r="AF34" s="37"/>
    </row>
    <row r="35" spans="1:32" x14ac:dyDescent="0.2">
      <c r="A35" s="52"/>
      <c r="B35" s="52"/>
      <c r="C35" s="53"/>
      <c r="D35" s="53"/>
      <c r="E35" s="53"/>
      <c r="F35" s="54"/>
      <c r="G35" s="54"/>
      <c r="H35" s="54"/>
      <c r="I35" s="54"/>
      <c r="J35" s="54"/>
      <c r="K35" s="54"/>
      <c r="L35" s="54"/>
      <c r="M35" s="54"/>
      <c r="N35" s="54"/>
      <c r="O35" s="54"/>
      <c r="P35" s="54"/>
      <c r="Q35" s="54"/>
      <c r="R35" s="54"/>
      <c r="S35" s="55"/>
      <c r="T35" s="55"/>
      <c r="U35" s="55"/>
      <c r="V35" s="55"/>
      <c r="W35" s="55"/>
      <c r="X35" s="55"/>
      <c r="Y35" s="55"/>
      <c r="Z35" s="55"/>
      <c r="AA35" s="55"/>
      <c r="AB35" s="55"/>
      <c r="AC35" s="55"/>
      <c r="AD35" s="55"/>
      <c r="AE35" s="55"/>
      <c r="AF35" s="37"/>
    </row>
    <row r="36" spans="1:32" x14ac:dyDescent="0.2">
      <c r="A36" s="52"/>
      <c r="B36" s="52"/>
      <c r="C36" s="53"/>
      <c r="D36" s="53"/>
      <c r="E36" s="53"/>
      <c r="F36" s="54"/>
      <c r="G36" s="54"/>
      <c r="H36" s="54"/>
      <c r="I36" s="54"/>
      <c r="J36" s="54"/>
      <c r="K36" s="54"/>
      <c r="L36" s="54"/>
      <c r="M36" s="54"/>
      <c r="N36" s="54"/>
      <c r="O36" s="54"/>
      <c r="P36" s="54"/>
      <c r="Q36" s="54"/>
      <c r="R36" s="54"/>
      <c r="S36" s="55"/>
      <c r="T36" s="55"/>
      <c r="U36" s="55"/>
      <c r="V36" s="55"/>
      <c r="W36" s="55"/>
      <c r="X36" s="55"/>
      <c r="Y36" s="55"/>
      <c r="Z36" s="55"/>
      <c r="AA36" s="55"/>
      <c r="AB36" s="55"/>
      <c r="AC36" s="55"/>
      <c r="AD36" s="55"/>
      <c r="AE36" s="55"/>
      <c r="AF36" s="37"/>
    </row>
    <row r="37" spans="1:32" x14ac:dyDescent="0.2">
      <c r="A37" s="52"/>
      <c r="B37" s="52"/>
      <c r="C37" s="53"/>
      <c r="D37" s="53"/>
      <c r="E37" s="53"/>
      <c r="F37" s="54"/>
      <c r="G37" s="54"/>
      <c r="H37" s="54"/>
      <c r="I37" s="54"/>
      <c r="J37" s="54"/>
      <c r="K37" s="54"/>
      <c r="L37" s="54"/>
      <c r="M37" s="54"/>
      <c r="N37" s="54"/>
      <c r="O37" s="54"/>
      <c r="P37" s="54"/>
      <c r="Q37" s="54"/>
      <c r="R37" s="54"/>
      <c r="S37" s="55"/>
      <c r="T37" s="55"/>
      <c r="U37" s="55"/>
      <c r="V37" s="55"/>
      <c r="W37" s="55"/>
      <c r="X37" s="55"/>
      <c r="Y37" s="55"/>
      <c r="Z37" s="55"/>
      <c r="AA37" s="55"/>
      <c r="AB37" s="55"/>
      <c r="AC37" s="55"/>
      <c r="AD37" s="55"/>
      <c r="AE37" s="55"/>
      <c r="AF37" s="37"/>
    </row>
    <row r="38" spans="1:32" x14ac:dyDescent="0.2">
      <c r="A38" s="52"/>
      <c r="B38" s="52"/>
      <c r="C38" s="53"/>
      <c r="D38" s="53"/>
      <c r="E38" s="53"/>
      <c r="F38" s="54"/>
      <c r="G38" s="54"/>
      <c r="H38" s="54"/>
      <c r="I38" s="54"/>
      <c r="J38" s="54"/>
      <c r="K38" s="54"/>
      <c r="L38" s="54"/>
      <c r="M38" s="54"/>
      <c r="N38" s="54"/>
      <c r="O38" s="54"/>
      <c r="P38" s="54"/>
      <c r="Q38" s="54"/>
      <c r="R38" s="54"/>
      <c r="S38" s="55"/>
      <c r="T38" s="55"/>
      <c r="U38" s="55"/>
      <c r="V38" s="55"/>
      <c r="W38" s="55"/>
      <c r="X38" s="55"/>
      <c r="Y38" s="55"/>
      <c r="Z38" s="55"/>
      <c r="AA38" s="55"/>
      <c r="AB38" s="55"/>
      <c r="AC38" s="55"/>
      <c r="AD38" s="55"/>
      <c r="AE38" s="55"/>
      <c r="AF38" s="37"/>
    </row>
    <row r="39" spans="1:32" x14ac:dyDescent="0.2">
      <c r="A39" s="52"/>
      <c r="B39" s="52"/>
      <c r="C39" s="53"/>
      <c r="D39" s="53"/>
      <c r="E39" s="53"/>
      <c r="F39" s="54"/>
      <c r="G39" s="54"/>
      <c r="H39" s="54"/>
      <c r="I39" s="54"/>
      <c r="J39" s="54"/>
      <c r="K39" s="54"/>
      <c r="L39" s="54"/>
      <c r="M39" s="54"/>
      <c r="N39" s="54"/>
      <c r="O39" s="54"/>
      <c r="P39" s="54"/>
      <c r="Q39" s="54"/>
      <c r="R39" s="54"/>
      <c r="S39" s="55"/>
      <c r="T39" s="55"/>
      <c r="U39" s="55"/>
      <c r="V39" s="55"/>
      <c r="W39" s="55"/>
      <c r="X39" s="55"/>
      <c r="Y39" s="55"/>
      <c r="Z39" s="55"/>
      <c r="AA39" s="55"/>
      <c r="AB39" s="55"/>
      <c r="AC39" s="55"/>
      <c r="AD39" s="55"/>
      <c r="AE39" s="55"/>
      <c r="AF39" s="37"/>
    </row>
    <row r="40" spans="1:32" x14ac:dyDescent="0.2">
      <c r="A40" s="52"/>
      <c r="B40" s="52"/>
      <c r="C40" s="53"/>
      <c r="D40" s="53"/>
      <c r="E40" s="53"/>
      <c r="F40" s="54"/>
      <c r="G40" s="54"/>
      <c r="H40" s="54"/>
      <c r="I40" s="54"/>
      <c r="J40" s="54"/>
      <c r="K40" s="54"/>
      <c r="L40" s="54"/>
      <c r="M40" s="54"/>
      <c r="N40" s="54"/>
      <c r="O40" s="54"/>
      <c r="P40" s="54"/>
      <c r="Q40" s="54"/>
      <c r="R40" s="54"/>
      <c r="S40" s="55"/>
      <c r="T40" s="55"/>
      <c r="U40" s="55"/>
      <c r="V40" s="55"/>
      <c r="W40" s="55"/>
      <c r="X40" s="55"/>
      <c r="Y40" s="55"/>
      <c r="Z40" s="55"/>
      <c r="AA40" s="55"/>
      <c r="AB40" s="55"/>
      <c r="AC40" s="55"/>
      <c r="AD40" s="55"/>
      <c r="AE40" s="55"/>
      <c r="AF40" s="37"/>
    </row>
    <row r="41" spans="1:32" x14ac:dyDescent="0.2">
      <c r="A41" s="52"/>
      <c r="B41" s="52"/>
      <c r="C41" s="53"/>
      <c r="D41" s="53"/>
      <c r="E41" s="53"/>
      <c r="F41" s="54"/>
      <c r="G41" s="54"/>
      <c r="H41" s="54"/>
      <c r="I41" s="54"/>
      <c r="J41" s="54"/>
      <c r="K41" s="54"/>
      <c r="L41" s="54"/>
      <c r="M41" s="54"/>
      <c r="N41" s="54"/>
      <c r="O41" s="54"/>
      <c r="P41" s="54"/>
      <c r="Q41" s="54"/>
      <c r="R41" s="54"/>
      <c r="S41" s="55"/>
      <c r="T41" s="55"/>
      <c r="U41" s="55"/>
      <c r="V41" s="55"/>
      <c r="W41" s="55"/>
      <c r="X41" s="55"/>
      <c r="Y41" s="55"/>
      <c r="Z41" s="55"/>
      <c r="AA41" s="55"/>
      <c r="AB41" s="55"/>
      <c r="AC41" s="55"/>
      <c r="AD41" s="55"/>
      <c r="AE41" s="55"/>
      <c r="AF41" s="37"/>
    </row>
    <row r="42" spans="1:32" x14ac:dyDescent="0.2">
      <c r="A42" s="52"/>
      <c r="B42" s="52"/>
      <c r="C42" s="53"/>
      <c r="D42" s="53"/>
      <c r="E42" s="53"/>
      <c r="F42" s="54"/>
      <c r="G42" s="54"/>
      <c r="H42" s="54"/>
      <c r="I42" s="54"/>
      <c r="J42" s="54"/>
      <c r="K42" s="54"/>
      <c r="L42" s="54"/>
      <c r="M42" s="54"/>
      <c r="N42" s="54"/>
      <c r="O42" s="54"/>
      <c r="P42" s="54"/>
      <c r="Q42" s="54"/>
      <c r="R42" s="54"/>
      <c r="S42" s="55"/>
      <c r="T42" s="55"/>
      <c r="U42" s="55"/>
      <c r="V42" s="55"/>
      <c r="W42" s="55"/>
      <c r="X42" s="55"/>
      <c r="Y42" s="55"/>
      <c r="Z42" s="55"/>
      <c r="AA42" s="55"/>
      <c r="AB42" s="55"/>
      <c r="AC42" s="55"/>
      <c r="AD42" s="55"/>
      <c r="AE42" s="55"/>
      <c r="AF42" s="37"/>
    </row>
    <row r="43" spans="1:32" x14ac:dyDescent="0.2">
      <c r="A43" s="52"/>
      <c r="B43" s="52"/>
      <c r="C43" s="53"/>
      <c r="D43" s="53"/>
      <c r="E43" s="53"/>
      <c r="F43" s="54"/>
      <c r="G43" s="54"/>
      <c r="H43" s="54"/>
      <c r="I43" s="54"/>
      <c r="J43" s="54"/>
      <c r="K43" s="54"/>
      <c r="L43" s="54"/>
      <c r="M43" s="54"/>
      <c r="N43" s="54"/>
      <c r="O43" s="54"/>
      <c r="P43" s="54"/>
      <c r="Q43" s="54"/>
      <c r="R43" s="54"/>
      <c r="S43" s="55"/>
      <c r="T43" s="55"/>
      <c r="U43" s="55"/>
      <c r="V43" s="55"/>
      <c r="W43" s="55"/>
      <c r="X43" s="55"/>
      <c r="Y43" s="55"/>
      <c r="Z43" s="55"/>
      <c r="AA43" s="55"/>
      <c r="AB43" s="55"/>
      <c r="AC43" s="55"/>
      <c r="AD43" s="55"/>
      <c r="AE43" s="55"/>
      <c r="AF43" s="37"/>
    </row>
    <row r="44" spans="1:32" x14ac:dyDescent="0.2">
      <c r="A44" s="52"/>
      <c r="B44" s="52"/>
      <c r="C44" s="53"/>
      <c r="D44" s="53"/>
      <c r="E44" s="53"/>
      <c r="F44" s="54"/>
      <c r="G44" s="54"/>
      <c r="H44" s="54"/>
      <c r="I44" s="54"/>
      <c r="J44" s="54"/>
      <c r="K44" s="54"/>
      <c r="L44" s="54"/>
      <c r="M44" s="54"/>
      <c r="N44" s="54"/>
      <c r="O44" s="54"/>
      <c r="P44" s="54"/>
      <c r="Q44" s="54"/>
      <c r="R44" s="54"/>
      <c r="S44" s="55"/>
      <c r="T44" s="55"/>
      <c r="U44" s="55"/>
      <c r="V44" s="55"/>
      <c r="W44" s="55"/>
      <c r="X44" s="55"/>
      <c r="Y44" s="55"/>
      <c r="Z44" s="55"/>
      <c r="AA44" s="55"/>
      <c r="AB44" s="55"/>
      <c r="AC44" s="55"/>
      <c r="AD44" s="55"/>
      <c r="AE44" s="55"/>
      <c r="AF44" s="37"/>
    </row>
    <row r="45" spans="1:32" x14ac:dyDescent="0.2">
      <c r="A45" s="52"/>
      <c r="B45" s="52"/>
      <c r="C45" s="53"/>
      <c r="D45" s="53"/>
      <c r="E45" s="53"/>
      <c r="F45" s="54"/>
      <c r="G45" s="54"/>
      <c r="H45" s="54"/>
      <c r="I45" s="54"/>
      <c r="J45" s="54"/>
      <c r="K45" s="54"/>
      <c r="L45" s="54"/>
      <c r="M45" s="54"/>
      <c r="N45" s="54"/>
      <c r="O45" s="54"/>
      <c r="P45" s="54"/>
      <c r="Q45" s="54"/>
      <c r="R45" s="54"/>
      <c r="S45" s="55"/>
      <c r="T45" s="55"/>
      <c r="U45" s="55"/>
      <c r="V45" s="55"/>
      <c r="W45" s="55"/>
      <c r="X45" s="55"/>
      <c r="Y45" s="55"/>
      <c r="Z45" s="55"/>
      <c r="AA45" s="55"/>
      <c r="AB45" s="55"/>
      <c r="AC45" s="55"/>
      <c r="AD45" s="55"/>
      <c r="AE45" s="55"/>
      <c r="AF45" s="37"/>
    </row>
    <row r="46" spans="1:32" x14ac:dyDescent="0.2">
      <c r="A46" s="52"/>
      <c r="B46" s="52"/>
      <c r="C46" s="53"/>
      <c r="D46" s="53"/>
      <c r="E46" s="53"/>
      <c r="F46" s="54"/>
      <c r="G46" s="54"/>
      <c r="H46" s="54"/>
      <c r="I46" s="54"/>
      <c r="J46" s="54"/>
      <c r="K46" s="54"/>
      <c r="L46" s="54"/>
      <c r="M46" s="54"/>
      <c r="N46" s="54"/>
      <c r="O46" s="54"/>
      <c r="P46" s="54"/>
      <c r="Q46" s="54"/>
      <c r="R46" s="54"/>
      <c r="S46" s="55"/>
      <c r="T46" s="55"/>
      <c r="U46" s="55"/>
      <c r="V46" s="55"/>
      <c r="W46" s="55"/>
      <c r="X46" s="55"/>
      <c r="Y46" s="55"/>
      <c r="Z46" s="55"/>
      <c r="AA46" s="55"/>
      <c r="AB46" s="55"/>
      <c r="AC46" s="55"/>
      <c r="AD46" s="55"/>
      <c r="AE46" s="55"/>
      <c r="AF46" s="37"/>
    </row>
    <row r="47" spans="1:32" x14ac:dyDescent="0.2">
      <c r="A47" s="52"/>
      <c r="B47" s="52"/>
      <c r="C47" s="53"/>
      <c r="D47" s="53"/>
      <c r="E47" s="53"/>
      <c r="F47" s="54"/>
      <c r="G47" s="54"/>
      <c r="H47" s="54"/>
      <c r="I47" s="54"/>
      <c r="J47" s="54"/>
      <c r="K47" s="54"/>
      <c r="L47" s="54"/>
      <c r="M47" s="54"/>
      <c r="N47" s="54"/>
      <c r="O47" s="54"/>
      <c r="P47" s="54"/>
      <c r="Q47" s="54"/>
      <c r="R47" s="54"/>
      <c r="S47" s="55"/>
      <c r="T47" s="55"/>
      <c r="U47" s="55"/>
      <c r="V47" s="55"/>
      <c r="W47" s="55"/>
      <c r="X47" s="55"/>
      <c r="Y47" s="55"/>
      <c r="Z47" s="55"/>
      <c r="AA47" s="55"/>
      <c r="AB47" s="55"/>
      <c r="AC47" s="55"/>
      <c r="AD47" s="55"/>
      <c r="AE47" s="55"/>
      <c r="AF47" s="37"/>
    </row>
    <row r="48" spans="1:32" x14ac:dyDescent="0.2">
      <c r="A48" s="52"/>
      <c r="B48" s="52"/>
      <c r="C48" s="53"/>
      <c r="D48" s="53"/>
      <c r="E48" s="53"/>
      <c r="F48" s="54"/>
      <c r="G48" s="54"/>
      <c r="H48" s="54"/>
      <c r="I48" s="54"/>
      <c r="J48" s="54"/>
      <c r="K48" s="54"/>
      <c r="L48" s="54"/>
      <c r="M48" s="54"/>
      <c r="N48" s="54"/>
      <c r="O48" s="54"/>
      <c r="P48" s="54"/>
      <c r="Q48" s="54"/>
      <c r="R48" s="54"/>
      <c r="S48" s="55"/>
      <c r="T48" s="55"/>
      <c r="U48" s="55"/>
      <c r="V48" s="55"/>
      <c r="W48" s="55"/>
      <c r="X48" s="55"/>
      <c r="Y48" s="55"/>
      <c r="Z48" s="55"/>
      <c r="AA48" s="55"/>
      <c r="AB48" s="55"/>
      <c r="AC48" s="55"/>
      <c r="AD48" s="55"/>
      <c r="AE48" s="55"/>
      <c r="AF48" s="37"/>
    </row>
    <row r="49" spans="1:32" x14ac:dyDescent="0.2">
      <c r="A49" s="52"/>
      <c r="B49" s="52"/>
      <c r="C49" s="53"/>
      <c r="D49" s="53"/>
      <c r="E49" s="53"/>
      <c r="F49" s="54"/>
      <c r="G49" s="54"/>
      <c r="H49" s="54"/>
      <c r="I49" s="54"/>
      <c r="J49" s="54"/>
      <c r="K49" s="54"/>
      <c r="L49" s="54"/>
      <c r="M49" s="54"/>
      <c r="N49" s="54"/>
      <c r="O49" s="54"/>
      <c r="P49" s="54"/>
      <c r="Q49" s="54"/>
      <c r="R49" s="54"/>
      <c r="S49" s="55"/>
      <c r="T49" s="55"/>
      <c r="U49" s="55"/>
      <c r="V49" s="55"/>
      <c r="W49" s="55"/>
      <c r="X49" s="55"/>
      <c r="Y49" s="55"/>
      <c r="Z49" s="55"/>
      <c r="AA49" s="55"/>
      <c r="AB49" s="55"/>
      <c r="AC49" s="55"/>
      <c r="AD49" s="55"/>
      <c r="AE49" s="55"/>
      <c r="AF49" s="37"/>
    </row>
    <row r="50" spans="1:32" x14ac:dyDescent="0.2">
      <c r="A50" s="52"/>
      <c r="B50" s="52"/>
      <c r="C50" s="53"/>
      <c r="D50" s="53"/>
      <c r="E50" s="53"/>
      <c r="F50" s="54"/>
      <c r="G50" s="54"/>
      <c r="H50" s="54"/>
      <c r="I50" s="54"/>
      <c r="J50" s="54"/>
      <c r="K50" s="54"/>
      <c r="L50" s="54"/>
      <c r="M50" s="54"/>
      <c r="N50" s="54"/>
      <c r="O50" s="54"/>
      <c r="P50" s="54"/>
      <c r="Q50" s="54"/>
      <c r="R50" s="54"/>
      <c r="S50" s="55"/>
      <c r="T50" s="55"/>
      <c r="U50" s="55"/>
      <c r="V50" s="55"/>
      <c r="W50" s="55"/>
      <c r="X50" s="55"/>
      <c r="Y50" s="55"/>
      <c r="Z50" s="55"/>
      <c r="AA50" s="55"/>
      <c r="AB50" s="55"/>
      <c r="AC50" s="55"/>
      <c r="AD50" s="55"/>
      <c r="AE50" s="55"/>
      <c r="AF50" s="37"/>
    </row>
    <row r="51" spans="1:32" x14ac:dyDescent="0.2">
      <c r="A51" s="52"/>
      <c r="B51" s="52"/>
      <c r="C51" s="53"/>
      <c r="D51" s="53"/>
      <c r="E51" s="53"/>
      <c r="F51" s="54"/>
      <c r="G51" s="54"/>
      <c r="H51" s="54"/>
      <c r="I51" s="54"/>
      <c r="J51" s="54"/>
      <c r="K51" s="54"/>
      <c r="L51" s="54"/>
      <c r="M51" s="54"/>
      <c r="N51" s="54"/>
      <c r="O51" s="54"/>
      <c r="P51" s="54"/>
      <c r="Q51" s="54"/>
      <c r="R51" s="54"/>
      <c r="S51" s="55"/>
      <c r="T51" s="55"/>
      <c r="U51" s="55"/>
      <c r="V51" s="55"/>
      <c r="W51" s="55"/>
      <c r="X51" s="55"/>
      <c r="Y51" s="55"/>
      <c r="Z51" s="55"/>
      <c r="AA51" s="55"/>
      <c r="AB51" s="55"/>
      <c r="AC51" s="55"/>
      <c r="AD51" s="55"/>
      <c r="AE51" s="55"/>
      <c r="AF51" s="37"/>
    </row>
    <row r="52" spans="1:32" x14ac:dyDescent="0.2">
      <c r="A52" s="52"/>
      <c r="B52" s="52"/>
      <c r="C52" s="53"/>
      <c r="D52" s="53"/>
      <c r="E52" s="53"/>
      <c r="F52" s="54"/>
      <c r="G52" s="54"/>
      <c r="H52" s="54"/>
      <c r="I52" s="54"/>
      <c r="J52" s="54"/>
      <c r="K52" s="54"/>
      <c r="L52" s="54"/>
      <c r="M52" s="54"/>
      <c r="N52" s="54"/>
      <c r="O52" s="54"/>
      <c r="P52" s="54"/>
      <c r="Q52" s="54"/>
      <c r="R52" s="54"/>
      <c r="S52" s="55"/>
      <c r="T52" s="55"/>
      <c r="U52" s="55"/>
      <c r="V52" s="55"/>
      <c r="W52" s="55"/>
      <c r="X52" s="55"/>
      <c r="Y52" s="55"/>
      <c r="Z52" s="55"/>
      <c r="AA52" s="55"/>
      <c r="AB52" s="55"/>
      <c r="AC52" s="55"/>
      <c r="AD52" s="55"/>
      <c r="AE52" s="55"/>
      <c r="AF52" s="37"/>
    </row>
    <row r="53" spans="1:32" x14ac:dyDescent="0.2">
      <c r="A53" s="52"/>
      <c r="B53" s="52"/>
      <c r="C53" s="53"/>
      <c r="D53" s="53"/>
      <c r="E53" s="53"/>
      <c r="F53" s="54"/>
      <c r="G53" s="54"/>
      <c r="H53" s="54"/>
      <c r="I53" s="54"/>
      <c r="J53" s="54"/>
      <c r="K53" s="54"/>
      <c r="L53" s="54"/>
      <c r="M53" s="54"/>
      <c r="N53" s="54"/>
      <c r="O53" s="54"/>
      <c r="P53" s="54"/>
      <c r="Q53" s="54"/>
      <c r="R53" s="54"/>
      <c r="S53" s="55"/>
      <c r="T53" s="55"/>
      <c r="U53" s="55"/>
      <c r="V53" s="55"/>
      <c r="W53" s="55"/>
      <c r="X53" s="55"/>
      <c r="Y53" s="55"/>
      <c r="Z53" s="55"/>
      <c r="AA53" s="55"/>
      <c r="AB53" s="55"/>
      <c r="AC53" s="55"/>
      <c r="AD53" s="55"/>
      <c r="AE53" s="55"/>
      <c r="AF53" s="37"/>
    </row>
    <row r="54" spans="1:32" x14ac:dyDescent="0.2">
      <c r="A54" s="52"/>
      <c r="B54" s="52"/>
      <c r="C54" s="53"/>
      <c r="D54" s="53"/>
      <c r="E54" s="53"/>
      <c r="F54" s="54"/>
      <c r="G54" s="54"/>
      <c r="H54" s="54"/>
      <c r="I54" s="54"/>
      <c r="J54" s="54"/>
      <c r="K54" s="54"/>
      <c r="L54" s="54"/>
      <c r="M54" s="54"/>
      <c r="N54" s="54"/>
      <c r="O54" s="54"/>
      <c r="P54" s="54"/>
      <c r="Q54" s="54"/>
      <c r="R54" s="54"/>
      <c r="S54" s="55"/>
      <c r="T54" s="55"/>
      <c r="U54" s="55"/>
      <c r="V54" s="55"/>
      <c r="W54" s="55"/>
      <c r="X54" s="55"/>
      <c r="Y54" s="55"/>
      <c r="Z54" s="55"/>
      <c r="AA54" s="55"/>
      <c r="AB54" s="55"/>
      <c r="AC54" s="55"/>
      <c r="AD54" s="55"/>
      <c r="AE54" s="55"/>
      <c r="AF54" s="37"/>
    </row>
    <row r="55" spans="1:32" x14ac:dyDescent="0.2">
      <c r="A55" s="52"/>
      <c r="B55" s="52"/>
      <c r="C55" s="53"/>
      <c r="D55" s="53"/>
      <c r="E55" s="53"/>
      <c r="F55" s="54"/>
      <c r="G55" s="54"/>
      <c r="H55" s="54"/>
      <c r="I55" s="54"/>
      <c r="J55" s="54"/>
      <c r="K55" s="54"/>
      <c r="L55" s="54"/>
      <c r="M55" s="54"/>
      <c r="N55" s="54"/>
      <c r="O55" s="54"/>
      <c r="P55" s="54"/>
      <c r="Q55" s="54"/>
      <c r="R55" s="54"/>
      <c r="S55" s="55"/>
      <c r="T55" s="55"/>
      <c r="U55" s="55"/>
      <c r="V55" s="55"/>
      <c r="W55" s="55"/>
      <c r="X55" s="55"/>
      <c r="Y55" s="55"/>
      <c r="Z55" s="55"/>
      <c r="AA55" s="55"/>
      <c r="AB55" s="55"/>
      <c r="AC55" s="55"/>
      <c r="AD55" s="55"/>
      <c r="AE55" s="55"/>
      <c r="AF55" s="37"/>
    </row>
    <row r="56" spans="1:32" x14ac:dyDescent="0.2">
      <c r="A56" s="52"/>
      <c r="B56" s="52"/>
      <c r="C56" s="53"/>
      <c r="D56" s="53"/>
      <c r="E56" s="53"/>
      <c r="F56" s="54"/>
      <c r="G56" s="54"/>
      <c r="H56" s="54"/>
      <c r="I56" s="54"/>
      <c r="J56" s="54"/>
      <c r="K56" s="54"/>
      <c r="L56" s="54"/>
      <c r="M56" s="54"/>
      <c r="N56" s="54"/>
      <c r="O56" s="54"/>
      <c r="P56" s="54"/>
      <c r="Q56" s="54"/>
      <c r="R56" s="54"/>
      <c r="S56" s="55"/>
      <c r="T56" s="55"/>
      <c r="U56" s="55"/>
      <c r="V56" s="55"/>
      <c r="W56" s="55"/>
      <c r="X56" s="55"/>
      <c r="Y56" s="55"/>
      <c r="Z56" s="55"/>
      <c r="AA56" s="55"/>
      <c r="AB56" s="55"/>
      <c r="AC56" s="55"/>
      <c r="AD56" s="55"/>
      <c r="AE56" s="55"/>
      <c r="AF56" s="37"/>
    </row>
    <row r="57" spans="1:32" x14ac:dyDescent="0.2">
      <c r="A57" s="52"/>
      <c r="B57" s="52"/>
      <c r="C57" s="53"/>
      <c r="D57" s="53"/>
      <c r="E57" s="53"/>
      <c r="F57" s="54"/>
      <c r="G57" s="54"/>
      <c r="H57" s="54"/>
      <c r="I57" s="54"/>
      <c r="J57" s="54"/>
      <c r="K57" s="54"/>
      <c r="L57" s="54"/>
      <c r="M57" s="54"/>
      <c r="N57" s="54"/>
      <c r="O57" s="54"/>
      <c r="P57" s="54"/>
      <c r="Q57" s="54"/>
      <c r="R57" s="54"/>
      <c r="S57" s="55"/>
      <c r="T57" s="55"/>
      <c r="U57" s="55"/>
      <c r="V57" s="55"/>
      <c r="W57" s="55"/>
      <c r="X57" s="55"/>
      <c r="Y57" s="55"/>
      <c r="Z57" s="55"/>
      <c r="AA57" s="55"/>
      <c r="AB57" s="55"/>
      <c r="AC57" s="55"/>
      <c r="AD57" s="55"/>
      <c r="AE57" s="55"/>
      <c r="AF57" s="37"/>
    </row>
    <row r="58" spans="1:32" x14ac:dyDescent="0.2">
      <c r="A58" s="52"/>
      <c r="B58" s="52"/>
      <c r="C58" s="53"/>
      <c r="D58" s="53"/>
      <c r="E58" s="53"/>
      <c r="F58" s="54"/>
      <c r="G58" s="54"/>
      <c r="H58" s="54"/>
      <c r="I58" s="54"/>
      <c r="J58" s="54"/>
      <c r="K58" s="54"/>
      <c r="L58" s="54"/>
      <c r="M58" s="54"/>
      <c r="N58" s="54"/>
      <c r="O58" s="54"/>
      <c r="P58" s="54"/>
      <c r="Q58" s="54"/>
      <c r="R58" s="54"/>
      <c r="S58" s="55"/>
      <c r="T58" s="55"/>
      <c r="U58" s="55"/>
      <c r="V58" s="55"/>
      <c r="W58" s="55"/>
      <c r="X58" s="55"/>
      <c r="Y58" s="55"/>
      <c r="Z58" s="55"/>
      <c r="AA58" s="55"/>
      <c r="AB58" s="55"/>
      <c r="AC58" s="55"/>
      <c r="AD58" s="55"/>
      <c r="AE58" s="55"/>
      <c r="AF58" s="37"/>
    </row>
    <row r="59" spans="1:32" x14ac:dyDescent="0.2">
      <c r="A59" s="52"/>
      <c r="B59" s="52"/>
      <c r="C59" s="53"/>
      <c r="D59" s="53"/>
      <c r="E59" s="53"/>
      <c r="F59" s="54"/>
      <c r="G59" s="54"/>
      <c r="H59" s="54"/>
      <c r="I59" s="54"/>
      <c r="J59" s="54"/>
      <c r="K59" s="54"/>
      <c r="L59" s="54"/>
      <c r="M59" s="54"/>
      <c r="N59" s="54"/>
      <c r="O59" s="54"/>
      <c r="P59" s="54"/>
      <c r="Q59" s="54"/>
      <c r="R59" s="54"/>
      <c r="S59" s="55"/>
      <c r="T59" s="55"/>
      <c r="U59" s="55"/>
      <c r="V59" s="55"/>
      <c r="W59" s="55"/>
      <c r="X59" s="55"/>
      <c r="Y59" s="55"/>
      <c r="Z59" s="55"/>
      <c r="AA59" s="55"/>
      <c r="AB59" s="55"/>
      <c r="AC59" s="55"/>
      <c r="AD59" s="55"/>
      <c r="AE59" s="55"/>
      <c r="AF59" s="37"/>
    </row>
    <row r="60" spans="1:32" x14ac:dyDescent="0.2">
      <c r="A60" s="52"/>
      <c r="B60" s="52"/>
      <c r="C60" s="53"/>
      <c r="D60" s="53"/>
      <c r="E60" s="53"/>
      <c r="F60" s="54"/>
      <c r="G60" s="54"/>
      <c r="H60" s="54"/>
      <c r="I60" s="54"/>
      <c r="J60" s="54"/>
      <c r="K60" s="54"/>
      <c r="L60" s="54"/>
      <c r="M60" s="54"/>
      <c r="N60" s="54"/>
      <c r="O60" s="54"/>
      <c r="P60" s="54"/>
      <c r="Q60" s="54"/>
      <c r="R60" s="54"/>
      <c r="S60" s="55"/>
      <c r="T60" s="55"/>
      <c r="U60" s="55"/>
      <c r="V60" s="55"/>
      <c r="W60" s="55"/>
      <c r="X60" s="55"/>
      <c r="Y60" s="55"/>
      <c r="Z60" s="55"/>
      <c r="AA60" s="55"/>
      <c r="AB60" s="55"/>
      <c r="AC60" s="55"/>
      <c r="AD60" s="55"/>
      <c r="AE60" s="55"/>
      <c r="AF60" s="37"/>
    </row>
    <row r="61" spans="1:32" x14ac:dyDescent="0.2">
      <c r="A61" s="52"/>
      <c r="B61" s="52"/>
      <c r="C61" s="53"/>
      <c r="D61" s="53"/>
      <c r="E61" s="53"/>
      <c r="F61" s="54"/>
      <c r="G61" s="54"/>
      <c r="H61" s="54"/>
      <c r="I61" s="54"/>
      <c r="J61" s="54"/>
      <c r="K61" s="54"/>
      <c r="L61" s="54"/>
      <c r="M61" s="54"/>
      <c r="N61" s="54"/>
      <c r="O61" s="54"/>
      <c r="P61" s="54"/>
      <c r="Q61" s="54"/>
      <c r="R61" s="54"/>
      <c r="S61" s="55"/>
      <c r="T61" s="55"/>
      <c r="U61" s="55"/>
      <c r="V61" s="55"/>
      <c r="W61" s="55"/>
      <c r="X61" s="55"/>
      <c r="Y61" s="55"/>
      <c r="Z61" s="55"/>
      <c r="AA61" s="55"/>
      <c r="AB61" s="55"/>
      <c r="AC61" s="55"/>
      <c r="AD61" s="55"/>
      <c r="AE61" s="55"/>
      <c r="AF61" s="37"/>
    </row>
    <row r="62" spans="1:32" x14ac:dyDescent="0.2">
      <c r="A62" s="52"/>
      <c r="B62" s="52"/>
      <c r="C62" s="53"/>
      <c r="D62" s="53"/>
      <c r="E62" s="53"/>
      <c r="F62" s="54"/>
      <c r="G62" s="54"/>
      <c r="H62" s="54"/>
      <c r="I62" s="54"/>
      <c r="J62" s="54"/>
      <c r="K62" s="54"/>
      <c r="L62" s="54"/>
      <c r="M62" s="54"/>
      <c r="N62" s="54"/>
      <c r="O62" s="54"/>
      <c r="P62" s="54"/>
      <c r="Q62" s="54"/>
      <c r="R62" s="54"/>
      <c r="S62" s="55"/>
      <c r="T62" s="55"/>
      <c r="U62" s="55"/>
      <c r="V62" s="55"/>
      <c r="W62" s="55"/>
      <c r="X62" s="55"/>
      <c r="Y62" s="55"/>
      <c r="Z62" s="55"/>
      <c r="AA62" s="55"/>
      <c r="AB62" s="55"/>
      <c r="AC62" s="55"/>
      <c r="AD62" s="55"/>
      <c r="AE62" s="55"/>
      <c r="AF62" s="37"/>
    </row>
    <row r="63" spans="1:32" x14ac:dyDescent="0.2">
      <c r="A63" s="52"/>
      <c r="B63" s="52"/>
      <c r="C63" s="53"/>
      <c r="D63" s="53"/>
      <c r="E63" s="53"/>
      <c r="F63" s="54"/>
      <c r="G63" s="54"/>
      <c r="H63" s="54"/>
      <c r="I63" s="54"/>
      <c r="J63" s="54"/>
      <c r="K63" s="54"/>
      <c r="L63" s="54"/>
      <c r="M63" s="54"/>
      <c r="N63" s="54"/>
      <c r="O63" s="54"/>
      <c r="P63" s="54"/>
      <c r="Q63" s="54"/>
      <c r="R63" s="54"/>
      <c r="S63" s="55"/>
      <c r="T63" s="55"/>
      <c r="U63" s="55"/>
      <c r="V63" s="55"/>
      <c r="W63" s="55"/>
      <c r="X63" s="55"/>
      <c r="Y63" s="55"/>
      <c r="Z63" s="55"/>
      <c r="AA63" s="55"/>
      <c r="AB63" s="55"/>
      <c r="AC63" s="55"/>
      <c r="AD63" s="55"/>
      <c r="AE63" s="55"/>
      <c r="AF63" s="37"/>
    </row>
    <row r="64" spans="1:32" x14ac:dyDescent="0.2">
      <c r="A64" s="52"/>
      <c r="B64" s="52"/>
      <c r="C64" s="53"/>
      <c r="D64" s="53"/>
      <c r="E64" s="53"/>
      <c r="F64" s="54"/>
      <c r="G64" s="54"/>
      <c r="H64" s="54"/>
      <c r="I64" s="54"/>
      <c r="J64" s="54"/>
      <c r="K64" s="54"/>
      <c r="L64" s="54"/>
      <c r="M64" s="54"/>
      <c r="N64" s="54"/>
      <c r="O64" s="54"/>
      <c r="P64" s="54"/>
      <c r="Q64" s="54"/>
      <c r="R64" s="54"/>
      <c r="S64" s="55"/>
      <c r="T64" s="55"/>
      <c r="U64" s="55"/>
      <c r="V64" s="55"/>
      <c r="W64" s="55"/>
      <c r="X64" s="55"/>
      <c r="Y64" s="55"/>
      <c r="Z64" s="55"/>
      <c r="AA64" s="55"/>
      <c r="AB64" s="55"/>
      <c r="AC64" s="55"/>
      <c r="AD64" s="55"/>
      <c r="AE64" s="55"/>
      <c r="AF64" s="37"/>
    </row>
    <row r="65" spans="1:32" x14ac:dyDescent="0.2">
      <c r="A65" s="52"/>
      <c r="B65" s="52"/>
      <c r="C65" s="53"/>
      <c r="D65" s="53"/>
      <c r="E65" s="53"/>
      <c r="F65" s="54"/>
      <c r="G65" s="54"/>
      <c r="H65" s="54"/>
      <c r="I65" s="54"/>
      <c r="J65" s="54"/>
      <c r="K65" s="54"/>
      <c r="L65" s="54"/>
      <c r="M65" s="54"/>
      <c r="N65" s="54"/>
      <c r="O65" s="54"/>
      <c r="P65" s="54"/>
      <c r="Q65" s="54"/>
      <c r="R65" s="54"/>
      <c r="S65" s="55"/>
      <c r="T65" s="55"/>
      <c r="U65" s="55"/>
      <c r="V65" s="55"/>
      <c r="W65" s="55"/>
      <c r="X65" s="55"/>
      <c r="Y65" s="55"/>
      <c r="Z65" s="55"/>
      <c r="AA65" s="55"/>
      <c r="AB65" s="55"/>
      <c r="AC65" s="55"/>
      <c r="AD65" s="55"/>
      <c r="AE65" s="55"/>
      <c r="AF65" s="37"/>
    </row>
    <row r="66" spans="1:32" x14ac:dyDescent="0.2">
      <c r="A66" s="52"/>
      <c r="B66" s="52"/>
      <c r="C66" s="53"/>
      <c r="D66" s="53"/>
      <c r="E66" s="53"/>
      <c r="F66" s="54"/>
      <c r="G66" s="54"/>
      <c r="H66" s="54"/>
      <c r="I66" s="54"/>
      <c r="J66" s="54"/>
      <c r="K66" s="54"/>
      <c r="L66" s="54"/>
      <c r="M66" s="54"/>
      <c r="N66" s="54"/>
      <c r="O66" s="54"/>
      <c r="P66" s="54"/>
      <c r="Q66" s="54"/>
      <c r="R66" s="54"/>
      <c r="S66" s="55"/>
      <c r="T66" s="55"/>
      <c r="U66" s="55"/>
      <c r="V66" s="55"/>
      <c r="W66" s="55"/>
      <c r="X66" s="55"/>
      <c r="Y66" s="55"/>
      <c r="Z66" s="55"/>
      <c r="AA66" s="55"/>
      <c r="AB66" s="55"/>
      <c r="AC66" s="55"/>
      <c r="AD66" s="55"/>
      <c r="AE66" s="55"/>
      <c r="AF66" s="37"/>
    </row>
    <row r="67" spans="1:32" x14ac:dyDescent="0.2">
      <c r="A67" s="52"/>
      <c r="B67" s="52"/>
      <c r="C67" s="53"/>
      <c r="D67" s="53"/>
      <c r="E67" s="53"/>
      <c r="F67" s="54"/>
      <c r="G67" s="54"/>
      <c r="H67" s="54"/>
      <c r="I67" s="54"/>
      <c r="J67" s="54"/>
      <c r="K67" s="54"/>
      <c r="L67" s="54"/>
      <c r="M67" s="54"/>
      <c r="N67" s="54"/>
      <c r="O67" s="54"/>
      <c r="P67" s="54"/>
      <c r="Q67" s="54"/>
      <c r="R67" s="54"/>
      <c r="S67" s="55"/>
      <c r="T67" s="55"/>
      <c r="U67" s="55"/>
      <c r="V67" s="55"/>
      <c r="W67" s="55"/>
      <c r="X67" s="55"/>
      <c r="Y67" s="55"/>
      <c r="Z67" s="55"/>
      <c r="AA67" s="55"/>
      <c r="AB67" s="55"/>
      <c r="AC67" s="55"/>
      <c r="AD67" s="55"/>
      <c r="AE67" s="55"/>
      <c r="AF67" s="37"/>
    </row>
    <row r="68" spans="1:32" x14ac:dyDescent="0.2">
      <c r="A68" s="52"/>
      <c r="B68" s="52"/>
      <c r="C68" s="53"/>
      <c r="D68" s="53"/>
      <c r="E68" s="53"/>
      <c r="F68" s="54"/>
      <c r="G68" s="54"/>
      <c r="H68" s="54"/>
      <c r="I68" s="54"/>
      <c r="J68" s="54"/>
      <c r="K68" s="54"/>
      <c r="L68" s="54"/>
      <c r="M68" s="54"/>
      <c r="N68" s="54"/>
      <c r="O68" s="54"/>
      <c r="P68" s="54"/>
      <c r="Q68" s="54"/>
      <c r="R68" s="54"/>
      <c r="S68" s="55"/>
      <c r="T68" s="55"/>
      <c r="U68" s="55"/>
      <c r="V68" s="55"/>
      <c r="W68" s="55"/>
      <c r="X68" s="55"/>
      <c r="Y68" s="55"/>
      <c r="Z68" s="55"/>
      <c r="AA68" s="55"/>
      <c r="AB68" s="55"/>
      <c r="AC68" s="55"/>
      <c r="AD68" s="55"/>
      <c r="AE68" s="55"/>
      <c r="AF68" s="37"/>
    </row>
    <row r="69" spans="1:32" x14ac:dyDescent="0.2">
      <c r="A69" s="52"/>
      <c r="B69" s="52"/>
      <c r="C69" s="53"/>
      <c r="D69" s="53"/>
      <c r="E69" s="53"/>
      <c r="F69" s="54"/>
      <c r="G69" s="54"/>
      <c r="H69" s="54"/>
      <c r="I69" s="54"/>
      <c r="J69" s="54"/>
      <c r="K69" s="54"/>
      <c r="L69" s="54"/>
      <c r="M69" s="54"/>
      <c r="N69" s="54"/>
      <c r="O69" s="54"/>
      <c r="P69" s="54"/>
      <c r="Q69" s="54"/>
      <c r="R69" s="54"/>
      <c r="S69" s="55"/>
      <c r="T69" s="55"/>
      <c r="U69" s="55"/>
      <c r="V69" s="55"/>
      <c r="W69" s="55"/>
      <c r="X69" s="55"/>
      <c r="Y69" s="55"/>
      <c r="Z69" s="55"/>
      <c r="AA69" s="55"/>
      <c r="AB69" s="55"/>
      <c r="AC69" s="55"/>
      <c r="AD69" s="55"/>
      <c r="AE69" s="55"/>
      <c r="AF69" s="37"/>
    </row>
    <row r="70" spans="1:32" x14ac:dyDescent="0.2">
      <c r="A70" s="52"/>
      <c r="B70" s="52"/>
      <c r="C70" s="53"/>
      <c r="D70" s="53"/>
      <c r="E70" s="53"/>
      <c r="F70" s="54"/>
      <c r="G70" s="54"/>
      <c r="H70" s="54"/>
      <c r="I70" s="54"/>
      <c r="J70" s="54"/>
      <c r="K70" s="54"/>
      <c r="L70" s="54"/>
      <c r="M70" s="54"/>
      <c r="N70" s="54"/>
      <c r="O70" s="54"/>
      <c r="P70" s="54"/>
      <c r="Q70" s="54"/>
      <c r="R70" s="54"/>
      <c r="S70" s="55"/>
      <c r="T70" s="55"/>
      <c r="U70" s="55"/>
      <c r="V70" s="55"/>
      <c r="W70" s="55"/>
      <c r="X70" s="55"/>
      <c r="Y70" s="55"/>
      <c r="Z70" s="55"/>
      <c r="AA70" s="55"/>
      <c r="AB70" s="55"/>
      <c r="AC70" s="55"/>
      <c r="AD70" s="55"/>
      <c r="AE70" s="55"/>
      <c r="AF70" s="37"/>
    </row>
    <row r="71" spans="1:32" x14ac:dyDescent="0.2">
      <c r="A71" s="52"/>
      <c r="B71" s="52"/>
      <c r="C71" s="53"/>
      <c r="D71" s="53"/>
      <c r="E71" s="53"/>
      <c r="F71" s="54"/>
      <c r="G71" s="54"/>
      <c r="H71" s="54"/>
      <c r="I71" s="54"/>
      <c r="J71" s="54"/>
      <c r="K71" s="54"/>
      <c r="L71" s="54"/>
      <c r="M71" s="54"/>
      <c r="N71" s="54"/>
      <c r="O71" s="54"/>
      <c r="P71" s="54"/>
      <c r="Q71" s="54"/>
      <c r="R71" s="54"/>
      <c r="S71" s="55"/>
      <c r="T71" s="55"/>
      <c r="U71" s="55"/>
      <c r="V71" s="55"/>
      <c r="W71" s="55"/>
      <c r="X71" s="55"/>
      <c r="Y71" s="55"/>
      <c r="Z71" s="55"/>
      <c r="AA71" s="55"/>
      <c r="AB71" s="55"/>
      <c r="AC71" s="55"/>
      <c r="AD71" s="55"/>
      <c r="AE71" s="55"/>
      <c r="AF71" s="37"/>
    </row>
    <row r="72" spans="1:32" x14ac:dyDescent="0.2">
      <c r="A72" s="52"/>
      <c r="B72" s="52"/>
      <c r="C72" s="53"/>
      <c r="D72" s="53"/>
      <c r="E72" s="53"/>
      <c r="F72" s="54"/>
      <c r="G72" s="54"/>
      <c r="H72" s="54"/>
      <c r="I72" s="54"/>
      <c r="J72" s="54"/>
      <c r="K72" s="54"/>
      <c r="L72" s="54"/>
      <c r="M72" s="54"/>
      <c r="N72" s="54"/>
      <c r="O72" s="54"/>
      <c r="P72" s="54"/>
      <c r="Q72" s="54"/>
      <c r="R72" s="54"/>
      <c r="S72" s="55"/>
      <c r="T72" s="55"/>
      <c r="U72" s="55"/>
      <c r="V72" s="55"/>
      <c r="W72" s="55"/>
      <c r="X72" s="55"/>
      <c r="Y72" s="55"/>
      <c r="Z72" s="55"/>
      <c r="AA72" s="55"/>
      <c r="AB72" s="55"/>
      <c r="AC72" s="55"/>
      <c r="AD72" s="55"/>
      <c r="AE72" s="55"/>
      <c r="AF72" s="37"/>
    </row>
    <row r="73" spans="1:32" x14ac:dyDescent="0.2">
      <c r="A73" s="52"/>
      <c r="B73" s="52"/>
      <c r="C73" s="53"/>
      <c r="D73" s="53"/>
      <c r="E73" s="53"/>
      <c r="F73" s="54"/>
      <c r="G73" s="54"/>
      <c r="H73" s="54"/>
      <c r="I73" s="54"/>
      <c r="J73" s="54"/>
      <c r="K73" s="54"/>
      <c r="L73" s="54"/>
      <c r="M73" s="54"/>
      <c r="N73" s="54"/>
      <c r="O73" s="54"/>
      <c r="P73" s="54"/>
      <c r="Q73" s="54"/>
      <c r="R73" s="54"/>
      <c r="S73" s="55"/>
      <c r="T73" s="55"/>
      <c r="U73" s="55"/>
      <c r="V73" s="55"/>
      <c r="W73" s="55"/>
      <c r="X73" s="55"/>
      <c r="Y73" s="55"/>
      <c r="Z73" s="55"/>
      <c r="AA73" s="55"/>
      <c r="AB73" s="55"/>
      <c r="AC73" s="55"/>
      <c r="AD73" s="55"/>
      <c r="AE73" s="55"/>
      <c r="AF73" s="37"/>
    </row>
    <row r="74" spans="1:32" x14ac:dyDescent="0.2">
      <c r="A74" s="52"/>
      <c r="B74" s="52"/>
      <c r="C74" s="53"/>
      <c r="D74" s="53"/>
      <c r="E74" s="53"/>
      <c r="F74" s="54"/>
      <c r="G74" s="54"/>
      <c r="H74" s="54"/>
      <c r="I74" s="54"/>
      <c r="J74" s="54"/>
      <c r="K74" s="54"/>
      <c r="L74" s="54"/>
      <c r="M74" s="54"/>
      <c r="N74" s="54"/>
      <c r="O74" s="54"/>
      <c r="P74" s="54"/>
      <c r="Q74" s="54"/>
      <c r="R74" s="54"/>
      <c r="S74" s="55"/>
      <c r="T74" s="55"/>
      <c r="U74" s="55"/>
      <c r="V74" s="55"/>
      <c r="W74" s="55"/>
      <c r="X74" s="55"/>
      <c r="Y74" s="55"/>
      <c r="Z74" s="55"/>
      <c r="AA74" s="55"/>
      <c r="AB74" s="55"/>
      <c r="AC74" s="55"/>
      <c r="AD74" s="55"/>
      <c r="AE74" s="55"/>
      <c r="AF74" s="37"/>
    </row>
    <row r="75" spans="1:32" x14ac:dyDescent="0.2">
      <c r="A75" s="52"/>
      <c r="B75" s="52"/>
      <c r="C75" s="53"/>
      <c r="D75" s="53"/>
      <c r="E75" s="53"/>
      <c r="F75" s="54"/>
      <c r="G75" s="54"/>
      <c r="H75" s="54"/>
      <c r="I75" s="54"/>
      <c r="J75" s="54"/>
      <c r="K75" s="54"/>
      <c r="L75" s="54"/>
      <c r="M75" s="54"/>
      <c r="N75" s="54"/>
      <c r="O75" s="54"/>
      <c r="P75" s="54"/>
      <c r="Q75" s="54"/>
      <c r="R75" s="54"/>
      <c r="S75" s="55"/>
      <c r="T75" s="55"/>
      <c r="U75" s="55"/>
      <c r="V75" s="55"/>
      <c r="W75" s="55"/>
      <c r="X75" s="55"/>
      <c r="Y75" s="55"/>
      <c r="Z75" s="55"/>
      <c r="AA75" s="55"/>
      <c r="AB75" s="55"/>
      <c r="AC75" s="55"/>
      <c r="AD75" s="55"/>
      <c r="AE75" s="55"/>
      <c r="AF75" s="37"/>
    </row>
    <row r="76" spans="1:32" x14ac:dyDescent="0.2">
      <c r="A76" s="52"/>
      <c r="B76" s="52"/>
      <c r="C76" s="53"/>
      <c r="D76" s="53"/>
      <c r="E76" s="53"/>
      <c r="F76" s="54"/>
      <c r="G76" s="54"/>
      <c r="H76" s="54"/>
      <c r="I76" s="54"/>
      <c r="J76" s="54"/>
      <c r="K76" s="54"/>
      <c r="L76" s="54"/>
      <c r="M76" s="54"/>
      <c r="N76" s="54"/>
      <c r="O76" s="54"/>
      <c r="P76" s="54"/>
      <c r="Q76" s="54"/>
      <c r="R76" s="54"/>
      <c r="S76" s="55"/>
      <c r="T76" s="55"/>
      <c r="U76" s="55"/>
      <c r="V76" s="55"/>
      <c r="W76" s="55"/>
      <c r="X76" s="55"/>
      <c r="Y76" s="55"/>
      <c r="Z76" s="55"/>
      <c r="AA76" s="55"/>
      <c r="AB76" s="55"/>
      <c r="AC76" s="55"/>
      <c r="AD76" s="55"/>
      <c r="AE76" s="55"/>
      <c r="AF76" s="37"/>
    </row>
    <row r="77" spans="1:32" x14ac:dyDescent="0.2">
      <c r="A77" s="52"/>
      <c r="B77" s="52"/>
      <c r="C77" s="53"/>
      <c r="D77" s="53"/>
      <c r="E77" s="53"/>
      <c r="F77" s="54"/>
      <c r="G77" s="54"/>
      <c r="H77" s="54"/>
      <c r="I77" s="54"/>
      <c r="J77" s="54"/>
      <c r="K77" s="54"/>
      <c r="L77" s="54"/>
      <c r="M77" s="54"/>
      <c r="N77" s="54"/>
      <c r="O77" s="54"/>
      <c r="P77" s="54"/>
      <c r="Q77" s="54"/>
      <c r="R77" s="54"/>
      <c r="S77" s="55"/>
      <c r="T77" s="55"/>
      <c r="U77" s="55"/>
      <c r="V77" s="55"/>
      <c r="W77" s="55"/>
      <c r="X77" s="55"/>
      <c r="Y77" s="55"/>
      <c r="Z77" s="55"/>
      <c r="AA77" s="55"/>
      <c r="AB77" s="55"/>
      <c r="AC77" s="55"/>
      <c r="AD77" s="55"/>
      <c r="AE77" s="55"/>
      <c r="AF77" s="37"/>
    </row>
    <row r="78" spans="1:32" x14ac:dyDescent="0.2">
      <c r="A78" s="52"/>
      <c r="B78" s="52"/>
      <c r="C78" s="53"/>
      <c r="D78" s="53"/>
      <c r="E78" s="53"/>
      <c r="F78" s="54"/>
      <c r="G78" s="54"/>
      <c r="H78" s="54"/>
      <c r="I78" s="54"/>
      <c r="J78" s="54"/>
      <c r="K78" s="54"/>
      <c r="L78" s="54"/>
      <c r="M78" s="54"/>
      <c r="N78" s="54"/>
      <c r="O78" s="54"/>
      <c r="P78" s="54"/>
      <c r="Q78" s="54"/>
      <c r="R78" s="54"/>
      <c r="S78" s="55"/>
      <c r="T78" s="55"/>
      <c r="U78" s="55"/>
      <c r="V78" s="55"/>
      <c r="W78" s="55"/>
      <c r="X78" s="55"/>
      <c r="Y78" s="55"/>
      <c r="Z78" s="55"/>
      <c r="AA78" s="55"/>
      <c r="AB78" s="55"/>
      <c r="AC78" s="55"/>
      <c r="AD78" s="55"/>
      <c r="AE78" s="55"/>
      <c r="AF78" s="37"/>
    </row>
    <row r="79" spans="1:32" x14ac:dyDescent="0.2">
      <c r="A79" s="52"/>
      <c r="B79" s="52"/>
      <c r="C79" s="53"/>
      <c r="D79" s="53"/>
      <c r="E79" s="53"/>
      <c r="F79" s="54"/>
      <c r="G79" s="54"/>
      <c r="H79" s="54"/>
      <c r="I79" s="54"/>
      <c r="J79" s="54"/>
      <c r="K79" s="54"/>
      <c r="L79" s="54"/>
      <c r="M79" s="54"/>
      <c r="N79" s="54"/>
      <c r="O79" s="54"/>
      <c r="P79" s="54"/>
      <c r="Q79" s="54"/>
      <c r="R79" s="54"/>
      <c r="S79" s="55"/>
      <c r="T79" s="55"/>
      <c r="U79" s="55"/>
      <c r="V79" s="55"/>
      <c r="W79" s="55"/>
      <c r="X79" s="55"/>
      <c r="Y79" s="55"/>
      <c r="Z79" s="55"/>
      <c r="AA79" s="55"/>
      <c r="AB79" s="55"/>
      <c r="AC79" s="55"/>
      <c r="AD79" s="55"/>
      <c r="AE79" s="55"/>
      <c r="AF79" s="37"/>
    </row>
    <row r="80" spans="1:32" x14ac:dyDescent="0.2">
      <c r="A80" s="52"/>
      <c r="B80" s="52"/>
      <c r="C80" s="53"/>
      <c r="D80" s="53"/>
      <c r="E80" s="53"/>
      <c r="F80" s="54"/>
      <c r="G80" s="54"/>
      <c r="H80" s="54"/>
      <c r="I80" s="54"/>
      <c r="J80" s="54"/>
      <c r="K80" s="54"/>
      <c r="L80" s="54"/>
      <c r="M80" s="54"/>
      <c r="N80" s="54"/>
      <c r="O80" s="54"/>
      <c r="P80" s="54"/>
      <c r="Q80" s="54"/>
      <c r="R80" s="54"/>
      <c r="S80" s="55"/>
      <c r="T80" s="55"/>
      <c r="U80" s="55"/>
      <c r="V80" s="55"/>
      <c r="W80" s="55"/>
      <c r="X80" s="55"/>
      <c r="Y80" s="55"/>
      <c r="Z80" s="55"/>
      <c r="AA80" s="55"/>
      <c r="AB80" s="55"/>
      <c r="AC80" s="55"/>
      <c r="AD80" s="55"/>
      <c r="AE80" s="55"/>
      <c r="AF80" s="37"/>
    </row>
    <row r="81" spans="1:32" x14ac:dyDescent="0.2">
      <c r="A81" s="52"/>
      <c r="B81" s="52"/>
      <c r="C81" s="53"/>
      <c r="D81" s="53"/>
      <c r="E81" s="53"/>
      <c r="F81" s="54"/>
      <c r="G81" s="54"/>
      <c r="H81" s="54"/>
      <c r="I81" s="54"/>
      <c r="J81" s="54"/>
      <c r="K81" s="54"/>
      <c r="L81" s="54"/>
      <c r="M81" s="54"/>
      <c r="N81" s="54"/>
      <c r="O81" s="54"/>
      <c r="P81" s="54"/>
      <c r="Q81" s="54"/>
      <c r="R81" s="54"/>
      <c r="S81" s="55"/>
      <c r="T81" s="55"/>
      <c r="U81" s="55"/>
      <c r="V81" s="55"/>
      <c r="W81" s="55"/>
      <c r="X81" s="55"/>
      <c r="Y81" s="55"/>
      <c r="Z81" s="55"/>
      <c r="AA81" s="55"/>
      <c r="AB81" s="55"/>
      <c r="AC81" s="55"/>
      <c r="AD81" s="55"/>
      <c r="AE81" s="55"/>
      <c r="AF81" s="37"/>
    </row>
    <row r="82" spans="1:32" x14ac:dyDescent="0.2">
      <c r="A82" s="52"/>
      <c r="B82" s="52"/>
      <c r="C82" s="53"/>
      <c r="D82" s="53"/>
      <c r="E82" s="53"/>
      <c r="F82" s="54"/>
      <c r="G82" s="54"/>
      <c r="H82" s="54"/>
      <c r="I82" s="54"/>
      <c r="J82" s="54"/>
      <c r="K82" s="54"/>
      <c r="L82" s="54"/>
      <c r="M82" s="54"/>
      <c r="N82" s="54"/>
      <c r="O82" s="54"/>
      <c r="P82" s="54"/>
      <c r="Q82" s="54"/>
      <c r="R82" s="54"/>
      <c r="S82" s="55"/>
      <c r="T82" s="55"/>
      <c r="U82" s="55"/>
      <c r="V82" s="55"/>
      <c r="W82" s="55"/>
      <c r="X82" s="55"/>
      <c r="Y82" s="55"/>
      <c r="Z82" s="55"/>
      <c r="AA82" s="55"/>
      <c r="AB82" s="55"/>
      <c r="AC82" s="55"/>
      <c r="AD82" s="55"/>
      <c r="AE82" s="55"/>
      <c r="AF82" s="37"/>
    </row>
    <row r="83" spans="1:32" x14ac:dyDescent="0.2">
      <c r="A83" s="52"/>
      <c r="B83" s="52"/>
      <c r="C83" s="53"/>
      <c r="D83" s="53"/>
      <c r="E83" s="53"/>
      <c r="F83" s="54"/>
      <c r="G83" s="54"/>
      <c r="H83" s="54"/>
      <c r="I83" s="54"/>
      <c r="J83" s="54"/>
      <c r="K83" s="54"/>
      <c r="L83" s="54"/>
      <c r="M83" s="54"/>
      <c r="N83" s="54"/>
      <c r="O83" s="54"/>
      <c r="P83" s="54"/>
      <c r="Q83" s="54"/>
      <c r="R83" s="54"/>
      <c r="S83" s="55"/>
      <c r="T83" s="55"/>
      <c r="U83" s="55"/>
      <c r="V83" s="55"/>
      <c r="W83" s="55"/>
      <c r="X83" s="55"/>
      <c r="Y83" s="55"/>
      <c r="Z83" s="55"/>
      <c r="AA83" s="55"/>
      <c r="AB83" s="55"/>
      <c r="AC83" s="55"/>
      <c r="AD83" s="55"/>
      <c r="AE83" s="55"/>
      <c r="AF83" s="37"/>
    </row>
    <row r="84" spans="1:32" x14ac:dyDescent="0.2">
      <c r="A84" s="52"/>
      <c r="B84" s="52"/>
      <c r="C84" s="53"/>
      <c r="D84" s="53"/>
      <c r="E84" s="53"/>
      <c r="F84" s="54"/>
      <c r="G84" s="54"/>
      <c r="H84" s="54"/>
      <c r="I84" s="54"/>
      <c r="J84" s="54"/>
      <c r="K84" s="54"/>
      <c r="L84" s="54"/>
      <c r="M84" s="54"/>
      <c r="N84" s="54"/>
      <c r="O84" s="54"/>
      <c r="P84" s="54"/>
      <c r="Q84" s="54"/>
      <c r="R84" s="54"/>
      <c r="S84" s="55"/>
      <c r="T84" s="55"/>
      <c r="U84" s="55"/>
      <c r="V84" s="55"/>
      <c r="W84" s="55"/>
      <c r="X84" s="55"/>
      <c r="Y84" s="55"/>
      <c r="Z84" s="55"/>
      <c r="AA84" s="55"/>
      <c r="AB84" s="55"/>
      <c r="AC84" s="55"/>
      <c r="AD84" s="55"/>
      <c r="AE84" s="55"/>
      <c r="AF84" s="37"/>
    </row>
    <row r="85" spans="1:32" x14ac:dyDescent="0.2">
      <c r="A85" s="52"/>
      <c r="B85" s="52"/>
      <c r="C85" s="53"/>
      <c r="D85" s="53"/>
      <c r="E85" s="53"/>
      <c r="F85" s="54"/>
      <c r="G85" s="54"/>
      <c r="H85" s="54"/>
      <c r="I85" s="54"/>
      <c r="J85" s="54"/>
      <c r="K85" s="54"/>
      <c r="L85" s="54"/>
      <c r="M85" s="54"/>
      <c r="N85" s="54"/>
      <c r="O85" s="54"/>
      <c r="P85" s="54"/>
      <c r="Q85" s="54"/>
      <c r="R85" s="54"/>
      <c r="S85" s="55"/>
      <c r="T85" s="55"/>
      <c r="U85" s="55"/>
      <c r="V85" s="55"/>
      <c r="W85" s="55"/>
      <c r="X85" s="55"/>
      <c r="Y85" s="55"/>
      <c r="Z85" s="55"/>
      <c r="AA85" s="55"/>
      <c r="AB85" s="55"/>
      <c r="AC85" s="55"/>
      <c r="AD85" s="55"/>
      <c r="AE85" s="55"/>
      <c r="AF85" s="37"/>
    </row>
    <row r="86" spans="1:32" x14ac:dyDescent="0.2">
      <c r="A86" s="52"/>
      <c r="B86" s="52"/>
      <c r="C86" s="53"/>
      <c r="D86" s="53"/>
      <c r="E86" s="53"/>
      <c r="F86" s="54"/>
      <c r="G86" s="54"/>
      <c r="H86" s="54"/>
      <c r="I86" s="54"/>
      <c r="J86" s="54"/>
      <c r="K86" s="54"/>
      <c r="L86" s="54"/>
      <c r="M86" s="54"/>
      <c r="N86" s="54"/>
      <c r="O86" s="54"/>
      <c r="P86" s="54"/>
      <c r="Q86" s="54"/>
      <c r="R86" s="54"/>
      <c r="S86" s="55"/>
      <c r="T86" s="55"/>
      <c r="U86" s="55"/>
      <c r="V86" s="55"/>
      <c r="W86" s="55"/>
      <c r="X86" s="55"/>
      <c r="Y86" s="55"/>
      <c r="Z86" s="55"/>
      <c r="AA86" s="55"/>
      <c r="AB86" s="55"/>
      <c r="AC86" s="55"/>
      <c r="AD86" s="55"/>
      <c r="AE86" s="55"/>
      <c r="AF86" s="37"/>
    </row>
    <row r="87" spans="1:32" x14ac:dyDescent="0.2">
      <c r="A87" s="52"/>
      <c r="B87" s="52"/>
      <c r="C87" s="53"/>
      <c r="D87" s="53"/>
      <c r="E87" s="53"/>
      <c r="F87" s="54"/>
      <c r="G87" s="54"/>
      <c r="H87" s="54"/>
      <c r="I87" s="54"/>
      <c r="J87" s="54"/>
      <c r="K87" s="54"/>
      <c r="L87" s="54"/>
      <c r="M87" s="54"/>
      <c r="N87" s="54"/>
      <c r="O87" s="54"/>
      <c r="P87" s="54"/>
      <c r="Q87" s="54"/>
      <c r="R87" s="54"/>
      <c r="S87" s="55"/>
      <c r="T87" s="55"/>
      <c r="U87" s="55"/>
      <c r="V87" s="55"/>
      <c r="W87" s="55"/>
      <c r="X87" s="55"/>
      <c r="Y87" s="55"/>
      <c r="Z87" s="55"/>
      <c r="AA87" s="55"/>
      <c r="AB87" s="55"/>
      <c r="AC87" s="55"/>
      <c r="AD87" s="55"/>
      <c r="AE87" s="55"/>
      <c r="AF87" s="37"/>
    </row>
    <row r="88" spans="1:32" x14ac:dyDescent="0.2">
      <c r="A88" s="52"/>
      <c r="B88" s="52"/>
      <c r="C88" s="53"/>
      <c r="D88" s="53"/>
      <c r="E88" s="53"/>
      <c r="F88" s="54"/>
      <c r="G88" s="54"/>
      <c r="H88" s="54"/>
      <c r="I88" s="54"/>
      <c r="J88" s="54"/>
      <c r="K88" s="54"/>
      <c r="L88" s="54"/>
      <c r="M88" s="54"/>
      <c r="N88" s="54"/>
      <c r="O88" s="54"/>
      <c r="P88" s="54"/>
      <c r="Q88" s="54"/>
      <c r="R88" s="54"/>
      <c r="S88" s="55"/>
      <c r="T88" s="55"/>
      <c r="U88" s="55"/>
      <c r="V88" s="55"/>
      <c r="W88" s="55"/>
      <c r="X88" s="55"/>
      <c r="Y88" s="55"/>
      <c r="Z88" s="55"/>
      <c r="AA88" s="55"/>
      <c r="AB88" s="55"/>
      <c r="AC88" s="55"/>
      <c r="AD88" s="55"/>
      <c r="AE88" s="55"/>
      <c r="AF88" s="37"/>
    </row>
    <row r="89" spans="1:32" x14ac:dyDescent="0.2">
      <c r="A89" s="52"/>
      <c r="B89" s="52"/>
      <c r="C89" s="53"/>
      <c r="D89" s="53"/>
      <c r="E89" s="53"/>
      <c r="F89" s="54"/>
      <c r="G89" s="54"/>
      <c r="H89" s="54"/>
      <c r="I89" s="54"/>
      <c r="J89" s="54"/>
      <c r="K89" s="54"/>
      <c r="L89" s="54"/>
      <c r="M89" s="54"/>
      <c r="N89" s="54"/>
      <c r="O89" s="54"/>
      <c r="P89" s="54"/>
      <c r="Q89" s="54"/>
      <c r="R89" s="54"/>
      <c r="S89" s="55"/>
      <c r="T89" s="55"/>
      <c r="U89" s="55"/>
      <c r="V89" s="55"/>
      <c r="W89" s="55"/>
      <c r="X89" s="55"/>
      <c r="Y89" s="55"/>
      <c r="Z89" s="55"/>
      <c r="AA89" s="55"/>
      <c r="AB89" s="55"/>
      <c r="AC89" s="55"/>
      <c r="AD89" s="55"/>
      <c r="AE89" s="55"/>
      <c r="AF89" s="37"/>
    </row>
    <row r="90" spans="1:32" x14ac:dyDescent="0.2">
      <c r="A90" s="52"/>
      <c r="B90" s="52"/>
      <c r="C90" s="53"/>
      <c r="D90" s="53"/>
      <c r="E90" s="53"/>
      <c r="F90" s="54"/>
      <c r="G90" s="54"/>
      <c r="H90" s="54"/>
      <c r="I90" s="54"/>
      <c r="J90" s="54"/>
      <c r="K90" s="54"/>
      <c r="L90" s="54"/>
      <c r="M90" s="54"/>
      <c r="N90" s="54"/>
      <c r="O90" s="54"/>
      <c r="P90" s="54"/>
      <c r="Q90" s="54"/>
      <c r="R90" s="54"/>
      <c r="S90" s="55"/>
      <c r="T90" s="55"/>
      <c r="U90" s="55"/>
      <c r="V90" s="55"/>
      <c r="W90" s="55"/>
      <c r="X90" s="55"/>
      <c r="Y90" s="55"/>
      <c r="Z90" s="55"/>
      <c r="AA90" s="55"/>
      <c r="AB90" s="55"/>
      <c r="AC90" s="55"/>
      <c r="AD90" s="55"/>
      <c r="AE90" s="55"/>
      <c r="AF90" s="37"/>
    </row>
    <row r="91" spans="1:32" x14ac:dyDescent="0.2">
      <c r="A91" s="52"/>
      <c r="B91" s="52"/>
      <c r="C91" s="53"/>
      <c r="D91" s="53"/>
      <c r="E91" s="53"/>
      <c r="F91" s="54"/>
      <c r="G91" s="54"/>
      <c r="H91" s="54"/>
      <c r="I91" s="54"/>
      <c r="J91" s="54"/>
      <c r="K91" s="54"/>
      <c r="L91" s="54"/>
      <c r="M91" s="54"/>
      <c r="N91" s="54"/>
      <c r="O91" s="54"/>
      <c r="P91" s="54"/>
      <c r="Q91" s="54"/>
      <c r="R91" s="54"/>
      <c r="S91" s="55"/>
      <c r="T91" s="55"/>
      <c r="U91" s="55"/>
      <c r="V91" s="55"/>
      <c r="W91" s="55"/>
      <c r="X91" s="55"/>
      <c r="Y91" s="55"/>
      <c r="Z91" s="55"/>
      <c r="AA91" s="55"/>
      <c r="AB91" s="55"/>
      <c r="AC91" s="55"/>
      <c r="AD91" s="55"/>
      <c r="AE91" s="55"/>
      <c r="AF91" s="37"/>
    </row>
    <row r="92" spans="1:32" x14ac:dyDescent="0.2">
      <c r="A92" s="52"/>
      <c r="B92" s="52"/>
      <c r="C92" s="53"/>
      <c r="D92" s="53"/>
      <c r="E92" s="53"/>
      <c r="F92" s="54"/>
      <c r="G92" s="54"/>
      <c r="H92" s="54"/>
      <c r="I92" s="54"/>
      <c r="J92" s="54"/>
      <c r="K92" s="54"/>
      <c r="L92" s="54"/>
      <c r="M92" s="54"/>
      <c r="N92" s="54"/>
      <c r="O92" s="54"/>
      <c r="P92" s="54"/>
      <c r="Q92" s="54"/>
      <c r="R92" s="54"/>
      <c r="S92" s="55"/>
      <c r="T92" s="55"/>
      <c r="U92" s="55"/>
      <c r="V92" s="55"/>
      <c r="W92" s="55"/>
      <c r="X92" s="55"/>
      <c r="Y92" s="55"/>
      <c r="Z92" s="55"/>
      <c r="AA92" s="55"/>
      <c r="AB92" s="55"/>
      <c r="AC92" s="55"/>
      <c r="AD92" s="55"/>
      <c r="AE92" s="55"/>
      <c r="AF92" s="37"/>
    </row>
    <row r="93" spans="1:32" x14ac:dyDescent="0.2">
      <c r="A93" s="52"/>
      <c r="B93" s="52"/>
      <c r="C93" s="53"/>
      <c r="D93" s="53"/>
      <c r="E93" s="53"/>
      <c r="F93" s="54"/>
      <c r="G93" s="54"/>
      <c r="H93" s="54"/>
      <c r="I93" s="54"/>
      <c r="J93" s="54"/>
      <c r="K93" s="54"/>
      <c r="L93" s="54"/>
      <c r="M93" s="54"/>
      <c r="N93" s="54"/>
      <c r="O93" s="54"/>
      <c r="P93" s="54"/>
      <c r="Q93" s="54"/>
      <c r="R93" s="54"/>
      <c r="S93" s="55"/>
      <c r="T93" s="55"/>
      <c r="U93" s="55"/>
      <c r="V93" s="55"/>
      <c r="W93" s="55"/>
      <c r="X93" s="55"/>
      <c r="Y93" s="55"/>
      <c r="Z93" s="55"/>
      <c r="AA93" s="55"/>
      <c r="AB93" s="55"/>
      <c r="AC93" s="55"/>
      <c r="AD93" s="55"/>
      <c r="AE93" s="55"/>
      <c r="AF93" s="37"/>
    </row>
    <row r="94" spans="1:32" x14ac:dyDescent="0.2">
      <c r="A94" s="52"/>
      <c r="B94" s="52"/>
      <c r="C94" s="53"/>
      <c r="D94" s="53"/>
      <c r="E94" s="53"/>
      <c r="F94" s="54"/>
      <c r="G94" s="54"/>
      <c r="H94" s="54"/>
      <c r="I94" s="54"/>
      <c r="J94" s="54"/>
      <c r="K94" s="54"/>
      <c r="L94" s="54"/>
      <c r="M94" s="54"/>
      <c r="N94" s="54"/>
      <c r="O94" s="54"/>
      <c r="P94" s="54"/>
      <c r="Q94" s="54"/>
      <c r="R94" s="54"/>
      <c r="S94" s="55"/>
      <c r="T94" s="55"/>
      <c r="U94" s="55"/>
      <c r="V94" s="55"/>
      <c r="W94" s="55"/>
      <c r="X94" s="55"/>
      <c r="Y94" s="55"/>
      <c r="Z94" s="55"/>
      <c r="AA94" s="55"/>
      <c r="AB94" s="55"/>
      <c r="AC94" s="55"/>
      <c r="AD94" s="55"/>
      <c r="AE94" s="55"/>
      <c r="AF94" s="37"/>
    </row>
    <row r="95" spans="1:32" x14ac:dyDescent="0.2">
      <c r="A95" s="52"/>
      <c r="B95" s="52"/>
      <c r="C95" s="53"/>
      <c r="D95" s="53"/>
      <c r="E95" s="53"/>
      <c r="F95" s="54"/>
      <c r="G95" s="54"/>
      <c r="H95" s="54"/>
      <c r="I95" s="54"/>
      <c r="J95" s="54"/>
      <c r="K95" s="54"/>
      <c r="L95" s="54"/>
      <c r="M95" s="54"/>
      <c r="N95" s="54"/>
      <c r="O95" s="54"/>
      <c r="P95" s="54"/>
      <c r="Q95" s="54"/>
      <c r="R95" s="54"/>
      <c r="S95" s="55"/>
      <c r="T95" s="55"/>
      <c r="U95" s="55"/>
      <c r="V95" s="55"/>
      <c r="W95" s="55"/>
      <c r="X95" s="55"/>
      <c r="Y95" s="55"/>
      <c r="Z95" s="55"/>
      <c r="AA95" s="55"/>
      <c r="AB95" s="55"/>
      <c r="AC95" s="55"/>
      <c r="AD95" s="55"/>
      <c r="AE95" s="55"/>
      <c r="AF95" s="37"/>
    </row>
    <row r="96" spans="1:32" x14ac:dyDescent="0.2">
      <c r="A96" s="52"/>
      <c r="B96" s="52"/>
      <c r="C96" s="53"/>
      <c r="D96" s="53"/>
      <c r="E96" s="53"/>
      <c r="F96" s="54"/>
      <c r="G96" s="54"/>
      <c r="H96" s="54"/>
      <c r="I96" s="54"/>
      <c r="J96" s="54"/>
      <c r="K96" s="54"/>
      <c r="L96" s="54"/>
      <c r="M96" s="54"/>
      <c r="N96" s="54"/>
      <c r="O96" s="54"/>
      <c r="P96" s="54"/>
      <c r="Q96" s="54"/>
      <c r="R96" s="54"/>
      <c r="S96" s="55"/>
      <c r="T96" s="55"/>
      <c r="U96" s="55"/>
      <c r="V96" s="55"/>
      <c r="W96" s="55"/>
      <c r="X96" s="55"/>
      <c r="Y96" s="55"/>
      <c r="Z96" s="55"/>
      <c r="AA96" s="55"/>
      <c r="AB96" s="55"/>
      <c r="AC96" s="55"/>
      <c r="AD96" s="55"/>
      <c r="AE96" s="55"/>
      <c r="AF96" s="37"/>
    </row>
    <row r="97" spans="1:32" x14ac:dyDescent="0.2">
      <c r="A97" s="52"/>
      <c r="B97" s="52"/>
      <c r="C97" s="53"/>
      <c r="D97" s="53"/>
      <c r="E97" s="53"/>
      <c r="F97" s="54"/>
      <c r="G97" s="54"/>
      <c r="H97" s="54"/>
      <c r="I97" s="54"/>
      <c r="J97" s="54"/>
      <c r="K97" s="54"/>
      <c r="L97" s="54"/>
      <c r="M97" s="54"/>
      <c r="N97" s="54"/>
      <c r="O97" s="54"/>
      <c r="P97" s="54"/>
      <c r="Q97" s="54"/>
      <c r="R97" s="54"/>
      <c r="S97" s="55"/>
      <c r="T97" s="55"/>
      <c r="U97" s="55"/>
      <c r="V97" s="55"/>
      <c r="W97" s="55"/>
      <c r="X97" s="55"/>
      <c r="Y97" s="55"/>
      <c r="Z97" s="55"/>
      <c r="AA97" s="55"/>
      <c r="AB97" s="55"/>
      <c r="AC97" s="55"/>
      <c r="AD97" s="55"/>
      <c r="AE97" s="55"/>
      <c r="AF97" s="37"/>
    </row>
    <row r="98" spans="1:32" x14ac:dyDescent="0.2">
      <c r="A98" s="52"/>
      <c r="B98" s="52"/>
      <c r="C98" s="53"/>
      <c r="D98" s="53"/>
      <c r="E98" s="53"/>
      <c r="F98" s="54"/>
      <c r="G98" s="54"/>
      <c r="H98" s="54"/>
      <c r="I98" s="54"/>
      <c r="J98" s="54"/>
      <c r="K98" s="54"/>
      <c r="L98" s="54"/>
      <c r="M98" s="54"/>
      <c r="N98" s="54"/>
      <c r="O98" s="54"/>
      <c r="P98" s="54"/>
      <c r="Q98" s="54"/>
      <c r="R98" s="54"/>
      <c r="S98" s="55"/>
      <c r="T98" s="55"/>
      <c r="U98" s="55"/>
      <c r="V98" s="55"/>
      <c r="W98" s="55"/>
      <c r="X98" s="55"/>
      <c r="Y98" s="55"/>
      <c r="Z98" s="55"/>
      <c r="AA98" s="55"/>
      <c r="AB98" s="55"/>
      <c r="AC98" s="55"/>
      <c r="AD98" s="55"/>
      <c r="AE98" s="55"/>
      <c r="AF98" s="37"/>
    </row>
    <row r="99" spans="1:32" x14ac:dyDescent="0.2">
      <c r="A99" s="52"/>
      <c r="B99" s="52"/>
      <c r="C99" s="53"/>
      <c r="D99" s="53"/>
      <c r="E99" s="53"/>
      <c r="F99" s="54"/>
      <c r="G99" s="54"/>
      <c r="H99" s="54"/>
      <c r="I99" s="54"/>
      <c r="J99" s="54"/>
      <c r="K99" s="54"/>
      <c r="L99" s="54"/>
      <c r="M99" s="54"/>
      <c r="N99" s="54"/>
      <c r="O99" s="54"/>
      <c r="P99" s="54"/>
      <c r="Q99" s="54"/>
      <c r="R99" s="54"/>
      <c r="S99" s="55"/>
      <c r="T99" s="55"/>
      <c r="U99" s="55"/>
      <c r="V99" s="55"/>
      <c r="W99" s="55"/>
      <c r="X99" s="55"/>
      <c r="Y99" s="55"/>
      <c r="Z99" s="55"/>
      <c r="AA99" s="55"/>
      <c r="AB99" s="55"/>
      <c r="AC99" s="55"/>
      <c r="AD99" s="55"/>
      <c r="AE99" s="55"/>
      <c r="AF99" s="37"/>
    </row>
  </sheetData>
  <mergeCells count="8">
    <mergeCell ref="A2:E3"/>
    <mergeCell ref="F2:R2"/>
    <mergeCell ref="S2:AE3"/>
    <mergeCell ref="AF2:AF3"/>
    <mergeCell ref="F3:I3"/>
    <mergeCell ref="J3:K3"/>
    <mergeCell ref="L3:O3"/>
    <mergeCell ref="P3:R3"/>
  </mergeCell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EFCBDD7F-192E-42B9-8656-F75B04539443}">
          <x14:formula1>
            <xm:f>vocabs!$F$63:$F$71</xm:f>
          </x14:formula1>
          <xm:sqref>AD6:AD99</xm:sqref>
        </x14:dataValidation>
        <x14:dataValidation type="list" allowBlank="1" showInputMessage="1" showErrorMessage="1" xr:uid="{29CB73F4-6C71-43F2-BA27-00202E91B4EB}">
          <x14:formula1>
            <xm:f>vocabs!$F$51:$F$56</xm:f>
          </x14:formula1>
          <xm:sqref>Z6:Z99</xm:sqref>
        </x14:dataValidation>
        <x14:dataValidation type="list" allowBlank="1" showInputMessage="1" showErrorMessage="1" xr:uid="{8C3DA5B6-7114-4C53-9BEB-39CF5A6925F4}">
          <x14:formula1>
            <xm:f>vocabs!$F$40:$F$46</xm:f>
          </x14:formula1>
          <xm:sqref>W6:W99</xm:sqref>
        </x14:dataValidation>
        <x14:dataValidation type="list" allowBlank="1" showInputMessage="1" showErrorMessage="1" xr:uid="{19B8C66F-EFA9-4ADC-B68A-CDD3524AB92A}">
          <x14:formula1>
            <xm:f>vocabs!$F$31:$F$36</xm:f>
          </x14:formula1>
          <xm:sqref>U6:U99</xm:sqref>
        </x14:dataValidation>
        <x14:dataValidation type="list" allowBlank="1" showInputMessage="1" showErrorMessage="1" xr:uid="{FACD02EC-2563-4C27-80DB-EFDA5658A84B}">
          <x14:formula1>
            <xm:f>vocabs!$F$17:$F$21</xm:f>
          </x14:formula1>
          <xm:sqref>S6:S99</xm:sqref>
        </x14:dataValidation>
        <x14:dataValidation type="list" allowBlank="1" showInputMessage="1" showErrorMessage="1" xr:uid="{92A50F36-F4D2-4B8C-AF64-D50CD4511E45}">
          <x14:formula1>
            <xm:f>vocabs!$F$3:$F$7</xm:f>
          </x14:formula1>
          <xm:sqref>C6:C99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1"/>
  <sheetViews>
    <sheetView workbookViewId="0">
      <selection sqref="A1:A21"/>
    </sheetView>
  </sheetViews>
  <sheetFormatPr baseColWidth="10" defaultColWidth="11" defaultRowHeight="16" x14ac:dyDescent="0.2"/>
  <sheetData>
    <row r="1" spans="1:1" x14ac:dyDescent="0.2">
      <c r="A1" t="s">
        <v>0</v>
      </c>
    </row>
    <row r="2" spans="1:1" ht="19" x14ac:dyDescent="0.2">
      <c r="A2" t="s">
        <v>1</v>
      </c>
    </row>
    <row r="3" spans="1:1" ht="19" x14ac:dyDescent="0.2">
      <c r="A3" t="s">
        <v>2</v>
      </c>
    </row>
    <row r="5" spans="1:1" x14ac:dyDescent="0.2">
      <c r="A5" s="9" t="s">
        <v>68</v>
      </c>
    </row>
    <row r="6" spans="1:1" x14ac:dyDescent="0.2">
      <c r="A6" s="9" t="s">
        <v>69</v>
      </c>
    </row>
    <row r="7" spans="1:1" x14ac:dyDescent="0.2">
      <c r="A7" s="9" t="s">
        <v>80</v>
      </c>
    </row>
    <row r="8" spans="1:1" x14ac:dyDescent="0.2">
      <c r="A8" s="9" t="s">
        <v>70</v>
      </c>
    </row>
    <row r="9" spans="1:1" x14ac:dyDescent="0.2">
      <c r="A9" s="9" t="s">
        <v>71</v>
      </c>
    </row>
    <row r="10" spans="1:1" x14ac:dyDescent="0.2">
      <c r="A10" s="9" t="s">
        <v>72</v>
      </c>
    </row>
    <row r="11" spans="1:1" x14ac:dyDescent="0.2">
      <c r="A11" s="9" t="s">
        <v>73</v>
      </c>
    </row>
    <row r="12" spans="1:1" x14ac:dyDescent="0.2">
      <c r="A12" s="9" t="s">
        <v>74</v>
      </c>
    </row>
    <row r="13" spans="1:1" x14ac:dyDescent="0.2">
      <c r="A13" s="9" t="s">
        <v>75</v>
      </c>
    </row>
    <row r="14" spans="1:1" x14ac:dyDescent="0.2">
      <c r="A14" s="9" t="s">
        <v>76</v>
      </c>
    </row>
    <row r="15" spans="1:1" x14ac:dyDescent="0.2">
      <c r="A15" s="9" t="s">
        <v>77</v>
      </c>
    </row>
    <row r="16" spans="1:1" x14ac:dyDescent="0.2">
      <c r="A16" s="9" t="s">
        <v>78</v>
      </c>
    </row>
    <row r="17" spans="1:1" x14ac:dyDescent="0.2">
      <c r="A17" t="s">
        <v>79</v>
      </c>
    </row>
    <row r="19" spans="1:1" x14ac:dyDescent="0.2">
      <c r="A19" s="10" t="s">
        <v>3</v>
      </c>
    </row>
    <row r="20" spans="1:1" x14ac:dyDescent="0.2">
      <c r="A20" s="10" t="s">
        <v>4</v>
      </c>
    </row>
    <row r="21" spans="1:1" x14ac:dyDescent="0.2">
      <c r="A21" s="10" t="s">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BE9A4-B90F-4550-9C81-E00B91509DB4}">
  <dimension ref="A1:H99"/>
  <sheetViews>
    <sheetView workbookViewId="0">
      <selection activeCell="S9" sqref="S9"/>
    </sheetView>
  </sheetViews>
  <sheetFormatPr baseColWidth="10" defaultColWidth="11" defaultRowHeight="16" x14ac:dyDescent="0.2"/>
  <cols>
    <col min="1" max="1" width="3.6640625" bestFit="1" customWidth="1"/>
    <col min="2" max="2" width="86.5" customWidth="1"/>
    <col min="4" max="4" width="66" customWidth="1"/>
    <col min="6" max="6" width="61.1640625" bestFit="1" customWidth="1"/>
  </cols>
  <sheetData>
    <row r="1" spans="1:8" x14ac:dyDescent="0.2">
      <c r="B1" t="s">
        <v>194</v>
      </c>
      <c r="D1" t="s">
        <v>194</v>
      </c>
      <c r="F1" t="s">
        <v>195</v>
      </c>
      <c r="H1" t="s">
        <v>196</v>
      </c>
    </row>
    <row r="2" spans="1:8" ht="127" x14ac:dyDescent="0.25">
      <c r="A2" t="s">
        <v>197</v>
      </c>
      <c r="B2" s="58" t="s">
        <v>198</v>
      </c>
      <c r="C2" t="s">
        <v>199</v>
      </c>
      <c r="D2" s="59" t="s">
        <v>200</v>
      </c>
      <c r="E2" t="s">
        <v>201</v>
      </c>
      <c r="F2" s="38" t="s">
        <v>202</v>
      </c>
      <c r="H2" t="s">
        <v>203</v>
      </c>
    </row>
    <row r="3" spans="1:8" x14ac:dyDescent="0.2">
      <c r="B3" t="s">
        <v>204</v>
      </c>
      <c r="D3" t="s">
        <v>205</v>
      </c>
      <c r="F3" t="s">
        <v>193</v>
      </c>
      <c r="H3" t="s">
        <v>206</v>
      </c>
    </row>
    <row r="4" spans="1:8" x14ac:dyDescent="0.2">
      <c r="B4" t="s">
        <v>207</v>
      </c>
      <c r="D4" t="s">
        <v>208</v>
      </c>
      <c r="F4" t="s">
        <v>209</v>
      </c>
      <c r="H4" t="s">
        <v>210</v>
      </c>
    </row>
    <row r="5" spans="1:8" x14ac:dyDescent="0.2">
      <c r="B5" t="s">
        <v>211</v>
      </c>
      <c r="D5" t="s">
        <v>212</v>
      </c>
      <c r="F5" t="s">
        <v>187</v>
      </c>
    </row>
    <row r="6" spans="1:8" x14ac:dyDescent="0.2">
      <c r="B6" t="s">
        <v>213</v>
      </c>
      <c r="D6" t="s">
        <v>214</v>
      </c>
      <c r="F6" t="s">
        <v>215</v>
      </c>
    </row>
    <row r="7" spans="1:8" x14ac:dyDescent="0.2">
      <c r="B7" t="s">
        <v>216</v>
      </c>
      <c r="D7" t="s">
        <v>217</v>
      </c>
      <c r="F7" t="s">
        <v>192</v>
      </c>
    </row>
    <row r="8" spans="1:8" x14ac:dyDescent="0.2">
      <c r="B8" t="s">
        <v>218</v>
      </c>
      <c r="D8" t="s">
        <v>219</v>
      </c>
    </row>
    <row r="9" spans="1:8" x14ac:dyDescent="0.2">
      <c r="D9" t="s">
        <v>220</v>
      </c>
    </row>
    <row r="10" spans="1:8" x14ac:dyDescent="0.2">
      <c r="D10" t="s">
        <v>191</v>
      </c>
    </row>
    <row r="11" spans="1:8" x14ac:dyDescent="0.2">
      <c r="D11" t="s">
        <v>96</v>
      </c>
    </row>
    <row r="15" spans="1:8" x14ac:dyDescent="0.2">
      <c r="A15" t="s">
        <v>221</v>
      </c>
    </row>
    <row r="16" spans="1:8" ht="20" customHeight="1" x14ac:dyDescent="0.2">
      <c r="B16" s="60" t="s">
        <v>222</v>
      </c>
      <c r="C16" t="s">
        <v>223</v>
      </c>
      <c r="D16" s="59" t="s">
        <v>224</v>
      </c>
      <c r="E16" t="s">
        <v>225</v>
      </c>
      <c r="F16" s="39" t="s">
        <v>129</v>
      </c>
    </row>
    <row r="17" spans="1:6" x14ac:dyDescent="0.2">
      <c r="B17" t="s">
        <v>226</v>
      </c>
      <c r="D17" t="s">
        <v>227</v>
      </c>
      <c r="F17" t="s">
        <v>228</v>
      </c>
    </row>
    <row r="18" spans="1:6" x14ac:dyDescent="0.2">
      <c r="B18" t="s">
        <v>229</v>
      </c>
      <c r="D18" t="s">
        <v>230</v>
      </c>
      <c r="F18" t="s">
        <v>231</v>
      </c>
    </row>
    <row r="19" spans="1:6" x14ac:dyDescent="0.2">
      <c r="B19" t="s">
        <v>232</v>
      </c>
      <c r="D19" t="s">
        <v>233</v>
      </c>
      <c r="F19" t="s">
        <v>188</v>
      </c>
    </row>
    <row r="20" spans="1:6" x14ac:dyDescent="0.2">
      <c r="B20" t="s">
        <v>234</v>
      </c>
      <c r="D20" t="s">
        <v>96</v>
      </c>
      <c r="F20" t="s">
        <v>235</v>
      </c>
    </row>
    <row r="21" spans="1:6" x14ac:dyDescent="0.2">
      <c r="B21" t="s">
        <v>236</v>
      </c>
      <c r="F21" t="s">
        <v>237</v>
      </c>
    </row>
    <row r="22" spans="1:6" x14ac:dyDescent="0.2">
      <c r="B22" t="s">
        <v>238</v>
      </c>
    </row>
    <row r="23" spans="1:6" x14ac:dyDescent="0.2">
      <c r="B23" t="s">
        <v>191</v>
      </c>
    </row>
    <row r="24" spans="1:6" x14ac:dyDescent="0.2">
      <c r="B24" t="s">
        <v>96</v>
      </c>
    </row>
    <row r="25" spans="1:6" ht="38" customHeight="1" x14ac:dyDescent="0.2">
      <c r="C25" t="s">
        <v>239</v>
      </c>
      <c r="D25" s="59" t="s">
        <v>240</v>
      </c>
    </row>
    <row r="26" spans="1:6" x14ac:dyDescent="0.2">
      <c r="D26" t="s">
        <v>241</v>
      </c>
    </row>
    <row r="27" spans="1:6" x14ac:dyDescent="0.2">
      <c r="D27" t="s">
        <v>242</v>
      </c>
    </row>
    <row r="28" spans="1:6" x14ac:dyDescent="0.2">
      <c r="D28" t="s">
        <v>243</v>
      </c>
    </row>
    <row r="29" spans="1:6" x14ac:dyDescent="0.2">
      <c r="A29" t="s">
        <v>244</v>
      </c>
      <c r="D29" t="s">
        <v>245</v>
      </c>
    </row>
    <row r="30" spans="1:6" ht="42" x14ac:dyDescent="0.2">
      <c r="B30" s="60" t="s">
        <v>246</v>
      </c>
      <c r="D30" t="s">
        <v>247</v>
      </c>
      <c r="E30" t="s">
        <v>248</v>
      </c>
      <c r="F30" s="39" t="s">
        <v>130</v>
      </c>
    </row>
    <row r="31" spans="1:6" x14ac:dyDescent="0.2">
      <c r="B31" t="s">
        <v>229</v>
      </c>
      <c r="D31" t="s">
        <v>191</v>
      </c>
      <c r="F31" t="s">
        <v>249</v>
      </c>
    </row>
    <row r="32" spans="1:6" x14ac:dyDescent="0.2">
      <c r="B32" t="s">
        <v>250</v>
      </c>
      <c r="D32" t="s">
        <v>96</v>
      </c>
      <c r="F32" t="s">
        <v>189</v>
      </c>
    </row>
    <row r="33" spans="1:6" x14ac:dyDescent="0.2">
      <c r="B33" t="s">
        <v>191</v>
      </c>
      <c r="F33" t="s">
        <v>251</v>
      </c>
    </row>
    <row r="34" spans="1:6" x14ac:dyDescent="0.2">
      <c r="B34" t="s">
        <v>96</v>
      </c>
      <c r="F34" t="s">
        <v>252</v>
      </c>
    </row>
    <row r="35" spans="1:6" x14ac:dyDescent="0.2">
      <c r="F35" t="s">
        <v>253</v>
      </c>
    </row>
    <row r="36" spans="1:6" ht="41" x14ac:dyDescent="0.2">
      <c r="C36" t="s">
        <v>254</v>
      </c>
      <c r="D36" s="59" t="s">
        <v>255</v>
      </c>
      <c r="F36" t="s">
        <v>191</v>
      </c>
    </row>
    <row r="37" spans="1:6" x14ac:dyDescent="0.2">
      <c r="D37" t="s">
        <v>256</v>
      </c>
    </row>
    <row r="38" spans="1:6" x14ac:dyDescent="0.2">
      <c r="A38" t="s">
        <v>257</v>
      </c>
      <c r="D38" t="s">
        <v>258</v>
      </c>
    </row>
    <row r="39" spans="1:6" ht="70" x14ac:dyDescent="0.2">
      <c r="B39" s="60" t="s">
        <v>259</v>
      </c>
      <c r="D39" t="s">
        <v>260</v>
      </c>
      <c r="E39" t="s">
        <v>261</v>
      </c>
      <c r="F39" s="39" t="s">
        <v>131</v>
      </c>
    </row>
    <row r="40" spans="1:6" x14ac:dyDescent="0.2">
      <c r="B40" t="s">
        <v>262</v>
      </c>
      <c r="D40" t="s">
        <v>191</v>
      </c>
      <c r="F40" t="s">
        <v>263</v>
      </c>
    </row>
    <row r="41" spans="1:6" x14ac:dyDescent="0.2">
      <c r="B41" t="s">
        <v>264</v>
      </c>
      <c r="D41" t="s">
        <v>96</v>
      </c>
      <c r="F41" t="s">
        <v>265</v>
      </c>
    </row>
    <row r="42" spans="1:6" x14ac:dyDescent="0.2">
      <c r="B42" t="s">
        <v>266</v>
      </c>
      <c r="F42" t="s">
        <v>190</v>
      </c>
    </row>
    <row r="43" spans="1:6" x14ac:dyDescent="0.2">
      <c r="B43" t="s">
        <v>267</v>
      </c>
      <c r="F43" t="s">
        <v>268</v>
      </c>
    </row>
    <row r="44" spans="1:6" x14ac:dyDescent="0.2">
      <c r="B44" t="s">
        <v>269</v>
      </c>
      <c r="F44" t="s">
        <v>270</v>
      </c>
    </row>
    <row r="45" spans="1:6" x14ac:dyDescent="0.2">
      <c r="B45" t="s">
        <v>191</v>
      </c>
      <c r="F45" t="s">
        <v>271</v>
      </c>
    </row>
    <row r="46" spans="1:6" x14ac:dyDescent="0.2">
      <c r="B46" t="s">
        <v>96</v>
      </c>
      <c r="F46" t="s">
        <v>191</v>
      </c>
    </row>
    <row r="48" spans="1:6" ht="41" x14ac:dyDescent="0.2">
      <c r="C48" t="s">
        <v>272</v>
      </c>
      <c r="D48" s="61" t="s">
        <v>273</v>
      </c>
    </row>
    <row r="49" spans="1:6" x14ac:dyDescent="0.2">
      <c r="A49" t="s">
        <v>274</v>
      </c>
      <c r="D49" t="s">
        <v>275</v>
      </c>
    </row>
    <row r="50" spans="1:6" ht="42" x14ac:dyDescent="0.2">
      <c r="B50" s="60" t="s">
        <v>276</v>
      </c>
      <c r="D50" t="s">
        <v>277</v>
      </c>
      <c r="E50" t="s">
        <v>278</v>
      </c>
      <c r="F50" s="39" t="s">
        <v>132</v>
      </c>
    </row>
    <row r="51" spans="1:6" x14ac:dyDescent="0.2">
      <c r="B51" t="s">
        <v>279</v>
      </c>
      <c r="D51" t="s">
        <v>280</v>
      </c>
      <c r="F51" t="s">
        <v>281</v>
      </c>
    </row>
    <row r="52" spans="1:6" x14ac:dyDescent="0.2">
      <c r="B52" t="s">
        <v>282</v>
      </c>
      <c r="D52" t="s">
        <v>191</v>
      </c>
      <c r="F52" t="s">
        <v>283</v>
      </c>
    </row>
    <row r="53" spans="1:6" x14ac:dyDescent="0.2">
      <c r="B53" t="s">
        <v>284</v>
      </c>
      <c r="D53" t="s">
        <v>96</v>
      </c>
      <c r="F53" t="s">
        <v>285</v>
      </c>
    </row>
    <row r="54" spans="1:6" x14ac:dyDescent="0.2">
      <c r="B54" t="s">
        <v>286</v>
      </c>
      <c r="F54" t="s">
        <v>287</v>
      </c>
    </row>
    <row r="55" spans="1:6" x14ac:dyDescent="0.2">
      <c r="B55" t="s">
        <v>288</v>
      </c>
      <c r="F55" t="s">
        <v>289</v>
      </c>
    </row>
    <row r="56" spans="1:6" x14ac:dyDescent="0.2">
      <c r="B56" t="s">
        <v>191</v>
      </c>
      <c r="F56" t="s">
        <v>191</v>
      </c>
    </row>
    <row r="57" spans="1:6" x14ac:dyDescent="0.2">
      <c r="B57" t="s">
        <v>290</v>
      </c>
    </row>
    <row r="58" spans="1:6" ht="58" x14ac:dyDescent="0.2">
      <c r="C58" t="s">
        <v>291</v>
      </c>
      <c r="D58" s="59" t="s">
        <v>292</v>
      </c>
    </row>
    <row r="59" spans="1:6" x14ac:dyDescent="0.2">
      <c r="D59" t="s">
        <v>293</v>
      </c>
    </row>
    <row r="60" spans="1:6" x14ac:dyDescent="0.2">
      <c r="D60" t="s">
        <v>294</v>
      </c>
    </row>
    <row r="61" spans="1:6" x14ac:dyDescent="0.2">
      <c r="A61" t="s">
        <v>295</v>
      </c>
      <c r="D61" t="s">
        <v>296</v>
      </c>
    </row>
    <row r="62" spans="1:6" ht="93" x14ac:dyDescent="0.2">
      <c r="B62" s="60" t="s">
        <v>297</v>
      </c>
      <c r="D62" t="s">
        <v>191</v>
      </c>
      <c r="E62" t="s">
        <v>298</v>
      </c>
      <c r="F62" s="39" t="s">
        <v>133</v>
      </c>
    </row>
    <row r="63" spans="1:6" x14ac:dyDescent="0.2">
      <c r="B63" t="s">
        <v>299</v>
      </c>
      <c r="D63" t="s">
        <v>96</v>
      </c>
      <c r="F63" t="s">
        <v>300</v>
      </c>
    </row>
    <row r="64" spans="1:6" x14ac:dyDescent="0.2">
      <c r="B64" t="s">
        <v>301</v>
      </c>
      <c r="F64" t="s">
        <v>302</v>
      </c>
    </row>
    <row r="65" spans="1:6" x14ac:dyDescent="0.2">
      <c r="B65" t="s">
        <v>303</v>
      </c>
      <c r="F65" t="s">
        <v>304</v>
      </c>
    </row>
    <row r="66" spans="1:6" x14ac:dyDescent="0.2">
      <c r="B66" t="s">
        <v>305</v>
      </c>
      <c r="F66" t="s">
        <v>306</v>
      </c>
    </row>
    <row r="67" spans="1:6" x14ac:dyDescent="0.2">
      <c r="B67" t="s">
        <v>191</v>
      </c>
      <c r="F67" t="s">
        <v>307</v>
      </c>
    </row>
    <row r="68" spans="1:6" x14ac:dyDescent="0.2">
      <c r="B68" t="s">
        <v>96</v>
      </c>
      <c r="F68" t="s">
        <v>308</v>
      </c>
    </row>
    <row r="69" spans="1:6" ht="58" x14ac:dyDescent="0.2">
      <c r="C69" t="s">
        <v>309</v>
      </c>
      <c r="D69" s="59" t="s">
        <v>310</v>
      </c>
      <c r="F69" t="s">
        <v>311</v>
      </c>
    </row>
    <row r="70" spans="1:6" x14ac:dyDescent="0.2">
      <c r="D70" t="s">
        <v>312</v>
      </c>
      <c r="F70" t="s">
        <v>191</v>
      </c>
    </row>
    <row r="71" spans="1:6" x14ac:dyDescent="0.2">
      <c r="A71" t="s">
        <v>313</v>
      </c>
      <c r="D71" t="s">
        <v>314</v>
      </c>
      <c r="F71" t="s">
        <v>96</v>
      </c>
    </row>
    <row r="72" spans="1:6" ht="51" x14ac:dyDescent="0.2">
      <c r="B72" s="60" t="s">
        <v>315</v>
      </c>
      <c r="D72" t="s">
        <v>316</v>
      </c>
    </row>
    <row r="73" spans="1:6" x14ac:dyDescent="0.2">
      <c r="B73" s="62" t="s">
        <v>317</v>
      </c>
      <c r="D73" t="s">
        <v>191</v>
      </c>
    </row>
    <row r="74" spans="1:6" x14ac:dyDescent="0.2">
      <c r="B74" s="62" t="s">
        <v>318</v>
      </c>
      <c r="D74" t="s">
        <v>96</v>
      </c>
    </row>
    <row r="75" spans="1:6" x14ac:dyDescent="0.2">
      <c r="B75" s="62" t="s">
        <v>319</v>
      </c>
    </row>
    <row r="76" spans="1:6" x14ac:dyDescent="0.2">
      <c r="B76" s="62" t="s">
        <v>320</v>
      </c>
    </row>
    <row r="77" spans="1:6" x14ac:dyDescent="0.2">
      <c r="B77" s="62" t="s">
        <v>191</v>
      </c>
    </row>
    <row r="78" spans="1:6" x14ac:dyDescent="0.2">
      <c r="B78" s="62" t="s">
        <v>96</v>
      </c>
    </row>
    <row r="80" spans="1:6" ht="126" x14ac:dyDescent="0.2">
      <c r="C80" t="s">
        <v>321</v>
      </c>
      <c r="D80" s="59" t="s">
        <v>322</v>
      </c>
    </row>
    <row r="81" spans="3:4" x14ac:dyDescent="0.2">
      <c r="D81" t="s">
        <v>323</v>
      </c>
    </row>
    <row r="82" spans="3:4" x14ac:dyDescent="0.2">
      <c r="D82" t="s">
        <v>324</v>
      </c>
    </row>
    <row r="83" spans="3:4" x14ac:dyDescent="0.2">
      <c r="D83" t="s">
        <v>325</v>
      </c>
    </row>
    <row r="84" spans="3:4" x14ac:dyDescent="0.2">
      <c r="D84" t="s">
        <v>326</v>
      </c>
    </row>
    <row r="85" spans="3:4" x14ac:dyDescent="0.2">
      <c r="D85" t="s">
        <v>327</v>
      </c>
    </row>
    <row r="86" spans="3:4" x14ac:dyDescent="0.2">
      <c r="D86" t="s">
        <v>328</v>
      </c>
    </row>
    <row r="87" spans="3:4" x14ac:dyDescent="0.2">
      <c r="D87" t="s">
        <v>96</v>
      </c>
    </row>
    <row r="92" spans="3:4" ht="41" x14ac:dyDescent="0.2">
      <c r="C92" t="s">
        <v>329</v>
      </c>
      <c r="D92" s="59" t="s">
        <v>330</v>
      </c>
    </row>
    <row r="93" spans="3:4" x14ac:dyDescent="0.2">
      <c r="D93" t="s">
        <v>331</v>
      </c>
    </row>
    <row r="94" spans="3:4" x14ac:dyDescent="0.2">
      <c r="D94" t="s">
        <v>332</v>
      </c>
    </row>
    <row r="95" spans="3:4" x14ac:dyDescent="0.2">
      <c r="D95" t="s">
        <v>333</v>
      </c>
    </row>
    <row r="96" spans="3:4" x14ac:dyDescent="0.2">
      <c r="D96" t="s">
        <v>334</v>
      </c>
    </row>
    <row r="97" spans="4:4" x14ac:dyDescent="0.2">
      <c r="D97" t="s">
        <v>335</v>
      </c>
    </row>
    <row r="98" spans="4:4" x14ac:dyDescent="0.2">
      <c r="D98" t="s">
        <v>191</v>
      </c>
    </row>
    <row r="99" spans="4:4" x14ac:dyDescent="0.2">
      <c r="D99" t="s">
        <v>96</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leaf gas-exchange_FOM</vt:lpstr>
      <vt:lpstr>age data</vt:lpstr>
      <vt:lpstr>Specifications and References</vt:lpstr>
      <vt:lpstr>vocabs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CFG</cp:lastModifiedBy>
  <dcterms:created xsi:type="dcterms:W3CDTF">2017-12-08T17:20:22Z</dcterms:created>
  <dcterms:modified xsi:type="dcterms:W3CDTF">2026-03-05T23:42:05Z</dcterms:modified>
</cp:coreProperties>
</file>