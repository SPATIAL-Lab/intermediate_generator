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2"/>
  <workbookPr/>
  <mc:AlternateContent xmlns:mc="http://schemas.openxmlformats.org/markup-compatibility/2006">
    <mc:Choice Requires="x15">
      <x15ac:absPath xmlns:x15ac="http://schemas.microsoft.com/office/spreadsheetml/2010/11/ac" url="/Users/Daphnia/Desktop/"/>
    </mc:Choice>
  </mc:AlternateContent>
  <xr:revisionPtr revIDLastSave="0" documentId="13_ncr:1_{6589FC32-DF55-274C-A6F4-BE4277F02CC6}" xr6:coauthVersionLast="47" xr6:coauthVersionMax="47" xr10:uidLastSave="{00000000-0000-0000-0000-000000000000}"/>
  <bookViews>
    <workbookView xWindow="0" yWindow="500" windowWidth="28800" windowHeight="17500" xr2:uid="{00000000-000D-0000-FFFF-FFFF00000000}"/>
  </bookViews>
  <sheets>
    <sheet name="leaf gas-exchange_Franks" sheetId="1" r:id="rId1"/>
    <sheet name="Input parameters and Referen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 i="1" l="1"/>
  <c r="E5" i="1"/>
  <c r="H5" i="1"/>
  <c r="I5" i="1"/>
  <c r="J5" i="1"/>
  <c r="D6" i="1"/>
  <c r="E6" i="1"/>
  <c r="H6" i="1"/>
  <c r="I6" i="1"/>
  <c r="J6" i="1"/>
  <c r="D7" i="1"/>
  <c r="E7" i="1"/>
  <c r="H7" i="1"/>
  <c r="I7" i="1"/>
  <c r="J7" i="1"/>
  <c r="D8" i="1"/>
  <c r="E8" i="1"/>
  <c r="H8" i="1"/>
  <c r="I8" i="1"/>
  <c r="J8" i="1"/>
  <c r="D9" i="1"/>
  <c r="E9" i="1"/>
  <c r="H9" i="1"/>
  <c r="I9" i="1"/>
  <c r="J9" i="1"/>
  <c r="D10" i="1"/>
  <c r="E10" i="1"/>
  <c r="G10" i="1"/>
  <c r="H10" i="1"/>
  <c r="I10" i="1"/>
  <c r="J10" i="1"/>
  <c r="D11" i="1"/>
  <c r="E11" i="1"/>
  <c r="H11" i="1"/>
  <c r="I11" i="1"/>
  <c r="J11" i="1"/>
  <c r="D12" i="1"/>
  <c r="E12" i="1"/>
  <c r="H12" i="1"/>
  <c r="I12" i="1"/>
  <c r="J12" i="1"/>
  <c r="D13" i="1"/>
  <c r="E13" i="1"/>
  <c r="F13" i="1"/>
  <c r="H13" i="1"/>
  <c r="I13" i="1"/>
  <c r="J13" i="1"/>
  <c r="W6" i="1"/>
  <c r="F6" i="1" s="1"/>
  <c r="X6" i="1"/>
  <c r="G6" i="1" s="1"/>
  <c r="W7" i="1"/>
  <c r="F7" i="1" s="1"/>
  <c r="X7" i="1"/>
  <c r="G7" i="1" s="1"/>
  <c r="W8" i="1"/>
  <c r="F8" i="1" s="1"/>
  <c r="X8" i="1"/>
  <c r="G8" i="1" s="1"/>
  <c r="W9" i="1"/>
  <c r="F9" i="1" s="1"/>
  <c r="X9" i="1"/>
  <c r="G9" i="1" s="1"/>
  <c r="W10" i="1"/>
  <c r="F10" i="1" s="1"/>
  <c r="X10" i="1"/>
  <c r="W11" i="1"/>
  <c r="F11" i="1" s="1"/>
  <c r="X11" i="1"/>
  <c r="G11" i="1" s="1"/>
  <c r="W12" i="1"/>
  <c r="F12" i="1" s="1"/>
  <c r="X12" i="1"/>
  <c r="G12" i="1" s="1"/>
  <c r="W13" i="1"/>
  <c r="X13" i="1"/>
  <c r="G13" i="1" s="1"/>
  <c r="X5" i="1"/>
  <c r="G5" i="1" s="1"/>
  <c r="W5" i="1"/>
  <c r="F5" i="1" s="1"/>
  <c r="X4" i="1"/>
  <c r="W4" i="1"/>
  <c r="F4" i="1" s="1"/>
  <c r="D4" i="1"/>
  <c r="E4" i="1"/>
  <c r="G4" i="1"/>
  <c r="H4" i="1"/>
  <c r="I4" i="1"/>
  <c r="J4" i="1"/>
</calcChain>
</file>

<file path=xl/sharedStrings.xml><?xml version="1.0" encoding="utf-8"?>
<sst xmlns="http://schemas.openxmlformats.org/spreadsheetml/2006/main" count="542" uniqueCount="200">
  <si>
    <t>INPUT PARAMETERS (see Franks et al., 2014 and Kowalczyk et al., 2018 for details): The "_err" input should be +/-1 standard error of the mean. If this value is unknown, the error can be estimated as some fraction of the mean (e.g., 5%).</t>
  </si>
  <si>
    <t>References:</t>
  </si>
  <si>
    <t>Franks, P. J., Royer, D. L., Beerling, D. J., Van de Water, P. K., Cantrill, D. J., Barbour, M. M., Berry, J. A. 2014. New constraints on atmospheric CO2 concentration for the Phanerozoic. Geophysical Research Letters, 41: 4685-4694.</t>
  </si>
  <si>
    <t>Kowalczyk, J. B., Royer, D. L., Miller, I. M., Anderson, C. W., Beerling, D. J., Franks, P. J., Grein, M., Konrad, W., Roth-Nebelsick, A., Bowring, S. A., Johnson, K. R., and Ramezani, J., 2018, Multiple proxy estimates of atmospheric CO2 from an early Paleocene rainforest: Paleoceanography and Paleoclimatology, v. 33, p. 1427-1438.</t>
  </si>
  <si>
    <t>*columns in purple are measured directly from fossils</t>
  </si>
  <si>
    <t>*columns in orange are measured or inferred from nearest living relatives</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</si>
  <si>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</si>
  <si>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</si>
  <si>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</si>
  <si>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</si>
  <si>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</si>
  <si>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</si>
  <si>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</si>
  <si>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</si>
  <si>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</si>
  <si>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</si>
  <si>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</si>
  <si>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</si>
  <si>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</si>
  <si>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</si>
  <si>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</si>
  <si>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</si>
  <si>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</si>
  <si>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</si>
  <si>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</si>
  <si>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</si>
  <si>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</si>
  <si>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deviation in the molar abundance ratio of carbon isotopes (13C/12C) in (paleo-)atmosphere air relative to that in the PDB standard (per mil). For Cenozoic material, the analysis of Tipple et al. (2010; 10.1029/2009PA001851) is helpful.</t>
  </si>
  <si>
    <t>error in d13Ca. For Cenozoic material, the analysis of Tipple et al. (2010; 10.1029/2009PA001851) is helpful.</t>
  </si>
  <si>
    <t>sample size and/or description for calculating d13Ca.</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</si>
  <si>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</si>
  <si>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</si>
  <si>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</si>
  <si>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</si>
  <si>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</si>
  <si>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</si>
  <si>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</si>
  <si>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</si>
  <si>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</si>
  <si>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</si>
  <si>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</si>
  <si>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</si>
  <si>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</si>
  <si>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</si>
  <si>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</si>
  <si>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</si>
  <si>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</si>
  <si>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</si>
  <si>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</si>
  <si>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</si>
  <si>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</si>
  <si>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</si>
  <si>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</si>
  <si>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</si>
  <si>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</si>
  <si>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discrimination against 13C due to carboxylation, mainly due to Rubisco (per mil); no error is assumed</t>
  </si>
  <si>
    <t>ratio of diffusivity of water vapor in air to the molar volume of air at the leaf temperature (mol m-1 s-1); see "temp" column for leaf temperature; no error is assumed</t>
  </si>
  <si>
    <t>CO2 compensation point at leaf temperature (ppm); see "temp" column for leaf temperature; no error is assumed. If unknown, Franks et al. (2014) recommend a nominal value of 40 ppm.</t>
  </si>
  <si>
    <t>mean or typical leaf temperature during the growing season (oC). This is effectively fixed in version 1 of the model, i.e., the leaf temperature for A0 and An are the same.  No adjustment is made for possible feedback effects of changes in atmospheric temperature on leaf temperature and photosynthetic rate associated with changes in global atmospheric CO2 concentration.  This follows observations that across a broad environmental temperature range leaf temperature during photosynthesis converges on a narrow band of values (Helliker and Richter, 2008, doi:10.1038/nature07031; Song et al. 2011, doi:10.1111/j.1469-8137.2011.03851.x). If unknown, for temperate to tropical environments (where many fossils originate) Franks et al. (2014) recommend a nominal value of 25 oC. Assignment of A0 should correspond with this temperature.</t>
  </si>
  <si>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</si>
  <si>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</si>
  <si>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</si>
  <si>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</si>
  <si>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</si>
  <si>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</si>
  <si>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</si>
  <si>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</si>
  <si>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</si>
  <si>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</si>
  <si>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</si>
  <si>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</si>
  <si>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</si>
  <si>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</si>
  <si>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Estimated atmospheric CO2 concentration (ppm)</t>
  </si>
  <si>
    <t>CO2 type</t>
  </si>
  <si>
    <t>CO2 low (ppm)</t>
  </si>
  <si>
    <t>CO2 high (ppm)</t>
  </si>
  <si>
    <t>What is the CO2 range ("low" and "high")?</t>
  </si>
  <si>
    <t>What is the distribution of the uncertainties?</t>
  </si>
  <si>
    <t>Counting Method
(Image, microscope)</t>
  </si>
  <si>
    <t>Counting box dimensions
(µm × µm)</t>
  </si>
  <si>
    <t>Dab</t>
  </si>
  <si>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</si>
  <si>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</si>
  <si>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</si>
  <si>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</si>
  <si>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</si>
  <si>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</si>
  <si>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</si>
  <si>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</si>
  <si>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</si>
  <si>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</si>
  <si>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</si>
  <si>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</si>
  <si>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</si>
  <si>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</si>
  <si>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</si>
  <si>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</si>
  <si>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</si>
  <si>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</si>
  <si>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</si>
  <si>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</si>
  <si>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d13Ca</t>
  </si>
  <si>
    <t>ed13Ca</t>
  </si>
  <si>
    <t>N_ed13Ca</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</si>
  <si>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</si>
  <si>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</si>
  <si>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</si>
  <si>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</si>
  <si>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</si>
  <si>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</si>
  <si>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</si>
  <si>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</si>
  <si>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</si>
  <si>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</si>
  <si>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</si>
  <si>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</si>
  <si>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</si>
  <si>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</si>
  <si>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</si>
  <si>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</si>
  <si>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</si>
  <si>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</si>
  <si>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</si>
  <si>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</si>
  <si>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</si>
  <si>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</si>
  <si>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</si>
  <si>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</si>
  <si>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</si>
  <si>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fixed_A</t>
  </si>
  <si>
    <t>b</t>
  </si>
  <si>
    <t>d.v.</t>
  </si>
  <si>
    <t>gamma</t>
  </si>
  <si>
    <t>temp</t>
  </si>
  <si>
    <t>microscope</t>
  </si>
  <si>
    <t>right-skewed</t>
  </si>
  <si>
    <t>proxy</t>
  </si>
  <si>
    <t>first_author_last_name</t>
  </si>
  <si>
    <t>publication_year</t>
  </si>
  <si>
    <t>age_ka</t>
  </si>
  <si>
    <t>Age_uncertainty_pos_ka</t>
  </si>
  <si>
    <t>Age_uncertainty_neg_ka</t>
  </si>
  <si>
    <t>stomata-franks</t>
  </si>
  <si>
    <t>Dana Royer</t>
  </si>
  <si>
    <t>median</t>
  </si>
  <si>
    <t>CO2_ppm</t>
  </si>
  <si>
    <t>CO2_uncertainty_pos_ppm</t>
  </si>
  <si>
    <t>NA</t>
  </si>
  <si>
    <t>CO2_uncertainty_neg_ppm</t>
  </si>
  <si>
    <t>reference of the data product</t>
  </si>
  <si>
    <t>Modern Latitude (decimal degree, south negative)</t>
  </si>
  <si>
    <t>Modern Longitude (decimal degree, west negative)</t>
  </si>
  <si>
    <t>email of individual entering the data</t>
  </si>
  <si>
    <t>droyer@wesleyan.edu</t>
  </si>
  <si>
    <t>Paleo Latitude (decimal degree, south negative)</t>
  </si>
  <si>
    <t>Paleo Longitude (decimal degree, west negative)</t>
  </si>
  <si>
    <t>Cupressaceae</t>
  </si>
  <si>
    <t>Metasequoia</t>
  </si>
  <si>
    <t>generic value from Franks et al. (2014); 1 sigma error is 5% of mean</t>
  </si>
  <si>
    <t>If set to 'yes', the code assumes a fixed photosynthetic rate equal to A0 and solves only for CO2, using the first main equation (i.e. Eq. 1 in Franks et al., 2014). That is, An is set equal to A0. This option can be used if An is known independently, for example measured in living plants to run the model for present-day or growth-chamber conditions. Otherwise, the code jointly solves for CO2 and An by iteratively solving the two main equations given in Franks et al. (2014) and Kowalczyk et al. (2018).</t>
  </si>
  <si>
    <t>occidentalis</t>
  </si>
  <si>
    <t>University of Calgery</t>
  </si>
  <si>
    <t>Giraffe kimberlite locality</t>
  </si>
  <si>
    <t>The age of the peat is constrained by three fission-track dates from two calcalkaline rhyolitic tephra beds at the base of the peat (fig. 2; Wolfe and others, 2006) using both diameter-corrected (n = 2) and isothermal-plateau (n = 1) techniques (Westgate and others, 2006), which produce a weighted-mean age model of 37.84 Ma. The studied peat section (7.54 m) represents ~104 yrs assuming a similar accumulation rate as the peat-to-lignite grade.</t>
  </si>
  <si>
    <t>varying; but maxium of 0.1336 mm2</t>
  </si>
  <si>
    <t>Wolfe</t>
  </si>
  <si>
    <t>Wolfe, A. P., Reyes, A. V., Royer, D. L., Greenwood, D. R., Doria, G., Gagen, M. H., Siver, P. A., and Westgate, J. A., 2017, Middle Eocene CO2 and climate reconstructed from the sediment fill of a subarctic kimberlite maar: Geology, v. 45, p. 619-622, doi: 10.1130/g39002.1.</t>
  </si>
  <si>
    <t>10.1130/g39002.1</t>
  </si>
  <si>
    <t>Giraffe 58.16</t>
  </si>
  <si>
    <t>Giraffe 58.73</t>
  </si>
  <si>
    <t>Giraffe 59.24</t>
  </si>
  <si>
    <t>Giraffe 62.06</t>
  </si>
  <si>
    <t>Giraffe 64.46</t>
  </si>
  <si>
    <t>Giraffe 65.7</t>
  </si>
  <si>
    <t>Giraffe combined</t>
  </si>
  <si>
    <t>no</t>
  </si>
  <si>
    <t>Giraffe 58.50</t>
  </si>
  <si>
    <t>Giraffe 59.20</t>
  </si>
  <si>
    <t>Giraffe 65.69</t>
  </si>
  <si>
    <t>58.16 vertical equivalent depth (m)</t>
  </si>
  <si>
    <t>combine all levels</t>
  </si>
  <si>
    <t>58.73 vertical equivalent depth (m)</t>
  </si>
  <si>
    <t>59.20 vertical equivalent depth (m)</t>
  </si>
  <si>
    <t>59.24 vertical equivalent depth (m)</t>
  </si>
  <si>
    <t>62.06 vertical equivalent depth (m)</t>
  </si>
  <si>
    <t>64.46 vertical equivalent depth (m)</t>
  </si>
  <si>
    <t>65.69 vertical equivalent depth (m)</t>
  </si>
  <si>
    <t>65.70 vertical equivalent depth (m)</t>
  </si>
  <si>
    <t>58.50 vertical equivalent depth (m)</t>
  </si>
  <si>
    <t>This is based on a scaling in living Metasequoia between the "inner rectangular length" and single guard cell width (s1 * GCLab to get pore length, then 0.7 * pore length to get single guard cell width); see Table DR4 in Wolfe et al. (2017) for details</t>
  </si>
  <si>
    <t>16th and 84th percentile</t>
  </si>
  <si>
    <t>5 leaves (5 fields-of-view from each leaf)</t>
  </si>
  <si>
    <t>5 leaves (multiple stomata per leaf)</t>
  </si>
  <si>
    <t>1 leaf (different from leaves measured for stomatal dimensions)</t>
  </si>
  <si>
    <t>age model of Tipple et al. (2010; 10.1029/2009PA001851)</t>
  </si>
  <si>
    <t>mean of 12 leaves from the living Metasequoia glyptostroboides (Maxbauer et al., 2014)</t>
  </si>
  <si>
    <t>mean of 10 leaves from the living Metasequoia glyptostroboides (Maxbauer et al., 2014)</t>
  </si>
  <si>
    <t>pore length was scaled from "inner rectangular length" based on the scaling of leaves from living Metasequoia glyptostroboides</t>
  </si>
  <si>
    <t>based on measurements of 7 leaves from living Metasequoia glyptostroboides (Maxbauer et al., 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</si>
</sst>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2"/>
      <color rgb="FF000000"/>
      <name val="Calibri"/>
      <family val="2"/>
      <scheme val="minor"/>
    </font>
    <font>
      <b/>
      <sz val="12"/>
      <color rgb="FF000000"/>
      <name val="Calibri"/>
      <family val="2"/>
      <scheme val="minor"/>
    </font>
    <font>
      <b/>
      <sz val="12"/>
      <color theme="1"/>
      <name val="Calibri"/>
      <family val="2"/>
      <scheme val="minor"/>
    </font>
    <font>
      <b/>
      <sz val="12"/>
      <name val="Calibri"/>
      <family val="2"/>
      <scheme val="minor"/>
    </font>
    <font>
      <sz val="8"/>
      <name val="Calibri"/>
      <family val="2"/>
      <scheme val="minor"/>
    </font>
  </fonts>
  <fills count="6">
    <fill>
      <patternFill patternType="none"/>
    </fill>
    <fill>
      <patternFill patternType="gray125"/>
    </fill>
    <fill>
      <patternFill patternType="solid">
        <fgColor rgb="FFE2EFD9"/>
        <bgColor indexed="64"/>
      </patternFill>
    </fill>
    <fill>
      <patternFill patternType="solid">
        <fgColor rgb="FFCC99FF"/>
        <bgColor indexed="64"/>
      </patternFill>
    </fill>
    <fill>
      <patternFill patternType="solid">
        <fgColor theme="9" tint="0.79998168889431442"/>
        <bgColor indexed="64"/>
      </patternFill>
    </fill>
    <fill>
      <patternFill patternType="solid">
        <fgColor rgb="FFFFCC66"/>
        <bgColor indexed="64"/>
      </patternFill>
    </fill>
  </fills>
  <borders count="1">
    <border>
      <left/>
      <right/>
      <top/>
      <bottom/>
      <diagonal/>
    </border>
  </borders>
  <cellStyleXfs count="1">
    <xf numFmtId="0" fontId="0" fillId="0" borderId="0"/>
  </cellStyleXfs>
  <cellXfs count="28">
    <xf numFmtId="0" fontId="0" fillId="0" borderId="0" xfId="0"/>
    <xf numFmtId="0" fontId="1" fillId="2" borderId="0" xfId="0" applyFont="1" applyFill="1" applyAlignment="1">
      <alignment vertical="center"/>
    </xf>
    <xf numFmtId="0" fontId="0" fillId="2" borderId="0" xfId="0" applyFill="1" applyAlignment="1">
      <alignment vertical="top" wrapText="1"/>
    </xf>
    <xf numFmtId="0" fontId="0" fillId="2" borderId="0" xfId="0" applyFill="1" applyAlignment="1">
      <alignment wrapText="1"/>
    </xf>
    <xf numFmtId="0" fontId="0" fillId="2" borderId="0" xfId="0" applyFill="1"/>
    <xf numFmtId="0" fontId="0" fillId="2" borderId="0" xfId="0" applyFill="1" applyAlignment="1">
      <alignment vertical="top"/>
    </xf>
    <xf numFmtId="0" fontId="1" fillId="3" borderId="0" xfId="0" applyFont="1" applyFill="1"/>
    <xf numFmtId="0" fontId="1" fillId="4" borderId="0" xfId="0" applyFont="1" applyFill="1"/>
    <xf numFmtId="0" fontId="1" fillId="5" borderId="0" xfId="0" applyFont="1" applyFill="1"/>
    <xf numFmtId="0" fontId="1" fillId="2" borderId="0" xfId="0" applyFont="1" applyFill="1"/>
    <xf numFmtId="0" fontId="2" fillId="2" borderId="0" xfId="0" applyFont="1" applyFill="1" applyAlignment="1">
      <alignment vertical="top" wrapText="1"/>
    </xf>
    <xf numFmtId="0" fontId="3" fillId="2" borderId="0" xfId="0" applyFont="1" applyFill="1" applyAlignment="1">
      <alignment horizontal="center"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3" fillId="0" borderId="0" xfId="0" applyFont="1"/>
    <xf numFmtId="0" fontId="1" fillId="0" borderId="0" xfId="0" applyFont="1"/>
    <xf numFmtId="0" fontId="1" fillId="4" borderId="0" xfId="0" applyFont="1" applyFill="1" applyAlignment="1">
      <alignment vertical="center"/>
    </xf>
    <xf numFmtId="0" fontId="0" fillId="4" borderId="0" xfId="0" applyFill="1"/>
    <xf numFmtId="0" fontId="3" fillId="4" borderId="0" xfId="0" applyFont="1" applyFill="1" applyAlignment="1">
      <alignment vertical="top" wrapText="1"/>
    </xf>
    <xf numFmtId="0" fontId="1" fillId="0" borderId="0" xfId="0" applyFont="1" applyAlignment="1">
      <alignment vertical="center"/>
    </xf>
    <xf numFmtId="0" fontId="1" fillId="0" borderId="0" xfId="0" applyFont="1" applyAlignment="1">
      <alignment wrapText="1"/>
    </xf>
    <xf numFmtId="0" fontId="4" fillId="4" borderId="0" xfId="0" applyFont="1" applyFill="1" applyAlignment="1">
      <alignment horizontal="center" vertical="center" wrapText="1"/>
    </xf>
    <xf numFmtId="1" fontId="0" fillId="0" borderId="0" xfId="0" applyNumberFormat="1"/>
    <xf numFmtId="17" fontId="1" fillId="0" borderId="0" xfId="0" applyNumberFormat="1" applyFont="1" applyAlignment="1">
      <alignment horizontal="left"/>
    </xf>
    <xf numFmtId="0" fontId="0" fillId="0" borderId="0" xfId="0" applyAlignment="1">
      <alignment horizontal="right"/>
    </xf>
    <xf numFmtId="11" fontId="0" fillId="0" borderId="0" xfId="0" applyNumberFormat="1"/>
    <xf numFmtId="0" fontId="1"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13"/>
  <sheetViews>
    <sheetView tabSelected="1" workbookViewId="0">
      <pane ySplit="3" topLeftCell="A4" activePane="bottomLeft" state="frozen"/>
      <selection pane="bottomLeft" activeCell="F4" sqref="F4"/>
    </sheetView>
  </sheetViews>
  <sheetFormatPr baseColWidth="10" defaultColWidth="11" defaultRowHeight="16" x14ac:dyDescent="0.2"/>
  <cols>
    <col min="11" max="11" width="12.1640625" customWidth="1"/>
    <col min="21" max="21" width="11.6640625" customWidth="1"/>
    <col min="23" max="23" width="11.6640625" customWidth="1"/>
    <col min="24" max="24" width="12.1640625" customWidth="1"/>
    <col min="26" max="26" width="11.6640625" customWidth="1"/>
    <col min="31" max="31" width="15.1640625" customWidth="1"/>
    <col min="36" max="36" width="13.1640625" customWidth="1"/>
    <col min="39" max="45" width="11.1640625" bestFit="1" customWidth="1"/>
    <col min="46" max="46" width="11.6640625" bestFit="1" customWidth="1"/>
    <col min="47" max="51" width="11.1640625" bestFit="1" customWidth="1"/>
    <col min="52" max="52" width="11.6640625" bestFit="1" customWidth="1"/>
    <col min="53" max="66" width="11.1640625" bestFit="1" customWidth="1"/>
    <col min="70" max="87" width="11.1640625" bestFit="1" customWidth="1"/>
  </cols>
  <sheetData>
    <row r="1" spans="1:92" x14ac:dyDescent="0.2">
      <c r="A1" s="17"/>
      <c r="B1" s="18"/>
      <c r="C1" s="18"/>
      <c r="D1" s="18"/>
      <c r="E1" s="18"/>
      <c r="F1" s="18"/>
      <c r="G1" s="18"/>
      <c r="H1" s="18"/>
      <c r="I1" s="18"/>
      <c r="J1" s="18"/>
      <c r="K1" s="1"/>
      <c r="L1" s="2"/>
      <c r="M1" s="2"/>
      <c r="N1" s="2"/>
      <c r="O1" s="2"/>
      <c r="P1" s="2"/>
      <c r="Q1" s="2"/>
      <c r="R1" s="2"/>
      <c r="S1" s="2"/>
      <c r="T1" s="2"/>
      <c r="U1" s="2"/>
      <c r="V1" s="2"/>
      <c r="W1" s="2"/>
      <c r="X1" s="2"/>
      <c r="Y1" s="2"/>
      <c r="Z1" s="2"/>
      <c r="AA1" s="2"/>
      <c r="AB1" s="2"/>
      <c r="AC1" s="2"/>
      <c r="AD1" s="2"/>
      <c r="AE1" s="2"/>
      <c r="AF1" s="2"/>
      <c r="AG1" s="2"/>
      <c r="AH1" s="2"/>
      <c r="AI1" s="2"/>
      <c r="AJ1" s="2"/>
      <c r="AK1" s="2"/>
      <c r="AL1" s="2"/>
      <c r="AM1" s="4" t="s">
        <v>4</v>
      </c>
      <c r="AN1" s="3"/>
      <c r="AO1" s="3"/>
      <c r="AP1" s="3"/>
      <c r="AQ1" s="3"/>
      <c r="AR1" s="3"/>
      <c r="AS1" s="3"/>
      <c r="AT1" s="3"/>
      <c r="AU1" s="3"/>
      <c r="AV1" s="3"/>
      <c r="AW1" s="3"/>
      <c r="AX1" s="3"/>
      <c r="AY1" s="3"/>
      <c r="AZ1" s="3"/>
      <c r="BA1" s="3"/>
      <c r="BB1" s="3"/>
      <c r="BC1" s="3"/>
      <c r="BD1" s="3"/>
      <c r="BE1" s="3"/>
      <c r="BF1" s="3"/>
      <c r="BG1" s="3"/>
      <c r="BH1" s="4"/>
      <c r="BI1" s="3"/>
      <c r="BJ1" s="3"/>
      <c r="BK1" s="3"/>
      <c r="BL1" s="4" t="s">
        <v>5</v>
      </c>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row>
    <row r="2" spans="1:92" x14ac:dyDescent="0.2">
      <c r="A2" s="18"/>
      <c r="B2" s="18"/>
      <c r="C2" s="18"/>
      <c r="D2" s="18"/>
      <c r="E2" s="18"/>
      <c r="F2" s="18"/>
      <c r="G2" s="18"/>
      <c r="H2" s="18"/>
      <c r="I2" s="18"/>
      <c r="J2" s="18"/>
      <c r="K2" s="5"/>
      <c r="L2" s="5"/>
      <c r="M2" s="5"/>
      <c r="N2" s="5"/>
      <c r="O2" s="5"/>
      <c r="P2" s="5"/>
      <c r="Q2" s="5"/>
      <c r="R2" s="5"/>
      <c r="S2" s="5"/>
      <c r="T2" s="5"/>
      <c r="U2" s="5"/>
      <c r="V2" s="5"/>
      <c r="W2" s="5"/>
      <c r="X2" s="5"/>
      <c r="Y2" s="5"/>
      <c r="Z2" s="5"/>
      <c r="AA2" s="5"/>
      <c r="AB2" s="5"/>
      <c r="AC2" s="5"/>
      <c r="AD2" s="5"/>
      <c r="AE2" s="5"/>
      <c r="AF2" s="5"/>
      <c r="AG2" s="5"/>
      <c r="AH2" s="5"/>
      <c r="AI2" s="5"/>
      <c r="AJ2" s="5"/>
      <c r="AK2" s="5"/>
      <c r="AL2" s="5"/>
      <c r="AM2" s="6" t="s">
        <v>6</v>
      </c>
      <c r="AN2" s="6" t="s">
        <v>7</v>
      </c>
      <c r="AO2" s="6" t="s">
        <v>8</v>
      </c>
      <c r="AP2" s="6" t="s">
        <v>9</v>
      </c>
      <c r="AQ2" s="6" t="s">
        <v>10</v>
      </c>
      <c r="AR2" s="6" t="s">
        <v>11</v>
      </c>
      <c r="AS2" s="6" t="s">
        <v>12</v>
      </c>
      <c r="AT2" s="6" t="s">
        <v>13</v>
      </c>
      <c r="AU2" s="6" t="s">
        <v>14</v>
      </c>
      <c r="AV2" s="6" t="s">
        <v>15</v>
      </c>
      <c r="AW2" s="6" t="s">
        <v>16</v>
      </c>
      <c r="AX2" s="6" t="s">
        <v>17</v>
      </c>
      <c r="AY2" s="6" t="s">
        <v>18</v>
      </c>
      <c r="AZ2" s="6" t="s">
        <v>19</v>
      </c>
      <c r="BA2" s="6" t="s">
        <v>20</v>
      </c>
      <c r="BB2" s="6" t="s">
        <v>21</v>
      </c>
      <c r="BC2" s="6" t="s">
        <v>22</v>
      </c>
      <c r="BD2" s="6" t="s">
        <v>23</v>
      </c>
      <c r="BE2" s="6" t="s">
        <v>24</v>
      </c>
      <c r="BF2" s="6" t="s">
        <v>25</v>
      </c>
      <c r="BG2" s="6" t="s">
        <v>26</v>
      </c>
      <c r="BH2" s="7" t="s">
        <v>27</v>
      </c>
      <c r="BI2" s="7" t="s">
        <v>28</v>
      </c>
      <c r="BJ2" s="7" t="s">
        <v>29</v>
      </c>
      <c r="BK2" s="7" t="s">
        <v>30</v>
      </c>
      <c r="BL2" s="8" t="s">
        <v>31</v>
      </c>
      <c r="BM2" s="8" t="s">
        <v>32</v>
      </c>
      <c r="BN2" s="8" t="s">
        <v>33</v>
      </c>
      <c r="BO2" s="8" t="s">
        <v>34</v>
      </c>
      <c r="BP2" s="8" t="s">
        <v>35</v>
      </c>
      <c r="BQ2" s="8" t="s">
        <v>36</v>
      </c>
      <c r="BR2" s="8" t="s">
        <v>37</v>
      </c>
      <c r="BS2" s="8" t="s">
        <v>38</v>
      </c>
      <c r="BT2" s="8" t="s">
        <v>39</v>
      </c>
      <c r="BU2" s="8" t="s">
        <v>40</v>
      </c>
      <c r="BV2" s="8" t="s">
        <v>41</v>
      </c>
      <c r="BW2" s="8" t="s">
        <v>42</v>
      </c>
      <c r="BX2" s="8" t="s">
        <v>43</v>
      </c>
      <c r="BY2" s="8" t="s">
        <v>44</v>
      </c>
      <c r="BZ2" s="8" t="s">
        <v>45</v>
      </c>
      <c r="CA2" s="8" t="s">
        <v>46</v>
      </c>
      <c r="CB2" s="8" t="s">
        <v>47</v>
      </c>
      <c r="CC2" s="8" t="s">
        <v>48</v>
      </c>
      <c r="CD2" s="8" t="s">
        <v>49</v>
      </c>
      <c r="CE2" s="8" t="s">
        <v>50</v>
      </c>
      <c r="CF2" s="8" t="s">
        <v>51</v>
      </c>
      <c r="CG2" s="8" t="s">
        <v>52</v>
      </c>
      <c r="CH2" s="8" t="s">
        <v>53</v>
      </c>
      <c r="CI2" s="8" t="s">
        <v>54</v>
      </c>
      <c r="CJ2" s="9" t="s">
        <v>160</v>
      </c>
      <c r="CK2" s="9" t="s">
        <v>55</v>
      </c>
      <c r="CL2" s="9" t="s">
        <v>56</v>
      </c>
      <c r="CM2" s="8" t="s">
        <v>57</v>
      </c>
      <c r="CN2" s="9" t="s">
        <v>58</v>
      </c>
    </row>
    <row r="3" spans="1:92" s="15" customFormat="1" ht="81.75" customHeight="1" x14ac:dyDescent="0.2">
      <c r="A3" s="19" t="s">
        <v>137</v>
      </c>
      <c r="B3" s="19" t="s">
        <v>138</v>
      </c>
      <c r="C3" s="19" t="s">
        <v>139</v>
      </c>
      <c r="D3" s="19" t="s">
        <v>60</v>
      </c>
      <c r="E3" s="19" t="s">
        <v>140</v>
      </c>
      <c r="F3" s="19" t="s">
        <v>141</v>
      </c>
      <c r="G3" s="19" t="s">
        <v>142</v>
      </c>
      <c r="H3" s="19" t="s">
        <v>146</v>
      </c>
      <c r="I3" s="19" t="s">
        <v>147</v>
      </c>
      <c r="J3" s="19" t="s">
        <v>149</v>
      </c>
      <c r="K3" s="10" t="s">
        <v>59</v>
      </c>
      <c r="L3" s="10" t="s">
        <v>153</v>
      </c>
      <c r="M3" s="10" t="s">
        <v>150</v>
      </c>
      <c r="N3" s="10" t="s">
        <v>60</v>
      </c>
      <c r="O3" s="10" t="s">
        <v>61</v>
      </c>
      <c r="P3" s="10" t="s">
        <v>62</v>
      </c>
      <c r="Q3" s="10" t="s">
        <v>63</v>
      </c>
      <c r="R3" s="10" t="s">
        <v>64</v>
      </c>
      <c r="S3" s="10" t="s">
        <v>65</v>
      </c>
      <c r="T3" s="10" t="s">
        <v>66</v>
      </c>
      <c r="U3" s="10" t="s">
        <v>67</v>
      </c>
      <c r="V3" s="10" t="s">
        <v>68</v>
      </c>
      <c r="W3" s="10" t="s">
        <v>69</v>
      </c>
      <c r="X3" s="10" t="s">
        <v>70</v>
      </c>
      <c r="Y3" s="10" t="s">
        <v>71</v>
      </c>
      <c r="Z3" s="10" t="s">
        <v>72</v>
      </c>
      <c r="AA3" s="10" t="s">
        <v>151</v>
      </c>
      <c r="AB3" s="10" t="s">
        <v>152</v>
      </c>
      <c r="AC3" s="22" t="s">
        <v>155</v>
      </c>
      <c r="AD3" s="22" t="s">
        <v>156</v>
      </c>
      <c r="AE3" s="10" t="s">
        <v>73</v>
      </c>
      <c r="AF3" s="10" t="s">
        <v>74</v>
      </c>
      <c r="AG3" s="10" t="s">
        <v>75</v>
      </c>
      <c r="AH3" s="10" t="s">
        <v>76</v>
      </c>
      <c r="AI3" s="10" t="s">
        <v>77</v>
      </c>
      <c r="AJ3" s="10" t="s">
        <v>78</v>
      </c>
      <c r="AK3" s="11" t="s">
        <v>79</v>
      </c>
      <c r="AL3" s="11" t="s">
        <v>80</v>
      </c>
      <c r="AM3" s="12" t="s">
        <v>81</v>
      </c>
      <c r="AN3" s="12" t="s">
        <v>82</v>
      </c>
      <c r="AO3" s="12" t="s">
        <v>83</v>
      </c>
      <c r="AP3" s="12" t="s">
        <v>84</v>
      </c>
      <c r="AQ3" s="12" t="s">
        <v>85</v>
      </c>
      <c r="AR3" s="12" t="s">
        <v>86</v>
      </c>
      <c r="AS3" s="12" t="s">
        <v>87</v>
      </c>
      <c r="AT3" s="12" t="s">
        <v>88</v>
      </c>
      <c r="AU3" s="12" t="s">
        <v>89</v>
      </c>
      <c r="AV3" s="12" t="s">
        <v>90</v>
      </c>
      <c r="AW3" s="12" t="s">
        <v>91</v>
      </c>
      <c r="AX3" s="12" t="s">
        <v>92</v>
      </c>
      <c r="AY3" s="12" t="s">
        <v>93</v>
      </c>
      <c r="AZ3" s="12" t="s">
        <v>94</v>
      </c>
      <c r="BA3" s="12" t="s">
        <v>95</v>
      </c>
      <c r="BB3" s="12" t="s">
        <v>96</v>
      </c>
      <c r="BC3" s="12" t="s">
        <v>97</v>
      </c>
      <c r="BD3" s="12" t="s">
        <v>98</v>
      </c>
      <c r="BE3" s="12" t="s">
        <v>99</v>
      </c>
      <c r="BF3" s="12" t="s">
        <v>100</v>
      </c>
      <c r="BG3" s="12" t="s">
        <v>101</v>
      </c>
      <c r="BH3" s="13" t="s">
        <v>102</v>
      </c>
      <c r="BI3" s="13" t="s">
        <v>103</v>
      </c>
      <c r="BJ3" s="13" t="s">
        <v>104</v>
      </c>
      <c r="BK3" s="13" t="s">
        <v>105</v>
      </c>
      <c r="BL3" s="14" t="s">
        <v>106</v>
      </c>
      <c r="BM3" s="14" t="s">
        <v>107</v>
      </c>
      <c r="BN3" s="14" t="s">
        <v>108</v>
      </c>
      <c r="BO3" s="14" t="s">
        <v>109</v>
      </c>
      <c r="BP3" s="14" t="s">
        <v>110</v>
      </c>
      <c r="BQ3" s="14" t="s">
        <v>111</v>
      </c>
      <c r="BR3" s="14" t="s">
        <v>112</v>
      </c>
      <c r="BS3" s="14" t="s">
        <v>113</v>
      </c>
      <c r="BT3" s="14" t="s">
        <v>114</v>
      </c>
      <c r="BU3" s="14" t="s">
        <v>115</v>
      </c>
      <c r="BV3" s="14" t="s">
        <v>116</v>
      </c>
      <c r="BW3" s="14" t="s">
        <v>117</v>
      </c>
      <c r="BX3" s="14" t="s">
        <v>118</v>
      </c>
      <c r="BY3" s="14" t="s">
        <v>119</v>
      </c>
      <c r="BZ3" s="14" t="s">
        <v>120</v>
      </c>
      <c r="CA3" s="14" t="s">
        <v>121</v>
      </c>
      <c r="CB3" s="14" t="s">
        <v>122</v>
      </c>
      <c r="CC3" s="14" t="s">
        <v>123</v>
      </c>
      <c r="CD3" s="14" t="s">
        <v>124</v>
      </c>
      <c r="CE3" s="14" t="s">
        <v>125</v>
      </c>
      <c r="CF3" s="14" t="s">
        <v>126</v>
      </c>
      <c r="CG3" s="14" t="s">
        <v>127</v>
      </c>
      <c r="CH3" s="14" t="s">
        <v>128</v>
      </c>
      <c r="CI3" s="14" t="s">
        <v>129</v>
      </c>
      <c r="CJ3" s="10" t="s">
        <v>130</v>
      </c>
      <c r="CK3" s="10" t="s">
        <v>131</v>
      </c>
      <c r="CL3" s="10" t="s">
        <v>132</v>
      </c>
      <c r="CM3" s="14" t="s">
        <v>133</v>
      </c>
      <c r="CN3" s="10" t="s">
        <v>134</v>
      </c>
    </row>
    <row r="4" spans="1:92" x14ac:dyDescent="0.2">
      <c r="A4" t="s">
        <v>143</v>
      </c>
      <c r="B4" t="s">
        <v>166</v>
      </c>
      <c r="C4">
        <v>2017</v>
      </c>
      <c r="D4" t="str">
        <f>N4</f>
        <v>10.1130/g39002.1</v>
      </c>
      <c r="E4">
        <f>V4*1000</f>
        <v>37840</v>
      </c>
      <c r="F4">
        <f>(W4-V4)*1000</f>
        <v>1990.000000000002</v>
      </c>
      <c r="G4">
        <f>(V4-X4)*1000</f>
        <v>1990.000000000002</v>
      </c>
      <c r="H4" s="23">
        <f>AE4</f>
        <v>341</v>
      </c>
      <c r="I4" s="23">
        <f>AH4-AE4</f>
        <v>46</v>
      </c>
      <c r="J4" s="23">
        <f>AE4-AG4</f>
        <v>39</v>
      </c>
      <c r="K4" s="16" t="s">
        <v>144</v>
      </c>
      <c r="L4" s="24" t="s">
        <v>154</v>
      </c>
      <c r="M4" t="s">
        <v>167</v>
      </c>
      <c r="N4" t="s">
        <v>168</v>
      </c>
      <c r="O4" t="s">
        <v>169</v>
      </c>
      <c r="P4" t="s">
        <v>157</v>
      </c>
      <c r="Q4" t="s">
        <v>158</v>
      </c>
      <c r="R4" t="s">
        <v>161</v>
      </c>
      <c r="S4" t="s">
        <v>162</v>
      </c>
      <c r="T4" t="s">
        <v>163</v>
      </c>
      <c r="U4" t="s">
        <v>180</v>
      </c>
      <c r="V4">
        <v>37.840000000000003</v>
      </c>
      <c r="W4" s="25">
        <f>V4+1.99</f>
        <v>39.830000000000005</v>
      </c>
      <c r="X4" s="25">
        <f>V4-1.99</f>
        <v>35.85</v>
      </c>
      <c r="Y4" t="s">
        <v>148</v>
      </c>
      <c r="Z4" t="s">
        <v>164</v>
      </c>
      <c r="AA4" s="25">
        <v>64.8</v>
      </c>
      <c r="AB4" s="25">
        <v>-101.066667</v>
      </c>
      <c r="AC4" t="s">
        <v>148</v>
      </c>
      <c r="AD4" t="s">
        <v>148</v>
      </c>
      <c r="AE4">
        <v>341</v>
      </c>
      <c r="AF4" t="s">
        <v>145</v>
      </c>
      <c r="AG4">
        <v>302</v>
      </c>
      <c r="AH4">
        <v>387</v>
      </c>
      <c r="AI4" t="s">
        <v>191</v>
      </c>
      <c r="AJ4" s="16" t="s">
        <v>136</v>
      </c>
      <c r="AK4" s="16" t="s">
        <v>135</v>
      </c>
      <c r="AL4" t="s">
        <v>165</v>
      </c>
      <c r="AM4" s="26">
        <v>57600000</v>
      </c>
      <c r="AN4" s="26">
        <v>4460000</v>
      </c>
      <c r="AO4" t="s">
        <v>192</v>
      </c>
      <c r="AP4">
        <v>0</v>
      </c>
      <c r="AQ4">
        <v>0</v>
      </c>
      <c r="AR4" t="s">
        <v>148</v>
      </c>
      <c r="AS4" s="26">
        <v>3.4499999999999998E-5</v>
      </c>
      <c r="AT4" s="26">
        <v>1.99E-6</v>
      </c>
      <c r="AU4" t="s">
        <v>193</v>
      </c>
      <c r="AV4">
        <v>0</v>
      </c>
      <c r="AW4">
        <v>0</v>
      </c>
      <c r="AX4" t="s">
        <v>148</v>
      </c>
      <c r="AY4" s="26">
        <v>2.0299999999999999E-5</v>
      </c>
      <c r="AZ4" s="26">
        <v>2.3000000000000001E-8</v>
      </c>
      <c r="BA4" t="s">
        <v>190</v>
      </c>
      <c r="BB4">
        <v>0</v>
      </c>
      <c r="BC4">
        <v>0</v>
      </c>
      <c r="BD4" t="s">
        <v>148</v>
      </c>
      <c r="BE4">
        <v>-24.879335000000001</v>
      </c>
      <c r="BF4">
        <v>0.2</v>
      </c>
      <c r="BG4" t="s">
        <v>194</v>
      </c>
      <c r="BH4">
        <v>-6</v>
      </c>
      <c r="BI4">
        <v>0.7</v>
      </c>
      <c r="BJ4" s="16" t="s">
        <v>195</v>
      </c>
      <c r="BK4">
        <v>396</v>
      </c>
      <c r="BL4">
        <v>6.67</v>
      </c>
      <c r="BM4">
        <v>0.39</v>
      </c>
      <c r="BN4" s="16" t="s">
        <v>196</v>
      </c>
      <c r="BO4">
        <v>0.63</v>
      </c>
      <c r="BP4">
        <v>7.0000000000000001E-3</v>
      </c>
      <c r="BQ4" s="16" t="s">
        <v>197</v>
      </c>
      <c r="BR4">
        <v>2</v>
      </c>
      <c r="BS4">
        <v>0.1</v>
      </c>
      <c r="BT4" s="16" t="s">
        <v>159</v>
      </c>
      <c r="BU4">
        <v>0.84</v>
      </c>
      <c r="BV4">
        <v>1.6500000000000001E-2</v>
      </c>
      <c r="BW4" s="16" t="s">
        <v>198</v>
      </c>
      <c r="BX4">
        <v>1</v>
      </c>
      <c r="BY4">
        <v>0.05</v>
      </c>
      <c r="BZ4" s="16" t="s">
        <v>159</v>
      </c>
      <c r="CA4">
        <v>0.5</v>
      </c>
      <c r="CB4">
        <v>2.5000000000000001E-2</v>
      </c>
      <c r="CC4" s="16" t="s">
        <v>159</v>
      </c>
      <c r="CD4">
        <v>0.34</v>
      </c>
      <c r="CE4">
        <v>3.7999999999999999E-2</v>
      </c>
      <c r="CF4" s="16" t="s">
        <v>199</v>
      </c>
      <c r="CG4">
        <v>1.2999999999999999E-2</v>
      </c>
      <c r="CH4">
        <v>6.4999999999999997E-4</v>
      </c>
      <c r="CI4" s="16" t="s">
        <v>159</v>
      </c>
      <c r="CJ4" t="s">
        <v>176</v>
      </c>
      <c r="CK4" s="27">
        <v>30</v>
      </c>
      <c r="CL4" s="27">
        <v>9.4009599999999997E-4</v>
      </c>
      <c r="CM4" s="27">
        <v>40</v>
      </c>
      <c r="CN4" s="27">
        <v>25</v>
      </c>
    </row>
    <row r="5" spans="1:92" x14ac:dyDescent="0.2">
      <c r="A5" t="s">
        <v>143</v>
      </c>
      <c r="B5" t="s">
        <v>166</v>
      </c>
      <c r="C5">
        <v>2017</v>
      </c>
      <c r="D5" t="str">
        <f t="shared" ref="D5:D13" si="0">N5</f>
        <v>10.1130/g39002.1</v>
      </c>
      <c r="E5">
        <f t="shared" ref="E5:E13" si="1">V5*1000</f>
        <v>37840</v>
      </c>
      <c r="F5">
        <f t="shared" ref="F5:F13" si="2">(W5-V5)*1000</f>
        <v>1990.000000000002</v>
      </c>
      <c r="G5">
        <f t="shared" ref="G5:G13" si="3">(V5-X5)*1000</f>
        <v>1990.000000000002</v>
      </c>
      <c r="H5" s="23">
        <f t="shared" ref="H5:H13" si="4">AE5</f>
        <v>425</v>
      </c>
      <c r="I5" s="23">
        <f t="shared" ref="I5:I13" si="5">AH5-AE5</f>
        <v>64</v>
      </c>
      <c r="J5" s="23">
        <f t="shared" ref="J5:J13" si="6">AE5-AG5</f>
        <v>52</v>
      </c>
      <c r="K5" s="16" t="s">
        <v>144</v>
      </c>
      <c r="L5" s="24" t="s">
        <v>154</v>
      </c>
      <c r="M5" t="s">
        <v>167</v>
      </c>
      <c r="N5" t="s">
        <v>168</v>
      </c>
      <c r="O5" t="s">
        <v>177</v>
      </c>
      <c r="P5" t="s">
        <v>157</v>
      </c>
      <c r="Q5" t="s">
        <v>158</v>
      </c>
      <c r="R5" t="s">
        <v>161</v>
      </c>
      <c r="S5" t="s">
        <v>162</v>
      </c>
      <c r="T5" t="s">
        <v>163</v>
      </c>
      <c r="U5" t="s">
        <v>189</v>
      </c>
      <c r="V5">
        <v>37.840000000000003</v>
      </c>
      <c r="W5" s="25">
        <f>V5+1.99</f>
        <v>39.830000000000005</v>
      </c>
      <c r="X5" s="25">
        <f>V5-1.99</f>
        <v>35.85</v>
      </c>
      <c r="Y5" t="s">
        <v>148</v>
      </c>
      <c r="Z5" t="s">
        <v>164</v>
      </c>
      <c r="AA5" s="25">
        <v>64.8</v>
      </c>
      <c r="AB5" s="25">
        <v>-101.066667</v>
      </c>
      <c r="AC5" t="s">
        <v>148</v>
      </c>
      <c r="AD5" t="s">
        <v>148</v>
      </c>
      <c r="AE5">
        <v>425</v>
      </c>
      <c r="AF5" t="s">
        <v>145</v>
      </c>
      <c r="AG5">
        <v>373</v>
      </c>
      <c r="AH5">
        <v>489</v>
      </c>
      <c r="AI5" t="s">
        <v>191</v>
      </c>
      <c r="AJ5" s="16" t="s">
        <v>136</v>
      </c>
      <c r="AK5" s="16" t="s">
        <v>135</v>
      </c>
      <c r="AL5" t="s">
        <v>165</v>
      </c>
      <c r="AM5" s="26">
        <v>58100000</v>
      </c>
      <c r="AN5" s="26">
        <v>4480000</v>
      </c>
      <c r="AO5" t="s">
        <v>192</v>
      </c>
      <c r="AP5">
        <v>0</v>
      </c>
      <c r="AQ5">
        <v>0</v>
      </c>
      <c r="AR5" t="s">
        <v>148</v>
      </c>
      <c r="AS5" s="26">
        <v>3.0700000000000001E-5</v>
      </c>
      <c r="AT5" s="26">
        <v>2.43E-6</v>
      </c>
      <c r="AU5" t="s">
        <v>193</v>
      </c>
      <c r="AV5">
        <v>0</v>
      </c>
      <c r="AW5">
        <v>0</v>
      </c>
      <c r="AX5" t="s">
        <v>148</v>
      </c>
      <c r="AY5" s="26">
        <v>1.8099999999999999E-5</v>
      </c>
      <c r="AZ5" s="26">
        <v>2.81E-8</v>
      </c>
      <c r="BA5" t="s">
        <v>190</v>
      </c>
      <c r="BB5">
        <v>0</v>
      </c>
      <c r="BC5">
        <v>0</v>
      </c>
      <c r="BD5" t="s">
        <v>148</v>
      </c>
      <c r="BE5">
        <v>-26.176874000000002</v>
      </c>
      <c r="BF5">
        <v>0.2</v>
      </c>
      <c r="BG5" t="s">
        <v>194</v>
      </c>
      <c r="BH5">
        <v>-6</v>
      </c>
      <c r="BI5">
        <v>0.7</v>
      </c>
      <c r="BJ5" s="16" t="s">
        <v>195</v>
      </c>
      <c r="BK5">
        <v>396</v>
      </c>
      <c r="BL5">
        <v>6.67</v>
      </c>
      <c r="BM5">
        <v>0.39</v>
      </c>
      <c r="BN5" s="16" t="s">
        <v>196</v>
      </c>
      <c r="BO5">
        <v>0.63</v>
      </c>
      <c r="BP5">
        <v>7.0000000000000001E-3</v>
      </c>
      <c r="BQ5" s="16" t="s">
        <v>197</v>
      </c>
      <c r="BR5">
        <v>2</v>
      </c>
      <c r="BS5">
        <v>0.1</v>
      </c>
      <c r="BT5" s="16" t="s">
        <v>159</v>
      </c>
      <c r="BU5">
        <v>0.84</v>
      </c>
      <c r="BV5">
        <v>1.6500000000000001E-2</v>
      </c>
      <c r="BW5" s="16" t="s">
        <v>198</v>
      </c>
      <c r="BX5">
        <v>1</v>
      </c>
      <c r="BY5">
        <v>0.05</v>
      </c>
      <c r="BZ5" s="16" t="s">
        <v>159</v>
      </c>
      <c r="CA5">
        <v>0.5</v>
      </c>
      <c r="CB5">
        <v>2.5000000000000001E-2</v>
      </c>
      <c r="CC5" s="16" t="s">
        <v>159</v>
      </c>
      <c r="CD5">
        <v>0.34</v>
      </c>
      <c r="CE5">
        <v>3.7999999999999999E-2</v>
      </c>
      <c r="CF5" s="16" t="s">
        <v>199</v>
      </c>
      <c r="CG5">
        <v>1.2999999999999999E-2</v>
      </c>
      <c r="CH5">
        <v>6.4999999999999997E-4</v>
      </c>
      <c r="CI5" s="16" t="s">
        <v>159</v>
      </c>
      <c r="CJ5" t="s">
        <v>176</v>
      </c>
      <c r="CK5" s="27">
        <v>30</v>
      </c>
      <c r="CL5" s="27">
        <v>9.4009599999999997E-4</v>
      </c>
      <c r="CM5" s="27">
        <v>40</v>
      </c>
      <c r="CN5" s="27">
        <v>25</v>
      </c>
    </row>
    <row r="6" spans="1:92" x14ac:dyDescent="0.2">
      <c r="A6" t="s">
        <v>143</v>
      </c>
      <c r="B6" t="s">
        <v>166</v>
      </c>
      <c r="C6">
        <v>2017</v>
      </c>
      <c r="D6" t="str">
        <f t="shared" si="0"/>
        <v>10.1130/g39002.1</v>
      </c>
      <c r="E6">
        <f t="shared" si="1"/>
        <v>37840</v>
      </c>
      <c r="F6">
        <f t="shared" si="2"/>
        <v>1990.000000000002</v>
      </c>
      <c r="G6">
        <f t="shared" si="3"/>
        <v>1990.000000000002</v>
      </c>
      <c r="H6" s="23">
        <f t="shared" si="4"/>
        <v>452</v>
      </c>
      <c r="I6" s="23">
        <f t="shared" si="5"/>
        <v>73</v>
      </c>
      <c r="J6" s="23">
        <f t="shared" si="6"/>
        <v>59</v>
      </c>
      <c r="K6" s="16" t="s">
        <v>144</v>
      </c>
      <c r="L6" s="24" t="s">
        <v>154</v>
      </c>
      <c r="M6" t="s">
        <v>167</v>
      </c>
      <c r="N6" t="s">
        <v>168</v>
      </c>
      <c r="O6" t="s">
        <v>170</v>
      </c>
      <c r="P6" t="s">
        <v>157</v>
      </c>
      <c r="Q6" t="s">
        <v>158</v>
      </c>
      <c r="R6" t="s">
        <v>161</v>
      </c>
      <c r="S6" t="s">
        <v>162</v>
      </c>
      <c r="T6" t="s">
        <v>163</v>
      </c>
      <c r="U6" t="s">
        <v>182</v>
      </c>
      <c r="V6">
        <v>37.840000000000003</v>
      </c>
      <c r="W6" s="25">
        <f t="shared" ref="W6:W13" si="7">V6+1.99</f>
        <v>39.830000000000005</v>
      </c>
      <c r="X6" s="25">
        <f t="shared" ref="X6:X13" si="8">V6-1.99</f>
        <v>35.85</v>
      </c>
      <c r="Y6" t="s">
        <v>148</v>
      </c>
      <c r="Z6" t="s">
        <v>164</v>
      </c>
      <c r="AA6" s="25">
        <v>64.8</v>
      </c>
      <c r="AB6" s="25">
        <v>-101.066667</v>
      </c>
      <c r="AC6" t="s">
        <v>148</v>
      </c>
      <c r="AD6" t="s">
        <v>148</v>
      </c>
      <c r="AE6">
        <v>452</v>
      </c>
      <c r="AF6" t="s">
        <v>145</v>
      </c>
      <c r="AG6">
        <v>393</v>
      </c>
      <c r="AH6">
        <v>525</v>
      </c>
      <c r="AI6" t="s">
        <v>191</v>
      </c>
      <c r="AJ6" s="16" t="s">
        <v>136</v>
      </c>
      <c r="AK6" s="16" t="s">
        <v>135</v>
      </c>
      <c r="AL6" t="s">
        <v>165</v>
      </c>
      <c r="AM6" s="26">
        <v>62700000</v>
      </c>
      <c r="AN6" s="26">
        <v>4650000</v>
      </c>
      <c r="AO6" t="s">
        <v>192</v>
      </c>
      <c r="AP6">
        <v>0</v>
      </c>
      <c r="AQ6">
        <v>0</v>
      </c>
      <c r="AR6" t="s">
        <v>148</v>
      </c>
      <c r="AS6" s="26">
        <v>2.9200000000000002E-5</v>
      </c>
      <c r="AT6" s="26">
        <v>3.0000000000000001E-6</v>
      </c>
      <c r="AU6" t="s">
        <v>193</v>
      </c>
      <c r="AV6">
        <v>0</v>
      </c>
      <c r="AW6">
        <v>0</v>
      </c>
      <c r="AX6" t="s">
        <v>148</v>
      </c>
      <c r="AY6" s="26">
        <v>1.7200000000000001E-5</v>
      </c>
      <c r="AZ6" s="26">
        <v>3.47E-8</v>
      </c>
      <c r="BA6" t="s">
        <v>190</v>
      </c>
      <c r="BB6">
        <v>0</v>
      </c>
      <c r="BC6">
        <v>0</v>
      </c>
      <c r="BD6" t="s">
        <v>148</v>
      </c>
      <c r="BE6">
        <v>-26.73808</v>
      </c>
      <c r="BF6">
        <v>0.2</v>
      </c>
      <c r="BG6" t="s">
        <v>194</v>
      </c>
      <c r="BH6">
        <v>-6</v>
      </c>
      <c r="BI6">
        <v>0.7</v>
      </c>
      <c r="BJ6" s="16" t="s">
        <v>195</v>
      </c>
      <c r="BK6">
        <v>396</v>
      </c>
      <c r="BL6">
        <v>6.67</v>
      </c>
      <c r="BM6">
        <v>0.39</v>
      </c>
      <c r="BN6" s="16" t="s">
        <v>196</v>
      </c>
      <c r="BO6">
        <v>0.63</v>
      </c>
      <c r="BP6">
        <v>7.0000000000000001E-3</v>
      </c>
      <c r="BQ6" s="16" t="s">
        <v>197</v>
      </c>
      <c r="BR6">
        <v>2</v>
      </c>
      <c r="BS6">
        <v>0.1</v>
      </c>
      <c r="BT6" s="16" t="s">
        <v>159</v>
      </c>
      <c r="BU6">
        <v>0.84</v>
      </c>
      <c r="BV6">
        <v>1.6500000000000001E-2</v>
      </c>
      <c r="BW6" s="16" t="s">
        <v>198</v>
      </c>
      <c r="BX6">
        <v>1</v>
      </c>
      <c r="BY6">
        <v>0.05</v>
      </c>
      <c r="BZ6" s="16" t="s">
        <v>159</v>
      </c>
      <c r="CA6">
        <v>0.5</v>
      </c>
      <c r="CB6">
        <v>2.5000000000000001E-2</v>
      </c>
      <c r="CC6" s="16" t="s">
        <v>159</v>
      </c>
      <c r="CD6">
        <v>0.34</v>
      </c>
      <c r="CE6">
        <v>3.7999999999999999E-2</v>
      </c>
      <c r="CF6" s="16" t="s">
        <v>199</v>
      </c>
      <c r="CG6">
        <v>1.2999999999999999E-2</v>
      </c>
      <c r="CH6">
        <v>6.4999999999999997E-4</v>
      </c>
      <c r="CI6" s="16" t="s">
        <v>159</v>
      </c>
      <c r="CJ6" t="s">
        <v>176</v>
      </c>
      <c r="CK6" s="27">
        <v>30</v>
      </c>
      <c r="CL6" s="27">
        <v>9.4009599999999997E-4</v>
      </c>
      <c r="CM6" s="27">
        <v>40</v>
      </c>
      <c r="CN6" s="27">
        <v>25</v>
      </c>
    </row>
    <row r="7" spans="1:92" x14ac:dyDescent="0.2">
      <c r="A7" t="s">
        <v>143</v>
      </c>
      <c r="B7" t="s">
        <v>166</v>
      </c>
      <c r="C7">
        <v>2017</v>
      </c>
      <c r="D7" t="str">
        <f t="shared" si="0"/>
        <v>10.1130/g39002.1</v>
      </c>
      <c r="E7">
        <f t="shared" si="1"/>
        <v>37840</v>
      </c>
      <c r="F7">
        <f t="shared" si="2"/>
        <v>1990.000000000002</v>
      </c>
      <c r="G7">
        <f t="shared" si="3"/>
        <v>1990.000000000002</v>
      </c>
      <c r="H7" s="23">
        <f t="shared" si="4"/>
        <v>433</v>
      </c>
      <c r="I7" s="23">
        <f t="shared" si="5"/>
        <v>66</v>
      </c>
      <c r="J7" s="23">
        <f t="shared" si="6"/>
        <v>55</v>
      </c>
      <c r="K7" s="16" t="s">
        <v>144</v>
      </c>
      <c r="L7" s="24" t="s">
        <v>154</v>
      </c>
      <c r="M7" t="s">
        <v>167</v>
      </c>
      <c r="N7" t="s">
        <v>168</v>
      </c>
      <c r="O7" t="s">
        <v>178</v>
      </c>
      <c r="P7" t="s">
        <v>157</v>
      </c>
      <c r="Q7" t="s">
        <v>158</v>
      </c>
      <c r="R7" t="s">
        <v>161</v>
      </c>
      <c r="S7" t="s">
        <v>162</v>
      </c>
      <c r="T7" t="s">
        <v>163</v>
      </c>
      <c r="U7" t="s">
        <v>183</v>
      </c>
      <c r="V7">
        <v>37.840000000000003</v>
      </c>
      <c r="W7" s="25">
        <f t="shared" si="7"/>
        <v>39.830000000000005</v>
      </c>
      <c r="X7" s="25">
        <f t="shared" si="8"/>
        <v>35.85</v>
      </c>
      <c r="Y7" t="s">
        <v>148</v>
      </c>
      <c r="Z7" t="s">
        <v>164</v>
      </c>
      <c r="AA7" s="25">
        <v>64.8</v>
      </c>
      <c r="AB7" s="25">
        <v>-101.066667</v>
      </c>
      <c r="AC7" t="s">
        <v>148</v>
      </c>
      <c r="AD7" t="s">
        <v>148</v>
      </c>
      <c r="AE7">
        <v>433</v>
      </c>
      <c r="AF7" t="s">
        <v>145</v>
      </c>
      <c r="AG7">
        <v>378</v>
      </c>
      <c r="AH7">
        <v>499</v>
      </c>
      <c r="AI7" t="s">
        <v>191</v>
      </c>
      <c r="AJ7" s="16" t="s">
        <v>136</v>
      </c>
      <c r="AK7" s="16" t="s">
        <v>135</v>
      </c>
      <c r="AL7" t="s">
        <v>165</v>
      </c>
      <c r="AM7" s="26">
        <v>65900000</v>
      </c>
      <c r="AN7" s="26">
        <v>4770000</v>
      </c>
      <c r="AO7" t="s">
        <v>192</v>
      </c>
      <c r="AP7">
        <v>0</v>
      </c>
      <c r="AQ7">
        <v>0</v>
      </c>
      <c r="AR7" t="s">
        <v>148</v>
      </c>
      <c r="AS7" s="26">
        <v>2.9799999999999999E-5</v>
      </c>
      <c r="AT7" s="26">
        <v>2.96E-6</v>
      </c>
      <c r="AU7" t="s">
        <v>193</v>
      </c>
      <c r="AV7">
        <v>0</v>
      </c>
      <c r="AW7">
        <v>0</v>
      </c>
      <c r="AX7" t="s">
        <v>148</v>
      </c>
      <c r="AY7" s="26">
        <v>1.7499999999999998E-5</v>
      </c>
      <c r="AZ7" s="26">
        <v>3.4200000000000002E-8</v>
      </c>
      <c r="BA7" t="s">
        <v>190</v>
      </c>
      <c r="BB7">
        <v>0</v>
      </c>
      <c r="BC7">
        <v>0</v>
      </c>
      <c r="BD7" t="s">
        <v>148</v>
      </c>
      <c r="BE7">
        <v>-26.691984000000001</v>
      </c>
      <c r="BF7">
        <v>0.2</v>
      </c>
      <c r="BG7" t="s">
        <v>194</v>
      </c>
      <c r="BH7">
        <v>-6</v>
      </c>
      <c r="BI7">
        <v>0.7</v>
      </c>
      <c r="BJ7" s="16" t="s">
        <v>195</v>
      </c>
      <c r="BK7">
        <v>396</v>
      </c>
      <c r="BL7">
        <v>6.67</v>
      </c>
      <c r="BM7">
        <v>0.39</v>
      </c>
      <c r="BN7" s="16" t="s">
        <v>196</v>
      </c>
      <c r="BO7">
        <v>0.63</v>
      </c>
      <c r="BP7">
        <v>7.0000000000000001E-3</v>
      </c>
      <c r="BQ7" s="16" t="s">
        <v>197</v>
      </c>
      <c r="BR7">
        <v>2</v>
      </c>
      <c r="BS7">
        <v>0.1</v>
      </c>
      <c r="BT7" s="16" t="s">
        <v>159</v>
      </c>
      <c r="BU7">
        <v>0.84</v>
      </c>
      <c r="BV7">
        <v>1.6500000000000001E-2</v>
      </c>
      <c r="BW7" s="16" t="s">
        <v>198</v>
      </c>
      <c r="BX7">
        <v>1</v>
      </c>
      <c r="BY7">
        <v>0.05</v>
      </c>
      <c r="BZ7" s="16" t="s">
        <v>159</v>
      </c>
      <c r="CA7">
        <v>0.5</v>
      </c>
      <c r="CB7">
        <v>2.5000000000000001E-2</v>
      </c>
      <c r="CC7" s="16" t="s">
        <v>159</v>
      </c>
      <c r="CD7">
        <v>0.34</v>
      </c>
      <c r="CE7">
        <v>3.7999999999999999E-2</v>
      </c>
      <c r="CF7" s="16" t="s">
        <v>199</v>
      </c>
      <c r="CG7">
        <v>1.2999999999999999E-2</v>
      </c>
      <c r="CH7">
        <v>6.4999999999999997E-4</v>
      </c>
      <c r="CI7" s="16" t="s">
        <v>159</v>
      </c>
      <c r="CJ7" t="s">
        <v>176</v>
      </c>
      <c r="CK7" s="27">
        <v>30</v>
      </c>
      <c r="CL7" s="27">
        <v>9.4009599999999997E-4</v>
      </c>
      <c r="CM7" s="27">
        <v>40</v>
      </c>
      <c r="CN7" s="27">
        <v>25</v>
      </c>
    </row>
    <row r="8" spans="1:92" x14ac:dyDescent="0.2">
      <c r="A8" t="s">
        <v>143</v>
      </c>
      <c r="B8" t="s">
        <v>166</v>
      </c>
      <c r="C8">
        <v>2017</v>
      </c>
      <c r="D8" t="str">
        <f t="shared" si="0"/>
        <v>10.1130/g39002.1</v>
      </c>
      <c r="E8">
        <f t="shared" si="1"/>
        <v>37840</v>
      </c>
      <c r="F8">
        <f t="shared" si="2"/>
        <v>1990.000000000002</v>
      </c>
      <c r="G8">
        <f t="shared" si="3"/>
        <v>1990.000000000002</v>
      </c>
      <c r="H8" s="23">
        <f t="shared" si="4"/>
        <v>521</v>
      </c>
      <c r="I8" s="23">
        <f t="shared" si="5"/>
        <v>95</v>
      </c>
      <c r="J8" s="23">
        <f t="shared" si="6"/>
        <v>73</v>
      </c>
      <c r="K8" s="16" t="s">
        <v>144</v>
      </c>
      <c r="L8" s="24" t="s">
        <v>154</v>
      </c>
      <c r="M8" t="s">
        <v>167</v>
      </c>
      <c r="N8" t="s">
        <v>168</v>
      </c>
      <c r="O8" t="s">
        <v>171</v>
      </c>
      <c r="P8" t="s">
        <v>157</v>
      </c>
      <c r="Q8" t="s">
        <v>158</v>
      </c>
      <c r="R8" t="s">
        <v>161</v>
      </c>
      <c r="S8" t="s">
        <v>162</v>
      </c>
      <c r="T8" t="s">
        <v>163</v>
      </c>
      <c r="U8" t="s">
        <v>184</v>
      </c>
      <c r="V8">
        <v>37.840000000000003</v>
      </c>
      <c r="W8" s="25">
        <f t="shared" si="7"/>
        <v>39.830000000000005</v>
      </c>
      <c r="X8" s="25">
        <f t="shared" si="8"/>
        <v>35.85</v>
      </c>
      <c r="Y8" t="s">
        <v>148</v>
      </c>
      <c r="Z8" t="s">
        <v>164</v>
      </c>
      <c r="AA8" s="25">
        <v>64.8</v>
      </c>
      <c r="AB8" s="25">
        <v>-101.066667</v>
      </c>
      <c r="AC8" t="s">
        <v>148</v>
      </c>
      <c r="AD8" t="s">
        <v>148</v>
      </c>
      <c r="AE8">
        <v>521</v>
      </c>
      <c r="AF8" t="s">
        <v>145</v>
      </c>
      <c r="AG8">
        <v>448</v>
      </c>
      <c r="AH8">
        <v>616</v>
      </c>
      <c r="AI8" t="s">
        <v>191</v>
      </c>
      <c r="AJ8" s="16" t="s">
        <v>136</v>
      </c>
      <c r="AK8" s="16" t="s">
        <v>135</v>
      </c>
      <c r="AL8" t="s">
        <v>165</v>
      </c>
      <c r="AM8" s="26">
        <v>50300000</v>
      </c>
      <c r="AN8" s="26">
        <v>4170000</v>
      </c>
      <c r="AO8" t="s">
        <v>192</v>
      </c>
      <c r="AP8">
        <v>0</v>
      </c>
      <c r="AQ8">
        <v>0</v>
      </c>
      <c r="AR8" t="s">
        <v>148</v>
      </c>
      <c r="AS8" s="26">
        <v>2.8900000000000001E-5</v>
      </c>
      <c r="AT8" s="26">
        <v>3.2100000000000002E-6</v>
      </c>
      <c r="AU8" t="s">
        <v>193</v>
      </c>
      <c r="AV8">
        <v>0</v>
      </c>
      <c r="AW8">
        <v>0</v>
      </c>
      <c r="AX8" t="s">
        <v>148</v>
      </c>
      <c r="AY8" s="26">
        <v>1.7E-5</v>
      </c>
      <c r="AZ8" s="26">
        <v>3.7100000000000001E-8</v>
      </c>
      <c r="BA8" t="s">
        <v>190</v>
      </c>
      <c r="BB8">
        <v>0</v>
      </c>
      <c r="BC8">
        <v>0</v>
      </c>
      <c r="BD8" t="s">
        <v>148</v>
      </c>
      <c r="BE8">
        <v>-26.80838</v>
      </c>
      <c r="BF8">
        <v>0.2</v>
      </c>
      <c r="BG8" t="s">
        <v>194</v>
      </c>
      <c r="BH8">
        <v>-6</v>
      </c>
      <c r="BI8">
        <v>0.7</v>
      </c>
      <c r="BJ8" s="16" t="s">
        <v>195</v>
      </c>
      <c r="BK8">
        <v>396</v>
      </c>
      <c r="BL8">
        <v>6.67</v>
      </c>
      <c r="BM8">
        <v>0.39</v>
      </c>
      <c r="BN8" s="16" t="s">
        <v>196</v>
      </c>
      <c r="BO8">
        <v>0.63</v>
      </c>
      <c r="BP8">
        <v>7.0000000000000001E-3</v>
      </c>
      <c r="BQ8" s="16" t="s">
        <v>197</v>
      </c>
      <c r="BR8">
        <v>2</v>
      </c>
      <c r="BS8">
        <v>0.1</v>
      </c>
      <c r="BT8" s="16" t="s">
        <v>159</v>
      </c>
      <c r="BU8">
        <v>0.84</v>
      </c>
      <c r="BV8">
        <v>1.6500000000000001E-2</v>
      </c>
      <c r="BW8" s="16" t="s">
        <v>198</v>
      </c>
      <c r="BX8">
        <v>1</v>
      </c>
      <c r="BY8">
        <v>0.05</v>
      </c>
      <c r="BZ8" s="16" t="s">
        <v>159</v>
      </c>
      <c r="CA8">
        <v>0.5</v>
      </c>
      <c r="CB8">
        <v>2.5000000000000001E-2</v>
      </c>
      <c r="CC8" s="16" t="s">
        <v>159</v>
      </c>
      <c r="CD8">
        <v>0.34</v>
      </c>
      <c r="CE8">
        <v>3.7999999999999999E-2</v>
      </c>
      <c r="CF8" s="16" t="s">
        <v>199</v>
      </c>
      <c r="CG8">
        <v>1.2999999999999999E-2</v>
      </c>
      <c r="CH8">
        <v>6.4999999999999997E-4</v>
      </c>
      <c r="CI8" s="16" t="s">
        <v>159</v>
      </c>
      <c r="CJ8" t="s">
        <v>176</v>
      </c>
      <c r="CK8" s="27">
        <v>30</v>
      </c>
      <c r="CL8" s="27">
        <v>9.4009599999999997E-4</v>
      </c>
      <c r="CM8" s="27">
        <v>40</v>
      </c>
      <c r="CN8" s="27">
        <v>25</v>
      </c>
    </row>
    <row r="9" spans="1:92" x14ac:dyDescent="0.2">
      <c r="A9" t="s">
        <v>143</v>
      </c>
      <c r="B9" t="s">
        <v>166</v>
      </c>
      <c r="C9">
        <v>2017</v>
      </c>
      <c r="D9" t="str">
        <f t="shared" si="0"/>
        <v>10.1130/g39002.1</v>
      </c>
      <c r="E9">
        <f t="shared" si="1"/>
        <v>37840</v>
      </c>
      <c r="F9">
        <f t="shared" si="2"/>
        <v>1990.000000000002</v>
      </c>
      <c r="G9">
        <f t="shared" si="3"/>
        <v>1990.000000000002</v>
      </c>
      <c r="H9" s="23">
        <f t="shared" si="4"/>
        <v>483</v>
      </c>
      <c r="I9" s="23">
        <f t="shared" si="5"/>
        <v>78</v>
      </c>
      <c r="J9" s="23">
        <f t="shared" si="6"/>
        <v>61</v>
      </c>
      <c r="K9" s="16" t="s">
        <v>144</v>
      </c>
      <c r="L9" s="24" t="s">
        <v>154</v>
      </c>
      <c r="M9" t="s">
        <v>167</v>
      </c>
      <c r="N9" t="s">
        <v>168</v>
      </c>
      <c r="O9" t="s">
        <v>172</v>
      </c>
      <c r="P9" t="s">
        <v>157</v>
      </c>
      <c r="Q9" t="s">
        <v>158</v>
      </c>
      <c r="R9" t="s">
        <v>161</v>
      </c>
      <c r="S9" t="s">
        <v>162</v>
      </c>
      <c r="T9" t="s">
        <v>163</v>
      </c>
      <c r="U9" t="s">
        <v>185</v>
      </c>
      <c r="V9">
        <v>37.840000000000003</v>
      </c>
      <c r="W9" s="25">
        <f t="shared" si="7"/>
        <v>39.830000000000005</v>
      </c>
      <c r="X9" s="25">
        <f t="shared" si="8"/>
        <v>35.85</v>
      </c>
      <c r="Y9" t="s">
        <v>148</v>
      </c>
      <c r="Z9" t="s">
        <v>164</v>
      </c>
      <c r="AA9" s="25">
        <v>64.8</v>
      </c>
      <c r="AB9" s="25">
        <v>-101.066667</v>
      </c>
      <c r="AC9" t="s">
        <v>148</v>
      </c>
      <c r="AD9" t="s">
        <v>148</v>
      </c>
      <c r="AE9">
        <v>483</v>
      </c>
      <c r="AF9" t="s">
        <v>145</v>
      </c>
      <c r="AG9">
        <v>422</v>
      </c>
      <c r="AH9">
        <v>561</v>
      </c>
      <c r="AI9" t="s">
        <v>191</v>
      </c>
      <c r="AJ9" s="16" t="s">
        <v>136</v>
      </c>
      <c r="AK9" s="16" t="s">
        <v>135</v>
      </c>
      <c r="AL9" t="s">
        <v>165</v>
      </c>
      <c r="AM9" s="26">
        <v>55400000</v>
      </c>
      <c r="AN9" s="26">
        <v>4370000</v>
      </c>
      <c r="AO9" t="s">
        <v>192</v>
      </c>
      <c r="AP9">
        <v>0</v>
      </c>
      <c r="AQ9">
        <v>0</v>
      </c>
      <c r="AR9" t="s">
        <v>148</v>
      </c>
      <c r="AS9" s="26">
        <v>2.97E-5</v>
      </c>
      <c r="AT9" s="26">
        <v>1.5200000000000001E-6</v>
      </c>
      <c r="AU9" t="s">
        <v>193</v>
      </c>
      <c r="AV9">
        <v>0</v>
      </c>
      <c r="AW9">
        <v>0</v>
      </c>
      <c r="AX9" t="s">
        <v>148</v>
      </c>
      <c r="AY9" s="26">
        <v>1.7499999999999998E-5</v>
      </c>
      <c r="AZ9" s="26">
        <v>1.7599999999999999E-8</v>
      </c>
      <c r="BA9" t="s">
        <v>190</v>
      </c>
      <c r="BB9">
        <v>0</v>
      </c>
      <c r="BC9">
        <v>0</v>
      </c>
      <c r="BD9" t="s">
        <v>148</v>
      </c>
      <c r="BE9">
        <v>-26.823049000000001</v>
      </c>
      <c r="BF9">
        <v>0.2</v>
      </c>
      <c r="BG9" t="s">
        <v>194</v>
      </c>
      <c r="BH9">
        <v>-6</v>
      </c>
      <c r="BI9">
        <v>0.7</v>
      </c>
      <c r="BJ9" s="16" t="s">
        <v>195</v>
      </c>
      <c r="BK9">
        <v>396</v>
      </c>
      <c r="BL9">
        <v>6.67</v>
      </c>
      <c r="BM9">
        <v>0.39</v>
      </c>
      <c r="BN9" s="16" t="s">
        <v>196</v>
      </c>
      <c r="BO9">
        <v>0.63</v>
      </c>
      <c r="BP9">
        <v>7.0000000000000001E-3</v>
      </c>
      <c r="BQ9" s="16" t="s">
        <v>197</v>
      </c>
      <c r="BR9">
        <v>2</v>
      </c>
      <c r="BS9">
        <v>0.1</v>
      </c>
      <c r="BT9" s="16" t="s">
        <v>159</v>
      </c>
      <c r="BU9">
        <v>0.84</v>
      </c>
      <c r="BV9">
        <v>1.6500000000000001E-2</v>
      </c>
      <c r="BW9" s="16" t="s">
        <v>198</v>
      </c>
      <c r="BX9">
        <v>1</v>
      </c>
      <c r="BY9">
        <v>0.05</v>
      </c>
      <c r="BZ9" s="16" t="s">
        <v>159</v>
      </c>
      <c r="CA9">
        <v>0.5</v>
      </c>
      <c r="CB9">
        <v>2.5000000000000001E-2</v>
      </c>
      <c r="CC9" s="16" t="s">
        <v>159</v>
      </c>
      <c r="CD9">
        <v>0.34</v>
      </c>
      <c r="CE9">
        <v>3.7999999999999999E-2</v>
      </c>
      <c r="CF9" s="16" t="s">
        <v>199</v>
      </c>
      <c r="CG9">
        <v>1.2999999999999999E-2</v>
      </c>
      <c r="CH9">
        <v>6.4999999999999997E-4</v>
      </c>
      <c r="CI9" s="16" t="s">
        <v>159</v>
      </c>
      <c r="CJ9" t="s">
        <v>176</v>
      </c>
      <c r="CK9" s="27">
        <v>30</v>
      </c>
      <c r="CL9" s="27">
        <v>9.4009599999999997E-4</v>
      </c>
      <c r="CM9" s="27">
        <v>40</v>
      </c>
      <c r="CN9" s="27">
        <v>25</v>
      </c>
    </row>
    <row r="10" spans="1:92" x14ac:dyDescent="0.2">
      <c r="A10" t="s">
        <v>143</v>
      </c>
      <c r="B10" t="s">
        <v>166</v>
      </c>
      <c r="C10">
        <v>2017</v>
      </c>
      <c r="D10" t="str">
        <f t="shared" si="0"/>
        <v>10.1130/g39002.1</v>
      </c>
      <c r="E10">
        <f t="shared" si="1"/>
        <v>37840</v>
      </c>
      <c r="F10">
        <f t="shared" si="2"/>
        <v>1990.000000000002</v>
      </c>
      <c r="G10">
        <f t="shared" si="3"/>
        <v>1990.000000000002</v>
      </c>
      <c r="H10" s="23">
        <f t="shared" si="4"/>
        <v>440</v>
      </c>
      <c r="I10" s="23">
        <f t="shared" si="5"/>
        <v>70</v>
      </c>
      <c r="J10" s="23">
        <f t="shared" si="6"/>
        <v>57</v>
      </c>
      <c r="K10" s="16" t="s">
        <v>144</v>
      </c>
      <c r="L10" s="24" t="s">
        <v>154</v>
      </c>
      <c r="M10" t="s">
        <v>167</v>
      </c>
      <c r="N10" t="s">
        <v>168</v>
      </c>
      <c r="O10" t="s">
        <v>173</v>
      </c>
      <c r="P10" t="s">
        <v>157</v>
      </c>
      <c r="Q10" t="s">
        <v>158</v>
      </c>
      <c r="R10" t="s">
        <v>161</v>
      </c>
      <c r="S10" t="s">
        <v>162</v>
      </c>
      <c r="T10" t="s">
        <v>163</v>
      </c>
      <c r="U10" t="s">
        <v>186</v>
      </c>
      <c r="V10">
        <v>37.840000000000003</v>
      </c>
      <c r="W10" s="25">
        <f t="shared" si="7"/>
        <v>39.830000000000005</v>
      </c>
      <c r="X10" s="25">
        <f t="shared" si="8"/>
        <v>35.85</v>
      </c>
      <c r="Y10" t="s">
        <v>148</v>
      </c>
      <c r="Z10" t="s">
        <v>164</v>
      </c>
      <c r="AA10" s="25">
        <v>64.8</v>
      </c>
      <c r="AB10" s="25">
        <v>-101.066667</v>
      </c>
      <c r="AC10" t="s">
        <v>148</v>
      </c>
      <c r="AD10" t="s">
        <v>148</v>
      </c>
      <c r="AE10">
        <v>440</v>
      </c>
      <c r="AF10" t="s">
        <v>145</v>
      </c>
      <c r="AG10">
        <v>383</v>
      </c>
      <c r="AH10">
        <v>510</v>
      </c>
      <c r="AI10" t="s">
        <v>191</v>
      </c>
      <c r="AJ10" s="16" t="s">
        <v>136</v>
      </c>
      <c r="AK10" s="16" t="s">
        <v>135</v>
      </c>
      <c r="AL10" t="s">
        <v>165</v>
      </c>
      <c r="AM10" s="26">
        <v>53600000</v>
      </c>
      <c r="AN10" s="26">
        <v>4300000</v>
      </c>
      <c r="AO10" t="s">
        <v>192</v>
      </c>
      <c r="AP10">
        <v>0</v>
      </c>
      <c r="AQ10">
        <v>0</v>
      </c>
      <c r="AR10" t="s">
        <v>148</v>
      </c>
      <c r="AS10" s="26">
        <v>3.3000000000000003E-5</v>
      </c>
      <c r="AT10" s="26">
        <v>3.3000000000000002E-6</v>
      </c>
      <c r="AU10" t="s">
        <v>193</v>
      </c>
      <c r="AV10">
        <v>0</v>
      </c>
      <c r="AW10">
        <v>0</v>
      </c>
      <c r="AX10" t="s">
        <v>148</v>
      </c>
      <c r="AY10" s="26">
        <v>1.9400000000000001E-5</v>
      </c>
      <c r="AZ10" s="26">
        <v>3.8099999999999997E-8</v>
      </c>
      <c r="BA10" t="s">
        <v>190</v>
      </c>
      <c r="BB10">
        <v>0</v>
      </c>
      <c r="BC10">
        <v>0</v>
      </c>
      <c r="BD10" t="s">
        <v>148</v>
      </c>
      <c r="BE10">
        <v>-26.416687</v>
      </c>
      <c r="BF10">
        <v>0.2</v>
      </c>
      <c r="BG10" t="s">
        <v>194</v>
      </c>
      <c r="BH10">
        <v>-6</v>
      </c>
      <c r="BI10">
        <v>0.7</v>
      </c>
      <c r="BJ10" s="16" t="s">
        <v>195</v>
      </c>
      <c r="BK10">
        <v>396</v>
      </c>
      <c r="BL10">
        <v>6.67</v>
      </c>
      <c r="BM10">
        <v>0.39</v>
      </c>
      <c r="BN10" s="16" t="s">
        <v>196</v>
      </c>
      <c r="BO10">
        <v>0.63</v>
      </c>
      <c r="BP10">
        <v>7.0000000000000001E-3</v>
      </c>
      <c r="BQ10" s="16" t="s">
        <v>197</v>
      </c>
      <c r="BR10">
        <v>2</v>
      </c>
      <c r="BS10">
        <v>0.1</v>
      </c>
      <c r="BT10" s="16" t="s">
        <v>159</v>
      </c>
      <c r="BU10">
        <v>0.84</v>
      </c>
      <c r="BV10">
        <v>1.6500000000000001E-2</v>
      </c>
      <c r="BW10" s="16" t="s">
        <v>198</v>
      </c>
      <c r="BX10">
        <v>1</v>
      </c>
      <c r="BY10">
        <v>0.05</v>
      </c>
      <c r="BZ10" s="16" t="s">
        <v>159</v>
      </c>
      <c r="CA10">
        <v>0.5</v>
      </c>
      <c r="CB10">
        <v>2.5000000000000001E-2</v>
      </c>
      <c r="CC10" s="16" t="s">
        <v>159</v>
      </c>
      <c r="CD10">
        <v>0.34</v>
      </c>
      <c r="CE10">
        <v>3.7999999999999999E-2</v>
      </c>
      <c r="CF10" s="16" t="s">
        <v>199</v>
      </c>
      <c r="CG10">
        <v>1.2999999999999999E-2</v>
      </c>
      <c r="CH10">
        <v>6.4999999999999997E-4</v>
      </c>
      <c r="CI10" s="16" t="s">
        <v>159</v>
      </c>
      <c r="CJ10" t="s">
        <v>176</v>
      </c>
      <c r="CK10" s="27">
        <v>30</v>
      </c>
      <c r="CL10" s="27">
        <v>9.4009599999999997E-4</v>
      </c>
      <c r="CM10" s="27">
        <v>40</v>
      </c>
      <c r="CN10" s="27">
        <v>25</v>
      </c>
    </row>
    <row r="11" spans="1:92" x14ac:dyDescent="0.2">
      <c r="A11" t="s">
        <v>143</v>
      </c>
      <c r="B11" t="s">
        <v>166</v>
      </c>
      <c r="C11">
        <v>2017</v>
      </c>
      <c r="D11" t="str">
        <f t="shared" si="0"/>
        <v>10.1130/g39002.1</v>
      </c>
      <c r="E11">
        <f t="shared" si="1"/>
        <v>37840</v>
      </c>
      <c r="F11">
        <f t="shared" si="2"/>
        <v>1990.000000000002</v>
      </c>
      <c r="G11">
        <f t="shared" si="3"/>
        <v>1990.000000000002</v>
      </c>
      <c r="H11" s="23">
        <f t="shared" si="4"/>
        <v>522</v>
      </c>
      <c r="I11" s="23">
        <f t="shared" si="5"/>
        <v>93</v>
      </c>
      <c r="J11" s="23">
        <f t="shared" si="6"/>
        <v>75</v>
      </c>
      <c r="K11" s="16" t="s">
        <v>144</v>
      </c>
      <c r="L11" s="24" t="s">
        <v>154</v>
      </c>
      <c r="M11" t="s">
        <v>167</v>
      </c>
      <c r="N11" t="s">
        <v>168</v>
      </c>
      <c r="O11" t="s">
        <v>179</v>
      </c>
      <c r="P11" t="s">
        <v>157</v>
      </c>
      <c r="Q11" t="s">
        <v>158</v>
      </c>
      <c r="R11" t="s">
        <v>161</v>
      </c>
      <c r="S11" t="s">
        <v>162</v>
      </c>
      <c r="T11" t="s">
        <v>163</v>
      </c>
      <c r="U11" t="s">
        <v>187</v>
      </c>
      <c r="V11">
        <v>37.840000000000003</v>
      </c>
      <c r="W11" s="25">
        <f t="shared" si="7"/>
        <v>39.830000000000005</v>
      </c>
      <c r="X11" s="25">
        <f t="shared" si="8"/>
        <v>35.85</v>
      </c>
      <c r="Y11" t="s">
        <v>148</v>
      </c>
      <c r="Z11" t="s">
        <v>164</v>
      </c>
      <c r="AA11" s="25">
        <v>64.8</v>
      </c>
      <c r="AB11" s="25">
        <v>-101.066667</v>
      </c>
      <c r="AC11" t="s">
        <v>148</v>
      </c>
      <c r="AD11" t="s">
        <v>148</v>
      </c>
      <c r="AE11">
        <v>522</v>
      </c>
      <c r="AF11" t="s">
        <v>145</v>
      </c>
      <c r="AG11">
        <v>447</v>
      </c>
      <c r="AH11">
        <v>615</v>
      </c>
      <c r="AI11" t="s">
        <v>191</v>
      </c>
      <c r="AJ11" s="16" t="s">
        <v>136</v>
      </c>
      <c r="AK11" s="16" t="s">
        <v>135</v>
      </c>
      <c r="AL11" t="s">
        <v>165</v>
      </c>
      <c r="AM11" s="26">
        <v>74200000</v>
      </c>
      <c r="AN11" s="26">
        <v>5060000</v>
      </c>
      <c r="AO11" t="s">
        <v>192</v>
      </c>
      <c r="AP11">
        <v>0</v>
      </c>
      <c r="AQ11">
        <v>0</v>
      </c>
      <c r="AR11" t="s">
        <v>148</v>
      </c>
      <c r="AS11" s="26">
        <v>3.1699999999999998E-5</v>
      </c>
      <c r="AT11" s="26">
        <v>4.3900000000000003E-6</v>
      </c>
      <c r="AU11" t="s">
        <v>193</v>
      </c>
      <c r="AV11">
        <v>0</v>
      </c>
      <c r="AW11">
        <v>0</v>
      </c>
      <c r="AX11" t="s">
        <v>148</v>
      </c>
      <c r="AY11" s="26">
        <v>1.8600000000000001E-5</v>
      </c>
      <c r="AZ11" s="26">
        <v>5.0699999999999997E-8</v>
      </c>
      <c r="BA11" t="s">
        <v>190</v>
      </c>
      <c r="BB11">
        <v>0</v>
      </c>
      <c r="BC11">
        <v>0</v>
      </c>
      <c r="BD11" t="s">
        <v>148</v>
      </c>
      <c r="BE11">
        <v>-28.474076</v>
      </c>
      <c r="BF11">
        <v>0.2</v>
      </c>
      <c r="BG11" t="s">
        <v>194</v>
      </c>
      <c r="BH11">
        <v>-6</v>
      </c>
      <c r="BI11">
        <v>0.7</v>
      </c>
      <c r="BJ11" s="16" t="s">
        <v>195</v>
      </c>
      <c r="BK11">
        <v>396</v>
      </c>
      <c r="BL11">
        <v>6.67</v>
      </c>
      <c r="BM11">
        <v>0.39</v>
      </c>
      <c r="BN11" s="16" t="s">
        <v>196</v>
      </c>
      <c r="BO11">
        <v>0.63</v>
      </c>
      <c r="BP11">
        <v>7.0000000000000001E-3</v>
      </c>
      <c r="BQ11" s="16" t="s">
        <v>197</v>
      </c>
      <c r="BR11">
        <v>2</v>
      </c>
      <c r="BS11">
        <v>0.1</v>
      </c>
      <c r="BT11" s="16" t="s">
        <v>159</v>
      </c>
      <c r="BU11">
        <v>0.84</v>
      </c>
      <c r="BV11">
        <v>1.6500000000000001E-2</v>
      </c>
      <c r="BW11" s="16" t="s">
        <v>198</v>
      </c>
      <c r="BX11">
        <v>1</v>
      </c>
      <c r="BY11">
        <v>0.05</v>
      </c>
      <c r="BZ11" s="16" t="s">
        <v>159</v>
      </c>
      <c r="CA11">
        <v>0.5</v>
      </c>
      <c r="CB11">
        <v>2.5000000000000001E-2</v>
      </c>
      <c r="CC11" s="16" t="s">
        <v>159</v>
      </c>
      <c r="CD11">
        <v>0.34</v>
      </c>
      <c r="CE11">
        <v>3.7999999999999999E-2</v>
      </c>
      <c r="CF11" s="16" t="s">
        <v>199</v>
      </c>
      <c r="CG11">
        <v>1.2999999999999999E-2</v>
      </c>
      <c r="CH11">
        <v>6.4999999999999997E-4</v>
      </c>
      <c r="CI11" s="16" t="s">
        <v>159</v>
      </c>
      <c r="CJ11" t="s">
        <v>176</v>
      </c>
      <c r="CK11" s="27">
        <v>30</v>
      </c>
      <c r="CL11" s="27">
        <v>9.4009599999999997E-4</v>
      </c>
      <c r="CM11" s="27">
        <v>40</v>
      </c>
      <c r="CN11" s="27">
        <v>25</v>
      </c>
    </row>
    <row r="12" spans="1:92" x14ac:dyDescent="0.2">
      <c r="A12" t="s">
        <v>143</v>
      </c>
      <c r="B12" t="s">
        <v>166</v>
      </c>
      <c r="C12">
        <v>2017</v>
      </c>
      <c r="D12" t="str">
        <f t="shared" si="0"/>
        <v>10.1130/g39002.1</v>
      </c>
      <c r="E12">
        <f t="shared" si="1"/>
        <v>37840</v>
      </c>
      <c r="F12">
        <f t="shared" si="2"/>
        <v>1990.000000000002</v>
      </c>
      <c r="G12">
        <f t="shared" si="3"/>
        <v>1990.000000000002</v>
      </c>
      <c r="H12" s="23">
        <f t="shared" si="4"/>
        <v>352</v>
      </c>
      <c r="I12" s="23">
        <f t="shared" si="5"/>
        <v>65</v>
      </c>
      <c r="J12" s="23">
        <f t="shared" si="6"/>
        <v>49</v>
      </c>
      <c r="K12" s="16" t="s">
        <v>144</v>
      </c>
      <c r="L12" s="24" t="s">
        <v>154</v>
      </c>
      <c r="M12" t="s">
        <v>167</v>
      </c>
      <c r="N12" t="s">
        <v>168</v>
      </c>
      <c r="O12" t="s">
        <v>174</v>
      </c>
      <c r="P12" t="s">
        <v>157</v>
      </c>
      <c r="Q12" t="s">
        <v>158</v>
      </c>
      <c r="R12" t="s">
        <v>161</v>
      </c>
      <c r="S12" t="s">
        <v>162</v>
      </c>
      <c r="T12" t="s">
        <v>163</v>
      </c>
      <c r="U12" t="s">
        <v>188</v>
      </c>
      <c r="V12">
        <v>37.840000000000003</v>
      </c>
      <c r="W12" s="25">
        <f t="shared" si="7"/>
        <v>39.830000000000005</v>
      </c>
      <c r="X12" s="25">
        <f t="shared" si="8"/>
        <v>35.85</v>
      </c>
      <c r="Y12" t="s">
        <v>148</v>
      </c>
      <c r="Z12" t="s">
        <v>164</v>
      </c>
      <c r="AA12" s="25">
        <v>64.8</v>
      </c>
      <c r="AB12" s="25">
        <v>-101.066667</v>
      </c>
      <c r="AC12" t="s">
        <v>148</v>
      </c>
      <c r="AD12" t="s">
        <v>148</v>
      </c>
      <c r="AE12">
        <v>352</v>
      </c>
      <c r="AF12" t="s">
        <v>145</v>
      </c>
      <c r="AG12">
        <v>303</v>
      </c>
      <c r="AH12">
        <v>417</v>
      </c>
      <c r="AI12" t="s">
        <v>191</v>
      </c>
      <c r="AJ12" s="16" t="s">
        <v>136</v>
      </c>
      <c r="AK12" s="16" t="s">
        <v>135</v>
      </c>
      <c r="AL12" t="s">
        <v>165</v>
      </c>
      <c r="AM12" s="26">
        <v>61800000</v>
      </c>
      <c r="AN12" s="26">
        <v>4620000</v>
      </c>
      <c r="AO12" t="s">
        <v>192</v>
      </c>
      <c r="AP12">
        <v>0</v>
      </c>
      <c r="AQ12">
        <v>0</v>
      </c>
      <c r="AR12" t="s">
        <v>148</v>
      </c>
      <c r="AS12" s="26">
        <v>2.8900000000000001E-5</v>
      </c>
      <c r="AT12" s="26">
        <v>5.3399999999999997E-6</v>
      </c>
      <c r="AU12" t="s">
        <v>193</v>
      </c>
      <c r="AV12">
        <v>0</v>
      </c>
      <c r="AW12">
        <v>0</v>
      </c>
      <c r="AX12" t="s">
        <v>148</v>
      </c>
      <c r="AY12" s="26">
        <v>1.7E-5</v>
      </c>
      <c r="AZ12" s="26">
        <v>6.1700000000000003E-8</v>
      </c>
      <c r="BA12" t="s">
        <v>190</v>
      </c>
      <c r="BB12">
        <v>0</v>
      </c>
      <c r="BC12">
        <v>0</v>
      </c>
      <c r="BD12" t="s">
        <v>148</v>
      </c>
      <c r="BE12">
        <v>-24.583898000000001</v>
      </c>
      <c r="BF12">
        <v>0.2</v>
      </c>
      <c r="BG12" t="s">
        <v>194</v>
      </c>
      <c r="BH12">
        <v>-6</v>
      </c>
      <c r="BI12">
        <v>0.7</v>
      </c>
      <c r="BJ12" s="16" t="s">
        <v>195</v>
      </c>
      <c r="BK12">
        <v>396</v>
      </c>
      <c r="BL12">
        <v>6.67</v>
      </c>
      <c r="BM12">
        <v>0.39</v>
      </c>
      <c r="BN12" s="16" t="s">
        <v>196</v>
      </c>
      <c r="BO12">
        <v>0.63</v>
      </c>
      <c r="BP12">
        <v>7.0000000000000001E-3</v>
      </c>
      <c r="BQ12" s="16" t="s">
        <v>197</v>
      </c>
      <c r="BR12">
        <v>2</v>
      </c>
      <c r="BS12">
        <v>0.1</v>
      </c>
      <c r="BT12" s="16" t="s">
        <v>159</v>
      </c>
      <c r="BU12">
        <v>0.84</v>
      </c>
      <c r="BV12">
        <v>1.6500000000000001E-2</v>
      </c>
      <c r="BW12" s="16" t="s">
        <v>198</v>
      </c>
      <c r="BX12">
        <v>1</v>
      </c>
      <c r="BY12">
        <v>0.05</v>
      </c>
      <c r="BZ12" s="16" t="s">
        <v>159</v>
      </c>
      <c r="CA12">
        <v>0.5</v>
      </c>
      <c r="CB12">
        <v>2.5000000000000001E-2</v>
      </c>
      <c r="CC12" s="16" t="s">
        <v>159</v>
      </c>
      <c r="CD12">
        <v>0.34</v>
      </c>
      <c r="CE12">
        <v>3.7999999999999999E-2</v>
      </c>
      <c r="CF12" s="16" t="s">
        <v>199</v>
      </c>
      <c r="CG12">
        <v>1.2999999999999999E-2</v>
      </c>
      <c r="CH12">
        <v>6.4999999999999997E-4</v>
      </c>
      <c r="CI12" s="16" t="s">
        <v>159</v>
      </c>
      <c r="CJ12" t="s">
        <v>176</v>
      </c>
      <c r="CK12" s="27">
        <v>30</v>
      </c>
      <c r="CL12" s="27">
        <v>9.4009599999999997E-4</v>
      </c>
      <c r="CM12" s="27">
        <v>40</v>
      </c>
      <c r="CN12" s="27">
        <v>25</v>
      </c>
    </row>
    <row r="13" spans="1:92" x14ac:dyDescent="0.2">
      <c r="A13" t="s">
        <v>143</v>
      </c>
      <c r="B13" t="s">
        <v>166</v>
      </c>
      <c r="C13">
        <v>2017</v>
      </c>
      <c r="D13" t="str">
        <f t="shared" si="0"/>
        <v>10.1130/g39002.1</v>
      </c>
      <c r="E13">
        <f t="shared" si="1"/>
        <v>37840</v>
      </c>
      <c r="F13">
        <f t="shared" si="2"/>
        <v>1990.000000000002</v>
      </c>
      <c r="G13">
        <f t="shared" si="3"/>
        <v>1990.000000000002</v>
      </c>
      <c r="H13" s="23">
        <f t="shared" si="4"/>
        <v>432</v>
      </c>
      <c r="I13" s="23">
        <f t="shared" si="5"/>
        <v>106</v>
      </c>
      <c r="J13" s="23">
        <f t="shared" si="6"/>
        <v>79</v>
      </c>
      <c r="K13" s="16" t="s">
        <v>144</v>
      </c>
      <c r="L13" s="24" t="s">
        <v>154</v>
      </c>
      <c r="M13" t="s">
        <v>167</v>
      </c>
      <c r="N13" t="s">
        <v>168</v>
      </c>
      <c r="O13" t="s">
        <v>175</v>
      </c>
      <c r="P13" t="s">
        <v>157</v>
      </c>
      <c r="Q13" t="s">
        <v>158</v>
      </c>
      <c r="R13" t="s">
        <v>161</v>
      </c>
      <c r="S13" t="s">
        <v>162</v>
      </c>
      <c r="T13" t="s">
        <v>163</v>
      </c>
      <c r="U13" t="s">
        <v>181</v>
      </c>
      <c r="V13">
        <v>37.840000000000003</v>
      </c>
      <c r="W13" s="25">
        <f t="shared" si="7"/>
        <v>39.830000000000005</v>
      </c>
      <c r="X13" s="25">
        <f t="shared" si="8"/>
        <v>35.85</v>
      </c>
      <c r="Y13" t="s">
        <v>148</v>
      </c>
      <c r="Z13" t="s">
        <v>164</v>
      </c>
      <c r="AA13" s="25">
        <v>64.8</v>
      </c>
      <c r="AB13" s="25">
        <v>-101.066667</v>
      </c>
      <c r="AC13" t="s">
        <v>148</v>
      </c>
      <c r="AD13" t="s">
        <v>148</v>
      </c>
      <c r="AE13">
        <v>432</v>
      </c>
      <c r="AF13" t="s">
        <v>145</v>
      </c>
      <c r="AG13">
        <v>353</v>
      </c>
      <c r="AH13">
        <v>538</v>
      </c>
      <c r="AI13" t="s">
        <v>191</v>
      </c>
      <c r="AJ13" s="16" t="s">
        <v>136</v>
      </c>
      <c r="AK13" s="16" t="s">
        <v>135</v>
      </c>
      <c r="AL13" t="s">
        <v>165</v>
      </c>
      <c r="AM13" s="26">
        <v>60000000</v>
      </c>
      <c r="AN13" s="26">
        <v>7180000</v>
      </c>
      <c r="AO13" t="s">
        <v>192</v>
      </c>
      <c r="AP13">
        <v>0</v>
      </c>
      <c r="AQ13">
        <v>0</v>
      </c>
      <c r="AR13" t="s">
        <v>148</v>
      </c>
      <c r="AS13" s="26">
        <v>3.0700000000000001E-5</v>
      </c>
      <c r="AT13" s="26">
        <v>1.9800000000000001E-6</v>
      </c>
      <c r="AU13" t="s">
        <v>193</v>
      </c>
      <c r="AV13">
        <v>0</v>
      </c>
      <c r="AW13">
        <v>0</v>
      </c>
      <c r="AX13" t="s">
        <v>148</v>
      </c>
      <c r="AY13" s="26">
        <v>1.8099999999999999E-5</v>
      </c>
      <c r="AZ13" s="26">
        <v>2.29E-8</v>
      </c>
      <c r="BA13" t="s">
        <v>190</v>
      </c>
      <c r="BB13">
        <v>0</v>
      </c>
      <c r="BC13">
        <v>0</v>
      </c>
      <c r="BD13" t="s">
        <v>148</v>
      </c>
      <c r="BE13">
        <v>-26.399151440000001</v>
      </c>
      <c r="BF13">
        <v>1.1499999999999999</v>
      </c>
      <c r="BG13" t="s">
        <v>194</v>
      </c>
      <c r="BH13">
        <v>-6</v>
      </c>
      <c r="BI13">
        <v>0.7</v>
      </c>
      <c r="BJ13" s="16" t="s">
        <v>195</v>
      </c>
      <c r="BK13">
        <v>396</v>
      </c>
      <c r="BL13">
        <v>6.67</v>
      </c>
      <c r="BM13">
        <v>0.39</v>
      </c>
      <c r="BN13" s="16" t="s">
        <v>196</v>
      </c>
      <c r="BO13">
        <v>0.63</v>
      </c>
      <c r="BP13">
        <v>7.0000000000000001E-3</v>
      </c>
      <c r="BQ13" s="16" t="s">
        <v>197</v>
      </c>
      <c r="BR13">
        <v>2</v>
      </c>
      <c r="BS13">
        <v>0.1</v>
      </c>
      <c r="BT13" s="16" t="s">
        <v>159</v>
      </c>
      <c r="BU13">
        <v>0.84</v>
      </c>
      <c r="BV13">
        <v>1.6500000000000001E-2</v>
      </c>
      <c r="BW13" s="16" t="s">
        <v>198</v>
      </c>
      <c r="BX13">
        <v>1</v>
      </c>
      <c r="BY13">
        <v>0.05</v>
      </c>
      <c r="BZ13" s="16" t="s">
        <v>159</v>
      </c>
      <c r="CA13">
        <v>0.5</v>
      </c>
      <c r="CB13">
        <v>2.5000000000000001E-2</v>
      </c>
      <c r="CC13" s="16" t="s">
        <v>159</v>
      </c>
      <c r="CD13">
        <v>0.34</v>
      </c>
      <c r="CE13">
        <v>3.7999999999999999E-2</v>
      </c>
      <c r="CF13" s="16" t="s">
        <v>199</v>
      </c>
      <c r="CG13">
        <v>1.2999999999999999E-2</v>
      </c>
      <c r="CH13">
        <v>6.4999999999999997E-4</v>
      </c>
      <c r="CI13" s="16" t="s">
        <v>159</v>
      </c>
      <c r="CJ13" t="s">
        <v>176</v>
      </c>
      <c r="CK13" s="27">
        <v>30</v>
      </c>
      <c r="CL13" s="27">
        <v>9.4009599999999997E-4</v>
      </c>
      <c r="CM13" s="27">
        <v>40</v>
      </c>
      <c r="CN13" s="27">
        <v>25</v>
      </c>
    </row>
  </sheetData>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sqref="A1:A4"/>
    </sheetView>
  </sheetViews>
  <sheetFormatPr baseColWidth="10" defaultColWidth="11.1640625" defaultRowHeight="16" x14ac:dyDescent="0.2"/>
  <sheetData>
    <row r="1" spans="1:1" x14ac:dyDescent="0.2">
      <c r="A1" s="20" t="s">
        <v>0</v>
      </c>
    </row>
    <row r="2" spans="1:1" ht="17" x14ac:dyDescent="0.2">
      <c r="A2" s="21" t="s">
        <v>1</v>
      </c>
    </row>
    <row r="3" spans="1:1" x14ac:dyDescent="0.2">
      <c r="A3" s="20" t="s">
        <v>2</v>
      </c>
    </row>
    <row r="4" spans="1:1" x14ac:dyDescent="0.2">
      <c r="A4" s="20"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gas-exchange_Franks</vt:lpstr>
      <vt:lpstr>Input parameters and References</vt:lpstr>
    </vt:vector>
  </TitlesOfParts>
  <Company>Wesleyan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Royer, Dana</dc:creator>
  <cp:lastModifiedBy>Bärbel Hönisch</cp:lastModifiedBy>
  <dcterms:created xsi:type="dcterms:W3CDTF">2019-02-07T19:33:46Z</dcterms:created>
  <dcterms:modified xsi:type="dcterms:W3CDTF">2023-02-28T18:12:27Z</dcterms:modified>
</cp:coreProperties>
</file>