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royer\Desktop\"/>
    </mc:Choice>
  </mc:AlternateContent>
  <xr:revisionPtr revIDLastSave="0" documentId="13_ncr:1_{B785C44F-4AD8-47F3-824D-AA6FAE3D65FA}" xr6:coauthVersionLast="45" xr6:coauthVersionMax="45" xr10:uidLastSave="{00000000-0000-0000-0000-000000000000}"/>
  <bookViews>
    <workbookView xWindow="1035" yWindow="0" windowWidth="23775" windowHeight="15600" tabRatio="500" xr2:uid="{00000000-000D-0000-FFFF-FFFF00000000}"/>
  </bookViews>
  <sheets>
    <sheet name="stomatal ratio" sheetId="1" r:id="rId1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O5" i="1" l="1"/>
  <c r="J5" i="1" l="1"/>
  <c r="I5" i="1"/>
  <c r="D5" i="1"/>
  <c r="J4" i="1"/>
  <c r="I4" i="1"/>
  <c r="H4" i="1"/>
  <c r="D4" i="1"/>
  <c r="AT5" i="1" l="1"/>
  <c r="H5" i="1" s="1"/>
  <c r="AL5" i="1"/>
  <c r="AK5" i="1"/>
  <c r="V5" i="1"/>
  <c r="V4" i="1"/>
  <c r="F4" i="1" l="1"/>
  <c r="G4" i="1"/>
  <c r="E4" i="1"/>
  <c r="F5" i="1"/>
  <c r="E5" i="1"/>
  <c r="G5" i="1"/>
</calcChain>
</file>

<file path=xl/sharedStrings.xml><?xml version="1.0" encoding="utf-8"?>
<sst xmlns="http://schemas.openxmlformats.org/spreadsheetml/2006/main" count="129" uniqueCount="92">
  <si>
    <t>Microscope</t>
    <phoneticPr fontId="3" type="noConversion"/>
  </si>
  <si>
    <t>Modern</t>
    <phoneticPr fontId="3" type="noConversion"/>
  </si>
  <si>
    <t>Modern</t>
    <phoneticPr fontId="3" type="noConversion"/>
  </si>
  <si>
    <t>Number of leaves/leaf fragments</t>
    <phoneticPr fontId="3" type="noConversion"/>
  </si>
  <si>
    <t>NLE 
SD/SI 
value</t>
    <phoneticPr fontId="3" type="noConversion"/>
  </si>
  <si>
    <t>Standardization (Modern or Carboniferous)</t>
    <phoneticPr fontId="3" type="noConversion"/>
  </si>
  <si>
    <t>Remarks</t>
    <phoneticPr fontId="3" type="noConversion"/>
  </si>
  <si>
    <t>person who entered data</t>
  </si>
  <si>
    <t>doi</t>
  </si>
  <si>
    <t>Sample
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</si>
  <si>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</si>
  <si>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</si>
  <si>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</si>
  <si>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</si>
  <si>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</si>
  <si>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</si>
  <si>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</si>
  <si>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</si>
  <si>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</si>
  <si>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</si>
  <si>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</si>
  <si>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 sample</t>
  </si>
  <si>
    <t>Counting box dimensions
(µm × µm)</t>
  </si>
  <si>
    <t># Stomata</t>
  </si>
  <si>
    <t># Epidermal Cells</t>
  </si>
  <si>
    <t>Nearest 
Living
Equivalent
species</t>
  </si>
  <si>
    <t>What is the uncertainty range?</t>
  </si>
  <si>
    <t>Microscope</t>
    <phoneticPr fontId="3" type="noConversion"/>
  </si>
  <si>
    <t>Dana L. Royer</t>
  </si>
  <si>
    <t>10.5194/cp-12-241-2016</t>
  </si>
  <si>
    <t>MMJ1-001</t>
  </si>
  <si>
    <t>MMJ2-003, MMJ2-004, MMJ3-003a</t>
  </si>
  <si>
    <t>Podocarpaceae</t>
  </si>
  <si>
    <t>Nageia</t>
  </si>
  <si>
    <t>maomingensis</t>
  </si>
  <si>
    <t>Museum of Biology of Sun Yat-sen University (Guangzhou, China)</t>
  </si>
  <si>
    <t>Youganwo</t>
  </si>
  <si>
    <t>Huangniuling</t>
  </si>
  <si>
    <t>late Eocene</t>
  </si>
  <si>
    <t>400x</t>
  </si>
  <si>
    <t>Nageia motleyi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</si>
  <si>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</si>
  <si>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</si>
  <si>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</si>
  <si>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</si>
  <si>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</si>
  <si>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</si>
  <si>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stomata-SR</t>
  </si>
  <si>
    <t>Liu</t>
  </si>
  <si>
    <t>Liu, X. Y., Gao, Q., Han, M., and Jin, J. H., 2016, Estimates of late middle Eocene pCO2 based on stomatal density of modern and fossil Nageia leaves: Climate of the Past, v. 12, p. 241-253.</t>
  </si>
  <si>
    <t>CO2_ppm</t>
  </si>
  <si>
    <t>CO2_uncertainty_pos_ppm</t>
  </si>
  <si>
    <t>NA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</si>
  <si>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</si>
  <si>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</si>
  <si>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</si>
  <si>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</si>
  <si>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email of individual entering the data</t>
  </si>
  <si>
    <t>droyer@wesleyan.edu</t>
  </si>
  <si>
    <t>Paleo Latitude (decimal degree, south negative)</t>
  </si>
  <si>
    <t>Paleo Longitude (decimal degree, west negative)</t>
  </si>
  <si>
    <t>biostratigraphy (not described well in paper)</t>
  </si>
  <si>
    <t>Note: columns D-J autopopulate, enter data in all other columns</t>
  </si>
  <si>
    <t>type in your name</t>
  </si>
  <si>
    <t>Full citation (format is flexible)</t>
  </si>
  <si>
    <t>e.g., specimen or site number</t>
  </si>
  <si>
    <t>Where are the fossils?</t>
  </si>
  <si>
    <t>e.g., meter level</t>
  </si>
  <si>
    <t>Give as an absolute age (not +/-)</t>
  </si>
  <si>
    <t>important for sites constrained by biostrat</t>
  </si>
  <si>
    <t>Provide a general description; add an extra tab (worksheet) with detailed information, if needed (e.g., a detailed stratigraphic section)</t>
  </si>
  <si>
    <t>you probably don't know this</t>
  </si>
  <si>
    <t># of field-of-views</t>
  </si>
  <si>
    <t>are the counts based on microscope work done by the author, or by interpreting already published Figures / Plates?</t>
  </si>
  <si>
    <t>dimensions, area, or magnification</t>
  </si>
  <si>
    <t>If not a standard error, please note what the uncertaintiy is</t>
  </si>
  <si>
    <t>What is the calibration species?</t>
  </si>
  <si>
    <t>What is the SD or SI of the calibration species?</t>
  </si>
  <si>
    <t>Describe how the stomatal ratio was converted to CO2</t>
  </si>
  <si>
    <t>Give as an absolute value (not +/-)</t>
  </si>
  <si>
    <t>describe the rationale for columns AW and AX</t>
  </si>
  <si>
    <t>Anything else that can help us?</t>
  </si>
  <si>
    <t>Counting Method
(microscope, published image)</t>
  </si>
  <si>
    <r>
      <t>Mean stomatal density (n/mm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</si>
  <si>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SD error (+/- 1 s.e.m.)</t>
  </si>
  <si>
    <r>
      <t>Mean epidermal density (n/mm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</si>
  <si>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ED error (+/- 1 s.e.m.)</t>
  </si>
  <si>
    <t>Mean stomatal index (%)</t>
  </si>
  <si>
    <t>SI error (+/- 1 s.e.m.)</t>
  </si>
  <si>
    <r>
      <t>Reported mean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(ppm)</t>
    </r>
  </si>
  <si>
    <r>
      <t>Reported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Uncertainty (Low)</t>
    </r>
  </si>
  <si>
    <r>
      <t>Reported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Uncertainty (High)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</si>
</sst>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8"/>
      <name val="Verdana"/>
      <family val="2"/>
    </font>
    <font>
      <sz val="12"/>
      <color indexed="8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u/>
      <sz val="12"/>
      <color indexed="12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vertAlign val="subscript"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5" fillId="0" borderId="0" xfId="3" applyFont="1" applyAlignment="1" applyProtection="1"/>
    <xf numFmtId="0" fontId="4" fillId="0" borderId="0" xfId="0" applyFont="1"/>
    <xf numFmtId="0" fontId="4" fillId="0" borderId="0" xfId="0" applyFont="1" applyFill="1"/>
    <xf numFmtId="164" fontId="4" fillId="0" borderId="0" xfId="0" applyNumberFormat="1" applyFont="1"/>
    <xf numFmtId="1" fontId="4" fillId="0" borderId="0" xfId="0" applyNumberFormat="1" applyFont="1"/>
    <xf numFmtId="1" fontId="4" fillId="0" borderId="0" xfId="0" applyNumberFormat="1" applyFont="1" applyFill="1"/>
    <xf numFmtId="1" fontId="0" fillId="0" borderId="0" xfId="0" applyNumberFormat="1"/>
    <xf numFmtId="17" fontId="0" fillId="0" borderId="0" xfId="0" applyNumberFormat="1" applyFill="1" applyBorder="1" applyAlignment="1">
      <alignment horizontal="left"/>
    </xf>
    <xf numFmtId="0" fontId="12" fillId="0" borderId="0" xfId="0" applyFont="1" applyBorder="1" applyAlignment="1"/>
    <xf numFmtId="0" fontId="11" fillId="3" borderId="1" xfId="0" applyFont="1" applyFill="1" applyBorder="1" applyAlignment="1">
      <alignment horizontal="center" vertical="top" wrapText="1"/>
    </xf>
    <xf numFmtId="0" fontId="8" fillId="0" borderId="2" xfId="0" applyFont="1" applyBorder="1"/>
    <xf numFmtId="0" fontId="4" fillId="4" borderId="0" xfId="0" applyFont="1" applyFill="1"/>
    <xf numFmtId="0" fontId="4" fillId="4" borderId="3" xfId="0" applyFont="1" applyFill="1" applyBorder="1"/>
    <xf numFmtId="0" fontId="4" fillId="0" borderId="0" xfId="0" applyFont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4" fillId="4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6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vertical="top" wrapText="1"/>
    </xf>
    <xf numFmtId="0" fontId="6" fillId="0" borderId="0" xfId="0" applyFont="1"/>
  </cellXfs>
  <cellStyles count="4">
    <cellStyle name="Hyperlink" xfId="3" builtinId="8"/>
    <cellStyle name="Normal" xfId="0" builtinId="0"/>
    <cellStyle name="Normal 3" xfId="1" xr:uid="{00000000-0005-0000-0000-000002000000}"/>
    <cellStyle name="Normal 4" xfId="2" xr:uid="{00000000-0005-0000-0000-000003000000}"/>
  </cellStyles>
  <dxfs count="0"/>
  <tableStyles count="0" defaultTableStyle="TableStyleMedium9"/>
  <colors>
    <mruColors>
      <color rgb="FFCD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98/rstb.1998.0193" TargetMode="External"/><Relationship Id="rId1" Type="http://schemas.openxmlformats.org/officeDocument/2006/relationships/hyperlink" Target="https://doi.org/10.1098/rstb.1998.01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"/>
  <sheetViews>
    <sheetView tabSelected="1" topLeftCell="V1" workbookViewId="0">
      <pane ySplit="3" topLeftCell="A4" activePane="bottomLeft" state="frozen"/>
      <selection pane="bottomLeft" activeCell="Y4" sqref="Y4"/>
    </sheetView>
  </sheetViews>
  <sheetFormatPr defaultColWidth="8.875" defaultRowHeight="15.75" x14ac:dyDescent="0.25"/>
  <cols>
    <col min="1" max="10" width="8.875" style="2"/>
    <col min="11" max="11" width="18.125" style="2" customWidth="1"/>
    <col min="12" max="12" width="8.875" style="2"/>
    <col min="13" max="13" width="25.125" style="2" customWidth="1"/>
    <col min="14" max="14" width="8.875" style="2"/>
    <col min="15" max="15" width="11.625" style="2" customWidth="1"/>
    <col min="16" max="16" width="12.5" style="2" customWidth="1"/>
    <col min="17" max="17" width="15.125" style="2" customWidth="1"/>
    <col min="18" max="18" width="13" style="2" customWidth="1"/>
    <col min="19" max="19" width="13.5" style="2" customWidth="1"/>
    <col min="20" max="20" width="8.875" style="2"/>
    <col min="21" max="21" width="12" style="2" customWidth="1"/>
    <col min="22" max="22" width="8.875" style="2"/>
    <col min="23" max="23" width="10.875" style="2" customWidth="1"/>
    <col min="24" max="24" width="10.625" style="2" customWidth="1"/>
    <col min="25" max="25" width="8.875" style="2"/>
    <col min="26" max="27" width="10.625" style="2" customWidth="1"/>
    <col min="28" max="28" width="11.625" style="2" customWidth="1"/>
    <col min="29" max="31" width="11.125" style="2" customWidth="1"/>
    <col min="32" max="32" width="10.375" style="2" customWidth="1"/>
    <col min="33" max="33" width="10.875" style="2" customWidth="1"/>
    <col min="34" max="34" width="11" style="2" customWidth="1"/>
    <col min="35" max="42" width="8.875" style="2"/>
    <col min="43" max="43" width="16" style="2" customWidth="1"/>
    <col min="44" max="44" width="13" style="2" customWidth="1"/>
    <col min="45" max="45" width="16" style="2" customWidth="1"/>
    <col min="46" max="46" width="8.875" style="2"/>
    <col min="47" max="48" width="13" style="2" customWidth="1"/>
    <col min="49" max="49" width="12.375" style="2" customWidth="1"/>
    <col min="50" max="50" width="15.5" style="2" customWidth="1"/>
    <col min="51" max="16384" width="8.875" style="2"/>
  </cols>
  <sheetData>
    <row r="1" spans="1:50" x14ac:dyDescent="0.25">
      <c r="D1" s="11" t="s">
        <v>62</v>
      </c>
      <c r="E1" s="12"/>
      <c r="F1" s="12"/>
      <c r="G1" s="12"/>
      <c r="H1" s="12"/>
      <c r="I1" s="12"/>
      <c r="J1" s="13"/>
    </row>
    <row r="2" spans="1:50" s="14" customFormat="1" ht="62.45" customHeight="1" x14ac:dyDescent="0.25">
      <c r="D2" s="15"/>
      <c r="E2" s="16"/>
      <c r="F2" s="16"/>
      <c r="G2" s="16"/>
      <c r="H2" s="16"/>
      <c r="I2" s="16"/>
      <c r="J2" s="17"/>
      <c r="K2" s="18" t="s">
        <v>63</v>
      </c>
      <c r="L2" s="18"/>
      <c r="M2" s="18" t="s">
        <v>64</v>
      </c>
      <c r="N2" s="18"/>
      <c r="O2" s="18" t="s">
        <v>65</v>
      </c>
      <c r="P2" s="18"/>
      <c r="Q2" s="18"/>
      <c r="R2" s="18"/>
      <c r="S2" s="18" t="s">
        <v>66</v>
      </c>
      <c r="T2" s="18"/>
      <c r="U2" s="18" t="s">
        <v>67</v>
      </c>
      <c r="V2" s="18"/>
      <c r="W2" s="18" t="s">
        <v>68</v>
      </c>
      <c r="X2" s="18" t="s">
        <v>68</v>
      </c>
      <c r="Y2" s="18" t="s">
        <v>69</v>
      </c>
      <c r="Z2" s="18" t="s">
        <v>70</v>
      </c>
      <c r="AA2" s="18"/>
      <c r="AB2" s="18"/>
      <c r="AD2" s="18" t="s">
        <v>71</v>
      </c>
      <c r="AE2" s="18" t="s">
        <v>71</v>
      </c>
      <c r="AF2" s="18" t="s">
        <v>72</v>
      </c>
      <c r="AG2" s="18" t="s">
        <v>73</v>
      </c>
      <c r="AH2" s="18" t="s">
        <v>74</v>
      </c>
      <c r="AL2" s="14" t="s">
        <v>75</v>
      </c>
      <c r="AN2" s="14" t="s">
        <v>75</v>
      </c>
      <c r="AP2" s="14" t="s">
        <v>75</v>
      </c>
      <c r="AQ2" s="14" t="s">
        <v>76</v>
      </c>
      <c r="AR2" s="14" t="s">
        <v>77</v>
      </c>
      <c r="AS2" s="14" t="s">
        <v>78</v>
      </c>
      <c r="AU2" s="18" t="s">
        <v>79</v>
      </c>
      <c r="AV2" s="18" t="s">
        <v>79</v>
      </c>
      <c r="AW2" s="18" t="s">
        <v>80</v>
      </c>
      <c r="AX2" s="18" t="s">
        <v>81</v>
      </c>
    </row>
    <row r="3" spans="1:50" s="25" customFormat="1" ht="66" customHeight="1" x14ac:dyDescent="0.25">
      <c r="A3" s="19" t="s">
        <v>41</v>
      </c>
      <c r="B3" s="19" t="s">
        <v>42</v>
      </c>
      <c r="C3" s="19" t="s">
        <v>43</v>
      </c>
      <c r="D3" s="19" t="s">
        <v>8</v>
      </c>
      <c r="E3" s="19" t="s">
        <v>44</v>
      </c>
      <c r="F3" s="19" t="s">
        <v>45</v>
      </c>
      <c r="G3" s="19" t="s">
        <v>46</v>
      </c>
      <c r="H3" s="20" t="s">
        <v>50</v>
      </c>
      <c r="I3" s="20" t="s">
        <v>51</v>
      </c>
      <c r="J3" s="20" t="s">
        <v>53</v>
      </c>
      <c r="K3" s="21" t="s">
        <v>7</v>
      </c>
      <c r="L3" s="22" t="s">
        <v>57</v>
      </c>
      <c r="M3" s="21" t="s">
        <v>54</v>
      </c>
      <c r="N3" s="21" t="s">
        <v>8</v>
      </c>
      <c r="O3" s="21" t="s">
        <v>9</v>
      </c>
      <c r="P3" s="21" t="s">
        <v>10</v>
      </c>
      <c r="Q3" s="21" t="s">
        <v>11</v>
      </c>
      <c r="R3" s="21" t="s">
        <v>12</v>
      </c>
      <c r="S3" s="21" t="s">
        <v>13</v>
      </c>
      <c r="T3" s="21" t="s">
        <v>14</v>
      </c>
      <c r="U3" s="21" t="s">
        <v>15</v>
      </c>
      <c r="V3" s="21" t="s">
        <v>16</v>
      </c>
      <c r="W3" s="21" t="s">
        <v>17</v>
      </c>
      <c r="X3" s="21" t="s">
        <v>18</v>
      </c>
      <c r="Y3" s="21" t="s">
        <v>19</v>
      </c>
      <c r="Z3" s="21" t="s">
        <v>20</v>
      </c>
      <c r="AA3" s="21" t="s">
        <v>3</v>
      </c>
      <c r="AB3" s="21" t="s">
        <v>55</v>
      </c>
      <c r="AC3" s="21" t="s">
        <v>56</v>
      </c>
      <c r="AD3" s="10" t="s">
        <v>59</v>
      </c>
      <c r="AE3" s="10" t="s">
        <v>60</v>
      </c>
      <c r="AF3" s="23" t="s">
        <v>21</v>
      </c>
      <c r="AG3" s="23" t="s">
        <v>82</v>
      </c>
      <c r="AH3" s="23" t="s">
        <v>22</v>
      </c>
      <c r="AI3" s="23" t="s">
        <v>23</v>
      </c>
      <c r="AJ3" s="23" t="s">
        <v>24</v>
      </c>
      <c r="AK3" s="24" t="s">
        <v>83</v>
      </c>
      <c r="AL3" s="21" t="s">
        <v>84</v>
      </c>
      <c r="AM3" s="24" t="s">
        <v>85</v>
      </c>
      <c r="AN3" s="21" t="s">
        <v>86</v>
      </c>
      <c r="AO3" s="21" t="s">
        <v>87</v>
      </c>
      <c r="AP3" s="21" t="s">
        <v>88</v>
      </c>
      <c r="AQ3" s="21" t="s">
        <v>25</v>
      </c>
      <c r="AR3" s="21" t="s">
        <v>4</v>
      </c>
      <c r="AS3" s="21" t="s">
        <v>5</v>
      </c>
      <c r="AT3" s="23" t="s">
        <v>89</v>
      </c>
      <c r="AU3" s="23" t="s">
        <v>90</v>
      </c>
      <c r="AV3" s="23" t="s">
        <v>91</v>
      </c>
      <c r="AW3" s="21" t="s">
        <v>26</v>
      </c>
      <c r="AX3" s="21" t="s">
        <v>6</v>
      </c>
    </row>
    <row r="4" spans="1:50" x14ac:dyDescent="0.25">
      <c r="A4" t="s">
        <v>47</v>
      </c>
      <c r="B4" t="s">
        <v>48</v>
      </c>
      <c r="C4">
        <v>2016</v>
      </c>
      <c r="D4" t="str">
        <f>N4</f>
        <v>10.5194/cp-12-241-2016</v>
      </c>
      <c r="E4">
        <f>V4*1000</f>
        <v>40250</v>
      </c>
      <c r="F4">
        <f>(W4-V4)*1000</f>
        <v>1750</v>
      </c>
      <c r="G4">
        <f>(V4-X4)*1000</f>
        <v>1750</v>
      </c>
      <c r="H4" s="7">
        <f>AT4</f>
        <v>428.7</v>
      </c>
      <c r="I4">
        <f>AV4</f>
        <v>55</v>
      </c>
      <c r="J4">
        <f>AU4</f>
        <v>55</v>
      </c>
      <c r="K4" s="2" t="s">
        <v>28</v>
      </c>
      <c r="L4" s="8" t="s">
        <v>58</v>
      </c>
      <c r="M4" s="2" t="s">
        <v>49</v>
      </c>
      <c r="N4" s="1" t="s">
        <v>29</v>
      </c>
      <c r="O4" s="2" t="s">
        <v>30</v>
      </c>
      <c r="P4" s="2" t="s">
        <v>32</v>
      </c>
      <c r="Q4" s="2" t="s">
        <v>33</v>
      </c>
      <c r="R4" s="2" t="s">
        <v>34</v>
      </c>
      <c r="S4" s="2" t="s">
        <v>35</v>
      </c>
      <c r="T4" s="2" t="s">
        <v>36</v>
      </c>
      <c r="U4" s="2" t="s">
        <v>38</v>
      </c>
      <c r="V4" s="4">
        <f>AVERAGE(W4:X4)</f>
        <v>40.25</v>
      </c>
      <c r="W4" s="2">
        <v>42</v>
      </c>
      <c r="X4" s="2">
        <v>38.5</v>
      </c>
      <c r="Y4" s="2" t="s">
        <v>52</v>
      </c>
      <c r="Z4" s="2" t="s">
        <v>61</v>
      </c>
      <c r="AA4" s="2">
        <v>1</v>
      </c>
      <c r="AB4" s="2">
        <v>21.709199999999999</v>
      </c>
      <c r="AC4" s="2">
        <v>110.88872000000001</v>
      </c>
      <c r="AD4" s="9" t="s">
        <v>52</v>
      </c>
      <c r="AE4" s="9" t="s">
        <v>52</v>
      </c>
      <c r="AF4" s="2">
        <v>30</v>
      </c>
      <c r="AG4" s="2" t="s">
        <v>27</v>
      </c>
      <c r="AH4" s="2" t="s">
        <v>39</v>
      </c>
      <c r="AI4" s="2" t="s">
        <v>52</v>
      </c>
      <c r="AJ4" s="2" t="s">
        <v>52</v>
      </c>
      <c r="AK4" s="2">
        <v>50.1</v>
      </c>
      <c r="AL4" s="2">
        <v>2.2999999999999998</v>
      </c>
      <c r="AM4" s="2" t="s">
        <v>52</v>
      </c>
      <c r="AN4" s="2" t="s">
        <v>52</v>
      </c>
      <c r="AO4" s="2">
        <v>2.09</v>
      </c>
      <c r="AP4" s="2">
        <v>0.1</v>
      </c>
      <c r="AQ4" s="2" t="s">
        <v>40</v>
      </c>
      <c r="AR4" s="2" t="s">
        <v>52</v>
      </c>
      <c r="AS4" s="2" t="s">
        <v>2</v>
      </c>
      <c r="AT4" s="5">
        <v>428.7</v>
      </c>
      <c r="AU4" s="2">
        <v>55</v>
      </c>
      <c r="AV4" s="2">
        <v>55</v>
      </c>
      <c r="AW4" s="2" t="s">
        <v>52</v>
      </c>
      <c r="AX4" s="3"/>
    </row>
    <row r="5" spans="1:50" x14ac:dyDescent="0.25">
      <c r="A5" t="s">
        <v>47</v>
      </c>
      <c r="B5" t="s">
        <v>48</v>
      </c>
      <c r="C5">
        <v>2016</v>
      </c>
      <c r="D5" t="str">
        <f>N5</f>
        <v>10.5194/cp-12-241-2016</v>
      </c>
      <c r="E5">
        <f>V5*1000</f>
        <v>40250</v>
      </c>
      <c r="F5">
        <f>(W5-V5)*1000</f>
        <v>1750</v>
      </c>
      <c r="G5">
        <f>(V5-X5)*1000</f>
        <v>1750</v>
      </c>
      <c r="H5" s="7">
        <f>AT5</f>
        <v>573.76666666666665</v>
      </c>
      <c r="I5">
        <f>AV5</f>
        <v>55</v>
      </c>
      <c r="J5">
        <f>AU5</f>
        <v>55</v>
      </c>
      <c r="K5" s="2" t="s">
        <v>28</v>
      </c>
      <c r="L5" s="8" t="s">
        <v>58</v>
      </c>
      <c r="M5" s="2" t="s">
        <v>49</v>
      </c>
      <c r="N5" s="1" t="s">
        <v>29</v>
      </c>
      <c r="O5" s="2" t="s">
        <v>31</v>
      </c>
      <c r="P5" s="2" t="s">
        <v>32</v>
      </c>
      <c r="Q5" s="2" t="s">
        <v>33</v>
      </c>
      <c r="R5" s="2" t="s">
        <v>34</v>
      </c>
      <c r="S5" s="2" t="s">
        <v>35</v>
      </c>
      <c r="T5" s="2" t="s">
        <v>37</v>
      </c>
      <c r="U5" s="2" t="s">
        <v>38</v>
      </c>
      <c r="V5" s="4">
        <f>AVERAGE(W5:X5)</f>
        <v>40.25</v>
      </c>
      <c r="W5" s="2">
        <v>42</v>
      </c>
      <c r="X5" s="2">
        <v>38.5</v>
      </c>
      <c r="Y5" s="2" t="s">
        <v>52</v>
      </c>
      <c r="Z5" s="2" t="s">
        <v>61</v>
      </c>
      <c r="AA5" s="2">
        <v>3</v>
      </c>
      <c r="AB5" s="2">
        <v>21.709199999999999</v>
      </c>
      <c r="AC5" s="2">
        <v>110.88872000000001</v>
      </c>
      <c r="AD5" s="9" t="s">
        <v>52</v>
      </c>
      <c r="AE5" s="9" t="s">
        <v>52</v>
      </c>
      <c r="AF5" s="2">
        <v>30</v>
      </c>
      <c r="AG5" s="2" t="s">
        <v>0</v>
      </c>
      <c r="AH5" s="2" t="s">
        <v>39</v>
      </c>
      <c r="AI5" s="2" t="s">
        <v>52</v>
      </c>
      <c r="AJ5" s="2" t="s">
        <v>52</v>
      </c>
      <c r="AK5" s="4">
        <f>AVERAGE(46.5,44,45.6)</f>
        <v>45.366666666666667</v>
      </c>
      <c r="AL5" s="2">
        <f>AVERAGE(1.96,1.9,1.75)</f>
        <v>1.8699999999999999</v>
      </c>
      <c r="AM5" s="2" t="s">
        <v>52</v>
      </c>
      <c r="AN5" s="2" t="s">
        <v>52</v>
      </c>
      <c r="AO5" s="2">
        <f>AVERAGE(1.96,1.9,1.75)</f>
        <v>1.8699999999999999</v>
      </c>
      <c r="AP5" s="2">
        <v>0.1</v>
      </c>
      <c r="AQ5" s="2" t="s">
        <v>40</v>
      </c>
      <c r="AR5" s="2" t="s">
        <v>52</v>
      </c>
      <c r="AS5" s="2" t="s">
        <v>1</v>
      </c>
      <c r="AT5" s="6">
        <f>AVERAGE(557.6,576.5,587.2)</f>
        <v>573.76666666666665</v>
      </c>
      <c r="AU5" s="2">
        <v>55</v>
      </c>
      <c r="AV5" s="2">
        <v>55</v>
      </c>
      <c r="AW5" s="2" t="s">
        <v>52</v>
      </c>
      <c r="AX5" s="3"/>
    </row>
  </sheetData>
  <phoneticPr fontId="3" type="noConversion"/>
  <hyperlinks>
    <hyperlink ref="N4" r:id="rId1" display="10.1098/rstb.1998.0193" xr:uid="{00000000-0004-0000-0000-000000000000}"/>
    <hyperlink ref="N5" r:id="rId2" display="10.1098/rstb.1998.0193" xr:uid="{00000000-0004-0000-0000-000001000000}"/>
  </hyperlinks>
  <pageMargins left="0.7" right="0.7" top="0.75" bottom="0.75" header="0.3" footer="0.3"/>
  <pageSetup orientation="portrait" horizontalDpi="4294967292" verticalDpi="4294967292" r:id="rId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Dana Royer</cp:lastModifiedBy>
  <dcterms:created xsi:type="dcterms:W3CDTF">2017-12-08T17:22:00Z</dcterms:created>
  <dcterms:modified xsi:type="dcterms:W3CDTF">2022-06-26T18:53:23Z</dcterms:modified>
</cp:coreProperties>
</file>