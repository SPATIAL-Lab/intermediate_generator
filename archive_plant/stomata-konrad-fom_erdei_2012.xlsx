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September 2020/"/>
    </mc:Choice>
  </mc:AlternateContent>
  <xr:revisionPtr revIDLastSave="0" documentId="13_ncr:1_{D7A90DA0-90FC-B74A-9E22-7F89EE08B835}" xr6:coauthVersionLast="46" xr6:coauthVersionMax="46" xr10:uidLastSave="{00000000-0000-0000-0000-000000000000}"/>
  <bookViews>
    <workbookView xWindow="0" yWindow="600" windowWidth="28800" windowHeight="14240" tabRatio="500" xr2:uid="{00000000-000D-0000-FFFF-FFFF00000000}"/>
  </bookViews>
  <sheets>
    <sheet name="leaf gas-exchange_FOM" sheetId="1" r:id="rId1"/>
    <sheet name="Specifications and References" sheetId="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X6" i="1" l="1"/>
  <c r="BM6" i="1"/>
  <c r="AO6" i="1"/>
  <c r="Y6" i="1"/>
  <c r="Z6" i="1"/>
  <c r="BX5" i="1"/>
  <c r="BM5" i="1"/>
  <c r="AO5" i="1"/>
  <c r="Y5" i="1"/>
  <c r="Z5" i="1"/>
  <c r="BX4" i="1"/>
  <c r="BM4" i="1"/>
  <c r="AO4" i="1"/>
  <c r="Y4" i="1"/>
  <c r="Z4" i="1"/>
  <c r="H6" i="1" l="1"/>
  <c r="D6" i="1"/>
  <c r="E6" i="1"/>
  <c r="F6" i="1"/>
  <c r="G6" i="1"/>
  <c r="J6" i="1" l="1"/>
  <c r="I6" i="1"/>
  <c r="D5" i="1"/>
  <c r="E5" i="1"/>
  <c r="F5" i="1"/>
  <c r="G5" i="1"/>
  <c r="H5" i="1"/>
  <c r="I5" i="1"/>
  <c r="J5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<sst xmlns="http://schemas.openxmlformats.org/spreadsheetml/2006/main" count="206" uniqueCount="131">
  <si>
    <t>this spreadsheet is devised for the full optimality approach for stomatal conductance (FOM), see references below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</si>
  <si>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</si>
  <si>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</si>
  <si>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</si>
  <si>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</si>
  <si>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</si>
  <si>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</si>
  <si>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</si>
  <si>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</si>
  <si>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</si>
  <si>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</si>
  <si>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</si>
  <si>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</si>
  <si>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</si>
  <si>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</si>
  <si>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</si>
  <si>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</si>
  <si>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</si>
  <si>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</si>
  <si>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</si>
  <si>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r>
      <t>Sample name</t>
    </r>
    <r>
      <rPr>
        <vertAlign val="superscript"/>
        <sz val="12"/>
        <color theme="1"/>
        <rFont val="Calibri"/>
        <family val="2"/>
        <scheme val="minor"/>
      </rPr>
      <t>a</t>
    </r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</si>
  <si>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</si>
  <si>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</si>
  <si>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</si>
  <si>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</si>
  <si>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</si>
  <si>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</si>
  <si>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</si>
  <si>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</si>
  <si>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</si>
  <si>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</si>
  <si>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</si>
  <si>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</si>
  <si>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</si>
  <si>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</si>
  <si>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r>
      <t>Number of counts</t>
    </r>
    <r>
      <rPr>
        <vertAlign val="superscript"/>
        <sz val="11"/>
        <rFont val="Calibri"/>
        <family val="2"/>
        <scheme val="minor"/>
      </rPr>
      <t>a</t>
    </r>
  </si>
  <si>
    <r>
      <rPr>
        <sz val="12"/>
        <color theme="1"/>
        <rFont val="Calibri"/>
        <family val="2"/>
        <scheme val="minor"/>
      </rPr>
      <t>Stomatal density SD [1/mm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] </t>
    </r>
  </si>
  <si>
    <r>
      <t>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</si>
  <si>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Stomatal pore length SL [µm]</t>
  </si>
  <si>
    <t>Stomatal pore depth  [µm] (derived from guard cell width)</t>
  </si>
  <si>
    <t>Maximum aperture width [µm] derived from pore length/2</t>
  </si>
  <si>
    <r>
      <t>Thickness of assimilating tissue  [µm] own measurements or estimation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</si>
  <si>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r>
      <t>if own measurements: 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</si>
  <si>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Reference for thickness of assimilating tissue</t>
  </si>
  <si>
    <r>
      <t>Porosity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</si>
  <si>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porosity of leaf tissue</t>
  </si>
  <si>
    <r>
      <t>Tortuosity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</si>
  <si>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tortuosity of leaf tissue</t>
  </si>
  <si>
    <t>Leaf length estimated [mm]</t>
  </si>
  <si>
    <r>
      <rPr>
        <sz val="12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 [‰]</t>
    </r>
  </si>
  <si>
    <r>
      <rPr>
        <sz val="12"/>
        <color theme="1"/>
        <rFont val="Calibri"/>
        <family val="2"/>
        <scheme val="minor"/>
      </rPr>
      <t xml:space="preserve"> Reference for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</t>
    </r>
  </si>
  <si>
    <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plant material [‰]</t>
    </r>
  </si>
  <si>
    <r>
      <rPr>
        <sz val="12"/>
        <color theme="1"/>
        <rFont val="Calibri"/>
        <family val="2"/>
        <scheme val="minor"/>
      </rPr>
      <t xml:space="preserve">Ci/Ca from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[-]</t>
    </r>
  </si>
  <si>
    <r>
      <t>Mean q (=Vcmax) [µmol*m-2*s-1] range of values as derived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</si>
  <si>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t>Min q (=Vcmax) [µmol*m-2*s-1]</t>
  </si>
  <si>
    <t>Max q (=Vcmax) [µmol*m-2*s-1]</t>
  </si>
  <si>
    <t>References for q</t>
  </si>
  <si>
    <r>
      <rPr>
        <sz val="12"/>
        <color theme="1"/>
        <rFont val="Calibri"/>
        <family val="2"/>
        <scheme val="minor"/>
      </rPr>
      <t>Rd25 [µmol*m</t>
    </r>
    <r>
      <rPr>
        <vertAlign val="superscript"/>
        <sz val="11"/>
        <color rgb="FF000000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>*s</t>
    </r>
    <r>
      <rPr>
        <vertAlign val="superscript"/>
        <sz val="11"/>
        <color rgb="FF000000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] as derived from literature</t>
    </r>
    <r>
      <rPr>
        <vertAlign val="superscript"/>
        <sz val="12"/>
        <color theme="1"/>
        <rFont val="Calibri"/>
        <family val="2"/>
        <scheme val="minor"/>
      </rPr>
      <t>b</t>
    </r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</si>
  <si>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</si>
  <si>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</si>
  <si>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</si>
  <si>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</si>
  <si>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</si>
  <si>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</si>
  <si>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</si>
  <si>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</si>
  <si>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</si>
  <si>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</si>
  <si>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</si>
  <si>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</si>
  <si>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</si>
  <si>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</si>
  <si>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</si>
  <si>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</si>
  <si>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</si>
  <si>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microscope</t>
  </si>
  <si>
    <t>Evaluation of error margin:</t>
  </si>
  <si>
    <t xml:space="preserve">With the introduction of the model approach (Konrad et al. 2008, Journal of Theoretical Biology 253, 638-658), the most “critical“ input parameters were identified. </t>
  </si>
  <si>
    <t>These are</t>
  </si>
  <si>
    <t xml:space="preserve">relative humidity </t>
  </si>
  <si>
    <t>temperature T (of growing season))</t>
  </si>
  <si>
    <t>q</t>
  </si>
  <si>
    <t xml:space="preserve">Ci/Ca </t>
  </si>
  <si>
    <t>Environmental parameters are obtained by paleoclimate reconstruction, via coexistence approach and/or leaf margin analysis. The results are ranges.</t>
  </si>
  <si>
    <t>q is obtained by measurement and literature values of extant relatives of the fossil taxon. Here, also ranges are the result.</t>
  </si>
  <si>
    <t>Ci/Ca is calculated from carbon isotopes of the fossil material. The result is a mean with standard deviation.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</si>
  <si>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</si>
  <si>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</si>
  <si>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</si>
  <si>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</si>
  <si>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</si>
  <si>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</si>
  <si>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</si>
  <si>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</si>
  <si>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</si>
  <si>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</si>
  <si>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Wilfried Konrad</t>
  </si>
  <si>
    <t>wilfried.konrad@uni-tuebingen.de</t>
  </si>
  <si>
    <t xml:space="preserve">10.3906/yer-1005-29 </t>
  </si>
  <si>
    <t>Erdei, B., Utescher, T., Hably, L., Tamás, J., Roth-Nebelsick, A., and Grein, M., 2012, Early Oligocene continental climate of the Palaeogene Basin (Hungary and Slovenia) and the surrounding area: Turkish Journal of Earth Sciences, v. 21, p. 153-186.</t>
  </si>
  <si>
    <t>Budapest, H-boreholes (Hungary)</t>
  </si>
  <si>
    <t>Budapest, Nagybátony-Újlak (Hungary)</t>
  </si>
  <si>
    <t xml:space="preserve">Rovte (Slovenia) </t>
  </si>
  <si>
    <t>biostratigraphy, nannoplankton, NP23 zone</t>
  </si>
  <si>
    <t>Elaeocarpaceae</t>
  </si>
  <si>
    <t xml:space="preserve">Sloanea </t>
  </si>
  <si>
    <t xml:space="preserve">olmediaefolia </t>
  </si>
  <si>
    <t>5 leaves</t>
  </si>
  <si>
    <t>Grein et al., 2011 (10.1016/j.palaeo.2011.07.008)</t>
  </si>
  <si>
    <t>Dungan et al. (2003), Dungan &amp; Whitehead (2006), Gamage &amp; Jesson (2007) and Gamage (2010)</t>
  </si>
  <si>
    <t>Coexistence Approach</t>
  </si>
  <si>
    <t>3 leaves</t>
  </si>
  <si>
    <t>Erdei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</si>
  <si>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</si>
  <si>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</si>
  <si>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</si>
  <si>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</si>
  <si>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</si>
  <si>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</si>
  <si>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stomata-konrad-FOM</t>
  </si>
  <si>
    <t>Paleo Latitude (decimal degree, south negative)</t>
  </si>
  <si>
    <t>Paleo Longitude (decimal degree, west negative)</t>
  </si>
  <si>
    <t>Tard clay Formation</t>
  </si>
  <si>
    <t>NP23</t>
  </si>
  <si>
    <t>GTS2012</t>
  </si>
  <si>
    <t>300 x 300</t>
  </si>
  <si>
    <t>Grein M., Oehm C., Konrad W., Utescher T., Kunzmann L. &amp; Roth-Nebelsick A. (2013) Atmospheric CO2 from the late Oligocene to early Miocene based on photosynthesis data and fossil leaf characteristics. Palaeogeography, Palaeoclimatology, Palaeoecology, 374, 41-51</t>
  </si>
  <si>
    <t>Tipple et al., 2010 (10.1029/2009PA001851)</t>
  </si>
  <si>
    <t>Grein, M., Oehm, C., Konrad, W., Utescher, T., Kunzmann, L., and Roth-Nebelsick, A., 2013, Atmospheric CO2 from the late Oligocene to early Miocene based on photosynthesis data and</t>
  </si>
  <si>
    <t>Roth-Nebelsick A., Oehm C., Grein M., Utescher T., Kunzmann L., Friedrich J.-P. &amp; Konrad W. (2014) Stomatal density and index data of Platanus neptuni leaf fossils and their evaluation as a CO2 proxy for the Oligocene. Review of Palaeobotany and Palynology, 206, 1-9</t>
  </si>
  <si>
    <t>Socka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</si>
</sst>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Verdana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/>
    <xf numFmtId="0" fontId="4" fillId="0" borderId="0"/>
  </cellStyleXfs>
  <cellXfs count="43">
    <xf numFmtId="0" fontId="0" fillId="0" borderId="0" xfId="0"/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9" fillId="3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vertical="top" wrapText="1"/>
    </xf>
    <xf numFmtId="0" fontId="12" fillId="8" borderId="1" xfId="1" applyFont="1" applyFill="1" applyBorder="1" applyAlignment="1">
      <alignment vertical="top" wrapText="1"/>
    </xf>
    <xf numFmtId="0" fontId="12" fillId="9" borderId="1" xfId="1" applyFont="1" applyFill="1" applyBorder="1" applyAlignment="1">
      <alignment vertical="top" wrapText="1"/>
    </xf>
    <xf numFmtId="0" fontId="12" fillId="10" borderId="1" xfId="1" applyFont="1" applyFill="1" applyBorder="1" applyAlignment="1">
      <alignment vertical="top" wrapText="1"/>
    </xf>
    <xf numFmtId="0" fontId="12" fillId="11" borderId="1" xfId="1" applyFont="1" applyFill="1" applyBorder="1" applyAlignment="1">
      <alignment vertical="top" wrapText="1"/>
    </xf>
    <xf numFmtId="0" fontId="0" fillId="0" borderId="0" xfId="0" applyAlignment="1"/>
    <xf numFmtId="0" fontId="12" fillId="0" borderId="0" xfId="1" applyFont="1" applyBorder="1" applyAlignment="1"/>
    <xf numFmtId="0" fontId="12" fillId="0" borderId="0" xfId="1" applyNumberFormat="1" applyFont="1" applyBorder="1" applyAlignment="1"/>
    <xf numFmtId="0" fontId="0" fillId="0" borderId="0" xfId="0" applyNumberFormat="1"/>
    <xf numFmtId="0" fontId="5" fillId="0" borderId="1" xfId="0" applyNumberFormat="1" applyFont="1" applyBorder="1" applyAlignment="1">
      <alignment vertical="top"/>
    </xf>
    <xf numFmtId="0" fontId="0" fillId="4" borderId="1" xfId="0" applyNumberFormat="1" applyFont="1" applyFill="1" applyBorder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3" fillId="0" borderId="0" xfId="0" applyFont="1"/>
    <xf numFmtId="0" fontId="3" fillId="0" borderId="0" xfId="0" applyFont="1" applyAlignment="1"/>
    <xf numFmtId="164" fontId="15" fillId="0" borderId="0" xfId="0" applyNumberFormat="1" applyFont="1" applyAlignment="1"/>
    <xf numFmtId="164" fontId="16" fillId="0" borderId="0" xfId="0" applyNumberFormat="1" applyFont="1" applyAlignment="1"/>
    <xf numFmtId="0" fontId="16" fillId="0" borderId="0" xfId="0" applyNumberFormat="1" applyFont="1" applyAlignment="1"/>
    <xf numFmtId="1" fontId="16" fillId="0" borderId="0" xfId="0" applyNumberFormat="1" applyFont="1" applyAlignment="1"/>
    <xf numFmtId="0" fontId="2" fillId="0" borderId="0" xfId="0" applyFont="1" applyAlignment="1"/>
    <xf numFmtId="0" fontId="0" fillId="0" borderId="0" xfId="0" applyFont="1"/>
    <xf numFmtId="0" fontId="0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Border="1" applyAlignment="1"/>
    <xf numFmtId="0" fontId="17" fillId="4" borderId="1" xfId="0" applyFont="1" applyFill="1" applyBorder="1" applyAlignment="1">
      <alignment horizontal="center" vertical="top" wrapText="1"/>
    </xf>
    <xf numFmtId="164" fontId="1" fillId="0" borderId="0" xfId="0" applyNumberFormat="1" applyFont="1" applyAlignment="1"/>
    <xf numFmtId="2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Font="1" applyAlignment="1"/>
    <xf numFmtId="1" fontId="1" fillId="0" borderId="0" xfId="0" applyNumberFormat="1" applyFont="1" applyAlignment="1"/>
    <xf numFmtId="0" fontId="1" fillId="0" borderId="0" xfId="0" applyNumberFormat="1" applyFont="1" applyFill="1" applyBorder="1" applyAlignme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Z7"/>
  <sheetViews>
    <sheetView tabSelected="1" topLeftCell="N1" workbookViewId="0">
      <selection activeCell="Z11" sqref="Z11"/>
    </sheetView>
  </sheetViews>
  <sheetFormatPr baseColWidth="10" defaultColWidth="11" defaultRowHeight="16" x14ac:dyDescent="0.2"/>
  <cols>
    <col min="25" max="28" width="11" style="21"/>
  </cols>
  <sheetData>
    <row r="2" spans="1:78" s="4" customFormat="1" x14ac:dyDescent="0.2">
      <c r="K2" s="1" t="s">
        <v>6</v>
      </c>
      <c r="L2" s="2"/>
      <c r="M2" s="2"/>
      <c r="N2" s="2"/>
      <c r="O2" s="2" t="s">
        <v>7</v>
      </c>
      <c r="P2" s="2"/>
      <c r="Q2" s="2"/>
      <c r="R2" s="2"/>
      <c r="S2" s="2"/>
      <c r="T2" s="2" t="s">
        <v>8</v>
      </c>
      <c r="U2" s="2"/>
      <c r="V2" s="2"/>
      <c r="W2" s="2"/>
      <c r="X2" s="2"/>
      <c r="Y2" s="22"/>
      <c r="Z2" s="22"/>
      <c r="AA2" s="22"/>
      <c r="AB2" s="22"/>
      <c r="AC2" s="2" t="s">
        <v>9</v>
      </c>
      <c r="AD2" s="2"/>
      <c r="AE2" s="2"/>
      <c r="AF2" s="2" t="s">
        <v>10</v>
      </c>
      <c r="AG2" s="2"/>
      <c r="AH2" s="3"/>
      <c r="AI2" s="2" t="s">
        <v>11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/>
      <c r="BB2" s="2"/>
      <c r="BC2" s="2"/>
      <c r="BD2" s="2"/>
      <c r="BE2" s="2" t="s">
        <v>13</v>
      </c>
      <c r="BF2" s="2"/>
      <c r="BG2" s="2"/>
      <c r="BH2" s="2"/>
      <c r="BI2" s="2"/>
      <c r="BJ2" s="2"/>
      <c r="BK2" s="2" t="s">
        <v>14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15</v>
      </c>
      <c r="BY2" s="2"/>
      <c r="BZ2" s="2"/>
    </row>
    <row r="3" spans="1:78" ht="146" x14ac:dyDescent="0.2">
      <c r="A3" s="24" t="s">
        <v>89</v>
      </c>
      <c r="B3" s="24" t="s">
        <v>90</v>
      </c>
      <c r="C3" s="24" t="s">
        <v>91</v>
      </c>
      <c r="D3" s="24" t="s">
        <v>92</v>
      </c>
      <c r="E3" s="24" t="s">
        <v>93</v>
      </c>
      <c r="F3" s="24" t="s">
        <v>94</v>
      </c>
      <c r="G3" s="24" t="s">
        <v>95</v>
      </c>
      <c r="H3" s="24" t="s">
        <v>113</v>
      </c>
      <c r="I3" s="24" t="s">
        <v>114</v>
      </c>
      <c r="J3" s="24" t="s">
        <v>116</v>
      </c>
      <c r="K3" s="5" t="s">
        <v>16</v>
      </c>
      <c r="L3" s="5" t="s">
        <v>17</v>
      </c>
      <c r="M3" s="5" t="s">
        <v>18</v>
      </c>
      <c r="N3" s="5" t="s">
        <v>19</v>
      </c>
      <c r="O3" s="6" t="s">
        <v>20</v>
      </c>
      <c r="P3" s="6" t="s">
        <v>21</v>
      </c>
      <c r="Q3" s="7" t="s">
        <v>22</v>
      </c>
      <c r="R3" s="6" t="s">
        <v>23</v>
      </c>
      <c r="S3" s="8" t="s">
        <v>24</v>
      </c>
      <c r="T3" s="9" t="s">
        <v>25</v>
      </c>
      <c r="U3" s="9" t="s">
        <v>26</v>
      </c>
      <c r="V3" s="9" t="s">
        <v>27</v>
      </c>
      <c r="W3" s="9" t="s">
        <v>28</v>
      </c>
      <c r="X3" s="9" t="s">
        <v>29</v>
      </c>
      <c r="Y3" s="23" t="s">
        <v>117</v>
      </c>
      <c r="Z3" s="23" t="s">
        <v>118</v>
      </c>
      <c r="AA3" s="36" t="s">
        <v>120</v>
      </c>
      <c r="AB3" s="36" t="s">
        <v>121</v>
      </c>
      <c r="AC3" s="10" t="s">
        <v>30</v>
      </c>
      <c r="AD3" s="10" t="s">
        <v>31</v>
      </c>
      <c r="AE3" s="10" t="s">
        <v>32</v>
      </c>
      <c r="AF3" s="11" t="s">
        <v>33</v>
      </c>
      <c r="AG3" s="11" t="s">
        <v>34</v>
      </c>
      <c r="AH3" s="12" t="s">
        <v>35</v>
      </c>
      <c r="AI3" s="13" t="s">
        <v>36</v>
      </c>
      <c r="AJ3" s="13" t="s">
        <v>37</v>
      </c>
      <c r="AK3" s="13" t="s">
        <v>38</v>
      </c>
      <c r="AL3" s="13" t="s">
        <v>37</v>
      </c>
      <c r="AM3" s="13" t="s">
        <v>39</v>
      </c>
      <c r="AN3" s="13" t="s">
        <v>37</v>
      </c>
      <c r="AO3" s="13" t="s">
        <v>40</v>
      </c>
      <c r="AP3" s="13" t="s">
        <v>37</v>
      </c>
      <c r="AQ3" s="13" t="s">
        <v>41</v>
      </c>
      <c r="AR3" s="13" t="s">
        <v>42</v>
      </c>
      <c r="AS3" s="13" t="s">
        <v>43</v>
      </c>
      <c r="AT3" s="13" t="s">
        <v>44</v>
      </c>
      <c r="AU3" s="13" t="s">
        <v>45</v>
      </c>
      <c r="AV3" s="13" t="s">
        <v>46</v>
      </c>
      <c r="AW3" s="13" t="s">
        <v>47</v>
      </c>
      <c r="AX3" s="13" t="s">
        <v>48</v>
      </c>
      <c r="AY3" s="14" t="s">
        <v>49</v>
      </c>
      <c r="AZ3" s="14" t="s">
        <v>50</v>
      </c>
      <c r="BA3" s="14" t="s">
        <v>51</v>
      </c>
      <c r="BB3" s="14" t="s">
        <v>37</v>
      </c>
      <c r="BC3" s="14" t="s">
        <v>52</v>
      </c>
      <c r="BD3" s="14" t="s">
        <v>37</v>
      </c>
      <c r="BE3" s="15" t="s">
        <v>53</v>
      </c>
      <c r="BF3" s="15" t="s">
        <v>54</v>
      </c>
      <c r="BG3" s="15" t="s">
        <v>55</v>
      </c>
      <c r="BH3" s="15" t="s">
        <v>56</v>
      </c>
      <c r="BI3" s="15" t="s">
        <v>57</v>
      </c>
      <c r="BJ3" s="15" t="s">
        <v>58</v>
      </c>
      <c r="BK3" s="16" t="s">
        <v>59</v>
      </c>
      <c r="BL3" s="16" t="s">
        <v>60</v>
      </c>
      <c r="BM3" s="16" t="s">
        <v>61</v>
      </c>
      <c r="BN3" s="16" t="s">
        <v>62</v>
      </c>
      <c r="BO3" s="16" t="s">
        <v>63</v>
      </c>
      <c r="BP3" s="16" t="s">
        <v>64</v>
      </c>
      <c r="BQ3" s="16" t="s">
        <v>65</v>
      </c>
      <c r="BR3" s="16" t="s">
        <v>66</v>
      </c>
      <c r="BS3" s="16" t="s">
        <v>67</v>
      </c>
      <c r="BT3" s="16" t="s">
        <v>68</v>
      </c>
      <c r="BU3" s="16" t="s">
        <v>69</v>
      </c>
      <c r="BV3" s="16" t="s">
        <v>70</v>
      </c>
      <c r="BW3" s="16" t="s">
        <v>71</v>
      </c>
      <c r="BX3" s="17" t="s">
        <v>72</v>
      </c>
      <c r="BY3" s="17" t="s">
        <v>73</v>
      </c>
      <c r="BZ3" s="17" t="s">
        <v>74</v>
      </c>
    </row>
    <row r="4" spans="1:78" s="26" customFormat="1" x14ac:dyDescent="0.2">
      <c r="A4" s="31" t="s">
        <v>119</v>
      </c>
      <c r="B4" s="31" t="s">
        <v>112</v>
      </c>
      <c r="C4" s="26">
        <v>2012</v>
      </c>
      <c r="D4" s="26" t="str">
        <f>N4</f>
        <v xml:space="preserve">10.3906/yer-1005-29 </v>
      </c>
      <c r="E4" s="26">
        <f>T4*1000</f>
        <v>31000</v>
      </c>
      <c r="F4" s="26">
        <f>(U4-T4)*1000</f>
        <v>1000</v>
      </c>
      <c r="G4" s="26">
        <f>(T4-V4)*1000</f>
        <v>1000</v>
      </c>
      <c r="H4" s="26">
        <f>BX4</f>
        <v>845.5</v>
      </c>
      <c r="I4" s="26">
        <f>BZ4-BX4</f>
        <v>342.5</v>
      </c>
      <c r="J4" s="26">
        <f>BX4-BY4</f>
        <v>342.5</v>
      </c>
      <c r="K4" s="27" t="s">
        <v>96</v>
      </c>
      <c r="L4" s="27" t="s">
        <v>97</v>
      </c>
      <c r="M4" s="25" t="s">
        <v>99</v>
      </c>
      <c r="N4" s="27" t="s">
        <v>98</v>
      </c>
      <c r="O4" s="19" t="s">
        <v>115</v>
      </c>
      <c r="P4" s="19" t="s">
        <v>115</v>
      </c>
      <c r="Q4" s="37" t="s">
        <v>100</v>
      </c>
      <c r="R4" s="19" t="s">
        <v>122</v>
      </c>
      <c r="S4" s="19" t="s">
        <v>123</v>
      </c>
      <c r="T4" s="37">
        <v>31</v>
      </c>
      <c r="U4" s="37">
        <v>32</v>
      </c>
      <c r="V4" s="37">
        <v>30</v>
      </c>
      <c r="W4" s="19" t="s">
        <v>124</v>
      </c>
      <c r="X4" s="28" t="s">
        <v>103</v>
      </c>
      <c r="Y4" s="38">
        <f>47+32/60</f>
        <v>47.533333333333331</v>
      </c>
      <c r="Z4" s="38">
        <f>19+2/60</f>
        <v>19.033333333333335</v>
      </c>
      <c r="AA4" s="35" t="s">
        <v>115</v>
      </c>
      <c r="AB4" s="35" t="s">
        <v>115</v>
      </c>
      <c r="AC4" s="37" t="s">
        <v>104</v>
      </c>
      <c r="AD4" s="37" t="s">
        <v>105</v>
      </c>
      <c r="AE4" s="37" t="s">
        <v>106</v>
      </c>
      <c r="AF4" s="37" t="s">
        <v>75</v>
      </c>
      <c r="AG4" s="19" t="s">
        <v>125</v>
      </c>
      <c r="AH4" s="28" t="s">
        <v>107</v>
      </c>
      <c r="AI4" s="39">
        <v>646</v>
      </c>
      <c r="AJ4" s="19">
        <v>78.75</v>
      </c>
      <c r="AK4" s="39">
        <v>2.95</v>
      </c>
      <c r="AL4" s="19">
        <v>0.36</v>
      </c>
      <c r="AM4" s="39">
        <v>10</v>
      </c>
      <c r="AN4" s="19" t="s">
        <v>115</v>
      </c>
      <c r="AO4" s="39">
        <f>AK4/2</f>
        <v>1.4750000000000001</v>
      </c>
      <c r="AP4" s="19">
        <v>0.18</v>
      </c>
      <c r="AQ4" s="39">
        <v>56.9</v>
      </c>
      <c r="AR4" s="19">
        <v>4.4000000000000004</v>
      </c>
      <c r="AS4" s="19" t="s">
        <v>126</v>
      </c>
      <c r="AT4" s="40">
        <v>0.33</v>
      </c>
      <c r="AU4" s="37" t="s">
        <v>108</v>
      </c>
      <c r="AV4" s="40">
        <v>1.571</v>
      </c>
      <c r="AW4" s="37" t="s">
        <v>108</v>
      </c>
      <c r="AX4" s="19">
        <v>110</v>
      </c>
      <c r="AY4" s="19">
        <v>-6.2</v>
      </c>
      <c r="AZ4" s="19" t="s">
        <v>127</v>
      </c>
      <c r="BA4" s="19">
        <v>-28.54</v>
      </c>
      <c r="BB4" s="19">
        <v>1.08</v>
      </c>
      <c r="BC4" s="39">
        <v>0.81</v>
      </c>
      <c r="BD4" s="19">
        <v>1.4999999999999999E-2</v>
      </c>
      <c r="BE4" s="30">
        <v>35</v>
      </c>
      <c r="BF4" s="19">
        <v>30</v>
      </c>
      <c r="BG4" s="41">
        <v>40</v>
      </c>
      <c r="BH4" s="28" t="s">
        <v>109</v>
      </c>
      <c r="BI4" s="39">
        <v>1</v>
      </c>
      <c r="BJ4" s="19" t="s">
        <v>126</v>
      </c>
      <c r="BK4" s="29" t="s">
        <v>110</v>
      </c>
      <c r="BL4" s="19" t="s">
        <v>128</v>
      </c>
      <c r="BM4" s="39">
        <f>(BN4+BO4)/2</f>
        <v>18.350000000000001</v>
      </c>
      <c r="BN4" s="39">
        <v>15.6</v>
      </c>
      <c r="BO4" s="39">
        <v>21.1</v>
      </c>
      <c r="BP4" s="39" t="s">
        <v>110</v>
      </c>
      <c r="BQ4" s="19" t="s">
        <v>129</v>
      </c>
      <c r="BR4" s="39">
        <v>76.5</v>
      </c>
      <c r="BS4" s="39">
        <v>75</v>
      </c>
      <c r="BT4" s="39">
        <v>78</v>
      </c>
      <c r="BU4" s="39">
        <v>3</v>
      </c>
      <c r="BV4" s="19">
        <v>210000</v>
      </c>
      <c r="BW4" s="19" t="s">
        <v>115</v>
      </c>
      <c r="BX4" s="39">
        <f>(BY4+BZ4)/2</f>
        <v>845.5</v>
      </c>
      <c r="BY4" s="39">
        <v>503</v>
      </c>
      <c r="BZ4" s="39">
        <v>1188</v>
      </c>
    </row>
    <row r="5" spans="1:78" s="26" customFormat="1" x14ac:dyDescent="0.2">
      <c r="A5" s="31" t="s">
        <v>119</v>
      </c>
      <c r="B5" s="31" t="s">
        <v>112</v>
      </c>
      <c r="C5" s="26">
        <v>2012</v>
      </c>
      <c r="D5" s="26" t="str">
        <f t="shared" ref="D5:D6" si="0">N5</f>
        <v xml:space="preserve">10.3906/yer-1005-29 </v>
      </c>
      <c r="E5" s="26">
        <f t="shared" ref="E5:E6" si="1">T5*1000</f>
        <v>31000</v>
      </c>
      <c r="F5" s="26">
        <f t="shared" ref="F5:F6" si="2">(U5-T5)*1000</f>
        <v>1000</v>
      </c>
      <c r="G5" s="26">
        <f t="shared" ref="G5:G6" si="3">(T5-V5)*1000</f>
        <v>1000</v>
      </c>
      <c r="H5" s="26">
        <f t="shared" ref="H5:H6" si="4">BX5</f>
        <v>655.5</v>
      </c>
      <c r="I5" s="26">
        <f t="shared" ref="I5:I6" si="5">BZ5-BX5</f>
        <v>372.5</v>
      </c>
      <c r="J5" s="26">
        <f t="shared" ref="J5:J6" si="6">BX5-BY5</f>
        <v>372.5</v>
      </c>
      <c r="K5" s="27" t="s">
        <v>96</v>
      </c>
      <c r="L5" s="27" t="s">
        <v>97</v>
      </c>
      <c r="M5" s="25" t="s">
        <v>99</v>
      </c>
      <c r="N5" s="27" t="s">
        <v>98</v>
      </c>
      <c r="O5" s="19" t="s">
        <v>115</v>
      </c>
      <c r="P5" s="19" t="s">
        <v>115</v>
      </c>
      <c r="Q5" s="37" t="s">
        <v>101</v>
      </c>
      <c r="R5" s="19" t="s">
        <v>122</v>
      </c>
      <c r="S5" s="19" t="s">
        <v>123</v>
      </c>
      <c r="T5" s="37">
        <v>31</v>
      </c>
      <c r="U5" s="37">
        <v>32</v>
      </c>
      <c r="V5" s="37">
        <v>30</v>
      </c>
      <c r="W5" s="19" t="s">
        <v>124</v>
      </c>
      <c r="X5" s="37" t="s">
        <v>103</v>
      </c>
      <c r="Y5" s="38">
        <f>47+32/60</f>
        <v>47.533333333333331</v>
      </c>
      <c r="Z5" s="38">
        <f>19+2/60</f>
        <v>19.033333333333335</v>
      </c>
      <c r="AA5" s="35" t="s">
        <v>115</v>
      </c>
      <c r="AB5" s="35" t="s">
        <v>115</v>
      </c>
      <c r="AC5" s="37" t="s">
        <v>104</v>
      </c>
      <c r="AD5" s="37" t="s">
        <v>105</v>
      </c>
      <c r="AE5" s="37" t="s">
        <v>106</v>
      </c>
      <c r="AF5" s="37" t="s">
        <v>75</v>
      </c>
      <c r="AG5" s="19" t="s">
        <v>125</v>
      </c>
      <c r="AH5" s="28" t="s">
        <v>107</v>
      </c>
      <c r="AI5" s="42">
        <v>646</v>
      </c>
      <c r="AJ5" s="19">
        <v>106</v>
      </c>
      <c r="AK5" s="39">
        <v>3.31</v>
      </c>
      <c r="AL5" s="19">
        <v>0.84</v>
      </c>
      <c r="AM5" s="39">
        <v>10</v>
      </c>
      <c r="AN5" s="19" t="s">
        <v>115</v>
      </c>
      <c r="AO5" s="39">
        <f>AK6/2</f>
        <v>1.625</v>
      </c>
      <c r="AP5" s="19">
        <v>0.42</v>
      </c>
      <c r="AQ5" s="39">
        <v>56.9</v>
      </c>
      <c r="AR5" s="19">
        <v>4.4000000000000004</v>
      </c>
      <c r="AS5" s="19" t="s">
        <v>126</v>
      </c>
      <c r="AT5" s="40">
        <v>0.33</v>
      </c>
      <c r="AU5" s="28" t="s">
        <v>108</v>
      </c>
      <c r="AV5" s="40">
        <v>1.571</v>
      </c>
      <c r="AW5" s="37" t="s">
        <v>108</v>
      </c>
      <c r="AX5" s="19">
        <v>110</v>
      </c>
      <c r="AY5" s="19">
        <v>-6.2</v>
      </c>
      <c r="AZ5" s="19" t="s">
        <v>127</v>
      </c>
      <c r="BA5" s="19">
        <v>-28.54</v>
      </c>
      <c r="BB5" s="19">
        <v>1.08</v>
      </c>
      <c r="BC5" s="39">
        <v>0.81</v>
      </c>
      <c r="BD5" s="19">
        <v>1.4999999999999999E-2</v>
      </c>
      <c r="BE5" s="41">
        <v>35</v>
      </c>
      <c r="BF5" s="19">
        <v>30</v>
      </c>
      <c r="BG5" s="41">
        <v>40</v>
      </c>
      <c r="BH5" s="37" t="s">
        <v>109</v>
      </c>
      <c r="BI5" s="39">
        <v>1</v>
      </c>
      <c r="BJ5" s="19" t="s">
        <v>126</v>
      </c>
      <c r="BK5" s="39" t="s">
        <v>110</v>
      </c>
      <c r="BL5" s="19" t="s">
        <v>128</v>
      </c>
      <c r="BM5" s="39">
        <f>(BN5+BO5)/2</f>
        <v>18.899999999999999</v>
      </c>
      <c r="BN5" s="39">
        <v>15.6</v>
      </c>
      <c r="BO5" s="39">
        <v>22.2</v>
      </c>
      <c r="BP5" s="39" t="s">
        <v>110</v>
      </c>
      <c r="BQ5" s="19" t="s">
        <v>129</v>
      </c>
      <c r="BR5" s="39">
        <v>78</v>
      </c>
      <c r="BS5" s="39">
        <v>77</v>
      </c>
      <c r="BT5" s="39">
        <v>79</v>
      </c>
      <c r="BU5" s="39">
        <v>3</v>
      </c>
      <c r="BV5" s="19">
        <v>210000</v>
      </c>
      <c r="BW5" s="19" t="s">
        <v>115</v>
      </c>
      <c r="BX5" s="39">
        <f>(BY5+BZ5)/2</f>
        <v>655.5</v>
      </c>
      <c r="BY5" s="39">
        <v>283</v>
      </c>
      <c r="BZ5" s="39">
        <v>1028</v>
      </c>
    </row>
    <row r="6" spans="1:78" s="26" customFormat="1" x14ac:dyDescent="0.2">
      <c r="A6" s="31" t="s">
        <v>119</v>
      </c>
      <c r="B6" s="31" t="s">
        <v>112</v>
      </c>
      <c r="C6" s="26">
        <v>2012</v>
      </c>
      <c r="D6" s="26" t="str">
        <f t="shared" si="0"/>
        <v xml:space="preserve">10.3906/yer-1005-29 </v>
      </c>
      <c r="E6" s="26">
        <f t="shared" si="1"/>
        <v>31000</v>
      </c>
      <c r="F6" s="26">
        <f t="shared" si="2"/>
        <v>1000</v>
      </c>
      <c r="G6" s="26">
        <f t="shared" si="3"/>
        <v>1000</v>
      </c>
      <c r="H6" s="26">
        <f t="shared" si="4"/>
        <v>552.5</v>
      </c>
      <c r="I6" s="26">
        <f t="shared" si="5"/>
        <v>286.5</v>
      </c>
      <c r="J6" s="26">
        <f t="shared" si="6"/>
        <v>286.5</v>
      </c>
      <c r="K6" s="27" t="s">
        <v>96</v>
      </c>
      <c r="L6" s="27" t="s">
        <v>97</v>
      </c>
      <c r="M6" s="25" t="s">
        <v>99</v>
      </c>
      <c r="N6" s="27" t="s">
        <v>98</v>
      </c>
      <c r="O6" s="19" t="s">
        <v>115</v>
      </c>
      <c r="P6" s="19" t="s">
        <v>115</v>
      </c>
      <c r="Q6" s="37" t="s">
        <v>102</v>
      </c>
      <c r="R6" s="19" t="s">
        <v>130</v>
      </c>
      <c r="S6" s="19" t="s">
        <v>123</v>
      </c>
      <c r="T6" s="37">
        <v>31</v>
      </c>
      <c r="U6" s="37">
        <v>32</v>
      </c>
      <c r="V6" s="37">
        <v>30</v>
      </c>
      <c r="W6" s="19" t="s">
        <v>124</v>
      </c>
      <c r="X6" s="19" t="s">
        <v>103</v>
      </c>
      <c r="Y6" s="38">
        <f>45+59/60</f>
        <v>45.983333333333334</v>
      </c>
      <c r="Z6" s="38">
        <f>14+10/60</f>
        <v>14.166666666666666</v>
      </c>
      <c r="AA6" s="35" t="s">
        <v>115</v>
      </c>
      <c r="AB6" s="35" t="s">
        <v>115</v>
      </c>
      <c r="AC6" s="37" t="s">
        <v>104</v>
      </c>
      <c r="AD6" s="37" t="s">
        <v>105</v>
      </c>
      <c r="AE6" s="37" t="s">
        <v>106</v>
      </c>
      <c r="AF6" s="37" t="s">
        <v>75</v>
      </c>
      <c r="AG6" s="19" t="s">
        <v>125</v>
      </c>
      <c r="AH6" s="28" t="s">
        <v>111</v>
      </c>
      <c r="AI6" s="42">
        <v>700</v>
      </c>
      <c r="AJ6" s="19">
        <v>158</v>
      </c>
      <c r="AK6" s="39">
        <v>3.25</v>
      </c>
      <c r="AL6" s="19">
        <v>1.45</v>
      </c>
      <c r="AM6" s="39">
        <v>10</v>
      </c>
      <c r="AN6" s="19" t="s">
        <v>115</v>
      </c>
      <c r="AO6" s="39">
        <f>AK6/2</f>
        <v>1.625</v>
      </c>
      <c r="AP6" s="19">
        <v>0.72</v>
      </c>
      <c r="AQ6" s="39">
        <v>56.9</v>
      </c>
      <c r="AR6" s="19">
        <v>4.4000000000000004</v>
      </c>
      <c r="AS6" s="19" t="s">
        <v>126</v>
      </c>
      <c r="AT6" s="40">
        <v>0.33</v>
      </c>
      <c r="AU6" s="37" t="s">
        <v>108</v>
      </c>
      <c r="AV6" s="40">
        <v>1.571</v>
      </c>
      <c r="AW6" s="37" t="s">
        <v>108</v>
      </c>
      <c r="AX6" s="19">
        <v>110</v>
      </c>
      <c r="AY6" s="19">
        <v>-6.2</v>
      </c>
      <c r="AZ6" s="19" t="s">
        <v>127</v>
      </c>
      <c r="BA6" s="19">
        <v>-28.25</v>
      </c>
      <c r="BB6" s="19">
        <v>0.14000000000000001</v>
      </c>
      <c r="BC6" s="39">
        <v>0.81</v>
      </c>
      <c r="BD6" s="19">
        <v>1.4999999999999999E-2</v>
      </c>
      <c r="BE6" s="41">
        <v>35</v>
      </c>
      <c r="BF6" s="19">
        <v>30</v>
      </c>
      <c r="BG6" s="41">
        <v>40</v>
      </c>
      <c r="BH6" s="37" t="s">
        <v>109</v>
      </c>
      <c r="BI6" s="39">
        <v>1</v>
      </c>
      <c r="BJ6" s="19" t="s">
        <v>126</v>
      </c>
      <c r="BK6" s="39" t="s">
        <v>110</v>
      </c>
      <c r="BL6" s="19" t="s">
        <v>128</v>
      </c>
      <c r="BM6" s="39">
        <f>(BN6+BO6)/2</f>
        <v>18.899999999999999</v>
      </c>
      <c r="BN6" s="39">
        <v>16.5</v>
      </c>
      <c r="BO6" s="39">
        <v>21.3</v>
      </c>
      <c r="BP6" s="39" t="s">
        <v>110</v>
      </c>
      <c r="BQ6" s="19" t="s">
        <v>129</v>
      </c>
      <c r="BR6" s="39">
        <v>80</v>
      </c>
      <c r="BS6" s="39">
        <v>79</v>
      </c>
      <c r="BT6" s="39">
        <v>81</v>
      </c>
      <c r="BU6" s="39">
        <v>3</v>
      </c>
      <c r="BV6" s="19">
        <v>210000</v>
      </c>
      <c r="BW6" s="19" t="s">
        <v>115</v>
      </c>
      <c r="BX6" s="39">
        <f>(BY6+BZ6)/2</f>
        <v>552.5</v>
      </c>
      <c r="BY6" s="39">
        <v>266</v>
      </c>
      <c r="BZ6" s="39">
        <v>839</v>
      </c>
    </row>
    <row r="7" spans="1:78" s="18" customFormat="1" x14ac:dyDescent="0.2"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Z7" s="20"/>
      <c r="AA7" s="20"/>
      <c r="AB7" s="20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sqref="A1:A21"/>
    </sheetView>
  </sheetViews>
  <sheetFormatPr baseColWidth="10" defaultColWidth="11" defaultRowHeight="16" x14ac:dyDescent="0.2"/>
  <sheetData>
    <row r="1" spans="1:1" x14ac:dyDescent="0.2">
      <c r="A1" s="32" t="s">
        <v>0</v>
      </c>
    </row>
    <row r="2" spans="1:1" ht="19" x14ac:dyDescent="0.2">
      <c r="A2" s="32" t="s">
        <v>1</v>
      </c>
    </row>
    <row r="3" spans="1:1" ht="19" x14ac:dyDescent="0.2">
      <c r="A3" s="32" t="s">
        <v>2</v>
      </c>
    </row>
    <row r="4" spans="1:1" x14ac:dyDescent="0.2">
      <c r="A4" s="32"/>
    </row>
    <row r="5" spans="1:1" x14ac:dyDescent="0.2">
      <c r="A5" s="33" t="s">
        <v>76</v>
      </c>
    </row>
    <row r="6" spans="1:1" x14ac:dyDescent="0.2">
      <c r="A6" s="33" t="s">
        <v>77</v>
      </c>
    </row>
    <row r="7" spans="1:1" x14ac:dyDescent="0.2">
      <c r="A7" s="33" t="s">
        <v>88</v>
      </c>
    </row>
    <row r="8" spans="1:1" x14ac:dyDescent="0.2">
      <c r="A8" s="33" t="s">
        <v>78</v>
      </c>
    </row>
    <row r="9" spans="1:1" x14ac:dyDescent="0.2">
      <c r="A9" s="33" t="s">
        <v>79</v>
      </c>
    </row>
    <row r="10" spans="1:1" x14ac:dyDescent="0.2">
      <c r="A10" s="33" t="s">
        <v>80</v>
      </c>
    </row>
    <row r="11" spans="1:1" x14ac:dyDescent="0.2">
      <c r="A11" s="33" t="s">
        <v>81</v>
      </c>
    </row>
    <row r="12" spans="1:1" x14ac:dyDescent="0.2">
      <c r="A12" s="33" t="s">
        <v>82</v>
      </c>
    </row>
    <row r="13" spans="1:1" x14ac:dyDescent="0.2">
      <c r="A13" s="33" t="s">
        <v>83</v>
      </c>
    </row>
    <row r="14" spans="1:1" x14ac:dyDescent="0.2">
      <c r="A14" s="33" t="s">
        <v>84</v>
      </c>
    </row>
    <row r="15" spans="1:1" x14ac:dyDescent="0.2">
      <c r="A15" s="33" t="s">
        <v>85</v>
      </c>
    </row>
    <row r="16" spans="1:1" x14ac:dyDescent="0.2">
      <c r="A16" s="33" t="s">
        <v>86</v>
      </c>
    </row>
    <row r="17" spans="1:1" x14ac:dyDescent="0.2">
      <c r="A17" s="32" t="s">
        <v>87</v>
      </c>
    </row>
    <row r="19" spans="1:1" x14ac:dyDescent="0.2">
      <c r="A19" s="34" t="s">
        <v>3</v>
      </c>
    </row>
    <row r="20" spans="1:1" x14ac:dyDescent="0.2">
      <c r="A20" s="34" t="s">
        <v>4</v>
      </c>
    </row>
    <row r="21" spans="1:1" x14ac:dyDescent="0.2">
      <c r="A21" s="3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gas-exchange_FOM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2017-12-08T17:20:22Z</dcterms:created>
  <dcterms:modified xsi:type="dcterms:W3CDTF">2021-04-21T15:24:25Z</dcterms:modified>
</cp:coreProperties>
</file>