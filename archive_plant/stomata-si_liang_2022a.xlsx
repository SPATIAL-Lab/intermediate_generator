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A9C8A1B9-8B87-427A-A022-4733D2B8298C}" xr6:coauthVersionLast="45" xr6:coauthVersionMax="47" xr10:uidLastSave="{00000000-0000-0000-0000-000000000000}"/>
  <bookViews>
    <workbookView xWindow="1560" yWindow="1560" windowWidth="26970" windowHeight="13980" tabRatio="500" xr2:uid="{00000000-000D-0000-FFFF-FFFF00000000}"/>
  </bookViews>
  <sheets>
    <sheet name="stomatal index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W4" i="1"/>
  <c r="G4" i="1" l="1"/>
  <c r="H4" i="1" l="1"/>
  <c r="F4" i="1"/>
  <c r="E4" i="1"/>
  <c r="D4" i="1"/>
</calcChain>
</file>

<file path=xl/sharedStrings.xml><?xml version="1.0" encoding="utf-8"?>
<sst xmlns="http://schemas.openxmlformats.org/spreadsheetml/2006/main" count="84" uniqueCount="70">
  <si>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</si>
  <si>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</si>
  <si>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</si>
  <si>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</si>
  <si>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</si>
  <si>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</si>
  <si>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</si>
  <si>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</si>
  <si>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</si>
  <si>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</si>
  <si>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</si>
  <si>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</si>
  <si>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</si>
  <si>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</si>
  <si>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</si>
  <si>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</si>
  <si>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</si>
  <si>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</si>
  <si>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</si>
  <si>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</si>
  <si>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</si>
  <si>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</si>
  <si>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</si>
  <si>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</si>
  <si>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</si>
  <si>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</si>
  <si>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</si>
  <si>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</si>
  <si>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</si>
  <si>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</si>
  <si>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</si>
  <si>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</si>
  <si>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</si>
  <si>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</si>
  <si>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</si>
  <si>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median</t>
  </si>
  <si>
    <t>Beerling et al. (2009)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</si>
  <si>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</si>
  <si>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</si>
  <si>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</si>
  <si>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</si>
  <si>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</si>
  <si>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</si>
  <si>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</si>
  <si>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uncertainties following the resampling procedure in Beerling et al. (2009)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</si>
  <si>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</si>
  <si>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</si>
  <si>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</si>
  <si>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</si>
  <si>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</si>
  <si>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</si>
  <si>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</si>
  <si>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Reference of the data product</t>
  </si>
  <si>
    <t>Paleo Latitude (decimal degree, south negative)</t>
  </si>
  <si>
    <t>Paleo Longitude (decimal degree, west negative)</t>
  </si>
  <si>
    <t>Liang</t>
  </si>
  <si>
    <t>Dana Royer</t>
  </si>
  <si>
    <t>droyer@wesleyan.edu</t>
  </si>
  <si>
    <t>Liang, J., Leng, Q., Höfig, D. F., Niu, G., Wang, L., Royer, D. L., Burke, K., Xiao, L., Zhang, Y., and Yang, H., 2022, Constraining conifer physiological parameters in leaf gas-exchange models for ancient CO2 reconstruction: Global and Planetary Change, v. 209, 103737, doi: 10.1016/j.gloplacha.2022.103737.</t>
  </si>
  <si>
    <t>10.1016/j.gloplacha.2022.103737</t>
  </si>
  <si>
    <t>Cupressaceae</t>
  </si>
  <si>
    <t>Metasequoia</t>
  </si>
  <si>
    <t>sp.</t>
  </si>
  <si>
    <t>Bryant University</t>
  </si>
  <si>
    <t>Latah</t>
  </si>
  <si>
    <t>P-33 site</t>
  </si>
  <si>
    <t>zircon U-Pb, reported in Hofig et al., 2021, Geology, https://doi.org/10.1130/G48901.1</t>
  </si>
  <si>
    <t>Metasequoia glyptostroboides</t>
  </si>
  <si>
    <t>0.04 - 0.16 mm^2</t>
  </si>
  <si>
    <t>All of the stomatal indices are higher than what is captured in the present-day calibration; as a result, the percentiles computed with the Monte Carlo simulations are not 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</si>
</sst>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7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2" fillId="3" borderId="0" xfId="0" applyFont="1" applyFill="1" applyAlignment="1">
      <alignment vertical="top" wrapText="1"/>
    </xf>
    <xf numFmtId="1" fontId="0" fillId="0" borderId="0" xfId="0" applyNumberFormat="1" applyBorder="1" applyAlignment="1"/>
    <xf numFmtId="0" fontId="6" fillId="3" borderId="1" xfId="0" applyFont="1" applyFill="1" applyBorder="1" applyAlignment="1">
      <alignment horizontal="center" vertical="top" wrapText="1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0" fillId="0" borderId="0" xfId="0" applyNumberFormat="1" applyFill="1" applyBorder="1" applyAlignment="1">
      <alignment horizontal="right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33"/>
  <sheetViews>
    <sheetView tabSelected="1" workbookViewId="0">
      <selection activeCell="C4" sqref="C4"/>
    </sheetView>
  </sheetViews>
  <sheetFormatPr defaultColWidth="11" defaultRowHeight="15.75" x14ac:dyDescent="0.25"/>
  <cols>
    <col min="21" max="21" width="12.125" customWidth="1"/>
    <col min="23" max="23" width="12.625" customWidth="1"/>
    <col min="24" max="24" width="12.125" customWidth="1"/>
    <col min="26" max="26" width="12.625" customWidth="1"/>
    <col min="31" max="31" width="12.125" customWidth="1"/>
    <col min="32" max="32" width="12.5" customWidth="1"/>
    <col min="38" max="38" width="13.625" customWidth="1"/>
    <col min="49" max="49" width="16.125" customWidth="1"/>
  </cols>
  <sheetData>
    <row r="3" spans="1:50" s="4" customFormat="1" ht="94.5" x14ac:dyDescent="0.25">
      <c r="A3" s="7" t="s">
        <v>37</v>
      </c>
      <c r="B3" s="7" t="s">
        <v>38</v>
      </c>
      <c r="C3" s="7" t="s">
        <v>39</v>
      </c>
      <c r="D3" s="7" t="s">
        <v>2</v>
      </c>
      <c r="E3" s="7" t="s">
        <v>40</v>
      </c>
      <c r="F3" s="7" t="s">
        <v>41</v>
      </c>
      <c r="G3" s="7" t="s">
        <v>42</v>
      </c>
      <c r="H3" s="7" t="s">
        <v>45</v>
      </c>
      <c r="I3" s="7" t="s">
        <v>46</v>
      </c>
      <c r="J3" s="7" t="s">
        <v>48</v>
      </c>
      <c r="K3" s="2" t="s">
        <v>0</v>
      </c>
      <c r="L3" s="2" t="s">
        <v>51</v>
      </c>
      <c r="M3" s="2" t="s">
        <v>52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49</v>
      </c>
      <c r="AB3" s="2" t="s">
        <v>50</v>
      </c>
      <c r="AC3" s="9" t="s">
        <v>53</v>
      </c>
      <c r="AD3" s="9" t="s">
        <v>54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 x14ac:dyDescent="0.25">
      <c r="A4" s="1" t="s">
        <v>43</v>
      </c>
      <c r="B4" t="s">
        <v>55</v>
      </c>
      <c r="C4">
        <v>2022</v>
      </c>
      <c r="D4" s="1" t="str">
        <f>N4</f>
        <v>10.1016/j.gloplacha.2022.103737</v>
      </c>
      <c r="E4" s="1">
        <f>V4*1000</f>
        <v>15780</v>
      </c>
      <c r="F4" s="1">
        <f>(W4-V4)*1000</f>
        <v>38.999999999999702</v>
      </c>
      <c r="G4" s="1">
        <f>(V4-X4)*1000</f>
        <v>38.999999999999702</v>
      </c>
      <c r="H4" s="8">
        <f>AR4</f>
        <v>326</v>
      </c>
      <c r="I4" s="10" t="s">
        <v>47</v>
      </c>
      <c r="J4" s="10" t="s">
        <v>47</v>
      </c>
      <c r="K4" s="10" t="s">
        <v>56</v>
      </c>
      <c r="L4" s="11" t="s">
        <v>57</v>
      </c>
      <c r="M4" s="12" t="s">
        <v>58</v>
      </c>
      <c r="N4" t="s">
        <v>59</v>
      </c>
      <c r="O4" s="12" t="s">
        <v>47</v>
      </c>
      <c r="P4" t="s">
        <v>60</v>
      </c>
      <c r="Q4" t="s">
        <v>61</v>
      </c>
      <c r="R4" t="s">
        <v>62</v>
      </c>
      <c r="S4" t="s">
        <v>63</v>
      </c>
      <c r="T4" s="12" t="s">
        <v>64</v>
      </c>
      <c r="U4" s="12" t="s">
        <v>65</v>
      </c>
      <c r="V4" s="13">
        <v>15.78</v>
      </c>
      <c r="W4" s="13">
        <f>V4+0.039</f>
        <v>15.818999999999999</v>
      </c>
      <c r="X4" s="13">
        <f>V4-0.039</f>
        <v>15.741</v>
      </c>
      <c r="Y4" t="s">
        <v>47</v>
      </c>
      <c r="Z4" s="10" t="s">
        <v>66</v>
      </c>
      <c r="AA4" s="14">
        <v>47</v>
      </c>
      <c r="AB4" s="15">
        <v>-116.3</v>
      </c>
      <c r="AC4" s="10" t="s">
        <v>47</v>
      </c>
      <c r="AD4" s="10" t="s">
        <v>47</v>
      </c>
      <c r="AE4" s="6">
        <v>1</v>
      </c>
      <c r="AF4" s="6">
        <v>6</v>
      </c>
      <c r="AG4" s="5" t="s">
        <v>34</v>
      </c>
      <c r="AH4" t="s">
        <v>68</v>
      </c>
      <c r="AI4" s="10" t="s">
        <v>47</v>
      </c>
      <c r="AJ4" s="10" t="s">
        <v>47</v>
      </c>
      <c r="AK4" s="10" t="s">
        <v>47</v>
      </c>
      <c r="AL4" s="16">
        <v>15.77</v>
      </c>
      <c r="AM4" s="10" t="s">
        <v>47</v>
      </c>
      <c r="AN4" s="6">
        <v>2.81</v>
      </c>
      <c r="AO4" s="5" t="s">
        <v>67</v>
      </c>
      <c r="AP4" s="5" t="s">
        <v>36</v>
      </c>
      <c r="AQ4" s="5" t="s">
        <v>44</v>
      </c>
      <c r="AR4" s="6">
        <v>326</v>
      </c>
      <c r="AS4" s="5" t="s">
        <v>35</v>
      </c>
      <c r="AT4" s="5" t="s">
        <v>47</v>
      </c>
      <c r="AU4" s="5" t="s">
        <v>47</v>
      </c>
      <c r="AV4" s="5" t="s">
        <v>69</v>
      </c>
      <c r="AW4" s="5" t="s">
        <v>47</v>
      </c>
      <c r="AX4" s="5" t="s">
        <v>47</v>
      </c>
    </row>
    <row r="5" spans="1:50" x14ac:dyDescent="0.2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50" x14ac:dyDescent="0.25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 x14ac:dyDescent="0.25"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 x14ac:dyDescent="0.25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 x14ac:dyDescent="0.25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 x14ac:dyDescent="0.2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 x14ac:dyDescent="0.2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 x14ac:dyDescent="0.2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 x14ac:dyDescent="0.2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 x14ac:dyDescent="0.25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 x14ac:dyDescent="0.2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 x14ac:dyDescent="0.25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 x14ac:dyDescent="0.25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 x14ac:dyDescent="0.25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 x14ac:dyDescent="0.25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 x14ac:dyDescent="0.2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 x14ac:dyDescent="0.25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 x14ac:dyDescent="0.25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 x14ac:dyDescent="0.25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 x14ac:dyDescent="0.25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 x14ac:dyDescent="0.25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 x14ac:dyDescent="0.25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 x14ac:dyDescent="0.2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 x14ac:dyDescent="0.2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 x14ac:dyDescent="0.2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 x14ac:dyDescent="0.2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 x14ac:dyDescent="0.2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 x14ac:dyDescent="0.2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 x14ac:dyDescent="0.2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 x14ac:dyDescent="0.2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 x14ac:dyDescent="0.2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 x14ac:dyDescent="0.2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 x14ac:dyDescent="0.2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 x14ac:dyDescent="0.2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 x14ac:dyDescent="0.2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 x14ac:dyDescent="0.2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 x14ac:dyDescent="0.2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 x14ac:dyDescent="0.2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 x14ac:dyDescent="0.2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 x14ac:dyDescent="0.2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 x14ac:dyDescent="0.2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 x14ac:dyDescent="0.2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 x14ac:dyDescent="0.2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 x14ac:dyDescent="0.2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 x14ac:dyDescent="0.2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 x14ac:dyDescent="0.2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 x14ac:dyDescent="0.2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 x14ac:dyDescent="0.2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 x14ac:dyDescent="0.2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 x14ac:dyDescent="0.2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 x14ac:dyDescent="0.2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 x14ac:dyDescent="0.2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 x14ac:dyDescent="0.2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 x14ac:dyDescent="0.2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 x14ac:dyDescent="0.2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 x14ac:dyDescent="0.2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 x14ac:dyDescent="0.2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 x14ac:dyDescent="0.2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 x14ac:dyDescent="0.2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 x14ac:dyDescent="0.2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 x14ac:dyDescent="0.2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 x14ac:dyDescent="0.2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 x14ac:dyDescent="0.2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 x14ac:dyDescent="0.2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 x14ac:dyDescent="0.2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 x14ac:dyDescent="0.2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 x14ac:dyDescent="0.2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 x14ac:dyDescent="0.2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 x14ac:dyDescent="0.2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 x14ac:dyDescent="0.2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 x14ac:dyDescent="0.2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 x14ac:dyDescent="0.2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 x14ac:dyDescent="0.2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 x14ac:dyDescent="0.2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 x14ac:dyDescent="0.2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 x14ac:dyDescent="0.2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 x14ac:dyDescent="0.2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 x14ac:dyDescent="0.2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 x14ac:dyDescent="0.2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 x14ac:dyDescent="0.2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 x14ac:dyDescent="0.2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 x14ac:dyDescent="0.2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 x14ac:dyDescent="0.2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 x14ac:dyDescent="0.2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 x14ac:dyDescent="0.2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 x14ac:dyDescent="0.2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 x14ac:dyDescent="0.2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 x14ac:dyDescent="0.2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 x14ac:dyDescent="0.2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 x14ac:dyDescent="0.2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 x14ac:dyDescent="0.2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 x14ac:dyDescent="0.2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 x14ac:dyDescent="0.2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 x14ac:dyDescent="0.2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 x14ac:dyDescent="0.2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 x14ac:dyDescent="0.2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 x14ac:dyDescent="0.2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 x14ac:dyDescent="0.2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 x14ac:dyDescent="0.2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 x14ac:dyDescent="0.2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 x14ac:dyDescent="0.2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 x14ac:dyDescent="0.2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 x14ac:dyDescent="0.2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 x14ac:dyDescent="0.2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 x14ac:dyDescent="0.2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 x14ac:dyDescent="0.2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 x14ac:dyDescent="0.2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 x14ac:dyDescent="0.2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 x14ac:dyDescent="0.2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 x14ac:dyDescent="0.2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 x14ac:dyDescent="0.2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 x14ac:dyDescent="0.2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 x14ac:dyDescent="0.2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 x14ac:dyDescent="0.2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 x14ac:dyDescent="0.2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 x14ac:dyDescent="0.2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 x14ac:dyDescent="0.2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 x14ac:dyDescent="0.2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 x14ac:dyDescent="0.2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 x14ac:dyDescent="0.2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 x14ac:dyDescent="0.2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 x14ac:dyDescent="0.2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 x14ac:dyDescent="0.2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 x14ac:dyDescent="0.2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 x14ac:dyDescent="0.2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 x14ac:dyDescent="0.2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 x14ac:dyDescent="0.2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 x14ac:dyDescent="0.2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 x14ac:dyDescent="0.2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 x14ac:dyDescent="0.2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 x14ac:dyDescent="0.2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 x14ac:dyDescent="0.2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 x14ac:dyDescent="0.2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 x14ac:dyDescent="0.2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 x14ac:dyDescent="0.2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 x14ac:dyDescent="0.2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 x14ac:dyDescent="0.2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 x14ac:dyDescent="0.2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 x14ac:dyDescent="0.2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 x14ac:dyDescent="0.2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 x14ac:dyDescent="0.2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 x14ac:dyDescent="0.2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 x14ac:dyDescent="0.2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 x14ac:dyDescent="0.2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 x14ac:dyDescent="0.2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 x14ac:dyDescent="0.2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 x14ac:dyDescent="0.2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 x14ac:dyDescent="0.2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 x14ac:dyDescent="0.2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 x14ac:dyDescent="0.2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 x14ac:dyDescent="0.2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 x14ac:dyDescent="0.2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 x14ac:dyDescent="0.2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 x14ac:dyDescent="0.2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 x14ac:dyDescent="0.2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 x14ac:dyDescent="0.2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 x14ac:dyDescent="0.2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 x14ac:dyDescent="0.2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 x14ac:dyDescent="0.2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 x14ac:dyDescent="0.2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 x14ac:dyDescent="0.2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 x14ac:dyDescent="0.2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 x14ac:dyDescent="0.2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 x14ac:dyDescent="0.2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 x14ac:dyDescent="0.2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 x14ac:dyDescent="0.2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 x14ac:dyDescent="0.2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 x14ac:dyDescent="0.2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 x14ac:dyDescent="0.2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 x14ac:dyDescent="0.2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 x14ac:dyDescent="0.2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 x14ac:dyDescent="0.2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 x14ac:dyDescent="0.2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 x14ac:dyDescent="0.2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 x14ac:dyDescent="0.2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 x14ac:dyDescent="0.2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 x14ac:dyDescent="0.2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 x14ac:dyDescent="0.2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 x14ac:dyDescent="0.2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 x14ac:dyDescent="0.2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 x14ac:dyDescent="0.2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 x14ac:dyDescent="0.2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 x14ac:dyDescent="0.2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 x14ac:dyDescent="0.2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 x14ac:dyDescent="0.2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 x14ac:dyDescent="0.2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 x14ac:dyDescent="0.2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 x14ac:dyDescent="0.2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 x14ac:dyDescent="0.2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 x14ac:dyDescent="0.2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 x14ac:dyDescent="0.2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 x14ac:dyDescent="0.2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 x14ac:dyDescent="0.2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 x14ac:dyDescent="0.2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 x14ac:dyDescent="0.2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 x14ac:dyDescent="0.2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 x14ac:dyDescent="0.2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 x14ac:dyDescent="0.2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 x14ac:dyDescent="0.2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 x14ac:dyDescent="0.2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 x14ac:dyDescent="0.2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 x14ac:dyDescent="0.2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 x14ac:dyDescent="0.2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 x14ac:dyDescent="0.2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 x14ac:dyDescent="0.2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 x14ac:dyDescent="0.2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 x14ac:dyDescent="0.2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 x14ac:dyDescent="0.2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 x14ac:dyDescent="0.2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 x14ac:dyDescent="0.2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 x14ac:dyDescent="0.2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 x14ac:dyDescent="0.2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 x14ac:dyDescent="0.2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 x14ac:dyDescent="0.2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 x14ac:dyDescent="0.2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 x14ac:dyDescent="0.2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 x14ac:dyDescent="0.2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 x14ac:dyDescent="0.2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 x14ac:dyDescent="0.2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 x14ac:dyDescent="0.2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 x14ac:dyDescent="0.2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 x14ac:dyDescent="0.2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 x14ac:dyDescent="0.2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 x14ac:dyDescent="0.2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 x14ac:dyDescent="0.2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 x14ac:dyDescent="0.2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 x14ac:dyDescent="0.2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 x14ac:dyDescent="0.2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 x14ac:dyDescent="0.2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 x14ac:dyDescent="0.2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 x14ac:dyDescent="0.2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 x14ac:dyDescent="0.2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 x14ac:dyDescent="0.2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 x14ac:dyDescent="0.2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 x14ac:dyDescent="0.2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 x14ac:dyDescent="0.2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 x14ac:dyDescent="0.2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 x14ac:dyDescent="0.2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 x14ac:dyDescent="0.2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 x14ac:dyDescent="0.2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 x14ac:dyDescent="0.2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 x14ac:dyDescent="0.2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 x14ac:dyDescent="0.2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 x14ac:dyDescent="0.2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 x14ac:dyDescent="0.2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 x14ac:dyDescent="0.2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 x14ac:dyDescent="0.2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 x14ac:dyDescent="0.2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 x14ac:dyDescent="0.2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 x14ac:dyDescent="0.2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 x14ac:dyDescent="0.2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 x14ac:dyDescent="0.2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 x14ac:dyDescent="0.2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 x14ac:dyDescent="0.2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 x14ac:dyDescent="0.2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 x14ac:dyDescent="0.2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 x14ac:dyDescent="0.2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 x14ac:dyDescent="0.2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 x14ac:dyDescent="0.2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 x14ac:dyDescent="0.2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 x14ac:dyDescent="0.2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 x14ac:dyDescent="0.2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 x14ac:dyDescent="0.2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 x14ac:dyDescent="0.2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 x14ac:dyDescent="0.2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 x14ac:dyDescent="0.2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 x14ac:dyDescent="0.2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 x14ac:dyDescent="0.2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 x14ac:dyDescent="0.2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 x14ac:dyDescent="0.2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 x14ac:dyDescent="0.2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 x14ac:dyDescent="0.2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 x14ac:dyDescent="0.2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 x14ac:dyDescent="0.2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 x14ac:dyDescent="0.2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 x14ac:dyDescent="0.2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 x14ac:dyDescent="0.2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 x14ac:dyDescent="0.2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 x14ac:dyDescent="0.2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 x14ac:dyDescent="0.2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 x14ac:dyDescent="0.2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 x14ac:dyDescent="0.2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 x14ac:dyDescent="0.2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 x14ac:dyDescent="0.2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 x14ac:dyDescent="0.2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 x14ac:dyDescent="0.2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 x14ac:dyDescent="0.2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 x14ac:dyDescent="0.2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 x14ac:dyDescent="0.2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 x14ac:dyDescent="0.2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 x14ac:dyDescent="0.2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 x14ac:dyDescent="0.2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 x14ac:dyDescent="0.2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 x14ac:dyDescent="0.2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 x14ac:dyDescent="0.2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 x14ac:dyDescent="0.2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 x14ac:dyDescent="0.2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 x14ac:dyDescent="0.2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 x14ac:dyDescent="0.2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 x14ac:dyDescent="0.2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 x14ac:dyDescent="0.2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 x14ac:dyDescent="0.2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 x14ac:dyDescent="0.2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 x14ac:dyDescent="0.2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 x14ac:dyDescent="0.2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 x14ac:dyDescent="0.2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 x14ac:dyDescent="0.2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 x14ac:dyDescent="0.2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 x14ac:dyDescent="0.2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 x14ac:dyDescent="0.2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 x14ac:dyDescent="0.2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 x14ac:dyDescent="0.2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 x14ac:dyDescent="0.2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 x14ac:dyDescent="0.2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 x14ac:dyDescent="0.2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 x14ac:dyDescent="0.2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 x14ac:dyDescent="0.2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 x14ac:dyDescent="0.2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 x14ac:dyDescent="0.2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 x14ac:dyDescent="0.2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 x14ac:dyDescent="0.2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 x14ac:dyDescent="0.2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 x14ac:dyDescent="0.2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 x14ac:dyDescent="0.2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 x14ac:dyDescent="0.2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 x14ac:dyDescent="0.2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 x14ac:dyDescent="0.2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 x14ac:dyDescent="0.2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 x14ac:dyDescent="0.2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 x14ac:dyDescent="0.2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 x14ac:dyDescent="0.2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 x14ac:dyDescent="0.2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 x14ac:dyDescent="0.2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 x14ac:dyDescent="0.2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 x14ac:dyDescent="0.2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 x14ac:dyDescent="0.2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 x14ac:dyDescent="0.2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 x14ac:dyDescent="0.2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 x14ac:dyDescent="0.2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 x14ac:dyDescent="0.2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 x14ac:dyDescent="0.2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 x14ac:dyDescent="0.2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 x14ac:dyDescent="0.2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 x14ac:dyDescent="0.2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 x14ac:dyDescent="0.2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 x14ac:dyDescent="0.2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 x14ac:dyDescent="0.2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 x14ac:dyDescent="0.2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 x14ac:dyDescent="0.2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 x14ac:dyDescent="0.2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 x14ac:dyDescent="0.2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 x14ac:dyDescent="0.2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 x14ac:dyDescent="0.2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 x14ac:dyDescent="0.2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 x14ac:dyDescent="0.2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 x14ac:dyDescent="0.2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 x14ac:dyDescent="0.2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 x14ac:dyDescent="0.2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 x14ac:dyDescent="0.2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 x14ac:dyDescent="0.2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 x14ac:dyDescent="0.2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 x14ac:dyDescent="0.2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 x14ac:dyDescent="0.2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 x14ac:dyDescent="0.2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 x14ac:dyDescent="0.2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 x14ac:dyDescent="0.2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 x14ac:dyDescent="0.2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 x14ac:dyDescent="0.2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 x14ac:dyDescent="0.2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 x14ac:dyDescent="0.2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 x14ac:dyDescent="0.2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 x14ac:dyDescent="0.2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 x14ac:dyDescent="0.2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 x14ac:dyDescent="0.2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 x14ac:dyDescent="0.2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 x14ac:dyDescent="0.2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 x14ac:dyDescent="0.2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 x14ac:dyDescent="0.2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 x14ac:dyDescent="0.2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 x14ac:dyDescent="0.2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 x14ac:dyDescent="0.2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 x14ac:dyDescent="0.2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 x14ac:dyDescent="0.2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 x14ac:dyDescent="0.2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 x14ac:dyDescent="0.2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 x14ac:dyDescent="0.2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 x14ac:dyDescent="0.2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 x14ac:dyDescent="0.2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 x14ac:dyDescent="0.2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 x14ac:dyDescent="0.2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 x14ac:dyDescent="0.2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 x14ac:dyDescent="0.2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 x14ac:dyDescent="0.2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 x14ac:dyDescent="0.2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 x14ac:dyDescent="0.2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 x14ac:dyDescent="0.2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 x14ac:dyDescent="0.2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 x14ac:dyDescent="0.2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 x14ac:dyDescent="0.2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 x14ac:dyDescent="0.2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 x14ac:dyDescent="0.2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 x14ac:dyDescent="0.2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 x14ac:dyDescent="0.2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 x14ac:dyDescent="0.2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 x14ac:dyDescent="0.2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 x14ac:dyDescent="0.2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 x14ac:dyDescent="0.2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 x14ac:dyDescent="0.2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 x14ac:dyDescent="0.2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 x14ac:dyDescent="0.2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 x14ac:dyDescent="0.2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 x14ac:dyDescent="0.2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 x14ac:dyDescent="0.2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 x14ac:dyDescent="0.2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 x14ac:dyDescent="0.2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 x14ac:dyDescent="0.2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 x14ac:dyDescent="0.2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 x14ac:dyDescent="0.2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 x14ac:dyDescent="0.2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 x14ac:dyDescent="0.2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 x14ac:dyDescent="0.2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 x14ac:dyDescent="0.2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 x14ac:dyDescent="0.2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 x14ac:dyDescent="0.2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 x14ac:dyDescent="0.2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 x14ac:dyDescent="0.2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 x14ac:dyDescent="0.2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 x14ac:dyDescent="0.2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 x14ac:dyDescent="0.2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 x14ac:dyDescent="0.2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 x14ac:dyDescent="0.2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 x14ac:dyDescent="0.2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 x14ac:dyDescent="0.2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 x14ac:dyDescent="0.2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 x14ac:dyDescent="0.2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 x14ac:dyDescent="0.2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 x14ac:dyDescent="0.2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 x14ac:dyDescent="0.2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 x14ac:dyDescent="0.2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 x14ac:dyDescent="0.2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 x14ac:dyDescent="0.2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 x14ac:dyDescent="0.2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 x14ac:dyDescent="0.2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 x14ac:dyDescent="0.2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 x14ac:dyDescent="0.2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 x14ac:dyDescent="0.2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 x14ac:dyDescent="0.2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 x14ac:dyDescent="0.2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 x14ac:dyDescent="0.2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 x14ac:dyDescent="0.2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 x14ac:dyDescent="0.2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 x14ac:dyDescent="0.2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 x14ac:dyDescent="0.2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 x14ac:dyDescent="0.2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 x14ac:dyDescent="0.2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 x14ac:dyDescent="0.2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 x14ac:dyDescent="0.2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 x14ac:dyDescent="0.2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 x14ac:dyDescent="0.2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 x14ac:dyDescent="0.2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 x14ac:dyDescent="0.2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 x14ac:dyDescent="0.2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 x14ac:dyDescent="0.2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 x14ac:dyDescent="0.2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 x14ac:dyDescent="0.2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 x14ac:dyDescent="0.2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 x14ac:dyDescent="0.2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 x14ac:dyDescent="0.2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 x14ac:dyDescent="0.2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 x14ac:dyDescent="0.2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 x14ac:dyDescent="0.2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 x14ac:dyDescent="0.2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 x14ac:dyDescent="0.2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 x14ac:dyDescent="0.2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 x14ac:dyDescent="0.2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 x14ac:dyDescent="0.2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 x14ac:dyDescent="0.2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 x14ac:dyDescent="0.2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 x14ac:dyDescent="0.2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 x14ac:dyDescent="0.2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 x14ac:dyDescent="0.2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 x14ac:dyDescent="0.2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 x14ac:dyDescent="0.2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 x14ac:dyDescent="0.2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 x14ac:dyDescent="0.2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 x14ac:dyDescent="0.2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 x14ac:dyDescent="0.2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 x14ac:dyDescent="0.2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 x14ac:dyDescent="0.2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 x14ac:dyDescent="0.2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 x14ac:dyDescent="0.2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 x14ac:dyDescent="0.2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 x14ac:dyDescent="0.2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 x14ac:dyDescent="0.2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 x14ac:dyDescent="0.2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 x14ac:dyDescent="0.2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 x14ac:dyDescent="0.2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 x14ac:dyDescent="0.2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 x14ac:dyDescent="0.2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 x14ac:dyDescent="0.2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 x14ac:dyDescent="0.2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 x14ac:dyDescent="0.2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 x14ac:dyDescent="0.2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 x14ac:dyDescent="0.2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 x14ac:dyDescent="0.2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 x14ac:dyDescent="0.2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 x14ac:dyDescent="0.2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 x14ac:dyDescent="0.2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 x14ac:dyDescent="0.2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 x14ac:dyDescent="0.2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 x14ac:dyDescent="0.2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 x14ac:dyDescent="0.2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 x14ac:dyDescent="0.2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 x14ac:dyDescent="0.2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 x14ac:dyDescent="0.2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 x14ac:dyDescent="0.2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 x14ac:dyDescent="0.2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 x14ac:dyDescent="0.2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 x14ac:dyDescent="0.2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 x14ac:dyDescent="0.2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 x14ac:dyDescent="0.2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 x14ac:dyDescent="0.2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 x14ac:dyDescent="0.2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 x14ac:dyDescent="0.2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 x14ac:dyDescent="0.2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 x14ac:dyDescent="0.2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 x14ac:dyDescent="0.2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 x14ac:dyDescent="0.2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 x14ac:dyDescent="0.2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 x14ac:dyDescent="0.2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 x14ac:dyDescent="0.2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 x14ac:dyDescent="0.2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 x14ac:dyDescent="0.2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 x14ac:dyDescent="0.2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 x14ac:dyDescent="0.2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 x14ac:dyDescent="0.2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 x14ac:dyDescent="0.2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 x14ac:dyDescent="0.2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 x14ac:dyDescent="0.2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 x14ac:dyDescent="0.2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 x14ac:dyDescent="0.2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 x14ac:dyDescent="0.2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 x14ac:dyDescent="0.2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 x14ac:dyDescent="0.2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 x14ac:dyDescent="0.2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 x14ac:dyDescent="0.2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 x14ac:dyDescent="0.2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 x14ac:dyDescent="0.2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 x14ac:dyDescent="0.2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 x14ac:dyDescent="0.2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 x14ac:dyDescent="0.2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 x14ac:dyDescent="0.2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 x14ac:dyDescent="0.2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 x14ac:dyDescent="0.2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 x14ac:dyDescent="0.2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 x14ac:dyDescent="0.2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 x14ac:dyDescent="0.2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 x14ac:dyDescent="0.2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 x14ac:dyDescent="0.2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 x14ac:dyDescent="0.2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 x14ac:dyDescent="0.2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 x14ac:dyDescent="0.2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 x14ac:dyDescent="0.2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 x14ac:dyDescent="0.2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 x14ac:dyDescent="0.2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 x14ac:dyDescent="0.2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 x14ac:dyDescent="0.2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 x14ac:dyDescent="0.2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 x14ac:dyDescent="0.2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 x14ac:dyDescent="0.2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 x14ac:dyDescent="0.2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 x14ac:dyDescent="0.2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 x14ac:dyDescent="0.2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 x14ac:dyDescent="0.2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 x14ac:dyDescent="0.2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 x14ac:dyDescent="0.2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 x14ac:dyDescent="0.2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 x14ac:dyDescent="0.2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 x14ac:dyDescent="0.2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 x14ac:dyDescent="0.2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 x14ac:dyDescent="0.2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 x14ac:dyDescent="0.2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 x14ac:dyDescent="0.2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 x14ac:dyDescent="0.2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 x14ac:dyDescent="0.2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 x14ac:dyDescent="0.2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 x14ac:dyDescent="0.2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 x14ac:dyDescent="0.2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 x14ac:dyDescent="0.2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 x14ac:dyDescent="0.2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 x14ac:dyDescent="0.2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 x14ac:dyDescent="0.2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 x14ac:dyDescent="0.2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 x14ac:dyDescent="0.2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 x14ac:dyDescent="0.2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 x14ac:dyDescent="0.2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 x14ac:dyDescent="0.2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 x14ac:dyDescent="0.2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 x14ac:dyDescent="0.2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 x14ac:dyDescent="0.2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 x14ac:dyDescent="0.2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 x14ac:dyDescent="0.2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 x14ac:dyDescent="0.2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 x14ac:dyDescent="0.2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 x14ac:dyDescent="0.2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 x14ac:dyDescent="0.2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 x14ac:dyDescent="0.2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 x14ac:dyDescent="0.2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 x14ac:dyDescent="0.2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 x14ac:dyDescent="0.2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 x14ac:dyDescent="0.2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 x14ac:dyDescent="0.2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 x14ac:dyDescent="0.2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 x14ac:dyDescent="0.2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 x14ac:dyDescent="0.2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 x14ac:dyDescent="0.2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 x14ac:dyDescent="0.2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 x14ac:dyDescent="0.2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 x14ac:dyDescent="0.2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 x14ac:dyDescent="0.2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 x14ac:dyDescent="0.2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 x14ac:dyDescent="0.2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 x14ac:dyDescent="0.2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 x14ac:dyDescent="0.2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 x14ac:dyDescent="0.2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 x14ac:dyDescent="0.2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 x14ac:dyDescent="0.2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 x14ac:dyDescent="0.2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 x14ac:dyDescent="0.2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 x14ac:dyDescent="0.2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 x14ac:dyDescent="0.2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 x14ac:dyDescent="0.2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 x14ac:dyDescent="0.2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 x14ac:dyDescent="0.2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 x14ac:dyDescent="0.2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 x14ac:dyDescent="0.2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 x14ac:dyDescent="0.2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 x14ac:dyDescent="0.2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 x14ac:dyDescent="0.2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 x14ac:dyDescent="0.2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 x14ac:dyDescent="0.2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 x14ac:dyDescent="0.2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 x14ac:dyDescent="0.2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 x14ac:dyDescent="0.2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 x14ac:dyDescent="0.2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 x14ac:dyDescent="0.2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 x14ac:dyDescent="0.2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 x14ac:dyDescent="0.2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 x14ac:dyDescent="0.2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 x14ac:dyDescent="0.2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 x14ac:dyDescent="0.2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 x14ac:dyDescent="0.2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 x14ac:dyDescent="0.2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 x14ac:dyDescent="0.2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 x14ac:dyDescent="0.2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 x14ac:dyDescent="0.2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 x14ac:dyDescent="0.2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 x14ac:dyDescent="0.2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 x14ac:dyDescent="0.2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 x14ac:dyDescent="0.2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 x14ac:dyDescent="0.2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 x14ac:dyDescent="0.2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 x14ac:dyDescent="0.2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 x14ac:dyDescent="0.2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 x14ac:dyDescent="0.2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 x14ac:dyDescent="0.2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 x14ac:dyDescent="0.2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 x14ac:dyDescent="0.2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 x14ac:dyDescent="0.2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 x14ac:dyDescent="0.2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 x14ac:dyDescent="0.2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 x14ac:dyDescent="0.2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 x14ac:dyDescent="0.2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 x14ac:dyDescent="0.2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 x14ac:dyDescent="0.2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 x14ac:dyDescent="0.2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 x14ac:dyDescent="0.2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 x14ac:dyDescent="0.2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 x14ac:dyDescent="0.2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 x14ac:dyDescent="0.2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 x14ac:dyDescent="0.2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 x14ac:dyDescent="0.2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 x14ac:dyDescent="0.2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 x14ac:dyDescent="0.2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 x14ac:dyDescent="0.2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 x14ac:dyDescent="0.2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 x14ac:dyDescent="0.2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 x14ac:dyDescent="0.2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 x14ac:dyDescent="0.2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 x14ac:dyDescent="0.2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 x14ac:dyDescent="0.2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 x14ac:dyDescent="0.2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 x14ac:dyDescent="0.2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 x14ac:dyDescent="0.2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 x14ac:dyDescent="0.2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 x14ac:dyDescent="0.2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 x14ac:dyDescent="0.2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 x14ac:dyDescent="0.2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 x14ac:dyDescent="0.2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 x14ac:dyDescent="0.2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 x14ac:dyDescent="0.2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 x14ac:dyDescent="0.2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 x14ac:dyDescent="0.2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 x14ac:dyDescent="0.2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 x14ac:dyDescent="0.2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 x14ac:dyDescent="0.2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 x14ac:dyDescent="0.2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 x14ac:dyDescent="0.2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 x14ac:dyDescent="0.2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 x14ac:dyDescent="0.2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 x14ac:dyDescent="0.2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 x14ac:dyDescent="0.2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 x14ac:dyDescent="0.2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 x14ac:dyDescent="0.2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 x14ac:dyDescent="0.2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 x14ac:dyDescent="0.2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 x14ac:dyDescent="0.2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 x14ac:dyDescent="0.2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 x14ac:dyDescent="0.2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 x14ac:dyDescent="0.2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 x14ac:dyDescent="0.2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 x14ac:dyDescent="0.2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 x14ac:dyDescent="0.2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 x14ac:dyDescent="0.2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 x14ac:dyDescent="0.2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 x14ac:dyDescent="0.2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 x14ac:dyDescent="0.2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 x14ac:dyDescent="0.2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 x14ac:dyDescent="0.2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 x14ac:dyDescent="0.2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 x14ac:dyDescent="0.2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 x14ac:dyDescent="0.2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 x14ac:dyDescent="0.2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 x14ac:dyDescent="0.2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 x14ac:dyDescent="0.2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 x14ac:dyDescent="0.2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 x14ac:dyDescent="0.2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 x14ac:dyDescent="0.2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 x14ac:dyDescent="0.2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 x14ac:dyDescent="0.2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 x14ac:dyDescent="0.2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 x14ac:dyDescent="0.2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 x14ac:dyDescent="0.2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 x14ac:dyDescent="0.2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 x14ac:dyDescent="0.2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 x14ac:dyDescent="0.2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 x14ac:dyDescent="0.2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 x14ac:dyDescent="0.2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 x14ac:dyDescent="0.2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 x14ac:dyDescent="0.2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 x14ac:dyDescent="0.2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 x14ac:dyDescent="0.2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 x14ac:dyDescent="0.2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 x14ac:dyDescent="0.2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 x14ac:dyDescent="0.2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 x14ac:dyDescent="0.2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 x14ac:dyDescent="0.2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 x14ac:dyDescent="0.2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 x14ac:dyDescent="0.2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 x14ac:dyDescent="0.2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 x14ac:dyDescent="0.2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 x14ac:dyDescent="0.2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 x14ac:dyDescent="0.2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Dana Royer</cp:lastModifiedBy>
  <dcterms:created xsi:type="dcterms:W3CDTF">2017-12-08T17:21:04Z</dcterms:created>
  <dcterms:modified xsi:type="dcterms:W3CDTF">2022-03-29T21:39:14Z</dcterms:modified>
</cp:coreProperties>
</file>