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f gas-exchange_FOM" sheetId="1" r:id="rId4"/>
    <sheet state="visible" name="Specifications and References" sheetId="2" r:id="rId5"/>
  </sheets>
  <definedNames/>
  <calcPr/>
  <extLst>
    <ext uri="GoogleSheetsCustomDataVersion2">
      <go:sheetsCustomData xmlns:go="http://customooxmlschemas.google.com/" r:id="rId6" roundtripDataChecksum="YsTOQCC23jUek6k7FtSauGmmomMiwZdsu4GDXsSS9AI="/>
    </ext>
  </extLst>
</workbook>
</file>

<file path=xl/sharedStrings.xml><?xml version="1.0" encoding="utf-8"?>
<sst xmlns="http://schemas.openxmlformats.org/spreadsheetml/2006/main" count="465" uniqueCount="163">
  <si>
    <t>REFERENCE AND CONTACT INFORMATION</t>
  </si>
  <si>
    <t>SAMPLE IDENTIFICATION</t>
  </si>
  <si>
    <t>AGE CONSTRAINTS</t>
  </si>
  <si>
    <t>TAXONOMIC INFORMATION</t>
  </si>
  <si>
    <t>COUNTING</t>
  </si>
  <si>
    <t>STOMATAL AND OTHER ANATOMICAL DATA</t>
  </si>
  <si>
    <t>d13C DATA</t>
  </si>
  <si>
    <t>BIOCHEMICAL DATA FROM EXTANT RELATIVE SPECIES</t>
  </si>
  <si>
    <t>PALEOCLIMATE INPUT DATA</t>
  </si>
  <si>
    <t>RESULTS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</si>
  <si>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</si>
  <si>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</si>
  <si>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</si>
  <si>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</si>
  <si>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</si>
  <si>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</si>
  <si>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</si>
  <si>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t>CO2_ppm</t>
  </si>
  <si>
    <t>CO2_uncertainty_pos_ppm</t>
  </si>
  <si>
    <t>CO2_uncertainty_neg_ppm</t>
  </si>
  <si>
    <t>Name of individual entering the data</t>
  </si>
  <si>
    <t>Contact email</t>
  </si>
  <si>
    <t>Reference of the data product</t>
  </si>
  <si>
    <t>DOI link to reference</t>
  </si>
  <si>
    <r>
      <rPr>
        <rFont val="Calibri"/>
        <color theme="1"/>
        <sz val="12.0"/>
      </rPr>
      <t>Sample name</t>
    </r>
    <r>
      <rPr>
        <rFont val="Calibri"/>
        <color theme="1"/>
        <sz val="12.0"/>
        <vertAlign val="superscript"/>
      </rPr>
      <t>a</t>
    </r>
  </si>
  <si>
    <t>Sample
Repository</t>
  </si>
  <si>
    <t>Location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</si>
  <si>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</si>
  <si>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</si>
  <si>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</si>
  <si>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</si>
  <si>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</si>
  <si>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</si>
  <si>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</si>
  <si>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</si>
  <si>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</si>
  <si>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</si>
  <si>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</si>
  <si>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Family</t>
  </si>
  <si>
    <t>Genus</t>
  </si>
  <si>
    <t>Species</t>
  </si>
  <si>
    <t>Counting Method
(Image, microscope)</t>
  </si>
  <si>
    <t>Counting box dimensions
(µm × µm)</t>
  </si>
  <si>
    <r>
      <rPr>
        <rFont val="Calibri"/>
        <color theme="1"/>
        <sz val="12.0"/>
      </rPr>
      <t>Number of counts</t>
    </r>
    <r>
      <rPr>
        <rFont val="Calibri"/>
        <color theme="1"/>
        <sz val="12.0"/>
        <vertAlign val="superscript"/>
      </rPr>
      <t>a</t>
    </r>
  </si>
  <si>
    <r>
      <rPr>
        <rFont val="Calibri"/>
        <color theme="1"/>
        <sz val="12.0"/>
      </rPr>
      <t>Stomatal density SD [1/mm</t>
    </r>
    <r>
      <rPr>
        <rFont val="Calibri"/>
        <color rgb="FF000000"/>
        <sz val="12.0"/>
        <vertAlign val="superscript"/>
      </rPr>
      <t>2</t>
    </r>
    <r>
      <rPr>
        <rFont val="Calibri"/>
        <color theme="1"/>
        <sz val="12.0"/>
      </rPr>
      <t xml:space="preserve">] </t>
    </r>
  </si>
  <si>
    <r>
      <rPr>
        <rFont val="Calibri"/>
        <color rgb="FF000000"/>
        <sz val="12.0"/>
      </rPr>
      <t>2</t>
    </r>
    <r>
      <rPr>
        <rFont val="Symbol"/>
        <color rgb="FF000000"/>
        <sz val="12.0"/>
      </rPr>
      <t xml:space="preserve">s </t>
    </r>
    <r>
      <rPr>
        <rFont val="Calibri"/>
        <color rgb="FF000000"/>
        <sz val="12.0"/>
      </rPr>
      <t>uncertainty</t>
    </r>
  </si>
  <si>
    <t>Stomatal pore length SL [µm]</t>
  </si>
  <si>
    <r>
      <rPr>
        <rFont val="Calibri"/>
        <color rgb="FF000000"/>
        <sz val="12.0"/>
      </rPr>
      <t>2</t>
    </r>
    <r>
      <rPr>
        <rFont val="Symbol"/>
        <color rgb="FF000000"/>
        <sz val="12.0"/>
      </rPr>
      <t xml:space="preserve">s </t>
    </r>
    <r>
      <rPr>
        <rFont val="Calibri"/>
        <color rgb="FF000000"/>
        <sz val="12.0"/>
      </rPr>
      <t>uncertainty</t>
    </r>
  </si>
  <si>
    <t>Stomatal pore depth  [µm] (derived from guard cell width)</t>
  </si>
  <si>
    <r>
      <rPr>
        <rFont val="Calibri"/>
        <color rgb="FF000000"/>
        <sz val="12.0"/>
      </rPr>
      <t>2</t>
    </r>
    <r>
      <rPr>
        <rFont val="Symbol"/>
        <color rgb="FF000000"/>
        <sz val="12.0"/>
      </rPr>
      <t xml:space="preserve">s </t>
    </r>
    <r>
      <rPr>
        <rFont val="Calibri"/>
        <color rgb="FF000000"/>
        <sz val="12.0"/>
      </rPr>
      <t>uncertainty</t>
    </r>
  </si>
  <si>
    <t>Maximum aperture width [µm] derived from pore length/2</t>
  </si>
  <si>
    <r>
      <rPr>
        <rFont val="Calibri"/>
        <color rgb="FF000000"/>
        <sz val="12.0"/>
      </rPr>
      <t>2</t>
    </r>
    <r>
      <rPr>
        <rFont val="Symbol"/>
        <color rgb="FF000000"/>
        <sz val="12.0"/>
      </rPr>
      <t xml:space="preserve">s </t>
    </r>
    <r>
      <rPr>
        <rFont val="Calibri"/>
        <color rgb="FF000000"/>
        <sz val="12.0"/>
      </rPr>
      <t>uncertainty</t>
    </r>
  </si>
  <si>
    <r>
      <rPr>
        <rFont val="Calibri"/>
        <color rgb="FF000000"/>
        <sz val="12.0"/>
      </rPr>
      <t>Thickness of assimilating tissue  [µm] own measurements or estimation from literature</t>
    </r>
    <r>
      <rPr>
        <rFont val="Calibri"/>
        <color rgb="FF000000"/>
        <sz val="12.0"/>
        <vertAlign val="superscript"/>
      </rPr>
      <t>b</t>
    </r>
  </si>
  <si>
    <r>
      <rPr>
        <rFont val="Calibri"/>
        <color rgb="FF000000"/>
        <sz val="12.0"/>
      </rPr>
      <t>if own measurements: 2</t>
    </r>
    <r>
      <rPr>
        <rFont val="Symbol"/>
        <color rgb="FF000000"/>
        <sz val="12.0"/>
      </rPr>
      <t xml:space="preserve">s </t>
    </r>
    <r>
      <rPr>
        <rFont val="Calibri"/>
        <color rgb="FF000000"/>
        <sz val="12.0"/>
      </rPr>
      <t>uncertainty</t>
    </r>
  </si>
  <si>
    <t>Reference for thickness of assimilating tissue</t>
  </si>
  <si>
    <r>
      <rPr>
        <rFont val="Calibri"/>
        <color rgb="FF000000"/>
        <sz val="12.0"/>
      </rPr>
      <t>Porosity of leaf tissue</t>
    </r>
    <r>
      <rPr>
        <rFont val="Calibri"/>
        <color rgb="FF000000"/>
        <sz val="12.0"/>
        <vertAlign val="superscript"/>
      </rPr>
      <t xml:space="preserve">b </t>
    </r>
    <r>
      <rPr>
        <rFont val="Calibri"/>
        <color rgb="FF000000"/>
        <sz val="12.0"/>
      </rPr>
      <t>[-]</t>
    </r>
  </si>
  <si>
    <t>Reference for porosity of leaf tissue</t>
  </si>
  <si>
    <r>
      <rPr>
        <rFont val="Calibri"/>
        <color rgb="FF000000"/>
        <sz val="12.0"/>
      </rPr>
      <t>Tortuosity of leaf tissue</t>
    </r>
    <r>
      <rPr>
        <rFont val="Calibri"/>
        <color rgb="FF000000"/>
        <sz val="12.0"/>
        <vertAlign val="superscript"/>
      </rPr>
      <t xml:space="preserve">b </t>
    </r>
    <r>
      <rPr>
        <rFont val="Calibri"/>
        <color rgb="FF000000"/>
        <sz val="12.0"/>
      </rPr>
      <t>[-]</t>
    </r>
  </si>
  <si>
    <t>Reference for tortuosity of leaf tissue</t>
  </si>
  <si>
    <t>Leaf length estimated [mm]</t>
  </si>
  <si>
    <r>
      <rPr>
        <rFont val="Calibri"/>
        <color theme="1"/>
        <sz val="12.0"/>
      </rPr>
      <t xml:space="preserve"> </t>
    </r>
    <r>
      <rPr>
        <rFont val="Calibri"/>
        <color rgb="FF000000"/>
        <sz val="12.0"/>
      </rPr>
      <t>d</t>
    </r>
    <r>
      <rPr>
        <rFont val="Calibri"/>
        <color rgb="FF000000"/>
        <sz val="12.0"/>
        <vertAlign val="superscript"/>
      </rPr>
      <t>13</t>
    </r>
    <r>
      <rPr>
        <rFont val="Calibri"/>
        <color theme="1"/>
        <sz val="12.0"/>
      </rPr>
      <t>C atmosphere calculated from marine carbonates [‰]</t>
    </r>
  </si>
  <si>
    <r>
      <rPr>
        <rFont val="Calibri"/>
        <color theme="1"/>
        <sz val="12.0"/>
      </rPr>
      <t xml:space="preserve"> Reference for </t>
    </r>
    <r>
      <rPr>
        <rFont val="Calibri"/>
        <color rgb="FF000000"/>
        <sz val="12.0"/>
      </rPr>
      <t>d</t>
    </r>
    <r>
      <rPr>
        <rFont val="Calibri"/>
        <color rgb="FF000000"/>
        <sz val="12.0"/>
        <vertAlign val="superscript"/>
      </rPr>
      <t>13</t>
    </r>
    <r>
      <rPr>
        <rFont val="Calibri"/>
        <color theme="1"/>
        <sz val="12.0"/>
      </rPr>
      <t>C atmosphere calculated from marine carbonates</t>
    </r>
  </si>
  <si>
    <r>
      <rPr>
        <rFont val="Calibri"/>
        <color rgb="FF000000"/>
        <sz val="12.0"/>
      </rPr>
      <t>d</t>
    </r>
    <r>
      <rPr>
        <rFont val="Calibri"/>
        <color rgb="FF000000"/>
        <sz val="12.0"/>
        <vertAlign val="superscript"/>
      </rPr>
      <t>13</t>
    </r>
    <r>
      <rPr>
        <rFont val="Calibri"/>
        <color theme="1"/>
        <sz val="12.0"/>
      </rPr>
      <t>C plant material [‰]</t>
    </r>
  </si>
  <si>
    <r>
      <rPr>
        <rFont val="Calibri"/>
        <color rgb="FF000000"/>
        <sz val="12.0"/>
      </rPr>
      <t>2</t>
    </r>
    <r>
      <rPr>
        <rFont val="Symbol"/>
        <color rgb="FF000000"/>
        <sz val="12.0"/>
      </rPr>
      <t xml:space="preserve">s </t>
    </r>
    <r>
      <rPr>
        <rFont val="Calibri"/>
        <color rgb="FF000000"/>
        <sz val="12.0"/>
      </rPr>
      <t>uncertainty</t>
    </r>
  </si>
  <si>
    <r>
      <rPr>
        <rFont val="Calibri"/>
        <color theme="1"/>
        <sz val="12.0"/>
      </rPr>
      <t xml:space="preserve">Ci/Ca from </t>
    </r>
    <r>
      <rPr>
        <rFont val="Calibri"/>
        <color rgb="FF000000"/>
        <sz val="12.0"/>
      </rPr>
      <t>d</t>
    </r>
    <r>
      <rPr>
        <rFont val="Calibri"/>
        <color rgb="FF000000"/>
        <sz val="12.0"/>
        <vertAlign val="superscript"/>
      </rPr>
      <t>13</t>
    </r>
    <r>
      <rPr>
        <rFont val="Calibri"/>
        <color theme="1"/>
        <sz val="12.0"/>
      </rPr>
      <t>C [-]</t>
    </r>
  </si>
  <si>
    <r>
      <rPr>
        <rFont val="Calibri"/>
        <color rgb="FF000000"/>
        <sz val="12.0"/>
      </rPr>
      <t>2</t>
    </r>
    <r>
      <rPr>
        <rFont val="Symbol"/>
        <color rgb="FF000000"/>
        <sz val="12.0"/>
      </rPr>
      <t xml:space="preserve">s </t>
    </r>
    <r>
      <rPr>
        <rFont val="Calibri"/>
        <color rgb="FF000000"/>
        <sz val="12.0"/>
      </rPr>
      <t>uncertainty</t>
    </r>
  </si>
  <si>
    <r>
      <rPr>
        <rFont val="Calibri"/>
        <color rgb="FF000000"/>
        <sz val="12.0"/>
      </rPr>
      <t>Mean q (=Vcmax) [µmol*m-2*s-1] range of values as derived from literature</t>
    </r>
    <r>
      <rPr>
        <rFont val="Calibri"/>
        <color rgb="FF000000"/>
        <sz val="12.0"/>
        <vertAlign val="superscript"/>
      </rPr>
      <t>b</t>
    </r>
  </si>
  <si>
    <t>Min q (=Vcmax) [µmol*m-2*s-1]</t>
  </si>
  <si>
    <t>Max q (=Vcmax) [µmol*m-2*s-1]</t>
  </si>
  <si>
    <t>References for q</t>
  </si>
  <si>
    <r>
      <rPr>
        <rFont val="Calibri"/>
        <color theme="1"/>
        <sz val="12.0"/>
      </rPr>
      <t>Rd25 [µmol*m</t>
    </r>
    <r>
      <rPr>
        <rFont val="Calibri"/>
        <color rgb="FF000000"/>
        <sz val="12.0"/>
        <vertAlign val="superscript"/>
      </rPr>
      <t>-2</t>
    </r>
    <r>
      <rPr>
        <rFont val="Calibri"/>
        <color theme="1"/>
        <sz val="12.0"/>
      </rPr>
      <t>*s</t>
    </r>
    <r>
      <rPr>
        <rFont val="Calibri"/>
        <color rgb="FF000000"/>
        <sz val="12.0"/>
        <vertAlign val="superscript"/>
      </rPr>
      <t>-1</t>
    </r>
    <r>
      <rPr>
        <rFont val="Calibri"/>
        <color theme="1"/>
        <sz val="12.0"/>
      </rPr>
      <t>] as derived from literature</t>
    </r>
    <r>
      <rPr>
        <rFont val="Calibri"/>
        <color theme="1"/>
        <sz val="12.0"/>
        <vertAlign val="superscript"/>
      </rPr>
      <t>b</t>
    </r>
  </si>
  <si>
    <t>Reference for Rd25</t>
  </si>
  <si>
    <t>Paleoclimate reconstruction used for estimating air temperature range during vegetation period</t>
  </si>
  <si>
    <t>Reference for method for estimating air temperature range during vegetation period</t>
  </si>
  <si>
    <t>Mean T of vegetation period [°C] range of values as derived from paleoclimate reconstruction</t>
  </si>
  <si>
    <t>Min T of vegetation period [°C]</t>
  </si>
  <si>
    <t>Max T of vegetation period [°C]</t>
  </si>
  <si>
    <t>Paleoclimate reconstruction used for estimating  relative humidity during vegetation period</t>
  </si>
  <si>
    <t>Reference for relative humidity</t>
  </si>
  <si>
    <t>Mean relative humidity of vegetation period [%]</t>
  </si>
  <si>
    <t>Min relative humidity of vegetation period  [%]</t>
  </si>
  <si>
    <t>Max relative humidity of vegetation period [%]</t>
  </si>
  <si>
    <t>Wind speed [m/s] Estimation</t>
  </si>
  <si>
    <t>O2 of air [ppm]</t>
  </si>
  <si>
    <t>Reference for O2</t>
  </si>
  <si>
    <t>CO2 mean from resulting CO2 range [ppm]</t>
  </si>
  <si>
    <t>Min CO2 [ppm]</t>
  </si>
  <si>
    <t>Max CO2 [ppm]</t>
  </si>
  <si>
    <t>stomata-konrad-FOM</t>
  </si>
  <si>
    <t>Grein</t>
  </si>
  <si>
    <t>Dana Royer</t>
  </si>
  <si>
    <t>droyer@wesleyan.edu</t>
  </si>
  <si>
    <t>Grein, M., C. Oehm, W. Konrad, T. Utescher, L. Kunzmann, and A. Roth-Nebelsick (2013), Atmospheric CO2 from the late Oligocene to early Miocene based on photosynthesis data and fossil leaf characteristics, Palaeogeography Palaeoclimatology Palaeoecology, 374, 41–51, doi: 10.1016/j.palaeo.2012.12.025.</t>
  </si>
  <si>
    <t>10.1016/j.palaeo.2012.12.025</t>
  </si>
  <si>
    <t>NA</t>
  </si>
  <si>
    <t>Senckenberg Natural History Collections Dresden, Königsbrücker Landstr. 159, 01109 Dresden, Germany</t>
  </si>
  <si>
    <t>Kleinsaubernitz</t>
  </si>
  <si>
    <t>Guttau Volcano Group</t>
  </si>
  <si>
    <t>SPP zone 20 G</t>
  </si>
  <si>
    <t>Biostratigraphy</t>
  </si>
  <si>
    <t>Platanaceae</t>
  </si>
  <si>
    <t>Platanus</t>
  </si>
  <si>
    <t xml:space="preserve"> neptuni</t>
  </si>
  <si>
    <t>microscope</t>
  </si>
  <si>
    <t>&gt;0.03 mm2</t>
  </si>
  <si>
    <t>7 leaves, 28 counts</t>
  </si>
  <si>
    <t>Konrad, W., A. Roth-Nebelsick, and M. Grein (2008), Modelling of stomatal density response to atmospheric CO2, Journal of Theoretical Biology, 253, 638–658, doi: 10.1016/j.jtbi.2008.03.032.</t>
  </si>
  <si>
    <t>-7 per mil offset from benthic foram compilation of Zachos et al. (2001).</t>
  </si>
  <si>
    <t>see Table 4 in Grein, M., C. Oehm, W. Konrad, T. Utescher, L. Kunzmann, and A. Roth-Nebelsick (2013), Atmospheric CO2 from the late Oligocene to early Miocene based on photosynthesis data and fossil leaf characteristics, Palaeogeography Palaeoclimatology Palaeoecology, 374, 41–51, doi: 10.1016/j.palaeo.2012.12.025.</t>
  </si>
  <si>
    <t>Coexistence approach using PALAEOFLORA database</t>
  </si>
  <si>
    <t>Fagaceae</t>
  </si>
  <si>
    <t>Eotrigonobalanus</t>
  </si>
  <si>
    <t>furcinervis</t>
  </si>
  <si>
    <t>8 leaves, 96 counts</t>
  </si>
  <si>
    <t>Quercus</t>
  </si>
  <si>
    <t>praerhenana</t>
  </si>
  <si>
    <t>35 leaves, 211 counts</t>
  </si>
  <si>
    <t xml:space="preserve">Borna-Ost-Bockwitz TC
</t>
  </si>
  <si>
    <t>Cottbus Formation</t>
  </si>
  <si>
    <t>Thierbach member. SPP zone 17/18</t>
  </si>
  <si>
    <t>Biostratigraphy. Base of Thierbach is dated to 25.3 Ma and this site is from the third sedimentation cycle from the bottom</t>
  </si>
  <si>
    <t>55 leaves, 199 leaves</t>
  </si>
  <si>
    <t>Lauraceae</t>
  </si>
  <si>
    <t>Laurophyllum</t>
  </si>
  <si>
    <t>acutimontanum</t>
  </si>
  <si>
    <t>8 leaves, 52 counts</t>
  </si>
  <si>
    <t>Grein, M., W. Konrad, V. Wilde, T. Utescher, and A. Roth-Nebelsick (2011), Reconstruction of atmospheric CO2 during the early Middle Eocene by application of a gas exchange model to fossil plants from the Messel Formation, Germany, Palaeogeography Palaeoclimatology Palaeoecology, 309, 383–391, doi: 10.1016/j.palaeo.2011.07.008.</t>
  </si>
  <si>
    <t>Witznitz WC</t>
  </si>
  <si>
    <t>Biostratigraphy. Latest Oligocene to Oligocene-Miocen boundary. See Roth-Nebelsick et al., 2012.)</t>
  </si>
  <si>
    <t>7 leaves, 21 counts</t>
  </si>
  <si>
    <t>7 leaves, 55 counts</t>
  </si>
  <si>
    <t>pseudoprinceps</t>
  </si>
  <si>
    <t>31 leaves, 134 counts</t>
  </si>
  <si>
    <t>5 leaves, 21 counts</t>
  </si>
  <si>
    <t>Natural History Museum Vienna (paleobotanical collection)</t>
  </si>
  <si>
    <t>Oberdorf</t>
  </si>
  <si>
    <t>Koflach / Voitsberg lignite mining</t>
  </si>
  <si>
    <t>Biostratigraphy and magetostratigraphy. Mammals fall within Chron c5Dn.</t>
  </si>
  <si>
    <t>rhenana</t>
  </si>
  <si>
    <t>44 leaves, 143 counts</t>
  </si>
  <si>
    <t>Wiesa</t>
  </si>
  <si>
    <t>SPN Zone VI A. Lausitz mining area</t>
  </si>
  <si>
    <t>Biostratigraphy. Middle Burdigalian.</t>
  </si>
  <si>
    <t>9 leaves, 81 counts</t>
  </si>
  <si>
    <t>this spreadsheet is devised for the full optimality approach for stomatal conductance (FOM), see references below</t>
  </si>
  <si>
    <r>
      <rPr>
        <rFont val="Calibri"/>
        <color theme="1"/>
        <sz val="12.0"/>
        <vertAlign val="superscript"/>
      </rPr>
      <t>a</t>
    </r>
    <r>
      <rPr>
        <rFont val="Calibri"/>
        <color theme="1"/>
        <sz val="12.0"/>
      </rPr>
      <t xml:space="preserve"> Sample unit is a single leaf</t>
    </r>
  </si>
  <si>
    <r>
      <rPr>
        <rFont val="Calibri"/>
        <color theme="1"/>
        <sz val="12.0"/>
        <vertAlign val="superscript"/>
      </rPr>
      <t>b</t>
    </r>
    <r>
      <rPr>
        <rFont val="Calibri"/>
        <color theme="1"/>
        <sz val="12.0"/>
      </rPr>
      <t xml:space="preserve"> data to be obtained from extant relative species</t>
    </r>
  </si>
  <si>
    <t>Evaluation of error margin:</t>
  </si>
  <si>
    <t xml:space="preserve">With the introduction of the model approach (Konrad et al. 2008, Journal of Theoretical Biology 253, 638-658), the most “critical“ input parameters were identified. </t>
  </si>
  <si>
    <t xml:space="preserve">Critical parameters have the widest uncertainty ranges and the strongest influence on the results. </t>
  </si>
  <si>
    <t>These are</t>
  </si>
  <si>
    <t xml:space="preserve">relative humidity </t>
  </si>
  <si>
    <t>temperature T (of growing season))</t>
  </si>
  <si>
    <t>q</t>
  </si>
  <si>
    <t xml:space="preserve">Ci/Ca </t>
  </si>
  <si>
    <t>Environmental parameters are obtained by paleoclimate reconstruction, via coexistence approach and/or leaf margin analysis. The results are ranges.</t>
  </si>
  <si>
    <t>q is obtained by measurement and literature values of extant relatives of the fossil taxon. Here, also ranges are the result.</t>
  </si>
  <si>
    <t>Ci/Ca is calculated from carbon isotopes of the fossil material. The result is a mean with standard deviation.</t>
  </si>
  <si>
    <t xml:space="preserve">To approximate the error margin, the critical parameters were varied systematically: for each, the lowest and the highest value was inserted. </t>
  </si>
  <si>
    <t xml:space="preserve">While for q and environment this corresponds to the lower and upper end of the ranges, it is for Ci/Ca the mean plus and minus standard deviation. </t>
  </si>
  <si>
    <t>References</t>
  </si>
  <si>
    <t>Konrad, W; Roth-Nebelsick, A; Grein, M; 2008, Modelling of stomatal density response to atmospheric CO2,Journal of Theoretical Biology,253,4,638-658</t>
  </si>
  <si>
    <t>Grein, M; Konrad, W; Wilde, V; Utescher, T; Roth-Nebelsick, A; 2011,  Reconstruction of atmospheric CO 2 during the early middle Eocene by application of a gas exchange model to fossil plants from the Messel Formation, Germany, Palaeogeography, Palaeoclimatology, Palaeoecology,309,3,383-391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</si>
</sst>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0.0"/>
  </numFmts>
  <fonts count="7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2.0"/>
      <color theme="1"/>
      <name val="Verdana"/>
    </font>
    <font>
      <sz val="12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theme="8"/>
        <bgColor theme="8"/>
      </patternFill>
    </fill>
    <fill>
      <patternFill patternType="solid">
        <fgColor rgb="FFAEABAB"/>
        <bgColor rgb="FFAEABAB"/>
      </patternFill>
    </fill>
    <fill>
      <patternFill patternType="solid">
        <fgColor rgb="FFBDD6EE"/>
        <bgColor rgb="FFBDD6EE"/>
      </patternFill>
    </fill>
    <fill>
      <patternFill patternType="solid">
        <fgColor rgb="FF996633"/>
        <bgColor rgb="FF996633"/>
      </patternFill>
    </fill>
    <fill>
      <patternFill patternType="solid">
        <fgColor rgb="FF00B050"/>
        <bgColor rgb="FF00B050"/>
      </patternFill>
    </fill>
    <fill>
      <patternFill patternType="solid">
        <fgColor rgb="FFFFD965"/>
        <bgColor rgb="FFFFD965"/>
      </patternFill>
    </fill>
    <fill>
      <patternFill patternType="solid">
        <fgColor rgb="FFFF6600"/>
        <bgColor rgb="FFFF66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horizontal="center"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3" fontId="2" numFmtId="0" xfId="0" applyAlignment="1" applyBorder="1" applyFont="1">
      <alignment vertical="top"/>
    </xf>
    <xf borderId="1" fillId="3" fontId="2" numFmtId="0" xfId="0" applyAlignment="1" applyBorder="1" applyFont="1">
      <alignment horizontal="center"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4" fontId="2" numFmtId="0" xfId="0" applyAlignment="1" applyBorder="1" applyFont="1">
      <alignment horizontal="center"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horizontal="center" shrinkToFit="0" vertical="top" wrapText="1"/>
    </xf>
    <xf borderId="1" fillId="6" fontId="2" numFmtId="0" xfId="0" applyAlignment="1" applyBorder="1" applyFont="1">
      <alignment horizontal="left" shrinkToFit="0" vertical="top" wrapText="1"/>
    </xf>
    <xf borderId="1" fillId="7" fontId="4" numFmtId="0" xfId="0" applyAlignment="1" applyBorder="1" applyFill="1" applyFont="1">
      <alignment shrinkToFit="0" vertical="top" wrapText="1"/>
    </xf>
    <xf borderId="1" fillId="8" fontId="4" numFmtId="0" xfId="0" applyAlignment="1" applyBorder="1" applyFill="1" applyFont="1">
      <alignment shrinkToFit="0" vertical="top" wrapText="1"/>
    </xf>
    <xf borderId="1" fillId="9" fontId="4" numFmtId="0" xfId="0" applyAlignment="1" applyBorder="1" applyFill="1" applyFont="1">
      <alignment shrinkToFit="0" vertical="top" wrapText="1"/>
    </xf>
    <xf borderId="1" fillId="10" fontId="4" numFmtId="0" xfId="0" applyAlignment="1" applyBorder="1" applyFill="1" applyFont="1">
      <alignment shrinkToFit="0" vertical="top" wrapText="1"/>
    </xf>
    <xf borderId="1" fillId="11" fontId="4" numFmtId="0" xfId="0" applyAlignment="1" applyBorder="1" applyFill="1" applyFont="1">
      <alignment shrinkToFit="0" vertical="top" wrapText="1"/>
    </xf>
    <xf borderId="0" fillId="0" fontId="5" numFmtId="0" xfId="0" applyFont="1"/>
    <xf borderId="0" fillId="0" fontId="5" numFmtId="1" xfId="0" applyFont="1" applyNumberFormat="1"/>
    <xf borderId="0" fillId="0" fontId="4" numFmtId="0" xfId="0" applyFont="1"/>
    <xf borderId="0" fillId="0" fontId="2" numFmtId="0" xfId="0" applyAlignment="1" applyFont="1">
      <alignment vertical="center"/>
    </xf>
    <xf borderId="2" fillId="12" fontId="4" numFmtId="0" xfId="0" applyBorder="1" applyFill="1" applyFont="1"/>
    <xf borderId="0" fillId="0" fontId="4" numFmtId="0" xfId="0" applyAlignment="1" applyFont="1">
      <alignment vertical="center"/>
    </xf>
    <xf borderId="0" fillId="0" fontId="2" numFmtId="0" xfId="0" applyAlignment="1" applyFont="1">
      <alignment horizontal="right"/>
    </xf>
    <xf borderId="0" fillId="0" fontId="6" numFmtId="0" xfId="0" applyAlignment="1" applyFont="1">
      <alignment vertical="center"/>
    </xf>
    <xf borderId="0" fillId="0" fontId="4" numFmtId="2" xfId="0" applyFont="1" applyNumberFormat="1"/>
    <xf borderId="0" fillId="0" fontId="4" numFmtId="164" xfId="0" applyFont="1" applyNumberFormat="1"/>
    <xf quotePrefix="1" borderId="0" fillId="0" fontId="4" numFmtId="0" xfId="0" applyFont="1"/>
    <xf borderId="0" fillId="0" fontId="4" numFmtId="165" xfId="0" applyFont="1" applyNumberFormat="1"/>
    <xf borderId="0" fillId="0" fontId="4" numFmtId="1" xfId="0" applyFont="1" applyNumberFormat="1"/>
    <xf borderId="2" fillId="0" fontId="4" numFmtId="0" xfId="0" applyAlignment="1" applyBorder="1" applyFont="1">
      <alignment shrinkToFit="0" wrapText="1"/>
    </xf>
    <xf borderId="2" fillId="0" fontId="4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78" width="11.0"/>
  </cols>
  <sheetData>
    <row r="1" ht="15.75" customHeight="1"/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2" t="s">
        <v>0</v>
      </c>
      <c r="L2" s="2"/>
      <c r="M2" s="2"/>
      <c r="N2" s="2"/>
      <c r="O2" s="2" t="s">
        <v>1</v>
      </c>
      <c r="P2" s="2"/>
      <c r="Q2" s="2"/>
      <c r="R2" s="2"/>
      <c r="S2" s="2"/>
      <c r="T2" s="2" t="s">
        <v>2</v>
      </c>
      <c r="U2" s="2"/>
      <c r="V2" s="2"/>
      <c r="W2" s="2"/>
      <c r="X2" s="2"/>
      <c r="Y2" s="2"/>
      <c r="Z2" s="2"/>
      <c r="AA2" s="2"/>
      <c r="AB2" s="2"/>
      <c r="AC2" s="2" t="s">
        <v>3</v>
      </c>
      <c r="AD2" s="2"/>
      <c r="AE2" s="2"/>
      <c r="AF2" s="2" t="s">
        <v>4</v>
      </c>
      <c r="AG2" s="2"/>
      <c r="AH2" s="3"/>
      <c r="AI2" s="2" t="s">
        <v>5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 t="s">
        <v>6</v>
      </c>
      <c r="AZ2" s="2"/>
      <c r="BA2" s="2"/>
      <c r="BB2" s="2"/>
      <c r="BC2" s="2"/>
      <c r="BD2" s="2"/>
      <c r="BE2" s="2" t="s">
        <v>7</v>
      </c>
      <c r="BF2" s="2"/>
      <c r="BG2" s="2"/>
      <c r="BH2" s="2"/>
      <c r="BI2" s="2"/>
      <c r="BJ2" s="2"/>
      <c r="BK2" s="2" t="s">
        <v>8</v>
      </c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 t="s">
        <v>9</v>
      </c>
      <c r="BY2" s="2"/>
      <c r="BZ2" s="2"/>
    </row>
    <row r="3" ht="15.75" customHeight="1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5" t="s">
        <v>20</v>
      </c>
      <c r="L3" s="5" t="s">
        <v>21</v>
      </c>
      <c r="M3" s="5" t="s">
        <v>22</v>
      </c>
      <c r="N3" s="5" t="s">
        <v>23</v>
      </c>
      <c r="O3" s="6" t="s">
        <v>24</v>
      </c>
      <c r="P3" s="6" t="s">
        <v>25</v>
      </c>
      <c r="Q3" s="7" t="s">
        <v>26</v>
      </c>
      <c r="R3" s="6" t="s">
        <v>27</v>
      </c>
      <c r="S3" s="8" t="s">
        <v>28</v>
      </c>
      <c r="T3" s="9" t="s">
        <v>29</v>
      </c>
      <c r="U3" s="9" t="s">
        <v>30</v>
      </c>
      <c r="V3" s="9" t="s">
        <v>31</v>
      </c>
      <c r="W3" s="9" t="s">
        <v>32</v>
      </c>
      <c r="X3" s="9" t="s">
        <v>33</v>
      </c>
      <c r="Y3" s="9" t="s">
        <v>34</v>
      </c>
      <c r="Z3" s="9" t="s">
        <v>35</v>
      </c>
      <c r="AA3" s="10" t="s">
        <v>36</v>
      </c>
      <c r="AB3" s="10" t="s">
        <v>37</v>
      </c>
      <c r="AC3" s="11" t="s">
        <v>38</v>
      </c>
      <c r="AD3" s="11" t="s">
        <v>39</v>
      </c>
      <c r="AE3" s="11" t="s">
        <v>40</v>
      </c>
      <c r="AF3" s="12" t="s">
        <v>41</v>
      </c>
      <c r="AG3" s="12" t="s">
        <v>42</v>
      </c>
      <c r="AH3" s="13" t="s">
        <v>43</v>
      </c>
      <c r="AI3" s="14" t="s">
        <v>44</v>
      </c>
      <c r="AJ3" s="14" t="s">
        <v>45</v>
      </c>
      <c r="AK3" s="14" t="s">
        <v>46</v>
      </c>
      <c r="AL3" s="14" t="s">
        <v>47</v>
      </c>
      <c r="AM3" s="14" t="s">
        <v>48</v>
      </c>
      <c r="AN3" s="14" t="s">
        <v>49</v>
      </c>
      <c r="AO3" s="14" t="s">
        <v>50</v>
      </c>
      <c r="AP3" s="14" t="s">
        <v>51</v>
      </c>
      <c r="AQ3" s="14" t="s">
        <v>52</v>
      </c>
      <c r="AR3" s="14" t="s">
        <v>53</v>
      </c>
      <c r="AS3" s="14" t="s">
        <v>54</v>
      </c>
      <c r="AT3" s="14" t="s">
        <v>55</v>
      </c>
      <c r="AU3" s="14" t="s">
        <v>56</v>
      </c>
      <c r="AV3" s="14" t="s">
        <v>57</v>
      </c>
      <c r="AW3" s="14" t="s">
        <v>58</v>
      </c>
      <c r="AX3" s="14" t="s">
        <v>59</v>
      </c>
      <c r="AY3" s="15" t="s">
        <v>60</v>
      </c>
      <c r="AZ3" s="15" t="s">
        <v>61</v>
      </c>
      <c r="BA3" s="15" t="s">
        <v>62</v>
      </c>
      <c r="BB3" s="15" t="s">
        <v>63</v>
      </c>
      <c r="BC3" s="15" t="s">
        <v>64</v>
      </c>
      <c r="BD3" s="15" t="s">
        <v>65</v>
      </c>
      <c r="BE3" s="16" t="s">
        <v>66</v>
      </c>
      <c r="BF3" s="16" t="s">
        <v>67</v>
      </c>
      <c r="BG3" s="16" t="s">
        <v>68</v>
      </c>
      <c r="BH3" s="16" t="s">
        <v>69</v>
      </c>
      <c r="BI3" s="16" t="s">
        <v>70</v>
      </c>
      <c r="BJ3" s="16" t="s">
        <v>71</v>
      </c>
      <c r="BK3" s="17" t="s">
        <v>72</v>
      </c>
      <c r="BL3" s="17" t="s">
        <v>73</v>
      </c>
      <c r="BM3" s="17" t="s">
        <v>74</v>
      </c>
      <c r="BN3" s="17" t="s">
        <v>75</v>
      </c>
      <c r="BO3" s="17" t="s">
        <v>76</v>
      </c>
      <c r="BP3" s="17" t="s">
        <v>77</v>
      </c>
      <c r="BQ3" s="17" t="s">
        <v>78</v>
      </c>
      <c r="BR3" s="17" t="s">
        <v>79</v>
      </c>
      <c r="BS3" s="17" t="s">
        <v>80</v>
      </c>
      <c r="BT3" s="17" t="s">
        <v>81</v>
      </c>
      <c r="BU3" s="17" t="s">
        <v>82</v>
      </c>
      <c r="BV3" s="17" t="s">
        <v>83</v>
      </c>
      <c r="BW3" s="17" t="s">
        <v>84</v>
      </c>
      <c r="BX3" s="18" t="s">
        <v>85</v>
      </c>
      <c r="BY3" s="18" t="s">
        <v>86</v>
      </c>
      <c r="BZ3" s="18" t="s">
        <v>87</v>
      </c>
    </row>
    <row r="4" ht="15.75" customHeight="1">
      <c r="A4" s="19" t="s">
        <v>88</v>
      </c>
      <c r="B4" s="19" t="s">
        <v>89</v>
      </c>
      <c r="C4" s="19">
        <v>2013.0</v>
      </c>
      <c r="D4" s="19" t="str">
        <f t="shared" ref="D4:D14" si="1">N4</f>
        <v>10.1016/j.palaeo.2012.12.025</v>
      </c>
      <c r="E4" s="19">
        <f t="shared" ref="E4:E14" si="2">T4*1000</f>
        <v>26500</v>
      </c>
      <c r="F4" s="19">
        <f t="shared" ref="F4:F14" si="3">(U4-T4)*1000</f>
        <v>500</v>
      </c>
      <c r="G4" s="19">
        <f t="shared" ref="G4:G14" si="4">(T4-V4)*1000</f>
        <v>500</v>
      </c>
      <c r="H4" s="20">
        <f t="shared" ref="H4:H14" si="5">BX4</f>
        <v>394.5</v>
      </c>
      <c r="I4" s="20">
        <f t="shared" ref="I4:I14" si="6">BZ4-BX4</f>
        <v>121.5</v>
      </c>
      <c r="J4" s="20">
        <f t="shared" ref="J4:J14" si="7">BX4-BY4</f>
        <v>121.5</v>
      </c>
      <c r="K4" s="19" t="s">
        <v>90</v>
      </c>
      <c r="L4" s="19" t="s">
        <v>91</v>
      </c>
      <c r="M4" s="19" t="s">
        <v>92</v>
      </c>
      <c r="N4" s="19" t="s">
        <v>93</v>
      </c>
      <c r="O4" s="21" t="s">
        <v>94</v>
      </c>
      <c r="P4" s="22" t="s">
        <v>95</v>
      </c>
      <c r="Q4" s="23" t="s">
        <v>96</v>
      </c>
      <c r="R4" s="21" t="s">
        <v>97</v>
      </c>
      <c r="S4" s="21" t="s">
        <v>98</v>
      </c>
      <c r="T4" s="21">
        <v>26.5</v>
      </c>
      <c r="U4" s="21">
        <v>27.0</v>
      </c>
      <c r="V4" s="21">
        <v>26.0</v>
      </c>
      <c r="W4" s="19" t="s">
        <v>94</v>
      </c>
      <c r="X4" s="21" t="s">
        <v>99</v>
      </c>
      <c r="Y4" s="24">
        <v>51.27</v>
      </c>
      <c r="Z4" s="24">
        <v>14.59</v>
      </c>
      <c r="AA4" s="25" t="s">
        <v>94</v>
      </c>
      <c r="AB4" s="25" t="s">
        <v>94</v>
      </c>
      <c r="AC4" s="26" t="s">
        <v>100</v>
      </c>
      <c r="AD4" s="26" t="s">
        <v>101</v>
      </c>
      <c r="AE4" s="26" t="s">
        <v>102</v>
      </c>
      <c r="AF4" s="21" t="s">
        <v>103</v>
      </c>
      <c r="AG4" s="21" t="s">
        <v>104</v>
      </c>
      <c r="AH4" s="21" t="s">
        <v>105</v>
      </c>
      <c r="AI4" s="21">
        <v>105.0</v>
      </c>
      <c r="AJ4" s="21">
        <v>51.0</v>
      </c>
      <c r="AK4" s="21">
        <v>14.17</v>
      </c>
      <c r="AL4" s="21" t="s">
        <v>94</v>
      </c>
      <c r="AM4" s="21">
        <v>14.4</v>
      </c>
      <c r="AN4" s="21">
        <v>1.51</v>
      </c>
      <c r="AO4" s="27">
        <f t="shared" ref="AO4:AO14" si="8">AK4/2</f>
        <v>7.085</v>
      </c>
      <c r="AP4" s="27" t="s">
        <v>94</v>
      </c>
      <c r="AQ4" s="21">
        <v>57.0</v>
      </c>
      <c r="AR4" s="21">
        <v>4.0</v>
      </c>
      <c r="AS4" s="19" t="s">
        <v>92</v>
      </c>
      <c r="AT4" s="21">
        <v>0.33</v>
      </c>
      <c r="AU4" s="19" t="s">
        <v>106</v>
      </c>
      <c r="AV4" s="28">
        <v>1.571</v>
      </c>
      <c r="AW4" s="19" t="s">
        <v>106</v>
      </c>
      <c r="AX4" s="21">
        <v>130.0</v>
      </c>
      <c r="AY4" s="21">
        <v>-6.39</v>
      </c>
      <c r="AZ4" s="29" t="s">
        <v>107</v>
      </c>
      <c r="BA4" s="21">
        <v>-27.09</v>
      </c>
      <c r="BB4" s="21">
        <v>0.53</v>
      </c>
      <c r="BC4" s="21">
        <v>0.75</v>
      </c>
      <c r="BD4" s="21">
        <v>0.02</v>
      </c>
      <c r="BE4" s="21">
        <v>50.0</v>
      </c>
      <c r="BF4" s="21">
        <v>24.0</v>
      </c>
      <c r="BG4" s="21">
        <v>56.0</v>
      </c>
      <c r="BH4" s="19" t="s">
        <v>108</v>
      </c>
      <c r="BI4" s="21">
        <v>1.0</v>
      </c>
      <c r="BJ4" s="19" t="s">
        <v>92</v>
      </c>
      <c r="BK4" s="21" t="s">
        <v>109</v>
      </c>
      <c r="BL4" s="19" t="s">
        <v>92</v>
      </c>
      <c r="BM4" s="30">
        <f t="shared" ref="BM4:BM14" si="9">AVERAGE(BN4:BO4)</f>
        <v>18.4</v>
      </c>
      <c r="BN4" s="21">
        <v>15.9</v>
      </c>
      <c r="BO4" s="21">
        <v>20.9</v>
      </c>
      <c r="BP4" s="21" t="s">
        <v>109</v>
      </c>
      <c r="BQ4" s="19" t="s">
        <v>92</v>
      </c>
      <c r="BR4" s="30">
        <f t="shared" ref="BR4:BR14" si="10">AVERAGE(BS4:BT4)</f>
        <v>75.5</v>
      </c>
      <c r="BS4" s="21">
        <v>75.0</v>
      </c>
      <c r="BT4" s="21">
        <v>76.0</v>
      </c>
      <c r="BU4" s="21">
        <v>1.0</v>
      </c>
      <c r="BV4" s="21">
        <v>210000.0</v>
      </c>
      <c r="BW4" s="21" t="s">
        <v>94</v>
      </c>
      <c r="BX4" s="31">
        <f t="shared" ref="BX4:BX14" si="11">AVERAGE(BY4:BZ4)</f>
        <v>394.5</v>
      </c>
      <c r="BY4" s="21">
        <v>273.0</v>
      </c>
      <c r="BZ4" s="21">
        <v>516.0</v>
      </c>
    </row>
    <row r="5" ht="15.75" customHeight="1">
      <c r="A5" s="19" t="s">
        <v>88</v>
      </c>
      <c r="B5" s="19" t="s">
        <v>89</v>
      </c>
      <c r="C5" s="19">
        <v>2013.0</v>
      </c>
      <c r="D5" s="19" t="str">
        <f t="shared" si="1"/>
        <v>10.1016/j.palaeo.2012.12.025</v>
      </c>
      <c r="E5" s="19">
        <f t="shared" si="2"/>
        <v>26500</v>
      </c>
      <c r="F5" s="19">
        <f t="shared" si="3"/>
        <v>500</v>
      </c>
      <c r="G5" s="19">
        <f t="shared" si="4"/>
        <v>500</v>
      </c>
      <c r="H5" s="20">
        <f t="shared" si="5"/>
        <v>397</v>
      </c>
      <c r="I5" s="20">
        <f t="shared" si="6"/>
        <v>184</v>
      </c>
      <c r="J5" s="20">
        <f t="shared" si="7"/>
        <v>184</v>
      </c>
      <c r="K5" s="19" t="s">
        <v>90</v>
      </c>
      <c r="L5" s="19" t="s">
        <v>91</v>
      </c>
      <c r="M5" s="19" t="s">
        <v>92</v>
      </c>
      <c r="N5" s="19" t="s">
        <v>93</v>
      </c>
      <c r="O5" s="21" t="s">
        <v>94</v>
      </c>
      <c r="P5" s="22" t="s">
        <v>95</v>
      </c>
      <c r="Q5" s="21" t="s">
        <v>96</v>
      </c>
      <c r="R5" s="21" t="s">
        <v>97</v>
      </c>
      <c r="S5" s="21" t="s">
        <v>98</v>
      </c>
      <c r="T5" s="21">
        <v>26.5</v>
      </c>
      <c r="U5" s="21">
        <v>27.0</v>
      </c>
      <c r="V5" s="21">
        <v>26.0</v>
      </c>
      <c r="W5" s="19" t="s">
        <v>94</v>
      </c>
      <c r="X5" s="21" t="s">
        <v>99</v>
      </c>
      <c r="Y5" s="24">
        <v>51.27</v>
      </c>
      <c r="Z5" s="24">
        <v>14.59</v>
      </c>
      <c r="AA5" s="25" t="s">
        <v>94</v>
      </c>
      <c r="AB5" s="25" t="s">
        <v>94</v>
      </c>
      <c r="AC5" s="21" t="s">
        <v>110</v>
      </c>
      <c r="AD5" s="21" t="s">
        <v>111</v>
      </c>
      <c r="AE5" s="21" t="s">
        <v>112</v>
      </c>
      <c r="AF5" s="21" t="s">
        <v>103</v>
      </c>
      <c r="AG5" s="21" t="s">
        <v>104</v>
      </c>
      <c r="AH5" s="21" t="s">
        <v>113</v>
      </c>
      <c r="AI5" s="21">
        <v>725.0</v>
      </c>
      <c r="AJ5" s="21">
        <v>223.0</v>
      </c>
      <c r="AK5" s="21">
        <v>8.89</v>
      </c>
      <c r="AL5" s="21">
        <v>0.78</v>
      </c>
      <c r="AM5" s="21">
        <v>11.3</v>
      </c>
      <c r="AN5" s="21">
        <v>1.9</v>
      </c>
      <c r="AO5" s="27">
        <f t="shared" si="8"/>
        <v>4.445</v>
      </c>
      <c r="AP5" s="27">
        <f t="shared" ref="AP5:AP6" si="12">AL5/2</f>
        <v>0.39</v>
      </c>
      <c r="AQ5" s="21">
        <v>85.0</v>
      </c>
      <c r="AR5" s="21">
        <v>23.0</v>
      </c>
      <c r="AS5" s="19" t="s">
        <v>92</v>
      </c>
      <c r="AT5" s="21">
        <v>0.33</v>
      </c>
      <c r="AU5" s="19" t="s">
        <v>106</v>
      </c>
      <c r="AV5" s="28">
        <v>1.571</v>
      </c>
      <c r="AW5" s="19" t="s">
        <v>106</v>
      </c>
      <c r="AX5" s="21">
        <v>127.0</v>
      </c>
      <c r="AY5" s="21">
        <v>-6.39</v>
      </c>
      <c r="AZ5" s="29" t="s">
        <v>107</v>
      </c>
      <c r="BA5" s="21">
        <v>-29.68</v>
      </c>
      <c r="BB5" s="21">
        <v>0.52</v>
      </c>
      <c r="BC5" s="21">
        <v>0.87</v>
      </c>
      <c r="BD5" s="21">
        <v>0.02</v>
      </c>
      <c r="BE5" s="21">
        <v>36.0</v>
      </c>
      <c r="BF5" s="21">
        <v>24.0</v>
      </c>
      <c r="BG5" s="21">
        <v>78.0</v>
      </c>
      <c r="BH5" s="19" t="s">
        <v>108</v>
      </c>
      <c r="BI5" s="21">
        <v>1.0</v>
      </c>
      <c r="BJ5" s="19" t="s">
        <v>92</v>
      </c>
      <c r="BK5" s="21" t="s">
        <v>109</v>
      </c>
      <c r="BL5" s="19" t="s">
        <v>92</v>
      </c>
      <c r="BM5" s="30">
        <f t="shared" si="9"/>
        <v>18.4</v>
      </c>
      <c r="BN5" s="21">
        <v>15.9</v>
      </c>
      <c r="BO5" s="21">
        <v>20.9</v>
      </c>
      <c r="BP5" s="21" t="s">
        <v>109</v>
      </c>
      <c r="BQ5" s="19" t="s">
        <v>92</v>
      </c>
      <c r="BR5" s="30">
        <f t="shared" si="10"/>
        <v>75.5</v>
      </c>
      <c r="BS5" s="21">
        <v>75.0</v>
      </c>
      <c r="BT5" s="21">
        <v>76.0</v>
      </c>
      <c r="BU5" s="21">
        <v>1.0</v>
      </c>
      <c r="BV5" s="21">
        <v>210000.0</v>
      </c>
      <c r="BW5" s="21" t="s">
        <v>94</v>
      </c>
      <c r="BX5" s="31">
        <f t="shared" si="11"/>
        <v>397</v>
      </c>
      <c r="BY5" s="21">
        <v>213.0</v>
      </c>
      <c r="BZ5" s="21">
        <v>581.0</v>
      </c>
    </row>
    <row r="6" ht="15.75" customHeight="1">
      <c r="A6" s="19" t="s">
        <v>88</v>
      </c>
      <c r="B6" s="19" t="s">
        <v>89</v>
      </c>
      <c r="C6" s="19">
        <v>2013.0</v>
      </c>
      <c r="D6" s="19" t="str">
        <f t="shared" si="1"/>
        <v>10.1016/j.palaeo.2012.12.025</v>
      </c>
      <c r="E6" s="19">
        <f t="shared" si="2"/>
        <v>26500</v>
      </c>
      <c r="F6" s="19">
        <f t="shared" si="3"/>
        <v>500</v>
      </c>
      <c r="G6" s="19">
        <f t="shared" si="4"/>
        <v>500</v>
      </c>
      <c r="H6" s="20">
        <f t="shared" si="5"/>
        <v>501.5</v>
      </c>
      <c r="I6" s="20">
        <f t="shared" si="6"/>
        <v>269.5</v>
      </c>
      <c r="J6" s="20">
        <f t="shared" si="7"/>
        <v>269.5</v>
      </c>
      <c r="K6" s="19" t="s">
        <v>90</v>
      </c>
      <c r="L6" s="19" t="s">
        <v>91</v>
      </c>
      <c r="M6" s="19" t="s">
        <v>92</v>
      </c>
      <c r="N6" s="19" t="s">
        <v>93</v>
      </c>
      <c r="O6" s="21" t="s">
        <v>94</v>
      </c>
      <c r="P6" s="22" t="s">
        <v>95</v>
      </c>
      <c r="Q6" s="21" t="s">
        <v>96</v>
      </c>
      <c r="R6" s="21" t="s">
        <v>97</v>
      </c>
      <c r="S6" s="21" t="s">
        <v>98</v>
      </c>
      <c r="T6" s="21">
        <v>26.5</v>
      </c>
      <c r="U6" s="21">
        <v>27.0</v>
      </c>
      <c r="V6" s="21">
        <v>26.0</v>
      </c>
      <c r="W6" s="19" t="s">
        <v>94</v>
      </c>
      <c r="X6" s="21" t="s">
        <v>99</v>
      </c>
      <c r="Y6" s="24">
        <v>51.27</v>
      </c>
      <c r="Z6" s="24">
        <v>14.59</v>
      </c>
      <c r="AA6" s="25" t="s">
        <v>94</v>
      </c>
      <c r="AB6" s="25" t="s">
        <v>94</v>
      </c>
      <c r="AC6" s="21" t="s">
        <v>110</v>
      </c>
      <c r="AD6" s="21" t="s">
        <v>114</v>
      </c>
      <c r="AE6" s="21" t="s">
        <v>115</v>
      </c>
      <c r="AF6" s="21" t="s">
        <v>103</v>
      </c>
      <c r="AG6" s="21" t="s">
        <v>104</v>
      </c>
      <c r="AH6" s="21" t="s">
        <v>116</v>
      </c>
      <c r="AI6" s="21">
        <v>345.0</v>
      </c>
      <c r="AJ6" s="21">
        <v>99.0</v>
      </c>
      <c r="AK6" s="21">
        <v>8.25</v>
      </c>
      <c r="AL6" s="21">
        <v>0.96</v>
      </c>
      <c r="AM6" s="21">
        <v>8.86</v>
      </c>
      <c r="AN6" s="21">
        <v>1.63</v>
      </c>
      <c r="AO6" s="27">
        <f t="shared" si="8"/>
        <v>4.125</v>
      </c>
      <c r="AP6" s="27">
        <f t="shared" si="12"/>
        <v>0.48</v>
      </c>
      <c r="AQ6" s="21">
        <v>88.0</v>
      </c>
      <c r="AR6" s="21">
        <v>28.0</v>
      </c>
      <c r="AS6" s="19" t="s">
        <v>92</v>
      </c>
      <c r="AT6" s="21">
        <v>0.33</v>
      </c>
      <c r="AU6" s="19" t="s">
        <v>106</v>
      </c>
      <c r="AV6" s="28">
        <v>1.571</v>
      </c>
      <c r="AW6" s="19" t="s">
        <v>106</v>
      </c>
      <c r="AX6" s="21">
        <v>205.0</v>
      </c>
      <c r="AY6" s="21">
        <v>-6.39</v>
      </c>
      <c r="AZ6" s="29" t="s">
        <v>107</v>
      </c>
      <c r="BA6" s="21">
        <v>-29.68</v>
      </c>
      <c r="BB6" s="21">
        <v>0.92</v>
      </c>
      <c r="BC6" s="21">
        <v>0.87</v>
      </c>
      <c r="BD6" s="21">
        <v>0.04</v>
      </c>
      <c r="BE6" s="21">
        <v>36.0</v>
      </c>
      <c r="BF6" s="21">
        <v>24.0</v>
      </c>
      <c r="BG6" s="21">
        <v>78.0</v>
      </c>
      <c r="BH6" s="19" t="s">
        <v>108</v>
      </c>
      <c r="BI6" s="21">
        <v>1.0</v>
      </c>
      <c r="BJ6" s="19" t="s">
        <v>92</v>
      </c>
      <c r="BK6" s="21" t="s">
        <v>109</v>
      </c>
      <c r="BL6" s="19" t="s">
        <v>92</v>
      </c>
      <c r="BM6" s="30">
        <f t="shared" si="9"/>
        <v>18.4</v>
      </c>
      <c r="BN6" s="21">
        <v>15.9</v>
      </c>
      <c r="BO6" s="21">
        <v>20.9</v>
      </c>
      <c r="BP6" s="21" t="s">
        <v>109</v>
      </c>
      <c r="BQ6" s="19" t="s">
        <v>92</v>
      </c>
      <c r="BR6" s="30">
        <f t="shared" si="10"/>
        <v>75.5</v>
      </c>
      <c r="BS6" s="21">
        <v>75.0</v>
      </c>
      <c r="BT6" s="21">
        <v>76.0</v>
      </c>
      <c r="BU6" s="21">
        <v>1.0</v>
      </c>
      <c r="BV6" s="21">
        <v>210000.0</v>
      </c>
      <c r="BW6" s="21" t="s">
        <v>94</v>
      </c>
      <c r="BX6" s="31">
        <f t="shared" si="11"/>
        <v>501.5</v>
      </c>
      <c r="BY6" s="21">
        <v>232.0</v>
      </c>
      <c r="BZ6" s="21">
        <v>771.0</v>
      </c>
    </row>
    <row r="7" ht="15.75" customHeight="1">
      <c r="A7" s="19" t="s">
        <v>88</v>
      </c>
      <c r="B7" s="19" t="s">
        <v>89</v>
      </c>
      <c r="C7" s="19">
        <v>2013.0</v>
      </c>
      <c r="D7" s="19" t="str">
        <f t="shared" si="1"/>
        <v>10.1016/j.palaeo.2012.12.025</v>
      </c>
      <c r="E7" s="19">
        <f t="shared" si="2"/>
        <v>25000</v>
      </c>
      <c r="F7" s="19">
        <f t="shared" si="3"/>
        <v>500</v>
      </c>
      <c r="G7" s="19">
        <f t="shared" si="4"/>
        <v>500</v>
      </c>
      <c r="H7" s="20">
        <f t="shared" si="5"/>
        <v>453</v>
      </c>
      <c r="I7" s="20">
        <f t="shared" si="6"/>
        <v>166</v>
      </c>
      <c r="J7" s="20">
        <f t="shared" si="7"/>
        <v>166</v>
      </c>
      <c r="K7" s="19" t="s">
        <v>90</v>
      </c>
      <c r="L7" s="19" t="s">
        <v>91</v>
      </c>
      <c r="M7" s="19" t="s">
        <v>92</v>
      </c>
      <c r="N7" s="19" t="s">
        <v>93</v>
      </c>
      <c r="O7" s="21" t="s">
        <v>94</v>
      </c>
      <c r="P7" s="22" t="s">
        <v>95</v>
      </c>
      <c r="Q7" s="32" t="s">
        <v>117</v>
      </c>
      <c r="R7" s="21" t="s">
        <v>118</v>
      </c>
      <c r="S7" s="21" t="s">
        <v>119</v>
      </c>
      <c r="T7" s="21">
        <v>25.0</v>
      </c>
      <c r="U7" s="21">
        <v>25.5</v>
      </c>
      <c r="V7" s="21">
        <v>24.5</v>
      </c>
      <c r="W7" s="19" t="s">
        <v>94</v>
      </c>
      <c r="X7" s="21" t="s">
        <v>120</v>
      </c>
      <c r="Y7" s="24">
        <v>51.12</v>
      </c>
      <c r="Z7" s="24">
        <v>12.54</v>
      </c>
      <c r="AA7" s="25" t="s">
        <v>94</v>
      </c>
      <c r="AB7" s="25" t="s">
        <v>94</v>
      </c>
      <c r="AC7" s="26" t="s">
        <v>100</v>
      </c>
      <c r="AD7" s="26" t="s">
        <v>101</v>
      </c>
      <c r="AE7" s="26" t="s">
        <v>102</v>
      </c>
      <c r="AF7" s="21" t="s">
        <v>103</v>
      </c>
      <c r="AG7" s="21" t="s">
        <v>104</v>
      </c>
      <c r="AH7" s="21" t="s">
        <v>121</v>
      </c>
      <c r="AI7" s="21">
        <v>100.0</v>
      </c>
      <c r="AJ7" s="21">
        <v>33.0</v>
      </c>
      <c r="AK7" s="21">
        <v>14.83</v>
      </c>
      <c r="AL7" s="21" t="s">
        <v>94</v>
      </c>
      <c r="AM7" s="21">
        <v>13.7</v>
      </c>
      <c r="AN7" s="21">
        <v>1.07</v>
      </c>
      <c r="AO7" s="27">
        <f t="shared" si="8"/>
        <v>7.415</v>
      </c>
      <c r="AP7" s="27" t="s">
        <v>94</v>
      </c>
      <c r="AQ7" s="21">
        <v>57.0</v>
      </c>
      <c r="AR7" s="21">
        <v>4.0</v>
      </c>
      <c r="AS7" s="19" t="s">
        <v>92</v>
      </c>
      <c r="AT7" s="21">
        <v>0.33</v>
      </c>
      <c r="AU7" s="19" t="s">
        <v>106</v>
      </c>
      <c r="AV7" s="28">
        <v>1.571</v>
      </c>
      <c r="AW7" s="19" t="s">
        <v>106</v>
      </c>
      <c r="AX7" s="21">
        <v>130.0</v>
      </c>
      <c r="AY7" s="21">
        <v>-6.21</v>
      </c>
      <c r="AZ7" s="29" t="s">
        <v>107</v>
      </c>
      <c r="BA7" s="21">
        <v>-26.95</v>
      </c>
      <c r="BB7" s="21">
        <v>0.72</v>
      </c>
      <c r="BC7" s="21">
        <v>0.75</v>
      </c>
      <c r="BD7" s="21">
        <v>0.03</v>
      </c>
      <c r="BE7" s="21">
        <v>53.0</v>
      </c>
      <c r="BF7" s="21">
        <v>24.0</v>
      </c>
      <c r="BG7" s="21">
        <v>56.0</v>
      </c>
      <c r="BH7" s="19" t="s">
        <v>108</v>
      </c>
      <c r="BI7" s="21">
        <v>1.0</v>
      </c>
      <c r="BJ7" s="19" t="s">
        <v>92</v>
      </c>
      <c r="BK7" s="21" t="s">
        <v>109</v>
      </c>
      <c r="BL7" s="19" t="s">
        <v>92</v>
      </c>
      <c r="BM7" s="30">
        <f t="shared" si="9"/>
        <v>17.85</v>
      </c>
      <c r="BN7" s="21">
        <v>15.1</v>
      </c>
      <c r="BO7" s="21">
        <v>20.6</v>
      </c>
      <c r="BP7" s="21" t="s">
        <v>109</v>
      </c>
      <c r="BQ7" s="19" t="s">
        <v>92</v>
      </c>
      <c r="BR7" s="30">
        <f t="shared" si="10"/>
        <v>73.5</v>
      </c>
      <c r="BS7" s="21">
        <v>71.0</v>
      </c>
      <c r="BT7" s="21">
        <v>76.0</v>
      </c>
      <c r="BU7" s="21">
        <v>1.0</v>
      </c>
      <c r="BV7" s="21">
        <v>210000.0</v>
      </c>
      <c r="BW7" s="21" t="s">
        <v>94</v>
      </c>
      <c r="BX7" s="31">
        <f t="shared" si="11"/>
        <v>453</v>
      </c>
      <c r="BY7" s="21">
        <v>287.0</v>
      </c>
      <c r="BZ7" s="21">
        <v>619.0</v>
      </c>
    </row>
    <row r="8" ht="15.75" customHeight="1">
      <c r="A8" s="19" t="s">
        <v>88</v>
      </c>
      <c r="B8" s="19" t="s">
        <v>89</v>
      </c>
      <c r="C8" s="19">
        <v>2013.0</v>
      </c>
      <c r="D8" s="19" t="str">
        <f t="shared" si="1"/>
        <v>10.1016/j.palaeo.2012.12.025</v>
      </c>
      <c r="E8" s="19">
        <f t="shared" si="2"/>
        <v>25000</v>
      </c>
      <c r="F8" s="19">
        <f t="shared" si="3"/>
        <v>500</v>
      </c>
      <c r="G8" s="19">
        <f t="shared" si="4"/>
        <v>500</v>
      </c>
      <c r="H8" s="20">
        <f t="shared" si="5"/>
        <v>937</v>
      </c>
      <c r="I8" s="20">
        <f t="shared" si="6"/>
        <v>598</v>
      </c>
      <c r="J8" s="20">
        <f t="shared" si="7"/>
        <v>598</v>
      </c>
      <c r="K8" s="19" t="s">
        <v>90</v>
      </c>
      <c r="L8" s="19" t="s">
        <v>91</v>
      </c>
      <c r="M8" s="19" t="s">
        <v>92</v>
      </c>
      <c r="N8" s="19" t="s">
        <v>93</v>
      </c>
      <c r="O8" s="21" t="s">
        <v>94</v>
      </c>
      <c r="P8" s="22" t="s">
        <v>95</v>
      </c>
      <c r="Q8" s="21" t="s">
        <v>117</v>
      </c>
      <c r="R8" s="21" t="s">
        <v>118</v>
      </c>
      <c r="S8" s="21" t="s">
        <v>119</v>
      </c>
      <c r="T8" s="21">
        <v>25.0</v>
      </c>
      <c r="U8" s="21">
        <v>25.5</v>
      </c>
      <c r="V8" s="21">
        <v>24.5</v>
      </c>
      <c r="W8" s="19" t="s">
        <v>94</v>
      </c>
      <c r="X8" s="21" t="s">
        <v>120</v>
      </c>
      <c r="Y8" s="24">
        <v>51.12</v>
      </c>
      <c r="Z8" s="24">
        <v>12.54</v>
      </c>
      <c r="AA8" s="25" t="s">
        <v>94</v>
      </c>
      <c r="AB8" s="25" t="s">
        <v>94</v>
      </c>
      <c r="AC8" s="19" t="s">
        <v>122</v>
      </c>
      <c r="AD8" s="19" t="s">
        <v>123</v>
      </c>
      <c r="AE8" s="19" t="s">
        <v>124</v>
      </c>
      <c r="AF8" s="21" t="s">
        <v>103</v>
      </c>
      <c r="AG8" s="21" t="s">
        <v>104</v>
      </c>
      <c r="AH8" s="21" t="s">
        <v>125</v>
      </c>
      <c r="AI8" s="21">
        <v>251.0</v>
      </c>
      <c r="AJ8" s="21">
        <v>65.0</v>
      </c>
      <c r="AK8" s="21">
        <v>6.26</v>
      </c>
      <c r="AL8" s="21">
        <v>0.39</v>
      </c>
      <c r="AM8" s="21">
        <v>21.8</v>
      </c>
      <c r="AN8" s="21">
        <v>1.4</v>
      </c>
      <c r="AO8" s="27">
        <f t="shared" si="8"/>
        <v>3.13</v>
      </c>
      <c r="AP8" s="27">
        <f>AL8/2</f>
        <v>0.195</v>
      </c>
      <c r="AQ8" s="21">
        <v>90.0</v>
      </c>
      <c r="AR8" s="21">
        <v>8.0</v>
      </c>
      <c r="AS8" s="19" t="s">
        <v>126</v>
      </c>
      <c r="AT8" s="21">
        <v>0.33</v>
      </c>
      <c r="AU8" s="19" t="s">
        <v>106</v>
      </c>
      <c r="AV8" s="28">
        <v>1.571</v>
      </c>
      <c r="AW8" s="19" t="s">
        <v>106</v>
      </c>
      <c r="AX8" s="21">
        <v>68.0</v>
      </c>
      <c r="AY8" s="21">
        <v>-6.21</v>
      </c>
      <c r="AZ8" s="29" t="s">
        <v>107</v>
      </c>
      <c r="BA8" s="21">
        <v>-27.29</v>
      </c>
      <c r="BB8" s="21">
        <v>1.08</v>
      </c>
      <c r="BC8" s="21">
        <v>0.76</v>
      </c>
      <c r="BD8" s="21">
        <v>0.05</v>
      </c>
      <c r="BE8" s="19">
        <v>40.0</v>
      </c>
      <c r="BF8" s="19">
        <v>28.0</v>
      </c>
      <c r="BG8" s="19">
        <v>53.0</v>
      </c>
      <c r="BH8" s="19" t="s">
        <v>108</v>
      </c>
      <c r="BI8" s="21">
        <v>1.0</v>
      </c>
      <c r="BJ8" s="19" t="s">
        <v>92</v>
      </c>
      <c r="BK8" s="21" t="s">
        <v>109</v>
      </c>
      <c r="BL8" s="19" t="s">
        <v>92</v>
      </c>
      <c r="BM8" s="30">
        <f t="shared" si="9"/>
        <v>17.85</v>
      </c>
      <c r="BN8" s="21">
        <v>15.1</v>
      </c>
      <c r="BO8" s="21">
        <v>20.6</v>
      </c>
      <c r="BP8" s="21" t="s">
        <v>109</v>
      </c>
      <c r="BQ8" s="19" t="s">
        <v>92</v>
      </c>
      <c r="BR8" s="30">
        <f t="shared" si="10"/>
        <v>73.5</v>
      </c>
      <c r="BS8" s="21">
        <v>71.0</v>
      </c>
      <c r="BT8" s="21">
        <v>76.0</v>
      </c>
      <c r="BU8" s="21">
        <v>1.0</v>
      </c>
      <c r="BV8" s="21">
        <v>210000.0</v>
      </c>
      <c r="BW8" s="21" t="s">
        <v>94</v>
      </c>
      <c r="BX8" s="31">
        <f t="shared" si="11"/>
        <v>937</v>
      </c>
      <c r="BY8" s="21">
        <v>339.0</v>
      </c>
      <c r="BZ8" s="21">
        <v>1535.0</v>
      </c>
    </row>
    <row r="9" ht="15.75" customHeight="1">
      <c r="A9" s="19" t="s">
        <v>88</v>
      </c>
      <c r="B9" s="19" t="s">
        <v>89</v>
      </c>
      <c r="C9" s="19">
        <v>2013.0</v>
      </c>
      <c r="D9" s="19" t="str">
        <f t="shared" si="1"/>
        <v>10.1016/j.palaeo.2012.12.025</v>
      </c>
      <c r="E9" s="19">
        <f t="shared" si="2"/>
        <v>23750</v>
      </c>
      <c r="F9" s="19">
        <f t="shared" si="3"/>
        <v>750</v>
      </c>
      <c r="G9" s="19">
        <f t="shared" si="4"/>
        <v>750</v>
      </c>
      <c r="H9" s="20">
        <f t="shared" si="5"/>
        <v>440.5</v>
      </c>
      <c r="I9" s="20">
        <f t="shared" si="6"/>
        <v>183.5</v>
      </c>
      <c r="J9" s="20">
        <f t="shared" si="7"/>
        <v>183.5</v>
      </c>
      <c r="K9" s="19" t="s">
        <v>90</v>
      </c>
      <c r="L9" s="19" t="s">
        <v>91</v>
      </c>
      <c r="M9" s="19" t="s">
        <v>92</v>
      </c>
      <c r="N9" s="19" t="s">
        <v>93</v>
      </c>
      <c r="O9" s="21" t="s">
        <v>94</v>
      </c>
      <c r="P9" s="22" t="s">
        <v>95</v>
      </c>
      <c r="Q9" s="33" t="s">
        <v>127</v>
      </c>
      <c r="R9" s="21" t="s">
        <v>118</v>
      </c>
      <c r="S9" s="21" t="s">
        <v>119</v>
      </c>
      <c r="T9" s="21">
        <v>23.75</v>
      </c>
      <c r="U9" s="21">
        <v>24.5</v>
      </c>
      <c r="V9" s="21">
        <v>23.0</v>
      </c>
      <c r="W9" s="24" t="s">
        <v>94</v>
      </c>
      <c r="X9" s="19" t="s">
        <v>128</v>
      </c>
      <c r="Y9" s="24">
        <v>51.17</v>
      </c>
      <c r="Z9" s="24">
        <v>12.5</v>
      </c>
      <c r="AA9" s="25" t="s">
        <v>94</v>
      </c>
      <c r="AB9" s="25" t="s">
        <v>94</v>
      </c>
      <c r="AC9" s="26" t="s">
        <v>100</v>
      </c>
      <c r="AD9" s="26" t="s">
        <v>101</v>
      </c>
      <c r="AE9" s="26" t="s">
        <v>102</v>
      </c>
      <c r="AF9" s="21" t="s">
        <v>103</v>
      </c>
      <c r="AG9" s="21" t="s">
        <v>104</v>
      </c>
      <c r="AH9" s="21" t="s">
        <v>129</v>
      </c>
      <c r="AI9" s="21">
        <v>97.0</v>
      </c>
      <c r="AJ9" s="21">
        <v>14.1</v>
      </c>
      <c r="AK9" s="21">
        <v>14.28</v>
      </c>
      <c r="AL9" s="19" t="s">
        <v>94</v>
      </c>
      <c r="AM9" s="21">
        <v>14.1</v>
      </c>
      <c r="AN9" s="21">
        <v>0.56</v>
      </c>
      <c r="AO9" s="27">
        <f t="shared" si="8"/>
        <v>7.14</v>
      </c>
      <c r="AP9" s="27" t="s">
        <v>94</v>
      </c>
      <c r="AQ9" s="21">
        <v>57.0</v>
      </c>
      <c r="AR9" s="21">
        <v>4.0</v>
      </c>
      <c r="AS9" s="19" t="s">
        <v>92</v>
      </c>
      <c r="AT9" s="21">
        <v>0.33</v>
      </c>
      <c r="AU9" s="19" t="s">
        <v>106</v>
      </c>
      <c r="AV9" s="28">
        <v>1.571</v>
      </c>
      <c r="AW9" s="19" t="s">
        <v>106</v>
      </c>
      <c r="AX9" s="21">
        <v>130.0</v>
      </c>
      <c r="AY9" s="21">
        <v>-6.21</v>
      </c>
      <c r="AZ9" s="29" t="s">
        <v>107</v>
      </c>
      <c r="BA9" s="21">
        <v>-27.24</v>
      </c>
      <c r="BB9" s="21">
        <v>0.43</v>
      </c>
      <c r="BC9" s="21">
        <v>0.76</v>
      </c>
      <c r="BD9" s="21">
        <v>0.02</v>
      </c>
      <c r="BE9" s="21">
        <v>46.0</v>
      </c>
      <c r="BF9" s="21">
        <v>24.0</v>
      </c>
      <c r="BG9" s="21">
        <v>56.0</v>
      </c>
      <c r="BH9" s="19" t="s">
        <v>108</v>
      </c>
      <c r="BI9" s="21">
        <v>1.0</v>
      </c>
      <c r="BJ9" s="19" t="s">
        <v>92</v>
      </c>
      <c r="BK9" s="21" t="s">
        <v>109</v>
      </c>
      <c r="BL9" s="19" t="s">
        <v>92</v>
      </c>
      <c r="BM9" s="30">
        <f t="shared" si="9"/>
        <v>19.95</v>
      </c>
      <c r="BN9" s="21">
        <v>17.9</v>
      </c>
      <c r="BO9" s="21">
        <v>22.0</v>
      </c>
      <c r="BP9" s="21" t="s">
        <v>109</v>
      </c>
      <c r="BQ9" s="19" t="s">
        <v>92</v>
      </c>
      <c r="BR9" s="30">
        <f t="shared" si="10"/>
        <v>77</v>
      </c>
      <c r="BS9" s="21">
        <v>74.0</v>
      </c>
      <c r="BT9" s="21">
        <v>80.0</v>
      </c>
      <c r="BU9" s="21">
        <v>1.0</v>
      </c>
      <c r="BV9" s="21">
        <v>210000.0</v>
      </c>
      <c r="BW9" s="21" t="s">
        <v>94</v>
      </c>
      <c r="BX9" s="31">
        <f t="shared" si="11"/>
        <v>440.5</v>
      </c>
      <c r="BY9" s="21">
        <v>257.0</v>
      </c>
      <c r="BZ9" s="21">
        <v>624.0</v>
      </c>
    </row>
    <row r="10" ht="15.75" customHeight="1">
      <c r="A10" s="19" t="s">
        <v>88</v>
      </c>
      <c r="B10" s="19" t="s">
        <v>89</v>
      </c>
      <c r="C10" s="19">
        <v>2013.0</v>
      </c>
      <c r="D10" s="19" t="str">
        <f t="shared" si="1"/>
        <v>10.1016/j.palaeo.2012.12.025</v>
      </c>
      <c r="E10" s="19">
        <f t="shared" si="2"/>
        <v>23750</v>
      </c>
      <c r="F10" s="19">
        <f t="shared" si="3"/>
        <v>750</v>
      </c>
      <c r="G10" s="19">
        <f t="shared" si="4"/>
        <v>750</v>
      </c>
      <c r="H10" s="20">
        <f t="shared" si="5"/>
        <v>434.5</v>
      </c>
      <c r="I10" s="20">
        <f t="shared" si="6"/>
        <v>176.5</v>
      </c>
      <c r="J10" s="20">
        <f t="shared" si="7"/>
        <v>176.5</v>
      </c>
      <c r="K10" s="19" t="s">
        <v>90</v>
      </c>
      <c r="L10" s="19" t="s">
        <v>91</v>
      </c>
      <c r="M10" s="19" t="s">
        <v>92</v>
      </c>
      <c r="N10" s="19" t="s">
        <v>93</v>
      </c>
      <c r="O10" s="21" t="s">
        <v>94</v>
      </c>
      <c r="P10" s="22" t="s">
        <v>95</v>
      </c>
      <c r="Q10" s="21" t="s">
        <v>127</v>
      </c>
      <c r="R10" s="21" t="s">
        <v>118</v>
      </c>
      <c r="S10" s="21" t="s">
        <v>119</v>
      </c>
      <c r="T10" s="21">
        <v>23.75</v>
      </c>
      <c r="U10" s="21">
        <v>24.5</v>
      </c>
      <c r="V10" s="21">
        <v>23.0</v>
      </c>
      <c r="W10" s="24" t="s">
        <v>94</v>
      </c>
      <c r="X10" s="19" t="s">
        <v>128</v>
      </c>
      <c r="Y10" s="24">
        <v>51.17</v>
      </c>
      <c r="Z10" s="24">
        <v>12.5</v>
      </c>
      <c r="AA10" s="25" t="s">
        <v>94</v>
      </c>
      <c r="AB10" s="25" t="s">
        <v>94</v>
      </c>
      <c r="AC10" s="21" t="s">
        <v>110</v>
      </c>
      <c r="AD10" s="21" t="s">
        <v>111</v>
      </c>
      <c r="AE10" s="21" t="s">
        <v>112</v>
      </c>
      <c r="AF10" s="21" t="s">
        <v>103</v>
      </c>
      <c r="AG10" s="21" t="s">
        <v>104</v>
      </c>
      <c r="AH10" s="21" t="s">
        <v>130</v>
      </c>
      <c r="AI10" s="19">
        <v>614.0</v>
      </c>
      <c r="AJ10" s="19">
        <v>93.0</v>
      </c>
      <c r="AK10" s="19">
        <v>8.93</v>
      </c>
      <c r="AL10" s="19">
        <v>0.82</v>
      </c>
      <c r="AM10" s="19">
        <v>11.3</v>
      </c>
      <c r="AN10" s="19">
        <v>1.9</v>
      </c>
      <c r="AO10" s="27">
        <f t="shared" si="8"/>
        <v>4.465</v>
      </c>
      <c r="AP10" s="27">
        <f t="shared" ref="AP10:AP14" si="13">AL10/2</f>
        <v>0.41</v>
      </c>
      <c r="AQ10" s="19">
        <v>85.0</v>
      </c>
      <c r="AR10" s="19">
        <v>23.0</v>
      </c>
      <c r="AS10" s="19" t="s">
        <v>92</v>
      </c>
      <c r="AT10" s="21">
        <v>0.33</v>
      </c>
      <c r="AU10" s="19" t="s">
        <v>106</v>
      </c>
      <c r="AV10" s="28">
        <v>1.571</v>
      </c>
      <c r="AW10" s="19" t="s">
        <v>106</v>
      </c>
      <c r="AX10" s="19">
        <v>130.0</v>
      </c>
      <c r="AY10" s="19">
        <v>-6.21</v>
      </c>
      <c r="AZ10" s="29" t="s">
        <v>107</v>
      </c>
      <c r="BA10" s="19">
        <v>-27.62</v>
      </c>
      <c r="BB10" s="19">
        <v>0.43</v>
      </c>
      <c r="BC10" s="19">
        <v>0.78</v>
      </c>
      <c r="BD10" s="19">
        <v>0.02</v>
      </c>
      <c r="BE10" s="19">
        <v>64.0</v>
      </c>
      <c r="BF10" s="19">
        <v>24.0</v>
      </c>
      <c r="BG10" s="19">
        <v>78.0</v>
      </c>
      <c r="BH10" s="19" t="s">
        <v>108</v>
      </c>
      <c r="BI10" s="21">
        <v>1.0</v>
      </c>
      <c r="BJ10" s="19" t="s">
        <v>92</v>
      </c>
      <c r="BK10" s="21" t="s">
        <v>109</v>
      </c>
      <c r="BL10" s="19" t="s">
        <v>92</v>
      </c>
      <c r="BM10" s="30">
        <f t="shared" si="9"/>
        <v>19.95</v>
      </c>
      <c r="BN10" s="21">
        <v>17.9</v>
      </c>
      <c r="BO10" s="21">
        <v>22.0</v>
      </c>
      <c r="BP10" s="21" t="s">
        <v>109</v>
      </c>
      <c r="BQ10" s="19" t="s">
        <v>92</v>
      </c>
      <c r="BR10" s="30">
        <f t="shared" si="10"/>
        <v>77</v>
      </c>
      <c r="BS10" s="21">
        <v>74.0</v>
      </c>
      <c r="BT10" s="21">
        <v>80.0</v>
      </c>
      <c r="BU10" s="21">
        <v>1.0</v>
      </c>
      <c r="BV10" s="21">
        <v>210000.0</v>
      </c>
      <c r="BW10" s="21" t="s">
        <v>94</v>
      </c>
      <c r="BX10" s="31">
        <f t="shared" si="11"/>
        <v>434.5</v>
      </c>
      <c r="BY10" s="21">
        <v>258.0</v>
      </c>
      <c r="BZ10" s="21">
        <v>611.0</v>
      </c>
    </row>
    <row r="11" ht="15.75" customHeight="1">
      <c r="A11" s="19" t="s">
        <v>88</v>
      </c>
      <c r="B11" s="19" t="s">
        <v>89</v>
      </c>
      <c r="C11" s="19">
        <v>2013.0</v>
      </c>
      <c r="D11" s="19" t="str">
        <f t="shared" si="1"/>
        <v>10.1016/j.palaeo.2012.12.025</v>
      </c>
      <c r="E11" s="19">
        <f t="shared" si="2"/>
        <v>23750</v>
      </c>
      <c r="F11" s="19">
        <f t="shared" si="3"/>
        <v>750</v>
      </c>
      <c r="G11" s="19">
        <f t="shared" si="4"/>
        <v>750</v>
      </c>
      <c r="H11" s="20">
        <f t="shared" si="5"/>
        <v>1073</v>
      </c>
      <c r="I11" s="20">
        <f t="shared" si="6"/>
        <v>677</v>
      </c>
      <c r="J11" s="20">
        <f t="shared" si="7"/>
        <v>677</v>
      </c>
      <c r="K11" s="19" t="s">
        <v>90</v>
      </c>
      <c r="L11" s="19" t="s">
        <v>91</v>
      </c>
      <c r="M11" s="19" t="s">
        <v>92</v>
      </c>
      <c r="N11" s="19" t="s">
        <v>93</v>
      </c>
      <c r="O11" s="21" t="s">
        <v>94</v>
      </c>
      <c r="P11" s="22" t="s">
        <v>95</v>
      </c>
      <c r="Q11" s="21" t="s">
        <v>127</v>
      </c>
      <c r="R11" s="21" t="s">
        <v>118</v>
      </c>
      <c r="S11" s="21" t="s">
        <v>119</v>
      </c>
      <c r="T11" s="21">
        <v>23.75</v>
      </c>
      <c r="U11" s="21">
        <v>24.5</v>
      </c>
      <c r="V11" s="21">
        <v>23.0</v>
      </c>
      <c r="W11" s="24" t="s">
        <v>94</v>
      </c>
      <c r="X11" s="19" t="s">
        <v>128</v>
      </c>
      <c r="Y11" s="24">
        <v>51.17</v>
      </c>
      <c r="Z11" s="24">
        <v>12.5</v>
      </c>
      <c r="AA11" s="25" t="s">
        <v>94</v>
      </c>
      <c r="AB11" s="25" t="s">
        <v>94</v>
      </c>
      <c r="AC11" s="19" t="s">
        <v>122</v>
      </c>
      <c r="AD11" s="19" t="s">
        <v>123</v>
      </c>
      <c r="AE11" s="19" t="s">
        <v>131</v>
      </c>
      <c r="AF11" s="21" t="s">
        <v>103</v>
      </c>
      <c r="AG11" s="21" t="s">
        <v>104</v>
      </c>
      <c r="AH11" s="21" t="s">
        <v>132</v>
      </c>
      <c r="AI11" s="21">
        <v>297.0</v>
      </c>
      <c r="AJ11" s="21">
        <v>21.8</v>
      </c>
      <c r="AK11" s="21">
        <v>6.73</v>
      </c>
      <c r="AL11" s="21">
        <v>0.66</v>
      </c>
      <c r="AM11" s="21">
        <v>21.8</v>
      </c>
      <c r="AN11" s="21">
        <v>1.4</v>
      </c>
      <c r="AO11" s="27">
        <f t="shared" si="8"/>
        <v>3.365</v>
      </c>
      <c r="AP11" s="27">
        <f t="shared" si="13"/>
        <v>0.33</v>
      </c>
      <c r="AQ11" s="21">
        <v>90.0</v>
      </c>
      <c r="AR11" s="21">
        <v>8.0</v>
      </c>
      <c r="AS11" s="19" t="s">
        <v>126</v>
      </c>
      <c r="AT11" s="21">
        <v>0.33</v>
      </c>
      <c r="AU11" s="19" t="s">
        <v>106</v>
      </c>
      <c r="AV11" s="28">
        <v>1.571</v>
      </c>
      <c r="AW11" s="19" t="s">
        <v>106</v>
      </c>
      <c r="AX11" s="21">
        <v>53.0</v>
      </c>
      <c r="AY11" s="21">
        <v>-6.21</v>
      </c>
      <c r="AZ11" s="29" t="s">
        <v>107</v>
      </c>
      <c r="BA11" s="21">
        <v>-28.58</v>
      </c>
      <c r="BB11" s="21">
        <v>1.52</v>
      </c>
      <c r="BC11" s="21">
        <v>0.82</v>
      </c>
      <c r="BD11" s="21">
        <v>0.07</v>
      </c>
      <c r="BE11" s="19">
        <v>40.0</v>
      </c>
      <c r="BF11" s="19">
        <v>28.0</v>
      </c>
      <c r="BG11" s="19">
        <v>53.0</v>
      </c>
      <c r="BH11" s="19" t="s">
        <v>108</v>
      </c>
      <c r="BI11" s="21">
        <v>1.0</v>
      </c>
      <c r="BJ11" s="19" t="s">
        <v>92</v>
      </c>
      <c r="BK11" s="21" t="s">
        <v>109</v>
      </c>
      <c r="BL11" s="19" t="s">
        <v>92</v>
      </c>
      <c r="BM11" s="30">
        <f t="shared" si="9"/>
        <v>19.95</v>
      </c>
      <c r="BN11" s="21">
        <v>17.9</v>
      </c>
      <c r="BO11" s="21">
        <v>22.0</v>
      </c>
      <c r="BP11" s="21" t="s">
        <v>109</v>
      </c>
      <c r="BQ11" s="19" t="s">
        <v>92</v>
      </c>
      <c r="BR11" s="30">
        <f t="shared" si="10"/>
        <v>77</v>
      </c>
      <c r="BS11" s="21">
        <v>74.0</v>
      </c>
      <c r="BT11" s="21">
        <v>80.0</v>
      </c>
      <c r="BU11" s="21">
        <v>1.0</v>
      </c>
      <c r="BV11" s="21">
        <v>210000.0</v>
      </c>
      <c r="BW11" s="21" t="s">
        <v>94</v>
      </c>
      <c r="BX11" s="31">
        <f t="shared" si="11"/>
        <v>1073</v>
      </c>
      <c r="BY11" s="21">
        <v>396.0</v>
      </c>
      <c r="BZ11" s="21">
        <v>1750.0</v>
      </c>
    </row>
    <row r="12" ht="15.75" customHeight="1">
      <c r="A12" s="19" t="s">
        <v>88</v>
      </c>
      <c r="B12" s="19" t="s">
        <v>89</v>
      </c>
      <c r="C12" s="19">
        <v>2013.0</v>
      </c>
      <c r="D12" s="19" t="str">
        <f t="shared" si="1"/>
        <v>10.1016/j.palaeo.2012.12.025</v>
      </c>
      <c r="E12" s="19">
        <f t="shared" si="2"/>
        <v>23750</v>
      </c>
      <c r="F12" s="19">
        <f t="shared" si="3"/>
        <v>750</v>
      </c>
      <c r="G12" s="19">
        <f t="shared" si="4"/>
        <v>750</v>
      </c>
      <c r="H12" s="20">
        <f t="shared" si="5"/>
        <v>990.5</v>
      </c>
      <c r="I12" s="20">
        <f t="shared" si="6"/>
        <v>520.5</v>
      </c>
      <c r="J12" s="20">
        <f t="shared" si="7"/>
        <v>520.5</v>
      </c>
      <c r="K12" s="19" t="s">
        <v>90</v>
      </c>
      <c r="L12" s="19" t="s">
        <v>91</v>
      </c>
      <c r="M12" s="19" t="s">
        <v>92</v>
      </c>
      <c r="N12" s="19" t="s">
        <v>93</v>
      </c>
      <c r="O12" s="21" t="s">
        <v>94</v>
      </c>
      <c r="P12" s="22" t="s">
        <v>95</v>
      </c>
      <c r="Q12" s="21" t="s">
        <v>127</v>
      </c>
      <c r="R12" s="21" t="s">
        <v>118</v>
      </c>
      <c r="S12" s="21" t="s">
        <v>119</v>
      </c>
      <c r="T12" s="21">
        <v>23.75</v>
      </c>
      <c r="U12" s="21">
        <v>24.5</v>
      </c>
      <c r="V12" s="21">
        <v>23.0</v>
      </c>
      <c r="W12" s="24" t="s">
        <v>94</v>
      </c>
      <c r="X12" s="19" t="s">
        <v>128</v>
      </c>
      <c r="Y12" s="24">
        <v>51.17</v>
      </c>
      <c r="Z12" s="24">
        <v>12.5</v>
      </c>
      <c r="AA12" s="25" t="s">
        <v>94</v>
      </c>
      <c r="AB12" s="25" t="s">
        <v>94</v>
      </c>
      <c r="AC12" s="19" t="s">
        <v>122</v>
      </c>
      <c r="AD12" s="19" t="s">
        <v>123</v>
      </c>
      <c r="AE12" s="19" t="s">
        <v>124</v>
      </c>
      <c r="AF12" s="21" t="s">
        <v>103</v>
      </c>
      <c r="AG12" s="21" t="s">
        <v>104</v>
      </c>
      <c r="AH12" s="21" t="s">
        <v>133</v>
      </c>
      <c r="AI12" s="21">
        <v>261.0</v>
      </c>
      <c r="AJ12" s="21">
        <v>49.0</v>
      </c>
      <c r="AK12" s="21">
        <v>6.06</v>
      </c>
      <c r="AL12" s="21">
        <v>0.34</v>
      </c>
      <c r="AM12" s="21">
        <v>21.8</v>
      </c>
      <c r="AN12" s="21">
        <v>1.4</v>
      </c>
      <c r="AO12" s="27">
        <f t="shared" si="8"/>
        <v>3.03</v>
      </c>
      <c r="AP12" s="27">
        <f t="shared" si="13"/>
        <v>0.17</v>
      </c>
      <c r="AQ12" s="21">
        <v>90.0</v>
      </c>
      <c r="AR12" s="21">
        <v>8.0</v>
      </c>
      <c r="AS12" s="19" t="s">
        <v>126</v>
      </c>
      <c r="AT12" s="21">
        <v>0.33</v>
      </c>
      <c r="AU12" s="19" t="s">
        <v>106</v>
      </c>
      <c r="AV12" s="28">
        <v>1.571</v>
      </c>
      <c r="AW12" s="19" t="s">
        <v>106</v>
      </c>
      <c r="AX12" s="21">
        <v>68.0</v>
      </c>
      <c r="AY12" s="21">
        <v>-6.21</v>
      </c>
      <c r="AZ12" s="29" t="s">
        <v>107</v>
      </c>
      <c r="BA12" s="21">
        <v>-27.87</v>
      </c>
      <c r="BB12" s="21">
        <v>0.79</v>
      </c>
      <c r="BC12" s="21">
        <v>0.79</v>
      </c>
      <c r="BD12" s="21">
        <v>0.04</v>
      </c>
      <c r="BE12" s="19">
        <v>40.0</v>
      </c>
      <c r="BF12" s="19">
        <v>28.0</v>
      </c>
      <c r="BG12" s="19">
        <v>53.0</v>
      </c>
      <c r="BH12" s="19" t="s">
        <v>108</v>
      </c>
      <c r="BI12" s="21">
        <v>1.0</v>
      </c>
      <c r="BJ12" s="19" t="s">
        <v>92</v>
      </c>
      <c r="BK12" s="21" t="s">
        <v>109</v>
      </c>
      <c r="BL12" s="19" t="s">
        <v>92</v>
      </c>
      <c r="BM12" s="30">
        <f t="shared" si="9"/>
        <v>19.95</v>
      </c>
      <c r="BN12" s="21">
        <v>17.9</v>
      </c>
      <c r="BO12" s="21">
        <v>22.0</v>
      </c>
      <c r="BP12" s="21" t="s">
        <v>109</v>
      </c>
      <c r="BQ12" s="19" t="s">
        <v>92</v>
      </c>
      <c r="BR12" s="30">
        <f t="shared" si="10"/>
        <v>77</v>
      </c>
      <c r="BS12" s="21">
        <v>74.0</v>
      </c>
      <c r="BT12" s="21">
        <v>80.0</v>
      </c>
      <c r="BU12" s="21">
        <v>1.0</v>
      </c>
      <c r="BV12" s="21">
        <v>210000.0</v>
      </c>
      <c r="BW12" s="21" t="s">
        <v>94</v>
      </c>
      <c r="BX12" s="31">
        <f t="shared" si="11"/>
        <v>990.5</v>
      </c>
      <c r="BY12" s="21">
        <v>470.0</v>
      </c>
      <c r="BZ12" s="21">
        <v>1511.0</v>
      </c>
    </row>
    <row r="13" ht="15.75" customHeight="1">
      <c r="A13" s="19" t="s">
        <v>88</v>
      </c>
      <c r="B13" s="19" t="s">
        <v>89</v>
      </c>
      <c r="C13" s="19">
        <v>2013.0</v>
      </c>
      <c r="D13" s="19" t="str">
        <f t="shared" si="1"/>
        <v>10.1016/j.palaeo.2012.12.025</v>
      </c>
      <c r="E13" s="19">
        <f t="shared" si="2"/>
        <v>17400</v>
      </c>
      <c r="F13" s="19">
        <f t="shared" si="3"/>
        <v>200</v>
      </c>
      <c r="G13" s="19">
        <f t="shared" si="4"/>
        <v>200</v>
      </c>
      <c r="H13" s="20">
        <f t="shared" si="5"/>
        <v>402</v>
      </c>
      <c r="I13" s="20">
        <f t="shared" si="6"/>
        <v>164</v>
      </c>
      <c r="J13" s="20">
        <f t="shared" si="7"/>
        <v>164</v>
      </c>
      <c r="K13" s="19" t="s">
        <v>90</v>
      </c>
      <c r="L13" s="19" t="s">
        <v>91</v>
      </c>
      <c r="M13" s="19" t="s">
        <v>92</v>
      </c>
      <c r="N13" s="19" t="s">
        <v>93</v>
      </c>
      <c r="O13" s="21" t="s">
        <v>94</v>
      </c>
      <c r="P13" s="19" t="s">
        <v>134</v>
      </c>
      <c r="Q13" s="21" t="s">
        <v>135</v>
      </c>
      <c r="R13" s="21" t="s">
        <v>94</v>
      </c>
      <c r="S13" s="21" t="s">
        <v>136</v>
      </c>
      <c r="T13" s="19">
        <f t="shared" ref="T13:T14" si="14">AVERAGE(U13:V13)</f>
        <v>17.4</v>
      </c>
      <c r="U13" s="21">
        <v>17.6</v>
      </c>
      <c r="V13" s="21">
        <v>17.2</v>
      </c>
      <c r="W13" s="24" t="s">
        <v>94</v>
      </c>
      <c r="X13" s="19" t="s">
        <v>137</v>
      </c>
      <c r="Y13" s="24">
        <v>47.0</v>
      </c>
      <c r="Z13" s="24">
        <v>15.5</v>
      </c>
      <c r="AA13" s="25" t="s">
        <v>94</v>
      </c>
      <c r="AB13" s="25" t="s">
        <v>94</v>
      </c>
      <c r="AC13" s="21" t="s">
        <v>110</v>
      </c>
      <c r="AD13" s="21" t="s">
        <v>114</v>
      </c>
      <c r="AE13" s="21" t="s">
        <v>138</v>
      </c>
      <c r="AF13" s="21" t="s">
        <v>103</v>
      </c>
      <c r="AG13" s="21" t="s">
        <v>104</v>
      </c>
      <c r="AH13" s="21" t="s">
        <v>139</v>
      </c>
      <c r="AI13" s="19">
        <v>298.0</v>
      </c>
      <c r="AJ13" s="19">
        <v>78.0</v>
      </c>
      <c r="AK13" s="19">
        <v>18.32</v>
      </c>
      <c r="AL13" s="19">
        <v>2.84</v>
      </c>
      <c r="AM13" s="19">
        <v>15.4</v>
      </c>
      <c r="AN13" s="19">
        <v>2.1</v>
      </c>
      <c r="AO13" s="27">
        <f t="shared" si="8"/>
        <v>9.16</v>
      </c>
      <c r="AP13" s="27">
        <f t="shared" si="13"/>
        <v>1.42</v>
      </c>
      <c r="AQ13" s="19">
        <v>88.0</v>
      </c>
      <c r="AR13" s="19">
        <v>28.0</v>
      </c>
      <c r="AS13" s="19" t="s">
        <v>92</v>
      </c>
      <c r="AT13" s="21">
        <v>0.33</v>
      </c>
      <c r="AU13" s="19" t="s">
        <v>106</v>
      </c>
      <c r="AV13" s="28">
        <v>1.571</v>
      </c>
      <c r="AW13" s="19" t="s">
        <v>106</v>
      </c>
      <c r="AX13" s="19">
        <v>155.0</v>
      </c>
      <c r="AY13" s="19">
        <v>-5.89</v>
      </c>
      <c r="AZ13" s="29" t="s">
        <v>107</v>
      </c>
      <c r="BA13" s="19">
        <v>-27.27</v>
      </c>
      <c r="BB13" s="19">
        <v>1.43</v>
      </c>
      <c r="BC13" s="19">
        <v>0.78</v>
      </c>
      <c r="BD13" s="19">
        <v>0.07</v>
      </c>
      <c r="BE13" s="19">
        <v>63.0</v>
      </c>
      <c r="BF13" s="19">
        <v>24.0</v>
      </c>
      <c r="BG13" s="19">
        <v>78.0</v>
      </c>
      <c r="BH13" s="19" t="s">
        <v>108</v>
      </c>
      <c r="BI13" s="21">
        <v>1.0</v>
      </c>
      <c r="BJ13" s="19" t="s">
        <v>92</v>
      </c>
      <c r="BK13" s="21" t="s">
        <v>109</v>
      </c>
      <c r="BL13" s="19" t="s">
        <v>92</v>
      </c>
      <c r="BM13" s="30">
        <f t="shared" si="9"/>
        <v>19.3</v>
      </c>
      <c r="BN13" s="19">
        <v>17.2</v>
      </c>
      <c r="BO13" s="19">
        <v>21.4</v>
      </c>
      <c r="BP13" s="21" t="s">
        <v>109</v>
      </c>
      <c r="BQ13" s="19" t="s">
        <v>92</v>
      </c>
      <c r="BR13" s="30">
        <f t="shared" si="10"/>
        <v>75</v>
      </c>
      <c r="BS13" s="19">
        <v>74.0</v>
      </c>
      <c r="BT13" s="19">
        <v>76.0</v>
      </c>
      <c r="BU13" s="21">
        <v>1.0</v>
      </c>
      <c r="BV13" s="21">
        <v>210000.0</v>
      </c>
      <c r="BW13" s="21" t="s">
        <v>94</v>
      </c>
      <c r="BX13" s="31">
        <f t="shared" si="11"/>
        <v>402</v>
      </c>
      <c r="BY13" s="21">
        <v>238.0</v>
      </c>
      <c r="BZ13" s="21">
        <v>566.0</v>
      </c>
    </row>
    <row r="14" ht="15.75" customHeight="1">
      <c r="A14" s="19" t="s">
        <v>88</v>
      </c>
      <c r="B14" s="19" t="s">
        <v>89</v>
      </c>
      <c r="C14" s="19">
        <v>2013.0</v>
      </c>
      <c r="D14" s="19" t="str">
        <f t="shared" si="1"/>
        <v>10.1016/j.palaeo.2012.12.025</v>
      </c>
      <c r="E14" s="19">
        <f t="shared" si="2"/>
        <v>19000</v>
      </c>
      <c r="F14" s="19">
        <f t="shared" si="3"/>
        <v>500</v>
      </c>
      <c r="G14" s="19">
        <f t="shared" si="4"/>
        <v>500</v>
      </c>
      <c r="H14" s="20">
        <f t="shared" si="5"/>
        <v>589.5</v>
      </c>
      <c r="I14" s="20">
        <f t="shared" si="6"/>
        <v>190.5</v>
      </c>
      <c r="J14" s="20">
        <f t="shared" si="7"/>
        <v>190.5</v>
      </c>
      <c r="K14" s="19" t="s">
        <v>90</v>
      </c>
      <c r="L14" s="19" t="s">
        <v>91</v>
      </c>
      <c r="M14" s="19" t="s">
        <v>92</v>
      </c>
      <c r="N14" s="19" t="s">
        <v>93</v>
      </c>
      <c r="O14" s="21" t="s">
        <v>94</v>
      </c>
      <c r="P14" s="22" t="s">
        <v>95</v>
      </c>
      <c r="Q14" s="21" t="s">
        <v>140</v>
      </c>
      <c r="R14" s="21" t="s">
        <v>94</v>
      </c>
      <c r="S14" s="21" t="s">
        <v>141</v>
      </c>
      <c r="T14" s="19">
        <f t="shared" si="14"/>
        <v>19</v>
      </c>
      <c r="U14" s="21">
        <v>19.5</v>
      </c>
      <c r="V14" s="21">
        <v>18.5</v>
      </c>
      <c r="W14" s="24" t="s">
        <v>94</v>
      </c>
      <c r="X14" s="19" t="s">
        <v>142</v>
      </c>
      <c r="Y14" s="24">
        <v>51.0</v>
      </c>
      <c r="Z14" s="24">
        <v>14.0</v>
      </c>
      <c r="AA14" s="25" t="s">
        <v>94</v>
      </c>
      <c r="AB14" s="25" t="s">
        <v>94</v>
      </c>
      <c r="AC14" s="19" t="s">
        <v>122</v>
      </c>
      <c r="AD14" s="19" t="s">
        <v>123</v>
      </c>
      <c r="AE14" s="19" t="s">
        <v>131</v>
      </c>
      <c r="AF14" s="21" t="s">
        <v>103</v>
      </c>
      <c r="AG14" s="21" t="s">
        <v>104</v>
      </c>
      <c r="AH14" s="21" t="s">
        <v>143</v>
      </c>
      <c r="AI14" s="21">
        <v>305.0</v>
      </c>
      <c r="AJ14" s="21">
        <v>55.0</v>
      </c>
      <c r="AK14" s="21">
        <v>5.39</v>
      </c>
      <c r="AL14" s="21">
        <v>0.43</v>
      </c>
      <c r="AM14" s="21">
        <v>21.8</v>
      </c>
      <c r="AN14" s="21">
        <v>1.4</v>
      </c>
      <c r="AO14" s="27">
        <f t="shared" si="8"/>
        <v>2.695</v>
      </c>
      <c r="AP14" s="27">
        <f t="shared" si="13"/>
        <v>0.215</v>
      </c>
      <c r="AQ14" s="21">
        <v>90.0</v>
      </c>
      <c r="AR14" s="21">
        <v>8.0</v>
      </c>
      <c r="AS14" s="19" t="s">
        <v>126</v>
      </c>
      <c r="AT14" s="21">
        <v>0.33</v>
      </c>
      <c r="AU14" s="19" t="s">
        <v>106</v>
      </c>
      <c r="AV14" s="28">
        <v>1.571</v>
      </c>
      <c r="AW14" s="19" t="s">
        <v>106</v>
      </c>
      <c r="AX14" s="21">
        <v>80.0</v>
      </c>
      <c r="AY14" s="21">
        <v>-5.76</v>
      </c>
      <c r="AZ14" s="29" t="s">
        <v>107</v>
      </c>
      <c r="BA14" s="21">
        <v>-25.9</v>
      </c>
      <c r="BB14" s="21">
        <v>0.22</v>
      </c>
      <c r="BC14" s="21">
        <v>0.72</v>
      </c>
      <c r="BD14" s="21">
        <v>0.01</v>
      </c>
      <c r="BE14" s="19">
        <v>35.0</v>
      </c>
      <c r="BF14" s="19">
        <v>28.0</v>
      </c>
      <c r="BG14" s="19">
        <v>53.0</v>
      </c>
      <c r="BH14" s="19" t="s">
        <v>108</v>
      </c>
      <c r="BI14" s="21">
        <v>1.0</v>
      </c>
      <c r="BJ14" s="19" t="s">
        <v>92</v>
      </c>
      <c r="BK14" s="21" t="s">
        <v>109</v>
      </c>
      <c r="BL14" s="19" t="s">
        <v>92</v>
      </c>
      <c r="BM14" s="30">
        <f t="shared" si="9"/>
        <v>19.9</v>
      </c>
      <c r="BN14" s="19">
        <v>17.6</v>
      </c>
      <c r="BO14" s="19">
        <v>22.2</v>
      </c>
      <c r="BP14" s="21" t="s">
        <v>109</v>
      </c>
      <c r="BQ14" s="19" t="s">
        <v>92</v>
      </c>
      <c r="BR14" s="30">
        <f t="shared" si="10"/>
        <v>74</v>
      </c>
      <c r="BS14" s="19">
        <v>72.0</v>
      </c>
      <c r="BT14" s="19">
        <v>76.0</v>
      </c>
      <c r="BU14" s="21">
        <v>1.0</v>
      </c>
      <c r="BV14" s="21">
        <v>210000.0</v>
      </c>
      <c r="BW14" s="21" t="s">
        <v>94</v>
      </c>
      <c r="BX14" s="31">
        <f t="shared" si="11"/>
        <v>589.5</v>
      </c>
      <c r="BY14" s="21">
        <v>399.0</v>
      </c>
      <c r="BZ14" s="21">
        <v>780.0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 ht="15.75" customHeight="1">
      <c r="A1" s="19" t="s">
        <v>144</v>
      </c>
    </row>
    <row r="2" ht="15.75" customHeight="1">
      <c r="A2" s="19" t="s">
        <v>145</v>
      </c>
    </row>
    <row r="3" ht="15.75" customHeight="1">
      <c r="A3" s="19" t="s">
        <v>146</v>
      </c>
    </row>
    <row r="4" ht="15.75" customHeight="1"/>
    <row r="5" ht="15.75" customHeight="1">
      <c r="A5" s="22" t="s">
        <v>147</v>
      </c>
    </row>
    <row r="6" ht="15.75" customHeight="1">
      <c r="A6" s="22" t="s">
        <v>148</v>
      </c>
    </row>
    <row r="7" ht="15.75" customHeight="1">
      <c r="A7" s="22" t="s">
        <v>149</v>
      </c>
    </row>
    <row r="8" ht="15.75" customHeight="1">
      <c r="A8" s="22" t="s">
        <v>150</v>
      </c>
    </row>
    <row r="9" ht="15.75" customHeight="1">
      <c r="A9" s="22" t="s">
        <v>151</v>
      </c>
    </row>
    <row r="10" ht="15.75" customHeight="1">
      <c r="A10" s="22" t="s">
        <v>152</v>
      </c>
    </row>
    <row r="11" ht="15.75" customHeight="1">
      <c r="A11" s="22" t="s">
        <v>153</v>
      </c>
    </row>
    <row r="12" ht="15.75" customHeight="1">
      <c r="A12" s="22" t="s">
        <v>154</v>
      </c>
    </row>
    <row r="13" ht="15.75" customHeight="1">
      <c r="A13" s="22" t="s">
        <v>155</v>
      </c>
    </row>
    <row r="14" ht="15.75" customHeight="1">
      <c r="A14" s="22" t="s">
        <v>156</v>
      </c>
    </row>
    <row r="15" ht="15.75" customHeight="1">
      <c r="A15" s="22" t="s">
        <v>157</v>
      </c>
    </row>
    <row r="16" ht="15.75" customHeight="1">
      <c r="A16" s="22" t="s">
        <v>158</v>
      </c>
    </row>
    <row r="17" ht="15.75" customHeight="1">
      <c r="A17" s="19" t="s">
        <v>159</v>
      </c>
    </row>
    <row r="18" ht="15.75" customHeight="1"/>
    <row r="19" ht="15.75" customHeight="1">
      <c r="A19" s="34" t="s">
        <v>160</v>
      </c>
    </row>
    <row r="20" ht="15.75" customHeight="1">
      <c r="A20" s="34" t="s">
        <v>161</v>
      </c>
    </row>
    <row r="21" ht="15.75" customHeight="1">
      <c r="A21" s="34" t="s">
        <v>162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2017-12-08T17:20:22Z</dcterms:created>
  <dc:creator>Bärbel Hönisch</dc:creator>
</cp:coreProperties>
</file>