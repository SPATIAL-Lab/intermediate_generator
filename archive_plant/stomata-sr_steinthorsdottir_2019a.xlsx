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droyer\Desktop\"/>
    </mc:Choice>
  </mc:AlternateContent>
  <xr:revisionPtr revIDLastSave="0" documentId="13_ncr:1_{EB02BF66-F7CD-4880-B3A2-828668F5E79E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stomatal ratio" sheetId="1" r:id="rId1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I5" i="1" l="1"/>
  <c r="J5" i="1"/>
  <c r="I6" i="1"/>
  <c r="J6" i="1"/>
  <c r="J4" i="1"/>
  <c r="I4" i="1"/>
  <c r="H6" i="1" l="1"/>
  <c r="G6" i="1"/>
  <c r="F6" i="1"/>
  <c r="E6" i="1"/>
  <c r="D6" i="1"/>
  <c r="H5" i="1"/>
  <c r="G5" i="1"/>
  <c r="F5" i="1"/>
  <c r="E5" i="1"/>
  <c r="D5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<sst xmlns="http://schemas.openxmlformats.org/spreadsheetml/2006/main" count="164" uniqueCount="103">
  <si>
    <t>Laurus nobilis</t>
    <phoneticPr fontId="3" type="noConversion"/>
  </si>
  <si>
    <t>SI = 18.32</t>
    <phoneticPr fontId="3" type="noConversion"/>
  </si>
  <si>
    <t>Modern</t>
    <phoneticPr fontId="3" type="noConversion"/>
  </si>
  <si>
    <t>Dunstan</t>
    <phoneticPr fontId="3" type="noConversion"/>
  </si>
  <si>
    <t>Gore Lignite Meaasures</t>
    <phoneticPr fontId="3" type="noConversion"/>
  </si>
  <si>
    <t>Waipiate Volcanic group</t>
    <phoneticPr fontId="3" type="noConversion"/>
  </si>
  <si>
    <t>Margret Steinthorsdottir</t>
    <phoneticPr fontId="3" type="noConversion"/>
  </si>
  <si>
    <t>Grey Lake</t>
    <phoneticPr fontId="3" type="noConversion"/>
  </si>
  <si>
    <t>Lauraceae</t>
    <phoneticPr fontId="3" type="noConversion"/>
  </si>
  <si>
    <t>Early Miocene</t>
    <phoneticPr fontId="3" type="noConversion"/>
  </si>
  <si>
    <t>Palynology</t>
    <phoneticPr fontId="3" type="noConversion"/>
  </si>
  <si>
    <t xml:space="preserve">0.09 mm2 </t>
    <phoneticPr fontId="3" type="noConversion"/>
  </si>
  <si>
    <t>Margret Steinthorsdottir</t>
    <phoneticPr fontId="3" type="noConversion"/>
  </si>
  <si>
    <t>Image</t>
    <phoneticPr fontId="3" type="noConversion"/>
  </si>
  <si>
    <t xml:space="preserve">0.09 mm2 </t>
    <phoneticPr fontId="3" type="noConversion"/>
  </si>
  <si>
    <t>Image</t>
    <phoneticPr fontId="3" type="noConversion"/>
  </si>
  <si>
    <t>Laurus nobilis</t>
    <phoneticPr fontId="3" type="noConversion"/>
  </si>
  <si>
    <t>SI = 18.32</t>
    <phoneticPr fontId="3" type="noConversion"/>
  </si>
  <si>
    <t>Modern</t>
    <phoneticPr fontId="3" type="noConversion"/>
  </si>
  <si>
    <t>Mataura River</t>
    <phoneticPr fontId="3" type="noConversion"/>
  </si>
  <si>
    <t>Lauraceae</t>
    <phoneticPr fontId="3" type="noConversion"/>
  </si>
  <si>
    <t>Earliest Miocene</t>
    <phoneticPr fontId="3" type="noConversion"/>
  </si>
  <si>
    <t>Palynology</t>
    <phoneticPr fontId="3" type="noConversion"/>
  </si>
  <si>
    <t>Radiometric</t>
    <phoneticPr fontId="3" type="noConversion"/>
  </si>
  <si>
    <t>10.1016/j.palaeo.2018.01.039</t>
  </si>
  <si>
    <t>Number of leaves/leaf fragments</t>
    <phoneticPr fontId="3" type="noConversion"/>
  </si>
  <si>
    <t>NLE 
SD/SI 
value</t>
    <phoneticPr fontId="3" type="noConversion"/>
  </si>
  <si>
    <t>Standardization (Modern or Carboniferous)</t>
    <phoneticPr fontId="3" type="noConversion"/>
  </si>
  <si>
    <t>Remarks</t>
    <phoneticPr fontId="3" type="noConversion"/>
  </si>
  <si>
    <t>Lauraceae</t>
    <phoneticPr fontId="3" type="noConversion"/>
  </si>
  <si>
    <t>Foulden Maar</t>
    <phoneticPr fontId="3" type="noConversion"/>
  </si>
  <si>
    <t>Oligocene-Miocene transition</t>
    <phoneticPr fontId="3" type="noConversion"/>
  </si>
  <si>
    <t>person who entered data</t>
  </si>
  <si>
    <t>doi</t>
  </si>
  <si>
    <t>Sample
name</t>
  </si>
  <si>
    <t>Family</t>
  </si>
  <si>
    <t>Genus</t>
  </si>
  <si>
    <t>Species</t>
  </si>
  <si>
    <t>Sample
Repository</t>
  </si>
  <si>
    <t>Geologic
Formation</t>
  </si>
  <si>
    <t>Stratigraphic Level</t>
  </si>
  <si>
    <t>Age (Ma)</t>
  </si>
  <si>
    <t>Age uncertainty, old (Ma)</t>
  </si>
  <si>
    <t>Age uncertainty, young (Ma)</t>
  </si>
  <si>
    <t>Age scale (GTS20XX)</t>
  </si>
  <si>
    <t>How was age determined?</t>
  </si>
  <si>
    <t>Number of stomatal counts per leaf sample</t>
  </si>
  <si>
    <t>Counting box dimensions
(µm × µm)</t>
  </si>
  <si>
    <t># Stomata</t>
  </si>
  <si>
    <t># Epidermal Cells</t>
  </si>
  <si>
    <t>Nearest 
Living
Equivalent
species</t>
  </si>
  <si>
    <t>What is the uncertainty range?</t>
  </si>
  <si>
    <t>proxy</t>
  </si>
  <si>
    <t>first_author_last_name</t>
  </si>
  <si>
    <t>publication_year</t>
  </si>
  <si>
    <t>age_ka</t>
  </si>
  <si>
    <t>Age_uncertainty_pos_ka</t>
  </si>
  <si>
    <t>Age_uncertainty_neg_ka</t>
  </si>
  <si>
    <t>stomata-SR</t>
  </si>
  <si>
    <t>Steinthorsdottir</t>
  </si>
  <si>
    <t>Steinthorsdottir, M., Vajda, V., and Pole, M., 2019, Significant transient pCO2 perturbation at the New Zealand Oligocene-Miocene transition recorded by fossil plant stomata: Palaeogeography, Palaeoclimatology, Palaeoecology, v. 515, p. 152-161.</t>
  </si>
  <si>
    <t>estimates of CO2 were also made using the stomatal index proxy with the same fossil leaves</t>
  </si>
  <si>
    <t>CO2_ppm</t>
  </si>
  <si>
    <t>CO2_uncertainty_pos_ppm</t>
  </si>
  <si>
    <t>NA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</si>
  <si>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</si>
  <si>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</si>
  <si>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</si>
  <si>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</si>
  <si>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margret.stein@gmail.com</t>
  </si>
  <si>
    <t>email of individual entering the data</t>
  </si>
  <si>
    <t>Paleo Latitude (decimal degree, south negative)</t>
  </si>
  <si>
    <t>Paleo Longitude (decimal degree, west negative)</t>
  </si>
  <si>
    <t>Note: columns D-J autopopulate, enter data in all other columns</t>
  </si>
  <si>
    <t>type in your name</t>
  </si>
  <si>
    <t>Full citation (format is flexible)</t>
  </si>
  <si>
    <t>e.g., specimen or site number</t>
  </si>
  <si>
    <t>Where are the fossils?</t>
  </si>
  <si>
    <t>e.g., meter level</t>
  </si>
  <si>
    <t>Give as an absolute age (not +/-)</t>
  </si>
  <si>
    <t>important for sites constrained by biostrat</t>
  </si>
  <si>
    <t>Provide a general description; add an extra tab (worksheet) with detailed information, if needed (e.g., a detailed stratigraphic section)</t>
  </si>
  <si>
    <t>you probably don't know this</t>
  </si>
  <si>
    <t># of field-of-views</t>
  </si>
  <si>
    <t>are the counts based on microscope work done by the author, or by interpreting already published Figures / Plates?</t>
  </si>
  <si>
    <t>dimensions, area, or magnification</t>
  </si>
  <si>
    <t>If not a standard error, please note what the uncertaintiy is</t>
  </si>
  <si>
    <t>What is the calibration species?</t>
  </si>
  <si>
    <t>What is the SD or SI of the calibration species?</t>
  </si>
  <si>
    <t>Describe how the stomatal ratio was converted to CO2</t>
  </si>
  <si>
    <t>Give as an absolute value (not +/-)</t>
  </si>
  <si>
    <t>describe the rationale for columns AW and AX</t>
  </si>
  <si>
    <t>Anything else that can help us?</t>
  </si>
  <si>
    <t>Counting Method
(microscope, published image)</t>
  </si>
  <si>
    <r>
      <t>Mean stomatal density (n/mm</t>
    </r>
    <r>
      <rPr>
        <b/>
        <vertAlign val="super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)</t>
    </r>
  </si>
  <si>
    <t>SD error (+/- 1 s.e.m.)</t>
  </si>
  <si>
    <r>
      <t>Mean epidermal density (n/mm</t>
    </r>
    <r>
      <rPr>
        <b/>
        <vertAlign val="superscript"/>
        <sz val="12"/>
        <color theme="1"/>
        <rFont val="Calibri"/>
        <family val="2"/>
      </rPr>
      <t>2</t>
    </r>
    <r>
      <rPr>
        <b/>
        <sz val="12"/>
        <color theme="1"/>
        <rFont val="Calibri"/>
        <family val="2"/>
      </rPr>
      <t>)</t>
    </r>
  </si>
  <si>
    <t>ED error (+/- 1 s.e.m.)</t>
  </si>
  <si>
    <t>Mean stomatal index (%)</t>
  </si>
  <si>
    <t>SI error (+/- 1 s.e.m.)</t>
  </si>
  <si>
    <r>
      <t>Reported mean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(ppm)</t>
    </r>
  </si>
  <si>
    <r>
      <t>Reported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Uncertainty (Low)</t>
    </r>
  </si>
  <si>
    <r>
      <t>Reported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Uncertainty (High)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</si>
</sst>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8"/>
      <name val="Verdana"/>
      <family val="2"/>
    </font>
    <font>
      <sz val="12"/>
      <color indexed="8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u/>
      <sz val="12"/>
      <color indexed="12"/>
      <name val="Calibri"/>
      <family val="2"/>
    </font>
    <font>
      <sz val="12"/>
      <color indexed="63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vertAlign val="subscript"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DFFCD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5" fillId="0" borderId="0" xfId="3" applyFont="1" applyAlignment="1" applyProtection="1"/>
    <xf numFmtId="0" fontId="4" fillId="0" borderId="0" xfId="0" applyFont="1"/>
    <xf numFmtId="17" fontId="4" fillId="0" borderId="0" xfId="0" applyNumberFormat="1" applyFont="1"/>
    <xf numFmtId="0" fontId="4" fillId="0" borderId="0" xfId="0" applyFont="1" applyFill="1"/>
    <xf numFmtId="0" fontId="8" fillId="0" borderId="0" xfId="0" applyFont="1"/>
    <xf numFmtId="17" fontId="4" fillId="0" borderId="0" xfId="0" applyNumberFormat="1" applyFont="1" applyFill="1"/>
    <xf numFmtId="1" fontId="0" fillId="0" borderId="0" xfId="0" applyNumberFormat="1"/>
    <xf numFmtId="0" fontId="10" fillId="0" borderId="0" xfId="0" applyFont="1" applyFill="1"/>
    <xf numFmtId="0" fontId="13" fillId="3" borderId="1" xfId="0" applyFont="1" applyFill="1" applyBorder="1" applyAlignment="1">
      <alignment horizontal="center" vertical="top" wrapText="1"/>
    </xf>
    <xf numFmtId="0" fontId="14" fillId="0" borderId="0" xfId="0" applyFont="1" applyBorder="1" applyAlignment="1"/>
    <xf numFmtId="0" fontId="11" fillId="0" borderId="2" xfId="0" applyFont="1" applyBorder="1"/>
    <xf numFmtId="0" fontId="4" fillId="4" borderId="0" xfId="0" applyFont="1" applyFill="1"/>
    <xf numFmtId="0" fontId="4" fillId="4" borderId="3" xfId="0" applyFont="1" applyFill="1" applyBorder="1"/>
    <xf numFmtId="0" fontId="4" fillId="0" borderId="0" xfId="0" applyFont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4" fillId="4" borderId="3" xfId="0" applyFont="1" applyFill="1" applyBorder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12" fillId="3" borderId="0" xfId="0" applyFont="1" applyFill="1" applyAlignment="1">
      <alignment vertical="top" wrapText="1"/>
    </xf>
    <xf numFmtId="0" fontId="6" fillId="2" borderId="0" xfId="0" applyFont="1" applyFill="1" applyAlignment="1">
      <alignment horizontal="center" vertical="top" wrapText="1"/>
    </xf>
    <xf numFmtId="0" fontId="15" fillId="2" borderId="0" xfId="0" applyFont="1" applyFill="1" applyAlignment="1">
      <alignment vertical="top" wrapText="1"/>
    </xf>
    <xf numFmtId="0" fontId="6" fillId="0" borderId="0" xfId="0" applyFont="1"/>
  </cellXfs>
  <cellStyles count="4">
    <cellStyle name="Hyperlink" xfId="3" builtinId="8"/>
    <cellStyle name="Normal" xfId="0" builtinId="0"/>
    <cellStyle name="Normal 3" xfId="1" xr:uid="{00000000-0005-0000-0000-000002000000}"/>
    <cellStyle name="Normal 4" xfId="2" xr:uid="{00000000-0005-0000-0000-000003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palaeo.2018.01.039" TargetMode="External"/><Relationship Id="rId2" Type="http://schemas.openxmlformats.org/officeDocument/2006/relationships/hyperlink" Target="https://doi.org/10.1016/j.palaeo.2018.01.039" TargetMode="External"/><Relationship Id="rId1" Type="http://schemas.openxmlformats.org/officeDocument/2006/relationships/hyperlink" Target="https://doi.org/10.1016/j.palaeo.2018.01.039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"/>
  <sheetViews>
    <sheetView tabSelected="1" topLeftCell="Y1" workbookViewId="0">
      <pane ySplit="3" topLeftCell="A4" activePane="bottomLeft" state="frozen"/>
      <selection pane="bottomLeft" activeCell="AN7" sqref="AN7"/>
    </sheetView>
  </sheetViews>
  <sheetFormatPr defaultColWidth="8.875" defaultRowHeight="15.75" x14ac:dyDescent="0.25"/>
  <cols>
    <col min="1" max="1" width="10.125" style="2" bestFit="1" customWidth="1"/>
    <col min="2" max="2" width="13.5" style="2" bestFit="1" customWidth="1"/>
    <col min="3" max="3" width="10.125" style="2" customWidth="1"/>
    <col min="4" max="4" width="11.375" style="2" customWidth="1"/>
    <col min="5" max="10" width="8.875" style="2"/>
    <col min="11" max="11" width="18.125" style="2" customWidth="1"/>
    <col min="12" max="12" width="8.875" style="2"/>
    <col min="13" max="13" width="25.125" style="2" customWidth="1"/>
    <col min="14" max="14" width="8.875" style="2"/>
    <col min="15" max="15" width="11.625" style="2" customWidth="1"/>
    <col min="16" max="16" width="12.5" style="2" customWidth="1"/>
    <col min="17" max="17" width="6.125" style="2" bestFit="1" customWidth="1"/>
    <col min="18" max="18" width="7.125" style="2" bestFit="1" customWidth="1"/>
    <col min="19" max="19" width="10.125" style="2" bestFit="1" customWidth="1"/>
    <col min="20" max="20" width="8.875" style="2"/>
    <col min="21" max="21" width="12" style="2" customWidth="1"/>
    <col min="22" max="22" width="8.875" style="2"/>
    <col min="23" max="23" width="11.625" style="2" customWidth="1"/>
    <col min="24" max="24" width="11.125" style="2" customWidth="1"/>
    <col min="25" max="25" width="9.625" style="2" customWidth="1"/>
    <col min="26" max="26" width="12.125" style="2" customWidth="1"/>
    <col min="27" max="27" width="10.625" style="2" customWidth="1"/>
    <col min="28" max="28" width="11.625" style="2" customWidth="1"/>
    <col min="29" max="31" width="11.125" style="2" customWidth="1"/>
    <col min="32" max="32" width="10.375" style="2" customWidth="1"/>
    <col min="33" max="33" width="10.875" style="2" customWidth="1"/>
    <col min="34" max="34" width="11" style="2" customWidth="1"/>
    <col min="35" max="42" width="8.875" style="2"/>
    <col min="43" max="43" width="16" style="2" customWidth="1"/>
    <col min="44" max="44" width="13" style="2" customWidth="1"/>
    <col min="45" max="45" width="16" style="2" customWidth="1"/>
    <col min="46" max="46" width="8.875" style="2"/>
    <col min="47" max="48" width="13" style="2" customWidth="1"/>
    <col min="49" max="49" width="12.375" style="2" customWidth="1"/>
    <col min="50" max="50" width="8.125" style="2" bestFit="1" customWidth="1"/>
    <col min="51" max="16384" width="8.875" style="2"/>
  </cols>
  <sheetData>
    <row r="1" spans="1:50" x14ac:dyDescent="0.25">
      <c r="D1" s="11" t="s">
        <v>73</v>
      </c>
      <c r="E1" s="12"/>
      <c r="F1" s="12"/>
      <c r="G1" s="12"/>
      <c r="H1" s="12"/>
      <c r="I1" s="12"/>
      <c r="J1" s="13"/>
    </row>
    <row r="2" spans="1:50" s="14" customFormat="1" ht="62.45" customHeight="1" x14ac:dyDescent="0.25">
      <c r="D2" s="15"/>
      <c r="E2" s="16"/>
      <c r="F2" s="16"/>
      <c r="G2" s="16"/>
      <c r="H2" s="16"/>
      <c r="I2" s="16"/>
      <c r="J2" s="17"/>
      <c r="K2" s="18" t="s">
        <v>74</v>
      </c>
      <c r="L2" s="18"/>
      <c r="M2" s="18" t="s">
        <v>75</v>
      </c>
      <c r="N2" s="18"/>
      <c r="O2" s="18" t="s">
        <v>76</v>
      </c>
      <c r="P2" s="18"/>
      <c r="Q2" s="18"/>
      <c r="R2" s="18"/>
      <c r="S2" s="18" t="s">
        <v>77</v>
      </c>
      <c r="T2" s="18"/>
      <c r="U2" s="18" t="s">
        <v>78</v>
      </c>
      <c r="V2" s="18"/>
      <c r="W2" s="18" t="s">
        <v>79</v>
      </c>
      <c r="X2" s="18" t="s">
        <v>79</v>
      </c>
      <c r="Y2" s="18" t="s">
        <v>80</v>
      </c>
      <c r="Z2" s="18" t="s">
        <v>81</v>
      </c>
      <c r="AA2" s="18"/>
      <c r="AB2" s="18"/>
      <c r="AD2" s="18" t="s">
        <v>82</v>
      </c>
      <c r="AE2" s="18" t="s">
        <v>82</v>
      </c>
      <c r="AF2" s="18" t="s">
        <v>83</v>
      </c>
      <c r="AG2" s="18" t="s">
        <v>84</v>
      </c>
      <c r="AH2" s="18" t="s">
        <v>85</v>
      </c>
      <c r="AL2" s="14" t="s">
        <v>86</v>
      </c>
      <c r="AN2" s="14" t="s">
        <v>86</v>
      </c>
      <c r="AP2" s="14" t="s">
        <v>86</v>
      </c>
      <c r="AQ2" s="14" t="s">
        <v>87</v>
      </c>
      <c r="AR2" s="14" t="s">
        <v>88</v>
      </c>
      <c r="AS2" s="14" t="s">
        <v>89</v>
      </c>
      <c r="AU2" s="18" t="s">
        <v>90</v>
      </c>
      <c r="AV2" s="18" t="s">
        <v>90</v>
      </c>
      <c r="AW2" s="18" t="s">
        <v>91</v>
      </c>
      <c r="AX2" s="18" t="s">
        <v>92</v>
      </c>
    </row>
    <row r="3" spans="1:50" s="25" customFormat="1" ht="66" customHeight="1" x14ac:dyDescent="0.25">
      <c r="A3" s="19" t="s">
        <v>52</v>
      </c>
      <c r="B3" s="19" t="s">
        <v>53</v>
      </c>
      <c r="C3" s="19" t="s">
        <v>54</v>
      </c>
      <c r="D3" s="19" t="s">
        <v>33</v>
      </c>
      <c r="E3" s="19" t="s">
        <v>55</v>
      </c>
      <c r="F3" s="19" t="s">
        <v>56</v>
      </c>
      <c r="G3" s="19" t="s">
        <v>57</v>
      </c>
      <c r="H3" s="20" t="s">
        <v>62</v>
      </c>
      <c r="I3" s="20" t="s">
        <v>63</v>
      </c>
      <c r="J3" s="20" t="s">
        <v>65</v>
      </c>
      <c r="K3" s="21" t="s">
        <v>32</v>
      </c>
      <c r="L3" s="22" t="s">
        <v>70</v>
      </c>
      <c r="M3" s="21" t="s">
        <v>66</v>
      </c>
      <c r="N3" s="21" t="s">
        <v>33</v>
      </c>
      <c r="O3" s="21" t="s">
        <v>34</v>
      </c>
      <c r="P3" s="21" t="s">
        <v>35</v>
      </c>
      <c r="Q3" s="21" t="s">
        <v>36</v>
      </c>
      <c r="R3" s="21" t="s">
        <v>37</v>
      </c>
      <c r="S3" s="21" t="s">
        <v>38</v>
      </c>
      <c r="T3" s="21" t="s">
        <v>39</v>
      </c>
      <c r="U3" s="21" t="s">
        <v>40</v>
      </c>
      <c r="V3" s="21" t="s">
        <v>41</v>
      </c>
      <c r="W3" s="21" t="s">
        <v>42</v>
      </c>
      <c r="X3" s="21" t="s">
        <v>43</v>
      </c>
      <c r="Y3" s="21" t="s">
        <v>44</v>
      </c>
      <c r="Z3" s="21" t="s">
        <v>45</v>
      </c>
      <c r="AA3" s="21" t="s">
        <v>25</v>
      </c>
      <c r="AB3" s="21" t="s">
        <v>67</v>
      </c>
      <c r="AC3" s="21" t="s">
        <v>68</v>
      </c>
      <c r="AD3" s="9" t="s">
        <v>71</v>
      </c>
      <c r="AE3" s="9" t="s">
        <v>72</v>
      </c>
      <c r="AF3" s="23" t="s">
        <v>46</v>
      </c>
      <c r="AG3" s="23" t="s">
        <v>93</v>
      </c>
      <c r="AH3" s="23" t="s">
        <v>47</v>
      </c>
      <c r="AI3" s="23" t="s">
        <v>48</v>
      </c>
      <c r="AJ3" s="23" t="s">
        <v>49</v>
      </c>
      <c r="AK3" s="24" t="s">
        <v>94</v>
      </c>
      <c r="AL3" s="21" t="s">
        <v>95</v>
      </c>
      <c r="AM3" s="24" t="s">
        <v>96</v>
      </c>
      <c r="AN3" s="21" t="s">
        <v>97</v>
      </c>
      <c r="AO3" s="21" t="s">
        <v>98</v>
      </c>
      <c r="AP3" s="21" t="s">
        <v>99</v>
      </c>
      <c r="AQ3" s="21" t="s">
        <v>50</v>
      </c>
      <c r="AR3" s="21" t="s">
        <v>26</v>
      </c>
      <c r="AS3" s="21" t="s">
        <v>27</v>
      </c>
      <c r="AT3" s="23" t="s">
        <v>100</v>
      </c>
      <c r="AU3" s="23" t="s">
        <v>101</v>
      </c>
      <c r="AV3" s="23" t="s">
        <v>102</v>
      </c>
      <c r="AW3" s="21" t="s">
        <v>51</v>
      </c>
      <c r="AX3" s="21" t="s">
        <v>28</v>
      </c>
    </row>
    <row r="4" spans="1:50" s="4" customFormat="1" x14ac:dyDescent="0.25">
      <c r="A4" t="s">
        <v>58</v>
      </c>
      <c r="B4" t="s">
        <v>59</v>
      </c>
      <c r="C4">
        <v>2019</v>
      </c>
      <c r="D4" t="str">
        <f t="shared" ref="D4:D6" si="0">N4</f>
        <v>10.1016/j.palaeo.2018.01.039</v>
      </c>
      <c r="E4">
        <f t="shared" ref="E4:E6" si="1">V4*1000</f>
        <v>19000</v>
      </c>
      <c r="F4">
        <f t="shared" ref="F4:F6" si="2">(W4-V4)*1000</f>
        <v>2000</v>
      </c>
      <c r="G4">
        <f t="shared" ref="G4:G6" si="3">(V4-X4)*1000</f>
        <v>2000</v>
      </c>
      <c r="H4" s="7">
        <f t="shared" ref="H4:H6" si="4">AT4</f>
        <v>491</v>
      </c>
      <c r="I4">
        <f>AV4-AT4</f>
        <v>110</v>
      </c>
      <c r="J4">
        <f>AT4-AU4</f>
        <v>110</v>
      </c>
      <c r="K4" s="4" t="s">
        <v>6</v>
      </c>
      <c r="L4" s="6" t="s">
        <v>69</v>
      </c>
      <c r="M4" s="4" t="s">
        <v>60</v>
      </c>
      <c r="N4" s="1" t="s">
        <v>24</v>
      </c>
      <c r="O4" s="4" t="s">
        <v>7</v>
      </c>
      <c r="P4" s="4" t="s">
        <v>8</v>
      </c>
      <c r="Q4" s="4" t="s">
        <v>64</v>
      </c>
      <c r="R4" s="4" t="s">
        <v>64</v>
      </c>
      <c r="S4" s="4" t="s">
        <v>64</v>
      </c>
      <c r="T4" s="4" t="s">
        <v>3</v>
      </c>
      <c r="U4" s="4" t="s">
        <v>9</v>
      </c>
      <c r="V4" s="4">
        <v>19</v>
      </c>
      <c r="W4" s="4">
        <v>21</v>
      </c>
      <c r="X4" s="4">
        <v>17</v>
      </c>
      <c r="Y4" s="4" t="s">
        <v>64</v>
      </c>
      <c r="Z4" s="4" t="s">
        <v>10</v>
      </c>
      <c r="AA4" s="4">
        <v>9</v>
      </c>
      <c r="AB4" s="4" t="s">
        <v>64</v>
      </c>
      <c r="AC4" s="4" t="s">
        <v>64</v>
      </c>
      <c r="AD4" s="10" t="s">
        <v>64</v>
      </c>
      <c r="AE4" s="10" t="s">
        <v>64</v>
      </c>
      <c r="AF4" s="4">
        <v>7</v>
      </c>
      <c r="AG4" s="4" t="s">
        <v>15</v>
      </c>
      <c r="AH4" s="4" t="s">
        <v>11</v>
      </c>
      <c r="AI4" s="4" t="s">
        <v>64</v>
      </c>
      <c r="AJ4" s="4" t="s">
        <v>64</v>
      </c>
      <c r="AK4" s="4" t="s">
        <v>64</v>
      </c>
      <c r="AL4" s="4" t="s">
        <v>64</v>
      </c>
      <c r="AM4" s="4" t="s">
        <v>64</v>
      </c>
      <c r="AN4" s="4" t="s">
        <v>64</v>
      </c>
      <c r="AO4" s="4">
        <v>11.72</v>
      </c>
      <c r="AP4" s="4">
        <v>2.7</v>
      </c>
      <c r="AQ4" s="4" t="s">
        <v>16</v>
      </c>
      <c r="AR4" s="2" t="s">
        <v>17</v>
      </c>
      <c r="AS4" s="4" t="s">
        <v>18</v>
      </c>
      <c r="AT4" s="4">
        <v>491</v>
      </c>
      <c r="AU4" s="4">
        <v>381</v>
      </c>
      <c r="AV4" s="4">
        <v>601</v>
      </c>
      <c r="AW4" s="4">
        <v>110</v>
      </c>
      <c r="AX4" s="8" t="s">
        <v>61</v>
      </c>
    </row>
    <row r="5" spans="1:50" x14ac:dyDescent="0.25">
      <c r="A5" t="s">
        <v>58</v>
      </c>
      <c r="B5" t="s">
        <v>59</v>
      </c>
      <c r="C5">
        <v>2019</v>
      </c>
      <c r="D5" t="str">
        <f t="shared" si="0"/>
        <v>10.1016/j.palaeo.2018.01.039</v>
      </c>
      <c r="E5">
        <f t="shared" si="1"/>
        <v>22500</v>
      </c>
      <c r="F5">
        <f t="shared" si="2"/>
        <v>1000</v>
      </c>
      <c r="G5">
        <f t="shared" si="3"/>
        <v>1000</v>
      </c>
      <c r="H5" s="7">
        <f t="shared" si="4"/>
        <v>485</v>
      </c>
      <c r="I5">
        <f>AV5-AT5</f>
        <v>169</v>
      </c>
      <c r="J5">
        <f>AT5-AU5</f>
        <v>169</v>
      </c>
      <c r="K5" s="2" t="s">
        <v>12</v>
      </c>
      <c r="L5" s="3" t="s">
        <v>69</v>
      </c>
      <c r="M5" s="4" t="s">
        <v>60</v>
      </c>
      <c r="N5" s="1" t="s">
        <v>24</v>
      </c>
      <c r="O5" s="2" t="s">
        <v>19</v>
      </c>
      <c r="P5" s="2" t="s">
        <v>20</v>
      </c>
      <c r="Q5" s="4" t="s">
        <v>64</v>
      </c>
      <c r="R5" s="4" t="s">
        <v>64</v>
      </c>
      <c r="S5" s="4" t="s">
        <v>64</v>
      </c>
      <c r="T5" s="4" t="s">
        <v>4</v>
      </c>
      <c r="U5" s="2" t="s">
        <v>21</v>
      </c>
      <c r="V5" s="2">
        <v>22.5</v>
      </c>
      <c r="W5" s="2">
        <v>23.5</v>
      </c>
      <c r="X5" s="2">
        <v>21.5</v>
      </c>
      <c r="Y5" s="4" t="s">
        <v>64</v>
      </c>
      <c r="Z5" s="2" t="s">
        <v>22</v>
      </c>
      <c r="AA5" s="2">
        <v>9</v>
      </c>
      <c r="AB5" s="2">
        <v>-45</v>
      </c>
      <c r="AC5" s="2">
        <v>167</v>
      </c>
      <c r="AD5" s="10" t="s">
        <v>64</v>
      </c>
      <c r="AE5" s="10" t="s">
        <v>64</v>
      </c>
      <c r="AF5" s="2">
        <v>7</v>
      </c>
      <c r="AG5" s="2" t="s">
        <v>15</v>
      </c>
      <c r="AH5" s="2" t="s">
        <v>11</v>
      </c>
      <c r="AI5" s="4" t="s">
        <v>64</v>
      </c>
      <c r="AJ5" s="4" t="s">
        <v>64</v>
      </c>
      <c r="AK5" s="4" t="s">
        <v>64</v>
      </c>
      <c r="AL5" s="4" t="s">
        <v>64</v>
      </c>
      <c r="AM5" s="4" t="s">
        <v>64</v>
      </c>
      <c r="AN5" s="4" t="s">
        <v>64</v>
      </c>
      <c r="AO5" s="4">
        <v>12.24</v>
      </c>
      <c r="AP5" s="4">
        <v>3.1</v>
      </c>
      <c r="AQ5" s="4" t="s">
        <v>16</v>
      </c>
      <c r="AR5" s="4" t="s">
        <v>17</v>
      </c>
      <c r="AS5" s="4" t="s">
        <v>18</v>
      </c>
      <c r="AT5" s="4">
        <v>485</v>
      </c>
      <c r="AU5" s="4">
        <v>316</v>
      </c>
      <c r="AV5" s="4">
        <v>654</v>
      </c>
      <c r="AW5" s="4">
        <v>169</v>
      </c>
      <c r="AX5" s="8" t="s">
        <v>61</v>
      </c>
    </row>
    <row r="6" spans="1:50" x14ac:dyDescent="0.25">
      <c r="A6" t="s">
        <v>58</v>
      </c>
      <c r="B6" t="s">
        <v>59</v>
      </c>
      <c r="C6">
        <v>2019</v>
      </c>
      <c r="D6" t="str">
        <f t="shared" si="0"/>
        <v>10.1016/j.palaeo.2018.01.039</v>
      </c>
      <c r="E6">
        <f t="shared" si="1"/>
        <v>23200</v>
      </c>
      <c r="F6">
        <f t="shared" si="2"/>
        <v>199.99999999999929</v>
      </c>
      <c r="G6">
        <f t="shared" si="3"/>
        <v>199.99999999999929</v>
      </c>
      <c r="H6" s="7">
        <f t="shared" si="4"/>
        <v>732</v>
      </c>
      <c r="I6">
        <f>AV6-AT6</f>
        <v>47</v>
      </c>
      <c r="J6">
        <f>AT6-AU6</f>
        <v>47</v>
      </c>
      <c r="K6" s="2" t="s">
        <v>12</v>
      </c>
      <c r="L6" s="3" t="s">
        <v>69</v>
      </c>
      <c r="M6" s="4" t="s">
        <v>60</v>
      </c>
      <c r="N6" s="1" t="s">
        <v>24</v>
      </c>
      <c r="O6" s="2" t="s">
        <v>30</v>
      </c>
      <c r="P6" s="2" t="s">
        <v>29</v>
      </c>
      <c r="Q6" s="4" t="s">
        <v>64</v>
      </c>
      <c r="R6" s="4" t="s">
        <v>64</v>
      </c>
      <c r="S6" s="4" t="s">
        <v>64</v>
      </c>
      <c r="T6" s="4" t="s">
        <v>5</v>
      </c>
      <c r="U6" s="2" t="s">
        <v>31</v>
      </c>
      <c r="V6" s="2">
        <v>23.2</v>
      </c>
      <c r="W6" s="2">
        <v>23.4</v>
      </c>
      <c r="X6" s="2">
        <v>23</v>
      </c>
      <c r="Y6" s="4" t="s">
        <v>64</v>
      </c>
      <c r="Z6" s="2" t="s">
        <v>23</v>
      </c>
      <c r="AA6" s="2">
        <v>3</v>
      </c>
      <c r="AB6" s="5">
        <v>-45.516666000000001</v>
      </c>
      <c r="AC6" s="5">
        <v>170.21665999999999</v>
      </c>
      <c r="AD6" s="10" t="s">
        <v>64</v>
      </c>
      <c r="AE6" s="10" t="s">
        <v>64</v>
      </c>
      <c r="AF6" s="2">
        <v>7</v>
      </c>
      <c r="AG6" s="2" t="s">
        <v>13</v>
      </c>
      <c r="AH6" s="2" t="s">
        <v>14</v>
      </c>
      <c r="AI6" s="4" t="s">
        <v>64</v>
      </c>
      <c r="AJ6" s="4" t="s">
        <v>64</v>
      </c>
      <c r="AK6" s="4" t="s">
        <v>64</v>
      </c>
      <c r="AL6" s="4" t="s">
        <v>64</v>
      </c>
      <c r="AM6" s="4" t="s">
        <v>64</v>
      </c>
      <c r="AN6" s="4" t="s">
        <v>64</v>
      </c>
      <c r="AO6" s="4">
        <v>4.53</v>
      </c>
      <c r="AP6" s="4">
        <v>0.5</v>
      </c>
      <c r="AQ6" s="4" t="s">
        <v>0</v>
      </c>
      <c r="AR6" s="4" t="s">
        <v>1</v>
      </c>
      <c r="AS6" s="4" t="s">
        <v>2</v>
      </c>
      <c r="AT6" s="4">
        <v>732</v>
      </c>
      <c r="AU6" s="4">
        <v>685</v>
      </c>
      <c r="AV6" s="4">
        <v>779</v>
      </c>
      <c r="AW6" s="4">
        <v>47</v>
      </c>
      <c r="AX6" s="8" t="s">
        <v>61</v>
      </c>
    </row>
    <row r="7" spans="1:50" x14ac:dyDescent="0.25">
      <c r="A7"/>
      <c r="B7"/>
      <c r="C7"/>
      <c r="D7"/>
      <c r="E7"/>
      <c r="F7"/>
      <c r="G7"/>
      <c r="H7" s="7"/>
      <c r="I7"/>
      <c r="J7"/>
      <c r="AB7" s="5"/>
      <c r="AC7" s="5"/>
      <c r="AD7" s="5"/>
      <c r="AE7" s="5"/>
    </row>
    <row r="8" spans="1:50" x14ac:dyDescent="0.25">
      <c r="A8"/>
      <c r="B8"/>
      <c r="C8"/>
      <c r="D8"/>
      <c r="E8"/>
      <c r="F8"/>
      <c r="G8"/>
      <c r="H8" s="7"/>
      <c r="I8"/>
      <c r="J8"/>
      <c r="AB8" s="5"/>
      <c r="AC8" s="5"/>
      <c r="AD8" s="5"/>
      <c r="AE8" s="5"/>
    </row>
    <row r="9" spans="1:50" x14ac:dyDescent="0.25">
      <c r="A9"/>
      <c r="B9"/>
      <c r="C9"/>
      <c r="D9"/>
      <c r="E9"/>
      <c r="F9"/>
      <c r="G9"/>
      <c r="H9" s="7"/>
      <c r="I9"/>
      <c r="J9"/>
    </row>
    <row r="10" spans="1:50" x14ac:dyDescent="0.25">
      <c r="A10"/>
      <c r="B10"/>
      <c r="C10"/>
      <c r="D10"/>
      <c r="E10"/>
      <c r="F10"/>
      <c r="G10"/>
      <c r="H10" s="7"/>
      <c r="I10"/>
      <c r="J10"/>
    </row>
    <row r="11" spans="1:50" x14ac:dyDescent="0.25">
      <c r="A11"/>
      <c r="B11"/>
      <c r="C11"/>
      <c r="D11"/>
      <c r="E11"/>
      <c r="F11"/>
      <c r="G11"/>
      <c r="H11" s="7"/>
      <c r="I11"/>
      <c r="J11"/>
    </row>
  </sheetData>
  <phoneticPr fontId="3" type="noConversion"/>
  <hyperlinks>
    <hyperlink ref="N4" r:id="rId1" tooltip="Persistent link using digital object identifier" xr:uid="{00000000-0004-0000-0000-000000000000}"/>
    <hyperlink ref="N5" r:id="rId2" tooltip="Persistent link using digital object identifier" xr:uid="{00000000-0004-0000-0000-000001000000}"/>
    <hyperlink ref="N6" r:id="rId3" tooltip="Persistent link using digital object identifier" xr:uid="{00000000-0004-0000-0000-000002000000}"/>
  </hyperlinks>
  <pageMargins left="0.7" right="0.7" top="0.75" bottom="0.75" header="0.3" footer="0.3"/>
  <pageSetup orientation="portrait" horizontalDpi="4294967292" verticalDpi="4294967292" r:id="rId4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stomatal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Dana Royer</cp:lastModifiedBy>
  <dcterms:created xsi:type="dcterms:W3CDTF">2017-12-08T17:22:00Z</dcterms:created>
  <dcterms:modified xsi:type="dcterms:W3CDTF">2022-06-26T19:16:50Z</dcterms:modified>
</cp:coreProperties>
</file>