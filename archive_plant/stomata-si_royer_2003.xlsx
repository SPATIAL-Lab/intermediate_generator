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955DEAE3-2470-1E43-AEAD-69B70CE56012}" xr6:coauthVersionLast="36" xr6:coauthVersionMax="36" xr10:uidLastSave="{00000000-0000-0000-0000-000000000000}"/>
  <bookViews>
    <workbookView xWindow="120" yWindow="2280" windowWidth="28180" windowHeight="16320" tabRatio="500" xr2:uid="{00000000-000D-0000-FFFF-FFFF00000000}"/>
  </bookViews>
  <sheets>
    <sheet name="stomatal index" sheetId="1" r:id="rId1"/>
  </sheets>
  <calcPr calcId="181029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</calcChain>
</file>

<file path=xl/sharedStrings.xml><?xml version="1.0" encoding="utf-8"?>
<sst xmlns="http://schemas.openxmlformats.org/spreadsheetml/2006/main" count="79" uniqueCount="77">
  <si>
    <t>Paleodata</t>
  </si>
  <si>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</si>
  <si>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</si>
  <si>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</si>
  <si>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</si>
  <si>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</si>
  <si>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</si>
  <si>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</si>
  <si>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</si>
  <si>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</si>
  <si>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</si>
  <si>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</si>
  <si>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</si>
  <si>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</si>
  <si>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</si>
  <si>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</si>
  <si>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</si>
  <si>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</si>
  <si>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</si>
  <si>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</si>
  <si>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</si>
  <si>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</si>
  <si>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</si>
  <si>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</si>
  <si>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</si>
  <si>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</si>
  <si>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</si>
  <si>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</si>
  <si>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</si>
  <si>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</si>
  <si>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</si>
  <si>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</si>
  <si>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</si>
  <si>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</si>
  <si>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</si>
  <si>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Dana L. Royer</t>
  </si>
  <si>
    <t>Ginkgoaceae</t>
  </si>
  <si>
    <t>Ginkgo</t>
  </si>
  <si>
    <t>adiantoides</t>
  </si>
  <si>
    <t>GTS2012</t>
  </si>
  <si>
    <t>microscope</t>
  </si>
  <si>
    <t>0.1795 mm2</t>
  </si>
  <si>
    <t>fields-of-view were partly comprised of non-stomatal-bearing areas (for example, over top major veins); the field-of-view fraction that was usable was not measured; as such, the measured stomatal densities are not particularly useful.</t>
  </si>
  <si>
    <t>Ginkgo biloba</t>
  </si>
  <si>
    <t>10.1130/0-8137-2369-8.79</t>
  </si>
  <si>
    <t>?</t>
  </si>
  <si>
    <t>DMNH 2644 site</t>
  </si>
  <si>
    <t>Denver Museum of Nature and Science</t>
  </si>
  <si>
    <t>Hanna (Hanna Basin)</t>
  </si>
  <si>
    <t>Torrejonian-Tiffanian NALMA (Dunn, 2003 MS thesis from Univ of Wyoming: "Correlation of Leaf Megafossil and Palynological Data with North American Land Mammal Ages from Paleocene-aged Strata of the Ferris and Hanna Formations, Hanna Basin, South-central Wyoming")</t>
  </si>
  <si>
    <t>biostratigraphy (Torrejonian-Tiffanian)</t>
  </si>
  <si>
    <t>Royer (2003)</t>
  </si>
  <si>
    <t>Uncertainties only in the calibration function are included</t>
  </si>
  <si>
    <t>mean</t>
  </si>
  <si>
    <t>95% confidence intervals</t>
  </si>
  <si>
    <t>slightly right skewed</t>
  </si>
  <si>
    <t>this is the original estimate; it has been updated with more rigorous error propagation by Beerling et al. (2009); see above for revised estimate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</si>
  <si>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</si>
  <si>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</si>
  <si>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</si>
  <si>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</si>
  <si>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</si>
  <si>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</si>
  <si>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stomata-SI</t>
  </si>
  <si>
    <t>Royer</t>
  </si>
  <si>
    <t>Royer, D.L. (2003), Estimating latest Cretaceous and Tertiary atmospheric CO2 from stomatal indices, Causes and consequeces of globally warm climates in the early Paleogene</t>
  </si>
  <si>
    <t>CO2_ppm</t>
  </si>
  <si>
    <t>CO2_uncertainty_pos_ppm</t>
  </si>
  <si>
    <t>CO2_uncertainty_neg_ppm</t>
  </si>
  <si>
    <t>Modern Latitude (decimal degree, south negative)</t>
  </si>
  <si>
    <t>Modern Longitude (decimal degree, west negative)</t>
  </si>
  <si>
    <t>email of individual entering the data</t>
  </si>
  <si>
    <t>droyer@wesleyan.edu</t>
  </si>
  <si>
    <t>Reference of the data product</t>
  </si>
  <si>
    <t>Paleo Latitude (decimal degree, south negative)</t>
  </si>
  <si>
    <t>Paleo Longitude (decimal degree, west negative)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</si>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</sst>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2">
    <xf numFmtId="0" fontId="0" fillId="0" borderId="0" xfId="0"/>
    <xf numFmtId="0" fontId="3" fillId="0" borderId="0" xfId="0" applyFont="1" applyBorder="1" applyAlignment="1"/>
    <xf numFmtId="0" fontId="0" fillId="0" borderId="0" xfId="0" applyBorder="1" applyAlignment="1"/>
    <xf numFmtId="0" fontId="4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Fill="1" applyBorder="1" applyAlignment="1"/>
    <xf numFmtId="0" fontId="0" fillId="0" borderId="0" xfId="0" applyFill="1" applyBorder="1" applyAlignment="1">
      <alignment horizontal="right"/>
    </xf>
    <xf numFmtId="0" fontId="0" fillId="0" borderId="0" xfId="0" applyFill="1"/>
    <xf numFmtId="0" fontId="2" fillId="3" borderId="0" xfId="0" applyFont="1" applyFill="1" applyAlignment="1">
      <alignment vertical="top" wrapText="1"/>
    </xf>
    <xf numFmtId="17" fontId="0" fillId="0" borderId="0" xfId="0" applyNumberFormat="1" applyFill="1" applyBorder="1" applyAlignment="1">
      <alignment horizontal="left"/>
    </xf>
    <xf numFmtId="0" fontId="6" fillId="3" borderId="1" xfId="0" applyFont="1" applyFill="1" applyBorder="1" applyAlignment="1">
      <alignment horizontal="center" vertical="top" wrapText="1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946"/>
  <sheetViews>
    <sheetView tabSelected="1" topLeftCell="V1" workbookViewId="0">
      <pane ySplit="3" topLeftCell="A4" activePane="bottomLeft" state="frozen"/>
      <selection pane="bottomLeft" activeCell="AC3" sqref="AC3:AD4"/>
    </sheetView>
  </sheetViews>
  <sheetFormatPr baseColWidth="10" defaultColWidth="11" defaultRowHeight="16"/>
  <cols>
    <col min="21" max="21" width="12.1640625" customWidth="1"/>
    <col min="23" max="23" width="12.6640625" customWidth="1"/>
    <col min="24" max="24" width="12.1640625" customWidth="1"/>
    <col min="26" max="26" width="12.6640625" customWidth="1"/>
    <col min="31" max="31" width="12.1640625" customWidth="1"/>
    <col min="32" max="32" width="12.5" customWidth="1"/>
    <col min="38" max="38" width="13.6640625" customWidth="1"/>
    <col min="49" max="49" width="16.1640625" customWidth="1"/>
  </cols>
  <sheetData>
    <row r="2" spans="1:50">
      <c r="A2" s="8"/>
      <c r="B2" s="8"/>
      <c r="C2" s="8"/>
      <c r="D2" s="8"/>
      <c r="E2" s="8"/>
      <c r="F2" s="8"/>
      <c r="G2" s="8"/>
      <c r="H2" s="8"/>
      <c r="I2" s="8"/>
      <c r="J2" s="8"/>
      <c r="K2" s="1" t="s">
        <v>0</v>
      </c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50" s="5" customFormat="1" ht="102">
      <c r="A3" s="9" t="s">
        <v>57</v>
      </c>
      <c r="B3" s="9" t="s">
        <v>58</v>
      </c>
      <c r="C3" s="9" t="s">
        <v>59</v>
      </c>
      <c r="D3" s="9" t="s">
        <v>3</v>
      </c>
      <c r="E3" s="9" t="s">
        <v>60</v>
      </c>
      <c r="F3" s="9" t="s">
        <v>61</v>
      </c>
      <c r="G3" s="9" t="s">
        <v>62</v>
      </c>
      <c r="H3" s="9" t="s">
        <v>66</v>
      </c>
      <c r="I3" s="9" t="s">
        <v>67</v>
      </c>
      <c r="J3" s="9" t="s">
        <v>68</v>
      </c>
      <c r="K3" s="3" t="s">
        <v>1</v>
      </c>
      <c r="L3" s="3" t="s">
        <v>71</v>
      </c>
      <c r="M3" s="3" t="s">
        <v>73</v>
      </c>
      <c r="N3" s="3" t="s">
        <v>3</v>
      </c>
      <c r="O3" s="3" t="s">
        <v>4</v>
      </c>
      <c r="P3" s="3" t="s">
        <v>5</v>
      </c>
      <c r="Q3" s="3" t="s">
        <v>6</v>
      </c>
      <c r="R3" s="3" t="s">
        <v>7</v>
      </c>
      <c r="S3" s="3" t="s">
        <v>8</v>
      </c>
      <c r="T3" s="3" t="s">
        <v>9</v>
      </c>
      <c r="U3" s="4" t="s">
        <v>10</v>
      </c>
      <c r="V3" s="3" t="s">
        <v>11</v>
      </c>
      <c r="W3" s="3" t="s">
        <v>12</v>
      </c>
      <c r="X3" s="3" t="s">
        <v>13</v>
      </c>
      <c r="Y3" s="3" t="s">
        <v>14</v>
      </c>
      <c r="Z3" s="3" t="s">
        <v>15</v>
      </c>
      <c r="AA3" s="3" t="s">
        <v>69</v>
      </c>
      <c r="AB3" s="3" t="s">
        <v>70</v>
      </c>
      <c r="AC3" s="11" t="s">
        <v>74</v>
      </c>
      <c r="AD3" s="11" t="s">
        <v>75</v>
      </c>
      <c r="AE3" s="4" t="s">
        <v>16</v>
      </c>
      <c r="AF3" s="4" t="s">
        <v>17</v>
      </c>
      <c r="AG3" s="4" t="s">
        <v>18</v>
      </c>
      <c r="AH3" s="4" t="s">
        <v>19</v>
      </c>
      <c r="AI3" s="4" t="s">
        <v>20</v>
      </c>
      <c r="AJ3" s="4" t="s">
        <v>21</v>
      </c>
      <c r="AK3" s="4" t="s">
        <v>22</v>
      </c>
      <c r="AL3" s="4" t="s">
        <v>23</v>
      </c>
      <c r="AM3" s="4" t="s">
        <v>24</v>
      </c>
      <c r="AN3" s="4" t="s">
        <v>25</v>
      </c>
      <c r="AO3" s="4" t="s">
        <v>26</v>
      </c>
      <c r="AP3" s="4" t="s">
        <v>27</v>
      </c>
      <c r="AQ3" s="4" t="s">
        <v>28</v>
      </c>
      <c r="AR3" s="4" t="s">
        <v>29</v>
      </c>
      <c r="AS3" s="3" t="s">
        <v>30</v>
      </c>
      <c r="AT3" s="4" t="s">
        <v>31</v>
      </c>
      <c r="AU3" s="4" t="s">
        <v>32</v>
      </c>
      <c r="AV3" s="3" t="s">
        <v>33</v>
      </c>
      <c r="AW3" s="3" t="s">
        <v>34</v>
      </c>
      <c r="AX3" s="3" t="s">
        <v>2</v>
      </c>
    </row>
    <row r="4" spans="1:50">
      <c r="A4" s="8" t="s">
        <v>63</v>
      </c>
      <c r="B4" s="8" t="s">
        <v>64</v>
      </c>
      <c r="C4" s="8">
        <v>2003</v>
      </c>
      <c r="D4" s="8" t="str">
        <f t="shared" ref="D4" si="0">N4</f>
        <v>10.1130/0-8137-2369-8.79</v>
      </c>
      <c r="E4" s="8">
        <f t="shared" ref="E4" si="1">V4*1000</f>
        <v>61100</v>
      </c>
      <c r="F4" s="8">
        <f t="shared" ref="F4" si="2">(W4-V4)*1000</f>
        <v>3699.9999999999959</v>
      </c>
      <c r="G4" s="8">
        <f t="shared" ref="G4" si="3">(V4-X4)*1000</f>
        <v>3700.0000000000027</v>
      </c>
      <c r="H4" s="8">
        <f t="shared" ref="H4" si="4">AR4</f>
        <v>313</v>
      </c>
      <c r="I4" s="8">
        <f t="shared" ref="I4" si="5">AU4-AR4</f>
        <v>2</v>
      </c>
      <c r="J4" s="8">
        <f t="shared" ref="J4" si="6">AR4-AT4</f>
        <v>3</v>
      </c>
      <c r="K4" s="6" t="s">
        <v>35</v>
      </c>
      <c r="L4" s="10" t="s">
        <v>72</v>
      </c>
      <c r="M4" s="6" t="s">
        <v>65</v>
      </c>
      <c r="N4" s="6" t="s">
        <v>44</v>
      </c>
      <c r="O4" s="6" t="s">
        <v>46</v>
      </c>
      <c r="P4" s="6" t="s">
        <v>36</v>
      </c>
      <c r="Q4" s="6" t="s">
        <v>37</v>
      </c>
      <c r="R4" s="6" t="s">
        <v>38</v>
      </c>
      <c r="S4" s="6" t="s">
        <v>47</v>
      </c>
      <c r="T4" s="6" t="s">
        <v>48</v>
      </c>
      <c r="U4" s="6" t="s">
        <v>49</v>
      </c>
      <c r="V4" s="7">
        <v>61.1</v>
      </c>
      <c r="W4" s="7">
        <v>64.8</v>
      </c>
      <c r="X4" s="7">
        <v>57.4</v>
      </c>
      <c r="Y4" s="6" t="s">
        <v>39</v>
      </c>
      <c r="Z4" s="6" t="s">
        <v>50</v>
      </c>
      <c r="AA4" s="7">
        <v>42.5</v>
      </c>
      <c r="AB4" s="6" t="s">
        <v>45</v>
      </c>
      <c r="AC4" s="1" t="s">
        <v>76</v>
      </c>
      <c r="AD4" s="1" t="s">
        <v>76</v>
      </c>
      <c r="AE4" s="7">
        <v>3</v>
      </c>
      <c r="AF4" s="7">
        <v>5</v>
      </c>
      <c r="AG4" s="6" t="s">
        <v>40</v>
      </c>
      <c r="AH4" s="6" t="s">
        <v>41</v>
      </c>
      <c r="AI4" s="6"/>
      <c r="AJ4" s="6"/>
      <c r="AK4" s="6" t="s">
        <v>42</v>
      </c>
      <c r="AL4" s="7">
        <v>10.93</v>
      </c>
      <c r="AM4" s="6"/>
      <c r="AN4" s="7">
        <v>1.28</v>
      </c>
      <c r="AO4" s="6" t="s">
        <v>43</v>
      </c>
      <c r="AP4" s="6" t="s">
        <v>51</v>
      </c>
      <c r="AQ4" s="6" t="s">
        <v>52</v>
      </c>
      <c r="AR4" s="7">
        <v>313</v>
      </c>
      <c r="AS4" s="6" t="s">
        <v>53</v>
      </c>
      <c r="AT4" s="7">
        <v>310</v>
      </c>
      <c r="AU4" s="7">
        <v>315</v>
      </c>
      <c r="AV4" s="6" t="s">
        <v>54</v>
      </c>
      <c r="AW4" s="6" t="s">
        <v>55</v>
      </c>
      <c r="AX4" s="6" t="s">
        <v>56</v>
      </c>
    </row>
    <row r="5" spans="1:50">
      <c r="K5" s="2"/>
      <c r="L5" s="1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50"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50"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50"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50"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50"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50"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50"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50"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50"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50"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50"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1:49"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1:49"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1:49"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1:49"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1:49"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1:49"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1:49"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1:49"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1:49"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1:49"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1:49"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1:49"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1:49"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1:49"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1:49"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1:49"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1:49"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1:49"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1:49"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1:49"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1:49"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1:49"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1:49"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1:49"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1:49"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1:49"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1:49"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1:49"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1:49"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1:49"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1:49"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1:49"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1:49"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1:49"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1:49"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1:49"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1:49"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1:49"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1:49"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1:49"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1:49"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1:49"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1:49"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1:49"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1:49"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1:49"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1:49"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1:49"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1:49"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1:49"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1:49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1:49"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1:49"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1:49"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1:49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1:49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1:49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1:49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1:49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1:49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1:49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1:49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1:49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1:49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1:49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1:49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1:49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1:49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1:49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1:49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1:49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1:49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1:49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1:49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1:49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1:49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1:49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1:49"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1:49"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1:49"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1:49"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1:49"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1:49"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1:49"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1:49"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1:49"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1:49"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1:49"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1:49"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1:49"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1:49"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1:49"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1:49"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1:49"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1:49"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1:49"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1:49"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1:49"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1:49"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1:49"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1:49"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1:49"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1:49"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1:49"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1:49"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1:49"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1:49"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1:49"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1:49"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1:49"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1:49"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1:49"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1:49"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1:49"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1:49"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1:49"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1:49"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1:49"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1:49"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1:49"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1:49"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1:49"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1:49"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1:49"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1:49"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1:49"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1:49"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1:49"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1:49"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1:49"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1:49"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1:49"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1:49"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1:49"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1:49"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1:49"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1:49"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1:49"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1:49"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1:49"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1:49"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1:49"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1:49"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1:49"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1:49"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1:49"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1:49"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1:49"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1:49"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1:49"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1:49"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1:49"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1:49"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1:49"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1:49"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1:49"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pans="11:49"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1:49"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pans="11:49"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pans="11:49"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pans="11:49"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1:49"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pans="11:49"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1:49"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1:49"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1:49"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1:49"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pans="11:49"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pans="11:49"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pans="11:49"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pans="11:49"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1:49"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1:49"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pans="11:49"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pans="11:49"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pans="11:49"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pans="11:49"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1:49"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pans="11:49"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pans="11:49"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1:49"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1:49"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1:49"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spans="11:49"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1:49"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1:49"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1:49"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1:49"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1:49"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1:49"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1:49"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1:49"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1:49"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spans="11:49"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spans="11:49"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1:49"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11:49"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11:49"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11:49"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11:49"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1:49"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1:49"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1:49"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1:49"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1:49"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1:49"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1:49"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1:49"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1:49"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11:49"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1:49"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1:49"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1:49"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11:49"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11:49"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11:49"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1:49"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11:49"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11:49"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1:49"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1:49"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1:49"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1:49"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1:49"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1:49"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1:49"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1:49"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1:49"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1:49"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1:49"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1:49"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1:49"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1:49"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1:49"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1:49"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1:49"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1:49"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1:49"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1:49"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1:49"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11:49"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11:49"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11:49"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11:49"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11:49"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11:49"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11:49"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1:49"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1:49"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11:49"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1:49"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11:49"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1:49"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1:49"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11:49"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11:49"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11:49"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11:49"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1:49"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1:49"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1:49"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1:49"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1:49"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1:49"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1:49"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1:49"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1:49"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1:49"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1:49"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1:49"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1:49"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1:49"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1:49"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1:49"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1:49"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1:49"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1:49"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1:49"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1:49"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1:49"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1:49"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1:49"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1:49"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1:49"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1:49"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1:49"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1:49"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1:49"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1:49"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1:49"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1:49"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1:49"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1:49"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1:49"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1:49"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1:49"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1:49"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1:49"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1:49"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1:49"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1:49"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1:49"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1:49"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1:49"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1:49"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1:49"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1:49"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1:49"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1:49"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1:49"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1:49"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1:49"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1:49"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1:49"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1:49"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1:49"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1:49"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1:49"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1:49"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spans="11:49"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1:49"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1:49"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1:49"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1:49"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1:49"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1:49"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1:49"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1:49"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1:49"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1:49"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1:49"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1:49"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1:49"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1:49"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1:49"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1:49"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1:49"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1:49"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1:49"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1:49"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1:49"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1:49"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1:49"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1:49"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1:49"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1:49"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1:49"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1:49"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1:49"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1:49"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1:49"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1:49"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1:49"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1:49"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1:49"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1:49"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1:49"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1:49"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1:49"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1:49"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1:49"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1:49"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1:49"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1:49"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1:49"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1:49"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1:49"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1:49"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1:49"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1:49"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1:49"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1:49"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1:49"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1:49"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1:49"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1:49"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1:49"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1:49"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1:49"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1:49"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1:49"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1:49"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1:49"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1:49"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1:49"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1:49"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1:49"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1:49"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1:49"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1:49"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1:49"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1:49"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1:49"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1:49"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1:49"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1:49"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1:49"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1:49"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1:49"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1:49"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1:49"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1:49"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1:49"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1:49"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1:49"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1:49"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1:49"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1:49"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1:49"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1:49"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1:49"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1:49"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1:49"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1:49"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1:49"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1:49"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1:49"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1:49"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1:49"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1:49"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1:49"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1:49"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1:49"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1:49"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1:49"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1:49"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1:49"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1:49"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1:49"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1:49"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1:49"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1:49"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1:49"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1:49"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1:49"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1:49"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1:49"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1:49"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1:49"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1:49"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1:49"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1:49"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1:49"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1:49"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1:49"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1:49"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1:49"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1:49"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1:49"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1:49"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1:49"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1:49"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1:49"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1:49"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1:49"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1:49"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1:49"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1:49"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1:49"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1:49"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1:49"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1:49"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1:49"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1:49"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1:49"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1:49"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1:49"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1:49"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1:49"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1:49"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1:49"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1:49"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1:49"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1:49"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1:49"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1:49"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1:49"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1:49"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1:49"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1:49"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1:49"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1:49"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1:49"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1:49"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1:49"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1:49"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1:49"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1:49"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1:49"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1:49"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1:49"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1:49"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1:49"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1:49"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1:49"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1:49"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1:49"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1:49"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1:49"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1:49"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1:49"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1:49"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1:49"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1:49"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1:49"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1:49"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1:49"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1:49"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1:49"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1:49"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1:49"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1:49"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1:49"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1:49"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1:49"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1:49"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1:49"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1:49"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1:49"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1:49"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1:49"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1:49"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1:49"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1:49"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1:49"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1:49"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1:49"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1:49"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1:49"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1:49"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1:49"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1:49"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1:49"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1:49"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1:49"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1:49"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1:49"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1:49"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1:49"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1:49"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1:49"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1:49"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1:49"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1:49"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1:49"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1:49"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1:49"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1:49"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1:49"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1:49"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1:49"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1:49"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1:49"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1:49"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1:49"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1:49"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1:49"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1:49"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1:49"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1:49"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1:49"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1:49"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1:49"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1:49"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1:49"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1:49"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1:49"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1:49"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1:49"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1:49"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1:49"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1:49"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1:49"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1:49"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1:49"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1:49"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1:49"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1:49"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1:49"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1:49"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1:49"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1:49"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1:49"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1:49"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1:49"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1:49"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1:49"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1:49"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1:49"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1:49"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1:49"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1:49"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1:49"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1:49"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1:49"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1:49"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1:49"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1:49"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1:49"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1:49"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1:49"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1:49"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1:49"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1:49"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1:49"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1:49"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1:49"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1:49"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1:49"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1:49"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spans="11:49"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1:49"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1:49"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1:49"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1:49"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1:49"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1:49"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spans="11:49"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1:49"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1:49"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1:49"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1:49"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spans="11:49"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1:49"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1:49"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1:49"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1:49"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1:49"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1:49"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1:49"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1:49"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1:49"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1:49"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1:49"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1:49"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1:49"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spans="11:49"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1:49"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1:49"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1:49"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1:49"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1:49"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1:49"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1:49"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1:49"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1:49"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1:49"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1:49"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1:49"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1:49"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1:49"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1:49"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1:49"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1:49"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1:49"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1:49"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1:49"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1:49"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1:49"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1:49"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1:49"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1:49"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1:49"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1:49"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1:49"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1:49"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1:49"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1:49"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1:49"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1:49"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1:49"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1:49"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1:49"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1:49"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1:49"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1:49"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1:49"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1:49"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spans="11:49"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spans="11:49"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spans="11:49"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1:49"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spans="11:49"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1:49"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1:49"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spans="11:49"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spans="11:49"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spans="11:49"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spans="11:49"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spans="11:49"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1:49"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spans="11:49"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1:49"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spans="11:49"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spans="11:49"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spans="11:49"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spans="11:49"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1:49"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spans="11:49"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spans="11:49"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spans="11:49"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spans="11:49"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spans="11:49"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spans="11:49"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spans="11:49"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1:49"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spans="11:49"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spans="11:49"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1:49"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1:49"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spans="11:49"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spans="11:49"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spans="11:49"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spans="11:49"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spans="11:49"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1:49"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spans="11:49"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spans="11:49"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spans="11:49"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1:49"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spans="11:49"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spans="11:49"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spans="11:49"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1:49"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spans="11:49"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spans="11:49"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spans="11:49"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1:49"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spans="11:49"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spans="11:49"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1:49"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1:49"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spans="11:49"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spans="11:49"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spans="11:49"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spans="11:49"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1:49"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1:49"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1:49"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1:49"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1:49"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1:49"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1:49"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1:49"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1:49"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1:49"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1:49"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1:49"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1:49"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1:49"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1:49"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1:49"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1:49"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1:49"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1:49"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spans="11:49"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spans="11:49"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spans="11:49"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spans="11:49"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spans="11:49"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spans="11:49"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1:49"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spans="11:49"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spans="11:49"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spans="11:49"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1:49"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spans="11:49"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1:49"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1:49"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spans="11:49"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spans="11:49"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1:49"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spans="11:49"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spans="11:49"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1:49"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1:49"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1:49"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1:49"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1:49"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1:49"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spans="11:49"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1:49"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1:49"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spans="11:49"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1:49"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spans="11:49"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spans="11:49"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1:49"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1:49"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spans="11:49"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spans="11:49"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spans="11:49"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1:49"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spans="11:49"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1:49"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1:49"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1:49"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1:49"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1:49"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1:49"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1:49"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1:49"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1:49"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1:49"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spans="11:49"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1:49"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spans="11:49"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1:49"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spans="11:49"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1:49"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1:49"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1:49"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spans="11:49"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spans="11:49"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spans="11:49"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1:49"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spans="11:49"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1:49"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1:49"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spans="11:49"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spans="11:49"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1:49"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1:49"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1:49"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1:49"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1:49"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1:49"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1:49"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1:49"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1:49"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1:49"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1:49"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1:49"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spans="11:49"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1:49"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spans="11:49"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1:49"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1:49"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1:49"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1:49"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1:49"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1:49"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1:49"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1:49"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1:49"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1:49"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1:49"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1:49"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1:49"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1:49"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1:49"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1:49"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1:49"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1:49"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1:49"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1:49"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1:49"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1:49"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1:49"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1:49"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1:49"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spans="11:49"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1:49"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1:49"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1:49"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1:49"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1:49"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1:49"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1:49"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spans="11:49"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1:49"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1:49"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1:49"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spans="11:49"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1:49"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1:49"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1:49"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1:49"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1:49"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1:49"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1:49"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1:49"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1:49"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spans="11:49"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1:49"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1:49"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spans="11:49"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spans="11:49"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spans="11:49"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1:49"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1:49"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spans="11:49"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spans="11:49"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spans="11:49"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1:49"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1:49"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1:49"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1:49"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1:49"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spans="11:49"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spans="11:49"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1:49"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spans="11:49"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spans="11:49"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spans="11:49"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1:49"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spans="11:49"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1:49"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1:49"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1:49"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1:49"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spans="11:49"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spans="11:49"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spans="11:49"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spans="11:49"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1:49"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1:49"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1:49"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spans="11:49"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1:49"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1:49"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1:49"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spans="11:49"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spans="11:49"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spans="11:49"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1:49"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1:49"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1:49"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1:49"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1:49"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2017-12-08T17:21:04Z</dcterms:created>
  <dcterms:modified xsi:type="dcterms:W3CDTF">2020-08-04T17:43:55Z</dcterms:modified>
</cp:coreProperties>
</file>