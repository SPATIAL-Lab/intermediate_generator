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xzhang04\Desktop\Wesleyan University &amp; CO2PIP Post Dr\CO2PIP\Communication\References\Completed templates\Archive templates done\Zhou, N. et al., 2020 revised\"/>
    </mc:Choice>
  </mc:AlternateContent>
  <xr:revisionPtr revIDLastSave="0" documentId="13_ncr:1_{F148F0EF-D794-4BB0-9A82-277EE8465FA8}" xr6:coauthVersionLast="47" xr6:coauthVersionMax="47" xr10:uidLastSave="{00000000-0000-0000-0000-000000000000}"/>
  <bookViews>
    <workbookView xWindow="28680" yWindow="-120" windowWidth="29040" windowHeight="15840" tabRatio="500" xr2:uid="{00000000-000D-0000-FFFF-FFFF00000000}"/>
  </bookViews>
  <sheets>
    <sheet name="stomatal index" sheetId="1" r:id="rId1"/>
    <sheet name="age data" sheetId="2" r:id="rId2"/>
    <sheet name="vocabs" sheetId="3" r:id="rId3"/>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 l="1"/>
  <c r="E4" i="1"/>
  <c r="F4" i="1"/>
  <c r="G4" i="1"/>
  <c r="H4" i="1"/>
  <c r="I4" i="1"/>
  <c r="J4" i="1"/>
  <c r="D5" i="1"/>
  <c r="E5" i="1"/>
  <c r="F5" i="1"/>
  <c r="G5" i="1"/>
  <c r="H5" i="1"/>
  <c r="I5" i="1"/>
  <c r="J5" i="1"/>
  <c r="D6" i="1"/>
  <c r="E6" i="1"/>
  <c r="F6" i="1"/>
  <c r="G6" i="1"/>
  <c r="H6" i="1"/>
  <c r="I6" i="1"/>
  <c r="J6" i="1"/>
  <c r="D7" i="1"/>
  <c r="E7" i="1"/>
  <c r="F7" i="1"/>
  <c r="G7" i="1"/>
  <c r="H7" i="1"/>
  <c r="I7" i="1"/>
  <c r="J7" i="1"/>
  <c r="D8" i="1"/>
  <c r="E8" i="1"/>
  <c r="F8" i="1"/>
  <c r="G8" i="1"/>
  <c r="H8" i="1"/>
  <c r="I8" i="1"/>
  <c r="J8" i="1"/>
  <c r="D9" i="1"/>
  <c r="E9" i="1"/>
  <c r="F9" i="1"/>
  <c r="G9" i="1"/>
  <c r="H9" i="1"/>
  <c r="I9" i="1"/>
  <c r="J9" i="1"/>
  <c r="D10" i="1"/>
  <c r="E10" i="1"/>
  <c r="F10" i="1"/>
  <c r="G10" i="1"/>
  <c r="H10" i="1"/>
  <c r="I10" i="1"/>
  <c r="J10" i="1"/>
  <c r="D11" i="1"/>
  <c r="E11" i="1"/>
  <c r="F11" i="1"/>
  <c r="G11" i="1"/>
  <c r="H11" i="1"/>
  <c r="I11" i="1"/>
  <c r="J11" i="1"/>
  <c r="D12" i="1"/>
  <c r="E12" i="1"/>
  <c r="F12" i="1"/>
  <c r="G12" i="1"/>
  <c r="H12" i="1"/>
  <c r="I12" i="1"/>
  <c r="J12" i="1"/>
  <c r="D13" i="1"/>
  <c r="E13" i="1"/>
  <c r="F13" i="1"/>
  <c r="G13" i="1"/>
  <c r="H13" i="1"/>
  <c r="I13" i="1"/>
  <c r="J13" i="1"/>
  <c r="D14" i="1"/>
  <c r="E14" i="1"/>
  <c r="F14" i="1"/>
  <c r="G14" i="1"/>
  <c r="H14" i="1"/>
  <c r="I14" i="1"/>
  <c r="J14" i="1"/>
  <c r="D15" i="1"/>
  <c r="E15" i="1"/>
  <c r="F15" i="1"/>
  <c r="G15" i="1"/>
  <c r="H15" i="1"/>
  <c r="I15" i="1"/>
  <c r="J15" i="1"/>
  <c r="D16" i="1"/>
  <c r="E16" i="1"/>
  <c r="F16" i="1"/>
  <c r="G16" i="1"/>
  <c r="H16" i="1"/>
  <c r="I16" i="1"/>
  <c r="J16" i="1"/>
  <c r="D17" i="1"/>
  <c r="E17" i="1"/>
  <c r="F17" i="1"/>
  <c r="G17" i="1"/>
  <c r="H17" i="1"/>
  <c r="I17" i="1"/>
  <c r="J17" i="1"/>
  <c r="D18" i="1"/>
  <c r="E18" i="1"/>
  <c r="F18" i="1"/>
  <c r="G18" i="1"/>
  <c r="H18" i="1"/>
  <c r="I18" i="1"/>
  <c r="J18" i="1"/>
  <c r="D19" i="1"/>
  <c r="E19" i="1"/>
  <c r="F19" i="1"/>
  <c r="G19" i="1"/>
  <c r="H19" i="1"/>
  <c r="I19" i="1"/>
  <c r="J19" i="1"/>
  <c r="D20" i="1"/>
  <c r="E20" i="1"/>
  <c r="F20" i="1"/>
  <c r="G20" i="1"/>
  <c r="H20" i="1"/>
  <c r="I20" i="1"/>
  <c r="J20" i="1"/>
  <c r="D21" i="1"/>
  <c r="E21" i="1"/>
  <c r="F21" i="1"/>
  <c r="G21" i="1"/>
  <c r="H21" i="1"/>
  <c r="I21" i="1"/>
  <c r="J21" i="1"/>
  <c r="D22" i="1"/>
  <c r="E22" i="1"/>
  <c r="F22" i="1"/>
  <c r="G22" i="1"/>
  <c r="H22" i="1"/>
  <c r="I22" i="1"/>
  <c r="J22" i="1"/>
  <c r="D23" i="1"/>
  <c r="E23" i="1"/>
  <c r="F23" i="1"/>
  <c r="G23" i="1"/>
  <c r="H23" i="1"/>
  <c r="I23" i="1"/>
  <c r="J23" i="1"/>
  <c r="D24" i="1"/>
  <c r="E24" i="1"/>
  <c r="F24" i="1"/>
  <c r="G24" i="1"/>
  <c r="H24" i="1"/>
  <c r="I24" i="1"/>
  <c r="J24" i="1"/>
  <c r="D25" i="1"/>
  <c r="E25" i="1"/>
  <c r="F25" i="1"/>
  <c r="G25" i="1"/>
  <c r="H25" i="1"/>
  <c r="I25" i="1"/>
  <c r="J25" i="1"/>
  <c r="D26" i="1"/>
  <c r="E26" i="1"/>
  <c r="F26" i="1"/>
  <c r="G26" i="1"/>
  <c r="H26" i="1"/>
  <c r="I26" i="1"/>
  <c r="J26" i="1"/>
  <c r="D27" i="1"/>
  <c r="E27" i="1"/>
  <c r="F27" i="1"/>
  <c r="G27" i="1"/>
  <c r="H27" i="1"/>
  <c r="I27" i="1"/>
  <c r="J27" i="1"/>
  <c r="D28" i="1"/>
  <c r="E28" i="1"/>
  <c r="F28" i="1"/>
  <c r="G28" i="1"/>
  <c r="H28" i="1"/>
  <c r="I28" i="1"/>
  <c r="J28" i="1"/>
  <c r="D29" i="1"/>
  <c r="E29" i="1"/>
  <c r="F29" i="1"/>
  <c r="G29" i="1"/>
  <c r="H29" i="1"/>
  <c r="I29" i="1"/>
  <c r="J29" i="1"/>
  <c r="D30" i="1"/>
  <c r="E30" i="1"/>
  <c r="F30" i="1"/>
  <c r="G30" i="1"/>
  <c r="H30" i="1"/>
  <c r="I30" i="1"/>
  <c r="J30" i="1"/>
  <c r="D31" i="1"/>
  <c r="E31" i="1"/>
  <c r="F31" i="1"/>
  <c r="G31" i="1"/>
  <c r="H31" i="1"/>
  <c r="I31" i="1"/>
  <c r="J31" i="1"/>
  <c r="D32" i="1"/>
  <c r="E32" i="1"/>
  <c r="F32" i="1"/>
  <c r="G32" i="1"/>
  <c r="H32" i="1"/>
  <c r="I32" i="1"/>
  <c r="J32" i="1"/>
  <c r="D33" i="1"/>
  <c r="E33" i="1"/>
  <c r="F33" i="1"/>
  <c r="G33" i="1"/>
  <c r="H33" i="1"/>
  <c r="I33" i="1"/>
  <c r="J33" i="1"/>
  <c r="D34" i="1"/>
  <c r="E34" i="1"/>
  <c r="F34" i="1"/>
  <c r="G34" i="1"/>
  <c r="H34" i="1"/>
  <c r="I34" i="1"/>
  <c r="J34" i="1"/>
  <c r="D35" i="1"/>
  <c r="E35" i="1"/>
  <c r="F35" i="1"/>
  <c r="G35" i="1"/>
  <c r="H35" i="1"/>
  <c r="I35" i="1"/>
  <c r="J35" i="1"/>
  <c r="D36" i="1"/>
  <c r="E36" i="1"/>
  <c r="F36" i="1"/>
  <c r="G36" i="1"/>
  <c r="H36" i="1"/>
  <c r="I36" i="1"/>
  <c r="J36" i="1"/>
  <c r="D37" i="1"/>
  <c r="E37" i="1"/>
  <c r="F37" i="1"/>
  <c r="G37" i="1"/>
  <c r="H37" i="1"/>
  <c r="I37" i="1"/>
  <c r="J37" i="1"/>
  <c r="D38" i="1"/>
  <c r="E38" i="1"/>
  <c r="F38" i="1"/>
  <c r="G38" i="1"/>
  <c r="H38" i="1"/>
  <c r="I38" i="1"/>
  <c r="J38" i="1"/>
  <c r="D39" i="1"/>
  <c r="E39" i="1"/>
  <c r="F39" i="1"/>
  <c r="G39" i="1"/>
  <c r="H39" i="1"/>
  <c r="I39" i="1"/>
  <c r="J39" i="1"/>
  <c r="D40" i="1"/>
  <c r="E40" i="1"/>
  <c r="F40" i="1"/>
  <c r="G40" i="1"/>
  <c r="H40" i="1"/>
  <c r="I40" i="1"/>
  <c r="J40" i="1"/>
  <c r="D41" i="1"/>
  <c r="E41" i="1"/>
  <c r="F41" i="1"/>
  <c r="G41" i="1"/>
  <c r="H41" i="1"/>
  <c r="I41" i="1"/>
  <c r="J41" i="1"/>
  <c r="D42" i="1"/>
  <c r="E42" i="1"/>
  <c r="F42" i="1"/>
  <c r="G42" i="1"/>
  <c r="H42" i="1"/>
  <c r="I42" i="1"/>
  <c r="J42" i="1"/>
  <c r="D43" i="1"/>
  <c r="E43" i="1"/>
  <c r="F43" i="1"/>
  <c r="G43" i="1"/>
  <c r="H43" i="1"/>
  <c r="I43" i="1"/>
  <c r="J43" i="1"/>
  <c r="D44" i="1"/>
  <c r="E44" i="1"/>
  <c r="F44" i="1"/>
  <c r="G44" i="1"/>
  <c r="H44" i="1"/>
  <c r="I44" i="1"/>
  <c r="J44" i="1"/>
  <c r="D45" i="1"/>
  <c r="E45" i="1"/>
  <c r="F45" i="1"/>
  <c r="G45" i="1"/>
  <c r="H45" i="1"/>
  <c r="I45" i="1"/>
  <c r="J45" i="1"/>
  <c r="D46" i="1"/>
  <c r="E46" i="1"/>
  <c r="F46" i="1"/>
  <c r="G46" i="1"/>
  <c r="H46" i="1"/>
  <c r="I46" i="1"/>
  <c r="J46" i="1"/>
  <c r="D47" i="1"/>
  <c r="E47" i="1"/>
  <c r="F47" i="1"/>
  <c r="G47" i="1"/>
  <c r="H47" i="1"/>
  <c r="I47" i="1"/>
  <c r="J47" i="1"/>
  <c r="D48" i="1"/>
  <c r="E48" i="1"/>
  <c r="F48" i="1"/>
  <c r="G48" i="1"/>
  <c r="H48" i="1"/>
  <c r="I48" i="1"/>
  <c r="J48" i="1"/>
  <c r="D49" i="1"/>
  <c r="E49" i="1"/>
  <c r="F49" i="1"/>
  <c r="G49" i="1"/>
  <c r="H49" i="1"/>
  <c r="I49" i="1"/>
  <c r="J49" i="1"/>
  <c r="D50" i="1"/>
  <c r="E50" i="1"/>
  <c r="F50" i="1"/>
  <c r="G50" i="1"/>
  <c r="H50" i="1"/>
  <c r="I50" i="1"/>
  <c r="J50" i="1"/>
  <c r="D51" i="1"/>
  <c r="E51" i="1"/>
  <c r="F51" i="1"/>
  <c r="G51" i="1"/>
  <c r="H51" i="1"/>
  <c r="I51" i="1"/>
  <c r="J51" i="1"/>
  <c r="D52" i="1"/>
  <c r="E52" i="1"/>
  <c r="F52" i="1"/>
  <c r="G52" i="1"/>
  <c r="H52" i="1"/>
  <c r="I52" i="1"/>
  <c r="J52" i="1"/>
  <c r="D53" i="1"/>
  <c r="E53" i="1"/>
  <c r="F53" i="1"/>
  <c r="G53" i="1"/>
  <c r="H53" i="1"/>
  <c r="I53" i="1"/>
  <c r="J53" i="1"/>
  <c r="D54" i="1"/>
  <c r="E54" i="1"/>
  <c r="F54" i="1"/>
  <c r="G54" i="1"/>
  <c r="H54" i="1"/>
  <c r="I54" i="1"/>
  <c r="J54" i="1"/>
  <c r="D55" i="1"/>
  <c r="E55" i="1"/>
  <c r="F55" i="1"/>
  <c r="G55" i="1"/>
  <c r="H55" i="1"/>
  <c r="I55" i="1"/>
  <c r="J55" i="1"/>
  <c r="D56" i="1"/>
  <c r="E56" i="1"/>
  <c r="F56" i="1"/>
  <c r="G56" i="1"/>
  <c r="H56" i="1"/>
  <c r="I56" i="1"/>
  <c r="J56" i="1"/>
  <c r="D57" i="1"/>
  <c r="E57" i="1"/>
  <c r="F57" i="1"/>
  <c r="G57" i="1"/>
  <c r="H57" i="1"/>
  <c r="I57" i="1"/>
  <c r="J57" i="1"/>
  <c r="D58" i="1"/>
  <c r="E58" i="1"/>
  <c r="F58" i="1"/>
  <c r="G58" i="1"/>
  <c r="H58" i="1"/>
  <c r="I58" i="1"/>
  <c r="J58" i="1"/>
  <c r="D59" i="1"/>
  <c r="E59" i="1"/>
  <c r="F59" i="1"/>
  <c r="G59" i="1"/>
  <c r="H59" i="1"/>
  <c r="I59" i="1"/>
  <c r="J59" i="1"/>
  <c r="D60" i="1"/>
  <c r="E60" i="1"/>
  <c r="F60" i="1"/>
  <c r="G60" i="1"/>
  <c r="H60" i="1"/>
  <c r="I60" i="1"/>
  <c r="J60" i="1"/>
  <c r="D61" i="1"/>
  <c r="E61" i="1"/>
  <c r="F61" i="1"/>
  <c r="G61" i="1"/>
  <c r="H61" i="1"/>
  <c r="I61" i="1"/>
  <c r="J61" i="1"/>
  <c r="D62" i="1"/>
  <c r="E62" i="1"/>
  <c r="F62" i="1"/>
  <c r="G62" i="1"/>
  <c r="H62" i="1"/>
  <c r="I62" i="1"/>
  <c r="J62" i="1"/>
  <c r="D63" i="1"/>
  <c r="E63" i="1"/>
  <c r="F63" i="1"/>
  <c r="G63" i="1"/>
  <c r="H63" i="1"/>
  <c r="I63" i="1"/>
  <c r="J63" i="1"/>
  <c r="D64" i="1"/>
  <c r="E64" i="1"/>
  <c r="F64" i="1"/>
  <c r="G64" i="1"/>
  <c r="H64" i="1"/>
  <c r="I64" i="1"/>
  <c r="J64" i="1"/>
  <c r="D65" i="1"/>
  <c r="E65" i="1"/>
  <c r="F65" i="1"/>
  <c r="G65" i="1"/>
  <c r="H65" i="1"/>
  <c r="I65" i="1"/>
  <c r="J65" i="1"/>
  <c r="D66" i="1"/>
  <c r="E66" i="1"/>
  <c r="F66" i="1"/>
  <c r="G66" i="1"/>
  <c r="H66" i="1"/>
  <c r="I66" i="1"/>
  <c r="J66" i="1"/>
  <c r="D67" i="1"/>
  <c r="E67" i="1"/>
  <c r="F67" i="1"/>
  <c r="G67" i="1"/>
  <c r="H67" i="1"/>
  <c r="I67" i="1"/>
  <c r="J67" i="1"/>
  <c r="D68" i="1"/>
  <c r="E68" i="1"/>
  <c r="F68" i="1"/>
  <c r="G68" i="1"/>
  <c r="H68" i="1"/>
  <c r="I68" i="1"/>
  <c r="J68" i="1"/>
  <c r="D69" i="1"/>
  <c r="E69" i="1"/>
  <c r="F69" i="1"/>
  <c r="G69" i="1"/>
  <c r="H69" i="1"/>
  <c r="I69" i="1"/>
  <c r="J69" i="1"/>
  <c r="D70" i="1"/>
  <c r="E70" i="1"/>
  <c r="F70" i="1"/>
  <c r="G70" i="1"/>
  <c r="H70" i="1"/>
  <c r="I70" i="1"/>
  <c r="J70" i="1"/>
  <c r="D71" i="1"/>
  <c r="E71" i="1"/>
  <c r="F71" i="1"/>
  <c r="G71" i="1"/>
  <c r="H71" i="1"/>
  <c r="I71" i="1"/>
  <c r="J71" i="1"/>
  <c r="D72" i="1"/>
  <c r="E72" i="1"/>
  <c r="F72" i="1"/>
  <c r="G72" i="1"/>
  <c r="H72" i="1"/>
  <c r="I72" i="1"/>
  <c r="J72" i="1"/>
  <c r="D73" i="1"/>
  <c r="E73" i="1"/>
  <c r="F73" i="1"/>
  <c r="G73" i="1"/>
  <c r="H73" i="1"/>
  <c r="I73" i="1"/>
  <c r="J73" i="1"/>
  <c r="D74" i="1"/>
  <c r="E74" i="1"/>
  <c r="F74" i="1"/>
  <c r="G74" i="1"/>
  <c r="H74" i="1"/>
  <c r="I74" i="1"/>
  <c r="J74" i="1"/>
  <c r="D75" i="1"/>
  <c r="E75" i="1"/>
  <c r="F75" i="1"/>
  <c r="G75" i="1"/>
  <c r="H75" i="1"/>
  <c r="I75" i="1"/>
  <c r="J75" i="1"/>
  <c r="D76" i="1"/>
  <c r="E76" i="1"/>
  <c r="F76" i="1"/>
  <c r="G76" i="1"/>
  <c r="H76" i="1"/>
  <c r="I76" i="1"/>
  <c r="J76" i="1"/>
  <c r="D77" i="1"/>
  <c r="E77" i="1"/>
  <c r="F77" i="1"/>
  <c r="G77" i="1"/>
  <c r="H77" i="1"/>
  <c r="I77" i="1"/>
  <c r="J77" i="1"/>
  <c r="D78" i="1"/>
  <c r="E78" i="1"/>
  <c r="F78" i="1"/>
  <c r="G78" i="1"/>
  <c r="H78" i="1"/>
  <c r="I78" i="1"/>
  <c r="J78" i="1"/>
  <c r="D79" i="1"/>
  <c r="E79" i="1"/>
  <c r="F79" i="1"/>
  <c r="G79" i="1"/>
  <c r="H79" i="1"/>
  <c r="I79" i="1"/>
  <c r="J79" i="1"/>
  <c r="D80" i="1"/>
  <c r="E80" i="1"/>
  <c r="F80" i="1"/>
  <c r="G80" i="1"/>
  <c r="H80" i="1"/>
  <c r="I80" i="1"/>
  <c r="J80" i="1"/>
  <c r="D81" i="1"/>
  <c r="E81" i="1"/>
  <c r="F81" i="1"/>
  <c r="G81" i="1"/>
  <c r="H81" i="1"/>
  <c r="I81" i="1"/>
  <c r="J81" i="1"/>
  <c r="D82" i="1"/>
  <c r="E82" i="1"/>
  <c r="F82" i="1"/>
  <c r="G82" i="1"/>
  <c r="H82" i="1"/>
  <c r="I82" i="1"/>
  <c r="J82" i="1"/>
  <c r="D83" i="1"/>
  <c r="E83" i="1"/>
  <c r="F83" i="1"/>
  <c r="G83" i="1"/>
  <c r="H83" i="1"/>
  <c r="I83" i="1"/>
  <c r="J83" i="1"/>
  <c r="D84" i="1"/>
  <c r="E84" i="1"/>
  <c r="F84" i="1"/>
  <c r="G84" i="1"/>
  <c r="H84" i="1"/>
  <c r="I84" i="1"/>
  <c r="J84" i="1"/>
  <c r="D85" i="1"/>
  <c r="E85" i="1"/>
  <c r="F85" i="1"/>
  <c r="G85" i="1"/>
  <c r="H85" i="1"/>
  <c r="I85" i="1"/>
  <c r="J85" i="1"/>
  <c r="D86" i="1"/>
  <c r="E86" i="1"/>
  <c r="F86" i="1"/>
  <c r="G86" i="1"/>
  <c r="H86" i="1"/>
  <c r="I86" i="1"/>
  <c r="J86" i="1"/>
  <c r="D87" i="1"/>
  <c r="E87" i="1"/>
  <c r="F87" i="1"/>
  <c r="G87" i="1"/>
  <c r="H87" i="1"/>
  <c r="I87" i="1"/>
  <c r="J87" i="1"/>
  <c r="D88" i="1"/>
  <c r="E88" i="1"/>
  <c r="F88" i="1"/>
  <c r="G88" i="1"/>
  <c r="H88" i="1"/>
  <c r="I88" i="1"/>
  <c r="J88" i="1"/>
  <c r="D89" i="1"/>
  <c r="E89" i="1"/>
  <c r="F89" i="1"/>
  <c r="G89" i="1"/>
  <c r="H89" i="1"/>
  <c r="I89" i="1"/>
  <c r="J89" i="1"/>
  <c r="D90" i="1"/>
  <c r="E90" i="1"/>
  <c r="F90" i="1"/>
  <c r="G90" i="1"/>
  <c r="H90" i="1"/>
  <c r="I90" i="1"/>
  <c r="J90" i="1"/>
  <c r="D91" i="1"/>
  <c r="E91" i="1"/>
  <c r="F91" i="1"/>
  <c r="G91" i="1"/>
  <c r="H91" i="1"/>
  <c r="I91" i="1"/>
  <c r="J91" i="1"/>
  <c r="D92" i="1"/>
  <c r="E92" i="1"/>
  <c r="F92" i="1"/>
  <c r="G92" i="1"/>
  <c r="H92" i="1"/>
  <c r="I92" i="1"/>
  <c r="J92" i="1"/>
  <c r="D93" i="1"/>
  <c r="E93" i="1"/>
  <c r="F93" i="1"/>
  <c r="G93" i="1"/>
  <c r="H93" i="1"/>
  <c r="I93" i="1"/>
  <c r="J93" i="1"/>
  <c r="D94" i="1"/>
  <c r="E94" i="1"/>
  <c r="F94" i="1"/>
  <c r="G94" i="1"/>
  <c r="H94" i="1"/>
  <c r="I94" i="1"/>
  <c r="J94" i="1"/>
  <c r="D95" i="1"/>
  <c r="E95" i="1"/>
  <c r="F95" i="1"/>
  <c r="G95" i="1"/>
  <c r="H95" i="1"/>
  <c r="I95" i="1"/>
  <c r="J95" i="1"/>
  <c r="D96" i="1"/>
  <c r="E96" i="1"/>
  <c r="F96" i="1"/>
  <c r="G96" i="1"/>
  <c r="H96" i="1"/>
  <c r="I96" i="1"/>
  <c r="J96" i="1"/>
  <c r="D97" i="1"/>
  <c r="E97" i="1"/>
  <c r="F97" i="1"/>
  <c r="G97" i="1"/>
  <c r="H97" i="1"/>
  <c r="I97" i="1"/>
  <c r="J97" i="1"/>
  <c r="D98" i="1"/>
  <c r="E98" i="1"/>
  <c r="F98" i="1"/>
  <c r="G98" i="1"/>
  <c r="H98" i="1"/>
  <c r="I98" i="1"/>
  <c r="J98" i="1"/>
  <c r="D99" i="1"/>
  <c r="E99" i="1"/>
  <c r="F99" i="1"/>
  <c r="G99" i="1"/>
  <c r="H99" i="1"/>
  <c r="I99" i="1"/>
  <c r="J99" i="1"/>
  <c r="D100" i="1"/>
  <c r="E100" i="1"/>
  <c r="F100" i="1"/>
  <c r="G100" i="1"/>
  <c r="H100" i="1"/>
  <c r="I100" i="1"/>
  <c r="J100" i="1"/>
  <c r="D101" i="1"/>
  <c r="E101" i="1"/>
  <c r="F101" i="1"/>
  <c r="G101" i="1"/>
  <c r="H101" i="1"/>
  <c r="I101" i="1"/>
  <c r="J101" i="1"/>
  <c r="D102" i="1"/>
  <c r="E102" i="1"/>
  <c r="F102" i="1"/>
  <c r="G102" i="1"/>
  <c r="H102" i="1"/>
  <c r="I102" i="1"/>
  <c r="J102" i="1"/>
  <c r="D103" i="1"/>
  <c r="E103" i="1"/>
  <c r="F103" i="1"/>
  <c r="G103" i="1"/>
  <c r="H103" i="1"/>
  <c r="I103" i="1"/>
  <c r="J103" i="1"/>
  <c r="D104" i="1"/>
  <c r="E104" i="1"/>
  <c r="F104" i="1"/>
  <c r="G104" i="1"/>
  <c r="H104" i="1"/>
  <c r="I104" i="1"/>
  <c r="J104" i="1"/>
  <c r="D105" i="1"/>
  <c r="E105" i="1"/>
  <c r="F105" i="1"/>
  <c r="G105" i="1"/>
  <c r="H105" i="1"/>
  <c r="I105" i="1"/>
  <c r="J105" i="1"/>
  <c r="D106" i="1"/>
  <c r="E106" i="1"/>
  <c r="F106" i="1"/>
  <c r="G106" i="1"/>
  <c r="H106" i="1"/>
  <c r="I106" i="1"/>
  <c r="J106" i="1"/>
  <c r="D107" i="1"/>
  <c r="E107" i="1"/>
  <c r="F107" i="1"/>
  <c r="G107" i="1"/>
  <c r="H107" i="1"/>
  <c r="I107" i="1"/>
  <c r="J107" i="1"/>
  <c r="D108" i="1"/>
  <c r="E108" i="1"/>
  <c r="F108" i="1"/>
  <c r="G108" i="1"/>
  <c r="H108" i="1"/>
  <c r="I108" i="1"/>
  <c r="J108" i="1"/>
  <c r="D109" i="1"/>
  <c r="E109" i="1"/>
  <c r="F109" i="1"/>
  <c r="G109" i="1"/>
  <c r="H109" i="1"/>
  <c r="I109" i="1"/>
  <c r="J109" i="1"/>
  <c r="D110" i="1"/>
  <c r="E110" i="1"/>
  <c r="F110" i="1"/>
  <c r="G110" i="1"/>
  <c r="H110" i="1"/>
  <c r="I110" i="1"/>
  <c r="J110" i="1"/>
  <c r="D111" i="1"/>
  <c r="E111" i="1"/>
  <c r="F111" i="1"/>
  <c r="G111" i="1"/>
  <c r="H111" i="1"/>
  <c r="I111" i="1"/>
  <c r="J111" i="1"/>
  <c r="D112" i="1"/>
  <c r="E112" i="1"/>
  <c r="F112" i="1"/>
  <c r="G112" i="1"/>
  <c r="H112" i="1"/>
  <c r="I112" i="1"/>
  <c r="J112" i="1"/>
  <c r="D113" i="1"/>
  <c r="E113" i="1"/>
  <c r="F113" i="1"/>
  <c r="G113" i="1"/>
  <c r="H113" i="1"/>
  <c r="I113" i="1"/>
  <c r="J113" i="1"/>
  <c r="D114" i="1"/>
  <c r="E114" i="1"/>
  <c r="F114" i="1"/>
  <c r="G114" i="1"/>
  <c r="H114" i="1"/>
  <c r="I114" i="1"/>
  <c r="J114" i="1"/>
  <c r="D115" i="1"/>
  <c r="E115" i="1"/>
  <c r="F115" i="1"/>
  <c r="G115" i="1"/>
  <c r="H115" i="1"/>
  <c r="I115" i="1"/>
  <c r="J115" i="1"/>
  <c r="D116" i="1"/>
  <c r="E116" i="1"/>
  <c r="F116" i="1"/>
  <c r="G116" i="1"/>
  <c r="H116" i="1"/>
  <c r="I116" i="1"/>
  <c r="J116" i="1"/>
  <c r="D117" i="1"/>
  <c r="E117" i="1"/>
  <c r="F117" i="1"/>
  <c r="G117" i="1"/>
  <c r="H117" i="1"/>
  <c r="I117" i="1"/>
  <c r="J117" i="1"/>
  <c r="D118" i="1"/>
  <c r="E118" i="1"/>
  <c r="F118" i="1"/>
  <c r="G118" i="1"/>
  <c r="H118" i="1"/>
  <c r="I118" i="1"/>
  <c r="J118" i="1"/>
  <c r="D119" i="1"/>
  <c r="E119" i="1"/>
  <c r="F119" i="1"/>
  <c r="G119" i="1"/>
  <c r="H119" i="1"/>
  <c r="I119" i="1"/>
  <c r="J119" i="1"/>
  <c r="D120" i="1"/>
  <c r="E120" i="1"/>
  <c r="F120" i="1"/>
  <c r="G120" i="1"/>
  <c r="H120" i="1"/>
  <c r="I120" i="1"/>
  <c r="J120" i="1"/>
  <c r="D121" i="1"/>
  <c r="E121" i="1"/>
  <c r="F121" i="1"/>
  <c r="G121" i="1"/>
  <c r="H121" i="1"/>
  <c r="I121" i="1"/>
  <c r="J121" i="1"/>
  <c r="D122" i="1"/>
  <c r="E122" i="1"/>
  <c r="F122" i="1"/>
  <c r="G122" i="1"/>
  <c r="H122" i="1"/>
  <c r="I122" i="1"/>
  <c r="J122" i="1"/>
  <c r="D123" i="1"/>
  <c r="E123" i="1"/>
  <c r="F123" i="1"/>
  <c r="G123" i="1"/>
  <c r="H123" i="1"/>
  <c r="I123" i="1"/>
  <c r="J123" i="1"/>
  <c r="D124" i="1"/>
  <c r="E124" i="1"/>
  <c r="F124" i="1"/>
  <c r="G124" i="1"/>
  <c r="H124" i="1"/>
  <c r="I124" i="1"/>
  <c r="J124" i="1"/>
  <c r="D125" i="1"/>
  <c r="E125" i="1"/>
  <c r="F125" i="1"/>
  <c r="G125" i="1"/>
  <c r="H125" i="1"/>
  <c r="I125" i="1"/>
  <c r="J125" i="1"/>
  <c r="D126" i="1"/>
  <c r="E126" i="1"/>
  <c r="F126" i="1"/>
  <c r="G126" i="1"/>
  <c r="H126" i="1"/>
  <c r="I126" i="1"/>
  <c r="J126" i="1"/>
  <c r="D127" i="1"/>
  <c r="E127" i="1"/>
  <c r="F127" i="1"/>
  <c r="G127" i="1"/>
  <c r="H127" i="1"/>
  <c r="I127" i="1"/>
  <c r="J127" i="1"/>
  <c r="D128" i="1"/>
  <c r="E128" i="1"/>
  <c r="F128" i="1"/>
  <c r="G128" i="1"/>
  <c r="H128" i="1"/>
  <c r="I128" i="1"/>
  <c r="J128" i="1"/>
  <c r="D129" i="1"/>
  <c r="E129" i="1"/>
  <c r="F129" i="1"/>
  <c r="G129" i="1"/>
  <c r="H129" i="1"/>
  <c r="I129" i="1"/>
  <c r="J129" i="1"/>
  <c r="D130" i="1"/>
  <c r="E130" i="1"/>
  <c r="F130" i="1"/>
  <c r="G130" i="1"/>
  <c r="H130" i="1"/>
  <c r="I130" i="1"/>
  <c r="J130" i="1"/>
  <c r="D131" i="1"/>
  <c r="E131" i="1"/>
  <c r="F131" i="1"/>
  <c r="G131" i="1"/>
  <c r="H131" i="1"/>
  <c r="I131" i="1"/>
  <c r="J131" i="1"/>
  <c r="D132" i="1"/>
  <c r="E132" i="1"/>
  <c r="F132" i="1"/>
  <c r="G132" i="1"/>
  <c r="H132" i="1"/>
  <c r="I132" i="1"/>
  <c r="J132" i="1"/>
  <c r="D133" i="1"/>
  <c r="E133" i="1"/>
  <c r="F133" i="1"/>
  <c r="G133" i="1"/>
  <c r="H133" i="1"/>
  <c r="I133" i="1"/>
  <c r="J133" i="1"/>
  <c r="D134" i="1"/>
  <c r="E134" i="1"/>
  <c r="F134" i="1"/>
  <c r="G134" i="1"/>
  <c r="H134" i="1"/>
  <c r="I134" i="1"/>
  <c r="J134" i="1"/>
  <c r="D135" i="1"/>
  <c r="E135" i="1"/>
  <c r="F135" i="1"/>
  <c r="G135" i="1"/>
  <c r="H135" i="1"/>
  <c r="I135" i="1"/>
  <c r="J135" i="1"/>
  <c r="D136" i="1"/>
  <c r="E136" i="1"/>
  <c r="F136" i="1"/>
  <c r="G136" i="1"/>
  <c r="H136" i="1"/>
  <c r="I136" i="1"/>
  <c r="J136" i="1"/>
  <c r="D137" i="1"/>
  <c r="E137" i="1"/>
  <c r="F137" i="1"/>
  <c r="G137" i="1"/>
  <c r="H137" i="1"/>
  <c r="I137" i="1"/>
  <c r="J137" i="1"/>
  <c r="D138" i="1"/>
  <c r="E138" i="1"/>
  <c r="F138" i="1"/>
  <c r="G138" i="1"/>
  <c r="H138" i="1"/>
  <c r="I138" i="1"/>
  <c r="J138" i="1"/>
  <c r="D139" i="1"/>
  <c r="E139" i="1"/>
  <c r="F139" i="1"/>
  <c r="G139" i="1"/>
  <c r="H139" i="1"/>
  <c r="I139" i="1"/>
  <c r="J139" i="1"/>
  <c r="D140" i="1"/>
  <c r="E140" i="1"/>
  <c r="F140" i="1"/>
  <c r="G140" i="1"/>
  <c r="H140" i="1"/>
  <c r="I140" i="1"/>
  <c r="J140" i="1"/>
  <c r="D141" i="1"/>
  <c r="E141" i="1"/>
  <c r="F141" i="1"/>
  <c r="G141" i="1"/>
  <c r="H141" i="1"/>
  <c r="I141" i="1"/>
  <c r="J141" i="1"/>
  <c r="D142" i="1"/>
  <c r="E142" i="1"/>
  <c r="F142" i="1"/>
  <c r="G142" i="1"/>
  <c r="H142" i="1"/>
  <c r="I142" i="1"/>
  <c r="J142" i="1"/>
  <c r="D143" i="1"/>
  <c r="E143" i="1"/>
  <c r="F143" i="1"/>
  <c r="G143" i="1"/>
  <c r="H143" i="1"/>
  <c r="I143" i="1"/>
  <c r="J143" i="1"/>
  <c r="AL103" i="1"/>
  <c r="AL102" i="1"/>
  <c r="AL101" i="1"/>
  <c r="AL100" i="1"/>
  <c r="AL43" i="1"/>
  <c r="AL42" i="1"/>
  <c r="AL41" i="1"/>
  <c r="AL40" i="1"/>
  <c r="AL23" i="1"/>
  <c r="AL22" i="1"/>
  <c r="AL21" i="1"/>
  <c r="AL20" i="1"/>
  <c r="AL19" i="1"/>
</calcChain>
</file>

<file path=xl/sharedStrings.xml><?xml version="1.0" encoding="utf-8"?>
<sst xmlns="http://schemas.openxmlformats.org/spreadsheetml/2006/main" count="4127" uniqueCount="495">
  <si>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</si>
  <si>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</si>
  <si>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</si>
  <si>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</si>
  <si>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</si>
  <si>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</si>
  <si>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</si>
  <si>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</si>
  <si>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</si>
  <si>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</si>
  <si>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</si>
  <si>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</si>
  <si>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</si>
  <si>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</si>
  <si>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</si>
  <si>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</si>
  <si>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</si>
  <si>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</si>
  <si>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</si>
  <si>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</si>
  <si>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</si>
  <si>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</si>
  <si>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</si>
  <si>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</si>
  <si>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</si>
  <si>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</si>
  <si>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</si>
  <si>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</si>
  <si>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Ginkgoaceae</t>
  </si>
  <si>
    <t>Ginkgo biloba</t>
  </si>
  <si>
    <t>proxy</t>
  </si>
  <si>
    <t>first_author_last_name</t>
  </si>
  <si>
    <t>publication_year</t>
  </si>
  <si>
    <t>age_ka</t>
  </si>
  <si>
    <t>Age_uncertainty_pos_ka</t>
  </si>
  <si>
    <t>Age_uncertainty_neg_ka</t>
  </si>
  <si>
    <t>stomata-SI</t>
  </si>
  <si>
    <t>CO2_ppm</t>
  </si>
  <si>
    <t>CO2_uncertainty_pos_ppm</t>
  </si>
  <si>
    <t>NA</t>
  </si>
  <si>
    <t>CO2_uncertainty_neg_ppm</t>
  </si>
  <si>
    <t>Modern Latitude (decimal degree, south negative)</t>
  </si>
  <si>
    <t>Modern Longitude (decimal degree, west negative)</t>
  </si>
  <si>
    <t>email of individual entering the data</t>
  </si>
  <si>
    <t>Reference of the data product</t>
  </si>
  <si>
    <t>Paleo Latitude (decimal degree, south negative)</t>
  </si>
  <si>
    <t>Paleo Longitude (decimal degree, west negative)</t>
  </si>
  <si>
    <t>Note: columns D-J autopopulate, enter data in all other columns</t>
  </si>
  <si>
    <t>type in your name</t>
  </si>
  <si>
    <t>Full citation (format is flexible)</t>
  </si>
  <si>
    <t>Where are the fossils?</t>
  </si>
  <si>
    <t>Give as an absolute age (not +/-)</t>
  </si>
  <si>
    <t>important for sites constrained by biostrat</t>
  </si>
  <si>
    <t>Provide a general description; add an extra tab (worksheet) with detailed information, if needed (e.g., a detailed stratigraphic section)</t>
  </si>
  <si>
    <t># of field-of-views</t>
  </si>
  <si>
    <t>dimensions, area, or magnification</t>
  </si>
  <si>
    <t>give the equation or the study</t>
  </si>
  <si>
    <t>you probably don't know this</t>
  </si>
  <si>
    <t>Mean? Median?</t>
  </si>
  <si>
    <t>Give as an absolute value (not +/-)</t>
  </si>
  <si>
    <t>95% confidence? +/- 2 s.e.m.?</t>
  </si>
  <si>
    <t>Symmetrical (gaussian)? Asymmetrical (e.g., right skewed)?</t>
  </si>
  <si>
    <t>Anything else that can help us?</t>
  </si>
  <si>
    <t>what is the regression error? Don't worry if you don't have this information.</t>
  </si>
  <si>
    <t>e.g., specimen or site number</t>
  </si>
  <si>
    <t>e.g., meter level or biostratigraphic age ("Maastrichtian")</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</si>
  <si>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</si>
  <si>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</si>
  <si>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Reported mean CO</t>
    </r>
    <r>
      <rPr>
        <b/>
        <vertAlign val="subscript"/>
        <sz val="12"/>
        <color theme="1"/>
        <rFont val="Calibri"/>
        <family val="2"/>
        <scheme val="minor"/>
      </rPr>
      <t>2</t>
    </r>
    <r>
      <rPr>
        <b/>
        <sz val="12"/>
        <color theme="1"/>
        <rFont val="Calibri"/>
        <family val="2"/>
        <scheme val="minor"/>
      </rPr>
      <t xml:space="preserve"> (ppm)</t>
    </r>
  </si>
  <si>
    <r>
      <t>CO</t>
    </r>
    <r>
      <rPr>
        <b/>
        <vertAlign val="subscript"/>
        <sz val="12"/>
        <color rgb="FF000000"/>
        <rFont val="Calibri"/>
        <family val="2"/>
        <scheme val="minor"/>
      </rPr>
      <t>2</t>
    </r>
    <r>
      <rPr>
        <b/>
        <sz val="12"/>
        <color rgb="FF000000"/>
        <rFont val="Calibri"/>
        <family val="2"/>
        <scheme val="minor"/>
      </rPr>
      <t xml:space="preserve"> type</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</si>
  <si>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</si>
  <si>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</si>
  <si>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are the counts based on microscope work done by the author, or by interpreting already published Figures / Plates?</t>
  </si>
  <si>
    <t>Counting Method
(microscope, published image)</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</si>
  <si>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</si>
  <si>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</si>
  <si>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</si>
  <si>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</si>
  <si>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</si>
  <si>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</si>
  <si>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</si>
  <si>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</si>
  <si>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</si>
  <si>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</si>
  <si>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</si>
  <si>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</si>
  <si>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</si>
  <si>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</si>
  <si>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</si>
  <si>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</si>
  <si>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</si>
  <si>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</si>
  <si>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</si>
  <si>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</si>
  <si>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</si>
  <si>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</si>
  <si>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</si>
  <si>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</si>
  <si>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</si>
  <si>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</si>
  <si>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</si>
  <si>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</si>
  <si>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</si>
  <si>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</si>
  <si>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</si>
  <si>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</si>
  <si>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</si>
  <si>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</si>
  <si>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</si>
  <si>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</si>
  <si>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</si>
  <si>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</si>
  <si>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</si>
  <si>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</si>
  <si>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</si>
  <si>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</si>
  <si>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</si>
  <si>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</si>
  <si>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</si>
  <si>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</si>
  <si>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</si>
  <si>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</si>
  <si>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</si>
  <si>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</si>
  <si>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</si>
  <si>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</si>
  <si>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</si>
  <si>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</si>
  <si>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</si>
  <si>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</si>
  <si>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</si>
  <si>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</si>
  <si>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</si>
  <si>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</si>
  <si>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</si>
  <si>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</si>
  <si>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</si>
  <si>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</si>
  <si>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</si>
  <si>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</si>
  <si>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</si>
  <si>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</si>
  <si>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</si>
  <si>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</si>
  <si>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</si>
  <si>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</si>
  <si>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</si>
  <si>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</si>
  <si>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</si>
  <si>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</si>
  <si>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</si>
  <si>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</si>
  <si>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</si>
  <si>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</si>
  <si>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</si>
  <si>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</si>
  <si>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</si>
  <si>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</si>
  <si>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</si>
  <si>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</si>
  <si>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</si>
  <si>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</si>
  <si>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</si>
  <si>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</si>
  <si>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</si>
  <si>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</si>
  <si>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</si>
  <si>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</si>
  <si>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</si>
  <si>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</si>
  <si>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</si>
  <si>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</si>
  <si>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</si>
  <si>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</si>
  <si>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</si>
  <si>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</si>
  <si>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</si>
  <si>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</si>
  <si>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</si>
  <si>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</si>
  <si>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</si>
  <si>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</si>
  <si>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</si>
  <si>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</si>
  <si>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</si>
  <si>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</si>
  <si>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</si>
  <si>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</si>
  <si>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</si>
  <si>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</si>
  <si>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</si>
  <si>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</si>
  <si>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</si>
  <si>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</si>
  <si>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</si>
  <si>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</si>
  <si>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</si>
  <si>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</si>
  <si>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</si>
  <si>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</si>
  <si>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</si>
  <si>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</si>
  <si>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</si>
  <si>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</si>
  <si>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</si>
  <si>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</si>
  <si>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</si>
  <si>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</si>
  <si>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</si>
  <si>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</si>
  <si>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</si>
  <si>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</si>
  <si>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</si>
  <si>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</si>
  <si>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</si>
  <si>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</si>
  <si>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</si>
  <si>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</si>
  <si>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</si>
  <si>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</si>
  <si>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</si>
  <si>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</si>
  <si>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</si>
  <si>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</si>
  <si>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</si>
  <si>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</si>
  <si>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</si>
  <si>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</si>
  <si>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</si>
  <si>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</si>
  <si>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</si>
  <si>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</si>
  <si>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</si>
  <si>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</si>
  <si>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</si>
  <si>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</si>
  <si>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</si>
  <si>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</si>
  <si>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</si>
  <si>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</si>
  <si>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</si>
  <si>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</si>
  <si>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</si>
  <si>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</si>
  <si>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</si>
  <si>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</si>
  <si>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</si>
  <si>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</si>
  <si>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</si>
  <si>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</si>
  <si>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</si>
  <si>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</si>
  <si>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</si>
  <si>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</si>
  <si>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</si>
  <si>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</si>
  <si>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</si>
  <si>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</si>
  <si>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</si>
  <si>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</si>
  <si>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</si>
  <si>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</si>
  <si>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</si>
  <si>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</si>
  <si>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</si>
  <si>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</si>
  <si>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</si>
  <si>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</si>
  <si>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</si>
  <si>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</si>
  <si>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</si>
  <si>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</si>
  <si>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</si>
  <si>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</si>
  <si>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</si>
  <si>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</si>
  <si>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</si>
  <si>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</si>
  <si>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</si>
  <si>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</si>
  <si>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</si>
  <si>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</si>
  <si>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</si>
  <si>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</si>
  <si>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</si>
  <si>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</si>
  <si>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</si>
  <si>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</si>
  <si>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</si>
  <si>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</si>
  <si>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Zhou</t>
  </si>
  <si>
    <t>Xiaoqing Zhang</t>
  </si>
  <si>
    <t>xzhang04@wesleyan.edu</t>
  </si>
  <si>
    <t>Zhou, N., Wang, Y., Ya, L., Porter, A. S., Kürschner, W. M., Li, L., Lu, N., and McElwain, J. C., 2020, An inter-comparison study of three stomatal-proxy methods for CO2 reconstruction applied to early Jurassic Ginkgoales plants: Palaeogeography, Palaeoclimatology, Palaeoecology, v. 542, 109547, doi: 10.1016/j.palaeo.2019.109547.</t>
  </si>
  <si>
    <t>10.1016/j.palaeo.2019.109547</t>
  </si>
  <si>
    <t>B12-1</t>
    <phoneticPr fontId="1" type="noConversion"/>
  </si>
  <si>
    <t>Ginkgoites</t>
  </si>
  <si>
    <t>Marginatus</t>
  </si>
  <si>
    <t>Nanjing Institute of Geology and Palaeontology, Nanjing, Jiangsu, China</t>
  </si>
  <si>
    <t>Xiangxi Formation</t>
  </si>
  <si>
    <t>Lower Jurassic,  B12</t>
  </si>
  <si>
    <t>B12-2</t>
  </si>
  <si>
    <t>biostratigraphy</t>
  </si>
  <si>
    <t>B12-3</t>
  </si>
  <si>
    <t>B12-4</t>
  </si>
  <si>
    <t>B12-5</t>
  </si>
  <si>
    <t>B12-6</t>
  </si>
  <si>
    <t>B12-7</t>
  </si>
  <si>
    <t>B12-8</t>
  </si>
  <si>
    <t>B12-9</t>
  </si>
  <si>
    <t>B12-10</t>
  </si>
  <si>
    <t>B12-11</t>
  </si>
  <si>
    <t>B12-12</t>
  </si>
  <si>
    <t>B12-13</t>
  </si>
  <si>
    <t>B12-14</t>
  </si>
  <si>
    <t>B12-15</t>
  </si>
  <si>
    <t>B12-16</t>
  </si>
  <si>
    <t>B12-17</t>
  </si>
  <si>
    <t>B12-18</t>
  </si>
  <si>
    <t>B12-19</t>
  </si>
  <si>
    <t>B12-20</t>
  </si>
  <si>
    <t>B11-1</t>
    <phoneticPr fontId="1" type="noConversion"/>
  </si>
  <si>
    <t>Lower Jurassic, B11</t>
  </si>
  <si>
    <t>B11-2</t>
  </si>
  <si>
    <t>B11-3</t>
  </si>
  <si>
    <t>B11-4</t>
  </si>
  <si>
    <t>B11-5</t>
  </si>
  <si>
    <t>B11-6</t>
  </si>
  <si>
    <t>B11-7</t>
  </si>
  <si>
    <t>B11-8</t>
  </si>
  <si>
    <t>B11-9</t>
  </si>
  <si>
    <t>B11-10</t>
  </si>
  <si>
    <t>B11-11</t>
  </si>
  <si>
    <t>B11-12</t>
  </si>
  <si>
    <t>B11-13</t>
  </si>
  <si>
    <t>B11-14</t>
  </si>
  <si>
    <t>B11-15</t>
  </si>
  <si>
    <t>B11-16</t>
  </si>
  <si>
    <t>B11-17</t>
  </si>
  <si>
    <t>B11-18</t>
  </si>
  <si>
    <t>B11-19</t>
  </si>
  <si>
    <t>B11-20</t>
  </si>
  <si>
    <t>B10-1</t>
    <phoneticPr fontId="1" type="noConversion"/>
  </si>
  <si>
    <t>Lower Jurassic, B10</t>
  </si>
  <si>
    <t>B10-2</t>
  </si>
  <si>
    <t>B10-3</t>
  </si>
  <si>
    <t>B10-4</t>
  </si>
  <si>
    <t>B10-5</t>
  </si>
  <si>
    <t>B10-6</t>
  </si>
  <si>
    <t>B10-7</t>
  </si>
  <si>
    <t>B10-8</t>
  </si>
  <si>
    <t>B10-9</t>
  </si>
  <si>
    <t>B10-10</t>
  </si>
  <si>
    <t>B10-11</t>
  </si>
  <si>
    <t>B10-12</t>
  </si>
  <si>
    <t>B10-13</t>
  </si>
  <si>
    <t>B10-14</t>
  </si>
  <si>
    <t>B10-15</t>
  </si>
  <si>
    <t>B10-16</t>
  </si>
  <si>
    <t>B10-17</t>
  </si>
  <si>
    <t>B10-18</t>
  </si>
  <si>
    <t>B10-19</t>
  </si>
  <si>
    <t>B10-20</t>
  </si>
  <si>
    <t>B9-1</t>
    <phoneticPr fontId="1" type="noConversion"/>
  </si>
  <si>
    <t>Lower Jurassic, B9</t>
  </si>
  <si>
    <t>B9-2</t>
  </si>
  <si>
    <t>B9-3</t>
  </si>
  <si>
    <t>B9-4</t>
  </si>
  <si>
    <t>B9-5</t>
  </si>
  <si>
    <t>B9-6</t>
  </si>
  <si>
    <t>B9-7</t>
  </si>
  <si>
    <t>B9-8</t>
  </si>
  <si>
    <t>B9-9</t>
  </si>
  <si>
    <t>B9-10</t>
  </si>
  <si>
    <t>B9-11</t>
  </si>
  <si>
    <t>B9-12</t>
  </si>
  <si>
    <t>B9-13</t>
  </si>
  <si>
    <t>B9-14</t>
  </si>
  <si>
    <t>B9-15</t>
  </si>
  <si>
    <t>B9-16</t>
  </si>
  <si>
    <t>B9-17</t>
  </si>
  <si>
    <t>B9-18</t>
  </si>
  <si>
    <t>B9-19</t>
  </si>
  <si>
    <t>B9-20</t>
  </si>
  <si>
    <t>AB-1</t>
    <phoneticPr fontId="1" type="noConversion"/>
  </si>
  <si>
    <t>Lower Jurassic, AB</t>
  </si>
  <si>
    <t>AB-2</t>
  </si>
  <si>
    <t>AB-3</t>
  </si>
  <si>
    <t>AB-4</t>
  </si>
  <si>
    <t>AB-5</t>
  </si>
  <si>
    <t>AB-6</t>
  </si>
  <si>
    <t>AB-7</t>
  </si>
  <si>
    <t>AB-8</t>
  </si>
  <si>
    <t>AB-9</t>
  </si>
  <si>
    <t>AB-10</t>
  </si>
  <si>
    <t>AB-11</t>
  </si>
  <si>
    <t>AB-12</t>
  </si>
  <si>
    <t>AB-13</t>
  </si>
  <si>
    <t>AB-14</t>
  </si>
  <si>
    <t>AB-15</t>
  </si>
  <si>
    <t>AB-16</t>
  </si>
  <si>
    <t>AB-17</t>
  </si>
  <si>
    <t>AB-18</t>
  </si>
  <si>
    <t>AB-19</t>
  </si>
  <si>
    <t>AB-20</t>
  </si>
  <si>
    <t>A2-1</t>
    <phoneticPr fontId="1" type="noConversion"/>
  </si>
  <si>
    <t>Lower Jurassic, A2</t>
  </si>
  <si>
    <t>A2-2</t>
  </si>
  <si>
    <t>A2-3</t>
  </si>
  <si>
    <t>A2-4</t>
  </si>
  <si>
    <t>A2-5</t>
  </si>
  <si>
    <t>A2-6</t>
  </si>
  <si>
    <t>A2-7</t>
  </si>
  <si>
    <t>A2-8</t>
  </si>
  <si>
    <t>A2-9</t>
  </si>
  <si>
    <t>A2-10</t>
  </si>
  <si>
    <t>A2-11</t>
  </si>
  <si>
    <t>A2-12</t>
  </si>
  <si>
    <t>A2-13</t>
  </si>
  <si>
    <t>A2-14</t>
  </si>
  <si>
    <t>A2-15</t>
  </si>
  <si>
    <t>A2-16</t>
  </si>
  <si>
    <t>A2-17</t>
  </si>
  <si>
    <t>A2-18</t>
  </si>
  <si>
    <t>A2-19</t>
  </si>
  <si>
    <t>A2-20</t>
  </si>
  <si>
    <t>SA2-1</t>
    <phoneticPr fontId="1" type="noConversion"/>
  </si>
  <si>
    <t>Sphenobaiera</t>
  </si>
  <si>
    <t>huangii</t>
  </si>
  <si>
    <t>Lower Jurassic, SA2</t>
  </si>
  <si>
    <t>SA2-2</t>
  </si>
  <si>
    <t>SA2-3</t>
  </si>
  <si>
    <t>SA2-4</t>
  </si>
  <si>
    <t>SA2-5</t>
  </si>
  <si>
    <t>SA2-6</t>
  </si>
  <si>
    <t>SA2-7</t>
  </si>
  <si>
    <t>SA2-8</t>
  </si>
  <si>
    <t>SA2-9</t>
  </si>
  <si>
    <t>SA2-10</t>
  </si>
  <si>
    <t>SA2-11</t>
  </si>
  <si>
    <t>SA2-12</t>
  </si>
  <si>
    <t>SA2-13</t>
  </si>
  <si>
    <t>SA2-14</t>
  </si>
  <si>
    <t>SA2-15</t>
  </si>
  <si>
    <t>SA2-16</t>
  </si>
  <si>
    <t>SA2-17</t>
  </si>
  <si>
    <t>SA2-18</t>
  </si>
  <si>
    <t>SA2-19</t>
  </si>
  <si>
    <t>SA2-20</t>
  </si>
  <si>
    <t>Barclay and Wing, 2016</t>
  </si>
  <si>
    <t>uncertainties following the resampling procedure in Barclay and Wing, 2016</t>
  </si>
  <si>
    <t>mean</t>
  </si>
  <si>
    <t>Barclay and Wing, 2017</t>
  </si>
  <si>
    <t>uncertainties following the resampling procedure in Barclay and Wing, 2017</t>
  </si>
  <si>
    <t>Barclay and Wing, 2018</t>
  </si>
  <si>
    <t>uncertainties following the resampling procedure in Barclay and Wing, 2018</t>
  </si>
  <si>
    <t>Barclay and Wing, 2019</t>
  </si>
  <si>
    <t>uncertainties following the resampling procedure in Barclay and Wing, 2019</t>
  </si>
  <si>
    <t>Barclay and Wing, 2020</t>
  </si>
  <si>
    <t>uncertainties following the resampling procedure in Barclay and Wing, 2020</t>
  </si>
  <si>
    <t>Barclay and Wing, 2021</t>
  </si>
  <si>
    <t>uncertainties following the resampling procedure in Barclay and Wing, 2021</t>
  </si>
  <si>
    <t>Barclay and Wing, 2022</t>
  </si>
  <si>
    <t>uncertainties following the resampling procedure in Barclay and Wing, 2022</t>
  </si>
  <si>
    <t>Barclay and Wing, 2023</t>
  </si>
  <si>
    <t>uncertainties following the resampling procedure in Barclay and Wing, 2023</t>
  </si>
  <si>
    <t>Barclay and Wing, 2024</t>
  </si>
  <si>
    <t>uncertainties following the resampling procedure in Barclay and Wing, 2024</t>
  </si>
  <si>
    <t>Barclay and Wing, 2025</t>
  </si>
  <si>
    <t>uncertainties following the resampling procedure in Barclay and Wing, 2025</t>
  </si>
  <si>
    <t>Barclay and Wing, 2026</t>
  </si>
  <si>
    <t>uncertainties following the resampling procedure in Barclay and Wing, 2026</t>
  </si>
  <si>
    <t>Barclay and Wing, 2027</t>
  </si>
  <si>
    <t>uncertainties following the resampling procedure in Barclay and Wing, 2027</t>
  </si>
  <si>
    <t>Barclay and Wing, 2028</t>
  </si>
  <si>
    <t>uncertainties following the resampling procedure in Barclay and Wing, 2028</t>
  </si>
  <si>
    <t>Barclay and Wing, 2029</t>
  </si>
  <si>
    <t>uncertainties following the resampling procedure in Barclay and Wing, 2029</t>
  </si>
  <si>
    <t>Barclay and Wing, 2030</t>
  </si>
  <si>
    <t>uncertainties following the resampling procedure in Barclay and Wing, 2030</t>
  </si>
  <si>
    <t>Barclay and Wing, 2031</t>
  </si>
  <si>
    <t>uncertainties following the resampling procedure in Barclay and Wing, 2031</t>
  </si>
  <si>
    <t>Barclay and Wing, 2032</t>
  </si>
  <si>
    <t>uncertainties following the resampling procedure in Barclay and Wing, 2032</t>
  </si>
  <si>
    <t>Barclay and Wing, 2033</t>
  </si>
  <si>
    <t>uncertainties following the resampling procedure in Barclay and Wing, 2033</t>
  </si>
  <si>
    <t>Barclay and Wing, 2034</t>
  </si>
  <si>
    <t>uncertainties following the resampling procedure in Barclay and Wing, 2034</t>
  </si>
  <si>
    <t>Barclay and Wing, 2035</t>
  </si>
  <si>
    <t>uncertainties following the resampling procedure in Barclay and Wing, 2035</t>
  </si>
  <si>
    <t>68% confidence intervals</t>
  </si>
  <si>
    <t xml:space="preserve"> </t>
  </si>
  <si>
    <t>Toudaohe</t>
  </si>
  <si>
    <t>Wu, S.Q., Ye, M.N., Li, B.X., 1980. Upper Triassic and Lower and Middle Jurassic plants from the Hsiangchi Group, Western Hubei (in Chinese with English abstract). Mem. Nanjing Inst. Geol. Palaeontol. Acad. Sin. 14, 1–131; Wang, Y.D., 1999. Fertile organs and in situ spores of Marattia asiatica (Kawasaki) Harris (Marattiales) from the Lower Jurassic Hsiangchi Formation Hubei, China. Rev. Palaeobot. Palynology. 107, 125–144; Chen, H.M., Meng, F.S., Zhang, Z.L., 2002. Lectostratotype Section of the Early Jurassic Xiangxi Formation in Zuigui Basin of Western Hubei. Centre of Stratigraphy and Paleontology, China Geological Survey, Yichang 443–3.</t>
  </si>
  <si>
    <t>gaussian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</si>
</sst>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Red]\(0.00\)"/>
    <numFmt numFmtId="165" formatCode="0.00_ "/>
  </numFmts>
  <fonts count="28">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sz val="12"/>
      <color rgb="FFFF0000"/>
      <name val="Calibri"/>
      <family val="2"/>
      <scheme val="minor"/>
    </font>
    <font>
      <b/>
      <sz val="12"/>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b/>
      <sz val="14"/>
      <color rgb="FFFF0000"/>
      <name val="Calibri"/>
      <family val="2"/>
      <scheme val="minor"/>
    </font>
    <font>
      <b/>
      <sz val="18"/>
      <color rgb="FFFF0000"/>
      <name val="Calibri (Body)"/>
    </font>
    <font>
      <sz val="12"/>
      <color rgb="FFFF0000"/>
      <name val="Symbol"/>
      <charset val="2"/>
    </font>
    <font>
      <sz val="13"/>
      <color theme="1"/>
      <name val="Calibri"/>
      <family val="2"/>
      <scheme val="minor"/>
    </font>
    <font>
      <sz val="13"/>
      <color rgb="FF000000"/>
      <name val="Calibri"/>
      <family val="2"/>
      <scheme val="minor"/>
    </font>
    <font>
      <sz val="13"/>
      <color rgb="FF000000"/>
      <name val="Symbol"/>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u/>
      <sz val="12"/>
      <color theme="10"/>
      <name val="Calibri"/>
      <family val="2"/>
      <scheme val="minor"/>
    </font>
    <font>
      <sz val="10"/>
      <name val="Arial"/>
      <family val="2"/>
    </font>
    <font>
      <sz val="10"/>
      <color theme="1"/>
      <name val="Arial"/>
      <family val="2"/>
    </font>
    <font>
      <sz val="8"/>
      <name val="Calibri"/>
      <family val="2"/>
      <scheme val="minor"/>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16">
    <border>
      <left/>
      <right/>
      <top/>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5">
    <xf numFmtId="0" fontId="0" fillId="0" borderId="0"/>
    <xf numFmtId="0" fontId="5" fillId="0" borderId="0"/>
    <xf numFmtId="0" fontId="1" fillId="0" borderId="0"/>
    <xf numFmtId="0" fontId="1" fillId="0" borderId="0"/>
    <xf numFmtId="0" fontId="24" fillId="0" borderId="0" applyNumberFormat="0" applyFill="0" applyBorder="0" applyAlignment="0" applyProtection="0"/>
  </cellStyleXfs>
  <cellXfs count="84">
    <xf numFmtId="0" fontId="0" fillId="0" borderId="0" xfId="0"/>
    <xf numFmtId="0" fontId="0" fillId="0" borderId="0" xfId="0" applyProtection="1">
      <protection locked="0"/>
    </xf>
    <xf numFmtId="0" fontId="2" fillId="3" borderId="0" xfId="0" applyFont="1" applyFill="1" applyAlignment="1">
      <alignment vertical="top" wrapText="1"/>
    </xf>
    <xf numFmtId="0" fontId="4" fillId="2" borderId="0" xfId="0" applyFont="1" applyFill="1" applyAlignment="1">
      <alignment vertical="top" wrapText="1"/>
    </xf>
    <xf numFmtId="0" fontId="2" fillId="2" borderId="0" xfId="0" applyFont="1" applyFill="1" applyAlignment="1">
      <alignment horizontal="center" vertical="top" wrapText="1"/>
    </xf>
    <xf numFmtId="0" fontId="7" fillId="3" borderId="0" xfId="0" applyFont="1" applyFill="1" applyAlignment="1">
      <alignment horizontal="center" vertical="top" wrapText="1"/>
    </xf>
    <xf numFmtId="0" fontId="2" fillId="0" borderId="0" xfId="0" applyFont="1" applyAlignment="1">
      <alignment wrapText="1"/>
    </xf>
    <xf numFmtId="0" fontId="0" fillId="4" borderId="0" xfId="0" applyFill="1" applyProtection="1">
      <protection locked="0"/>
    </xf>
    <xf numFmtId="1" fontId="0" fillId="4" borderId="0" xfId="0" applyNumberFormat="1" applyFill="1" applyProtection="1">
      <protection locked="0"/>
    </xf>
    <xf numFmtId="0" fontId="2" fillId="4" borderId="1" xfId="0" applyFont="1" applyFill="1" applyBorder="1" applyAlignment="1">
      <alignment vertical="top" wrapText="1"/>
    </xf>
    <xf numFmtId="0" fontId="2" fillId="4" borderId="0" xfId="0" applyFont="1" applyFill="1" applyAlignment="1">
      <alignment vertical="top" wrapText="1"/>
    </xf>
    <xf numFmtId="0" fontId="0" fillId="4" borderId="1" xfId="0" applyFill="1" applyBorder="1" applyProtection="1">
      <protection locked="0"/>
    </xf>
    <xf numFmtId="0" fontId="0" fillId="4" borderId="1" xfId="0" applyFill="1" applyBorder="1"/>
    <xf numFmtId="0" fontId="0" fillId="4" borderId="0" xfId="0" applyFill="1"/>
    <xf numFmtId="0" fontId="2" fillId="4" borderId="2" xfId="0" applyFont="1" applyFill="1" applyBorder="1" applyAlignment="1">
      <alignment vertical="top" wrapText="1"/>
    </xf>
    <xf numFmtId="1" fontId="0" fillId="4" borderId="2" xfId="0" applyNumberFormat="1" applyFill="1" applyBorder="1" applyProtection="1">
      <protection locked="0"/>
    </xf>
    <xf numFmtId="0" fontId="0" fillId="4" borderId="2" xfId="0" applyFill="1" applyBorder="1" applyProtection="1">
      <protection locked="0"/>
    </xf>
    <xf numFmtId="0" fontId="0" fillId="4" borderId="2" xfId="0" applyFill="1" applyBorder="1"/>
    <xf numFmtId="0" fontId="2" fillId="0" borderId="1" xfId="0" applyFont="1" applyBorder="1"/>
    <xf numFmtId="0" fontId="0" fillId="0" borderId="0" xfId="0" applyAlignment="1">
      <alignment wrapText="1"/>
    </xf>
    <xf numFmtId="0" fontId="0" fillId="4" borderId="1" xfId="0" applyFill="1" applyBorder="1" applyAlignment="1">
      <alignment wrapText="1"/>
    </xf>
    <xf numFmtId="0" fontId="0" fillId="4" borderId="0" xfId="0" applyFill="1" applyAlignment="1">
      <alignment wrapText="1"/>
    </xf>
    <xf numFmtId="0" fontId="0" fillId="4" borderId="2" xfId="0" applyFill="1" applyBorder="1" applyAlignment="1">
      <alignment wrapText="1"/>
    </xf>
    <xf numFmtId="0" fontId="8" fillId="0" borderId="0" xfId="0" applyFont="1" applyAlignment="1">
      <alignment wrapText="1"/>
    </xf>
    <xf numFmtId="0" fontId="2" fillId="5" borderId="3" xfId="3" applyFont="1" applyFill="1" applyBorder="1"/>
    <xf numFmtId="0" fontId="1" fillId="5" borderId="4" xfId="3" applyFill="1" applyBorder="1"/>
    <xf numFmtId="0" fontId="1" fillId="5" borderId="5" xfId="3" applyFill="1" applyBorder="1"/>
    <xf numFmtId="0" fontId="1" fillId="6" borderId="6" xfId="3" applyFill="1" applyBorder="1"/>
    <xf numFmtId="0" fontId="1" fillId="7" borderId="3" xfId="3" applyFill="1" applyBorder="1"/>
    <xf numFmtId="0" fontId="1" fillId="7" borderId="4" xfId="3" applyFill="1" applyBorder="1"/>
    <xf numFmtId="0" fontId="1" fillId="7" borderId="5" xfId="3" applyFill="1" applyBorder="1"/>
    <xf numFmtId="0" fontId="1" fillId="0" borderId="7" xfId="3" applyBorder="1"/>
    <xf numFmtId="0" fontId="1" fillId="0" borderId="0" xfId="3"/>
    <xf numFmtId="0" fontId="1" fillId="6" borderId="6" xfId="3" applyFill="1" applyBorder="1" applyAlignment="1">
      <alignment horizontal="center" vertical="center"/>
    </xf>
    <xf numFmtId="0" fontId="1" fillId="0" borderId="14" xfId="3" applyBorder="1"/>
    <xf numFmtId="0" fontId="1" fillId="5" borderId="6" xfId="3" applyFill="1" applyBorder="1" applyAlignment="1">
      <alignment vertical="center" wrapText="1"/>
    </xf>
    <xf numFmtId="0" fontId="12" fillId="0" borderId="9" xfId="3" applyFont="1" applyBorder="1" applyAlignment="1">
      <alignment horizontal="left" vertical="top" wrapText="1"/>
    </xf>
    <xf numFmtId="0" fontId="6" fillId="7" borderId="14" xfId="3" applyFont="1" applyFill="1" applyBorder="1" applyAlignment="1">
      <alignment vertical="center" wrapText="1"/>
    </xf>
    <xf numFmtId="0" fontId="1" fillId="7" borderId="6" xfId="3" applyFill="1" applyBorder="1"/>
    <xf numFmtId="0" fontId="1" fillId="6" borderId="6" xfId="3" applyFill="1" applyBorder="1" applyAlignment="1">
      <alignment vertical="center" wrapText="1"/>
    </xf>
    <xf numFmtId="0" fontId="1" fillId="7" borderId="6" xfId="3" applyFill="1" applyBorder="1" applyAlignment="1">
      <alignment vertical="center" wrapText="1"/>
    </xf>
    <xf numFmtId="0" fontId="1" fillId="7" borderId="14" xfId="3" applyFill="1" applyBorder="1" applyAlignment="1">
      <alignment vertical="center" wrapText="1"/>
    </xf>
    <xf numFmtId="0" fontId="1" fillId="0" borderId="6" xfId="3" applyBorder="1" applyAlignment="1">
      <alignment vertical="center" wrapText="1"/>
    </xf>
    <xf numFmtId="0" fontId="1" fillId="0" borderId="0" xfId="3" applyAlignment="1">
      <alignment vertical="center" wrapText="1"/>
    </xf>
    <xf numFmtId="0" fontId="15" fillId="5" borderId="15" xfId="3" applyFont="1" applyFill="1" applyBorder="1" applyAlignment="1">
      <alignment horizontal="left" vertical="center" wrapText="1"/>
    </xf>
    <xf numFmtId="0" fontId="16" fillId="5" borderId="15" xfId="3" applyFont="1" applyFill="1" applyBorder="1" applyAlignment="1">
      <alignment horizontal="left" vertical="center" wrapText="1"/>
    </xf>
    <xf numFmtId="0" fontId="1" fillId="6" borderId="15" xfId="3" applyFill="1" applyBorder="1" applyAlignment="1">
      <alignment horizontal="left" vertical="center" wrapText="1"/>
    </xf>
    <xf numFmtId="0" fontId="1" fillId="7" borderId="15" xfId="3" applyFill="1" applyBorder="1" applyAlignment="1">
      <alignment horizontal="left" vertical="center" wrapText="1"/>
    </xf>
    <xf numFmtId="0" fontId="1" fillId="0" borderId="15" xfId="3" applyBorder="1" applyAlignment="1">
      <alignment horizontal="left" vertical="center" wrapText="1"/>
    </xf>
    <xf numFmtId="0" fontId="1" fillId="0" borderId="0" xfId="3" applyAlignment="1">
      <alignment horizontal="left" vertical="center" wrapText="1"/>
    </xf>
    <xf numFmtId="0" fontId="1" fillId="5" borderId="14" xfId="3" applyFill="1" applyBorder="1"/>
    <xf numFmtId="0" fontId="18" fillId="5" borderId="14" xfId="3" applyFont="1" applyFill="1" applyBorder="1" applyAlignment="1">
      <alignment horizontal="center"/>
    </xf>
    <xf numFmtId="0" fontId="1" fillId="6" borderId="14" xfId="3" applyFill="1" applyBorder="1"/>
    <xf numFmtId="0" fontId="1" fillId="7" borderId="14" xfId="3" applyFill="1" applyBorder="1"/>
    <xf numFmtId="0" fontId="1" fillId="5" borderId="6" xfId="3" applyFill="1" applyBorder="1"/>
    <xf numFmtId="0" fontId="1" fillId="0" borderId="6" xfId="3" applyBorder="1"/>
    <xf numFmtId="0" fontId="19" fillId="5" borderId="6" xfId="3" applyFont="1" applyFill="1" applyBorder="1" applyAlignment="1">
      <alignment wrapText="1"/>
    </xf>
    <xf numFmtId="0" fontId="19" fillId="3" borderId="6" xfId="3" applyFont="1" applyFill="1" applyBorder="1" applyAlignment="1">
      <alignment wrapText="1"/>
    </xf>
    <xf numFmtId="0" fontId="19" fillId="8" borderId="6" xfId="3" applyFont="1" applyFill="1" applyBorder="1" applyAlignment="1">
      <alignment wrapText="1"/>
    </xf>
    <xf numFmtId="0" fontId="20" fillId="9" borderId="6" xfId="3" applyFont="1" applyFill="1" applyBorder="1" applyAlignment="1">
      <alignment wrapText="1"/>
    </xf>
    <xf numFmtId="0" fontId="3" fillId="0" borderId="0" xfId="3" applyFont="1"/>
    <xf numFmtId="0" fontId="24" fillId="0" borderId="0" xfId="4" applyProtection="1">
      <protection locked="0"/>
    </xf>
    <xf numFmtId="164" fontId="25" fillId="0" borderId="0" xfId="0" applyNumberFormat="1" applyFont="1" applyAlignment="1">
      <alignment horizontal="center" vertical="center"/>
    </xf>
    <xf numFmtId="0" fontId="3" fillId="0" borderId="0" xfId="0" applyFont="1"/>
    <xf numFmtId="0" fontId="3" fillId="0" borderId="0" xfId="0" applyFont="1" applyAlignment="1">
      <alignment horizontal="left"/>
    </xf>
    <xf numFmtId="0" fontId="26" fillId="0" borderId="0" xfId="0" applyFont="1" applyAlignment="1">
      <alignment horizontal="center"/>
    </xf>
    <xf numFmtId="165" fontId="26" fillId="0" borderId="0" xfId="0" applyNumberFormat="1" applyFont="1" applyAlignment="1">
      <alignment horizontal="center"/>
    </xf>
    <xf numFmtId="9" fontId="0" fillId="0" borderId="0" xfId="0" applyNumberFormat="1" applyProtection="1">
      <protection locked="0"/>
    </xf>
    <xf numFmtId="0" fontId="1" fillId="5" borderId="3" xfId="3" applyFill="1" applyBorder="1" applyAlignment="1">
      <alignment horizontal="center" vertical="center"/>
    </xf>
    <xf numFmtId="0" fontId="1" fillId="0" borderId="4" xfId="3" applyBorder="1" applyAlignment="1">
      <alignment horizontal="center" vertical="center"/>
    </xf>
    <xf numFmtId="0" fontId="1" fillId="0" borderId="5" xfId="3" applyBorder="1" applyAlignment="1">
      <alignment horizontal="center" vertical="center"/>
    </xf>
    <xf numFmtId="0" fontId="1" fillId="0" borderId="8" xfId="3" applyBorder="1" applyAlignment="1">
      <alignment horizontal="center" vertical="center"/>
    </xf>
    <xf numFmtId="0" fontId="1" fillId="0" borderId="9" xfId="3" applyBorder="1" applyAlignment="1">
      <alignment horizontal="center" vertical="center"/>
    </xf>
    <xf numFmtId="0" fontId="1" fillId="0" borderId="10" xfId="3" applyBorder="1" applyAlignment="1">
      <alignment horizontal="center" vertical="center"/>
    </xf>
    <xf numFmtId="0" fontId="1" fillId="6" borderId="6" xfId="3" applyFill="1" applyBorder="1" applyAlignment="1">
      <alignment horizontal="center"/>
    </xf>
    <xf numFmtId="0" fontId="1" fillId="7" borderId="3" xfId="3" applyFill="1" applyBorder="1" applyAlignment="1">
      <alignment horizontal="center" vertical="center"/>
    </xf>
    <xf numFmtId="0" fontId="1" fillId="7" borderId="4" xfId="3" applyFill="1" applyBorder="1" applyAlignment="1">
      <alignment horizontal="center" vertical="center"/>
    </xf>
    <xf numFmtId="0" fontId="1" fillId="0" borderId="7" xfId="3" applyBorder="1"/>
    <xf numFmtId="0" fontId="1" fillId="0" borderId="14" xfId="3" applyBorder="1"/>
    <xf numFmtId="0" fontId="1" fillId="6" borderId="6" xfId="3" applyFill="1" applyBorder="1" applyAlignment="1">
      <alignment horizontal="center" vertical="center"/>
    </xf>
    <xf numFmtId="0" fontId="1" fillId="0" borderId="6" xfId="3" applyBorder="1" applyAlignment="1">
      <alignment horizontal="center" vertical="center"/>
    </xf>
    <xf numFmtId="0" fontId="1" fillId="6" borderId="11" xfId="3" applyFill="1" applyBorder="1" applyAlignment="1">
      <alignment horizontal="center" vertical="center"/>
    </xf>
    <xf numFmtId="0" fontId="1" fillId="0" borderId="12" xfId="3" applyBorder="1" applyAlignment="1">
      <alignment horizontal="center" vertical="center"/>
    </xf>
    <xf numFmtId="0" fontId="1" fillId="0" borderId="13" xfId="3" applyBorder="1" applyAlignment="1">
      <alignment horizontal="center" vertical="center"/>
    </xf>
  </cellXfs>
  <cellStyles count="5">
    <cellStyle name="Hyperlink" xfId="4" builtinId="8"/>
    <cellStyle name="Normal" xfId="0" builtinId="0"/>
    <cellStyle name="Normal 3" xfId="1" xr:uid="{00000000-0005-0000-0000-000001000000}"/>
    <cellStyle name="Normal 3 2" xfId="3" xr:uid="{4DB8806B-81FE-4488-81BE-4E6999ACD939}"/>
    <cellStyle name="Normal 4" xfId="2" xr:uid="{00000000-0005-0000-0000-000002000000}"/>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xzhang04@wesleyan.edu" TargetMode="External"/><Relationship Id="rId21" Type="http://schemas.openxmlformats.org/officeDocument/2006/relationships/hyperlink" Target="mailto:xzhang04@wesleyan.edu" TargetMode="External"/><Relationship Id="rId42" Type="http://schemas.openxmlformats.org/officeDocument/2006/relationships/hyperlink" Target="mailto:xzhang04@wesleyan.edu" TargetMode="External"/><Relationship Id="rId63" Type="http://schemas.openxmlformats.org/officeDocument/2006/relationships/hyperlink" Target="mailto:xzhang04@wesleyan.edu" TargetMode="External"/><Relationship Id="rId84" Type="http://schemas.openxmlformats.org/officeDocument/2006/relationships/hyperlink" Target="mailto:xzhang04@wesleyan.edu" TargetMode="External"/><Relationship Id="rId138" Type="http://schemas.openxmlformats.org/officeDocument/2006/relationships/hyperlink" Target="mailto:xzhang04@wesleyan.edu" TargetMode="External"/><Relationship Id="rId107"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32" Type="http://schemas.openxmlformats.org/officeDocument/2006/relationships/hyperlink" Target="mailto:xzhang04@wesleyan.edu" TargetMode="External"/><Relationship Id="rId37" Type="http://schemas.openxmlformats.org/officeDocument/2006/relationships/hyperlink" Target="mailto:xzhang04@wesleyan.edu" TargetMode="External"/><Relationship Id="rId53" Type="http://schemas.openxmlformats.org/officeDocument/2006/relationships/hyperlink" Target="mailto:xzhang04@wesleyan.edu" TargetMode="External"/><Relationship Id="rId58" Type="http://schemas.openxmlformats.org/officeDocument/2006/relationships/hyperlink" Target="mailto:xzhang04@wesleyan.edu" TargetMode="External"/><Relationship Id="rId74" Type="http://schemas.openxmlformats.org/officeDocument/2006/relationships/hyperlink" Target="mailto:xzhang04@wesleyan.edu" TargetMode="External"/><Relationship Id="rId79" Type="http://schemas.openxmlformats.org/officeDocument/2006/relationships/hyperlink" Target="mailto:xzhang04@wesleyan.edu" TargetMode="External"/><Relationship Id="rId102" Type="http://schemas.openxmlformats.org/officeDocument/2006/relationships/hyperlink" Target="mailto:xzhang04@wesleyan.edu" TargetMode="External"/><Relationship Id="rId123" Type="http://schemas.openxmlformats.org/officeDocument/2006/relationships/hyperlink" Target="mailto:xzhang04@wesleyan.edu" TargetMode="External"/><Relationship Id="rId128"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90" Type="http://schemas.openxmlformats.org/officeDocument/2006/relationships/hyperlink" Target="mailto:xzhang04@wesleyan.edu" TargetMode="External"/><Relationship Id="rId95" Type="http://schemas.openxmlformats.org/officeDocument/2006/relationships/hyperlink" Target="mailto:xzhang04@wesleyan.edu" TargetMode="External"/><Relationship Id="rId22" Type="http://schemas.openxmlformats.org/officeDocument/2006/relationships/hyperlink" Target="mailto:xzhang04@wesleyan.edu" TargetMode="External"/><Relationship Id="rId27" Type="http://schemas.openxmlformats.org/officeDocument/2006/relationships/hyperlink" Target="mailto:xzhang04@wesleyan.edu" TargetMode="External"/><Relationship Id="rId43" Type="http://schemas.openxmlformats.org/officeDocument/2006/relationships/hyperlink" Target="mailto:xzhang04@wesleyan.edu" TargetMode="External"/><Relationship Id="rId48" Type="http://schemas.openxmlformats.org/officeDocument/2006/relationships/hyperlink" Target="mailto:xzhang04@wesleyan.edu" TargetMode="External"/><Relationship Id="rId64" Type="http://schemas.openxmlformats.org/officeDocument/2006/relationships/hyperlink" Target="mailto:xzhang04@wesleyan.edu" TargetMode="External"/><Relationship Id="rId69" Type="http://schemas.openxmlformats.org/officeDocument/2006/relationships/hyperlink" Target="mailto:xzhang04@wesleyan.edu" TargetMode="External"/><Relationship Id="rId113" Type="http://schemas.openxmlformats.org/officeDocument/2006/relationships/hyperlink" Target="mailto:xzhang04@wesleyan.edu" TargetMode="External"/><Relationship Id="rId118" Type="http://schemas.openxmlformats.org/officeDocument/2006/relationships/hyperlink" Target="mailto:xzhang04@wesleyan.edu" TargetMode="External"/><Relationship Id="rId134" Type="http://schemas.openxmlformats.org/officeDocument/2006/relationships/hyperlink" Target="mailto:xzhang04@wesleyan.edu" TargetMode="External"/><Relationship Id="rId139" Type="http://schemas.openxmlformats.org/officeDocument/2006/relationships/hyperlink" Target="mailto:xzhang04@wesleyan.edu" TargetMode="External"/><Relationship Id="rId80" Type="http://schemas.openxmlformats.org/officeDocument/2006/relationships/hyperlink" Target="mailto:xzhang04@wesleyan.edu" TargetMode="External"/><Relationship Id="rId85" Type="http://schemas.openxmlformats.org/officeDocument/2006/relationships/hyperlink" Target="mailto:xzhang04@wesleyan.edu" TargetMode="External"/><Relationship Id="rId12" Type="http://schemas.openxmlformats.org/officeDocument/2006/relationships/hyperlink" Target="mailto:xzhang04@wesleyan.edu" TargetMode="External"/><Relationship Id="rId17" Type="http://schemas.openxmlformats.org/officeDocument/2006/relationships/hyperlink" Target="mailto:xzhang04@wesleyan.edu" TargetMode="External"/><Relationship Id="rId33" Type="http://schemas.openxmlformats.org/officeDocument/2006/relationships/hyperlink" Target="mailto:xzhang04@wesleyan.edu" TargetMode="External"/><Relationship Id="rId38" Type="http://schemas.openxmlformats.org/officeDocument/2006/relationships/hyperlink" Target="mailto:xzhang04@wesleyan.edu" TargetMode="External"/><Relationship Id="rId59" Type="http://schemas.openxmlformats.org/officeDocument/2006/relationships/hyperlink" Target="mailto:xzhang04@wesleyan.edu" TargetMode="External"/><Relationship Id="rId103" Type="http://schemas.openxmlformats.org/officeDocument/2006/relationships/hyperlink" Target="mailto:xzhang04@wesleyan.edu" TargetMode="External"/><Relationship Id="rId108" Type="http://schemas.openxmlformats.org/officeDocument/2006/relationships/hyperlink" Target="mailto:xzhang04@wesleyan.edu" TargetMode="External"/><Relationship Id="rId124" Type="http://schemas.openxmlformats.org/officeDocument/2006/relationships/hyperlink" Target="mailto:xzhang04@wesleyan.edu" TargetMode="External"/><Relationship Id="rId129" Type="http://schemas.openxmlformats.org/officeDocument/2006/relationships/hyperlink" Target="mailto:xzhang04@wesleyan.edu" TargetMode="External"/><Relationship Id="rId54" Type="http://schemas.openxmlformats.org/officeDocument/2006/relationships/hyperlink" Target="mailto:xzhang04@wesleyan.edu" TargetMode="External"/><Relationship Id="rId70" Type="http://schemas.openxmlformats.org/officeDocument/2006/relationships/hyperlink" Target="mailto:xzhang04@wesleyan.edu" TargetMode="External"/><Relationship Id="rId75" Type="http://schemas.openxmlformats.org/officeDocument/2006/relationships/hyperlink" Target="mailto:xzhang04@wesleyan.edu" TargetMode="External"/><Relationship Id="rId91" Type="http://schemas.openxmlformats.org/officeDocument/2006/relationships/hyperlink" Target="mailto:xzhang04@wesleyan.edu" TargetMode="External"/><Relationship Id="rId96" Type="http://schemas.openxmlformats.org/officeDocument/2006/relationships/hyperlink" Target="mailto:xzhang04@wesleyan.edu" TargetMode="External"/><Relationship Id="rId140"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23" Type="http://schemas.openxmlformats.org/officeDocument/2006/relationships/hyperlink" Target="mailto:xzhang04@wesleyan.edu" TargetMode="External"/><Relationship Id="rId28" Type="http://schemas.openxmlformats.org/officeDocument/2006/relationships/hyperlink" Target="mailto:xzhang04@wesleyan.edu" TargetMode="External"/><Relationship Id="rId49" Type="http://schemas.openxmlformats.org/officeDocument/2006/relationships/hyperlink" Target="mailto:xzhang04@wesleyan.edu" TargetMode="External"/><Relationship Id="rId114" Type="http://schemas.openxmlformats.org/officeDocument/2006/relationships/hyperlink" Target="mailto:xzhang04@wesleyan.edu" TargetMode="External"/><Relationship Id="rId119" Type="http://schemas.openxmlformats.org/officeDocument/2006/relationships/hyperlink" Target="mailto:xzhang04@wesleyan.edu" TargetMode="External"/><Relationship Id="rId44" Type="http://schemas.openxmlformats.org/officeDocument/2006/relationships/hyperlink" Target="mailto:xzhang04@wesleyan.edu" TargetMode="External"/><Relationship Id="rId60" Type="http://schemas.openxmlformats.org/officeDocument/2006/relationships/hyperlink" Target="mailto:xzhang04@wesleyan.edu" TargetMode="External"/><Relationship Id="rId65" Type="http://schemas.openxmlformats.org/officeDocument/2006/relationships/hyperlink" Target="mailto:xzhang04@wesleyan.edu" TargetMode="External"/><Relationship Id="rId81" Type="http://schemas.openxmlformats.org/officeDocument/2006/relationships/hyperlink" Target="mailto:xzhang04@wesleyan.edu" TargetMode="External"/><Relationship Id="rId86" Type="http://schemas.openxmlformats.org/officeDocument/2006/relationships/hyperlink" Target="mailto:xzhang04@wesleyan.edu" TargetMode="External"/><Relationship Id="rId130" Type="http://schemas.openxmlformats.org/officeDocument/2006/relationships/hyperlink" Target="mailto:xzhang04@wesleyan.edu" TargetMode="External"/><Relationship Id="rId135"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18" Type="http://schemas.openxmlformats.org/officeDocument/2006/relationships/hyperlink" Target="mailto:xzhang04@wesleyan.edu" TargetMode="External"/><Relationship Id="rId39" Type="http://schemas.openxmlformats.org/officeDocument/2006/relationships/hyperlink" Target="mailto:xzhang04@wesleyan.edu" TargetMode="External"/><Relationship Id="rId109" Type="http://schemas.openxmlformats.org/officeDocument/2006/relationships/hyperlink" Target="mailto:xzhang04@wesleyan.edu" TargetMode="External"/><Relationship Id="rId34" Type="http://schemas.openxmlformats.org/officeDocument/2006/relationships/hyperlink" Target="mailto:xzhang04@wesleyan.edu" TargetMode="External"/><Relationship Id="rId50" Type="http://schemas.openxmlformats.org/officeDocument/2006/relationships/hyperlink" Target="mailto:xzhang04@wesleyan.edu" TargetMode="External"/><Relationship Id="rId55" Type="http://schemas.openxmlformats.org/officeDocument/2006/relationships/hyperlink" Target="mailto:xzhang04@wesleyan.edu" TargetMode="External"/><Relationship Id="rId76" Type="http://schemas.openxmlformats.org/officeDocument/2006/relationships/hyperlink" Target="mailto:xzhang04@wesleyan.edu" TargetMode="External"/><Relationship Id="rId97" Type="http://schemas.openxmlformats.org/officeDocument/2006/relationships/hyperlink" Target="mailto:xzhang04@wesleyan.edu" TargetMode="External"/><Relationship Id="rId104" Type="http://schemas.openxmlformats.org/officeDocument/2006/relationships/hyperlink" Target="mailto:xzhang04@wesleyan.edu" TargetMode="External"/><Relationship Id="rId120" Type="http://schemas.openxmlformats.org/officeDocument/2006/relationships/hyperlink" Target="mailto:xzhang04@wesleyan.edu" TargetMode="External"/><Relationship Id="rId125" Type="http://schemas.openxmlformats.org/officeDocument/2006/relationships/hyperlink" Target="mailto:xzhang04@wesleyan.edu" TargetMode="External"/><Relationship Id="rId141" Type="http://schemas.openxmlformats.org/officeDocument/2006/relationships/printerSettings" Target="../printerSettings/printerSettings1.bin"/><Relationship Id="rId7" Type="http://schemas.openxmlformats.org/officeDocument/2006/relationships/hyperlink" Target="mailto:xzhang04@wesleyan.edu" TargetMode="External"/><Relationship Id="rId71" Type="http://schemas.openxmlformats.org/officeDocument/2006/relationships/hyperlink" Target="mailto:xzhang04@wesleyan.edu" TargetMode="External"/><Relationship Id="rId92"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29" Type="http://schemas.openxmlformats.org/officeDocument/2006/relationships/hyperlink" Target="mailto:xzhang04@wesleyan.edu" TargetMode="External"/><Relationship Id="rId24" Type="http://schemas.openxmlformats.org/officeDocument/2006/relationships/hyperlink" Target="mailto:xzhang04@wesleyan.edu" TargetMode="External"/><Relationship Id="rId40" Type="http://schemas.openxmlformats.org/officeDocument/2006/relationships/hyperlink" Target="mailto:xzhang04@wesleyan.edu" TargetMode="External"/><Relationship Id="rId45" Type="http://schemas.openxmlformats.org/officeDocument/2006/relationships/hyperlink" Target="mailto:xzhang04@wesleyan.edu" TargetMode="External"/><Relationship Id="rId66" Type="http://schemas.openxmlformats.org/officeDocument/2006/relationships/hyperlink" Target="mailto:xzhang04@wesleyan.edu" TargetMode="External"/><Relationship Id="rId87" Type="http://schemas.openxmlformats.org/officeDocument/2006/relationships/hyperlink" Target="mailto:xzhang04@wesleyan.edu" TargetMode="External"/><Relationship Id="rId110" Type="http://schemas.openxmlformats.org/officeDocument/2006/relationships/hyperlink" Target="mailto:xzhang04@wesleyan.edu" TargetMode="External"/><Relationship Id="rId115" Type="http://schemas.openxmlformats.org/officeDocument/2006/relationships/hyperlink" Target="mailto:xzhang04@wesleyan.edu" TargetMode="External"/><Relationship Id="rId131" Type="http://schemas.openxmlformats.org/officeDocument/2006/relationships/hyperlink" Target="mailto:xzhang04@wesleyan.edu" TargetMode="External"/><Relationship Id="rId136" Type="http://schemas.openxmlformats.org/officeDocument/2006/relationships/hyperlink" Target="mailto:xzhang04@wesleyan.edu" TargetMode="External"/><Relationship Id="rId61" Type="http://schemas.openxmlformats.org/officeDocument/2006/relationships/hyperlink" Target="mailto:xzhang04@wesleyan.edu" TargetMode="External"/><Relationship Id="rId82" Type="http://schemas.openxmlformats.org/officeDocument/2006/relationships/hyperlink" Target="mailto:xzhang04@wesleyan.edu" TargetMode="External"/><Relationship Id="rId19" Type="http://schemas.openxmlformats.org/officeDocument/2006/relationships/hyperlink" Target="mailto:xzhang04@wesleyan.edu" TargetMode="External"/><Relationship Id="rId14" Type="http://schemas.openxmlformats.org/officeDocument/2006/relationships/hyperlink" Target="mailto:xzhang04@wesleyan.edu" TargetMode="External"/><Relationship Id="rId30" Type="http://schemas.openxmlformats.org/officeDocument/2006/relationships/hyperlink" Target="mailto:xzhang04@wesleyan.edu" TargetMode="External"/><Relationship Id="rId35" Type="http://schemas.openxmlformats.org/officeDocument/2006/relationships/hyperlink" Target="mailto:xzhang04@wesleyan.edu" TargetMode="External"/><Relationship Id="rId56" Type="http://schemas.openxmlformats.org/officeDocument/2006/relationships/hyperlink" Target="mailto:xzhang04@wesleyan.edu" TargetMode="External"/><Relationship Id="rId77" Type="http://schemas.openxmlformats.org/officeDocument/2006/relationships/hyperlink" Target="mailto:xzhang04@wesleyan.edu" TargetMode="External"/><Relationship Id="rId100" Type="http://schemas.openxmlformats.org/officeDocument/2006/relationships/hyperlink" Target="mailto:xzhang04@wesleyan.edu" TargetMode="External"/><Relationship Id="rId105" Type="http://schemas.openxmlformats.org/officeDocument/2006/relationships/hyperlink" Target="mailto:xzhang04@wesleyan.edu" TargetMode="External"/><Relationship Id="rId126" Type="http://schemas.openxmlformats.org/officeDocument/2006/relationships/hyperlink" Target="mailto:xzhang04@wesleyan.edu" TargetMode="External"/><Relationship Id="rId8" Type="http://schemas.openxmlformats.org/officeDocument/2006/relationships/hyperlink" Target="mailto:xzhang04@wesleyan.edu" TargetMode="External"/><Relationship Id="rId51" Type="http://schemas.openxmlformats.org/officeDocument/2006/relationships/hyperlink" Target="mailto:xzhang04@wesleyan.edu" TargetMode="External"/><Relationship Id="rId72" Type="http://schemas.openxmlformats.org/officeDocument/2006/relationships/hyperlink" Target="mailto:xzhang04@wesleyan.edu" TargetMode="External"/><Relationship Id="rId93" Type="http://schemas.openxmlformats.org/officeDocument/2006/relationships/hyperlink" Target="mailto:xzhang04@wesleyan.edu" TargetMode="External"/><Relationship Id="rId98" Type="http://schemas.openxmlformats.org/officeDocument/2006/relationships/hyperlink" Target="mailto:xzhang04@wesleyan.edu" TargetMode="External"/><Relationship Id="rId121"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25" Type="http://schemas.openxmlformats.org/officeDocument/2006/relationships/hyperlink" Target="mailto:xzhang04@wesleyan.edu" TargetMode="External"/><Relationship Id="rId46" Type="http://schemas.openxmlformats.org/officeDocument/2006/relationships/hyperlink" Target="mailto:xzhang04@wesleyan.edu" TargetMode="External"/><Relationship Id="rId67" Type="http://schemas.openxmlformats.org/officeDocument/2006/relationships/hyperlink" Target="mailto:xzhang04@wesleyan.edu" TargetMode="External"/><Relationship Id="rId116" Type="http://schemas.openxmlformats.org/officeDocument/2006/relationships/hyperlink" Target="mailto:xzhang04@wesleyan.edu" TargetMode="External"/><Relationship Id="rId137" Type="http://schemas.openxmlformats.org/officeDocument/2006/relationships/hyperlink" Target="mailto:xzhang04@wesleyan.edu" TargetMode="External"/><Relationship Id="rId20" Type="http://schemas.openxmlformats.org/officeDocument/2006/relationships/hyperlink" Target="mailto:xzhang04@wesleyan.edu" TargetMode="External"/><Relationship Id="rId41" Type="http://schemas.openxmlformats.org/officeDocument/2006/relationships/hyperlink" Target="mailto:xzhang04@wesleyan.edu" TargetMode="External"/><Relationship Id="rId62" Type="http://schemas.openxmlformats.org/officeDocument/2006/relationships/hyperlink" Target="mailto:xzhang04@wesleyan.edu" TargetMode="External"/><Relationship Id="rId83" Type="http://schemas.openxmlformats.org/officeDocument/2006/relationships/hyperlink" Target="mailto:xzhang04@wesleyan.edu" TargetMode="External"/><Relationship Id="rId88" Type="http://schemas.openxmlformats.org/officeDocument/2006/relationships/hyperlink" Target="mailto:xzhang04@wesleyan.edu" TargetMode="External"/><Relationship Id="rId111" Type="http://schemas.openxmlformats.org/officeDocument/2006/relationships/hyperlink" Target="mailto:xzhang04@wesleyan.edu" TargetMode="External"/><Relationship Id="rId132" Type="http://schemas.openxmlformats.org/officeDocument/2006/relationships/hyperlink" Target="mailto:xzhang04@wesleyan.edu" TargetMode="External"/><Relationship Id="rId15" Type="http://schemas.openxmlformats.org/officeDocument/2006/relationships/hyperlink" Target="mailto:xzhang04@wesleyan.edu" TargetMode="External"/><Relationship Id="rId36" Type="http://schemas.openxmlformats.org/officeDocument/2006/relationships/hyperlink" Target="mailto:xzhang04@wesleyan.edu" TargetMode="External"/><Relationship Id="rId57" Type="http://schemas.openxmlformats.org/officeDocument/2006/relationships/hyperlink" Target="mailto:xzhang04@wesleyan.edu" TargetMode="External"/><Relationship Id="rId106" Type="http://schemas.openxmlformats.org/officeDocument/2006/relationships/hyperlink" Target="mailto:xzhang04@wesleyan.edu" TargetMode="External"/><Relationship Id="rId127"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31" Type="http://schemas.openxmlformats.org/officeDocument/2006/relationships/hyperlink" Target="mailto:xzhang04@wesleyan.edu" TargetMode="External"/><Relationship Id="rId52" Type="http://schemas.openxmlformats.org/officeDocument/2006/relationships/hyperlink" Target="mailto:xzhang04@wesleyan.edu" TargetMode="External"/><Relationship Id="rId73" Type="http://schemas.openxmlformats.org/officeDocument/2006/relationships/hyperlink" Target="mailto:xzhang04@wesleyan.edu" TargetMode="External"/><Relationship Id="rId78" Type="http://schemas.openxmlformats.org/officeDocument/2006/relationships/hyperlink" Target="mailto:xzhang04@wesleyan.edu" TargetMode="External"/><Relationship Id="rId94" Type="http://schemas.openxmlformats.org/officeDocument/2006/relationships/hyperlink" Target="mailto:xzhang04@wesleyan.edu" TargetMode="External"/><Relationship Id="rId99" Type="http://schemas.openxmlformats.org/officeDocument/2006/relationships/hyperlink" Target="mailto:xzhang04@wesleyan.edu" TargetMode="External"/><Relationship Id="rId101" Type="http://schemas.openxmlformats.org/officeDocument/2006/relationships/hyperlink" Target="mailto:xzhang04@wesleyan.edu" TargetMode="External"/><Relationship Id="rId122"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26" Type="http://schemas.openxmlformats.org/officeDocument/2006/relationships/hyperlink" Target="mailto:xzhang04@wesleyan.edu" TargetMode="External"/><Relationship Id="rId47" Type="http://schemas.openxmlformats.org/officeDocument/2006/relationships/hyperlink" Target="mailto:xzhang04@wesleyan.edu" TargetMode="External"/><Relationship Id="rId68" Type="http://schemas.openxmlformats.org/officeDocument/2006/relationships/hyperlink" Target="mailto:xzhang04@wesleyan.edu" TargetMode="External"/><Relationship Id="rId89" Type="http://schemas.openxmlformats.org/officeDocument/2006/relationships/hyperlink" Target="mailto:xzhang04@wesleyan.edu" TargetMode="External"/><Relationship Id="rId112" Type="http://schemas.openxmlformats.org/officeDocument/2006/relationships/hyperlink" Target="mailto:xzhang04@wesleyan.edu" TargetMode="External"/><Relationship Id="rId133" Type="http://schemas.openxmlformats.org/officeDocument/2006/relationships/hyperlink" Target="mailto:xzhang04@wesleyan.edu" TargetMode="External"/><Relationship Id="rId16" Type="http://schemas.openxmlformats.org/officeDocument/2006/relationships/hyperlink" Target="mailto:xzhang04@wesleyan.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63"/>
  <sheetViews>
    <sheetView tabSelected="1" workbookViewId="0">
      <pane ySplit="3" topLeftCell="A4" activePane="bottomLeft" state="frozen"/>
      <selection pane="bottomLeft" activeCell="A124" sqref="A124:XFD124"/>
    </sheetView>
  </sheetViews>
  <sheetFormatPr defaultColWidth="11" defaultRowHeight="15.75"/>
  <cols>
    <col min="4" max="4" width="11" style="12"/>
    <col min="5" max="9" width="11" style="13"/>
    <col min="10" max="10" width="11" style="17"/>
    <col min="13" max="13" width="16.625" customWidth="1"/>
    <col min="14" max="14" width="7.625"/>
    <col min="21" max="21" width="12.25" customWidth="1"/>
    <col min="23" max="23" width="12.75" customWidth="1"/>
    <col min="24" max="24" width="12.25" customWidth="1"/>
    <col min="26" max="26" width="12.75" customWidth="1"/>
    <col min="27" max="27" width="11.125" customWidth="1"/>
    <col min="28" max="28" width="12" customWidth="1"/>
    <col min="31" max="31" width="12.25" customWidth="1"/>
    <col min="32" max="32" width="12.5" customWidth="1"/>
    <col min="33" max="34" width="12.25" customWidth="1"/>
    <col min="37" max="37" width="12.75" customWidth="1"/>
    <col min="38" max="38" width="13.75" customWidth="1"/>
    <col min="49" max="49" width="16.25" customWidth="1"/>
  </cols>
  <sheetData>
    <row r="1" spans="1:50">
      <c r="D1" s="18" t="s">
        <v>47</v>
      </c>
    </row>
    <row r="2" spans="1:50" s="19" customFormat="1" ht="62.45" customHeight="1">
      <c r="D2" s="20"/>
      <c r="E2" s="21"/>
      <c r="F2" s="21"/>
      <c r="G2" s="21"/>
      <c r="H2" s="21"/>
      <c r="I2" s="21"/>
      <c r="J2" s="22"/>
      <c r="K2" s="19" t="s">
        <v>48</v>
      </c>
      <c r="M2" s="19" t="s">
        <v>49</v>
      </c>
      <c r="N2" t="s">
        <v>491</v>
      </c>
      <c r="O2" s="19" t="s">
        <v>64</v>
      </c>
      <c r="S2" s="19" t="s">
        <v>50</v>
      </c>
      <c r="U2" s="19" t="s">
        <v>65</v>
      </c>
      <c r="W2" s="19" t="s">
        <v>51</v>
      </c>
      <c r="X2" s="19" t="s">
        <v>51</v>
      </c>
      <c r="Y2" s="19" t="s">
        <v>52</v>
      </c>
      <c r="Z2" s="19" t="s">
        <v>53</v>
      </c>
      <c r="AA2" t="s">
        <v>491</v>
      </c>
      <c r="AB2"/>
      <c r="AC2" s="19" t="s">
        <v>57</v>
      </c>
      <c r="AD2" s="19" t="s">
        <v>57</v>
      </c>
      <c r="AE2" s="19" t="s">
        <v>54</v>
      </c>
      <c r="AG2" s="19" t="s">
        <v>72</v>
      </c>
      <c r="AH2" s="19" t="s">
        <v>55</v>
      </c>
      <c r="AK2"/>
      <c r="AL2"/>
      <c r="AM2" s="23" t="s">
        <v>66</v>
      </c>
      <c r="AN2" s="23" t="s">
        <v>66</v>
      </c>
      <c r="AO2"/>
      <c r="AP2" s="19" t="s">
        <v>56</v>
      </c>
      <c r="AQ2" s="19" t="s">
        <v>63</v>
      </c>
      <c r="AS2" s="19" t="s">
        <v>58</v>
      </c>
      <c r="AT2" s="19" t="s">
        <v>59</v>
      </c>
      <c r="AU2" s="19" t="s">
        <v>59</v>
      </c>
      <c r="AV2" s="19" t="s">
        <v>60</v>
      </c>
      <c r="AW2" s="19" t="s">
        <v>61</v>
      </c>
      <c r="AX2" s="19" t="s">
        <v>62</v>
      </c>
    </row>
    <row r="3" spans="1:50" s="6" customFormat="1" ht="66.599999999999994" customHeight="1">
      <c r="A3" s="2" t="s">
        <v>30</v>
      </c>
      <c r="B3" s="2" t="s">
        <v>31</v>
      </c>
      <c r="C3" s="2" t="s">
        <v>32</v>
      </c>
      <c r="D3" s="9" t="s">
        <v>2</v>
      </c>
      <c r="E3" s="10" t="s">
        <v>33</v>
      </c>
      <c r="F3" s="10" t="s">
        <v>34</v>
      </c>
      <c r="G3" s="10" t="s">
        <v>35</v>
      </c>
      <c r="H3" s="10" t="s">
        <v>37</v>
      </c>
      <c r="I3" s="10" t="s">
        <v>38</v>
      </c>
      <c r="J3" s="14" t="s">
        <v>40</v>
      </c>
      <c r="K3" s="3" t="s">
        <v>0</v>
      </c>
      <c r="L3" s="3" t="s">
        <v>43</v>
      </c>
      <c r="M3" s="3" t="s">
        <v>44</v>
      </c>
      <c r="N3" s="3" t="s">
        <v>2</v>
      </c>
      <c r="O3" s="3" t="s">
        <v>3</v>
      </c>
      <c r="P3" s="3" t="s">
        <v>4</v>
      </c>
      <c r="Q3" s="3" t="s">
        <v>5</v>
      </c>
      <c r="R3" s="3" t="s">
        <v>6</v>
      </c>
      <c r="S3" s="3" t="s">
        <v>7</v>
      </c>
      <c r="T3" s="3" t="s">
        <v>8</v>
      </c>
      <c r="U3" s="4" t="s">
        <v>9</v>
      </c>
      <c r="V3" s="3" t="s">
        <v>10</v>
      </c>
      <c r="W3" s="3" t="s">
        <v>11</v>
      </c>
      <c r="X3" s="3" t="s">
        <v>12</v>
      </c>
      <c r="Y3" s="3" t="s">
        <v>13</v>
      </c>
      <c r="Z3" s="3" t="s">
        <v>14</v>
      </c>
      <c r="AA3" s="3" t="s">
        <v>41</v>
      </c>
      <c r="AB3" s="3" t="s">
        <v>42</v>
      </c>
      <c r="AC3" s="5" t="s">
        <v>45</v>
      </c>
      <c r="AD3" s="5" t="s">
        <v>46</v>
      </c>
      <c r="AE3" s="4" t="s">
        <v>15</v>
      </c>
      <c r="AF3" s="4" t="s">
        <v>16</v>
      </c>
      <c r="AG3" s="4" t="s">
        <v>73</v>
      </c>
      <c r="AH3" s="4" t="s">
        <v>17</v>
      </c>
      <c r="AI3" s="4" t="s">
        <v>18</v>
      </c>
      <c r="AJ3" s="4" t="s">
        <v>19</v>
      </c>
      <c r="AK3" s="4" t="s">
        <v>67</v>
      </c>
      <c r="AL3" s="4" t="s">
        <v>20</v>
      </c>
      <c r="AM3" s="4" t="s">
        <v>21</v>
      </c>
      <c r="AN3" s="4" t="s">
        <v>22</v>
      </c>
      <c r="AO3" s="4" t="s">
        <v>23</v>
      </c>
      <c r="AP3" s="4" t="s">
        <v>24</v>
      </c>
      <c r="AQ3" s="4" t="s">
        <v>25</v>
      </c>
      <c r="AR3" s="4" t="s">
        <v>68</v>
      </c>
      <c r="AS3" s="3" t="s">
        <v>69</v>
      </c>
      <c r="AT3" s="4" t="s">
        <v>70</v>
      </c>
      <c r="AU3" s="4" t="s">
        <v>71</v>
      </c>
      <c r="AV3" s="3" t="s">
        <v>26</v>
      </c>
      <c r="AW3" s="3" t="s">
        <v>27</v>
      </c>
      <c r="AX3" s="3" t="s">
        <v>1</v>
      </c>
    </row>
    <row r="4" spans="1:50" s="1" customFormat="1">
      <c r="A4" s="1" t="s">
        <v>36</v>
      </c>
      <c r="B4" s="1" t="s">
        <v>290</v>
      </c>
      <c r="C4" s="1">
        <v>2020</v>
      </c>
      <c r="D4" s="11" t="str">
        <f t="shared" ref="D4:D64" si="0">N4</f>
        <v>10.1016/j.palaeo.2019.109547</v>
      </c>
      <c r="E4" s="7">
        <f t="shared" ref="E4:E64" si="1">V4*1000</f>
        <v>188050</v>
      </c>
      <c r="F4" s="7">
        <f t="shared" ref="F4:F64" si="2">(W4-V4)*1000</f>
        <v>13349.999999999995</v>
      </c>
      <c r="G4" s="7">
        <f t="shared" ref="G4:G64" si="3">(V4-X4)*1000</f>
        <v>13350.000000000022</v>
      </c>
      <c r="H4" s="8">
        <f t="shared" ref="H4:H64" si="4">AR4</f>
        <v>965.06610177072787</v>
      </c>
      <c r="I4" s="8">
        <f t="shared" ref="I4:I64" si="5">AU4-AR4</f>
        <v>306.40590516723012</v>
      </c>
      <c r="J4" s="15">
        <f t="shared" ref="J4:J64" si="6">AR4-AT4</f>
        <v>306.40590516723012</v>
      </c>
      <c r="K4" s="1" t="s">
        <v>291</v>
      </c>
      <c r="L4" s="61" t="s">
        <v>292</v>
      </c>
      <c r="M4" t="s">
        <v>293</v>
      </c>
      <c r="N4" s="1" t="s">
        <v>294</v>
      </c>
      <c r="O4" s="62" t="s">
        <v>295</v>
      </c>
      <c r="P4" s="63" t="s">
        <v>28</v>
      </c>
      <c r="Q4" s="64" t="s">
        <v>296</v>
      </c>
      <c r="R4" s="1" t="s">
        <v>297</v>
      </c>
      <c r="S4" s="1" t="s">
        <v>298</v>
      </c>
      <c r="T4" s="1" t="s">
        <v>299</v>
      </c>
      <c r="U4" s="1" t="s">
        <v>300</v>
      </c>
      <c r="V4" s="1">
        <v>188.05</v>
      </c>
      <c r="W4" s="1">
        <v>201.4</v>
      </c>
      <c r="X4" s="1">
        <v>174.7</v>
      </c>
      <c r="Y4" s="1" t="s">
        <v>39</v>
      </c>
      <c r="Z4" s="1" t="s">
        <v>302</v>
      </c>
      <c r="AA4" s="1">
        <v>30.957000000000001</v>
      </c>
      <c r="AB4" s="1">
        <v>110.746</v>
      </c>
      <c r="AC4" s="63" t="s">
        <v>39</v>
      </c>
      <c r="AD4" s="63" t="s">
        <v>39</v>
      </c>
      <c r="AE4" s="63" t="s">
        <v>39</v>
      </c>
      <c r="AF4" s="63" t="s">
        <v>39</v>
      </c>
      <c r="AG4" s="63" t="s">
        <v>39</v>
      </c>
      <c r="AH4" s="1">
        <v>90</v>
      </c>
      <c r="AI4" s="65">
        <v>5</v>
      </c>
      <c r="AJ4" s="65">
        <v>99</v>
      </c>
      <c r="AK4" s="62">
        <v>55.555555555555557</v>
      </c>
      <c r="AL4" s="66">
        <v>4.8076923076923084</v>
      </c>
      <c r="AM4" s="62">
        <v>5.45</v>
      </c>
      <c r="AN4" s="66">
        <v>1.0285912696499033</v>
      </c>
      <c r="AO4" s="1" t="s">
        <v>29</v>
      </c>
      <c r="AP4" s="1" t="s">
        <v>449</v>
      </c>
      <c r="AQ4" s="1" t="s">
        <v>450</v>
      </c>
      <c r="AR4" s="1">
        <v>965.06610177072787</v>
      </c>
      <c r="AS4" s="1" t="s">
        <v>451</v>
      </c>
      <c r="AT4" s="1">
        <v>658.66019660349775</v>
      </c>
      <c r="AU4" s="1">
        <v>1271.472006937958</v>
      </c>
      <c r="AV4" s="67" t="s">
        <v>490</v>
      </c>
      <c r="AW4" s="1" t="s">
        <v>494</v>
      </c>
      <c r="AX4" s="1" t="s">
        <v>39</v>
      </c>
    </row>
    <row r="5" spans="1:50" s="1" customFormat="1">
      <c r="A5" s="1" t="s">
        <v>36</v>
      </c>
      <c r="B5" s="1" t="s">
        <v>290</v>
      </c>
      <c r="C5" s="1">
        <v>2020</v>
      </c>
      <c r="D5" s="11" t="str">
        <f t="shared" si="0"/>
        <v>10.1016/j.palaeo.2019.109547</v>
      </c>
      <c r="E5" s="7">
        <f t="shared" si="1"/>
        <v>188050</v>
      </c>
      <c r="F5" s="7">
        <f t="shared" si="2"/>
        <v>13349.999999999995</v>
      </c>
      <c r="G5" s="7">
        <f t="shared" si="3"/>
        <v>13350.000000000022</v>
      </c>
      <c r="H5" s="8">
        <f t="shared" si="4"/>
        <v>715.38078584324035</v>
      </c>
      <c r="I5" s="8">
        <f t="shared" si="5"/>
        <v>149.31616255267306</v>
      </c>
      <c r="J5" s="15">
        <f t="shared" si="6"/>
        <v>149.31616255267306</v>
      </c>
      <c r="K5" s="1" t="s">
        <v>291</v>
      </c>
      <c r="L5" s="61" t="s">
        <v>292</v>
      </c>
      <c r="M5" t="s">
        <v>293</v>
      </c>
      <c r="N5" s="1" t="s">
        <v>294</v>
      </c>
      <c r="O5" s="62" t="s">
        <v>301</v>
      </c>
      <c r="P5" s="63" t="s">
        <v>28</v>
      </c>
      <c r="Q5" s="64" t="s">
        <v>296</v>
      </c>
      <c r="R5" s="1" t="s">
        <v>297</v>
      </c>
      <c r="S5" s="1" t="s">
        <v>298</v>
      </c>
      <c r="T5" s="1" t="s">
        <v>299</v>
      </c>
      <c r="U5" s="1" t="s">
        <v>300</v>
      </c>
      <c r="V5" s="1">
        <v>188.05</v>
      </c>
      <c r="W5" s="1">
        <v>201.4</v>
      </c>
      <c r="X5" s="1">
        <v>174.7</v>
      </c>
      <c r="Y5" s="1" t="s">
        <v>39</v>
      </c>
      <c r="Z5" s="1" t="s">
        <v>302</v>
      </c>
      <c r="AA5" s="1">
        <v>30.957000000000001</v>
      </c>
      <c r="AB5" s="1">
        <v>110.746</v>
      </c>
      <c r="AC5" s="63" t="s">
        <v>39</v>
      </c>
      <c r="AD5" s="63" t="s">
        <v>39</v>
      </c>
      <c r="AE5" s="63" t="s">
        <v>39</v>
      </c>
      <c r="AF5" s="63" t="s">
        <v>39</v>
      </c>
      <c r="AG5" s="63" t="s">
        <v>39</v>
      </c>
      <c r="AH5" s="1">
        <v>90</v>
      </c>
      <c r="AI5" s="65">
        <v>6</v>
      </c>
      <c r="AJ5" s="65">
        <v>96</v>
      </c>
      <c r="AK5" s="62">
        <v>66.666666666666671</v>
      </c>
      <c r="AL5" s="66">
        <v>5.8823529411764701</v>
      </c>
      <c r="AM5" s="62">
        <v>5.9</v>
      </c>
      <c r="AN5" s="66">
        <v>0.82734515167492217</v>
      </c>
      <c r="AO5" s="1" t="s">
        <v>29</v>
      </c>
      <c r="AP5" s="1" t="s">
        <v>452</v>
      </c>
      <c r="AQ5" s="1" t="s">
        <v>453</v>
      </c>
      <c r="AR5" s="1">
        <v>715.38078584324035</v>
      </c>
      <c r="AS5" s="1" t="s">
        <v>451</v>
      </c>
      <c r="AT5" s="1">
        <v>566.06462329056728</v>
      </c>
      <c r="AU5" s="1">
        <v>864.69694839591341</v>
      </c>
      <c r="AV5" s="67" t="s">
        <v>490</v>
      </c>
      <c r="AW5" s="1" t="s">
        <v>494</v>
      </c>
      <c r="AX5" s="1" t="s">
        <v>39</v>
      </c>
    </row>
    <row r="6" spans="1:50" s="1" customFormat="1">
      <c r="A6" s="1" t="s">
        <v>36</v>
      </c>
      <c r="B6" s="1" t="s">
        <v>290</v>
      </c>
      <c r="C6" s="1">
        <v>2020</v>
      </c>
      <c r="D6" s="11" t="str">
        <f t="shared" si="0"/>
        <v>10.1016/j.palaeo.2019.109547</v>
      </c>
      <c r="E6" s="7">
        <f t="shared" si="1"/>
        <v>188050</v>
      </c>
      <c r="F6" s="7">
        <f t="shared" si="2"/>
        <v>13349.999999999995</v>
      </c>
      <c r="G6" s="7">
        <f t="shared" si="3"/>
        <v>13350.000000000022</v>
      </c>
      <c r="H6" s="8">
        <f t="shared" si="4"/>
        <v>937.65320093574394</v>
      </c>
      <c r="I6" s="8">
        <f t="shared" si="5"/>
        <v>279.28266986897631</v>
      </c>
      <c r="J6" s="15">
        <f t="shared" si="6"/>
        <v>279.28266986897631</v>
      </c>
      <c r="K6" s="1" t="s">
        <v>291</v>
      </c>
      <c r="L6" s="61" t="s">
        <v>292</v>
      </c>
      <c r="M6" t="s">
        <v>293</v>
      </c>
      <c r="N6" s="1" t="s">
        <v>294</v>
      </c>
      <c r="O6" s="62" t="s">
        <v>303</v>
      </c>
      <c r="P6" s="63" t="s">
        <v>28</v>
      </c>
      <c r="Q6" s="64" t="s">
        <v>296</v>
      </c>
      <c r="R6" s="1" t="s">
        <v>297</v>
      </c>
      <c r="S6" s="1" t="s">
        <v>298</v>
      </c>
      <c r="T6" s="1" t="s">
        <v>299</v>
      </c>
      <c r="U6" s="1" t="s">
        <v>300</v>
      </c>
      <c r="V6" s="1">
        <v>188.05</v>
      </c>
      <c r="W6" s="1">
        <v>201.4</v>
      </c>
      <c r="X6" s="1">
        <v>174.7</v>
      </c>
      <c r="Y6" s="1" t="s">
        <v>39</v>
      </c>
      <c r="Z6" s="1" t="s">
        <v>302</v>
      </c>
      <c r="AA6" s="1">
        <v>30.957000000000001</v>
      </c>
      <c r="AB6" s="1">
        <v>110.746</v>
      </c>
      <c r="AC6" s="63" t="s">
        <v>39</v>
      </c>
      <c r="AD6" s="63" t="s">
        <v>39</v>
      </c>
      <c r="AE6" s="63" t="s">
        <v>39</v>
      </c>
      <c r="AF6" s="63" t="s">
        <v>39</v>
      </c>
      <c r="AG6" s="63" t="s">
        <v>39</v>
      </c>
      <c r="AH6" s="1">
        <v>90</v>
      </c>
      <c r="AI6" s="65">
        <v>5</v>
      </c>
      <c r="AJ6" s="65">
        <v>97</v>
      </c>
      <c r="AK6" s="62">
        <v>55.555555555555557</v>
      </c>
      <c r="AL6" s="66">
        <v>4.9019607843137258</v>
      </c>
      <c r="AM6" s="62">
        <v>7.07</v>
      </c>
      <c r="AN6" s="66">
        <v>0.98386991009990754</v>
      </c>
      <c r="AO6" s="1" t="s">
        <v>29</v>
      </c>
      <c r="AP6" s="1" t="s">
        <v>454</v>
      </c>
      <c r="AQ6" s="1" t="s">
        <v>455</v>
      </c>
      <c r="AR6" s="1">
        <v>937.65320093574394</v>
      </c>
      <c r="AS6" s="1" t="s">
        <v>451</v>
      </c>
      <c r="AT6" s="1">
        <v>658.37053106676763</v>
      </c>
      <c r="AU6" s="1">
        <v>1216.9358708047203</v>
      </c>
      <c r="AV6" s="67" t="s">
        <v>490</v>
      </c>
      <c r="AW6" s="1" t="s">
        <v>494</v>
      </c>
      <c r="AX6" s="1" t="s">
        <v>39</v>
      </c>
    </row>
    <row r="7" spans="1:50" s="1" customFormat="1">
      <c r="A7" s="1" t="s">
        <v>36</v>
      </c>
      <c r="B7" s="1" t="s">
        <v>290</v>
      </c>
      <c r="C7" s="1">
        <v>2020</v>
      </c>
      <c r="D7" s="11" t="str">
        <f t="shared" si="0"/>
        <v>10.1016/j.palaeo.2019.109547</v>
      </c>
      <c r="E7" s="7">
        <f t="shared" si="1"/>
        <v>188050</v>
      </c>
      <c r="F7" s="7">
        <f t="shared" si="2"/>
        <v>13349.999999999995</v>
      </c>
      <c r="G7" s="7">
        <f t="shared" si="3"/>
        <v>13350.000000000022</v>
      </c>
      <c r="H7" s="8">
        <f t="shared" si="4"/>
        <v>1857.2586244340373</v>
      </c>
      <c r="I7" s="8">
        <f t="shared" si="5"/>
        <v>817.00670951332131</v>
      </c>
      <c r="J7" s="15">
        <f t="shared" si="6"/>
        <v>817.00670951332131</v>
      </c>
      <c r="K7" s="1" t="s">
        <v>291</v>
      </c>
      <c r="L7" s="61" t="s">
        <v>292</v>
      </c>
      <c r="M7" t="s">
        <v>293</v>
      </c>
      <c r="N7" s="1" t="s">
        <v>294</v>
      </c>
      <c r="O7" s="62" t="s">
        <v>304</v>
      </c>
      <c r="P7" s="63" t="s">
        <v>28</v>
      </c>
      <c r="Q7" s="64" t="s">
        <v>296</v>
      </c>
      <c r="R7" s="1" t="s">
        <v>297</v>
      </c>
      <c r="S7" s="1" t="s">
        <v>298</v>
      </c>
      <c r="T7" s="1" t="s">
        <v>299</v>
      </c>
      <c r="U7" s="1" t="s">
        <v>300</v>
      </c>
      <c r="V7" s="1">
        <v>188.05</v>
      </c>
      <c r="W7" s="1">
        <v>201.4</v>
      </c>
      <c r="X7" s="1">
        <v>174.7</v>
      </c>
      <c r="Y7" s="1" t="s">
        <v>39</v>
      </c>
      <c r="Z7" s="1" t="s">
        <v>302</v>
      </c>
      <c r="AA7" s="1">
        <v>30.957000000000001</v>
      </c>
      <c r="AB7" s="1">
        <v>110.746</v>
      </c>
      <c r="AC7" s="63" t="s">
        <v>39</v>
      </c>
      <c r="AD7" s="63" t="s">
        <v>39</v>
      </c>
      <c r="AE7" s="63" t="s">
        <v>39</v>
      </c>
      <c r="AF7" s="63" t="s">
        <v>39</v>
      </c>
      <c r="AG7" s="63" t="s">
        <v>39</v>
      </c>
      <c r="AH7" s="1">
        <v>90</v>
      </c>
      <c r="AI7" s="65">
        <v>3</v>
      </c>
      <c r="AJ7" s="65">
        <v>94</v>
      </c>
      <c r="AK7" s="62">
        <v>33.333333333333336</v>
      </c>
      <c r="AL7" s="66">
        <v>3.0927835051546393</v>
      </c>
      <c r="AM7" s="62">
        <v>5.0999999999999996</v>
      </c>
      <c r="AN7" s="66">
        <v>0.91678787077491375</v>
      </c>
      <c r="AO7" s="1" t="s">
        <v>29</v>
      </c>
      <c r="AP7" s="1" t="s">
        <v>456</v>
      </c>
      <c r="AQ7" s="1" t="s">
        <v>457</v>
      </c>
      <c r="AR7" s="1">
        <v>1857.2586244340373</v>
      </c>
      <c r="AS7" s="1" t="s">
        <v>451</v>
      </c>
      <c r="AT7" s="1">
        <v>1040.251914920716</v>
      </c>
      <c r="AU7" s="1">
        <v>2674.2653339473586</v>
      </c>
      <c r="AV7" s="67" t="s">
        <v>490</v>
      </c>
      <c r="AW7" s="1" t="s">
        <v>494</v>
      </c>
      <c r="AX7" s="1" t="s">
        <v>39</v>
      </c>
    </row>
    <row r="8" spans="1:50" s="1" customFormat="1">
      <c r="A8" s="1" t="s">
        <v>36</v>
      </c>
      <c r="B8" s="1" t="s">
        <v>290</v>
      </c>
      <c r="C8" s="1">
        <v>2020</v>
      </c>
      <c r="D8" s="11" t="str">
        <f t="shared" si="0"/>
        <v>10.1016/j.palaeo.2019.109547</v>
      </c>
      <c r="E8" s="7">
        <f t="shared" si="1"/>
        <v>188050</v>
      </c>
      <c r="F8" s="7">
        <f t="shared" si="2"/>
        <v>13349.999999999995</v>
      </c>
      <c r="G8" s="7">
        <f t="shared" si="3"/>
        <v>13350.000000000022</v>
      </c>
      <c r="H8" s="8">
        <f t="shared" si="4"/>
        <v>856.97883360574576</v>
      </c>
      <c r="I8" s="8">
        <f t="shared" si="5"/>
        <v>174.71902826470557</v>
      </c>
      <c r="J8" s="15">
        <f t="shared" si="6"/>
        <v>174.71902826470557</v>
      </c>
      <c r="K8" s="1" t="s">
        <v>291</v>
      </c>
      <c r="L8" s="61" t="s">
        <v>292</v>
      </c>
      <c r="M8" t="s">
        <v>293</v>
      </c>
      <c r="N8" s="1" t="s">
        <v>294</v>
      </c>
      <c r="O8" s="62" t="s">
        <v>305</v>
      </c>
      <c r="P8" s="63" t="s">
        <v>28</v>
      </c>
      <c r="Q8" s="64" t="s">
        <v>296</v>
      </c>
      <c r="R8" s="1" t="s">
        <v>297</v>
      </c>
      <c r="S8" s="1" t="s">
        <v>298</v>
      </c>
      <c r="T8" s="1" t="s">
        <v>299</v>
      </c>
      <c r="U8" s="1" t="s">
        <v>300</v>
      </c>
      <c r="V8" s="1">
        <v>188.05</v>
      </c>
      <c r="W8" s="1">
        <v>201.4</v>
      </c>
      <c r="X8" s="1">
        <v>174.7</v>
      </c>
      <c r="Y8" s="1" t="s">
        <v>39</v>
      </c>
      <c r="Z8" s="1" t="s">
        <v>302</v>
      </c>
      <c r="AA8" s="1">
        <v>30.957000000000001</v>
      </c>
      <c r="AB8" s="1">
        <v>110.746</v>
      </c>
      <c r="AC8" s="63" t="s">
        <v>39</v>
      </c>
      <c r="AD8" s="63" t="s">
        <v>39</v>
      </c>
      <c r="AE8" s="63" t="s">
        <v>39</v>
      </c>
      <c r="AF8" s="63" t="s">
        <v>39</v>
      </c>
      <c r="AG8" s="63" t="s">
        <v>39</v>
      </c>
      <c r="AH8" s="1">
        <v>90</v>
      </c>
      <c r="AI8" s="65">
        <v>5</v>
      </c>
      <c r="AJ8" s="65">
        <v>91</v>
      </c>
      <c r="AK8" s="62">
        <v>55.555555555555557</v>
      </c>
      <c r="AL8" s="66">
        <v>5.2083333333333339</v>
      </c>
      <c r="AM8" s="62">
        <v>4.67</v>
      </c>
      <c r="AN8" s="66">
        <v>0.71554175279993271</v>
      </c>
      <c r="AO8" s="1" t="s">
        <v>29</v>
      </c>
      <c r="AP8" s="1" t="s">
        <v>458</v>
      </c>
      <c r="AQ8" s="1" t="s">
        <v>459</v>
      </c>
      <c r="AR8" s="1">
        <v>856.97883360574576</v>
      </c>
      <c r="AS8" s="1" t="s">
        <v>451</v>
      </c>
      <c r="AT8" s="1">
        <v>682.25980534104019</v>
      </c>
      <c r="AU8" s="1">
        <v>1031.6978618704513</v>
      </c>
      <c r="AV8" s="67" t="s">
        <v>490</v>
      </c>
      <c r="AW8" s="1" t="s">
        <v>494</v>
      </c>
      <c r="AX8" s="1" t="s">
        <v>39</v>
      </c>
    </row>
    <row r="9" spans="1:50" s="1" customFormat="1">
      <c r="A9" s="1" t="s">
        <v>36</v>
      </c>
      <c r="B9" s="1" t="s">
        <v>290</v>
      </c>
      <c r="C9" s="1">
        <v>2020</v>
      </c>
      <c r="D9" s="11" t="str">
        <f t="shared" si="0"/>
        <v>10.1016/j.palaeo.2019.109547</v>
      </c>
      <c r="E9" s="7">
        <f t="shared" si="1"/>
        <v>188050</v>
      </c>
      <c r="F9" s="7">
        <f t="shared" si="2"/>
        <v>13349.999999999995</v>
      </c>
      <c r="G9" s="7">
        <f t="shared" si="3"/>
        <v>13350.000000000022</v>
      </c>
      <c r="H9" s="8">
        <f t="shared" si="4"/>
        <v>811.02439383682554</v>
      </c>
      <c r="I9" s="8">
        <f t="shared" si="5"/>
        <v>64.724380278635294</v>
      </c>
      <c r="J9" s="15">
        <f t="shared" si="6"/>
        <v>64.724380278635294</v>
      </c>
      <c r="K9" s="1" t="s">
        <v>291</v>
      </c>
      <c r="L9" s="61" t="s">
        <v>292</v>
      </c>
      <c r="M9" t="s">
        <v>293</v>
      </c>
      <c r="N9" s="1" t="s">
        <v>294</v>
      </c>
      <c r="O9" s="62" t="s">
        <v>306</v>
      </c>
      <c r="P9" s="63" t="s">
        <v>28</v>
      </c>
      <c r="Q9" s="64" t="s">
        <v>296</v>
      </c>
      <c r="R9" s="1" t="s">
        <v>297</v>
      </c>
      <c r="S9" s="1" t="s">
        <v>298</v>
      </c>
      <c r="T9" s="1" t="s">
        <v>299</v>
      </c>
      <c r="U9" s="1" t="s">
        <v>300</v>
      </c>
      <c r="V9" s="1">
        <v>188.05</v>
      </c>
      <c r="W9" s="1">
        <v>201.4</v>
      </c>
      <c r="X9" s="1">
        <v>174.7</v>
      </c>
      <c r="Y9" s="1" t="s">
        <v>39</v>
      </c>
      <c r="Z9" s="1" t="s">
        <v>302</v>
      </c>
      <c r="AA9" s="1">
        <v>30.957000000000001</v>
      </c>
      <c r="AB9" s="1">
        <v>110.746</v>
      </c>
      <c r="AC9" s="63" t="s">
        <v>39</v>
      </c>
      <c r="AD9" s="63" t="s">
        <v>39</v>
      </c>
      <c r="AE9" s="63" t="s">
        <v>39</v>
      </c>
      <c r="AF9" s="63" t="s">
        <v>39</v>
      </c>
      <c r="AG9" s="63" t="s">
        <v>39</v>
      </c>
      <c r="AH9" s="1">
        <v>90</v>
      </c>
      <c r="AI9" s="65">
        <v>6</v>
      </c>
      <c r="AJ9" s="65">
        <v>105</v>
      </c>
      <c r="AK9" s="62">
        <v>66.666666666666671</v>
      </c>
      <c r="AL9" s="66">
        <v>5.4054054054054053</v>
      </c>
      <c r="AM9" s="62">
        <v>4.12</v>
      </c>
      <c r="AN9" s="66">
        <v>0.29068883707497267</v>
      </c>
      <c r="AO9" s="1" t="s">
        <v>29</v>
      </c>
      <c r="AP9" s="1" t="s">
        <v>460</v>
      </c>
      <c r="AQ9" s="1" t="s">
        <v>461</v>
      </c>
      <c r="AR9" s="1">
        <v>811.02439383682554</v>
      </c>
      <c r="AS9" s="1" t="s">
        <v>451</v>
      </c>
      <c r="AT9" s="1">
        <v>746.30001355819024</v>
      </c>
      <c r="AU9" s="1">
        <v>875.74877411546083</v>
      </c>
      <c r="AV9" s="67" t="s">
        <v>490</v>
      </c>
      <c r="AW9" s="1" t="s">
        <v>494</v>
      </c>
      <c r="AX9" s="1" t="s">
        <v>39</v>
      </c>
    </row>
    <row r="10" spans="1:50" s="1" customFormat="1">
      <c r="A10" s="1" t="s">
        <v>36</v>
      </c>
      <c r="B10" s="1" t="s">
        <v>290</v>
      </c>
      <c r="C10" s="1">
        <v>2020</v>
      </c>
      <c r="D10" s="11" t="str">
        <f t="shared" si="0"/>
        <v>10.1016/j.palaeo.2019.109547</v>
      </c>
      <c r="E10" s="7">
        <f t="shared" si="1"/>
        <v>188050</v>
      </c>
      <c r="F10" s="7">
        <f t="shared" si="2"/>
        <v>13349.999999999995</v>
      </c>
      <c r="G10" s="7">
        <f t="shared" si="3"/>
        <v>13350.000000000022</v>
      </c>
      <c r="H10" s="8">
        <f t="shared" si="4"/>
        <v>800.20518534647567</v>
      </c>
      <c r="I10" s="8">
        <f t="shared" si="5"/>
        <v>233.66998815843635</v>
      </c>
      <c r="J10" s="15">
        <f t="shared" si="6"/>
        <v>233.66998815843647</v>
      </c>
      <c r="K10" s="1" t="s">
        <v>291</v>
      </c>
      <c r="L10" s="61" t="s">
        <v>292</v>
      </c>
      <c r="M10" t="s">
        <v>293</v>
      </c>
      <c r="N10" s="1" t="s">
        <v>294</v>
      </c>
      <c r="O10" s="62" t="s">
        <v>307</v>
      </c>
      <c r="P10" s="63" t="s">
        <v>28</v>
      </c>
      <c r="Q10" s="64" t="s">
        <v>296</v>
      </c>
      <c r="R10" s="1" t="s">
        <v>297</v>
      </c>
      <c r="S10" s="1" t="s">
        <v>298</v>
      </c>
      <c r="T10" s="1" t="s">
        <v>299</v>
      </c>
      <c r="U10" s="1" t="s">
        <v>300</v>
      </c>
      <c r="V10" s="1">
        <v>188.05</v>
      </c>
      <c r="W10" s="1">
        <v>201.4</v>
      </c>
      <c r="X10" s="1">
        <v>174.7</v>
      </c>
      <c r="Y10" s="1" t="s">
        <v>39</v>
      </c>
      <c r="Z10" s="1" t="s">
        <v>302</v>
      </c>
      <c r="AA10" s="1">
        <v>30.957000000000001</v>
      </c>
      <c r="AB10" s="1">
        <v>110.746</v>
      </c>
      <c r="AC10" s="63" t="s">
        <v>39</v>
      </c>
      <c r="AD10" s="63" t="s">
        <v>39</v>
      </c>
      <c r="AE10" s="63" t="s">
        <v>39</v>
      </c>
      <c r="AF10" s="63" t="s">
        <v>39</v>
      </c>
      <c r="AG10" s="63" t="s">
        <v>39</v>
      </c>
      <c r="AH10" s="1">
        <v>90</v>
      </c>
      <c r="AI10" s="65">
        <v>6</v>
      </c>
      <c r="AJ10" s="65">
        <v>104</v>
      </c>
      <c r="AK10" s="62">
        <v>66.666666666666671</v>
      </c>
      <c r="AL10" s="66">
        <v>5.4545454545454541</v>
      </c>
      <c r="AM10" s="62">
        <v>6.87</v>
      </c>
      <c r="AN10" s="66">
        <v>1.0733126291998991</v>
      </c>
      <c r="AO10" s="1" t="s">
        <v>29</v>
      </c>
      <c r="AP10" s="1" t="s">
        <v>462</v>
      </c>
      <c r="AQ10" s="1" t="s">
        <v>463</v>
      </c>
      <c r="AR10" s="1">
        <v>800.20518534647567</v>
      </c>
      <c r="AS10" s="1" t="s">
        <v>451</v>
      </c>
      <c r="AT10" s="1">
        <v>566.53519718803921</v>
      </c>
      <c r="AU10" s="1">
        <v>1033.875173504912</v>
      </c>
      <c r="AV10" s="67" t="s">
        <v>490</v>
      </c>
      <c r="AW10" s="1" t="s">
        <v>494</v>
      </c>
      <c r="AX10" s="1" t="s">
        <v>39</v>
      </c>
    </row>
    <row r="11" spans="1:50" s="1" customFormat="1">
      <c r="A11" s="1" t="s">
        <v>36</v>
      </c>
      <c r="B11" s="1" t="s">
        <v>290</v>
      </c>
      <c r="C11" s="1">
        <v>2020</v>
      </c>
      <c r="D11" s="11" t="str">
        <f t="shared" si="0"/>
        <v>10.1016/j.palaeo.2019.109547</v>
      </c>
      <c r="E11" s="7">
        <f t="shared" si="1"/>
        <v>188050</v>
      </c>
      <c r="F11" s="7">
        <f t="shared" si="2"/>
        <v>13349.999999999995</v>
      </c>
      <c r="G11" s="7">
        <f t="shared" si="3"/>
        <v>13350.000000000022</v>
      </c>
      <c r="H11" s="8">
        <f t="shared" si="4"/>
        <v>1440.9037376287695</v>
      </c>
      <c r="I11" s="8">
        <f t="shared" si="5"/>
        <v>482.08331606973366</v>
      </c>
      <c r="J11" s="15">
        <f t="shared" si="6"/>
        <v>482.08331606973366</v>
      </c>
      <c r="K11" s="1" t="s">
        <v>291</v>
      </c>
      <c r="L11" s="61" t="s">
        <v>292</v>
      </c>
      <c r="M11" t="s">
        <v>293</v>
      </c>
      <c r="N11" s="1" t="s">
        <v>294</v>
      </c>
      <c r="O11" s="62" t="s">
        <v>308</v>
      </c>
      <c r="P11" s="63" t="s">
        <v>28</v>
      </c>
      <c r="Q11" s="64" t="s">
        <v>296</v>
      </c>
      <c r="R11" s="1" t="s">
        <v>297</v>
      </c>
      <c r="S11" s="1" t="s">
        <v>298</v>
      </c>
      <c r="T11" s="1" t="s">
        <v>299</v>
      </c>
      <c r="U11" s="1" t="s">
        <v>300</v>
      </c>
      <c r="V11" s="1">
        <v>188.05</v>
      </c>
      <c r="W11" s="1">
        <v>201.4</v>
      </c>
      <c r="X11" s="1">
        <v>174.7</v>
      </c>
      <c r="Y11" s="1" t="s">
        <v>39</v>
      </c>
      <c r="Z11" s="1" t="s">
        <v>302</v>
      </c>
      <c r="AA11" s="1">
        <v>30.957000000000001</v>
      </c>
      <c r="AB11" s="1">
        <v>110.746</v>
      </c>
      <c r="AC11" s="63" t="s">
        <v>39</v>
      </c>
      <c r="AD11" s="63" t="s">
        <v>39</v>
      </c>
      <c r="AE11" s="63" t="s">
        <v>39</v>
      </c>
      <c r="AF11" s="63" t="s">
        <v>39</v>
      </c>
      <c r="AG11" s="63" t="s">
        <v>39</v>
      </c>
      <c r="AH11" s="1">
        <v>90</v>
      </c>
      <c r="AI11" s="65">
        <v>4</v>
      </c>
      <c r="AJ11" s="65">
        <v>105</v>
      </c>
      <c r="AK11" s="62">
        <v>44.444444444444443</v>
      </c>
      <c r="AL11" s="66">
        <v>3.669724770642202</v>
      </c>
      <c r="AM11" s="62">
        <v>7.05</v>
      </c>
      <c r="AN11" s="66">
        <v>0.82734515167492217</v>
      </c>
      <c r="AO11" s="1" t="s">
        <v>29</v>
      </c>
      <c r="AP11" s="1" t="s">
        <v>464</v>
      </c>
      <c r="AQ11" s="1" t="s">
        <v>465</v>
      </c>
      <c r="AR11" s="1">
        <v>1440.9037376287695</v>
      </c>
      <c r="AS11" s="1" t="s">
        <v>451</v>
      </c>
      <c r="AT11" s="1">
        <v>958.82042155903582</v>
      </c>
      <c r="AU11" s="1">
        <v>1922.9870536985031</v>
      </c>
      <c r="AV11" s="67" t="s">
        <v>490</v>
      </c>
      <c r="AW11" s="1" t="s">
        <v>494</v>
      </c>
      <c r="AX11" s="1" t="s">
        <v>39</v>
      </c>
    </row>
    <row r="12" spans="1:50" s="1" customFormat="1">
      <c r="A12" s="1" t="s">
        <v>36</v>
      </c>
      <c r="B12" s="1" t="s">
        <v>290</v>
      </c>
      <c r="C12" s="1">
        <v>2020</v>
      </c>
      <c r="D12" s="11" t="str">
        <f t="shared" si="0"/>
        <v>10.1016/j.palaeo.2019.109547</v>
      </c>
      <c r="E12" s="7">
        <f t="shared" si="1"/>
        <v>188050</v>
      </c>
      <c r="F12" s="7">
        <f t="shared" si="2"/>
        <v>13349.999999999995</v>
      </c>
      <c r="G12" s="7">
        <f t="shared" si="3"/>
        <v>13350.000000000022</v>
      </c>
      <c r="H12" s="8">
        <f t="shared" si="4"/>
        <v>1091.5609629495086</v>
      </c>
      <c r="I12" s="8">
        <f t="shared" si="5"/>
        <v>343.81484817608771</v>
      </c>
      <c r="J12" s="15">
        <f t="shared" si="6"/>
        <v>343.81484817608771</v>
      </c>
      <c r="K12" s="1" t="s">
        <v>291</v>
      </c>
      <c r="L12" s="61" t="s">
        <v>292</v>
      </c>
      <c r="M12" t="s">
        <v>293</v>
      </c>
      <c r="N12" s="1" t="s">
        <v>294</v>
      </c>
      <c r="O12" s="62" t="s">
        <v>309</v>
      </c>
      <c r="P12" s="63" t="s">
        <v>28</v>
      </c>
      <c r="Q12" s="64" t="s">
        <v>296</v>
      </c>
      <c r="R12" s="1" t="s">
        <v>297</v>
      </c>
      <c r="S12" s="1" t="s">
        <v>298</v>
      </c>
      <c r="T12" s="1" t="s">
        <v>299</v>
      </c>
      <c r="U12" s="1" t="s">
        <v>300</v>
      </c>
      <c r="V12" s="1">
        <v>188.05</v>
      </c>
      <c r="W12" s="1">
        <v>201.4</v>
      </c>
      <c r="X12" s="1">
        <v>174.7</v>
      </c>
      <c r="Y12" s="1" t="s">
        <v>39</v>
      </c>
      <c r="Z12" s="1" t="s">
        <v>302</v>
      </c>
      <c r="AA12" s="1">
        <v>30.957000000000001</v>
      </c>
      <c r="AB12" s="1">
        <v>110.746</v>
      </c>
      <c r="AC12" s="63" t="s">
        <v>39</v>
      </c>
      <c r="AD12" s="63" t="s">
        <v>39</v>
      </c>
      <c r="AE12" s="63" t="s">
        <v>39</v>
      </c>
      <c r="AF12" s="63" t="s">
        <v>39</v>
      </c>
      <c r="AG12" s="63" t="s">
        <v>39</v>
      </c>
      <c r="AH12" s="1">
        <v>90</v>
      </c>
      <c r="AI12" s="65">
        <v>5</v>
      </c>
      <c r="AJ12" s="65">
        <v>108</v>
      </c>
      <c r="AK12" s="62">
        <v>55.555555555555557</v>
      </c>
      <c r="AL12" s="66">
        <v>4.4247787610619467</v>
      </c>
      <c r="AM12" s="62">
        <v>5.46</v>
      </c>
      <c r="AN12" s="66">
        <v>0.93914855054991164</v>
      </c>
      <c r="AO12" s="1" t="s">
        <v>29</v>
      </c>
      <c r="AP12" s="1" t="s">
        <v>466</v>
      </c>
      <c r="AQ12" s="1" t="s">
        <v>467</v>
      </c>
      <c r="AR12" s="1">
        <v>1091.5609629495086</v>
      </c>
      <c r="AS12" s="1" t="s">
        <v>451</v>
      </c>
      <c r="AT12" s="1">
        <v>747.74611477342091</v>
      </c>
      <c r="AU12" s="1">
        <v>1435.3758111255963</v>
      </c>
      <c r="AV12" s="67" t="s">
        <v>490</v>
      </c>
      <c r="AW12" s="1" t="s">
        <v>494</v>
      </c>
      <c r="AX12" s="1" t="s">
        <v>39</v>
      </c>
    </row>
    <row r="13" spans="1:50" s="1" customFormat="1">
      <c r="A13" s="1" t="s">
        <v>36</v>
      </c>
      <c r="B13" s="1" t="s">
        <v>290</v>
      </c>
      <c r="C13" s="1">
        <v>2020</v>
      </c>
      <c r="D13" s="11" t="str">
        <f t="shared" si="0"/>
        <v>10.1016/j.palaeo.2019.109547</v>
      </c>
      <c r="E13" s="7">
        <f t="shared" si="1"/>
        <v>188050</v>
      </c>
      <c r="F13" s="7">
        <f t="shared" si="2"/>
        <v>13349.999999999995</v>
      </c>
      <c r="G13" s="7">
        <f t="shared" si="3"/>
        <v>13350.000000000022</v>
      </c>
      <c r="H13" s="8">
        <f t="shared" si="4"/>
        <v>787.89855248604761</v>
      </c>
      <c r="I13" s="8">
        <f t="shared" si="5"/>
        <v>232.42934946276262</v>
      </c>
      <c r="J13" s="15">
        <f t="shared" si="6"/>
        <v>232.42934946276262</v>
      </c>
      <c r="K13" s="1" t="s">
        <v>291</v>
      </c>
      <c r="L13" s="61" t="s">
        <v>292</v>
      </c>
      <c r="M13" t="s">
        <v>293</v>
      </c>
      <c r="N13" s="1" t="s">
        <v>294</v>
      </c>
      <c r="O13" s="62" t="s">
        <v>310</v>
      </c>
      <c r="P13" s="63" t="s">
        <v>28</v>
      </c>
      <c r="Q13" s="64" t="s">
        <v>296</v>
      </c>
      <c r="R13" s="1" t="s">
        <v>297</v>
      </c>
      <c r="S13" s="1" t="s">
        <v>298</v>
      </c>
      <c r="T13" s="1" t="s">
        <v>299</v>
      </c>
      <c r="U13" s="1" t="s">
        <v>300</v>
      </c>
      <c r="V13" s="1">
        <v>188.05</v>
      </c>
      <c r="W13" s="1">
        <v>201.4</v>
      </c>
      <c r="X13" s="1">
        <v>174.7</v>
      </c>
      <c r="Y13" s="1" t="s">
        <v>39</v>
      </c>
      <c r="Z13" s="1" t="s">
        <v>302</v>
      </c>
      <c r="AA13" s="1">
        <v>30.957000000000001</v>
      </c>
      <c r="AB13" s="1">
        <v>110.746</v>
      </c>
      <c r="AC13" s="63" t="s">
        <v>39</v>
      </c>
      <c r="AD13" s="63" t="s">
        <v>39</v>
      </c>
      <c r="AE13" s="63" t="s">
        <v>39</v>
      </c>
      <c r="AF13" s="63" t="s">
        <v>39</v>
      </c>
      <c r="AG13" s="63" t="s">
        <v>39</v>
      </c>
      <c r="AH13" s="1">
        <v>90</v>
      </c>
      <c r="AI13" s="65">
        <v>7</v>
      </c>
      <c r="AJ13" s="65">
        <v>120</v>
      </c>
      <c r="AK13" s="62">
        <v>77.777777777777786</v>
      </c>
      <c r="AL13" s="66">
        <v>5.5118110236220472</v>
      </c>
      <c r="AM13" s="62">
        <v>3.46</v>
      </c>
      <c r="AN13" s="66">
        <v>1.0956733089748969</v>
      </c>
      <c r="AO13" s="1" t="s">
        <v>29</v>
      </c>
      <c r="AP13" s="1" t="s">
        <v>468</v>
      </c>
      <c r="AQ13" s="1" t="s">
        <v>469</v>
      </c>
      <c r="AR13" s="1">
        <v>787.89855248604761</v>
      </c>
      <c r="AS13" s="1" t="s">
        <v>451</v>
      </c>
      <c r="AT13" s="1">
        <v>555.46920302328499</v>
      </c>
      <c r="AU13" s="1">
        <v>1020.3279019488102</v>
      </c>
      <c r="AV13" s="67" t="s">
        <v>490</v>
      </c>
      <c r="AW13" s="1" t="s">
        <v>494</v>
      </c>
      <c r="AX13" s="1" t="s">
        <v>39</v>
      </c>
    </row>
    <row r="14" spans="1:50" s="1" customFormat="1">
      <c r="A14" s="1" t="s">
        <v>36</v>
      </c>
      <c r="B14" s="1" t="s">
        <v>290</v>
      </c>
      <c r="C14" s="1">
        <v>2020</v>
      </c>
      <c r="D14" s="11" t="str">
        <f t="shared" si="0"/>
        <v>10.1016/j.palaeo.2019.109547</v>
      </c>
      <c r="E14" s="7">
        <f t="shared" si="1"/>
        <v>188050</v>
      </c>
      <c r="F14" s="7">
        <f t="shared" si="2"/>
        <v>13349.999999999995</v>
      </c>
      <c r="G14" s="7">
        <f t="shared" si="3"/>
        <v>13350.000000000022</v>
      </c>
      <c r="H14" s="8">
        <f t="shared" si="4"/>
        <v>978.86884335975788</v>
      </c>
      <c r="I14" s="8">
        <f t="shared" si="5"/>
        <v>122.78214279386657</v>
      </c>
      <c r="J14" s="15">
        <f t="shared" si="6"/>
        <v>122.78214279386646</v>
      </c>
      <c r="K14" s="1" t="s">
        <v>291</v>
      </c>
      <c r="L14" s="61" t="s">
        <v>292</v>
      </c>
      <c r="M14" t="s">
        <v>293</v>
      </c>
      <c r="N14" s="1" t="s">
        <v>294</v>
      </c>
      <c r="O14" s="62" t="s">
        <v>311</v>
      </c>
      <c r="P14" s="63" t="s">
        <v>28</v>
      </c>
      <c r="Q14" s="64" t="s">
        <v>296</v>
      </c>
      <c r="R14" s="1" t="s">
        <v>297</v>
      </c>
      <c r="S14" s="1" t="s">
        <v>298</v>
      </c>
      <c r="T14" s="1" t="s">
        <v>299</v>
      </c>
      <c r="U14" s="1" t="s">
        <v>300</v>
      </c>
      <c r="V14" s="1">
        <v>188.05</v>
      </c>
      <c r="W14" s="1">
        <v>201.4</v>
      </c>
      <c r="X14" s="1">
        <v>174.7</v>
      </c>
      <c r="Y14" s="1" t="s">
        <v>39</v>
      </c>
      <c r="Z14" s="1" t="s">
        <v>302</v>
      </c>
      <c r="AA14" s="1">
        <v>30.957000000000001</v>
      </c>
      <c r="AB14" s="1">
        <v>110.746</v>
      </c>
      <c r="AC14" s="63" t="s">
        <v>39</v>
      </c>
      <c r="AD14" s="63" t="s">
        <v>39</v>
      </c>
      <c r="AE14" s="63" t="s">
        <v>39</v>
      </c>
      <c r="AF14" s="63" t="s">
        <v>39</v>
      </c>
      <c r="AG14" s="63" t="s">
        <v>39</v>
      </c>
      <c r="AH14" s="1">
        <v>90</v>
      </c>
      <c r="AI14" s="65">
        <v>4</v>
      </c>
      <c r="AJ14" s="65">
        <v>80</v>
      </c>
      <c r="AK14" s="62">
        <v>44.444444444444443</v>
      </c>
      <c r="AL14" s="66">
        <v>4.7619047619047619</v>
      </c>
      <c r="AM14" s="62">
        <v>2.97</v>
      </c>
      <c r="AN14" s="66">
        <v>0.40249223594996214</v>
      </c>
      <c r="AO14" s="1" t="s">
        <v>29</v>
      </c>
      <c r="AP14" s="1" t="s">
        <v>470</v>
      </c>
      <c r="AQ14" s="1" t="s">
        <v>471</v>
      </c>
      <c r="AR14" s="1">
        <v>978.86884335975788</v>
      </c>
      <c r="AS14" s="1" t="s">
        <v>451</v>
      </c>
      <c r="AT14" s="1">
        <v>856.08670056589142</v>
      </c>
      <c r="AU14" s="1">
        <v>1101.6509861536244</v>
      </c>
      <c r="AV14" s="67" t="s">
        <v>490</v>
      </c>
      <c r="AW14" s="1" t="s">
        <v>494</v>
      </c>
      <c r="AX14" s="1" t="s">
        <v>39</v>
      </c>
    </row>
    <row r="15" spans="1:50" s="1" customFormat="1">
      <c r="A15" s="1" t="s">
        <v>36</v>
      </c>
      <c r="B15" s="1" t="s">
        <v>290</v>
      </c>
      <c r="C15" s="1">
        <v>2020</v>
      </c>
      <c r="D15" s="11" t="str">
        <f t="shared" si="0"/>
        <v>10.1016/j.palaeo.2019.109547</v>
      </c>
      <c r="E15" s="7">
        <f t="shared" si="1"/>
        <v>188050</v>
      </c>
      <c r="F15" s="7">
        <f t="shared" si="2"/>
        <v>13349.999999999995</v>
      </c>
      <c r="G15" s="7">
        <f t="shared" si="3"/>
        <v>13350.000000000022</v>
      </c>
      <c r="H15" s="8">
        <f t="shared" si="4"/>
        <v>704.99743226032581</v>
      </c>
      <c r="I15" s="8">
        <f t="shared" si="5"/>
        <v>137.83026973412905</v>
      </c>
      <c r="J15" s="15">
        <f t="shared" si="6"/>
        <v>137.83026973412905</v>
      </c>
      <c r="K15" s="1" t="s">
        <v>291</v>
      </c>
      <c r="L15" s="61" t="s">
        <v>292</v>
      </c>
      <c r="M15" t="s">
        <v>293</v>
      </c>
      <c r="N15" s="1" t="s">
        <v>294</v>
      </c>
      <c r="O15" s="62" t="s">
        <v>312</v>
      </c>
      <c r="P15" s="63" t="s">
        <v>28</v>
      </c>
      <c r="Q15" s="64" t="s">
        <v>296</v>
      </c>
      <c r="R15" s="1" t="s">
        <v>297</v>
      </c>
      <c r="S15" s="1" t="s">
        <v>298</v>
      </c>
      <c r="T15" s="1" t="s">
        <v>299</v>
      </c>
      <c r="U15" s="1" t="s">
        <v>300</v>
      </c>
      <c r="V15" s="1">
        <v>188.05</v>
      </c>
      <c r="W15" s="1">
        <v>201.4</v>
      </c>
      <c r="X15" s="1">
        <v>174.7</v>
      </c>
      <c r="Y15" s="1" t="s">
        <v>39</v>
      </c>
      <c r="Z15" s="1" t="s">
        <v>302</v>
      </c>
      <c r="AA15" s="1">
        <v>30.957000000000001</v>
      </c>
      <c r="AB15" s="1">
        <v>110.746</v>
      </c>
      <c r="AC15" s="63" t="s">
        <v>39</v>
      </c>
      <c r="AD15" s="63" t="s">
        <v>39</v>
      </c>
      <c r="AE15" s="63" t="s">
        <v>39</v>
      </c>
      <c r="AF15" s="63" t="s">
        <v>39</v>
      </c>
      <c r="AG15" s="63" t="s">
        <v>39</v>
      </c>
      <c r="AH15" s="1">
        <v>90</v>
      </c>
      <c r="AI15" s="65">
        <v>6</v>
      </c>
      <c r="AJ15" s="65">
        <v>95</v>
      </c>
      <c r="AK15" s="62">
        <v>66.666666666666671</v>
      </c>
      <c r="AL15" s="66">
        <v>5.9405940594059405</v>
      </c>
      <c r="AM15" s="62">
        <v>3.56</v>
      </c>
      <c r="AN15" s="66">
        <v>0.78262379212492639</v>
      </c>
      <c r="AO15" s="1" t="s">
        <v>29</v>
      </c>
      <c r="AP15" s="1" t="s">
        <v>472</v>
      </c>
      <c r="AQ15" s="1" t="s">
        <v>473</v>
      </c>
      <c r="AR15" s="1">
        <v>704.99743226032581</v>
      </c>
      <c r="AS15" s="1" t="s">
        <v>451</v>
      </c>
      <c r="AT15" s="1">
        <v>567.16716252619676</v>
      </c>
      <c r="AU15" s="1">
        <v>842.82770199445486</v>
      </c>
      <c r="AV15" s="67" t="s">
        <v>490</v>
      </c>
      <c r="AW15" s="1" t="s">
        <v>494</v>
      </c>
      <c r="AX15" s="1" t="s">
        <v>39</v>
      </c>
    </row>
    <row r="16" spans="1:50" s="1" customFormat="1">
      <c r="A16" s="1" t="s">
        <v>36</v>
      </c>
      <c r="B16" s="1" t="s">
        <v>290</v>
      </c>
      <c r="C16" s="1">
        <v>2020</v>
      </c>
      <c r="D16" s="11" t="str">
        <f t="shared" si="0"/>
        <v>10.1016/j.palaeo.2019.109547</v>
      </c>
      <c r="E16" s="7">
        <f t="shared" si="1"/>
        <v>188050</v>
      </c>
      <c r="F16" s="7">
        <f t="shared" si="2"/>
        <v>13349.999999999995</v>
      </c>
      <c r="G16" s="7">
        <f t="shared" si="3"/>
        <v>13350.000000000022</v>
      </c>
      <c r="H16" s="8">
        <f t="shared" si="4"/>
        <v>830.6179657429899</v>
      </c>
      <c r="I16" s="8">
        <f t="shared" si="5"/>
        <v>264.27023376189152</v>
      </c>
      <c r="J16" s="15">
        <f t="shared" si="6"/>
        <v>264.2702337618914</v>
      </c>
      <c r="K16" s="1" t="s">
        <v>291</v>
      </c>
      <c r="L16" s="61" t="s">
        <v>292</v>
      </c>
      <c r="M16" t="s">
        <v>293</v>
      </c>
      <c r="N16" s="1" t="s">
        <v>294</v>
      </c>
      <c r="O16" s="62" t="s">
        <v>313</v>
      </c>
      <c r="P16" s="63" t="s">
        <v>28</v>
      </c>
      <c r="Q16" s="64" t="s">
        <v>296</v>
      </c>
      <c r="R16" s="1" t="s">
        <v>297</v>
      </c>
      <c r="S16" s="1" t="s">
        <v>298</v>
      </c>
      <c r="T16" s="1" t="s">
        <v>299</v>
      </c>
      <c r="U16" s="1" t="s">
        <v>300</v>
      </c>
      <c r="V16" s="1">
        <v>188.05</v>
      </c>
      <c r="W16" s="1">
        <v>201.4</v>
      </c>
      <c r="X16" s="1">
        <v>174.7</v>
      </c>
      <c r="Y16" s="1" t="s">
        <v>39</v>
      </c>
      <c r="Z16" s="1" t="s">
        <v>302</v>
      </c>
      <c r="AA16" s="1">
        <v>30.957000000000001</v>
      </c>
      <c r="AB16" s="1">
        <v>110.746</v>
      </c>
      <c r="AC16" s="63" t="s">
        <v>39</v>
      </c>
      <c r="AD16" s="63" t="s">
        <v>39</v>
      </c>
      <c r="AE16" s="63" t="s">
        <v>39</v>
      </c>
      <c r="AF16" s="63" t="s">
        <v>39</v>
      </c>
      <c r="AG16" s="63" t="s">
        <v>39</v>
      </c>
      <c r="AH16" s="1">
        <v>90</v>
      </c>
      <c r="AI16" s="65">
        <v>5</v>
      </c>
      <c r="AJ16" s="65">
        <v>89</v>
      </c>
      <c r="AK16" s="62">
        <v>55.555555555555557</v>
      </c>
      <c r="AL16" s="66">
        <v>5.3191489361702127</v>
      </c>
      <c r="AM16" s="62">
        <v>4.4800000000000004</v>
      </c>
      <c r="AN16" s="66">
        <v>1.1403946685248929</v>
      </c>
      <c r="AO16" s="1" t="s">
        <v>29</v>
      </c>
      <c r="AP16" s="1" t="s">
        <v>474</v>
      </c>
      <c r="AQ16" s="1" t="s">
        <v>475</v>
      </c>
      <c r="AR16" s="1">
        <v>830.6179657429899</v>
      </c>
      <c r="AS16" s="1" t="s">
        <v>451</v>
      </c>
      <c r="AT16" s="1">
        <v>566.34773198109849</v>
      </c>
      <c r="AU16" s="1">
        <v>1094.8881995048814</v>
      </c>
      <c r="AV16" s="67" t="s">
        <v>490</v>
      </c>
      <c r="AW16" s="1" t="s">
        <v>494</v>
      </c>
      <c r="AX16" s="1" t="s">
        <v>39</v>
      </c>
    </row>
    <row r="17" spans="1:50" s="1" customFormat="1">
      <c r="A17" s="1" t="s">
        <v>36</v>
      </c>
      <c r="B17" s="1" t="s">
        <v>290</v>
      </c>
      <c r="C17" s="1">
        <v>2020</v>
      </c>
      <c r="D17" s="11" t="str">
        <f t="shared" si="0"/>
        <v>10.1016/j.palaeo.2019.109547</v>
      </c>
      <c r="E17" s="7">
        <f t="shared" si="1"/>
        <v>188050</v>
      </c>
      <c r="F17" s="7">
        <f t="shared" si="2"/>
        <v>13349.999999999995</v>
      </c>
      <c r="G17" s="7">
        <f t="shared" si="3"/>
        <v>13350.000000000022</v>
      </c>
      <c r="H17" s="8">
        <f t="shared" si="4"/>
        <v>1395.3677163029656</v>
      </c>
      <c r="I17" s="8">
        <f t="shared" si="5"/>
        <v>345.72782778366309</v>
      </c>
      <c r="J17" s="15">
        <f t="shared" si="6"/>
        <v>345.72782778366309</v>
      </c>
      <c r="K17" s="1" t="s">
        <v>291</v>
      </c>
      <c r="L17" s="61" t="s">
        <v>292</v>
      </c>
      <c r="M17" t="s">
        <v>293</v>
      </c>
      <c r="N17" s="1" t="s">
        <v>294</v>
      </c>
      <c r="O17" s="62" t="s">
        <v>314</v>
      </c>
      <c r="P17" s="63" t="s">
        <v>28</v>
      </c>
      <c r="Q17" s="64" t="s">
        <v>296</v>
      </c>
      <c r="R17" s="1" t="s">
        <v>297</v>
      </c>
      <c r="S17" s="1" t="s">
        <v>298</v>
      </c>
      <c r="T17" s="1" t="s">
        <v>299</v>
      </c>
      <c r="U17" s="1" t="s">
        <v>300</v>
      </c>
      <c r="V17" s="1">
        <v>188.05</v>
      </c>
      <c r="W17" s="1">
        <v>201.4</v>
      </c>
      <c r="X17" s="1">
        <v>174.7</v>
      </c>
      <c r="Y17" s="1" t="s">
        <v>39</v>
      </c>
      <c r="Z17" s="1" t="s">
        <v>302</v>
      </c>
      <c r="AA17" s="1">
        <v>30.957000000000001</v>
      </c>
      <c r="AB17" s="1">
        <v>110.746</v>
      </c>
      <c r="AC17" s="63" t="s">
        <v>39</v>
      </c>
      <c r="AD17" s="63" t="s">
        <v>39</v>
      </c>
      <c r="AE17" s="63" t="s">
        <v>39</v>
      </c>
      <c r="AF17" s="63" t="s">
        <v>39</v>
      </c>
      <c r="AG17" s="63" t="s">
        <v>39</v>
      </c>
      <c r="AH17" s="1">
        <v>90</v>
      </c>
      <c r="AI17" s="65">
        <v>3</v>
      </c>
      <c r="AJ17" s="65">
        <v>77</v>
      </c>
      <c r="AK17" s="62">
        <v>33.333333333333336</v>
      </c>
      <c r="AL17" s="66">
        <v>3.75</v>
      </c>
      <c r="AM17" s="62">
        <v>4.54</v>
      </c>
      <c r="AN17" s="66">
        <v>0.62609903369994124</v>
      </c>
      <c r="AO17" s="1" t="s">
        <v>29</v>
      </c>
      <c r="AP17" s="1" t="s">
        <v>476</v>
      </c>
      <c r="AQ17" s="1" t="s">
        <v>477</v>
      </c>
      <c r="AR17" s="1">
        <v>1395.3677163029656</v>
      </c>
      <c r="AS17" s="1" t="s">
        <v>451</v>
      </c>
      <c r="AT17" s="1">
        <v>1049.6398885193025</v>
      </c>
      <c r="AU17" s="1">
        <v>1741.0955440866287</v>
      </c>
      <c r="AV17" s="67" t="s">
        <v>490</v>
      </c>
      <c r="AW17" s="1" t="s">
        <v>494</v>
      </c>
      <c r="AX17" s="1" t="s">
        <v>39</v>
      </c>
    </row>
    <row r="18" spans="1:50" s="1" customFormat="1">
      <c r="A18" s="1" t="s">
        <v>36</v>
      </c>
      <c r="B18" s="1" t="s">
        <v>290</v>
      </c>
      <c r="C18" s="1">
        <v>2020</v>
      </c>
      <c r="D18" s="11" t="str">
        <f t="shared" si="0"/>
        <v>10.1016/j.palaeo.2019.109547</v>
      </c>
      <c r="E18" s="7">
        <f t="shared" si="1"/>
        <v>188050</v>
      </c>
      <c r="F18" s="7">
        <f t="shared" si="2"/>
        <v>13349.999999999995</v>
      </c>
      <c r="G18" s="7">
        <f t="shared" si="3"/>
        <v>13350.000000000022</v>
      </c>
      <c r="H18" s="8">
        <f t="shared" si="4"/>
        <v>653.83042560307354</v>
      </c>
      <c r="I18" s="8">
        <f t="shared" si="5"/>
        <v>83.313475878552595</v>
      </c>
      <c r="J18" s="15">
        <f t="shared" si="6"/>
        <v>83.313475878552595</v>
      </c>
      <c r="K18" s="1" t="s">
        <v>291</v>
      </c>
      <c r="L18" s="61" t="s">
        <v>292</v>
      </c>
      <c r="M18" t="s">
        <v>293</v>
      </c>
      <c r="N18" s="1" t="s">
        <v>294</v>
      </c>
      <c r="O18" s="62" t="s">
        <v>315</v>
      </c>
      <c r="P18" s="63" t="s">
        <v>28</v>
      </c>
      <c r="Q18" s="64" t="s">
        <v>296</v>
      </c>
      <c r="R18" s="1" t="s">
        <v>297</v>
      </c>
      <c r="S18" s="1" t="s">
        <v>298</v>
      </c>
      <c r="T18" s="1" t="s">
        <v>299</v>
      </c>
      <c r="U18" s="1" t="s">
        <v>300</v>
      </c>
      <c r="V18" s="1">
        <v>188.05</v>
      </c>
      <c r="W18" s="1">
        <v>201.4</v>
      </c>
      <c r="X18" s="1">
        <v>174.7</v>
      </c>
      <c r="Y18" s="1" t="s">
        <v>39</v>
      </c>
      <c r="Z18" s="1" t="s">
        <v>302</v>
      </c>
      <c r="AA18" s="1">
        <v>30.957000000000001</v>
      </c>
      <c r="AB18" s="1">
        <v>110.746</v>
      </c>
      <c r="AC18" s="63" t="s">
        <v>39</v>
      </c>
      <c r="AD18" s="63" t="s">
        <v>39</v>
      </c>
      <c r="AE18" s="63" t="s">
        <v>39</v>
      </c>
      <c r="AF18" s="63" t="s">
        <v>39</v>
      </c>
      <c r="AG18" s="63" t="s">
        <v>39</v>
      </c>
      <c r="AH18" s="1">
        <v>90</v>
      </c>
      <c r="AI18" s="65">
        <v>6</v>
      </c>
      <c r="AJ18" s="65">
        <v>90</v>
      </c>
      <c r="AK18" s="62">
        <v>66.666666666666671</v>
      </c>
      <c r="AL18" s="66">
        <v>6.25</v>
      </c>
      <c r="AM18" s="62">
        <v>4.8499999999999996</v>
      </c>
      <c r="AN18" s="66">
        <v>0.53665631459994956</v>
      </c>
      <c r="AO18" s="1" t="s">
        <v>29</v>
      </c>
      <c r="AP18" s="1" t="s">
        <v>478</v>
      </c>
      <c r="AQ18" s="1" t="s">
        <v>479</v>
      </c>
      <c r="AR18" s="1">
        <v>653.83042560307354</v>
      </c>
      <c r="AS18" s="1" t="s">
        <v>451</v>
      </c>
      <c r="AT18" s="1">
        <v>570.51694972452094</v>
      </c>
      <c r="AU18" s="1">
        <v>737.14390148162613</v>
      </c>
      <c r="AV18" s="67" t="s">
        <v>490</v>
      </c>
      <c r="AW18" s="1" t="s">
        <v>494</v>
      </c>
      <c r="AX18" s="1" t="s">
        <v>39</v>
      </c>
    </row>
    <row r="19" spans="1:50" s="1" customFormat="1">
      <c r="A19" s="1" t="s">
        <v>36</v>
      </c>
      <c r="B19" s="1" t="s">
        <v>290</v>
      </c>
      <c r="C19" s="1">
        <v>2020</v>
      </c>
      <c r="D19" s="11" t="str">
        <f t="shared" si="0"/>
        <v>10.1016/j.palaeo.2019.109547</v>
      </c>
      <c r="E19" s="7">
        <f t="shared" si="1"/>
        <v>188050</v>
      </c>
      <c r="F19" s="7">
        <f t="shared" si="2"/>
        <v>13349.999999999995</v>
      </c>
      <c r="G19" s="7">
        <f t="shared" si="3"/>
        <v>13350.000000000022</v>
      </c>
      <c r="H19" s="8">
        <f t="shared" si="4"/>
        <v>978.86884335975788</v>
      </c>
      <c r="I19" s="8">
        <f t="shared" si="5"/>
        <v>259.20674589816258</v>
      </c>
      <c r="J19" s="15">
        <f t="shared" si="6"/>
        <v>259.20674589816269</v>
      </c>
      <c r="K19" s="1" t="s">
        <v>291</v>
      </c>
      <c r="L19" s="61" t="s">
        <v>292</v>
      </c>
      <c r="M19" t="s">
        <v>293</v>
      </c>
      <c r="N19" s="1" t="s">
        <v>294</v>
      </c>
      <c r="O19" s="62" t="s">
        <v>316</v>
      </c>
      <c r="P19" s="63" t="s">
        <v>28</v>
      </c>
      <c r="Q19" s="64" t="s">
        <v>296</v>
      </c>
      <c r="R19" s="1" t="s">
        <v>297</v>
      </c>
      <c r="S19" s="1" t="s">
        <v>298</v>
      </c>
      <c r="T19" s="1" t="s">
        <v>299</v>
      </c>
      <c r="U19" s="1" t="s">
        <v>300</v>
      </c>
      <c r="V19" s="1">
        <v>188.05</v>
      </c>
      <c r="W19" s="1">
        <v>201.4</v>
      </c>
      <c r="X19" s="1">
        <v>174.7</v>
      </c>
      <c r="Y19" s="1" t="s">
        <v>39</v>
      </c>
      <c r="Z19" s="1" t="s">
        <v>302</v>
      </c>
      <c r="AA19" s="1">
        <v>30.957000000000001</v>
      </c>
      <c r="AB19" s="1">
        <v>110.746</v>
      </c>
      <c r="AC19" s="63" t="s">
        <v>39</v>
      </c>
      <c r="AD19" s="63" t="s">
        <v>39</v>
      </c>
      <c r="AE19" s="63" t="s">
        <v>39</v>
      </c>
      <c r="AF19" s="63" t="s">
        <v>39</v>
      </c>
      <c r="AG19" s="63" t="s">
        <v>39</v>
      </c>
      <c r="AH19" s="1">
        <v>90</v>
      </c>
      <c r="AI19" s="65">
        <v>6</v>
      </c>
      <c r="AJ19" s="65">
        <v>120</v>
      </c>
      <c r="AK19" s="62">
        <v>66.666666666666671</v>
      </c>
      <c r="AL19" s="66">
        <f>AJ19/(AJ19+AK19)*100</f>
        <v>64.285714285714278</v>
      </c>
      <c r="AM19" s="62">
        <v>2.88</v>
      </c>
      <c r="AN19" s="66">
        <v>0.84970583144992018</v>
      </c>
      <c r="AO19" s="1" t="s">
        <v>29</v>
      </c>
      <c r="AP19" s="1" t="s">
        <v>480</v>
      </c>
      <c r="AQ19" s="1" t="s">
        <v>481</v>
      </c>
      <c r="AR19" s="1">
        <v>978.86884335975788</v>
      </c>
      <c r="AS19" s="1" t="s">
        <v>451</v>
      </c>
      <c r="AT19" s="1">
        <v>719.66209746159518</v>
      </c>
      <c r="AU19" s="1">
        <v>1238.0755892579205</v>
      </c>
      <c r="AV19" s="67" t="s">
        <v>490</v>
      </c>
      <c r="AW19" s="1" t="s">
        <v>494</v>
      </c>
      <c r="AX19" s="1" t="s">
        <v>39</v>
      </c>
    </row>
    <row r="20" spans="1:50" s="1" customFormat="1">
      <c r="A20" s="1" t="s">
        <v>36</v>
      </c>
      <c r="B20" s="1" t="s">
        <v>290</v>
      </c>
      <c r="C20" s="1">
        <v>2020</v>
      </c>
      <c r="D20" s="11" t="str">
        <f t="shared" si="0"/>
        <v>10.1016/j.palaeo.2019.109547</v>
      </c>
      <c r="E20" s="7">
        <f t="shared" si="1"/>
        <v>188050</v>
      </c>
      <c r="F20" s="7">
        <f t="shared" si="2"/>
        <v>13349.999999999995</v>
      </c>
      <c r="G20" s="7">
        <f t="shared" si="3"/>
        <v>13350.000000000022</v>
      </c>
      <c r="H20" s="8">
        <f t="shared" si="4"/>
        <v>856.97883360574576</v>
      </c>
      <c r="I20" s="8">
        <f t="shared" si="5"/>
        <v>92.819483765624796</v>
      </c>
      <c r="J20" s="15">
        <f t="shared" si="6"/>
        <v>92.819483765624796</v>
      </c>
      <c r="K20" s="1" t="s">
        <v>291</v>
      </c>
      <c r="L20" s="61" t="s">
        <v>292</v>
      </c>
      <c r="M20" t="s">
        <v>293</v>
      </c>
      <c r="N20" s="1" t="s">
        <v>294</v>
      </c>
      <c r="O20" s="62" t="s">
        <v>317</v>
      </c>
      <c r="P20" s="63" t="s">
        <v>28</v>
      </c>
      <c r="Q20" s="64" t="s">
        <v>296</v>
      </c>
      <c r="R20" s="1" t="s">
        <v>297</v>
      </c>
      <c r="S20" s="1" t="s">
        <v>298</v>
      </c>
      <c r="T20" s="1" t="s">
        <v>299</v>
      </c>
      <c r="U20" s="1" t="s">
        <v>300</v>
      </c>
      <c r="V20" s="1">
        <v>188.05</v>
      </c>
      <c r="W20" s="1">
        <v>201.4</v>
      </c>
      <c r="X20" s="1">
        <v>174.7</v>
      </c>
      <c r="Y20" s="1" t="s">
        <v>39</v>
      </c>
      <c r="Z20" s="1" t="s">
        <v>302</v>
      </c>
      <c r="AA20" s="1">
        <v>30.957000000000001</v>
      </c>
      <c r="AB20" s="1">
        <v>110.746</v>
      </c>
      <c r="AC20" s="63" t="s">
        <v>39</v>
      </c>
      <c r="AD20" s="63" t="s">
        <v>39</v>
      </c>
      <c r="AE20" s="63" t="s">
        <v>39</v>
      </c>
      <c r="AF20" s="63" t="s">
        <v>39</v>
      </c>
      <c r="AG20" s="63" t="s">
        <v>39</v>
      </c>
      <c r="AH20" s="1">
        <v>90</v>
      </c>
      <c r="AI20" s="65">
        <v>5</v>
      </c>
      <c r="AJ20" s="65">
        <v>91</v>
      </c>
      <c r="AK20" s="62">
        <v>55.555555555555557</v>
      </c>
      <c r="AL20" s="66">
        <f t="shared" ref="AL20:AL23" si="7">AJ20/(AJ20+AK20)*100</f>
        <v>62.092494313874148</v>
      </c>
      <c r="AM20" s="62">
        <v>3.66</v>
      </c>
      <c r="AN20" s="66">
        <v>0.3801315561749643</v>
      </c>
      <c r="AO20" s="1" t="s">
        <v>29</v>
      </c>
      <c r="AP20" s="1" t="s">
        <v>482</v>
      </c>
      <c r="AQ20" s="1" t="s">
        <v>483</v>
      </c>
      <c r="AR20" s="1">
        <v>856.97883360574576</v>
      </c>
      <c r="AS20" s="1" t="s">
        <v>451</v>
      </c>
      <c r="AT20" s="1">
        <v>764.15934984012097</v>
      </c>
      <c r="AU20" s="1">
        <v>949.79831737137056</v>
      </c>
      <c r="AV20" s="67" t="s">
        <v>490</v>
      </c>
      <c r="AW20" s="1" t="s">
        <v>494</v>
      </c>
      <c r="AX20" s="1" t="s">
        <v>39</v>
      </c>
    </row>
    <row r="21" spans="1:50" s="1" customFormat="1">
      <c r="A21" s="1" t="s">
        <v>36</v>
      </c>
      <c r="B21" s="1" t="s">
        <v>290</v>
      </c>
      <c r="C21" s="1">
        <v>2020</v>
      </c>
      <c r="D21" s="11" t="str">
        <f t="shared" si="0"/>
        <v>10.1016/j.palaeo.2019.109547</v>
      </c>
      <c r="E21" s="7">
        <f t="shared" si="1"/>
        <v>188050</v>
      </c>
      <c r="F21" s="7">
        <f t="shared" si="2"/>
        <v>13349.999999999995</v>
      </c>
      <c r="G21" s="7">
        <f t="shared" si="3"/>
        <v>13350.000000000022</v>
      </c>
      <c r="H21" s="8">
        <f t="shared" si="4"/>
        <v>1193.3959366136683</v>
      </c>
      <c r="I21" s="8">
        <f t="shared" si="5"/>
        <v>313.6379737785503</v>
      </c>
      <c r="J21" s="15">
        <f t="shared" si="6"/>
        <v>313.6379737785503</v>
      </c>
      <c r="K21" s="1" t="s">
        <v>291</v>
      </c>
      <c r="L21" s="61" t="s">
        <v>292</v>
      </c>
      <c r="M21" t="s">
        <v>293</v>
      </c>
      <c r="N21" s="1" t="s">
        <v>294</v>
      </c>
      <c r="O21" s="62" t="s">
        <v>318</v>
      </c>
      <c r="P21" s="63" t="s">
        <v>28</v>
      </c>
      <c r="Q21" s="64" t="s">
        <v>296</v>
      </c>
      <c r="R21" s="1" t="s">
        <v>297</v>
      </c>
      <c r="S21" s="1" t="s">
        <v>298</v>
      </c>
      <c r="T21" s="1" t="s">
        <v>299</v>
      </c>
      <c r="U21" s="1" t="s">
        <v>300</v>
      </c>
      <c r="V21" s="1">
        <v>188.05</v>
      </c>
      <c r="W21" s="1">
        <v>201.4</v>
      </c>
      <c r="X21" s="1">
        <v>174.7</v>
      </c>
      <c r="Y21" s="1" t="s">
        <v>39</v>
      </c>
      <c r="Z21" s="1" t="s">
        <v>302</v>
      </c>
      <c r="AA21" s="1">
        <v>30.957000000000001</v>
      </c>
      <c r="AB21" s="1">
        <v>110.746</v>
      </c>
      <c r="AC21" s="63" t="s">
        <v>39</v>
      </c>
      <c r="AD21" s="63" t="s">
        <v>39</v>
      </c>
      <c r="AE21" s="63" t="s">
        <v>39</v>
      </c>
      <c r="AF21" s="63" t="s">
        <v>39</v>
      </c>
      <c r="AG21" s="63" t="s">
        <v>39</v>
      </c>
      <c r="AH21" s="1">
        <v>90</v>
      </c>
      <c r="AI21" s="65">
        <v>4</v>
      </c>
      <c r="AJ21" s="65">
        <v>92</v>
      </c>
      <c r="AK21" s="62">
        <v>44.444444444444443</v>
      </c>
      <c r="AL21" s="66">
        <f t="shared" si="7"/>
        <v>67.426710097719862</v>
      </c>
      <c r="AM21" s="62">
        <v>4.38</v>
      </c>
      <c r="AN21" s="66">
        <v>0.73790243257493071</v>
      </c>
      <c r="AO21" s="1" t="s">
        <v>29</v>
      </c>
      <c r="AP21" s="1" t="s">
        <v>484</v>
      </c>
      <c r="AQ21" s="1" t="s">
        <v>485</v>
      </c>
      <c r="AR21" s="1">
        <v>1193.3959366136683</v>
      </c>
      <c r="AS21" s="1" t="s">
        <v>451</v>
      </c>
      <c r="AT21" s="1">
        <v>879.75796283511795</v>
      </c>
      <c r="AU21" s="1">
        <v>1507.0339103922186</v>
      </c>
      <c r="AV21" s="67" t="s">
        <v>490</v>
      </c>
      <c r="AW21" s="1" t="s">
        <v>494</v>
      </c>
      <c r="AX21" s="1" t="s">
        <v>39</v>
      </c>
    </row>
    <row r="22" spans="1:50" s="1" customFormat="1">
      <c r="A22" s="1" t="s">
        <v>36</v>
      </c>
      <c r="B22" s="1" t="s">
        <v>290</v>
      </c>
      <c r="C22" s="1">
        <v>2020</v>
      </c>
      <c r="D22" s="11" t="str">
        <f t="shared" si="0"/>
        <v>10.1016/j.palaeo.2019.109547</v>
      </c>
      <c r="E22" s="7">
        <f t="shared" si="1"/>
        <v>188050</v>
      </c>
      <c r="F22" s="7">
        <f t="shared" si="2"/>
        <v>13349.999999999995</v>
      </c>
      <c r="G22" s="7">
        <f t="shared" si="3"/>
        <v>13350.000000000022</v>
      </c>
      <c r="H22" s="8">
        <f t="shared" si="4"/>
        <v>910.49923586334637</v>
      </c>
      <c r="I22" s="8">
        <f t="shared" si="5"/>
        <v>181.27993597922716</v>
      </c>
      <c r="J22" s="15">
        <f t="shared" si="6"/>
        <v>181.27993597922716</v>
      </c>
      <c r="K22" s="1" t="s">
        <v>291</v>
      </c>
      <c r="L22" s="61" t="s">
        <v>292</v>
      </c>
      <c r="M22" t="s">
        <v>293</v>
      </c>
      <c r="N22" s="1" t="s">
        <v>294</v>
      </c>
      <c r="O22" s="62" t="s">
        <v>319</v>
      </c>
      <c r="P22" s="63" t="s">
        <v>28</v>
      </c>
      <c r="Q22" s="64" t="s">
        <v>296</v>
      </c>
      <c r="R22" s="1" t="s">
        <v>297</v>
      </c>
      <c r="S22" s="1" t="s">
        <v>298</v>
      </c>
      <c r="T22" s="1" t="s">
        <v>299</v>
      </c>
      <c r="U22" s="1" t="s">
        <v>300</v>
      </c>
      <c r="V22" s="1">
        <v>188.05</v>
      </c>
      <c r="W22" s="1">
        <v>201.4</v>
      </c>
      <c r="X22" s="1">
        <v>174.7</v>
      </c>
      <c r="Y22" s="1" t="s">
        <v>39</v>
      </c>
      <c r="Z22" s="1" t="s">
        <v>302</v>
      </c>
      <c r="AA22" s="1">
        <v>30.957000000000001</v>
      </c>
      <c r="AB22" s="1">
        <v>110.746</v>
      </c>
      <c r="AC22" s="63" t="s">
        <v>39</v>
      </c>
      <c r="AD22" s="63" t="s">
        <v>39</v>
      </c>
      <c r="AE22" s="63" t="s">
        <v>39</v>
      </c>
      <c r="AF22" s="63" t="s">
        <v>39</v>
      </c>
      <c r="AG22" s="63" t="s">
        <v>39</v>
      </c>
      <c r="AH22" s="1">
        <v>90</v>
      </c>
      <c r="AI22" s="65">
        <v>5</v>
      </c>
      <c r="AJ22" s="65">
        <v>95</v>
      </c>
      <c r="AK22" s="62">
        <v>55.555555555555557</v>
      </c>
      <c r="AL22" s="66">
        <f t="shared" si="7"/>
        <v>63.099630996309962</v>
      </c>
      <c r="AM22" s="62">
        <v>2.82</v>
      </c>
      <c r="AN22" s="66">
        <v>0.67082039324993692</v>
      </c>
      <c r="AO22" s="1" t="s">
        <v>29</v>
      </c>
      <c r="AP22" s="1" t="s">
        <v>486</v>
      </c>
      <c r="AQ22" s="1" t="s">
        <v>487</v>
      </c>
      <c r="AR22" s="1">
        <v>910.49923586334637</v>
      </c>
      <c r="AS22" s="1" t="s">
        <v>451</v>
      </c>
      <c r="AT22" s="1">
        <v>729.21929988411921</v>
      </c>
      <c r="AU22" s="1">
        <v>1091.7791718425735</v>
      </c>
      <c r="AV22" s="67" t="s">
        <v>490</v>
      </c>
      <c r="AW22" s="1" t="s">
        <v>494</v>
      </c>
      <c r="AX22" s="1" t="s">
        <v>39</v>
      </c>
    </row>
    <row r="23" spans="1:50" s="1" customFormat="1">
      <c r="A23" s="1" t="s">
        <v>36</v>
      </c>
      <c r="B23" s="1" t="s">
        <v>290</v>
      </c>
      <c r="C23" s="1">
        <v>2020</v>
      </c>
      <c r="D23" s="11" t="str">
        <f t="shared" si="0"/>
        <v>10.1016/j.palaeo.2019.109547</v>
      </c>
      <c r="E23" s="7">
        <f t="shared" si="1"/>
        <v>188050</v>
      </c>
      <c r="F23" s="7">
        <f t="shared" si="2"/>
        <v>13349.999999999995</v>
      </c>
      <c r="G23" s="7">
        <f t="shared" si="3"/>
        <v>13350.000000000022</v>
      </c>
      <c r="H23" s="8">
        <f t="shared" si="4"/>
        <v>955.89985844788134</v>
      </c>
      <c r="I23" s="8">
        <f t="shared" si="5"/>
        <v>124.55332799660209</v>
      </c>
      <c r="J23" s="15">
        <f t="shared" si="6"/>
        <v>124.55332799660221</v>
      </c>
      <c r="K23" s="1" t="s">
        <v>291</v>
      </c>
      <c r="L23" s="61" t="s">
        <v>292</v>
      </c>
      <c r="M23" t="s">
        <v>293</v>
      </c>
      <c r="N23" s="1" t="s">
        <v>294</v>
      </c>
      <c r="O23" s="62" t="s">
        <v>320</v>
      </c>
      <c r="P23" s="63" t="s">
        <v>28</v>
      </c>
      <c r="Q23" s="64" t="s">
        <v>296</v>
      </c>
      <c r="R23" s="1" t="s">
        <v>297</v>
      </c>
      <c r="S23" s="1" t="s">
        <v>298</v>
      </c>
      <c r="T23" s="1" t="s">
        <v>299</v>
      </c>
      <c r="U23" s="1" t="s">
        <v>300</v>
      </c>
      <c r="V23" s="1">
        <v>188.05</v>
      </c>
      <c r="W23" s="1">
        <v>201.4</v>
      </c>
      <c r="X23" s="1">
        <v>174.7</v>
      </c>
      <c r="Y23" s="1" t="s">
        <v>39</v>
      </c>
      <c r="Z23" s="1" t="s">
        <v>302</v>
      </c>
      <c r="AA23" s="1">
        <v>30.957000000000001</v>
      </c>
      <c r="AB23" s="1">
        <v>110.746</v>
      </c>
      <c r="AC23" s="63" t="s">
        <v>39</v>
      </c>
      <c r="AD23" s="63" t="s">
        <v>39</v>
      </c>
      <c r="AE23" s="63" t="s">
        <v>39</v>
      </c>
      <c r="AF23" s="63" t="s">
        <v>39</v>
      </c>
      <c r="AG23" s="63" t="s">
        <v>39</v>
      </c>
      <c r="AH23" s="1">
        <v>90</v>
      </c>
      <c r="AI23" s="65">
        <v>6</v>
      </c>
      <c r="AJ23" s="65">
        <v>118</v>
      </c>
      <c r="AK23" s="62">
        <v>66.666666666666671</v>
      </c>
      <c r="AL23" s="66">
        <f t="shared" si="7"/>
        <v>63.898916967509024</v>
      </c>
      <c r="AM23" s="62">
        <v>5.0999999999999996</v>
      </c>
      <c r="AN23" s="66">
        <v>0.42485291572496009</v>
      </c>
      <c r="AO23" s="1" t="s">
        <v>29</v>
      </c>
      <c r="AP23" s="1" t="s">
        <v>488</v>
      </c>
      <c r="AQ23" s="1" t="s">
        <v>489</v>
      </c>
      <c r="AR23" s="1">
        <v>955.89985844788134</v>
      </c>
      <c r="AS23" s="1" t="s">
        <v>451</v>
      </c>
      <c r="AT23" s="1">
        <v>831.34653045127914</v>
      </c>
      <c r="AU23" s="1">
        <v>1080.4531864444834</v>
      </c>
      <c r="AV23" s="67" t="s">
        <v>490</v>
      </c>
      <c r="AW23" s="1" t="s">
        <v>494</v>
      </c>
      <c r="AX23" s="1" t="s">
        <v>39</v>
      </c>
    </row>
    <row r="24" spans="1:50" s="1" customFormat="1">
      <c r="A24" s="1" t="s">
        <v>36</v>
      </c>
      <c r="B24" s="1" t="s">
        <v>290</v>
      </c>
      <c r="C24" s="1">
        <v>2020</v>
      </c>
      <c r="D24" s="11" t="str">
        <f t="shared" si="0"/>
        <v>10.1016/j.palaeo.2019.109547</v>
      </c>
      <c r="E24" s="7">
        <f t="shared" si="1"/>
        <v>188050</v>
      </c>
      <c r="F24" s="7">
        <f t="shared" si="2"/>
        <v>13349.999999999995</v>
      </c>
      <c r="G24" s="7">
        <f t="shared" si="3"/>
        <v>13350.000000000022</v>
      </c>
      <c r="H24" s="8">
        <f t="shared" si="4"/>
        <v>1230.4771160847815</v>
      </c>
      <c r="I24" s="8">
        <f t="shared" si="5"/>
        <v>330.12048055195692</v>
      </c>
      <c r="J24" s="15">
        <f t="shared" si="6"/>
        <v>330.12048055195692</v>
      </c>
      <c r="K24" s="1" t="s">
        <v>291</v>
      </c>
      <c r="L24" s="61" t="s">
        <v>292</v>
      </c>
      <c r="M24" t="s">
        <v>293</v>
      </c>
      <c r="N24" s="1" t="s">
        <v>294</v>
      </c>
      <c r="O24" s="62" t="s">
        <v>321</v>
      </c>
      <c r="P24" s="63" t="s">
        <v>28</v>
      </c>
      <c r="Q24" s="64" t="s">
        <v>296</v>
      </c>
      <c r="R24" s="1" t="s">
        <v>297</v>
      </c>
      <c r="S24" s="1" t="s">
        <v>298</v>
      </c>
      <c r="T24" s="1" t="s">
        <v>299</v>
      </c>
      <c r="U24" s="1" t="s">
        <v>322</v>
      </c>
      <c r="V24" s="1">
        <v>188.05</v>
      </c>
      <c r="W24" s="1">
        <v>201.4</v>
      </c>
      <c r="X24" s="1">
        <v>174.7</v>
      </c>
      <c r="Y24" s="1" t="s">
        <v>39</v>
      </c>
      <c r="Z24" s="1" t="s">
        <v>302</v>
      </c>
      <c r="AA24" s="1">
        <v>30.957000000000001</v>
      </c>
      <c r="AB24" s="1">
        <v>110.746</v>
      </c>
      <c r="AC24" s="63" t="s">
        <v>39</v>
      </c>
      <c r="AD24" s="63" t="s">
        <v>39</v>
      </c>
      <c r="AE24" s="63" t="s">
        <v>39</v>
      </c>
      <c r="AF24" s="63" t="s">
        <v>39</v>
      </c>
      <c r="AG24" s="63" t="s">
        <v>39</v>
      </c>
      <c r="AH24" s="1">
        <v>90</v>
      </c>
      <c r="AI24" s="65">
        <v>6</v>
      </c>
      <c r="AJ24" s="65">
        <v>141</v>
      </c>
      <c r="AK24" s="62">
        <v>66.666666666666671</v>
      </c>
      <c r="AL24" s="66">
        <v>4.0816326530612246</v>
      </c>
      <c r="AM24" s="62">
        <v>5.4433105395181753</v>
      </c>
      <c r="AN24" s="66">
        <v>0.73790243257493071</v>
      </c>
      <c r="AO24" s="1" t="s">
        <v>29</v>
      </c>
      <c r="AP24" s="1" t="s">
        <v>449</v>
      </c>
      <c r="AQ24" s="1" t="s">
        <v>450</v>
      </c>
      <c r="AR24" s="1">
        <v>1230.4771160847815</v>
      </c>
      <c r="AS24" s="1" t="s">
        <v>451</v>
      </c>
      <c r="AT24" s="1">
        <v>900.35663553282461</v>
      </c>
      <c r="AU24" s="1">
        <v>1560.5975966367384</v>
      </c>
      <c r="AV24" s="67" t="s">
        <v>490</v>
      </c>
      <c r="AW24" s="1" t="s">
        <v>494</v>
      </c>
      <c r="AX24" s="1" t="s">
        <v>39</v>
      </c>
    </row>
    <row r="25" spans="1:50" s="1" customFormat="1">
      <c r="A25" s="1" t="s">
        <v>36</v>
      </c>
      <c r="B25" s="1" t="s">
        <v>290</v>
      </c>
      <c r="C25" s="1">
        <v>2020</v>
      </c>
      <c r="D25" s="11" t="str">
        <f t="shared" si="0"/>
        <v>10.1016/j.palaeo.2019.109547</v>
      </c>
      <c r="E25" s="7">
        <f t="shared" si="1"/>
        <v>188050</v>
      </c>
      <c r="F25" s="7">
        <f t="shared" si="2"/>
        <v>13349.999999999995</v>
      </c>
      <c r="G25" s="7">
        <f t="shared" si="3"/>
        <v>13350.000000000022</v>
      </c>
      <c r="H25" s="8">
        <f t="shared" si="4"/>
        <v>815.67568347687052</v>
      </c>
      <c r="I25" s="8">
        <f t="shared" si="5"/>
        <v>135.72051379839274</v>
      </c>
      <c r="J25" s="15">
        <f t="shared" si="6"/>
        <v>135.72051379839274</v>
      </c>
      <c r="K25" s="1" t="s">
        <v>291</v>
      </c>
      <c r="L25" s="61" t="s">
        <v>292</v>
      </c>
      <c r="M25" t="s">
        <v>293</v>
      </c>
      <c r="N25" s="1" t="s">
        <v>294</v>
      </c>
      <c r="O25" s="62" t="s">
        <v>323</v>
      </c>
      <c r="P25" s="63" t="s">
        <v>28</v>
      </c>
      <c r="Q25" s="64" t="s">
        <v>296</v>
      </c>
      <c r="R25" s="1" t="s">
        <v>297</v>
      </c>
      <c r="S25" s="1" t="s">
        <v>298</v>
      </c>
      <c r="T25" s="1" t="s">
        <v>299</v>
      </c>
      <c r="U25" s="1" t="s">
        <v>322</v>
      </c>
      <c r="V25" s="1">
        <v>188.05</v>
      </c>
      <c r="W25" s="1">
        <v>201.4</v>
      </c>
      <c r="X25" s="1">
        <v>174.7</v>
      </c>
      <c r="Y25" s="1" t="s">
        <v>39</v>
      </c>
      <c r="Z25" s="1" t="s">
        <v>302</v>
      </c>
      <c r="AA25" s="1">
        <v>30.957000000000001</v>
      </c>
      <c r="AB25" s="1">
        <v>110.746</v>
      </c>
      <c r="AC25" s="63" t="s">
        <v>39</v>
      </c>
      <c r="AD25" s="63" t="s">
        <v>39</v>
      </c>
      <c r="AE25" s="63" t="s">
        <v>39</v>
      </c>
      <c r="AF25" s="63" t="s">
        <v>39</v>
      </c>
      <c r="AG25" s="63" t="s">
        <v>39</v>
      </c>
      <c r="AH25" s="1">
        <v>90</v>
      </c>
      <c r="AI25" s="65">
        <v>7</v>
      </c>
      <c r="AJ25" s="65">
        <v>123</v>
      </c>
      <c r="AK25" s="62">
        <v>77.777777777777786</v>
      </c>
      <c r="AL25" s="66">
        <v>5.384615384615385</v>
      </c>
      <c r="AM25" s="62">
        <v>5.6655772373253397</v>
      </c>
      <c r="AN25" s="66">
        <v>0.60373835392494324</v>
      </c>
      <c r="AO25" s="1" t="s">
        <v>29</v>
      </c>
      <c r="AP25" s="1" t="s">
        <v>452</v>
      </c>
      <c r="AQ25" s="1" t="s">
        <v>453</v>
      </c>
      <c r="AR25" s="1">
        <v>815.67568347687052</v>
      </c>
      <c r="AS25" s="1" t="s">
        <v>451</v>
      </c>
      <c r="AT25" s="1">
        <v>679.95516967847777</v>
      </c>
      <c r="AU25" s="1">
        <v>951.39619727526326</v>
      </c>
      <c r="AV25" s="67" t="s">
        <v>490</v>
      </c>
      <c r="AW25" s="1" t="s">
        <v>494</v>
      </c>
      <c r="AX25" s="1" t="s">
        <v>39</v>
      </c>
    </row>
    <row r="26" spans="1:50" s="1" customFormat="1">
      <c r="A26" s="1" t="s">
        <v>36</v>
      </c>
      <c r="B26" s="1" t="s">
        <v>290</v>
      </c>
      <c r="C26" s="1">
        <v>2020</v>
      </c>
      <c r="D26" s="11" t="str">
        <f t="shared" si="0"/>
        <v>10.1016/j.palaeo.2019.109547</v>
      </c>
      <c r="E26" s="7">
        <f t="shared" si="1"/>
        <v>188050</v>
      </c>
      <c r="F26" s="7">
        <f t="shared" si="2"/>
        <v>13349.999999999995</v>
      </c>
      <c r="G26" s="7">
        <f t="shared" si="3"/>
        <v>13350.000000000022</v>
      </c>
      <c r="H26" s="8">
        <f t="shared" si="4"/>
        <v>733.29558505702835</v>
      </c>
      <c r="I26" s="8">
        <f t="shared" si="5"/>
        <v>176.65852258535722</v>
      </c>
      <c r="J26" s="15">
        <f t="shared" si="6"/>
        <v>176.65852258535722</v>
      </c>
      <c r="K26" s="1" t="s">
        <v>291</v>
      </c>
      <c r="L26" s="61" t="s">
        <v>292</v>
      </c>
      <c r="M26" t="s">
        <v>293</v>
      </c>
      <c r="N26" s="1" t="s">
        <v>294</v>
      </c>
      <c r="O26" s="62" t="s">
        <v>324</v>
      </c>
      <c r="P26" s="63" t="s">
        <v>28</v>
      </c>
      <c r="Q26" s="64" t="s">
        <v>296</v>
      </c>
      <c r="R26" s="1" t="s">
        <v>297</v>
      </c>
      <c r="S26" s="1" t="s">
        <v>298</v>
      </c>
      <c r="T26" s="1" t="s">
        <v>299</v>
      </c>
      <c r="U26" s="1" t="s">
        <v>322</v>
      </c>
      <c r="V26" s="1">
        <v>188.05</v>
      </c>
      <c r="W26" s="1">
        <v>201.4</v>
      </c>
      <c r="X26" s="1">
        <v>174.7</v>
      </c>
      <c r="Y26" s="1" t="s">
        <v>39</v>
      </c>
      <c r="Z26" s="1" t="s">
        <v>302</v>
      </c>
      <c r="AA26" s="1">
        <v>30.957000000000001</v>
      </c>
      <c r="AB26" s="1">
        <v>110.746</v>
      </c>
      <c r="AC26" s="63" t="s">
        <v>39</v>
      </c>
      <c r="AD26" s="63" t="s">
        <v>39</v>
      </c>
      <c r="AE26" s="63" t="s">
        <v>39</v>
      </c>
      <c r="AF26" s="63" t="s">
        <v>39</v>
      </c>
      <c r="AG26" s="63" t="s">
        <v>39</v>
      </c>
      <c r="AH26" s="1">
        <v>90</v>
      </c>
      <c r="AI26" s="65">
        <v>7</v>
      </c>
      <c r="AJ26" s="65">
        <v>114</v>
      </c>
      <c r="AK26" s="62">
        <v>77.777777777777786</v>
      </c>
      <c r="AL26" s="66">
        <v>5.785123966942149</v>
      </c>
      <c r="AM26" s="62">
        <v>6.4788354387170024</v>
      </c>
      <c r="AN26" s="66">
        <v>0.93914855054991164</v>
      </c>
      <c r="AO26" s="1" t="s">
        <v>29</v>
      </c>
      <c r="AP26" s="1" t="s">
        <v>454</v>
      </c>
      <c r="AQ26" s="1" t="s">
        <v>455</v>
      </c>
      <c r="AR26" s="1">
        <v>733.29558505702835</v>
      </c>
      <c r="AS26" s="1" t="s">
        <v>451</v>
      </c>
      <c r="AT26" s="1">
        <v>556.63706247167113</v>
      </c>
      <c r="AU26" s="1">
        <v>909.95410764238557</v>
      </c>
      <c r="AV26" s="67" t="s">
        <v>490</v>
      </c>
      <c r="AW26" s="1" t="s">
        <v>494</v>
      </c>
      <c r="AX26" s="1" t="s">
        <v>39</v>
      </c>
    </row>
    <row r="27" spans="1:50" s="1" customFormat="1">
      <c r="A27" s="1" t="s">
        <v>36</v>
      </c>
      <c r="B27" s="1" t="s">
        <v>290</v>
      </c>
      <c r="C27" s="1">
        <v>2020</v>
      </c>
      <c r="D27" s="11" t="str">
        <f t="shared" si="0"/>
        <v>10.1016/j.palaeo.2019.109547</v>
      </c>
      <c r="E27" s="7">
        <f t="shared" si="1"/>
        <v>188050</v>
      </c>
      <c r="F27" s="7">
        <f t="shared" si="2"/>
        <v>13349.999999999995</v>
      </c>
      <c r="G27" s="7">
        <f t="shared" si="3"/>
        <v>13350.000000000022</v>
      </c>
      <c r="H27" s="8">
        <f t="shared" si="4"/>
        <v>933.10948759763824</v>
      </c>
      <c r="I27" s="8">
        <f t="shared" si="5"/>
        <v>163.69425458263004</v>
      </c>
      <c r="J27" s="15">
        <f t="shared" si="6"/>
        <v>163.69425458263004</v>
      </c>
      <c r="K27" s="1" t="s">
        <v>291</v>
      </c>
      <c r="L27" s="61" t="s">
        <v>292</v>
      </c>
      <c r="M27" t="s">
        <v>293</v>
      </c>
      <c r="N27" s="1" t="s">
        <v>294</v>
      </c>
      <c r="O27" s="62" t="s">
        <v>325</v>
      </c>
      <c r="P27" s="63" t="s">
        <v>28</v>
      </c>
      <c r="Q27" s="64" t="s">
        <v>296</v>
      </c>
      <c r="R27" s="1" t="s">
        <v>297</v>
      </c>
      <c r="S27" s="1" t="s">
        <v>298</v>
      </c>
      <c r="T27" s="1" t="s">
        <v>299</v>
      </c>
      <c r="U27" s="1" t="s">
        <v>322</v>
      </c>
      <c r="V27" s="1">
        <v>188.05</v>
      </c>
      <c r="W27" s="1">
        <v>201.4</v>
      </c>
      <c r="X27" s="1">
        <v>174.7</v>
      </c>
      <c r="Y27" s="1" t="s">
        <v>39</v>
      </c>
      <c r="Z27" s="1" t="s">
        <v>302</v>
      </c>
      <c r="AA27" s="1">
        <v>30.957000000000001</v>
      </c>
      <c r="AB27" s="1">
        <v>110.746</v>
      </c>
      <c r="AC27" s="63" t="s">
        <v>39</v>
      </c>
      <c r="AD27" s="63" t="s">
        <v>39</v>
      </c>
      <c r="AE27" s="63" t="s">
        <v>39</v>
      </c>
      <c r="AF27" s="63" t="s">
        <v>39</v>
      </c>
      <c r="AG27" s="63" t="s">
        <v>39</v>
      </c>
      <c r="AH27" s="1">
        <v>90</v>
      </c>
      <c r="AI27" s="65">
        <v>6</v>
      </c>
      <c r="AJ27" s="65">
        <v>116</v>
      </c>
      <c r="AK27" s="62">
        <v>66.666666666666671</v>
      </c>
      <c r="AL27" s="66">
        <v>4.918032786885246</v>
      </c>
      <c r="AM27" s="62">
        <v>4.1573970964155036</v>
      </c>
      <c r="AN27" s="66">
        <v>0.58137767414994534</v>
      </c>
      <c r="AO27" s="1" t="s">
        <v>29</v>
      </c>
      <c r="AP27" s="1" t="s">
        <v>456</v>
      </c>
      <c r="AQ27" s="1" t="s">
        <v>457</v>
      </c>
      <c r="AR27" s="1">
        <v>933.10948759763824</v>
      </c>
      <c r="AS27" s="1" t="s">
        <v>451</v>
      </c>
      <c r="AT27" s="1">
        <v>769.4152330150082</v>
      </c>
      <c r="AU27" s="1">
        <v>1096.8037421802683</v>
      </c>
      <c r="AV27" s="67" t="s">
        <v>490</v>
      </c>
      <c r="AW27" s="1" t="s">
        <v>494</v>
      </c>
      <c r="AX27" s="1" t="s">
        <v>39</v>
      </c>
    </row>
    <row r="28" spans="1:50" s="1" customFormat="1">
      <c r="A28" s="1" t="s">
        <v>36</v>
      </c>
      <c r="B28" s="1" t="s">
        <v>290</v>
      </c>
      <c r="C28" s="1">
        <v>2020</v>
      </c>
      <c r="D28" s="11" t="str">
        <f t="shared" si="0"/>
        <v>10.1016/j.palaeo.2019.109547</v>
      </c>
      <c r="E28" s="7">
        <f t="shared" si="1"/>
        <v>188050</v>
      </c>
      <c r="F28" s="7">
        <f t="shared" si="2"/>
        <v>13349.999999999995</v>
      </c>
      <c r="G28" s="7">
        <f t="shared" si="3"/>
        <v>13350.000000000022</v>
      </c>
      <c r="H28" s="8">
        <f t="shared" si="4"/>
        <v>724.32012122693391</v>
      </c>
      <c r="I28" s="8">
        <f t="shared" si="5"/>
        <v>234.8591661697036</v>
      </c>
      <c r="J28" s="15">
        <f t="shared" si="6"/>
        <v>234.8591661697036</v>
      </c>
      <c r="K28" s="1" t="s">
        <v>291</v>
      </c>
      <c r="L28" s="61" t="s">
        <v>292</v>
      </c>
      <c r="M28" t="s">
        <v>293</v>
      </c>
      <c r="N28" s="1" t="s">
        <v>294</v>
      </c>
      <c r="O28" s="62" t="s">
        <v>326</v>
      </c>
      <c r="P28" s="63" t="s">
        <v>28</v>
      </c>
      <c r="Q28" s="64" t="s">
        <v>296</v>
      </c>
      <c r="R28" s="1" t="s">
        <v>297</v>
      </c>
      <c r="S28" s="1" t="s">
        <v>298</v>
      </c>
      <c r="T28" s="1" t="s">
        <v>299</v>
      </c>
      <c r="U28" s="1" t="s">
        <v>322</v>
      </c>
      <c r="V28" s="1">
        <v>188.05</v>
      </c>
      <c r="W28" s="1">
        <v>201.4</v>
      </c>
      <c r="X28" s="1">
        <v>174.7</v>
      </c>
      <c r="Y28" s="1" t="s">
        <v>39</v>
      </c>
      <c r="Z28" s="1" t="s">
        <v>302</v>
      </c>
      <c r="AA28" s="1">
        <v>30.957000000000001</v>
      </c>
      <c r="AB28" s="1">
        <v>110.746</v>
      </c>
      <c r="AC28" s="63" t="s">
        <v>39</v>
      </c>
      <c r="AD28" s="63" t="s">
        <v>39</v>
      </c>
      <c r="AE28" s="63" t="s">
        <v>39</v>
      </c>
      <c r="AF28" s="63" t="s">
        <v>39</v>
      </c>
      <c r="AG28" s="63" t="s">
        <v>39</v>
      </c>
      <c r="AH28" s="1">
        <v>90</v>
      </c>
      <c r="AI28" s="65">
        <v>7</v>
      </c>
      <c r="AJ28" s="65">
        <v>113</v>
      </c>
      <c r="AK28" s="62">
        <v>77.777777777777786</v>
      </c>
      <c r="AL28" s="66">
        <v>5.833333333333333</v>
      </c>
      <c r="AM28" s="62">
        <v>2.4845199749997668</v>
      </c>
      <c r="AN28" s="66">
        <v>1.27455874717488</v>
      </c>
      <c r="AO28" s="1" t="s">
        <v>29</v>
      </c>
      <c r="AP28" s="1" t="s">
        <v>458</v>
      </c>
      <c r="AQ28" s="1" t="s">
        <v>459</v>
      </c>
      <c r="AR28" s="1">
        <v>724.32012122693391</v>
      </c>
      <c r="AS28" s="1" t="s">
        <v>451</v>
      </c>
      <c r="AT28" s="1">
        <v>489.46095505723031</v>
      </c>
      <c r="AU28" s="1">
        <v>959.17928739663751</v>
      </c>
      <c r="AV28" s="67" t="s">
        <v>490</v>
      </c>
      <c r="AW28" s="1" t="s">
        <v>494</v>
      </c>
      <c r="AX28" s="1" t="s">
        <v>39</v>
      </c>
    </row>
    <row r="29" spans="1:50" s="1" customFormat="1">
      <c r="A29" s="1" t="s">
        <v>36</v>
      </c>
      <c r="B29" s="1" t="s">
        <v>290</v>
      </c>
      <c r="C29" s="1">
        <v>2020</v>
      </c>
      <c r="D29" s="11" t="str">
        <f t="shared" si="0"/>
        <v>10.1016/j.palaeo.2019.109547</v>
      </c>
      <c r="E29" s="7">
        <f t="shared" si="1"/>
        <v>188050</v>
      </c>
      <c r="F29" s="7">
        <f t="shared" si="2"/>
        <v>13349.999999999995</v>
      </c>
      <c r="G29" s="7">
        <f t="shared" si="3"/>
        <v>13350.000000000022</v>
      </c>
      <c r="H29" s="8">
        <f t="shared" si="4"/>
        <v>854.77185076718104</v>
      </c>
      <c r="I29" s="8">
        <f t="shared" si="5"/>
        <v>163.0936151313191</v>
      </c>
      <c r="J29" s="15">
        <f t="shared" si="6"/>
        <v>163.0936151313191</v>
      </c>
      <c r="K29" s="1" t="s">
        <v>291</v>
      </c>
      <c r="L29" s="61" t="s">
        <v>292</v>
      </c>
      <c r="M29" t="s">
        <v>293</v>
      </c>
      <c r="N29" s="1" t="s">
        <v>294</v>
      </c>
      <c r="O29" s="62" t="s">
        <v>327</v>
      </c>
      <c r="P29" s="63" t="s">
        <v>28</v>
      </c>
      <c r="Q29" s="64" t="s">
        <v>296</v>
      </c>
      <c r="R29" s="1" t="s">
        <v>297</v>
      </c>
      <c r="S29" s="1" t="s">
        <v>298</v>
      </c>
      <c r="T29" s="1" t="s">
        <v>299</v>
      </c>
      <c r="U29" s="1" t="s">
        <v>322</v>
      </c>
      <c r="V29" s="1">
        <v>188.05</v>
      </c>
      <c r="W29" s="1">
        <v>201.4</v>
      </c>
      <c r="X29" s="1">
        <v>174.7</v>
      </c>
      <c r="Y29" s="1" t="s">
        <v>39</v>
      </c>
      <c r="Z29" s="1" t="s">
        <v>302</v>
      </c>
      <c r="AA29" s="1">
        <v>30.957000000000001</v>
      </c>
      <c r="AB29" s="1">
        <v>110.746</v>
      </c>
      <c r="AC29" s="63" t="s">
        <v>39</v>
      </c>
      <c r="AD29" s="63" t="s">
        <v>39</v>
      </c>
      <c r="AE29" s="63" t="s">
        <v>39</v>
      </c>
      <c r="AF29" s="63" t="s">
        <v>39</v>
      </c>
      <c r="AG29" s="63" t="s">
        <v>39</v>
      </c>
      <c r="AH29" s="1">
        <v>90</v>
      </c>
      <c r="AI29" s="65">
        <v>6</v>
      </c>
      <c r="AJ29" s="65">
        <v>109</v>
      </c>
      <c r="AK29" s="62">
        <v>66.666666666666671</v>
      </c>
      <c r="AL29" s="66">
        <v>5.2173913043478262</v>
      </c>
      <c r="AM29" s="62">
        <v>2.8688765527462357</v>
      </c>
      <c r="AN29" s="66">
        <v>0.67082039324993692</v>
      </c>
      <c r="AO29" s="1" t="s">
        <v>29</v>
      </c>
      <c r="AP29" s="1" t="s">
        <v>460</v>
      </c>
      <c r="AQ29" s="1" t="s">
        <v>461</v>
      </c>
      <c r="AR29" s="1">
        <v>854.77185076718104</v>
      </c>
      <c r="AS29" s="1" t="s">
        <v>451</v>
      </c>
      <c r="AT29" s="1">
        <v>691.67823563586194</v>
      </c>
      <c r="AU29" s="1">
        <v>1017.8654658985001</v>
      </c>
      <c r="AV29" s="67" t="s">
        <v>490</v>
      </c>
      <c r="AW29" s="1" t="s">
        <v>494</v>
      </c>
      <c r="AX29" s="1" t="s">
        <v>39</v>
      </c>
    </row>
    <row r="30" spans="1:50" s="1" customFormat="1">
      <c r="A30" s="1" t="s">
        <v>36</v>
      </c>
      <c r="B30" s="1" t="s">
        <v>290</v>
      </c>
      <c r="C30" s="1">
        <v>2020</v>
      </c>
      <c r="D30" s="11" t="str">
        <f t="shared" si="0"/>
        <v>10.1016/j.palaeo.2019.109547</v>
      </c>
      <c r="E30" s="7">
        <f t="shared" si="1"/>
        <v>188050</v>
      </c>
      <c r="F30" s="7">
        <f t="shared" si="2"/>
        <v>13349.999999999995</v>
      </c>
      <c r="G30" s="7">
        <f t="shared" si="3"/>
        <v>13350.000000000022</v>
      </c>
      <c r="H30" s="8">
        <f t="shared" si="4"/>
        <v>1237.9376485112675</v>
      </c>
      <c r="I30" s="8">
        <f t="shared" si="5"/>
        <v>192.00227835218038</v>
      </c>
      <c r="J30" s="15">
        <f t="shared" si="6"/>
        <v>192.00227835218038</v>
      </c>
      <c r="K30" s="1" t="s">
        <v>291</v>
      </c>
      <c r="L30" s="61" t="s">
        <v>292</v>
      </c>
      <c r="M30" t="s">
        <v>293</v>
      </c>
      <c r="N30" s="1" t="s">
        <v>294</v>
      </c>
      <c r="O30" s="62" t="s">
        <v>328</v>
      </c>
      <c r="P30" s="63" t="s">
        <v>28</v>
      </c>
      <c r="Q30" s="64" t="s">
        <v>296</v>
      </c>
      <c r="R30" s="1" t="s">
        <v>297</v>
      </c>
      <c r="S30" s="1" t="s">
        <v>298</v>
      </c>
      <c r="T30" s="1" t="s">
        <v>299</v>
      </c>
      <c r="U30" s="1" t="s">
        <v>322</v>
      </c>
      <c r="V30" s="1">
        <v>188.05</v>
      </c>
      <c r="W30" s="1">
        <v>201.4</v>
      </c>
      <c r="X30" s="1">
        <v>174.7</v>
      </c>
      <c r="Y30" s="1" t="s">
        <v>39</v>
      </c>
      <c r="Z30" s="1" t="s">
        <v>302</v>
      </c>
      <c r="AA30" s="1">
        <v>30.957000000000001</v>
      </c>
      <c r="AB30" s="1">
        <v>110.746</v>
      </c>
      <c r="AC30" s="63" t="s">
        <v>39</v>
      </c>
      <c r="AD30" s="63" t="s">
        <v>39</v>
      </c>
      <c r="AE30" s="63" t="s">
        <v>39</v>
      </c>
      <c r="AF30" s="63" t="s">
        <v>39</v>
      </c>
      <c r="AG30" s="63" t="s">
        <v>39</v>
      </c>
      <c r="AH30" s="1">
        <v>90</v>
      </c>
      <c r="AI30" s="65">
        <v>5</v>
      </c>
      <c r="AJ30" s="65">
        <v>118</v>
      </c>
      <c r="AK30" s="62">
        <v>55.555555555555557</v>
      </c>
      <c r="AL30" s="66">
        <v>4.0650406504065035</v>
      </c>
      <c r="AM30" s="62">
        <v>5.4433105395182002</v>
      </c>
      <c r="AN30" s="66">
        <v>0.42485291572496009</v>
      </c>
      <c r="AO30" s="1" t="s">
        <v>29</v>
      </c>
      <c r="AP30" s="1" t="s">
        <v>462</v>
      </c>
      <c r="AQ30" s="1" t="s">
        <v>463</v>
      </c>
      <c r="AR30" s="1">
        <v>1237.9376485112675</v>
      </c>
      <c r="AS30" s="1" t="s">
        <v>451</v>
      </c>
      <c r="AT30" s="1">
        <v>1045.9353701590871</v>
      </c>
      <c r="AU30" s="1">
        <v>1429.9399268634479</v>
      </c>
      <c r="AV30" s="67" t="s">
        <v>490</v>
      </c>
      <c r="AW30" s="1" t="s">
        <v>494</v>
      </c>
      <c r="AX30" s="1" t="s">
        <v>39</v>
      </c>
    </row>
    <row r="31" spans="1:50" s="1" customFormat="1">
      <c r="A31" s="1" t="s">
        <v>36</v>
      </c>
      <c r="B31" s="1" t="s">
        <v>290</v>
      </c>
      <c r="C31" s="1">
        <v>2020</v>
      </c>
      <c r="D31" s="11" t="str">
        <f t="shared" si="0"/>
        <v>10.1016/j.palaeo.2019.109547</v>
      </c>
      <c r="E31" s="7">
        <f t="shared" si="1"/>
        <v>188050</v>
      </c>
      <c r="F31" s="7">
        <f t="shared" si="2"/>
        <v>13349.999999999995</v>
      </c>
      <c r="G31" s="7">
        <f t="shared" si="3"/>
        <v>13350.000000000022</v>
      </c>
      <c r="H31" s="8">
        <f t="shared" si="4"/>
        <v>978.86884335975788</v>
      </c>
      <c r="I31" s="8">
        <f t="shared" si="5"/>
        <v>252.38551574294775</v>
      </c>
      <c r="J31" s="15">
        <f t="shared" si="6"/>
        <v>252.38551574294775</v>
      </c>
      <c r="K31" s="1" t="s">
        <v>291</v>
      </c>
      <c r="L31" s="61" t="s">
        <v>292</v>
      </c>
      <c r="M31" t="s">
        <v>293</v>
      </c>
      <c r="N31" s="1" t="s">
        <v>294</v>
      </c>
      <c r="O31" s="62" t="s">
        <v>329</v>
      </c>
      <c r="P31" s="63" t="s">
        <v>28</v>
      </c>
      <c r="Q31" s="64" t="s">
        <v>296</v>
      </c>
      <c r="R31" s="1" t="s">
        <v>297</v>
      </c>
      <c r="S31" s="1" t="s">
        <v>298</v>
      </c>
      <c r="T31" s="1" t="s">
        <v>299</v>
      </c>
      <c r="U31" s="1" t="s">
        <v>322</v>
      </c>
      <c r="V31" s="1">
        <v>188.05</v>
      </c>
      <c r="W31" s="1">
        <v>201.4</v>
      </c>
      <c r="X31" s="1">
        <v>174.7</v>
      </c>
      <c r="Y31" s="1" t="s">
        <v>39</v>
      </c>
      <c r="Z31" s="1" t="s">
        <v>302</v>
      </c>
      <c r="AA31" s="1">
        <v>30.957000000000001</v>
      </c>
      <c r="AB31" s="1">
        <v>110.746</v>
      </c>
      <c r="AC31" s="63" t="s">
        <v>39</v>
      </c>
      <c r="AD31" s="63" t="s">
        <v>39</v>
      </c>
      <c r="AE31" s="63" t="s">
        <v>39</v>
      </c>
      <c r="AF31" s="63" t="s">
        <v>39</v>
      </c>
      <c r="AG31" s="63" t="s">
        <v>39</v>
      </c>
      <c r="AH31" s="1">
        <v>90</v>
      </c>
      <c r="AI31" s="65">
        <v>6</v>
      </c>
      <c r="AJ31" s="65">
        <v>120</v>
      </c>
      <c r="AK31" s="62">
        <v>66.666666666666671</v>
      </c>
      <c r="AL31" s="66">
        <v>4.7619047619047619</v>
      </c>
      <c r="AM31" s="62">
        <v>6.6046498148618484</v>
      </c>
      <c r="AN31" s="66">
        <v>0.82734515167492217</v>
      </c>
      <c r="AO31" s="1" t="s">
        <v>29</v>
      </c>
      <c r="AP31" s="1" t="s">
        <v>464</v>
      </c>
      <c r="AQ31" s="1" t="s">
        <v>465</v>
      </c>
      <c r="AR31" s="1">
        <v>978.86884335975788</v>
      </c>
      <c r="AS31" s="1" t="s">
        <v>451</v>
      </c>
      <c r="AT31" s="1">
        <v>726.48332761681013</v>
      </c>
      <c r="AU31" s="1">
        <v>1231.2543591027056</v>
      </c>
      <c r="AV31" s="67" t="s">
        <v>490</v>
      </c>
      <c r="AW31" s="1" t="s">
        <v>494</v>
      </c>
      <c r="AX31" s="1" t="s">
        <v>39</v>
      </c>
    </row>
    <row r="32" spans="1:50" s="1" customFormat="1">
      <c r="A32" s="1" t="s">
        <v>36</v>
      </c>
      <c r="B32" s="1" t="s">
        <v>290</v>
      </c>
      <c r="C32" s="1">
        <v>2020</v>
      </c>
      <c r="D32" s="11" t="str">
        <f t="shared" si="0"/>
        <v>10.1016/j.palaeo.2019.109547</v>
      </c>
      <c r="E32" s="7">
        <f t="shared" si="1"/>
        <v>188050</v>
      </c>
      <c r="F32" s="7">
        <f t="shared" si="2"/>
        <v>13349.999999999995</v>
      </c>
      <c r="G32" s="7">
        <f t="shared" si="3"/>
        <v>13350.000000000022</v>
      </c>
      <c r="H32" s="8">
        <f t="shared" si="4"/>
        <v>1436.9819920093198</v>
      </c>
      <c r="I32" s="8">
        <f t="shared" si="5"/>
        <v>544.73894228125187</v>
      </c>
      <c r="J32" s="15">
        <f t="shared" si="6"/>
        <v>544.73894228125175</v>
      </c>
      <c r="K32" s="1" t="s">
        <v>291</v>
      </c>
      <c r="L32" s="61" t="s">
        <v>292</v>
      </c>
      <c r="M32" t="s">
        <v>293</v>
      </c>
      <c r="N32" s="1" t="s">
        <v>294</v>
      </c>
      <c r="O32" s="62" t="s">
        <v>330</v>
      </c>
      <c r="P32" s="63" t="s">
        <v>28</v>
      </c>
      <c r="Q32" s="64" t="s">
        <v>296</v>
      </c>
      <c r="R32" s="1" t="s">
        <v>297</v>
      </c>
      <c r="S32" s="1" t="s">
        <v>298</v>
      </c>
      <c r="T32" s="1" t="s">
        <v>299</v>
      </c>
      <c r="U32" s="1" t="s">
        <v>322</v>
      </c>
      <c r="V32" s="1">
        <v>188.05</v>
      </c>
      <c r="W32" s="1">
        <v>201.4</v>
      </c>
      <c r="X32" s="1">
        <v>174.7</v>
      </c>
      <c r="Y32" s="1" t="s">
        <v>39</v>
      </c>
      <c r="Z32" s="1" t="s">
        <v>302</v>
      </c>
      <c r="AA32" s="1">
        <v>30.957000000000001</v>
      </c>
      <c r="AB32" s="1">
        <v>110.746</v>
      </c>
      <c r="AC32" s="63" t="s">
        <v>39</v>
      </c>
      <c r="AD32" s="63" t="s">
        <v>39</v>
      </c>
      <c r="AE32" s="63" t="s">
        <v>39</v>
      </c>
      <c r="AF32" s="63" t="s">
        <v>39</v>
      </c>
      <c r="AG32" s="63" t="s">
        <v>39</v>
      </c>
      <c r="AH32" s="1">
        <v>90</v>
      </c>
      <c r="AI32" s="65">
        <v>5</v>
      </c>
      <c r="AJ32" s="65">
        <v>131</v>
      </c>
      <c r="AK32" s="62">
        <v>55.555555555555557</v>
      </c>
      <c r="AL32" s="66">
        <v>3.6764705882352944</v>
      </c>
      <c r="AM32" s="62">
        <v>6.0178062256562699</v>
      </c>
      <c r="AN32" s="66">
        <v>0.93914855054991164</v>
      </c>
      <c r="AO32" s="1" t="s">
        <v>29</v>
      </c>
      <c r="AP32" s="1" t="s">
        <v>466</v>
      </c>
      <c r="AQ32" s="1" t="s">
        <v>467</v>
      </c>
      <c r="AR32" s="1">
        <v>1436.9819920093198</v>
      </c>
      <c r="AS32" s="1" t="s">
        <v>451</v>
      </c>
      <c r="AT32" s="1">
        <v>892.24304972806806</v>
      </c>
      <c r="AU32" s="1">
        <v>1981.7209342905717</v>
      </c>
      <c r="AV32" s="67" t="s">
        <v>490</v>
      </c>
      <c r="AW32" s="1" t="s">
        <v>494</v>
      </c>
      <c r="AX32" s="1" t="s">
        <v>39</v>
      </c>
    </row>
    <row r="33" spans="1:50" s="1" customFormat="1">
      <c r="A33" s="1" t="s">
        <v>36</v>
      </c>
      <c r="B33" s="1" t="s">
        <v>290</v>
      </c>
      <c r="C33" s="1">
        <v>2020</v>
      </c>
      <c r="D33" s="11" t="str">
        <f t="shared" si="0"/>
        <v>10.1016/j.palaeo.2019.109547</v>
      </c>
      <c r="E33" s="7">
        <f t="shared" si="1"/>
        <v>188050</v>
      </c>
      <c r="F33" s="7">
        <f t="shared" si="2"/>
        <v>13349.999999999995</v>
      </c>
      <c r="G33" s="7">
        <f t="shared" si="3"/>
        <v>13350.000000000022</v>
      </c>
      <c r="H33" s="8">
        <f t="shared" si="4"/>
        <v>1193.3959366136683</v>
      </c>
      <c r="I33" s="8">
        <f t="shared" si="5"/>
        <v>247.10870661340323</v>
      </c>
      <c r="J33" s="15">
        <f t="shared" si="6"/>
        <v>247.10870661340323</v>
      </c>
      <c r="K33" s="1" t="s">
        <v>291</v>
      </c>
      <c r="L33" s="61" t="s">
        <v>292</v>
      </c>
      <c r="M33" t="s">
        <v>293</v>
      </c>
      <c r="N33" s="1" t="s">
        <v>294</v>
      </c>
      <c r="O33" s="62" t="s">
        <v>331</v>
      </c>
      <c r="P33" s="63" t="s">
        <v>28</v>
      </c>
      <c r="Q33" s="64" t="s">
        <v>296</v>
      </c>
      <c r="R33" s="1" t="s">
        <v>297</v>
      </c>
      <c r="S33" s="1" t="s">
        <v>298</v>
      </c>
      <c r="T33" s="1" t="s">
        <v>299</v>
      </c>
      <c r="U33" s="1" t="s">
        <v>322</v>
      </c>
      <c r="V33" s="1">
        <v>188.05</v>
      </c>
      <c r="W33" s="1">
        <v>201.4</v>
      </c>
      <c r="X33" s="1">
        <v>174.7</v>
      </c>
      <c r="Y33" s="1" t="s">
        <v>39</v>
      </c>
      <c r="Z33" s="1" t="s">
        <v>302</v>
      </c>
      <c r="AA33" s="1">
        <v>30.957000000000001</v>
      </c>
      <c r="AB33" s="1">
        <v>110.746</v>
      </c>
      <c r="AC33" s="63" t="s">
        <v>39</v>
      </c>
      <c r="AD33" s="63" t="s">
        <v>39</v>
      </c>
      <c r="AE33" s="63" t="s">
        <v>39</v>
      </c>
      <c r="AF33" s="63" t="s">
        <v>39</v>
      </c>
      <c r="AG33" s="63" t="s">
        <v>39</v>
      </c>
      <c r="AH33" s="1">
        <v>90</v>
      </c>
      <c r="AI33" s="65">
        <v>5</v>
      </c>
      <c r="AJ33" s="65">
        <v>115</v>
      </c>
      <c r="AK33" s="62">
        <v>55.555555555555557</v>
      </c>
      <c r="AL33" s="66">
        <v>4.1666666666666661</v>
      </c>
      <c r="AM33" s="62">
        <v>2.4845199749997664</v>
      </c>
      <c r="AN33" s="66">
        <v>0.58137767414994534</v>
      </c>
      <c r="AO33" s="1" t="s">
        <v>29</v>
      </c>
      <c r="AP33" s="1" t="s">
        <v>468</v>
      </c>
      <c r="AQ33" s="1" t="s">
        <v>469</v>
      </c>
      <c r="AR33" s="1">
        <v>1193.3959366136683</v>
      </c>
      <c r="AS33" s="1" t="s">
        <v>451</v>
      </c>
      <c r="AT33" s="1">
        <v>946.28723000026503</v>
      </c>
      <c r="AU33" s="1">
        <v>1440.5046432270715</v>
      </c>
      <c r="AV33" s="67" t="s">
        <v>490</v>
      </c>
      <c r="AW33" s="1" t="s">
        <v>494</v>
      </c>
      <c r="AX33" s="1" t="s">
        <v>39</v>
      </c>
    </row>
    <row r="34" spans="1:50" s="1" customFormat="1">
      <c r="A34" s="1" t="s">
        <v>36</v>
      </c>
      <c r="B34" s="1" t="s">
        <v>290</v>
      </c>
      <c r="C34" s="1">
        <v>2020</v>
      </c>
      <c r="D34" s="11" t="str">
        <f t="shared" si="0"/>
        <v>10.1016/j.palaeo.2019.109547</v>
      </c>
      <c r="E34" s="7">
        <f t="shared" si="1"/>
        <v>188050</v>
      </c>
      <c r="F34" s="7">
        <f t="shared" si="2"/>
        <v>13349.999999999995</v>
      </c>
      <c r="G34" s="7">
        <f t="shared" si="3"/>
        <v>13350.000000000022</v>
      </c>
      <c r="H34" s="8">
        <f t="shared" si="4"/>
        <v>854.77185076718104</v>
      </c>
      <c r="I34" s="8">
        <f t="shared" si="5"/>
        <v>152.22070745589781</v>
      </c>
      <c r="J34" s="15">
        <f t="shared" si="6"/>
        <v>152.22070745589781</v>
      </c>
      <c r="K34" s="1" t="s">
        <v>291</v>
      </c>
      <c r="L34" s="61" t="s">
        <v>292</v>
      </c>
      <c r="M34" t="s">
        <v>293</v>
      </c>
      <c r="N34" s="1" t="s">
        <v>294</v>
      </c>
      <c r="O34" s="62" t="s">
        <v>332</v>
      </c>
      <c r="P34" s="63" t="s">
        <v>28</v>
      </c>
      <c r="Q34" s="64" t="s">
        <v>296</v>
      </c>
      <c r="R34" s="1" t="s">
        <v>297</v>
      </c>
      <c r="S34" s="1" t="s">
        <v>298</v>
      </c>
      <c r="T34" s="1" t="s">
        <v>299</v>
      </c>
      <c r="U34" s="1" t="s">
        <v>322</v>
      </c>
      <c r="V34" s="1">
        <v>188.05</v>
      </c>
      <c r="W34" s="1">
        <v>201.4</v>
      </c>
      <c r="X34" s="1">
        <v>174.7</v>
      </c>
      <c r="Y34" s="1" t="s">
        <v>39</v>
      </c>
      <c r="Z34" s="1" t="s">
        <v>302</v>
      </c>
      <c r="AA34" s="1">
        <v>30.957000000000001</v>
      </c>
      <c r="AB34" s="1">
        <v>110.746</v>
      </c>
      <c r="AC34" s="63" t="s">
        <v>39</v>
      </c>
      <c r="AD34" s="63" t="s">
        <v>39</v>
      </c>
      <c r="AE34" s="63" t="s">
        <v>39</v>
      </c>
      <c r="AF34" s="63" t="s">
        <v>39</v>
      </c>
      <c r="AG34" s="63" t="s">
        <v>39</v>
      </c>
      <c r="AH34" s="1">
        <v>90</v>
      </c>
      <c r="AI34" s="65">
        <v>6</v>
      </c>
      <c r="AJ34" s="65">
        <v>109</v>
      </c>
      <c r="AK34" s="62">
        <v>66.666666666666671</v>
      </c>
      <c r="AL34" s="66">
        <v>5.2173913043478262</v>
      </c>
      <c r="AM34" s="62">
        <v>3.7405573845785267</v>
      </c>
      <c r="AN34" s="66">
        <v>0.62609903369994124</v>
      </c>
      <c r="AO34" s="1" t="s">
        <v>29</v>
      </c>
      <c r="AP34" s="1" t="s">
        <v>470</v>
      </c>
      <c r="AQ34" s="1" t="s">
        <v>471</v>
      </c>
      <c r="AR34" s="1">
        <v>854.77185076718104</v>
      </c>
      <c r="AS34" s="1" t="s">
        <v>451</v>
      </c>
      <c r="AT34" s="1">
        <v>702.55114331128323</v>
      </c>
      <c r="AU34" s="1">
        <v>1006.9925582230788</v>
      </c>
      <c r="AV34" s="67" t="s">
        <v>490</v>
      </c>
      <c r="AW34" s="1" t="s">
        <v>494</v>
      </c>
      <c r="AX34" s="1" t="s">
        <v>39</v>
      </c>
    </row>
    <row r="35" spans="1:50" s="1" customFormat="1">
      <c r="A35" s="1" t="s">
        <v>36</v>
      </c>
      <c r="B35" s="1" t="s">
        <v>290</v>
      </c>
      <c r="C35" s="1">
        <v>2020</v>
      </c>
      <c r="D35" s="11" t="str">
        <f t="shared" si="0"/>
        <v>10.1016/j.palaeo.2019.109547</v>
      </c>
      <c r="E35" s="7">
        <f t="shared" si="1"/>
        <v>188050</v>
      </c>
      <c r="F35" s="7">
        <f t="shared" si="2"/>
        <v>13349.999999999995</v>
      </c>
      <c r="G35" s="7">
        <f t="shared" si="3"/>
        <v>13350.000000000022</v>
      </c>
      <c r="H35" s="8">
        <f t="shared" si="4"/>
        <v>1914.3694666849476</v>
      </c>
      <c r="I35" s="8">
        <f t="shared" si="5"/>
        <v>691.78723128569004</v>
      </c>
      <c r="J35" s="15">
        <f t="shared" si="6"/>
        <v>691.78723128569004</v>
      </c>
      <c r="K35" s="1" t="s">
        <v>291</v>
      </c>
      <c r="L35" s="61" t="s">
        <v>292</v>
      </c>
      <c r="M35" t="s">
        <v>293</v>
      </c>
      <c r="N35" s="1" t="s">
        <v>294</v>
      </c>
      <c r="O35" s="62" t="s">
        <v>333</v>
      </c>
      <c r="P35" s="63" t="s">
        <v>28</v>
      </c>
      <c r="Q35" s="64" t="s">
        <v>296</v>
      </c>
      <c r="R35" s="1" t="s">
        <v>297</v>
      </c>
      <c r="S35" s="1" t="s">
        <v>298</v>
      </c>
      <c r="T35" s="1" t="s">
        <v>299</v>
      </c>
      <c r="U35" s="1" t="s">
        <v>322</v>
      </c>
      <c r="V35" s="1">
        <v>188.05</v>
      </c>
      <c r="W35" s="1">
        <v>201.4</v>
      </c>
      <c r="X35" s="1">
        <v>174.7</v>
      </c>
      <c r="Y35" s="1" t="s">
        <v>39</v>
      </c>
      <c r="Z35" s="1" t="s">
        <v>302</v>
      </c>
      <c r="AA35" s="1">
        <v>30.957000000000001</v>
      </c>
      <c r="AB35" s="1">
        <v>110.746</v>
      </c>
      <c r="AC35" s="63" t="s">
        <v>39</v>
      </c>
      <c r="AD35" s="63" t="s">
        <v>39</v>
      </c>
      <c r="AE35" s="63" t="s">
        <v>39</v>
      </c>
      <c r="AF35" s="63" t="s">
        <v>39</v>
      </c>
      <c r="AG35" s="63" t="s">
        <v>39</v>
      </c>
      <c r="AH35" s="1">
        <v>90</v>
      </c>
      <c r="AI35" s="65">
        <v>3</v>
      </c>
      <c r="AJ35" s="65">
        <v>96</v>
      </c>
      <c r="AK35" s="62">
        <v>33.333333333333336</v>
      </c>
      <c r="AL35" s="66">
        <v>3.0303030303030303</v>
      </c>
      <c r="AM35" s="62">
        <v>2.5660011963983376</v>
      </c>
      <c r="AN35" s="66">
        <v>0.73790243257493071</v>
      </c>
      <c r="AO35" s="1" t="s">
        <v>29</v>
      </c>
      <c r="AP35" s="1" t="s">
        <v>472</v>
      </c>
      <c r="AQ35" s="1" t="s">
        <v>473</v>
      </c>
      <c r="AR35" s="1">
        <v>1914.3694666849476</v>
      </c>
      <c r="AS35" s="1" t="s">
        <v>451</v>
      </c>
      <c r="AT35" s="1">
        <v>1222.5822353992576</v>
      </c>
      <c r="AU35" s="1">
        <v>2606.1566979706377</v>
      </c>
      <c r="AV35" s="67" t="s">
        <v>490</v>
      </c>
      <c r="AW35" s="1" t="s">
        <v>494</v>
      </c>
      <c r="AX35" s="1" t="s">
        <v>39</v>
      </c>
    </row>
    <row r="36" spans="1:50" s="1" customFormat="1">
      <c r="A36" s="1" t="s">
        <v>36</v>
      </c>
      <c r="B36" s="1" t="s">
        <v>290</v>
      </c>
      <c r="C36" s="1">
        <v>2020</v>
      </c>
      <c r="D36" s="11" t="str">
        <f t="shared" si="0"/>
        <v>10.1016/j.palaeo.2019.109547</v>
      </c>
      <c r="E36" s="7">
        <f t="shared" si="1"/>
        <v>188050</v>
      </c>
      <c r="F36" s="7">
        <f t="shared" si="2"/>
        <v>13349.999999999995</v>
      </c>
      <c r="G36" s="7">
        <f t="shared" si="3"/>
        <v>13350.000000000022</v>
      </c>
      <c r="H36" s="8">
        <f t="shared" si="4"/>
        <v>1772.6576319998687</v>
      </c>
      <c r="I36" s="8">
        <f t="shared" si="5"/>
        <v>313.32805888643202</v>
      </c>
      <c r="J36" s="15">
        <f t="shared" si="6"/>
        <v>313.32805888643202</v>
      </c>
      <c r="K36" s="1" t="s">
        <v>291</v>
      </c>
      <c r="L36" s="61" t="s">
        <v>292</v>
      </c>
      <c r="M36" t="s">
        <v>293</v>
      </c>
      <c r="N36" s="1" t="s">
        <v>294</v>
      </c>
      <c r="O36" s="62" t="s">
        <v>334</v>
      </c>
      <c r="P36" s="63" t="s">
        <v>28</v>
      </c>
      <c r="Q36" s="64" t="s">
        <v>296</v>
      </c>
      <c r="R36" s="1" t="s">
        <v>297</v>
      </c>
      <c r="S36" s="1" t="s">
        <v>298</v>
      </c>
      <c r="T36" s="1" t="s">
        <v>299</v>
      </c>
      <c r="U36" s="1" t="s">
        <v>322</v>
      </c>
      <c r="V36" s="1">
        <v>188.05</v>
      </c>
      <c r="W36" s="1">
        <v>201.4</v>
      </c>
      <c r="X36" s="1">
        <v>174.7</v>
      </c>
      <c r="Y36" s="1" t="s">
        <v>39</v>
      </c>
      <c r="Z36" s="1" t="s">
        <v>302</v>
      </c>
      <c r="AA36" s="1">
        <v>30.957000000000001</v>
      </c>
      <c r="AB36" s="1">
        <v>110.746</v>
      </c>
      <c r="AC36" s="63" t="s">
        <v>39</v>
      </c>
      <c r="AD36" s="63" t="s">
        <v>39</v>
      </c>
      <c r="AE36" s="63" t="s">
        <v>39</v>
      </c>
      <c r="AF36" s="63" t="s">
        <v>39</v>
      </c>
      <c r="AG36" s="63" t="s">
        <v>39</v>
      </c>
      <c r="AH36" s="1">
        <v>90</v>
      </c>
      <c r="AI36" s="65">
        <v>3</v>
      </c>
      <c r="AJ36" s="65">
        <v>91</v>
      </c>
      <c r="AK36" s="62">
        <v>33.333333333333336</v>
      </c>
      <c r="AL36" s="66">
        <v>3.1914893617021276</v>
      </c>
      <c r="AM36" s="62">
        <v>6.0178062256562699</v>
      </c>
      <c r="AN36" s="66">
        <v>0.3801315561749643</v>
      </c>
      <c r="AO36" s="1" t="s">
        <v>29</v>
      </c>
      <c r="AP36" s="1" t="s">
        <v>474</v>
      </c>
      <c r="AQ36" s="1" t="s">
        <v>475</v>
      </c>
      <c r="AR36" s="1">
        <v>1772.6576319998687</v>
      </c>
      <c r="AS36" s="1" t="s">
        <v>451</v>
      </c>
      <c r="AT36" s="1">
        <v>1459.3295731134367</v>
      </c>
      <c r="AU36" s="1">
        <v>2085.9856908863007</v>
      </c>
      <c r="AV36" s="67" t="s">
        <v>490</v>
      </c>
      <c r="AW36" s="1" t="s">
        <v>494</v>
      </c>
      <c r="AX36" s="1" t="s">
        <v>39</v>
      </c>
    </row>
    <row r="37" spans="1:50" s="1" customFormat="1">
      <c r="A37" s="1" t="s">
        <v>36</v>
      </c>
      <c r="B37" s="1" t="s">
        <v>290</v>
      </c>
      <c r="C37" s="1">
        <v>2020</v>
      </c>
      <c r="D37" s="11" t="str">
        <f t="shared" si="0"/>
        <v>10.1016/j.palaeo.2019.109547</v>
      </c>
      <c r="E37" s="7">
        <f t="shared" si="1"/>
        <v>188050</v>
      </c>
      <c r="F37" s="7">
        <f t="shared" si="2"/>
        <v>13349.999999999995</v>
      </c>
      <c r="G37" s="7">
        <f t="shared" si="3"/>
        <v>13350.000000000022</v>
      </c>
      <c r="H37" s="8">
        <f t="shared" si="4"/>
        <v>1914.3694666849483</v>
      </c>
      <c r="I37" s="8">
        <f t="shared" si="5"/>
        <v>901.4197256146872</v>
      </c>
      <c r="J37" s="15">
        <f t="shared" si="6"/>
        <v>901.41972561468731</v>
      </c>
      <c r="K37" s="1" t="s">
        <v>291</v>
      </c>
      <c r="L37" s="61" t="s">
        <v>292</v>
      </c>
      <c r="M37" t="s">
        <v>293</v>
      </c>
      <c r="N37" s="1" t="s">
        <v>294</v>
      </c>
      <c r="O37" s="62" t="s">
        <v>335</v>
      </c>
      <c r="P37" s="63" t="s">
        <v>28</v>
      </c>
      <c r="Q37" s="64" t="s">
        <v>296</v>
      </c>
      <c r="R37" s="1" t="s">
        <v>297</v>
      </c>
      <c r="S37" s="1" t="s">
        <v>298</v>
      </c>
      <c r="T37" s="1" t="s">
        <v>299</v>
      </c>
      <c r="U37" s="1" t="s">
        <v>322</v>
      </c>
      <c r="V37" s="1">
        <v>188.05</v>
      </c>
      <c r="W37" s="1">
        <v>201.4</v>
      </c>
      <c r="X37" s="1">
        <v>174.7</v>
      </c>
      <c r="Y37" s="1" t="s">
        <v>39</v>
      </c>
      <c r="Z37" s="1" t="s">
        <v>302</v>
      </c>
      <c r="AA37" s="1">
        <v>30.957000000000001</v>
      </c>
      <c r="AB37" s="1">
        <v>110.746</v>
      </c>
      <c r="AC37" s="63" t="s">
        <v>39</v>
      </c>
      <c r="AD37" s="63" t="s">
        <v>39</v>
      </c>
      <c r="AE37" s="63" t="s">
        <v>39</v>
      </c>
      <c r="AF37" s="63" t="s">
        <v>39</v>
      </c>
      <c r="AG37" s="63" t="s">
        <v>39</v>
      </c>
      <c r="AH37" s="1">
        <v>90</v>
      </c>
      <c r="AI37" s="65">
        <v>3</v>
      </c>
      <c r="AJ37" s="65">
        <v>96</v>
      </c>
      <c r="AK37" s="62">
        <v>33.333333333333336</v>
      </c>
      <c r="AL37" s="66">
        <v>3.0303030303030298</v>
      </c>
      <c r="AM37" s="62">
        <v>5.6655772373253201</v>
      </c>
      <c r="AN37" s="66">
        <v>0.96150923032490965</v>
      </c>
      <c r="AO37" s="1" t="s">
        <v>29</v>
      </c>
      <c r="AP37" s="1" t="s">
        <v>476</v>
      </c>
      <c r="AQ37" s="1" t="s">
        <v>477</v>
      </c>
      <c r="AR37" s="1">
        <v>1914.3694666849483</v>
      </c>
      <c r="AS37" s="1" t="s">
        <v>451</v>
      </c>
      <c r="AT37" s="1">
        <v>1012.949741070261</v>
      </c>
      <c r="AU37" s="1">
        <v>2815.7891922996355</v>
      </c>
      <c r="AV37" s="67" t="s">
        <v>490</v>
      </c>
      <c r="AW37" s="1" t="s">
        <v>494</v>
      </c>
      <c r="AX37" s="1" t="s">
        <v>39</v>
      </c>
    </row>
    <row r="38" spans="1:50" s="1" customFormat="1">
      <c r="A38" s="1" t="s">
        <v>36</v>
      </c>
      <c r="B38" s="1" t="s">
        <v>290</v>
      </c>
      <c r="C38" s="1">
        <v>2020</v>
      </c>
      <c r="D38" s="11" t="str">
        <f t="shared" si="0"/>
        <v>10.1016/j.palaeo.2019.109547</v>
      </c>
      <c r="E38" s="7">
        <f t="shared" si="1"/>
        <v>188050</v>
      </c>
      <c r="F38" s="7">
        <f t="shared" si="2"/>
        <v>13349.999999999995</v>
      </c>
      <c r="G38" s="7">
        <f t="shared" si="3"/>
        <v>13350.000000000022</v>
      </c>
      <c r="H38" s="8">
        <f t="shared" si="4"/>
        <v>1744.7444508705344</v>
      </c>
      <c r="I38" s="8">
        <f t="shared" si="5"/>
        <v>699.96613620311336</v>
      </c>
      <c r="J38" s="15">
        <f t="shared" si="6"/>
        <v>699.96613620311314</v>
      </c>
      <c r="K38" s="1" t="s">
        <v>291</v>
      </c>
      <c r="L38" s="61" t="s">
        <v>292</v>
      </c>
      <c r="M38" t="s">
        <v>293</v>
      </c>
      <c r="N38" s="1" t="s">
        <v>294</v>
      </c>
      <c r="O38" s="62" t="s">
        <v>336</v>
      </c>
      <c r="P38" s="63" t="s">
        <v>28</v>
      </c>
      <c r="Q38" s="64" t="s">
        <v>296</v>
      </c>
      <c r="R38" s="1" t="s">
        <v>297</v>
      </c>
      <c r="S38" s="1" t="s">
        <v>298</v>
      </c>
      <c r="T38" s="1" t="s">
        <v>299</v>
      </c>
      <c r="U38" s="1" t="s">
        <v>322</v>
      </c>
      <c r="V38" s="1">
        <v>188.05</v>
      </c>
      <c r="W38" s="1">
        <v>201.4</v>
      </c>
      <c r="X38" s="1">
        <v>174.7</v>
      </c>
      <c r="Y38" s="1" t="s">
        <v>39</v>
      </c>
      <c r="Z38" s="1" t="s">
        <v>302</v>
      </c>
      <c r="AA38" s="1">
        <v>30.957000000000001</v>
      </c>
      <c r="AB38" s="1">
        <v>110.746</v>
      </c>
      <c r="AC38" s="63" t="s">
        <v>39</v>
      </c>
      <c r="AD38" s="63" t="s">
        <v>39</v>
      </c>
      <c r="AE38" s="63" t="s">
        <v>39</v>
      </c>
      <c r="AF38" s="63" t="s">
        <v>39</v>
      </c>
      <c r="AG38" s="63" t="s">
        <v>39</v>
      </c>
      <c r="AH38" s="1">
        <v>90</v>
      </c>
      <c r="AI38" s="65">
        <v>3</v>
      </c>
      <c r="AJ38" s="65">
        <v>90</v>
      </c>
      <c r="AK38" s="62">
        <v>33.333333333333336</v>
      </c>
      <c r="AL38" s="66">
        <v>3.225806451612903</v>
      </c>
      <c r="AM38" s="62">
        <v>3.56</v>
      </c>
      <c r="AN38" s="66">
        <v>0.87206651122491807</v>
      </c>
      <c r="AO38" s="1" t="s">
        <v>29</v>
      </c>
      <c r="AP38" s="1" t="s">
        <v>478</v>
      </c>
      <c r="AQ38" s="1" t="s">
        <v>479</v>
      </c>
      <c r="AR38" s="1">
        <v>1744.7444508705344</v>
      </c>
      <c r="AS38" s="1" t="s">
        <v>451</v>
      </c>
      <c r="AT38" s="1">
        <v>1044.7783146674212</v>
      </c>
      <c r="AU38" s="1">
        <v>2444.7105870736477</v>
      </c>
      <c r="AV38" s="67" t="s">
        <v>490</v>
      </c>
      <c r="AW38" s="1" t="s">
        <v>494</v>
      </c>
      <c r="AX38" s="1" t="s">
        <v>39</v>
      </c>
    </row>
    <row r="39" spans="1:50" s="1" customFormat="1">
      <c r="A39" s="1" t="s">
        <v>36</v>
      </c>
      <c r="B39" s="1" t="s">
        <v>290</v>
      </c>
      <c r="C39" s="1">
        <v>2020</v>
      </c>
      <c r="D39" s="11" t="str">
        <f t="shared" si="0"/>
        <v>10.1016/j.palaeo.2019.109547</v>
      </c>
      <c r="E39" s="7">
        <f t="shared" si="1"/>
        <v>188050</v>
      </c>
      <c r="F39" s="7">
        <f t="shared" si="2"/>
        <v>13349.999999999995</v>
      </c>
      <c r="G39" s="7">
        <f t="shared" si="3"/>
        <v>13350.000000000022</v>
      </c>
      <c r="H39" s="8">
        <f t="shared" si="4"/>
        <v>1800.7149090293503</v>
      </c>
      <c r="I39" s="8">
        <f t="shared" si="5"/>
        <v>340.59535366918203</v>
      </c>
      <c r="J39" s="15">
        <f t="shared" si="6"/>
        <v>340.59535366918203</v>
      </c>
      <c r="K39" s="1" t="s">
        <v>291</v>
      </c>
      <c r="L39" s="61" t="s">
        <v>292</v>
      </c>
      <c r="M39" t="s">
        <v>293</v>
      </c>
      <c r="N39" s="1" t="s">
        <v>294</v>
      </c>
      <c r="O39" s="62" t="s">
        <v>337</v>
      </c>
      <c r="P39" s="63" t="s">
        <v>28</v>
      </c>
      <c r="Q39" s="64" t="s">
        <v>296</v>
      </c>
      <c r="R39" s="1" t="s">
        <v>297</v>
      </c>
      <c r="S39" s="1" t="s">
        <v>298</v>
      </c>
      <c r="T39" s="1" t="s">
        <v>299</v>
      </c>
      <c r="U39" s="1" t="s">
        <v>322</v>
      </c>
      <c r="V39" s="1">
        <v>188.05</v>
      </c>
      <c r="W39" s="1">
        <v>201.4</v>
      </c>
      <c r="X39" s="1">
        <v>174.7</v>
      </c>
      <c r="Y39" s="1" t="s">
        <v>39</v>
      </c>
      <c r="Z39" s="1" t="s">
        <v>302</v>
      </c>
      <c r="AA39" s="1">
        <v>30.957000000000001</v>
      </c>
      <c r="AB39" s="1">
        <v>110.746</v>
      </c>
      <c r="AC39" s="63" t="s">
        <v>39</v>
      </c>
      <c r="AD39" s="63" t="s">
        <v>39</v>
      </c>
      <c r="AE39" s="63" t="s">
        <v>39</v>
      </c>
      <c r="AF39" s="63" t="s">
        <v>39</v>
      </c>
      <c r="AG39" s="63" t="s">
        <v>39</v>
      </c>
      <c r="AH39" s="1">
        <v>90</v>
      </c>
      <c r="AI39" s="65">
        <v>3</v>
      </c>
      <c r="AJ39" s="65">
        <v>92</v>
      </c>
      <c r="AK39" s="62">
        <v>33.333333333333336</v>
      </c>
      <c r="AL39" s="66">
        <v>3.1578947368421053</v>
      </c>
      <c r="AM39" s="62">
        <v>4.49</v>
      </c>
      <c r="AN39" s="66">
        <v>0.40249223594996214</v>
      </c>
      <c r="AO39" s="1" t="s">
        <v>29</v>
      </c>
      <c r="AP39" s="1" t="s">
        <v>480</v>
      </c>
      <c r="AQ39" s="1" t="s">
        <v>481</v>
      </c>
      <c r="AR39" s="1">
        <v>1800.7149090293503</v>
      </c>
      <c r="AS39" s="1" t="s">
        <v>451</v>
      </c>
      <c r="AT39" s="1">
        <v>1460.1195553601683</v>
      </c>
      <c r="AU39" s="1">
        <v>2141.3102626985324</v>
      </c>
      <c r="AV39" s="67" t="s">
        <v>490</v>
      </c>
      <c r="AW39" s="1" t="s">
        <v>494</v>
      </c>
      <c r="AX39" s="1" t="s">
        <v>39</v>
      </c>
    </row>
    <row r="40" spans="1:50" s="1" customFormat="1">
      <c r="A40" s="1" t="s">
        <v>36</v>
      </c>
      <c r="B40" s="1" t="s">
        <v>290</v>
      </c>
      <c r="C40" s="1">
        <v>2020</v>
      </c>
      <c r="D40" s="11" t="str">
        <f t="shared" si="0"/>
        <v>10.1016/j.palaeo.2019.109547</v>
      </c>
      <c r="E40" s="7">
        <f t="shared" si="1"/>
        <v>188050</v>
      </c>
      <c r="F40" s="7">
        <f t="shared" si="2"/>
        <v>13349.999999999995</v>
      </c>
      <c r="G40" s="7">
        <f t="shared" si="3"/>
        <v>13350.000000000022</v>
      </c>
      <c r="H40" s="8">
        <f t="shared" si="4"/>
        <v>1193.3959366136683</v>
      </c>
      <c r="I40" s="8">
        <f t="shared" si="5"/>
        <v>351.65469787291977</v>
      </c>
      <c r="J40" s="15">
        <f t="shared" si="6"/>
        <v>351.65469787291988</v>
      </c>
      <c r="K40" s="1" t="s">
        <v>291</v>
      </c>
      <c r="L40" s="61" t="s">
        <v>292</v>
      </c>
      <c r="M40" t="s">
        <v>293</v>
      </c>
      <c r="N40" s="1" t="s">
        <v>294</v>
      </c>
      <c r="O40" s="62" t="s">
        <v>338</v>
      </c>
      <c r="P40" s="63" t="s">
        <v>28</v>
      </c>
      <c r="Q40" s="64" t="s">
        <v>296</v>
      </c>
      <c r="R40" s="1" t="s">
        <v>297</v>
      </c>
      <c r="S40" s="1" t="s">
        <v>298</v>
      </c>
      <c r="T40" s="1" t="s">
        <v>299</v>
      </c>
      <c r="U40" s="1" t="s">
        <v>322</v>
      </c>
      <c r="V40" s="1">
        <v>188.05</v>
      </c>
      <c r="W40" s="1">
        <v>201.4</v>
      </c>
      <c r="X40" s="1">
        <v>174.7</v>
      </c>
      <c r="Y40" s="1" t="s">
        <v>39</v>
      </c>
      <c r="Z40" s="1" t="s">
        <v>302</v>
      </c>
      <c r="AA40" s="1">
        <v>30.957000000000001</v>
      </c>
      <c r="AB40" s="1">
        <v>110.746</v>
      </c>
      <c r="AC40" s="63" t="s">
        <v>39</v>
      </c>
      <c r="AD40" s="63" t="s">
        <v>39</v>
      </c>
      <c r="AE40" s="63" t="s">
        <v>39</v>
      </c>
      <c r="AF40" s="63" t="s">
        <v>39</v>
      </c>
      <c r="AG40" s="63" t="s">
        <v>39</v>
      </c>
      <c r="AH40" s="1">
        <v>90</v>
      </c>
      <c r="AI40" s="65">
        <v>5</v>
      </c>
      <c r="AJ40" s="65">
        <v>115</v>
      </c>
      <c r="AK40" s="62">
        <v>55.555555555555557</v>
      </c>
      <c r="AL40" s="66">
        <f>AJ40/(AK40+AJ40)*100</f>
        <v>67.426710097719877</v>
      </c>
      <c r="AM40" s="62">
        <v>4.04</v>
      </c>
      <c r="AN40" s="66">
        <v>0.82734515167492217</v>
      </c>
      <c r="AO40" s="1" t="s">
        <v>29</v>
      </c>
      <c r="AP40" s="1" t="s">
        <v>482</v>
      </c>
      <c r="AQ40" s="1" t="s">
        <v>483</v>
      </c>
      <c r="AR40" s="1">
        <v>1193.3959366136683</v>
      </c>
      <c r="AS40" s="1" t="s">
        <v>451</v>
      </c>
      <c r="AT40" s="1">
        <v>841.74123874074837</v>
      </c>
      <c r="AU40" s="1">
        <v>1545.050634486588</v>
      </c>
      <c r="AV40" s="67" t="s">
        <v>490</v>
      </c>
      <c r="AW40" s="1" t="s">
        <v>494</v>
      </c>
      <c r="AX40" s="1" t="s">
        <v>39</v>
      </c>
    </row>
    <row r="41" spans="1:50" s="1" customFormat="1">
      <c r="A41" s="1" t="s">
        <v>36</v>
      </c>
      <c r="B41" s="1" t="s">
        <v>290</v>
      </c>
      <c r="C41" s="1">
        <v>2020</v>
      </c>
      <c r="D41" s="11" t="str">
        <f t="shared" si="0"/>
        <v>10.1016/j.palaeo.2019.109547</v>
      </c>
      <c r="E41" s="7">
        <f t="shared" si="1"/>
        <v>188050</v>
      </c>
      <c r="F41" s="7">
        <f t="shared" si="2"/>
        <v>13349.999999999995</v>
      </c>
      <c r="G41" s="7">
        <f t="shared" si="3"/>
        <v>13350.000000000022</v>
      </c>
      <c r="H41" s="8">
        <f t="shared" si="4"/>
        <v>1072.5020655879248</v>
      </c>
      <c r="I41" s="8">
        <f t="shared" si="5"/>
        <v>437.15281353745149</v>
      </c>
      <c r="J41" s="15">
        <f t="shared" si="6"/>
        <v>437.15281353745149</v>
      </c>
      <c r="K41" s="1" t="s">
        <v>291</v>
      </c>
      <c r="L41" s="61" t="s">
        <v>292</v>
      </c>
      <c r="M41" t="s">
        <v>293</v>
      </c>
      <c r="N41" s="1" t="s">
        <v>294</v>
      </c>
      <c r="O41" s="62" t="s">
        <v>339</v>
      </c>
      <c r="P41" s="63" t="s">
        <v>28</v>
      </c>
      <c r="Q41" s="64" t="s">
        <v>296</v>
      </c>
      <c r="R41" s="1" t="s">
        <v>297</v>
      </c>
      <c r="S41" s="1" t="s">
        <v>298</v>
      </c>
      <c r="T41" s="1" t="s">
        <v>299</v>
      </c>
      <c r="U41" s="1" t="s">
        <v>322</v>
      </c>
      <c r="V41" s="1">
        <v>188.05</v>
      </c>
      <c r="W41" s="1">
        <v>201.4</v>
      </c>
      <c r="X41" s="1">
        <v>174.7</v>
      </c>
      <c r="Y41" s="1" t="s">
        <v>39</v>
      </c>
      <c r="Z41" s="1" t="s">
        <v>302</v>
      </c>
      <c r="AA41" s="1">
        <v>30.957000000000001</v>
      </c>
      <c r="AB41" s="1">
        <v>110.746</v>
      </c>
      <c r="AC41" s="63" t="s">
        <v>39</v>
      </c>
      <c r="AD41" s="63" t="s">
        <v>39</v>
      </c>
      <c r="AE41" s="63" t="s">
        <v>39</v>
      </c>
      <c r="AF41" s="63" t="s">
        <v>39</v>
      </c>
      <c r="AG41" s="63" t="s">
        <v>39</v>
      </c>
      <c r="AH41" s="1">
        <v>90</v>
      </c>
      <c r="AI41" s="65">
        <v>6</v>
      </c>
      <c r="AJ41" s="65">
        <v>128</v>
      </c>
      <c r="AK41" s="62">
        <v>66.666666666666671</v>
      </c>
      <c r="AL41" s="66">
        <f t="shared" ref="AL41:AL43" si="8">AJ41/(AK41+AJ41)*100</f>
        <v>65.753424657534239</v>
      </c>
      <c r="AM41" s="62">
        <v>5.4433105395182002</v>
      </c>
      <c r="AN41" s="66">
        <v>1.2298373876248845</v>
      </c>
      <c r="AO41" s="1" t="s">
        <v>29</v>
      </c>
      <c r="AP41" s="1" t="s">
        <v>484</v>
      </c>
      <c r="AQ41" s="1" t="s">
        <v>485</v>
      </c>
      <c r="AR41" s="1">
        <v>1072.5020655879248</v>
      </c>
      <c r="AS41" s="1" t="s">
        <v>451</v>
      </c>
      <c r="AT41" s="1">
        <v>635.3492520504733</v>
      </c>
      <c r="AU41" s="1">
        <v>1509.6548791253763</v>
      </c>
      <c r="AV41" s="67" t="s">
        <v>490</v>
      </c>
      <c r="AW41" s="1" t="s">
        <v>494</v>
      </c>
      <c r="AX41" s="1" t="s">
        <v>39</v>
      </c>
    </row>
    <row r="42" spans="1:50" s="1" customFormat="1">
      <c r="A42" s="1" t="s">
        <v>36</v>
      </c>
      <c r="B42" s="1" t="s">
        <v>290</v>
      </c>
      <c r="C42" s="1">
        <v>2020</v>
      </c>
      <c r="D42" s="11" t="str">
        <f t="shared" si="0"/>
        <v>10.1016/j.palaeo.2019.109547</v>
      </c>
      <c r="E42" s="7">
        <f t="shared" si="1"/>
        <v>188050</v>
      </c>
      <c r="F42" s="7">
        <f t="shared" si="2"/>
        <v>13349.999999999995</v>
      </c>
      <c r="G42" s="7">
        <f t="shared" si="3"/>
        <v>13350.000000000022</v>
      </c>
      <c r="H42" s="8">
        <f t="shared" si="4"/>
        <v>1267.9264011659975</v>
      </c>
      <c r="I42" s="8">
        <f t="shared" si="5"/>
        <v>231.40654466793467</v>
      </c>
      <c r="J42" s="15">
        <f t="shared" si="6"/>
        <v>231.40654466793467</v>
      </c>
      <c r="K42" s="1" t="s">
        <v>291</v>
      </c>
      <c r="L42" s="61" t="s">
        <v>292</v>
      </c>
      <c r="M42" t="s">
        <v>293</v>
      </c>
      <c r="N42" s="1" t="s">
        <v>294</v>
      </c>
      <c r="O42" s="62" t="s">
        <v>340</v>
      </c>
      <c r="P42" s="63" t="s">
        <v>28</v>
      </c>
      <c r="Q42" s="64" t="s">
        <v>296</v>
      </c>
      <c r="R42" s="1" t="s">
        <v>297</v>
      </c>
      <c r="S42" s="1" t="s">
        <v>298</v>
      </c>
      <c r="T42" s="1" t="s">
        <v>299</v>
      </c>
      <c r="U42" s="1" t="s">
        <v>322</v>
      </c>
      <c r="V42" s="1">
        <v>188.05</v>
      </c>
      <c r="W42" s="1">
        <v>201.4</v>
      </c>
      <c r="X42" s="1">
        <v>174.7</v>
      </c>
      <c r="Y42" s="1" t="s">
        <v>39</v>
      </c>
      <c r="Z42" s="1" t="s">
        <v>302</v>
      </c>
      <c r="AA42" s="1">
        <v>30.957000000000001</v>
      </c>
      <c r="AB42" s="1">
        <v>110.746</v>
      </c>
      <c r="AC42" s="63" t="s">
        <v>39</v>
      </c>
      <c r="AD42" s="63" t="s">
        <v>39</v>
      </c>
      <c r="AE42" s="63" t="s">
        <v>39</v>
      </c>
      <c r="AF42" s="63" t="s">
        <v>39</v>
      </c>
      <c r="AG42" s="63" t="s">
        <v>39</v>
      </c>
      <c r="AH42" s="1">
        <v>90</v>
      </c>
      <c r="AI42" s="65">
        <v>5</v>
      </c>
      <c r="AJ42" s="65">
        <v>120</v>
      </c>
      <c r="AK42" s="62">
        <v>55.555555555555557</v>
      </c>
      <c r="AL42" s="66">
        <f t="shared" si="8"/>
        <v>68.354430379746844</v>
      </c>
      <c r="AM42" s="62">
        <v>6.6046498148618484</v>
      </c>
      <c r="AN42" s="66">
        <v>0.49193495504995377</v>
      </c>
      <c r="AO42" s="1" t="s">
        <v>29</v>
      </c>
      <c r="AP42" s="1" t="s">
        <v>486</v>
      </c>
      <c r="AQ42" s="1" t="s">
        <v>487</v>
      </c>
      <c r="AR42" s="1">
        <v>1267.9264011659975</v>
      </c>
      <c r="AS42" s="1" t="s">
        <v>451</v>
      </c>
      <c r="AT42" s="1">
        <v>1036.5198564980628</v>
      </c>
      <c r="AU42" s="1">
        <v>1499.3329458339322</v>
      </c>
      <c r="AV42" s="67" t="s">
        <v>490</v>
      </c>
      <c r="AW42" s="1" t="s">
        <v>494</v>
      </c>
      <c r="AX42" s="1" t="s">
        <v>39</v>
      </c>
    </row>
    <row r="43" spans="1:50" s="1" customFormat="1">
      <c r="A43" s="1" t="s">
        <v>36</v>
      </c>
      <c r="B43" s="1" t="s">
        <v>290</v>
      </c>
      <c r="C43" s="1">
        <v>2020</v>
      </c>
      <c r="D43" s="11" t="str">
        <f t="shared" si="0"/>
        <v>10.1016/j.palaeo.2019.109547</v>
      </c>
      <c r="E43" s="7">
        <f t="shared" si="1"/>
        <v>188050</v>
      </c>
      <c r="F43" s="7">
        <f t="shared" si="2"/>
        <v>13349.999999999995</v>
      </c>
      <c r="G43" s="7">
        <f t="shared" si="3"/>
        <v>13350.000000000022</v>
      </c>
      <c r="H43" s="8">
        <f t="shared" si="4"/>
        <v>1421.3299192045963</v>
      </c>
      <c r="I43" s="8">
        <f t="shared" si="5"/>
        <v>343.82807006428948</v>
      </c>
      <c r="J43" s="15">
        <f t="shared" si="6"/>
        <v>343.82807006428948</v>
      </c>
      <c r="K43" s="1" t="s">
        <v>291</v>
      </c>
      <c r="L43" s="61" t="s">
        <v>292</v>
      </c>
      <c r="M43" t="s">
        <v>293</v>
      </c>
      <c r="N43" s="1" t="s">
        <v>294</v>
      </c>
      <c r="O43" s="62" t="s">
        <v>341</v>
      </c>
      <c r="P43" s="63" t="s">
        <v>28</v>
      </c>
      <c r="Q43" s="64" t="s">
        <v>296</v>
      </c>
      <c r="R43" s="1" t="s">
        <v>297</v>
      </c>
      <c r="S43" s="1" t="s">
        <v>298</v>
      </c>
      <c r="T43" s="1" t="s">
        <v>299</v>
      </c>
      <c r="U43" s="1" t="s">
        <v>322</v>
      </c>
      <c r="V43" s="1">
        <v>188.05</v>
      </c>
      <c r="W43" s="1">
        <v>201.4</v>
      </c>
      <c r="X43" s="1">
        <v>174.7</v>
      </c>
      <c r="Y43" s="1" t="s">
        <v>39</v>
      </c>
      <c r="Z43" s="1" t="s">
        <v>302</v>
      </c>
      <c r="AA43" s="1">
        <v>30.957000000000001</v>
      </c>
      <c r="AB43" s="1">
        <v>110.746</v>
      </c>
      <c r="AC43" s="63" t="s">
        <v>39</v>
      </c>
      <c r="AD43" s="63" t="s">
        <v>39</v>
      </c>
      <c r="AE43" s="63" t="s">
        <v>39</v>
      </c>
      <c r="AF43" s="63" t="s">
        <v>39</v>
      </c>
      <c r="AG43" s="63" t="s">
        <v>39</v>
      </c>
      <c r="AH43" s="1">
        <v>90</v>
      </c>
      <c r="AI43" s="65">
        <v>4</v>
      </c>
      <c r="AJ43" s="65">
        <v>104</v>
      </c>
      <c r="AK43" s="62">
        <v>44.444444444444443</v>
      </c>
      <c r="AL43" s="66">
        <f t="shared" si="8"/>
        <v>70.05988023952095</v>
      </c>
      <c r="AM43" s="62">
        <v>3.7405573845785267</v>
      </c>
      <c r="AN43" s="66">
        <v>0.60373835392494324</v>
      </c>
      <c r="AO43" s="1" t="s">
        <v>29</v>
      </c>
      <c r="AP43" s="1" t="s">
        <v>488</v>
      </c>
      <c r="AQ43" s="1" t="s">
        <v>489</v>
      </c>
      <c r="AR43" s="1">
        <v>1421.3299192045963</v>
      </c>
      <c r="AS43" s="1" t="s">
        <v>451</v>
      </c>
      <c r="AT43" s="1">
        <v>1077.5018491403068</v>
      </c>
      <c r="AU43" s="1">
        <v>1765.1579892688858</v>
      </c>
      <c r="AV43" s="67" t="s">
        <v>490</v>
      </c>
      <c r="AW43" s="1" t="s">
        <v>494</v>
      </c>
      <c r="AX43" s="1" t="s">
        <v>39</v>
      </c>
    </row>
    <row r="44" spans="1:50" s="1" customFormat="1">
      <c r="A44" s="1" t="s">
        <v>36</v>
      </c>
      <c r="B44" s="1" t="s">
        <v>290</v>
      </c>
      <c r="C44" s="1">
        <v>2020</v>
      </c>
      <c r="D44" s="11" t="str">
        <f t="shared" si="0"/>
        <v>10.1016/j.palaeo.2019.109547</v>
      </c>
      <c r="E44" s="7">
        <f t="shared" si="1"/>
        <v>188050</v>
      </c>
      <c r="F44" s="7">
        <f t="shared" si="2"/>
        <v>13349.999999999995</v>
      </c>
      <c r="G44" s="7">
        <f t="shared" si="3"/>
        <v>13350.000000000022</v>
      </c>
      <c r="H44" s="8">
        <f t="shared" si="4"/>
        <v>746.82618445852802</v>
      </c>
      <c r="I44" s="8">
        <f t="shared" si="5"/>
        <v>112.75864180880762</v>
      </c>
      <c r="J44" s="15">
        <f t="shared" si="6"/>
        <v>112.75864180880762</v>
      </c>
      <c r="K44" s="1" t="s">
        <v>291</v>
      </c>
      <c r="L44" s="61" t="s">
        <v>292</v>
      </c>
      <c r="M44" t="s">
        <v>293</v>
      </c>
      <c r="N44" s="1" t="s">
        <v>294</v>
      </c>
      <c r="O44" s="62" t="s">
        <v>342</v>
      </c>
      <c r="P44" s="63" t="s">
        <v>28</v>
      </c>
      <c r="Q44" s="64" t="s">
        <v>296</v>
      </c>
      <c r="R44" s="1" t="s">
        <v>297</v>
      </c>
      <c r="S44" s="1" t="s">
        <v>298</v>
      </c>
      <c r="T44" s="1" t="s">
        <v>299</v>
      </c>
      <c r="U44" s="1" t="s">
        <v>343</v>
      </c>
      <c r="V44" s="1">
        <v>188.05</v>
      </c>
      <c r="W44" s="1">
        <v>201.4</v>
      </c>
      <c r="X44" s="1">
        <v>174.7</v>
      </c>
      <c r="Y44" s="1" t="s">
        <v>39</v>
      </c>
      <c r="Z44" s="1" t="s">
        <v>302</v>
      </c>
      <c r="AA44" s="1">
        <v>30.957000000000001</v>
      </c>
      <c r="AB44" s="1">
        <v>110.746</v>
      </c>
      <c r="AC44" s="63" t="s">
        <v>39</v>
      </c>
      <c r="AD44" s="63" t="s">
        <v>39</v>
      </c>
      <c r="AE44" s="63" t="s">
        <v>39</v>
      </c>
      <c r="AF44" s="63" t="s">
        <v>39</v>
      </c>
      <c r="AG44" s="63" t="s">
        <v>39</v>
      </c>
      <c r="AH44" s="1">
        <v>90</v>
      </c>
      <c r="AI44" s="65">
        <v>6</v>
      </c>
      <c r="AJ44" s="65">
        <v>99</v>
      </c>
      <c r="AK44" s="62">
        <v>66.666666666666671</v>
      </c>
      <c r="AL44" s="66">
        <v>5.7142857142857144</v>
      </c>
      <c r="AM44" s="62">
        <v>2.7216552697590872</v>
      </c>
      <c r="AN44" s="66">
        <v>0.58137767414994534</v>
      </c>
      <c r="AO44" s="1" t="s">
        <v>29</v>
      </c>
      <c r="AP44" s="1" t="s">
        <v>449</v>
      </c>
      <c r="AQ44" s="1" t="s">
        <v>450</v>
      </c>
      <c r="AR44" s="1">
        <v>746.82618445852802</v>
      </c>
      <c r="AS44" s="1" t="s">
        <v>451</v>
      </c>
      <c r="AT44" s="1">
        <v>634.06754264972039</v>
      </c>
      <c r="AU44" s="1">
        <v>859.58482626733564</v>
      </c>
      <c r="AV44" s="67" t="s">
        <v>490</v>
      </c>
      <c r="AW44" s="1" t="s">
        <v>494</v>
      </c>
      <c r="AX44" s="1" t="s">
        <v>39</v>
      </c>
    </row>
    <row r="45" spans="1:50" s="1" customFormat="1">
      <c r="A45" s="1" t="s">
        <v>36</v>
      </c>
      <c r="B45" s="1" t="s">
        <v>290</v>
      </c>
      <c r="C45" s="1">
        <v>2020</v>
      </c>
      <c r="D45" s="11" t="str">
        <f t="shared" si="0"/>
        <v>10.1016/j.palaeo.2019.109547</v>
      </c>
      <c r="E45" s="7">
        <f t="shared" si="1"/>
        <v>188050</v>
      </c>
      <c r="F45" s="7">
        <f t="shared" si="2"/>
        <v>13349.999999999995</v>
      </c>
      <c r="G45" s="7">
        <f t="shared" si="3"/>
        <v>13350.000000000022</v>
      </c>
      <c r="H45" s="8">
        <f t="shared" si="4"/>
        <v>910.49923586334637</v>
      </c>
      <c r="I45" s="8">
        <f t="shared" si="5"/>
        <v>247.74924583827703</v>
      </c>
      <c r="J45" s="15">
        <f t="shared" si="6"/>
        <v>247.74924583827703</v>
      </c>
      <c r="K45" s="1" t="s">
        <v>291</v>
      </c>
      <c r="L45" s="61" t="s">
        <v>292</v>
      </c>
      <c r="M45" t="s">
        <v>293</v>
      </c>
      <c r="N45" s="1" t="s">
        <v>294</v>
      </c>
      <c r="O45" s="62" t="s">
        <v>344</v>
      </c>
      <c r="P45" s="63" t="s">
        <v>28</v>
      </c>
      <c r="Q45" s="64" t="s">
        <v>296</v>
      </c>
      <c r="R45" s="1" t="s">
        <v>297</v>
      </c>
      <c r="S45" s="1" t="s">
        <v>298</v>
      </c>
      <c r="T45" s="1" t="s">
        <v>299</v>
      </c>
      <c r="U45" s="1" t="s">
        <v>343</v>
      </c>
      <c r="V45" s="1">
        <v>188.05</v>
      </c>
      <c r="W45" s="1">
        <v>201.4</v>
      </c>
      <c r="X45" s="1">
        <v>174.7</v>
      </c>
      <c r="Y45" s="1" t="s">
        <v>39</v>
      </c>
      <c r="Z45" s="1" t="s">
        <v>302</v>
      </c>
      <c r="AA45" s="1">
        <v>30.957000000000001</v>
      </c>
      <c r="AB45" s="1">
        <v>110.746</v>
      </c>
      <c r="AC45" s="63" t="s">
        <v>39</v>
      </c>
      <c r="AD45" s="63" t="s">
        <v>39</v>
      </c>
      <c r="AE45" s="63" t="s">
        <v>39</v>
      </c>
      <c r="AF45" s="63" t="s">
        <v>39</v>
      </c>
      <c r="AG45" s="63" t="s">
        <v>39</v>
      </c>
      <c r="AH45" s="1">
        <v>90</v>
      </c>
      <c r="AI45" s="65">
        <v>5</v>
      </c>
      <c r="AJ45" s="65">
        <v>95</v>
      </c>
      <c r="AK45" s="62">
        <v>55.555555555555557</v>
      </c>
      <c r="AL45" s="66">
        <v>5</v>
      </c>
      <c r="AM45" s="62">
        <v>3.5136418446315587</v>
      </c>
      <c r="AN45" s="66">
        <v>0.91678787077491375</v>
      </c>
      <c r="AO45" s="1" t="s">
        <v>29</v>
      </c>
      <c r="AP45" s="1" t="s">
        <v>452</v>
      </c>
      <c r="AQ45" s="1" t="s">
        <v>453</v>
      </c>
      <c r="AR45" s="1">
        <v>910.49923586334637</v>
      </c>
      <c r="AS45" s="1" t="s">
        <v>451</v>
      </c>
      <c r="AT45" s="1">
        <v>662.74999002506934</v>
      </c>
      <c r="AU45" s="1">
        <v>1158.2484817016234</v>
      </c>
      <c r="AV45" s="67" t="s">
        <v>490</v>
      </c>
      <c r="AW45" s="1" t="s">
        <v>494</v>
      </c>
      <c r="AX45" s="1" t="s">
        <v>39</v>
      </c>
    </row>
    <row r="46" spans="1:50" s="1" customFormat="1">
      <c r="A46" s="1" t="s">
        <v>36</v>
      </c>
      <c r="B46" s="1" t="s">
        <v>290</v>
      </c>
      <c r="C46" s="1">
        <v>2020</v>
      </c>
      <c r="D46" s="11" t="str">
        <f t="shared" si="0"/>
        <v>10.1016/j.palaeo.2019.109547</v>
      </c>
      <c r="E46" s="7">
        <f t="shared" si="1"/>
        <v>188050</v>
      </c>
      <c r="F46" s="7">
        <f t="shared" si="2"/>
        <v>13349.999999999995</v>
      </c>
      <c r="G46" s="7">
        <f t="shared" si="3"/>
        <v>13350.000000000022</v>
      </c>
      <c r="H46" s="8">
        <f t="shared" si="4"/>
        <v>663.96298718285982</v>
      </c>
      <c r="I46" s="8">
        <f t="shared" si="5"/>
        <v>96.171639834579423</v>
      </c>
      <c r="J46" s="15">
        <f t="shared" si="6"/>
        <v>96.171639834579423</v>
      </c>
      <c r="K46" s="1" t="s">
        <v>291</v>
      </c>
      <c r="L46" s="61" t="s">
        <v>292</v>
      </c>
      <c r="M46" t="s">
        <v>293</v>
      </c>
      <c r="N46" s="1" t="s">
        <v>294</v>
      </c>
      <c r="O46" s="62" t="s">
        <v>345</v>
      </c>
      <c r="P46" s="63" t="s">
        <v>28</v>
      </c>
      <c r="Q46" s="64" t="s">
        <v>296</v>
      </c>
      <c r="R46" s="1" t="s">
        <v>297</v>
      </c>
      <c r="S46" s="1" t="s">
        <v>298</v>
      </c>
      <c r="T46" s="1" t="s">
        <v>299</v>
      </c>
      <c r="U46" s="1" t="s">
        <v>343</v>
      </c>
      <c r="V46" s="1">
        <v>188.05</v>
      </c>
      <c r="W46" s="1">
        <v>201.4</v>
      </c>
      <c r="X46" s="1">
        <v>174.7</v>
      </c>
      <c r="Y46" s="1" t="s">
        <v>39</v>
      </c>
      <c r="Z46" s="1" t="s">
        <v>302</v>
      </c>
      <c r="AA46" s="1">
        <v>30.957000000000001</v>
      </c>
      <c r="AB46" s="1">
        <v>110.746</v>
      </c>
      <c r="AC46" s="63" t="s">
        <v>39</v>
      </c>
      <c r="AD46" s="63" t="s">
        <v>39</v>
      </c>
      <c r="AE46" s="63" t="s">
        <v>39</v>
      </c>
      <c r="AF46" s="63" t="s">
        <v>39</v>
      </c>
      <c r="AG46" s="63" t="s">
        <v>39</v>
      </c>
      <c r="AH46" s="1">
        <v>90</v>
      </c>
      <c r="AI46" s="65">
        <v>6</v>
      </c>
      <c r="AJ46" s="65">
        <v>91</v>
      </c>
      <c r="AK46" s="62">
        <v>66.666666666666671</v>
      </c>
      <c r="AL46" s="66">
        <v>6.1855670103092786</v>
      </c>
      <c r="AM46" s="62">
        <v>4.3805629641549997</v>
      </c>
      <c r="AN46" s="66">
        <v>0.60373835392494324</v>
      </c>
      <c r="AO46" s="1" t="s">
        <v>29</v>
      </c>
      <c r="AP46" s="1" t="s">
        <v>454</v>
      </c>
      <c r="AQ46" s="1" t="s">
        <v>455</v>
      </c>
      <c r="AR46" s="1">
        <v>663.96298718285982</v>
      </c>
      <c r="AS46" s="1" t="s">
        <v>451</v>
      </c>
      <c r="AT46" s="1">
        <v>567.7913473482804</v>
      </c>
      <c r="AU46" s="1">
        <v>760.13462701743924</v>
      </c>
      <c r="AV46" s="67" t="s">
        <v>490</v>
      </c>
      <c r="AW46" s="1" t="s">
        <v>494</v>
      </c>
      <c r="AX46" s="1" t="s">
        <v>39</v>
      </c>
    </row>
    <row r="47" spans="1:50" s="1" customFormat="1">
      <c r="A47" s="1" t="s">
        <v>36</v>
      </c>
      <c r="B47" s="1" t="s">
        <v>290</v>
      </c>
      <c r="C47" s="1">
        <v>2020</v>
      </c>
      <c r="D47" s="11" t="str">
        <f t="shared" si="0"/>
        <v>10.1016/j.palaeo.2019.109547</v>
      </c>
      <c r="E47" s="7">
        <f t="shared" si="1"/>
        <v>188050</v>
      </c>
      <c r="F47" s="7">
        <f t="shared" si="2"/>
        <v>13349.999999999995</v>
      </c>
      <c r="G47" s="7">
        <f t="shared" si="3"/>
        <v>13350.000000000022</v>
      </c>
      <c r="H47" s="8">
        <f t="shared" si="4"/>
        <v>978.86884335975788</v>
      </c>
      <c r="I47" s="8">
        <f t="shared" si="5"/>
        <v>259.20674589816258</v>
      </c>
      <c r="J47" s="15">
        <f t="shared" si="6"/>
        <v>259.20674589816269</v>
      </c>
      <c r="K47" s="1" t="s">
        <v>291</v>
      </c>
      <c r="L47" s="61" t="s">
        <v>292</v>
      </c>
      <c r="M47" t="s">
        <v>293</v>
      </c>
      <c r="N47" s="1" t="s">
        <v>294</v>
      </c>
      <c r="O47" s="62" t="s">
        <v>346</v>
      </c>
      <c r="P47" s="63" t="s">
        <v>28</v>
      </c>
      <c r="Q47" s="64" t="s">
        <v>296</v>
      </c>
      <c r="R47" s="1" t="s">
        <v>297</v>
      </c>
      <c r="S47" s="1" t="s">
        <v>298</v>
      </c>
      <c r="T47" s="1" t="s">
        <v>299</v>
      </c>
      <c r="U47" s="1" t="s">
        <v>343</v>
      </c>
      <c r="V47" s="1">
        <v>188.05</v>
      </c>
      <c r="W47" s="1">
        <v>201.4</v>
      </c>
      <c r="X47" s="1">
        <v>174.7</v>
      </c>
      <c r="Y47" s="1" t="s">
        <v>39</v>
      </c>
      <c r="Z47" s="1" t="s">
        <v>302</v>
      </c>
      <c r="AA47" s="1">
        <v>30.957000000000001</v>
      </c>
      <c r="AB47" s="1">
        <v>110.746</v>
      </c>
      <c r="AC47" s="63" t="s">
        <v>39</v>
      </c>
      <c r="AD47" s="63" t="s">
        <v>39</v>
      </c>
      <c r="AE47" s="63" t="s">
        <v>39</v>
      </c>
      <c r="AF47" s="63" t="s">
        <v>39</v>
      </c>
      <c r="AG47" s="63" t="s">
        <v>39</v>
      </c>
      <c r="AH47" s="1">
        <v>90</v>
      </c>
      <c r="AI47" s="65">
        <v>5</v>
      </c>
      <c r="AJ47" s="65">
        <v>100</v>
      </c>
      <c r="AK47" s="62">
        <v>55.555555555555557</v>
      </c>
      <c r="AL47" s="66">
        <v>4.7619047619047619</v>
      </c>
      <c r="AM47" s="62">
        <v>4.1573970964154823</v>
      </c>
      <c r="AN47" s="66">
        <v>0.84970583144992018</v>
      </c>
      <c r="AO47" s="1" t="s">
        <v>29</v>
      </c>
      <c r="AP47" s="1" t="s">
        <v>456</v>
      </c>
      <c r="AQ47" s="1" t="s">
        <v>457</v>
      </c>
      <c r="AR47" s="1">
        <v>978.86884335975788</v>
      </c>
      <c r="AS47" s="1" t="s">
        <v>451</v>
      </c>
      <c r="AT47" s="1">
        <v>719.66209746159518</v>
      </c>
      <c r="AU47" s="1">
        <v>1238.0755892579205</v>
      </c>
      <c r="AV47" s="67" t="s">
        <v>490</v>
      </c>
      <c r="AW47" s="1" t="s">
        <v>494</v>
      </c>
      <c r="AX47" s="1" t="s">
        <v>39</v>
      </c>
    </row>
    <row r="48" spans="1:50" s="1" customFormat="1">
      <c r="A48" s="1" t="s">
        <v>36</v>
      </c>
      <c r="B48" s="1" t="s">
        <v>290</v>
      </c>
      <c r="C48" s="1">
        <v>2020</v>
      </c>
      <c r="D48" s="11" t="str">
        <f t="shared" si="0"/>
        <v>10.1016/j.palaeo.2019.109547</v>
      </c>
      <c r="E48" s="7">
        <f t="shared" si="1"/>
        <v>188050</v>
      </c>
      <c r="F48" s="7">
        <f t="shared" si="2"/>
        <v>13349.999999999995</v>
      </c>
      <c r="G48" s="7">
        <f t="shared" si="3"/>
        <v>13350.000000000022</v>
      </c>
      <c r="H48" s="8">
        <f t="shared" si="4"/>
        <v>870.2596331281519</v>
      </c>
      <c r="I48" s="8">
        <f t="shared" si="5"/>
        <v>156.86552368004675</v>
      </c>
      <c r="J48" s="15">
        <f t="shared" si="6"/>
        <v>156.86552368004675</v>
      </c>
      <c r="K48" s="1" t="s">
        <v>291</v>
      </c>
      <c r="L48" s="61" t="s">
        <v>292</v>
      </c>
      <c r="M48" t="s">
        <v>293</v>
      </c>
      <c r="N48" s="1" t="s">
        <v>294</v>
      </c>
      <c r="O48" s="62" t="s">
        <v>347</v>
      </c>
      <c r="P48" s="63" t="s">
        <v>28</v>
      </c>
      <c r="Q48" s="64" t="s">
        <v>296</v>
      </c>
      <c r="R48" s="1" t="s">
        <v>297</v>
      </c>
      <c r="S48" s="1" t="s">
        <v>298</v>
      </c>
      <c r="T48" s="1" t="s">
        <v>299</v>
      </c>
      <c r="U48" s="1" t="s">
        <v>343</v>
      </c>
      <c r="V48" s="1">
        <v>188.05</v>
      </c>
      <c r="W48" s="1">
        <v>201.4</v>
      </c>
      <c r="X48" s="1">
        <v>174.7</v>
      </c>
      <c r="Y48" s="1" t="s">
        <v>39</v>
      </c>
      <c r="Z48" s="1" t="s">
        <v>302</v>
      </c>
      <c r="AA48" s="1">
        <v>30.957000000000001</v>
      </c>
      <c r="AB48" s="1">
        <v>110.746</v>
      </c>
      <c r="AC48" s="63" t="s">
        <v>39</v>
      </c>
      <c r="AD48" s="63" t="s">
        <v>39</v>
      </c>
      <c r="AE48" s="63" t="s">
        <v>39</v>
      </c>
      <c r="AF48" s="63" t="s">
        <v>39</v>
      </c>
      <c r="AG48" s="63" t="s">
        <v>39</v>
      </c>
      <c r="AH48" s="1">
        <v>90</v>
      </c>
      <c r="AI48" s="65">
        <v>5</v>
      </c>
      <c r="AJ48" s="65">
        <v>92</v>
      </c>
      <c r="AK48" s="62">
        <v>55.555555555555557</v>
      </c>
      <c r="AL48" s="66">
        <v>5.1546391752577314</v>
      </c>
      <c r="AM48" s="62">
        <v>4.2657970964154801</v>
      </c>
      <c r="AN48" s="66">
        <v>0.62609903369994124</v>
      </c>
      <c r="AO48" s="1" t="s">
        <v>29</v>
      </c>
      <c r="AP48" s="1" t="s">
        <v>458</v>
      </c>
      <c r="AQ48" s="1" t="s">
        <v>459</v>
      </c>
      <c r="AR48" s="1">
        <v>870.2596331281519</v>
      </c>
      <c r="AS48" s="1" t="s">
        <v>451</v>
      </c>
      <c r="AT48" s="1">
        <v>713.39410944810516</v>
      </c>
      <c r="AU48" s="1">
        <v>1027.1251568081987</v>
      </c>
      <c r="AV48" s="67" t="s">
        <v>490</v>
      </c>
      <c r="AW48" s="1" t="s">
        <v>494</v>
      </c>
      <c r="AX48" s="1" t="s">
        <v>39</v>
      </c>
    </row>
    <row r="49" spans="1:50" s="1" customFormat="1">
      <c r="A49" s="1" t="s">
        <v>36</v>
      </c>
      <c r="B49" s="1" t="s">
        <v>290</v>
      </c>
      <c r="C49" s="1">
        <v>2020</v>
      </c>
      <c r="D49" s="11" t="str">
        <f t="shared" si="0"/>
        <v>10.1016/j.palaeo.2019.109547</v>
      </c>
      <c r="E49" s="7">
        <f t="shared" si="1"/>
        <v>188050</v>
      </c>
      <c r="F49" s="7">
        <f t="shared" si="2"/>
        <v>13349.999999999995</v>
      </c>
      <c r="G49" s="7">
        <f t="shared" si="3"/>
        <v>13350.000000000022</v>
      </c>
      <c r="H49" s="8">
        <f t="shared" si="4"/>
        <v>1102.3296046079722</v>
      </c>
      <c r="I49" s="8">
        <f t="shared" si="5"/>
        <v>391.11964781829693</v>
      </c>
      <c r="J49" s="15">
        <f t="shared" si="6"/>
        <v>391.11964781829681</v>
      </c>
      <c r="K49" s="1" t="s">
        <v>291</v>
      </c>
      <c r="L49" s="61" t="s">
        <v>292</v>
      </c>
      <c r="M49" t="s">
        <v>293</v>
      </c>
      <c r="N49" s="1" t="s">
        <v>294</v>
      </c>
      <c r="O49" s="62" t="s">
        <v>348</v>
      </c>
      <c r="P49" s="63" t="s">
        <v>28</v>
      </c>
      <c r="Q49" s="64" t="s">
        <v>296</v>
      </c>
      <c r="R49" s="1" t="s">
        <v>297</v>
      </c>
      <c r="S49" s="1" t="s">
        <v>298</v>
      </c>
      <c r="T49" s="1" t="s">
        <v>299</v>
      </c>
      <c r="U49" s="1" t="s">
        <v>343</v>
      </c>
      <c r="V49" s="1">
        <v>188.05</v>
      </c>
      <c r="W49" s="1">
        <v>201.4</v>
      </c>
      <c r="X49" s="1">
        <v>174.7</v>
      </c>
      <c r="Y49" s="1" t="s">
        <v>39</v>
      </c>
      <c r="Z49" s="1" t="s">
        <v>302</v>
      </c>
      <c r="AA49" s="1">
        <v>30.957000000000001</v>
      </c>
      <c r="AB49" s="1">
        <v>110.746</v>
      </c>
      <c r="AC49" s="63" t="s">
        <v>39</v>
      </c>
      <c r="AD49" s="63" t="s">
        <v>39</v>
      </c>
      <c r="AE49" s="63" t="s">
        <v>39</v>
      </c>
      <c r="AF49" s="63" t="s">
        <v>39</v>
      </c>
      <c r="AG49" s="63" t="s">
        <v>39</v>
      </c>
      <c r="AH49" s="1">
        <v>90</v>
      </c>
      <c r="AI49" s="65">
        <v>4</v>
      </c>
      <c r="AJ49" s="65">
        <v>87</v>
      </c>
      <c r="AK49" s="62">
        <v>44.444444444444443</v>
      </c>
      <c r="AL49" s="66">
        <v>4.395604395604396</v>
      </c>
      <c r="AM49" s="62">
        <v>4.1573970964155258</v>
      </c>
      <c r="AN49" s="66">
        <v>1.0509519494249011</v>
      </c>
      <c r="AO49" s="1" t="s">
        <v>29</v>
      </c>
      <c r="AP49" s="1" t="s">
        <v>460</v>
      </c>
      <c r="AQ49" s="1" t="s">
        <v>461</v>
      </c>
      <c r="AR49" s="1">
        <v>1102.3296046079722</v>
      </c>
      <c r="AS49" s="1" t="s">
        <v>451</v>
      </c>
      <c r="AT49" s="1">
        <v>711.2099567896754</v>
      </c>
      <c r="AU49" s="1">
        <v>1493.4492524262691</v>
      </c>
      <c r="AV49" s="67" t="s">
        <v>490</v>
      </c>
      <c r="AW49" s="1" t="s">
        <v>494</v>
      </c>
      <c r="AX49" s="1" t="s">
        <v>39</v>
      </c>
    </row>
    <row r="50" spans="1:50" s="1" customFormat="1">
      <c r="A50" s="1" t="s">
        <v>36</v>
      </c>
      <c r="B50" s="1" t="s">
        <v>290</v>
      </c>
      <c r="C50" s="1">
        <v>2020</v>
      </c>
      <c r="D50" s="11" t="str">
        <f t="shared" si="0"/>
        <v>10.1016/j.palaeo.2019.109547</v>
      </c>
      <c r="E50" s="7">
        <f t="shared" si="1"/>
        <v>188050</v>
      </c>
      <c r="F50" s="7">
        <f t="shared" si="2"/>
        <v>13349.999999999995</v>
      </c>
      <c r="G50" s="7">
        <f t="shared" si="3"/>
        <v>13350.000000000022</v>
      </c>
      <c r="H50" s="8">
        <f t="shared" si="4"/>
        <v>594.11497687806673</v>
      </c>
      <c r="I50" s="8">
        <f t="shared" si="5"/>
        <v>103.50199169777818</v>
      </c>
      <c r="J50" s="15">
        <f t="shared" si="6"/>
        <v>103.50199169777818</v>
      </c>
      <c r="K50" s="1" t="s">
        <v>291</v>
      </c>
      <c r="L50" s="61" t="s">
        <v>292</v>
      </c>
      <c r="M50" t="s">
        <v>293</v>
      </c>
      <c r="N50" s="1" t="s">
        <v>294</v>
      </c>
      <c r="O50" s="62" t="s">
        <v>349</v>
      </c>
      <c r="P50" s="63" t="s">
        <v>28</v>
      </c>
      <c r="Q50" s="64" t="s">
        <v>296</v>
      </c>
      <c r="R50" s="1" t="s">
        <v>297</v>
      </c>
      <c r="S50" s="1" t="s">
        <v>298</v>
      </c>
      <c r="T50" s="1" t="s">
        <v>299</v>
      </c>
      <c r="U50" s="1" t="s">
        <v>343</v>
      </c>
      <c r="V50" s="1">
        <v>188.05</v>
      </c>
      <c r="W50" s="1">
        <v>201.4</v>
      </c>
      <c r="X50" s="1">
        <v>174.7</v>
      </c>
      <c r="Y50" s="1" t="s">
        <v>39</v>
      </c>
      <c r="Z50" s="1" t="s">
        <v>302</v>
      </c>
      <c r="AA50" s="1">
        <v>30.957000000000001</v>
      </c>
      <c r="AB50" s="1">
        <v>110.746</v>
      </c>
      <c r="AC50" s="63" t="s">
        <v>39</v>
      </c>
      <c r="AD50" s="63" t="s">
        <v>39</v>
      </c>
      <c r="AE50" s="63" t="s">
        <v>39</v>
      </c>
      <c r="AF50" s="63" t="s">
        <v>39</v>
      </c>
      <c r="AG50" s="63" t="s">
        <v>39</v>
      </c>
      <c r="AH50" s="1">
        <v>90</v>
      </c>
      <c r="AI50" s="65">
        <v>6</v>
      </c>
      <c r="AJ50" s="65">
        <v>84</v>
      </c>
      <c r="AK50" s="62">
        <v>66.666666666666671</v>
      </c>
      <c r="AL50" s="66">
        <v>6.666666666666667</v>
      </c>
      <c r="AM50" s="62">
        <v>2.7216552697590872</v>
      </c>
      <c r="AN50" s="66">
        <v>0.78262379212492639</v>
      </c>
      <c r="AO50" s="1" t="s">
        <v>29</v>
      </c>
      <c r="AP50" s="1" t="s">
        <v>462</v>
      </c>
      <c r="AQ50" s="1" t="s">
        <v>463</v>
      </c>
      <c r="AR50" s="1">
        <v>594.11497687806673</v>
      </c>
      <c r="AS50" s="1" t="s">
        <v>451</v>
      </c>
      <c r="AT50" s="1">
        <v>490.61298518028855</v>
      </c>
      <c r="AU50" s="1">
        <v>697.61696857584491</v>
      </c>
      <c r="AV50" s="67" t="s">
        <v>490</v>
      </c>
      <c r="AW50" s="1" t="s">
        <v>494</v>
      </c>
      <c r="AX50" s="1" t="s">
        <v>39</v>
      </c>
    </row>
    <row r="51" spans="1:50" s="1" customFormat="1">
      <c r="A51" s="1" t="s">
        <v>36</v>
      </c>
      <c r="B51" s="1" t="s">
        <v>290</v>
      </c>
      <c r="C51" s="1">
        <v>2020</v>
      </c>
      <c r="D51" s="11" t="str">
        <f t="shared" si="0"/>
        <v>10.1016/j.palaeo.2019.109547</v>
      </c>
      <c r="E51" s="7">
        <f t="shared" si="1"/>
        <v>188050</v>
      </c>
      <c r="F51" s="7">
        <f t="shared" si="2"/>
        <v>13349.999999999995</v>
      </c>
      <c r="G51" s="7">
        <f t="shared" si="3"/>
        <v>13350.000000000022</v>
      </c>
      <c r="H51" s="8">
        <f t="shared" si="4"/>
        <v>613.81253379164002</v>
      </c>
      <c r="I51" s="8">
        <f t="shared" si="5"/>
        <v>124.92553663657259</v>
      </c>
      <c r="J51" s="15">
        <f t="shared" si="6"/>
        <v>124.92553663657259</v>
      </c>
      <c r="K51" s="1" t="s">
        <v>291</v>
      </c>
      <c r="L51" s="61" t="s">
        <v>292</v>
      </c>
      <c r="M51" t="s">
        <v>293</v>
      </c>
      <c r="N51" s="1" t="s">
        <v>294</v>
      </c>
      <c r="O51" s="62" t="s">
        <v>350</v>
      </c>
      <c r="P51" s="63" t="s">
        <v>28</v>
      </c>
      <c r="Q51" s="64" t="s">
        <v>296</v>
      </c>
      <c r="R51" s="1" t="s">
        <v>297</v>
      </c>
      <c r="S51" s="1" t="s">
        <v>298</v>
      </c>
      <c r="T51" s="1" t="s">
        <v>299</v>
      </c>
      <c r="U51" s="1" t="s">
        <v>343</v>
      </c>
      <c r="V51" s="1">
        <v>188.05</v>
      </c>
      <c r="W51" s="1">
        <v>201.4</v>
      </c>
      <c r="X51" s="1">
        <v>174.7</v>
      </c>
      <c r="Y51" s="1" t="s">
        <v>39</v>
      </c>
      <c r="Z51" s="1" t="s">
        <v>302</v>
      </c>
      <c r="AA51" s="1">
        <v>30.957000000000001</v>
      </c>
      <c r="AB51" s="1">
        <v>110.746</v>
      </c>
      <c r="AC51" s="63" t="s">
        <v>39</v>
      </c>
      <c r="AD51" s="63" t="s">
        <v>39</v>
      </c>
      <c r="AE51" s="63" t="s">
        <v>39</v>
      </c>
      <c r="AF51" s="63" t="s">
        <v>39</v>
      </c>
      <c r="AG51" s="63" t="s">
        <v>39</v>
      </c>
      <c r="AH51" s="1">
        <v>90</v>
      </c>
      <c r="AI51" s="65">
        <v>6</v>
      </c>
      <c r="AJ51" s="65">
        <v>86</v>
      </c>
      <c r="AK51" s="62">
        <v>66.666666666666671</v>
      </c>
      <c r="AL51" s="66">
        <v>6.5217391304347823</v>
      </c>
      <c r="AM51" s="62">
        <v>4.0671655297590901</v>
      </c>
      <c r="AN51" s="66">
        <v>0.89442719099991597</v>
      </c>
      <c r="AO51" s="1" t="s">
        <v>29</v>
      </c>
      <c r="AP51" s="1" t="s">
        <v>464</v>
      </c>
      <c r="AQ51" s="1" t="s">
        <v>465</v>
      </c>
      <c r="AR51" s="1">
        <v>613.81253379164002</v>
      </c>
      <c r="AS51" s="1" t="s">
        <v>451</v>
      </c>
      <c r="AT51" s="1">
        <v>488.88699715506743</v>
      </c>
      <c r="AU51" s="1">
        <v>738.73807042821261</v>
      </c>
      <c r="AV51" s="67" t="s">
        <v>490</v>
      </c>
      <c r="AW51" s="1" t="s">
        <v>494</v>
      </c>
      <c r="AX51" s="1" t="s">
        <v>39</v>
      </c>
    </row>
    <row r="52" spans="1:50" s="1" customFormat="1">
      <c r="A52" s="1" t="s">
        <v>36</v>
      </c>
      <c r="B52" s="1" t="s">
        <v>290</v>
      </c>
      <c r="C52" s="1">
        <v>2020</v>
      </c>
      <c r="D52" s="11" t="str">
        <f t="shared" si="0"/>
        <v>10.1016/j.palaeo.2019.109547</v>
      </c>
      <c r="E52" s="7">
        <f t="shared" si="1"/>
        <v>188050</v>
      </c>
      <c r="F52" s="7">
        <f t="shared" si="2"/>
        <v>13349.999999999995</v>
      </c>
      <c r="G52" s="7">
        <f t="shared" si="3"/>
        <v>13350.000000000022</v>
      </c>
      <c r="H52" s="8">
        <f t="shared" si="4"/>
        <v>765.90403146193353</v>
      </c>
      <c r="I52" s="8">
        <f t="shared" si="5"/>
        <v>85.95415236333713</v>
      </c>
      <c r="J52" s="15">
        <f t="shared" si="6"/>
        <v>85.95415236333713</v>
      </c>
      <c r="K52" s="1" t="s">
        <v>291</v>
      </c>
      <c r="L52" s="61" t="s">
        <v>292</v>
      </c>
      <c r="M52" t="s">
        <v>293</v>
      </c>
      <c r="N52" s="1" t="s">
        <v>294</v>
      </c>
      <c r="O52" s="62" t="s">
        <v>351</v>
      </c>
      <c r="P52" s="63" t="s">
        <v>28</v>
      </c>
      <c r="Q52" s="64" t="s">
        <v>296</v>
      </c>
      <c r="R52" s="1" t="s">
        <v>297</v>
      </c>
      <c r="S52" s="1" t="s">
        <v>298</v>
      </c>
      <c r="T52" s="1" t="s">
        <v>299</v>
      </c>
      <c r="U52" s="1" t="s">
        <v>343</v>
      </c>
      <c r="V52" s="1">
        <v>188.05</v>
      </c>
      <c r="W52" s="1">
        <v>201.4</v>
      </c>
      <c r="X52" s="1">
        <v>174.7</v>
      </c>
      <c r="Y52" s="1" t="s">
        <v>39</v>
      </c>
      <c r="Z52" s="1" t="s">
        <v>302</v>
      </c>
      <c r="AA52" s="1">
        <v>30.957000000000001</v>
      </c>
      <c r="AB52" s="1">
        <v>110.746</v>
      </c>
      <c r="AC52" s="63" t="s">
        <v>39</v>
      </c>
      <c r="AD52" s="63" t="s">
        <v>39</v>
      </c>
      <c r="AE52" s="63" t="s">
        <v>39</v>
      </c>
      <c r="AF52" s="63" t="s">
        <v>39</v>
      </c>
      <c r="AG52" s="63" t="s">
        <v>39</v>
      </c>
      <c r="AH52" s="1">
        <v>90</v>
      </c>
      <c r="AI52" s="65">
        <v>5</v>
      </c>
      <c r="AJ52" s="65">
        <v>84</v>
      </c>
      <c r="AK52" s="62">
        <v>55.555555555555557</v>
      </c>
      <c r="AL52" s="66">
        <v>5.6179775280898872</v>
      </c>
      <c r="AM52" s="62">
        <v>2.2222222222222228</v>
      </c>
      <c r="AN52" s="66">
        <v>0.42485291572496009</v>
      </c>
      <c r="AO52" s="1" t="s">
        <v>29</v>
      </c>
      <c r="AP52" s="1" t="s">
        <v>466</v>
      </c>
      <c r="AQ52" s="1" t="s">
        <v>467</v>
      </c>
      <c r="AR52" s="1">
        <v>765.90403146193353</v>
      </c>
      <c r="AS52" s="1" t="s">
        <v>451</v>
      </c>
      <c r="AT52" s="1">
        <v>679.9498790985964</v>
      </c>
      <c r="AU52" s="1">
        <v>851.85818382527066</v>
      </c>
      <c r="AV52" s="67" t="s">
        <v>490</v>
      </c>
      <c r="AW52" s="1" t="s">
        <v>494</v>
      </c>
      <c r="AX52" s="1" t="s">
        <v>39</v>
      </c>
    </row>
    <row r="53" spans="1:50" s="1" customFormat="1">
      <c r="A53" s="1" t="s">
        <v>36</v>
      </c>
      <c r="B53" s="1" t="s">
        <v>290</v>
      </c>
      <c r="C53" s="1">
        <v>2020</v>
      </c>
      <c r="D53" s="11" t="str">
        <f t="shared" si="0"/>
        <v>10.1016/j.palaeo.2019.109547</v>
      </c>
      <c r="E53" s="7">
        <f t="shared" si="1"/>
        <v>188050</v>
      </c>
      <c r="F53" s="7">
        <f t="shared" si="2"/>
        <v>13349.999999999995</v>
      </c>
      <c r="G53" s="7">
        <f t="shared" si="3"/>
        <v>13350.000000000022</v>
      </c>
      <c r="H53" s="8">
        <f t="shared" si="4"/>
        <v>778.70949404511316</v>
      </c>
      <c r="I53" s="8">
        <f t="shared" si="5"/>
        <v>181.39757832842224</v>
      </c>
      <c r="J53" s="15">
        <f t="shared" si="6"/>
        <v>181.39757832842224</v>
      </c>
      <c r="K53" s="1" t="s">
        <v>291</v>
      </c>
      <c r="L53" s="61" t="s">
        <v>292</v>
      </c>
      <c r="M53" t="s">
        <v>293</v>
      </c>
      <c r="N53" s="1" t="s">
        <v>294</v>
      </c>
      <c r="O53" s="62" t="s">
        <v>352</v>
      </c>
      <c r="P53" s="63" t="s">
        <v>28</v>
      </c>
      <c r="Q53" s="64" t="s">
        <v>296</v>
      </c>
      <c r="R53" s="1" t="s">
        <v>297</v>
      </c>
      <c r="S53" s="1" t="s">
        <v>298</v>
      </c>
      <c r="T53" s="1" t="s">
        <v>299</v>
      </c>
      <c r="U53" s="1" t="s">
        <v>343</v>
      </c>
      <c r="V53" s="1">
        <v>188.05</v>
      </c>
      <c r="W53" s="1">
        <v>201.4</v>
      </c>
      <c r="X53" s="1">
        <v>174.7</v>
      </c>
      <c r="Y53" s="1" t="s">
        <v>39</v>
      </c>
      <c r="Z53" s="1" t="s">
        <v>302</v>
      </c>
      <c r="AA53" s="1">
        <v>30.957000000000001</v>
      </c>
      <c r="AB53" s="1">
        <v>110.746</v>
      </c>
      <c r="AC53" s="63" t="s">
        <v>39</v>
      </c>
      <c r="AD53" s="63" t="s">
        <v>39</v>
      </c>
      <c r="AE53" s="63" t="s">
        <v>39</v>
      </c>
      <c r="AF53" s="63" t="s">
        <v>39</v>
      </c>
      <c r="AG53" s="63" t="s">
        <v>39</v>
      </c>
      <c r="AH53" s="1">
        <v>90</v>
      </c>
      <c r="AI53" s="65">
        <v>5</v>
      </c>
      <c r="AJ53" s="65">
        <v>85</v>
      </c>
      <c r="AK53" s="62">
        <v>55.555555555555557</v>
      </c>
      <c r="AL53" s="66">
        <v>5.5555555555555554</v>
      </c>
      <c r="AM53" s="62">
        <v>2.7216552697590872</v>
      </c>
      <c r="AN53" s="66">
        <v>0.87206651122491807</v>
      </c>
      <c r="AO53" s="1" t="s">
        <v>29</v>
      </c>
      <c r="AP53" s="1" t="s">
        <v>468</v>
      </c>
      <c r="AQ53" s="1" t="s">
        <v>469</v>
      </c>
      <c r="AR53" s="1">
        <v>778.70949404511316</v>
      </c>
      <c r="AS53" s="1" t="s">
        <v>451</v>
      </c>
      <c r="AT53" s="1">
        <v>597.31191571669092</v>
      </c>
      <c r="AU53" s="1">
        <v>960.1070723735354</v>
      </c>
      <c r="AV53" s="67" t="s">
        <v>490</v>
      </c>
      <c r="AW53" s="1" t="s">
        <v>494</v>
      </c>
      <c r="AX53" s="1" t="s">
        <v>39</v>
      </c>
    </row>
    <row r="54" spans="1:50" s="1" customFormat="1">
      <c r="A54" s="1" t="s">
        <v>36</v>
      </c>
      <c r="B54" s="1" t="s">
        <v>290</v>
      </c>
      <c r="C54" s="1">
        <v>2020</v>
      </c>
      <c r="D54" s="11" t="str">
        <f t="shared" si="0"/>
        <v>10.1016/j.palaeo.2019.109547</v>
      </c>
      <c r="E54" s="7">
        <f t="shared" si="1"/>
        <v>188050</v>
      </c>
      <c r="F54" s="7">
        <f t="shared" si="2"/>
        <v>13349.999999999995</v>
      </c>
      <c r="G54" s="7">
        <f t="shared" si="3"/>
        <v>13350.000000000022</v>
      </c>
      <c r="H54" s="8">
        <f t="shared" si="4"/>
        <v>843.76482385581323</v>
      </c>
      <c r="I54" s="8">
        <f t="shared" si="5"/>
        <v>207.47153827620821</v>
      </c>
      <c r="J54" s="15">
        <f t="shared" si="6"/>
        <v>207.47153827620821</v>
      </c>
      <c r="K54" s="1" t="s">
        <v>291</v>
      </c>
      <c r="L54" s="61" t="s">
        <v>292</v>
      </c>
      <c r="M54" t="s">
        <v>293</v>
      </c>
      <c r="N54" s="1" t="s">
        <v>294</v>
      </c>
      <c r="O54" s="62" t="s">
        <v>353</v>
      </c>
      <c r="P54" s="63" t="s">
        <v>28</v>
      </c>
      <c r="Q54" s="64" t="s">
        <v>296</v>
      </c>
      <c r="R54" s="1" t="s">
        <v>297</v>
      </c>
      <c r="S54" s="1" t="s">
        <v>298</v>
      </c>
      <c r="T54" s="1" t="s">
        <v>299</v>
      </c>
      <c r="U54" s="1" t="s">
        <v>343</v>
      </c>
      <c r="V54" s="1">
        <v>188.05</v>
      </c>
      <c r="W54" s="1">
        <v>201.4</v>
      </c>
      <c r="X54" s="1">
        <v>174.7</v>
      </c>
      <c r="Y54" s="1" t="s">
        <v>39</v>
      </c>
      <c r="Z54" s="1" t="s">
        <v>302</v>
      </c>
      <c r="AA54" s="1">
        <v>30.957000000000001</v>
      </c>
      <c r="AB54" s="1">
        <v>110.746</v>
      </c>
      <c r="AC54" s="63" t="s">
        <v>39</v>
      </c>
      <c r="AD54" s="63" t="s">
        <v>39</v>
      </c>
      <c r="AE54" s="63" t="s">
        <v>39</v>
      </c>
      <c r="AF54" s="63" t="s">
        <v>39</v>
      </c>
      <c r="AG54" s="63" t="s">
        <v>39</v>
      </c>
      <c r="AH54" s="1">
        <v>90</v>
      </c>
      <c r="AI54" s="65">
        <v>5</v>
      </c>
      <c r="AJ54" s="65">
        <v>90</v>
      </c>
      <c r="AK54" s="62">
        <v>55.555555555555557</v>
      </c>
      <c r="AL54" s="66">
        <v>5.2631578947368416</v>
      </c>
      <c r="AM54" s="62">
        <v>4.1573970964155036</v>
      </c>
      <c r="AN54" s="66">
        <v>0.87206651122491807</v>
      </c>
      <c r="AO54" s="1" t="s">
        <v>29</v>
      </c>
      <c r="AP54" s="1" t="s">
        <v>470</v>
      </c>
      <c r="AQ54" s="1" t="s">
        <v>471</v>
      </c>
      <c r="AR54" s="1">
        <v>843.76482385581323</v>
      </c>
      <c r="AS54" s="1" t="s">
        <v>451</v>
      </c>
      <c r="AT54" s="1">
        <v>636.29328557960503</v>
      </c>
      <c r="AU54" s="1">
        <v>1051.2363621320214</v>
      </c>
      <c r="AV54" s="67" t="s">
        <v>490</v>
      </c>
      <c r="AW54" s="1" t="s">
        <v>494</v>
      </c>
      <c r="AX54" s="1" t="s">
        <v>39</v>
      </c>
    </row>
    <row r="55" spans="1:50" s="1" customFormat="1">
      <c r="A55" s="1" t="s">
        <v>36</v>
      </c>
      <c r="B55" s="1" t="s">
        <v>290</v>
      </c>
      <c r="C55" s="1">
        <v>2020</v>
      </c>
      <c r="D55" s="11" t="str">
        <f t="shared" si="0"/>
        <v>10.1016/j.palaeo.2019.109547</v>
      </c>
      <c r="E55" s="7">
        <f t="shared" si="1"/>
        <v>188050</v>
      </c>
      <c r="F55" s="7">
        <f t="shared" si="2"/>
        <v>13349.999999999995</v>
      </c>
      <c r="G55" s="7">
        <f t="shared" si="3"/>
        <v>13350.000000000022</v>
      </c>
      <c r="H55" s="8">
        <f t="shared" si="4"/>
        <v>978.86884335975788</v>
      </c>
      <c r="I55" s="8">
        <f t="shared" si="5"/>
        <v>163.70952372515535</v>
      </c>
      <c r="J55" s="15">
        <f t="shared" si="6"/>
        <v>163.70952372515535</v>
      </c>
      <c r="K55" s="1" t="s">
        <v>291</v>
      </c>
      <c r="L55" s="61" t="s">
        <v>292</v>
      </c>
      <c r="M55" t="s">
        <v>293</v>
      </c>
      <c r="N55" s="1" t="s">
        <v>294</v>
      </c>
      <c r="O55" s="62" t="s">
        <v>354</v>
      </c>
      <c r="P55" s="63" t="s">
        <v>28</v>
      </c>
      <c r="Q55" s="64" t="s">
        <v>296</v>
      </c>
      <c r="R55" s="1" t="s">
        <v>297</v>
      </c>
      <c r="S55" s="1" t="s">
        <v>298</v>
      </c>
      <c r="T55" s="1" t="s">
        <v>299</v>
      </c>
      <c r="U55" s="1" t="s">
        <v>343</v>
      </c>
      <c r="V55" s="1">
        <v>188.05</v>
      </c>
      <c r="W55" s="1">
        <v>201.4</v>
      </c>
      <c r="X55" s="1">
        <v>174.7</v>
      </c>
      <c r="Y55" s="1" t="s">
        <v>39</v>
      </c>
      <c r="Z55" s="1" t="s">
        <v>302</v>
      </c>
      <c r="AA55" s="1">
        <v>30.957000000000001</v>
      </c>
      <c r="AB55" s="1">
        <v>110.746</v>
      </c>
      <c r="AC55" s="63" t="s">
        <v>39</v>
      </c>
      <c r="AD55" s="63" t="s">
        <v>39</v>
      </c>
      <c r="AE55" s="63" t="s">
        <v>39</v>
      </c>
      <c r="AF55" s="63" t="s">
        <v>39</v>
      </c>
      <c r="AG55" s="63" t="s">
        <v>39</v>
      </c>
      <c r="AH55" s="1">
        <v>90</v>
      </c>
      <c r="AI55" s="65">
        <v>6</v>
      </c>
      <c r="AJ55" s="65">
        <v>120</v>
      </c>
      <c r="AK55" s="62">
        <v>66.666666666666671</v>
      </c>
      <c r="AL55" s="66">
        <v>4.7619047619047619</v>
      </c>
      <c r="AM55" s="62">
        <v>6.4788354387170024</v>
      </c>
      <c r="AN55" s="66">
        <v>0.53665631459994956</v>
      </c>
      <c r="AO55" s="1" t="s">
        <v>29</v>
      </c>
      <c r="AP55" s="1" t="s">
        <v>472</v>
      </c>
      <c r="AQ55" s="1" t="s">
        <v>473</v>
      </c>
      <c r="AR55" s="1">
        <v>978.86884335975788</v>
      </c>
      <c r="AS55" s="1" t="s">
        <v>451</v>
      </c>
      <c r="AT55" s="1">
        <v>815.15931963460253</v>
      </c>
      <c r="AU55" s="1">
        <v>1142.5783670849132</v>
      </c>
      <c r="AV55" s="67" t="s">
        <v>490</v>
      </c>
      <c r="AW55" s="1" t="s">
        <v>494</v>
      </c>
      <c r="AX55" s="1" t="s">
        <v>39</v>
      </c>
    </row>
    <row r="56" spans="1:50" s="1" customFormat="1">
      <c r="A56" s="1" t="s">
        <v>36</v>
      </c>
      <c r="B56" s="1" t="s">
        <v>290</v>
      </c>
      <c r="C56" s="1">
        <v>2020</v>
      </c>
      <c r="D56" s="11" t="str">
        <f t="shared" si="0"/>
        <v>10.1016/j.palaeo.2019.109547</v>
      </c>
      <c r="E56" s="7">
        <f t="shared" si="1"/>
        <v>188050</v>
      </c>
      <c r="F56" s="7">
        <f t="shared" si="2"/>
        <v>13349.999999999995</v>
      </c>
      <c r="G56" s="7">
        <f t="shared" si="3"/>
        <v>13350.000000000022</v>
      </c>
      <c r="H56" s="8">
        <f t="shared" si="4"/>
        <v>804.52718115122639</v>
      </c>
      <c r="I56" s="8">
        <f t="shared" si="5"/>
        <v>88.419886411438483</v>
      </c>
      <c r="J56" s="15">
        <f t="shared" si="6"/>
        <v>88.419886411438483</v>
      </c>
      <c r="K56" s="1" t="s">
        <v>291</v>
      </c>
      <c r="L56" s="61" t="s">
        <v>292</v>
      </c>
      <c r="M56" t="s">
        <v>293</v>
      </c>
      <c r="N56" s="1" t="s">
        <v>294</v>
      </c>
      <c r="O56" s="62" t="s">
        <v>355</v>
      </c>
      <c r="P56" s="63" t="s">
        <v>28</v>
      </c>
      <c r="Q56" s="64" t="s">
        <v>296</v>
      </c>
      <c r="R56" s="1" t="s">
        <v>297</v>
      </c>
      <c r="S56" s="1" t="s">
        <v>298</v>
      </c>
      <c r="T56" s="1" t="s">
        <v>299</v>
      </c>
      <c r="U56" s="1" t="s">
        <v>343</v>
      </c>
      <c r="V56" s="1">
        <v>188.05</v>
      </c>
      <c r="W56" s="1">
        <v>201.4</v>
      </c>
      <c r="X56" s="1">
        <v>174.7</v>
      </c>
      <c r="Y56" s="1" t="s">
        <v>39</v>
      </c>
      <c r="Z56" s="1" t="s">
        <v>302</v>
      </c>
      <c r="AA56" s="1">
        <v>30.957000000000001</v>
      </c>
      <c r="AB56" s="1">
        <v>110.746</v>
      </c>
      <c r="AC56" s="63" t="s">
        <v>39</v>
      </c>
      <c r="AD56" s="63" t="s">
        <v>39</v>
      </c>
      <c r="AE56" s="63" t="s">
        <v>39</v>
      </c>
      <c r="AF56" s="63" t="s">
        <v>39</v>
      </c>
      <c r="AG56" s="63" t="s">
        <v>39</v>
      </c>
      <c r="AH56" s="1">
        <v>90</v>
      </c>
      <c r="AI56" s="65">
        <v>5</v>
      </c>
      <c r="AJ56" s="65">
        <v>87</v>
      </c>
      <c r="AK56" s="62">
        <v>55.555555555555557</v>
      </c>
      <c r="AL56" s="66">
        <v>5.4347826086956523</v>
      </c>
      <c r="AM56" s="62">
        <v>6.4788354387170024</v>
      </c>
      <c r="AN56" s="66">
        <v>0.40249223594996214</v>
      </c>
      <c r="AO56" s="1" t="s">
        <v>29</v>
      </c>
      <c r="AP56" s="1" t="s">
        <v>474</v>
      </c>
      <c r="AQ56" s="1" t="s">
        <v>475</v>
      </c>
      <c r="AR56" s="1">
        <v>804.52718115122639</v>
      </c>
      <c r="AS56" s="1" t="s">
        <v>451</v>
      </c>
      <c r="AT56" s="1">
        <v>716.1072947397879</v>
      </c>
      <c r="AU56" s="1">
        <v>892.94706756266487</v>
      </c>
      <c r="AV56" s="67" t="s">
        <v>490</v>
      </c>
      <c r="AW56" s="1" t="s">
        <v>494</v>
      </c>
      <c r="AX56" s="1" t="s">
        <v>39</v>
      </c>
    </row>
    <row r="57" spans="1:50" s="1" customFormat="1">
      <c r="A57" s="1" t="s">
        <v>36</v>
      </c>
      <c r="B57" s="1" t="s">
        <v>290</v>
      </c>
      <c r="C57" s="1">
        <v>2020</v>
      </c>
      <c r="D57" s="11" t="str">
        <f t="shared" si="0"/>
        <v>10.1016/j.palaeo.2019.109547</v>
      </c>
      <c r="E57" s="7">
        <f t="shared" si="1"/>
        <v>188050</v>
      </c>
      <c r="F57" s="7">
        <f t="shared" si="2"/>
        <v>13349.999999999995</v>
      </c>
      <c r="G57" s="7">
        <f t="shared" si="3"/>
        <v>13350.000000000022</v>
      </c>
      <c r="H57" s="8">
        <f t="shared" si="4"/>
        <v>715.38078584324035</v>
      </c>
      <c r="I57" s="8">
        <f t="shared" si="5"/>
        <v>125.10273078737475</v>
      </c>
      <c r="J57" s="15">
        <f t="shared" si="6"/>
        <v>125.10273078737475</v>
      </c>
      <c r="K57" s="1" t="s">
        <v>291</v>
      </c>
      <c r="L57" s="61" t="s">
        <v>292</v>
      </c>
      <c r="M57" t="s">
        <v>293</v>
      </c>
      <c r="N57" s="1" t="s">
        <v>294</v>
      </c>
      <c r="O57" s="62" t="s">
        <v>356</v>
      </c>
      <c r="P57" s="63" t="s">
        <v>28</v>
      </c>
      <c r="Q57" s="64" t="s">
        <v>296</v>
      </c>
      <c r="R57" s="1" t="s">
        <v>297</v>
      </c>
      <c r="S57" s="1" t="s">
        <v>298</v>
      </c>
      <c r="T57" s="1" t="s">
        <v>299</v>
      </c>
      <c r="U57" s="1" t="s">
        <v>343</v>
      </c>
      <c r="V57" s="1">
        <v>188.05</v>
      </c>
      <c r="W57" s="1">
        <v>201.4</v>
      </c>
      <c r="X57" s="1">
        <v>174.7</v>
      </c>
      <c r="Y57" s="1" t="s">
        <v>39</v>
      </c>
      <c r="Z57" s="1" t="s">
        <v>302</v>
      </c>
      <c r="AA57" s="1">
        <v>30.957000000000001</v>
      </c>
      <c r="AB57" s="1">
        <v>110.746</v>
      </c>
      <c r="AC57" s="63" t="s">
        <v>39</v>
      </c>
      <c r="AD57" s="63" t="s">
        <v>39</v>
      </c>
      <c r="AE57" s="63" t="s">
        <v>39</v>
      </c>
      <c r="AF57" s="63" t="s">
        <v>39</v>
      </c>
      <c r="AG57" s="63" t="s">
        <v>39</v>
      </c>
      <c r="AH57" s="1">
        <v>90</v>
      </c>
      <c r="AI57" s="65">
        <v>6</v>
      </c>
      <c r="AJ57" s="65">
        <v>96</v>
      </c>
      <c r="AK57" s="62">
        <v>66.666666666666671</v>
      </c>
      <c r="AL57" s="66">
        <v>5.8823529411764701</v>
      </c>
      <c r="AM57" s="62">
        <v>6.666666666666659</v>
      </c>
      <c r="AN57" s="66">
        <v>0.69318107302493481</v>
      </c>
      <c r="AO57" s="1" t="s">
        <v>29</v>
      </c>
      <c r="AP57" s="1" t="s">
        <v>476</v>
      </c>
      <c r="AQ57" s="1" t="s">
        <v>477</v>
      </c>
      <c r="AR57" s="1">
        <v>715.38078584324035</v>
      </c>
      <c r="AS57" s="1" t="s">
        <v>451</v>
      </c>
      <c r="AT57" s="1">
        <v>590.27805505586559</v>
      </c>
      <c r="AU57" s="1">
        <v>840.4835166306151</v>
      </c>
      <c r="AV57" s="67" t="s">
        <v>490</v>
      </c>
      <c r="AW57" s="1" t="s">
        <v>494</v>
      </c>
      <c r="AX57" s="1" t="s">
        <v>39</v>
      </c>
    </row>
    <row r="58" spans="1:50" s="1" customFormat="1">
      <c r="A58" s="1" t="s">
        <v>36</v>
      </c>
      <c r="B58" s="1" t="s">
        <v>290</v>
      </c>
      <c r="C58" s="1">
        <v>2020</v>
      </c>
      <c r="D58" s="11" t="str">
        <f t="shared" si="0"/>
        <v>10.1016/j.palaeo.2019.109547</v>
      </c>
      <c r="E58" s="7">
        <f t="shared" si="1"/>
        <v>188050</v>
      </c>
      <c r="F58" s="7">
        <f t="shared" si="2"/>
        <v>13349.999999999995</v>
      </c>
      <c r="G58" s="7">
        <f t="shared" si="3"/>
        <v>13350.000000000022</v>
      </c>
      <c r="H58" s="8">
        <f t="shared" si="4"/>
        <v>1138.4730137683055</v>
      </c>
      <c r="I58" s="8">
        <f t="shared" si="5"/>
        <v>386.47132616930185</v>
      </c>
      <c r="J58" s="15">
        <f t="shared" si="6"/>
        <v>386.47132616930185</v>
      </c>
      <c r="K58" s="1" t="s">
        <v>291</v>
      </c>
      <c r="L58" s="61" t="s">
        <v>292</v>
      </c>
      <c r="M58" t="s">
        <v>293</v>
      </c>
      <c r="N58" s="1" t="s">
        <v>294</v>
      </c>
      <c r="O58" s="62" t="s">
        <v>357</v>
      </c>
      <c r="P58" s="63" t="s">
        <v>28</v>
      </c>
      <c r="Q58" s="64" t="s">
        <v>296</v>
      </c>
      <c r="R58" s="1" t="s">
        <v>297</v>
      </c>
      <c r="S58" s="1" t="s">
        <v>298</v>
      </c>
      <c r="T58" s="1" t="s">
        <v>299</v>
      </c>
      <c r="U58" s="1" t="s">
        <v>343</v>
      </c>
      <c r="V58" s="1">
        <v>188.05</v>
      </c>
      <c r="W58" s="1">
        <v>201.4</v>
      </c>
      <c r="X58" s="1">
        <v>174.7</v>
      </c>
      <c r="Y58" s="1" t="s">
        <v>39</v>
      </c>
      <c r="Z58" s="1" t="s">
        <v>302</v>
      </c>
      <c r="AA58" s="1">
        <v>30.957000000000001</v>
      </c>
      <c r="AB58" s="1">
        <v>110.746</v>
      </c>
      <c r="AC58" s="63" t="s">
        <v>39</v>
      </c>
      <c r="AD58" s="63" t="s">
        <v>39</v>
      </c>
      <c r="AE58" s="63" t="s">
        <v>39</v>
      </c>
      <c r="AF58" s="63" t="s">
        <v>39</v>
      </c>
      <c r="AG58" s="63" t="s">
        <v>39</v>
      </c>
      <c r="AH58" s="1">
        <v>90</v>
      </c>
      <c r="AI58" s="65">
        <v>4</v>
      </c>
      <c r="AJ58" s="65">
        <v>89</v>
      </c>
      <c r="AK58" s="62">
        <v>44.444444444444443</v>
      </c>
      <c r="AL58" s="66">
        <v>4.3010752688172049</v>
      </c>
      <c r="AM58" s="62">
        <v>5.6655772373253228</v>
      </c>
      <c r="AN58" s="66">
        <v>0.98386991009990754</v>
      </c>
      <c r="AO58" s="1" t="s">
        <v>29</v>
      </c>
      <c r="AP58" s="1" t="s">
        <v>478</v>
      </c>
      <c r="AQ58" s="1" t="s">
        <v>479</v>
      </c>
      <c r="AR58" s="1">
        <v>1138.4730137683055</v>
      </c>
      <c r="AS58" s="1" t="s">
        <v>451</v>
      </c>
      <c r="AT58" s="1">
        <v>752.00168759900362</v>
      </c>
      <c r="AU58" s="1">
        <v>1524.9443399376073</v>
      </c>
      <c r="AV58" s="67" t="s">
        <v>490</v>
      </c>
      <c r="AW58" s="1" t="s">
        <v>494</v>
      </c>
      <c r="AX58" s="1" t="s">
        <v>39</v>
      </c>
    </row>
    <row r="59" spans="1:50" s="1" customFormat="1">
      <c r="A59" s="1" t="s">
        <v>36</v>
      </c>
      <c r="B59" s="1" t="s">
        <v>290</v>
      </c>
      <c r="C59" s="1">
        <v>2020</v>
      </c>
      <c r="D59" s="11" t="str">
        <f t="shared" si="0"/>
        <v>10.1016/j.palaeo.2019.109547</v>
      </c>
      <c r="E59" s="7">
        <f t="shared" si="1"/>
        <v>188050</v>
      </c>
      <c r="F59" s="7">
        <f t="shared" si="2"/>
        <v>13349.999999999995</v>
      </c>
      <c r="G59" s="7">
        <f t="shared" si="3"/>
        <v>13350.000000000022</v>
      </c>
      <c r="H59" s="8">
        <f t="shared" si="4"/>
        <v>1447.4477216925752</v>
      </c>
      <c r="I59" s="8">
        <f t="shared" si="5"/>
        <v>328.21195533425794</v>
      </c>
      <c r="J59" s="15">
        <f t="shared" si="6"/>
        <v>328.21195533425794</v>
      </c>
      <c r="K59" s="1" t="s">
        <v>291</v>
      </c>
      <c r="L59" s="61" t="s">
        <v>292</v>
      </c>
      <c r="M59" t="s">
        <v>293</v>
      </c>
      <c r="N59" s="1" t="s">
        <v>294</v>
      </c>
      <c r="O59" s="62" t="s">
        <v>358</v>
      </c>
      <c r="P59" s="63" t="s">
        <v>28</v>
      </c>
      <c r="Q59" s="64" t="s">
        <v>296</v>
      </c>
      <c r="R59" s="1" t="s">
        <v>297</v>
      </c>
      <c r="S59" s="1" t="s">
        <v>298</v>
      </c>
      <c r="T59" s="1" t="s">
        <v>299</v>
      </c>
      <c r="U59" s="1" t="s">
        <v>343</v>
      </c>
      <c r="V59" s="1">
        <v>188.05</v>
      </c>
      <c r="W59" s="1">
        <v>201.4</v>
      </c>
      <c r="X59" s="1">
        <v>174.7</v>
      </c>
      <c r="Y59" s="1" t="s">
        <v>39</v>
      </c>
      <c r="Z59" s="1" t="s">
        <v>302</v>
      </c>
      <c r="AA59" s="1">
        <v>30.957000000000001</v>
      </c>
      <c r="AB59" s="1">
        <v>110.746</v>
      </c>
      <c r="AC59" s="63" t="s">
        <v>39</v>
      </c>
      <c r="AD59" s="63" t="s">
        <v>39</v>
      </c>
      <c r="AE59" s="63" t="s">
        <v>39</v>
      </c>
      <c r="AF59" s="63" t="s">
        <v>39</v>
      </c>
      <c r="AG59" s="63" t="s">
        <v>39</v>
      </c>
      <c r="AH59" s="1">
        <v>90</v>
      </c>
      <c r="AI59" s="65">
        <v>3</v>
      </c>
      <c r="AJ59" s="65">
        <v>79</v>
      </c>
      <c r="AK59" s="62">
        <v>33.333333333333336</v>
      </c>
      <c r="AL59" s="66">
        <v>3.6585365853658534</v>
      </c>
      <c r="AM59" s="62">
        <v>5.6655772373253228</v>
      </c>
      <c r="AN59" s="66">
        <v>0.55901699437494745</v>
      </c>
      <c r="AO59" s="1" t="s">
        <v>29</v>
      </c>
      <c r="AP59" s="1" t="s">
        <v>480</v>
      </c>
      <c r="AQ59" s="1" t="s">
        <v>481</v>
      </c>
      <c r="AR59" s="1">
        <v>1447.4477216925752</v>
      </c>
      <c r="AS59" s="1" t="s">
        <v>451</v>
      </c>
      <c r="AT59" s="1">
        <v>1119.2357663583173</v>
      </c>
      <c r="AU59" s="1">
        <v>1775.6596770268332</v>
      </c>
      <c r="AV59" s="67" t="s">
        <v>490</v>
      </c>
      <c r="AW59" s="1" t="s">
        <v>494</v>
      </c>
      <c r="AX59" s="1" t="s">
        <v>39</v>
      </c>
    </row>
    <row r="60" spans="1:50" s="1" customFormat="1">
      <c r="A60" s="1" t="s">
        <v>36</v>
      </c>
      <c r="B60" s="1" t="s">
        <v>290</v>
      </c>
      <c r="C60" s="1">
        <v>2020</v>
      </c>
      <c r="D60" s="11" t="str">
        <f t="shared" si="0"/>
        <v>10.1016/j.palaeo.2019.109547</v>
      </c>
      <c r="E60" s="7">
        <f t="shared" si="1"/>
        <v>188050</v>
      </c>
      <c r="F60" s="7">
        <f t="shared" si="2"/>
        <v>13349.999999999995</v>
      </c>
      <c r="G60" s="7">
        <f t="shared" si="3"/>
        <v>13350.000000000022</v>
      </c>
      <c r="H60" s="8">
        <f t="shared" si="4"/>
        <v>715.38078584324035</v>
      </c>
      <c r="I60" s="8">
        <f t="shared" si="5"/>
        <v>157.38730647443913</v>
      </c>
      <c r="J60" s="15">
        <f t="shared" si="6"/>
        <v>157.38730647443913</v>
      </c>
      <c r="K60" s="1" t="s">
        <v>291</v>
      </c>
      <c r="L60" s="61" t="s">
        <v>292</v>
      </c>
      <c r="M60" t="s">
        <v>293</v>
      </c>
      <c r="N60" s="1" t="s">
        <v>294</v>
      </c>
      <c r="O60" s="62" t="s">
        <v>359</v>
      </c>
      <c r="P60" s="63" t="s">
        <v>28</v>
      </c>
      <c r="Q60" s="64" t="s">
        <v>296</v>
      </c>
      <c r="R60" s="1" t="s">
        <v>297</v>
      </c>
      <c r="S60" s="1" t="s">
        <v>298</v>
      </c>
      <c r="T60" s="1" t="s">
        <v>299</v>
      </c>
      <c r="U60" s="1" t="s">
        <v>343</v>
      </c>
      <c r="V60" s="1">
        <v>188.05</v>
      </c>
      <c r="W60" s="1">
        <v>201.4</v>
      </c>
      <c r="X60" s="1">
        <v>174.7</v>
      </c>
      <c r="Y60" s="1" t="s">
        <v>39</v>
      </c>
      <c r="Z60" s="1" t="s">
        <v>302</v>
      </c>
      <c r="AA60" s="1">
        <v>30.957000000000001</v>
      </c>
      <c r="AB60" s="1">
        <v>110.746</v>
      </c>
      <c r="AC60" s="63" t="s">
        <v>39</v>
      </c>
      <c r="AD60" s="63" t="s">
        <v>39</v>
      </c>
      <c r="AE60" s="63" t="s">
        <v>39</v>
      </c>
      <c r="AF60" s="63" t="s">
        <v>39</v>
      </c>
      <c r="AG60" s="63" t="s">
        <v>39</v>
      </c>
      <c r="AH60" s="1">
        <v>90</v>
      </c>
      <c r="AI60" s="65">
        <v>6</v>
      </c>
      <c r="AJ60" s="65">
        <v>96</v>
      </c>
      <c r="AK60" s="62">
        <v>66.666666666666671</v>
      </c>
      <c r="AL60" s="66">
        <v>5.8823529411764701</v>
      </c>
      <c r="AM60" s="62">
        <v>4.7574935476537421</v>
      </c>
      <c r="AN60" s="66">
        <v>0.87206651122491807</v>
      </c>
      <c r="AO60" s="1" t="s">
        <v>29</v>
      </c>
      <c r="AP60" s="1" t="s">
        <v>482</v>
      </c>
      <c r="AQ60" s="1" t="s">
        <v>483</v>
      </c>
      <c r="AR60" s="1">
        <v>715.38078584324035</v>
      </c>
      <c r="AS60" s="1" t="s">
        <v>451</v>
      </c>
      <c r="AT60" s="1">
        <v>557.99347936880122</v>
      </c>
      <c r="AU60" s="1">
        <v>872.76809231767947</v>
      </c>
      <c r="AV60" s="67" t="s">
        <v>490</v>
      </c>
      <c r="AW60" s="1" t="s">
        <v>494</v>
      </c>
      <c r="AX60" s="1" t="s">
        <v>39</v>
      </c>
    </row>
    <row r="61" spans="1:50" s="1" customFormat="1">
      <c r="A61" s="1" t="s">
        <v>36</v>
      </c>
      <c r="B61" s="1" t="s">
        <v>290</v>
      </c>
      <c r="C61" s="1">
        <v>2020</v>
      </c>
      <c r="D61" s="11" t="str">
        <f t="shared" si="0"/>
        <v>10.1016/j.palaeo.2019.109547</v>
      </c>
      <c r="E61" s="7">
        <f t="shared" si="1"/>
        <v>188050</v>
      </c>
      <c r="F61" s="7">
        <f t="shared" si="2"/>
        <v>13349.999999999995</v>
      </c>
      <c r="G61" s="7">
        <f t="shared" si="3"/>
        <v>13350.000000000022</v>
      </c>
      <c r="H61" s="8">
        <f t="shared" si="4"/>
        <v>1174.9946121893613</v>
      </c>
      <c r="I61" s="8">
        <f t="shared" si="5"/>
        <v>148.16252644669134</v>
      </c>
      <c r="J61" s="15">
        <f t="shared" si="6"/>
        <v>148.16252644669134</v>
      </c>
      <c r="K61" s="1" t="s">
        <v>291</v>
      </c>
      <c r="L61" s="61" t="s">
        <v>292</v>
      </c>
      <c r="M61" t="s">
        <v>293</v>
      </c>
      <c r="N61" s="1" t="s">
        <v>294</v>
      </c>
      <c r="O61" s="62" t="s">
        <v>360</v>
      </c>
      <c r="P61" s="63" t="s">
        <v>28</v>
      </c>
      <c r="Q61" s="64" t="s">
        <v>296</v>
      </c>
      <c r="R61" s="1" t="s">
        <v>297</v>
      </c>
      <c r="S61" s="1" t="s">
        <v>298</v>
      </c>
      <c r="T61" s="1" t="s">
        <v>299</v>
      </c>
      <c r="U61" s="1" t="s">
        <v>343</v>
      </c>
      <c r="V61" s="1">
        <v>188.05</v>
      </c>
      <c r="W61" s="1">
        <v>201.4</v>
      </c>
      <c r="X61" s="1">
        <v>174.7</v>
      </c>
      <c r="Y61" s="1" t="s">
        <v>39</v>
      </c>
      <c r="Z61" s="1" t="s">
        <v>302</v>
      </c>
      <c r="AA61" s="1">
        <v>30.957000000000001</v>
      </c>
      <c r="AB61" s="1">
        <v>110.746</v>
      </c>
      <c r="AC61" s="63" t="s">
        <v>39</v>
      </c>
      <c r="AD61" s="63" t="s">
        <v>39</v>
      </c>
      <c r="AE61" s="63" t="s">
        <v>39</v>
      </c>
      <c r="AF61" s="63" t="s">
        <v>39</v>
      </c>
      <c r="AG61" s="63" t="s">
        <v>39</v>
      </c>
      <c r="AH61" s="1">
        <v>90</v>
      </c>
      <c r="AI61" s="65">
        <v>4</v>
      </c>
      <c r="AJ61" s="65">
        <v>91</v>
      </c>
      <c r="AK61" s="62">
        <v>44.444444444444443</v>
      </c>
      <c r="AL61" s="66">
        <v>4.2105263157894735</v>
      </c>
      <c r="AM61" s="62">
        <v>7.027283689263065</v>
      </c>
      <c r="AN61" s="66">
        <v>0.35777087639996635</v>
      </c>
      <c r="AO61" s="1" t="s">
        <v>29</v>
      </c>
      <c r="AP61" s="1" t="s">
        <v>484</v>
      </c>
      <c r="AQ61" s="1" t="s">
        <v>485</v>
      </c>
      <c r="AR61" s="1">
        <v>1174.9946121893613</v>
      </c>
      <c r="AS61" s="1" t="s">
        <v>451</v>
      </c>
      <c r="AT61" s="1">
        <v>1026.83208574267</v>
      </c>
      <c r="AU61" s="1">
        <v>1323.1571386360527</v>
      </c>
      <c r="AV61" s="67" t="s">
        <v>490</v>
      </c>
      <c r="AW61" s="1" t="s">
        <v>494</v>
      </c>
      <c r="AX61" s="1" t="s">
        <v>39</v>
      </c>
    </row>
    <row r="62" spans="1:50" s="1" customFormat="1">
      <c r="A62" s="1" t="s">
        <v>36</v>
      </c>
      <c r="B62" s="1" t="s">
        <v>290</v>
      </c>
      <c r="C62" s="1">
        <v>2020</v>
      </c>
      <c r="D62" s="11" t="str">
        <f t="shared" si="0"/>
        <v>10.1016/j.palaeo.2019.109547</v>
      </c>
      <c r="E62" s="7">
        <f t="shared" si="1"/>
        <v>188050</v>
      </c>
      <c r="F62" s="7">
        <f t="shared" si="2"/>
        <v>13349.999999999995</v>
      </c>
      <c r="G62" s="7">
        <f t="shared" si="3"/>
        <v>13350.000000000022</v>
      </c>
      <c r="H62" s="8">
        <f t="shared" si="4"/>
        <v>1063.0137598980864</v>
      </c>
      <c r="I62" s="8">
        <f t="shared" si="5"/>
        <v>172.27943728201421</v>
      </c>
      <c r="J62" s="15">
        <f t="shared" si="6"/>
        <v>172.27943728201421</v>
      </c>
      <c r="K62" s="1" t="s">
        <v>291</v>
      </c>
      <c r="L62" s="61" t="s">
        <v>292</v>
      </c>
      <c r="M62" t="s">
        <v>293</v>
      </c>
      <c r="N62" s="1" t="s">
        <v>294</v>
      </c>
      <c r="O62" s="62" t="s">
        <v>361</v>
      </c>
      <c r="P62" s="63" t="s">
        <v>28</v>
      </c>
      <c r="Q62" s="64" t="s">
        <v>296</v>
      </c>
      <c r="R62" s="1" t="s">
        <v>297</v>
      </c>
      <c r="S62" s="1" t="s">
        <v>298</v>
      </c>
      <c r="T62" s="1" t="s">
        <v>299</v>
      </c>
      <c r="U62" s="1" t="s">
        <v>343</v>
      </c>
      <c r="V62" s="1">
        <v>188.05</v>
      </c>
      <c r="W62" s="1">
        <v>201.4</v>
      </c>
      <c r="X62" s="1">
        <v>174.7</v>
      </c>
      <c r="Y62" s="1" t="s">
        <v>39</v>
      </c>
      <c r="Z62" s="1" t="s">
        <v>302</v>
      </c>
      <c r="AA62" s="1">
        <v>30.957000000000001</v>
      </c>
      <c r="AB62" s="1">
        <v>110.746</v>
      </c>
      <c r="AC62" s="63" t="s">
        <v>39</v>
      </c>
      <c r="AD62" s="63" t="s">
        <v>39</v>
      </c>
      <c r="AE62" s="63" t="s">
        <v>39</v>
      </c>
      <c r="AF62" s="63" t="s">
        <v>39</v>
      </c>
      <c r="AG62" s="63" t="s">
        <v>39</v>
      </c>
      <c r="AH62" s="1">
        <v>90</v>
      </c>
      <c r="AI62" s="65">
        <v>5</v>
      </c>
      <c r="AJ62" s="65">
        <v>106</v>
      </c>
      <c r="AK62" s="62">
        <v>55.555555555555557</v>
      </c>
      <c r="AL62" s="66">
        <v>4.5045045045045047</v>
      </c>
      <c r="AM62" s="62">
        <v>6.2525714874571081</v>
      </c>
      <c r="AN62" s="66">
        <v>0.49193495504995377</v>
      </c>
      <c r="AO62" s="1" t="s">
        <v>29</v>
      </c>
      <c r="AP62" s="1" t="s">
        <v>486</v>
      </c>
      <c r="AQ62" s="1" t="s">
        <v>487</v>
      </c>
      <c r="AR62" s="1">
        <v>1063.0137598980864</v>
      </c>
      <c r="AS62" s="1" t="s">
        <v>451</v>
      </c>
      <c r="AT62" s="1">
        <v>890.73432261607218</v>
      </c>
      <c r="AU62" s="1">
        <v>1235.2931971801006</v>
      </c>
      <c r="AV62" s="67" t="s">
        <v>490</v>
      </c>
      <c r="AW62" s="1" t="s">
        <v>494</v>
      </c>
      <c r="AX62" s="1" t="s">
        <v>39</v>
      </c>
    </row>
    <row r="63" spans="1:50" s="1" customFormat="1">
      <c r="A63" s="1" t="s">
        <v>36</v>
      </c>
      <c r="B63" s="1" t="s">
        <v>290</v>
      </c>
      <c r="C63" s="1">
        <v>2020</v>
      </c>
      <c r="D63" s="11" t="str">
        <f t="shared" si="0"/>
        <v>10.1016/j.palaeo.2019.109547</v>
      </c>
      <c r="E63" s="7">
        <f t="shared" si="1"/>
        <v>188050</v>
      </c>
      <c r="F63" s="7">
        <f t="shared" si="2"/>
        <v>13349.999999999995</v>
      </c>
      <c r="G63" s="7">
        <f t="shared" si="3"/>
        <v>13350.000000000022</v>
      </c>
      <c r="H63" s="8">
        <f t="shared" si="4"/>
        <v>1267.9264011659975</v>
      </c>
      <c r="I63" s="8">
        <f t="shared" si="5"/>
        <v>252.44350327411075</v>
      </c>
      <c r="J63" s="15">
        <f t="shared" si="6"/>
        <v>252.44350327411064</v>
      </c>
      <c r="K63" s="1" t="s">
        <v>291</v>
      </c>
      <c r="L63" s="61" t="s">
        <v>292</v>
      </c>
      <c r="M63" t="s">
        <v>293</v>
      </c>
      <c r="N63" s="1" t="s">
        <v>294</v>
      </c>
      <c r="O63" s="62" t="s">
        <v>362</v>
      </c>
      <c r="P63" s="63" t="s">
        <v>28</v>
      </c>
      <c r="Q63" s="64" t="s">
        <v>296</v>
      </c>
      <c r="R63" s="1" t="s">
        <v>297</v>
      </c>
      <c r="S63" s="1" t="s">
        <v>298</v>
      </c>
      <c r="T63" s="1" t="s">
        <v>299</v>
      </c>
      <c r="U63" s="1" t="s">
        <v>343</v>
      </c>
      <c r="V63" s="1">
        <v>188.05</v>
      </c>
      <c r="W63" s="1">
        <v>201.4</v>
      </c>
      <c r="X63" s="1">
        <v>174.7</v>
      </c>
      <c r="Y63" s="1" t="s">
        <v>39</v>
      </c>
      <c r="Z63" s="1" t="s">
        <v>302</v>
      </c>
      <c r="AA63" s="1">
        <v>30.957000000000001</v>
      </c>
      <c r="AB63" s="1">
        <v>110.746</v>
      </c>
      <c r="AC63" s="63" t="s">
        <v>39</v>
      </c>
      <c r="AD63" s="63" t="s">
        <v>39</v>
      </c>
      <c r="AE63" s="63" t="s">
        <v>39</v>
      </c>
      <c r="AF63" s="63" t="s">
        <v>39</v>
      </c>
      <c r="AG63" s="63" t="s">
        <v>39</v>
      </c>
      <c r="AH63" s="1">
        <v>90</v>
      </c>
      <c r="AI63" s="65">
        <v>4</v>
      </c>
      <c r="AJ63" s="65">
        <v>96</v>
      </c>
      <c r="AK63" s="62">
        <v>44.444444444444443</v>
      </c>
      <c r="AL63" s="66">
        <v>4</v>
      </c>
      <c r="AM63" s="62">
        <v>6.4150029909958519</v>
      </c>
      <c r="AN63" s="66">
        <v>0.53665631459994956</v>
      </c>
      <c r="AO63" s="1" t="s">
        <v>29</v>
      </c>
      <c r="AP63" s="1" t="s">
        <v>488</v>
      </c>
      <c r="AQ63" s="1" t="s">
        <v>489</v>
      </c>
      <c r="AR63" s="1">
        <v>1267.9264011659975</v>
      </c>
      <c r="AS63" s="1" t="s">
        <v>451</v>
      </c>
      <c r="AT63" s="1">
        <v>1015.4828978918869</v>
      </c>
      <c r="AU63" s="1">
        <v>1520.3699044401083</v>
      </c>
      <c r="AV63" s="67" t="s">
        <v>490</v>
      </c>
      <c r="AW63" s="1" t="s">
        <v>494</v>
      </c>
      <c r="AX63" s="1" t="s">
        <v>39</v>
      </c>
    </row>
    <row r="64" spans="1:50" s="1" customFormat="1">
      <c r="A64" s="1" t="s">
        <v>36</v>
      </c>
      <c r="B64" s="1" t="s">
        <v>290</v>
      </c>
      <c r="C64" s="1">
        <v>2020</v>
      </c>
      <c r="D64" s="11" t="str">
        <f t="shared" si="0"/>
        <v>10.1016/j.palaeo.2019.109547</v>
      </c>
      <c r="E64" s="7">
        <f t="shared" si="1"/>
        <v>188050</v>
      </c>
      <c r="F64" s="7">
        <f t="shared" si="2"/>
        <v>13349.999999999995</v>
      </c>
      <c r="G64" s="7">
        <f t="shared" si="3"/>
        <v>13350.000000000022</v>
      </c>
      <c r="H64" s="8">
        <f t="shared" si="4"/>
        <v>653.83042560307354</v>
      </c>
      <c r="I64" s="8">
        <f t="shared" si="5"/>
        <v>79.842081050279489</v>
      </c>
      <c r="J64" s="15">
        <f t="shared" si="6"/>
        <v>79.842081050279489</v>
      </c>
      <c r="K64" s="1" t="s">
        <v>291</v>
      </c>
      <c r="L64" s="61" t="s">
        <v>292</v>
      </c>
      <c r="M64" t="s">
        <v>293</v>
      </c>
      <c r="N64" s="1" t="s">
        <v>294</v>
      </c>
      <c r="O64" s="62" t="s">
        <v>363</v>
      </c>
      <c r="P64" s="63" t="s">
        <v>28</v>
      </c>
      <c r="Q64" s="64" t="s">
        <v>296</v>
      </c>
      <c r="R64" s="1" t="s">
        <v>297</v>
      </c>
      <c r="S64" s="1" t="s">
        <v>298</v>
      </c>
      <c r="T64" s="1" t="s">
        <v>299</v>
      </c>
      <c r="U64" s="1" t="s">
        <v>364</v>
      </c>
      <c r="V64" s="1">
        <v>188.05</v>
      </c>
      <c r="W64" s="1">
        <v>201.4</v>
      </c>
      <c r="X64" s="1">
        <v>174.7</v>
      </c>
      <c r="Y64" s="1" t="s">
        <v>39</v>
      </c>
      <c r="Z64" s="1" t="s">
        <v>302</v>
      </c>
      <c r="AA64" s="1">
        <v>30.957000000000001</v>
      </c>
      <c r="AB64" s="1">
        <v>110.746</v>
      </c>
      <c r="AC64" s="63" t="s">
        <v>39</v>
      </c>
      <c r="AD64" s="63" t="s">
        <v>39</v>
      </c>
      <c r="AE64" s="63" t="s">
        <v>39</v>
      </c>
      <c r="AF64" s="63" t="s">
        <v>39</v>
      </c>
      <c r="AG64" s="63" t="s">
        <v>39</v>
      </c>
      <c r="AH64" s="1">
        <v>90</v>
      </c>
      <c r="AI64" s="65">
        <v>7</v>
      </c>
      <c r="AJ64" s="65">
        <v>105</v>
      </c>
      <c r="AK64" s="62">
        <v>77.777777777777786</v>
      </c>
      <c r="AL64" s="66">
        <v>6.25</v>
      </c>
      <c r="AM64" s="62">
        <v>3.5136418446315325</v>
      </c>
      <c r="AN64" s="66">
        <v>0.51429563482495166</v>
      </c>
      <c r="AO64" s="1" t="s">
        <v>29</v>
      </c>
      <c r="AP64" s="1" t="s">
        <v>449</v>
      </c>
      <c r="AQ64" s="1" t="s">
        <v>450</v>
      </c>
      <c r="AR64" s="1">
        <v>653.83042560307354</v>
      </c>
      <c r="AS64" s="1" t="s">
        <v>451</v>
      </c>
      <c r="AT64" s="1">
        <v>573.98834455279405</v>
      </c>
      <c r="AU64" s="1">
        <v>733.67250665335303</v>
      </c>
      <c r="AV64" s="67" t="s">
        <v>490</v>
      </c>
      <c r="AW64" s="1" t="s">
        <v>494</v>
      </c>
      <c r="AX64" s="1" t="s">
        <v>39</v>
      </c>
    </row>
    <row r="65" spans="1:50" s="1" customFormat="1">
      <c r="A65" s="1" t="s">
        <v>36</v>
      </c>
      <c r="B65" s="1" t="s">
        <v>290</v>
      </c>
      <c r="C65" s="1">
        <v>2020</v>
      </c>
      <c r="D65" s="11" t="str">
        <f t="shared" ref="D65:D125" si="9">N65</f>
        <v>10.1016/j.palaeo.2019.109547</v>
      </c>
      <c r="E65" s="7">
        <f t="shared" ref="E65:E125" si="10">V65*1000</f>
        <v>188050</v>
      </c>
      <c r="F65" s="7">
        <f t="shared" ref="F65:F125" si="11">(W65-V65)*1000</f>
        <v>13349.999999999995</v>
      </c>
      <c r="G65" s="7">
        <f t="shared" ref="G65:G125" si="12">(V65-X65)*1000</f>
        <v>13350.000000000022</v>
      </c>
      <c r="H65" s="8">
        <f t="shared" ref="H65:H125" si="13">AR65</f>
        <v>951.32744752413601</v>
      </c>
      <c r="I65" s="8">
        <f t="shared" ref="I65:I125" si="14">AU65-AR65</f>
        <v>91.042502401992351</v>
      </c>
      <c r="J65" s="15">
        <f t="shared" ref="J65:J125" si="15">AR65-AT65</f>
        <v>91.042502401992465</v>
      </c>
      <c r="K65" s="1" t="s">
        <v>291</v>
      </c>
      <c r="L65" s="61" t="s">
        <v>292</v>
      </c>
      <c r="M65" t="s">
        <v>293</v>
      </c>
      <c r="N65" s="1" t="s">
        <v>294</v>
      </c>
      <c r="O65" s="62" t="s">
        <v>365</v>
      </c>
      <c r="P65" s="63" t="s">
        <v>28</v>
      </c>
      <c r="Q65" s="64" t="s">
        <v>296</v>
      </c>
      <c r="R65" s="1" t="s">
        <v>297</v>
      </c>
      <c r="S65" s="1" t="s">
        <v>298</v>
      </c>
      <c r="T65" s="1" t="s">
        <v>299</v>
      </c>
      <c r="U65" s="1" t="s">
        <v>364</v>
      </c>
      <c r="V65" s="1">
        <v>188.05</v>
      </c>
      <c r="W65" s="1">
        <v>201.4</v>
      </c>
      <c r="X65" s="1">
        <v>174.7</v>
      </c>
      <c r="Y65" s="1" t="s">
        <v>39</v>
      </c>
      <c r="Z65" s="1" t="s">
        <v>302</v>
      </c>
      <c r="AA65" s="1">
        <v>30.957000000000001</v>
      </c>
      <c r="AB65" s="1">
        <v>110.746</v>
      </c>
      <c r="AC65" s="63" t="s">
        <v>39</v>
      </c>
      <c r="AD65" s="63" t="s">
        <v>39</v>
      </c>
      <c r="AE65" s="63" t="s">
        <v>39</v>
      </c>
      <c r="AF65" s="63" t="s">
        <v>39</v>
      </c>
      <c r="AG65" s="63" t="s">
        <v>39</v>
      </c>
      <c r="AH65" s="1">
        <v>90</v>
      </c>
      <c r="AI65" s="65">
        <v>5</v>
      </c>
      <c r="AJ65" s="65">
        <v>98</v>
      </c>
      <c r="AK65" s="62">
        <v>55.555555555555557</v>
      </c>
      <c r="AL65" s="66">
        <v>4.8543689320388346</v>
      </c>
      <c r="AM65" s="62">
        <v>4.4444444444444118</v>
      </c>
      <c r="AN65" s="66">
        <v>0.31304951684997062</v>
      </c>
      <c r="AO65" s="1" t="s">
        <v>29</v>
      </c>
      <c r="AP65" s="1" t="s">
        <v>452</v>
      </c>
      <c r="AQ65" s="1" t="s">
        <v>453</v>
      </c>
      <c r="AR65" s="1">
        <v>951.32744752413601</v>
      </c>
      <c r="AS65" s="1" t="s">
        <v>451</v>
      </c>
      <c r="AT65" s="1">
        <v>860.28494512214354</v>
      </c>
      <c r="AU65" s="1">
        <v>1042.3699499261284</v>
      </c>
      <c r="AV65" s="67" t="s">
        <v>490</v>
      </c>
      <c r="AW65" s="1" t="s">
        <v>494</v>
      </c>
      <c r="AX65" s="1" t="s">
        <v>39</v>
      </c>
    </row>
    <row r="66" spans="1:50" s="1" customFormat="1">
      <c r="A66" s="1" t="s">
        <v>36</v>
      </c>
      <c r="B66" s="1" t="s">
        <v>290</v>
      </c>
      <c r="C66" s="1">
        <v>2020</v>
      </c>
      <c r="D66" s="11" t="str">
        <f t="shared" si="9"/>
        <v>10.1016/j.palaeo.2019.109547</v>
      </c>
      <c r="E66" s="7">
        <f t="shared" si="10"/>
        <v>188050</v>
      </c>
      <c r="F66" s="7">
        <f t="shared" si="11"/>
        <v>13349.999999999995</v>
      </c>
      <c r="G66" s="7">
        <f t="shared" si="12"/>
        <v>13350.000000000022</v>
      </c>
      <c r="H66" s="8">
        <f t="shared" si="13"/>
        <v>746.82618445852802</v>
      </c>
      <c r="I66" s="8">
        <f t="shared" si="14"/>
        <v>190.82231690721289</v>
      </c>
      <c r="J66" s="15">
        <f t="shared" si="15"/>
        <v>190.82231690721289</v>
      </c>
      <c r="K66" s="1" t="s">
        <v>291</v>
      </c>
      <c r="L66" s="61" t="s">
        <v>292</v>
      </c>
      <c r="M66" t="s">
        <v>293</v>
      </c>
      <c r="N66" s="1" t="s">
        <v>294</v>
      </c>
      <c r="O66" s="62" t="s">
        <v>366</v>
      </c>
      <c r="P66" s="63" t="s">
        <v>28</v>
      </c>
      <c r="Q66" s="64" t="s">
        <v>296</v>
      </c>
      <c r="R66" s="1" t="s">
        <v>297</v>
      </c>
      <c r="S66" s="1" t="s">
        <v>298</v>
      </c>
      <c r="T66" s="1" t="s">
        <v>299</v>
      </c>
      <c r="U66" s="1" t="s">
        <v>364</v>
      </c>
      <c r="V66" s="1">
        <v>188.05</v>
      </c>
      <c r="W66" s="1">
        <v>201.4</v>
      </c>
      <c r="X66" s="1">
        <v>174.7</v>
      </c>
      <c r="Y66" s="1" t="s">
        <v>39</v>
      </c>
      <c r="Z66" s="1" t="s">
        <v>302</v>
      </c>
      <c r="AA66" s="1">
        <v>30.957000000000001</v>
      </c>
      <c r="AB66" s="1">
        <v>110.746</v>
      </c>
      <c r="AC66" s="63" t="s">
        <v>39</v>
      </c>
      <c r="AD66" s="63" t="s">
        <v>39</v>
      </c>
      <c r="AE66" s="63" t="s">
        <v>39</v>
      </c>
      <c r="AF66" s="63" t="s">
        <v>39</v>
      </c>
      <c r="AG66" s="63" t="s">
        <v>39</v>
      </c>
      <c r="AH66" s="1">
        <v>90</v>
      </c>
      <c r="AI66" s="65">
        <v>6</v>
      </c>
      <c r="AJ66" s="65">
        <v>99</v>
      </c>
      <c r="AK66" s="62">
        <v>66.666666666666671</v>
      </c>
      <c r="AL66" s="66">
        <v>5.7142857142857144</v>
      </c>
      <c r="AM66" s="62">
        <v>5.4433105395181833</v>
      </c>
      <c r="AN66" s="66">
        <v>0.98386991009990754</v>
      </c>
      <c r="AO66" s="1" t="s">
        <v>29</v>
      </c>
      <c r="AP66" s="1" t="s">
        <v>454</v>
      </c>
      <c r="AQ66" s="1" t="s">
        <v>455</v>
      </c>
      <c r="AR66" s="1">
        <v>746.82618445852802</v>
      </c>
      <c r="AS66" s="1" t="s">
        <v>451</v>
      </c>
      <c r="AT66" s="1">
        <v>556.00386755131512</v>
      </c>
      <c r="AU66" s="1">
        <v>937.64850136574091</v>
      </c>
      <c r="AV66" s="67" t="s">
        <v>490</v>
      </c>
      <c r="AW66" s="1" t="s">
        <v>494</v>
      </c>
      <c r="AX66" s="1" t="s">
        <v>39</v>
      </c>
    </row>
    <row r="67" spans="1:50" s="1" customFormat="1">
      <c r="A67" s="1" t="s">
        <v>36</v>
      </c>
      <c r="B67" s="1" t="s">
        <v>290</v>
      </c>
      <c r="C67" s="1">
        <v>2020</v>
      </c>
      <c r="D67" s="11" t="str">
        <f t="shared" si="9"/>
        <v>10.1016/j.palaeo.2019.109547</v>
      </c>
      <c r="E67" s="7">
        <f t="shared" si="10"/>
        <v>188050</v>
      </c>
      <c r="F67" s="7">
        <f t="shared" si="11"/>
        <v>13349.999999999995</v>
      </c>
      <c r="G67" s="7">
        <f t="shared" si="12"/>
        <v>13350.000000000022</v>
      </c>
      <c r="H67" s="8">
        <f t="shared" si="13"/>
        <v>811.02439383682554</v>
      </c>
      <c r="I67" s="8">
        <f t="shared" si="14"/>
        <v>169.27914842104622</v>
      </c>
      <c r="J67" s="15">
        <f t="shared" si="15"/>
        <v>169.27914842104622</v>
      </c>
      <c r="K67" s="1" t="s">
        <v>291</v>
      </c>
      <c r="L67" s="61" t="s">
        <v>292</v>
      </c>
      <c r="M67" t="s">
        <v>293</v>
      </c>
      <c r="N67" s="1" t="s">
        <v>294</v>
      </c>
      <c r="O67" s="62" t="s">
        <v>367</v>
      </c>
      <c r="P67" s="63" t="s">
        <v>28</v>
      </c>
      <c r="Q67" s="64" t="s">
        <v>296</v>
      </c>
      <c r="R67" s="1" t="s">
        <v>297</v>
      </c>
      <c r="S67" s="1" t="s">
        <v>298</v>
      </c>
      <c r="T67" s="1" t="s">
        <v>299</v>
      </c>
      <c r="U67" s="1" t="s">
        <v>364</v>
      </c>
      <c r="V67" s="1">
        <v>188.05</v>
      </c>
      <c r="W67" s="1">
        <v>201.4</v>
      </c>
      <c r="X67" s="1">
        <v>174.7</v>
      </c>
      <c r="Y67" s="1" t="s">
        <v>39</v>
      </c>
      <c r="Z67" s="1" t="s">
        <v>302</v>
      </c>
      <c r="AA67" s="1">
        <v>30.957000000000001</v>
      </c>
      <c r="AB67" s="1">
        <v>110.746</v>
      </c>
      <c r="AC67" s="63" t="s">
        <v>39</v>
      </c>
      <c r="AD67" s="63" t="s">
        <v>39</v>
      </c>
      <c r="AE67" s="63" t="s">
        <v>39</v>
      </c>
      <c r="AF67" s="63" t="s">
        <v>39</v>
      </c>
      <c r="AG67" s="63" t="s">
        <v>39</v>
      </c>
      <c r="AH67" s="1">
        <v>90</v>
      </c>
      <c r="AI67" s="65">
        <v>6</v>
      </c>
      <c r="AJ67" s="65">
        <v>105</v>
      </c>
      <c r="AK67" s="62">
        <v>66.666666666666671</v>
      </c>
      <c r="AL67" s="66">
        <v>5.4054054054054053</v>
      </c>
      <c r="AM67" s="62">
        <v>5.4433105395181753</v>
      </c>
      <c r="AN67" s="66">
        <v>0.7602631123499286</v>
      </c>
      <c r="AO67" s="1" t="s">
        <v>29</v>
      </c>
      <c r="AP67" s="1" t="s">
        <v>456</v>
      </c>
      <c r="AQ67" s="1" t="s">
        <v>457</v>
      </c>
      <c r="AR67" s="1">
        <v>811.02439383682554</v>
      </c>
      <c r="AS67" s="1" t="s">
        <v>451</v>
      </c>
      <c r="AT67" s="1">
        <v>641.74524541577932</v>
      </c>
      <c r="AU67" s="1">
        <v>980.30354225787175</v>
      </c>
      <c r="AV67" s="67" t="s">
        <v>490</v>
      </c>
      <c r="AW67" s="1" t="s">
        <v>494</v>
      </c>
      <c r="AX67" s="1" t="s">
        <v>39</v>
      </c>
    </row>
    <row r="68" spans="1:50" s="1" customFormat="1">
      <c r="A68" s="1" t="s">
        <v>36</v>
      </c>
      <c r="B68" s="1" t="s">
        <v>290</v>
      </c>
      <c r="C68" s="1">
        <v>2020</v>
      </c>
      <c r="D68" s="11" t="str">
        <f t="shared" si="9"/>
        <v>10.1016/j.palaeo.2019.109547</v>
      </c>
      <c r="E68" s="7">
        <f t="shared" si="10"/>
        <v>188050</v>
      </c>
      <c r="F68" s="7">
        <f t="shared" si="11"/>
        <v>13349.999999999995</v>
      </c>
      <c r="G68" s="7">
        <f t="shared" si="12"/>
        <v>13350.000000000022</v>
      </c>
      <c r="H68" s="8">
        <f t="shared" si="13"/>
        <v>832.80442992284497</v>
      </c>
      <c r="I68" s="8">
        <f t="shared" si="14"/>
        <v>213.38946745593853</v>
      </c>
      <c r="J68" s="15">
        <f t="shared" si="15"/>
        <v>213.38946745593842</v>
      </c>
      <c r="K68" s="1" t="s">
        <v>291</v>
      </c>
      <c r="L68" s="61" t="s">
        <v>292</v>
      </c>
      <c r="M68" t="s">
        <v>293</v>
      </c>
      <c r="N68" s="1" t="s">
        <v>294</v>
      </c>
      <c r="O68" s="62" t="s">
        <v>368</v>
      </c>
      <c r="P68" s="63" t="s">
        <v>28</v>
      </c>
      <c r="Q68" s="64" t="s">
        <v>296</v>
      </c>
      <c r="R68" s="1" t="s">
        <v>297</v>
      </c>
      <c r="S68" s="1" t="s">
        <v>298</v>
      </c>
      <c r="T68" s="1" t="s">
        <v>299</v>
      </c>
      <c r="U68" s="1" t="s">
        <v>364</v>
      </c>
      <c r="V68" s="1">
        <v>188.05</v>
      </c>
      <c r="W68" s="1">
        <v>201.4</v>
      </c>
      <c r="X68" s="1">
        <v>174.7</v>
      </c>
      <c r="Y68" s="1" t="s">
        <v>39</v>
      </c>
      <c r="Z68" s="1" t="s">
        <v>302</v>
      </c>
      <c r="AA68" s="1">
        <v>30.957000000000001</v>
      </c>
      <c r="AB68" s="1">
        <v>110.746</v>
      </c>
      <c r="AC68" s="63" t="s">
        <v>39</v>
      </c>
      <c r="AD68" s="63" t="s">
        <v>39</v>
      </c>
      <c r="AE68" s="63" t="s">
        <v>39</v>
      </c>
      <c r="AF68" s="63" t="s">
        <v>39</v>
      </c>
      <c r="AG68" s="63" t="s">
        <v>39</v>
      </c>
      <c r="AH68" s="1">
        <v>90</v>
      </c>
      <c r="AI68" s="65">
        <v>6</v>
      </c>
      <c r="AJ68" s="65">
        <v>107</v>
      </c>
      <c r="AK68" s="62">
        <v>66.666666666666671</v>
      </c>
      <c r="AL68" s="66">
        <v>5.3097345132743365</v>
      </c>
      <c r="AM68" s="62">
        <v>4.4444444444444535</v>
      </c>
      <c r="AN68" s="66">
        <v>0.91678787077491375</v>
      </c>
      <c r="AO68" s="1" t="s">
        <v>29</v>
      </c>
      <c r="AP68" s="1" t="s">
        <v>458</v>
      </c>
      <c r="AQ68" s="1" t="s">
        <v>459</v>
      </c>
      <c r="AR68" s="1">
        <v>832.80442992284497</v>
      </c>
      <c r="AS68" s="1" t="s">
        <v>451</v>
      </c>
      <c r="AT68" s="1">
        <v>619.41496246690656</v>
      </c>
      <c r="AU68" s="1">
        <v>1046.1938973787835</v>
      </c>
      <c r="AV68" s="67" t="s">
        <v>490</v>
      </c>
      <c r="AW68" s="1" t="s">
        <v>494</v>
      </c>
      <c r="AX68" s="1" t="s">
        <v>39</v>
      </c>
    </row>
    <row r="69" spans="1:50" s="1" customFormat="1">
      <c r="A69" s="1" t="s">
        <v>36</v>
      </c>
      <c r="B69" s="1" t="s">
        <v>290</v>
      </c>
      <c r="C69" s="1">
        <v>2020</v>
      </c>
      <c r="D69" s="11" t="str">
        <f t="shared" si="9"/>
        <v>10.1016/j.palaeo.2019.109547</v>
      </c>
      <c r="E69" s="7">
        <f t="shared" si="10"/>
        <v>188050</v>
      </c>
      <c r="F69" s="7">
        <f t="shared" si="11"/>
        <v>13349.999999999995</v>
      </c>
      <c r="G69" s="7">
        <f t="shared" si="12"/>
        <v>13350.000000000022</v>
      </c>
      <c r="H69" s="8">
        <f t="shared" si="13"/>
        <v>1084.4010488402016</v>
      </c>
      <c r="I69" s="8">
        <f t="shared" si="14"/>
        <v>194.31332885287156</v>
      </c>
      <c r="J69" s="15">
        <f t="shared" si="15"/>
        <v>194.31332885287156</v>
      </c>
      <c r="K69" s="1" t="s">
        <v>291</v>
      </c>
      <c r="L69" s="61" t="s">
        <v>292</v>
      </c>
      <c r="M69" t="s">
        <v>293</v>
      </c>
      <c r="N69" s="1" t="s">
        <v>294</v>
      </c>
      <c r="O69" s="62" t="s">
        <v>369</v>
      </c>
      <c r="P69" s="63" t="s">
        <v>28</v>
      </c>
      <c r="Q69" s="64" t="s">
        <v>296</v>
      </c>
      <c r="R69" s="1" t="s">
        <v>297</v>
      </c>
      <c r="S69" s="1" t="s">
        <v>298</v>
      </c>
      <c r="T69" s="1" t="s">
        <v>299</v>
      </c>
      <c r="U69" s="1" t="s">
        <v>364</v>
      </c>
      <c r="V69" s="1">
        <v>188.05</v>
      </c>
      <c r="W69" s="1">
        <v>201.4</v>
      </c>
      <c r="X69" s="1">
        <v>174.7</v>
      </c>
      <c r="Y69" s="1" t="s">
        <v>39</v>
      </c>
      <c r="Z69" s="1" t="s">
        <v>302</v>
      </c>
      <c r="AA69" s="1">
        <v>30.957000000000001</v>
      </c>
      <c r="AB69" s="1">
        <v>110.746</v>
      </c>
      <c r="AC69" s="63" t="s">
        <v>39</v>
      </c>
      <c r="AD69" s="63" t="s">
        <v>39</v>
      </c>
      <c r="AE69" s="63" t="s">
        <v>39</v>
      </c>
      <c r="AF69" s="63" t="s">
        <v>39</v>
      </c>
      <c r="AG69" s="63" t="s">
        <v>39</v>
      </c>
      <c r="AH69" s="1">
        <v>90</v>
      </c>
      <c r="AI69" s="65">
        <v>4</v>
      </c>
      <c r="AJ69" s="65">
        <v>86</v>
      </c>
      <c r="AK69" s="62">
        <v>44.444444444444443</v>
      </c>
      <c r="AL69" s="66">
        <v>4.4444444444444446</v>
      </c>
      <c r="AM69" s="62">
        <v>2.2222222222222228</v>
      </c>
      <c r="AN69" s="66">
        <v>0.53665631459994956</v>
      </c>
      <c r="AO69" s="1" t="s">
        <v>29</v>
      </c>
      <c r="AP69" s="1" t="s">
        <v>460</v>
      </c>
      <c r="AQ69" s="1" t="s">
        <v>461</v>
      </c>
      <c r="AR69" s="1">
        <v>1084.4010488402016</v>
      </c>
      <c r="AS69" s="1" t="s">
        <v>451</v>
      </c>
      <c r="AT69" s="1">
        <v>890.08771998733005</v>
      </c>
      <c r="AU69" s="1">
        <v>1278.7143776930732</v>
      </c>
      <c r="AV69" s="67" t="s">
        <v>490</v>
      </c>
      <c r="AW69" s="1" t="s">
        <v>494</v>
      </c>
      <c r="AX69" s="1" t="s">
        <v>39</v>
      </c>
    </row>
    <row r="70" spans="1:50" s="1" customFormat="1">
      <c r="A70" s="1" t="s">
        <v>36</v>
      </c>
      <c r="B70" s="1" t="s">
        <v>290</v>
      </c>
      <c r="C70" s="1">
        <v>2020</v>
      </c>
      <c r="D70" s="11" t="str">
        <f t="shared" si="9"/>
        <v>10.1016/j.palaeo.2019.109547</v>
      </c>
      <c r="E70" s="7">
        <f t="shared" si="10"/>
        <v>188050</v>
      </c>
      <c r="F70" s="7">
        <f t="shared" si="11"/>
        <v>13349.999999999995</v>
      </c>
      <c r="G70" s="7">
        <f t="shared" si="12"/>
        <v>13350.000000000022</v>
      </c>
      <c r="H70" s="8">
        <f t="shared" si="13"/>
        <v>1066.5686515697512</v>
      </c>
      <c r="I70" s="8">
        <f t="shared" si="14"/>
        <v>125.99627796846767</v>
      </c>
      <c r="J70" s="15">
        <f t="shared" si="15"/>
        <v>125.99627796846767</v>
      </c>
      <c r="K70" s="1" t="s">
        <v>291</v>
      </c>
      <c r="L70" s="61" t="s">
        <v>292</v>
      </c>
      <c r="M70" t="s">
        <v>293</v>
      </c>
      <c r="N70" s="1" t="s">
        <v>294</v>
      </c>
      <c r="O70" s="62" t="s">
        <v>370</v>
      </c>
      <c r="P70" s="63" t="s">
        <v>28</v>
      </c>
      <c r="Q70" s="64" t="s">
        <v>296</v>
      </c>
      <c r="R70" s="1" t="s">
        <v>297</v>
      </c>
      <c r="S70" s="1" t="s">
        <v>298</v>
      </c>
      <c r="T70" s="1" t="s">
        <v>299</v>
      </c>
      <c r="U70" s="1" t="s">
        <v>364</v>
      </c>
      <c r="V70" s="1">
        <v>188.05</v>
      </c>
      <c r="W70" s="1">
        <v>201.4</v>
      </c>
      <c r="X70" s="1">
        <v>174.7</v>
      </c>
      <c r="Y70" s="1" t="s">
        <v>39</v>
      </c>
      <c r="Z70" s="1" t="s">
        <v>302</v>
      </c>
      <c r="AA70" s="1">
        <v>30.957000000000001</v>
      </c>
      <c r="AB70" s="1">
        <v>110.746</v>
      </c>
      <c r="AC70" s="63" t="s">
        <v>39</v>
      </c>
      <c r="AD70" s="63" t="s">
        <v>39</v>
      </c>
      <c r="AE70" s="63" t="s">
        <v>39</v>
      </c>
      <c r="AF70" s="63" t="s">
        <v>39</v>
      </c>
      <c r="AG70" s="63" t="s">
        <v>39</v>
      </c>
      <c r="AH70" s="1">
        <v>90</v>
      </c>
      <c r="AI70" s="65">
        <v>4</v>
      </c>
      <c r="AJ70" s="65">
        <v>85</v>
      </c>
      <c r="AK70" s="62">
        <v>44.444444444444443</v>
      </c>
      <c r="AL70" s="66">
        <v>4.4943820224719104</v>
      </c>
      <c r="AM70" s="62">
        <v>4.4444444444444535</v>
      </c>
      <c r="AN70" s="66">
        <v>0.35777087639996635</v>
      </c>
      <c r="AO70" s="1" t="s">
        <v>29</v>
      </c>
      <c r="AP70" s="1" t="s">
        <v>462</v>
      </c>
      <c r="AQ70" s="1" t="s">
        <v>463</v>
      </c>
      <c r="AR70" s="1">
        <v>1066.5686515697512</v>
      </c>
      <c r="AS70" s="1" t="s">
        <v>451</v>
      </c>
      <c r="AT70" s="1">
        <v>940.57237360128352</v>
      </c>
      <c r="AU70" s="1">
        <v>1192.5649295382188</v>
      </c>
      <c r="AV70" s="67" t="s">
        <v>490</v>
      </c>
      <c r="AW70" s="1" t="s">
        <v>494</v>
      </c>
      <c r="AX70" s="1" t="s">
        <v>39</v>
      </c>
    </row>
    <row r="71" spans="1:50" s="1" customFormat="1">
      <c r="A71" s="1" t="s">
        <v>36</v>
      </c>
      <c r="B71" s="1" t="s">
        <v>290</v>
      </c>
      <c r="C71" s="1">
        <v>2020</v>
      </c>
      <c r="D71" s="11" t="str">
        <f t="shared" si="9"/>
        <v>10.1016/j.palaeo.2019.109547</v>
      </c>
      <c r="E71" s="7">
        <f t="shared" si="10"/>
        <v>188050</v>
      </c>
      <c r="F71" s="7">
        <f t="shared" si="11"/>
        <v>13349.999999999995</v>
      </c>
      <c r="G71" s="7">
        <f t="shared" si="12"/>
        <v>13350.000000000022</v>
      </c>
      <c r="H71" s="8">
        <f t="shared" si="13"/>
        <v>1066.5686515697512</v>
      </c>
      <c r="I71" s="8">
        <f t="shared" si="14"/>
        <v>244.11778856390606</v>
      </c>
      <c r="J71" s="15">
        <f t="shared" si="15"/>
        <v>244.11778856390617</v>
      </c>
      <c r="K71" s="1" t="s">
        <v>291</v>
      </c>
      <c r="L71" s="61" t="s">
        <v>292</v>
      </c>
      <c r="M71" t="s">
        <v>293</v>
      </c>
      <c r="N71" s="1" t="s">
        <v>294</v>
      </c>
      <c r="O71" s="62" t="s">
        <v>371</v>
      </c>
      <c r="P71" s="63" t="s">
        <v>28</v>
      </c>
      <c r="Q71" s="64" t="s">
        <v>296</v>
      </c>
      <c r="R71" s="1" t="s">
        <v>297</v>
      </c>
      <c r="S71" s="1" t="s">
        <v>298</v>
      </c>
      <c r="T71" s="1" t="s">
        <v>299</v>
      </c>
      <c r="U71" s="1" t="s">
        <v>364</v>
      </c>
      <c r="V71" s="1">
        <v>188.05</v>
      </c>
      <c r="W71" s="1">
        <v>201.4</v>
      </c>
      <c r="X71" s="1">
        <v>174.7</v>
      </c>
      <c r="Y71" s="1" t="s">
        <v>39</v>
      </c>
      <c r="Z71" s="1" t="s">
        <v>302</v>
      </c>
      <c r="AA71" s="1">
        <v>30.957000000000001</v>
      </c>
      <c r="AB71" s="1">
        <v>110.746</v>
      </c>
      <c r="AC71" s="63" t="s">
        <v>39</v>
      </c>
      <c r="AD71" s="63" t="s">
        <v>39</v>
      </c>
      <c r="AE71" s="63" t="s">
        <v>39</v>
      </c>
      <c r="AF71" s="63" t="s">
        <v>39</v>
      </c>
      <c r="AG71" s="63" t="s">
        <v>39</v>
      </c>
      <c r="AH71" s="1">
        <v>90</v>
      </c>
      <c r="AI71" s="65">
        <v>4</v>
      </c>
      <c r="AJ71" s="65">
        <v>85</v>
      </c>
      <c r="AK71" s="62">
        <v>44.444444444444443</v>
      </c>
      <c r="AL71" s="66">
        <v>4.4943820224719104</v>
      </c>
      <c r="AM71" s="62">
        <v>6.3147941928309903</v>
      </c>
      <c r="AN71" s="66">
        <v>0.69318107302493481</v>
      </c>
      <c r="AO71" s="1" t="s">
        <v>29</v>
      </c>
      <c r="AP71" s="1" t="s">
        <v>464</v>
      </c>
      <c r="AQ71" s="1" t="s">
        <v>465</v>
      </c>
      <c r="AR71" s="1">
        <v>1066.5686515697512</v>
      </c>
      <c r="AS71" s="1" t="s">
        <v>451</v>
      </c>
      <c r="AT71" s="1">
        <v>822.45086300584501</v>
      </c>
      <c r="AU71" s="1">
        <v>1310.6864401336572</v>
      </c>
      <c r="AV71" s="67" t="s">
        <v>490</v>
      </c>
      <c r="AW71" s="1" t="s">
        <v>494</v>
      </c>
      <c r="AX71" s="1" t="s">
        <v>39</v>
      </c>
    </row>
    <row r="72" spans="1:50" s="1" customFormat="1">
      <c r="A72" s="1" t="s">
        <v>36</v>
      </c>
      <c r="B72" s="1" t="s">
        <v>290</v>
      </c>
      <c r="C72" s="1">
        <v>2020</v>
      </c>
      <c r="D72" s="11" t="str">
        <f t="shared" si="9"/>
        <v>10.1016/j.palaeo.2019.109547</v>
      </c>
      <c r="E72" s="7">
        <f t="shared" si="10"/>
        <v>188050</v>
      </c>
      <c r="F72" s="7">
        <f t="shared" si="11"/>
        <v>13349.999999999995</v>
      </c>
      <c r="G72" s="7">
        <f t="shared" si="12"/>
        <v>13350.000000000022</v>
      </c>
      <c r="H72" s="8">
        <f t="shared" si="13"/>
        <v>1013.6540189151107</v>
      </c>
      <c r="I72" s="8">
        <f t="shared" si="14"/>
        <v>267.57703293432553</v>
      </c>
      <c r="J72" s="15">
        <f t="shared" si="15"/>
        <v>267.57703293432553</v>
      </c>
      <c r="K72" s="1" t="s">
        <v>291</v>
      </c>
      <c r="L72" s="61" t="s">
        <v>292</v>
      </c>
      <c r="M72" t="s">
        <v>293</v>
      </c>
      <c r="N72" s="1" t="s">
        <v>294</v>
      </c>
      <c r="O72" s="62" t="s">
        <v>372</v>
      </c>
      <c r="P72" s="63" t="s">
        <v>28</v>
      </c>
      <c r="Q72" s="64" t="s">
        <v>296</v>
      </c>
      <c r="R72" s="1" t="s">
        <v>297</v>
      </c>
      <c r="S72" s="1" t="s">
        <v>298</v>
      </c>
      <c r="T72" s="1" t="s">
        <v>299</v>
      </c>
      <c r="U72" s="1" t="s">
        <v>364</v>
      </c>
      <c r="V72" s="1">
        <v>188.05</v>
      </c>
      <c r="W72" s="1">
        <v>201.4</v>
      </c>
      <c r="X72" s="1">
        <v>174.7</v>
      </c>
      <c r="Y72" s="1" t="s">
        <v>39</v>
      </c>
      <c r="Z72" s="1" t="s">
        <v>302</v>
      </c>
      <c r="AA72" s="1">
        <v>30.957000000000001</v>
      </c>
      <c r="AB72" s="1">
        <v>110.746</v>
      </c>
      <c r="AC72" s="63" t="s">
        <v>39</v>
      </c>
      <c r="AD72" s="63" t="s">
        <v>39</v>
      </c>
      <c r="AE72" s="63" t="s">
        <v>39</v>
      </c>
      <c r="AF72" s="63" t="s">
        <v>39</v>
      </c>
      <c r="AG72" s="63" t="s">
        <v>39</v>
      </c>
      <c r="AH72" s="1">
        <v>90</v>
      </c>
      <c r="AI72" s="65">
        <v>4</v>
      </c>
      <c r="AJ72" s="65">
        <v>82</v>
      </c>
      <c r="AK72" s="62">
        <v>44.444444444444443</v>
      </c>
      <c r="AL72" s="66">
        <v>4.6511627906976747</v>
      </c>
      <c r="AM72" s="62">
        <v>4.5359222034725102</v>
      </c>
      <c r="AN72" s="66">
        <v>0.82734515167492217</v>
      </c>
      <c r="AO72" s="1" t="s">
        <v>29</v>
      </c>
      <c r="AP72" s="1" t="s">
        <v>466</v>
      </c>
      <c r="AQ72" s="1" t="s">
        <v>467</v>
      </c>
      <c r="AR72" s="1">
        <v>1013.6540189151107</v>
      </c>
      <c r="AS72" s="1" t="s">
        <v>451</v>
      </c>
      <c r="AT72" s="1">
        <v>746.07698598078514</v>
      </c>
      <c r="AU72" s="1">
        <v>1281.2310518494362</v>
      </c>
      <c r="AV72" s="67" t="s">
        <v>490</v>
      </c>
      <c r="AW72" s="1" t="s">
        <v>494</v>
      </c>
      <c r="AX72" s="1" t="s">
        <v>39</v>
      </c>
    </row>
    <row r="73" spans="1:50" s="1" customFormat="1">
      <c r="A73" s="1" t="s">
        <v>36</v>
      </c>
      <c r="B73" s="1" t="s">
        <v>290</v>
      </c>
      <c r="C73" s="1">
        <v>2020</v>
      </c>
      <c r="D73" s="11" t="str">
        <f t="shared" si="9"/>
        <v>10.1016/j.palaeo.2019.109547</v>
      </c>
      <c r="E73" s="7">
        <f t="shared" si="10"/>
        <v>188050</v>
      </c>
      <c r="F73" s="7">
        <f t="shared" si="11"/>
        <v>13349.999999999995</v>
      </c>
      <c r="G73" s="7">
        <f t="shared" si="12"/>
        <v>13350.000000000022</v>
      </c>
      <c r="H73" s="8">
        <f t="shared" si="13"/>
        <v>856.97883360574576</v>
      </c>
      <c r="I73" s="8">
        <f t="shared" si="14"/>
        <v>272.99848166360232</v>
      </c>
      <c r="J73" s="15">
        <f t="shared" si="15"/>
        <v>272.99848166360232</v>
      </c>
      <c r="K73" s="1" t="s">
        <v>291</v>
      </c>
      <c r="L73" s="61" t="s">
        <v>292</v>
      </c>
      <c r="M73" t="s">
        <v>293</v>
      </c>
      <c r="N73" s="1" t="s">
        <v>294</v>
      </c>
      <c r="O73" s="62" t="s">
        <v>373</v>
      </c>
      <c r="P73" s="63" t="s">
        <v>28</v>
      </c>
      <c r="Q73" s="64" t="s">
        <v>296</v>
      </c>
      <c r="R73" s="1" t="s">
        <v>297</v>
      </c>
      <c r="S73" s="1" t="s">
        <v>298</v>
      </c>
      <c r="T73" s="1" t="s">
        <v>299</v>
      </c>
      <c r="U73" s="1" t="s">
        <v>364</v>
      </c>
      <c r="V73" s="1">
        <v>188.05</v>
      </c>
      <c r="W73" s="1">
        <v>201.4</v>
      </c>
      <c r="X73" s="1">
        <v>174.7</v>
      </c>
      <c r="Y73" s="1" t="s">
        <v>39</v>
      </c>
      <c r="Z73" s="1" t="s">
        <v>302</v>
      </c>
      <c r="AA73" s="1">
        <v>30.957000000000001</v>
      </c>
      <c r="AB73" s="1">
        <v>110.746</v>
      </c>
      <c r="AC73" s="63" t="s">
        <v>39</v>
      </c>
      <c r="AD73" s="63" t="s">
        <v>39</v>
      </c>
      <c r="AE73" s="63" t="s">
        <v>39</v>
      </c>
      <c r="AF73" s="63" t="s">
        <v>39</v>
      </c>
      <c r="AG73" s="63" t="s">
        <v>39</v>
      </c>
      <c r="AH73" s="1">
        <v>90</v>
      </c>
      <c r="AI73" s="65">
        <v>5</v>
      </c>
      <c r="AJ73" s="65">
        <v>91</v>
      </c>
      <c r="AK73" s="62">
        <v>55.555555555555557</v>
      </c>
      <c r="AL73" s="66">
        <v>5.2083333333333339</v>
      </c>
      <c r="AM73" s="62">
        <v>4.0858061945018296</v>
      </c>
      <c r="AN73" s="66">
        <v>1.1180339887498949</v>
      </c>
      <c r="AO73" s="1" t="s">
        <v>29</v>
      </c>
      <c r="AP73" s="1" t="s">
        <v>468</v>
      </c>
      <c r="AQ73" s="1" t="s">
        <v>469</v>
      </c>
      <c r="AR73" s="1">
        <v>856.97883360574576</v>
      </c>
      <c r="AS73" s="1" t="s">
        <v>451</v>
      </c>
      <c r="AT73" s="1">
        <v>583.98035194214344</v>
      </c>
      <c r="AU73" s="1">
        <v>1129.9773152693481</v>
      </c>
      <c r="AV73" s="67" t="s">
        <v>490</v>
      </c>
      <c r="AW73" s="1" t="s">
        <v>494</v>
      </c>
      <c r="AX73" s="1" t="s">
        <v>39</v>
      </c>
    </row>
    <row r="74" spans="1:50" s="1" customFormat="1">
      <c r="A74" s="1" t="s">
        <v>36</v>
      </c>
      <c r="B74" s="1" t="s">
        <v>290</v>
      </c>
      <c r="C74" s="1">
        <v>2020</v>
      </c>
      <c r="D74" s="11" t="str">
        <f t="shared" si="9"/>
        <v>10.1016/j.palaeo.2019.109547</v>
      </c>
      <c r="E74" s="7">
        <f t="shared" si="10"/>
        <v>188050</v>
      </c>
      <c r="F74" s="7">
        <f t="shared" si="11"/>
        <v>13349.999999999995</v>
      </c>
      <c r="G74" s="7">
        <f t="shared" si="12"/>
        <v>13350.000000000022</v>
      </c>
      <c r="H74" s="8">
        <f t="shared" si="13"/>
        <v>843.76482385581323</v>
      </c>
      <c r="I74" s="8">
        <f t="shared" si="14"/>
        <v>154.27370794897536</v>
      </c>
      <c r="J74" s="15">
        <f t="shared" si="15"/>
        <v>154.27370794897536</v>
      </c>
      <c r="K74" s="1" t="s">
        <v>291</v>
      </c>
      <c r="L74" s="61" t="s">
        <v>292</v>
      </c>
      <c r="M74" t="s">
        <v>293</v>
      </c>
      <c r="N74" s="1" t="s">
        <v>294</v>
      </c>
      <c r="O74" s="62" t="s">
        <v>374</v>
      </c>
      <c r="P74" s="63" t="s">
        <v>28</v>
      </c>
      <c r="Q74" s="64" t="s">
        <v>296</v>
      </c>
      <c r="R74" s="1" t="s">
        <v>297</v>
      </c>
      <c r="S74" s="1" t="s">
        <v>298</v>
      </c>
      <c r="T74" s="1" t="s">
        <v>299</v>
      </c>
      <c r="U74" s="1" t="s">
        <v>364</v>
      </c>
      <c r="V74" s="1">
        <v>188.05</v>
      </c>
      <c r="W74" s="1">
        <v>201.4</v>
      </c>
      <c r="X74" s="1">
        <v>174.7</v>
      </c>
      <c r="Y74" s="1" t="s">
        <v>39</v>
      </c>
      <c r="Z74" s="1" t="s">
        <v>302</v>
      </c>
      <c r="AA74" s="1">
        <v>30.957000000000001</v>
      </c>
      <c r="AB74" s="1">
        <v>110.746</v>
      </c>
      <c r="AC74" s="63" t="s">
        <v>39</v>
      </c>
      <c r="AD74" s="63" t="s">
        <v>39</v>
      </c>
      <c r="AE74" s="63" t="s">
        <v>39</v>
      </c>
      <c r="AF74" s="63" t="s">
        <v>39</v>
      </c>
      <c r="AG74" s="63" t="s">
        <v>39</v>
      </c>
      <c r="AH74" s="1">
        <v>90</v>
      </c>
      <c r="AI74" s="65">
        <v>6</v>
      </c>
      <c r="AJ74" s="65">
        <v>108</v>
      </c>
      <c r="AK74" s="62">
        <v>66.666666666666671</v>
      </c>
      <c r="AL74" s="66">
        <v>5.2631578947368416</v>
      </c>
      <c r="AM74" s="62">
        <v>5.6655772373253228</v>
      </c>
      <c r="AN74" s="66">
        <v>0.64845971347493903</v>
      </c>
      <c r="AO74" s="1" t="s">
        <v>29</v>
      </c>
      <c r="AP74" s="1" t="s">
        <v>470</v>
      </c>
      <c r="AQ74" s="1" t="s">
        <v>471</v>
      </c>
      <c r="AR74" s="1">
        <v>843.76482385581323</v>
      </c>
      <c r="AS74" s="1" t="s">
        <v>451</v>
      </c>
      <c r="AT74" s="1">
        <v>689.49111590683788</v>
      </c>
      <c r="AU74" s="1">
        <v>998.03853180478859</v>
      </c>
      <c r="AV74" s="67" t="s">
        <v>490</v>
      </c>
      <c r="AW74" s="1" t="s">
        <v>494</v>
      </c>
      <c r="AX74" s="1" t="s">
        <v>39</v>
      </c>
    </row>
    <row r="75" spans="1:50" s="1" customFormat="1">
      <c r="A75" s="1" t="s">
        <v>36</v>
      </c>
      <c r="B75" s="1" t="s">
        <v>290</v>
      </c>
      <c r="C75" s="1">
        <v>2020</v>
      </c>
      <c r="D75" s="11" t="str">
        <f t="shared" si="9"/>
        <v>10.1016/j.palaeo.2019.109547</v>
      </c>
      <c r="E75" s="7">
        <f t="shared" si="10"/>
        <v>188050</v>
      </c>
      <c r="F75" s="7">
        <f t="shared" si="11"/>
        <v>13349.999999999995</v>
      </c>
      <c r="G75" s="7">
        <f t="shared" si="12"/>
        <v>13350.000000000022</v>
      </c>
      <c r="H75" s="8">
        <f t="shared" si="13"/>
        <v>557.75198742812029</v>
      </c>
      <c r="I75" s="8">
        <f t="shared" si="14"/>
        <v>45.228981107931304</v>
      </c>
      <c r="J75" s="15">
        <f t="shared" si="15"/>
        <v>45.228981107931304</v>
      </c>
      <c r="K75" s="1" t="s">
        <v>291</v>
      </c>
      <c r="L75" s="61" t="s">
        <v>292</v>
      </c>
      <c r="M75" t="s">
        <v>293</v>
      </c>
      <c r="N75" s="1" t="s">
        <v>294</v>
      </c>
      <c r="O75" s="62" t="s">
        <v>375</v>
      </c>
      <c r="P75" s="63" t="s">
        <v>28</v>
      </c>
      <c r="Q75" s="64" t="s">
        <v>296</v>
      </c>
      <c r="R75" s="1" t="s">
        <v>297</v>
      </c>
      <c r="S75" s="1" t="s">
        <v>298</v>
      </c>
      <c r="T75" s="1" t="s">
        <v>299</v>
      </c>
      <c r="U75" s="1" t="s">
        <v>364</v>
      </c>
      <c r="V75" s="1">
        <v>188.05</v>
      </c>
      <c r="W75" s="1">
        <v>201.4</v>
      </c>
      <c r="X75" s="1">
        <v>174.7</v>
      </c>
      <c r="Y75" s="1" t="s">
        <v>39</v>
      </c>
      <c r="Z75" s="1" t="s">
        <v>302</v>
      </c>
      <c r="AA75" s="1">
        <v>30.957000000000001</v>
      </c>
      <c r="AB75" s="1">
        <v>110.746</v>
      </c>
      <c r="AC75" s="63" t="s">
        <v>39</v>
      </c>
      <c r="AD75" s="63" t="s">
        <v>39</v>
      </c>
      <c r="AE75" s="63" t="s">
        <v>39</v>
      </c>
      <c r="AF75" s="63" t="s">
        <v>39</v>
      </c>
      <c r="AG75" s="63" t="s">
        <v>39</v>
      </c>
      <c r="AH75" s="1">
        <v>90</v>
      </c>
      <c r="AI75" s="65">
        <v>8</v>
      </c>
      <c r="AJ75" s="65">
        <v>107</v>
      </c>
      <c r="AK75" s="62">
        <v>88.888888888888886</v>
      </c>
      <c r="AL75" s="66">
        <v>6.9565217391304346</v>
      </c>
      <c r="AM75" s="62">
        <v>5.6655772373252908</v>
      </c>
      <c r="AN75" s="66">
        <v>0.3801315561749643</v>
      </c>
      <c r="AO75" s="1" t="s">
        <v>29</v>
      </c>
      <c r="AP75" s="1" t="s">
        <v>472</v>
      </c>
      <c r="AQ75" s="1" t="s">
        <v>473</v>
      </c>
      <c r="AR75" s="1">
        <v>557.75198742812029</v>
      </c>
      <c r="AS75" s="1" t="s">
        <v>451</v>
      </c>
      <c r="AT75" s="1">
        <v>512.52300632018898</v>
      </c>
      <c r="AU75" s="1">
        <v>602.98096853605159</v>
      </c>
      <c r="AV75" s="67" t="s">
        <v>490</v>
      </c>
      <c r="AW75" s="1" t="s">
        <v>494</v>
      </c>
      <c r="AX75" s="1" t="s">
        <v>39</v>
      </c>
    </row>
    <row r="76" spans="1:50" s="1" customFormat="1">
      <c r="A76" s="1" t="s">
        <v>36</v>
      </c>
      <c r="B76" s="1" t="s">
        <v>290</v>
      </c>
      <c r="C76" s="1">
        <v>2020</v>
      </c>
      <c r="D76" s="11" t="str">
        <f t="shared" si="9"/>
        <v>10.1016/j.palaeo.2019.109547</v>
      </c>
      <c r="E76" s="7">
        <f t="shared" si="10"/>
        <v>188050</v>
      </c>
      <c r="F76" s="7">
        <f t="shared" si="11"/>
        <v>13349.999999999995</v>
      </c>
      <c r="G76" s="7">
        <f t="shared" si="12"/>
        <v>13350.000000000022</v>
      </c>
      <c r="H76" s="8">
        <f t="shared" si="13"/>
        <v>1020.658457900562</v>
      </c>
      <c r="I76" s="8">
        <f t="shared" si="14"/>
        <v>168.26001723764887</v>
      </c>
      <c r="J76" s="15">
        <f t="shared" si="15"/>
        <v>168.26001723764887</v>
      </c>
      <c r="K76" s="1" t="s">
        <v>291</v>
      </c>
      <c r="L76" s="61" t="s">
        <v>292</v>
      </c>
      <c r="M76" t="s">
        <v>293</v>
      </c>
      <c r="N76" s="1" t="s">
        <v>294</v>
      </c>
      <c r="O76" s="62" t="s">
        <v>376</v>
      </c>
      <c r="P76" s="63" t="s">
        <v>28</v>
      </c>
      <c r="Q76" s="64" t="s">
        <v>296</v>
      </c>
      <c r="R76" s="1" t="s">
        <v>297</v>
      </c>
      <c r="S76" s="1" t="s">
        <v>298</v>
      </c>
      <c r="T76" s="1" t="s">
        <v>299</v>
      </c>
      <c r="U76" s="1" t="s">
        <v>364</v>
      </c>
      <c r="V76" s="1">
        <v>188.05</v>
      </c>
      <c r="W76" s="1">
        <v>201.4</v>
      </c>
      <c r="X76" s="1">
        <v>174.7</v>
      </c>
      <c r="Y76" s="1" t="s">
        <v>39</v>
      </c>
      <c r="Z76" s="1" t="s">
        <v>302</v>
      </c>
      <c r="AA76" s="1">
        <v>30.957000000000001</v>
      </c>
      <c r="AB76" s="1">
        <v>110.746</v>
      </c>
      <c r="AC76" s="63" t="s">
        <v>39</v>
      </c>
      <c r="AD76" s="63" t="s">
        <v>39</v>
      </c>
      <c r="AE76" s="63" t="s">
        <v>39</v>
      </c>
      <c r="AF76" s="63" t="s">
        <v>39</v>
      </c>
      <c r="AG76" s="63" t="s">
        <v>39</v>
      </c>
      <c r="AH76" s="1">
        <v>90</v>
      </c>
      <c r="AI76" s="65">
        <v>5</v>
      </c>
      <c r="AJ76" s="65">
        <v>103</v>
      </c>
      <c r="AK76" s="62">
        <v>55.555555555555557</v>
      </c>
      <c r="AL76" s="66">
        <v>4.6296296296296298</v>
      </c>
      <c r="AM76" s="62">
        <v>4.1573970964155258</v>
      </c>
      <c r="AN76" s="66">
        <v>0.51429563482495166</v>
      </c>
      <c r="AO76" s="1" t="s">
        <v>29</v>
      </c>
      <c r="AP76" s="1" t="s">
        <v>474</v>
      </c>
      <c r="AQ76" s="1" t="s">
        <v>475</v>
      </c>
      <c r="AR76" s="1">
        <v>1020.658457900562</v>
      </c>
      <c r="AS76" s="1" t="s">
        <v>451</v>
      </c>
      <c r="AT76" s="1">
        <v>852.39844066291312</v>
      </c>
      <c r="AU76" s="1">
        <v>1188.9184751382109</v>
      </c>
      <c r="AV76" s="67" t="s">
        <v>490</v>
      </c>
      <c r="AW76" s="1" t="s">
        <v>494</v>
      </c>
      <c r="AX76" s="1" t="s">
        <v>39</v>
      </c>
    </row>
    <row r="77" spans="1:50" s="1" customFormat="1">
      <c r="A77" s="1" t="s">
        <v>36</v>
      </c>
      <c r="B77" s="1" t="s">
        <v>290</v>
      </c>
      <c r="C77" s="1">
        <v>2020</v>
      </c>
      <c r="D77" s="11" t="str">
        <f t="shared" si="9"/>
        <v>10.1016/j.palaeo.2019.109547</v>
      </c>
      <c r="E77" s="7">
        <f t="shared" si="10"/>
        <v>188050</v>
      </c>
      <c r="F77" s="7">
        <f t="shared" si="11"/>
        <v>13349.999999999995</v>
      </c>
      <c r="G77" s="7">
        <f t="shared" si="12"/>
        <v>13350.000000000022</v>
      </c>
      <c r="H77" s="8">
        <f t="shared" si="13"/>
        <v>967.36211677443112</v>
      </c>
      <c r="I77" s="8">
        <f t="shared" si="14"/>
        <v>220.68899728680231</v>
      </c>
      <c r="J77" s="15">
        <f t="shared" si="15"/>
        <v>220.68899728680242</v>
      </c>
      <c r="K77" s="1" t="s">
        <v>291</v>
      </c>
      <c r="L77" s="61" t="s">
        <v>292</v>
      </c>
      <c r="M77" t="s">
        <v>293</v>
      </c>
      <c r="N77" s="1" t="s">
        <v>294</v>
      </c>
      <c r="O77" s="62" t="s">
        <v>377</v>
      </c>
      <c r="P77" s="63" t="s">
        <v>28</v>
      </c>
      <c r="Q77" s="64" t="s">
        <v>296</v>
      </c>
      <c r="R77" s="1" t="s">
        <v>297</v>
      </c>
      <c r="S77" s="1" t="s">
        <v>298</v>
      </c>
      <c r="T77" s="1" t="s">
        <v>299</v>
      </c>
      <c r="U77" s="1" t="s">
        <v>364</v>
      </c>
      <c r="V77" s="1">
        <v>188.05</v>
      </c>
      <c r="W77" s="1">
        <v>201.4</v>
      </c>
      <c r="X77" s="1">
        <v>174.7</v>
      </c>
      <c r="Y77" s="1" t="s">
        <v>39</v>
      </c>
      <c r="Z77" s="1" t="s">
        <v>302</v>
      </c>
      <c r="AA77" s="1">
        <v>30.957000000000001</v>
      </c>
      <c r="AB77" s="1">
        <v>110.746</v>
      </c>
      <c r="AC77" s="63" t="s">
        <v>39</v>
      </c>
      <c r="AD77" s="63" t="s">
        <v>39</v>
      </c>
      <c r="AE77" s="63" t="s">
        <v>39</v>
      </c>
      <c r="AF77" s="63" t="s">
        <v>39</v>
      </c>
      <c r="AG77" s="63" t="s">
        <v>39</v>
      </c>
      <c r="AH77" s="1">
        <v>90</v>
      </c>
      <c r="AI77" s="65">
        <v>6</v>
      </c>
      <c r="AJ77" s="65">
        <v>119</v>
      </c>
      <c r="AK77" s="62">
        <v>66.666666666666671</v>
      </c>
      <c r="AL77" s="66">
        <v>4.8</v>
      </c>
      <c r="AM77" s="62">
        <v>2.7216552697590872</v>
      </c>
      <c r="AN77" s="66">
        <v>0.73790243257493071</v>
      </c>
      <c r="AO77" s="1" t="s">
        <v>29</v>
      </c>
      <c r="AP77" s="1" t="s">
        <v>476</v>
      </c>
      <c r="AQ77" s="1" t="s">
        <v>477</v>
      </c>
      <c r="AR77" s="1">
        <v>967.36211677443112</v>
      </c>
      <c r="AS77" s="1" t="s">
        <v>451</v>
      </c>
      <c r="AT77" s="1">
        <v>746.6731194876287</v>
      </c>
      <c r="AU77" s="1">
        <v>1188.0511140612334</v>
      </c>
      <c r="AV77" s="67" t="s">
        <v>490</v>
      </c>
      <c r="AW77" s="1" t="s">
        <v>494</v>
      </c>
      <c r="AX77" s="1" t="s">
        <v>39</v>
      </c>
    </row>
    <row r="78" spans="1:50" s="1" customFormat="1">
      <c r="A78" s="1" t="s">
        <v>36</v>
      </c>
      <c r="B78" s="1" t="s">
        <v>290</v>
      </c>
      <c r="C78" s="1">
        <v>2020</v>
      </c>
      <c r="D78" s="11" t="str">
        <f t="shared" si="9"/>
        <v>10.1016/j.palaeo.2019.109547</v>
      </c>
      <c r="E78" s="7">
        <f t="shared" si="10"/>
        <v>188050</v>
      </c>
      <c r="F78" s="7">
        <f t="shared" si="11"/>
        <v>13349.999999999995</v>
      </c>
      <c r="G78" s="7">
        <f t="shared" si="12"/>
        <v>13350.000000000022</v>
      </c>
      <c r="H78" s="8">
        <f t="shared" si="13"/>
        <v>671.23157870940952</v>
      </c>
      <c r="I78" s="8">
        <f t="shared" si="14"/>
        <v>174.11626076650111</v>
      </c>
      <c r="J78" s="15">
        <f t="shared" si="15"/>
        <v>174.11626076650117</v>
      </c>
      <c r="K78" s="1" t="s">
        <v>291</v>
      </c>
      <c r="L78" s="61" t="s">
        <v>292</v>
      </c>
      <c r="M78" t="s">
        <v>293</v>
      </c>
      <c r="N78" s="1" t="s">
        <v>294</v>
      </c>
      <c r="O78" s="62" t="s">
        <v>378</v>
      </c>
      <c r="P78" s="63" t="s">
        <v>28</v>
      </c>
      <c r="Q78" s="64" t="s">
        <v>296</v>
      </c>
      <c r="R78" s="1" t="s">
        <v>297</v>
      </c>
      <c r="S78" s="1" t="s">
        <v>298</v>
      </c>
      <c r="T78" s="1" t="s">
        <v>299</v>
      </c>
      <c r="U78" s="1" t="s">
        <v>364</v>
      </c>
      <c r="V78" s="1">
        <v>188.05</v>
      </c>
      <c r="W78" s="1">
        <v>201.4</v>
      </c>
      <c r="X78" s="1">
        <v>174.7</v>
      </c>
      <c r="Y78" s="1" t="s">
        <v>39</v>
      </c>
      <c r="Z78" s="1" t="s">
        <v>302</v>
      </c>
      <c r="AA78" s="1">
        <v>30.957000000000001</v>
      </c>
      <c r="AB78" s="1">
        <v>110.746</v>
      </c>
      <c r="AC78" s="63" t="s">
        <v>39</v>
      </c>
      <c r="AD78" s="63" t="s">
        <v>39</v>
      </c>
      <c r="AE78" s="63" t="s">
        <v>39</v>
      </c>
      <c r="AF78" s="63" t="s">
        <v>39</v>
      </c>
      <c r="AG78" s="63" t="s">
        <v>39</v>
      </c>
      <c r="AH78" s="1">
        <v>90</v>
      </c>
      <c r="AI78" s="65">
        <v>7</v>
      </c>
      <c r="AJ78" s="65">
        <v>107</v>
      </c>
      <c r="AK78" s="62">
        <v>77.777777777777786</v>
      </c>
      <c r="AL78" s="66">
        <v>6.140350877192982</v>
      </c>
      <c r="AM78" s="62">
        <v>4.4444444444444731</v>
      </c>
      <c r="AN78" s="66">
        <v>1.0733126291998991</v>
      </c>
      <c r="AO78" s="1" t="s">
        <v>29</v>
      </c>
      <c r="AP78" s="1" t="s">
        <v>478</v>
      </c>
      <c r="AQ78" s="1" t="s">
        <v>479</v>
      </c>
      <c r="AR78" s="1">
        <v>671.23157870940952</v>
      </c>
      <c r="AS78" s="1" t="s">
        <v>451</v>
      </c>
      <c r="AT78" s="1">
        <v>497.11531794290835</v>
      </c>
      <c r="AU78" s="1">
        <v>845.34783947591063</v>
      </c>
      <c r="AV78" s="67" t="s">
        <v>490</v>
      </c>
      <c r="AW78" s="1" t="s">
        <v>494</v>
      </c>
      <c r="AX78" s="1" t="s">
        <v>39</v>
      </c>
    </row>
    <row r="79" spans="1:50" s="1" customFormat="1">
      <c r="A79" s="1" t="s">
        <v>36</v>
      </c>
      <c r="B79" s="1" t="s">
        <v>290</v>
      </c>
      <c r="C79" s="1">
        <v>2020</v>
      </c>
      <c r="D79" s="11" t="str">
        <f t="shared" si="9"/>
        <v>10.1016/j.palaeo.2019.109547</v>
      </c>
      <c r="E79" s="7">
        <f t="shared" si="10"/>
        <v>188050</v>
      </c>
      <c r="F79" s="7">
        <f t="shared" si="11"/>
        <v>13349.999999999995</v>
      </c>
      <c r="G79" s="7">
        <f t="shared" si="12"/>
        <v>13350.000000000022</v>
      </c>
      <c r="H79" s="8">
        <f t="shared" si="13"/>
        <v>742.30702295302376</v>
      </c>
      <c r="I79" s="8">
        <f t="shared" si="14"/>
        <v>158.84223429011922</v>
      </c>
      <c r="J79" s="15">
        <f t="shared" si="15"/>
        <v>158.84223429011922</v>
      </c>
      <c r="K79" s="1" t="s">
        <v>291</v>
      </c>
      <c r="L79" s="61" t="s">
        <v>292</v>
      </c>
      <c r="M79" t="s">
        <v>293</v>
      </c>
      <c r="N79" s="1" t="s">
        <v>294</v>
      </c>
      <c r="O79" s="62" t="s">
        <v>379</v>
      </c>
      <c r="P79" s="63" t="s">
        <v>28</v>
      </c>
      <c r="Q79" s="64" t="s">
        <v>296</v>
      </c>
      <c r="R79" s="1" t="s">
        <v>297</v>
      </c>
      <c r="S79" s="1" t="s">
        <v>298</v>
      </c>
      <c r="T79" s="1" t="s">
        <v>299</v>
      </c>
      <c r="U79" s="1" t="s">
        <v>364</v>
      </c>
      <c r="V79" s="1">
        <v>188.05</v>
      </c>
      <c r="W79" s="1">
        <v>201.4</v>
      </c>
      <c r="X79" s="1">
        <v>174.7</v>
      </c>
      <c r="Y79" s="1" t="s">
        <v>39</v>
      </c>
      <c r="Z79" s="1" t="s">
        <v>302</v>
      </c>
      <c r="AA79" s="1">
        <v>30.957000000000001</v>
      </c>
      <c r="AB79" s="1">
        <v>110.746</v>
      </c>
      <c r="AC79" s="63" t="s">
        <v>39</v>
      </c>
      <c r="AD79" s="63" t="s">
        <v>39</v>
      </c>
      <c r="AE79" s="63" t="s">
        <v>39</v>
      </c>
      <c r="AF79" s="63" t="s">
        <v>39</v>
      </c>
      <c r="AG79" s="63" t="s">
        <v>39</v>
      </c>
      <c r="AH79" s="1">
        <v>90</v>
      </c>
      <c r="AI79" s="65">
        <v>7</v>
      </c>
      <c r="AJ79" s="65">
        <v>115</v>
      </c>
      <c r="AK79" s="62">
        <v>77.777777777777786</v>
      </c>
      <c r="AL79" s="66">
        <v>5.7377049180327866</v>
      </c>
      <c r="AM79" s="62">
        <v>5.6655772373253397</v>
      </c>
      <c r="AN79" s="66">
        <v>0.82734515167492217</v>
      </c>
      <c r="AO79" s="1" t="s">
        <v>29</v>
      </c>
      <c r="AP79" s="1" t="s">
        <v>480</v>
      </c>
      <c r="AQ79" s="1" t="s">
        <v>481</v>
      </c>
      <c r="AR79" s="1">
        <v>742.30702295302376</v>
      </c>
      <c r="AS79" s="1" t="s">
        <v>451</v>
      </c>
      <c r="AT79" s="1">
        <v>583.46478866290454</v>
      </c>
      <c r="AU79" s="1">
        <v>901.14925724314298</v>
      </c>
      <c r="AV79" s="67" t="s">
        <v>490</v>
      </c>
      <c r="AW79" s="1" t="s">
        <v>494</v>
      </c>
      <c r="AX79" s="1" t="s">
        <v>39</v>
      </c>
    </row>
    <row r="80" spans="1:50" s="1" customFormat="1">
      <c r="A80" s="1" t="s">
        <v>36</v>
      </c>
      <c r="B80" s="1" t="s">
        <v>290</v>
      </c>
      <c r="C80" s="1">
        <v>2020</v>
      </c>
      <c r="D80" s="11" t="str">
        <f t="shared" si="9"/>
        <v>10.1016/j.palaeo.2019.109547</v>
      </c>
      <c r="E80" s="7">
        <f t="shared" si="10"/>
        <v>188050</v>
      </c>
      <c r="F80" s="7">
        <f t="shared" si="11"/>
        <v>13349.999999999995</v>
      </c>
      <c r="G80" s="7">
        <f t="shared" si="12"/>
        <v>13350.000000000022</v>
      </c>
      <c r="H80" s="8">
        <f t="shared" si="13"/>
        <v>1060.6459835296948</v>
      </c>
      <c r="I80" s="8">
        <f t="shared" si="14"/>
        <v>382.28373932939053</v>
      </c>
      <c r="J80" s="15">
        <f t="shared" si="15"/>
        <v>382.28373932939053</v>
      </c>
      <c r="K80" s="1" t="s">
        <v>291</v>
      </c>
      <c r="L80" s="61" t="s">
        <v>292</v>
      </c>
      <c r="M80" t="s">
        <v>293</v>
      </c>
      <c r="N80" s="1" t="s">
        <v>294</v>
      </c>
      <c r="O80" s="62" t="s">
        <v>380</v>
      </c>
      <c r="P80" s="63" t="s">
        <v>28</v>
      </c>
      <c r="Q80" s="64" t="s">
        <v>296</v>
      </c>
      <c r="R80" s="1" t="s">
        <v>297</v>
      </c>
      <c r="S80" s="1" t="s">
        <v>298</v>
      </c>
      <c r="T80" s="1" t="s">
        <v>299</v>
      </c>
      <c r="U80" s="1" t="s">
        <v>364</v>
      </c>
      <c r="V80" s="1">
        <v>188.05</v>
      </c>
      <c r="W80" s="1">
        <v>201.4</v>
      </c>
      <c r="X80" s="1">
        <v>174.7</v>
      </c>
      <c r="Y80" s="1" t="s">
        <v>39</v>
      </c>
      <c r="Z80" s="1" t="s">
        <v>302</v>
      </c>
      <c r="AA80" s="1">
        <v>30.957000000000001</v>
      </c>
      <c r="AB80" s="1">
        <v>110.746</v>
      </c>
      <c r="AC80" s="63" t="s">
        <v>39</v>
      </c>
      <c r="AD80" s="63" t="s">
        <v>39</v>
      </c>
      <c r="AE80" s="63" t="s">
        <v>39</v>
      </c>
      <c r="AF80" s="63" t="s">
        <v>39</v>
      </c>
      <c r="AG80" s="63" t="s">
        <v>39</v>
      </c>
      <c r="AH80" s="1">
        <v>90</v>
      </c>
      <c r="AI80" s="65">
        <v>6</v>
      </c>
      <c r="AJ80" s="65">
        <v>127</v>
      </c>
      <c r="AK80" s="62">
        <v>66.666666666666671</v>
      </c>
      <c r="AL80" s="66">
        <v>4.5112781954887211</v>
      </c>
      <c r="AM80" s="62">
        <v>6.4150029909958333</v>
      </c>
      <c r="AN80" s="66">
        <v>1.0956733089748969</v>
      </c>
      <c r="AO80" s="1" t="s">
        <v>29</v>
      </c>
      <c r="AP80" s="1" t="s">
        <v>482</v>
      </c>
      <c r="AQ80" s="1" t="s">
        <v>483</v>
      </c>
      <c r="AR80" s="1">
        <v>1060.6459835296948</v>
      </c>
      <c r="AS80" s="1" t="s">
        <v>451</v>
      </c>
      <c r="AT80" s="1">
        <v>678.3622442003043</v>
      </c>
      <c r="AU80" s="1">
        <v>1442.9297228590854</v>
      </c>
      <c r="AV80" s="67" t="s">
        <v>490</v>
      </c>
      <c r="AW80" s="1" t="s">
        <v>494</v>
      </c>
      <c r="AX80" s="1" t="s">
        <v>39</v>
      </c>
    </row>
    <row r="81" spans="1:50" s="1" customFormat="1">
      <c r="A81" s="1" t="s">
        <v>36</v>
      </c>
      <c r="B81" s="1" t="s">
        <v>290</v>
      </c>
      <c r="C81" s="1">
        <v>2020</v>
      </c>
      <c r="D81" s="11" t="str">
        <f t="shared" si="9"/>
        <v>10.1016/j.palaeo.2019.109547</v>
      </c>
      <c r="E81" s="7">
        <f t="shared" si="10"/>
        <v>188050</v>
      </c>
      <c r="F81" s="7">
        <f t="shared" si="11"/>
        <v>13349.999999999995</v>
      </c>
      <c r="G81" s="7">
        <f t="shared" si="12"/>
        <v>13350.000000000022</v>
      </c>
      <c r="H81" s="8">
        <f t="shared" si="13"/>
        <v>949.37003287005246</v>
      </c>
      <c r="I81" s="8">
        <f t="shared" si="14"/>
        <v>84.248509552517817</v>
      </c>
      <c r="J81" s="15">
        <f t="shared" si="15"/>
        <v>84.248509552517817</v>
      </c>
      <c r="K81" s="1" t="s">
        <v>291</v>
      </c>
      <c r="L81" s="61" t="s">
        <v>292</v>
      </c>
      <c r="M81" t="s">
        <v>293</v>
      </c>
      <c r="N81" s="1" t="s">
        <v>294</v>
      </c>
      <c r="O81" s="62" t="s">
        <v>381</v>
      </c>
      <c r="P81" s="63" t="s">
        <v>28</v>
      </c>
      <c r="Q81" s="64" t="s">
        <v>296</v>
      </c>
      <c r="R81" s="1" t="s">
        <v>297</v>
      </c>
      <c r="S81" s="1" t="s">
        <v>298</v>
      </c>
      <c r="T81" s="1" t="s">
        <v>299</v>
      </c>
      <c r="U81" s="1" t="s">
        <v>364</v>
      </c>
      <c r="V81" s="1">
        <v>188.05</v>
      </c>
      <c r="W81" s="1">
        <v>201.4</v>
      </c>
      <c r="X81" s="1">
        <v>174.7</v>
      </c>
      <c r="Y81" s="1" t="s">
        <v>39</v>
      </c>
      <c r="Z81" s="1" t="s">
        <v>302</v>
      </c>
      <c r="AA81" s="1">
        <v>30.957000000000001</v>
      </c>
      <c r="AB81" s="1">
        <v>110.746</v>
      </c>
      <c r="AC81" s="63" t="s">
        <v>39</v>
      </c>
      <c r="AD81" s="63" t="s">
        <v>39</v>
      </c>
      <c r="AE81" s="63" t="s">
        <v>39</v>
      </c>
      <c r="AF81" s="63" t="s">
        <v>39</v>
      </c>
      <c r="AG81" s="63" t="s">
        <v>39</v>
      </c>
      <c r="AH81" s="1">
        <v>90</v>
      </c>
      <c r="AI81" s="65">
        <v>7</v>
      </c>
      <c r="AJ81" s="65">
        <v>137</v>
      </c>
      <c r="AK81" s="62">
        <v>77.777777777777786</v>
      </c>
      <c r="AL81" s="66">
        <v>4.8611111111111116</v>
      </c>
      <c r="AM81" s="62">
        <v>3.0721842325302799</v>
      </c>
      <c r="AN81" s="66">
        <v>0.29068883707497267</v>
      </c>
      <c r="AO81" s="1" t="s">
        <v>29</v>
      </c>
      <c r="AP81" s="1" t="s">
        <v>484</v>
      </c>
      <c r="AQ81" s="1" t="s">
        <v>485</v>
      </c>
      <c r="AR81" s="1">
        <v>949.37003287005246</v>
      </c>
      <c r="AS81" s="1" t="s">
        <v>451</v>
      </c>
      <c r="AT81" s="1">
        <v>865.12152331753464</v>
      </c>
      <c r="AU81" s="1">
        <v>1033.6185424225703</v>
      </c>
      <c r="AV81" s="67" t="s">
        <v>490</v>
      </c>
      <c r="AW81" s="1" t="s">
        <v>494</v>
      </c>
      <c r="AX81" s="1" t="s">
        <v>39</v>
      </c>
    </row>
    <row r="82" spans="1:50" s="1" customFormat="1">
      <c r="A82" s="1" t="s">
        <v>36</v>
      </c>
      <c r="B82" s="1" t="s">
        <v>290</v>
      </c>
      <c r="C82" s="1">
        <v>2020</v>
      </c>
      <c r="D82" s="11" t="str">
        <f t="shared" si="9"/>
        <v>10.1016/j.palaeo.2019.109547</v>
      </c>
      <c r="E82" s="7">
        <f t="shared" si="10"/>
        <v>188050</v>
      </c>
      <c r="F82" s="7">
        <f t="shared" si="11"/>
        <v>13349.999999999995</v>
      </c>
      <c r="G82" s="7">
        <f t="shared" si="12"/>
        <v>13350.000000000022</v>
      </c>
      <c r="H82" s="8">
        <f t="shared" si="13"/>
        <v>1208.1839864691847</v>
      </c>
      <c r="I82" s="8">
        <f t="shared" si="14"/>
        <v>339.57474922620304</v>
      </c>
      <c r="J82" s="15">
        <f t="shared" si="15"/>
        <v>339.57474922620304</v>
      </c>
      <c r="K82" s="1" t="s">
        <v>291</v>
      </c>
      <c r="L82" s="61" t="s">
        <v>292</v>
      </c>
      <c r="M82" t="s">
        <v>293</v>
      </c>
      <c r="N82" s="1" t="s">
        <v>294</v>
      </c>
      <c r="O82" s="62" t="s">
        <v>382</v>
      </c>
      <c r="P82" s="63" t="s">
        <v>28</v>
      </c>
      <c r="Q82" s="64" t="s">
        <v>296</v>
      </c>
      <c r="R82" s="1" t="s">
        <v>297</v>
      </c>
      <c r="S82" s="1" t="s">
        <v>298</v>
      </c>
      <c r="T82" s="1" t="s">
        <v>299</v>
      </c>
      <c r="U82" s="1" t="s">
        <v>364</v>
      </c>
      <c r="V82" s="1">
        <v>188.05</v>
      </c>
      <c r="W82" s="1">
        <v>201.4</v>
      </c>
      <c r="X82" s="1">
        <v>174.7</v>
      </c>
      <c r="Y82" s="1" t="s">
        <v>39</v>
      </c>
      <c r="Z82" s="1" t="s">
        <v>302</v>
      </c>
      <c r="AA82" s="1">
        <v>30.957000000000001</v>
      </c>
      <c r="AB82" s="1">
        <v>110.746</v>
      </c>
      <c r="AC82" s="63" t="s">
        <v>39</v>
      </c>
      <c r="AD82" s="63" t="s">
        <v>39</v>
      </c>
      <c r="AE82" s="63" t="s">
        <v>39</v>
      </c>
      <c r="AF82" s="63" t="s">
        <v>39</v>
      </c>
      <c r="AG82" s="63" t="s">
        <v>39</v>
      </c>
      <c r="AH82" s="1">
        <v>90</v>
      </c>
      <c r="AI82" s="65">
        <v>5</v>
      </c>
      <c r="AJ82" s="65">
        <v>116</v>
      </c>
      <c r="AK82" s="62">
        <v>55.555555555555557</v>
      </c>
      <c r="AL82" s="66">
        <v>4.1322314049586781</v>
      </c>
      <c r="AM82" s="62">
        <v>3.6066296582386999</v>
      </c>
      <c r="AN82" s="66">
        <v>0.78262379212492639</v>
      </c>
      <c r="AO82" s="1" t="s">
        <v>29</v>
      </c>
      <c r="AP82" s="1" t="s">
        <v>486</v>
      </c>
      <c r="AQ82" s="1" t="s">
        <v>487</v>
      </c>
      <c r="AR82" s="1">
        <v>1208.1839864691847</v>
      </c>
      <c r="AS82" s="1" t="s">
        <v>451</v>
      </c>
      <c r="AT82" s="1">
        <v>868.60923724298164</v>
      </c>
      <c r="AU82" s="1">
        <v>1547.7587356953877</v>
      </c>
      <c r="AV82" s="67" t="s">
        <v>490</v>
      </c>
      <c r="AW82" s="1" t="s">
        <v>494</v>
      </c>
      <c r="AX82" s="1" t="s">
        <v>39</v>
      </c>
    </row>
    <row r="83" spans="1:50" s="1" customFormat="1">
      <c r="A83" s="1" t="s">
        <v>36</v>
      </c>
      <c r="B83" s="1" t="s">
        <v>290</v>
      </c>
      <c r="C83" s="1">
        <v>2020</v>
      </c>
      <c r="D83" s="11" t="str">
        <f t="shared" si="9"/>
        <v>10.1016/j.palaeo.2019.109547</v>
      </c>
      <c r="E83" s="7">
        <f t="shared" si="10"/>
        <v>188050</v>
      </c>
      <c r="F83" s="7">
        <f t="shared" si="11"/>
        <v>13349.999999999995</v>
      </c>
      <c r="G83" s="7">
        <f t="shared" si="12"/>
        <v>13350.000000000022</v>
      </c>
      <c r="H83" s="8">
        <f t="shared" si="13"/>
        <v>715.38078584324035</v>
      </c>
      <c r="I83" s="8">
        <f t="shared" si="14"/>
        <v>165.45845039620531</v>
      </c>
      <c r="J83" s="15">
        <f t="shared" si="15"/>
        <v>165.45845039620531</v>
      </c>
      <c r="K83" s="1" t="s">
        <v>291</v>
      </c>
      <c r="L83" s="61" t="s">
        <v>292</v>
      </c>
      <c r="M83" t="s">
        <v>293</v>
      </c>
      <c r="N83" s="1" t="s">
        <v>294</v>
      </c>
      <c r="O83" s="62" t="s">
        <v>383</v>
      </c>
      <c r="P83" s="63" t="s">
        <v>28</v>
      </c>
      <c r="Q83" s="64" t="s">
        <v>296</v>
      </c>
      <c r="R83" s="1" t="s">
        <v>297</v>
      </c>
      <c r="S83" s="1" t="s">
        <v>298</v>
      </c>
      <c r="T83" s="1" t="s">
        <v>299</v>
      </c>
      <c r="U83" s="1" t="s">
        <v>364</v>
      </c>
      <c r="V83" s="1">
        <v>188.05</v>
      </c>
      <c r="W83" s="1">
        <v>201.4</v>
      </c>
      <c r="X83" s="1">
        <v>174.7</v>
      </c>
      <c r="Y83" s="1" t="s">
        <v>39</v>
      </c>
      <c r="Z83" s="1" t="s">
        <v>302</v>
      </c>
      <c r="AA83" s="1">
        <v>30.957000000000001</v>
      </c>
      <c r="AB83" s="1">
        <v>110.746</v>
      </c>
      <c r="AC83" s="63" t="s">
        <v>39</v>
      </c>
      <c r="AD83" s="63" t="s">
        <v>39</v>
      </c>
      <c r="AE83" s="63" t="s">
        <v>39</v>
      </c>
      <c r="AF83" s="63" t="s">
        <v>39</v>
      </c>
      <c r="AG83" s="63" t="s">
        <v>39</v>
      </c>
      <c r="AH83" s="1">
        <v>90</v>
      </c>
      <c r="AI83" s="65">
        <v>8</v>
      </c>
      <c r="AJ83" s="65">
        <v>128</v>
      </c>
      <c r="AK83" s="62">
        <v>88.888888888888886</v>
      </c>
      <c r="AL83" s="66">
        <v>5.8823529411764701</v>
      </c>
      <c r="AM83" s="62">
        <v>5.6066296582387301</v>
      </c>
      <c r="AN83" s="66">
        <v>0.91678787077491375</v>
      </c>
      <c r="AO83" s="1" t="s">
        <v>29</v>
      </c>
      <c r="AP83" s="1" t="s">
        <v>488</v>
      </c>
      <c r="AQ83" s="1" t="s">
        <v>489</v>
      </c>
      <c r="AR83" s="1">
        <v>715.38078584324035</v>
      </c>
      <c r="AS83" s="1" t="s">
        <v>451</v>
      </c>
      <c r="AT83" s="1">
        <v>549.92233544703504</v>
      </c>
      <c r="AU83" s="1">
        <v>880.83923623944565</v>
      </c>
      <c r="AV83" s="67" t="s">
        <v>490</v>
      </c>
      <c r="AW83" s="1" t="s">
        <v>494</v>
      </c>
      <c r="AX83" s="1" t="s">
        <v>39</v>
      </c>
    </row>
    <row r="84" spans="1:50" s="1" customFormat="1">
      <c r="A84" s="1" t="s">
        <v>36</v>
      </c>
      <c r="B84" s="1" t="s">
        <v>290</v>
      </c>
      <c r="C84" s="1">
        <v>2020</v>
      </c>
      <c r="D84" s="11" t="str">
        <f t="shared" si="9"/>
        <v>10.1016/j.palaeo.2019.109547</v>
      </c>
      <c r="E84" s="7">
        <f t="shared" si="10"/>
        <v>188050</v>
      </c>
      <c r="F84" s="7">
        <f t="shared" si="11"/>
        <v>13349.999999999995</v>
      </c>
      <c r="G84" s="7">
        <f t="shared" si="12"/>
        <v>13350.000000000022</v>
      </c>
      <c r="H84" s="8">
        <f t="shared" si="13"/>
        <v>1249.155986778122</v>
      </c>
      <c r="I84" s="8">
        <f t="shared" si="14"/>
        <v>215.44185255117918</v>
      </c>
      <c r="J84" s="15">
        <f t="shared" si="15"/>
        <v>215.44185255117918</v>
      </c>
      <c r="K84" s="1" t="s">
        <v>291</v>
      </c>
      <c r="L84" s="61" t="s">
        <v>292</v>
      </c>
      <c r="M84" t="s">
        <v>293</v>
      </c>
      <c r="N84" s="1" t="s">
        <v>294</v>
      </c>
      <c r="O84" s="62" t="s">
        <v>384</v>
      </c>
      <c r="P84" s="63" t="s">
        <v>28</v>
      </c>
      <c r="Q84" s="64" t="s">
        <v>296</v>
      </c>
      <c r="R84" s="1" t="s">
        <v>297</v>
      </c>
      <c r="S84" s="1" t="s">
        <v>298</v>
      </c>
      <c r="T84" s="1" t="s">
        <v>299</v>
      </c>
      <c r="U84" s="1" t="s">
        <v>385</v>
      </c>
      <c r="V84" s="1">
        <v>188.05</v>
      </c>
      <c r="W84" s="1">
        <v>201.4</v>
      </c>
      <c r="X84" s="1">
        <v>174.7</v>
      </c>
      <c r="Y84" s="1" t="s">
        <v>39</v>
      </c>
      <c r="Z84" s="1" t="s">
        <v>302</v>
      </c>
      <c r="AA84" s="1">
        <v>30.957000000000001</v>
      </c>
      <c r="AB84" s="1">
        <v>110.746</v>
      </c>
      <c r="AC84" s="63" t="s">
        <v>39</v>
      </c>
      <c r="AD84" s="63" t="s">
        <v>39</v>
      </c>
      <c r="AE84" s="63" t="s">
        <v>39</v>
      </c>
      <c r="AF84" s="63" t="s">
        <v>39</v>
      </c>
      <c r="AG84" s="63" t="s">
        <v>39</v>
      </c>
      <c r="AH84" s="1">
        <v>90</v>
      </c>
      <c r="AI84" s="65">
        <v>4</v>
      </c>
      <c r="AJ84" s="65">
        <v>95</v>
      </c>
      <c r="AK84" s="62">
        <v>44.444444444444443</v>
      </c>
      <c r="AL84" s="66">
        <v>4.0404040404040407</v>
      </c>
      <c r="AM84" s="62">
        <v>2.7216552697590832</v>
      </c>
      <c r="AN84" s="66">
        <v>0.46957427527495582</v>
      </c>
      <c r="AO84" s="1" t="s">
        <v>29</v>
      </c>
      <c r="AP84" s="1" t="s">
        <v>449</v>
      </c>
      <c r="AQ84" s="1" t="s">
        <v>450</v>
      </c>
      <c r="AR84" s="1">
        <v>1249.155986778122</v>
      </c>
      <c r="AS84" s="1" t="s">
        <v>451</v>
      </c>
      <c r="AT84" s="1">
        <v>1033.7141342269429</v>
      </c>
      <c r="AU84" s="1">
        <v>1464.5978393293012</v>
      </c>
      <c r="AV84" s="67" t="s">
        <v>490</v>
      </c>
      <c r="AW84" s="1" t="s">
        <v>494</v>
      </c>
      <c r="AX84" s="1" t="s">
        <v>39</v>
      </c>
    </row>
    <row r="85" spans="1:50" s="1" customFormat="1">
      <c r="A85" s="1" t="s">
        <v>36</v>
      </c>
      <c r="B85" s="1" t="s">
        <v>290</v>
      </c>
      <c r="C85" s="1">
        <v>2020</v>
      </c>
      <c r="D85" s="11" t="str">
        <f t="shared" si="9"/>
        <v>10.1016/j.palaeo.2019.109547</v>
      </c>
      <c r="E85" s="7">
        <f t="shared" si="10"/>
        <v>188050</v>
      </c>
      <c r="F85" s="7">
        <f t="shared" si="11"/>
        <v>13349.999999999995</v>
      </c>
      <c r="G85" s="7">
        <f t="shared" si="12"/>
        <v>13350.000000000022</v>
      </c>
      <c r="H85" s="8">
        <f t="shared" si="13"/>
        <v>1034.7144367821036</v>
      </c>
      <c r="I85" s="8">
        <f t="shared" si="14"/>
        <v>239.52226157026712</v>
      </c>
      <c r="J85" s="15">
        <f t="shared" si="15"/>
        <v>239.52226157026723</v>
      </c>
      <c r="K85" s="1" t="s">
        <v>291</v>
      </c>
      <c r="L85" s="61" t="s">
        <v>292</v>
      </c>
      <c r="M85" t="s">
        <v>293</v>
      </c>
      <c r="N85" s="1" t="s">
        <v>294</v>
      </c>
      <c r="O85" s="62" t="s">
        <v>386</v>
      </c>
      <c r="P85" s="63" t="s">
        <v>28</v>
      </c>
      <c r="Q85" s="64" t="s">
        <v>296</v>
      </c>
      <c r="R85" s="1" t="s">
        <v>297</v>
      </c>
      <c r="S85" s="1" t="s">
        <v>298</v>
      </c>
      <c r="T85" s="1" t="s">
        <v>299</v>
      </c>
      <c r="U85" s="1" t="s">
        <v>385</v>
      </c>
      <c r="V85" s="1">
        <v>188.05</v>
      </c>
      <c r="W85" s="1">
        <v>201.4</v>
      </c>
      <c r="X85" s="1">
        <v>174.7</v>
      </c>
      <c r="Y85" s="1" t="s">
        <v>39</v>
      </c>
      <c r="Z85" s="1" t="s">
        <v>302</v>
      </c>
      <c r="AA85" s="1">
        <v>30.957000000000001</v>
      </c>
      <c r="AB85" s="1">
        <v>110.746</v>
      </c>
      <c r="AC85" s="63" t="s">
        <v>39</v>
      </c>
      <c r="AD85" s="63" t="s">
        <v>39</v>
      </c>
      <c r="AE85" s="63" t="s">
        <v>39</v>
      </c>
      <c r="AF85" s="63" t="s">
        <v>39</v>
      </c>
      <c r="AG85" s="63" t="s">
        <v>39</v>
      </c>
      <c r="AH85" s="1">
        <v>90</v>
      </c>
      <c r="AI85" s="65">
        <v>5</v>
      </c>
      <c r="AJ85" s="65">
        <v>104</v>
      </c>
      <c r="AK85" s="62">
        <v>55.555555555555557</v>
      </c>
      <c r="AL85" s="66">
        <v>4.5871559633027523</v>
      </c>
      <c r="AM85" s="62">
        <v>2.7216552697590832</v>
      </c>
      <c r="AN85" s="66">
        <v>0.71554175279993271</v>
      </c>
      <c r="AO85" s="1" t="s">
        <v>29</v>
      </c>
      <c r="AP85" s="1" t="s">
        <v>452</v>
      </c>
      <c r="AQ85" s="1" t="s">
        <v>453</v>
      </c>
      <c r="AR85" s="1">
        <v>1034.7144367821036</v>
      </c>
      <c r="AS85" s="1" t="s">
        <v>451</v>
      </c>
      <c r="AT85" s="1">
        <v>795.19217521183634</v>
      </c>
      <c r="AU85" s="1">
        <v>1274.2366983523707</v>
      </c>
      <c r="AV85" s="67" t="s">
        <v>490</v>
      </c>
      <c r="AW85" s="1" t="s">
        <v>494</v>
      </c>
      <c r="AX85" s="1" t="s">
        <v>39</v>
      </c>
    </row>
    <row r="86" spans="1:50" s="1" customFormat="1">
      <c r="A86" s="1" t="s">
        <v>36</v>
      </c>
      <c r="B86" s="1" t="s">
        <v>290</v>
      </c>
      <c r="C86" s="1">
        <v>2020</v>
      </c>
      <c r="D86" s="11" t="str">
        <f t="shared" si="9"/>
        <v>10.1016/j.palaeo.2019.109547</v>
      </c>
      <c r="E86" s="7">
        <f t="shared" si="10"/>
        <v>188050</v>
      </c>
      <c r="F86" s="7">
        <f t="shared" si="11"/>
        <v>13349.999999999995</v>
      </c>
      <c r="G86" s="7">
        <f t="shared" si="12"/>
        <v>13350.000000000022</v>
      </c>
      <c r="H86" s="8">
        <f t="shared" si="13"/>
        <v>1006.6653303700649</v>
      </c>
      <c r="I86" s="8">
        <f t="shared" si="14"/>
        <v>171.56513245991448</v>
      </c>
      <c r="J86" s="15">
        <f t="shared" si="15"/>
        <v>171.56513245991448</v>
      </c>
      <c r="K86" s="1" t="s">
        <v>291</v>
      </c>
      <c r="L86" s="61" t="s">
        <v>292</v>
      </c>
      <c r="M86" t="s">
        <v>293</v>
      </c>
      <c r="N86" s="1" t="s">
        <v>294</v>
      </c>
      <c r="O86" s="62" t="s">
        <v>387</v>
      </c>
      <c r="P86" s="63" t="s">
        <v>28</v>
      </c>
      <c r="Q86" s="64" t="s">
        <v>296</v>
      </c>
      <c r="R86" s="1" t="s">
        <v>297</v>
      </c>
      <c r="S86" s="1" t="s">
        <v>298</v>
      </c>
      <c r="T86" s="1" t="s">
        <v>299</v>
      </c>
      <c r="U86" s="1" t="s">
        <v>385</v>
      </c>
      <c r="V86" s="1">
        <v>188.05</v>
      </c>
      <c r="W86" s="1">
        <v>201.4</v>
      </c>
      <c r="X86" s="1">
        <v>174.7</v>
      </c>
      <c r="Y86" s="1" t="s">
        <v>39</v>
      </c>
      <c r="Z86" s="1" t="s">
        <v>302</v>
      </c>
      <c r="AA86" s="1">
        <v>30.957000000000001</v>
      </c>
      <c r="AB86" s="1">
        <v>110.746</v>
      </c>
      <c r="AC86" s="63" t="s">
        <v>39</v>
      </c>
      <c r="AD86" s="63" t="s">
        <v>39</v>
      </c>
      <c r="AE86" s="63" t="s">
        <v>39</v>
      </c>
      <c r="AF86" s="63" t="s">
        <v>39</v>
      </c>
      <c r="AG86" s="63" t="s">
        <v>39</v>
      </c>
      <c r="AH86" s="1">
        <v>90</v>
      </c>
      <c r="AI86" s="65">
        <v>5</v>
      </c>
      <c r="AJ86" s="65">
        <v>102</v>
      </c>
      <c r="AK86" s="62">
        <v>55.555555555555557</v>
      </c>
      <c r="AL86" s="66">
        <v>4.6728971962616823</v>
      </c>
      <c r="AM86" s="62">
        <v>3.5136418446315067</v>
      </c>
      <c r="AN86" s="66">
        <v>0.53665631459994956</v>
      </c>
      <c r="AO86" s="1" t="s">
        <v>29</v>
      </c>
      <c r="AP86" s="1" t="s">
        <v>454</v>
      </c>
      <c r="AQ86" s="1" t="s">
        <v>455</v>
      </c>
      <c r="AR86" s="1">
        <v>1006.6653303700649</v>
      </c>
      <c r="AS86" s="1" t="s">
        <v>451</v>
      </c>
      <c r="AT86" s="1">
        <v>835.10019791015043</v>
      </c>
      <c r="AU86" s="1">
        <v>1178.2304628299794</v>
      </c>
      <c r="AV86" s="67" t="s">
        <v>490</v>
      </c>
      <c r="AW86" s="1" t="s">
        <v>494</v>
      </c>
      <c r="AX86" s="1" t="s">
        <v>39</v>
      </c>
    </row>
    <row r="87" spans="1:50" s="1" customFormat="1">
      <c r="A87" s="1" t="s">
        <v>36</v>
      </c>
      <c r="B87" s="1" t="s">
        <v>290</v>
      </c>
      <c r="C87" s="1">
        <v>2020</v>
      </c>
      <c r="D87" s="11" t="str">
        <f t="shared" si="9"/>
        <v>10.1016/j.palaeo.2019.109547</v>
      </c>
      <c r="E87" s="7">
        <f t="shared" si="10"/>
        <v>188050</v>
      </c>
      <c r="F87" s="7">
        <f t="shared" si="11"/>
        <v>13349.999999999995</v>
      </c>
      <c r="G87" s="7">
        <f t="shared" si="12"/>
        <v>13350.000000000022</v>
      </c>
      <c r="H87" s="8">
        <f t="shared" si="13"/>
        <v>1540.0713592034178</v>
      </c>
      <c r="I87" s="8">
        <f t="shared" si="14"/>
        <v>436.9440825697493</v>
      </c>
      <c r="J87" s="15">
        <f t="shared" si="15"/>
        <v>436.9440825697493</v>
      </c>
      <c r="K87" s="1" t="s">
        <v>291</v>
      </c>
      <c r="L87" s="61" t="s">
        <v>292</v>
      </c>
      <c r="M87" t="s">
        <v>293</v>
      </c>
      <c r="N87" s="1" t="s">
        <v>294</v>
      </c>
      <c r="O87" s="62" t="s">
        <v>388</v>
      </c>
      <c r="P87" s="63" t="s">
        <v>28</v>
      </c>
      <c r="Q87" s="64" t="s">
        <v>296</v>
      </c>
      <c r="R87" s="1" t="s">
        <v>297</v>
      </c>
      <c r="S87" s="1" t="s">
        <v>298</v>
      </c>
      <c r="T87" s="1" t="s">
        <v>299</v>
      </c>
      <c r="U87" s="1" t="s">
        <v>385</v>
      </c>
      <c r="V87" s="1">
        <v>188.05</v>
      </c>
      <c r="W87" s="1">
        <v>201.4</v>
      </c>
      <c r="X87" s="1">
        <v>174.7</v>
      </c>
      <c r="Y87" s="1" t="s">
        <v>39</v>
      </c>
      <c r="Z87" s="1" t="s">
        <v>302</v>
      </c>
      <c r="AA87" s="1">
        <v>30.957000000000001</v>
      </c>
      <c r="AB87" s="1">
        <v>110.746</v>
      </c>
      <c r="AC87" s="63" t="s">
        <v>39</v>
      </c>
      <c r="AD87" s="63" t="s">
        <v>39</v>
      </c>
      <c r="AE87" s="63" t="s">
        <v>39</v>
      </c>
      <c r="AF87" s="63" t="s">
        <v>39</v>
      </c>
      <c r="AG87" s="63" t="s">
        <v>39</v>
      </c>
      <c r="AH87" s="1">
        <v>90</v>
      </c>
      <c r="AI87" s="65">
        <v>4</v>
      </c>
      <c r="AJ87" s="65">
        <v>110</v>
      </c>
      <c r="AK87" s="62">
        <v>44.444444444444443</v>
      </c>
      <c r="AL87" s="66">
        <v>3.5087719298245612</v>
      </c>
      <c r="AM87" s="62">
        <v>4.1573970964154707</v>
      </c>
      <c r="AN87" s="66">
        <v>0.67082039324993692</v>
      </c>
      <c r="AO87" s="1" t="s">
        <v>29</v>
      </c>
      <c r="AP87" s="1" t="s">
        <v>456</v>
      </c>
      <c r="AQ87" s="1" t="s">
        <v>457</v>
      </c>
      <c r="AR87" s="1">
        <v>1540.0713592034178</v>
      </c>
      <c r="AS87" s="1" t="s">
        <v>451</v>
      </c>
      <c r="AT87" s="1">
        <v>1103.1272766336685</v>
      </c>
      <c r="AU87" s="1">
        <v>1977.0154417731671</v>
      </c>
      <c r="AV87" s="67" t="s">
        <v>490</v>
      </c>
      <c r="AW87" s="1" t="s">
        <v>494</v>
      </c>
      <c r="AX87" s="1" t="s">
        <v>39</v>
      </c>
    </row>
    <row r="88" spans="1:50" s="1" customFormat="1">
      <c r="A88" s="1" t="s">
        <v>36</v>
      </c>
      <c r="B88" s="1" t="s">
        <v>290</v>
      </c>
      <c r="C88" s="1">
        <v>2020</v>
      </c>
      <c r="D88" s="11" t="str">
        <f t="shared" si="9"/>
        <v>10.1016/j.palaeo.2019.109547</v>
      </c>
      <c r="E88" s="7">
        <f t="shared" si="10"/>
        <v>188050</v>
      </c>
      <c r="F88" s="7">
        <f t="shared" si="11"/>
        <v>13349.999999999995</v>
      </c>
      <c r="G88" s="7">
        <f t="shared" si="12"/>
        <v>13350.000000000022</v>
      </c>
      <c r="H88" s="8">
        <f t="shared" si="13"/>
        <v>1286.7878857220737</v>
      </c>
      <c r="I88" s="8">
        <f t="shared" si="14"/>
        <v>463.61310615243679</v>
      </c>
      <c r="J88" s="15">
        <f t="shared" si="15"/>
        <v>463.61310615243667</v>
      </c>
      <c r="K88" s="1" t="s">
        <v>291</v>
      </c>
      <c r="L88" s="61" t="s">
        <v>292</v>
      </c>
      <c r="M88" t="s">
        <v>293</v>
      </c>
      <c r="N88" s="1" t="s">
        <v>294</v>
      </c>
      <c r="O88" s="62" t="s">
        <v>389</v>
      </c>
      <c r="P88" s="63" t="s">
        <v>28</v>
      </c>
      <c r="Q88" s="64" t="s">
        <v>296</v>
      </c>
      <c r="R88" s="1" t="s">
        <v>297</v>
      </c>
      <c r="S88" s="1" t="s">
        <v>298</v>
      </c>
      <c r="T88" s="1" t="s">
        <v>299</v>
      </c>
      <c r="U88" s="1" t="s">
        <v>385</v>
      </c>
      <c r="V88" s="1">
        <v>188.05</v>
      </c>
      <c r="W88" s="1">
        <v>201.4</v>
      </c>
      <c r="X88" s="1">
        <v>174.7</v>
      </c>
      <c r="Y88" s="1" t="s">
        <v>39</v>
      </c>
      <c r="Z88" s="1" t="s">
        <v>302</v>
      </c>
      <c r="AA88" s="1">
        <v>30.957000000000001</v>
      </c>
      <c r="AB88" s="1">
        <v>110.746</v>
      </c>
      <c r="AC88" s="63" t="s">
        <v>39</v>
      </c>
      <c r="AD88" s="63" t="s">
        <v>39</v>
      </c>
      <c r="AE88" s="63" t="s">
        <v>39</v>
      </c>
      <c r="AF88" s="63" t="s">
        <v>39</v>
      </c>
      <c r="AG88" s="63" t="s">
        <v>39</v>
      </c>
      <c r="AH88" s="1">
        <v>90</v>
      </c>
      <c r="AI88" s="65">
        <v>4</v>
      </c>
      <c r="AJ88" s="65">
        <v>97</v>
      </c>
      <c r="AK88" s="62">
        <v>44.444444444444443</v>
      </c>
      <c r="AL88" s="66">
        <v>3.9603960396039604</v>
      </c>
      <c r="AM88" s="62">
        <v>4.1573970964154707</v>
      </c>
      <c r="AN88" s="66">
        <v>0.96150923032490965</v>
      </c>
      <c r="AO88" s="1" t="s">
        <v>29</v>
      </c>
      <c r="AP88" s="1" t="s">
        <v>458</v>
      </c>
      <c r="AQ88" s="1" t="s">
        <v>459</v>
      </c>
      <c r="AR88" s="1">
        <v>1286.7878857220737</v>
      </c>
      <c r="AS88" s="1" t="s">
        <v>451</v>
      </c>
      <c r="AT88" s="1">
        <v>823.17477956963705</v>
      </c>
      <c r="AU88" s="1">
        <v>1750.4009918745105</v>
      </c>
      <c r="AV88" s="67" t="s">
        <v>490</v>
      </c>
      <c r="AW88" s="1" t="s">
        <v>494</v>
      </c>
      <c r="AX88" s="1" t="s">
        <v>39</v>
      </c>
    </row>
    <row r="89" spans="1:50" s="1" customFormat="1">
      <c r="A89" s="1" t="s">
        <v>36</v>
      </c>
      <c r="B89" s="1" t="s">
        <v>290</v>
      </c>
      <c r="C89" s="1">
        <v>2020</v>
      </c>
      <c r="D89" s="11" t="str">
        <f t="shared" si="9"/>
        <v>10.1016/j.palaeo.2019.109547</v>
      </c>
      <c r="E89" s="7">
        <f t="shared" si="10"/>
        <v>188050</v>
      </c>
      <c r="F89" s="7">
        <f t="shared" si="11"/>
        <v>13349.999999999995</v>
      </c>
      <c r="G89" s="7">
        <f t="shared" si="12"/>
        <v>13350.000000000022</v>
      </c>
      <c r="H89" s="8">
        <f t="shared" si="13"/>
        <v>992.73535661111771</v>
      </c>
      <c r="I89" s="8">
        <f t="shared" si="14"/>
        <v>181.57731995630331</v>
      </c>
      <c r="J89" s="15">
        <f t="shared" si="15"/>
        <v>181.57731995630343</v>
      </c>
      <c r="K89" s="1" t="s">
        <v>291</v>
      </c>
      <c r="L89" s="61" t="s">
        <v>292</v>
      </c>
      <c r="M89" t="s">
        <v>293</v>
      </c>
      <c r="N89" s="1" t="s">
        <v>294</v>
      </c>
      <c r="O89" s="62" t="s">
        <v>390</v>
      </c>
      <c r="P89" s="63" t="s">
        <v>28</v>
      </c>
      <c r="Q89" s="64" t="s">
        <v>296</v>
      </c>
      <c r="R89" s="1" t="s">
        <v>297</v>
      </c>
      <c r="S89" s="1" t="s">
        <v>298</v>
      </c>
      <c r="T89" s="1" t="s">
        <v>299</v>
      </c>
      <c r="U89" s="1" t="s">
        <v>385</v>
      </c>
      <c r="V89" s="1">
        <v>188.05</v>
      </c>
      <c r="W89" s="1">
        <v>201.4</v>
      </c>
      <c r="X89" s="1">
        <v>174.7</v>
      </c>
      <c r="Y89" s="1" t="s">
        <v>39</v>
      </c>
      <c r="Z89" s="1" t="s">
        <v>302</v>
      </c>
      <c r="AA89" s="1">
        <v>30.957000000000001</v>
      </c>
      <c r="AB89" s="1">
        <v>110.746</v>
      </c>
      <c r="AC89" s="63" t="s">
        <v>39</v>
      </c>
      <c r="AD89" s="63" t="s">
        <v>39</v>
      </c>
      <c r="AE89" s="63" t="s">
        <v>39</v>
      </c>
      <c r="AF89" s="63" t="s">
        <v>39</v>
      </c>
      <c r="AG89" s="63" t="s">
        <v>39</v>
      </c>
      <c r="AH89" s="1">
        <v>90</v>
      </c>
      <c r="AI89" s="65">
        <v>5</v>
      </c>
      <c r="AJ89" s="65">
        <v>101</v>
      </c>
      <c r="AK89" s="62">
        <v>55.555555555555557</v>
      </c>
      <c r="AL89" s="66">
        <v>4.716981132075472</v>
      </c>
      <c r="AM89" s="62">
        <v>4.1573970964155142</v>
      </c>
      <c r="AN89" s="66">
        <v>0.58137767414994534</v>
      </c>
      <c r="AO89" s="1" t="s">
        <v>29</v>
      </c>
      <c r="AP89" s="1" t="s">
        <v>460</v>
      </c>
      <c r="AQ89" s="1" t="s">
        <v>461</v>
      </c>
      <c r="AR89" s="1">
        <v>992.73535661111771</v>
      </c>
      <c r="AS89" s="1" t="s">
        <v>451</v>
      </c>
      <c r="AT89" s="1">
        <v>811.15803665481428</v>
      </c>
      <c r="AU89" s="1">
        <v>1174.312676567421</v>
      </c>
      <c r="AV89" s="67" t="s">
        <v>490</v>
      </c>
      <c r="AW89" s="1" t="s">
        <v>494</v>
      </c>
      <c r="AX89" s="1" t="s">
        <v>39</v>
      </c>
    </row>
    <row r="90" spans="1:50" s="1" customFormat="1">
      <c r="A90" s="1" t="s">
        <v>36</v>
      </c>
      <c r="B90" s="1" t="s">
        <v>290</v>
      </c>
      <c r="C90" s="1">
        <v>2020</v>
      </c>
      <c r="D90" s="11" t="str">
        <f t="shared" si="9"/>
        <v>10.1016/j.palaeo.2019.109547</v>
      </c>
      <c r="E90" s="7">
        <f t="shared" si="10"/>
        <v>188050</v>
      </c>
      <c r="F90" s="7">
        <f t="shared" si="11"/>
        <v>13349.999999999995</v>
      </c>
      <c r="G90" s="7">
        <f t="shared" si="12"/>
        <v>13350.000000000022</v>
      </c>
      <c r="H90" s="8">
        <f t="shared" si="13"/>
        <v>1230.4771160847815</v>
      </c>
      <c r="I90" s="8">
        <f t="shared" si="14"/>
        <v>160.05841481306993</v>
      </c>
      <c r="J90" s="15">
        <f t="shared" si="15"/>
        <v>160.05841481306993</v>
      </c>
      <c r="K90" s="1" t="s">
        <v>291</v>
      </c>
      <c r="L90" s="61" t="s">
        <v>292</v>
      </c>
      <c r="M90" t="s">
        <v>293</v>
      </c>
      <c r="N90" s="1" t="s">
        <v>294</v>
      </c>
      <c r="O90" s="62" t="s">
        <v>391</v>
      </c>
      <c r="P90" s="63" t="s">
        <v>28</v>
      </c>
      <c r="Q90" s="64" t="s">
        <v>296</v>
      </c>
      <c r="R90" s="1" t="s">
        <v>297</v>
      </c>
      <c r="S90" s="1" t="s">
        <v>298</v>
      </c>
      <c r="T90" s="1" t="s">
        <v>299</v>
      </c>
      <c r="U90" s="1" t="s">
        <v>385</v>
      </c>
      <c r="V90" s="1">
        <v>188.05</v>
      </c>
      <c r="W90" s="1">
        <v>201.4</v>
      </c>
      <c r="X90" s="1">
        <v>174.7</v>
      </c>
      <c r="Y90" s="1" t="s">
        <v>39</v>
      </c>
      <c r="Z90" s="1" t="s">
        <v>302</v>
      </c>
      <c r="AA90" s="1">
        <v>30.957000000000001</v>
      </c>
      <c r="AB90" s="1">
        <v>110.746</v>
      </c>
      <c r="AC90" s="63" t="s">
        <v>39</v>
      </c>
      <c r="AD90" s="63" t="s">
        <v>39</v>
      </c>
      <c r="AE90" s="63" t="s">
        <v>39</v>
      </c>
      <c r="AF90" s="63" t="s">
        <v>39</v>
      </c>
      <c r="AG90" s="63" t="s">
        <v>39</v>
      </c>
      <c r="AH90" s="1">
        <v>90</v>
      </c>
      <c r="AI90" s="65">
        <v>4</v>
      </c>
      <c r="AJ90" s="65">
        <v>94</v>
      </c>
      <c r="AK90" s="62">
        <v>44.444444444444443</v>
      </c>
      <c r="AL90" s="66">
        <v>4.0816326530612246</v>
      </c>
      <c r="AM90" s="62">
        <v>4.9690399499995417</v>
      </c>
      <c r="AN90" s="66">
        <v>0.35777087639996635</v>
      </c>
      <c r="AO90" s="1" t="s">
        <v>29</v>
      </c>
      <c r="AP90" s="1" t="s">
        <v>462</v>
      </c>
      <c r="AQ90" s="1" t="s">
        <v>463</v>
      </c>
      <c r="AR90" s="1">
        <v>1230.4771160847815</v>
      </c>
      <c r="AS90" s="1" t="s">
        <v>451</v>
      </c>
      <c r="AT90" s="1">
        <v>1070.4187012717116</v>
      </c>
      <c r="AU90" s="1">
        <v>1390.5355308978515</v>
      </c>
      <c r="AV90" s="67" t="s">
        <v>490</v>
      </c>
      <c r="AW90" s="1" t="s">
        <v>494</v>
      </c>
      <c r="AX90" s="1" t="s">
        <v>39</v>
      </c>
    </row>
    <row r="91" spans="1:50" s="1" customFormat="1">
      <c r="A91" s="1" t="s">
        <v>36</v>
      </c>
      <c r="B91" s="1" t="s">
        <v>290</v>
      </c>
      <c r="C91" s="1">
        <v>2020</v>
      </c>
      <c r="D91" s="11" t="str">
        <f t="shared" si="9"/>
        <v>10.1016/j.palaeo.2019.109547</v>
      </c>
      <c r="E91" s="7">
        <f t="shared" si="10"/>
        <v>188050</v>
      </c>
      <c r="F91" s="7">
        <f t="shared" si="11"/>
        <v>13349.999999999995</v>
      </c>
      <c r="G91" s="7">
        <f t="shared" si="12"/>
        <v>13350.000000000022</v>
      </c>
      <c r="H91" s="8">
        <f t="shared" si="13"/>
        <v>1800.7149090293503</v>
      </c>
      <c r="I91" s="8">
        <f t="shared" si="14"/>
        <v>567.6589227819702</v>
      </c>
      <c r="J91" s="15">
        <f t="shared" si="15"/>
        <v>567.6589227819702</v>
      </c>
      <c r="K91" s="1" t="s">
        <v>291</v>
      </c>
      <c r="L91" s="61" t="s">
        <v>292</v>
      </c>
      <c r="M91" t="s">
        <v>293</v>
      </c>
      <c r="N91" s="1" t="s">
        <v>294</v>
      </c>
      <c r="O91" s="62" t="s">
        <v>392</v>
      </c>
      <c r="P91" s="63" t="s">
        <v>28</v>
      </c>
      <c r="Q91" s="64" t="s">
        <v>296</v>
      </c>
      <c r="R91" s="1" t="s">
        <v>297</v>
      </c>
      <c r="S91" s="1" t="s">
        <v>298</v>
      </c>
      <c r="T91" s="1" t="s">
        <v>299</v>
      </c>
      <c r="U91" s="1" t="s">
        <v>385</v>
      </c>
      <c r="V91" s="1">
        <v>188.05</v>
      </c>
      <c r="W91" s="1">
        <v>201.4</v>
      </c>
      <c r="X91" s="1">
        <v>174.7</v>
      </c>
      <c r="Y91" s="1" t="s">
        <v>39</v>
      </c>
      <c r="Z91" s="1" t="s">
        <v>302</v>
      </c>
      <c r="AA91" s="1">
        <v>30.957000000000001</v>
      </c>
      <c r="AB91" s="1">
        <v>110.746</v>
      </c>
      <c r="AC91" s="63" t="s">
        <v>39</v>
      </c>
      <c r="AD91" s="63" t="s">
        <v>39</v>
      </c>
      <c r="AE91" s="63" t="s">
        <v>39</v>
      </c>
      <c r="AF91" s="63" t="s">
        <v>39</v>
      </c>
      <c r="AG91" s="63" t="s">
        <v>39</v>
      </c>
      <c r="AH91" s="1">
        <v>90</v>
      </c>
      <c r="AI91" s="65">
        <v>3</v>
      </c>
      <c r="AJ91" s="65">
        <v>92</v>
      </c>
      <c r="AK91" s="62">
        <v>33.333333333333336</v>
      </c>
      <c r="AL91" s="66">
        <v>3.1578947368421053</v>
      </c>
      <c r="AM91" s="62">
        <v>4.4444444444444633</v>
      </c>
      <c r="AN91" s="66">
        <v>0.67082039324993692</v>
      </c>
      <c r="AO91" s="1" t="s">
        <v>29</v>
      </c>
      <c r="AP91" s="1" t="s">
        <v>464</v>
      </c>
      <c r="AQ91" s="1" t="s">
        <v>465</v>
      </c>
      <c r="AR91" s="1">
        <v>1800.7149090293503</v>
      </c>
      <c r="AS91" s="1" t="s">
        <v>451</v>
      </c>
      <c r="AT91" s="1">
        <v>1233.0559862473801</v>
      </c>
      <c r="AU91" s="1">
        <v>2368.3738318113205</v>
      </c>
      <c r="AV91" s="67" t="s">
        <v>490</v>
      </c>
      <c r="AW91" s="1" t="s">
        <v>494</v>
      </c>
      <c r="AX91" s="1" t="s">
        <v>39</v>
      </c>
    </row>
    <row r="92" spans="1:50" s="1" customFormat="1">
      <c r="A92" s="1" t="s">
        <v>36</v>
      </c>
      <c r="B92" s="1" t="s">
        <v>290</v>
      </c>
      <c r="C92" s="1">
        <v>2020</v>
      </c>
      <c r="D92" s="11" t="str">
        <f t="shared" si="9"/>
        <v>10.1016/j.palaeo.2019.109547</v>
      </c>
      <c r="E92" s="7">
        <f t="shared" si="10"/>
        <v>188050</v>
      </c>
      <c r="F92" s="7">
        <f t="shared" si="11"/>
        <v>13349.999999999995</v>
      </c>
      <c r="G92" s="7">
        <f t="shared" si="12"/>
        <v>13350.000000000022</v>
      </c>
      <c r="H92" s="8">
        <f t="shared" si="13"/>
        <v>1857.2586244340373</v>
      </c>
      <c r="I92" s="8">
        <f t="shared" si="14"/>
        <v>538.02880870389436</v>
      </c>
      <c r="J92" s="15">
        <f t="shared" si="15"/>
        <v>538.02880870389436</v>
      </c>
      <c r="K92" s="1" t="s">
        <v>291</v>
      </c>
      <c r="L92" s="61" t="s">
        <v>292</v>
      </c>
      <c r="M92" t="s">
        <v>293</v>
      </c>
      <c r="N92" s="1" t="s">
        <v>294</v>
      </c>
      <c r="O92" s="62" t="s">
        <v>393</v>
      </c>
      <c r="P92" s="63" t="s">
        <v>28</v>
      </c>
      <c r="Q92" s="64" t="s">
        <v>296</v>
      </c>
      <c r="R92" s="1" t="s">
        <v>297</v>
      </c>
      <c r="S92" s="1" t="s">
        <v>298</v>
      </c>
      <c r="T92" s="1" t="s">
        <v>299</v>
      </c>
      <c r="U92" s="1" t="s">
        <v>385</v>
      </c>
      <c r="V92" s="1">
        <v>188.05</v>
      </c>
      <c r="W92" s="1">
        <v>201.4</v>
      </c>
      <c r="X92" s="1">
        <v>174.7</v>
      </c>
      <c r="Y92" s="1" t="s">
        <v>39</v>
      </c>
      <c r="Z92" s="1" t="s">
        <v>302</v>
      </c>
      <c r="AA92" s="1">
        <v>30.957000000000001</v>
      </c>
      <c r="AB92" s="1">
        <v>110.746</v>
      </c>
      <c r="AC92" s="63" t="s">
        <v>39</v>
      </c>
      <c r="AD92" s="63" t="s">
        <v>39</v>
      </c>
      <c r="AE92" s="63" t="s">
        <v>39</v>
      </c>
      <c r="AF92" s="63" t="s">
        <v>39</v>
      </c>
      <c r="AG92" s="63" t="s">
        <v>39</v>
      </c>
      <c r="AH92" s="1">
        <v>90</v>
      </c>
      <c r="AI92" s="65">
        <v>3</v>
      </c>
      <c r="AJ92" s="65">
        <v>94</v>
      </c>
      <c r="AK92" s="62">
        <v>33.333333333333336</v>
      </c>
      <c r="AL92" s="66">
        <v>3.0927835051546393</v>
      </c>
      <c r="AM92" s="62">
        <v>2.2222222222222228</v>
      </c>
      <c r="AN92" s="66">
        <v>0.60373835392494324</v>
      </c>
      <c r="AO92" s="1" t="s">
        <v>29</v>
      </c>
      <c r="AP92" s="1" t="s">
        <v>466</v>
      </c>
      <c r="AQ92" s="1" t="s">
        <v>467</v>
      </c>
      <c r="AR92" s="1">
        <v>1857.2586244340373</v>
      </c>
      <c r="AS92" s="1" t="s">
        <v>451</v>
      </c>
      <c r="AT92" s="1">
        <v>1319.2298157301429</v>
      </c>
      <c r="AU92" s="1">
        <v>2395.2874331379317</v>
      </c>
      <c r="AV92" s="67" t="s">
        <v>490</v>
      </c>
      <c r="AW92" s="1" t="s">
        <v>494</v>
      </c>
      <c r="AX92" s="1" t="s">
        <v>39</v>
      </c>
    </row>
    <row r="93" spans="1:50" s="1" customFormat="1">
      <c r="A93" s="1" t="s">
        <v>36</v>
      </c>
      <c r="B93" s="1" t="s">
        <v>290</v>
      </c>
      <c r="C93" s="1">
        <v>2020</v>
      </c>
      <c r="D93" s="11" t="str">
        <f t="shared" si="9"/>
        <v>10.1016/j.palaeo.2019.109547</v>
      </c>
      <c r="E93" s="7">
        <f t="shared" si="10"/>
        <v>188050</v>
      </c>
      <c r="F93" s="7">
        <f t="shared" si="11"/>
        <v>13349.999999999995</v>
      </c>
      <c r="G93" s="7">
        <f t="shared" si="12"/>
        <v>13350.000000000022</v>
      </c>
      <c r="H93" s="8">
        <f t="shared" si="13"/>
        <v>1156.6868005657464</v>
      </c>
      <c r="I93" s="8">
        <f t="shared" si="14"/>
        <v>387.85643442410651</v>
      </c>
      <c r="J93" s="15">
        <f t="shared" si="15"/>
        <v>387.85643442410651</v>
      </c>
      <c r="K93" s="1" t="s">
        <v>291</v>
      </c>
      <c r="L93" s="61" t="s">
        <v>292</v>
      </c>
      <c r="M93" t="s">
        <v>293</v>
      </c>
      <c r="N93" s="1" t="s">
        <v>294</v>
      </c>
      <c r="O93" s="62" t="s">
        <v>394</v>
      </c>
      <c r="P93" s="63" t="s">
        <v>28</v>
      </c>
      <c r="Q93" s="64" t="s">
        <v>296</v>
      </c>
      <c r="R93" s="1" t="s">
        <v>297</v>
      </c>
      <c r="S93" s="1" t="s">
        <v>298</v>
      </c>
      <c r="T93" s="1" t="s">
        <v>299</v>
      </c>
      <c r="U93" s="1" t="s">
        <v>385</v>
      </c>
      <c r="V93" s="1">
        <v>188.05</v>
      </c>
      <c r="W93" s="1">
        <v>201.4</v>
      </c>
      <c r="X93" s="1">
        <v>174.7</v>
      </c>
      <c r="Y93" s="1" t="s">
        <v>39</v>
      </c>
      <c r="Z93" s="1" t="s">
        <v>302</v>
      </c>
      <c r="AA93" s="1">
        <v>30.957000000000001</v>
      </c>
      <c r="AB93" s="1">
        <v>110.746</v>
      </c>
      <c r="AC93" s="63" t="s">
        <v>39</v>
      </c>
      <c r="AD93" s="63" t="s">
        <v>39</v>
      </c>
      <c r="AE93" s="63" t="s">
        <v>39</v>
      </c>
      <c r="AF93" s="63" t="s">
        <v>39</v>
      </c>
      <c r="AG93" s="63" t="s">
        <v>39</v>
      </c>
      <c r="AH93" s="1">
        <v>90</v>
      </c>
      <c r="AI93" s="65">
        <v>4</v>
      </c>
      <c r="AJ93" s="65">
        <v>90</v>
      </c>
      <c r="AK93" s="62">
        <v>44.444444444444443</v>
      </c>
      <c r="AL93" s="66">
        <v>4.2553191489361701</v>
      </c>
      <c r="AM93" s="62">
        <v>2.2222222222222228</v>
      </c>
      <c r="AN93" s="66">
        <v>0.96150923032490965</v>
      </c>
      <c r="AO93" s="1" t="s">
        <v>29</v>
      </c>
      <c r="AP93" s="1" t="s">
        <v>468</v>
      </c>
      <c r="AQ93" s="1" t="s">
        <v>469</v>
      </c>
      <c r="AR93" s="1">
        <v>1156.6868005657464</v>
      </c>
      <c r="AS93" s="1" t="s">
        <v>451</v>
      </c>
      <c r="AT93" s="1">
        <v>768.83036614163984</v>
      </c>
      <c r="AU93" s="1">
        <v>1544.5432349898529</v>
      </c>
      <c r="AV93" s="67" t="s">
        <v>490</v>
      </c>
      <c r="AW93" s="1" t="s">
        <v>494</v>
      </c>
      <c r="AX93" s="1" t="s">
        <v>39</v>
      </c>
    </row>
    <row r="94" spans="1:50" s="1" customFormat="1">
      <c r="A94" s="1" t="s">
        <v>36</v>
      </c>
      <c r="B94" s="1" t="s">
        <v>290</v>
      </c>
      <c r="C94" s="1">
        <v>2020</v>
      </c>
      <c r="D94" s="11" t="str">
        <f t="shared" si="9"/>
        <v>10.1016/j.palaeo.2019.109547</v>
      </c>
      <c r="E94" s="7">
        <f t="shared" si="10"/>
        <v>188050</v>
      </c>
      <c r="F94" s="7">
        <f t="shared" si="11"/>
        <v>13349.999999999995</v>
      </c>
      <c r="G94" s="7">
        <f t="shared" si="12"/>
        <v>13350.000000000022</v>
      </c>
      <c r="H94" s="8">
        <f t="shared" si="13"/>
        <v>1063.0137598980864</v>
      </c>
      <c r="I94" s="8">
        <f t="shared" si="14"/>
        <v>281.91180646147768</v>
      </c>
      <c r="J94" s="15">
        <f t="shared" si="15"/>
        <v>281.91180646147768</v>
      </c>
      <c r="K94" s="1" t="s">
        <v>291</v>
      </c>
      <c r="L94" s="61" t="s">
        <v>292</v>
      </c>
      <c r="M94" t="s">
        <v>293</v>
      </c>
      <c r="N94" s="1" t="s">
        <v>294</v>
      </c>
      <c r="O94" s="62" t="s">
        <v>395</v>
      </c>
      <c r="P94" s="63" t="s">
        <v>28</v>
      </c>
      <c r="Q94" s="64" t="s">
        <v>296</v>
      </c>
      <c r="R94" s="1" t="s">
        <v>297</v>
      </c>
      <c r="S94" s="1" t="s">
        <v>298</v>
      </c>
      <c r="T94" s="1" t="s">
        <v>299</v>
      </c>
      <c r="U94" s="1" t="s">
        <v>385</v>
      </c>
      <c r="V94" s="1">
        <v>188.05</v>
      </c>
      <c r="W94" s="1">
        <v>201.4</v>
      </c>
      <c r="X94" s="1">
        <v>174.7</v>
      </c>
      <c r="Y94" s="1" t="s">
        <v>39</v>
      </c>
      <c r="Z94" s="1" t="s">
        <v>302</v>
      </c>
      <c r="AA94" s="1">
        <v>30.957000000000001</v>
      </c>
      <c r="AB94" s="1">
        <v>110.746</v>
      </c>
      <c r="AC94" s="63" t="s">
        <v>39</v>
      </c>
      <c r="AD94" s="63" t="s">
        <v>39</v>
      </c>
      <c r="AE94" s="63" t="s">
        <v>39</v>
      </c>
      <c r="AF94" s="63" t="s">
        <v>39</v>
      </c>
      <c r="AG94" s="63" t="s">
        <v>39</v>
      </c>
      <c r="AH94" s="1">
        <v>90</v>
      </c>
      <c r="AI94" s="65">
        <v>5</v>
      </c>
      <c r="AJ94" s="65">
        <v>106</v>
      </c>
      <c r="AK94" s="62">
        <v>55.555555555555557</v>
      </c>
      <c r="AL94" s="66">
        <v>4.5045045045045047</v>
      </c>
      <c r="AM94" s="62">
        <v>3.5136418446315067</v>
      </c>
      <c r="AN94" s="66">
        <v>0.80498447189992428</v>
      </c>
      <c r="AO94" s="1" t="s">
        <v>29</v>
      </c>
      <c r="AP94" s="1" t="s">
        <v>470</v>
      </c>
      <c r="AQ94" s="1" t="s">
        <v>471</v>
      </c>
      <c r="AR94" s="1">
        <v>1063.0137598980864</v>
      </c>
      <c r="AS94" s="1" t="s">
        <v>451</v>
      </c>
      <c r="AT94" s="1">
        <v>781.10195343660871</v>
      </c>
      <c r="AU94" s="1">
        <v>1344.9255663595641</v>
      </c>
      <c r="AV94" s="67" t="s">
        <v>490</v>
      </c>
      <c r="AW94" s="1" t="s">
        <v>494</v>
      </c>
      <c r="AX94" s="1" t="s">
        <v>39</v>
      </c>
    </row>
    <row r="95" spans="1:50" s="1" customFormat="1">
      <c r="A95" s="1" t="s">
        <v>36</v>
      </c>
      <c r="B95" s="1" t="s">
        <v>290</v>
      </c>
      <c r="C95" s="1">
        <v>2020</v>
      </c>
      <c r="D95" s="11" t="str">
        <f t="shared" si="9"/>
        <v>10.1016/j.palaeo.2019.109547</v>
      </c>
      <c r="E95" s="7">
        <f t="shared" si="10"/>
        <v>188050</v>
      </c>
      <c r="F95" s="7">
        <f t="shared" si="11"/>
        <v>13349.999999999995</v>
      </c>
      <c r="G95" s="7">
        <f t="shared" si="12"/>
        <v>13350.000000000022</v>
      </c>
      <c r="H95" s="8">
        <f t="shared" si="13"/>
        <v>951.32744752413601</v>
      </c>
      <c r="I95" s="8">
        <f t="shared" si="14"/>
        <v>312.14572252111702</v>
      </c>
      <c r="J95" s="15">
        <f t="shared" si="15"/>
        <v>312.14572252111691</v>
      </c>
      <c r="K95" s="1" t="s">
        <v>291</v>
      </c>
      <c r="L95" s="61" t="s">
        <v>292</v>
      </c>
      <c r="M95" t="s">
        <v>293</v>
      </c>
      <c r="N95" s="1" t="s">
        <v>294</v>
      </c>
      <c r="O95" s="62" t="s">
        <v>396</v>
      </c>
      <c r="P95" s="63" t="s">
        <v>28</v>
      </c>
      <c r="Q95" s="64" t="s">
        <v>296</v>
      </c>
      <c r="R95" s="1" t="s">
        <v>297</v>
      </c>
      <c r="S95" s="1" t="s">
        <v>298</v>
      </c>
      <c r="T95" s="1" t="s">
        <v>299</v>
      </c>
      <c r="U95" s="1" t="s">
        <v>385</v>
      </c>
      <c r="V95" s="1">
        <v>188.05</v>
      </c>
      <c r="W95" s="1">
        <v>201.4</v>
      </c>
      <c r="X95" s="1">
        <v>174.7</v>
      </c>
      <c r="Y95" s="1" t="s">
        <v>39</v>
      </c>
      <c r="Z95" s="1" t="s">
        <v>302</v>
      </c>
      <c r="AA95" s="1">
        <v>30.957000000000001</v>
      </c>
      <c r="AB95" s="1">
        <v>110.746</v>
      </c>
      <c r="AC95" s="63" t="s">
        <v>39</v>
      </c>
      <c r="AD95" s="63" t="s">
        <v>39</v>
      </c>
      <c r="AE95" s="63" t="s">
        <v>39</v>
      </c>
      <c r="AF95" s="63" t="s">
        <v>39</v>
      </c>
      <c r="AG95" s="63" t="s">
        <v>39</v>
      </c>
      <c r="AH95" s="1">
        <v>90</v>
      </c>
      <c r="AI95" s="65">
        <v>5</v>
      </c>
      <c r="AJ95" s="65">
        <v>98</v>
      </c>
      <c r="AK95" s="62">
        <v>55.555555555555557</v>
      </c>
      <c r="AL95" s="66">
        <v>4.8543689320388346</v>
      </c>
      <c r="AM95" s="62">
        <v>4.8573970964154798</v>
      </c>
      <c r="AN95" s="66">
        <v>1.0733126291998991</v>
      </c>
      <c r="AO95" s="1" t="s">
        <v>29</v>
      </c>
      <c r="AP95" s="1" t="s">
        <v>472</v>
      </c>
      <c r="AQ95" s="1" t="s">
        <v>473</v>
      </c>
      <c r="AR95" s="1">
        <v>951.32744752413601</v>
      </c>
      <c r="AS95" s="1" t="s">
        <v>451</v>
      </c>
      <c r="AT95" s="1">
        <v>639.1817250030191</v>
      </c>
      <c r="AU95" s="1">
        <v>1263.473170045253</v>
      </c>
      <c r="AV95" s="67" t="s">
        <v>490</v>
      </c>
      <c r="AW95" s="1" t="s">
        <v>494</v>
      </c>
      <c r="AX95" s="1" t="s">
        <v>39</v>
      </c>
    </row>
    <row r="96" spans="1:50" s="1" customFormat="1">
      <c r="A96" s="1" t="s">
        <v>36</v>
      </c>
      <c r="B96" s="1" t="s">
        <v>290</v>
      </c>
      <c r="C96" s="1">
        <v>2020</v>
      </c>
      <c r="D96" s="11" t="str">
        <f t="shared" si="9"/>
        <v>10.1016/j.palaeo.2019.109547</v>
      </c>
      <c r="E96" s="7">
        <f t="shared" si="10"/>
        <v>188050</v>
      </c>
      <c r="F96" s="7">
        <f t="shared" si="11"/>
        <v>13349.999999999995</v>
      </c>
      <c r="G96" s="7">
        <f t="shared" si="12"/>
        <v>13350.000000000022</v>
      </c>
      <c r="H96" s="8">
        <f t="shared" si="13"/>
        <v>910.49923586334637</v>
      </c>
      <c r="I96" s="8">
        <f t="shared" si="14"/>
        <v>223.57858770771338</v>
      </c>
      <c r="J96" s="15">
        <f t="shared" si="15"/>
        <v>223.57858770771338</v>
      </c>
      <c r="K96" s="1" t="s">
        <v>291</v>
      </c>
      <c r="L96" s="61" t="s">
        <v>292</v>
      </c>
      <c r="M96" t="s">
        <v>293</v>
      </c>
      <c r="N96" s="1" t="s">
        <v>294</v>
      </c>
      <c r="O96" s="62" t="s">
        <v>397</v>
      </c>
      <c r="P96" s="63" t="s">
        <v>28</v>
      </c>
      <c r="Q96" s="64" t="s">
        <v>296</v>
      </c>
      <c r="R96" s="1" t="s">
        <v>297</v>
      </c>
      <c r="S96" s="1" t="s">
        <v>298</v>
      </c>
      <c r="T96" s="1" t="s">
        <v>299</v>
      </c>
      <c r="U96" s="1" t="s">
        <v>385</v>
      </c>
      <c r="V96" s="1">
        <v>188.05</v>
      </c>
      <c r="W96" s="1">
        <v>201.4</v>
      </c>
      <c r="X96" s="1">
        <v>174.7</v>
      </c>
      <c r="Y96" s="1" t="s">
        <v>39</v>
      </c>
      <c r="Z96" s="1" t="s">
        <v>302</v>
      </c>
      <c r="AA96" s="1">
        <v>30.957000000000001</v>
      </c>
      <c r="AB96" s="1">
        <v>110.746</v>
      </c>
      <c r="AC96" s="63" t="s">
        <v>39</v>
      </c>
      <c r="AD96" s="63" t="s">
        <v>39</v>
      </c>
      <c r="AE96" s="63" t="s">
        <v>39</v>
      </c>
      <c r="AF96" s="63" t="s">
        <v>39</v>
      </c>
      <c r="AG96" s="63" t="s">
        <v>39</v>
      </c>
      <c r="AH96" s="1">
        <v>90</v>
      </c>
      <c r="AI96" s="65">
        <v>5</v>
      </c>
      <c r="AJ96" s="65">
        <v>95</v>
      </c>
      <c r="AK96" s="62">
        <v>55.555555555555557</v>
      </c>
      <c r="AL96" s="66">
        <v>5</v>
      </c>
      <c r="AM96" s="62">
        <v>4.1573970964154823</v>
      </c>
      <c r="AN96" s="66">
        <v>0.82734515167492217</v>
      </c>
      <c r="AO96" s="1" t="s">
        <v>29</v>
      </c>
      <c r="AP96" s="1" t="s">
        <v>474</v>
      </c>
      <c r="AQ96" s="1" t="s">
        <v>475</v>
      </c>
      <c r="AR96" s="1">
        <v>910.49923586334637</v>
      </c>
      <c r="AS96" s="1" t="s">
        <v>451</v>
      </c>
      <c r="AT96" s="1">
        <v>686.92064815563299</v>
      </c>
      <c r="AU96" s="1">
        <v>1134.0778235710598</v>
      </c>
      <c r="AV96" s="67" t="s">
        <v>490</v>
      </c>
      <c r="AW96" s="1" t="s">
        <v>494</v>
      </c>
      <c r="AX96" s="1" t="s">
        <v>39</v>
      </c>
    </row>
    <row r="97" spans="1:50" s="1" customFormat="1">
      <c r="A97" s="1" t="s">
        <v>36</v>
      </c>
      <c r="B97" s="1" t="s">
        <v>290</v>
      </c>
      <c r="C97" s="1">
        <v>2020</v>
      </c>
      <c r="D97" s="11" t="str">
        <f t="shared" si="9"/>
        <v>10.1016/j.palaeo.2019.109547</v>
      </c>
      <c r="E97" s="7">
        <f t="shared" si="10"/>
        <v>188050</v>
      </c>
      <c r="F97" s="7">
        <f t="shared" si="11"/>
        <v>13349.999999999995</v>
      </c>
      <c r="G97" s="7">
        <f t="shared" si="12"/>
        <v>13350.000000000022</v>
      </c>
      <c r="H97" s="8">
        <f t="shared" si="13"/>
        <v>992.73535661111771</v>
      </c>
      <c r="I97" s="8">
        <f t="shared" si="14"/>
        <v>356.17089683736447</v>
      </c>
      <c r="J97" s="15">
        <f t="shared" si="15"/>
        <v>356.17089683736447</v>
      </c>
      <c r="K97" s="1" t="s">
        <v>291</v>
      </c>
      <c r="L97" s="61" t="s">
        <v>292</v>
      </c>
      <c r="M97" t="s">
        <v>293</v>
      </c>
      <c r="N97" s="1" t="s">
        <v>294</v>
      </c>
      <c r="O97" s="62" t="s">
        <v>398</v>
      </c>
      <c r="P97" s="63" t="s">
        <v>28</v>
      </c>
      <c r="Q97" s="64" t="s">
        <v>296</v>
      </c>
      <c r="R97" s="1" t="s">
        <v>297</v>
      </c>
      <c r="S97" s="1" t="s">
        <v>298</v>
      </c>
      <c r="T97" s="1" t="s">
        <v>299</v>
      </c>
      <c r="U97" s="1" t="s">
        <v>385</v>
      </c>
      <c r="V97" s="1">
        <v>188.05</v>
      </c>
      <c r="W97" s="1">
        <v>201.4</v>
      </c>
      <c r="X97" s="1">
        <v>174.7</v>
      </c>
      <c r="Y97" s="1" t="s">
        <v>39</v>
      </c>
      <c r="Z97" s="1" t="s">
        <v>302</v>
      </c>
      <c r="AA97" s="1">
        <v>30.957000000000001</v>
      </c>
      <c r="AB97" s="1">
        <v>110.746</v>
      </c>
      <c r="AC97" s="63" t="s">
        <v>39</v>
      </c>
      <c r="AD97" s="63" t="s">
        <v>39</v>
      </c>
      <c r="AE97" s="63" t="s">
        <v>39</v>
      </c>
      <c r="AF97" s="63" t="s">
        <v>39</v>
      </c>
      <c r="AG97" s="63" t="s">
        <v>39</v>
      </c>
      <c r="AH97" s="1">
        <v>90</v>
      </c>
      <c r="AI97" s="65">
        <v>5</v>
      </c>
      <c r="AJ97" s="65">
        <v>101</v>
      </c>
      <c r="AK97" s="62">
        <v>55.555555555555557</v>
      </c>
      <c r="AL97" s="66">
        <v>4.716981132075472</v>
      </c>
      <c r="AM97" s="62">
        <v>4.4444444444444633</v>
      </c>
      <c r="AN97" s="66">
        <v>1.1403946685248929</v>
      </c>
      <c r="AO97" s="1" t="s">
        <v>29</v>
      </c>
      <c r="AP97" s="1" t="s">
        <v>476</v>
      </c>
      <c r="AQ97" s="1" t="s">
        <v>477</v>
      </c>
      <c r="AR97" s="1">
        <v>992.73535661111771</v>
      </c>
      <c r="AS97" s="1" t="s">
        <v>451</v>
      </c>
      <c r="AT97" s="1">
        <v>636.56445977375324</v>
      </c>
      <c r="AU97" s="1">
        <v>1348.9062534484822</v>
      </c>
      <c r="AV97" s="67" t="s">
        <v>490</v>
      </c>
      <c r="AW97" s="1" t="s">
        <v>494</v>
      </c>
      <c r="AX97" s="1" t="s">
        <v>39</v>
      </c>
    </row>
    <row r="98" spans="1:50" s="1" customFormat="1">
      <c r="A98" s="1" t="s">
        <v>36</v>
      </c>
      <c r="B98" s="1" t="s">
        <v>290</v>
      </c>
      <c r="C98" s="1">
        <v>2020</v>
      </c>
      <c r="D98" s="11" t="str">
        <f t="shared" si="9"/>
        <v>10.1016/j.palaeo.2019.109547</v>
      </c>
      <c r="E98" s="7">
        <f t="shared" si="10"/>
        <v>188050</v>
      </c>
      <c r="F98" s="7">
        <f t="shared" si="11"/>
        <v>13349.999999999995</v>
      </c>
      <c r="G98" s="7">
        <f t="shared" si="12"/>
        <v>13350.000000000022</v>
      </c>
      <c r="H98" s="8">
        <f t="shared" si="13"/>
        <v>1460.5646651711606</v>
      </c>
      <c r="I98" s="8">
        <f t="shared" si="14"/>
        <v>293.22099794796941</v>
      </c>
      <c r="J98" s="15">
        <f t="shared" si="15"/>
        <v>293.22099794796941</v>
      </c>
      <c r="K98" s="1" t="s">
        <v>291</v>
      </c>
      <c r="L98" s="61" t="s">
        <v>292</v>
      </c>
      <c r="M98" t="s">
        <v>293</v>
      </c>
      <c r="N98" s="1" t="s">
        <v>294</v>
      </c>
      <c r="O98" s="62" t="s">
        <v>399</v>
      </c>
      <c r="P98" s="63" t="s">
        <v>28</v>
      </c>
      <c r="Q98" s="64" t="s">
        <v>296</v>
      </c>
      <c r="R98" s="1" t="s">
        <v>297</v>
      </c>
      <c r="S98" s="1" t="s">
        <v>298</v>
      </c>
      <c r="T98" s="1" t="s">
        <v>299</v>
      </c>
      <c r="U98" s="1" t="s">
        <v>385</v>
      </c>
      <c r="V98" s="1">
        <v>188.05</v>
      </c>
      <c r="W98" s="1">
        <v>201.4</v>
      </c>
      <c r="X98" s="1">
        <v>174.7</v>
      </c>
      <c r="Y98" s="1" t="s">
        <v>39</v>
      </c>
      <c r="Z98" s="1" t="s">
        <v>302</v>
      </c>
      <c r="AA98" s="1">
        <v>30.957000000000001</v>
      </c>
      <c r="AB98" s="1">
        <v>110.746</v>
      </c>
      <c r="AC98" s="63" t="s">
        <v>39</v>
      </c>
      <c r="AD98" s="63" t="s">
        <v>39</v>
      </c>
      <c r="AE98" s="63" t="s">
        <v>39</v>
      </c>
      <c r="AF98" s="63" t="s">
        <v>39</v>
      </c>
      <c r="AG98" s="63" t="s">
        <v>39</v>
      </c>
      <c r="AH98" s="1">
        <v>90</v>
      </c>
      <c r="AI98" s="65">
        <v>4</v>
      </c>
      <c r="AJ98" s="65">
        <v>106</v>
      </c>
      <c r="AK98" s="62">
        <v>44.444444444444443</v>
      </c>
      <c r="AL98" s="66">
        <v>3.6363636363636362</v>
      </c>
      <c r="AM98" s="62">
        <v>5.4444444444444304</v>
      </c>
      <c r="AN98" s="66">
        <v>0.49193495504995377</v>
      </c>
      <c r="AO98" s="1" t="s">
        <v>29</v>
      </c>
      <c r="AP98" s="1" t="s">
        <v>478</v>
      </c>
      <c r="AQ98" s="1" t="s">
        <v>479</v>
      </c>
      <c r="AR98" s="1">
        <v>1460.5646651711606</v>
      </c>
      <c r="AS98" s="1" t="s">
        <v>451</v>
      </c>
      <c r="AT98" s="1">
        <v>1167.3436672231912</v>
      </c>
      <c r="AU98" s="1">
        <v>1753.78566311913</v>
      </c>
      <c r="AV98" s="67" t="s">
        <v>490</v>
      </c>
      <c r="AW98" s="1" t="s">
        <v>494</v>
      </c>
      <c r="AX98" s="1" t="s">
        <v>39</v>
      </c>
    </row>
    <row r="99" spans="1:50" s="1" customFormat="1">
      <c r="A99" s="1" t="s">
        <v>36</v>
      </c>
      <c r="B99" s="1" t="s">
        <v>290</v>
      </c>
      <c r="C99" s="1">
        <v>2020</v>
      </c>
      <c r="D99" s="11" t="str">
        <f t="shared" si="9"/>
        <v>10.1016/j.palaeo.2019.109547</v>
      </c>
      <c r="E99" s="7">
        <f t="shared" si="10"/>
        <v>188050</v>
      </c>
      <c r="F99" s="7">
        <f t="shared" si="11"/>
        <v>13349.999999999995</v>
      </c>
      <c r="G99" s="7">
        <f t="shared" si="12"/>
        <v>13350.000000000022</v>
      </c>
      <c r="H99" s="8">
        <f t="shared" si="13"/>
        <v>967.36211677443112</v>
      </c>
      <c r="I99" s="8">
        <f t="shared" si="14"/>
        <v>180.56372505283821</v>
      </c>
      <c r="J99" s="15">
        <f t="shared" si="15"/>
        <v>180.56372505283832</v>
      </c>
      <c r="K99" s="1" t="s">
        <v>291</v>
      </c>
      <c r="L99" s="61" t="s">
        <v>292</v>
      </c>
      <c r="M99" t="s">
        <v>293</v>
      </c>
      <c r="N99" s="1" t="s">
        <v>294</v>
      </c>
      <c r="O99" s="62" t="s">
        <v>400</v>
      </c>
      <c r="P99" s="63" t="s">
        <v>28</v>
      </c>
      <c r="Q99" s="64" t="s">
        <v>296</v>
      </c>
      <c r="R99" s="1" t="s">
        <v>297</v>
      </c>
      <c r="S99" s="1" t="s">
        <v>298</v>
      </c>
      <c r="T99" s="1" t="s">
        <v>299</v>
      </c>
      <c r="U99" s="1" t="s">
        <v>385</v>
      </c>
      <c r="V99" s="1">
        <v>188.05</v>
      </c>
      <c r="W99" s="1">
        <v>201.4</v>
      </c>
      <c r="X99" s="1">
        <v>174.7</v>
      </c>
      <c r="Y99" s="1" t="s">
        <v>39</v>
      </c>
      <c r="Z99" s="1" t="s">
        <v>302</v>
      </c>
      <c r="AA99" s="1">
        <v>30.957000000000001</v>
      </c>
      <c r="AB99" s="1">
        <v>110.746</v>
      </c>
      <c r="AC99" s="63" t="s">
        <v>39</v>
      </c>
      <c r="AD99" s="63" t="s">
        <v>39</v>
      </c>
      <c r="AE99" s="63" t="s">
        <v>39</v>
      </c>
      <c r="AF99" s="63" t="s">
        <v>39</v>
      </c>
      <c r="AG99" s="63" t="s">
        <v>39</v>
      </c>
      <c r="AH99" s="1">
        <v>90</v>
      </c>
      <c r="AI99" s="65">
        <v>6</v>
      </c>
      <c r="AJ99" s="65">
        <v>119</v>
      </c>
      <c r="AK99" s="62">
        <v>66.666666666666671</v>
      </c>
      <c r="AL99" s="66">
        <v>4.8</v>
      </c>
      <c r="AM99" s="62">
        <v>2.4845199749997202</v>
      </c>
      <c r="AN99" s="66">
        <v>0.60373835392494324</v>
      </c>
      <c r="AO99" s="1" t="s">
        <v>29</v>
      </c>
      <c r="AP99" s="1" t="s">
        <v>480</v>
      </c>
      <c r="AQ99" s="1" t="s">
        <v>481</v>
      </c>
      <c r="AR99" s="1">
        <v>967.36211677443112</v>
      </c>
      <c r="AS99" s="1" t="s">
        <v>451</v>
      </c>
      <c r="AT99" s="1">
        <v>786.79839172159279</v>
      </c>
      <c r="AU99" s="1">
        <v>1147.9258418272693</v>
      </c>
      <c r="AV99" s="67" t="s">
        <v>490</v>
      </c>
      <c r="AW99" s="1" t="s">
        <v>494</v>
      </c>
      <c r="AX99" s="1" t="s">
        <v>39</v>
      </c>
    </row>
    <row r="100" spans="1:50" s="1" customFormat="1">
      <c r="A100" s="1" t="s">
        <v>36</v>
      </c>
      <c r="B100" s="1" t="s">
        <v>290</v>
      </c>
      <c r="C100" s="1">
        <v>2020</v>
      </c>
      <c r="D100" s="11" t="str">
        <f t="shared" si="9"/>
        <v>10.1016/j.palaeo.2019.109547</v>
      </c>
      <c r="E100" s="7">
        <f t="shared" si="10"/>
        <v>188050</v>
      </c>
      <c r="F100" s="7">
        <f t="shared" si="11"/>
        <v>13349.999999999995</v>
      </c>
      <c r="G100" s="7">
        <f t="shared" si="12"/>
        <v>13350.000000000022</v>
      </c>
      <c r="H100" s="8">
        <f t="shared" si="13"/>
        <v>1211.8902699198177</v>
      </c>
      <c r="I100" s="8">
        <f t="shared" si="14"/>
        <v>448.5922603410645</v>
      </c>
      <c r="J100" s="15">
        <f t="shared" si="15"/>
        <v>448.5922603410645</v>
      </c>
      <c r="K100" s="1" t="s">
        <v>291</v>
      </c>
      <c r="L100" s="61" t="s">
        <v>292</v>
      </c>
      <c r="M100" t="s">
        <v>293</v>
      </c>
      <c r="N100" s="1" t="s">
        <v>294</v>
      </c>
      <c r="O100" s="62" t="s">
        <v>401</v>
      </c>
      <c r="P100" s="63" t="s">
        <v>28</v>
      </c>
      <c r="Q100" s="64" t="s">
        <v>296</v>
      </c>
      <c r="R100" s="1" t="s">
        <v>297</v>
      </c>
      <c r="S100" s="1" t="s">
        <v>298</v>
      </c>
      <c r="T100" s="1" t="s">
        <v>299</v>
      </c>
      <c r="U100" s="1" t="s">
        <v>385</v>
      </c>
      <c r="V100" s="1">
        <v>188.05</v>
      </c>
      <c r="W100" s="1">
        <v>201.4</v>
      </c>
      <c r="X100" s="1">
        <v>174.7</v>
      </c>
      <c r="Y100" s="1" t="s">
        <v>39</v>
      </c>
      <c r="Z100" s="1" t="s">
        <v>302</v>
      </c>
      <c r="AA100" s="1">
        <v>30.957000000000001</v>
      </c>
      <c r="AB100" s="1">
        <v>110.746</v>
      </c>
      <c r="AC100" s="63" t="s">
        <v>39</v>
      </c>
      <c r="AD100" s="63" t="s">
        <v>39</v>
      </c>
      <c r="AE100" s="63" t="s">
        <v>39</v>
      </c>
      <c r="AF100" s="63" t="s">
        <v>39</v>
      </c>
      <c r="AG100" s="63" t="s">
        <v>39</v>
      </c>
      <c r="AH100" s="1">
        <v>90</v>
      </c>
      <c r="AI100" s="65">
        <v>4</v>
      </c>
      <c r="AJ100" s="65">
        <v>93</v>
      </c>
      <c r="AK100" s="62">
        <v>44.444444444444443</v>
      </c>
      <c r="AL100" s="66">
        <f>AJ100/(AK100+AJ100)*100</f>
        <v>67.663702506063046</v>
      </c>
      <c r="AM100" s="62">
        <v>3.8788765527462399</v>
      </c>
      <c r="AN100" s="66">
        <v>1.0285912696499033</v>
      </c>
      <c r="AO100" s="1" t="s">
        <v>29</v>
      </c>
      <c r="AP100" s="1" t="s">
        <v>482</v>
      </c>
      <c r="AQ100" s="1" t="s">
        <v>483</v>
      </c>
      <c r="AR100" s="1">
        <v>1211.8902699198177</v>
      </c>
      <c r="AS100" s="1" t="s">
        <v>451</v>
      </c>
      <c r="AT100" s="1">
        <v>763.29800957875318</v>
      </c>
      <c r="AU100" s="1">
        <v>1660.4825302608822</v>
      </c>
      <c r="AV100" s="67" t="s">
        <v>490</v>
      </c>
      <c r="AW100" s="1" t="s">
        <v>494</v>
      </c>
      <c r="AX100" s="1" t="s">
        <v>39</v>
      </c>
    </row>
    <row r="101" spans="1:50" s="1" customFormat="1">
      <c r="A101" s="1" t="s">
        <v>36</v>
      </c>
      <c r="B101" s="1" t="s">
        <v>290</v>
      </c>
      <c r="C101" s="1">
        <v>2020</v>
      </c>
      <c r="D101" s="11" t="str">
        <f t="shared" si="9"/>
        <v>10.1016/j.palaeo.2019.109547</v>
      </c>
      <c r="E101" s="7">
        <f t="shared" si="10"/>
        <v>188050</v>
      </c>
      <c r="F101" s="7">
        <f t="shared" si="11"/>
        <v>13349.999999999995</v>
      </c>
      <c r="G101" s="7">
        <f t="shared" si="12"/>
        <v>13350.000000000022</v>
      </c>
      <c r="H101" s="8">
        <f t="shared" si="13"/>
        <v>951.32744752413601</v>
      </c>
      <c r="I101" s="8">
        <f t="shared" si="14"/>
        <v>318.64875840697346</v>
      </c>
      <c r="J101" s="15">
        <f t="shared" si="15"/>
        <v>318.64875840697346</v>
      </c>
      <c r="K101" s="1" t="s">
        <v>291</v>
      </c>
      <c r="L101" s="61" t="s">
        <v>292</v>
      </c>
      <c r="M101" t="s">
        <v>293</v>
      </c>
      <c r="N101" s="1" t="s">
        <v>294</v>
      </c>
      <c r="O101" s="62" t="s">
        <v>402</v>
      </c>
      <c r="P101" s="63" t="s">
        <v>28</v>
      </c>
      <c r="Q101" s="64" t="s">
        <v>296</v>
      </c>
      <c r="R101" s="1" t="s">
        <v>297</v>
      </c>
      <c r="S101" s="1" t="s">
        <v>298</v>
      </c>
      <c r="T101" s="1" t="s">
        <v>299</v>
      </c>
      <c r="U101" s="1" t="s">
        <v>385</v>
      </c>
      <c r="V101" s="1">
        <v>188.05</v>
      </c>
      <c r="W101" s="1">
        <v>201.4</v>
      </c>
      <c r="X101" s="1">
        <v>174.7</v>
      </c>
      <c r="Y101" s="1" t="s">
        <v>39</v>
      </c>
      <c r="Z101" s="1" t="s">
        <v>302</v>
      </c>
      <c r="AA101" s="1">
        <v>30.957000000000001</v>
      </c>
      <c r="AB101" s="1">
        <v>110.746</v>
      </c>
      <c r="AC101" s="63" t="s">
        <v>39</v>
      </c>
      <c r="AD101" s="63" t="s">
        <v>39</v>
      </c>
      <c r="AE101" s="63" t="s">
        <v>39</v>
      </c>
      <c r="AF101" s="63" t="s">
        <v>39</v>
      </c>
      <c r="AG101" s="63" t="s">
        <v>39</v>
      </c>
      <c r="AH101" s="1">
        <v>90</v>
      </c>
      <c r="AI101" s="65">
        <v>5</v>
      </c>
      <c r="AJ101" s="65">
        <v>98</v>
      </c>
      <c r="AK101" s="62">
        <v>55.555555555555557</v>
      </c>
      <c r="AL101" s="66">
        <f t="shared" ref="AL101:AL103" si="16">AJ101/(AK101+AJ101)*100</f>
        <v>63.820549927641103</v>
      </c>
      <c r="AM101" s="62">
        <v>2.0688765527462398</v>
      </c>
      <c r="AN101" s="66">
        <v>1.0956733089748969</v>
      </c>
      <c r="AO101" s="1" t="s">
        <v>29</v>
      </c>
      <c r="AP101" s="1" t="s">
        <v>484</v>
      </c>
      <c r="AQ101" s="1" t="s">
        <v>485</v>
      </c>
      <c r="AR101" s="1">
        <v>951.32744752413601</v>
      </c>
      <c r="AS101" s="1" t="s">
        <v>451</v>
      </c>
      <c r="AT101" s="1">
        <v>632.67868911716255</v>
      </c>
      <c r="AU101" s="1">
        <v>1269.9762059311095</v>
      </c>
      <c r="AV101" s="67" t="s">
        <v>490</v>
      </c>
      <c r="AW101" s="1" t="s">
        <v>494</v>
      </c>
      <c r="AX101" s="1" t="s">
        <v>39</v>
      </c>
    </row>
    <row r="102" spans="1:50" s="1" customFormat="1">
      <c r="A102" s="1" t="s">
        <v>36</v>
      </c>
      <c r="B102" s="1" t="s">
        <v>290</v>
      </c>
      <c r="C102" s="1">
        <v>2020</v>
      </c>
      <c r="D102" s="11" t="str">
        <f t="shared" si="9"/>
        <v>10.1016/j.palaeo.2019.109547</v>
      </c>
      <c r="E102" s="7">
        <f t="shared" si="10"/>
        <v>188050</v>
      </c>
      <c r="F102" s="7">
        <f t="shared" si="11"/>
        <v>13349.999999999995</v>
      </c>
      <c r="G102" s="7">
        <f t="shared" si="12"/>
        <v>13350.000000000022</v>
      </c>
      <c r="H102" s="8">
        <f t="shared" si="13"/>
        <v>1249.155986778122</v>
      </c>
      <c r="I102" s="8">
        <f t="shared" si="14"/>
        <v>246.21926005849059</v>
      </c>
      <c r="J102" s="15">
        <f t="shared" si="15"/>
        <v>246.21926005849059</v>
      </c>
      <c r="K102" s="1" t="s">
        <v>291</v>
      </c>
      <c r="L102" s="61" t="s">
        <v>292</v>
      </c>
      <c r="M102" t="s">
        <v>293</v>
      </c>
      <c r="N102" s="1" t="s">
        <v>294</v>
      </c>
      <c r="O102" s="62" t="s">
        <v>403</v>
      </c>
      <c r="P102" s="63" t="s">
        <v>28</v>
      </c>
      <c r="Q102" s="64" t="s">
        <v>296</v>
      </c>
      <c r="R102" s="1" t="s">
        <v>297</v>
      </c>
      <c r="S102" s="1" t="s">
        <v>298</v>
      </c>
      <c r="T102" s="1" t="s">
        <v>299</v>
      </c>
      <c r="U102" s="1" t="s">
        <v>385</v>
      </c>
      <c r="V102" s="1">
        <v>188.05</v>
      </c>
      <c r="W102" s="1">
        <v>201.4</v>
      </c>
      <c r="X102" s="1">
        <v>174.7</v>
      </c>
      <c r="Y102" s="1" t="s">
        <v>39</v>
      </c>
      <c r="Z102" s="1" t="s">
        <v>302</v>
      </c>
      <c r="AA102" s="1">
        <v>30.957000000000001</v>
      </c>
      <c r="AB102" s="1">
        <v>110.746</v>
      </c>
      <c r="AC102" s="63" t="s">
        <v>39</v>
      </c>
      <c r="AD102" s="63" t="s">
        <v>39</v>
      </c>
      <c r="AE102" s="63" t="s">
        <v>39</v>
      </c>
      <c r="AF102" s="63" t="s">
        <v>39</v>
      </c>
      <c r="AG102" s="63" t="s">
        <v>39</v>
      </c>
      <c r="AH102" s="1">
        <v>90</v>
      </c>
      <c r="AI102" s="65">
        <v>4</v>
      </c>
      <c r="AJ102" s="65">
        <v>95</v>
      </c>
      <c r="AK102" s="62">
        <v>44.444444444444443</v>
      </c>
      <c r="AL102" s="66">
        <f t="shared" si="16"/>
        <v>68.127490039840637</v>
      </c>
      <c r="AM102" s="62">
        <v>2.8688765527462352</v>
      </c>
      <c r="AN102" s="66">
        <v>0.53665631459994956</v>
      </c>
      <c r="AO102" s="1" t="s">
        <v>29</v>
      </c>
      <c r="AP102" s="1" t="s">
        <v>486</v>
      </c>
      <c r="AQ102" s="1" t="s">
        <v>487</v>
      </c>
      <c r="AR102" s="1">
        <v>1249.155986778122</v>
      </c>
      <c r="AS102" s="1" t="s">
        <v>451</v>
      </c>
      <c r="AT102" s="1">
        <v>1002.9367267196315</v>
      </c>
      <c r="AU102" s="1">
        <v>1495.3752468366126</v>
      </c>
      <c r="AV102" s="67" t="s">
        <v>490</v>
      </c>
      <c r="AW102" s="1" t="s">
        <v>494</v>
      </c>
      <c r="AX102" s="1" t="s">
        <v>39</v>
      </c>
    </row>
    <row r="103" spans="1:50" s="1" customFormat="1">
      <c r="A103" s="1" t="s">
        <v>36</v>
      </c>
      <c r="B103" s="1" t="s">
        <v>290</v>
      </c>
      <c r="C103" s="1">
        <v>2020</v>
      </c>
      <c r="D103" s="11" t="str">
        <f t="shared" si="9"/>
        <v>10.1016/j.palaeo.2019.109547</v>
      </c>
      <c r="E103" s="7">
        <f t="shared" si="10"/>
        <v>188050</v>
      </c>
      <c r="F103" s="7">
        <f t="shared" si="11"/>
        <v>13349.999999999995</v>
      </c>
      <c r="G103" s="7">
        <f t="shared" si="12"/>
        <v>13350.000000000022</v>
      </c>
      <c r="H103" s="8">
        <f t="shared" si="13"/>
        <v>1421.3299192045963</v>
      </c>
      <c r="I103" s="8">
        <f t="shared" si="14"/>
        <v>229.21871337619291</v>
      </c>
      <c r="J103" s="15">
        <f t="shared" si="15"/>
        <v>229.21871337619291</v>
      </c>
      <c r="K103" s="1" t="s">
        <v>291</v>
      </c>
      <c r="L103" s="61" t="s">
        <v>292</v>
      </c>
      <c r="M103" t="s">
        <v>293</v>
      </c>
      <c r="N103" s="1" t="s">
        <v>294</v>
      </c>
      <c r="O103" s="62" t="s">
        <v>404</v>
      </c>
      <c r="P103" s="63" t="s">
        <v>28</v>
      </c>
      <c r="Q103" s="64" t="s">
        <v>296</v>
      </c>
      <c r="R103" s="1" t="s">
        <v>297</v>
      </c>
      <c r="S103" s="1" t="s">
        <v>298</v>
      </c>
      <c r="T103" s="1" t="s">
        <v>299</v>
      </c>
      <c r="U103" s="1" t="s">
        <v>385</v>
      </c>
      <c r="V103" s="1">
        <v>188.05</v>
      </c>
      <c r="W103" s="1">
        <v>201.4</v>
      </c>
      <c r="X103" s="1">
        <v>174.7</v>
      </c>
      <c r="Y103" s="1" t="s">
        <v>39</v>
      </c>
      <c r="Z103" s="1" t="s">
        <v>302</v>
      </c>
      <c r="AA103" s="1">
        <v>30.957000000000001</v>
      </c>
      <c r="AB103" s="1">
        <v>110.746</v>
      </c>
      <c r="AC103" s="63" t="s">
        <v>39</v>
      </c>
      <c r="AD103" s="63" t="s">
        <v>39</v>
      </c>
      <c r="AE103" s="63" t="s">
        <v>39</v>
      </c>
      <c r="AF103" s="63" t="s">
        <v>39</v>
      </c>
      <c r="AG103" s="63" t="s">
        <v>39</v>
      </c>
      <c r="AH103" s="1">
        <v>90</v>
      </c>
      <c r="AI103" s="65">
        <v>4</v>
      </c>
      <c r="AJ103" s="65">
        <v>104</v>
      </c>
      <c r="AK103" s="62">
        <v>44.444444444444443</v>
      </c>
      <c r="AL103" s="66">
        <f t="shared" si="16"/>
        <v>70.05988023952095</v>
      </c>
      <c r="AM103" s="62">
        <v>2.7216552697591001</v>
      </c>
      <c r="AN103" s="66">
        <v>0.40249223594996214</v>
      </c>
      <c r="AO103" s="1" t="s">
        <v>29</v>
      </c>
      <c r="AP103" s="1" t="s">
        <v>488</v>
      </c>
      <c r="AQ103" s="1" t="s">
        <v>489</v>
      </c>
      <c r="AR103" s="1">
        <v>1421.3299192045963</v>
      </c>
      <c r="AS103" s="1" t="s">
        <v>451</v>
      </c>
      <c r="AT103" s="1">
        <v>1192.1112058284034</v>
      </c>
      <c r="AU103" s="1">
        <v>1650.5486325807892</v>
      </c>
      <c r="AV103" s="67" t="s">
        <v>490</v>
      </c>
      <c r="AW103" s="1" t="s">
        <v>494</v>
      </c>
      <c r="AX103" s="1" t="s">
        <v>39</v>
      </c>
    </row>
    <row r="104" spans="1:50" s="1" customFormat="1">
      <c r="A104" s="1" t="s">
        <v>36</v>
      </c>
      <c r="B104" s="1" t="s">
        <v>290</v>
      </c>
      <c r="C104" s="1">
        <v>2020</v>
      </c>
      <c r="D104" s="11" t="str">
        <f t="shared" si="9"/>
        <v>10.1016/j.palaeo.2019.109547</v>
      </c>
      <c r="E104" s="7">
        <f t="shared" si="10"/>
        <v>188050</v>
      </c>
      <c r="F104" s="7">
        <f t="shared" si="11"/>
        <v>13349.999999999995</v>
      </c>
      <c r="G104" s="7">
        <f t="shared" si="12"/>
        <v>13350.000000000022</v>
      </c>
      <c r="H104" s="8">
        <f t="shared" si="13"/>
        <v>1063.0137598980864</v>
      </c>
      <c r="I104" s="8">
        <f t="shared" si="14"/>
        <v>336.7279910512093</v>
      </c>
      <c r="J104" s="15">
        <f t="shared" si="15"/>
        <v>336.72799105120941</v>
      </c>
      <c r="K104" s="1" t="s">
        <v>291</v>
      </c>
      <c r="L104" s="61" t="s">
        <v>292</v>
      </c>
      <c r="M104" t="s">
        <v>293</v>
      </c>
      <c r="N104" s="1" t="s">
        <v>294</v>
      </c>
      <c r="O104" s="62" t="s">
        <v>405</v>
      </c>
      <c r="P104" s="63" t="s">
        <v>28</v>
      </c>
      <c r="Q104" s="64" t="s">
        <v>296</v>
      </c>
      <c r="R104" s="1" t="s">
        <v>297</v>
      </c>
      <c r="S104" s="1" t="s">
        <v>298</v>
      </c>
      <c r="T104" s="1" t="s">
        <v>299</v>
      </c>
      <c r="U104" s="1" t="s">
        <v>406</v>
      </c>
      <c r="V104" s="1">
        <v>188.05</v>
      </c>
      <c r="W104" s="1">
        <v>201.4</v>
      </c>
      <c r="X104" s="1">
        <v>174.7</v>
      </c>
      <c r="Y104" s="1" t="s">
        <v>39</v>
      </c>
      <c r="Z104" s="1" t="s">
        <v>302</v>
      </c>
      <c r="AA104" s="1">
        <v>30.957000000000001</v>
      </c>
      <c r="AB104" s="1">
        <v>110.746</v>
      </c>
      <c r="AC104" s="63" t="s">
        <v>39</v>
      </c>
      <c r="AD104" s="63" t="s">
        <v>39</v>
      </c>
      <c r="AE104" s="63" t="s">
        <v>39</v>
      </c>
      <c r="AF104" s="63" t="s">
        <v>39</v>
      </c>
      <c r="AG104" s="63" t="s">
        <v>39</v>
      </c>
      <c r="AH104" s="1">
        <v>90</v>
      </c>
      <c r="AI104" s="65">
        <v>5</v>
      </c>
      <c r="AJ104" s="65">
        <v>106</v>
      </c>
      <c r="AK104" s="62">
        <v>55.555555555555557</v>
      </c>
      <c r="AL104" s="66">
        <v>4.5045045045045047</v>
      </c>
      <c r="AM104" s="62">
        <v>4.1573970964154929</v>
      </c>
      <c r="AN104" s="66">
        <v>0.96150923032490965</v>
      </c>
      <c r="AO104" s="1" t="s">
        <v>29</v>
      </c>
      <c r="AP104" s="1" t="s">
        <v>449</v>
      </c>
      <c r="AQ104" s="1" t="s">
        <v>450</v>
      </c>
      <c r="AR104" s="1">
        <v>1063.0137598980864</v>
      </c>
      <c r="AS104" s="1" t="s">
        <v>451</v>
      </c>
      <c r="AT104" s="1">
        <v>726.28576884687698</v>
      </c>
      <c r="AU104" s="1">
        <v>1399.7417509492957</v>
      </c>
      <c r="AV104" s="67" t="s">
        <v>490</v>
      </c>
      <c r="AW104" s="1" t="s">
        <v>494</v>
      </c>
      <c r="AX104" s="1" t="s">
        <v>39</v>
      </c>
    </row>
    <row r="105" spans="1:50" s="1" customFormat="1">
      <c r="A105" s="1" t="s">
        <v>36</v>
      </c>
      <c r="B105" s="1" t="s">
        <v>290</v>
      </c>
      <c r="C105" s="1">
        <v>2020</v>
      </c>
      <c r="D105" s="11" t="str">
        <f t="shared" si="9"/>
        <v>10.1016/j.palaeo.2019.109547</v>
      </c>
      <c r="E105" s="7">
        <f t="shared" si="10"/>
        <v>188050</v>
      </c>
      <c r="F105" s="7">
        <f t="shared" si="11"/>
        <v>13349.999999999995</v>
      </c>
      <c r="G105" s="7">
        <f t="shared" si="12"/>
        <v>13350.000000000022</v>
      </c>
      <c r="H105" s="8">
        <f t="shared" si="13"/>
        <v>856.97883360574576</v>
      </c>
      <c r="I105" s="8">
        <f t="shared" si="14"/>
        <v>229.31872459742601</v>
      </c>
      <c r="J105" s="15">
        <f t="shared" si="15"/>
        <v>229.31872459742601</v>
      </c>
      <c r="K105" s="1" t="s">
        <v>291</v>
      </c>
      <c r="L105" s="61" t="s">
        <v>292</v>
      </c>
      <c r="M105" t="s">
        <v>293</v>
      </c>
      <c r="N105" s="1" t="s">
        <v>294</v>
      </c>
      <c r="O105" s="62" t="s">
        <v>407</v>
      </c>
      <c r="P105" s="63" t="s">
        <v>28</v>
      </c>
      <c r="Q105" s="64" t="s">
        <v>296</v>
      </c>
      <c r="R105" s="1" t="s">
        <v>297</v>
      </c>
      <c r="S105" s="1" t="s">
        <v>298</v>
      </c>
      <c r="T105" s="1" t="s">
        <v>299</v>
      </c>
      <c r="U105" s="1" t="s">
        <v>406</v>
      </c>
      <c r="V105" s="1">
        <v>188.05</v>
      </c>
      <c r="W105" s="1">
        <v>201.4</v>
      </c>
      <c r="X105" s="1">
        <v>174.7</v>
      </c>
      <c r="Y105" s="1" t="s">
        <v>39</v>
      </c>
      <c r="Z105" s="1" t="s">
        <v>302</v>
      </c>
      <c r="AA105" s="1">
        <v>30.957000000000001</v>
      </c>
      <c r="AB105" s="1">
        <v>110.746</v>
      </c>
      <c r="AC105" s="63" t="s">
        <v>39</v>
      </c>
      <c r="AD105" s="63" t="s">
        <v>39</v>
      </c>
      <c r="AE105" s="63" t="s">
        <v>39</v>
      </c>
      <c r="AF105" s="63" t="s">
        <v>39</v>
      </c>
      <c r="AG105" s="63" t="s">
        <v>39</v>
      </c>
      <c r="AH105" s="1">
        <v>90</v>
      </c>
      <c r="AI105" s="65">
        <v>5</v>
      </c>
      <c r="AJ105" s="65">
        <v>91</v>
      </c>
      <c r="AK105" s="62">
        <v>55.555555555555557</v>
      </c>
      <c r="AL105" s="66">
        <v>5.2083333333333339</v>
      </c>
      <c r="AM105" s="62">
        <v>3.5621081595687643</v>
      </c>
      <c r="AN105" s="66">
        <v>0.93914855054991164</v>
      </c>
      <c r="AO105" s="1" t="s">
        <v>29</v>
      </c>
      <c r="AP105" s="1" t="s">
        <v>452</v>
      </c>
      <c r="AQ105" s="1" t="s">
        <v>453</v>
      </c>
      <c r="AR105" s="1">
        <v>856.97883360574576</v>
      </c>
      <c r="AS105" s="1" t="s">
        <v>451</v>
      </c>
      <c r="AT105" s="1">
        <v>627.66010900831975</v>
      </c>
      <c r="AU105" s="1">
        <v>1086.2975582031718</v>
      </c>
      <c r="AV105" s="67" t="s">
        <v>490</v>
      </c>
      <c r="AW105" s="1" t="s">
        <v>494</v>
      </c>
      <c r="AX105" s="1" t="s">
        <v>39</v>
      </c>
    </row>
    <row r="106" spans="1:50" s="1" customFormat="1">
      <c r="A106" s="1" t="s">
        <v>36</v>
      </c>
      <c r="B106" s="1" t="s">
        <v>290</v>
      </c>
      <c r="C106" s="1">
        <v>2020</v>
      </c>
      <c r="D106" s="11" t="str">
        <f t="shared" si="9"/>
        <v>10.1016/j.palaeo.2019.109547</v>
      </c>
      <c r="E106" s="7">
        <f t="shared" si="10"/>
        <v>188050</v>
      </c>
      <c r="F106" s="7">
        <f t="shared" si="11"/>
        <v>13349.999999999995</v>
      </c>
      <c r="G106" s="7">
        <f t="shared" si="12"/>
        <v>13350.000000000022</v>
      </c>
      <c r="H106" s="8">
        <f t="shared" si="13"/>
        <v>731.04834053349668</v>
      </c>
      <c r="I106" s="8">
        <f t="shared" si="14"/>
        <v>238.52228096029967</v>
      </c>
      <c r="J106" s="15">
        <f t="shared" si="15"/>
        <v>238.52228096029967</v>
      </c>
      <c r="K106" s="1" t="s">
        <v>291</v>
      </c>
      <c r="L106" s="61" t="s">
        <v>292</v>
      </c>
      <c r="M106" t="s">
        <v>293</v>
      </c>
      <c r="N106" s="1" t="s">
        <v>294</v>
      </c>
      <c r="O106" s="62" t="s">
        <v>408</v>
      </c>
      <c r="P106" s="63" t="s">
        <v>28</v>
      </c>
      <c r="Q106" s="64" t="s">
        <v>296</v>
      </c>
      <c r="R106" s="1" t="s">
        <v>297</v>
      </c>
      <c r="S106" s="1" t="s">
        <v>298</v>
      </c>
      <c r="T106" s="1" t="s">
        <v>299</v>
      </c>
      <c r="U106" s="1" t="s">
        <v>406</v>
      </c>
      <c r="V106" s="1">
        <v>188.05</v>
      </c>
      <c r="W106" s="1">
        <v>201.4</v>
      </c>
      <c r="X106" s="1">
        <v>174.7</v>
      </c>
      <c r="Y106" s="1" t="s">
        <v>39</v>
      </c>
      <c r="Z106" s="1" t="s">
        <v>302</v>
      </c>
      <c r="AA106" s="1">
        <v>30.957000000000001</v>
      </c>
      <c r="AB106" s="1">
        <v>110.746</v>
      </c>
      <c r="AC106" s="63" t="s">
        <v>39</v>
      </c>
      <c r="AD106" s="63" t="s">
        <v>39</v>
      </c>
      <c r="AE106" s="63" t="s">
        <v>39</v>
      </c>
      <c r="AF106" s="63" t="s">
        <v>39</v>
      </c>
      <c r="AG106" s="63" t="s">
        <v>39</v>
      </c>
      <c r="AH106" s="1">
        <v>90</v>
      </c>
      <c r="AI106" s="65">
        <v>4</v>
      </c>
      <c r="AJ106" s="65">
        <v>65</v>
      </c>
      <c r="AK106" s="62">
        <v>44.444444444444443</v>
      </c>
      <c r="AL106" s="66">
        <v>5.7971014492753623</v>
      </c>
      <c r="AM106" s="62">
        <v>4.1573970964155036</v>
      </c>
      <c r="AN106" s="66">
        <v>1.27455874717488</v>
      </c>
      <c r="AO106" s="1" t="s">
        <v>29</v>
      </c>
      <c r="AP106" s="1" t="s">
        <v>454</v>
      </c>
      <c r="AQ106" s="1" t="s">
        <v>455</v>
      </c>
      <c r="AR106" s="1">
        <v>731.04834053349668</v>
      </c>
      <c r="AS106" s="1" t="s">
        <v>451</v>
      </c>
      <c r="AT106" s="1">
        <v>492.52605957319702</v>
      </c>
      <c r="AU106" s="1">
        <v>969.57062149379635</v>
      </c>
      <c r="AV106" s="67" t="s">
        <v>490</v>
      </c>
      <c r="AW106" s="1" t="s">
        <v>494</v>
      </c>
      <c r="AX106" s="1" t="s">
        <v>39</v>
      </c>
    </row>
    <row r="107" spans="1:50" s="1" customFormat="1">
      <c r="A107" s="1" t="s">
        <v>36</v>
      </c>
      <c r="B107" s="1" t="s">
        <v>290</v>
      </c>
      <c r="C107" s="1">
        <v>2020</v>
      </c>
      <c r="D107" s="11" t="str">
        <f t="shared" si="9"/>
        <v>10.1016/j.palaeo.2019.109547</v>
      </c>
      <c r="E107" s="7">
        <f t="shared" si="10"/>
        <v>188050</v>
      </c>
      <c r="F107" s="7">
        <f t="shared" si="11"/>
        <v>13349.999999999995</v>
      </c>
      <c r="G107" s="7">
        <f t="shared" si="12"/>
        <v>13350.000000000022</v>
      </c>
      <c r="H107" s="8">
        <f t="shared" si="13"/>
        <v>893.66067693505602</v>
      </c>
      <c r="I107" s="8">
        <f t="shared" si="14"/>
        <v>111.27875356051163</v>
      </c>
      <c r="J107" s="15">
        <f t="shared" si="15"/>
        <v>111.27875356051163</v>
      </c>
      <c r="K107" s="1" t="s">
        <v>291</v>
      </c>
      <c r="L107" s="61" t="s">
        <v>292</v>
      </c>
      <c r="M107" t="s">
        <v>293</v>
      </c>
      <c r="N107" s="1" t="s">
        <v>294</v>
      </c>
      <c r="O107" s="62" t="s">
        <v>409</v>
      </c>
      <c r="P107" s="63" t="s">
        <v>28</v>
      </c>
      <c r="Q107" s="64" t="s">
        <v>296</v>
      </c>
      <c r="R107" s="1" t="s">
        <v>297</v>
      </c>
      <c r="S107" s="1" t="s">
        <v>298</v>
      </c>
      <c r="T107" s="1" t="s">
        <v>299</v>
      </c>
      <c r="U107" s="1" t="s">
        <v>406</v>
      </c>
      <c r="V107" s="1">
        <v>188.05</v>
      </c>
      <c r="W107" s="1">
        <v>201.4</v>
      </c>
      <c r="X107" s="1">
        <v>174.7</v>
      </c>
      <c r="Y107" s="1" t="s">
        <v>39</v>
      </c>
      <c r="Z107" s="1" t="s">
        <v>302</v>
      </c>
      <c r="AA107" s="1">
        <v>30.957000000000001</v>
      </c>
      <c r="AB107" s="1">
        <v>110.746</v>
      </c>
      <c r="AC107" s="63" t="s">
        <v>39</v>
      </c>
      <c r="AD107" s="63" t="s">
        <v>39</v>
      </c>
      <c r="AE107" s="63" t="s">
        <v>39</v>
      </c>
      <c r="AF107" s="63" t="s">
        <v>39</v>
      </c>
      <c r="AG107" s="63" t="s">
        <v>39</v>
      </c>
      <c r="AH107" s="1">
        <v>90</v>
      </c>
      <c r="AI107" s="65">
        <v>4</v>
      </c>
      <c r="AJ107" s="65">
        <v>75</v>
      </c>
      <c r="AK107" s="62">
        <v>44.444444444444443</v>
      </c>
      <c r="AL107" s="66">
        <v>5.0632911392405067</v>
      </c>
      <c r="AM107" s="62">
        <v>3.333333333333321</v>
      </c>
      <c r="AN107" s="66">
        <v>0.42485291572496009</v>
      </c>
      <c r="AO107" s="1" t="s">
        <v>29</v>
      </c>
      <c r="AP107" s="1" t="s">
        <v>456</v>
      </c>
      <c r="AQ107" s="1" t="s">
        <v>457</v>
      </c>
      <c r="AR107" s="1">
        <v>893.66067693505602</v>
      </c>
      <c r="AS107" s="1" t="s">
        <v>451</v>
      </c>
      <c r="AT107" s="1">
        <v>782.38192337454439</v>
      </c>
      <c r="AU107" s="1">
        <v>1004.9394304955676</v>
      </c>
      <c r="AV107" s="67" t="s">
        <v>490</v>
      </c>
      <c r="AW107" s="1" t="s">
        <v>494</v>
      </c>
      <c r="AX107" s="1" t="s">
        <v>39</v>
      </c>
    </row>
    <row r="108" spans="1:50" s="1" customFormat="1">
      <c r="A108" s="1" t="s">
        <v>36</v>
      </c>
      <c r="B108" s="1" t="s">
        <v>290</v>
      </c>
      <c r="C108" s="1">
        <v>2020</v>
      </c>
      <c r="D108" s="11" t="str">
        <f t="shared" si="9"/>
        <v>10.1016/j.palaeo.2019.109547</v>
      </c>
      <c r="E108" s="7">
        <f t="shared" si="10"/>
        <v>188050</v>
      </c>
      <c r="F108" s="7">
        <f t="shared" si="11"/>
        <v>13349.999999999995</v>
      </c>
      <c r="G108" s="7">
        <f t="shared" si="12"/>
        <v>13350.000000000022</v>
      </c>
      <c r="H108" s="8">
        <f t="shared" si="13"/>
        <v>1716.9761630948669</v>
      </c>
      <c r="I108" s="8">
        <f t="shared" si="14"/>
        <v>926.03118282861033</v>
      </c>
      <c r="J108" s="15">
        <f t="shared" si="15"/>
        <v>926.03118282861021</v>
      </c>
      <c r="K108" s="1" t="s">
        <v>291</v>
      </c>
      <c r="L108" s="61" t="s">
        <v>292</v>
      </c>
      <c r="M108" t="s">
        <v>293</v>
      </c>
      <c r="N108" s="1" t="s">
        <v>294</v>
      </c>
      <c r="O108" s="62" t="s">
        <v>410</v>
      </c>
      <c r="P108" s="63" t="s">
        <v>28</v>
      </c>
      <c r="Q108" s="64" t="s">
        <v>296</v>
      </c>
      <c r="R108" s="1" t="s">
        <v>297</v>
      </c>
      <c r="S108" s="1" t="s">
        <v>298</v>
      </c>
      <c r="T108" s="1" t="s">
        <v>299</v>
      </c>
      <c r="U108" s="1" t="s">
        <v>406</v>
      </c>
      <c r="V108" s="1">
        <v>188.05</v>
      </c>
      <c r="W108" s="1">
        <v>201.4</v>
      </c>
      <c r="X108" s="1">
        <v>174.7</v>
      </c>
      <c r="Y108" s="1" t="s">
        <v>39</v>
      </c>
      <c r="Z108" s="1" t="s">
        <v>302</v>
      </c>
      <c r="AA108" s="1">
        <v>30.957000000000001</v>
      </c>
      <c r="AB108" s="1">
        <v>110.746</v>
      </c>
      <c r="AC108" s="63" t="s">
        <v>39</v>
      </c>
      <c r="AD108" s="63" t="s">
        <v>39</v>
      </c>
      <c r="AE108" s="63" t="s">
        <v>39</v>
      </c>
      <c r="AF108" s="63" t="s">
        <v>39</v>
      </c>
      <c r="AG108" s="63" t="s">
        <v>39</v>
      </c>
      <c r="AH108" s="1">
        <v>90</v>
      </c>
      <c r="AI108" s="65">
        <v>3</v>
      </c>
      <c r="AJ108" s="65">
        <v>89</v>
      </c>
      <c r="AK108" s="62">
        <v>33.333333333333336</v>
      </c>
      <c r="AL108" s="66">
        <v>3.2608695652173911</v>
      </c>
      <c r="AM108" s="62">
        <v>4.4444444444444535</v>
      </c>
      <c r="AN108" s="66">
        <v>1.1851160280748887</v>
      </c>
      <c r="AO108" s="1" t="s">
        <v>29</v>
      </c>
      <c r="AP108" s="1" t="s">
        <v>458</v>
      </c>
      <c r="AQ108" s="1" t="s">
        <v>459</v>
      </c>
      <c r="AR108" s="1">
        <v>1716.9761630948669</v>
      </c>
      <c r="AS108" s="1" t="s">
        <v>451</v>
      </c>
      <c r="AT108" s="1">
        <v>790.94498026625672</v>
      </c>
      <c r="AU108" s="1">
        <v>2643.0073459234773</v>
      </c>
      <c r="AV108" s="67" t="s">
        <v>490</v>
      </c>
      <c r="AW108" s="1" t="s">
        <v>494</v>
      </c>
      <c r="AX108" s="1" t="s">
        <v>39</v>
      </c>
    </row>
    <row r="109" spans="1:50" s="1" customFormat="1">
      <c r="A109" s="1" t="s">
        <v>36</v>
      </c>
      <c r="B109" s="1" t="s">
        <v>290</v>
      </c>
      <c r="C109" s="1">
        <v>2020</v>
      </c>
      <c r="D109" s="11" t="str">
        <f t="shared" si="9"/>
        <v>10.1016/j.palaeo.2019.109547</v>
      </c>
      <c r="E109" s="7">
        <f t="shared" si="10"/>
        <v>188050</v>
      </c>
      <c r="F109" s="7">
        <f t="shared" si="11"/>
        <v>13349.999999999995</v>
      </c>
      <c r="G109" s="7">
        <f t="shared" si="12"/>
        <v>13350.000000000022</v>
      </c>
      <c r="H109" s="8">
        <f t="shared" si="13"/>
        <v>547.70533990995887</v>
      </c>
      <c r="I109" s="8">
        <f t="shared" si="14"/>
        <v>59.358382586935477</v>
      </c>
      <c r="J109" s="15">
        <f t="shared" si="15"/>
        <v>59.358382586935534</v>
      </c>
      <c r="K109" s="1" t="s">
        <v>291</v>
      </c>
      <c r="L109" s="61" t="s">
        <v>292</v>
      </c>
      <c r="M109" t="s">
        <v>293</v>
      </c>
      <c r="N109" s="1" t="s">
        <v>294</v>
      </c>
      <c r="O109" s="62" t="s">
        <v>411</v>
      </c>
      <c r="P109" s="63" t="s">
        <v>28</v>
      </c>
      <c r="Q109" s="64" t="s">
        <v>296</v>
      </c>
      <c r="R109" s="1" t="s">
        <v>297</v>
      </c>
      <c r="S109" s="1" t="s">
        <v>298</v>
      </c>
      <c r="T109" s="1" t="s">
        <v>299</v>
      </c>
      <c r="U109" s="1" t="s">
        <v>406</v>
      </c>
      <c r="V109" s="1">
        <v>188.05</v>
      </c>
      <c r="W109" s="1">
        <v>201.4</v>
      </c>
      <c r="X109" s="1">
        <v>174.7</v>
      </c>
      <c r="Y109" s="1" t="s">
        <v>39</v>
      </c>
      <c r="Z109" s="1" t="s">
        <v>302</v>
      </c>
      <c r="AA109" s="1">
        <v>30.957000000000001</v>
      </c>
      <c r="AB109" s="1">
        <v>110.746</v>
      </c>
      <c r="AC109" s="63" t="s">
        <v>39</v>
      </c>
      <c r="AD109" s="63" t="s">
        <v>39</v>
      </c>
      <c r="AE109" s="63" t="s">
        <v>39</v>
      </c>
      <c r="AF109" s="63" t="s">
        <v>39</v>
      </c>
      <c r="AG109" s="63" t="s">
        <v>39</v>
      </c>
      <c r="AH109" s="1">
        <v>90</v>
      </c>
      <c r="AI109" s="65">
        <v>5</v>
      </c>
      <c r="AJ109" s="65">
        <v>66</v>
      </c>
      <c r="AK109" s="62">
        <v>55.555555555555557</v>
      </c>
      <c r="AL109" s="66">
        <v>7.042253521126761</v>
      </c>
      <c r="AM109" s="62">
        <v>2.2222222222222228</v>
      </c>
      <c r="AN109" s="66">
        <v>0.51429563482495166</v>
      </c>
      <c r="AO109" s="1" t="s">
        <v>29</v>
      </c>
      <c r="AP109" s="1" t="s">
        <v>460</v>
      </c>
      <c r="AQ109" s="1" t="s">
        <v>461</v>
      </c>
      <c r="AR109" s="1">
        <v>547.70533990995887</v>
      </c>
      <c r="AS109" s="1" t="s">
        <v>451</v>
      </c>
      <c r="AT109" s="1">
        <v>488.34695732302333</v>
      </c>
      <c r="AU109" s="1">
        <v>607.06372249689434</v>
      </c>
      <c r="AV109" s="67" t="s">
        <v>490</v>
      </c>
      <c r="AW109" s="1" t="s">
        <v>494</v>
      </c>
      <c r="AX109" s="1" t="s">
        <v>39</v>
      </c>
    </row>
    <row r="110" spans="1:50" s="1" customFormat="1">
      <c r="A110" s="1" t="s">
        <v>36</v>
      </c>
      <c r="B110" s="1" t="s">
        <v>290</v>
      </c>
      <c r="C110" s="1">
        <v>2020</v>
      </c>
      <c r="D110" s="11" t="str">
        <f t="shared" si="9"/>
        <v>10.1016/j.palaeo.2019.109547</v>
      </c>
      <c r="E110" s="7">
        <f t="shared" si="10"/>
        <v>188050</v>
      </c>
      <c r="F110" s="7">
        <f t="shared" si="11"/>
        <v>13349.999999999995</v>
      </c>
      <c r="G110" s="7">
        <f t="shared" si="12"/>
        <v>13350.000000000022</v>
      </c>
      <c r="H110" s="8">
        <f t="shared" si="13"/>
        <v>629.72070942558787</v>
      </c>
      <c r="I110" s="8">
        <f t="shared" si="14"/>
        <v>114.09313715778183</v>
      </c>
      <c r="J110" s="15">
        <f t="shared" si="15"/>
        <v>114.09313715778183</v>
      </c>
      <c r="K110" s="1" t="s">
        <v>291</v>
      </c>
      <c r="L110" s="61" t="s">
        <v>292</v>
      </c>
      <c r="M110" t="s">
        <v>293</v>
      </c>
      <c r="N110" s="1" t="s">
        <v>294</v>
      </c>
      <c r="O110" s="62" t="s">
        <v>412</v>
      </c>
      <c r="P110" s="63" t="s">
        <v>28</v>
      </c>
      <c r="Q110" s="64" t="s">
        <v>296</v>
      </c>
      <c r="R110" s="1" t="s">
        <v>297</v>
      </c>
      <c r="S110" s="1" t="s">
        <v>298</v>
      </c>
      <c r="T110" s="1" t="s">
        <v>299</v>
      </c>
      <c r="U110" s="1" t="s">
        <v>406</v>
      </c>
      <c r="V110" s="1">
        <v>188.05</v>
      </c>
      <c r="W110" s="1">
        <v>201.4</v>
      </c>
      <c r="X110" s="1">
        <v>174.7</v>
      </c>
      <c r="Y110" s="1" t="s">
        <v>39</v>
      </c>
      <c r="Z110" s="1" t="s">
        <v>302</v>
      </c>
      <c r="AA110" s="1">
        <v>30.957000000000001</v>
      </c>
      <c r="AB110" s="1">
        <v>110.746</v>
      </c>
      <c r="AC110" s="63" t="s">
        <v>39</v>
      </c>
      <c r="AD110" s="63" t="s">
        <v>39</v>
      </c>
      <c r="AE110" s="63" t="s">
        <v>39</v>
      </c>
      <c r="AF110" s="63" t="s">
        <v>39</v>
      </c>
      <c r="AG110" s="63" t="s">
        <v>39</v>
      </c>
      <c r="AH110" s="1">
        <v>90</v>
      </c>
      <c r="AI110" s="65">
        <v>5</v>
      </c>
      <c r="AJ110" s="65">
        <v>73</v>
      </c>
      <c r="AK110" s="62">
        <v>55.555555555555557</v>
      </c>
      <c r="AL110" s="66">
        <v>6.4102564102564097</v>
      </c>
      <c r="AM110" s="62">
        <v>3.5136418446315458</v>
      </c>
      <c r="AN110" s="66">
        <v>0.78262379212492639</v>
      </c>
      <c r="AO110" s="1" t="s">
        <v>29</v>
      </c>
      <c r="AP110" s="1" t="s">
        <v>462</v>
      </c>
      <c r="AQ110" s="1" t="s">
        <v>463</v>
      </c>
      <c r="AR110" s="1">
        <v>629.72070942558787</v>
      </c>
      <c r="AS110" s="1" t="s">
        <v>451</v>
      </c>
      <c r="AT110" s="1">
        <v>515.62757226780604</v>
      </c>
      <c r="AU110" s="1">
        <v>743.8138465833697</v>
      </c>
      <c r="AV110" s="67" t="s">
        <v>490</v>
      </c>
      <c r="AW110" s="1" t="s">
        <v>494</v>
      </c>
      <c r="AX110" s="1" t="s">
        <v>39</v>
      </c>
    </row>
    <row r="111" spans="1:50" s="1" customFormat="1">
      <c r="A111" s="1" t="s">
        <v>36</v>
      </c>
      <c r="B111" s="1" t="s">
        <v>290</v>
      </c>
      <c r="C111" s="1">
        <v>2020</v>
      </c>
      <c r="D111" s="11" t="str">
        <f t="shared" si="9"/>
        <v>10.1016/j.palaeo.2019.109547</v>
      </c>
      <c r="E111" s="7">
        <f t="shared" si="10"/>
        <v>188050</v>
      </c>
      <c r="F111" s="7">
        <f t="shared" si="11"/>
        <v>13349.999999999995</v>
      </c>
      <c r="G111" s="7">
        <f t="shared" si="12"/>
        <v>13350.000000000022</v>
      </c>
      <c r="H111" s="8">
        <f t="shared" si="13"/>
        <v>547.70533990995887</v>
      </c>
      <c r="I111" s="8">
        <f t="shared" si="14"/>
        <v>123.87836365969156</v>
      </c>
      <c r="J111" s="15">
        <f t="shared" si="15"/>
        <v>123.87836365969156</v>
      </c>
      <c r="K111" s="1" t="s">
        <v>291</v>
      </c>
      <c r="L111" s="61" t="s">
        <v>292</v>
      </c>
      <c r="M111" t="s">
        <v>293</v>
      </c>
      <c r="N111" s="1" t="s">
        <v>294</v>
      </c>
      <c r="O111" s="62" t="s">
        <v>413</v>
      </c>
      <c r="P111" s="63" t="s">
        <v>28</v>
      </c>
      <c r="Q111" s="64" t="s">
        <v>296</v>
      </c>
      <c r="R111" s="1" t="s">
        <v>297</v>
      </c>
      <c r="S111" s="1" t="s">
        <v>298</v>
      </c>
      <c r="T111" s="1" t="s">
        <v>299</v>
      </c>
      <c r="U111" s="1" t="s">
        <v>406</v>
      </c>
      <c r="V111" s="1">
        <v>188.05</v>
      </c>
      <c r="W111" s="1">
        <v>201.4</v>
      </c>
      <c r="X111" s="1">
        <v>174.7</v>
      </c>
      <c r="Y111" s="1" t="s">
        <v>39</v>
      </c>
      <c r="Z111" s="1" t="s">
        <v>302</v>
      </c>
      <c r="AA111" s="1">
        <v>30.957000000000001</v>
      </c>
      <c r="AB111" s="1">
        <v>110.746</v>
      </c>
      <c r="AC111" s="63" t="s">
        <v>39</v>
      </c>
      <c r="AD111" s="63" t="s">
        <v>39</v>
      </c>
      <c r="AE111" s="63" t="s">
        <v>39</v>
      </c>
      <c r="AF111" s="63" t="s">
        <v>39</v>
      </c>
      <c r="AG111" s="63" t="s">
        <v>39</v>
      </c>
      <c r="AH111" s="1">
        <v>90</v>
      </c>
      <c r="AI111" s="65">
        <v>5</v>
      </c>
      <c r="AJ111" s="65">
        <v>66</v>
      </c>
      <c r="AK111" s="62">
        <v>55.555555555555557</v>
      </c>
      <c r="AL111" s="66">
        <v>7.042253521126761</v>
      </c>
      <c r="AM111" s="62">
        <v>5.6655772373253068</v>
      </c>
      <c r="AN111" s="66">
        <v>1.0733126291998991</v>
      </c>
      <c r="AO111" s="1" t="s">
        <v>29</v>
      </c>
      <c r="AP111" s="1" t="s">
        <v>464</v>
      </c>
      <c r="AQ111" s="1" t="s">
        <v>465</v>
      </c>
      <c r="AR111" s="1">
        <v>547.70533990995887</v>
      </c>
      <c r="AS111" s="1" t="s">
        <v>451</v>
      </c>
      <c r="AT111" s="1">
        <v>423.82697625026731</v>
      </c>
      <c r="AU111" s="1">
        <v>671.58370356965042</v>
      </c>
      <c r="AV111" s="67" t="s">
        <v>490</v>
      </c>
      <c r="AW111" s="1" t="s">
        <v>494</v>
      </c>
      <c r="AX111" s="1" t="s">
        <v>39</v>
      </c>
    </row>
    <row r="112" spans="1:50" s="1" customFormat="1">
      <c r="A112" s="1" t="s">
        <v>36</v>
      </c>
      <c r="B112" s="1" t="s">
        <v>290</v>
      </c>
      <c r="C112" s="1">
        <v>2020</v>
      </c>
      <c r="D112" s="11" t="str">
        <f t="shared" si="9"/>
        <v>10.1016/j.palaeo.2019.109547</v>
      </c>
      <c r="E112" s="7">
        <f t="shared" si="10"/>
        <v>188050</v>
      </c>
      <c r="F112" s="7">
        <f t="shared" si="11"/>
        <v>13349.999999999995</v>
      </c>
      <c r="G112" s="7">
        <f t="shared" si="12"/>
        <v>13350.000000000022</v>
      </c>
      <c r="H112" s="8">
        <f t="shared" si="13"/>
        <v>978.86884335975788</v>
      </c>
      <c r="I112" s="8">
        <f t="shared" si="14"/>
        <v>252.38551574294775</v>
      </c>
      <c r="J112" s="15">
        <f t="shared" si="15"/>
        <v>252.38551574294775</v>
      </c>
      <c r="K112" s="1" t="s">
        <v>291</v>
      </c>
      <c r="L112" s="61" t="s">
        <v>292</v>
      </c>
      <c r="M112" t="s">
        <v>293</v>
      </c>
      <c r="N112" s="1" t="s">
        <v>294</v>
      </c>
      <c r="O112" s="62" t="s">
        <v>414</v>
      </c>
      <c r="P112" s="63" t="s">
        <v>28</v>
      </c>
      <c r="Q112" s="64" t="s">
        <v>296</v>
      </c>
      <c r="R112" s="1" t="s">
        <v>297</v>
      </c>
      <c r="S112" s="1" t="s">
        <v>298</v>
      </c>
      <c r="T112" s="1" t="s">
        <v>299</v>
      </c>
      <c r="U112" s="1" t="s">
        <v>406</v>
      </c>
      <c r="V112" s="1">
        <v>188.05</v>
      </c>
      <c r="W112" s="1">
        <v>201.4</v>
      </c>
      <c r="X112" s="1">
        <v>174.7</v>
      </c>
      <c r="Y112" s="1" t="s">
        <v>39</v>
      </c>
      <c r="Z112" s="1" t="s">
        <v>302</v>
      </c>
      <c r="AA112" s="1">
        <v>30.957000000000001</v>
      </c>
      <c r="AB112" s="1">
        <v>110.746</v>
      </c>
      <c r="AC112" s="63" t="s">
        <v>39</v>
      </c>
      <c r="AD112" s="63" t="s">
        <v>39</v>
      </c>
      <c r="AE112" s="63" t="s">
        <v>39</v>
      </c>
      <c r="AF112" s="63" t="s">
        <v>39</v>
      </c>
      <c r="AG112" s="63" t="s">
        <v>39</v>
      </c>
      <c r="AH112" s="1">
        <v>90</v>
      </c>
      <c r="AI112" s="65">
        <v>4</v>
      </c>
      <c r="AJ112" s="65">
        <v>80</v>
      </c>
      <c r="AK112" s="62">
        <v>44.444444444444443</v>
      </c>
      <c r="AL112" s="66">
        <v>4.7619047619047619</v>
      </c>
      <c r="AM112" s="62">
        <v>2.2222222222222228</v>
      </c>
      <c r="AN112" s="66">
        <v>0.82734515167492217</v>
      </c>
      <c r="AO112" s="1" t="s">
        <v>29</v>
      </c>
      <c r="AP112" s="1" t="s">
        <v>466</v>
      </c>
      <c r="AQ112" s="1" t="s">
        <v>467</v>
      </c>
      <c r="AR112" s="1">
        <v>978.86884335975788</v>
      </c>
      <c r="AS112" s="1" t="s">
        <v>451</v>
      </c>
      <c r="AT112" s="1">
        <v>726.48332761681013</v>
      </c>
      <c r="AU112" s="1">
        <v>1231.2543591027056</v>
      </c>
      <c r="AV112" s="67" t="s">
        <v>490</v>
      </c>
      <c r="AW112" s="1" t="s">
        <v>494</v>
      </c>
      <c r="AX112" s="1" t="s">
        <v>39</v>
      </c>
    </row>
    <row r="113" spans="1:50" s="1" customFormat="1">
      <c r="A113" s="1" t="s">
        <v>36</v>
      </c>
      <c r="B113" s="1" t="s">
        <v>290</v>
      </c>
      <c r="C113" s="1">
        <v>2020</v>
      </c>
      <c r="D113" s="11" t="str">
        <f t="shared" si="9"/>
        <v>10.1016/j.palaeo.2019.109547</v>
      </c>
      <c r="E113" s="7">
        <f t="shared" si="10"/>
        <v>188050</v>
      </c>
      <c r="F113" s="7">
        <f t="shared" si="11"/>
        <v>13349.999999999995</v>
      </c>
      <c r="G113" s="7">
        <f t="shared" si="12"/>
        <v>13350.000000000022</v>
      </c>
      <c r="H113" s="8">
        <f t="shared" si="13"/>
        <v>678.23366475749356</v>
      </c>
      <c r="I113" s="8">
        <f t="shared" si="14"/>
        <v>107.03851903417865</v>
      </c>
      <c r="J113" s="15">
        <f t="shared" si="15"/>
        <v>107.03851903417865</v>
      </c>
      <c r="K113" s="1" t="s">
        <v>291</v>
      </c>
      <c r="L113" s="61" t="s">
        <v>292</v>
      </c>
      <c r="M113" t="s">
        <v>293</v>
      </c>
      <c r="N113" s="1" t="s">
        <v>294</v>
      </c>
      <c r="O113" s="62" t="s">
        <v>415</v>
      </c>
      <c r="P113" s="63" t="s">
        <v>28</v>
      </c>
      <c r="Q113" s="64" t="s">
        <v>296</v>
      </c>
      <c r="R113" s="1" t="s">
        <v>297</v>
      </c>
      <c r="S113" s="1" t="s">
        <v>298</v>
      </c>
      <c r="T113" s="1" t="s">
        <v>299</v>
      </c>
      <c r="U113" s="1" t="s">
        <v>406</v>
      </c>
      <c r="V113" s="1">
        <v>188.05</v>
      </c>
      <c r="W113" s="1">
        <v>201.4</v>
      </c>
      <c r="X113" s="1">
        <v>174.7</v>
      </c>
      <c r="Y113" s="1" t="s">
        <v>39</v>
      </c>
      <c r="Z113" s="1" t="s">
        <v>302</v>
      </c>
      <c r="AA113" s="1">
        <v>30.957000000000001</v>
      </c>
      <c r="AB113" s="1">
        <v>110.746</v>
      </c>
      <c r="AC113" s="63" t="s">
        <v>39</v>
      </c>
      <c r="AD113" s="63" t="s">
        <v>39</v>
      </c>
      <c r="AE113" s="63" t="s">
        <v>39</v>
      </c>
      <c r="AF113" s="63" t="s">
        <v>39</v>
      </c>
      <c r="AG113" s="63" t="s">
        <v>39</v>
      </c>
      <c r="AH113" s="1">
        <v>90</v>
      </c>
      <c r="AI113" s="65">
        <v>5</v>
      </c>
      <c r="AJ113" s="65">
        <v>77</v>
      </c>
      <c r="AK113" s="62">
        <v>55.555555555555557</v>
      </c>
      <c r="AL113" s="66">
        <v>6.0975609756097562</v>
      </c>
      <c r="AM113" s="62">
        <v>5.6655772373253068</v>
      </c>
      <c r="AN113" s="66">
        <v>0.64845971347493903</v>
      </c>
      <c r="AO113" s="1" t="s">
        <v>29</v>
      </c>
      <c r="AP113" s="1" t="s">
        <v>468</v>
      </c>
      <c r="AQ113" s="1" t="s">
        <v>469</v>
      </c>
      <c r="AR113" s="1">
        <v>678.23366475749356</v>
      </c>
      <c r="AS113" s="1" t="s">
        <v>451</v>
      </c>
      <c r="AT113" s="1">
        <v>571.19514572331491</v>
      </c>
      <c r="AU113" s="1">
        <v>785.27218379167221</v>
      </c>
      <c r="AV113" s="67" t="s">
        <v>490</v>
      </c>
      <c r="AW113" s="1" t="s">
        <v>494</v>
      </c>
      <c r="AX113" s="1" t="s">
        <v>39</v>
      </c>
    </row>
    <row r="114" spans="1:50" s="1" customFormat="1">
      <c r="A114" s="1" t="s">
        <v>36</v>
      </c>
      <c r="B114" s="1" t="s">
        <v>290</v>
      </c>
      <c r="C114" s="1">
        <v>2020</v>
      </c>
      <c r="D114" s="11" t="str">
        <f t="shared" si="9"/>
        <v>10.1016/j.palaeo.2019.109547</v>
      </c>
      <c r="E114" s="7">
        <f t="shared" si="10"/>
        <v>188050</v>
      </c>
      <c r="F114" s="7">
        <f t="shared" si="11"/>
        <v>13349.999999999995</v>
      </c>
      <c r="G114" s="7">
        <f t="shared" si="12"/>
        <v>13350.000000000022</v>
      </c>
      <c r="H114" s="8">
        <f t="shared" si="13"/>
        <v>471.33192021766047</v>
      </c>
      <c r="I114" s="8">
        <f t="shared" si="14"/>
        <v>36.129149293340333</v>
      </c>
      <c r="J114" s="15">
        <f t="shared" si="15"/>
        <v>36.129149293340333</v>
      </c>
      <c r="K114" s="1" t="s">
        <v>291</v>
      </c>
      <c r="L114" s="61" t="s">
        <v>292</v>
      </c>
      <c r="M114" t="s">
        <v>293</v>
      </c>
      <c r="N114" s="1" t="s">
        <v>294</v>
      </c>
      <c r="O114" s="62" t="s">
        <v>416</v>
      </c>
      <c r="P114" s="63" t="s">
        <v>28</v>
      </c>
      <c r="Q114" s="64" t="s">
        <v>296</v>
      </c>
      <c r="R114" s="1" t="s">
        <v>297</v>
      </c>
      <c r="S114" s="1" t="s">
        <v>298</v>
      </c>
      <c r="T114" s="1" t="s">
        <v>299</v>
      </c>
      <c r="U114" s="1" t="s">
        <v>406</v>
      </c>
      <c r="V114" s="1">
        <v>188.05</v>
      </c>
      <c r="W114" s="1">
        <v>201.4</v>
      </c>
      <c r="X114" s="1">
        <v>174.7</v>
      </c>
      <c r="Y114" s="1" t="s">
        <v>39</v>
      </c>
      <c r="Z114" s="1" t="s">
        <v>302</v>
      </c>
      <c r="AA114" s="1">
        <v>30.957000000000001</v>
      </c>
      <c r="AB114" s="1">
        <v>110.746</v>
      </c>
      <c r="AC114" s="63" t="s">
        <v>39</v>
      </c>
      <c r="AD114" s="63" t="s">
        <v>39</v>
      </c>
      <c r="AE114" s="63" t="s">
        <v>39</v>
      </c>
      <c r="AF114" s="63" t="s">
        <v>39</v>
      </c>
      <c r="AG114" s="63" t="s">
        <v>39</v>
      </c>
      <c r="AH114" s="1">
        <v>90</v>
      </c>
      <c r="AI114" s="65">
        <v>6</v>
      </c>
      <c r="AJ114" s="65">
        <v>71</v>
      </c>
      <c r="AK114" s="62">
        <v>66.666666666666671</v>
      </c>
      <c r="AL114" s="66">
        <v>7.7922077922077921</v>
      </c>
      <c r="AM114" s="62">
        <v>5.6655772373253228</v>
      </c>
      <c r="AN114" s="66">
        <v>0.40249223594996214</v>
      </c>
      <c r="AO114" s="1" t="s">
        <v>29</v>
      </c>
      <c r="AP114" s="1" t="s">
        <v>470</v>
      </c>
      <c r="AQ114" s="1" t="s">
        <v>471</v>
      </c>
      <c r="AR114" s="1">
        <v>471.33192021766047</v>
      </c>
      <c r="AS114" s="1" t="s">
        <v>451</v>
      </c>
      <c r="AT114" s="1">
        <v>435.20277092432013</v>
      </c>
      <c r="AU114" s="1">
        <v>507.4610695110008</v>
      </c>
      <c r="AV114" s="67" t="s">
        <v>490</v>
      </c>
      <c r="AW114" s="1" t="s">
        <v>494</v>
      </c>
      <c r="AX114" s="1" t="s">
        <v>39</v>
      </c>
    </row>
    <row r="115" spans="1:50" s="1" customFormat="1">
      <c r="A115" s="1" t="s">
        <v>36</v>
      </c>
      <c r="B115" s="1" t="s">
        <v>290</v>
      </c>
      <c r="C115" s="1">
        <v>2020</v>
      </c>
      <c r="D115" s="11" t="str">
        <f t="shared" si="9"/>
        <v>10.1016/j.palaeo.2019.109547</v>
      </c>
      <c r="E115" s="7">
        <f t="shared" si="10"/>
        <v>188050</v>
      </c>
      <c r="F115" s="7">
        <f t="shared" si="11"/>
        <v>13349.999999999995</v>
      </c>
      <c r="G115" s="7">
        <f t="shared" si="12"/>
        <v>13350.000000000022</v>
      </c>
      <c r="H115" s="8">
        <f t="shared" si="13"/>
        <v>1526.7249952590928</v>
      </c>
      <c r="I115" s="8">
        <f t="shared" si="14"/>
        <v>358.85367536491503</v>
      </c>
      <c r="J115" s="15">
        <f t="shared" si="15"/>
        <v>358.85367536491503</v>
      </c>
      <c r="K115" s="1" t="s">
        <v>291</v>
      </c>
      <c r="L115" s="61" t="s">
        <v>292</v>
      </c>
      <c r="M115" t="s">
        <v>293</v>
      </c>
      <c r="N115" s="1" t="s">
        <v>294</v>
      </c>
      <c r="O115" s="62" t="s">
        <v>417</v>
      </c>
      <c r="P115" s="63" t="s">
        <v>28</v>
      </c>
      <c r="Q115" s="64" t="s">
        <v>296</v>
      </c>
      <c r="R115" s="1" t="s">
        <v>297</v>
      </c>
      <c r="S115" s="1" t="s">
        <v>298</v>
      </c>
      <c r="T115" s="1" t="s">
        <v>299</v>
      </c>
      <c r="U115" s="1" t="s">
        <v>406</v>
      </c>
      <c r="V115" s="1">
        <v>188.05</v>
      </c>
      <c r="W115" s="1">
        <v>201.4</v>
      </c>
      <c r="X115" s="1">
        <v>174.7</v>
      </c>
      <c r="Y115" s="1" t="s">
        <v>39</v>
      </c>
      <c r="Z115" s="1" t="s">
        <v>302</v>
      </c>
      <c r="AA115" s="1">
        <v>30.957000000000001</v>
      </c>
      <c r="AB115" s="1">
        <v>110.746</v>
      </c>
      <c r="AC115" s="63" t="s">
        <v>39</v>
      </c>
      <c r="AD115" s="63" t="s">
        <v>39</v>
      </c>
      <c r="AE115" s="63" t="s">
        <v>39</v>
      </c>
      <c r="AF115" s="63" t="s">
        <v>39</v>
      </c>
      <c r="AG115" s="63" t="s">
        <v>39</v>
      </c>
      <c r="AH115" s="1">
        <v>90</v>
      </c>
      <c r="AI115" s="65">
        <v>3</v>
      </c>
      <c r="AJ115" s="65">
        <v>82</v>
      </c>
      <c r="AK115" s="62">
        <v>33.333333333333336</v>
      </c>
      <c r="AL115" s="66">
        <v>3.5294117647058822</v>
      </c>
      <c r="AM115" s="62">
        <v>4.1573970964155036</v>
      </c>
      <c r="AN115" s="66">
        <v>0.55901699437494745</v>
      </c>
      <c r="AO115" s="1" t="s">
        <v>29</v>
      </c>
      <c r="AP115" s="1" t="s">
        <v>472</v>
      </c>
      <c r="AQ115" s="1" t="s">
        <v>473</v>
      </c>
      <c r="AR115" s="1">
        <v>1526.7249952590928</v>
      </c>
      <c r="AS115" s="1" t="s">
        <v>451</v>
      </c>
      <c r="AT115" s="1">
        <v>1167.8713198941778</v>
      </c>
      <c r="AU115" s="1">
        <v>1885.5786706240078</v>
      </c>
      <c r="AV115" s="67" t="s">
        <v>490</v>
      </c>
      <c r="AW115" s="1" t="s">
        <v>494</v>
      </c>
      <c r="AX115" s="1" t="s">
        <v>39</v>
      </c>
    </row>
    <row r="116" spans="1:50" s="1" customFormat="1">
      <c r="A116" s="1" t="s">
        <v>36</v>
      </c>
      <c r="B116" s="1" t="s">
        <v>290</v>
      </c>
      <c r="C116" s="1">
        <v>2020</v>
      </c>
      <c r="D116" s="11" t="str">
        <f t="shared" si="9"/>
        <v>10.1016/j.palaeo.2019.109547</v>
      </c>
      <c r="E116" s="7">
        <f t="shared" si="10"/>
        <v>188050</v>
      </c>
      <c r="F116" s="7">
        <f t="shared" si="11"/>
        <v>13349.999999999995</v>
      </c>
      <c r="G116" s="7">
        <f t="shared" si="12"/>
        <v>13350.000000000022</v>
      </c>
      <c r="H116" s="8">
        <f t="shared" si="13"/>
        <v>1156.6868005657464</v>
      </c>
      <c r="I116" s="8">
        <f t="shared" si="14"/>
        <v>234.51784407038986</v>
      </c>
      <c r="J116" s="15">
        <f t="shared" si="15"/>
        <v>234.51784407038997</v>
      </c>
      <c r="K116" s="1" t="s">
        <v>291</v>
      </c>
      <c r="L116" s="61" t="s">
        <v>292</v>
      </c>
      <c r="M116" t="s">
        <v>293</v>
      </c>
      <c r="N116" s="1" t="s">
        <v>294</v>
      </c>
      <c r="O116" s="62" t="s">
        <v>418</v>
      </c>
      <c r="P116" s="63" t="s">
        <v>28</v>
      </c>
      <c r="Q116" s="64" t="s">
        <v>296</v>
      </c>
      <c r="R116" s="1" t="s">
        <v>297</v>
      </c>
      <c r="S116" s="1" t="s">
        <v>298</v>
      </c>
      <c r="T116" s="1" t="s">
        <v>299</v>
      </c>
      <c r="U116" s="1" t="s">
        <v>406</v>
      </c>
      <c r="V116" s="1">
        <v>188.05</v>
      </c>
      <c r="W116" s="1">
        <v>201.4</v>
      </c>
      <c r="X116" s="1">
        <v>174.7</v>
      </c>
      <c r="Y116" s="1" t="s">
        <v>39</v>
      </c>
      <c r="Z116" s="1" t="s">
        <v>302</v>
      </c>
      <c r="AA116" s="1">
        <v>30.957000000000001</v>
      </c>
      <c r="AB116" s="1">
        <v>110.746</v>
      </c>
      <c r="AC116" s="63" t="s">
        <v>39</v>
      </c>
      <c r="AD116" s="63" t="s">
        <v>39</v>
      </c>
      <c r="AE116" s="63" t="s">
        <v>39</v>
      </c>
      <c r="AF116" s="63" t="s">
        <v>39</v>
      </c>
      <c r="AG116" s="63" t="s">
        <v>39</v>
      </c>
      <c r="AH116" s="1">
        <v>90</v>
      </c>
      <c r="AI116" s="65">
        <v>4</v>
      </c>
      <c r="AJ116" s="65">
        <v>90</v>
      </c>
      <c r="AK116" s="62">
        <v>44.444444444444443</v>
      </c>
      <c r="AL116" s="66">
        <v>4.2553191489361701</v>
      </c>
      <c r="AM116" s="62">
        <v>4.1573970964154823</v>
      </c>
      <c r="AN116" s="66">
        <v>0.58137767414994534</v>
      </c>
      <c r="AO116" s="1" t="s">
        <v>29</v>
      </c>
      <c r="AP116" s="1" t="s">
        <v>474</v>
      </c>
      <c r="AQ116" s="1" t="s">
        <v>475</v>
      </c>
      <c r="AR116" s="1">
        <v>1156.6868005657464</v>
      </c>
      <c r="AS116" s="1" t="s">
        <v>451</v>
      </c>
      <c r="AT116" s="1">
        <v>922.16895649535638</v>
      </c>
      <c r="AU116" s="1">
        <v>1391.2046446361362</v>
      </c>
      <c r="AV116" s="67" t="s">
        <v>490</v>
      </c>
      <c r="AW116" s="1" t="s">
        <v>494</v>
      </c>
      <c r="AX116" s="1" t="s">
        <v>39</v>
      </c>
    </row>
    <row r="117" spans="1:50" s="1" customFormat="1">
      <c r="A117" s="1" t="s">
        <v>36</v>
      </c>
      <c r="B117" s="1" t="s">
        <v>290</v>
      </c>
      <c r="C117" s="1">
        <v>2020</v>
      </c>
      <c r="D117" s="11" t="str">
        <f t="shared" si="9"/>
        <v>10.1016/j.palaeo.2019.109547</v>
      </c>
      <c r="E117" s="7">
        <f t="shared" si="10"/>
        <v>188050</v>
      </c>
      <c r="F117" s="7">
        <f t="shared" si="11"/>
        <v>13349.999999999995</v>
      </c>
      <c r="G117" s="7">
        <f t="shared" si="12"/>
        <v>13350.000000000022</v>
      </c>
      <c r="H117" s="8">
        <f t="shared" si="13"/>
        <v>702.92671015437998</v>
      </c>
      <c r="I117" s="8">
        <f t="shared" si="14"/>
        <v>156.74663357771317</v>
      </c>
      <c r="J117" s="15">
        <f t="shared" si="15"/>
        <v>156.74663357771317</v>
      </c>
      <c r="K117" s="1" t="s">
        <v>291</v>
      </c>
      <c r="L117" s="61" t="s">
        <v>292</v>
      </c>
      <c r="M117" t="s">
        <v>293</v>
      </c>
      <c r="N117" s="1" t="s">
        <v>294</v>
      </c>
      <c r="O117" s="62" t="s">
        <v>419</v>
      </c>
      <c r="P117" s="63" t="s">
        <v>28</v>
      </c>
      <c r="Q117" s="64" t="s">
        <v>296</v>
      </c>
      <c r="R117" s="1" t="s">
        <v>297</v>
      </c>
      <c r="S117" s="1" t="s">
        <v>298</v>
      </c>
      <c r="T117" s="1" t="s">
        <v>299</v>
      </c>
      <c r="U117" s="1" t="s">
        <v>406</v>
      </c>
      <c r="V117" s="1">
        <v>188.05</v>
      </c>
      <c r="W117" s="1">
        <v>201.4</v>
      </c>
      <c r="X117" s="1">
        <v>174.7</v>
      </c>
      <c r="Y117" s="1" t="s">
        <v>39</v>
      </c>
      <c r="Z117" s="1" t="s">
        <v>302</v>
      </c>
      <c r="AA117" s="1">
        <v>30.957000000000001</v>
      </c>
      <c r="AB117" s="1">
        <v>110.746</v>
      </c>
      <c r="AC117" s="63" t="s">
        <v>39</v>
      </c>
      <c r="AD117" s="63" t="s">
        <v>39</v>
      </c>
      <c r="AE117" s="63" t="s">
        <v>39</v>
      </c>
      <c r="AF117" s="63" t="s">
        <v>39</v>
      </c>
      <c r="AG117" s="63" t="s">
        <v>39</v>
      </c>
      <c r="AH117" s="1">
        <v>90</v>
      </c>
      <c r="AI117" s="65">
        <v>5</v>
      </c>
      <c r="AJ117" s="65">
        <v>79</v>
      </c>
      <c r="AK117" s="62">
        <v>55.555555555555557</v>
      </c>
      <c r="AL117" s="66">
        <v>5.9523809523809517</v>
      </c>
      <c r="AM117" s="62">
        <v>3.5136418446315458</v>
      </c>
      <c r="AN117" s="66">
        <v>0.89442719099991597</v>
      </c>
      <c r="AO117" s="1" t="s">
        <v>29</v>
      </c>
      <c r="AP117" s="1" t="s">
        <v>476</v>
      </c>
      <c r="AQ117" s="1" t="s">
        <v>477</v>
      </c>
      <c r="AR117" s="1">
        <v>702.92671015437998</v>
      </c>
      <c r="AS117" s="1" t="s">
        <v>451</v>
      </c>
      <c r="AT117" s="1">
        <v>546.18007657666681</v>
      </c>
      <c r="AU117" s="1">
        <v>859.67334373209314</v>
      </c>
      <c r="AV117" s="67" t="s">
        <v>490</v>
      </c>
      <c r="AW117" s="1" t="s">
        <v>494</v>
      </c>
      <c r="AX117" s="1" t="s">
        <v>39</v>
      </c>
    </row>
    <row r="118" spans="1:50" s="1" customFormat="1">
      <c r="A118" s="1" t="s">
        <v>36</v>
      </c>
      <c r="B118" s="1" t="s">
        <v>290</v>
      </c>
      <c r="C118" s="1">
        <v>2020</v>
      </c>
      <c r="D118" s="11" t="str">
        <f t="shared" si="9"/>
        <v>10.1016/j.palaeo.2019.109547</v>
      </c>
      <c r="E118" s="7">
        <f t="shared" si="10"/>
        <v>188050</v>
      </c>
      <c r="F118" s="7">
        <f t="shared" si="11"/>
        <v>13349.999999999995</v>
      </c>
      <c r="G118" s="7">
        <f t="shared" si="12"/>
        <v>13350.000000000022</v>
      </c>
      <c r="H118" s="8">
        <f t="shared" si="13"/>
        <v>1120.3537721479199</v>
      </c>
      <c r="I118" s="8">
        <f t="shared" si="14"/>
        <v>239.41973799559491</v>
      </c>
      <c r="J118" s="15">
        <f t="shared" si="15"/>
        <v>239.41973799559491</v>
      </c>
      <c r="K118" s="1" t="s">
        <v>291</v>
      </c>
      <c r="L118" s="61" t="s">
        <v>292</v>
      </c>
      <c r="M118" t="s">
        <v>293</v>
      </c>
      <c r="N118" s="1" t="s">
        <v>294</v>
      </c>
      <c r="O118" s="62" t="s">
        <v>420</v>
      </c>
      <c r="P118" s="63" t="s">
        <v>28</v>
      </c>
      <c r="Q118" s="64" t="s">
        <v>296</v>
      </c>
      <c r="R118" s="1" t="s">
        <v>297</v>
      </c>
      <c r="S118" s="1" t="s">
        <v>298</v>
      </c>
      <c r="T118" s="1" t="s">
        <v>299</v>
      </c>
      <c r="U118" s="1" t="s">
        <v>406</v>
      </c>
      <c r="V118" s="1">
        <v>188.05</v>
      </c>
      <c r="W118" s="1">
        <v>201.4</v>
      </c>
      <c r="X118" s="1">
        <v>174.7</v>
      </c>
      <c r="Y118" s="1" t="s">
        <v>39</v>
      </c>
      <c r="Z118" s="1" t="s">
        <v>302</v>
      </c>
      <c r="AA118" s="1">
        <v>30.957000000000001</v>
      </c>
      <c r="AB118" s="1">
        <v>110.746</v>
      </c>
      <c r="AC118" s="63" t="s">
        <v>39</v>
      </c>
      <c r="AD118" s="63" t="s">
        <v>39</v>
      </c>
      <c r="AE118" s="63" t="s">
        <v>39</v>
      </c>
      <c r="AF118" s="63" t="s">
        <v>39</v>
      </c>
      <c r="AG118" s="63" t="s">
        <v>39</v>
      </c>
      <c r="AH118" s="1">
        <v>90</v>
      </c>
      <c r="AI118" s="65">
        <v>4</v>
      </c>
      <c r="AJ118" s="65">
        <v>88</v>
      </c>
      <c r="AK118" s="62">
        <v>44.444444444444443</v>
      </c>
      <c r="AL118" s="66">
        <v>4.3478260869565215</v>
      </c>
      <c r="AM118" s="62">
        <v>3.5136418446315458</v>
      </c>
      <c r="AN118" s="66">
        <v>0.62609903369994124</v>
      </c>
      <c r="AO118" s="1" t="s">
        <v>29</v>
      </c>
      <c r="AP118" s="1" t="s">
        <v>478</v>
      </c>
      <c r="AQ118" s="1" t="s">
        <v>479</v>
      </c>
      <c r="AR118" s="1">
        <v>1120.3537721479199</v>
      </c>
      <c r="AS118" s="1" t="s">
        <v>451</v>
      </c>
      <c r="AT118" s="1">
        <v>880.93403415232501</v>
      </c>
      <c r="AU118" s="1">
        <v>1359.7735101435148</v>
      </c>
      <c r="AV118" s="67" t="s">
        <v>490</v>
      </c>
      <c r="AW118" s="1" t="s">
        <v>494</v>
      </c>
      <c r="AX118" s="1" t="s">
        <v>39</v>
      </c>
    </row>
    <row r="119" spans="1:50" s="1" customFormat="1">
      <c r="A119" s="1" t="s">
        <v>36</v>
      </c>
      <c r="B119" s="1" t="s">
        <v>290</v>
      </c>
      <c r="C119" s="1">
        <v>2020</v>
      </c>
      <c r="D119" s="11" t="str">
        <f t="shared" si="9"/>
        <v>10.1016/j.palaeo.2019.109547</v>
      </c>
      <c r="E119" s="7">
        <f t="shared" si="10"/>
        <v>188050</v>
      </c>
      <c r="F119" s="7">
        <f t="shared" si="11"/>
        <v>13349.999999999995</v>
      </c>
      <c r="G119" s="7">
        <f t="shared" si="12"/>
        <v>13350.000000000022</v>
      </c>
      <c r="H119" s="8">
        <f t="shared" si="13"/>
        <v>1252.9027614170304</v>
      </c>
      <c r="I119" s="8">
        <f t="shared" si="14"/>
        <v>443.35989536938541</v>
      </c>
      <c r="J119" s="15">
        <f t="shared" si="15"/>
        <v>443.35989536938541</v>
      </c>
      <c r="K119" s="1" t="s">
        <v>291</v>
      </c>
      <c r="L119" s="61" t="s">
        <v>292</v>
      </c>
      <c r="M119" t="s">
        <v>293</v>
      </c>
      <c r="N119" s="1" t="s">
        <v>294</v>
      </c>
      <c r="O119" s="62" t="s">
        <v>421</v>
      </c>
      <c r="P119" s="63" t="s">
        <v>28</v>
      </c>
      <c r="Q119" s="64" t="s">
        <v>296</v>
      </c>
      <c r="R119" s="1" t="s">
        <v>297</v>
      </c>
      <c r="S119" s="1" t="s">
        <v>298</v>
      </c>
      <c r="T119" s="1" t="s">
        <v>299</v>
      </c>
      <c r="U119" s="1" t="s">
        <v>406</v>
      </c>
      <c r="V119" s="1">
        <v>188.05</v>
      </c>
      <c r="W119" s="1">
        <v>201.4</v>
      </c>
      <c r="X119" s="1">
        <v>174.7</v>
      </c>
      <c r="Y119" s="1" t="s">
        <v>39</v>
      </c>
      <c r="Z119" s="1" t="s">
        <v>302</v>
      </c>
      <c r="AA119" s="1">
        <v>30.957000000000001</v>
      </c>
      <c r="AB119" s="1">
        <v>110.746</v>
      </c>
      <c r="AC119" s="63" t="s">
        <v>39</v>
      </c>
      <c r="AD119" s="63" t="s">
        <v>39</v>
      </c>
      <c r="AE119" s="63" t="s">
        <v>39</v>
      </c>
      <c r="AF119" s="63" t="s">
        <v>39</v>
      </c>
      <c r="AG119" s="63" t="s">
        <v>39</v>
      </c>
      <c r="AH119" s="1">
        <v>90</v>
      </c>
      <c r="AI119" s="65">
        <v>5</v>
      </c>
      <c r="AJ119" s="65">
        <v>119</v>
      </c>
      <c r="AK119" s="62">
        <v>55.555555555555557</v>
      </c>
      <c r="AL119" s="66">
        <v>4.032258064516129</v>
      </c>
      <c r="AM119" s="62">
        <v>2.2222222222222228</v>
      </c>
      <c r="AN119" s="66">
        <v>0.96150923032490965</v>
      </c>
      <c r="AO119" s="1" t="s">
        <v>29</v>
      </c>
      <c r="AP119" s="1" t="s">
        <v>480</v>
      </c>
      <c r="AQ119" s="1" t="s">
        <v>481</v>
      </c>
      <c r="AR119" s="1">
        <v>1252.9027614170304</v>
      </c>
      <c r="AS119" s="1" t="s">
        <v>451</v>
      </c>
      <c r="AT119" s="1">
        <v>809.54286604764502</v>
      </c>
      <c r="AU119" s="1">
        <v>1696.2626567864158</v>
      </c>
      <c r="AV119" s="67" t="s">
        <v>490</v>
      </c>
      <c r="AW119" s="1" t="s">
        <v>494</v>
      </c>
      <c r="AX119" s="1" t="s">
        <v>39</v>
      </c>
    </row>
    <row r="120" spans="1:50" s="1" customFormat="1">
      <c r="A120" s="1" t="s">
        <v>36</v>
      </c>
      <c r="B120" s="1" t="s">
        <v>290</v>
      </c>
      <c r="C120" s="1">
        <v>2020</v>
      </c>
      <c r="D120" s="11" t="str">
        <f t="shared" si="9"/>
        <v>10.1016/j.palaeo.2019.109547</v>
      </c>
      <c r="E120" s="7">
        <f t="shared" si="10"/>
        <v>188050</v>
      </c>
      <c r="F120" s="7">
        <f t="shared" si="11"/>
        <v>13349.999999999995</v>
      </c>
      <c r="G120" s="7">
        <f t="shared" si="12"/>
        <v>13350.000000000022</v>
      </c>
      <c r="H120" s="8">
        <f t="shared" si="13"/>
        <v>876.92496752574937</v>
      </c>
      <c r="I120" s="8">
        <f t="shared" si="14"/>
        <v>175.90478105626778</v>
      </c>
      <c r="J120" s="15">
        <f t="shared" si="15"/>
        <v>175.90478105626778</v>
      </c>
      <c r="K120" s="1" t="s">
        <v>291</v>
      </c>
      <c r="L120" s="61" t="s">
        <v>292</v>
      </c>
      <c r="M120" t="s">
        <v>293</v>
      </c>
      <c r="N120" s="1" t="s">
        <v>294</v>
      </c>
      <c r="O120" s="62" t="s">
        <v>422</v>
      </c>
      <c r="P120" s="63" t="s">
        <v>28</v>
      </c>
      <c r="Q120" s="64" t="s">
        <v>296</v>
      </c>
      <c r="R120" s="1" t="s">
        <v>297</v>
      </c>
      <c r="S120" s="1" t="s">
        <v>298</v>
      </c>
      <c r="T120" s="1" t="s">
        <v>299</v>
      </c>
      <c r="U120" s="1" t="s">
        <v>406</v>
      </c>
      <c r="V120" s="1">
        <v>188.05</v>
      </c>
      <c r="W120" s="1">
        <v>201.4</v>
      </c>
      <c r="X120" s="1">
        <v>174.7</v>
      </c>
      <c r="Y120" s="1" t="s">
        <v>39</v>
      </c>
      <c r="Z120" s="1" t="s">
        <v>302</v>
      </c>
      <c r="AA120" s="1">
        <v>30.957000000000001</v>
      </c>
      <c r="AB120" s="1">
        <v>110.746</v>
      </c>
      <c r="AC120" s="63" t="s">
        <v>39</v>
      </c>
      <c r="AD120" s="63" t="s">
        <v>39</v>
      </c>
      <c r="AE120" s="63" t="s">
        <v>39</v>
      </c>
      <c r="AF120" s="63" t="s">
        <v>39</v>
      </c>
      <c r="AG120" s="63" t="s">
        <v>39</v>
      </c>
      <c r="AH120" s="1">
        <v>90</v>
      </c>
      <c r="AI120" s="65">
        <v>6</v>
      </c>
      <c r="AJ120" s="65">
        <v>111</v>
      </c>
      <c r="AK120" s="62">
        <v>66.666666666666671</v>
      </c>
      <c r="AL120" s="66">
        <v>5.1282051282051277</v>
      </c>
      <c r="AM120" s="62">
        <v>2.4845199749997664</v>
      </c>
      <c r="AN120" s="66">
        <v>0.69318107302493481</v>
      </c>
      <c r="AO120" s="1" t="s">
        <v>29</v>
      </c>
      <c r="AP120" s="1" t="s">
        <v>482</v>
      </c>
      <c r="AQ120" s="1" t="s">
        <v>483</v>
      </c>
      <c r="AR120" s="1">
        <v>876.92496752574937</v>
      </c>
      <c r="AS120" s="1" t="s">
        <v>451</v>
      </c>
      <c r="AT120" s="1">
        <v>701.02018646948159</v>
      </c>
      <c r="AU120" s="1">
        <v>1052.8297485820171</v>
      </c>
      <c r="AV120" s="67" t="s">
        <v>490</v>
      </c>
      <c r="AW120" s="1" t="s">
        <v>494</v>
      </c>
      <c r="AX120" s="1" t="s">
        <v>39</v>
      </c>
    </row>
    <row r="121" spans="1:50" s="1" customFormat="1">
      <c r="A121" s="1" t="s">
        <v>36</v>
      </c>
      <c r="B121" s="1" t="s">
        <v>290</v>
      </c>
      <c r="C121" s="1">
        <v>2020</v>
      </c>
      <c r="D121" s="11" t="str">
        <f t="shared" si="9"/>
        <v>10.1016/j.palaeo.2019.109547</v>
      </c>
      <c r="E121" s="7">
        <f t="shared" si="10"/>
        <v>188050</v>
      </c>
      <c r="F121" s="7">
        <f t="shared" si="11"/>
        <v>13349.999999999995</v>
      </c>
      <c r="G121" s="7">
        <f t="shared" si="12"/>
        <v>13350.000000000022</v>
      </c>
      <c r="H121" s="8">
        <f t="shared" si="13"/>
        <v>1193.3959366136683</v>
      </c>
      <c r="I121" s="8">
        <f t="shared" si="14"/>
        <v>209.09198251903354</v>
      </c>
      <c r="J121" s="15">
        <f t="shared" si="15"/>
        <v>209.09198251903354</v>
      </c>
      <c r="K121" s="1" t="s">
        <v>291</v>
      </c>
      <c r="L121" s="61" t="s">
        <v>292</v>
      </c>
      <c r="M121" t="s">
        <v>293</v>
      </c>
      <c r="N121" s="1" t="s">
        <v>294</v>
      </c>
      <c r="O121" s="62" t="s">
        <v>423</v>
      </c>
      <c r="P121" s="63" t="s">
        <v>28</v>
      </c>
      <c r="Q121" s="64" t="s">
        <v>296</v>
      </c>
      <c r="R121" s="1" t="s">
        <v>297</v>
      </c>
      <c r="S121" s="1" t="s">
        <v>298</v>
      </c>
      <c r="T121" s="1" t="s">
        <v>299</v>
      </c>
      <c r="U121" s="1" t="s">
        <v>406</v>
      </c>
      <c r="V121" s="1">
        <v>188.05</v>
      </c>
      <c r="W121" s="1">
        <v>201.4</v>
      </c>
      <c r="X121" s="1">
        <v>174.7</v>
      </c>
      <c r="Y121" s="1" t="s">
        <v>39</v>
      </c>
      <c r="Z121" s="1" t="s">
        <v>302</v>
      </c>
      <c r="AA121" s="1">
        <v>30.957000000000001</v>
      </c>
      <c r="AB121" s="1">
        <v>110.746</v>
      </c>
      <c r="AC121" s="63" t="s">
        <v>39</v>
      </c>
      <c r="AD121" s="63" t="s">
        <v>39</v>
      </c>
      <c r="AE121" s="63" t="s">
        <v>39</v>
      </c>
      <c r="AF121" s="63" t="s">
        <v>39</v>
      </c>
      <c r="AG121" s="63" t="s">
        <v>39</v>
      </c>
      <c r="AH121" s="1">
        <v>90</v>
      </c>
      <c r="AI121" s="65">
        <v>5</v>
      </c>
      <c r="AJ121" s="65">
        <v>115</v>
      </c>
      <c r="AK121" s="62">
        <v>55.555555555555557</v>
      </c>
      <c r="AL121" s="66">
        <v>4.1666666666666661</v>
      </c>
      <c r="AM121" s="62">
        <v>5.2115730664704811</v>
      </c>
      <c r="AN121" s="66">
        <v>0.49193495504995377</v>
      </c>
      <c r="AO121" s="1" t="s">
        <v>29</v>
      </c>
      <c r="AP121" s="1" t="s">
        <v>484</v>
      </c>
      <c r="AQ121" s="1" t="s">
        <v>485</v>
      </c>
      <c r="AR121" s="1">
        <v>1193.3959366136683</v>
      </c>
      <c r="AS121" s="1" t="s">
        <v>451</v>
      </c>
      <c r="AT121" s="1">
        <v>984.30395409463472</v>
      </c>
      <c r="AU121" s="1">
        <v>1402.4879191327018</v>
      </c>
      <c r="AV121" s="67" t="s">
        <v>490</v>
      </c>
      <c r="AW121" s="1" t="s">
        <v>494</v>
      </c>
      <c r="AX121" s="1" t="s">
        <v>39</v>
      </c>
    </row>
    <row r="122" spans="1:50" s="1" customFormat="1">
      <c r="A122" s="1" t="s">
        <v>36</v>
      </c>
      <c r="B122" s="1" t="s">
        <v>290</v>
      </c>
      <c r="C122" s="1">
        <v>2020</v>
      </c>
      <c r="D122" s="11" t="str">
        <f t="shared" si="9"/>
        <v>10.1016/j.palaeo.2019.109547</v>
      </c>
      <c r="E122" s="7">
        <f t="shared" si="10"/>
        <v>188050</v>
      </c>
      <c r="F122" s="7">
        <f t="shared" si="11"/>
        <v>13349.999999999995</v>
      </c>
      <c r="G122" s="7">
        <f t="shared" si="12"/>
        <v>13350.000000000022</v>
      </c>
      <c r="H122" s="8">
        <f t="shared" si="13"/>
        <v>1063.0137598980864</v>
      </c>
      <c r="I122" s="8">
        <f t="shared" si="14"/>
        <v>195.77208782047069</v>
      </c>
      <c r="J122" s="15">
        <f t="shared" si="15"/>
        <v>195.77208782047069</v>
      </c>
      <c r="K122" s="1" t="s">
        <v>291</v>
      </c>
      <c r="L122" s="61" t="s">
        <v>292</v>
      </c>
      <c r="M122" t="s">
        <v>293</v>
      </c>
      <c r="N122" s="1" t="s">
        <v>294</v>
      </c>
      <c r="O122" s="62" t="s">
        <v>424</v>
      </c>
      <c r="P122" s="63" t="s">
        <v>28</v>
      </c>
      <c r="Q122" s="64" t="s">
        <v>296</v>
      </c>
      <c r="R122" s="1" t="s">
        <v>297</v>
      </c>
      <c r="S122" s="1" t="s">
        <v>298</v>
      </c>
      <c r="T122" s="1" t="s">
        <v>299</v>
      </c>
      <c r="U122" s="1" t="s">
        <v>406</v>
      </c>
      <c r="V122" s="1">
        <v>188.05</v>
      </c>
      <c r="W122" s="1">
        <v>201.4</v>
      </c>
      <c r="X122" s="1">
        <v>174.7</v>
      </c>
      <c r="Y122" s="1" t="s">
        <v>39</v>
      </c>
      <c r="Z122" s="1" t="s">
        <v>302</v>
      </c>
      <c r="AA122" s="1">
        <v>30.957000000000001</v>
      </c>
      <c r="AB122" s="1">
        <v>110.746</v>
      </c>
      <c r="AC122" s="63" t="s">
        <v>39</v>
      </c>
      <c r="AD122" s="63" t="s">
        <v>39</v>
      </c>
      <c r="AE122" s="63" t="s">
        <v>39</v>
      </c>
      <c r="AF122" s="63" t="s">
        <v>39</v>
      </c>
      <c r="AG122" s="63" t="s">
        <v>39</v>
      </c>
      <c r="AH122" s="1">
        <v>90</v>
      </c>
      <c r="AI122" s="65">
        <v>5</v>
      </c>
      <c r="AJ122" s="65">
        <v>106</v>
      </c>
      <c r="AK122" s="62">
        <v>55.555555555555557</v>
      </c>
      <c r="AL122" s="66">
        <v>4.5045045045045047</v>
      </c>
      <c r="AM122" s="62">
        <v>4.1573970964155036</v>
      </c>
      <c r="AN122" s="66">
        <v>0.55901699437494745</v>
      </c>
      <c r="AO122" s="1" t="s">
        <v>29</v>
      </c>
      <c r="AP122" s="1" t="s">
        <v>486</v>
      </c>
      <c r="AQ122" s="1" t="s">
        <v>487</v>
      </c>
      <c r="AR122" s="1">
        <v>1063.0137598980864</v>
      </c>
      <c r="AS122" s="1" t="s">
        <v>451</v>
      </c>
      <c r="AT122" s="1">
        <v>867.2416720776157</v>
      </c>
      <c r="AU122" s="1">
        <v>1258.7858477185571</v>
      </c>
      <c r="AV122" s="67" t="s">
        <v>490</v>
      </c>
      <c r="AW122" s="1" t="s">
        <v>494</v>
      </c>
      <c r="AX122" s="1" t="s">
        <v>39</v>
      </c>
    </row>
    <row r="123" spans="1:50" s="1" customFormat="1">
      <c r="A123" s="1" t="s">
        <v>36</v>
      </c>
      <c r="B123" s="1" t="s">
        <v>290</v>
      </c>
      <c r="C123" s="1">
        <v>2020</v>
      </c>
      <c r="D123" s="11" t="str">
        <f t="shared" si="9"/>
        <v>10.1016/j.palaeo.2019.109547</v>
      </c>
      <c r="E123" s="7">
        <f t="shared" si="10"/>
        <v>188050</v>
      </c>
      <c r="F123" s="7">
        <f t="shared" si="11"/>
        <v>13349.999999999995</v>
      </c>
      <c r="G123" s="7">
        <f t="shared" si="12"/>
        <v>13350.000000000022</v>
      </c>
      <c r="H123" s="8">
        <f t="shared" si="13"/>
        <v>1134.8415850297797</v>
      </c>
      <c r="I123" s="8">
        <f t="shared" si="14"/>
        <v>139.78549616853752</v>
      </c>
      <c r="J123" s="15">
        <f t="shared" si="15"/>
        <v>139.78549616853752</v>
      </c>
      <c r="K123" s="1" t="s">
        <v>291</v>
      </c>
      <c r="L123" s="61" t="s">
        <v>292</v>
      </c>
      <c r="M123" t="s">
        <v>293</v>
      </c>
      <c r="N123" s="1" t="s">
        <v>294</v>
      </c>
      <c r="O123" s="62" t="s">
        <v>425</v>
      </c>
      <c r="P123" s="63" t="s">
        <v>28</v>
      </c>
      <c r="Q123" s="64" t="s">
        <v>296</v>
      </c>
      <c r="R123" s="1" t="s">
        <v>297</v>
      </c>
      <c r="S123" s="1" t="s">
        <v>298</v>
      </c>
      <c r="T123" s="1" t="s">
        <v>299</v>
      </c>
      <c r="U123" s="1" t="s">
        <v>406</v>
      </c>
      <c r="V123" s="1">
        <v>188.05</v>
      </c>
      <c r="W123" s="1">
        <v>201.4</v>
      </c>
      <c r="X123" s="1">
        <v>174.7</v>
      </c>
      <c r="Y123" s="1" t="s">
        <v>39</v>
      </c>
      <c r="Z123" s="1" t="s">
        <v>302</v>
      </c>
      <c r="AA123" s="1">
        <v>30.957000000000001</v>
      </c>
      <c r="AB123" s="1">
        <v>110.746</v>
      </c>
      <c r="AC123" s="63" t="s">
        <v>39</v>
      </c>
      <c r="AD123" s="63" t="s">
        <v>39</v>
      </c>
      <c r="AE123" s="63" t="s">
        <v>39</v>
      </c>
      <c r="AF123" s="63" t="s">
        <v>39</v>
      </c>
      <c r="AG123" s="63" t="s">
        <v>39</v>
      </c>
      <c r="AH123" s="1">
        <v>90</v>
      </c>
      <c r="AI123" s="65">
        <v>5</v>
      </c>
      <c r="AJ123" s="65">
        <v>111</v>
      </c>
      <c r="AK123" s="62">
        <v>55.555555555555557</v>
      </c>
      <c r="AL123" s="66">
        <v>4.3103448275862073</v>
      </c>
      <c r="AM123" s="62">
        <v>2.8688765527462565</v>
      </c>
      <c r="AN123" s="66">
        <v>0.35777087639996635</v>
      </c>
      <c r="AO123" s="1" t="s">
        <v>29</v>
      </c>
      <c r="AP123" s="1" t="s">
        <v>488</v>
      </c>
      <c r="AQ123" s="1" t="s">
        <v>489</v>
      </c>
      <c r="AR123" s="1">
        <v>1134.8415850297797</v>
      </c>
      <c r="AS123" s="1" t="s">
        <v>451</v>
      </c>
      <c r="AT123" s="1">
        <v>995.05608886124219</v>
      </c>
      <c r="AU123" s="1">
        <v>1274.6270811983172</v>
      </c>
      <c r="AV123" s="67" t="s">
        <v>490</v>
      </c>
      <c r="AW123" s="1" t="s">
        <v>494</v>
      </c>
      <c r="AX123" s="1" t="s">
        <v>39</v>
      </c>
    </row>
    <row r="124" spans="1:50" s="1" customFormat="1">
      <c r="A124" s="1" t="s">
        <v>36</v>
      </c>
      <c r="B124" s="1" t="s">
        <v>290</v>
      </c>
      <c r="C124" s="1">
        <v>2020</v>
      </c>
      <c r="D124" s="11" t="str">
        <f t="shared" si="9"/>
        <v>10.1016/j.palaeo.2019.109547</v>
      </c>
      <c r="E124" s="7">
        <f t="shared" si="10"/>
        <v>188050</v>
      </c>
      <c r="F124" s="7">
        <f t="shared" si="11"/>
        <v>13349.999999999995</v>
      </c>
      <c r="G124" s="7">
        <f t="shared" si="12"/>
        <v>13350.000000000022</v>
      </c>
      <c r="H124" s="8">
        <f t="shared" si="13"/>
        <v>2933.8293165676196</v>
      </c>
      <c r="I124" s="8">
        <f t="shared" si="14"/>
        <v>1413.5799073224671</v>
      </c>
      <c r="J124" s="15">
        <f t="shared" si="15"/>
        <v>1413.5799073224669</v>
      </c>
      <c r="K124" s="1" t="s">
        <v>291</v>
      </c>
      <c r="L124" s="61" t="s">
        <v>292</v>
      </c>
      <c r="M124" t="s">
        <v>293</v>
      </c>
      <c r="N124" s="1" t="s">
        <v>294</v>
      </c>
      <c r="O124" s="65" t="s">
        <v>426</v>
      </c>
      <c r="P124" s="63" t="s">
        <v>28</v>
      </c>
      <c r="Q124" s="64" t="s">
        <v>427</v>
      </c>
      <c r="R124" s="1" t="s">
        <v>428</v>
      </c>
      <c r="S124" s="1" t="s">
        <v>298</v>
      </c>
      <c r="T124" s="1" t="s">
        <v>299</v>
      </c>
      <c r="U124" s="1" t="s">
        <v>429</v>
      </c>
      <c r="V124" s="1">
        <v>188.05</v>
      </c>
      <c r="W124" s="1">
        <v>201.4</v>
      </c>
      <c r="X124" s="1">
        <v>174.7</v>
      </c>
      <c r="Y124" s="1" t="s">
        <v>39</v>
      </c>
      <c r="Z124" s="1" t="s">
        <v>302</v>
      </c>
      <c r="AA124" s="1">
        <v>30.957000000000001</v>
      </c>
      <c r="AB124" s="1">
        <v>110.746</v>
      </c>
      <c r="AC124" s="63" t="s">
        <v>39</v>
      </c>
      <c r="AD124" s="63" t="s">
        <v>39</v>
      </c>
      <c r="AE124" s="63" t="s">
        <v>39</v>
      </c>
      <c r="AF124" s="63" t="s">
        <v>39</v>
      </c>
      <c r="AG124" s="63" t="s">
        <v>39</v>
      </c>
      <c r="AH124" s="1">
        <v>90</v>
      </c>
      <c r="AI124" s="65">
        <v>2</v>
      </c>
      <c r="AJ124" s="65">
        <v>86</v>
      </c>
      <c r="AK124" s="62">
        <v>22.222222222222221</v>
      </c>
      <c r="AL124" s="66">
        <v>2.2727272727272729</v>
      </c>
      <c r="AM124" s="66">
        <v>5.3190394875352123</v>
      </c>
      <c r="AN124" s="66">
        <v>0.73790243257493071</v>
      </c>
      <c r="AO124" s="1" t="s">
        <v>29</v>
      </c>
      <c r="AP124" s="1" t="s">
        <v>449</v>
      </c>
      <c r="AQ124" s="1" t="s">
        <v>450</v>
      </c>
      <c r="AR124" s="1">
        <v>2933.8293165676196</v>
      </c>
      <c r="AS124" s="1" t="s">
        <v>451</v>
      </c>
      <c r="AT124" s="1">
        <v>1520.2494092451527</v>
      </c>
      <c r="AU124" s="1">
        <v>4347.4092238900867</v>
      </c>
      <c r="AV124" s="67" t="s">
        <v>490</v>
      </c>
      <c r="AW124" s="1" t="s">
        <v>494</v>
      </c>
      <c r="AX124" s="1" t="s">
        <v>39</v>
      </c>
    </row>
    <row r="125" spans="1:50" s="1" customFormat="1">
      <c r="A125" s="1" t="s">
        <v>36</v>
      </c>
      <c r="B125" s="1" t="s">
        <v>290</v>
      </c>
      <c r="C125" s="1">
        <v>2020</v>
      </c>
      <c r="D125" s="11" t="str">
        <f t="shared" si="9"/>
        <v>10.1016/j.palaeo.2019.109547</v>
      </c>
      <c r="E125" s="7">
        <f t="shared" si="10"/>
        <v>188050</v>
      </c>
      <c r="F125" s="7">
        <f t="shared" si="11"/>
        <v>13349.999999999995</v>
      </c>
      <c r="G125" s="7">
        <f t="shared" si="12"/>
        <v>13350.000000000022</v>
      </c>
      <c r="H125" s="8">
        <f t="shared" si="13"/>
        <v>1193.3959366136683</v>
      </c>
      <c r="I125" s="8">
        <f t="shared" si="14"/>
        <v>370.66305992010484</v>
      </c>
      <c r="J125" s="15">
        <f t="shared" si="15"/>
        <v>370.66305992010484</v>
      </c>
      <c r="K125" s="1" t="s">
        <v>291</v>
      </c>
      <c r="L125" s="61" t="s">
        <v>292</v>
      </c>
      <c r="M125" t="s">
        <v>293</v>
      </c>
      <c r="N125" s="1" t="s">
        <v>294</v>
      </c>
      <c r="O125" s="65" t="s">
        <v>430</v>
      </c>
      <c r="P125" s="63" t="s">
        <v>28</v>
      </c>
      <c r="Q125" s="64" t="s">
        <v>427</v>
      </c>
      <c r="R125" s="1" t="s">
        <v>428</v>
      </c>
      <c r="S125" s="1" t="s">
        <v>298</v>
      </c>
      <c r="T125" s="1" t="s">
        <v>299</v>
      </c>
      <c r="U125" s="1" t="s">
        <v>429</v>
      </c>
      <c r="V125" s="1">
        <v>188.05</v>
      </c>
      <c r="W125" s="1">
        <v>201.4</v>
      </c>
      <c r="X125" s="1">
        <v>174.7</v>
      </c>
      <c r="Y125" s="1" t="s">
        <v>39</v>
      </c>
      <c r="Z125" s="1" t="s">
        <v>302</v>
      </c>
      <c r="AA125" s="1">
        <v>30.957000000000001</v>
      </c>
      <c r="AB125" s="1">
        <v>110.746</v>
      </c>
      <c r="AC125" s="63" t="s">
        <v>39</v>
      </c>
      <c r="AD125" s="63" t="s">
        <v>39</v>
      </c>
      <c r="AE125" s="63" t="s">
        <v>39</v>
      </c>
      <c r="AF125" s="63" t="s">
        <v>39</v>
      </c>
      <c r="AG125" s="63" t="s">
        <v>39</v>
      </c>
      <c r="AH125" s="1">
        <v>90</v>
      </c>
      <c r="AI125" s="65">
        <v>4</v>
      </c>
      <c r="AJ125" s="65">
        <v>92</v>
      </c>
      <c r="AK125" s="62">
        <v>44.444444444444443</v>
      </c>
      <c r="AL125" s="66">
        <v>4.1666666666666661</v>
      </c>
      <c r="AM125" s="66">
        <v>4.5360921162651451</v>
      </c>
      <c r="AN125" s="66">
        <v>0.87206651122491807</v>
      </c>
      <c r="AO125" s="1" t="s">
        <v>29</v>
      </c>
      <c r="AP125" s="1" t="s">
        <v>452</v>
      </c>
      <c r="AQ125" s="1" t="s">
        <v>453</v>
      </c>
      <c r="AR125" s="1">
        <v>1193.3959366136683</v>
      </c>
      <c r="AS125" s="1" t="s">
        <v>451</v>
      </c>
      <c r="AT125" s="1">
        <v>822.73287669356341</v>
      </c>
      <c r="AU125" s="1">
        <v>1564.0589965337731</v>
      </c>
      <c r="AV125" s="67" t="s">
        <v>490</v>
      </c>
      <c r="AW125" s="1" t="s">
        <v>494</v>
      </c>
      <c r="AX125" s="1" t="s">
        <v>39</v>
      </c>
    </row>
    <row r="126" spans="1:50" s="1" customFormat="1">
      <c r="A126" s="1" t="s">
        <v>36</v>
      </c>
      <c r="B126" s="1" t="s">
        <v>290</v>
      </c>
      <c r="C126" s="1">
        <v>2020</v>
      </c>
      <c r="D126" s="11" t="str">
        <f t="shared" ref="D126:D143" si="17">N126</f>
        <v>10.1016/j.palaeo.2019.109547</v>
      </c>
      <c r="E126" s="7">
        <f t="shared" ref="E126:E143" si="18">V126*1000</f>
        <v>188050</v>
      </c>
      <c r="F126" s="7">
        <f t="shared" ref="F126:F143" si="19">(W126-V126)*1000</f>
        <v>13349.999999999995</v>
      </c>
      <c r="G126" s="7">
        <f t="shared" ref="G126:G143" si="20">(V126-X126)*1000</f>
        <v>13350.000000000022</v>
      </c>
      <c r="H126" s="8">
        <f t="shared" ref="H126:H143" si="21">AR126</f>
        <v>1473.720141683579</v>
      </c>
      <c r="I126" s="8">
        <f t="shared" ref="I126:I143" si="22">AU126-AR126</f>
        <v>717.0783814306576</v>
      </c>
      <c r="J126" s="15">
        <f t="shared" ref="J126:J143" si="23">AR126-AT126</f>
        <v>717.0783814306576</v>
      </c>
      <c r="K126" s="1" t="s">
        <v>291</v>
      </c>
      <c r="L126" s="61" t="s">
        <v>292</v>
      </c>
      <c r="M126" t="s">
        <v>293</v>
      </c>
      <c r="N126" s="1" t="s">
        <v>294</v>
      </c>
      <c r="O126" s="65" t="s">
        <v>431</v>
      </c>
      <c r="P126" s="63" t="s">
        <v>28</v>
      </c>
      <c r="Q126" s="64" t="s">
        <v>427</v>
      </c>
      <c r="R126" s="1" t="s">
        <v>428</v>
      </c>
      <c r="S126" s="1" t="s">
        <v>298</v>
      </c>
      <c r="T126" s="1" t="s">
        <v>299</v>
      </c>
      <c r="U126" s="1" t="s">
        <v>429</v>
      </c>
      <c r="V126" s="1">
        <v>188.05</v>
      </c>
      <c r="W126" s="1">
        <v>201.4</v>
      </c>
      <c r="X126" s="1">
        <v>174.7</v>
      </c>
      <c r="Y126" s="1" t="s">
        <v>39</v>
      </c>
      <c r="Z126" s="1" t="s">
        <v>302</v>
      </c>
      <c r="AA126" s="1">
        <v>30.957000000000001</v>
      </c>
      <c r="AB126" s="1">
        <v>110.746</v>
      </c>
      <c r="AC126" s="63" t="s">
        <v>39</v>
      </c>
      <c r="AD126" s="63" t="s">
        <v>39</v>
      </c>
      <c r="AE126" s="63" t="s">
        <v>39</v>
      </c>
      <c r="AF126" s="63" t="s">
        <v>39</v>
      </c>
      <c r="AG126" s="63" t="s">
        <v>39</v>
      </c>
      <c r="AH126" s="1">
        <v>90</v>
      </c>
      <c r="AI126" s="65">
        <v>3</v>
      </c>
      <c r="AJ126" s="65">
        <v>80</v>
      </c>
      <c r="AK126" s="62">
        <v>33.333333333333336</v>
      </c>
      <c r="AL126" s="66">
        <v>3.6144578313253009</v>
      </c>
      <c r="AM126" s="66">
        <v>3.2075014954979273</v>
      </c>
      <c r="AN126" s="66">
        <v>1.1851160280748887</v>
      </c>
      <c r="AO126" s="1" t="s">
        <v>29</v>
      </c>
      <c r="AP126" s="1" t="s">
        <v>454</v>
      </c>
      <c r="AQ126" s="1" t="s">
        <v>455</v>
      </c>
      <c r="AR126" s="1">
        <v>1473.720141683579</v>
      </c>
      <c r="AS126" s="1" t="s">
        <v>451</v>
      </c>
      <c r="AT126" s="1">
        <v>756.64176025292136</v>
      </c>
      <c r="AU126" s="1">
        <v>2190.7985231142366</v>
      </c>
      <c r="AV126" s="67" t="s">
        <v>490</v>
      </c>
      <c r="AW126" s="1" t="s">
        <v>494</v>
      </c>
      <c r="AX126" s="1" t="s">
        <v>39</v>
      </c>
    </row>
    <row r="127" spans="1:50" s="1" customFormat="1">
      <c r="A127" s="1" t="s">
        <v>36</v>
      </c>
      <c r="B127" s="1" t="s">
        <v>290</v>
      </c>
      <c r="C127" s="1">
        <v>2020</v>
      </c>
      <c r="D127" s="11" t="str">
        <f t="shared" si="17"/>
        <v>10.1016/j.palaeo.2019.109547</v>
      </c>
      <c r="E127" s="7">
        <f t="shared" si="18"/>
        <v>188050</v>
      </c>
      <c r="F127" s="7">
        <f t="shared" si="19"/>
        <v>13349.999999999995</v>
      </c>
      <c r="G127" s="7">
        <f t="shared" si="20"/>
        <v>13350.000000000022</v>
      </c>
      <c r="H127" s="8">
        <f t="shared" si="21"/>
        <v>2835.4256263743009</v>
      </c>
      <c r="I127" s="8">
        <f t="shared" si="22"/>
        <v>809.16225218029558</v>
      </c>
      <c r="J127" s="15">
        <f t="shared" si="23"/>
        <v>809.16225218029581</v>
      </c>
      <c r="K127" s="1" t="s">
        <v>291</v>
      </c>
      <c r="L127" s="61" t="s">
        <v>292</v>
      </c>
      <c r="M127" t="s">
        <v>293</v>
      </c>
      <c r="N127" s="1" t="s">
        <v>294</v>
      </c>
      <c r="O127" s="65" t="s">
        <v>432</v>
      </c>
      <c r="P127" s="63" t="s">
        <v>28</v>
      </c>
      <c r="Q127" s="64" t="s">
        <v>427</v>
      </c>
      <c r="R127" s="1" t="s">
        <v>428</v>
      </c>
      <c r="S127" s="1" t="s">
        <v>298</v>
      </c>
      <c r="T127" s="1" t="s">
        <v>299</v>
      </c>
      <c r="U127" s="1" t="s">
        <v>429</v>
      </c>
      <c r="V127" s="1">
        <v>188.05</v>
      </c>
      <c r="W127" s="1">
        <v>201.4</v>
      </c>
      <c r="X127" s="1">
        <v>174.7</v>
      </c>
      <c r="Y127" s="1" t="s">
        <v>39</v>
      </c>
      <c r="Z127" s="1" t="s">
        <v>302</v>
      </c>
      <c r="AA127" s="1">
        <v>30.957000000000001</v>
      </c>
      <c r="AB127" s="1">
        <v>110.746</v>
      </c>
      <c r="AC127" s="63" t="s">
        <v>39</v>
      </c>
      <c r="AD127" s="63" t="s">
        <v>39</v>
      </c>
      <c r="AE127" s="63" t="s">
        <v>39</v>
      </c>
      <c r="AF127" s="63" t="s">
        <v>39</v>
      </c>
      <c r="AG127" s="63" t="s">
        <v>39</v>
      </c>
      <c r="AH127" s="1">
        <v>90</v>
      </c>
      <c r="AI127" s="65">
        <v>2</v>
      </c>
      <c r="AJ127" s="65">
        <v>84</v>
      </c>
      <c r="AK127" s="62">
        <v>22.222222222222221</v>
      </c>
      <c r="AL127" s="66">
        <v>2.3255813953488373</v>
      </c>
      <c r="AM127" s="66">
        <v>2.7777777777777848</v>
      </c>
      <c r="AN127" s="66">
        <v>0.44721359549995798</v>
      </c>
      <c r="AO127" s="1" t="s">
        <v>29</v>
      </c>
      <c r="AP127" s="1" t="s">
        <v>456</v>
      </c>
      <c r="AQ127" s="1" t="s">
        <v>457</v>
      </c>
      <c r="AR127" s="1">
        <v>2835.4256263743009</v>
      </c>
      <c r="AS127" s="1" t="s">
        <v>451</v>
      </c>
      <c r="AT127" s="1">
        <v>2026.2633741940051</v>
      </c>
      <c r="AU127" s="1">
        <v>3644.5878785545965</v>
      </c>
      <c r="AV127" s="67" t="s">
        <v>490</v>
      </c>
      <c r="AW127" s="1" t="s">
        <v>494</v>
      </c>
      <c r="AX127" s="1" t="s">
        <v>39</v>
      </c>
    </row>
    <row r="128" spans="1:50" s="1" customFormat="1">
      <c r="A128" s="1" t="s">
        <v>36</v>
      </c>
      <c r="B128" s="1" t="s">
        <v>290</v>
      </c>
      <c r="C128" s="1">
        <v>2020</v>
      </c>
      <c r="D128" s="11" t="str">
        <f t="shared" si="17"/>
        <v>10.1016/j.palaeo.2019.109547</v>
      </c>
      <c r="E128" s="7">
        <f t="shared" si="18"/>
        <v>188050</v>
      </c>
      <c r="F128" s="7">
        <f t="shared" si="19"/>
        <v>13349.999999999995</v>
      </c>
      <c r="G128" s="7">
        <f t="shared" si="20"/>
        <v>13350.000000000022</v>
      </c>
      <c r="H128" s="8">
        <f t="shared" si="21"/>
        <v>1447.4477216925752</v>
      </c>
      <c r="I128" s="8">
        <f t="shared" si="22"/>
        <v>617.03847602840506</v>
      </c>
      <c r="J128" s="15">
        <f t="shared" si="23"/>
        <v>617.03847602840483</v>
      </c>
      <c r="K128" s="1" t="s">
        <v>291</v>
      </c>
      <c r="L128" s="61" t="s">
        <v>292</v>
      </c>
      <c r="M128" t="s">
        <v>293</v>
      </c>
      <c r="N128" s="1" t="s">
        <v>294</v>
      </c>
      <c r="O128" s="65" t="s">
        <v>433</v>
      </c>
      <c r="P128" s="63" t="s">
        <v>28</v>
      </c>
      <c r="Q128" s="64" t="s">
        <v>427</v>
      </c>
      <c r="R128" s="1" t="s">
        <v>428</v>
      </c>
      <c r="S128" s="1" t="s">
        <v>298</v>
      </c>
      <c r="T128" s="1" t="s">
        <v>299</v>
      </c>
      <c r="U128" s="1" t="s">
        <v>429</v>
      </c>
      <c r="V128" s="1">
        <v>188.05</v>
      </c>
      <c r="W128" s="1">
        <v>201.4</v>
      </c>
      <c r="X128" s="1">
        <v>174.7</v>
      </c>
      <c r="Y128" s="1" t="s">
        <v>39</v>
      </c>
      <c r="Z128" s="1" t="s">
        <v>302</v>
      </c>
      <c r="AA128" s="1">
        <v>30.957000000000001</v>
      </c>
      <c r="AB128" s="1">
        <v>110.746</v>
      </c>
      <c r="AC128" s="63" t="s">
        <v>39</v>
      </c>
      <c r="AD128" s="63" t="s">
        <v>39</v>
      </c>
      <c r="AE128" s="63" t="s">
        <v>39</v>
      </c>
      <c r="AF128" s="63" t="s">
        <v>39</v>
      </c>
      <c r="AG128" s="63" t="s">
        <v>39</v>
      </c>
      <c r="AH128" s="1">
        <v>90</v>
      </c>
      <c r="AI128" s="65">
        <v>3</v>
      </c>
      <c r="AJ128" s="65">
        <v>79</v>
      </c>
      <c r="AK128" s="62">
        <v>33.333333333333336</v>
      </c>
      <c r="AL128" s="66">
        <v>3.6585365853658534</v>
      </c>
      <c r="AM128" s="66">
        <v>2.7777777777777848</v>
      </c>
      <c r="AN128" s="66">
        <v>1.0509519494249011</v>
      </c>
      <c r="AO128" s="1" t="s">
        <v>29</v>
      </c>
      <c r="AP128" s="1" t="s">
        <v>458</v>
      </c>
      <c r="AQ128" s="1" t="s">
        <v>459</v>
      </c>
      <c r="AR128" s="1">
        <v>1447.4477216925752</v>
      </c>
      <c r="AS128" s="1" t="s">
        <v>451</v>
      </c>
      <c r="AT128" s="1">
        <v>830.40924566417038</v>
      </c>
      <c r="AU128" s="1">
        <v>2064.4861977209803</v>
      </c>
      <c r="AV128" s="67" t="s">
        <v>490</v>
      </c>
      <c r="AW128" s="1" t="s">
        <v>494</v>
      </c>
      <c r="AX128" s="1" t="s">
        <v>39</v>
      </c>
    </row>
    <row r="129" spans="1:50" s="1" customFormat="1">
      <c r="A129" s="1" t="s">
        <v>36</v>
      </c>
      <c r="B129" s="1" t="s">
        <v>290</v>
      </c>
      <c r="C129" s="1">
        <v>2020</v>
      </c>
      <c r="D129" s="11" t="str">
        <f t="shared" si="17"/>
        <v>10.1016/j.palaeo.2019.109547</v>
      </c>
      <c r="E129" s="7">
        <f t="shared" si="18"/>
        <v>188050</v>
      </c>
      <c r="F129" s="7">
        <f t="shared" si="19"/>
        <v>13349.999999999995</v>
      </c>
      <c r="G129" s="7">
        <f t="shared" si="20"/>
        <v>13350.000000000022</v>
      </c>
      <c r="H129" s="8">
        <f t="shared" si="21"/>
        <v>2786.6360057933621</v>
      </c>
      <c r="I129" s="8">
        <f t="shared" si="22"/>
        <v>1689.882595278204</v>
      </c>
      <c r="J129" s="15">
        <f t="shared" si="23"/>
        <v>1689.8825952782036</v>
      </c>
      <c r="K129" s="1" t="s">
        <v>291</v>
      </c>
      <c r="L129" s="61" t="s">
        <v>292</v>
      </c>
      <c r="M129" t="s">
        <v>293</v>
      </c>
      <c r="N129" s="1" t="s">
        <v>294</v>
      </c>
      <c r="O129" s="65" t="s">
        <v>434</v>
      </c>
      <c r="P129" s="63" t="s">
        <v>28</v>
      </c>
      <c r="Q129" s="64" t="s">
        <v>427</v>
      </c>
      <c r="R129" s="1" t="s">
        <v>428</v>
      </c>
      <c r="S129" s="1" t="s">
        <v>298</v>
      </c>
      <c r="T129" s="1" t="s">
        <v>299</v>
      </c>
      <c r="U129" s="1" t="s">
        <v>429</v>
      </c>
      <c r="V129" s="1">
        <v>188.05</v>
      </c>
      <c r="W129" s="1">
        <v>201.4</v>
      </c>
      <c r="X129" s="1">
        <v>174.7</v>
      </c>
      <c r="Y129" s="1" t="s">
        <v>39</v>
      </c>
      <c r="Z129" s="1" t="s">
        <v>302</v>
      </c>
      <c r="AA129" s="1">
        <v>30.957000000000001</v>
      </c>
      <c r="AB129" s="1">
        <v>110.746</v>
      </c>
      <c r="AC129" s="63" t="s">
        <v>39</v>
      </c>
      <c r="AD129" s="63" t="s">
        <v>39</v>
      </c>
      <c r="AE129" s="63" t="s">
        <v>39</v>
      </c>
      <c r="AF129" s="63" t="s">
        <v>39</v>
      </c>
      <c r="AG129" s="63" t="s">
        <v>39</v>
      </c>
      <c r="AH129" s="1">
        <v>90</v>
      </c>
      <c r="AI129" s="65">
        <v>2</v>
      </c>
      <c r="AJ129" s="65">
        <v>83</v>
      </c>
      <c r="AK129" s="62">
        <v>22.222222222222221</v>
      </c>
      <c r="AL129" s="66">
        <v>2.3529411764705883</v>
      </c>
      <c r="AM129" s="66">
        <v>4.4444444444444473</v>
      </c>
      <c r="AN129" s="66">
        <v>0.96150923032490965</v>
      </c>
      <c r="AO129" s="1" t="s">
        <v>29</v>
      </c>
      <c r="AP129" s="1" t="s">
        <v>460</v>
      </c>
      <c r="AQ129" s="1" t="s">
        <v>461</v>
      </c>
      <c r="AR129" s="1">
        <v>2786.6360057933621</v>
      </c>
      <c r="AS129" s="1" t="s">
        <v>451</v>
      </c>
      <c r="AT129" s="1">
        <v>1096.7534105151585</v>
      </c>
      <c r="AU129" s="1">
        <v>4476.5186010715661</v>
      </c>
      <c r="AV129" s="67" t="s">
        <v>490</v>
      </c>
      <c r="AW129" s="1" t="s">
        <v>494</v>
      </c>
      <c r="AX129" s="1" t="s">
        <v>39</v>
      </c>
    </row>
    <row r="130" spans="1:50" s="1" customFormat="1">
      <c r="A130" s="1" t="s">
        <v>36</v>
      </c>
      <c r="B130" s="1" t="s">
        <v>290</v>
      </c>
      <c r="C130" s="1">
        <v>2020</v>
      </c>
      <c r="D130" s="11" t="str">
        <f t="shared" si="17"/>
        <v>10.1016/j.palaeo.2019.109547</v>
      </c>
      <c r="E130" s="7">
        <f t="shared" si="18"/>
        <v>188050</v>
      </c>
      <c r="F130" s="7">
        <f t="shared" si="19"/>
        <v>13349.999999999995</v>
      </c>
      <c r="G130" s="7">
        <f t="shared" si="20"/>
        <v>13350.000000000022</v>
      </c>
      <c r="H130" s="8">
        <f t="shared" si="21"/>
        <v>2835.4256263743009</v>
      </c>
      <c r="I130" s="8">
        <f t="shared" si="22"/>
        <v>1416.0339413155179</v>
      </c>
      <c r="J130" s="15">
        <f t="shared" si="23"/>
        <v>1416.0339413155175</v>
      </c>
      <c r="K130" s="1" t="s">
        <v>291</v>
      </c>
      <c r="L130" s="61" t="s">
        <v>292</v>
      </c>
      <c r="M130" t="s">
        <v>293</v>
      </c>
      <c r="N130" s="1" t="s">
        <v>294</v>
      </c>
      <c r="O130" s="65" t="s">
        <v>435</v>
      </c>
      <c r="P130" s="63" t="s">
        <v>28</v>
      </c>
      <c r="Q130" s="64" t="s">
        <v>427</v>
      </c>
      <c r="R130" s="1" t="s">
        <v>428</v>
      </c>
      <c r="S130" s="1" t="s">
        <v>298</v>
      </c>
      <c r="T130" s="1" t="s">
        <v>299</v>
      </c>
      <c r="U130" s="1" t="s">
        <v>429</v>
      </c>
      <c r="V130" s="1">
        <v>188.05</v>
      </c>
      <c r="W130" s="1">
        <v>201.4</v>
      </c>
      <c r="X130" s="1">
        <v>174.7</v>
      </c>
      <c r="Y130" s="1" t="s">
        <v>39</v>
      </c>
      <c r="Z130" s="1" t="s">
        <v>302</v>
      </c>
      <c r="AA130" s="1">
        <v>30.957000000000001</v>
      </c>
      <c r="AB130" s="1">
        <v>110.746</v>
      </c>
      <c r="AC130" s="63" t="s">
        <v>39</v>
      </c>
      <c r="AD130" s="63" t="s">
        <v>39</v>
      </c>
      <c r="AE130" s="63" t="s">
        <v>39</v>
      </c>
      <c r="AF130" s="63" t="s">
        <v>39</v>
      </c>
      <c r="AG130" s="63" t="s">
        <v>39</v>
      </c>
      <c r="AH130" s="1">
        <v>90</v>
      </c>
      <c r="AI130" s="65">
        <v>2</v>
      </c>
      <c r="AJ130" s="65">
        <v>84</v>
      </c>
      <c r="AK130" s="62">
        <v>22.222222222222221</v>
      </c>
      <c r="AL130" s="66">
        <v>2.3255813953488373</v>
      </c>
      <c r="AM130" s="66">
        <v>5.5555555555555598</v>
      </c>
      <c r="AN130" s="66">
        <v>0.78262379212492639</v>
      </c>
      <c r="AO130" s="1" t="s">
        <v>29</v>
      </c>
      <c r="AP130" s="1" t="s">
        <v>462</v>
      </c>
      <c r="AQ130" s="1" t="s">
        <v>463</v>
      </c>
      <c r="AR130" s="1">
        <v>2835.4256263743009</v>
      </c>
      <c r="AS130" s="1" t="s">
        <v>451</v>
      </c>
      <c r="AT130" s="1">
        <v>1419.3916850587834</v>
      </c>
      <c r="AU130" s="1">
        <v>4251.4595676898189</v>
      </c>
      <c r="AV130" s="67" t="s">
        <v>490</v>
      </c>
      <c r="AW130" s="1" t="s">
        <v>494</v>
      </c>
      <c r="AX130" s="1" t="s">
        <v>39</v>
      </c>
    </row>
    <row r="131" spans="1:50" s="1" customFormat="1">
      <c r="A131" s="1" t="s">
        <v>36</v>
      </c>
      <c r="B131" s="1" t="s">
        <v>290</v>
      </c>
      <c r="C131" s="1">
        <v>2020</v>
      </c>
      <c r="D131" s="11" t="str">
        <f t="shared" si="17"/>
        <v>10.1016/j.palaeo.2019.109547</v>
      </c>
      <c r="E131" s="7">
        <f t="shared" si="18"/>
        <v>188050</v>
      </c>
      <c r="F131" s="7">
        <f t="shared" si="19"/>
        <v>13349.999999999995</v>
      </c>
      <c r="G131" s="7">
        <f t="shared" si="20"/>
        <v>13350.000000000022</v>
      </c>
      <c r="H131" s="8">
        <f t="shared" si="21"/>
        <v>1048.8329688098693</v>
      </c>
      <c r="I131" s="8">
        <f t="shared" si="22"/>
        <v>290.95880943469615</v>
      </c>
      <c r="J131" s="15">
        <f t="shared" si="23"/>
        <v>290.95880943469615</v>
      </c>
      <c r="K131" s="1" t="s">
        <v>291</v>
      </c>
      <c r="L131" s="61" t="s">
        <v>292</v>
      </c>
      <c r="M131" t="s">
        <v>293</v>
      </c>
      <c r="N131" s="1" t="s">
        <v>294</v>
      </c>
      <c r="O131" s="65" t="s">
        <v>436</v>
      </c>
      <c r="P131" s="63" t="s">
        <v>28</v>
      </c>
      <c r="Q131" s="64" t="s">
        <v>427</v>
      </c>
      <c r="R131" s="1" t="s">
        <v>428</v>
      </c>
      <c r="S131" s="1" t="s">
        <v>298</v>
      </c>
      <c r="T131" s="1" t="s">
        <v>299</v>
      </c>
      <c r="U131" s="1" t="s">
        <v>429</v>
      </c>
      <c r="V131" s="1">
        <v>188.05</v>
      </c>
      <c r="W131" s="1">
        <v>201.4</v>
      </c>
      <c r="X131" s="1">
        <v>174.7</v>
      </c>
      <c r="Y131" s="1" t="s">
        <v>39</v>
      </c>
      <c r="Z131" s="1" t="s">
        <v>302</v>
      </c>
      <c r="AA131" s="1">
        <v>30.957000000000001</v>
      </c>
      <c r="AB131" s="1">
        <v>110.746</v>
      </c>
      <c r="AC131" s="63" t="s">
        <v>39</v>
      </c>
      <c r="AD131" s="63" t="s">
        <v>39</v>
      </c>
      <c r="AE131" s="63" t="s">
        <v>39</v>
      </c>
      <c r="AF131" s="63" t="s">
        <v>39</v>
      </c>
      <c r="AG131" s="63" t="s">
        <v>39</v>
      </c>
      <c r="AH131" s="1">
        <v>90</v>
      </c>
      <c r="AI131" s="65">
        <v>2</v>
      </c>
      <c r="AJ131" s="65">
        <v>42</v>
      </c>
      <c r="AK131" s="62">
        <v>22.222222222222221</v>
      </c>
      <c r="AL131" s="66">
        <v>4.5454545454545459</v>
      </c>
      <c r="AM131" s="66">
        <v>5.3190394875352087</v>
      </c>
      <c r="AN131" s="66">
        <v>0.84970583144992018</v>
      </c>
      <c r="AO131" s="1" t="s">
        <v>29</v>
      </c>
      <c r="AP131" s="1" t="s">
        <v>464</v>
      </c>
      <c r="AQ131" s="1" t="s">
        <v>465</v>
      </c>
      <c r="AR131" s="1">
        <v>1048.8329688098693</v>
      </c>
      <c r="AS131" s="1" t="s">
        <v>451</v>
      </c>
      <c r="AT131" s="1">
        <v>757.87415937517312</v>
      </c>
      <c r="AU131" s="1">
        <v>1339.7917782445654</v>
      </c>
      <c r="AV131" s="67" t="s">
        <v>490</v>
      </c>
      <c r="AW131" s="1" t="s">
        <v>494</v>
      </c>
      <c r="AX131" s="1" t="s">
        <v>39</v>
      </c>
    </row>
    <row r="132" spans="1:50" s="1" customFormat="1">
      <c r="A132" s="1" t="s">
        <v>36</v>
      </c>
      <c r="B132" s="1" t="s">
        <v>290</v>
      </c>
      <c r="C132" s="1">
        <v>2020</v>
      </c>
      <c r="D132" s="11" t="str">
        <f t="shared" si="17"/>
        <v>10.1016/j.palaeo.2019.109547</v>
      </c>
      <c r="E132" s="7">
        <f t="shared" si="18"/>
        <v>188050</v>
      </c>
      <c r="F132" s="7">
        <f t="shared" si="19"/>
        <v>13349.999999999995</v>
      </c>
      <c r="G132" s="7">
        <f t="shared" si="20"/>
        <v>13350.000000000022</v>
      </c>
      <c r="H132" s="8">
        <f t="shared" si="21"/>
        <v>1703.1466069930302</v>
      </c>
      <c r="I132" s="8">
        <f t="shared" si="22"/>
        <v>861.86804808045872</v>
      </c>
      <c r="J132" s="15">
        <f t="shared" si="23"/>
        <v>861.86804808045895</v>
      </c>
      <c r="K132" s="1" t="s">
        <v>291</v>
      </c>
      <c r="L132" s="61" t="s">
        <v>292</v>
      </c>
      <c r="M132" t="s">
        <v>293</v>
      </c>
      <c r="N132" s="1" t="s">
        <v>294</v>
      </c>
      <c r="O132" s="65" t="s">
        <v>437</v>
      </c>
      <c r="P132" s="63" t="s">
        <v>28</v>
      </c>
      <c r="Q132" s="64" t="s">
        <v>427</v>
      </c>
      <c r="R132" s="1" t="s">
        <v>428</v>
      </c>
      <c r="S132" s="1" t="s">
        <v>298</v>
      </c>
      <c r="T132" s="1" t="s">
        <v>299</v>
      </c>
      <c r="U132" s="1" t="s">
        <v>429</v>
      </c>
      <c r="V132" s="1">
        <v>188.05</v>
      </c>
      <c r="W132" s="1">
        <v>201.4</v>
      </c>
      <c r="X132" s="1">
        <v>174.7</v>
      </c>
      <c r="Y132" s="1" t="s">
        <v>39</v>
      </c>
      <c r="Z132" s="1" t="s">
        <v>302</v>
      </c>
      <c r="AA132" s="1">
        <v>30.957000000000001</v>
      </c>
      <c r="AB132" s="1">
        <v>110.746</v>
      </c>
      <c r="AC132" s="63" t="s">
        <v>39</v>
      </c>
      <c r="AD132" s="63" t="s">
        <v>39</v>
      </c>
      <c r="AE132" s="63" t="s">
        <v>39</v>
      </c>
      <c r="AF132" s="63" t="s">
        <v>39</v>
      </c>
      <c r="AG132" s="63" t="s">
        <v>39</v>
      </c>
      <c r="AH132" s="1">
        <v>90</v>
      </c>
      <c r="AI132" s="65">
        <v>2</v>
      </c>
      <c r="AJ132" s="65">
        <v>59</v>
      </c>
      <c r="AK132" s="62">
        <v>22.222222222222221</v>
      </c>
      <c r="AL132" s="66">
        <v>3.278688524590164</v>
      </c>
      <c r="AM132" s="66">
        <v>4.5360921162651451</v>
      </c>
      <c r="AN132" s="66">
        <v>1.1180339887498949</v>
      </c>
      <c r="AO132" s="1" t="s">
        <v>29</v>
      </c>
      <c r="AP132" s="1" t="s">
        <v>466</v>
      </c>
      <c r="AQ132" s="1" t="s">
        <v>467</v>
      </c>
      <c r="AR132" s="1">
        <v>1703.1466069930302</v>
      </c>
      <c r="AS132" s="1" t="s">
        <v>451</v>
      </c>
      <c r="AT132" s="1">
        <v>841.27855891257127</v>
      </c>
      <c r="AU132" s="1">
        <v>2565.0146550734889</v>
      </c>
      <c r="AV132" s="67" t="s">
        <v>490</v>
      </c>
      <c r="AW132" s="1" t="s">
        <v>494</v>
      </c>
      <c r="AX132" s="1" t="s">
        <v>39</v>
      </c>
    </row>
    <row r="133" spans="1:50" s="1" customFormat="1">
      <c r="A133" s="1" t="s">
        <v>36</v>
      </c>
      <c r="B133" s="1" t="s">
        <v>290</v>
      </c>
      <c r="C133" s="1">
        <v>2020</v>
      </c>
      <c r="D133" s="11" t="str">
        <f t="shared" si="17"/>
        <v>10.1016/j.palaeo.2019.109547</v>
      </c>
      <c r="E133" s="7">
        <f t="shared" si="18"/>
        <v>188050</v>
      </c>
      <c r="F133" s="7">
        <f t="shared" si="19"/>
        <v>13349.999999999995</v>
      </c>
      <c r="G133" s="7">
        <f t="shared" si="20"/>
        <v>13350.000000000022</v>
      </c>
      <c r="H133" s="8">
        <f t="shared" si="21"/>
        <v>715.38078584324035</v>
      </c>
      <c r="I133" s="8">
        <f t="shared" si="22"/>
        <v>121.06715882649166</v>
      </c>
      <c r="J133" s="15">
        <f t="shared" si="23"/>
        <v>121.06715882649166</v>
      </c>
      <c r="K133" s="1" t="s">
        <v>291</v>
      </c>
      <c r="L133" s="61" t="s">
        <v>292</v>
      </c>
      <c r="M133" t="s">
        <v>293</v>
      </c>
      <c r="N133" s="1" t="s">
        <v>294</v>
      </c>
      <c r="O133" s="65" t="s">
        <v>438</v>
      </c>
      <c r="P133" s="63" t="s">
        <v>28</v>
      </c>
      <c r="Q133" s="64" t="s">
        <v>427</v>
      </c>
      <c r="R133" s="1" t="s">
        <v>428</v>
      </c>
      <c r="S133" s="1" t="s">
        <v>298</v>
      </c>
      <c r="T133" s="1" t="s">
        <v>299</v>
      </c>
      <c r="U133" s="1" t="s">
        <v>429</v>
      </c>
      <c r="V133" s="1">
        <v>188.05</v>
      </c>
      <c r="W133" s="1">
        <v>201.4</v>
      </c>
      <c r="X133" s="1">
        <v>174.7</v>
      </c>
      <c r="Y133" s="1" t="s">
        <v>39</v>
      </c>
      <c r="Z133" s="1" t="s">
        <v>302</v>
      </c>
      <c r="AA133" s="1">
        <v>30.957000000000001</v>
      </c>
      <c r="AB133" s="1">
        <v>110.746</v>
      </c>
      <c r="AC133" s="63" t="s">
        <v>39</v>
      </c>
      <c r="AD133" s="63" t="s">
        <v>39</v>
      </c>
      <c r="AE133" s="63" t="s">
        <v>39</v>
      </c>
      <c r="AF133" s="63" t="s">
        <v>39</v>
      </c>
      <c r="AG133" s="63" t="s">
        <v>39</v>
      </c>
      <c r="AH133" s="1">
        <v>90</v>
      </c>
      <c r="AI133" s="65">
        <v>4</v>
      </c>
      <c r="AJ133" s="65">
        <v>64</v>
      </c>
      <c r="AK133" s="62">
        <v>44.444444444444443</v>
      </c>
      <c r="AL133" s="66">
        <v>5.8823529411764701</v>
      </c>
      <c r="AM133" s="66">
        <v>2.7777777777777848</v>
      </c>
      <c r="AN133" s="66">
        <v>0.67082039324993692</v>
      </c>
      <c r="AO133" s="1" t="s">
        <v>29</v>
      </c>
      <c r="AP133" s="1" t="s">
        <v>468</v>
      </c>
      <c r="AQ133" s="1" t="s">
        <v>469</v>
      </c>
      <c r="AR133" s="1">
        <v>715.38078584324035</v>
      </c>
      <c r="AS133" s="1" t="s">
        <v>451</v>
      </c>
      <c r="AT133" s="1">
        <v>594.31362701674868</v>
      </c>
      <c r="AU133" s="1">
        <v>836.44794466973201</v>
      </c>
      <c r="AV133" s="67" t="s">
        <v>490</v>
      </c>
      <c r="AW133" s="1" t="s">
        <v>494</v>
      </c>
      <c r="AX133" s="1" t="s">
        <v>39</v>
      </c>
    </row>
    <row r="134" spans="1:50" s="1" customFormat="1">
      <c r="A134" s="1" t="s">
        <v>36</v>
      </c>
      <c r="B134" s="1" t="s">
        <v>290</v>
      </c>
      <c r="C134" s="1">
        <v>2020</v>
      </c>
      <c r="D134" s="11" t="str">
        <f t="shared" si="17"/>
        <v>10.1016/j.palaeo.2019.109547</v>
      </c>
      <c r="E134" s="7">
        <f t="shared" si="18"/>
        <v>188050</v>
      </c>
      <c r="F134" s="7">
        <f t="shared" si="19"/>
        <v>13349.999999999995</v>
      </c>
      <c r="G134" s="7">
        <f t="shared" si="20"/>
        <v>13350.000000000022</v>
      </c>
      <c r="H134" s="8">
        <f t="shared" si="21"/>
        <v>955.89985844788134</v>
      </c>
      <c r="I134" s="8">
        <f t="shared" si="22"/>
        <v>124.55332799660209</v>
      </c>
      <c r="J134" s="15">
        <f t="shared" si="23"/>
        <v>124.55332799660221</v>
      </c>
      <c r="K134" s="1" t="s">
        <v>291</v>
      </c>
      <c r="L134" s="61" t="s">
        <v>292</v>
      </c>
      <c r="M134" t="s">
        <v>293</v>
      </c>
      <c r="N134" s="1" t="s">
        <v>294</v>
      </c>
      <c r="O134" s="65" t="s">
        <v>439</v>
      </c>
      <c r="P134" s="63" t="s">
        <v>28</v>
      </c>
      <c r="Q134" s="64" t="s">
        <v>427</v>
      </c>
      <c r="R134" s="1" t="s">
        <v>428</v>
      </c>
      <c r="S134" s="1" t="s">
        <v>298</v>
      </c>
      <c r="T134" s="1" t="s">
        <v>299</v>
      </c>
      <c r="U134" s="1" t="s">
        <v>429</v>
      </c>
      <c r="V134" s="1">
        <v>188.05</v>
      </c>
      <c r="W134" s="1">
        <v>201.4</v>
      </c>
      <c r="X134" s="1">
        <v>174.7</v>
      </c>
      <c r="Y134" s="1" t="s">
        <v>39</v>
      </c>
      <c r="Z134" s="1" t="s">
        <v>302</v>
      </c>
      <c r="AA134" s="1">
        <v>30.957000000000001</v>
      </c>
      <c r="AB134" s="1">
        <v>110.746</v>
      </c>
      <c r="AC134" s="63" t="s">
        <v>39</v>
      </c>
      <c r="AD134" s="63" t="s">
        <v>39</v>
      </c>
      <c r="AE134" s="63" t="s">
        <v>39</v>
      </c>
      <c r="AF134" s="63" t="s">
        <v>39</v>
      </c>
      <c r="AG134" s="63" t="s">
        <v>39</v>
      </c>
      <c r="AH134" s="1">
        <v>90</v>
      </c>
      <c r="AI134" s="65">
        <v>3</v>
      </c>
      <c r="AJ134" s="65">
        <v>59</v>
      </c>
      <c r="AK134" s="62">
        <v>33.333333333333336</v>
      </c>
      <c r="AL134" s="66">
        <v>4.838709677419355</v>
      </c>
      <c r="AM134" s="66">
        <v>2.2222222222222161</v>
      </c>
      <c r="AN134" s="66">
        <v>0.42485291572496009</v>
      </c>
      <c r="AO134" s="1" t="s">
        <v>29</v>
      </c>
      <c r="AP134" s="1" t="s">
        <v>470</v>
      </c>
      <c r="AQ134" s="1" t="s">
        <v>471</v>
      </c>
      <c r="AR134" s="1">
        <v>955.89985844788134</v>
      </c>
      <c r="AS134" s="1" t="s">
        <v>451</v>
      </c>
      <c r="AT134" s="1">
        <v>831.34653045127914</v>
      </c>
      <c r="AU134" s="1">
        <v>1080.4531864444834</v>
      </c>
      <c r="AV134" s="67" t="s">
        <v>490</v>
      </c>
      <c r="AW134" s="1" t="s">
        <v>494</v>
      </c>
      <c r="AX134" s="1" t="s">
        <v>39</v>
      </c>
    </row>
    <row r="135" spans="1:50" s="1" customFormat="1">
      <c r="A135" s="1" t="s">
        <v>36</v>
      </c>
      <c r="B135" s="1" t="s">
        <v>290</v>
      </c>
      <c r="C135" s="1">
        <v>2020</v>
      </c>
      <c r="D135" s="11" t="str">
        <f t="shared" si="17"/>
        <v>10.1016/j.palaeo.2019.109547</v>
      </c>
      <c r="E135" s="7">
        <f t="shared" si="18"/>
        <v>188050</v>
      </c>
      <c r="F135" s="7">
        <f t="shared" si="19"/>
        <v>13349.999999999995</v>
      </c>
      <c r="G135" s="7">
        <f t="shared" si="20"/>
        <v>13350.000000000022</v>
      </c>
      <c r="H135" s="8">
        <f t="shared" si="21"/>
        <v>1634.5488332124039</v>
      </c>
      <c r="I135" s="8">
        <f t="shared" si="22"/>
        <v>418.36842771624583</v>
      </c>
      <c r="J135" s="15">
        <f t="shared" si="23"/>
        <v>418.36842771624583</v>
      </c>
      <c r="K135" s="1" t="s">
        <v>291</v>
      </c>
      <c r="L135" s="61" t="s">
        <v>292</v>
      </c>
      <c r="M135" t="s">
        <v>293</v>
      </c>
      <c r="N135" s="1" t="s">
        <v>294</v>
      </c>
      <c r="O135" s="65" t="s">
        <v>440</v>
      </c>
      <c r="P135" s="63" t="s">
        <v>28</v>
      </c>
      <c r="Q135" s="64" t="s">
        <v>427</v>
      </c>
      <c r="R135" s="1" t="s">
        <v>428</v>
      </c>
      <c r="S135" s="1" t="s">
        <v>298</v>
      </c>
      <c r="T135" s="1" t="s">
        <v>299</v>
      </c>
      <c r="U135" s="1" t="s">
        <v>429</v>
      </c>
      <c r="V135" s="1">
        <v>188.05</v>
      </c>
      <c r="W135" s="1">
        <v>201.4</v>
      </c>
      <c r="X135" s="1">
        <v>174.7</v>
      </c>
      <c r="Y135" s="1" t="s">
        <v>39</v>
      </c>
      <c r="Z135" s="1" t="s">
        <v>302</v>
      </c>
      <c r="AA135" s="1">
        <v>30.957000000000001</v>
      </c>
      <c r="AB135" s="1">
        <v>110.746</v>
      </c>
      <c r="AC135" s="63" t="s">
        <v>39</v>
      </c>
      <c r="AD135" s="63" t="s">
        <v>39</v>
      </c>
      <c r="AE135" s="63" t="s">
        <v>39</v>
      </c>
      <c r="AF135" s="63" t="s">
        <v>39</v>
      </c>
      <c r="AG135" s="63" t="s">
        <v>39</v>
      </c>
      <c r="AH135" s="1">
        <v>90</v>
      </c>
      <c r="AI135" s="65">
        <v>3</v>
      </c>
      <c r="AJ135" s="65">
        <v>86</v>
      </c>
      <c r="AK135" s="62">
        <v>33.333333333333336</v>
      </c>
      <c r="AL135" s="66">
        <v>3.3707865168539324</v>
      </c>
      <c r="AM135" s="66">
        <v>2.2222222222222268</v>
      </c>
      <c r="AN135" s="66">
        <v>0.58137767414994534</v>
      </c>
      <c r="AO135" s="1" t="s">
        <v>29</v>
      </c>
      <c r="AP135" s="1" t="s">
        <v>472</v>
      </c>
      <c r="AQ135" s="1" t="s">
        <v>473</v>
      </c>
      <c r="AR135" s="1">
        <v>1634.5488332124039</v>
      </c>
      <c r="AS135" s="1" t="s">
        <v>451</v>
      </c>
      <c r="AT135" s="1">
        <v>1216.1804054961581</v>
      </c>
      <c r="AU135" s="1">
        <v>2052.9172609286497</v>
      </c>
      <c r="AV135" s="67" t="s">
        <v>490</v>
      </c>
      <c r="AW135" s="1" t="s">
        <v>494</v>
      </c>
      <c r="AX135" s="1" t="s">
        <v>39</v>
      </c>
    </row>
    <row r="136" spans="1:50" s="1" customFormat="1">
      <c r="A136" s="1" t="s">
        <v>36</v>
      </c>
      <c r="B136" s="1" t="s">
        <v>290</v>
      </c>
      <c r="C136" s="1">
        <v>2020</v>
      </c>
      <c r="D136" s="11" t="str">
        <f t="shared" si="17"/>
        <v>10.1016/j.palaeo.2019.109547</v>
      </c>
      <c r="E136" s="7">
        <f t="shared" si="18"/>
        <v>188050</v>
      </c>
      <c r="F136" s="7">
        <f t="shared" si="19"/>
        <v>13349.999999999995</v>
      </c>
      <c r="G136" s="7">
        <f t="shared" si="20"/>
        <v>13350.000000000022</v>
      </c>
      <c r="H136" s="8">
        <f t="shared" si="21"/>
        <v>1218.0756303730593</v>
      </c>
      <c r="I136" s="8">
        <f t="shared" si="22"/>
        <v>265.55747290698832</v>
      </c>
      <c r="J136" s="15">
        <f t="shared" si="23"/>
        <v>265.55747290698821</v>
      </c>
      <c r="K136" s="1" t="s">
        <v>291</v>
      </c>
      <c r="L136" s="61" t="s">
        <v>292</v>
      </c>
      <c r="M136" t="s">
        <v>293</v>
      </c>
      <c r="N136" s="1" t="s">
        <v>294</v>
      </c>
      <c r="O136" s="65" t="s">
        <v>441</v>
      </c>
      <c r="P136" s="63" t="s">
        <v>28</v>
      </c>
      <c r="Q136" s="64" t="s">
        <v>427</v>
      </c>
      <c r="R136" s="1" t="s">
        <v>428</v>
      </c>
      <c r="S136" s="1" t="s">
        <v>298</v>
      </c>
      <c r="T136" s="1" t="s">
        <v>299</v>
      </c>
      <c r="U136" s="1" t="s">
        <v>429</v>
      </c>
      <c r="V136" s="1">
        <v>188.05</v>
      </c>
      <c r="W136" s="1">
        <v>201.4</v>
      </c>
      <c r="X136" s="1">
        <v>174.7</v>
      </c>
      <c r="Y136" s="1" t="s">
        <v>39</v>
      </c>
      <c r="Z136" s="1" t="s">
        <v>302</v>
      </c>
      <c r="AA136" s="1">
        <v>30.957000000000001</v>
      </c>
      <c r="AB136" s="1">
        <v>110.746</v>
      </c>
      <c r="AC136" s="63" t="s">
        <v>39</v>
      </c>
      <c r="AD136" s="63" t="s">
        <v>39</v>
      </c>
      <c r="AE136" s="63" t="s">
        <v>39</v>
      </c>
      <c r="AF136" s="63" t="s">
        <v>39</v>
      </c>
      <c r="AG136" s="63" t="s">
        <v>39</v>
      </c>
      <c r="AH136" s="1">
        <v>90</v>
      </c>
      <c r="AI136" s="65">
        <v>3</v>
      </c>
      <c r="AJ136" s="65">
        <v>70</v>
      </c>
      <c r="AK136" s="62">
        <v>33.333333333333336</v>
      </c>
      <c r="AL136" s="66">
        <v>4.10958904109589</v>
      </c>
      <c r="AM136" s="66">
        <v>4.1573970964154876</v>
      </c>
      <c r="AN136" s="66">
        <v>0.60373835392494324</v>
      </c>
      <c r="AO136" s="1" t="s">
        <v>29</v>
      </c>
      <c r="AP136" s="1" t="s">
        <v>474</v>
      </c>
      <c r="AQ136" s="1" t="s">
        <v>475</v>
      </c>
      <c r="AR136" s="1">
        <v>1218.0756303730593</v>
      </c>
      <c r="AS136" s="1" t="s">
        <v>451</v>
      </c>
      <c r="AT136" s="1">
        <v>952.5181574660711</v>
      </c>
      <c r="AU136" s="1">
        <v>1483.6331032800476</v>
      </c>
      <c r="AV136" s="67" t="s">
        <v>490</v>
      </c>
      <c r="AW136" s="1" t="s">
        <v>494</v>
      </c>
      <c r="AX136" s="1" t="s">
        <v>39</v>
      </c>
    </row>
    <row r="137" spans="1:50" s="1" customFormat="1">
      <c r="A137" s="1" t="s">
        <v>36</v>
      </c>
      <c r="B137" s="1" t="s">
        <v>290</v>
      </c>
      <c r="C137" s="1">
        <v>2020</v>
      </c>
      <c r="D137" s="11" t="str">
        <f t="shared" si="17"/>
        <v>10.1016/j.palaeo.2019.109547</v>
      </c>
      <c r="E137" s="7">
        <f t="shared" si="18"/>
        <v>188050</v>
      </c>
      <c r="F137" s="7">
        <f t="shared" si="19"/>
        <v>13349.999999999995</v>
      </c>
      <c r="G137" s="7">
        <f t="shared" si="20"/>
        <v>13350.000000000022</v>
      </c>
      <c r="H137" s="8">
        <f t="shared" si="21"/>
        <v>1168.8815928872953</v>
      </c>
      <c r="I137" s="8">
        <f t="shared" si="22"/>
        <v>394.72530798604407</v>
      </c>
      <c r="J137" s="15">
        <f t="shared" si="23"/>
        <v>394.72530798604407</v>
      </c>
      <c r="K137" s="1" t="s">
        <v>291</v>
      </c>
      <c r="L137" s="61" t="s">
        <v>292</v>
      </c>
      <c r="M137" t="s">
        <v>293</v>
      </c>
      <c r="N137" s="1" t="s">
        <v>294</v>
      </c>
      <c r="O137" s="65" t="s">
        <v>442</v>
      </c>
      <c r="P137" s="63" t="s">
        <v>28</v>
      </c>
      <c r="Q137" s="64" t="s">
        <v>427</v>
      </c>
      <c r="R137" s="1" t="s">
        <v>428</v>
      </c>
      <c r="S137" s="1" t="s">
        <v>298</v>
      </c>
      <c r="T137" s="1" t="s">
        <v>299</v>
      </c>
      <c r="U137" s="1" t="s">
        <v>429</v>
      </c>
      <c r="V137" s="1">
        <v>188.05</v>
      </c>
      <c r="W137" s="1">
        <v>201.4</v>
      </c>
      <c r="X137" s="1">
        <v>174.7</v>
      </c>
      <c r="Y137" s="1" t="s">
        <v>39</v>
      </c>
      <c r="Z137" s="1" t="s">
        <v>302</v>
      </c>
      <c r="AA137" s="1">
        <v>30.957000000000001</v>
      </c>
      <c r="AB137" s="1">
        <v>110.746</v>
      </c>
      <c r="AC137" s="63" t="s">
        <v>39</v>
      </c>
      <c r="AD137" s="63" t="s">
        <v>39</v>
      </c>
      <c r="AE137" s="63" t="s">
        <v>39</v>
      </c>
      <c r="AF137" s="63" t="s">
        <v>39</v>
      </c>
      <c r="AG137" s="63" t="s">
        <v>39</v>
      </c>
      <c r="AH137" s="1">
        <v>90</v>
      </c>
      <c r="AI137" s="65">
        <v>3</v>
      </c>
      <c r="AJ137" s="65">
        <v>68</v>
      </c>
      <c r="AK137" s="62">
        <v>33.333333333333336</v>
      </c>
      <c r="AL137" s="66">
        <v>4.225352112676056</v>
      </c>
      <c r="AM137" s="66">
        <v>2.7777777777777848</v>
      </c>
      <c r="AN137" s="66">
        <v>0.96150923032490965</v>
      </c>
      <c r="AO137" s="1" t="s">
        <v>29</v>
      </c>
      <c r="AP137" s="1" t="s">
        <v>476</v>
      </c>
      <c r="AQ137" s="1" t="s">
        <v>477</v>
      </c>
      <c r="AR137" s="1">
        <v>1168.8815928872953</v>
      </c>
      <c r="AS137" s="1" t="s">
        <v>451</v>
      </c>
      <c r="AT137" s="1">
        <v>774.15628490125118</v>
      </c>
      <c r="AU137" s="1">
        <v>1563.6069008733393</v>
      </c>
      <c r="AV137" s="67" t="s">
        <v>490</v>
      </c>
      <c r="AW137" s="1" t="s">
        <v>494</v>
      </c>
      <c r="AX137" s="1" t="s">
        <v>39</v>
      </c>
    </row>
    <row r="138" spans="1:50" s="1" customFormat="1">
      <c r="A138" s="1" t="s">
        <v>36</v>
      </c>
      <c r="B138" s="1" t="s">
        <v>290</v>
      </c>
      <c r="C138" s="1">
        <v>2020</v>
      </c>
      <c r="D138" s="11" t="str">
        <f t="shared" si="17"/>
        <v>10.1016/j.palaeo.2019.109547</v>
      </c>
      <c r="E138" s="7">
        <f t="shared" si="18"/>
        <v>188050</v>
      </c>
      <c r="F138" s="7">
        <f t="shared" si="19"/>
        <v>13349.999999999995</v>
      </c>
      <c r="G138" s="7">
        <f t="shared" si="20"/>
        <v>13350.000000000022</v>
      </c>
      <c r="H138" s="8">
        <f t="shared" si="21"/>
        <v>1002.0149736403357</v>
      </c>
      <c r="I138" s="8">
        <f t="shared" si="22"/>
        <v>198.6140032886708</v>
      </c>
      <c r="J138" s="15">
        <f t="shared" si="23"/>
        <v>198.61400328867069</v>
      </c>
      <c r="K138" s="1" t="s">
        <v>291</v>
      </c>
      <c r="L138" s="61" t="s">
        <v>292</v>
      </c>
      <c r="M138" t="s">
        <v>293</v>
      </c>
      <c r="N138" s="1" t="s">
        <v>294</v>
      </c>
      <c r="O138" s="65" t="s">
        <v>443</v>
      </c>
      <c r="P138" s="63" t="s">
        <v>28</v>
      </c>
      <c r="Q138" s="64" t="s">
        <v>427</v>
      </c>
      <c r="R138" s="1" t="s">
        <v>428</v>
      </c>
      <c r="S138" s="1" t="s">
        <v>298</v>
      </c>
      <c r="T138" s="1" t="s">
        <v>299</v>
      </c>
      <c r="U138" s="1" t="s">
        <v>429</v>
      </c>
      <c r="V138" s="1">
        <v>188.05</v>
      </c>
      <c r="W138" s="1">
        <v>201.4</v>
      </c>
      <c r="X138" s="1">
        <v>174.7</v>
      </c>
      <c r="Y138" s="1" t="s">
        <v>39</v>
      </c>
      <c r="Z138" s="1" t="s">
        <v>302</v>
      </c>
      <c r="AA138" s="1">
        <v>30.957000000000001</v>
      </c>
      <c r="AB138" s="1">
        <v>110.746</v>
      </c>
      <c r="AC138" s="63" t="s">
        <v>39</v>
      </c>
      <c r="AD138" s="63" t="s">
        <v>39</v>
      </c>
      <c r="AE138" s="63" t="s">
        <v>39</v>
      </c>
      <c r="AF138" s="63" t="s">
        <v>39</v>
      </c>
      <c r="AG138" s="63" t="s">
        <v>39</v>
      </c>
      <c r="AH138" s="1">
        <v>90</v>
      </c>
      <c r="AI138" s="65">
        <v>3</v>
      </c>
      <c r="AJ138" s="65">
        <v>61</v>
      </c>
      <c r="AK138" s="62">
        <v>33.333333333333336</v>
      </c>
      <c r="AL138" s="66">
        <v>4.6875</v>
      </c>
      <c r="AM138" s="66">
        <v>2.7777777777777848</v>
      </c>
      <c r="AN138" s="66">
        <v>0.62609903369994124</v>
      </c>
      <c r="AO138" s="1" t="s">
        <v>29</v>
      </c>
      <c r="AP138" s="1" t="s">
        <v>478</v>
      </c>
      <c r="AQ138" s="1" t="s">
        <v>479</v>
      </c>
      <c r="AR138" s="1">
        <v>1002.0149736403357</v>
      </c>
      <c r="AS138" s="1" t="s">
        <v>451</v>
      </c>
      <c r="AT138" s="1">
        <v>803.40097035166502</v>
      </c>
      <c r="AU138" s="1">
        <v>1200.6289769290065</v>
      </c>
      <c r="AV138" s="67" t="s">
        <v>490</v>
      </c>
      <c r="AW138" s="1" t="s">
        <v>494</v>
      </c>
      <c r="AX138" s="1" t="s">
        <v>39</v>
      </c>
    </row>
    <row r="139" spans="1:50" s="1" customFormat="1">
      <c r="A139" s="1" t="s">
        <v>36</v>
      </c>
      <c r="B139" s="1" t="s">
        <v>290</v>
      </c>
      <c r="C139" s="1">
        <v>2020</v>
      </c>
      <c r="D139" s="11" t="str">
        <f t="shared" si="17"/>
        <v>10.1016/j.palaeo.2019.109547</v>
      </c>
      <c r="E139" s="7">
        <f t="shared" si="18"/>
        <v>188050</v>
      </c>
      <c r="F139" s="7">
        <f t="shared" si="19"/>
        <v>13349.999999999995</v>
      </c>
      <c r="G139" s="7">
        <f t="shared" si="20"/>
        <v>13350.000000000022</v>
      </c>
      <c r="H139" s="8">
        <f t="shared" si="21"/>
        <v>757.40561525102555</v>
      </c>
      <c r="I139" s="8">
        <f t="shared" si="22"/>
        <v>195.36857780464379</v>
      </c>
      <c r="J139" s="15">
        <f t="shared" si="23"/>
        <v>195.36857780464379</v>
      </c>
      <c r="K139" s="1" t="s">
        <v>291</v>
      </c>
      <c r="L139" s="61" t="s">
        <v>292</v>
      </c>
      <c r="M139" t="s">
        <v>293</v>
      </c>
      <c r="N139" s="1" t="s">
        <v>294</v>
      </c>
      <c r="O139" s="65" t="s">
        <v>444</v>
      </c>
      <c r="P139" s="63" t="s">
        <v>28</v>
      </c>
      <c r="Q139" s="64" t="s">
        <v>427</v>
      </c>
      <c r="R139" s="1" t="s">
        <v>428</v>
      </c>
      <c r="S139" s="1" t="s">
        <v>298</v>
      </c>
      <c r="T139" s="1" t="s">
        <v>299</v>
      </c>
      <c r="U139" s="1" t="s">
        <v>429</v>
      </c>
      <c r="V139" s="1">
        <v>188.05</v>
      </c>
      <c r="W139" s="1">
        <v>201.4</v>
      </c>
      <c r="X139" s="1">
        <v>174.7</v>
      </c>
      <c r="Y139" s="1" t="s">
        <v>39</v>
      </c>
      <c r="Z139" s="1" t="s">
        <v>302</v>
      </c>
      <c r="AA139" s="1">
        <v>30.957000000000001</v>
      </c>
      <c r="AB139" s="1">
        <v>110.746</v>
      </c>
      <c r="AC139" s="63" t="s">
        <v>39</v>
      </c>
      <c r="AD139" s="63" t="s">
        <v>39</v>
      </c>
      <c r="AE139" s="63" t="s">
        <v>39</v>
      </c>
      <c r="AF139" s="63" t="s">
        <v>39</v>
      </c>
      <c r="AG139" s="63" t="s">
        <v>39</v>
      </c>
      <c r="AH139" s="1">
        <v>90</v>
      </c>
      <c r="AI139" s="65">
        <v>3</v>
      </c>
      <c r="AJ139" s="65">
        <v>50</v>
      </c>
      <c r="AK139" s="62">
        <v>33.333333333333336</v>
      </c>
      <c r="AL139" s="66">
        <v>5.6603773584905666</v>
      </c>
      <c r="AM139" s="66">
        <v>2.7777777777777848</v>
      </c>
      <c r="AN139" s="66">
        <v>0.98386991009990754</v>
      </c>
      <c r="AO139" s="1" t="s">
        <v>29</v>
      </c>
      <c r="AP139" s="1" t="s">
        <v>480</v>
      </c>
      <c r="AQ139" s="1" t="s">
        <v>481</v>
      </c>
      <c r="AR139" s="1">
        <v>757.40561525102555</v>
      </c>
      <c r="AS139" s="1" t="s">
        <v>451</v>
      </c>
      <c r="AT139" s="1">
        <v>562.03703744638176</v>
      </c>
      <c r="AU139" s="1">
        <v>952.77419305566934</v>
      </c>
      <c r="AV139" s="67" t="s">
        <v>490</v>
      </c>
      <c r="AW139" s="1" t="s">
        <v>494</v>
      </c>
      <c r="AX139" s="1" t="s">
        <v>39</v>
      </c>
    </row>
    <row r="140" spans="1:50" s="1" customFormat="1">
      <c r="A140" s="1" t="s">
        <v>36</v>
      </c>
      <c r="B140" s="1" t="s">
        <v>290</v>
      </c>
      <c r="C140" s="1">
        <v>2020</v>
      </c>
      <c r="D140" s="11" t="str">
        <f t="shared" si="17"/>
        <v>10.1016/j.palaeo.2019.109547</v>
      </c>
      <c r="E140" s="7">
        <f t="shared" si="18"/>
        <v>188050</v>
      </c>
      <c r="F140" s="7">
        <f t="shared" si="19"/>
        <v>13349.999999999995</v>
      </c>
      <c r="G140" s="7">
        <f t="shared" si="20"/>
        <v>13350.000000000022</v>
      </c>
      <c r="H140" s="8">
        <f t="shared" si="21"/>
        <v>1500.1462150859309</v>
      </c>
      <c r="I140" s="8">
        <f t="shared" si="22"/>
        <v>446.02633663363372</v>
      </c>
      <c r="J140" s="15">
        <f t="shared" si="23"/>
        <v>446.02633663363372</v>
      </c>
      <c r="K140" s="1" t="s">
        <v>291</v>
      </c>
      <c r="L140" s="61" t="s">
        <v>292</v>
      </c>
      <c r="M140" t="s">
        <v>293</v>
      </c>
      <c r="N140" s="1" t="s">
        <v>294</v>
      </c>
      <c r="O140" s="65" t="s">
        <v>445</v>
      </c>
      <c r="P140" s="63" t="s">
        <v>28</v>
      </c>
      <c r="Q140" s="64" t="s">
        <v>427</v>
      </c>
      <c r="R140" s="1" t="s">
        <v>428</v>
      </c>
      <c r="S140" s="1" t="s">
        <v>298</v>
      </c>
      <c r="T140" s="1" t="s">
        <v>299</v>
      </c>
      <c r="U140" s="1" t="s">
        <v>429</v>
      </c>
      <c r="V140" s="1">
        <v>188.05</v>
      </c>
      <c r="W140" s="1">
        <v>201.4</v>
      </c>
      <c r="X140" s="1">
        <v>174.7</v>
      </c>
      <c r="Y140" s="1" t="s">
        <v>39</v>
      </c>
      <c r="Z140" s="1" t="s">
        <v>302</v>
      </c>
      <c r="AA140" s="1">
        <v>30.957000000000001</v>
      </c>
      <c r="AB140" s="1">
        <v>110.746</v>
      </c>
      <c r="AC140" s="63" t="s">
        <v>39</v>
      </c>
      <c r="AD140" s="63" t="s">
        <v>39</v>
      </c>
      <c r="AE140" s="63" t="s">
        <v>39</v>
      </c>
      <c r="AF140" s="63" t="s">
        <v>39</v>
      </c>
      <c r="AG140" s="63" t="s">
        <v>39</v>
      </c>
      <c r="AH140" s="1">
        <v>90</v>
      </c>
      <c r="AI140" s="65">
        <v>2</v>
      </c>
      <c r="AJ140" s="65">
        <v>54</v>
      </c>
      <c r="AK140" s="62">
        <v>22.222222222222221</v>
      </c>
      <c r="AL140" s="66">
        <v>3.5714285714285712</v>
      </c>
      <c r="AM140" s="66">
        <v>3.2075014954979273</v>
      </c>
      <c r="AN140" s="66">
        <v>0.71554175279993271</v>
      </c>
      <c r="AO140" s="1" t="s">
        <v>29</v>
      </c>
      <c r="AP140" s="1" t="s">
        <v>482</v>
      </c>
      <c r="AQ140" s="1" t="s">
        <v>483</v>
      </c>
      <c r="AR140" s="1">
        <v>1500.1462150859309</v>
      </c>
      <c r="AS140" s="1" t="s">
        <v>451</v>
      </c>
      <c r="AT140" s="1">
        <v>1054.1198784522971</v>
      </c>
      <c r="AU140" s="1">
        <v>1946.1725517195646</v>
      </c>
      <c r="AV140" s="67" t="s">
        <v>490</v>
      </c>
      <c r="AW140" s="1" t="s">
        <v>494</v>
      </c>
      <c r="AX140" s="1" t="s">
        <v>39</v>
      </c>
    </row>
    <row r="141" spans="1:50" s="1" customFormat="1">
      <c r="A141" s="1" t="s">
        <v>36</v>
      </c>
      <c r="B141" s="1" t="s">
        <v>290</v>
      </c>
      <c r="C141" s="1">
        <v>2020</v>
      </c>
      <c r="D141" s="11" t="str">
        <f t="shared" si="17"/>
        <v>10.1016/j.palaeo.2019.109547</v>
      </c>
      <c r="E141" s="7">
        <f t="shared" si="18"/>
        <v>188050</v>
      </c>
      <c r="F141" s="7">
        <f t="shared" si="19"/>
        <v>13349.999999999995</v>
      </c>
      <c r="G141" s="7">
        <f t="shared" si="20"/>
        <v>13350.000000000022</v>
      </c>
      <c r="H141" s="8">
        <f t="shared" si="21"/>
        <v>1048.8329688098693</v>
      </c>
      <c r="I141" s="8">
        <f t="shared" si="22"/>
        <v>168.44983704113974</v>
      </c>
      <c r="J141" s="15">
        <f t="shared" si="23"/>
        <v>168.44983704113986</v>
      </c>
      <c r="K141" s="1" t="s">
        <v>291</v>
      </c>
      <c r="L141" s="61" t="s">
        <v>292</v>
      </c>
      <c r="M141" t="s">
        <v>293</v>
      </c>
      <c r="N141" s="1" t="s">
        <v>294</v>
      </c>
      <c r="O141" s="65" t="s">
        <v>446</v>
      </c>
      <c r="P141" s="63" t="s">
        <v>28</v>
      </c>
      <c r="Q141" s="64" t="s">
        <v>427</v>
      </c>
      <c r="R141" s="1" t="s">
        <v>428</v>
      </c>
      <c r="S141" s="1" t="s">
        <v>298</v>
      </c>
      <c r="T141" s="1" t="s">
        <v>299</v>
      </c>
      <c r="U141" s="1" t="s">
        <v>429</v>
      </c>
      <c r="V141" s="1">
        <v>188.05</v>
      </c>
      <c r="W141" s="1">
        <v>201.4</v>
      </c>
      <c r="X141" s="1">
        <v>174.7</v>
      </c>
      <c r="Y141" s="1" t="s">
        <v>39</v>
      </c>
      <c r="Z141" s="1" t="s">
        <v>302</v>
      </c>
      <c r="AA141" s="1">
        <v>30.957000000000001</v>
      </c>
      <c r="AB141" s="1">
        <v>110.746</v>
      </c>
      <c r="AC141" s="63" t="s">
        <v>39</v>
      </c>
      <c r="AD141" s="63" t="s">
        <v>39</v>
      </c>
      <c r="AE141" s="63" t="s">
        <v>39</v>
      </c>
      <c r="AF141" s="63" t="s">
        <v>39</v>
      </c>
      <c r="AG141" s="63" t="s">
        <v>39</v>
      </c>
      <c r="AH141" s="1">
        <v>90</v>
      </c>
      <c r="AI141" s="65">
        <v>3</v>
      </c>
      <c r="AJ141" s="65">
        <v>63</v>
      </c>
      <c r="AK141" s="62">
        <v>33.333333333333336</v>
      </c>
      <c r="AL141" s="66">
        <v>4.5454545454545459</v>
      </c>
      <c r="AM141" s="66">
        <v>3.2075014954979362</v>
      </c>
      <c r="AN141" s="66">
        <v>0.49193495504995377</v>
      </c>
      <c r="AO141" s="1" t="s">
        <v>29</v>
      </c>
      <c r="AP141" s="1" t="s">
        <v>484</v>
      </c>
      <c r="AQ141" s="1" t="s">
        <v>485</v>
      </c>
      <c r="AR141" s="1">
        <v>1048.8329688098693</v>
      </c>
      <c r="AS141" s="1" t="s">
        <v>451</v>
      </c>
      <c r="AT141" s="1">
        <v>880.38313176872941</v>
      </c>
      <c r="AU141" s="1">
        <v>1217.282805851009</v>
      </c>
      <c r="AV141" s="67" t="s">
        <v>490</v>
      </c>
      <c r="AW141" s="1" t="s">
        <v>494</v>
      </c>
      <c r="AX141" s="1" t="s">
        <v>39</v>
      </c>
    </row>
    <row r="142" spans="1:50" s="1" customFormat="1">
      <c r="A142" s="1" t="s">
        <v>36</v>
      </c>
      <c r="B142" s="1" t="s">
        <v>290</v>
      </c>
      <c r="C142" s="1">
        <v>2020</v>
      </c>
      <c r="D142" s="11" t="str">
        <f t="shared" si="17"/>
        <v>10.1016/j.palaeo.2019.109547</v>
      </c>
      <c r="E142" s="7">
        <f t="shared" si="18"/>
        <v>188050</v>
      </c>
      <c r="F142" s="7">
        <f t="shared" si="19"/>
        <v>13349.999999999995</v>
      </c>
      <c r="G142" s="7">
        <f t="shared" si="20"/>
        <v>13350.000000000022</v>
      </c>
      <c r="H142" s="8">
        <f t="shared" si="21"/>
        <v>1072.5020655879248</v>
      </c>
      <c r="I142" s="8">
        <f t="shared" si="22"/>
        <v>190.75759136179704</v>
      </c>
      <c r="J142" s="15">
        <f t="shared" si="23"/>
        <v>190.75759136179704</v>
      </c>
      <c r="K142" s="1" t="s">
        <v>291</v>
      </c>
      <c r="L142" s="61" t="s">
        <v>292</v>
      </c>
      <c r="M142" t="s">
        <v>293</v>
      </c>
      <c r="N142" s="1" t="s">
        <v>294</v>
      </c>
      <c r="O142" s="65" t="s">
        <v>447</v>
      </c>
      <c r="P142" s="63" t="s">
        <v>28</v>
      </c>
      <c r="Q142" s="64" t="s">
        <v>427</v>
      </c>
      <c r="R142" s="1" t="s">
        <v>428</v>
      </c>
      <c r="S142" s="1" t="s">
        <v>298</v>
      </c>
      <c r="T142" s="1" t="s">
        <v>299</v>
      </c>
      <c r="U142" s="1" t="s">
        <v>429</v>
      </c>
      <c r="V142" s="1">
        <v>188.05</v>
      </c>
      <c r="W142" s="1">
        <v>201.4</v>
      </c>
      <c r="X142" s="1">
        <v>174.7</v>
      </c>
      <c r="Y142" s="1" t="s">
        <v>39</v>
      </c>
      <c r="Z142" s="1" t="s">
        <v>302</v>
      </c>
      <c r="AA142" s="1">
        <v>30.957000000000001</v>
      </c>
      <c r="AB142" s="1">
        <v>110.746</v>
      </c>
      <c r="AC142" s="63" t="s">
        <v>39</v>
      </c>
      <c r="AD142" s="63" t="s">
        <v>39</v>
      </c>
      <c r="AE142" s="63" t="s">
        <v>39</v>
      </c>
      <c r="AF142" s="63" t="s">
        <v>39</v>
      </c>
      <c r="AG142" s="63" t="s">
        <v>39</v>
      </c>
      <c r="AH142" s="1">
        <v>90</v>
      </c>
      <c r="AI142" s="65">
        <v>3</v>
      </c>
      <c r="AJ142" s="65">
        <v>64</v>
      </c>
      <c r="AK142" s="62">
        <v>33.333333333333336</v>
      </c>
      <c r="AL142" s="66">
        <v>4.4776119402985071</v>
      </c>
      <c r="AM142" s="66">
        <v>3.9283710065919384</v>
      </c>
      <c r="AN142" s="66">
        <v>0.53665631459994956</v>
      </c>
      <c r="AO142" s="1" t="s">
        <v>29</v>
      </c>
      <c r="AP142" s="1" t="s">
        <v>486</v>
      </c>
      <c r="AQ142" s="1" t="s">
        <v>487</v>
      </c>
      <c r="AR142" s="1">
        <v>1072.5020655879248</v>
      </c>
      <c r="AS142" s="1" t="s">
        <v>451</v>
      </c>
      <c r="AT142" s="1">
        <v>881.74447422612775</v>
      </c>
      <c r="AU142" s="1">
        <v>1263.2596569497218</v>
      </c>
      <c r="AV142" s="67" t="s">
        <v>490</v>
      </c>
      <c r="AW142" s="1" t="s">
        <v>494</v>
      </c>
      <c r="AX142" s="1" t="s">
        <v>39</v>
      </c>
    </row>
    <row r="143" spans="1:50" s="1" customFormat="1">
      <c r="A143" s="1" t="s">
        <v>36</v>
      </c>
      <c r="B143" s="1" t="s">
        <v>290</v>
      </c>
      <c r="C143" s="1">
        <v>2020</v>
      </c>
      <c r="D143" s="11" t="str">
        <f t="shared" si="17"/>
        <v>10.1016/j.palaeo.2019.109547</v>
      </c>
      <c r="E143" s="7">
        <f t="shared" si="18"/>
        <v>188050</v>
      </c>
      <c r="F143" s="7">
        <f t="shared" si="19"/>
        <v>13349.999999999995</v>
      </c>
      <c r="G143" s="7">
        <f t="shared" si="20"/>
        <v>13350.000000000022</v>
      </c>
      <c r="H143" s="8">
        <f t="shared" si="21"/>
        <v>2044.9119326588248</v>
      </c>
      <c r="I143" s="8">
        <f t="shared" si="22"/>
        <v>608.67568802147116</v>
      </c>
      <c r="J143" s="15">
        <f t="shared" si="23"/>
        <v>608.67568802147139</v>
      </c>
      <c r="K143" s="1" t="s">
        <v>291</v>
      </c>
      <c r="L143" s="61" t="s">
        <v>292</v>
      </c>
      <c r="M143" t="s">
        <v>293</v>
      </c>
      <c r="N143" s="1" t="s">
        <v>294</v>
      </c>
      <c r="O143" s="65" t="s">
        <v>448</v>
      </c>
      <c r="P143" s="63" t="s">
        <v>28</v>
      </c>
      <c r="Q143" s="64" t="s">
        <v>427</v>
      </c>
      <c r="R143" s="1" t="s">
        <v>428</v>
      </c>
      <c r="S143" s="1" t="s">
        <v>298</v>
      </c>
      <c r="T143" s="1" t="s">
        <v>299</v>
      </c>
      <c r="U143" s="1" t="s">
        <v>429</v>
      </c>
      <c r="V143" s="1">
        <v>188.05</v>
      </c>
      <c r="W143" s="1">
        <v>201.4</v>
      </c>
      <c r="X143" s="1">
        <v>174.7</v>
      </c>
      <c r="Y143" s="1" t="s">
        <v>39</v>
      </c>
      <c r="Z143" s="1" t="s">
        <v>302</v>
      </c>
      <c r="AA143" s="1">
        <v>30.957000000000001</v>
      </c>
      <c r="AB143" s="1">
        <v>110.746</v>
      </c>
      <c r="AC143" s="63" t="s">
        <v>39</v>
      </c>
      <c r="AD143" s="63" t="s">
        <v>39</v>
      </c>
      <c r="AE143" s="63" t="s">
        <v>39</v>
      </c>
      <c r="AF143" s="63" t="s">
        <v>39</v>
      </c>
      <c r="AG143" s="63" t="s">
        <v>39</v>
      </c>
      <c r="AH143" s="1">
        <v>90</v>
      </c>
      <c r="AI143" s="65">
        <v>2</v>
      </c>
      <c r="AJ143" s="65">
        <v>67</v>
      </c>
      <c r="AK143" s="62">
        <v>22.222222222222221</v>
      </c>
      <c r="AL143" s="66">
        <v>2.8985507246376812</v>
      </c>
      <c r="AM143" s="66">
        <v>3.7037037037037215</v>
      </c>
      <c r="AN143" s="66">
        <v>0.58137767414994534</v>
      </c>
      <c r="AO143" s="1" t="s">
        <v>29</v>
      </c>
      <c r="AP143" s="1" t="s">
        <v>488</v>
      </c>
      <c r="AQ143" s="1" t="s">
        <v>489</v>
      </c>
      <c r="AR143" s="1">
        <v>2044.9119326588248</v>
      </c>
      <c r="AS143" s="1" t="s">
        <v>451</v>
      </c>
      <c r="AT143" s="1">
        <v>1436.2362446373534</v>
      </c>
      <c r="AU143" s="1">
        <v>2653.5876206802959</v>
      </c>
      <c r="AV143" s="67" t="s">
        <v>490</v>
      </c>
      <c r="AW143" s="1" t="s">
        <v>494</v>
      </c>
      <c r="AX143" s="1" t="s">
        <v>39</v>
      </c>
    </row>
    <row r="144" spans="1:50" s="1" customFormat="1">
      <c r="D144" s="11"/>
      <c r="E144" s="7"/>
      <c r="F144" s="7"/>
      <c r="G144" s="7"/>
      <c r="H144" s="7"/>
      <c r="I144" s="7"/>
      <c r="J144" s="16"/>
    </row>
    <row r="145" spans="4:10" s="1" customFormat="1">
      <c r="D145" s="11"/>
      <c r="E145" s="7"/>
      <c r="F145" s="7"/>
      <c r="G145" s="7"/>
      <c r="H145" s="7"/>
      <c r="I145" s="7"/>
      <c r="J145" s="16"/>
    </row>
    <row r="146" spans="4:10" s="1" customFormat="1">
      <c r="D146" s="11"/>
      <c r="E146" s="7"/>
      <c r="F146" s="7"/>
      <c r="G146" s="7"/>
      <c r="H146" s="7"/>
      <c r="I146" s="7"/>
      <c r="J146" s="16"/>
    </row>
    <row r="147" spans="4:10" s="1" customFormat="1">
      <c r="D147" s="11"/>
      <c r="E147" s="7"/>
      <c r="F147" s="7"/>
      <c r="G147" s="7"/>
      <c r="H147" s="7"/>
      <c r="I147" s="7"/>
      <c r="J147" s="16"/>
    </row>
    <row r="148" spans="4:10" s="1" customFormat="1">
      <c r="D148" s="11"/>
      <c r="E148" s="7"/>
      <c r="F148" s="7"/>
      <c r="G148" s="7"/>
      <c r="H148" s="7"/>
      <c r="I148" s="7"/>
      <c r="J148" s="16"/>
    </row>
    <row r="149" spans="4:10" s="1" customFormat="1">
      <c r="D149" s="11"/>
      <c r="E149" s="7"/>
      <c r="F149" s="7"/>
      <c r="G149" s="7"/>
      <c r="H149" s="7"/>
      <c r="I149" s="7"/>
      <c r="J149" s="16"/>
    </row>
    <row r="150" spans="4:10" s="1" customFormat="1">
      <c r="D150" s="11"/>
      <c r="E150" s="7"/>
      <c r="F150" s="7"/>
      <c r="G150" s="7"/>
      <c r="H150" s="7"/>
      <c r="I150" s="7"/>
      <c r="J150" s="16"/>
    </row>
    <row r="151" spans="4:10" s="1" customFormat="1">
      <c r="D151" s="11"/>
      <c r="E151" s="7"/>
      <c r="F151" s="7"/>
      <c r="G151" s="7"/>
      <c r="H151" s="7"/>
      <c r="I151" s="7"/>
      <c r="J151" s="16"/>
    </row>
    <row r="152" spans="4:10" s="1" customFormat="1">
      <c r="D152" s="11"/>
      <c r="E152" s="7"/>
      <c r="F152" s="7"/>
      <c r="G152" s="7"/>
      <c r="H152" s="7"/>
      <c r="I152" s="7"/>
      <c r="J152" s="16"/>
    </row>
    <row r="153" spans="4:10" s="1" customFormat="1">
      <c r="D153" s="11"/>
      <c r="E153" s="7"/>
      <c r="F153" s="7"/>
      <c r="G153" s="7"/>
      <c r="H153" s="7"/>
      <c r="I153" s="7"/>
      <c r="J153" s="16"/>
    </row>
    <row r="154" spans="4:10" s="1" customFormat="1">
      <c r="D154" s="11"/>
      <c r="E154" s="7"/>
      <c r="F154" s="7"/>
      <c r="G154" s="7"/>
      <c r="H154" s="7"/>
      <c r="I154" s="7"/>
      <c r="J154" s="16"/>
    </row>
    <row r="155" spans="4:10" s="1" customFormat="1">
      <c r="D155" s="11"/>
      <c r="E155" s="7"/>
      <c r="F155" s="7"/>
      <c r="G155" s="7"/>
      <c r="H155" s="7"/>
      <c r="I155" s="7"/>
      <c r="J155" s="16"/>
    </row>
    <row r="156" spans="4:10" s="1" customFormat="1">
      <c r="D156" s="11"/>
      <c r="E156" s="7"/>
      <c r="F156" s="7"/>
      <c r="G156" s="7"/>
      <c r="H156" s="7"/>
      <c r="I156" s="7"/>
      <c r="J156" s="16"/>
    </row>
    <row r="157" spans="4:10" s="1" customFormat="1">
      <c r="D157" s="11"/>
      <c r="E157" s="7"/>
      <c r="F157" s="7"/>
      <c r="G157" s="7"/>
      <c r="H157" s="7"/>
      <c r="I157" s="7"/>
      <c r="J157" s="16"/>
    </row>
    <row r="158" spans="4:10" s="1" customFormat="1">
      <c r="D158" s="11"/>
      <c r="E158" s="7"/>
      <c r="F158" s="7"/>
      <c r="G158" s="7"/>
      <c r="H158" s="7"/>
      <c r="I158" s="7"/>
      <c r="J158" s="16"/>
    </row>
    <row r="159" spans="4:10" s="1" customFormat="1">
      <c r="D159" s="11"/>
      <c r="E159" s="7"/>
      <c r="F159" s="7"/>
      <c r="G159" s="7"/>
      <c r="H159" s="7"/>
      <c r="I159" s="7"/>
      <c r="J159" s="16"/>
    </row>
    <row r="160" spans="4:10" s="1" customFormat="1">
      <c r="D160" s="11"/>
      <c r="E160" s="7"/>
      <c r="F160" s="7"/>
      <c r="G160" s="7"/>
      <c r="H160" s="7"/>
      <c r="I160" s="7"/>
      <c r="J160" s="16"/>
    </row>
    <row r="161" spans="4:10" s="1" customFormat="1">
      <c r="D161" s="11"/>
      <c r="E161" s="7"/>
      <c r="F161" s="7"/>
      <c r="G161" s="7"/>
      <c r="H161" s="7"/>
      <c r="I161" s="7"/>
      <c r="J161" s="16"/>
    </row>
    <row r="162" spans="4:10" s="1" customFormat="1">
      <c r="D162" s="11"/>
      <c r="E162" s="7"/>
      <c r="F162" s="7"/>
      <c r="G162" s="7"/>
      <c r="H162" s="7"/>
      <c r="I162" s="7"/>
      <c r="J162" s="16"/>
    </row>
    <row r="163" spans="4:10" s="1" customFormat="1">
      <c r="D163" s="11"/>
      <c r="E163" s="7"/>
      <c r="F163" s="7"/>
      <c r="G163" s="7"/>
      <c r="H163" s="7"/>
      <c r="I163" s="7"/>
      <c r="J163" s="16"/>
    </row>
    <row r="164" spans="4:10" s="1" customFormat="1">
      <c r="D164" s="11"/>
      <c r="E164" s="7"/>
      <c r="F164" s="7"/>
      <c r="G164" s="7"/>
      <c r="H164" s="7"/>
      <c r="I164" s="7"/>
      <c r="J164" s="16"/>
    </row>
    <row r="165" spans="4:10" s="1" customFormat="1">
      <c r="D165" s="11"/>
      <c r="E165" s="7"/>
      <c r="F165" s="7"/>
      <c r="G165" s="7"/>
      <c r="H165" s="7"/>
      <c r="I165" s="7"/>
      <c r="J165" s="16"/>
    </row>
    <row r="166" spans="4:10" s="1" customFormat="1">
      <c r="D166" s="11"/>
      <c r="E166" s="7"/>
      <c r="F166" s="7"/>
      <c r="G166" s="7"/>
      <c r="H166" s="7"/>
      <c r="I166" s="7"/>
      <c r="J166" s="16"/>
    </row>
    <row r="167" spans="4:10" s="1" customFormat="1">
      <c r="D167" s="11"/>
      <c r="E167" s="7"/>
      <c r="F167" s="7"/>
      <c r="G167" s="7"/>
      <c r="H167" s="7"/>
      <c r="I167" s="7"/>
      <c r="J167" s="16"/>
    </row>
    <row r="168" spans="4:10" s="1" customFormat="1">
      <c r="D168" s="11"/>
      <c r="E168" s="7"/>
      <c r="F168" s="7"/>
      <c r="G168" s="7"/>
      <c r="H168" s="7"/>
      <c r="I168" s="7"/>
      <c r="J168" s="16"/>
    </row>
    <row r="169" spans="4:10" s="1" customFormat="1">
      <c r="D169" s="11"/>
      <c r="E169" s="7"/>
      <c r="F169" s="7"/>
      <c r="G169" s="7"/>
      <c r="H169" s="7"/>
      <c r="I169" s="7"/>
      <c r="J169" s="16"/>
    </row>
    <row r="170" spans="4:10" s="1" customFormat="1">
      <c r="D170" s="11"/>
      <c r="E170" s="7"/>
      <c r="F170" s="7"/>
      <c r="G170" s="7"/>
      <c r="H170" s="7"/>
      <c r="I170" s="7"/>
      <c r="J170" s="16"/>
    </row>
    <row r="171" spans="4:10" s="1" customFormat="1">
      <c r="D171" s="11"/>
      <c r="E171" s="7"/>
      <c r="F171" s="7"/>
      <c r="G171" s="7"/>
      <c r="H171" s="7"/>
      <c r="I171" s="7"/>
      <c r="J171" s="16"/>
    </row>
    <row r="172" spans="4:10" s="1" customFormat="1">
      <c r="D172" s="11"/>
      <c r="E172" s="7"/>
      <c r="F172" s="7"/>
      <c r="G172" s="7"/>
      <c r="H172" s="7"/>
      <c r="I172" s="7"/>
      <c r="J172" s="16"/>
    </row>
    <row r="173" spans="4:10" s="1" customFormat="1">
      <c r="D173" s="11"/>
      <c r="E173" s="7"/>
      <c r="F173" s="7"/>
      <c r="G173" s="7"/>
      <c r="H173" s="7"/>
      <c r="I173" s="7"/>
      <c r="J173" s="16"/>
    </row>
    <row r="174" spans="4:10" s="1" customFormat="1">
      <c r="D174" s="11"/>
      <c r="E174" s="7"/>
      <c r="F174" s="7"/>
      <c r="G174" s="7"/>
      <c r="H174" s="7"/>
      <c r="I174" s="7"/>
      <c r="J174" s="16"/>
    </row>
    <row r="175" spans="4:10" s="1" customFormat="1">
      <c r="D175" s="11"/>
      <c r="E175" s="7"/>
      <c r="F175" s="7"/>
      <c r="G175" s="7"/>
      <c r="H175" s="7"/>
      <c r="I175" s="7"/>
      <c r="J175" s="16"/>
    </row>
    <row r="176" spans="4:10" s="1" customFormat="1">
      <c r="D176" s="11"/>
      <c r="E176" s="7"/>
      <c r="F176" s="7"/>
      <c r="G176" s="7"/>
      <c r="H176" s="7"/>
      <c r="I176" s="7"/>
      <c r="J176" s="16"/>
    </row>
    <row r="177" spans="4:10" s="1" customFormat="1">
      <c r="D177" s="11"/>
      <c r="E177" s="7"/>
      <c r="F177" s="7"/>
      <c r="G177" s="7"/>
      <c r="H177" s="7"/>
      <c r="I177" s="7"/>
      <c r="J177" s="16"/>
    </row>
    <row r="178" spans="4:10" s="1" customFormat="1">
      <c r="D178" s="11"/>
      <c r="E178" s="7"/>
      <c r="F178" s="7"/>
      <c r="G178" s="7"/>
      <c r="H178" s="7"/>
      <c r="I178" s="7"/>
      <c r="J178" s="16"/>
    </row>
    <row r="179" spans="4:10" s="1" customFormat="1">
      <c r="D179" s="11"/>
      <c r="E179" s="7"/>
      <c r="F179" s="7"/>
      <c r="G179" s="7"/>
      <c r="H179" s="7"/>
      <c r="I179" s="7"/>
      <c r="J179" s="16"/>
    </row>
    <row r="180" spans="4:10" s="1" customFormat="1">
      <c r="D180" s="11"/>
      <c r="E180" s="7"/>
      <c r="F180" s="7"/>
      <c r="G180" s="7"/>
      <c r="H180" s="7"/>
      <c r="I180" s="7"/>
      <c r="J180" s="16"/>
    </row>
    <row r="181" spans="4:10" s="1" customFormat="1">
      <c r="D181" s="11"/>
      <c r="E181" s="7"/>
      <c r="F181" s="7"/>
      <c r="G181" s="7"/>
      <c r="H181" s="7"/>
      <c r="I181" s="7"/>
      <c r="J181" s="16"/>
    </row>
    <row r="182" spans="4:10" s="1" customFormat="1">
      <c r="D182" s="11"/>
      <c r="E182" s="7"/>
      <c r="F182" s="7"/>
      <c r="G182" s="7"/>
      <c r="H182" s="7"/>
      <c r="I182" s="7"/>
      <c r="J182" s="16"/>
    </row>
    <row r="183" spans="4:10" s="1" customFormat="1">
      <c r="D183" s="11"/>
      <c r="E183" s="7"/>
      <c r="F183" s="7"/>
      <c r="G183" s="7"/>
      <c r="H183" s="7"/>
      <c r="I183" s="7"/>
      <c r="J183" s="16"/>
    </row>
    <row r="184" spans="4:10" s="1" customFormat="1">
      <c r="D184" s="11"/>
      <c r="E184" s="7"/>
      <c r="F184" s="7"/>
      <c r="G184" s="7"/>
      <c r="H184" s="7"/>
      <c r="I184" s="7"/>
      <c r="J184" s="16"/>
    </row>
    <row r="185" spans="4:10" s="1" customFormat="1">
      <c r="D185" s="11"/>
      <c r="E185" s="7"/>
      <c r="F185" s="7"/>
      <c r="G185" s="7"/>
      <c r="H185" s="7"/>
      <c r="I185" s="7"/>
      <c r="J185" s="16"/>
    </row>
    <row r="186" spans="4:10" s="1" customFormat="1">
      <c r="D186" s="11"/>
      <c r="E186" s="7"/>
      <c r="F186" s="7"/>
      <c r="G186" s="7"/>
      <c r="H186" s="7"/>
      <c r="I186" s="7"/>
      <c r="J186" s="16"/>
    </row>
    <row r="187" spans="4:10" s="1" customFormat="1">
      <c r="D187" s="11"/>
      <c r="E187" s="7"/>
      <c r="F187" s="7"/>
      <c r="G187" s="7"/>
      <c r="H187" s="7"/>
      <c r="I187" s="7"/>
      <c r="J187" s="16"/>
    </row>
    <row r="188" spans="4:10" s="1" customFormat="1">
      <c r="D188" s="11"/>
      <c r="E188" s="7"/>
      <c r="F188" s="7"/>
      <c r="G188" s="7"/>
      <c r="H188" s="7"/>
      <c r="I188" s="7"/>
      <c r="J188" s="16"/>
    </row>
    <row r="189" spans="4:10" s="1" customFormat="1">
      <c r="D189" s="11"/>
      <c r="E189" s="7"/>
      <c r="F189" s="7"/>
      <c r="G189" s="7"/>
      <c r="H189" s="7"/>
      <c r="I189" s="7"/>
      <c r="J189" s="16"/>
    </row>
    <row r="190" spans="4:10" s="1" customFormat="1">
      <c r="D190" s="11"/>
      <c r="E190" s="7"/>
      <c r="F190" s="7"/>
      <c r="G190" s="7"/>
      <c r="H190" s="7"/>
      <c r="I190" s="7"/>
      <c r="J190" s="16"/>
    </row>
    <row r="191" spans="4:10" s="1" customFormat="1">
      <c r="D191" s="11"/>
      <c r="E191" s="7"/>
      <c r="F191" s="7"/>
      <c r="G191" s="7"/>
      <c r="H191" s="7"/>
      <c r="I191" s="7"/>
      <c r="J191" s="16"/>
    </row>
    <row r="192" spans="4:10" s="1" customFormat="1">
      <c r="D192" s="11"/>
      <c r="E192" s="7"/>
      <c r="F192" s="7"/>
      <c r="G192" s="7"/>
      <c r="H192" s="7"/>
      <c r="I192" s="7"/>
      <c r="J192" s="16"/>
    </row>
    <row r="193" spans="4:10" s="1" customFormat="1">
      <c r="D193" s="11"/>
      <c r="E193" s="7"/>
      <c r="F193" s="7"/>
      <c r="G193" s="7"/>
      <c r="H193" s="7"/>
      <c r="I193" s="7"/>
      <c r="J193" s="16"/>
    </row>
    <row r="194" spans="4:10" s="1" customFormat="1">
      <c r="D194" s="11"/>
      <c r="E194" s="7"/>
      <c r="F194" s="7"/>
      <c r="G194" s="7"/>
      <c r="H194" s="7"/>
      <c r="I194" s="7"/>
      <c r="J194" s="16"/>
    </row>
    <row r="195" spans="4:10" s="1" customFormat="1">
      <c r="D195" s="11"/>
      <c r="E195" s="7"/>
      <c r="F195" s="7"/>
      <c r="G195" s="7"/>
      <c r="H195" s="7"/>
      <c r="I195" s="7"/>
      <c r="J195" s="16"/>
    </row>
    <row r="196" spans="4:10" s="1" customFormat="1">
      <c r="D196" s="11"/>
      <c r="E196" s="7"/>
      <c r="F196" s="7"/>
      <c r="G196" s="7"/>
      <c r="H196" s="7"/>
      <c r="I196" s="7"/>
      <c r="J196" s="16"/>
    </row>
    <row r="197" spans="4:10" s="1" customFormat="1">
      <c r="D197" s="11"/>
      <c r="E197" s="7"/>
      <c r="F197" s="7"/>
      <c r="G197" s="7"/>
      <c r="H197" s="7"/>
      <c r="I197" s="7"/>
      <c r="J197" s="16"/>
    </row>
    <row r="198" spans="4:10" s="1" customFormat="1">
      <c r="D198" s="11"/>
      <c r="E198" s="7"/>
      <c r="F198" s="7"/>
      <c r="G198" s="7"/>
      <c r="H198" s="7"/>
      <c r="I198" s="7"/>
      <c r="J198" s="16"/>
    </row>
    <row r="199" spans="4:10" s="1" customFormat="1">
      <c r="D199" s="11"/>
      <c r="E199" s="7"/>
      <c r="F199" s="7"/>
      <c r="G199" s="7"/>
      <c r="H199" s="7"/>
      <c r="I199" s="7"/>
      <c r="J199" s="16"/>
    </row>
    <row r="200" spans="4:10" s="1" customFormat="1">
      <c r="D200" s="11"/>
      <c r="E200" s="7"/>
      <c r="F200" s="7"/>
      <c r="G200" s="7"/>
      <c r="H200" s="7"/>
      <c r="I200" s="7"/>
      <c r="J200" s="16"/>
    </row>
    <row r="201" spans="4:10" s="1" customFormat="1">
      <c r="D201" s="11"/>
      <c r="E201" s="7"/>
      <c r="F201" s="7"/>
      <c r="G201" s="7"/>
      <c r="H201" s="7"/>
      <c r="I201" s="7"/>
      <c r="J201" s="16"/>
    </row>
    <row r="202" spans="4:10" s="1" customFormat="1">
      <c r="D202" s="11"/>
      <c r="E202" s="7"/>
      <c r="F202" s="7"/>
      <c r="G202" s="7"/>
      <c r="H202" s="7"/>
      <c r="I202" s="7"/>
      <c r="J202" s="16"/>
    </row>
    <row r="203" spans="4:10" s="1" customFormat="1">
      <c r="D203" s="11"/>
      <c r="E203" s="7"/>
      <c r="F203" s="7"/>
      <c r="G203" s="7"/>
      <c r="H203" s="7"/>
      <c r="I203" s="7"/>
      <c r="J203" s="16"/>
    </row>
    <row r="204" spans="4:10" s="1" customFormat="1">
      <c r="D204" s="11"/>
      <c r="E204" s="7"/>
      <c r="F204" s="7"/>
      <c r="G204" s="7"/>
      <c r="H204" s="7"/>
      <c r="I204" s="7"/>
      <c r="J204" s="16"/>
    </row>
    <row r="205" spans="4:10" s="1" customFormat="1">
      <c r="D205" s="11"/>
      <c r="E205" s="7"/>
      <c r="F205" s="7"/>
      <c r="G205" s="7"/>
      <c r="H205" s="7"/>
      <c r="I205" s="7"/>
      <c r="J205" s="16"/>
    </row>
    <row r="206" spans="4:10" s="1" customFormat="1">
      <c r="D206" s="11"/>
      <c r="E206" s="7"/>
      <c r="F206" s="7"/>
      <c r="G206" s="7"/>
      <c r="H206" s="7"/>
      <c r="I206" s="7"/>
      <c r="J206" s="16"/>
    </row>
    <row r="207" spans="4:10" s="1" customFormat="1">
      <c r="D207" s="11"/>
      <c r="E207" s="7"/>
      <c r="F207" s="7"/>
      <c r="G207" s="7"/>
      <c r="H207" s="7"/>
      <c r="I207" s="7"/>
      <c r="J207" s="16"/>
    </row>
    <row r="208" spans="4:10" s="1" customFormat="1">
      <c r="D208" s="11"/>
      <c r="E208" s="7"/>
      <c r="F208" s="7"/>
      <c r="G208" s="7"/>
      <c r="H208" s="7"/>
      <c r="I208" s="7"/>
      <c r="J208" s="16"/>
    </row>
    <row r="209" spans="4:10" s="1" customFormat="1">
      <c r="D209" s="11"/>
      <c r="E209" s="7"/>
      <c r="F209" s="7"/>
      <c r="G209" s="7"/>
      <c r="H209" s="7"/>
      <c r="I209" s="7"/>
      <c r="J209" s="16"/>
    </row>
    <row r="210" spans="4:10" s="1" customFormat="1">
      <c r="D210" s="11"/>
      <c r="E210" s="7"/>
      <c r="F210" s="7"/>
      <c r="G210" s="7"/>
      <c r="H210" s="7"/>
      <c r="I210" s="7"/>
      <c r="J210" s="16"/>
    </row>
    <row r="211" spans="4:10" s="1" customFormat="1">
      <c r="D211" s="11"/>
      <c r="E211" s="7"/>
      <c r="F211" s="7"/>
      <c r="G211" s="7"/>
      <c r="H211" s="7"/>
      <c r="I211" s="7"/>
      <c r="J211" s="16"/>
    </row>
    <row r="212" spans="4:10" s="1" customFormat="1">
      <c r="D212" s="11"/>
      <c r="E212" s="7"/>
      <c r="F212" s="7"/>
      <c r="G212" s="7"/>
      <c r="H212" s="7"/>
      <c r="I212" s="7"/>
      <c r="J212" s="16"/>
    </row>
    <row r="213" spans="4:10" s="1" customFormat="1">
      <c r="D213" s="11"/>
      <c r="E213" s="7"/>
      <c r="F213" s="7"/>
      <c r="G213" s="7"/>
      <c r="H213" s="7"/>
      <c r="I213" s="7"/>
      <c r="J213" s="16"/>
    </row>
    <row r="214" spans="4:10" s="1" customFormat="1">
      <c r="D214" s="11"/>
      <c r="E214" s="7"/>
      <c r="F214" s="7"/>
      <c r="G214" s="7"/>
      <c r="H214" s="7"/>
      <c r="I214" s="7"/>
      <c r="J214" s="16"/>
    </row>
    <row r="215" spans="4:10" s="1" customFormat="1">
      <c r="D215" s="11"/>
      <c r="E215" s="7"/>
      <c r="F215" s="7"/>
      <c r="G215" s="7"/>
      <c r="H215" s="7"/>
      <c r="I215" s="7"/>
      <c r="J215" s="16"/>
    </row>
    <row r="216" spans="4:10" s="1" customFormat="1">
      <c r="D216" s="11"/>
      <c r="E216" s="7"/>
      <c r="F216" s="7"/>
      <c r="G216" s="7"/>
      <c r="H216" s="7"/>
      <c r="I216" s="7"/>
      <c r="J216" s="16"/>
    </row>
    <row r="217" spans="4:10" s="1" customFormat="1">
      <c r="D217" s="11"/>
      <c r="E217" s="7"/>
      <c r="F217" s="7"/>
      <c r="G217" s="7"/>
      <c r="H217" s="7"/>
      <c r="I217" s="7"/>
      <c r="J217" s="16"/>
    </row>
    <row r="218" spans="4:10" s="1" customFormat="1">
      <c r="D218" s="11"/>
      <c r="E218" s="7"/>
      <c r="F218" s="7"/>
      <c r="G218" s="7"/>
      <c r="H218" s="7"/>
      <c r="I218" s="7"/>
      <c r="J218" s="16"/>
    </row>
    <row r="219" spans="4:10" s="1" customFormat="1">
      <c r="D219" s="11"/>
      <c r="E219" s="7"/>
      <c r="F219" s="7"/>
      <c r="G219" s="7"/>
      <c r="H219" s="7"/>
      <c r="I219" s="7"/>
      <c r="J219" s="16"/>
    </row>
    <row r="220" spans="4:10" s="1" customFormat="1">
      <c r="D220" s="11"/>
      <c r="E220" s="7"/>
      <c r="F220" s="7"/>
      <c r="G220" s="7"/>
      <c r="H220" s="7"/>
      <c r="I220" s="7"/>
      <c r="J220" s="16"/>
    </row>
    <row r="221" spans="4:10" s="1" customFormat="1">
      <c r="D221" s="11"/>
      <c r="E221" s="7"/>
      <c r="F221" s="7"/>
      <c r="G221" s="7"/>
      <c r="H221" s="7"/>
      <c r="I221" s="7"/>
      <c r="J221" s="16"/>
    </row>
    <row r="222" spans="4:10" s="1" customFormat="1">
      <c r="D222" s="11"/>
      <c r="E222" s="7"/>
      <c r="F222" s="7"/>
      <c r="G222" s="7"/>
      <c r="H222" s="7"/>
      <c r="I222" s="7"/>
      <c r="J222" s="16"/>
    </row>
    <row r="223" spans="4:10" s="1" customFormat="1">
      <c r="D223" s="11"/>
      <c r="E223" s="7"/>
      <c r="F223" s="7"/>
      <c r="G223" s="7"/>
      <c r="H223" s="7"/>
      <c r="I223" s="7"/>
      <c r="J223" s="16"/>
    </row>
    <row r="224" spans="4:10" s="1" customFormat="1">
      <c r="D224" s="11"/>
      <c r="E224" s="7"/>
      <c r="F224" s="7"/>
      <c r="G224" s="7"/>
      <c r="H224" s="7"/>
      <c r="I224" s="7"/>
      <c r="J224" s="16"/>
    </row>
    <row r="225" spans="4:10" s="1" customFormat="1">
      <c r="D225" s="11"/>
      <c r="E225" s="7"/>
      <c r="F225" s="7"/>
      <c r="G225" s="7"/>
      <c r="H225" s="7"/>
      <c r="I225" s="7"/>
      <c r="J225" s="16"/>
    </row>
    <row r="226" spans="4:10" s="1" customFormat="1">
      <c r="D226" s="11"/>
      <c r="E226" s="7"/>
      <c r="F226" s="7"/>
      <c r="G226" s="7"/>
      <c r="H226" s="7"/>
      <c r="I226" s="7"/>
      <c r="J226" s="16"/>
    </row>
    <row r="227" spans="4:10" s="1" customFormat="1">
      <c r="D227" s="11"/>
      <c r="E227" s="7"/>
      <c r="F227" s="7"/>
      <c r="G227" s="7"/>
      <c r="H227" s="7"/>
      <c r="I227" s="7"/>
      <c r="J227" s="16"/>
    </row>
    <row r="228" spans="4:10" s="1" customFormat="1">
      <c r="D228" s="11"/>
      <c r="E228" s="7"/>
      <c r="F228" s="7"/>
      <c r="G228" s="7"/>
      <c r="H228" s="7"/>
      <c r="I228" s="7"/>
      <c r="J228" s="16"/>
    </row>
    <row r="229" spans="4:10" s="1" customFormat="1">
      <c r="D229" s="11"/>
      <c r="E229" s="7"/>
      <c r="F229" s="7"/>
      <c r="G229" s="7"/>
      <c r="H229" s="7"/>
      <c r="I229" s="7"/>
      <c r="J229" s="16"/>
    </row>
    <row r="230" spans="4:10" s="1" customFormat="1">
      <c r="D230" s="11"/>
      <c r="E230" s="7"/>
      <c r="F230" s="7"/>
      <c r="G230" s="7"/>
      <c r="H230" s="7"/>
      <c r="I230" s="7"/>
      <c r="J230" s="16"/>
    </row>
    <row r="231" spans="4:10" s="1" customFormat="1">
      <c r="D231" s="11"/>
      <c r="E231" s="7"/>
      <c r="F231" s="7"/>
      <c r="G231" s="7"/>
      <c r="H231" s="7"/>
      <c r="I231" s="7"/>
      <c r="J231" s="16"/>
    </row>
    <row r="232" spans="4:10" s="1" customFormat="1">
      <c r="D232" s="11"/>
      <c r="E232" s="7"/>
      <c r="F232" s="7"/>
      <c r="G232" s="7"/>
      <c r="H232" s="7"/>
      <c r="I232" s="7"/>
      <c r="J232" s="16"/>
    </row>
    <row r="233" spans="4:10" s="1" customFormat="1">
      <c r="D233" s="11"/>
      <c r="E233" s="7"/>
      <c r="F233" s="7"/>
      <c r="G233" s="7"/>
      <c r="H233" s="7"/>
      <c r="I233" s="7"/>
      <c r="J233" s="16"/>
    </row>
    <row r="234" spans="4:10" s="1" customFormat="1">
      <c r="D234" s="11"/>
      <c r="E234" s="7"/>
      <c r="F234" s="7"/>
      <c r="G234" s="7"/>
      <c r="H234" s="7"/>
      <c r="I234" s="7"/>
      <c r="J234" s="16"/>
    </row>
    <row r="235" spans="4:10" s="1" customFormat="1">
      <c r="D235" s="11"/>
      <c r="E235" s="7"/>
      <c r="F235" s="7"/>
      <c r="G235" s="7"/>
      <c r="H235" s="7"/>
      <c r="I235" s="7"/>
      <c r="J235" s="16"/>
    </row>
    <row r="236" spans="4:10" s="1" customFormat="1">
      <c r="D236" s="11"/>
      <c r="E236" s="7"/>
      <c r="F236" s="7"/>
      <c r="G236" s="7"/>
      <c r="H236" s="7"/>
      <c r="I236" s="7"/>
      <c r="J236" s="16"/>
    </row>
    <row r="237" spans="4:10" s="1" customFormat="1">
      <c r="D237" s="11"/>
      <c r="E237" s="7"/>
      <c r="F237" s="7"/>
      <c r="G237" s="7"/>
      <c r="H237" s="7"/>
      <c r="I237" s="7"/>
      <c r="J237" s="16"/>
    </row>
    <row r="238" spans="4:10" s="1" customFormat="1">
      <c r="D238" s="11"/>
      <c r="E238" s="7"/>
      <c r="F238" s="7"/>
      <c r="G238" s="7"/>
      <c r="H238" s="7"/>
      <c r="I238" s="7"/>
      <c r="J238" s="16"/>
    </row>
    <row r="239" spans="4:10" s="1" customFormat="1">
      <c r="D239" s="11"/>
      <c r="E239" s="7"/>
      <c r="F239" s="7"/>
      <c r="G239" s="7"/>
      <c r="H239" s="7"/>
      <c r="I239" s="7"/>
      <c r="J239" s="16"/>
    </row>
    <row r="240" spans="4:10" s="1" customFormat="1">
      <c r="D240" s="11"/>
      <c r="E240" s="7"/>
      <c r="F240" s="7"/>
      <c r="G240" s="7"/>
      <c r="H240" s="7"/>
      <c r="I240" s="7"/>
      <c r="J240" s="16"/>
    </row>
    <row r="241" spans="4:10" s="1" customFormat="1">
      <c r="D241" s="11"/>
      <c r="E241" s="7"/>
      <c r="F241" s="7"/>
      <c r="G241" s="7"/>
      <c r="H241" s="7"/>
      <c r="I241" s="7"/>
      <c r="J241" s="16"/>
    </row>
    <row r="242" spans="4:10" s="1" customFormat="1">
      <c r="D242" s="11"/>
      <c r="E242" s="7"/>
      <c r="F242" s="7"/>
      <c r="G242" s="7"/>
      <c r="H242" s="7"/>
      <c r="I242" s="7"/>
      <c r="J242" s="16"/>
    </row>
    <row r="243" spans="4:10" s="1" customFormat="1">
      <c r="D243" s="11"/>
      <c r="E243" s="7"/>
      <c r="F243" s="7"/>
      <c r="G243" s="7"/>
      <c r="H243" s="7"/>
      <c r="I243" s="7"/>
      <c r="J243" s="16"/>
    </row>
    <row r="244" spans="4:10" s="1" customFormat="1">
      <c r="D244" s="11"/>
      <c r="E244" s="7"/>
      <c r="F244" s="7"/>
      <c r="G244" s="7"/>
      <c r="H244" s="7"/>
      <c r="I244" s="7"/>
      <c r="J244" s="16"/>
    </row>
    <row r="245" spans="4:10" s="1" customFormat="1">
      <c r="D245" s="11"/>
      <c r="E245" s="7"/>
      <c r="F245" s="7"/>
      <c r="G245" s="7"/>
      <c r="H245" s="7"/>
      <c r="I245" s="7"/>
      <c r="J245" s="16"/>
    </row>
    <row r="246" spans="4:10" s="1" customFormat="1">
      <c r="D246" s="11"/>
      <c r="E246" s="7"/>
      <c r="F246" s="7"/>
      <c r="G246" s="7"/>
      <c r="H246" s="7"/>
      <c r="I246" s="7"/>
      <c r="J246" s="16"/>
    </row>
    <row r="247" spans="4:10" s="1" customFormat="1">
      <c r="D247" s="11"/>
      <c r="E247" s="7"/>
      <c r="F247" s="7"/>
      <c r="G247" s="7"/>
      <c r="H247" s="7"/>
      <c r="I247" s="7"/>
      <c r="J247" s="16"/>
    </row>
    <row r="248" spans="4:10" s="1" customFormat="1">
      <c r="D248" s="11"/>
      <c r="E248" s="7"/>
      <c r="F248" s="7"/>
      <c r="G248" s="7"/>
      <c r="H248" s="7"/>
      <c r="I248" s="7"/>
      <c r="J248" s="16"/>
    </row>
    <row r="249" spans="4:10" s="1" customFormat="1">
      <c r="D249" s="11"/>
      <c r="E249" s="7"/>
      <c r="F249" s="7"/>
      <c r="G249" s="7"/>
      <c r="H249" s="7"/>
      <c r="I249" s="7"/>
      <c r="J249" s="16"/>
    </row>
    <row r="250" spans="4:10" s="1" customFormat="1">
      <c r="D250" s="11"/>
      <c r="E250" s="7"/>
      <c r="F250" s="7"/>
      <c r="G250" s="7"/>
      <c r="H250" s="7"/>
      <c r="I250" s="7"/>
      <c r="J250" s="16"/>
    </row>
    <row r="251" spans="4:10" s="1" customFormat="1">
      <c r="D251" s="11"/>
      <c r="E251" s="7"/>
      <c r="F251" s="7"/>
      <c r="G251" s="7"/>
      <c r="H251" s="7"/>
      <c r="I251" s="7"/>
      <c r="J251" s="16"/>
    </row>
    <row r="252" spans="4:10" s="1" customFormat="1">
      <c r="D252" s="11"/>
      <c r="E252" s="7"/>
      <c r="F252" s="7"/>
      <c r="G252" s="7"/>
      <c r="H252" s="7"/>
      <c r="I252" s="7"/>
      <c r="J252" s="16"/>
    </row>
    <row r="253" spans="4:10" s="1" customFormat="1">
      <c r="D253" s="11"/>
      <c r="E253" s="7"/>
      <c r="F253" s="7"/>
      <c r="G253" s="7"/>
      <c r="H253" s="7"/>
      <c r="I253" s="7"/>
      <c r="J253" s="16"/>
    </row>
    <row r="254" spans="4:10" s="1" customFormat="1">
      <c r="D254" s="11"/>
      <c r="E254" s="7"/>
      <c r="F254" s="7"/>
      <c r="G254" s="7"/>
      <c r="H254" s="7"/>
      <c r="I254" s="7"/>
      <c r="J254" s="16"/>
    </row>
    <row r="255" spans="4:10" s="1" customFormat="1">
      <c r="D255" s="11"/>
      <c r="E255" s="7"/>
      <c r="F255" s="7"/>
      <c r="G255" s="7"/>
      <c r="H255" s="7"/>
      <c r="I255" s="7"/>
      <c r="J255" s="16"/>
    </row>
    <row r="256" spans="4:10" s="1" customFormat="1">
      <c r="D256" s="11"/>
      <c r="E256" s="7"/>
      <c r="F256" s="7"/>
      <c r="G256" s="7"/>
      <c r="H256" s="7"/>
      <c r="I256" s="7"/>
      <c r="J256" s="16"/>
    </row>
    <row r="257" spans="4:10" s="1" customFormat="1">
      <c r="D257" s="11"/>
      <c r="E257" s="7"/>
      <c r="F257" s="7"/>
      <c r="G257" s="7"/>
      <c r="H257" s="7"/>
      <c r="I257" s="7"/>
      <c r="J257" s="16"/>
    </row>
    <row r="258" spans="4:10" s="1" customFormat="1">
      <c r="D258" s="11"/>
      <c r="E258" s="7"/>
      <c r="F258" s="7"/>
      <c r="G258" s="7"/>
      <c r="H258" s="7"/>
      <c r="I258" s="7"/>
      <c r="J258" s="16"/>
    </row>
    <row r="259" spans="4:10" s="1" customFormat="1">
      <c r="D259" s="11"/>
      <c r="E259" s="7"/>
      <c r="F259" s="7"/>
      <c r="G259" s="7"/>
      <c r="H259" s="7"/>
      <c r="I259" s="7"/>
      <c r="J259" s="16"/>
    </row>
    <row r="260" spans="4:10" s="1" customFormat="1">
      <c r="D260" s="11"/>
      <c r="E260" s="7"/>
      <c r="F260" s="7"/>
      <c r="G260" s="7"/>
      <c r="H260" s="7"/>
      <c r="I260" s="7"/>
      <c r="J260" s="16"/>
    </row>
    <row r="261" spans="4:10" s="1" customFormat="1">
      <c r="D261" s="11"/>
      <c r="E261" s="7"/>
      <c r="F261" s="7"/>
      <c r="G261" s="7"/>
      <c r="H261" s="7"/>
      <c r="I261" s="7"/>
      <c r="J261" s="16"/>
    </row>
    <row r="262" spans="4:10" s="1" customFormat="1">
      <c r="D262" s="11"/>
      <c r="E262" s="7"/>
      <c r="F262" s="7"/>
      <c r="G262" s="7"/>
      <c r="H262" s="7"/>
      <c r="I262" s="7"/>
      <c r="J262" s="16"/>
    </row>
    <row r="263" spans="4:10" s="1" customFormat="1">
      <c r="D263" s="11"/>
      <c r="E263" s="7"/>
      <c r="F263" s="7"/>
      <c r="G263" s="7"/>
      <c r="H263" s="7"/>
      <c r="I263" s="7"/>
      <c r="J263" s="16"/>
    </row>
    <row r="264" spans="4:10" s="1" customFormat="1">
      <c r="D264" s="11"/>
      <c r="E264" s="7"/>
      <c r="F264" s="7"/>
      <c r="G264" s="7"/>
      <c r="H264" s="7"/>
      <c r="I264" s="7"/>
      <c r="J264" s="16"/>
    </row>
    <row r="265" spans="4:10" s="1" customFormat="1">
      <c r="D265" s="11"/>
      <c r="E265" s="7"/>
      <c r="F265" s="7"/>
      <c r="G265" s="7"/>
      <c r="H265" s="7"/>
      <c r="I265" s="7"/>
      <c r="J265" s="16"/>
    </row>
    <row r="266" spans="4:10" s="1" customFormat="1">
      <c r="D266" s="11"/>
      <c r="E266" s="7"/>
      <c r="F266" s="7"/>
      <c r="G266" s="7"/>
      <c r="H266" s="7"/>
      <c r="I266" s="7"/>
      <c r="J266" s="16"/>
    </row>
    <row r="267" spans="4:10" s="1" customFormat="1">
      <c r="D267" s="11"/>
      <c r="E267" s="7"/>
      <c r="F267" s="7"/>
      <c r="G267" s="7"/>
      <c r="H267" s="7"/>
      <c r="I267" s="7"/>
      <c r="J267" s="16"/>
    </row>
    <row r="268" spans="4:10" s="1" customFormat="1">
      <c r="D268" s="11"/>
      <c r="E268" s="7"/>
      <c r="F268" s="7"/>
      <c r="G268" s="7"/>
      <c r="H268" s="7"/>
      <c r="I268" s="7"/>
      <c r="J268" s="16"/>
    </row>
    <row r="269" spans="4:10" s="1" customFormat="1">
      <c r="D269" s="11"/>
      <c r="E269" s="7"/>
      <c r="F269" s="7"/>
      <c r="G269" s="7"/>
      <c r="H269" s="7"/>
      <c r="I269" s="7"/>
      <c r="J269" s="16"/>
    </row>
    <row r="270" spans="4:10" s="1" customFormat="1">
      <c r="D270" s="11"/>
      <c r="E270" s="7"/>
      <c r="F270" s="7"/>
      <c r="G270" s="7"/>
      <c r="H270" s="7"/>
      <c r="I270" s="7"/>
      <c r="J270" s="16"/>
    </row>
    <row r="271" spans="4:10" s="1" customFormat="1">
      <c r="D271" s="11"/>
      <c r="E271" s="7"/>
      <c r="F271" s="7"/>
      <c r="G271" s="7"/>
      <c r="H271" s="7"/>
      <c r="I271" s="7"/>
      <c r="J271" s="16"/>
    </row>
    <row r="272" spans="4:10" s="1" customFormat="1">
      <c r="D272" s="11"/>
      <c r="E272" s="7"/>
      <c r="F272" s="7"/>
      <c r="G272" s="7"/>
      <c r="H272" s="7"/>
      <c r="I272" s="7"/>
      <c r="J272" s="16"/>
    </row>
    <row r="273" spans="4:10" s="1" customFormat="1">
      <c r="D273" s="11"/>
      <c r="E273" s="7"/>
      <c r="F273" s="7"/>
      <c r="G273" s="7"/>
      <c r="H273" s="7"/>
      <c r="I273" s="7"/>
      <c r="J273" s="16"/>
    </row>
    <row r="274" spans="4:10" s="1" customFormat="1">
      <c r="D274" s="11"/>
      <c r="E274" s="7"/>
      <c r="F274" s="7"/>
      <c r="G274" s="7"/>
      <c r="H274" s="7"/>
      <c r="I274" s="7"/>
      <c r="J274" s="16"/>
    </row>
    <row r="275" spans="4:10" s="1" customFormat="1">
      <c r="D275" s="11"/>
      <c r="E275" s="7"/>
      <c r="F275" s="7"/>
      <c r="G275" s="7"/>
      <c r="H275" s="7"/>
      <c r="I275" s="7"/>
      <c r="J275" s="16"/>
    </row>
    <row r="276" spans="4:10" s="1" customFormat="1">
      <c r="D276" s="11"/>
      <c r="E276" s="7"/>
      <c r="F276" s="7"/>
      <c r="G276" s="7"/>
      <c r="H276" s="7"/>
      <c r="I276" s="7"/>
      <c r="J276" s="16"/>
    </row>
    <row r="277" spans="4:10" s="1" customFormat="1">
      <c r="D277" s="11"/>
      <c r="E277" s="7"/>
      <c r="F277" s="7"/>
      <c r="G277" s="7"/>
      <c r="H277" s="7"/>
      <c r="I277" s="7"/>
      <c r="J277" s="16"/>
    </row>
    <row r="278" spans="4:10" s="1" customFormat="1">
      <c r="D278" s="11"/>
      <c r="E278" s="7"/>
      <c r="F278" s="7"/>
      <c r="G278" s="7"/>
      <c r="H278" s="7"/>
      <c r="I278" s="7"/>
      <c r="J278" s="16"/>
    </row>
    <row r="279" spans="4:10" s="1" customFormat="1">
      <c r="D279" s="11"/>
      <c r="E279" s="7"/>
      <c r="F279" s="7"/>
      <c r="G279" s="7"/>
      <c r="H279" s="7"/>
      <c r="I279" s="7"/>
      <c r="J279" s="16"/>
    </row>
    <row r="280" spans="4:10" s="1" customFormat="1">
      <c r="D280" s="11"/>
      <c r="E280" s="7"/>
      <c r="F280" s="7"/>
      <c r="G280" s="7"/>
      <c r="H280" s="7"/>
      <c r="I280" s="7"/>
      <c r="J280" s="16"/>
    </row>
    <row r="281" spans="4:10" s="1" customFormat="1">
      <c r="D281" s="11"/>
      <c r="E281" s="7"/>
      <c r="F281" s="7"/>
      <c r="G281" s="7"/>
      <c r="H281" s="7"/>
      <c r="I281" s="7"/>
      <c r="J281" s="16"/>
    </row>
    <row r="282" spans="4:10" s="1" customFormat="1">
      <c r="D282" s="11"/>
      <c r="E282" s="7"/>
      <c r="F282" s="7"/>
      <c r="G282" s="7"/>
      <c r="H282" s="7"/>
      <c r="I282" s="7"/>
      <c r="J282" s="16"/>
    </row>
    <row r="283" spans="4:10" s="1" customFormat="1">
      <c r="D283" s="11"/>
      <c r="E283" s="7"/>
      <c r="F283" s="7"/>
      <c r="G283" s="7"/>
      <c r="H283" s="7"/>
      <c r="I283" s="7"/>
      <c r="J283" s="16"/>
    </row>
    <row r="284" spans="4:10" s="1" customFormat="1">
      <c r="D284" s="11"/>
      <c r="E284" s="7"/>
      <c r="F284" s="7"/>
      <c r="G284" s="7"/>
      <c r="H284" s="7"/>
      <c r="I284" s="7"/>
      <c r="J284" s="16"/>
    </row>
    <row r="285" spans="4:10" s="1" customFormat="1">
      <c r="D285" s="11"/>
      <c r="E285" s="7"/>
      <c r="F285" s="7"/>
      <c r="G285" s="7"/>
      <c r="H285" s="7"/>
      <c r="I285" s="7"/>
      <c r="J285" s="16"/>
    </row>
    <row r="286" spans="4:10" s="1" customFormat="1">
      <c r="D286" s="11"/>
      <c r="E286" s="7"/>
      <c r="F286" s="7"/>
      <c r="G286" s="7"/>
      <c r="H286" s="7"/>
      <c r="I286" s="7"/>
      <c r="J286" s="16"/>
    </row>
    <row r="287" spans="4:10" s="1" customFormat="1">
      <c r="D287" s="11"/>
      <c r="E287" s="7"/>
      <c r="F287" s="7"/>
      <c r="G287" s="7"/>
      <c r="H287" s="7"/>
      <c r="I287" s="7"/>
      <c r="J287" s="16"/>
    </row>
    <row r="288" spans="4:10" s="1" customFormat="1">
      <c r="D288" s="11"/>
      <c r="E288" s="7"/>
      <c r="F288" s="7"/>
      <c r="G288" s="7"/>
      <c r="H288" s="7"/>
      <c r="I288" s="7"/>
      <c r="J288" s="16"/>
    </row>
    <row r="289" spans="4:10" s="1" customFormat="1">
      <c r="D289" s="11"/>
      <c r="E289" s="7"/>
      <c r="F289" s="7"/>
      <c r="G289" s="7"/>
      <c r="H289" s="7"/>
      <c r="I289" s="7"/>
      <c r="J289" s="16"/>
    </row>
    <row r="290" spans="4:10" s="1" customFormat="1">
      <c r="D290" s="11"/>
      <c r="E290" s="7"/>
      <c r="F290" s="7"/>
      <c r="G290" s="7"/>
      <c r="H290" s="7"/>
      <c r="I290" s="7"/>
      <c r="J290" s="16"/>
    </row>
    <row r="291" spans="4:10" s="1" customFormat="1">
      <c r="D291" s="11"/>
      <c r="E291" s="7"/>
      <c r="F291" s="7"/>
      <c r="G291" s="7"/>
      <c r="H291" s="7"/>
      <c r="I291" s="7"/>
      <c r="J291" s="16"/>
    </row>
    <row r="292" spans="4:10" s="1" customFormat="1">
      <c r="D292" s="11"/>
      <c r="E292" s="7"/>
      <c r="F292" s="7"/>
      <c r="G292" s="7"/>
      <c r="H292" s="7"/>
      <c r="I292" s="7"/>
      <c r="J292" s="16"/>
    </row>
    <row r="293" spans="4:10" s="1" customFormat="1">
      <c r="D293" s="11"/>
      <c r="E293" s="7"/>
      <c r="F293" s="7"/>
      <c r="G293" s="7"/>
      <c r="H293" s="7"/>
      <c r="I293" s="7"/>
      <c r="J293" s="16"/>
    </row>
    <row r="294" spans="4:10" s="1" customFormat="1">
      <c r="D294" s="11"/>
      <c r="E294" s="7"/>
      <c r="F294" s="7"/>
      <c r="G294" s="7"/>
      <c r="H294" s="7"/>
      <c r="I294" s="7"/>
      <c r="J294" s="16"/>
    </row>
    <row r="295" spans="4:10" s="1" customFormat="1">
      <c r="D295" s="11"/>
      <c r="E295" s="7"/>
      <c r="F295" s="7"/>
      <c r="G295" s="7"/>
      <c r="H295" s="7"/>
      <c r="I295" s="7"/>
      <c r="J295" s="16"/>
    </row>
    <row r="296" spans="4:10" s="1" customFormat="1">
      <c r="D296" s="11"/>
      <c r="E296" s="7"/>
      <c r="F296" s="7"/>
      <c r="G296" s="7"/>
      <c r="H296" s="7"/>
      <c r="I296" s="7"/>
      <c r="J296" s="16"/>
    </row>
    <row r="297" spans="4:10" s="1" customFormat="1">
      <c r="D297" s="11"/>
      <c r="E297" s="7"/>
      <c r="F297" s="7"/>
      <c r="G297" s="7"/>
      <c r="H297" s="7"/>
      <c r="I297" s="7"/>
      <c r="J297" s="16"/>
    </row>
    <row r="298" spans="4:10" s="1" customFormat="1">
      <c r="D298" s="11"/>
      <c r="E298" s="7"/>
      <c r="F298" s="7"/>
      <c r="G298" s="7"/>
      <c r="H298" s="7"/>
      <c r="I298" s="7"/>
      <c r="J298" s="16"/>
    </row>
    <row r="299" spans="4:10" s="1" customFormat="1">
      <c r="D299" s="11"/>
      <c r="E299" s="7"/>
      <c r="F299" s="7"/>
      <c r="G299" s="7"/>
      <c r="H299" s="7"/>
      <c r="I299" s="7"/>
      <c r="J299" s="16"/>
    </row>
    <row r="300" spans="4:10" s="1" customFormat="1">
      <c r="D300" s="11"/>
      <c r="E300" s="7"/>
      <c r="F300" s="7"/>
      <c r="G300" s="7"/>
      <c r="H300" s="7"/>
      <c r="I300" s="7"/>
      <c r="J300" s="16"/>
    </row>
    <row r="301" spans="4:10" s="1" customFormat="1">
      <c r="D301" s="11"/>
      <c r="E301" s="7"/>
      <c r="F301" s="7"/>
      <c r="G301" s="7"/>
      <c r="H301" s="7"/>
      <c r="I301" s="7"/>
      <c r="J301" s="16"/>
    </row>
    <row r="302" spans="4:10" s="1" customFormat="1">
      <c r="D302" s="11"/>
      <c r="E302" s="7"/>
      <c r="F302" s="7"/>
      <c r="G302" s="7"/>
      <c r="H302" s="7"/>
      <c r="I302" s="7"/>
      <c r="J302" s="16"/>
    </row>
    <row r="303" spans="4:10" s="1" customFormat="1">
      <c r="D303" s="11"/>
      <c r="E303" s="7"/>
      <c r="F303" s="7"/>
      <c r="G303" s="7"/>
      <c r="H303" s="7"/>
      <c r="I303" s="7"/>
      <c r="J303" s="16"/>
    </row>
    <row r="304" spans="4:10" s="1" customFormat="1">
      <c r="D304" s="11"/>
      <c r="E304" s="7"/>
      <c r="F304" s="7"/>
      <c r="G304" s="7"/>
      <c r="H304" s="7"/>
      <c r="I304" s="7"/>
      <c r="J304" s="16"/>
    </row>
    <row r="305" spans="4:10" s="1" customFormat="1">
      <c r="D305" s="11"/>
      <c r="E305" s="7"/>
      <c r="F305" s="7"/>
      <c r="G305" s="7"/>
      <c r="H305" s="7"/>
      <c r="I305" s="7"/>
      <c r="J305" s="16"/>
    </row>
    <row r="306" spans="4:10" s="1" customFormat="1">
      <c r="D306" s="11"/>
      <c r="E306" s="7"/>
      <c r="F306" s="7"/>
      <c r="G306" s="7"/>
      <c r="H306" s="7"/>
      <c r="I306" s="7"/>
      <c r="J306" s="16"/>
    </row>
    <row r="307" spans="4:10" s="1" customFormat="1">
      <c r="D307" s="11"/>
      <c r="E307" s="7"/>
      <c r="F307" s="7"/>
      <c r="G307" s="7"/>
      <c r="H307" s="7"/>
      <c r="I307" s="7"/>
      <c r="J307" s="16"/>
    </row>
    <row r="308" spans="4:10" s="1" customFormat="1">
      <c r="D308" s="11"/>
      <c r="E308" s="7"/>
      <c r="F308" s="7"/>
      <c r="G308" s="7"/>
      <c r="H308" s="7"/>
      <c r="I308" s="7"/>
      <c r="J308" s="16"/>
    </row>
    <row r="309" spans="4:10" s="1" customFormat="1">
      <c r="D309" s="11"/>
      <c r="E309" s="7"/>
      <c r="F309" s="7"/>
      <c r="G309" s="7"/>
      <c r="H309" s="7"/>
      <c r="I309" s="7"/>
      <c r="J309" s="16"/>
    </row>
    <row r="310" spans="4:10" s="1" customFormat="1">
      <c r="D310" s="11"/>
      <c r="E310" s="7"/>
      <c r="F310" s="7"/>
      <c r="G310" s="7"/>
      <c r="H310" s="7"/>
      <c r="I310" s="7"/>
      <c r="J310" s="16"/>
    </row>
    <row r="311" spans="4:10" s="1" customFormat="1">
      <c r="D311" s="11"/>
      <c r="E311" s="7"/>
      <c r="F311" s="7"/>
      <c r="G311" s="7"/>
      <c r="H311" s="7"/>
      <c r="I311" s="7"/>
      <c r="J311" s="16"/>
    </row>
    <row r="312" spans="4:10" s="1" customFormat="1">
      <c r="D312" s="11"/>
      <c r="E312" s="7"/>
      <c r="F312" s="7"/>
      <c r="G312" s="7"/>
      <c r="H312" s="7"/>
      <c r="I312" s="7"/>
      <c r="J312" s="16"/>
    </row>
    <row r="313" spans="4:10" s="1" customFormat="1">
      <c r="D313" s="11"/>
      <c r="E313" s="7"/>
      <c r="F313" s="7"/>
      <c r="G313" s="7"/>
      <c r="H313" s="7"/>
      <c r="I313" s="7"/>
      <c r="J313" s="16"/>
    </row>
    <row r="314" spans="4:10" s="1" customFormat="1">
      <c r="D314" s="11"/>
      <c r="E314" s="7"/>
      <c r="F314" s="7"/>
      <c r="G314" s="7"/>
      <c r="H314" s="7"/>
      <c r="I314" s="7"/>
      <c r="J314" s="16"/>
    </row>
    <row r="315" spans="4:10" s="1" customFormat="1">
      <c r="D315" s="11"/>
      <c r="E315" s="7"/>
      <c r="F315" s="7"/>
      <c r="G315" s="7"/>
      <c r="H315" s="7"/>
      <c r="I315" s="7"/>
      <c r="J315" s="16"/>
    </row>
    <row r="316" spans="4:10" s="1" customFormat="1">
      <c r="D316" s="11"/>
      <c r="E316" s="7"/>
      <c r="F316" s="7"/>
      <c r="G316" s="7"/>
      <c r="H316" s="7"/>
      <c r="I316" s="7"/>
      <c r="J316" s="16"/>
    </row>
    <row r="317" spans="4:10" s="1" customFormat="1">
      <c r="D317" s="11"/>
      <c r="E317" s="7"/>
      <c r="F317" s="7"/>
      <c r="G317" s="7"/>
      <c r="H317" s="7"/>
      <c r="I317" s="7"/>
      <c r="J317" s="16"/>
    </row>
    <row r="318" spans="4:10" s="1" customFormat="1">
      <c r="D318" s="11"/>
      <c r="E318" s="7"/>
      <c r="F318" s="7"/>
      <c r="G318" s="7"/>
      <c r="H318" s="7"/>
      <c r="I318" s="7"/>
      <c r="J318" s="16"/>
    </row>
    <row r="319" spans="4:10" s="1" customFormat="1">
      <c r="D319" s="11"/>
      <c r="E319" s="7"/>
      <c r="F319" s="7"/>
      <c r="G319" s="7"/>
      <c r="H319" s="7"/>
      <c r="I319" s="7"/>
      <c r="J319" s="16"/>
    </row>
    <row r="320" spans="4:10" s="1" customFormat="1">
      <c r="D320" s="11"/>
      <c r="E320" s="7"/>
      <c r="F320" s="7"/>
      <c r="G320" s="7"/>
      <c r="H320" s="7"/>
      <c r="I320" s="7"/>
      <c r="J320" s="16"/>
    </row>
    <row r="321" spans="4:10" s="1" customFormat="1">
      <c r="D321" s="11"/>
      <c r="E321" s="7"/>
      <c r="F321" s="7"/>
      <c r="G321" s="7"/>
      <c r="H321" s="7"/>
      <c r="I321" s="7"/>
      <c r="J321" s="16"/>
    </row>
    <row r="322" spans="4:10" s="1" customFormat="1">
      <c r="D322" s="11"/>
      <c r="E322" s="7"/>
      <c r="F322" s="7"/>
      <c r="G322" s="7"/>
      <c r="H322" s="7"/>
      <c r="I322" s="7"/>
      <c r="J322" s="16"/>
    </row>
    <row r="323" spans="4:10" s="1" customFormat="1">
      <c r="D323" s="11"/>
      <c r="E323" s="7"/>
      <c r="F323" s="7"/>
      <c r="G323" s="7"/>
      <c r="H323" s="7"/>
      <c r="I323" s="7"/>
      <c r="J323" s="16"/>
    </row>
    <row r="324" spans="4:10" s="1" customFormat="1">
      <c r="D324" s="11"/>
      <c r="E324" s="7"/>
      <c r="F324" s="7"/>
      <c r="G324" s="7"/>
      <c r="H324" s="7"/>
      <c r="I324" s="7"/>
      <c r="J324" s="16"/>
    </row>
    <row r="325" spans="4:10" s="1" customFormat="1">
      <c r="D325" s="11"/>
      <c r="E325" s="7"/>
      <c r="F325" s="7"/>
      <c r="G325" s="7"/>
      <c r="H325" s="7"/>
      <c r="I325" s="7"/>
      <c r="J325" s="16"/>
    </row>
    <row r="326" spans="4:10" s="1" customFormat="1">
      <c r="D326" s="11"/>
      <c r="E326" s="7"/>
      <c r="F326" s="7"/>
      <c r="G326" s="7"/>
      <c r="H326" s="7"/>
      <c r="I326" s="7"/>
      <c r="J326" s="16"/>
    </row>
    <row r="327" spans="4:10" s="1" customFormat="1">
      <c r="D327" s="11"/>
      <c r="E327" s="7"/>
      <c r="F327" s="7"/>
      <c r="G327" s="7"/>
      <c r="H327" s="7"/>
      <c r="I327" s="7"/>
      <c r="J327" s="16"/>
    </row>
    <row r="328" spans="4:10" s="1" customFormat="1">
      <c r="D328" s="11"/>
      <c r="E328" s="7"/>
      <c r="F328" s="7"/>
      <c r="G328" s="7"/>
      <c r="H328" s="7"/>
      <c r="I328" s="7"/>
      <c r="J328" s="16"/>
    </row>
    <row r="329" spans="4:10" s="1" customFormat="1">
      <c r="D329" s="11"/>
      <c r="E329" s="7"/>
      <c r="F329" s="7"/>
      <c r="G329" s="7"/>
      <c r="H329" s="7"/>
      <c r="I329" s="7"/>
      <c r="J329" s="16"/>
    </row>
    <row r="330" spans="4:10" s="1" customFormat="1">
      <c r="D330" s="11"/>
      <c r="E330" s="7"/>
      <c r="F330" s="7"/>
      <c r="G330" s="7"/>
      <c r="H330" s="7"/>
      <c r="I330" s="7"/>
      <c r="J330" s="16"/>
    </row>
    <row r="331" spans="4:10" s="1" customFormat="1">
      <c r="D331" s="11"/>
      <c r="E331" s="7"/>
      <c r="F331" s="7"/>
      <c r="G331" s="7"/>
      <c r="H331" s="7"/>
      <c r="I331" s="7"/>
      <c r="J331" s="16"/>
    </row>
    <row r="332" spans="4:10" s="1" customFormat="1">
      <c r="D332" s="11"/>
      <c r="E332" s="7"/>
      <c r="F332" s="7"/>
      <c r="G332" s="7"/>
      <c r="H332" s="7"/>
      <c r="I332" s="7"/>
      <c r="J332" s="16"/>
    </row>
    <row r="333" spans="4:10" s="1" customFormat="1">
      <c r="D333" s="11"/>
      <c r="E333" s="7"/>
      <c r="F333" s="7"/>
      <c r="G333" s="7"/>
      <c r="H333" s="7"/>
      <c r="I333" s="7"/>
      <c r="J333" s="16"/>
    </row>
    <row r="334" spans="4:10" s="1" customFormat="1">
      <c r="D334" s="11"/>
      <c r="E334" s="7"/>
      <c r="F334" s="7"/>
      <c r="G334" s="7"/>
      <c r="H334" s="7"/>
      <c r="I334" s="7"/>
      <c r="J334" s="16"/>
    </row>
    <row r="335" spans="4:10" s="1" customFormat="1">
      <c r="D335" s="11"/>
      <c r="E335" s="7"/>
      <c r="F335" s="7"/>
      <c r="G335" s="7"/>
      <c r="H335" s="7"/>
      <c r="I335" s="7"/>
      <c r="J335" s="16"/>
    </row>
    <row r="336" spans="4:10" s="1" customFormat="1">
      <c r="D336" s="11"/>
      <c r="E336" s="7"/>
      <c r="F336" s="7"/>
      <c r="G336" s="7"/>
      <c r="H336" s="7"/>
      <c r="I336" s="7"/>
      <c r="J336" s="16"/>
    </row>
    <row r="337" spans="4:10" s="1" customFormat="1">
      <c r="D337" s="11"/>
      <c r="E337" s="7"/>
      <c r="F337" s="7"/>
      <c r="G337" s="7"/>
      <c r="H337" s="7"/>
      <c r="I337" s="7"/>
      <c r="J337" s="16"/>
    </row>
    <row r="338" spans="4:10" s="1" customFormat="1">
      <c r="D338" s="11"/>
      <c r="E338" s="7"/>
      <c r="F338" s="7"/>
      <c r="G338" s="7"/>
      <c r="H338" s="7"/>
      <c r="I338" s="7"/>
      <c r="J338" s="16"/>
    </row>
    <row r="339" spans="4:10" s="1" customFormat="1">
      <c r="D339" s="11"/>
      <c r="E339" s="7"/>
      <c r="F339" s="7"/>
      <c r="G339" s="7"/>
      <c r="H339" s="7"/>
      <c r="I339" s="7"/>
      <c r="J339" s="16"/>
    </row>
    <row r="340" spans="4:10" s="1" customFormat="1">
      <c r="D340" s="11"/>
      <c r="E340" s="7"/>
      <c r="F340" s="7"/>
      <c r="G340" s="7"/>
      <c r="H340" s="7"/>
      <c r="I340" s="7"/>
      <c r="J340" s="16"/>
    </row>
    <row r="341" spans="4:10" s="1" customFormat="1">
      <c r="D341" s="11"/>
      <c r="E341" s="7"/>
      <c r="F341" s="7"/>
      <c r="G341" s="7"/>
      <c r="H341" s="7"/>
      <c r="I341" s="7"/>
      <c r="J341" s="16"/>
    </row>
    <row r="342" spans="4:10" s="1" customFormat="1">
      <c r="D342" s="11"/>
      <c r="E342" s="7"/>
      <c r="F342" s="7"/>
      <c r="G342" s="7"/>
      <c r="H342" s="7"/>
      <c r="I342" s="7"/>
      <c r="J342" s="16"/>
    </row>
    <row r="343" spans="4:10" s="1" customFormat="1">
      <c r="D343" s="11"/>
      <c r="E343" s="7"/>
      <c r="F343" s="7"/>
      <c r="G343" s="7"/>
      <c r="H343" s="7"/>
      <c r="I343" s="7"/>
      <c r="J343" s="16"/>
    </row>
    <row r="344" spans="4:10" s="1" customFormat="1">
      <c r="D344" s="11"/>
      <c r="E344" s="7"/>
      <c r="F344" s="7"/>
      <c r="G344" s="7"/>
      <c r="H344" s="7"/>
      <c r="I344" s="7"/>
      <c r="J344" s="16"/>
    </row>
    <row r="345" spans="4:10" s="1" customFormat="1">
      <c r="D345" s="11"/>
      <c r="E345" s="7"/>
      <c r="F345" s="7"/>
      <c r="G345" s="7"/>
      <c r="H345" s="7"/>
      <c r="I345" s="7"/>
      <c r="J345" s="16"/>
    </row>
    <row r="346" spans="4:10" s="1" customFormat="1">
      <c r="D346" s="11"/>
      <c r="E346" s="7"/>
      <c r="F346" s="7"/>
      <c r="G346" s="7"/>
      <c r="H346" s="7"/>
      <c r="I346" s="7"/>
      <c r="J346" s="16"/>
    </row>
    <row r="347" spans="4:10" s="1" customFormat="1">
      <c r="D347" s="11"/>
      <c r="E347" s="7"/>
      <c r="F347" s="7"/>
      <c r="G347" s="7"/>
      <c r="H347" s="7"/>
      <c r="I347" s="7"/>
      <c r="J347" s="16"/>
    </row>
    <row r="348" spans="4:10" s="1" customFormat="1">
      <c r="D348" s="11"/>
      <c r="E348" s="7"/>
      <c r="F348" s="7"/>
      <c r="G348" s="7"/>
      <c r="H348" s="7"/>
      <c r="I348" s="7"/>
      <c r="J348" s="16"/>
    </row>
    <row r="349" spans="4:10" s="1" customFormat="1">
      <c r="D349" s="11"/>
      <c r="E349" s="7"/>
      <c r="F349" s="7"/>
      <c r="G349" s="7"/>
      <c r="H349" s="7"/>
      <c r="I349" s="7"/>
      <c r="J349" s="16"/>
    </row>
    <row r="350" spans="4:10" s="1" customFormat="1">
      <c r="D350" s="11"/>
      <c r="E350" s="7"/>
      <c r="F350" s="7"/>
      <c r="G350" s="7"/>
      <c r="H350" s="7"/>
      <c r="I350" s="7"/>
      <c r="J350" s="16"/>
    </row>
    <row r="351" spans="4:10" s="1" customFormat="1">
      <c r="D351" s="11"/>
      <c r="E351" s="7"/>
      <c r="F351" s="7"/>
      <c r="G351" s="7"/>
      <c r="H351" s="7"/>
      <c r="I351" s="7"/>
      <c r="J351" s="16"/>
    </row>
    <row r="352" spans="4:10" s="1" customFormat="1">
      <c r="D352" s="11"/>
      <c r="E352" s="7"/>
      <c r="F352" s="7"/>
      <c r="G352" s="7"/>
      <c r="H352" s="7"/>
      <c r="I352" s="7"/>
      <c r="J352" s="16"/>
    </row>
    <row r="353" spans="4:10" s="1" customFormat="1">
      <c r="D353" s="11"/>
      <c r="E353" s="7"/>
      <c r="F353" s="7"/>
      <c r="G353" s="7"/>
      <c r="H353" s="7"/>
      <c r="I353" s="7"/>
      <c r="J353" s="16"/>
    </row>
    <row r="354" spans="4:10" s="1" customFormat="1">
      <c r="D354" s="11"/>
      <c r="E354" s="7"/>
      <c r="F354" s="7"/>
      <c r="G354" s="7"/>
      <c r="H354" s="7"/>
      <c r="I354" s="7"/>
      <c r="J354" s="16"/>
    </row>
    <row r="355" spans="4:10" s="1" customFormat="1">
      <c r="D355" s="11"/>
      <c r="E355" s="7"/>
      <c r="F355" s="7"/>
      <c r="G355" s="7"/>
      <c r="H355" s="7"/>
      <c r="I355" s="7"/>
      <c r="J355" s="16"/>
    </row>
    <row r="356" spans="4:10" s="1" customFormat="1">
      <c r="D356" s="11"/>
      <c r="E356" s="7"/>
      <c r="F356" s="7"/>
      <c r="G356" s="7"/>
      <c r="H356" s="7"/>
      <c r="I356" s="7"/>
      <c r="J356" s="16"/>
    </row>
    <row r="357" spans="4:10" s="1" customFormat="1">
      <c r="D357" s="11"/>
      <c r="E357" s="7"/>
      <c r="F357" s="7"/>
      <c r="G357" s="7"/>
      <c r="H357" s="7"/>
      <c r="I357" s="7"/>
      <c r="J357" s="16"/>
    </row>
    <row r="358" spans="4:10" s="1" customFormat="1">
      <c r="D358" s="11"/>
      <c r="E358" s="7"/>
      <c r="F358" s="7"/>
      <c r="G358" s="7"/>
      <c r="H358" s="7"/>
      <c r="I358" s="7"/>
      <c r="J358" s="16"/>
    </row>
    <row r="359" spans="4:10" s="1" customFormat="1">
      <c r="D359" s="11"/>
      <c r="E359" s="7"/>
      <c r="F359" s="7"/>
      <c r="G359" s="7"/>
      <c r="H359" s="7"/>
      <c r="I359" s="7"/>
      <c r="J359" s="16"/>
    </row>
    <row r="360" spans="4:10" s="1" customFormat="1">
      <c r="D360" s="11"/>
      <c r="E360" s="7"/>
      <c r="F360" s="7"/>
      <c r="G360" s="7"/>
      <c r="H360" s="7"/>
      <c r="I360" s="7"/>
      <c r="J360" s="16"/>
    </row>
    <row r="361" spans="4:10" s="1" customFormat="1">
      <c r="D361" s="11"/>
      <c r="E361" s="7"/>
      <c r="F361" s="7"/>
      <c r="G361" s="7"/>
      <c r="H361" s="7"/>
      <c r="I361" s="7"/>
      <c r="J361" s="16"/>
    </row>
    <row r="362" spans="4:10" s="1" customFormat="1">
      <c r="D362" s="11"/>
      <c r="E362" s="7"/>
      <c r="F362" s="7"/>
      <c r="G362" s="7"/>
      <c r="H362" s="7"/>
      <c r="I362" s="7"/>
      <c r="J362" s="16"/>
    </row>
    <row r="363" spans="4:10" s="1" customFormat="1">
      <c r="D363" s="11"/>
      <c r="E363" s="7"/>
      <c r="F363" s="7"/>
      <c r="G363" s="7"/>
      <c r="H363" s="7"/>
      <c r="I363" s="7"/>
      <c r="J363" s="16"/>
    </row>
    <row r="364" spans="4:10" s="1" customFormat="1">
      <c r="D364" s="11"/>
      <c r="E364" s="7"/>
      <c r="F364" s="7"/>
      <c r="G364" s="7"/>
      <c r="H364" s="7"/>
      <c r="I364" s="7"/>
      <c r="J364" s="16"/>
    </row>
    <row r="365" spans="4:10" s="1" customFormat="1">
      <c r="D365" s="11"/>
      <c r="E365" s="7"/>
      <c r="F365" s="7"/>
      <c r="G365" s="7"/>
      <c r="H365" s="7"/>
      <c r="I365" s="7"/>
      <c r="J365" s="16"/>
    </row>
    <row r="366" spans="4:10" s="1" customFormat="1">
      <c r="D366" s="11"/>
      <c r="E366" s="7"/>
      <c r="F366" s="7"/>
      <c r="G366" s="7"/>
      <c r="H366" s="7"/>
      <c r="I366" s="7"/>
      <c r="J366" s="16"/>
    </row>
    <row r="367" spans="4:10" s="1" customFormat="1">
      <c r="D367" s="11"/>
      <c r="E367" s="7"/>
      <c r="F367" s="7"/>
      <c r="G367" s="7"/>
      <c r="H367" s="7"/>
      <c r="I367" s="7"/>
      <c r="J367" s="16"/>
    </row>
    <row r="368" spans="4:10" s="1" customFormat="1">
      <c r="D368" s="11"/>
      <c r="E368" s="7"/>
      <c r="F368" s="7"/>
      <c r="G368" s="7"/>
      <c r="H368" s="7"/>
      <c r="I368" s="7"/>
      <c r="J368" s="16"/>
    </row>
    <row r="369" spans="4:10" s="1" customFormat="1">
      <c r="D369" s="11"/>
      <c r="E369" s="7"/>
      <c r="F369" s="7"/>
      <c r="G369" s="7"/>
      <c r="H369" s="7"/>
      <c r="I369" s="7"/>
      <c r="J369" s="16"/>
    </row>
    <row r="370" spans="4:10" s="1" customFormat="1">
      <c r="D370" s="11"/>
      <c r="E370" s="7"/>
      <c r="F370" s="7"/>
      <c r="G370" s="7"/>
      <c r="H370" s="7"/>
      <c r="I370" s="7"/>
      <c r="J370" s="16"/>
    </row>
    <row r="371" spans="4:10" s="1" customFormat="1">
      <c r="D371" s="11"/>
      <c r="E371" s="7"/>
      <c r="F371" s="7"/>
      <c r="G371" s="7"/>
      <c r="H371" s="7"/>
      <c r="I371" s="7"/>
      <c r="J371" s="16"/>
    </row>
    <row r="372" spans="4:10" s="1" customFormat="1">
      <c r="D372" s="11"/>
      <c r="E372" s="7"/>
      <c r="F372" s="7"/>
      <c r="G372" s="7"/>
      <c r="H372" s="7"/>
      <c r="I372" s="7"/>
      <c r="J372" s="16"/>
    </row>
    <row r="373" spans="4:10" s="1" customFormat="1">
      <c r="D373" s="11"/>
      <c r="E373" s="7"/>
      <c r="F373" s="7"/>
      <c r="G373" s="7"/>
      <c r="H373" s="7"/>
      <c r="I373" s="7"/>
      <c r="J373" s="16"/>
    </row>
    <row r="374" spans="4:10" s="1" customFormat="1">
      <c r="D374" s="11"/>
      <c r="E374" s="7"/>
      <c r="F374" s="7"/>
      <c r="G374" s="7"/>
      <c r="H374" s="7"/>
      <c r="I374" s="7"/>
      <c r="J374" s="16"/>
    </row>
    <row r="375" spans="4:10" s="1" customFormat="1">
      <c r="D375" s="11"/>
      <c r="E375" s="7"/>
      <c r="F375" s="7"/>
      <c r="G375" s="7"/>
      <c r="H375" s="7"/>
      <c r="I375" s="7"/>
      <c r="J375" s="16"/>
    </row>
    <row r="376" spans="4:10" s="1" customFormat="1">
      <c r="D376" s="11"/>
      <c r="E376" s="7"/>
      <c r="F376" s="7"/>
      <c r="G376" s="7"/>
      <c r="H376" s="7"/>
      <c r="I376" s="7"/>
      <c r="J376" s="16"/>
    </row>
    <row r="377" spans="4:10" s="1" customFormat="1">
      <c r="D377" s="11"/>
      <c r="E377" s="7"/>
      <c r="F377" s="7"/>
      <c r="G377" s="7"/>
      <c r="H377" s="7"/>
      <c r="I377" s="7"/>
      <c r="J377" s="16"/>
    </row>
    <row r="378" spans="4:10" s="1" customFormat="1">
      <c r="D378" s="11"/>
      <c r="E378" s="7"/>
      <c r="F378" s="7"/>
      <c r="G378" s="7"/>
      <c r="H378" s="7"/>
      <c r="I378" s="7"/>
      <c r="J378" s="16"/>
    </row>
    <row r="379" spans="4:10" s="1" customFormat="1">
      <c r="D379" s="11"/>
      <c r="E379" s="7"/>
      <c r="F379" s="7"/>
      <c r="G379" s="7"/>
      <c r="H379" s="7"/>
      <c r="I379" s="7"/>
      <c r="J379" s="16"/>
    </row>
    <row r="380" spans="4:10" s="1" customFormat="1">
      <c r="D380" s="11"/>
      <c r="E380" s="7"/>
      <c r="F380" s="7"/>
      <c r="G380" s="7"/>
      <c r="H380" s="7"/>
      <c r="I380" s="7"/>
      <c r="J380" s="16"/>
    </row>
    <row r="381" spans="4:10" s="1" customFormat="1">
      <c r="D381" s="11"/>
      <c r="E381" s="7"/>
      <c r="F381" s="7"/>
      <c r="G381" s="7"/>
      <c r="H381" s="7"/>
      <c r="I381" s="7"/>
      <c r="J381" s="16"/>
    </row>
    <row r="382" spans="4:10" s="1" customFormat="1">
      <c r="D382" s="11"/>
      <c r="E382" s="7"/>
      <c r="F382" s="7"/>
      <c r="G382" s="7"/>
      <c r="H382" s="7"/>
      <c r="I382" s="7"/>
      <c r="J382" s="16"/>
    </row>
    <row r="383" spans="4:10" s="1" customFormat="1">
      <c r="D383" s="11"/>
      <c r="E383" s="7"/>
      <c r="F383" s="7"/>
      <c r="G383" s="7"/>
      <c r="H383" s="7"/>
      <c r="I383" s="7"/>
      <c r="J383" s="16"/>
    </row>
    <row r="384" spans="4:10" s="1" customFormat="1">
      <c r="D384" s="11"/>
      <c r="E384" s="7"/>
      <c r="F384" s="7"/>
      <c r="G384" s="7"/>
      <c r="H384" s="7"/>
      <c r="I384" s="7"/>
      <c r="J384" s="16"/>
    </row>
    <row r="385" spans="4:10" s="1" customFormat="1">
      <c r="D385" s="11"/>
      <c r="E385" s="7"/>
      <c r="F385" s="7"/>
      <c r="G385" s="7"/>
      <c r="H385" s="7"/>
      <c r="I385" s="7"/>
      <c r="J385" s="16"/>
    </row>
    <row r="386" spans="4:10" s="1" customFormat="1">
      <c r="D386" s="11"/>
      <c r="E386" s="7"/>
      <c r="F386" s="7"/>
      <c r="G386" s="7"/>
      <c r="H386" s="7"/>
      <c r="I386" s="7"/>
      <c r="J386" s="16"/>
    </row>
    <row r="387" spans="4:10" s="1" customFormat="1">
      <c r="D387" s="11"/>
      <c r="E387" s="7"/>
      <c r="F387" s="7"/>
      <c r="G387" s="7"/>
      <c r="H387" s="7"/>
      <c r="I387" s="7"/>
      <c r="J387" s="16"/>
    </row>
    <row r="388" spans="4:10" s="1" customFormat="1">
      <c r="D388" s="11"/>
      <c r="E388" s="7"/>
      <c r="F388" s="7"/>
      <c r="G388" s="7"/>
      <c r="H388" s="7"/>
      <c r="I388" s="7"/>
      <c r="J388" s="16"/>
    </row>
    <row r="389" spans="4:10" s="1" customFormat="1">
      <c r="D389" s="11"/>
      <c r="E389" s="7"/>
      <c r="F389" s="7"/>
      <c r="G389" s="7"/>
      <c r="H389" s="7"/>
      <c r="I389" s="7"/>
      <c r="J389" s="16"/>
    </row>
    <row r="390" spans="4:10" s="1" customFormat="1">
      <c r="D390" s="11"/>
      <c r="E390" s="7"/>
      <c r="F390" s="7"/>
      <c r="G390" s="7"/>
      <c r="H390" s="7"/>
      <c r="I390" s="7"/>
      <c r="J390" s="16"/>
    </row>
    <row r="391" spans="4:10" s="1" customFormat="1">
      <c r="D391" s="11"/>
      <c r="E391" s="7"/>
      <c r="F391" s="7"/>
      <c r="G391" s="7"/>
      <c r="H391" s="7"/>
      <c r="I391" s="7"/>
      <c r="J391" s="16"/>
    </row>
    <row r="392" spans="4:10" s="1" customFormat="1">
      <c r="D392" s="11"/>
      <c r="E392" s="7"/>
      <c r="F392" s="7"/>
      <c r="G392" s="7"/>
      <c r="H392" s="7"/>
      <c r="I392" s="7"/>
      <c r="J392" s="16"/>
    </row>
    <row r="393" spans="4:10" s="1" customFormat="1">
      <c r="D393" s="11"/>
      <c r="E393" s="7"/>
      <c r="F393" s="7"/>
      <c r="G393" s="7"/>
      <c r="H393" s="7"/>
      <c r="I393" s="7"/>
      <c r="J393" s="16"/>
    </row>
    <row r="394" spans="4:10" s="1" customFormat="1">
      <c r="D394" s="11"/>
      <c r="E394" s="7"/>
      <c r="F394" s="7"/>
      <c r="G394" s="7"/>
      <c r="H394" s="7"/>
      <c r="I394" s="7"/>
      <c r="J394" s="16"/>
    </row>
    <row r="395" spans="4:10" s="1" customFormat="1">
      <c r="D395" s="11"/>
      <c r="E395" s="7"/>
      <c r="F395" s="7"/>
      <c r="G395" s="7"/>
      <c r="H395" s="7"/>
      <c r="I395" s="7"/>
      <c r="J395" s="16"/>
    </row>
    <row r="396" spans="4:10" s="1" customFormat="1">
      <c r="D396" s="11"/>
      <c r="E396" s="7"/>
      <c r="F396" s="7"/>
      <c r="G396" s="7"/>
      <c r="H396" s="7"/>
      <c r="I396" s="7"/>
      <c r="J396" s="16"/>
    </row>
    <row r="397" spans="4:10" s="1" customFormat="1">
      <c r="D397" s="11"/>
      <c r="E397" s="7"/>
      <c r="F397" s="7"/>
      <c r="G397" s="7"/>
      <c r="H397" s="7"/>
      <c r="I397" s="7"/>
      <c r="J397" s="16"/>
    </row>
    <row r="398" spans="4:10" s="1" customFormat="1">
      <c r="D398" s="11"/>
      <c r="E398" s="7"/>
      <c r="F398" s="7"/>
      <c r="G398" s="7"/>
      <c r="H398" s="7"/>
      <c r="I398" s="7"/>
      <c r="J398" s="16"/>
    </row>
    <row r="399" spans="4:10" s="1" customFormat="1">
      <c r="D399" s="11"/>
      <c r="E399" s="7"/>
      <c r="F399" s="7"/>
      <c r="G399" s="7"/>
      <c r="H399" s="7"/>
      <c r="I399" s="7"/>
      <c r="J399" s="16"/>
    </row>
    <row r="400" spans="4:10" s="1" customFormat="1">
      <c r="D400" s="11"/>
      <c r="E400" s="7"/>
      <c r="F400" s="7"/>
      <c r="G400" s="7"/>
      <c r="H400" s="7"/>
      <c r="I400" s="7"/>
      <c r="J400" s="16"/>
    </row>
    <row r="401" spans="4:10" s="1" customFormat="1">
      <c r="D401" s="11"/>
      <c r="E401" s="7"/>
      <c r="F401" s="7"/>
      <c r="G401" s="7"/>
      <c r="H401" s="7"/>
      <c r="I401" s="7"/>
      <c r="J401" s="16"/>
    </row>
    <row r="402" spans="4:10" s="1" customFormat="1">
      <c r="D402" s="11"/>
      <c r="E402" s="7"/>
      <c r="F402" s="7"/>
      <c r="G402" s="7"/>
      <c r="H402" s="7"/>
      <c r="I402" s="7"/>
      <c r="J402" s="16"/>
    </row>
    <row r="403" spans="4:10" s="1" customFormat="1">
      <c r="D403" s="11"/>
      <c r="E403" s="7"/>
      <c r="F403" s="7"/>
      <c r="G403" s="7"/>
      <c r="H403" s="7"/>
      <c r="I403" s="7"/>
      <c r="J403" s="16"/>
    </row>
    <row r="404" spans="4:10" s="1" customFormat="1">
      <c r="D404" s="11"/>
      <c r="E404" s="7"/>
      <c r="F404" s="7"/>
      <c r="G404" s="7"/>
      <c r="H404" s="7"/>
      <c r="I404" s="7"/>
      <c r="J404" s="16"/>
    </row>
    <row r="405" spans="4:10" s="1" customFormat="1">
      <c r="D405" s="11"/>
      <c r="E405" s="7"/>
      <c r="F405" s="7"/>
      <c r="G405" s="7"/>
      <c r="H405" s="7"/>
      <c r="I405" s="7"/>
      <c r="J405" s="16"/>
    </row>
    <row r="406" spans="4:10" s="1" customFormat="1">
      <c r="D406" s="11"/>
      <c r="E406" s="7"/>
      <c r="F406" s="7"/>
      <c r="G406" s="7"/>
      <c r="H406" s="7"/>
      <c r="I406" s="7"/>
      <c r="J406" s="16"/>
    </row>
    <row r="407" spans="4:10" s="1" customFormat="1">
      <c r="D407" s="11"/>
      <c r="E407" s="7"/>
      <c r="F407" s="7"/>
      <c r="G407" s="7"/>
      <c r="H407" s="7"/>
      <c r="I407" s="7"/>
      <c r="J407" s="16"/>
    </row>
    <row r="408" spans="4:10" s="1" customFormat="1">
      <c r="D408" s="11"/>
      <c r="E408" s="7"/>
      <c r="F408" s="7"/>
      <c r="G408" s="7"/>
      <c r="H408" s="7"/>
      <c r="I408" s="7"/>
      <c r="J408" s="16"/>
    </row>
    <row r="409" spans="4:10" s="1" customFormat="1">
      <c r="D409" s="11"/>
      <c r="E409" s="7"/>
      <c r="F409" s="7"/>
      <c r="G409" s="7"/>
      <c r="H409" s="7"/>
      <c r="I409" s="7"/>
      <c r="J409" s="16"/>
    </row>
    <row r="410" spans="4:10" s="1" customFormat="1">
      <c r="D410" s="11"/>
      <c r="E410" s="7"/>
      <c r="F410" s="7"/>
      <c r="G410" s="7"/>
      <c r="H410" s="7"/>
      <c r="I410" s="7"/>
      <c r="J410" s="16"/>
    </row>
    <row r="411" spans="4:10" s="1" customFormat="1">
      <c r="D411" s="11"/>
      <c r="E411" s="7"/>
      <c r="F411" s="7"/>
      <c r="G411" s="7"/>
      <c r="H411" s="7"/>
      <c r="I411" s="7"/>
      <c r="J411" s="16"/>
    </row>
    <row r="412" spans="4:10" s="1" customFormat="1">
      <c r="D412" s="11"/>
      <c r="E412" s="7"/>
      <c r="F412" s="7"/>
      <c r="G412" s="7"/>
      <c r="H412" s="7"/>
      <c r="I412" s="7"/>
      <c r="J412" s="16"/>
    </row>
    <row r="413" spans="4:10" s="1" customFormat="1">
      <c r="D413" s="11"/>
      <c r="E413" s="7"/>
      <c r="F413" s="7"/>
      <c r="G413" s="7"/>
      <c r="H413" s="7"/>
      <c r="I413" s="7"/>
      <c r="J413" s="16"/>
    </row>
    <row r="414" spans="4:10" s="1" customFormat="1">
      <c r="D414" s="11"/>
      <c r="E414" s="7"/>
      <c r="F414" s="7"/>
      <c r="G414" s="7"/>
      <c r="H414" s="7"/>
      <c r="I414" s="7"/>
      <c r="J414" s="16"/>
    </row>
    <row r="415" spans="4:10" s="1" customFormat="1">
      <c r="D415" s="11"/>
      <c r="E415" s="7"/>
      <c r="F415" s="7"/>
      <c r="G415" s="7"/>
      <c r="H415" s="7"/>
      <c r="I415" s="7"/>
      <c r="J415" s="16"/>
    </row>
    <row r="416" spans="4:10" s="1" customFormat="1">
      <c r="D416" s="11"/>
      <c r="E416" s="7"/>
      <c r="F416" s="7"/>
      <c r="G416" s="7"/>
      <c r="H416" s="7"/>
      <c r="I416" s="7"/>
      <c r="J416" s="16"/>
    </row>
    <row r="417" spans="4:10" s="1" customFormat="1">
      <c r="D417" s="11"/>
      <c r="E417" s="7"/>
      <c r="F417" s="7"/>
      <c r="G417" s="7"/>
      <c r="H417" s="7"/>
      <c r="I417" s="7"/>
      <c r="J417" s="16"/>
    </row>
    <row r="418" spans="4:10" s="1" customFormat="1">
      <c r="D418" s="11"/>
      <c r="E418" s="7"/>
      <c r="F418" s="7"/>
      <c r="G418" s="7"/>
      <c r="H418" s="7"/>
      <c r="I418" s="7"/>
      <c r="J418" s="16"/>
    </row>
    <row r="419" spans="4:10" s="1" customFormat="1">
      <c r="D419" s="11"/>
      <c r="E419" s="7"/>
      <c r="F419" s="7"/>
      <c r="G419" s="7"/>
      <c r="H419" s="7"/>
      <c r="I419" s="7"/>
      <c r="J419" s="16"/>
    </row>
    <row r="420" spans="4:10" s="1" customFormat="1">
      <c r="D420" s="11"/>
      <c r="E420" s="7"/>
      <c r="F420" s="7"/>
      <c r="G420" s="7"/>
      <c r="H420" s="7"/>
      <c r="I420" s="7"/>
      <c r="J420" s="16"/>
    </row>
    <row r="421" spans="4:10" s="1" customFormat="1">
      <c r="D421" s="11"/>
      <c r="E421" s="7"/>
      <c r="F421" s="7"/>
      <c r="G421" s="7"/>
      <c r="H421" s="7"/>
      <c r="I421" s="7"/>
      <c r="J421" s="16"/>
    </row>
    <row r="422" spans="4:10" s="1" customFormat="1">
      <c r="D422" s="11"/>
      <c r="E422" s="7"/>
      <c r="F422" s="7"/>
      <c r="G422" s="7"/>
      <c r="H422" s="7"/>
      <c r="I422" s="7"/>
      <c r="J422" s="16"/>
    </row>
    <row r="423" spans="4:10" s="1" customFormat="1">
      <c r="D423" s="11"/>
      <c r="E423" s="7"/>
      <c r="F423" s="7"/>
      <c r="G423" s="7"/>
      <c r="H423" s="7"/>
      <c r="I423" s="7"/>
      <c r="J423" s="16"/>
    </row>
    <row r="424" spans="4:10" s="1" customFormat="1">
      <c r="D424" s="11"/>
      <c r="E424" s="7"/>
      <c r="F424" s="7"/>
      <c r="G424" s="7"/>
      <c r="H424" s="7"/>
      <c r="I424" s="7"/>
      <c r="J424" s="16"/>
    </row>
    <row r="425" spans="4:10" s="1" customFormat="1">
      <c r="D425" s="11"/>
      <c r="E425" s="7"/>
      <c r="F425" s="7"/>
      <c r="G425" s="7"/>
      <c r="H425" s="7"/>
      <c r="I425" s="7"/>
      <c r="J425" s="16"/>
    </row>
    <row r="426" spans="4:10" s="1" customFormat="1">
      <c r="D426" s="11"/>
      <c r="E426" s="7"/>
      <c r="F426" s="7"/>
      <c r="G426" s="7"/>
      <c r="H426" s="7"/>
      <c r="I426" s="7"/>
      <c r="J426" s="16"/>
    </row>
    <row r="427" spans="4:10" s="1" customFormat="1">
      <c r="D427" s="11"/>
      <c r="E427" s="7"/>
      <c r="F427" s="7"/>
      <c r="G427" s="7"/>
      <c r="H427" s="7"/>
      <c r="I427" s="7"/>
      <c r="J427" s="16"/>
    </row>
    <row r="428" spans="4:10" s="1" customFormat="1">
      <c r="D428" s="11"/>
      <c r="E428" s="7"/>
      <c r="F428" s="7"/>
      <c r="G428" s="7"/>
      <c r="H428" s="7"/>
      <c r="I428" s="7"/>
      <c r="J428" s="16"/>
    </row>
    <row r="429" spans="4:10" s="1" customFormat="1">
      <c r="D429" s="11"/>
      <c r="E429" s="7"/>
      <c r="F429" s="7"/>
      <c r="G429" s="7"/>
      <c r="H429" s="7"/>
      <c r="I429" s="7"/>
      <c r="J429" s="16"/>
    </row>
    <row r="430" spans="4:10" s="1" customFormat="1">
      <c r="D430" s="11"/>
      <c r="E430" s="7"/>
      <c r="F430" s="7"/>
      <c r="G430" s="7"/>
      <c r="H430" s="7"/>
      <c r="I430" s="7"/>
      <c r="J430" s="16"/>
    </row>
    <row r="431" spans="4:10" s="1" customFormat="1">
      <c r="D431" s="11"/>
      <c r="E431" s="7"/>
      <c r="F431" s="7"/>
      <c r="G431" s="7"/>
      <c r="H431" s="7"/>
      <c r="I431" s="7"/>
      <c r="J431" s="16"/>
    </row>
    <row r="432" spans="4:10" s="1" customFormat="1">
      <c r="D432" s="11"/>
      <c r="E432" s="7"/>
      <c r="F432" s="7"/>
      <c r="G432" s="7"/>
      <c r="H432" s="7"/>
      <c r="I432" s="7"/>
      <c r="J432" s="16"/>
    </row>
    <row r="433" spans="4:10" s="1" customFormat="1">
      <c r="D433" s="11"/>
      <c r="E433" s="7"/>
      <c r="F433" s="7"/>
      <c r="G433" s="7"/>
      <c r="H433" s="7"/>
      <c r="I433" s="7"/>
      <c r="J433" s="16"/>
    </row>
    <row r="434" spans="4:10" s="1" customFormat="1">
      <c r="D434" s="11"/>
      <c r="E434" s="7"/>
      <c r="F434" s="7"/>
      <c r="G434" s="7"/>
      <c r="H434" s="7"/>
      <c r="I434" s="7"/>
      <c r="J434" s="16"/>
    </row>
    <row r="435" spans="4:10" s="1" customFormat="1">
      <c r="D435" s="11"/>
      <c r="E435" s="7"/>
      <c r="F435" s="7"/>
      <c r="G435" s="7"/>
      <c r="H435" s="7"/>
      <c r="I435" s="7"/>
      <c r="J435" s="16"/>
    </row>
    <row r="436" spans="4:10" s="1" customFormat="1">
      <c r="D436" s="11"/>
      <c r="E436" s="7"/>
      <c r="F436" s="7"/>
      <c r="G436" s="7"/>
      <c r="H436" s="7"/>
      <c r="I436" s="7"/>
      <c r="J436" s="16"/>
    </row>
    <row r="437" spans="4:10" s="1" customFormat="1">
      <c r="D437" s="11"/>
      <c r="E437" s="7"/>
      <c r="F437" s="7"/>
      <c r="G437" s="7"/>
      <c r="H437" s="7"/>
      <c r="I437" s="7"/>
      <c r="J437" s="16"/>
    </row>
    <row r="438" spans="4:10" s="1" customFormat="1">
      <c r="D438" s="11"/>
      <c r="E438" s="7"/>
      <c r="F438" s="7"/>
      <c r="G438" s="7"/>
      <c r="H438" s="7"/>
      <c r="I438" s="7"/>
      <c r="J438" s="16"/>
    </row>
    <row r="439" spans="4:10" s="1" customFormat="1">
      <c r="D439" s="11"/>
      <c r="E439" s="7"/>
      <c r="F439" s="7"/>
      <c r="G439" s="7"/>
      <c r="H439" s="7"/>
      <c r="I439" s="7"/>
      <c r="J439" s="16"/>
    </row>
    <row r="440" spans="4:10" s="1" customFormat="1">
      <c r="D440" s="11"/>
      <c r="E440" s="7"/>
      <c r="F440" s="7"/>
      <c r="G440" s="7"/>
      <c r="H440" s="7"/>
      <c r="I440" s="7"/>
      <c r="J440" s="16"/>
    </row>
    <row r="441" spans="4:10" s="1" customFormat="1">
      <c r="D441" s="11"/>
      <c r="E441" s="7"/>
      <c r="F441" s="7"/>
      <c r="G441" s="7"/>
      <c r="H441" s="7"/>
      <c r="I441" s="7"/>
      <c r="J441" s="16"/>
    </row>
    <row r="442" spans="4:10" s="1" customFormat="1">
      <c r="D442" s="11"/>
      <c r="E442" s="7"/>
      <c r="F442" s="7"/>
      <c r="G442" s="7"/>
      <c r="H442" s="7"/>
      <c r="I442" s="7"/>
      <c r="J442" s="16"/>
    </row>
    <row r="443" spans="4:10" s="1" customFormat="1">
      <c r="D443" s="11"/>
      <c r="E443" s="7"/>
      <c r="F443" s="7"/>
      <c r="G443" s="7"/>
      <c r="H443" s="7"/>
      <c r="I443" s="7"/>
      <c r="J443" s="16"/>
    </row>
    <row r="444" spans="4:10" s="1" customFormat="1">
      <c r="D444" s="11"/>
      <c r="E444" s="7"/>
      <c r="F444" s="7"/>
      <c r="G444" s="7"/>
      <c r="H444" s="7"/>
      <c r="I444" s="7"/>
      <c r="J444" s="16"/>
    </row>
    <row r="445" spans="4:10" s="1" customFormat="1">
      <c r="D445" s="11"/>
      <c r="E445" s="7"/>
      <c r="F445" s="7"/>
      <c r="G445" s="7"/>
      <c r="H445" s="7"/>
      <c r="I445" s="7"/>
      <c r="J445" s="16"/>
    </row>
    <row r="446" spans="4:10" s="1" customFormat="1">
      <c r="D446" s="11"/>
      <c r="E446" s="7"/>
      <c r="F446" s="7"/>
      <c r="G446" s="7"/>
      <c r="H446" s="7"/>
      <c r="I446" s="7"/>
      <c r="J446" s="16"/>
    </row>
    <row r="447" spans="4:10" s="1" customFormat="1">
      <c r="D447" s="11"/>
      <c r="E447" s="7"/>
      <c r="F447" s="7"/>
      <c r="G447" s="7"/>
      <c r="H447" s="7"/>
      <c r="I447" s="7"/>
      <c r="J447" s="16"/>
    </row>
    <row r="448" spans="4:10" s="1" customFormat="1">
      <c r="D448" s="11"/>
      <c r="E448" s="7"/>
      <c r="F448" s="7"/>
      <c r="G448" s="7"/>
      <c r="H448" s="7"/>
      <c r="I448" s="7"/>
      <c r="J448" s="16"/>
    </row>
    <row r="449" spans="4:10" s="1" customFormat="1">
      <c r="D449" s="11"/>
      <c r="E449" s="7"/>
      <c r="F449" s="7"/>
      <c r="G449" s="7"/>
      <c r="H449" s="7"/>
      <c r="I449" s="7"/>
      <c r="J449" s="16"/>
    </row>
    <row r="450" spans="4:10" s="1" customFormat="1">
      <c r="D450" s="11"/>
      <c r="E450" s="7"/>
      <c r="F450" s="7"/>
      <c r="G450" s="7"/>
      <c r="H450" s="7"/>
      <c r="I450" s="7"/>
      <c r="J450" s="16"/>
    </row>
    <row r="451" spans="4:10" s="1" customFormat="1">
      <c r="D451" s="11"/>
      <c r="E451" s="7"/>
      <c r="F451" s="7"/>
      <c r="G451" s="7"/>
      <c r="H451" s="7"/>
      <c r="I451" s="7"/>
      <c r="J451" s="16"/>
    </row>
    <row r="452" spans="4:10" s="1" customFormat="1">
      <c r="D452" s="11"/>
      <c r="E452" s="7"/>
      <c r="F452" s="7"/>
      <c r="G452" s="7"/>
      <c r="H452" s="7"/>
      <c r="I452" s="7"/>
      <c r="J452" s="16"/>
    </row>
    <row r="453" spans="4:10" s="1" customFormat="1">
      <c r="D453" s="11"/>
      <c r="E453" s="7"/>
      <c r="F453" s="7"/>
      <c r="G453" s="7"/>
      <c r="H453" s="7"/>
      <c r="I453" s="7"/>
      <c r="J453" s="16"/>
    </row>
    <row r="454" spans="4:10" s="1" customFormat="1">
      <c r="D454" s="11"/>
      <c r="E454" s="7"/>
      <c r="F454" s="7"/>
      <c r="G454" s="7"/>
      <c r="H454" s="7"/>
      <c r="I454" s="7"/>
      <c r="J454" s="16"/>
    </row>
    <row r="455" spans="4:10" s="1" customFormat="1">
      <c r="D455" s="11"/>
      <c r="E455" s="7"/>
      <c r="F455" s="7"/>
      <c r="G455" s="7"/>
      <c r="H455" s="7"/>
      <c r="I455" s="7"/>
      <c r="J455" s="16"/>
    </row>
    <row r="456" spans="4:10" s="1" customFormat="1">
      <c r="D456" s="11"/>
      <c r="E456" s="7"/>
      <c r="F456" s="7"/>
      <c r="G456" s="7"/>
      <c r="H456" s="7"/>
      <c r="I456" s="7"/>
      <c r="J456" s="16"/>
    </row>
    <row r="457" spans="4:10" s="1" customFormat="1">
      <c r="D457" s="11"/>
      <c r="E457" s="7"/>
      <c r="F457" s="7"/>
      <c r="G457" s="7"/>
      <c r="H457" s="7"/>
      <c r="I457" s="7"/>
      <c r="J457" s="16"/>
    </row>
    <row r="458" spans="4:10" s="1" customFormat="1">
      <c r="D458" s="11"/>
      <c r="E458" s="7"/>
      <c r="F458" s="7"/>
      <c r="G458" s="7"/>
      <c r="H458" s="7"/>
      <c r="I458" s="7"/>
      <c r="J458" s="16"/>
    </row>
    <row r="459" spans="4:10" s="1" customFormat="1">
      <c r="D459" s="11"/>
      <c r="E459" s="7"/>
      <c r="F459" s="7"/>
      <c r="G459" s="7"/>
      <c r="H459" s="7"/>
      <c r="I459" s="7"/>
      <c r="J459" s="16"/>
    </row>
    <row r="460" spans="4:10" s="1" customFormat="1">
      <c r="D460" s="11"/>
      <c r="E460" s="7"/>
      <c r="F460" s="7"/>
      <c r="G460" s="7"/>
      <c r="H460" s="7"/>
      <c r="I460" s="7"/>
      <c r="J460" s="16"/>
    </row>
    <row r="461" spans="4:10" s="1" customFormat="1">
      <c r="D461" s="11"/>
      <c r="E461" s="7"/>
      <c r="F461" s="7"/>
      <c r="G461" s="7"/>
      <c r="H461" s="7"/>
      <c r="I461" s="7"/>
      <c r="J461" s="16"/>
    </row>
    <row r="462" spans="4:10" s="1" customFormat="1">
      <c r="D462" s="11"/>
      <c r="E462" s="7"/>
      <c r="F462" s="7"/>
      <c r="G462" s="7"/>
      <c r="H462" s="7"/>
      <c r="I462" s="7"/>
      <c r="J462" s="16"/>
    </row>
    <row r="463" spans="4:10" s="1" customFormat="1">
      <c r="D463" s="11"/>
      <c r="E463" s="7"/>
      <c r="F463" s="7"/>
      <c r="G463" s="7"/>
      <c r="H463" s="7"/>
      <c r="I463" s="7"/>
      <c r="J463" s="16"/>
    </row>
    <row r="464" spans="4:10" s="1" customFormat="1">
      <c r="D464" s="11"/>
      <c r="E464" s="7"/>
      <c r="F464" s="7"/>
      <c r="G464" s="7"/>
      <c r="H464" s="7"/>
      <c r="I464" s="7"/>
      <c r="J464" s="16"/>
    </row>
    <row r="465" spans="4:10" s="1" customFormat="1">
      <c r="D465" s="11"/>
      <c r="E465" s="7"/>
      <c r="F465" s="7"/>
      <c r="G465" s="7"/>
      <c r="H465" s="7"/>
      <c r="I465" s="7"/>
      <c r="J465" s="16"/>
    </row>
    <row r="466" spans="4:10" s="1" customFormat="1">
      <c r="D466" s="11"/>
      <c r="E466" s="7"/>
      <c r="F466" s="7"/>
      <c r="G466" s="7"/>
      <c r="H466" s="7"/>
      <c r="I466" s="7"/>
      <c r="J466" s="16"/>
    </row>
    <row r="467" spans="4:10" s="1" customFormat="1">
      <c r="D467" s="11"/>
      <c r="E467" s="7"/>
      <c r="F467" s="7"/>
      <c r="G467" s="7"/>
      <c r="H467" s="7"/>
      <c r="I467" s="7"/>
      <c r="J467" s="16"/>
    </row>
    <row r="468" spans="4:10" s="1" customFormat="1">
      <c r="D468" s="11"/>
      <c r="E468" s="7"/>
      <c r="F468" s="7"/>
      <c r="G468" s="7"/>
      <c r="H468" s="7"/>
      <c r="I468" s="7"/>
      <c r="J468" s="16"/>
    </row>
    <row r="469" spans="4:10" s="1" customFormat="1">
      <c r="D469" s="11"/>
      <c r="E469" s="7"/>
      <c r="F469" s="7"/>
      <c r="G469" s="7"/>
      <c r="H469" s="7"/>
      <c r="I469" s="7"/>
      <c r="J469" s="16"/>
    </row>
    <row r="470" spans="4:10" s="1" customFormat="1">
      <c r="D470" s="11"/>
      <c r="E470" s="7"/>
      <c r="F470" s="7"/>
      <c r="G470" s="7"/>
      <c r="H470" s="7"/>
      <c r="I470" s="7"/>
      <c r="J470" s="16"/>
    </row>
    <row r="471" spans="4:10" s="1" customFormat="1">
      <c r="D471" s="11"/>
      <c r="E471" s="7"/>
      <c r="F471" s="7"/>
      <c r="G471" s="7"/>
      <c r="H471" s="7"/>
      <c r="I471" s="7"/>
      <c r="J471" s="16"/>
    </row>
    <row r="472" spans="4:10" s="1" customFormat="1">
      <c r="D472" s="11"/>
      <c r="E472" s="7"/>
      <c r="F472" s="7"/>
      <c r="G472" s="7"/>
      <c r="H472" s="7"/>
      <c r="I472" s="7"/>
      <c r="J472" s="16"/>
    </row>
    <row r="473" spans="4:10" s="1" customFormat="1">
      <c r="D473" s="11"/>
      <c r="E473" s="7"/>
      <c r="F473" s="7"/>
      <c r="G473" s="7"/>
      <c r="H473" s="7"/>
      <c r="I473" s="7"/>
      <c r="J473" s="16"/>
    </row>
    <row r="474" spans="4:10" s="1" customFormat="1">
      <c r="D474" s="11"/>
      <c r="E474" s="7"/>
      <c r="F474" s="7"/>
      <c r="G474" s="7"/>
      <c r="H474" s="7"/>
      <c r="I474" s="7"/>
      <c r="J474" s="16"/>
    </row>
    <row r="475" spans="4:10" s="1" customFormat="1">
      <c r="D475" s="11"/>
      <c r="E475" s="7"/>
      <c r="F475" s="7"/>
      <c r="G475" s="7"/>
      <c r="H475" s="7"/>
      <c r="I475" s="7"/>
      <c r="J475" s="16"/>
    </row>
    <row r="476" spans="4:10" s="1" customFormat="1">
      <c r="D476" s="11"/>
      <c r="E476" s="7"/>
      <c r="F476" s="7"/>
      <c r="G476" s="7"/>
      <c r="H476" s="7"/>
      <c r="I476" s="7"/>
      <c r="J476" s="16"/>
    </row>
    <row r="477" spans="4:10" s="1" customFormat="1">
      <c r="D477" s="11"/>
      <c r="E477" s="7"/>
      <c r="F477" s="7"/>
      <c r="G477" s="7"/>
      <c r="H477" s="7"/>
      <c r="I477" s="7"/>
      <c r="J477" s="16"/>
    </row>
    <row r="478" spans="4:10" s="1" customFormat="1">
      <c r="D478" s="11"/>
      <c r="E478" s="7"/>
      <c r="F478" s="7"/>
      <c r="G478" s="7"/>
      <c r="H478" s="7"/>
      <c r="I478" s="7"/>
      <c r="J478" s="16"/>
    </row>
    <row r="479" spans="4:10" s="1" customFormat="1">
      <c r="D479" s="11"/>
      <c r="E479" s="7"/>
      <c r="F479" s="7"/>
      <c r="G479" s="7"/>
      <c r="H479" s="7"/>
      <c r="I479" s="7"/>
      <c r="J479" s="16"/>
    </row>
    <row r="480" spans="4:10" s="1" customFormat="1">
      <c r="D480" s="11"/>
      <c r="E480" s="7"/>
      <c r="F480" s="7"/>
      <c r="G480" s="7"/>
      <c r="H480" s="7"/>
      <c r="I480" s="7"/>
      <c r="J480" s="16"/>
    </row>
    <row r="481" spans="4:10" s="1" customFormat="1">
      <c r="D481" s="11"/>
      <c r="E481" s="7"/>
      <c r="F481" s="7"/>
      <c r="G481" s="7"/>
      <c r="H481" s="7"/>
      <c r="I481" s="7"/>
      <c r="J481" s="16"/>
    </row>
    <row r="482" spans="4:10" s="1" customFormat="1">
      <c r="D482" s="11"/>
      <c r="E482" s="7"/>
      <c r="F482" s="7"/>
      <c r="G482" s="7"/>
      <c r="H482" s="7"/>
      <c r="I482" s="7"/>
      <c r="J482" s="16"/>
    </row>
    <row r="483" spans="4:10" s="1" customFormat="1">
      <c r="D483" s="11"/>
      <c r="E483" s="7"/>
      <c r="F483" s="7"/>
      <c r="G483" s="7"/>
      <c r="H483" s="7"/>
      <c r="I483" s="7"/>
      <c r="J483" s="16"/>
    </row>
    <row r="484" spans="4:10" s="1" customFormat="1">
      <c r="D484" s="11"/>
      <c r="E484" s="7"/>
      <c r="F484" s="7"/>
      <c r="G484" s="7"/>
      <c r="H484" s="7"/>
      <c r="I484" s="7"/>
      <c r="J484" s="16"/>
    </row>
    <row r="485" spans="4:10" s="1" customFormat="1">
      <c r="D485" s="11"/>
      <c r="E485" s="7"/>
      <c r="F485" s="7"/>
      <c r="G485" s="7"/>
      <c r="H485" s="7"/>
      <c r="I485" s="7"/>
      <c r="J485" s="16"/>
    </row>
    <row r="486" spans="4:10" s="1" customFormat="1">
      <c r="D486" s="11"/>
      <c r="E486" s="7"/>
      <c r="F486" s="7"/>
      <c r="G486" s="7"/>
      <c r="H486" s="7"/>
      <c r="I486" s="7"/>
      <c r="J486" s="16"/>
    </row>
    <row r="487" spans="4:10" s="1" customFormat="1">
      <c r="D487" s="11"/>
      <c r="E487" s="7"/>
      <c r="F487" s="7"/>
      <c r="G487" s="7"/>
      <c r="H487" s="7"/>
      <c r="I487" s="7"/>
      <c r="J487" s="16"/>
    </row>
    <row r="488" spans="4:10" s="1" customFormat="1">
      <c r="D488" s="11"/>
      <c r="E488" s="7"/>
      <c r="F488" s="7"/>
      <c r="G488" s="7"/>
      <c r="H488" s="7"/>
      <c r="I488" s="7"/>
      <c r="J488" s="16"/>
    </row>
    <row r="489" spans="4:10" s="1" customFormat="1">
      <c r="D489" s="11"/>
      <c r="E489" s="7"/>
      <c r="F489" s="7"/>
      <c r="G489" s="7"/>
      <c r="H489" s="7"/>
      <c r="I489" s="7"/>
      <c r="J489" s="16"/>
    </row>
    <row r="490" spans="4:10" s="1" customFormat="1">
      <c r="D490" s="11"/>
      <c r="E490" s="7"/>
      <c r="F490" s="7"/>
      <c r="G490" s="7"/>
      <c r="H490" s="7"/>
      <c r="I490" s="7"/>
      <c r="J490" s="16"/>
    </row>
    <row r="491" spans="4:10" s="1" customFormat="1">
      <c r="D491" s="11"/>
      <c r="E491" s="7"/>
      <c r="F491" s="7"/>
      <c r="G491" s="7"/>
      <c r="H491" s="7"/>
      <c r="I491" s="7"/>
      <c r="J491" s="16"/>
    </row>
    <row r="492" spans="4:10" s="1" customFormat="1">
      <c r="D492" s="11"/>
      <c r="E492" s="7"/>
      <c r="F492" s="7"/>
      <c r="G492" s="7"/>
      <c r="H492" s="7"/>
      <c r="I492" s="7"/>
      <c r="J492" s="16"/>
    </row>
    <row r="493" spans="4:10" s="1" customFormat="1">
      <c r="D493" s="11"/>
      <c r="E493" s="7"/>
      <c r="F493" s="7"/>
      <c r="G493" s="7"/>
      <c r="H493" s="7"/>
      <c r="I493" s="7"/>
      <c r="J493" s="16"/>
    </row>
    <row r="494" spans="4:10" s="1" customFormat="1">
      <c r="D494" s="11"/>
      <c r="E494" s="7"/>
      <c r="F494" s="7"/>
      <c r="G494" s="7"/>
      <c r="H494" s="7"/>
      <c r="I494" s="7"/>
      <c r="J494" s="16"/>
    </row>
    <row r="495" spans="4:10" s="1" customFormat="1">
      <c r="D495" s="11"/>
      <c r="E495" s="7"/>
      <c r="F495" s="7"/>
      <c r="G495" s="7"/>
      <c r="H495" s="7"/>
      <c r="I495" s="7"/>
      <c r="J495" s="16"/>
    </row>
    <row r="496" spans="4:10" s="1" customFormat="1">
      <c r="D496" s="11"/>
      <c r="E496" s="7"/>
      <c r="F496" s="7"/>
      <c r="G496" s="7"/>
      <c r="H496" s="7"/>
      <c r="I496" s="7"/>
      <c r="J496" s="16"/>
    </row>
    <row r="497" spans="4:10" s="1" customFormat="1">
      <c r="D497" s="11"/>
      <c r="E497" s="7"/>
      <c r="F497" s="7"/>
      <c r="G497" s="7"/>
      <c r="H497" s="7"/>
      <c r="I497" s="7"/>
      <c r="J497" s="16"/>
    </row>
    <row r="498" spans="4:10" s="1" customFormat="1">
      <c r="D498" s="11"/>
      <c r="E498" s="7"/>
      <c r="F498" s="7"/>
      <c r="G498" s="7"/>
      <c r="H498" s="7"/>
      <c r="I498" s="7"/>
      <c r="J498" s="16"/>
    </row>
    <row r="499" spans="4:10" s="1" customFormat="1">
      <c r="D499" s="11"/>
      <c r="E499" s="7"/>
      <c r="F499" s="7"/>
      <c r="G499" s="7"/>
      <c r="H499" s="7"/>
      <c r="I499" s="7"/>
      <c r="J499" s="16"/>
    </row>
    <row r="500" spans="4:10" s="1" customFormat="1">
      <c r="D500" s="11"/>
      <c r="E500" s="7"/>
      <c r="F500" s="7"/>
      <c r="G500" s="7"/>
      <c r="H500" s="7"/>
      <c r="I500" s="7"/>
      <c r="J500" s="16"/>
    </row>
    <row r="501" spans="4:10" s="1" customFormat="1">
      <c r="D501" s="11"/>
      <c r="E501" s="7"/>
      <c r="F501" s="7"/>
      <c r="G501" s="7"/>
      <c r="H501" s="7"/>
      <c r="I501" s="7"/>
      <c r="J501" s="16"/>
    </row>
    <row r="502" spans="4:10" s="1" customFormat="1">
      <c r="D502" s="11"/>
      <c r="E502" s="7"/>
      <c r="F502" s="7"/>
      <c r="G502" s="7"/>
      <c r="H502" s="7"/>
      <c r="I502" s="7"/>
      <c r="J502" s="16"/>
    </row>
    <row r="503" spans="4:10" s="1" customFormat="1">
      <c r="D503" s="11"/>
      <c r="E503" s="7"/>
      <c r="F503" s="7"/>
      <c r="G503" s="7"/>
      <c r="H503" s="7"/>
      <c r="I503" s="7"/>
      <c r="J503" s="16"/>
    </row>
    <row r="504" spans="4:10" s="1" customFormat="1">
      <c r="D504" s="11"/>
      <c r="E504" s="7"/>
      <c r="F504" s="7"/>
      <c r="G504" s="7"/>
      <c r="H504" s="7"/>
      <c r="I504" s="7"/>
      <c r="J504" s="16"/>
    </row>
    <row r="505" spans="4:10" s="1" customFormat="1">
      <c r="D505" s="11"/>
      <c r="E505" s="7"/>
      <c r="F505" s="7"/>
      <c r="G505" s="7"/>
      <c r="H505" s="7"/>
      <c r="I505" s="7"/>
      <c r="J505" s="16"/>
    </row>
    <row r="506" spans="4:10" s="1" customFormat="1">
      <c r="D506" s="11"/>
      <c r="E506" s="7"/>
      <c r="F506" s="7"/>
      <c r="G506" s="7"/>
      <c r="H506" s="7"/>
      <c r="I506" s="7"/>
      <c r="J506" s="16"/>
    </row>
    <row r="507" spans="4:10" s="1" customFormat="1">
      <c r="D507" s="11"/>
      <c r="E507" s="7"/>
      <c r="F507" s="7"/>
      <c r="G507" s="7"/>
      <c r="H507" s="7"/>
      <c r="I507" s="7"/>
      <c r="J507" s="16"/>
    </row>
    <row r="508" spans="4:10" s="1" customFormat="1">
      <c r="D508" s="11"/>
      <c r="E508" s="7"/>
      <c r="F508" s="7"/>
      <c r="G508" s="7"/>
      <c r="H508" s="7"/>
      <c r="I508" s="7"/>
      <c r="J508" s="16"/>
    </row>
    <row r="509" spans="4:10" s="1" customFormat="1">
      <c r="D509" s="11"/>
      <c r="E509" s="7"/>
      <c r="F509" s="7"/>
      <c r="G509" s="7"/>
      <c r="H509" s="7"/>
      <c r="I509" s="7"/>
      <c r="J509" s="16"/>
    </row>
    <row r="510" spans="4:10" s="1" customFormat="1">
      <c r="D510" s="11"/>
      <c r="E510" s="7"/>
      <c r="F510" s="7"/>
      <c r="G510" s="7"/>
      <c r="H510" s="7"/>
      <c r="I510" s="7"/>
      <c r="J510" s="16"/>
    </row>
    <row r="511" spans="4:10" s="1" customFormat="1">
      <c r="D511" s="11"/>
      <c r="E511" s="7"/>
      <c r="F511" s="7"/>
      <c r="G511" s="7"/>
      <c r="H511" s="7"/>
      <c r="I511" s="7"/>
      <c r="J511" s="16"/>
    </row>
    <row r="512" spans="4:10" s="1" customFormat="1">
      <c r="D512" s="11"/>
      <c r="E512" s="7"/>
      <c r="F512" s="7"/>
      <c r="G512" s="7"/>
      <c r="H512" s="7"/>
      <c r="I512" s="7"/>
      <c r="J512" s="16"/>
    </row>
    <row r="513" spans="4:10" s="1" customFormat="1">
      <c r="D513" s="11"/>
      <c r="E513" s="7"/>
      <c r="F513" s="7"/>
      <c r="G513" s="7"/>
      <c r="H513" s="7"/>
      <c r="I513" s="7"/>
      <c r="J513" s="16"/>
    </row>
    <row r="514" spans="4:10" s="1" customFormat="1">
      <c r="D514" s="11"/>
      <c r="E514" s="7"/>
      <c r="F514" s="7"/>
      <c r="G514" s="7"/>
      <c r="H514" s="7"/>
      <c r="I514" s="7"/>
      <c r="J514" s="16"/>
    </row>
    <row r="515" spans="4:10" s="1" customFormat="1">
      <c r="D515" s="11"/>
      <c r="E515" s="7"/>
      <c r="F515" s="7"/>
      <c r="G515" s="7"/>
      <c r="H515" s="7"/>
      <c r="I515" s="7"/>
      <c r="J515" s="16"/>
    </row>
    <row r="516" spans="4:10" s="1" customFormat="1">
      <c r="D516" s="11"/>
      <c r="E516" s="7"/>
      <c r="F516" s="7"/>
      <c r="G516" s="7"/>
      <c r="H516" s="7"/>
      <c r="I516" s="7"/>
      <c r="J516" s="16"/>
    </row>
    <row r="517" spans="4:10" s="1" customFormat="1">
      <c r="D517" s="11"/>
      <c r="E517" s="7"/>
      <c r="F517" s="7"/>
      <c r="G517" s="7"/>
      <c r="H517" s="7"/>
      <c r="I517" s="7"/>
      <c r="J517" s="16"/>
    </row>
    <row r="518" spans="4:10" s="1" customFormat="1">
      <c r="D518" s="11"/>
      <c r="E518" s="7"/>
      <c r="F518" s="7"/>
      <c r="G518" s="7"/>
      <c r="H518" s="7"/>
      <c r="I518" s="7"/>
      <c r="J518" s="16"/>
    </row>
    <row r="519" spans="4:10" s="1" customFormat="1">
      <c r="D519" s="11"/>
      <c r="E519" s="7"/>
      <c r="F519" s="7"/>
      <c r="G519" s="7"/>
      <c r="H519" s="7"/>
      <c r="I519" s="7"/>
      <c r="J519" s="16"/>
    </row>
    <row r="520" spans="4:10" s="1" customFormat="1">
      <c r="D520" s="11"/>
      <c r="E520" s="7"/>
      <c r="F520" s="7"/>
      <c r="G520" s="7"/>
      <c r="H520" s="7"/>
      <c r="I520" s="7"/>
      <c r="J520" s="16"/>
    </row>
    <row r="521" spans="4:10" s="1" customFormat="1">
      <c r="D521" s="11"/>
      <c r="E521" s="7"/>
      <c r="F521" s="7"/>
      <c r="G521" s="7"/>
      <c r="H521" s="7"/>
      <c r="I521" s="7"/>
      <c r="J521" s="16"/>
    </row>
    <row r="522" spans="4:10" s="1" customFormat="1">
      <c r="D522" s="11"/>
      <c r="E522" s="7"/>
      <c r="F522" s="7"/>
      <c r="G522" s="7"/>
      <c r="H522" s="7"/>
      <c r="I522" s="7"/>
      <c r="J522" s="16"/>
    </row>
    <row r="523" spans="4:10" s="1" customFormat="1">
      <c r="D523" s="11"/>
      <c r="E523" s="7"/>
      <c r="F523" s="7"/>
      <c r="G523" s="7"/>
      <c r="H523" s="7"/>
      <c r="I523" s="7"/>
      <c r="J523" s="16"/>
    </row>
    <row r="524" spans="4:10" s="1" customFormat="1">
      <c r="D524" s="11"/>
      <c r="E524" s="7"/>
      <c r="F524" s="7"/>
      <c r="G524" s="7"/>
      <c r="H524" s="7"/>
      <c r="I524" s="7"/>
      <c r="J524" s="16"/>
    </row>
    <row r="525" spans="4:10" s="1" customFormat="1">
      <c r="D525" s="11"/>
      <c r="E525" s="7"/>
      <c r="F525" s="7"/>
      <c r="G525" s="7"/>
      <c r="H525" s="7"/>
      <c r="I525" s="7"/>
      <c r="J525" s="16"/>
    </row>
    <row r="526" spans="4:10" s="1" customFormat="1">
      <c r="D526" s="11"/>
      <c r="E526" s="7"/>
      <c r="F526" s="7"/>
      <c r="G526" s="7"/>
      <c r="H526" s="7"/>
      <c r="I526" s="7"/>
      <c r="J526" s="16"/>
    </row>
    <row r="527" spans="4:10" s="1" customFormat="1">
      <c r="D527" s="11"/>
      <c r="E527" s="7"/>
      <c r="F527" s="7"/>
      <c r="G527" s="7"/>
      <c r="H527" s="7"/>
      <c r="I527" s="7"/>
      <c r="J527" s="16"/>
    </row>
    <row r="528" spans="4:10" s="1" customFormat="1">
      <c r="D528" s="11"/>
      <c r="E528" s="7"/>
      <c r="F528" s="7"/>
      <c r="G528" s="7"/>
      <c r="H528" s="7"/>
      <c r="I528" s="7"/>
      <c r="J528" s="16"/>
    </row>
    <row r="529" spans="4:10" s="1" customFormat="1">
      <c r="D529" s="11"/>
      <c r="E529" s="7"/>
      <c r="F529" s="7"/>
      <c r="G529" s="7"/>
      <c r="H529" s="7"/>
      <c r="I529" s="7"/>
      <c r="J529" s="16"/>
    </row>
    <row r="530" spans="4:10" s="1" customFormat="1">
      <c r="D530" s="11"/>
      <c r="E530" s="7"/>
      <c r="F530" s="7"/>
      <c r="G530" s="7"/>
      <c r="H530" s="7"/>
      <c r="I530" s="7"/>
      <c r="J530" s="16"/>
    </row>
    <row r="531" spans="4:10" s="1" customFormat="1">
      <c r="D531" s="11"/>
      <c r="E531" s="7"/>
      <c r="F531" s="7"/>
      <c r="G531" s="7"/>
      <c r="H531" s="7"/>
      <c r="I531" s="7"/>
      <c r="J531" s="16"/>
    </row>
    <row r="532" spans="4:10" s="1" customFormat="1">
      <c r="D532" s="11"/>
      <c r="E532" s="7"/>
      <c r="F532" s="7"/>
      <c r="G532" s="7"/>
      <c r="H532" s="7"/>
      <c r="I532" s="7"/>
      <c r="J532" s="16"/>
    </row>
    <row r="533" spans="4:10" s="1" customFormat="1">
      <c r="D533" s="11"/>
      <c r="E533" s="7"/>
      <c r="F533" s="7"/>
      <c r="G533" s="7"/>
      <c r="H533" s="7"/>
      <c r="I533" s="7"/>
      <c r="J533" s="16"/>
    </row>
    <row r="534" spans="4:10" s="1" customFormat="1">
      <c r="D534" s="11"/>
      <c r="E534" s="7"/>
      <c r="F534" s="7"/>
      <c r="G534" s="7"/>
      <c r="H534" s="7"/>
      <c r="I534" s="7"/>
      <c r="J534" s="16"/>
    </row>
    <row r="535" spans="4:10" s="1" customFormat="1">
      <c r="D535" s="11"/>
      <c r="E535" s="7"/>
      <c r="F535" s="7"/>
      <c r="G535" s="7"/>
      <c r="H535" s="7"/>
      <c r="I535" s="7"/>
      <c r="J535" s="16"/>
    </row>
    <row r="536" spans="4:10" s="1" customFormat="1">
      <c r="D536" s="11"/>
      <c r="E536" s="7"/>
      <c r="F536" s="7"/>
      <c r="G536" s="7"/>
      <c r="H536" s="7"/>
      <c r="I536" s="7"/>
      <c r="J536" s="16"/>
    </row>
    <row r="537" spans="4:10" s="1" customFormat="1">
      <c r="D537" s="11"/>
      <c r="E537" s="7"/>
      <c r="F537" s="7"/>
      <c r="G537" s="7"/>
      <c r="H537" s="7"/>
      <c r="I537" s="7"/>
      <c r="J537" s="16"/>
    </row>
    <row r="538" spans="4:10" s="1" customFormat="1">
      <c r="D538" s="11"/>
      <c r="E538" s="7"/>
      <c r="F538" s="7"/>
      <c r="G538" s="7"/>
      <c r="H538" s="7"/>
      <c r="I538" s="7"/>
      <c r="J538" s="16"/>
    </row>
    <row r="539" spans="4:10" s="1" customFormat="1">
      <c r="D539" s="11"/>
      <c r="E539" s="7"/>
      <c r="F539" s="7"/>
      <c r="G539" s="7"/>
      <c r="H539" s="7"/>
      <c r="I539" s="7"/>
      <c r="J539" s="16"/>
    </row>
    <row r="540" spans="4:10" s="1" customFormat="1">
      <c r="D540" s="11"/>
      <c r="E540" s="7"/>
      <c r="F540" s="7"/>
      <c r="G540" s="7"/>
      <c r="H540" s="7"/>
      <c r="I540" s="7"/>
      <c r="J540" s="16"/>
    </row>
    <row r="541" spans="4:10" s="1" customFormat="1">
      <c r="D541" s="11"/>
      <c r="E541" s="7"/>
      <c r="F541" s="7"/>
      <c r="G541" s="7"/>
      <c r="H541" s="7"/>
      <c r="I541" s="7"/>
      <c r="J541" s="16"/>
    </row>
    <row r="542" spans="4:10" s="1" customFormat="1">
      <c r="D542" s="11"/>
      <c r="E542" s="7"/>
      <c r="F542" s="7"/>
      <c r="G542" s="7"/>
      <c r="H542" s="7"/>
      <c r="I542" s="7"/>
      <c r="J542" s="16"/>
    </row>
    <row r="543" spans="4:10" s="1" customFormat="1">
      <c r="D543" s="11"/>
      <c r="E543" s="7"/>
      <c r="F543" s="7"/>
      <c r="G543" s="7"/>
      <c r="H543" s="7"/>
      <c r="I543" s="7"/>
      <c r="J543" s="16"/>
    </row>
    <row r="544" spans="4:10" s="1" customFormat="1">
      <c r="D544" s="11"/>
      <c r="E544" s="7"/>
      <c r="F544" s="7"/>
      <c r="G544" s="7"/>
      <c r="H544" s="7"/>
      <c r="I544" s="7"/>
      <c r="J544" s="16"/>
    </row>
    <row r="545" spans="4:10" s="1" customFormat="1">
      <c r="D545" s="11"/>
      <c r="E545" s="7"/>
      <c r="F545" s="7"/>
      <c r="G545" s="7"/>
      <c r="H545" s="7"/>
      <c r="I545" s="7"/>
      <c r="J545" s="16"/>
    </row>
    <row r="546" spans="4:10" s="1" customFormat="1">
      <c r="D546" s="11"/>
      <c r="E546" s="7"/>
      <c r="F546" s="7"/>
      <c r="G546" s="7"/>
      <c r="H546" s="7"/>
      <c r="I546" s="7"/>
      <c r="J546" s="16"/>
    </row>
    <row r="547" spans="4:10" s="1" customFormat="1">
      <c r="D547" s="11"/>
      <c r="E547" s="7"/>
      <c r="F547" s="7"/>
      <c r="G547" s="7"/>
      <c r="H547" s="7"/>
      <c r="I547" s="7"/>
      <c r="J547" s="16"/>
    </row>
    <row r="548" spans="4:10" s="1" customFormat="1">
      <c r="D548" s="11"/>
      <c r="E548" s="7"/>
      <c r="F548" s="7"/>
      <c r="G548" s="7"/>
      <c r="H548" s="7"/>
      <c r="I548" s="7"/>
      <c r="J548" s="16"/>
    </row>
    <row r="549" spans="4:10" s="1" customFormat="1">
      <c r="D549" s="11"/>
      <c r="E549" s="7"/>
      <c r="F549" s="7"/>
      <c r="G549" s="7"/>
      <c r="H549" s="7"/>
      <c r="I549" s="7"/>
      <c r="J549" s="16"/>
    </row>
    <row r="550" spans="4:10" s="1" customFormat="1">
      <c r="D550" s="11"/>
      <c r="E550" s="7"/>
      <c r="F550" s="7"/>
      <c r="G550" s="7"/>
      <c r="H550" s="7"/>
      <c r="I550" s="7"/>
      <c r="J550" s="16"/>
    </row>
    <row r="551" spans="4:10" s="1" customFormat="1">
      <c r="D551" s="11"/>
      <c r="E551" s="7"/>
      <c r="F551" s="7"/>
      <c r="G551" s="7"/>
      <c r="H551" s="7"/>
      <c r="I551" s="7"/>
      <c r="J551" s="16"/>
    </row>
    <row r="552" spans="4:10" s="1" customFormat="1">
      <c r="D552" s="11"/>
      <c r="E552" s="7"/>
      <c r="F552" s="7"/>
      <c r="G552" s="7"/>
      <c r="H552" s="7"/>
      <c r="I552" s="7"/>
      <c r="J552" s="16"/>
    </row>
    <row r="553" spans="4:10" s="1" customFormat="1">
      <c r="D553" s="11"/>
      <c r="E553" s="7"/>
      <c r="F553" s="7"/>
      <c r="G553" s="7"/>
      <c r="H553" s="7"/>
      <c r="I553" s="7"/>
      <c r="J553" s="16"/>
    </row>
    <row r="554" spans="4:10" s="1" customFormat="1">
      <c r="D554" s="11"/>
      <c r="E554" s="7"/>
      <c r="F554" s="7"/>
      <c r="G554" s="7"/>
      <c r="H554" s="7"/>
      <c r="I554" s="7"/>
      <c r="J554" s="16"/>
    </row>
    <row r="555" spans="4:10" s="1" customFormat="1">
      <c r="D555" s="11"/>
      <c r="E555" s="7"/>
      <c r="F555" s="7"/>
      <c r="G555" s="7"/>
      <c r="H555" s="7"/>
      <c r="I555" s="7"/>
      <c r="J555" s="16"/>
    </row>
    <row r="556" spans="4:10" s="1" customFormat="1">
      <c r="D556" s="11"/>
      <c r="E556" s="7"/>
      <c r="F556" s="7"/>
      <c r="G556" s="7"/>
      <c r="H556" s="7"/>
      <c r="I556" s="7"/>
      <c r="J556" s="16"/>
    </row>
    <row r="557" spans="4:10" s="1" customFormat="1">
      <c r="D557" s="11"/>
      <c r="E557" s="7"/>
      <c r="F557" s="7"/>
      <c r="G557" s="7"/>
      <c r="H557" s="7"/>
      <c r="I557" s="7"/>
      <c r="J557" s="16"/>
    </row>
    <row r="558" spans="4:10" s="1" customFormat="1">
      <c r="D558" s="11"/>
      <c r="E558" s="7"/>
      <c r="F558" s="7"/>
      <c r="G558" s="7"/>
      <c r="H558" s="7"/>
      <c r="I558" s="7"/>
      <c r="J558" s="16"/>
    </row>
    <row r="559" spans="4:10" s="1" customFormat="1">
      <c r="D559" s="11"/>
      <c r="E559" s="7"/>
      <c r="F559" s="7"/>
      <c r="G559" s="7"/>
      <c r="H559" s="7"/>
      <c r="I559" s="7"/>
      <c r="J559" s="16"/>
    </row>
    <row r="560" spans="4:10" s="1" customFormat="1">
      <c r="D560" s="11"/>
      <c r="E560" s="7"/>
      <c r="F560" s="7"/>
      <c r="G560" s="7"/>
      <c r="H560" s="7"/>
      <c r="I560" s="7"/>
      <c r="J560" s="16"/>
    </row>
    <row r="561" spans="4:10" s="1" customFormat="1">
      <c r="D561" s="11"/>
      <c r="E561" s="7"/>
      <c r="F561" s="7"/>
      <c r="G561" s="7"/>
      <c r="H561" s="7"/>
      <c r="I561" s="7"/>
      <c r="J561" s="16"/>
    </row>
    <row r="562" spans="4:10" s="1" customFormat="1">
      <c r="D562" s="11"/>
      <c r="E562" s="7"/>
      <c r="F562" s="7"/>
      <c r="G562" s="7"/>
      <c r="H562" s="7"/>
      <c r="I562" s="7"/>
      <c r="J562" s="16"/>
    </row>
    <row r="563" spans="4:10" s="1" customFormat="1">
      <c r="D563" s="11"/>
      <c r="E563" s="7"/>
      <c r="F563" s="7"/>
      <c r="G563" s="7"/>
      <c r="H563" s="7"/>
      <c r="I563" s="7"/>
      <c r="J563" s="16"/>
    </row>
    <row r="564" spans="4:10" s="1" customFormat="1">
      <c r="D564" s="11"/>
      <c r="E564" s="7"/>
      <c r="F564" s="7"/>
      <c r="G564" s="7"/>
      <c r="H564" s="7"/>
      <c r="I564" s="7"/>
      <c r="J564" s="16"/>
    </row>
    <row r="565" spans="4:10" s="1" customFormat="1">
      <c r="D565" s="11"/>
      <c r="E565" s="7"/>
      <c r="F565" s="7"/>
      <c r="G565" s="7"/>
      <c r="H565" s="7"/>
      <c r="I565" s="7"/>
      <c r="J565" s="16"/>
    </row>
    <row r="566" spans="4:10" s="1" customFormat="1">
      <c r="D566" s="11"/>
      <c r="E566" s="7"/>
      <c r="F566" s="7"/>
      <c r="G566" s="7"/>
      <c r="H566" s="7"/>
      <c r="I566" s="7"/>
      <c r="J566" s="16"/>
    </row>
    <row r="567" spans="4:10" s="1" customFormat="1">
      <c r="D567" s="11"/>
      <c r="E567" s="7"/>
      <c r="F567" s="7"/>
      <c r="G567" s="7"/>
      <c r="H567" s="7"/>
      <c r="I567" s="7"/>
      <c r="J567" s="16"/>
    </row>
    <row r="568" spans="4:10" s="1" customFormat="1">
      <c r="D568" s="11"/>
      <c r="E568" s="7"/>
      <c r="F568" s="7"/>
      <c r="G568" s="7"/>
      <c r="H568" s="7"/>
      <c r="I568" s="7"/>
      <c r="J568" s="16"/>
    </row>
    <row r="569" spans="4:10" s="1" customFormat="1">
      <c r="D569" s="11"/>
      <c r="E569" s="7"/>
      <c r="F569" s="7"/>
      <c r="G569" s="7"/>
      <c r="H569" s="7"/>
      <c r="I569" s="7"/>
      <c r="J569" s="16"/>
    </row>
    <row r="570" spans="4:10" s="1" customFormat="1">
      <c r="D570" s="11"/>
      <c r="E570" s="7"/>
      <c r="F570" s="7"/>
      <c r="G570" s="7"/>
      <c r="H570" s="7"/>
      <c r="I570" s="7"/>
      <c r="J570" s="16"/>
    </row>
    <row r="571" spans="4:10" s="1" customFormat="1">
      <c r="D571" s="11"/>
      <c r="E571" s="7"/>
      <c r="F571" s="7"/>
      <c r="G571" s="7"/>
      <c r="H571" s="7"/>
      <c r="I571" s="7"/>
      <c r="J571" s="16"/>
    </row>
    <row r="572" spans="4:10" s="1" customFormat="1">
      <c r="D572" s="11"/>
      <c r="E572" s="7"/>
      <c r="F572" s="7"/>
      <c r="G572" s="7"/>
      <c r="H572" s="7"/>
      <c r="I572" s="7"/>
      <c r="J572" s="16"/>
    </row>
    <row r="573" spans="4:10" s="1" customFormat="1">
      <c r="D573" s="11"/>
      <c r="E573" s="7"/>
      <c r="F573" s="7"/>
      <c r="G573" s="7"/>
      <c r="H573" s="7"/>
      <c r="I573" s="7"/>
      <c r="J573" s="16"/>
    </row>
    <row r="574" spans="4:10" s="1" customFormat="1">
      <c r="D574" s="11"/>
      <c r="E574" s="7"/>
      <c r="F574" s="7"/>
      <c r="G574" s="7"/>
      <c r="H574" s="7"/>
      <c r="I574" s="7"/>
      <c r="J574" s="16"/>
    </row>
    <row r="575" spans="4:10" s="1" customFormat="1">
      <c r="D575" s="11"/>
      <c r="E575" s="7"/>
      <c r="F575" s="7"/>
      <c r="G575" s="7"/>
      <c r="H575" s="7"/>
      <c r="I575" s="7"/>
      <c r="J575" s="16"/>
    </row>
    <row r="576" spans="4:10" s="1" customFormat="1">
      <c r="D576" s="11"/>
      <c r="E576" s="7"/>
      <c r="F576" s="7"/>
      <c r="G576" s="7"/>
      <c r="H576" s="7"/>
      <c r="I576" s="7"/>
      <c r="J576" s="16"/>
    </row>
    <row r="577" spans="4:10" s="1" customFormat="1">
      <c r="D577" s="11"/>
      <c r="E577" s="7"/>
      <c r="F577" s="7"/>
      <c r="G577" s="7"/>
      <c r="H577" s="7"/>
      <c r="I577" s="7"/>
      <c r="J577" s="16"/>
    </row>
    <row r="578" spans="4:10" s="1" customFormat="1">
      <c r="D578" s="11"/>
      <c r="E578" s="7"/>
      <c r="F578" s="7"/>
      <c r="G578" s="7"/>
      <c r="H578" s="7"/>
      <c r="I578" s="7"/>
      <c r="J578" s="16"/>
    </row>
    <row r="579" spans="4:10" s="1" customFormat="1">
      <c r="D579" s="11"/>
      <c r="E579" s="7"/>
      <c r="F579" s="7"/>
      <c r="G579" s="7"/>
      <c r="H579" s="7"/>
      <c r="I579" s="7"/>
      <c r="J579" s="16"/>
    </row>
    <row r="580" spans="4:10" s="1" customFormat="1">
      <c r="D580" s="11"/>
      <c r="E580" s="7"/>
      <c r="F580" s="7"/>
      <c r="G580" s="7"/>
      <c r="H580" s="7"/>
      <c r="I580" s="7"/>
      <c r="J580" s="16"/>
    </row>
    <row r="581" spans="4:10" s="1" customFormat="1">
      <c r="D581" s="11"/>
      <c r="E581" s="7"/>
      <c r="F581" s="7"/>
      <c r="G581" s="7"/>
      <c r="H581" s="7"/>
      <c r="I581" s="7"/>
      <c r="J581" s="16"/>
    </row>
    <row r="582" spans="4:10" s="1" customFormat="1">
      <c r="D582" s="11"/>
      <c r="E582" s="7"/>
      <c r="F582" s="7"/>
      <c r="G582" s="7"/>
      <c r="H582" s="7"/>
      <c r="I582" s="7"/>
      <c r="J582" s="16"/>
    </row>
    <row r="583" spans="4:10" s="1" customFormat="1">
      <c r="D583" s="11"/>
      <c r="E583" s="7"/>
      <c r="F583" s="7"/>
      <c r="G583" s="7"/>
      <c r="H583" s="7"/>
      <c r="I583" s="7"/>
      <c r="J583" s="16"/>
    </row>
    <row r="584" spans="4:10" s="1" customFormat="1">
      <c r="D584" s="11"/>
      <c r="E584" s="7"/>
      <c r="F584" s="7"/>
      <c r="G584" s="7"/>
      <c r="H584" s="7"/>
      <c r="I584" s="7"/>
      <c r="J584" s="16"/>
    </row>
    <row r="585" spans="4:10" s="1" customFormat="1">
      <c r="D585" s="11"/>
      <c r="E585" s="7"/>
      <c r="F585" s="7"/>
      <c r="G585" s="7"/>
      <c r="H585" s="7"/>
      <c r="I585" s="7"/>
      <c r="J585" s="16"/>
    </row>
    <row r="586" spans="4:10" s="1" customFormat="1">
      <c r="D586" s="11"/>
      <c r="E586" s="7"/>
      <c r="F586" s="7"/>
      <c r="G586" s="7"/>
      <c r="H586" s="7"/>
      <c r="I586" s="7"/>
      <c r="J586" s="16"/>
    </row>
    <row r="587" spans="4:10" s="1" customFormat="1">
      <c r="D587" s="11"/>
      <c r="E587" s="7"/>
      <c r="F587" s="7"/>
      <c r="G587" s="7"/>
      <c r="H587" s="7"/>
      <c r="I587" s="7"/>
      <c r="J587" s="16"/>
    </row>
    <row r="588" spans="4:10" s="1" customFormat="1">
      <c r="D588" s="11"/>
      <c r="E588" s="7"/>
      <c r="F588" s="7"/>
      <c r="G588" s="7"/>
      <c r="H588" s="7"/>
      <c r="I588" s="7"/>
      <c r="J588" s="16"/>
    </row>
    <row r="589" spans="4:10" s="1" customFormat="1">
      <c r="D589" s="11"/>
      <c r="E589" s="7"/>
      <c r="F589" s="7"/>
      <c r="G589" s="7"/>
      <c r="H589" s="7"/>
      <c r="I589" s="7"/>
      <c r="J589" s="16"/>
    </row>
    <row r="590" spans="4:10" s="1" customFormat="1">
      <c r="D590" s="11"/>
      <c r="E590" s="7"/>
      <c r="F590" s="7"/>
      <c r="G590" s="7"/>
      <c r="H590" s="7"/>
      <c r="I590" s="7"/>
      <c r="J590" s="16"/>
    </row>
    <row r="591" spans="4:10" s="1" customFormat="1">
      <c r="D591" s="11"/>
      <c r="E591" s="7"/>
      <c r="F591" s="7"/>
      <c r="G591" s="7"/>
      <c r="H591" s="7"/>
      <c r="I591" s="7"/>
      <c r="J591" s="16"/>
    </row>
    <row r="592" spans="4:10" s="1" customFormat="1">
      <c r="D592" s="11"/>
      <c r="E592" s="7"/>
      <c r="F592" s="7"/>
      <c r="G592" s="7"/>
      <c r="H592" s="7"/>
      <c r="I592" s="7"/>
      <c r="J592" s="16"/>
    </row>
    <row r="593" spans="4:10" s="1" customFormat="1">
      <c r="D593" s="11"/>
      <c r="E593" s="7"/>
      <c r="F593" s="7"/>
      <c r="G593" s="7"/>
      <c r="H593" s="7"/>
      <c r="I593" s="7"/>
      <c r="J593" s="16"/>
    </row>
    <row r="594" spans="4:10" s="1" customFormat="1">
      <c r="D594" s="11"/>
      <c r="E594" s="7"/>
      <c r="F594" s="7"/>
      <c r="G594" s="7"/>
      <c r="H594" s="7"/>
      <c r="I594" s="7"/>
      <c r="J594" s="16"/>
    </row>
    <row r="595" spans="4:10" s="1" customFormat="1">
      <c r="D595" s="11"/>
      <c r="E595" s="7"/>
      <c r="F595" s="7"/>
      <c r="G595" s="7"/>
      <c r="H595" s="7"/>
      <c r="I595" s="7"/>
      <c r="J595" s="16"/>
    </row>
    <row r="596" spans="4:10" s="1" customFormat="1">
      <c r="D596" s="11"/>
      <c r="E596" s="7"/>
      <c r="F596" s="7"/>
      <c r="G596" s="7"/>
      <c r="H596" s="7"/>
      <c r="I596" s="7"/>
      <c r="J596" s="16"/>
    </row>
    <row r="597" spans="4:10" s="1" customFormat="1">
      <c r="D597" s="11"/>
      <c r="E597" s="7"/>
      <c r="F597" s="7"/>
      <c r="G597" s="7"/>
      <c r="H597" s="7"/>
      <c r="I597" s="7"/>
      <c r="J597" s="16"/>
    </row>
    <row r="598" spans="4:10" s="1" customFormat="1">
      <c r="D598" s="11"/>
      <c r="E598" s="7"/>
      <c r="F598" s="7"/>
      <c r="G598" s="7"/>
      <c r="H598" s="7"/>
      <c r="I598" s="7"/>
      <c r="J598" s="16"/>
    </row>
    <row r="599" spans="4:10" s="1" customFormat="1">
      <c r="D599" s="11"/>
      <c r="E599" s="7"/>
      <c r="F599" s="7"/>
      <c r="G599" s="7"/>
      <c r="H599" s="7"/>
      <c r="I599" s="7"/>
      <c r="J599" s="16"/>
    </row>
    <row r="600" spans="4:10" s="1" customFormat="1">
      <c r="D600" s="11"/>
      <c r="E600" s="7"/>
      <c r="F600" s="7"/>
      <c r="G600" s="7"/>
      <c r="H600" s="7"/>
      <c r="I600" s="7"/>
      <c r="J600" s="16"/>
    </row>
    <row r="601" spans="4:10" s="1" customFormat="1">
      <c r="D601" s="11"/>
      <c r="E601" s="7"/>
      <c r="F601" s="7"/>
      <c r="G601" s="7"/>
      <c r="H601" s="7"/>
      <c r="I601" s="7"/>
      <c r="J601" s="16"/>
    </row>
    <row r="602" spans="4:10" s="1" customFormat="1">
      <c r="D602" s="11"/>
      <c r="E602" s="7"/>
      <c r="F602" s="7"/>
      <c r="G602" s="7"/>
      <c r="H602" s="7"/>
      <c r="I602" s="7"/>
      <c r="J602" s="16"/>
    </row>
    <row r="603" spans="4:10" s="1" customFormat="1">
      <c r="D603" s="11"/>
      <c r="E603" s="7"/>
      <c r="F603" s="7"/>
      <c r="G603" s="7"/>
      <c r="H603" s="7"/>
      <c r="I603" s="7"/>
      <c r="J603" s="16"/>
    </row>
    <row r="604" spans="4:10" s="1" customFormat="1">
      <c r="D604" s="11"/>
      <c r="E604" s="7"/>
      <c r="F604" s="7"/>
      <c r="G604" s="7"/>
      <c r="H604" s="7"/>
      <c r="I604" s="7"/>
      <c r="J604" s="16"/>
    </row>
    <row r="605" spans="4:10" s="1" customFormat="1">
      <c r="D605" s="11"/>
      <c r="E605" s="7"/>
      <c r="F605" s="7"/>
      <c r="G605" s="7"/>
      <c r="H605" s="7"/>
      <c r="I605" s="7"/>
      <c r="J605" s="16"/>
    </row>
    <row r="606" spans="4:10" s="1" customFormat="1">
      <c r="D606" s="11"/>
      <c r="E606" s="7"/>
      <c r="F606" s="7"/>
      <c r="G606" s="7"/>
      <c r="H606" s="7"/>
      <c r="I606" s="7"/>
      <c r="J606" s="16"/>
    </row>
    <row r="607" spans="4:10" s="1" customFormat="1">
      <c r="D607" s="11"/>
      <c r="E607" s="7"/>
      <c r="F607" s="7"/>
      <c r="G607" s="7"/>
      <c r="H607" s="7"/>
      <c r="I607" s="7"/>
      <c r="J607" s="16"/>
    </row>
    <row r="608" spans="4:10" s="1" customFormat="1">
      <c r="D608" s="11"/>
      <c r="E608" s="7"/>
      <c r="F608" s="7"/>
      <c r="G608" s="7"/>
      <c r="H608" s="7"/>
      <c r="I608" s="7"/>
      <c r="J608" s="16"/>
    </row>
    <row r="609" spans="4:10" s="1" customFormat="1">
      <c r="D609" s="11"/>
      <c r="E609" s="7"/>
      <c r="F609" s="7"/>
      <c r="G609" s="7"/>
      <c r="H609" s="7"/>
      <c r="I609" s="7"/>
      <c r="J609" s="16"/>
    </row>
    <row r="610" spans="4:10" s="1" customFormat="1">
      <c r="D610" s="11"/>
      <c r="E610" s="7"/>
      <c r="F610" s="7"/>
      <c r="G610" s="7"/>
      <c r="H610" s="7"/>
      <c r="I610" s="7"/>
      <c r="J610" s="16"/>
    </row>
    <row r="611" spans="4:10" s="1" customFormat="1">
      <c r="D611" s="11"/>
      <c r="E611" s="7"/>
      <c r="F611" s="7"/>
      <c r="G611" s="7"/>
      <c r="H611" s="7"/>
      <c r="I611" s="7"/>
      <c r="J611" s="16"/>
    </row>
    <row r="612" spans="4:10" s="1" customFormat="1">
      <c r="D612" s="11"/>
      <c r="E612" s="7"/>
      <c r="F612" s="7"/>
      <c r="G612" s="7"/>
      <c r="H612" s="7"/>
      <c r="I612" s="7"/>
      <c r="J612" s="16"/>
    </row>
    <row r="613" spans="4:10" s="1" customFormat="1">
      <c r="D613" s="11"/>
      <c r="E613" s="7"/>
      <c r="F613" s="7"/>
      <c r="G613" s="7"/>
      <c r="H613" s="7"/>
      <c r="I613" s="7"/>
      <c r="J613" s="16"/>
    </row>
    <row r="614" spans="4:10" s="1" customFormat="1">
      <c r="D614" s="11"/>
      <c r="E614" s="7"/>
      <c r="F614" s="7"/>
      <c r="G614" s="7"/>
      <c r="H614" s="7"/>
      <c r="I614" s="7"/>
      <c r="J614" s="16"/>
    </row>
    <row r="615" spans="4:10" s="1" customFormat="1">
      <c r="D615" s="11"/>
      <c r="E615" s="7"/>
      <c r="F615" s="7"/>
      <c r="G615" s="7"/>
      <c r="H615" s="7"/>
      <c r="I615" s="7"/>
      <c r="J615" s="16"/>
    </row>
    <row r="616" spans="4:10" s="1" customFormat="1">
      <c r="D616" s="11"/>
      <c r="E616" s="7"/>
      <c r="F616" s="7"/>
      <c r="G616" s="7"/>
      <c r="H616" s="7"/>
      <c r="I616" s="7"/>
      <c r="J616" s="16"/>
    </row>
    <row r="617" spans="4:10" s="1" customFormat="1">
      <c r="D617" s="11"/>
      <c r="E617" s="7"/>
      <c r="F617" s="7"/>
      <c r="G617" s="7"/>
      <c r="H617" s="7"/>
      <c r="I617" s="7"/>
      <c r="J617" s="16"/>
    </row>
    <row r="618" spans="4:10" s="1" customFormat="1">
      <c r="D618" s="11"/>
      <c r="E618" s="7"/>
      <c r="F618" s="7"/>
      <c r="G618" s="7"/>
      <c r="H618" s="7"/>
      <c r="I618" s="7"/>
      <c r="J618" s="16"/>
    </row>
    <row r="619" spans="4:10" s="1" customFormat="1">
      <c r="D619" s="11"/>
      <c r="E619" s="7"/>
      <c r="F619" s="7"/>
      <c r="G619" s="7"/>
      <c r="H619" s="7"/>
      <c r="I619" s="7"/>
      <c r="J619" s="16"/>
    </row>
    <row r="620" spans="4:10" s="1" customFormat="1">
      <c r="D620" s="11"/>
      <c r="E620" s="7"/>
      <c r="F620" s="7"/>
      <c r="G620" s="7"/>
      <c r="H620" s="7"/>
      <c r="I620" s="7"/>
      <c r="J620" s="16"/>
    </row>
    <row r="621" spans="4:10" s="1" customFormat="1">
      <c r="D621" s="11"/>
      <c r="E621" s="7"/>
      <c r="F621" s="7"/>
      <c r="G621" s="7"/>
      <c r="H621" s="7"/>
      <c r="I621" s="7"/>
      <c r="J621" s="16"/>
    </row>
    <row r="622" spans="4:10" s="1" customFormat="1">
      <c r="D622" s="11"/>
      <c r="E622" s="7"/>
      <c r="F622" s="7"/>
      <c r="G622" s="7"/>
      <c r="H622" s="7"/>
      <c r="I622" s="7"/>
      <c r="J622" s="16"/>
    </row>
    <row r="623" spans="4:10" s="1" customFormat="1">
      <c r="D623" s="11"/>
      <c r="E623" s="7"/>
      <c r="F623" s="7"/>
      <c r="G623" s="7"/>
      <c r="H623" s="7"/>
      <c r="I623" s="7"/>
      <c r="J623" s="16"/>
    </row>
    <row r="624" spans="4:10" s="1" customFormat="1">
      <c r="D624" s="11"/>
      <c r="E624" s="7"/>
      <c r="F624" s="7"/>
      <c r="G624" s="7"/>
      <c r="H624" s="7"/>
      <c r="I624" s="7"/>
      <c r="J624" s="16"/>
    </row>
    <row r="625" spans="4:10" s="1" customFormat="1">
      <c r="D625" s="11"/>
      <c r="E625" s="7"/>
      <c r="F625" s="7"/>
      <c r="G625" s="7"/>
      <c r="H625" s="7"/>
      <c r="I625" s="7"/>
      <c r="J625" s="16"/>
    </row>
    <row r="626" spans="4:10" s="1" customFormat="1">
      <c r="D626" s="11"/>
      <c r="E626" s="7"/>
      <c r="F626" s="7"/>
      <c r="G626" s="7"/>
      <c r="H626" s="7"/>
      <c r="I626" s="7"/>
      <c r="J626" s="16"/>
    </row>
    <row r="627" spans="4:10" s="1" customFormat="1">
      <c r="D627" s="11"/>
      <c r="E627" s="7"/>
      <c r="F627" s="7"/>
      <c r="G627" s="7"/>
      <c r="H627" s="7"/>
      <c r="I627" s="7"/>
      <c r="J627" s="16"/>
    </row>
    <row r="628" spans="4:10" s="1" customFormat="1">
      <c r="D628" s="11"/>
      <c r="E628" s="7"/>
      <c r="F628" s="7"/>
      <c r="G628" s="7"/>
      <c r="H628" s="7"/>
      <c r="I628" s="7"/>
      <c r="J628" s="16"/>
    </row>
    <row r="629" spans="4:10" s="1" customFormat="1">
      <c r="D629" s="11"/>
      <c r="E629" s="7"/>
      <c r="F629" s="7"/>
      <c r="G629" s="7"/>
      <c r="H629" s="7"/>
      <c r="I629" s="7"/>
      <c r="J629" s="16"/>
    </row>
    <row r="630" spans="4:10" s="1" customFormat="1">
      <c r="D630" s="11"/>
      <c r="E630" s="7"/>
      <c r="F630" s="7"/>
      <c r="G630" s="7"/>
      <c r="H630" s="7"/>
      <c r="I630" s="7"/>
      <c r="J630" s="16"/>
    </row>
    <row r="631" spans="4:10" s="1" customFormat="1">
      <c r="D631" s="11"/>
      <c r="E631" s="7"/>
      <c r="F631" s="7"/>
      <c r="G631" s="7"/>
      <c r="H631" s="7"/>
      <c r="I631" s="7"/>
      <c r="J631" s="16"/>
    </row>
    <row r="632" spans="4:10" s="1" customFormat="1">
      <c r="D632" s="11"/>
      <c r="E632" s="7"/>
      <c r="F632" s="7"/>
      <c r="G632" s="7"/>
      <c r="H632" s="7"/>
      <c r="I632" s="7"/>
      <c r="J632" s="16"/>
    </row>
    <row r="633" spans="4:10" s="1" customFormat="1">
      <c r="D633" s="11"/>
      <c r="E633" s="7"/>
      <c r="F633" s="7"/>
      <c r="G633" s="7"/>
      <c r="H633" s="7"/>
      <c r="I633" s="7"/>
      <c r="J633" s="16"/>
    </row>
    <row r="634" spans="4:10" s="1" customFormat="1">
      <c r="D634" s="11"/>
      <c r="E634" s="7"/>
      <c r="F634" s="7"/>
      <c r="G634" s="7"/>
      <c r="H634" s="7"/>
      <c r="I634" s="7"/>
      <c r="J634" s="16"/>
    </row>
    <row r="635" spans="4:10" s="1" customFormat="1">
      <c r="D635" s="11"/>
      <c r="E635" s="7"/>
      <c r="F635" s="7"/>
      <c r="G635" s="7"/>
      <c r="H635" s="7"/>
      <c r="I635" s="7"/>
      <c r="J635" s="16"/>
    </row>
    <row r="636" spans="4:10" s="1" customFormat="1">
      <c r="D636" s="11"/>
      <c r="E636" s="7"/>
      <c r="F636" s="7"/>
      <c r="G636" s="7"/>
      <c r="H636" s="7"/>
      <c r="I636" s="7"/>
      <c r="J636" s="16"/>
    </row>
    <row r="637" spans="4:10" s="1" customFormat="1">
      <c r="D637" s="11"/>
      <c r="E637" s="7"/>
      <c r="F637" s="7"/>
      <c r="G637" s="7"/>
      <c r="H637" s="7"/>
      <c r="I637" s="7"/>
      <c r="J637" s="16"/>
    </row>
    <row r="638" spans="4:10" s="1" customFormat="1">
      <c r="D638" s="11"/>
      <c r="E638" s="7"/>
      <c r="F638" s="7"/>
      <c r="G638" s="7"/>
      <c r="H638" s="7"/>
      <c r="I638" s="7"/>
      <c r="J638" s="16"/>
    </row>
    <row r="639" spans="4:10" s="1" customFormat="1">
      <c r="D639" s="11"/>
      <c r="E639" s="7"/>
      <c r="F639" s="7"/>
      <c r="G639" s="7"/>
      <c r="H639" s="7"/>
      <c r="I639" s="7"/>
      <c r="J639" s="16"/>
    </row>
    <row r="640" spans="4:10" s="1" customFormat="1">
      <c r="D640" s="11"/>
      <c r="E640" s="7"/>
      <c r="F640" s="7"/>
      <c r="G640" s="7"/>
      <c r="H640" s="7"/>
      <c r="I640" s="7"/>
      <c r="J640" s="16"/>
    </row>
    <row r="641" spans="4:10" s="1" customFormat="1">
      <c r="D641" s="11"/>
      <c r="E641" s="7"/>
      <c r="F641" s="7"/>
      <c r="G641" s="7"/>
      <c r="H641" s="7"/>
      <c r="I641" s="7"/>
      <c r="J641" s="16"/>
    </row>
    <row r="642" spans="4:10" s="1" customFormat="1">
      <c r="D642" s="11"/>
      <c r="E642" s="7"/>
      <c r="F642" s="7"/>
      <c r="G642" s="7"/>
      <c r="H642" s="7"/>
      <c r="I642" s="7"/>
      <c r="J642" s="16"/>
    </row>
    <row r="643" spans="4:10" s="1" customFormat="1">
      <c r="D643" s="11"/>
      <c r="E643" s="7"/>
      <c r="F643" s="7"/>
      <c r="G643" s="7"/>
      <c r="H643" s="7"/>
      <c r="I643" s="7"/>
      <c r="J643" s="16"/>
    </row>
    <row r="644" spans="4:10" s="1" customFormat="1">
      <c r="D644" s="11"/>
      <c r="E644" s="7"/>
      <c r="F644" s="7"/>
      <c r="G644" s="7"/>
      <c r="H644" s="7"/>
      <c r="I644" s="7"/>
      <c r="J644" s="16"/>
    </row>
    <row r="645" spans="4:10" s="1" customFormat="1">
      <c r="D645" s="11"/>
      <c r="E645" s="7"/>
      <c r="F645" s="7"/>
      <c r="G645" s="7"/>
      <c r="H645" s="7"/>
      <c r="I645" s="7"/>
      <c r="J645" s="16"/>
    </row>
    <row r="646" spans="4:10" s="1" customFormat="1">
      <c r="D646" s="11"/>
      <c r="E646" s="7"/>
      <c r="F646" s="7"/>
      <c r="G646" s="7"/>
      <c r="H646" s="7"/>
      <c r="I646" s="7"/>
      <c r="J646" s="16"/>
    </row>
    <row r="647" spans="4:10" s="1" customFormat="1">
      <c r="D647" s="11"/>
      <c r="E647" s="7"/>
      <c r="F647" s="7"/>
      <c r="G647" s="7"/>
      <c r="H647" s="7"/>
      <c r="I647" s="7"/>
      <c r="J647" s="16"/>
    </row>
    <row r="648" spans="4:10" s="1" customFormat="1">
      <c r="D648" s="11"/>
      <c r="E648" s="7"/>
      <c r="F648" s="7"/>
      <c r="G648" s="7"/>
      <c r="H648" s="7"/>
      <c r="I648" s="7"/>
      <c r="J648" s="16"/>
    </row>
    <row r="649" spans="4:10" s="1" customFormat="1">
      <c r="D649" s="11"/>
      <c r="E649" s="7"/>
      <c r="F649" s="7"/>
      <c r="G649" s="7"/>
      <c r="H649" s="7"/>
      <c r="I649" s="7"/>
      <c r="J649" s="16"/>
    </row>
    <row r="650" spans="4:10" s="1" customFormat="1">
      <c r="D650" s="11"/>
      <c r="E650" s="7"/>
      <c r="F650" s="7"/>
      <c r="G650" s="7"/>
      <c r="H650" s="7"/>
      <c r="I650" s="7"/>
      <c r="J650" s="16"/>
    </row>
    <row r="651" spans="4:10" s="1" customFormat="1">
      <c r="D651" s="11"/>
      <c r="E651" s="7"/>
      <c r="F651" s="7"/>
      <c r="G651" s="7"/>
      <c r="H651" s="7"/>
      <c r="I651" s="7"/>
      <c r="J651" s="16"/>
    </row>
    <row r="652" spans="4:10" s="1" customFormat="1">
      <c r="D652" s="11"/>
      <c r="E652" s="7"/>
      <c r="F652" s="7"/>
      <c r="G652" s="7"/>
      <c r="H652" s="7"/>
      <c r="I652" s="7"/>
      <c r="J652" s="16"/>
    </row>
    <row r="653" spans="4:10" s="1" customFormat="1">
      <c r="D653" s="11"/>
      <c r="E653" s="7"/>
      <c r="F653" s="7"/>
      <c r="G653" s="7"/>
      <c r="H653" s="7"/>
      <c r="I653" s="7"/>
      <c r="J653" s="16"/>
    </row>
    <row r="654" spans="4:10" s="1" customFormat="1">
      <c r="D654" s="11"/>
      <c r="E654" s="7"/>
      <c r="F654" s="7"/>
      <c r="G654" s="7"/>
      <c r="H654" s="7"/>
      <c r="I654" s="7"/>
      <c r="J654" s="16"/>
    </row>
    <row r="655" spans="4:10" s="1" customFormat="1">
      <c r="D655" s="11"/>
      <c r="E655" s="7"/>
      <c r="F655" s="7"/>
      <c r="G655" s="7"/>
      <c r="H655" s="7"/>
      <c r="I655" s="7"/>
      <c r="J655" s="16"/>
    </row>
    <row r="656" spans="4:10" s="1" customFormat="1">
      <c r="D656" s="11"/>
      <c r="E656" s="7"/>
      <c r="F656" s="7"/>
      <c r="G656" s="7"/>
      <c r="H656" s="7"/>
      <c r="I656" s="7"/>
      <c r="J656" s="16"/>
    </row>
    <row r="657" spans="4:10" s="1" customFormat="1">
      <c r="D657" s="11"/>
      <c r="E657" s="7"/>
      <c r="F657" s="7"/>
      <c r="G657" s="7"/>
      <c r="H657" s="7"/>
      <c r="I657" s="7"/>
      <c r="J657" s="16"/>
    </row>
    <row r="658" spans="4:10" s="1" customFormat="1">
      <c r="D658" s="11"/>
      <c r="E658" s="7"/>
      <c r="F658" s="7"/>
      <c r="G658" s="7"/>
      <c r="H658" s="7"/>
      <c r="I658" s="7"/>
      <c r="J658" s="16"/>
    </row>
    <row r="659" spans="4:10" s="1" customFormat="1">
      <c r="D659" s="11"/>
      <c r="E659" s="7"/>
      <c r="F659" s="7"/>
      <c r="G659" s="7"/>
      <c r="H659" s="7"/>
      <c r="I659" s="7"/>
      <c r="J659" s="16"/>
    </row>
    <row r="660" spans="4:10" s="1" customFormat="1">
      <c r="D660" s="11"/>
      <c r="E660" s="7"/>
      <c r="F660" s="7"/>
      <c r="G660" s="7"/>
      <c r="H660" s="7"/>
      <c r="I660" s="7"/>
      <c r="J660" s="16"/>
    </row>
    <row r="661" spans="4:10" s="1" customFormat="1">
      <c r="D661" s="11"/>
      <c r="E661" s="7"/>
      <c r="F661" s="7"/>
      <c r="G661" s="7"/>
      <c r="H661" s="7"/>
      <c r="I661" s="7"/>
      <c r="J661" s="16"/>
    </row>
    <row r="662" spans="4:10" s="1" customFormat="1">
      <c r="D662" s="11"/>
      <c r="E662" s="7"/>
      <c r="F662" s="7"/>
      <c r="G662" s="7"/>
      <c r="H662" s="7"/>
      <c r="I662" s="7"/>
      <c r="J662" s="16"/>
    </row>
    <row r="663" spans="4:10" s="1" customFormat="1">
      <c r="D663" s="11"/>
      <c r="E663" s="7"/>
      <c r="F663" s="7"/>
      <c r="G663" s="7"/>
      <c r="H663" s="7"/>
      <c r="I663" s="7"/>
      <c r="J663" s="16"/>
    </row>
    <row r="664" spans="4:10" s="1" customFormat="1">
      <c r="D664" s="11"/>
      <c r="E664" s="7"/>
      <c r="F664" s="7"/>
      <c r="G664" s="7"/>
      <c r="H664" s="7"/>
      <c r="I664" s="7"/>
      <c r="J664" s="16"/>
    </row>
    <row r="665" spans="4:10" s="1" customFormat="1">
      <c r="D665" s="11"/>
      <c r="E665" s="7"/>
      <c r="F665" s="7"/>
      <c r="G665" s="7"/>
      <c r="H665" s="7"/>
      <c r="I665" s="7"/>
      <c r="J665" s="16"/>
    </row>
    <row r="666" spans="4:10" s="1" customFormat="1">
      <c r="D666" s="11"/>
      <c r="E666" s="7"/>
      <c r="F666" s="7"/>
      <c r="G666" s="7"/>
      <c r="H666" s="7"/>
      <c r="I666" s="7"/>
      <c r="J666" s="16"/>
    </row>
    <row r="667" spans="4:10" s="1" customFormat="1">
      <c r="D667" s="11"/>
      <c r="E667" s="7"/>
      <c r="F667" s="7"/>
      <c r="G667" s="7"/>
      <c r="H667" s="7"/>
      <c r="I667" s="7"/>
      <c r="J667" s="16"/>
    </row>
    <row r="668" spans="4:10" s="1" customFormat="1">
      <c r="D668" s="11"/>
      <c r="E668" s="7"/>
      <c r="F668" s="7"/>
      <c r="G668" s="7"/>
      <c r="H668" s="7"/>
      <c r="I668" s="7"/>
      <c r="J668" s="16"/>
    </row>
    <row r="669" spans="4:10" s="1" customFormat="1">
      <c r="D669" s="11"/>
      <c r="E669" s="7"/>
      <c r="F669" s="7"/>
      <c r="G669" s="7"/>
      <c r="H669" s="7"/>
      <c r="I669" s="7"/>
      <c r="J669" s="16"/>
    </row>
    <row r="670" spans="4:10" s="1" customFormat="1">
      <c r="D670" s="11"/>
      <c r="E670" s="7"/>
      <c r="F670" s="7"/>
      <c r="G670" s="7"/>
      <c r="H670" s="7"/>
      <c r="I670" s="7"/>
      <c r="J670" s="16"/>
    </row>
    <row r="671" spans="4:10" s="1" customFormat="1">
      <c r="D671" s="11"/>
      <c r="E671" s="7"/>
      <c r="F671" s="7"/>
      <c r="G671" s="7"/>
      <c r="H671" s="7"/>
      <c r="I671" s="7"/>
      <c r="J671" s="16"/>
    </row>
    <row r="672" spans="4:10" s="1" customFormat="1">
      <c r="D672" s="11"/>
      <c r="E672" s="7"/>
      <c r="F672" s="7"/>
      <c r="G672" s="7"/>
      <c r="H672" s="7"/>
      <c r="I672" s="7"/>
      <c r="J672" s="16"/>
    </row>
    <row r="673" spans="4:10" s="1" customFormat="1">
      <c r="D673" s="11"/>
      <c r="E673" s="7"/>
      <c r="F673" s="7"/>
      <c r="G673" s="7"/>
      <c r="H673" s="7"/>
      <c r="I673" s="7"/>
      <c r="J673" s="16"/>
    </row>
    <row r="674" spans="4:10" s="1" customFormat="1">
      <c r="D674" s="11"/>
      <c r="E674" s="7"/>
      <c r="F674" s="7"/>
      <c r="G674" s="7"/>
      <c r="H674" s="7"/>
      <c r="I674" s="7"/>
      <c r="J674" s="16"/>
    </row>
    <row r="675" spans="4:10" s="1" customFormat="1">
      <c r="D675" s="11"/>
      <c r="E675" s="7"/>
      <c r="F675" s="7"/>
      <c r="G675" s="7"/>
      <c r="H675" s="7"/>
      <c r="I675" s="7"/>
      <c r="J675" s="16"/>
    </row>
    <row r="676" spans="4:10" s="1" customFormat="1">
      <c r="D676" s="11"/>
      <c r="E676" s="7"/>
      <c r="F676" s="7"/>
      <c r="G676" s="7"/>
      <c r="H676" s="7"/>
      <c r="I676" s="7"/>
      <c r="J676" s="16"/>
    </row>
    <row r="677" spans="4:10" s="1" customFormat="1">
      <c r="D677" s="11"/>
      <c r="E677" s="7"/>
      <c r="F677" s="7"/>
      <c r="G677" s="7"/>
      <c r="H677" s="7"/>
      <c r="I677" s="7"/>
      <c r="J677" s="16"/>
    </row>
    <row r="678" spans="4:10" s="1" customFormat="1">
      <c r="D678" s="11"/>
      <c r="E678" s="7"/>
      <c r="F678" s="7"/>
      <c r="G678" s="7"/>
      <c r="H678" s="7"/>
      <c r="I678" s="7"/>
      <c r="J678" s="16"/>
    </row>
    <row r="679" spans="4:10" s="1" customFormat="1">
      <c r="D679" s="11"/>
      <c r="E679" s="7"/>
      <c r="F679" s="7"/>
      <c r="G679" s="7"/>
      <c r="H679" s="7"/>
      <c r="I679" s="7"/>
      <c r="J679" s="16"/>
    </row>
    <row r="680" spans="4:10" s="1" customFormat="1">
      <c r="D680" s="11"/>
      <c r="E680" s="7"/>
      <c r="F680" s="7"/>
      <c r="G680" s="7"/>
      <c r="H680" s="7"/>
      <c r="I680" s="7"/>
      <c r="J680" s="16"/>
    </row>
    <row r="681" spans="4:10" s="1" customFormat="1">
      <c r="D681" s="11"/>
      <c r="E681" s="7"/>
      <c r="F681" s="7"/>
      <c r="G681" s="7"/>
      <c r="H681" s="7"/>
      <c r="I681" s="7"/>
      <c r="J681" s="16"/>
    </row>
    <row r="682" spans="4:10" s="1" customFormat="1">
      <c r="D682" s="11"/>
      <c r="E682" s="7"/>
      <c r="F682" s="7"/>
      <c r="G682" s="7"/>
      <c r="H682" s="7"/>
      <c r="I682" s="7"/>
      <c r="J682" s="16"/>
    </row>
    <row r="683" spans="4:10" s="1" customFormat="1">
      <c r="D683" s="11"/>
      <c r="E683" s="7"/>
      <c r="F683" s="7"/>
      <c r="G683" s="7"/>
      <c r="H683" s="7"/>
      <c r="I683" s="7"/>
      <c r="J683" s="16"/>
    </row>
    <row r="684" spans="4:10" s="1" customFormat="1">
      <c r="D684" s="11"/>
      <c r="E684" s="7"/>
      <c r="F684" s="7"/>
      <c r="G684" s="7"/>
      <c r="H684" s="7"/>
      <c r="I684" s="7"/>
      <c r="J684" s="16"/>
    </row>
    <row r="685" spans="4:10" s="1" customFormat="1">
      <c r="D685" s="11"/>
      <c r="E685" s="7"/>
      <c r="F685" s="7"/>
      <c r="G685" s="7"/>
      <c r="H685" s="7"/>
      <c r="I685" s="7"/>
      <c r="J685" s="16"/>
    </row>
    <row r="686" spans="4:10" s="1" customFormat="1">
      <c r="D686" s="11"/>
      <c r="E686" s="7"/>
      <c r="F686" s="7"/>
      <c r="G686" s="7"/>
      <c r="H686" s="7"/>
      <c r="I686" s="7"/>
      <c r="J686" s="16"/>
    </row>
    <row r="687" spans="4:10" s="1" customFormat="1">
      <c r="D687" s="11"/>
      <c r="E687" s="7"/>
      <c r="F687" s="7"/>
      <c r="G687" s="7"/>
      <c r="H687" s="7"/>
      <c r="I687" s="7"/>
      <c r="J687" s="16"/>
    </row>
    <row r="688" spans="4:10" s="1" customFormat="1">
      <c r="D688" s="11"/>
      <c r="E688" s="7"/>
      <c r="F688" s="7"/>
      <c r="G688" s="7"/>
      <c r="H688" s="7"/>
      <c r="I688" s="7"/>
      <c r="J688" s="16"/>
    </row>
    <row r="689" spans="4:10" s="1" customFormat="1">
      <c r="D689" s="11"/>
      <c r="E689" s="7"/>
      <c r="F689" s="7"/>
      <c r="G689" s="7"/>
      <c r="H689" s="7"/>
      <c r="I689" s="7"/>
      <c r="J689" s="16"/>
    </row>
    <row r="690" spans="4:10" s="1" customFormat="1">
      <c r="D690" s="11"/>
      <c r="E690" s="7"/>
      <c r="F690" s="7"/>
      <c r="G690" s="7"/>
      <c r="H690" s="7"/>
      <c r="I690" s="7"/>
      <c r="J690" s="16"/>
    </row>
    <row r="691" spans="4:10" s="1" customFormat="1">
      <c r="D691" s="11"/>
      <c r="E691" s="7"/>
      <c r="F691" s="7"/>
      <c r="G691" s="7"/>
      <c r="H691" s="7"/>
      <c r="I691" s="7"/>
      <c r="J691" s="16"/>
    </row>
    <row r="692" spans="4:10" s="1" customFormat="1">
      <c r="D692" s="11"/>
      <c r="E692" s="7"/>
      <c r="F692" s="7"/>
      <c r="G692" s="7"/>
      <c r="H692" s="7"/>
      <c r="I692" s="7"/>
      <c r="J692" s="16"/>
    </row>
    <row r="693" spans="4:10" s="1" customFormat="1">
      <c r="D693" s="11"/>
      <c r="E693" s="7"/>
      <c r="F693" s="7"/>
      <c r="G693" s="7"/>
      <c r="H693" s="7"/>
      <c r="I693" s="7"/>
      <c r="J693" s="16"/>
    </row>
    <row r="694" spans="4:10" s="1" customFormat="1">
      <c r="D694" s="11"/>
      <c r="E694" s="7"/>
      <c r="F694" s="7"/>
      <c r="G694" s="7"/>
      <c r="H694" s="7"/>
      <c r="I694" s="7"/>
      <c r="J694" s="16"/>
    </row>
    <row r="695" spans="4:10" s="1" customFormat="1">
      <c r="D695" s="11"/>
      <c r="E695" s="7"/>
      <c r="F695" s="7"/>
      <c r="G695" s="7"/>
      <c r="H695" s="7"/>
      <c r="I695" s="7"/>
      <c r="J695" s="16"/>
    </row>
    <row r="696" spans="4:10" s="1" customFormat="1">
      <c r="D696" s="11"/>
      <c r="E696" s="7"/>
      <c r="F696" s="7"/>
      <c r="G696" s="7"/>
      <c r="H696" s="7"/>
      <c r="I696" s="7"/>
      <c r="J696" s="16"/>
    </row>
    <row r="697" spans="4:10" s="1" customFormat="1">
      <c r="D697" s="11"/>
      <c r="E697" s="7"/>
      <c r="F697" s="7"/>
      <c r="G697" s="7"/>
      <c r="H697" s="7"/>
      <c r="I697" s="7"/>
      <c r="J697" s="16"/>
    </row>
    <row r="698" spans="4:10" s="1" customFormat="1">
      <c r="D698" s="11"/>
      <c r="E698" s="7"/>
      <c r="F698" s="7"/>
      <c r="G698" s="7"/>
      <c r="H698" s="7"/>
      <c r="I698" s="7"/>
      <c r="J698" s="16"/>
    </row>
    <row r="699" spans="4:10" s="1" customFormat="1">
      <c r="D699" s="11"/>
      <c r="E699" s="7"/>
      <c r="F699" s="7"/>
      <c r="G699" s="7"/>
      <c r="H699" s="7"/>
      <c r="I699" s="7"/>
      <c r="J699" s="16"/>
    </row>
    <row r="700" spans="4:10" s="1" customFormat="1">
      <c r="D700" s="11"/>
      <c r="E700" s="7"/>
      <c r="F700" s="7"/>
      <c r="G700" s="7"/>
      <c r="H700" s="7"/>
      <c r="I700" s="7"/>
      <c r="J700" s="16"/>
    </row>
    <row r="701" spans="4:10" s="1" customFormat="1">
      <c r="D701" s="11"/>
      <c r="E701" s="7"/>
      <c r="F701" s="7"/>
      <c r="G701" s="7"/>
      <c r="H701" s="7"/>
      <c r="I701" s="7"/>
      <c r="J701" s="16"/>
    </row>
    <row r="702" spans="4:10" s="1" customFormat="1">
      <c r="D702" s="11"/>
      <c r="E702" s="7"/>
      <c r="F702" s="7"/>
      <c r="G702" s="7"/>
      <c r="H702" s="7"/>
      <c r="I702" s="7"/>
      <c r="J702" s="16"/>
    </row>
    <row r="703" spans="4:10" s="1" customFormat="1">
      <c r="D703" s="11"/>
      <c r="E703" s="7"/>
      <c r="F703" s="7"/>
      <c r="G703" s="7"/>
      <c r="H703" s="7"/>
      <c r="I703" s="7"/>
      <c r="J703" s="16"/>
    </row>
    <row r="704" spans="4:10" s="1" customFormat="1">
      <c r="D704" s="11"/>
      <c r="E704" s="7"/>
      <c r="F704" s="7"/>
      <c r="G704" s="7"/>
      <c r="H704" s="7"/>
      <c r="I704" s="7"/>
      <c r="J704" s="16"/>
    </row>
    <row r="705" spans="4:10" s="1" customFormat="1">
      <c r="D705" s="11"/>
      <c r="E705" s="7"/>
      <c r="F705" s="7"/>
      <c r="G705" s="7"/>
      <c r="H705" s="7"/>
      <c r="I705" s="7"/>
      <c r="J705" s="16"/>
    </row>
    <row r="706" spans="4:10" s="1" customFormat="1">
      <c r="D706" s="11"/>
      <c r="E706" s="7"/>
      <c r="F706" s="7"/>
      <c r="G706" s="7"/>
      <c r="H706" s="7"/>
      <c r="I706" s="7"/>
      <c r="J706" s="16"/>
    </row>
    <row r="707" spans="4:10" s="1" customFormat="1">
      <c r="D707" s="11"/>
      <c r="E707" s="7"/>
      <c r="F707" s="7"/>
      <c r="G707" s="7"/>
      <c r="H707" s="7"/>
      <c r="I707" s="7"/>
      <c r="J707" s="16"/>
    </row>
    <row r="708" spans="4:10" s="1" customFormat="1">
      <c r="D708" s="11"/>
      <c r="E708" s="7"/>
      <c r="F708" s="7"/>
      <c r="G708" s="7"/>
      <c r="H708" s="7"/>
      <c r="I708" s="7"/>
      <c r="J708" s="16"/>
    </row>
    <row r="709" spans="4:10" s="1" customFormat="1">
      <c r="D709" s="11"/>
      <c r="E709" s="7"/>
      <c r="F709" s="7"/>
      <c r="G709" s="7"/>
      <c r="H709" s="7"/>
      <c r="I709" s="7"/>
      <c r="J709" s="16"/>
    </row>
    <row r="710" spans="4:10" s="1" customFormat="1">
      <c r="D710" s="11"/>
      <c r="E710" s="7"/>
      <c r="F710" s="7"/>
      <c r="G710" s="7"/>
      <c r="H710" s="7"/>
      <c r="I710" s="7"/>
      <c r="J710" s="16"/>
    </row>
    <row r="711" spans="4:10" s="1" customFormat="1">
      <c r="D711" s="11"/>
      <c r="E711" s="7"/>
      <c r="F711" s="7"/>
      <c r="G711" s="7"/>
      <c r="H711" s="7"/>
      <c r="I711" s="7"/>
      <c r="J711" s="16"/>
    </row>
    <row r="712" spans="4:10" s="1" customFormat="1">
      <c r="D712" s="11"/>
      <c r="E712" s="7"/>
      <c r="F712" s="7"/>
      <c r="G712" s="7"/>
      <c r="H712" s="7"/>
      <c r="I712" s="7"/>
      <c r="J712" s="16"/>
    </row>
    <row r="713" spans="4:10" s="1" customFormat="1">
      <c r="D713" s="11"/>
      <c r="E713" s="7"/>
      <c r="F713" s="7"/>
      <c r="G713" s="7"/>
      <c r="H713" s="7"/>
      <c r="I713" s="7"/>
      <c r="J713" s="16"/>
    </row>
    <row r="714" spans="4:10" s="1" customFormat="1">
      <c r="D714" s="11"/>
      <c r="E714" s="7"/>
      <c r="F714" s="7"/>
      <c r="G714" s="7"/>
      <c r="H714" s="7"/>
      <c r="I714" s="7"/>
      <c r="J714" s="16"/>
    </row>
    <row r="715" spans="4:10" s="1" customFormat="1">
      <c r="D715" s="11"/>
      <c r="E715" s="7"/>
      <c r="F715" s="7"/>
      <c r="G715" s="7"/>
      <c r="H715" s="7"/>
      <c r="I715" s="7"/>
      <c r="J715" s="16"/>
    </row>
    <row r="716" spans="4:10" s="1" customFormat="1">
      <c r="D716" s="11"/>
      <c r="E716" s="7"/>
      <c r="F716" s="7"/>
      <c r="G716" s="7"/>
      <c r="H716" s="7"/>
      <c r="I716" s="7"/>
      <c r="J716" s="16"/>
    </row>
    <row r="717" spans="4:10" s="1" customFormat="1">
      <c r="D717" s="11"/>
      <c r="E717" s="7"/>
      <c r="F717" s="7"/>
      <c r="G717" s="7"/>
      <c r="H717" s="7"/>
      <c r="I717" s="7"/>
      <c r="J717" s="16"/>
    </row>
    <row r="718" spans="4:10" s="1" customFormat="1">
      <c r="D718" s="11"/>
      <c r="E718" s="7"/>
      <c r="F718" s="7"/>
      <c r="G718" s="7"/>
      <c r="H718" s="7"/>
      <c r="I718" s="7"/>
      <c r="J718" s="16"/>
    </row>
    <row r="719" spans="4:10" s="1" customFormat="1">
      <c r="D719" s="11"/>
      <c r="E719" s="7"/>
      <c r="F719" s="7"/>
      <c r="G719" s="7"/>
      <c r="H719" s="7"/>
      <c r="I719" s="7"/>
      <c r="J719" s="16"/>
    </row>
    <row r="720" spans="4:10" s="1" customFormat="1">
      <c r="D720" s="11"/>
      <c r="E720" s="7"/>
      <c r="F720" s="7"/>
      <c r="G720" s="7"/>
      <c r="H720" s="7"/>
      <c r="I720" s="7"/>
      <c r="J720" s="16"/>
    </row>
    <row r="721" spans="4:10" s="1" customFormat="1">
      <c r="D721" s="11"/>
      <c r="E721" s="7"/>
      <c r="F721" s="7"/>
      <c r="G721" s="7"/>
      <c r="H721" s="7"/>
      <c r="I721" s="7"/>
      <c r="J721" s="16"/>
    </row>
    <row r="722" spans="4:10" s="1" customFormat="1">
      <c r="D722" s="11"/>
      <c r="E722" s="7"/>
      <c r="F722" s="7"/>
      <c r="G722" s="7"/>
      <c r="H722" s="7"/>
      <c r="I722" s="7"/>
      <c r="J722" s="16"/>
    </row>
    <row r="723" spans="4:10" s="1" customFormat="1">
      <c r="D723" s="11"/>
      <c r="E723" s="7"/>
      <c r="F723" s="7"/>
      <c r="G723" s="7"/>
      <c r="H723" s="7"/>
      <c r="I723" s="7"/>
      <c r="J723" s="16"/>
    </row>
    <row r="724" spans="4:10" s="1" customFormat="1">
      <c r="D724" s="11"/>
      <c r="E724" s="7"/>
      <c r="F724" s="7"/>
      <c r="G724" s="7"/>
      <c r="H724" s="7"/>
      <c r="I724" s="7"/>
      <c r="J724" s="16"/>
    </row>
    <row r="725" spans="4:10" s="1" customFormat="1">
      <c r="D725" s="11"/>
      <c r="E725" s="7"/>
      <c r="F725" s="7"/>
      <c r="G725" s="7"/>
      <c r="H725" s="7"/>
      <c r="I725" s="7"/>
      <c r="J725" s="16"/>
    </row>
    <row r="726" spans="4:10" s="1" customFormat="1">
      <c r="D726" s="11"/>
      <c r="E726" s="7"/>
      <c r="F726" s="7"/>
      <c r="G726" s="7"/>
      <c r="H726" s="7"/>
      <c r="I726" s="7"/>
      <c r="J726" s="16"/>
    </row>
    <row r="727" spans="4:10" s="1" customFormat="1">
      <c r="D727" s="11"/>
      <c r="E727" s="7"/>
      <c r="F727" s="7"/>
      <c r="G727" s="7"/>
      <c r="H727" s="7"/>
      <c r="I727" s="7"/>
      <c r="J727" s="16"/>
    </row>
    <row r="728" spans="4:10" s="1" customFormat="1">
      <c r="D728" s="11"/>
      <c r="E728" s="7"/>
      <c r="F728" s="7"/>
      <c r="G728" s="7"/>
      <c r="H728" s="7"/>
      <c r="I728" s="7"/>
      <c r="J728" s="16"/>
    </row>
    <row r="729" spans="4:10" s="1" customFormat="1">
      <c r="D729" s="11"/>
      <c r="E729" s="7"/>
      <c r="F729" s="7"/>
      <c r="G729" s="7"/>
      <c r="H729" s="7"/>
      <c r="I729" s="7"/>
      <c r="J729" s="16"/>
    </row>
    <row r="730" spans="4:10" s="1" customFormat="1">
      <c r="D730" s="11"/>
      <c r="E730" s="7"/>
      <c r="F730" s="7"/>
      <c r="G730" s="7"/>
      <c r="H730" s="7"/>
      <c r="I730" s="7"/>
      <c r="J730" s="16"/>
    </row>
    <row r="731" spans="4:10" s="1" customFormat="1">
      <c r="D731" s="11"/>
      <c r="E731" s="7"/>
      <c r="F731" s="7"/>
      <c r="G731" s="7"/>
      <c r="H731" s="7"/>
      <c r="I731" s="7"/>
      <c r="J731" s="16"/>
    </row>
    <row r="732" spans="4:10" s="1" customFormat="1">
      <c r="D732" s="11"/>
      <c r="E732" s="7"/>
      <c r="F732" s="7"/>
      <c r="G732" s="7"/>
      <c r="H732" s="7"/>
      <c r="I732" s="7"/>
      <c r="J732" s="16"/>
    </row>
    <row r="733" spans="4:10" s="1" customFormat="1">
      <c r="D733" s="11"/>
      <c r="E733" s="7"/>
      <c r="F733" s="7"/>
      <c r="G733" s="7"/>
      <c r="H733" s="7"/>
      <c r="I733" s="7"/>
      <c r="J733" s="16"/>
    </row>
    <row r="734" spans="4:10" s="1" customFormat="1">
      <c r="D734" s="11"/>
      <c r="E734" s="7"/>
      <c r="F734" s="7"/>
      <c r="G734" s="7"/>
      <c r="H734" s="7"/>
      <c r="I734" s="7"/>
      <c r="J734" s="16"/>
    </row>
    <row r="735" spans="4:10" s="1" customFormat="1">
      <c r="D735" s="11"/>
      <c r="E735" s="7"/>
      <c r="F735" s="7"/>
      <c r="G735" s="7"/>
      <c r="H735" s="7"/>
      <c r="I735" s="7"/>
      <c r="J735" s="16"/>
    </row>
    <row r="736" spans="4:10" s="1" customFormat="1">
      <c r="D736" s="11"/>
      <c r="E736" s="7"/>
      <c r="F736" s="7"/>
      <c r="G736" s="7"/>
      <c r="H736" s="7"/>
      <c r="I736" s="7"/>
      <c r="J736" s="16"/>
    </row>
    <row r="737" spans="4:10" s="1" customFormat="1">
      <c r="D737" s="11"/>
      <c r="E737" s="7"/>
      <c r="F737" s="7"/>
      <c r="G737" s="7"/>
      <c r="H737" s="7"/>
      <c r="I737" s="7"/>
      <c r="J737" s="16"/>
    </row>
    <row r="738" spans="4:10" s="1" customFormat="1">
      <c r="D738" s="11"/>
      <c r="E738" s="7"/>
      <c r="F738" s="7"/>
      <c r="G738" s="7"/>
      <c r="H738" s="7"/>
      <c r="I738" s="7"/>
      <c r="J738" s="16"/>
    </row>
    <row r="739" spans="4:10" s="1" customFormat="1">
      <c r="D739" s="11"/>
      <c r="E739" s="7"/>
      <c r="F739" s="7"/>
      <c r="G739" s="7"/>
      <c r="H739" s="7"/>
      <c r="I739" s="7"/>
      <c r="J739" s="16"/>
    </row>
    <row r="740" spans="4:10" s="1" customFormat="1">
      <c r="D740" s="11"/>
      <c r="E740" s="7"/>
      <c r="F740" s="7"/>
      <c r="G740" s="7"/>
      <c r="H740" s="7"/>
      <c r="I740" s="7"/>
      <c r="J740" s="16"/>
    </row>
    <row r="741" spans="4:10" s="1" customFormat="1">
      <c r="D741" s="11"/>
      <c r="E741" s="7"/>
      <c r="F741" s="7"/>
      <c r="G741" s="7"/>
      <c r="H741" s="7"/>
      <c r="I741" s="7"/>
      <c r="J741" s="16"/>
    </row>
    <row r="742" spans="4:10" s="1" customFormat="1">
      <c r="D742" s="11"/>
      <c r="E742" s="7"/>
      <c r="F742" s="7"/>
      <c r="G742" s="7"/>
      <c r="H742" s="7"/>
      <c r="I742" s="7"/>
      <c r="J742" s="16"/>
    </row>
    <row r="743" spans="4:10" s="1" customFormat="1">
      <c r="D743" s="11"/>
      <c r="E743" s="7"/>
      <c r="F743" s="7"/>
      <c r="G743" s="7"/>
      <c r="H743" s="7"/>
      <c r="I743" s="7"/>
      <c r="J743" s="16"/>
    </row>
    <row r="744" spans="4:10" s="1" customFormat="1">
      <c r="D744" s="11"/>
      <c r="E744" s="7"/>
      <c r="F744" s="7"/>
      <c r="G744" s="7"/>
      <c r="H744" s="7"/>
      <c r="I744" s="7"/>
      <c r="J744" s="16"/>
    </row>
    <row r="745" spans="4:10" s="1" customFormat="1">
      <c r="D745" s="11"/>
      <c r="E745" s="7"/>
      <c r="F745" s="7"/>
      <c r="G745" s="7"/>
      <c r="H745" s="7"/>
      <c r="I745" s="7"/>
      <c r="J745" s="16"/>
    </row>
    <row r="746" spans="4:10" s="1" customFormat="1">
      <c r="D746" s="11"/>
      <c r="E746" s="7"/>
      <c r="F746" s="7"/>
      <c r="G746" s="7"/>
      <c r="H746" s="7"/>
      <c r="I746" s="7"/>
      <c r="J746" s="16"/>
    </row>
    <row r="747" spans="4:10" s="1" customFormat="1">
      <c r="D747" s="11"/>
      <c r="E747" s="7"/>
      <c r="F747" s="7"/>
      <c r="G747" s="7"/>
      <c r="H747" s="7"/>
      <c r="I747" s="7"/>
      <c r="J747" s="16"/>
    </row>
    <row r="748" spans="4:10" s="1" customFormat="1">
      <c r="D748" s="11"/>
      <c r="E748" s="7"/>
      <c r="F748" s="7"/>
      <c r="G748" s="7"/>
      <c r="H748" s="7"/>
      <c r="I748" s="7"/>
      <c r="J748" s="16"/>
    </row>
    <row r="749" spans="4:10" s="1" customFormat="1">
      <c r="D749" s="11"/>
      <c r="E749" s="7"/>
      <c r="F749" s="7"/>
      <c r="G749" s="7"/>
      <c r="H749" s="7"/>
      <c r="I749" s="7"/>
      <c r="J749" s="16"/>
    </row>
    <row r="750" spans="4:10" s="1" customFormat="1">
      <c r="D750" s="11"/>
      <c r="E750" s="7"/>
      <c r="F750" s="7"/>
      <c r="G750" s="7"/>
      <c r="H750" s="7"/>
      <c r="I750" s="7"/>
      <c r="J750" s="16"/>
    </row>
    <row r="751" spans="4:10" s="1" customFormat="1">
      <c r="D751" s="11"/>
      <c r="E751" s="7"/>
      <c r="F751" s="7"/>
      <c r="G751" s="7"/>
      <c r="H751" s="7"/>
      <c r="I751" s="7"/>
      <c r="J751" s="16"/>
    </row>
    <row r="752" spans="4:10" s="1" customFormat="1">
      <c r="D752" s="11"/>
      <c r="E752" s="7"/>
      <c r="F752" s="7"/>
      <c r="G752" s="7"/>
      <c r="H752" s="7"/>
      <c r="I752" s="7"/>
      <c r="J752" s="16"/>
    </row>
    <row r="753" spans="4:10" s="1" customFormat="1">
      <c r="D753" s="11"/>
      <c r="E753" s="7"/>
      <c r="F753" s="7"/>
      <c r="G753" s="7"/>
      <c r="H753" s="7"/>
      <c r="I753" s="7"/>
      <c r="J753" s="16"/>
    </row>
    <row r="754" spans="4:10" s="1" customFormat="1">
      <c r="D754" s="11"/>
      <c r="E754" s="7"/>
      <c r="F754" s="7"/>
      <c r="G754" s="7"/>
      <c r="H754" s="7"/>
      <c r="I754" s="7"/>
      <c r="J754" s="16"/>
    </row>
    <row r="755" spans="4:10" s="1" customFormat="1">
      <c r="D755" s="11"/>
      <c r="E755" s="7"/>
      <c r="F755" s="7"/>
      <c r="G755" s="7"/>
      <c r="H755" s="7"/>
      <c r="I755" s="7"/>
      <c r="J755" s="16"/>
    </row>
    <row r="756" spans="4:10" s="1" customFormat="1">
      <c r="D756" s="11"/>
      <c r="E756" s="7"/>
      <c r="F756" s="7"/>
      <c r="G756" s="7"/>
      <c r="H756" s="7"/>
      <c r="I756" s="7"/>
      <c r="J756" s="16"/>
    </row>
    <row r="757" spans="4:10" s="1" customFormat="1">
      <c r="D757" s="11"/>
      <c r="E757" s="7"/>
      <c r="F757" s="7"/>
      <c r="G757" s="7"/>
      <c r="H757" s="7"/>
      <c r="I757" s="7"/>
      <c r="J757" s="16"/>
    </row>
    <row r="758" spans="4:10" s="1" customFormat="1">
      <c r="D758" s="11"/>
      <c r="E758" s="7"/>
      <c r="F758" s="7"/>
      <c r="G758" s="7"/>
      <c r="H758" s="7"/>
      <c r="I758" s="7"/>
      <c r="J758" s="16"/>
    </row>
    <row r="759" spans="4:10" s="1" customFormat="1">
      <c r="D759" s="11"/>
      <c r="E759" s="7"/>
      <c r="F759" s="7"/>
      <c r="G759" s="7"/>
      <c r="H759" s="7"/>
      <c r="I759" s="7"/>
      <c r="J759" s="16"/>
    </row>
    <row r="760" spans="4:10" s="1" customFormat="1">
      <c r="D760" s="11"/>
      <c r="E760" s="7"/>
      <c r="F760" s="7"/>
      <c r="G760" s="7"/>
      <c r="H760" s="7"/>
      <c r="I760" s="7"/>
      <c r="J760" s="16"/>
    </row>
    <row r="761" spans="4:10" s="1" customFormat="1">
      <c r="D761" s="11"/>
      <c r="E761" s="7"/>
      <c r="F761" s="7"/>
      <c r="G761" s="7"/>
      <c r="H761" s="7"/>
      <c r="I761" s="7"/>
      <c r="J761" s="16"/>
    </row>
    <row r="762" spans="4:10" s="1" customFormat="1">
      <c r="D762" s="11"/>
      <c r="E762" s="7"/>
      <c r="F762" s="7"/>
      <c r="G762" s="7"/>
      <c r="H762" s="7"/>
      <c r="I762" s="7"/>
      <c r="J762" s="16"/>
    </row>
    <row r="763" spans="4:10" s="1" customFormat="1">
      <c r="D763" s="11"/>
      <c r="E763" s="7"/>
      <c r="F763" s="7"/>
      <c r="G763" s="7"/>
      <c r="H763" s="7"/>
      <c r="I763" s="7"/>
      <c r="J763" s="16"/>
    </row>
    <row r="764" spans="4:10" s="1" customFormat="1">
      <c r="D764" s="11"/>
      <c r="E764" s="7"/>
      <c r="F764" s="7"/>
      <c r="G764" s="7"/>
      <c r="H764" s="7"/>
      <c r="I764" s="7"/>
      <c r="J764" s="16"/>
    </row>
    <row r="765" spans="4:10" s="1" customFormat="1">
      <c r="D765" s="11"/>
      <c r="E765" s="7"/>
      <c r="F765" s="7"/>
      <c r="G765" s="7"/>
      <c r="H765" s="7"/>
      <c r="I765" s="7"/>
      <c r="J765" s="16"/>
    </row>
    <row r="766" spans="4:10" s="1" customFormat="1">
      <c r="D766" s="11"/>
      <c r="E766" s="7"/>
      <c r="F766" s="7"/>
      <c r="G766" s="7"/>
      <c r="H766" s="7"/>
      <c r="I766" s="7"/>
      <c r="J766" s="16"/>
    </row>
    <row r="767" spans="4:10" s="1" customFormat="1">
      <c r="D767" s="11"/>
      <c r="E767" s="7"/>
      <c r="F767" s="7"/>
      <c r="G767" s="7"/>
      <c r="H767" s="7"/>
      <c r="I767" s="7"/>
      <c r="J767" s="16"/>
    </row>
    <row r="768" spans="4:10" s="1" customFormat="1">
      <c r="D768" s="11"/>
      <c r="E768" s="7"/>
      <c r="F768" s="7"/>
      <c r="G768" s="7"/>
      <c r="H768" s="7"/>
      <c r="I768" s="7"/>
      <c r="J768" s="16"/>
    </row>
    <row r="769" spans="4:10" s="1" customFormat="1">
      <c r="D769" s="11"/>
      <c r="E769" s="7"/>
      <c r="F769" s="7"/>
      <c r="G769" s="7"/>
      <c r="H769" s="7"/>
      <c r="I769" s="7"/>
      <c r="J769" s="16"/>
    </row>
    <row r="770" spans="4:10" s="1" customFormat="1">
      <c r="D770" s="11"/>
      <c r="E770" s="7"/>
      <c r="F770" s="7"/>
      <c r="G770" s="7"/>
      <c r="H770" s="7"/>
      <c r="I770" s="7"/>
      <c r="J770" s="16"/>
    </row>
    <row r="771" spans="4:10" s="1" customFormat="1">
      <c r="D771" s="11"/>
      <c r="E771" s="7"/>
      <c r="F771" s="7"/>
      <c r="G771" s="7"/>
      <c r="H771" s="7"/>
      <c r="I771" s="7"/>
      <c r="J771" s="16"/>
    </row>
    <row r="772" spans="4:10" s="1" customFormat="1">
      <c r="D772" s="11"/>
      <c r="E772" s="7"/>
      <c r="F772" s="7"/>
      <c r="G772" s="7"/>
      <c r="H772" s="7"/>
      <c r="I772" s="7"/>
      <c r="J772" s="16"/>
    </row>
    <row r="773" spans="4:10" s="1" customFormat="1">
      <c r="D773" s="11"/>
      <c r="E773" s="7"/>
      <c r="F773" s="7"/>
      <c r="G773" s="7"/>
      <c r="H773" s="7"/>
      <c r="I773" s="7"/>
      <c r="J773" s="16"/>
    </row>
    <row r="774" spans="4:10" s="1" customFormat="1">
      <c r="D774" s="11"/>
      <c r="E774" s="7"/>
      <c r="F774" s="7"/>
      <c r="G774" s="7"/>
      <c r="H774" s="7"/>
      <c r="I774" s="7"/>
      <c r="J774" s="16"/>
    </row>
    <row r="775" spans="4:10" s="1" customFormat="1">
      <c r="D775" s="11"/>
      <c r="E775" s="7"/>
      <c r="F775" s="7"/>
      <c r="G775" s="7"/>
      <c r="H775" s="7"/>
      <c r="I775" s="7"/>
      <c r="J775" s="16"/>
    </row>
    <row r="776" spans="4:10" s="1" customFormat="1">
      <c r="D776" s="11"/>
      <c r="E776" s="7"/>
      <c r="F776" s="7"/>
      <c r="G776" s="7"/>
      <c r="H776" s="7"/>
      <c r="I776" s="7"/>
      <c r="J776" s="16"/>
    </row>
    <row r="777" spans="4:10" s="1" customFormat="1">
      <c r="D777" s="11"/>
      <c r="E777" s="7"/>
      <c r="F777" s="7"/>
      <c r="G777" s="7"/>
      <c r="H777" s="7"/>
      <c r="I777" s="7"/>
      <c r="J777" s="16"/>
    </row>
    <row r="778" spans="4:10" s="1" customFormat="1">
      <c r="D778" s="11"/>
      <c r="E778" s="7"/>
      <c r="F778" s="7"/>
      <c r="G778" s="7"/>
      <c r="H778" s="7"/>
      <c r="I778" s="7"/>
      <c r="J778" s="16"/>
    </row>
    <row r="779" spans="4:10" s="1" customFormat="1">
      <c r="D779" s="11"/>
      <c r="E779" s="7"/>
      <c r="F779" s="7"/>
      <c r="G779" s="7"/>
      <c r="H779" s="7"/>
      <c r="I779" s="7"/>
      <c r="J779" s="16"/>
    </row>
    <row r="780" spans="4:10" s="1" customFormat="1">
      <c r="D780" s="11"/>
      <c r="E780" s="7"/>
      <c r="F780" s="7"/>
      <c r="G780" s="7"/>
      <c r="H780" s="7"/>
      <c r="I780" s="7"/>
      <c r="J780" s="16"/>
    </row>
    <row r="781" spans="4:10" s="1" customFormat="1">
      <c r="D781" s="11"/>
      <c r="E781" s="7"/>
      <c r="F781" s="7"/>
      <c r="G781" s="7"/>
      <c r="H781" s="7"/>
      <c r="I781" s="7"/>
      <c r="J781" s="16"/>
    </row>
    <row r="782" spans="4:10" s="1" customFormat="1">
      <c r="D782" s="11"/>
      <c r="E782" s="7"/>
      <c r="F782" s="7"/>
      <c r="G782" s="7"/>
      <c r="H782" s="7"/>
      <c r="I782" s="7"/>
      <c r="J782" s="16"/>
    </row>
    <row r="783" spans="4:10" s="1" customFormat="1">
      <c r="D783" s="11"/>
      <c r="E783" s="7"/>
      <c r="F783" s="7"/>
      <c r="G783" s="7"/>
      <c r="H783" s="7"/>
      <c r="I783" s="7"/>
      <c r="J783" s="16"/>
    </row>
    <row r="784" spans="4:10" s="1" customFormat="1">
      <c r="D784" s="11"/>
      <c r="E784" s="7"/>
      <c r="F784" s="7"/>
      <c r="G784" s="7"/>
      <c r="H784" s="7"/>
      <c r="I784" s="7"/>
      <c r="J784" s="16"/>
    </row>
    <row r="785" spans="4:10" s="1" customFormat="1">
      <c r="D785" s="11"/>
      <c r="E785" s="7"/>
      <c r="F785" s="7"/>
      <c r="G785" s="7"/>
      <c r="H785" s="7"/>
      <c r="I785" s="7"/>
      <c r="J785" s="16"/>
    </row>
    <row r="786" spans="4:10" s="1" customFormat="1">
      <c r="D786" s="11"/>
      <c r="E786" s="7"/>
      <c r="F786" s="7"/>
      <c r="G786" s="7"/>
      <c r="H786" s="7"/>
      <c r="I786" s="7"/>
      <c r="J786" s="16"/>
    </row>
    <row r="787" spans="4:10" s="1" customFormat="1">
      <c r="D787" s="11"/>
      <c r="E787" s="7"/>
      <c r="F787" s="7"/>
      <c r="G787" s="7"/>
      <c r="H787" s="7"/>
      <c r="I787" s="7"/>
      <c r="J787" s="16"/>
    </row>
    <row r="788" spans="4:10" s="1" customFormat="1">
      <c r="D788" s="11"/>
      <c r="E788" s="7"/>
      <c r="F788" s="7"/>
      <c r="G788" s="7"/>
      <c r="H788" s="7"/>
      <c r="I788" s="7"/>
      <c r="J788" s="16"/>
    </row>
    <row r="789" spans="4:10" s="1" customFormat="1">
      <c r="D789" s="11"/>
      <c r="E789" s="7"/>
      <c r="F789" s="7"/>
      <c r="G789" s="7"/>
      <c r="H789" s="7"/>
      <c r="I789" s="7"/>
      <c r="J789" s="16"/>
    </row>
    <row r="790" spans="4:10" s="1" customFormat="1">
      <c r="D790" s="11"/>
      <c r="E790" s="7"/>
      <c r="F790" s="7"/>
      <c r="G790" s="7"/>
      <c r="H790" s="7"/>
      <c r="I790" s="7"/>
      <c r="J790" s="16"/>
    </row>
    <row r="791" spans="4:10" s="1" customFormat="1">
      <c r="D791" s="11"/>
      <c r="E791" s="7"/>
      <c r="F791" s="7"/>
      <c r="G791" s="7"/>
      <c r="H791" s="7"/>
      <c r="I791" s="7"/>
      <c r="J791" s="16"/>
    </row>
    <row r="792" spans="4:10" s="1" customFormat="1">
      <c r="D792" s="11"/>
      <c r="E792" s="7"/>
      <c r="F792" s="7"/>
      <c r="G792" s="7"/>
      <c r="H792" s="7"/>
      <c r="I792" s="7"/>
      <c r="J792" s="16"/>
    </row>
    <row r="793" spans="4:10" s="1" customFormat="1">
      <c r="D793" s="11"/>
      <c r="E793" s="7"/>
      <c r="F793" s="7"/>
      <c r="G793" s="7"/>
      <c r="H793" s="7"/>
      <c r="I793" s="7"/>
      <c r="J793" s="16"/>
    </row>
    <row r="794" spans="4:10" s="1" customFormat="1">
      <c r="D794" s="11"/>
      <c r="E794" s="7"/>
      <c r="F794" s="7"/>
      <c r="G794" s="7"/>
      <c r="H794" s="7"/>
      <c r="I794" s="7"/>
      <c r="J794" s="16"/>
    </row>
    <row r="795" spans="4:10" s="1" customFormat="1">
      <c r="D795" s="11"/>
      <c r="E795" s="7"/>
      <c r="F795" s="7"/>
      <c r="G795" s="7"/>
      <c r="H795" s="7"/>
      <c r="I795" s="7"/>
      <c r="J795" s="16"/>
    </row>
    <row r="796" spans="4:10" s="1" customFormat="1">
      <c r="D796" s="11"/>
      <c r="E796" s="7"/>
      <c r="F796" s="7"/>
      <c r="G796" s="7"/>
      <c r="H796" s="7"/>
      <c r="I796" s="7"/>
      <c r="J796" s="16"/>
    </row>
    <row r="797" spans="4:10" s="1" customFormat="1">
      <c r="D797" s="11"/>
      <c r="E797" s="7"/>
      <c r="F797" s="7"/>
      <c r="G797" s="7"/>
      <c r="H797" s="7"/>
      <c r="I797" s="7"/>
      <c r="J797" s="16"/>
    </row>
    <row r="798" spans="4:10" s="1" customFormat="1">
      <c r="D798" s="11"/>
      <c r="E798" s="7"/>
      <c r="F798" s="7"/>
      <c r="G798" s="7"/>
      <c r="H798" s="7"/>
      <c r="I798" s="7"/>
      <c r="J798" s="16"/>
    </row>
    <row r="799" spans="4:10" s="1" customFormat="1">
      <c r="D799" s="11"/>
      <c r="E799" s="7"/>
      <c r="F799" s="7"/>
      <c r="G799" s="7"/>
      <c r="H799" s="7"/>
      <c r="I799" s="7"/>
      <c r="J799" s="16"/>
    </row>
    <row r="800" spans="4:10" s="1" customFormat="1">
      <c r="D800" s="11"/>
      <c r="E800" s="7"/>
      <c r="F800" s="7"/>
      <c r="G800" s="7"/>
      <c r="H800" s="7"/>
      <c r="I800" s="7"/>
      <c r="J800" s="16"/>
    </row>
    <row r="801" spans="4:10" s="1" customFormat="1">
      <c r="D801" s="11"/>
      <c r="E801" s="7"/>
      <c r="F801" s="7"/>
      <c r="G801" s="7"/>
      <c r="H801" s="7"/>
      <c r="I801" s="7"/>
      <c r="J801" s="16"/>
    </row>
    <row r="802" spans="4:10" s="1" customFormat="1">
      <c r="D802" s="11"/>
      <c r="E802" s="7"/>
      <c r="F802" s="7"/>
      <c r="G802" s="7"/>
      <c r="H802" s="7"/>
      <c r="I802" s="7"/>
      <c r="J802" s="16"/>
    </row>
    <row r="803" spans="4:10" s="1" customFormat="1">
      <c r="D803" s="11"/>
      <c r="E803" s="7"/>
      <c r="F803" s="7"/>
      <c r="G803" s="7"/>
      <c r="H803" s="7"/>
      <c r="I803" s="7"/>
      <c r="J803" s="16"/>
    </row>
    <row r="804" spans="4:10" s="1" customFormat="1">
      <c r="D804" s="11"/>
      <c r="E804" s="7"/>
      <c r="F804" s="7"/>
      <c r="G804" s="7"/>
      <c r="H804" s="7"/>
      <c r="I804" s="7"/>
      <c r="J804" s="16"/>
    </row>
    <row r="805" spans="4:10" s="1" customFormat="1">
      <c r="D805" s="11"/>
      <c r="E805" s="7"/>
      <c r="F805" s="7"/>
      <c r="G805" s="7"/>
      <c r="H805" s="7"/>
      <c r="I805" s="7"/>
      <c r="J805" s="16"/>
    </row>
    <row r="806" spans="4:10" s="1" customFormat="1">
      <c r="D806" s="11"/>
      <c r="E806" s="7"/>
      <c r="F806" s="7"/>
      <c r="G806" s="7"/>
      <c r="H806" s="7"/>
      <c r="I806" s="7"/>
      <c r="J806" s="16"/>
    </row>
    <row r="807" spans="4:10" s="1" customFormat="1">
      <c r="D807" s="11"/>
      <c r="E807" s="7"/>
      <c r="F807" s="7"/>
      <c r="G807" s="7"/>
      <c r="H807" s="7"/>
      <c r="I807" s="7"/>
      <c r="J807" s="16"/>
    </row>
    <row r="808" spans="4:10" s="1" customFormat="1">
      <c r="D808" s="11"/>
      <c r="E808" s="7"/>
      <c r="F808" s="7"/>
      <c r="G808" s="7"/>
      <c r="H808" s="7"/>
      <c r="I808" s="7"/>
      <c r="J808" s="16"/>
    </row>
    <row r="809" spans="4:10" s="1" customFormat="1">
      <c r="D809" s="11"/>
      <c r="E809" s="7"/>
      <c r="F809" s="7"/>
      <c r="G809" s="7"/>
      <c r="H809" s="7"/>
      <c r="I809" s="7"/>
      <c r="J809" s="16"/>
    </row>
    <row r="810" spans="4:10" s="1" customFormat="1">
      <c r="D810" s="11"/>
      <c r="E810" s="7"/>
      <c r="F810" s="7"/>
      <c r="G810" s="7"/>
      <c r="H810" s="7"/>
      <c r="I810" s="7"/>
      <c r="J810" s="16"/>
    </row>
    <row r="811" spans="4:10" s="1" customFormat="1">
      <c r="D811" s="11"/>
      <c r="E811" s="7"/>
      <c r="F811" s="7"/>
      <c r="G811" s="7"/>
      <c r="H811" s="7"/>
      <c r="I811" s="7"/>
      <c r="J811" s="16"/>
    </row>
    <row r="812" spans="4:10" s="1" customFormat="1">
      <c r="D812" s="11"/>
      <c r="E812" s="7"/>
      <c r="F812" s="7"/>
      <c r="G812" s="7"/>
      <c r="H812" s="7"/>
      <c r="I812" s="7"/>
      <c r="J812" s="16"/>
    </row>
    <row r="813" spans="4:10" s="1" customFormat="1">
      <c r="D813" s="11"/>
      <c r="E813" s="7"/>
      <c r="F813" s="7"/>
      <c r="G813" s="7"/>
      <c r="H813" s="7"/>
      <c r="I813" s="7"/>
      <c r="J813" s="16"/>
    </row>
    <row r="814" spans="4:10" s="1" customFormat="1">
      <c r="D814" s="11"/>
      <c r="E814" s="7"/>
      <c r="F814" s="7"/>
      <c r="G814" s="7"/>
      <c r="H814" s="7"/>
      <c r="I814" s="7"/>
      <c r="J814" s="16"/>
    </row>
    <row r="815" spans="4:10" s="1" customFormat="1">
      <c r="D815" s="11"/>
      <c r="E815" s="7"/>
      <c r="F815" s="7"/>
      <c r="G815" s="7"/>
      <c r="H815" s="7"/>
      <c r="I815" s="7"/>
      <c r="J815" s="16"/>
    </row>
    <row r="816" spans="4:10" s="1" customFormat="1">
      <c r="D816" s="11"/>
      <c r="E816" s="7"/>
      <c r="F816" s="7"/>
      <c r="G816" s="7"/>
      <c r="H816" s="7"/>
      <c r="I816" s="7"/>
      <c r="J816" s="16"/>
    </row>
    <row r="817" spans="4:10" s="1" customFormat="1">
      <c r="D817" s="11"/>
      <c r="E817" s="7"/>
      <c r="F817" s="7"/>
      <c r="G817" s="7"/>
      <c r="H817" s="7"/>
      <c r="I817" s="7"/>
      <c r="J817" s="16"/>
    </row>
    <row r="818" spans="4:10" s="1" customFormat="1">
      <c r="D818" s="11"/>
      <c r="E818" s="7"/>
      <c r="F818" s="7"/>
      <c r="G818" s="7"/>
      <c r="H818" s="7"/>
      <c r="I818" s="7"/>
      <c r="J818" s="16"/>
    </row>
    <row r="819" spans="4:10" s="1" customFormat="1">
      <c r="D819" s="11"/>
      <c r="E819" s="7"/>
      <c r="F819" s="7"/>
      <c r="G819" s="7"/>
      <c r="H819" s="7"/>
      <c r="I819" s="7"/>
      <c r="J819" s="16"/>
    </row>
    <row r="820" spans="4:10" s="1" customFormat="1">
      <c r="D820" s="11"/>
      <c r="E820" s="7"/>
      <c r="F820" s="7"/>
      <c r="G820" s="7"/>
      <c r="H820" s="7"/>
      <c r="I820" s="7"/>
      <c r="J820" s="16"/>
    </row>
    <row r="821" spans="4:10" s="1" customFormat="1">
      <c r="D821" s="11"/>
      <c r="E821" s="7"/>
      <c r="F821" s="7"/>
      <c r="G821" s="7"/>
      <c r="H821" s="7"/>
      <c r="I821" s="7"/>
      <c r="J821" s="16"/>
    </row>
    <row r="822" spans="4:10" s="1" customFormat="1">
      <c r="D822" s="11"/>
      <c r="E822" s="7"/>
      <c r="F822" s="7"/>
      <c r="G822" s="7"/>
      <c r="H822" s="7"/>
      <c r="I822" s="7"/>
      <c r="J822" s="16"/>
    </row>
    <row r="823" spans="4:10" s="1" customFormat="1">
      <c r="D823" s="11"/>
      <c r="E823" s="7"/>
      <c r="F823" s="7"/>
      <c r="G823" s="7"/>
      <c r="H823" s="7"/>
      <c r="I823" s="7"/>
      <c r="J823" s="16"/>
    </row>
    <row r="824" spans="4:10" s="1" customFormat="1">
      <c r="D824" s="11"/>
      <c r="E824" s="7"/>
      <c r="F824" s="7"/>
      <c r="G824" s="7"/>
      <c r="H824" s="7"/>
      <c r="I824" s="7"/>
      <c r="J824" s="16"/>
    </row>
    <row r="825" spans="4:10" s="1" customFormat="1">
      <c r="D825" s="11"/>
      <c r="E825" s="7"/>
      <c r="F825" s="7"/>
      <c r="G825" s="7"/>
      <c r="H825" s="7"/>
      <c r="I825" s="7"/>
      <c r="J825" s="16"/>
    </row>
    <row r="826" spans="4:10" s="1" customFormat="1">
      <c r="D826" s="11"/>
      <c r="E826" s="7"/>
      <c r="F826" s="7"/>
      <c r="G826" s="7"/>
      <c r="H826" s="7"/>
      <c r="I826" s="7"/>
      <c r="J826" s="16"/>
    </row>
    <row r="827" spans="4:10" s="1" customFormat="1">
      <c r="D827" s="11"/>
      <c r="E827" s="7"/>
      <c r="F827" s="7"/>
      <c r="G827" s="7"/>
      <c r="H827" s="7"/>
      <c r="I827" s="7"/>
      <c r="J827" s="16"/>
    </row>
    <row r="828" spans="4:10" s="1" customFormat="1">
      <c r="D828" s="11"/>
      <c r="E828" s="7"/>
      <c r="F828" s="7"/>
      <c r="G828" s="7"/>
      <c r="H828" s="7"/>
      <c r="I828" s="7"/>
      <c r="J828" s="16"/>
    </row>
    <row r="829" spans="4:10" s="1" customFormat="1">
      <c r="D829" s="11"/>
      <c r="E829" s="7"/>
      <c r="F829" s="7"/>
      <c r="G829" s="7"/>
      <c r="H829" s="7"/>
      <c r="I829" s="7"/>
      <c r="J829" s="16"/>
    </row>
    <row r="830" spans="4:10" s="1" customFormat="1">
      <c r="D830" s="11"/>
      <c r="E830" s="7"/>
      <c r="F830" s="7"/>
      <c r="G830" s="7"/>
      <c r="H830" s="7"/>
      <c r="I830" s="7"/>
      <c r="J830" s="16"/>
    </row>
    <row r="831" spans="4:10" s="1" customFormat="1">
      <c r="D831" s="11"/>
      <c r="E831" s="7"/>
      <c r="F831" s="7"/>
      <c r="G831" s="7"/>
      <c r="H831" s="7"/>
      <c r="I831" s="7"/>
      <c r="J831" s="16"/>
    </row>
    <row r="832" spans="4:10" s="1" customFormat="1">
      <c r="D832" s="11"/>
      <c r="E832" s="7"/>
      <c r="F832" s="7"/>
      <c r="G832" s="7"/>
      <c r="H832" s="7"/>
      <c r="I832" s="7"/>
      <c r="J832" s="16"/>
    </row>
    <row r="833" spans="4:10" s="1" customFormat="1">
      <c r="D833" s="11"/>
      <c r="E833" s="7"/>
      <c r="F833" s="7"/>
      <c r="G833" s="7"/>
      <c r="H833" s="7"/>
      <c r="I833" s="7"/>
      <c r="J833" s="16"/>
    </row>
    <row r="834" spans="4:10" s="1" customFormat="1">
      <c r="D834" s="11"/>
      <c r="E834" s="7"/>
      <c r="F834" s="7"/>
      <c r="G834" s="7"/>
      <c r="H834" s="7"/>
      <c r="I834" s="7"/>
      <c r="J834" s="16"/>
    </row>
    <row r="835" spans="4:10" s="1" customFormat="1">
      <c r="D835" s="11"/>
      <c r="E835" s="7"/>
      <c r="F835" s="7"/>
      <c r="G835" s="7"/>
      <c r="H835" s="7"/>
      <c r="I835" s="7"/>
      <c r="J835" s="16"/>
    </row>
    <row r="836" spans="4:10" s="1" customFormat="1">
      <c r="D836" s="11"/>
      <c r="E836" s="7"/>
      <c r="F836" s="7"/>
      <c r="G836" s="7"/>
      <c r="H836" s="7"/>
      <c r="I836" s="7"/>
      <c r="J836" s="16"/>
    </row>
    <row r="837" spans="4:10" s="1" customFormat="1">
      <c r="D837" s="11"/>
      <c r="E837" s="7"/>
      <c r="F837" s="7"/>
      <c r="G837" s="7"/>
      <c r="H837" s="7"/>
      <c r="I837" s="7"/>
      <c r="J837" s="16"/>
    </row>
    <row r="838" spans="4:10" s="1" customFormat="1">
      <c r="D838" s="11"/>
      <c r="E838" s="7"/>
      <c r="F838" s="7"/>
      <c r="G838" s="7"/>
      <c r="H838" s="7"/>
      <c r="I838" s="7"/>
      <c r="J838" s="16"/>
    </row>
    <row r="839" spans="4:10" s="1" customFormat="1">
      <c r="D839" s="11"/>
      <c r="E839" s="7"/>
      <c r="F839" s="7"/>
      <c r="G839" s="7"/>
      <c r="H839" s="7"/>
      <c r="I839" s="7"/>
      <c r="J839" s="16"/>
    </row>
    <row r="840" spans="4:10" s="1" customFormat="1">
      <c r="D840" s="11"/>
      <c r="E840" s="7"/>
      <c r="F840" s="7"/>
      <c r="G840" s="7"/>
      <c r="H840" s="7"/>
      <c r="I840" s="7"/>
      <c r="J840" s="16"/>
    </row>
    <row r="841" spans="4:10" s="1" customFormat="1">
      <c r="D841" s="11"/>
      <c r="E841" s="7"/>
      <c r="F841" s="7"/>
      <c r="G841" s="7"/>
      <c r="H841" s="7"/>
      <c r="I841" s="7"/>
      <c r="J841" s="16"/>
    </row>
    <row r="842" spans="4:10" s="1" customFormat="1">
      <c r="D842" s="11"/>
      <c r="E842" s="7"/>
      <c r="F842" s="7"/>
      <c r="G842" s="7"/>
      <c r="H842" s="7"/>
      <c r="I842" s="7"/>
      <c r="J842" s="16"/>
    </row>
    <row r="843" spans="4:10" s="1" customFormat="1">
      <c r="D843" s="11"/>
      <c r="E843" s="7"/>
      <c r="F843" s="7"/>
      <c r="G843" s="7"/>
      <c r="H843" s="7"/>
      <c r="I843" s="7"/>
      <c r="J843" s="16"/>
    </row>
    <row r="844" spans="4:10" s="1" customFormat="1">
      <c r="D844" s="11"/>
      <c r="E844" s="7"/>
      <c r="F844" s="7"/>
      <c r="G844" s="7"/>
      <c r="H844" s="7"/>
      <c r="I844" s="7"/>
      <c r="J844" s="16"/>
    </row>
    <row r="845" spans="4:10" s="1" customFormat="1">
      <c r="D845" s="11"/>
      <c r="E845" s="7"/>
      <c r="F845" s="7"/>
      <c r="G845" s="7"/>
      <c r="H845" s="7"/>
      <c r="I845" s="7"/>
      <c r="J845" s="16"/>
    </row>
    <row r="846" spans="4:10" s="1" customFormat="1">
      <c r="D846" s="11"/>
      <c r="E846" s="7"/>
      <c r="F846" s="7"/>
      <c r="G846" s="7"/>
      <c r="H846" s="7"/>
      <c r="I846" s="7"/>
      <c r="J846" s="16"/>
    </row>
    <row r="847" spans="4:10" s="1" customFormat="1">
      <c r="D847" s="11"/>
      <c r="E847" s="7"/>
      <c r="F847" s="7"/>
      <c r="G847" s="7"/>
      <c r="H847" s="7"/>
      <c r="I847" s="7"/>
      <c r="J847" s="16"/>
    </row>
    <row r="848" spans="4:10" s="1" customFormat="1">
      <c r="D848" s="11"/>
      <c r="E848" s="7"/>
      <c r="F848" s="7"/>
      <c r="G848" s="7"/>
      <c r="H848" s="7"/>
      <c r="I848" s="7"/>
      <c r="J848" s="16"/>
    </row>
    <row r="849" spans="4:10" s="1" customFormat="1">
      <c r="D849" s="11"/>
      <c r="E849" s="7"/>
      <c r="F849" s="7"/>
      <c r="G849" s="7"/>
      <c r="H849" s="7"/>
      <c r="I849" s="7"/>
      <c r="J849" s="16"/>
    </row>
    <row r="850" spans="4:10" s="1" customFormat="1">
      <c r="D850" s="11"/>
      <c r="E850" s="7"/>
      <c r="F850" s="7"/>
      <c r="G850" s="7"/>
      <c r="H850" s="7"/>
      <c r="I850" s="7"/>
      <c r="J850" s="16"/>
    </row>
    <row r="851" spans="4:10" s="1" customFormat="1">
      <c r="D851" s="11"/>
      <c r="E851" s="7"/>
      <c r="F851" s="7"/>
      <c r="G851" s="7"/>
      <c r="H851" s="7"/>
      <c r="I851" s="7"/>
      <c r="J851" s="16"/>
    </row>
    <row r="852" spans="4:10" s="1" customFormat="1">
      <c r="D852" s="11"/>
      <c r="E852" s="7"/>
      <c r="F852" s="7"/>
      <c r="G852" s="7"/>
      <c r="H852" s="7"/>
      <c r="I852" s="7"/>
      <c r="J852" s="16"/>
    </row>
    <row r="853" spans="4:10" s="1" customFormat="1">
      <c r="D853" s="11"/>
      <c r="E853" s="7"/>
      <c r="F853" s="7"/>
      <c r="G853" s="7"/>
      <c r="H853" s="7"/>
      <c r="I853" s="7"/>
      <c r="J853" s="16"/>
    </row>
    <row r="854" spans="4:10" s="1" customFormat="1">
      <c r="D854" s="11"/>
      <c r="E854" s="7"/>
      <c r="F854" s="7"/>
      <c r="G854" s="7"/>
      <c r="H854" s="7"/>
      <c r="I854" s="7"/>
      <c r="J854" s="16"/>
    </row>
    <row r="855" spans="4:10" s="1" customFormat="1">
      <c r="D855" s="11"/>
      <c r="E855" s="7"/>
      <c r="F855" s="7"/>
      <c r="G855" s="7"/>
      <c r="H855" s="7"/>
      <c r="I855" s="7"/>
      <c r="J855" s="16"/>
    </row>
    <row r="856" spans="4:10" s="1" customFormat="1">
      <c r="D856" s="11"/>
      <c r="E856" s="7"/>
      <c r="F856" s="7"/>
      <c r="G856" s="7"/>
      <c r="H856" s="7"/>
      <c r="I856" s="7"/>
      <c r="J856" s="16"/>
    </row>
    <row r="857" spans="4:10" s="1" customFormat="1">
      <c r="D857" s="11"/>
      <c r="E857" s="7"/>
      <c r="F857" s="7"/>
      <c r="G857" s="7"/>
      <c r="H857" s="7"/>
      <c r="I857" s="7"/>
      <c r="J857" s="16"/>
    </row>
    <row r="858" spans="4:10" s="1" customFormat="1">
      <c r="D858" s="11"/>
      <c r="E858" s="7"/>
      <c r="F858" s="7"/>
      <c r="G858" s="7"/>
      <c r="H858" s="7"/>
      <c r="I858" s="7"/>
      <c r="J858" s="16"/>
    </row>
    <row r="859" spans="4:10" s="1" customFormat="1">
      <c r="D859" s="11"/>
      <c r="E859" s="7"/>
      <c r="F859" s="7"/>
      <c r="G859" s="7"/>
      <c r="H859" s="7"/>
      <c r="I859" s="7"/>
      <c r="J859" s="16"/>
    </row>
    <row r="860" spans="4:10" s="1" customFormat="1">
      <c r="D860" s="11"/>
      <c r="E860" s="7"/>
      <c r="F860" s="7"/>
      <c r="G860" s="7"/>
      <c r="H860" s="7"/>
      <c r="I860" s="7"/>
      <c r="J860" s="16"/>
    </row>
    <row r="861" spans="4:10" s="1" customFormat="1">
      <c r="D861" s="11"/>
      <c r="E861" s="7"/>
      <c r="F861" s="7"/>
      <c r="G861" s="7"/>
      <c r="H861" s="7"/>
      <c r="I861" s="7"/>
      <c r="J861" s="16"/>
    </row>
    <row r="862" spans="4:10" s="1" customFormat="1">
      <c r="D862" s="11"/>
      <c r="E862" s="7"/>
      <c r="F862" s="7"/>
      <c r="G862" s="7"/>
      <c r="H862" s="7"/>
      <c r="I862" s="7"/>
      <c r="J862" s="16"/>
    </row>
    <row r="863" spans="4:10" s="1" customFormat="1">
      <c r="D863" s="11"/>
      <c r="E863" s="7"/>
      <c r="F863" s="7"/>
      <c r="G863" s="7"/>
      <c r="H863" s="7"/>
      <c r="I863" s="7"/>
      <c r="J863" s="16"/>
    </row>
    <row r="864" spans="4:10" s="1" customFormat="1">
      <c r="D864" s="11"/>
      <c r="E864" s="7"/>
      <c r="F864" s="7"/>
      <c r="G864" s="7"/>
      <c r="H864" s="7"/>
      <c r="I864" s="7"/>
      <c r="J864" s="16"/>
    </row>
    <row r="865" spans="4:10" s="1" customFormat="1">
      <c r="D865" s="11"/>
      <c r="E865" s="7"/>
      <c r="F865" s="7"/>
      <c r="G865" s="7"/>
      <c r="H865" s="7"/>
      <c r="I865" s="7"/>
      <c r="J865" s="16"/>
    </row>
    <row r="866" spans="4:10" s="1" customFormat="1">
      <c r="D866" s="11"/>
      <c r="E866" s="7"/>
      <c r="F866" s="7"/>
      <c r="G866" s="7"/>
      <c r="H866" s="7"/>
      <c r="I866" s="7"/>
      <c r="J866" s="16"/>
    </row>
    <row r="867" spans="4:10" s="1" customFormat="1">
      <c r="D867" s="11"/>
      <c r="E867" s="7"/>
      <c r="F867" s="7"/>
      <c r="G867" s="7"/>
      <c r="H867" s="7"/>
      <c r="I867" s="7"/>
      <c r="J867" s="16"/>
    </row>
    <row r="868" spans="4:10" s="1" customFormat="1">
      <c r="D868" s="11"/>
      <c r="E868" s="7"/>
      <c r="F868" s="7"/>
      <c r="G868" s="7"/>
      <c r="H868" s="7"/>
      <c r="I868" s="7"/>
      <c r="J868" s="16"/>
    </row>
    <row r="869" spans="4:10" s="1" customFormat="1">
      <c r="D869" s="11"/>
      <c r="E869" s="7"/>
      <c r="F869" s="7"/>
      <c r="G869" s="7"/>
      <c r="H869" s="7"/>
      <c r="I869" s="7"/>
      <c r="J869" s="16"/>
    </row>
    <row r="870" spans="4:10" s="1" customFormat="1">
      <c r="D870" s="11"/>
      <c r="E870" s="7"/>
      <c r="F870" s="7"/>
      <c r="G870" s="7"/>
      <c r="H870" s="7"/>
      <c r="I870" s="7"/>
      <c r="J870" s="16"/>
    </row>
    <row r="871" spans="4:10" s="1" customFormat="1">
      <c r="D871" s="11"/>
      <c r="E871" s="7"/>
      <c r="F871" s="7"/>
      <c r="G871" s="7"/>
      <c r="H871" s="7"/>
      <c r="I871" s="7"/>
      <c r="J871" s="16"/>
    </row>
    <row r="872" spans="4:10" s="1" customFormat="1">
      <c r="D872" s="11"/>
      <c r="E872" s="7"/>
      <c r="F872" s="7"/>
      <c r="G872" s="7"/>
      <c r="H872" s="7"/>
      <c r="I872" s="7"/>
      <c r="J872" s="16"/>
    </row>
    <row r="873" spans="4:10" s="1" customFormat="1">
      <c r="D873" s="11"/>
      <c r="E873" s="7"/>
      <c r="F873" s="7"/>
      <c r="G873" s="7"/>
      <c r="H873" s="7"/>
      <c r="I873" s="7"/>
      <c r="J873" s="16"/>
    </row>
    <row r="874" spans="4:10" s="1" customFormat="1">
      <c r="D874" s="11"/>
      <c r="E874" s="7"/>
      <c r="F874" s="7"/>
      <c r="G874" s="7"/>
      <c r="H874" s="7"/>
      <c r="I874" s="7"/>
      <c r="J874" s="16"/>
    </row>
    <row r="875" spans="4:10" s="1" customFormat="1">
      <c r="D875" s="11"/>
      <c r="E875" s="7"/>
      <c r="F875" s="7"/>
      <c r="G875" s="7"/>
      <c r="H875" s="7"/>
      <c r="I875" s="7"/>
      <c r="J875" s="16"/>
    </row>
    <row r="876" spans="4:10" s="1" customFormat="1">
      <c r="D876" s="11"/>
      <c r="E876" s="7"/>
      <c r="F876" s="7"/>
      <c r="G876" s="7"/>
      <c r="H876" s="7"/>
      <c r="I876" s="7"/>
      <c r="J876" s="16"/>
    </row>
    <row r="877" spans="4:10" s="1" customFormat="1">
      <c r="D877" s="11"/>
      <c r="E877" s="7"/>
      <c r="F877" s="7"/>
      <c r="G877" s="7"/>
      <c r="H877" s="7"/>
      <c r="I877" s="7"/>
      <c r="J877" s="16"/>
    </row>
    <row r="878" spans="4:10" s="1" customFormat="1">
      <c r="D878" s="11"/>
      <c r="E878" s="7"/>
      <c r="F878" s="7"/>
      <c r="G878" s="7"/>
      <c r="H878" s="7"/>
      <c r="I878" s="7"/>
      <c r="J878" s="16"/>
    </row>
    <row r="879" spans="4:10" s="1" customFormat="1">
      <c r="D879" s="11"/>
      <c r="E879" s="7"/>
      <c r="F879" s="7"/>
      <c r="G879" s="7"/>
      <c r="H879" s="7"/>
      <c r="I879" s="7"/>
      <c r="J879" s="16"/>
    </row>
    <row r="880" spans="4:10" s="1" customFormat="1">
      <c r="D880" s="11"/>
      <c r="E880" s="7"/>
      <c r="F880" s="7"/>
      <c r="G880" s="7"/>
      <c r="H880" s="7"/>
      <c r="I880" s="7"/>
      <c r="J880" s="16"/>
    </row>
    <row r="881" spans="4:10" s="1" customFormat="1">
      <c r="D881" s="11"/>
      <c r="E881" s="7"/>
      <c r="F881" s="7"/>
      <c r="G881" s="7"/>
      <c r="H881" s="7"/>
      <c r="I881" s="7"/>
      <c r="J881" s="16"/>
    </row>
    <row r="882" spans="4:10" s="1" customFormat="1">
      <c r="D882" s="11"/>
      <c r="E882" s="7"/>
      <c r="F882" s="7"/>
      <c r="G882" s="7"/>
      <c r="H882" s="7"/>
      <c r="I882" s="7"/>
      <c r="J882" s="16"/>
    </row>
    <row r="883" spans="4:10" s="1" customFormat="1">
      <c r="D883" s="11"/>
      <c r="E883" s="7"/>
      <c r="F883" s="7"/>
      <c r="G883" s="7"/>
      <c r="H883" s="7"/>
      <c r="I883" s="7"/>
      <c r="J883" s="16"/>
    </row>
    <row r="884" spans="4:10" s="1" customFormat="1">
      <c r="D884" s="11"/>
      <c r="E884" s="7"/>
      <c r="F884" s="7"/>
      <c r="G884" s="7"/>
      <c r="H884" s="7"/>
      <c r="I884" s="7"/>
      <c r="J884" s="16"/>
    </row>
    <row r="885" spans="4:10" s="1" customFormat="1">
      <c r="D885" s="11"/>
      <c r="E885" s="7"/>
      <c r="F885" s="7"/>
      <c r="G885" s="7"/>
      <c r="H885" s="7"/>
      <c r="I885" s="7"/>
      <c r="J885" s="16"/>
    </row>
    <row r="886" spans="4:10" s="1" customFormat="1">
      <c r="D886" s="11"/>
      <c r="E886" s="7"/>
      <c r="F886" s="7"/>
      <c r="G886" s="7"/>
      <c r="H886" s="7"/>
      <c r="I886" s="7"/>
      <c r="J886" s="16"/>
    </row>
    <row r="887" spans="4:10" s="1" customFormat="1">
      <c r="D887" s="11"/>
      <c r="E887" s="7"/>
      <c r="F887" s="7"/>
      <c r="G887" s="7"/>
      <c r="H887" s="7"/>
      <c r="I887" s="7"/>
      <c r="J887" s="16"/>
    </row>
    <row r="888" spans="4:10" s="1" customFormat="1">
      <c r="D888" s="11"/>
      <c r="E888" s="7"/>
      <c r="F888" s="7"/>
      <c r="G888" s="7"/>
      <c r="H888" s="7"/>
      <c r="I888" s="7"/>
      <c r="J888" s="16"/>
    </row>
    <row r="889" spans="4:10" s="1" customFormat="1">
      <c r="D889" s="11"/>
      <c r="E889" s="7"/>
      <c r="F889" s="7"/>
      <c r="G889" s="7"/>
      <c r="H889" s="7"/>
      <c r="I889" s="7"/>
      <c r="J889" s="16"/>
    </row>
    <row r="890" spans="4:10" s="1" customFormat="1">
      <c r="D890" s="11"/>
      <c r="E890" s="7"/>
      <c r="F890" s="7"/>
      <c r="G890" s="7"/>
      <c r="H890" s="7"/>
      <c r="I890" s="7"/>
      <c r="J890" s="16"/>
    </row>
    <row r="891" spans="4:10" s="1" customFormat="1">
      <c r="D891" s="11"/>
      <c r="E891" s="7"/>
      <c r="F891" s="7"/>
      <c r="G891" s="7"/>
      <c r="H891" s="7"/>
      <c r="I891" s="7"/>
      <c r="J891" s="16"/>
    </row>
    <row r="892" spans="4:10" s="1" customFormat="1">
      <c r="D892" s="11"/>
      <c r="E892" s="7"/>
      <c r="F892" s="7"/>
      <c r="G892" s="7"/>
      <c r="H892" s="7"/>
      <c r="I892" s="7"/>
      <c r="J892" s="16"/>
    </row>
    <row r="893" spans="4:10" s="1" customFormat="1">
      <c r="D893" s="11"/>
      <c r="E893" s="7"/>
      <c r="F893" s="7"/>
      <c r="G893" s="7"/>
      <c r="H893" s="7"/>
      <c r="I893" s="7"/>
      <c r="J893" s="16"/>
    </row>
    <row r="894" spans="4:10" s="1" customFormat="1">
      <c r="D894" s="11"/>
      <c r="E894" s="7"/>
      <c r="F894" s="7"/>
      <c r="G894" s="7"/>
      <c r="H894" s="7"/>
      <c r="I894" s="7"/>
      <c r="J894" s="16"/>
    </row>
    <row r="895" spans="4:10" s="1" customFormat="1">
      <c r="D895" s="11"/>
      <c r="E895" s="7"/>
      <c r="F895" s="7"/>
      <c r="G895" s="7"/>
      <c r="H895" s="7"/>
      <c r="I895" s="7"/>
      <c r="J895" s="16"/>
    </row>
    <row r="896" spans="4:10" s="1" customFormat="1">
      <c r="D896" s="11"/>
      <c r="E896" s="7"/>
      <c r="F896" s="7"/>
      <c r="G896" s="7"/>
      <c r="H896" s="7"/>
      <c r="I896" s="7"/>
      <c r="J896" s="16"/>
    </row>
    <row r="897" spans="4:10" s="1" customFormat="1">
      <c r="D897" s="11"/>
      <c r="E897" s="7"/>
      <c r="F897" s="7"/>
      <c r="G897" s="7"/>
      <c r="H897" s="7"/>
      <c r="I897" s="7"/>
      <c r="J897" s="16"/>
    </row>
    <row r="898" spans="4:10" s="1" customFormat="1">
      <c r="D898" s="11"/>
      <c r="E898" s="7"/>
      <c r="F898" s="7"/>
      <c r="G898" s="7"/>
      <c r="H898" s="7"/>
      <c r="I898" s="7"/>
      <c r="J898" s="16"/>
    </row>
    <row r="899" spans="4:10" s="1" customFormat="1">
      <c r="D899" s="11"/>
      <c r="E899" s="7"/>
      <c r="F899" s="7"/>
      <c r="G899" s="7"/>
      <c r="H899" s="7"/>
      <c r="I899" s="7"/>
      <c r="J899" s="16"/>
    </row>
    <row r="900" spans="4:10" s="1" customFormat="1">
      <c r="D900" s="11"/>
      <c r="E900" s="7"/>
      <c r="F900" s="7"/>
      <c r="G900" s="7"/>
      <c r="H900" s="7"/>
      <c r="I900" s="7"/>
      <c r="J900" s="16"/>
    </row>
    <row r="901" spans="4:10" s="1" customFormat="1">
      <c r="D901" s="11"/>
      <c r="E901" s="7"/>
      <c r="F901" s="7"/>
      <c r="G901" s="7"/>
      <c r="H901" s="7"/>
      <c r="I901" s="7"/>
      <c r="J901" s="16"/>
    </row>
    <row r="902" spans="4:10" s="1" customFormat="1">
      <c r="D902" s="11"/>
      <c r="E902" s="7"/>
      <c r="F902" s="7"/>
      <c r="G902" s="7"/>
      <c r="H902" s="7"/>
      <c r="I902" s="7"/>
      <c r="J902" s="16"/>
    </row>
    <row r="903" spans="4:10" s="1" customFormat="1">
      <c r="D903" s="11"/>
      <c r="E903" s="7"/>
      <c r="F903" s="7"/>
      <c r="G903" s="7"/>
      <c r="H903" s="7"/>
      <c r="I903" s="7"/>
      <c r="J903" s="16"/>
    </row>
    <row r="904" spans="4:10" s="1" customFormat="1">
      <c r="D904" s="11"/>
      <c r="E904" s="7"/>
      <c r="F904" s="7"/>
      <c r="G904" s="7"/>
      <c r="H904" s="7"/>
      <c r="I904" s="7"/>
      <c r="J904" s="16"/>
    </row>
    <row r="905" spans="4:10" s="1" customFormat="1">
      <c r="D905" s="11"/>
      <c r="E905" s="7"/>
      <c r="F905" s="7"/>
      <c r="G905" s="7"/>
      <c r="H905" s="7"/>
      <c r="I905" s="7"/>
      <c r="J905" s="16"/>
    </row>
    <row r="906" spans="4:10" s="1" customFormat="1">
      <c r="D906" s="11"/>
      <c r="E906" s="7"/>
      <c r="F906" s="7"/>
      <c r="G906" s="7"/>
      <c r="H906" s="7"/>
      <c r="I906" s="7"/>
      <c r="J906" s="16"/>
    </row>
    <row r="907" spans="4:10" s="1" customFormat="1">
      <c r="D907" s="11"/>
      <c r="E907" s="7"/>
      <c r="F907" s="7"/>
      <c r="G907" s="7"/>
      <c r="H907" s="7"/>
      <c r="I907" s="7"/>
      <c r="J907" s="16"/>
    </row>
    <row r="908" spans="4:10" s="1" customFormat="1">
      <c r="D908" s="11"/>
      <c r="E908" s="7"/>
      <c r="F908" s="7"/>
      <c r="G908" s="7"/>
      <c r="H908" s="7"/>
      <c r="I908" s="7"/>
      <c r="J908" s="16"/>
    </row>
    <row r="909" spans="4:10" s="1" customFormat="1">
      <c r="D909" s="11"/>
      <c r="E909" s="7"/>
      <c r="F909" s="7"/>
      <c r="G909" s="7"/>
      <c r="H909" s="7"/>
      <c r="I909" s="7"/>
      <c r="J909" s="16"/>
    </row>
    <row r="910" spans="4:10" s="1" customFormat="1">
      <c r="D910" s="11"/>
      <c r="E910" s="7"/>
      <c r="F910" s="7"/>
      <c r="G910" s="7"/>
      <c r="H910" s="7"/>
      <c r="I910" s="7"/>
      <c r="J910" s="16"/>
    </row>
    <row r="911" spans="4:10" s="1" customFormat="1">
      <c r="D911" s="11"/>
      <c r="E911" s="7"/>
      <c r="F911" s="7"/>
      <c r="G911" s="7"/>
      <c r="H911" s="7"/>
      <c r="I911" s="7"/>
      <c r="J911" s="16"/>
    </row>
    <row r="912" spans="4:10" s="1" customFormat="1">
      <c r="D912" s="11"/>
      <c r="E912" s="7"/>
      <c r="F912" s="7"/>
      <c r="G912" s="7"/>
      <c r="H912" s="7"/>
      <c r="I912" s="7"/>
      <c r="J912" s="16"/>
    </row>
    <row r="913" spans="4:10" s="1" customFormat="1">
      <c r="D913" s="11"/>
      <c r="E913" s="7"/>
      <c r="F913" s="7"/>
      <c r="G913" s="7"/>
      <c r="H913" s="7"/>
      <c r="I913" s="7"/>
      <c r="J913" s="16"/>
    </row>
    <row r="914" spans="4:10" s="1" customFormat="1">
      <c r="D914" s="11"/>
      <c r="E914" s="7"/>
      <c r="F914" s="7"/>
      <c r="G914" s="7"/>
      <c r="H914" s="7"/>
      <c r="I914" s="7"/>
      <c r="J914" s="16"/>
    </row>
    <row r="915" spans="4:10" s="1" customFormat="1">
      <c r="D915" s="11"/>
      <c r="E915" s="7"/>
      <c r="F915" s="7"/>
      <c r="G915" s="7"/>
      <c r="H915" s="7"/>
      <c r="I915" s="7"/>
      <c r="J915" s="16"/>
    </row>
    <row r="916" spans="4:10" s="1" customFormat="1">
      <c r="D916" s="11"/>
      <c r="E916" s="7"/>
      <c r="F916" s="7"/>
      <c r="G916" s="7"/>
      <c r="H916" s="7"/>
      <c r="I916" s="7"/>
      <c r="J916" s="16"/>
    </row>
    <row r="917" spans="4:10" s="1" customFormat="1">
      <c r="D917" s="11"/>
      <c r="E917" s="7"/>
      <c r="F917" s="7"/>
      <c r="G917" s="7"/>
      <c r="H917" s="7"/>
      <c r="I917" s="7"/>
      <c r="J917" s="16"/>
    </row>
    <row r="918" spans="4:10" s="1" customFormat="1">
      <c r="D918" s="11"/>
      <c r="E918" s="7"/>
      <c r="F918" s="7"/>
      <c r="G918" s="7"/>
      <c r="H918" s="7"/>
      <c r="I918" s="7"/>
      <c r="J918" s="16"/>
    </row>
    <row r="919" spans="4:10" s="1" customFormat="1">
      <c r="D919" s="11"/>
      <c r="E919" s="7"/>
      <c r="F919" s="7"/>
      <c r="G919" s="7"/>
      <c r="H919" s="7"/>
      <c r="I919" s="7"/>
      <c r="J919" s="16"/>
    </row>
    <row r="920" spans="4:10" s="1" customFormat="1">
      <c r="D920" s="11"/>
      <c r="E920" s="7"/>
      <c r="F920" s="7"/>
      <c r="G920" s="7"/>
      <c r="H920" s="7"/>
      <c r="I920" s="7"/>
      <c r="J920" s="16"/>
    </row>
    <row r="921" spans="4:10" s="1" customFormat="1">
      <c r="D921" s="11"/>
      <c r="E921" s="7"/>
      <c r="F921" s="7"/>
      <c r="G921" s="7"/>
      <c r="H921" s="7"/>
      <c r="I921" s="7"/>
      <c r="J921" s="16"/>
    </row>
    <row r="922" spans="4:10" s="1" customFormat="1">
      <c r="D922" s="11"/>
      <c r="E922" s="7"/>
      <c r="F922" s="7"/>
      <c r="G922" s="7"/>
      <c r="H922" s="7"/>
      <c r="I922" s="7"/>
      <c r="J922" s="16"/>
    </row>
    <row r="923" spans="4:10" s="1" customFormat="1">
      <c r="D923" s="11"/>
      <c r="E923" s="7"/>
      <c r="F923" s="7"/>
      <c r="G923" s="7"/>
      <c r="H923" s="7"/>
      <c r="I923" s="7"/>
      <c r="J923" s="16"/>
    </row>
    <row r="924" spans="4:10" s="1" customFormat="1">
      <c r="D924" s="11"/>
      <c r="E924" s="7"/>
      <c r="F924" s="7"/>
      <c r="G924" s="7"/>
      <c r="H924" s="7"/>
      <c r="I924" s="7"/>
      <c r="J924" s="16"/>
    </row>
    <row r="925" spans="4:10" s="1" customFormat="1">
      <c r="D925" s="11"/>
      <c r="E925" s="7"/>
      <c r="F925" s="7"/>
      <c r="G925" s="7"/>
      <c r="H925" s="7"/>
      <c r="I925" s="7"/>
      <c r="J925" s="16"/>
    </row>
    <row r="926" spans="4:10" s="1" customFormat="1">
      <c r="D926" s="11"/>
      <c r="E926" s="7"/>
      <c r="F926" s="7"/>
      <c r="G926" s="7"/>
      <c r="H926" s="7"/>
      <c r="I926" s="7"/>
      <c r="J926" s="16"/>
    </row>
    <row r="927" spans="4:10" s="1" customFormat="1">
      <c r="D927" s="11"/>
      <c r="E927" s="7"/>
      <c r="F927" s="7"/>
      <c r="G927" s="7"/>
      <c r="H927" s="7"/>
      <c r="I927" s="7"/>
      <c r="J927" s="16"/>
    </row>
    <row r="928" spans="4:10" s="1" customFormat="1">
      <c r="D928" s="11"/>
      <c r="E928" s="7"/>
      <c r="F928" s="7"/>
      <c r="G928" s="7"/>
      <c r="H928" s="7"/>
      <c r="I928" s="7"/>
      <c r="J928" s="16"/>
    </row>
    <row r="929" spans="4:10" s="1" customFormat="1">
      <c r="D929" s="11"/>
      <c r="E929" s="7"/>
      <c r="F929" s="7"/>
      <c r="G929" s="7"/>
      <c r="H929" s="7"/>
      <c r="I929" s="7"/>
      <c r="J929" s="16"/>
    </row>
    <row r="930" spans="4:10" s="1" customFormat="1">
      <c r="D930" s="11"/>
      <c r="E930" s="7"/>
      <c r="F930" s="7"/>
      <c r="G930" s="7"/>
      <c r="H930" s="7"/>
      <c r="I930" s="7"/>
      <c r="J930" s="16"/>
    </row>
    <row r="931" spans="4:10" s="1" customFormat="1">
      <c r="D931" s="11"/>
      <c r="E931" s="7"/>
      <c r="F931" s="7"/>
      <c r="G931" s="7"/>
      <c r="H931" s="7"/>
      <c r="I931" s="7"/>
      <c r="J931" s="16"/>
    </row>
    <row r="932" spans="4:10" s="1" customFormat="1">
      <c r="D932" s="11"/>
      <c r="E932" s="7"/>
      <c r="F932" s="7"/>
      <c r="G932" s="7"/>
      <c r="H932" s="7"/>
      <c r="I932" s="7"/>
      <c r="J932" s="16"/>
    </row>
    <row r="933" spans="4:10" s="1" customFormat="1">
      <c r="D933" s="11"/>
      <c r="E933" s="7"/>
      <c r="F933" s="7"/>
      <c r="G933" s="7"/>
      <c r="H933" s="7"/>
      <c r="I933" s="7"/>
      <c r="J933" s="16"/>
    </row>
    <row r="934" spans="4:10" s="1" customFormat="1">
      <c r="D934" s="11"/>
      <c r="E934" s="7"/>
      <c r="F934" s="7"/>
      <c r="G934" s="7"/>
      <c r="H934" s="7"/>
      <c r="I934" s="7"/>
      <c r="J934" s="16"/>
    </row>
    <row r="935" spans="4:10" s="1" customFormat="1">
      <c r="D935" s="11"/>
      <c r="E935" s="7"/>
      <c r="F935" s="7"/>
      <c r="G935" s="7"/>
      <c r="H935" s="7"/>
      <c r="I935" s="7"/>
      <c r="J935" s="16"/>
    </row>
    <row r="936" spans="4:10" s="1" customFormat="1">
      <c r="D936" s="11"/>
      <c r="E936" s="7"/>
      <c r="F936" s="7"/>
      <c r="G936" s="7"/>
      <c r="H936" s="7"/>
      <c r="I936" s="7"/>
      <c r="J936" s="16"/>
    </row>
    <row r="937" spans="4:10" s="1" customFormat="1">
      <c r="D937" s="11"/>
      <c r="E937" s="7"/>
      <c r="F937" s="7"/>
      <c r="G937" s="7"/>
      <c r="H937" s="7"/>
      <c r="I937" s="7"/>
      <c r="J937" s="16"/>
    </row>
    <row r="938" spans="4:10" s="1" customFormat="1">
      <c r="D938" s="11"/>
      <c r="E938" s="7"/>
      <c r="F938" s="7"/>
      <c r="G938" s="7"/>
      <c r="H938" s="7"/>
      <c r="I938" s="7"/>
      <c r="J938" s="16"/>
    </row>
    <row r="939" spans="4:10" s="1" customFormat="1">
      <c r="D939" s="11"/>
      <c r="E939" s="7"/>
      <c r="F939" s="7"/>
      <c r="G939" s="7"/>
      <c r="H939" s="7"/>
      <c r="I939" s="7"/>
      <c r="J939" s="16"/>
    </row>
    <row r="940" spans="4:10" s="1" customFormat="1">
      <c r="D940" s="11"/>
      <c r="E940" s="7"/>
      <c r="F940" s="7"/>
      <c r="G940" s="7"/>
      <c r="H940" s="7"/>
      <c r="I940" s="7"/>
      <c r="J940" s="16"/>
    </row>
    <row r="941" spans="4:10" s="1" customFormat="1">
      <c r="D941" s="11"/>
      <c r="E941" s="7"/>
      <c r="F941" s="7"/>
      <c r="G941" s="7"/>
      <c r="H941" s="7"/>
      <c r="I941" s="7"/>
      <c r="J941" s="16"/>
    </row>
    <row r="942" spans="4:10" s="1" customFormat="1">
      <c r="D942" s="11"/>
      <c r="E942" s="7"/>
      <c r="F942" s="7"/>
      <c r="G942" s="7"/>
      <c r="H942" s="7"/>
      <c r="I942" s="7"/>
      <c r="J942" s="16"/>
    </row>
    <row r="943" spans="4:10" s="1" customFormat="1">
      <c r="D943" s="11"/>
      <c r="E943" s="7"/>
      <c r="F943" s="7"/>
      <c r="G943" s="7"/>
      <c r="H943" s="7"/>
      <c r="I943" s="7"/>
      <c r="J943" s="16"/>
    </row>
    <row r="944" spans="4:10" s="1" customFormat="1">
      <c r="D944" s="11"/>
      <c r="E944" s="7"/>
      <c r="F944" s="7"/>
      <c r="G944" s="7"/>
      <c r="H944" s="7"/>
      <c r="I944" s="7"/>
      <c r="J944" s="16"/>
    </row>
    <row r="945" spans="4:10" s="1" customFormat="1">
      <c r="D945" s="11"/>
      <c r="E945" s="7"/>
      <c r="F945" s="7"/>
      <c r="G945" s="7"/>
      <c r="H945" s="7"/>
      <c r="I945" s="7"/>
      <c r="J945" s="16"/>
    </row>
    <row r="946" spans="4:10" s="1" customFormat="1">
      <c r="D946" s="11"/>
      <c r="E946" s="7"/>
      <c r="F946" s="7"/>
      <c r="G946" s="7"/>
      <c r="H946" s="7"/>
      <c r="I946" s="7"/>
      <c r="J946" s="16"/>
    </row>
    <row r="947" spans="4:10" s="1" customFormat="1">
      <c r="D947" s="11"/>
      <c r="E947" s="7"/>
      <c r="F947" s="7"/>
      <c r="G947" s="7"/>
      <c r="H947" s="7"/>
      <c r="I947" s="7"/>
      <c r="J947" s="16"/>
    </row>
    <row r="948" spans="4:10" s="1" customFormat="1">
      <c r="D948" s="11"/>
      <c r="E948" s="7"/>
      <c r="F948" s="7"/>
      <c r="G948" s="7"/>
      <c r="H948" s="7"/>
      <c r="I948" s="7"/>
      <c r="J948" s="16"/>
    </row>
    <row r="949" spans="4:10" s="1" customFormat="1">
      <c r="D949" s="11"/>
      <c r="E949" s="7"/>
      <c r="F949" s="7"/>
      <c r="G949" s="7"/>
      <c r="H949" s="7"/>
      <c r="I949" s="7"/>
      <c r="J949" s="16"/>
    </row>
    <row r="950" spans="4:10" s="1" customFormat="1">
      <c r="D950" s="11"/>
      <c r="E950" s="7"/>
      <c r="F950" s="7"/>
      <c r="G950" s="7"/>
      <c r="H950" s="7"/>
      <c r="I950" s="7"/>
      <c r="J950" s="16"/>
    </row>
    <row r="951" spans="4:10" s="1" customFormat="1">
      <c r="D951" s="11"/>
      <c r="E951" s="7"/>
      <c r="F951" s="7"/>
      <c r="G951" s="7"/>
      <c r="H951" s="7"/>
      <c r="I951" s="7"/>
      <c r="J951" s="16"/>
    </row>
    <row r="952" spans="4:10" s="1" customFormat="1">
      <c r="D952" s="11"/>
      <c r="E952" s="7"/>
      <c r="F952" s="7"/>
      <c r="G952" s="7"/>
      <c r="H952" s="7"/>
      <c r="I952" s="7"/>
      <c r="J952" s="16"/>
    </row>
    <row r="953" spans="4:10" s="1" customFormat="1">
      <c r="D953" s="11"/>
      <c r="E953" s="7"/>
      <c r="F953" s="7"/>
      <c r="G953" s="7"/>
      <c r="H953" s="7"/>
      <c r="I953" s="7"/>
      <c r="J953" s="16"/>
    </row>
    <row r="954" spans="4:10" s="1" customFormat="1">
      <c r="D954" s="11"/>
      <c r="E954" s="7"/>
      <c r="F954" s="7"/>
      <c r="G954" s="7"/>
      <c r="H954" s="7"/>
      <c r="I954" s="7"/>
      <c r="J954" s="16"/>
    </row>
    <row r="955" spans="4:10" s="1" customFormat="1">
      <c r="D955" s="11"/>
      <c r="E955" s="7"/>
      <c r="F955" s="7"/>
      <c r="G955" s="7"/>
      <c r="H955" s="7"/>
      <c r="I955" s="7"/>
      <c r="J955" s="16"/>
    </row>
    <row r="956" spans="4:10" s="1" customFormat="1">
      <c r="D956" s="11"/>
      <c r="E956" s="7"/>
      <c r="F956" s="7"/>
      <c r="G956" s="7"/>
      <c r="H956" s="7"/>
      <c r="I956" s="7"/>
      <c r="J956" s="16"/>
    </row>
    <row r="957" spans="4:10" s="1" customFormat="1">
      <c r="D957" s="11"/>
      <c r="E957" s="7"/>
      <c r="F957" s="7"/>
      <c r="G957" s="7"/>
      <c r="H957" s="7"/>
      <c r="I957" s="7"/>
      <c r="J957" s="16"/>
    </row>
    <row r="958" spans="4:10" s="1" customFormat="1">
      <c r="D958" s="11"/>
      <c r="E958" s="7"/>
      <c r="F958" s="7"/>
      <c r="G958" s="7"/>
      <c r="H958" s="7"/>
      <c r="I958" s="7"/>
      <c r="J958" s="16"/>
    </row>
    <row r="959" spans="4:10" s="1" customFormat="1">
      <c r="D959" s="11"/>
      <c r="E959" s="7"/>
      <c r="F959" s="7"/>
      <c r="G959" s="7"/>
      <c r="H959" s="7"/>
      <c r="I959" s="7"/>
      <c r="J959" s="16"/>
    </row>
    <row r="960" spans="4:10" s="1" customFormat="1">
      <c r="D960" s="11"/>
      <c r="E960" s="7"/>
      <c r="F960" s="7"/>
      <c r="G960" s="7"/>
      <c r="H960" s="7"/>
      <c r="I960" s="7"/>
      <c r="J960" s="16"/>
    </row>
    <row r="961" spans="4:10" s="1" customFormat="1">
      <c r="D961" s="11"/>
      <c r="E961" s="7"/>
      <c r="F961" s="7"/>
      <c r="G961" s="7"/>
      <c r="H961" s="7"/>
      <c r="I961" s="7"/>
      <c r="J961" s="16"/>
    </row>
    <row r="962" spans="4:10" s="1" customFormat="1">
      <c r="D962" s="11"/>
      <c r="E962" s="7"/>
      <c r="F962" s="7"/>
      <c r="G962" s="7"/>
      <c r="H962" s="7"/>
      <c r="I962" s="7"/>
      <c r="J962" s="16"/>
    </row>
    <row r="963" spans="4:10" s="1" customFormat="1">
      <c r="D963" s="11"/>
      <c r="E963" s="7"/>
      <c r="F963" s="7"/>
      <c r="G963" s="7"/>
      <c r="H963" s="7"/>
      <c r="I963" s="7"/>
      <c r="J963" s="16"/>
    </row>
    <row r="964" spans="4:10" s="1" customFormat="1">
      <c r="D964" s="11"/>
      <c r="E964" s="7"/>
      <c r="F964" s="7"/>
      <c r="G964" s="7"/>
      <c r="H964" s="7"/>
      <c r="I964" s="7"/>
      <c r="J964" s="16"/>
    </row>
    <row r="965" spans="4:10" s="1" customFormat="1">
      <c r="D965" s="11"/>
      <c r="E965" s="7"/>
      <c r="F965" s="7"/>
      <c r="G965" s="7"/>
      <c r="H965" s="7"/>
      <c r="I965" s="7"/>
      <c r="J965" s="16"/>
    </row>
    <row r="966" spans="4:10" s="1" customFormat="1">
      <c r="D966" s="11"/>
      <c r="E966" s="7"/>
      <c r="F966" s="7"/>
      <c r="G966" s="7"/>
      <c r="H966" s="7"/>
      <c r="I966" s="7"/>
      <c r="J966" s="16"/>
    </row>
    <row r="967" spans="4:10" s="1" customFormat="1">
      <c r="D967" s="11"/>
      <c r="E967" s="7"/>
      <c r="F967" s="7"/>
      <c r="G967" s="7"/>
      <c r="H967" s="7"/>
      <c r="I967" s="7"/>
      <c r="J967" s="16"/>
    </row>
    <row r="968" spans="4:10" s="1" customFormat="1">
      <c r="D968" s="11"/>
      <c r="E968" s="7"/>
      <c r="F968" s="7"/>
      <c r="G968" s="7"/>
      <c r="H968" s="7"/>
      <c r="I968" s="7"/>
      <c r="J968" s="16"/>
    </row>
    <row r="969" spans="4:10" s="1" customFormat="1">
      <c r="D969" s="11"/>
      <c r="E969" s="7"/>
      <c r="F969" s="7"/>
      <c r="G969" s="7"/>
      <c r="H969" s="7"/>
      <c r="I969" s="7"/>
      <c r="J969" s="16"/>
    </row>
    <row r="970" spans="4:10" s="1" customFormat="1">
      <c r="D970" s="11"/>
      <c r="E970" s="7"/>
      <c r="F970" s="7"/>
      <c r="G970" s="7"/>
      <c r="H970" s="7"/>
      <c r="I970" s="7"/>
      <c r="J970" s="16"/>
    </row>
    <row r="971" spans="4:10" s="1" customFormat="1">
      <c r="D971" s="11"/>
      <c r="E971" s="7"/>
      <c r="F971" s="7"/>
      <c r="G971" s="7"/>
      <c r="H971" s="7"/>
      <c r="I971" s="7"/>
      <c r="J971" s="16"/>
    </row>
    <row r="972" spans="4:10" s="1" customFormat="1">
      <c r="D972" s="11"/>
      <c r="E972" s="7"/>
      <c r="F972" s="7"/>
      <c r="G972" s="7"/>
      <c r="H972" s="7"/>
      <c r="I972" s="7"/>
      <c r="J972" s="16"/>
    </row>
    <row r="973" spans="4:10" s="1" customFormat="1">
      <c r="D973" s="11"/>
      <c r="E973" s="7"/>
      <c r="F973" s="7"/>
      <c r="G973" s="7"/>
      <c r="H973" s="7"/>
      <c r="I973" s="7"/>
      <c r="J973" s="16"/>
    </row>
    <row r="974" spans="4:10" s="1" customFormat="1">
      <c r="D974" s="11"/>
      <c r="E974" s="7"/>
      <c r="F974" s="7"/>
      <c r="G974" s="7"/>
      <c r="H974" s="7"/>
      <c r="I974" s="7"/>
      <c r="J974" s="16"/>
    </row>
    <row r="975" spans="4:10" s="1" customFormat="1">
      <c r="D975" s="11"/>
      <c r="E975" s="7"/>
      <c r="F975" s="7"/>
      <c r="G975" s="7"/>
      <c r="H975" s="7"/>
      <c r="I975" s="7"/>
      <c r="J975" s="16"/>
    </row>
    <row r="976" spans="4:10" s="1" customFormat="1">
      <c r="D976" s="11"/>
      <c r="E976" s="7"/>
      <c r="F976" s="7"/>
      <c r="G976" s="7"/>
      <c r="H976" s="7"/>
      <c r="I976" s="7"/>
      <c r="J976" s="16"/>
    </row>
    <row r="977" spans="4:10" s="1" customFormat="1">
      <c r="D977" s="11"/>
      <c r="E977" s="7"/>
      <c r="F977" s="7"/>
      <c r="G977" s="7"/>
      <c r="H977" s="7"/>
      <c r="I977" s="7"/>
      <c r="J977" s="16"/>
    </row>
    <row r="978" spans="4:10" s="1" customFormat="1">
      <c r="D978" s="11"/>
      <c r="E978" s="7"/>
      <c r="F978" s="7"/>
      <c r="G978" s="7"/>
      <c r="H978" s="7"/>
      <c r="I978" s="7"/>
      <c r="J978" s="16"/>
    </row>
    <row r="979" spans="4:10" s="1" customFormat="1">
      <c r="D979" s="11"/>
      <c r="E979" s="7"/>
      <c r="F979" s="7"/>
      <c r="G979" s="7"/>
      <c r="H979" s="7"/>
      <c r="I979" s="7"/>
      <c r="J979" s="16"/>
    </row>
    <row r="980" spans="4:10" s="1" customFormat="1">
      <c r="D980" s="11"/>
      <c r="E980" s="7"/>
      <c r="F980" s="7"/>
      <c r="G980" s="7"/>
      <c r="H980" s="7"/>
      <c r="I980" s="7"/>
      <c r="J980" s="16"/>
    </row>
    <row r="981" spans="4:10" s="1" customFormat="1">
      <c r="D981" s="11"/>
      <c r="E981" s="7"/>
      <c r="F981" s="7"/>
      <c r="G981" s="7"/>
      <c r="H981" s="7"/>
      <c r="I981" s="7"/>
      <c r="J981" s="16"/>
    </row>
    <row r="982" spans="4:10" s="1" customFormat="1">
      <c r="D982" s="11"/>
      <c r="E982" s="7"/>
      <c r="F982" s="7"/>
      <c r="G982" s="7"/>
      <c r="H982" s="7"/>
      <c r="I982" s="7"/>
      <c r="J982" s="16"/>
    </row>
    <row r="983" spans="4:10" s="1" customFormat="1">
      <c r="D983" s="11"/>
      <c r="E983" s="7"/>
      <c r="F983" s="7"/>
      <c r="G983" s="7"/>
      <c r="H983" s="7"/>
      <c r="I983" s="7"/>
      <c r="J983" s="16"/>
    </row>
    <row r="984" spans="4:10" s="1" customFormat="1">
      <c r="D984" s="11"/>
      <c r="E984" s="7"/>
      <c r="F984" s="7"/>
      <c r="G984" s="7"/>
      <c r="H984" s="7"/>
      <c r="I984" s="7"/>
      <c r="J984" s="16"/>
    </row>
    <row r="985" spans="4:10" s="1" customFormat="1">
      <c r="D985" s="11"/>
      <c r="E985" s="7"/>
      <c r="F985" s="7"/>
      <c r="G985" s="7"/>
      <c r="H985" s="7"/>
      <c r="I985" s="7"/>
      <c r="J985" s="16"/>
    </row>
    <row r="986" spans="4:10" s="1" customFormat="1">
      <c r="D986" s="11"/>
      <c r="E986" s="7"/>
      <c r="F986" s="7"/>
      <c r="G986" s="7"/>
      <c r="H986" s="7"/>
      <c r="I986" s="7"/>
      <c r="J986" s="16"/>
    </row>
    <row r="987" spans="4:10" s="1" customFormat="1">
      <c r="D987" s="11"/>
      <c r="E987" s="7"/>
      <c r="F987" s="7"/>
      <c r="G987" s="7"/>
      <c r="H987" s="7"/>
      <c r="I987" s="7"/>
      <c r="J987" s="16"/>
    </row>
    <row r="988" spans="4:10" s="1" customFormat="1">
      <c r="D988" s="11"/>
      <c r="E988" s="7"/>
      <c r="F988" s="7"/>
      <c r="G988" s="7"/>
      <c r="H988" s="7"/>
      <c r="I988" s="7"/>
      <c r="J988" s="16"/>
    </row>
    <row r="989" spans="4:10" s="1" customFormat="1">
      <c r="D989" s="11"/>
      <c r="E989" s="7"/>
      <c r="F989" s="7"/>
      <c r="G989" s="7"/>
      <c r="H989" s="7"/>
      <c r="I989" s="7"/>
      <c r="J989" s="16"/>
    </row>
    <row r="990" spans="4:10" s="1" customFormat="1">
      <c r="D990" s="11"/>
      <c r="E990" s="7"/>
      <c r="F990" s="7"/>
      <c r="G990" s="7"/>
      <c r="H990" s="7"/>
      <c r="I990" s="7"/>
      <c r="J990" s="16"/>
    </row>
    <row r="991" spans="4:10" s="1" customFormat="1">
      <c r="D991" s="11"/>
      <c r="E991" s="7"/>
      <c r="F991" s="7"/>
      <c r="G991" s="7"/>
      <c r="H991" s="7"/>
      <c r="I991" s="7"/>
      <c r="J991" s="16"/>
    </row>
    <row r="992" spans="4:10" s="1" customFormat="1">
      <c r="D992" s="11"/>
      <c r="E992" s="7"/>
      <c r="F992" s="7"/>
      <c r="G992" s="7"/>
      <c r="H992" s="7"/>
      <c r="I992" s="7"/>
      <c r="J992" s="16"/>
    </row>
    <row r="993" spans="4:10" s="1" customFormat="1">
      <c r="D993" s="11"/>
      <c r="E993" s="7"/>
      <c r="F993" s="7"/>
      <c r="G993" s="7"/>
      <c r="H993" s="7"/>
      <c r="I993" s="7"/>
      <c r="J993" s="16"/>
    </row>
    <row r="994" spans="4:10" s="1" customFormat="1">
      <c r="D994" s="11"/>
      <c r="E994" s="7"/>
      <c r="F994" s="7"/>
      <c r="G994" s="7"/>
      <c r="H994" s="7"/>
      <c r="I994" s="7"/>
      <c r="J994" s="16"/>
    </row>
    <row r="995" spans="4:10" s="1" customFormat="1">
      <c r="D995" s="11"/>
      <c r="E995" s="7"/>
      <c r="F995" s="7"/>
      <c r="G995" s="7"/>
      <c r="H995" s="7"/>
      <c r="I995" s="7"/>
      <c r="J995" s="16"/>
    </row>
    <row r="996" spans="4:10" s="1" customFormat="1">
      <c r="D996" s="11"/>
      <c r="E996" s="7"/>
      <c r="F996" s="7"/>
      <c r="G996" s="7"/>
      <c r="H996" s="7"/>
      <c r="I996" s="7"/>
      <c r="J996" s="16"/>
    </row>
    <row r="997" spans="4:10" s="1" customFormat="1">
      <c r="D997" s="11"/>
      <c r="E997" s="7"/>
      <c r="F997" s="7"/>
      <c r="G997" s="7"/>
      <c r="H997" s="7"/>
      <c r="I997" s="7"/>
      <c r="J997" s="16"/>
    </row>
    <row r="998" spans="4:10" s="1" customFormat="1">
      <c r="D998" s="11"/>
      <c r="E998" s="7"/>
      <c r="F998" s="7"/>
      <c r="G998" s="7"/>
      <c r="H998" s="7"/>
      <c r="I998" s="7"/>
      <c r="J998" s="16"/>
    </row>
    <row r="999" spans="4:10" s="1" customFormat="1">
      <c r="D999" s="11"/>
      <c r="E999" s="7"/>
      <c r="F999" s="7"/>
      <c r="G999" s="7"/>
      <c r="H999" s="7"/>
      <c r="I999" s="7"/>
      <c r="J999" s="16"/>
    </row>
    <row r="1000" spans="4:10" s="1" customFormat="1">
      <c r="D1000" s="11"/>
      <c r="E1000" s="7"/>
      <c r="F1000" s="7"/>
      <c r="G1000" s="7"/>
      <c r="H1000" s="7"/>
      <c r="I1000" s="7"/>
      <c r="J1000" s="16"/>
    </row>
    <row r="1001" spans="4:10" s="1" customFormat="1">
      <c r="D1001" s="11"/>
      <c r="E1001" s="7"/>
      <c r="F1001" s="7"/>
      <c r="G1001" s="7"/>
      <c r="H1001" s="7"/>
      <c r="I1001" s="7"/>
      <c r="J1001" s="16"/>
    </row>
    <row r="1002" spans="4:10" s="1" customFormat="1">
      <c r="D1002" s="11"/>
      <c r="E1002" s="7"/>
      <c r="F1002" s="7"/>
      <c r="G1002" s="7"/>
      <c r="H1002" s="7"/>
      <c r="I1002" s="7"/>
      <c r="J1002" s="16"/>
    </row>
    <row r="1003" spans="4:10" s="1" customFormat="1">
      <c r="D1003" s="11"/>
      <c r="E1003" s="7"/>
      <c r="F1003" s="7"/>
      <c r="G1003" s="7"/>
      <c r="H1003" s="7"/>
      <c r="I1003" s="7"/>
      <c r="J1003" s="16"/>
    </row>
    <row r="1004" spans="4:10" s="1" customFormat="1">
      <c r="D1004" s="11"/>
      <c r="E1004" s="7"/>
      <c r="F1004" s="7"/>
      <c r="G1004" s="7"/>
      <c r="H1004" s="7"/>
      <c r="I1004" s="7"/>
      <c r="J1004" s="16"/>
    </row>
    <row r="1005" spans="4:10" s="1" customFormat="1">
      <c r="D1005" s="11"/>
      <c r="E1005" s="7"/>
      <c r="F1005" s="7"/>
      <c r="G1005" s="7"/>
      <c r="H1005" s="7"/>
      <c r="I1005" s="7"/>
      <c r="J1005" s="16"/>
    </row>
    <row r="1006" spans="4:10" s="1" customFormat="1">
      <c r="D1006" s="11"/>
      <c r="E1006" s="7"/>
      <c r="F1006" s="7"/>
      <c r="G1006" s="7"/>
      <c r="H1006" s="7"/>
      <c r="I1006" s="7"/>
      <c r="J1006" s="16"/>
    </row>
    <row r="1007" spans="4:10" s="1" customFormat="1">
      <c r="D1007" s="11"/>
      <c r="E1007" s="7"/>
      <c r="F1007" s="7"/>
      <c r="G1007" s="7"/>
      <c r="H1007" s="7"/>
      <c r="I1007" s="7"/>
      <c r="J1007" s="16"/>
    </row>
    <row r="1008" spans="4:10" s="1" customFormat="1">
      <c r="D1008" s="11"/>
      <c r="E1008" s="7"/>
      <c r="F1008" s="7"/>
      <c r="G1008" s="7"/>
      <c r="H1008" s="7"/>
      <c r="I1008" s="7"/>
      <c r="J1008" s="16"/>
    </row>
    <row r="1009" spans="4:10" s="1" customFormat="1">
      <c r="D1009" s="11"/>
      <c r="E1009" s="7"/>
      <c r="F1009" s="7"/>
      <c r="G1009" s="7"/>
      <c r="H1009" s="7"/>
      <c r="I1009" s="7"/>
      <c r="J1009" s="16"/>
    </row>
    <row r="1010" spans="4:10" s="1" customFormat="1">
      <c r="D1010" s="11"/>
      <c r="E1010" s="7"/>
      <c r="F1010" s="7"/>
      <c r="G1010" s="7"/>
      <c r="H1010" s="7"/>
      <c r="I1010" s="7"/>
      <c r="J1010" s="16"/>
    </row>
    <row r="1011" spans="4:10" s="1" customFormat="1">
      <c r="D1011" s="11"/>
      <c r="E1011" s="7"/>
      <c r="F1011" s="7"/>
      <c r="G1011" s="7"/>
      <c r="H1011" s="7"/>
      <c r="I1011" s="7"/>
      <c r="J1011" s="16"/>
    </row>
    <row r="1012" spans="4:10" s="1" customFormat="1">
      <c r="D1012" s="11"/>
      <c r="E1012" s="7"/>
      <c r="F1012" s="7"/>
      <c r="G1012" s="7"/>
      <c r="H1012" s="7"/>
      <c r="I1012" s="7"/>
      <c r="J1012" s="16"/>
    </row>
    <row r="1013" spans="4:10" s="1" customFormat="1">
      <c r="D1013" s="11"/>
      <c r="E1013" s="7"/>
      <c r="F1013" s="7"/>
      <c r="G1013" s="7"/>
      <c r="H1013" s="7"/>
      <c r="I1013" s="7"/>
      <c r="J1013" s="16"/>
    </row>
    <row r="1014" spans="4:10" s="1" customFormat="1">
      <c r="D1014" s="11"/>
      <c r="E1014" s="7"/>
      <c r="F1014" s="7"/>
      <c r="G1014" s="7"/>
      <c r="H1014" s="7"/>
      <c r="I1014" s="7"/>
      <c r="J1014" s="16"/>
    </row>
    <row r="1015" spans="4:10" s="1" customFormat="1">
      <c r="D1015" s="11"/>
      <c r="E1015" s="7"/>
      <c r="F1015" s="7"/>
      <c r="G1015" s="7"/>
      <c r="H1015" s="7"/>
      <c r="I1015" s="7"/>
      <c r="J1015" s="16"/>
    </row>
    <row r="1016" spans="4:10" s="1" customFormat="1">
      <c r="D1016" s="11"/>
      <c r="E1016" s="7"/>
      <c r="F1016" s="7"/>
      <c r="G1016" s="7"/>
      <c r="H1016" s="7"/>
      <c r="I1016" s="7"/>
      <c r="J1016" s="16"/>
    </row>
    <row r="1017" spans="4:10" s="1" customFormat="1">
      <c r="D1017" s="11"/>
      <c r="E1017" s="7"/>
      <c r="F1017" s="7"/>
      <c r="G1017" s="7"/>
      <c r="H1017" s="7"/>
      <c r="I1017" s="7"/>
      <c r="J1017" s="16"/>
    </row>
    <row r="1018" spans="4:10" s="1" customFormat="1">
      <c r="D1018" s="11"/>
      <c r="E1018" s="7"/>
      <c r="F1018" s="7"/>
      <c r="G1018" s="7"/>
      <c r="H1018" s="7"/>
      <c r="I1018" s="7"/>
      <c r="J1018" s="16"/>
    </row>
    <row r="1019" spans="4:10" s="1" customFormat="1">
      <c r="D1019" s="11"/>
      <c r="E1019" s="7"/>
      <c r="F1019" s="7"/>
      <c r="G1019" s="7"/>
      <c r="H1019" s="7"/>
      <c r="I1019" s="7"/>
      <c r="J1019" s="16"/>
    </row>
    <row r="1020" spans="4:10" s="1" customFormat="1">
      <c r="D1020" s="11"/>
      <c r="E1020" s="7"/>
      <c r="F1020" s="7"/>
      <c r="G1020" s="7"/>
      <c r="H1020" s="7"/>
      <c r="I1020" s="7"/>
      <c r="J1020" s="16"/>
    </row>
    <row r="1021" spans="4:10" s="1" customFormat="1">
      <c r="D1021" s="11"/>
      <c r="E1021" s="7"/>
      <c r="F1021" s="7"/>
      <c r="G1021" s="7"/>
      <c r="H1021" s="7"/>
      <c r="I1021" s="7"/>
      <c r="J1021" s="16"/>
    </row>
    <row r="1022" spans="4:10" s="1" customFormat="1">
      <c r="D1022" s="11"/>
      <c r="E1022" s="7"/>
      <c r="F1022" s="7"/>
      <c r="G1022" s="7"/>
      <c r="H1022" s="7"/>
      <c r="I1022" s="7"/>
      <c r="J1022" s="16"/>
    </row>
    <row r="1023" spans="4:10" s="1" customFormat="1">
      <c r="D1023" s="11"/>
      <c r="E1023" s="7"/>
      <c r="F1023" s="7"/>
      <c r="G1023" s="7"/>
      <c r="H1023" s="7"/>
      <c r="I1023" s="7"/>
      <c r="J1023" s="16"/>
    </row>
    <row r="1024" spans="4:10" s="1" customFormat="1">
      <c r="D1024" s="11"/>
      <c r="E1024" s="7"/>
      <c r="F1024" s="7"/>
      <c r="G1024" s="7"/>
      <c r="H1024" s="7"/>
      <c r="I1024" s="7"/>
      <c r="J1024" s="16"/>
    </row>
    <row r="1025" spans="4:10" s="1" customFormat="1">
      <c r="D1025" s="11"/>
      <c r="E1025" s="7"/>
      <c r="F1025" s="7"/>
      <c r="G1025" s="7"/>
      <c r="H1025" s="7"/>
      <c r="I1025" s="7"/>
      <c r="J1025" s="16"/>
    </row>
    <row r="1026" spans="4:10" s="1" customFormat="1">
      <c r="D1026" s="11"/>
      <c r="E1026" s="7"/>
      <c r="F1026" s="7"/>
      <c r="G1026" s="7"/>
      <c r="H1026" s="7"/>
      <c r="I1026" s="7"/>
      <c r="J1026" s="16"/>
    </row>
    <row r="1027" spans="4:10" s="1" customFormat="1">
      <c r="D1027" s="11"/>
      <c r="E1027" s="7"/>
      <c r="F1027" s="7"/>
      <c r="G1027" s="7"/>
      <c r="H1027" s="7"/>
      <c r="I1027" s="7"/>
      <c r="J1027" s="16"/>
    </row>
    <row r="1028" spans="4:10" s="1" customFormat="1">
      <c r="D1028" s="11"/>
      <c r="E1028" s="7"/>
      <c r="F1028" s="7"/>
      <c r="G1028" s="7"/>
      <c r="H1028" s="7"/>
      <c r="I1028" s="7"/>
      <c r="J1028" s="16"/>
    </row>
    <row r="1029" spans="4:10" s="1" customFormat="1">
      <c r="D1029" s="11"/>
      <c r="E1029" s="7"/>
      <c r="F1029" s="7"/>
      <c r="G1029" s="7"/>
      <c r="H1029" s="7"/>
      <c r="I1029" s="7"/>
      <c r="J1029" s="16"/>
    </row>
    <row r="1030" spans="4:10" s="1" customFormat="1">
      <c r="D1030" s="11"/>
      <c r="E1030" s="7"/>
      <c r="F1030" s="7"/>
      <c r="G1030" s="7"/>
      <c r="H1030" s="7"/>
      <c r="I1030" s="7"/>
      <c r="J1030" s="16"/>
    </row>
    <row r="1031" spans="4:10" s="1" customFormat="1">
      <c r="D1031" s="11"/>
      <c r="E1031" s="7"/>
      <c r="F1031" s="7"/>
      <c r="G1031" s="7"/>
      <c r="H1031" s="7"/>
      <c r="I1031" s="7"/>
      <c r="J1031" s="16"/>
    </row>
    <row r="1032" spans="4:10" s="1" customFormat="1">
      <c r="D1032" s="11"/>
      <c r="E1032" s="7"/>
      <c r="F1032" s="7"/>
      <c r="G1032" s="7"/>
      <c r="H1032" s="7"/>
      <c r="I1032" s="7"/>
      <c r="J1032" s="16"/>
    </row>
    <row r="1033" spans="4:10" s="1" customFormat="1">
      <c r="D1033" s="11"/>
      <c r="E1033" s="7"/>
      <c r="F1033" s="7"/>
      <c r="G1033" s="7"/>
      <c r="H1033" s="7"/>
      <c r="I1033" s="7"/>
      <c r="J1033" s="16"/>
    </row>
    <row r="1034" spans="4:10" s="1" customFormat="1">
      <c r="D1034" s="11"/>
      <c r="E1034" s="7"/>
      <c r="F1034" s="7"/>
      <c r="G1034" s="7"/>
      <c r="H1034" s="7"/>
      <c r="I1034" s="7"/>
      <c r="J1034" s="16"/>
    </row>
    <row r="1035" spans="4:10" s="1" customFormat="1">
      <c r="D1035" s="11"/>
      <c r="E1035" s="7"/>
      <c r="F1035" s="7"/>
      <c r="G1035" s="7"/>
      <c r="H1035" s="7"/>
      <c r="I1035" s="7"/>
      <c r="J1035" s="16"/>
    </row>
    <row r="1036" spans="4:10" s="1" customFormat="1">
      <c r="D1036" s="11"/>
      <c r="E1036" s="7"/>
      <c r="F1036" s="7"/>
      <c r="G1036" s="7"/>
      <c r="H1036" s="7"/>
      <c r="I1036" s="7"/>
      <c r="J1036" s="16"/>
    </row>
    <row r="1037" spans="4:10" s="1" customFormat="1">
      <c r="D1037" s="11"/>
      <c r="E1037" s="7"/>
      <c r="F1037" s="7"/>
      <c r="G1037" s="7"/>
      <c r="H1037" s="7"/>
      <c r="I1037" s="7"/>
      <c r="J1037" s="16"/>
    </row>
    <row r="1038" spans="4:10" s="1" customFormat="1">
      <c r="D1038" s="11"/>
      <c r="E1038" s="7"/>
      <c r="F1038" s="7"/>
      <c r="G1038" s="7"/>
      <c r="H1038" s="7"/>
      <c r="I1038" s="7"/>
      <c r="J1038" s="16"/>
    </row>
    <row r="1039" spans="4:10" s="1" customFormat="1">
      <c r="D1039" s="11"/>
      <c r="E1039" s="7"/>
      <c r="F1039" s="7"/>
      <c r="G1039" s="7"/>
      <c r="H1039" s="7"/>
      <c r="I1039" s="7"/>
      <c r="J1039" s="16"/>
    </row>
    <row r="1040" spans="4:10" s="1" customFormat="1">
      <c r="D1040" s="11"/>
      <c r="E1040" s="7"/>
      <c r="F1040" s="7"/>
      <c r="G1040" s="7"/>
      <c r="H1040" s="7"/>
      <c r="I1040" s="7"/>
      <c r="J1040" s="16"/>
    </row>
    <row r="1041" spans="4:10" s="1" customFormat="1">
      <c r="D1041" s="11"/>
      <c r="E1041" s="7"/>
      <c r="F1041" s="7"/>
      <c r="G1041" s="7"/>
      <c r="H1041" s="7"/>
      <c r="I1041" s="7"/>
      <c r="J1041" s="16"/>
    </row>
    <row r="1042" spans="4:10" s="1" customFormat="1">
      <c r="D1042" s="11"/>
      <c r="E1042" s="7"/>
      <c r="F1042" s="7"/>
      <c r="G1042" s="7"/>
      <c r="H1042" s="7"/>
      <c r="I1042" s="7"/>
      <c r="J1042" s="16"/>
    </row>
    <row r="1043" spans="4:10" s="1" customFormat="1">
      <c r="D1043" s="11"/>
      <c r="E1043" s="7"/>
      <c r="F1043" s="7"/>
      <c r="G1043" s="7"/>
      <c r="H1043" s="7"/>
      <c r="I1043" s="7"/>
      <c r="J1043" s="16"/>
    </row>
    <row r="1044" spans="4:10" s="1" customFormat="1">
      <c r="D1044" s="11"/>
      <c r="E1044" s="7"/>
      <c r="F1044" s="7"/>
      <c r="G1044" s="7"/>
      <c r="H1044" s="7"/>
      <c r="I1044" s="7"/>
      <c r="J1044" s="16"/>
    </row>
    <row r="1045" spans="4:10" s="1" customFormat="1">
      <c r="D1045" s="11"/>
      <c r="E1045" s="7"/>
      <c r="F1045" s="7"/>
      <c r="G1045" s="7"/>
      <c r="H1045" s="7"/>
      <c r="I1045" s="7"/>
      <c r="J1045" s="16"/>
    </row>
    <row r="1046" spans="4:10" s="1" customFormat="1">
      <c r="D1046" s="11"/>
      <c r="E1046" s="7"/>
      <c r="F1046" s="7"/>
      <c r="G1046" s="7"/>
      <c r="H1046" s="7"/>
      <c r="I1046" s="7"/>
      <c r="J1046" s="16"/>
    </row>
    <row r="1047" spans="4:10" s="1" customFormat="1">
      <c r="D1047" s="11"/>
      <c r="E1047" s="7"/>
      <c r="F1047" s="7"/>
      <c r="G1047" s="7"/>
      <c r="H1047" s="7"/>
      <c r="I1047" s="7"/>
      <c r="J1047" s="16"/>
    </row>
    <row r="1048" spans="4:10" s="1" customFormat="1">
      <c r="D1048" s="11"/>
      <c r="E1048" s="7"/>
      <c r="F1048" s="7"/>
      <c r="G1048" s="7"/>
      <c r="H1048" s="7"/>
      <c r="I1048" s="7"/>
      <c r="J1048" s="16"/>
    </row>
    <row r="1049" spans="4:10" s="1" customFormat="1">
      <c r="D1049" s="11"/>
      <c r="E1049" s="7"/>
      <c r="F1049" s="7"/>
      <c r="G1049" s="7"/>
      <c r="H1049" s="7"/>
      <c r="I1049" s="7"/>
      <c r="J1049" s="16"/>
    </row>
    <row r="1050" spans="4:10" s="1" customFormat="1">
      <c r="D1050" s="11"/>
      <c r="E1050" s="7"/>
      <c r="F1050" s="7"/>
      <c r="G1050" s="7"/>
      <c r="H1050" s="7"/>
      <c r="I1050" s="7"/>
      <c r="J1050" s="16"/>
    </row>
    <row r="1051" spans="4:10" s="1" customFormat="1">
      <c r="D1051" s="11"/>
      <c r="E1051" s="7"/>
      <c r="F1051" s="7"/>
      <c r="G1051" s="7"/>
      <c r="H1051" s="7"/>
      <c r="I1051" s="7"/>
      <c r="J1051" s="16"/>
    </row>
    <row r="1052" spans="4:10" s="1" customFormat="1">
      <c r="D1052" s="11"/>
      <c r="E1052" s="7"/>
      <c r="F1052" s="7"/>
      <c r="G1052" s="7"/>
      <c r="H1052" s="7"/>
      <c r="I1052" s="7"/>
      <c r="J1052" s="16"/>
    </row>
    <row r="1053" spans="4:10" s="1" customFormat="1">
      <c r="D1053" s="11"/>
      <c r="E1053" s="7"/>
      <c r="F1053" s="7"/>
      <c r="G1053" s="7"/>
      <c r="H1053" s="7"/>
      <c r="I1053" s="7"/>
      <c r="J1053" s="16"/>
    </row>
    <row r="1054" spans="4:10" s="1" customFormat="1">
      <c r="D1054" s="11"/>
      <c r="E1054" s="7"/>
      <c r="F1054" s="7"/>
      <c r="G1054" s="7"/>
      <c r="H1054" s="7"/>
      <c r="I1054" s="7"/>
      <c r="J1054" s="16"/>
    </row>
    <row r="1055" spans="4:10" s="1" customFormat="1">
      <c r="D1055" s="11"/>
      <c r="E1055" s="7"/>
      <c r="F1055" s="7"/>
      <c r="G1055" s="7"/>
      <c r="H1055" s="7"/>
      <c r="I1055" s="7"/>
      <c r="J1055" s="16"/>
    </row>
    <row r="1056" spans="4:10" s="1" customFormat="1">
      <c r="D1056" s="11"/>
      <c r="E1056" s="7"/>
      <c r="F1056" s="7"/>
      <c r="G1056" s="7"/>
      <c r="H1056" s="7"/>
      <c r="I1056" s="7"/>
      <c r="J1056" s="16"/>
    </row>
    <row r="1057" spans="4:10" s="1" customFormat="1">
      <c r="D1057" s="11"/>
      <c r="E1057" s="7"/>
      <c r="F1057" s="7"/>
      <c r="G1057" s="7"/>
      <c r="H1057" s="7"/>
      <c r="I1057" s="7"/>
      <c r="J1057" s="16"/>
    </row>
    <row r="1058" spans="4:10" s="1" customFormat="1">
      <c r="D1058" s="11"/>
      <c r="E1058" s="7"/>
      <c r="F1058" s="7"/>
      <c r="G1058" s="7"/>
      <c r="H1058" s="7"/>
      <c r="I1058" s="7"/>
      <c r="J1058" s="16"/>
    </row>
    <row r="1059" spans="4:10" s="1" customFormat="1">
      <c r="D1059" s="11"/>
      <c r="E1059" s="7"/>
      <c r="F1059" s="7"/>
      <c r="G1059" s="7"/>
      <c r="H1059" s="7"/>
      <c r="I1059" s="7"/>
      <c r="J1059" s="16"/>
    </row>
    <row r="1060" spans="4:10" s="1" customFormat="1">
      <c r="D1060" s="11"/>
      <c r="E1060" s="7"/>
      <c r="F1060" s="7"/>
      <c r="G1060" s="7"/>
      <c r="H1060" s="7"/>
      <c r="I1060" s="7"/>
      <c r="J1060" s="16"/>
    </row>
    <row r="1061" spans="4:10" s="1" customFormat="1">
      <c r="D1061" s="11"/>
      <c r="E1061" s="7"/>
      <c r="F1061" s="7"/>
      <c r="G1061" s="7"/>
      <c r="H1061" s="7"/>
      <c r="I1061" s="7"/>
      <c r="J1061" s="16"/>
    </row>
    <row r="1062" spans="4:10" s="1" customFormat="1">
      <c r="D1062" s="11"/>
      <c r="E1062" s="7"/>
      <c r="F1062" s="7"/>
      <c r="G1062" s="7"/>
      <c r="H1062" s="7"/>
      <c r="I1062" s="7"/>
      <c r="J1062" s="16"/>
    </row>
    <row r="1063" spans="4:10" s="1" customFormat="1">
      <c r="D1063" s="11"/>
      <c r="E1063" s="7"/>
      <c r="F1063" s="7"/>
      <c r="G1063" s="7"/>
      <c r="H1063" s="7"/>
      <c r="I1063" s="7"/>
      <c r="J1063" s="16"/>
    </row>
    <row r="1064" spans="4:10" s="1" customFormat="1">
      <c r="D1064" s="11"/>
      <c r="E1064" s="7"/>
      <c r="F1064" s="7"/>
      <c r="G1064" s="7"/>
      <c r="H1064" s="7"/>
      <c r="I1064" s="7"/>
      <c r="J1064" s="16"/>
    </row>
    <row r="1065" spans="4:10" s="1" customFormat="1">
      <c r="D1065" s="11"/>
      <c r="E1065" s="7"/>
      <c r="F1065" s="7"/>
      <c r="G1065" s="7"/>
      <c r="H1065" s="7"/>
      <c r="I1065" s="7"/>
      <c r="J1065" s="16"/>
    </row>
    <row r="1066" spans="4:10" s="1" customFormat="1">
      <c r="D1066" s="11"/>
      <c r="E1066" s="7"/>
      <c r="F1066" s="7"/>
      <c r="G1066" s="7"/>
      <c r="H1066" s="7"/>
      <c r="I1066" s="7"/>
      <c r="J1066" s="16"/>
    </row>
    <row r="1067" spans="4:10" s="1" customFormat="1">
      <c r="D1067" s="11"/>
      <c r="E1067" s="7"/>
      <c r="F1067" s="7"/>
      <c r="G1067" s="7"/>
      <c r="H1067" s="7"/>
      <c r="I1067" s="7"/>
      <c r="J1067" s="16"/>
    </row>
    <row r="1068" spans="4:10" s="1" customFormat="1">
      <c r="D1068" s="11"/>
      <c r="E1068" s="7"/>
      <c r="F1068" s="7"/>
      <c r="G1068" s="7"/>
      <c r="H1068" s="7"/>
      <c r="I1068" s="7"/>
      <c r="J1068" s="16"/>
    </row>
    <row r="1069" spans="4:10" s="1" customFormat="1">
      <c r="D1069" s="11"/>
      <c r="E1069" s="7"/>
      <c r="F1069" s="7"/>
      <c r="G1069" s="7"/>
      <c r="H1069" s="7"/>
      <c r="I1069" s="7"/>
      <c r="J1069" s="16"/>
    </row>
    <row r="1070" spans="4:10" s="1" customFormat="1">
      <c r="D1070" s="11"/>
      <c r="E1070" s="7"/>
      <c r="F1070" s="7"/>
      <c r="G1070" s="7"/>
      <c r="H1070" s="7"/>
      <c r="I1070" s="7"/>
      <c r="J1070" s="16"/>
    </row>
    <row r="1071" spans="4:10" s="1" customFormat="1">
      <c r="D1071" s="11"/>
      <c r="E1071" s="7"/>
      <c r="F1071" s="7"/>
      <c r="G1071" s="7"/>
      <c r="H1071" s="7"/>
      <c r="I1071" s="7"/>
      <c r="J1071" s="16"/>
    </row>
    <row r="1072" spans="4:10" s="1" customFormat="1">
      <c r="D1072" s="11"/>
      <c r="E1072" s="7"/>
      <c r="F1072" s="7"/>
      <c r="G1072" s="7"/>
      <c r="H1072" s="7"/>
      <c r="I1072" s="7"/>
      <c r="J1072" s="16"/>
    </row>
    <row r="1073" spans="4:10" s="1" customFormat="1">
      <c r="D1073" s="11"/>
      <c r="E1073" s="7"/>
      <c r="F1073" s="7"/>
      <c r="G1073" s="7"/>
      <c r="H1073" s="7"/>
      <c r="I1073" s="7"/>
      <c r="J1073" s="16"/>
    </row>
    <row r="1074" spans="4:10" s="1" customFormat="1">
      <c r="D1074" s="11"/>
      <c r="E1074" s="7"/>
      <c r="F1074" s="7"/>
      <c r="G1074" s="7"/>
      <c r="H1074" s="7"/>
      <c r="I1074" s="7"/>
      <c r="J1074" s="16"/>
    </row>
    <row r="1075" spans="4:10" s="1" customFormat="1">
      <c r="D1075" s="11"/>
      <c r="E1075" s="7"/>
      <c r="F1075" s="7"/>
      <c r="G1075" s="7"/>
      <c r="H1075" s="7"/>
      <c r="I1075" s="7"/>
      <c r="J1075" s="16"/>
    </row>
    <row r="1076" spans="4:10" s="1" customFormat="1">
      <c r="D1076" s="11"/>
      <c r="E1076" s="7"/>
      <c r="F1076" s="7"/>
      <c r="G1076" s="7"/>
      <c r="H1076" s="7"/>
      <c r="I1076" s="7"/>
      <c r="J1076" s="16"/>
    </row>
    <row r="1077" spans="4:10" s="1" customFormat="1">
      <c r="D1077" s="11"/>
      <c r="E1077" s="7"/>
      <c r="F1077" s="7"/>
      <c r="G1077" s="7"/>
      <c r="H1077" s="7"/>
      <c r="I1077" s="7"/>
      <c r="J1077" s="16"/>
    </row>
    <row r="1078" spans="4:10" s="1" customFormat="1">
      <c r="D1078" s="11"/>
      <c r="E1078" s="7"/>
      <c r="F1078" s="7"/>
      <c r="G1078" s="7"/>
      <c r="H1078" s="7"/>
      <c r="I1078" s="7"/>
      <c r="J1078" s="16"/>
    </row>
    <row r="1079" spans="4:10" s="1" customFormat="1">
      <c r="D1079" s="11"/>
      <c r="E1079" s="7"/>
      <c r="F1079" s="7"/>
      <c r="G1079" s="7"/>
      <c r="H1079" s="7"/>
      <c r="I1079" s="7"/>
      <c r="J1079" s="16"/>
    </row>
    <row r="1080" spans="4:10" s="1" customFormat="1">
      <c r="D1080" s="11"/>
      <c r="E1080" s="7"/>
      <c r="F1080" s="7"/>
      <c r="G1080" s="7"/>
      <c r="H1080" s="7"/>
      <c r="I1080" s="7"/>
      <c r="J1080" s="16"/>
    </row>
    <row r="1081" spans="4:10" s="1" customFormat="1">
      <c r="D1081" s="11"/>
      <c r="E1081" s="7"/>
      <c r="F1081" s="7"/>
      <c r="G1081" s="7"/>
      <c r="H1081" s="7"/>
      <c r="I1081" s="7"/>
      <c r="J1081" s="16"/>
    </row>
    <row r="1082" spans="4:10" s="1" customFormat="1">
      <c r="D1082" s="11"/>
      <c r="E1082" s="7"/>
      <c r="F1082" s="7"/>
      <c r="G1082" s="7"/>
      <c r="H1082" s="7"/>
      <c r="I1082" s="7"/>
      <c r="J1082" s="16"/>
    </row>
    <row r="1083" spans="4:10" s="1" customFormat="1">
      <c r="D1083" s="11"/>
      <c r="E1083" s="7"/>
      <c r="F1083" s="7"/>
      <c r="G1083" s="7"/>
      <c r="H1083" s="7"/>
      <c r="I1083" s="7"/>
      <c r="J1083" s="16"/>
    </row>
    <row r="1084" spans="4:10" s="1" customFormat="1">
      <c r="D1084" s="11"/>
      <c r="E1084" s="7"/>
      <c r="F1084" s="7"/>
      <c r="G1084" s="7"/>
      <c r="H1084" s="7"/>
      <c r="I1084" s="7"/>
      <c r="J1084" s="16"/>
    </row>
    <row r="1085" spans="4:10" s="1" customFormat="1">
      <c r="D1085" s="11"/>
      <c r="E1085" s="7"/>
      <c r="F1085" s="7"/>
      <c r="G1085" s="7"/>
      <c r="H1085" s="7"/>
      <c r="I1085" s="7"/>
      <c r="J1085" s="16"/>
    </row>
    <row r="1086" spans="4:10" s="1" customFormat="1">
      <c r="D1086" s="11"/>
      <c r="E1086" s="7"/>
      <c r="F1086" s="7"/>
      <c r="G1086" s="7"/>
      <c r="H1086" s="7"/>
      <c r="I1086" s="7"/>
      <c r="J1086" s="16"/>
    </row>
    <row r="1087" spans="4:10" s="1" customFormat="1">
      <c r="D1087" s="11"/>
      <c r="E1087" s="7"/>
      <c r="F1087" s="7"/>
      <c r="G1087" s="7"/>
      <c r="H1087" s="7"/>
      <c r="I1087" s="7"/>
      <c r="J1087" s="16"/>
    </row>
    <row r="1088" spans="4:10" s="1" customFormat="1">
      <c r="D1088" s="11"/>
      <c r="E1088" s="7"/>
      <c r="F1088" s="7"/>
      <c r="G1088" s="7"/>
      <c r="H1088" s="7"/>
      <c r="I1088" s="7"/>
      <c r="J1088" s="16"/>
    </row>
    <row r="1089" spans="4:10" s="1" customFormat="1">
      <c r="D1089" s="11"/>
      <c r="E1089" s="7"/>
      <c r="F1089" s="7"/>
      <c r="G1089" s="7"/>
      <c r="H1089" s="7"/>
      <c r="I1089" s="7"/>
      <c r="J1089" s="16"/>
    </row>
    <row r="1090" spans="4:10" s="1" customFormat="1">
      <c r="D1090" s="11"/>
      <c r="E1090" s="7"/>
      <c r="F1090" s="7"/>
      <c r="G1090" s="7"/>
      <c r="H1090" s="7"/>
      <c r="I1090" s="7"/>
      <c r="J1090" s="16"/>
    </row>
    <row r="1091" spans="4:10" s="1" customFormat="1">
      <c r="D1091" s="11"/>
      <c r="E1091" s="7"/>
      <c r="F1091" s="7"/>
      <c r="G1091" s="7"/>
      <c r="H1091" s="7"/>
      <c r="I1091" s="7"/>
      <c r="J1091" s="16"/>
    </row>
    <row r="1092" spans="4:10" s="1" customFormat="1">
      <c r="D1092" s="11"/>
      <c r="E1092" s="7"/>
      <c r="F1092" s="7"/>
      <c r="G1092" s="7"/>
      <c r="H1092" s="7"/>
      <c r="I1092" s="7"/>
      <c r="J1092" s="16"/>
    </row>
    <row r="1093" spans="4:10" s="1" customFormat="1">
      <c r="D1093" s="11"/>
      <c r="E1093" s="7"/>
      <c r="F1093" s="7"/>
      <c r="G1093" s="7"/>
      <c r="H1093" s="7"/>
      <c r="I1093" s="7"/>
      <c r="J1093" s="16"/>
    </row>
    <row r="1094" spans="4:10" s="1" customFormat="1">
      <c r="D1094" s="11"/>
      <c r="E1094" s="7"/>
      <c r="F1094" s="7"/>
      <c r="G1094" s="7"/>
      <c r="H1094" s="7"/>
      <c r="I1094" s="7"/>
      <c r="J1094" s="16"/>
    </row>
    <row r="1095" spans="4:10" s="1" customFormat="1">
      <c r="D1095" s="11"/>
      <c r="E1095" s="7"/>
      <c r="F1095" s="7"/>
      <c r="G1095" s="7"/>
      <c r="H1095" s="7"/>
      <c r="I1095" s="7"/>
      <c r="J1095" s="16"/>
    </row>
    <row r="1096" spans="4:10" s="1" customFormat="1">
      <c r="D1096" s="11"/>
      <c r="E1096" s="7"/>
      <c r="F1096" s="7"/>
      <c r="G1096" s="7"/>
      <c r="H1096" s="7"/>
      <c r="I1096" s="7"/>
      <c r="J1096" s="16"/>
    </row>
    <row r="1097" spans="4:10" s="1" customFormat="1">
      <c r="D1097" s="11"/>
      <c r="E1097" s="7"/>
      <c r="F1097" s="7"/>
      <c r="G1097" s="7"/>
      <c r="H1097" s="7"/>
      <c r="I1097" s="7"/>
      <c r="J1097" s="16"/>
    </row>
    <row r="1098" spans="4:10" s="1" customFormat="1">
      <c r="D1098" s="11"/>
      <c r="E1098" s="7"/>
      <c r="F1098" s="7"/>
      <c r="G1098" s="7"/>
      <c r="H1098" s="7"/>
      <c r="I1098" s="7"/>
      <c r="J1098" s="16"/>
    </row>
    <row r="1099" spans="4:10" s="1" customFormat="1">
      <c r="D1099" s="11"/>
      <c r="E1099" s="7"/>
      <c r="F1099" s="7"/>
      <c r="G1099" s="7"/>
      <c r="H1099" s="7"/>
      <c r="I1099" s="7"/>
      <c r="J1099" s="16"/>
    </row>
    <row r="1100" spans="4:10" s="1" customFormat="1">
      <c r="D1100" s="11"/>
      <c r="E1100" s="7"/>
      <c r="F1100" s="7"/>
      <c r="G1100" s="7"/>
      <c r="H1100" s="7"/>
      <c r="I1100" s="7"/>
      <c r="J1100" s="16"/>
    </row>
    <row r="1101" spans="4:10" s="1" customFormat="1">
      <c r="D1101" s="11"/>
      <c r="E1101" s="7"/>
      <c r="F1101" s="7"/>
      <c r="G1101" s="7"/>
      <c r="H1101" s="7"/>
      <c r="I1101" s="7"/>
      <c r="J1101" s="16"/>
    </row>
    <row r="1102" spans="4:10" s="1" customFormat="1">
      <c r="D1102" s="11"/>
      <c r="E1102" s="7"/>
      <c r="F1102" s="7"/>
      <c r="G1102" s="7"/>
      <c r="H1102" s="7"/>
      <c r="I1102" s="7"/>
      <c r="J1102" s="16"/>
    </row>
    <row r="1103" spans="4:10" s="1" customFormat="1">
      <c r="D1103" s="11"/>
      <c r="E1103" s="7"/>
      <c r="F1103" s="7"/>
      <c r="G1103" s="7"/>
      <c r="H1103" s="7"/>
      <c r="I1103" s="7"/>
      <c r="J1103" s="16"/>
    </row>
    <row r="1104" spans="4:10" s="1" customFormat="1">
      <c r="D1104" s="11"/>
      <c r="E1104" s="7"/>
      <c r="F1104" s="7"/>
      <c r="G1104" s="7"/>
      <c r="H1104" s="7"/>
      <c r="I1104" s="7"/>
      <c r="J1104" s="16"/>
    </row>
    <row r="1105" spans="4:10" s="1" customFormat="1">
      <c r="D1105" s="11"/>
      <c r="E1105" s="7"/>
      <c r="F1105" s="7"/>
      <c r="G1105" s="7"/>
      <c r="H1105" s="7"/>
      <c r="I1105" s="7"/>
      <c r="J1105" s="16"/>
    </row>
    <row r="1106" spans="4:10" s="1" customFormat="1">
      <c r="D1106" s="11"/>
      <c r="E1106" s="7"/>
      <c r="F1106" s="7"/>
      <c r="G1106" s="7"/>
      <c r="H1106" s="7"/>
      <c r="I1106" s="7"/>
      <c r="J1106" s="16"/>
    </row>
    <row r="1107" spans="4:10" s="1" customFormat="1">
      <c r="D1107" s="11"/>
      <c r="E1107" s="7"/>
      <c r="F1107" s="7"/>
      <c r="G1107" s="7"/>
      <c r="H1107" s="7"/>
      <c r="I1107" s="7"/>
      <c r="J1107" s="16"/>
    </row>
    <row r="1108" spans="4:10" s="1" customFormat="1">
      <c r="D1108" s="11"/>
      <c r="E1108" s="7"/>
      <c r="F1108" s="7"/>
      <c r="G1108" s="7"/>
      <c r="H1108" s="7"/>
      <c r="I1108" s="7"/>
      <c r="J1108" s="16"/>
    </row>
    <row r="1109" spans="4:10" s="1" customFormat="1">
      <c r="D1109" s="11"/>
      <c r="E1109" s="7"/>
      <c r="F1109" s="7"/>
      <c r="G1109" s="7"/>
      <c r="H1109" s="7"/>
      <c r="I1109" s="7"/>
      <c r="J1109" s="16"/>
    </row>
    <row r="1110" spans="4:10" s="1" customFormat="1">
      <c r="D1110" s="11"/>
      <c r="E1110" s="7"/>
      <c r="F1110" s="7"/>
      <c r="G1110" s="7"/>
      <c r="H1110" s="7"/>
      <c r="I1110" s="7"/>
      <c r="J1110" s="16"/>
    </row>
    <row r="1111" spans="4:10" s="1" customFormat="1">
      <c r="D1111" s="11"/>
      <c r="E1111" s="7"/>
      <c r="F1111" s="7"/>
      <c r="G1111" s="7"/>
      <c r="H1111" s="7"/>
      <c r="I1111" s="7"/>
      <c r="J1111" s="16"/>
    </row>
    <row r="1112" spans="4:10" s="1" customFormat="1">
      <c r="D1112" s="11"/>
      <c r="E1112" s="7"/>
      <c r="F1112" s="7"/>
      <c r="G1112" s="7"/>
      <c r="H1112" s="7"/>
      <c r="I1112" s="7"/>
      <c r="J1112" s="16"/>
    </row>
    <row r="1113" spans="4:10" s="1" customFormat="1">
      <c r="D1113" s="11"/>
      <c r="E1113" s="7"/>
      <c r="F1113" s="7"/>
      <c r="G1113" s="7"/>
      <c r="H1113" s="7"/>
      <c r="I1113" s="7"/>
      <c r="J1113" s="16"/>
    </row>
    <row r="1114" spans="4:10" s="1" customFormat="1">
      <c r="D1114" s="11"/>
      <c r="E1114" s="7"/>
      <c r="F1114" s="7"/>
      <c r="G1114" s="7"/>
      <c r="H1114" s="7"/>
      <c r="I1114" s="7"/>
      <c r="J1114" s="16"/>
    </row>
    <row r="1115" spans="4:10" s="1" customFormat="1">
      <c r="D1115" s="11"/>
      <c r="E1115" s="7"/>
      <c r="F1115" s="7"/>
      <c r="G1115" s="7"/>
      <c r="H1115" s="7"/>
      <c r="I1115" s="7"/>
      <c r="J1115" s="16"/>
    </row>
    <row r="1116" spans="4:10" s="1" customFormat="1">
      <c r="D1116" s="11"/>
      <c r="E1116" s="7"/>
      <c r="F1116" s="7"/>
      <c r="G1116" s="7"/>
      <c r="H1116" s="7"/>
      <c r="I1116" s="7"/>
      <c r="J1116" s="16"/>
    </row>
    <row r="1117" spans="4:10" s="1" customFormat="1">
      <c r="D1117" s="11"/>
      <c r="E1117" s="7"/>
      <c r="F1117" s="7"/>
      <c r="G1117" s="7"/>
      <c r="H1117" s="7"/>
      <c r="I1117" s="7"/>
      <c r="J1117" s="16"/>
    </row>
    <row r="1118" spans="4:10" s="1" customFormat="1">
      <c r="D1118" s="11"/>
      <c r="E1118" s="7"/>
      <c r="F1118" s="7"/>
      <c r="G1118" s="7"/>
      <c r="H1118" s="7"/>
      <c r="I1118" s="7"/>
      <c r="J1118" s="16"/>
    </row>
    <row r="1119" spans="4:10" s="1" customFormat="1">
      <c r="D1119" s="11"/>
      <c r="E1119" s="7"/>
      <c r="F1119" s="7"/>
      <c r="G1119" s="7"/>
      <c r="H1119" s="7"/>
      <c r="I1119" s="7"/>
      <c r="J1119" s="16"/>
    </row>
    <row r="1120" spans="4:10" s="1" customFormat="1">
      <c r="D1120" s="11"/>
      <c r="E1120" s="7"/>
      <c r="F1120" s="7"/>
      <c r="G1120" s="7"/>
      <c r="H1120" s="7"/>
      <c r="I1120" s="7"/>
      <c r="J1120" s="16"/>
    </row>
    <row r="1121" spans="4:10" s="1" customFormat="1">
      <c r="D1121" s="11"/>
      <c r="E1121" s="7"/>
      <c r="F1121" s="7"/>
      <c r="G1121" s="7"/>
      <c r="H1121" s="7"/>
      <c r="I1121" s="7"/>
      <c r="J1121" s="16"/>
    </row>
    <row r="1122" spans="4:10" s="1" customFormat="1">
      <c r="D1122" s="11"/>
      <c r="E1122" s="7"/>
      <c r="F1122" s="7"/>
      <c r="G1122" s="7"/>
      <c r="H1122" s="7"/>
      <c r="I1122" s="7"/>
      <c r="J1122" s="16"/>
    </row>
    <row r="1123" spans="4:10" s="1" customFormat="1">
      <c r="D1123" s="11"/>
      <c r="E1123" s="7"/>
      <c r="F1123" s="7"/>
      <c r="G1123" s="7"/>
      <c r="H1123" s="7"/>
      <c r="I1123" s="7"/>
      <c r="J1123" s="16"/>
    </row>
    <row r="1124" spans="4:10" s="1" customFormat="1">
      <c r="D1124" s="11"/>
      <c r="E1124" s="7"/>
      <c r="F1124" s="7"/>
      <c r="G1124" s="7"/>
      <c r="H1124" s="7"/>
      <c r="I1124" s="7"/>
      <c r="J1124" s="16"/>
    </row>
    <row r="1125" spans="4:10" s="1" customFormat="1">
      <c r="D1125" s="11"/>
      <c r="E1125" s="7"/>
      <c r="F1125" s="7"/>
      <c r="G1125" s="7"/>
      <c r="H1125" s="7"/>
      <c r="I1125" s="7"/>
      <c r="J1125" s="16"/>
    </row>
    <row r="1126" spans="4:10" s="1" customFormat="1">
      <c r="D1126" s="11"/>
      <c r="E1126" s="7"/>
      <c r="F1126" s="7"/>
      <c r="G1126" s="7"/>
      <c r="H1126" s="7"/>
      <c r="I1126" s="7"/>
      <c r="J1126" s="16"/>
    </row>
    <row r="1127" spans="4:10" s="1" customFormat="1">
      <c r="D1127" s="11"/>
      <c r="E1127" s="7"/>
      <c r="F1127" s="7"/>
      <c r="G1127" s="7"/>
      <c r="H1127" s="7"/>
      <c r="I1127" s="7"/>
      <c r="J1127" s="16"/>
    </row>
    <row r="1128" spans="4:10" s="1" customFormat="1">
      <c r="D1128" s="11"/>
      <c r="E1128" s="7"/>
      <c r="F1128" s="7"/>
      <c r="G1128" s="7"/>
      <c r="H1128" s="7"/>
      <c r="I1128" s="7"/>
      <c r="J1128" s="16"/>
    </row>
    <row r="1129" spans="4:10" s="1" customFormat="1">
      <c r="D1129" s="11"/>
      <c r="E1129" s="7"/>
      <c r="F1129" s="7"/>
      <c r="G1129" s="7"/>
      <c r="H1129" s="7"/>
      <c r="I1129" s="7"/>
      <c r="J1129" s="16"/>
    </row>
    <row r="1130" spans="4:10" s="1" customFormat="1">
      <c r="D1130" s="11"/>
      <c r="E1130" s="7"/>
      <c r="F1130" s="7"/>
      <c r="G1130" s="7"/>
      <c r="H1130" s="7"/>
      <c r="I1130" s="7"/>
      <c r="J1130" s="16"/>
    </row>
    <row r="1131" spans="4:10" s="1" customFormat="1">
      <c r="D1131" s="11"/>
      <c r="E1131" s="7"/>
      <c r="F1131" s="7"/>
      <c r="G1131" s="7"/>
      <c r="H1131" s="7"/>
      <c r="I1131" s="7"/>
      <c r="J1131" s="16"/>
    </row>
    <row r="1132" spans="4:10" s="1" customFormat="1">
      <c r="D1132" s="11"/>
      <c r="E1132" s="7"/>
      <c r="F1132" s="7"/>
      <c r="G1132" s="7"/>
      <c r="H1132" s="7"/>
      <c r="I1132" s="7"/>
      <c r="J1132" s="16"/>
    </row>
    <row r="1133" spans="4:10" s="1" customFormat="1">
      <c r="D1133" s="11"/>
      <c r="E1133" s="7"/>
      <c r="F1133" s="7"/>
      <c r="G1133" s="7"/>
      <c r="H1133" s="7"/>
      <c r="I1133" s="7"/>
      <c r="J1133" s="16"/>
    </row>
    <row r="1134" spans="4:10" s="1" customFormat="1">
      <c r="D1134" s="11"/>
      <c r="E1134" s="7"/>
      <c r="F1134" s="7"/>
      <c r="G1134" s="7"/>
      <c r="H1134" s="7"/>
      <c r="I1134" s="7"/>
      <c r="J1134" s="16"/>
    </row>
    <row r="1135" spans="4:10" s="1" customFormat="1">
      <c r="D1135" s="11"/>
      <c r="E1135" s="7"/>
      <c r="F1135" s="7"/>
      <c r="G1135" s="7"/>
      <c r="H1135" s="7"/>
      <c r="I1135" s="7"/>
      <c r="J1135" s="16"/>
    </row>
    <row r="1136" spans="4:10" s="1" customFormat="1">
      <c r="D1136" s="11"/>
      <c r="E1136" s="7"/>
      <c r="F1136" s="7"/>
      <c r="G1136" s="7"/>
      <c r="H1136" s="7"/>
      <c r="I1136" s="7"/>
      <c r="J1136" s="16"/>
    </row>
    <row r="1137" spans="4:10" s="1" customFormat="1">
      <c r="D1137" s="11"/>
      <c r="E1137" s="7"/>
      <c r="F1137" s="7"/>
      <c r="G1137" s="7"/>
      <c r="H1137" s="7"/>
      <c r="I1137" s="7"/>
      <c r="J1137" s="16"/>
    </row>
    <row r="1138" spans="4:10" s="1" customFormat="1">
      <c r="D1138" s="11"/>
      <c r="E1138" s="7"/>
      <c r="F1138" s="7"/>
      <c r="G1138" s="7"/>
      <c r="H1138" s="7"/>
      <c r="I1138" s="7"/>
      <c r="J1138" s="16"/>
    </row>
    <row r="1139" spans="4:10" s="1" customFormat="1">
      <c r="D1139" s="11"/>
      <c r="E1139" s="7"/>
      <c r="F1139" s="7"/>
      <c r="G1139" s="7"/>
      <c r="H1139" s="7"/>
      <c r="I1139" s="7"/>
      <c r="J1139" s="16"/>
    </row>
    <row r="1140" spans="4:10" s="1" customFormat="1">
      <c r="D1140" s="11"/>
      <c r="E1140" s="7"/>
      <c r="F1140" s="7"/>
      <c r="G1140" s="7"/>
      <c r="H1140" s="7"/>
      <c r="I1140" s="7"/>
      <c r="J1140" s="16"/>
    </row>
    <row r="1141" spans="4:10" s="1" customFormat="1">
      <c r="D1141" s="11"/>
      <c r="E1141" s="7"/>
      <c r="F1141" s="7"/>
      <c r="G1141" s="7"/>
      <c r="H1141" s="7"/>
      <c r="I1141" s="7"/>
      <c r="J1141" s="16"/>
    </row>
    <row r="1142" spans="4:10" s="1" customFormat="1">
      <c r="D1142" s="11"/>
      <c r="E1142" s="7"/>
      <c r="F1142" s="7"/>
      <c r="G1142" s="7"/>
      <c r="H1142" s="7"/>
      <c r="I1142" s="7"/>
      <c r="J1142" s="16"/>
    </row>
    <row r="1143" spans="4:10" s="1" customFormat="1">
      <c r="D1143" s="11"/>
      <c r="E1143" s="7"/>
      <c r="F1143" s="7"/>
      <c r="G1143" s="7"/>
      <c r="H1143" s="7"/>
      <c r="I1143" s="7"/>
      <c r="J1143" s="16"/>
    </row>
    <row r="1144" spans="4:10" s="1" customFormat="1">
      <c r="D1144" s="11"/>
      <c r="E1144" s="7"/>
      <c r="F1144" s="7"/>
      <c r="G1144" s="7"/>
      <c r="H1144" s="7"/>
      <c r="I1144" s="7"/>
      <c r="J1144" s="16"/>
    </row>
    <row r="1145" spans="4:10" s="1" customFormat="1">
      <c r="D1145" s="11"/>
      <c r="E1145" s="7"/>
      <c r="F1145" s="7"/>
      <c r="G1145" s="7"/>
      <c r="H1145" s="7"/>
      <c r="I1145" s="7"/>
      <c r="J1145" s="16"/>
    </row>
    <row r="1146" spans="4:10" s="1" customFormat="1">
      <c r="D1146" s="11"/>
      <c r="E1146" s="7"/>
      <c r="F1146" s="7"/>
      <c r="G1146" s="7"/>
      <c r="H1146" s="7"/>
      <c r="I1146" s="7"/>
      <c r="J1146" s="16"/>
    </row>
    <row r="1147" spans="4:10" s="1" customFormat="1">
      <c r="D1147" s="11"/>
      <c r="E1147" s="7"/>
      <c r="F1147" s="7"/>
      <c r="G1147" s="7"/>
      <c r="H1147" s="7"/>
      <c r="I1147" s="7"/>
      <c r="J1147" s="16"/>
    </row>
    <row r="1148" spans="4:10" s="1" customFormat="1">
      <c r="D1148" s="11"/>
      <c r="E1148" s="7"/>
      <c r="F1148" s="7"/>
      <c r="G1148" s="7"/>
      <c r="H1148" s="7"/>
      <c r="I1148" s="7"/>
      <c r="J1148" s="16"/>
    </row>
    <row r="1149" spans="4:10" s="1" customFormat="1">
      <c r="D1149" s="11"/>
      <c r="E1149" s="7"/>
      <c r="F1149" s="7"/>
      <c r="G1149" s="7"/>
      <c r="H1149" s="7"/>
      <c r="I1149" s="7"/>
      <c r="J1149" s="16"/>
    </row>
    <row r="1150" spans="4:10" s="1" customFormat="1">
      <c r="D1150" s="11"/>
      <c r="E1150" s="7"/>
      <c r="F1150" s="7"/>
      <c r="G1150" s="7"/>
      <c r="H1150" s="7"/>
      <c r="I1150" s="7"/>
      <c r="J1150" s="16"/>
    </row>
    <row r="1151" spans="4:10" s="1" customFormat="1">
      <c r="D1151" s="11"/>
      <c r="E1151" s="7"/>
      <c r="F1151" s="7"/>
      <c r="G1151" s="7"/>
      <c r="H1151" s="7"/>
      <c r="I1151" s="7"/>
      <c r="J1151" s="16"/>
    </row>
    <row r="1152" spans="4:10" s="1" customFormat="1">
      <c r="D1152" s="11"/>
      <c r="E1152" s="7"/>
      <c r="F1152" s="7"/>
      <c r="G1152" s="7"/>
      <c r="H1152" s="7"/>
      <c r="I1152" s="7"/>
      <c r="J1152" s="16"/>
    </row>
    <row r="1153" spans="4:10" s="1" customFormat="1">
      <c r="D1153" s="11"/>
      <c r="E1153" s="7"/>
      <c r="F1153" s="7"/>
      <c r="G1153" s="7"/>
      <c r="H1153" s="7"/>
      <c r="I1153" s="7"/>
      <c r="J1153" s="16"/>
    </row>
    <row r="1154" spans="4:10" s="1" customFormat="1">
      <c r="D1154" s="11"/>
      <c r="E1154" s="7"/>
      <c r="F1154" s="7"/>
      <c r="G1154" s="7"/>
      <c r="H1154" s="7"/>
      <c r="I1154" s="7"/>
      <c r="J1154" s="16"/>
    </row>
    <row r="1155" spans="4:10" s="1" customFormat="1">
      <c r="D1155" s="11"/>
      <c r="E1155" s="7"/>
      <c r="F1155" s="7"/>
      <c r="G1155" s="7"/>
      <c r="H1155" s="7"/>
      <c r="I1155" s="7"/>
      <c r="J1155" s="16"/>
    </row>
    <row r="1156" spans="4:10" s="1" customFormat="1">
      <c r="D1156" s="11"/>
      <c r="E1156" s="7"/>
      <c r="F1156" s="7"/>
      <c r="G1156" s="7"/>
      <c r="H1156" s="7"/>
      <c r="I1156" s="7"/>
      <c r="J1156" s="16"/>
    </row>
    <row r="1157" spans="4:10" s="1" customFormat="1">
      <c r="D1157" s="11"/>
      <c r="E1157" s="7"/>
      <c r="F1157" s="7"/>
      <c r="G1157" s="7"/>
      <c r="H1157" s="7"/>
      <c r="I1157" s="7"/>
      <c r="J1157" s="16"/>
    </row>
    <row r="1158" spans="4:10" s="1" customFormat="1">
      <c r="D1158" s="11"/>
      <c r="E1158" s="7"/>
      <c r="F1158" s="7"/>
      <c r="G1158" s="7"/>
      <c r="H1158" s="7"/>
      <c r="I1158" s="7"/>
      <c r="J1158" s="16"/>
    </row>
    <row r="1159" spans="4:10" s="1" customFormat="1">
      <c r="D1159" s="11"/>
      <c r="E1159" s="7"/>
      <c r="F1159" s="7"/>
      <c r="G1159" s="7"/>
      <c r="H1159" s="7"/>
      <c r="I1159" s="7"/>
      <c r="J1159" s="16"/>
    </row>
    <row r="1160" spans="4:10" s="1" customFormat="1">
      <c r="D1160" s="11"/>
      <c r="E1160" s="7"/>
      <c r="F1160" s="7"/>
      <c r="G1160" s="7"/>
      <c r="H1160" s="7"/>
      <c r="I1160" s="7"/>
      <c r="J1160" s="16"/>
    </row>
    <row r="1161" spans="4:10" s="1" customFormat="1">
      <c r="D1161" s="11"/>
      <c r="E1161" s="7"/>
      <c r="F1161" s="7"/>
      <c r="G1161" s="7"/>
      <c r="H1161" s="7"/>
      <c r="I1161" s="7"/>
      <c r="J1161" s="16"/>
    </row>
    <row r="1162" spans="4:10" s="1" customFormat="1">
      <c r="D1162" s="11"/>
      <c r="E1162" s="7"/>
      <c r="F1162" s="7"/>
      <c r="G1162" s="7"/>
      <c r="H1162" s="7"/>
      <c r="I1162" s="7"/>
      <c r="J1162" s="16"/>
    </row>
    <row r="1163" spans="4:10" s="1" customFormat="1">
      <c r="D1163" s="11"/>
      <c r="E1163" s="7"/>
      <c r="F1163" s="7"/>
      <c r="G1163" s="7"/>
      <c r="H1163" s="7"/>
      <c r="I1163" s="7"/>
      <c r="J1163" s="16"/>
    </row>
    <row r="1164" spans="4:10" s="1" customFormat="1">
      <c r="D1164" s="11"/>
      <c r="E1164" s="7"/>
      <c r="F1164" s="7"/>
      <c r="G1164" s="7"/>
      <c r="H1164" s="7"/>
      <c r="I1164" s="7"/>
      <c r="J1164" s="16"/>
    </row>
    <row r="1165" spans="4:10" s="1" customFormat="1">
      <c r="D1165" s="11"/>
      <c r="E1165" s="7"/>
      <c r="F1165" s="7"/>
      <c r="G1165" s="7"/>
      <c r="H1165" s="7"/>
      <c r="I1165" s="7"/>
      <c r="J1165" s="16"/>
    </row>
    <row r="1166" spans="4:10" s="1" customFormat="1">
      <c r="D1166" s="11"/>
      <c r="E1166" s="7"/>
      <c r="F1166" s="7"/>
      <c r="G1166" s="7"/>
      <c r="H1166" s="7"/>
      <c r="I1166" s="7"/>
      <c r="J1166" s="16"/>
    </row>
    <row r="1167" spans="4:10" s="1" customFormat="1">
      <c r="D1167" s="11"/>
      <c r="E1167" s="7"/>
      <c r="F1167" s="7"/>
      <c r="G1167" s="7"/>
      <c r="H1167" s="7"/>
      <c r="I1167" s="7"/>
      <c r="J1167" s="16"/>
    </row>
    <row r="1168" spans="4:10" s="1" customFormat="1">
      <c r="D1168" s="11"/>
      <c r="E1168" s="7"/>
      <c r="F1168" s="7"/>
      <c r="G1168" s="7"/>
      <c r="H1168" s="7"/>
      <c r="I1168" s="7"/>
      <c r="J1168" s="16"/>
    </row>
    <row r="1169" spans="4:10" s="1" customFormat="1">
      <c r="D1169" s="11"/>
      <c r="E1169" s="7"/>
      <c r="F1169" s="7"/>
      <c r="G1169" s="7"/>
      <c r="H1169" s="7"/>
      <c r="I1169" s="7"/>
      <c r="J1169" s="16"/>
    </row>
    <row r="1170" spans="4:10" s="1" customFormat="1">
      <c r="D1170" s="11"/>
      <c r="E1170" s="7"/>
      <c r="F1170" s="7"/>
      <c r="G1170" s="7"/>
      <c r="H1170" s="7"/>
      <c r="I1170" s="7"/>
      <c r="J1170" s="16"/>
    </row>
    <row r="1171" spans="4:10" s="1" customFormat="1">
      <c r="D1171" s="11"/>
      <c r="E1171" s="7"/>
      <c r="F1171" s="7"/>
      <c r="G1171" s="7"/>
      <c r="H1171" s="7"/>
      <c r="I1171" s="7"/>
      <c r="J1171" s="16"/>
    </row>
    <row r="1172" spans="4:10" s="1" customFormat="1">
      <c r="D1172" s="11"/>
      <c r="E1172" s="7"/>
      <c r="F1172" s="7"/>
      <c r="G1172" s="7"/>
      <c r="H1172" s="7"/>
      <c r="I1172" s="7"/>
      <c r="J1172" s="16"/>
    </row>
    <row r="1173" spans="4:10" s="1" customFormat="1">
      <c r="D1173" s="11"/>
      <c r="E1173" s="7"/>
      <c r="F1173" s="7"/>
      <c r="G1173" s="7"/>
      <c r="H1173" s="7"/>
      <c r="I1173" s="7"/>
      <c r="J1173" s="16"/>
    </row>
    <row r="1174" spans="4:10" s="1" customFormat="1">
      <c r="D1174" s="11"/>
      <c r="E1174" s="7"/>
      <c r="F1174" s="7"/>
      <c r="G1174" s="7"/>
      <c r="H1174" s="7"/>
      <c r="I1174" s="7"/>
      <c r="J1174" s="16"/>
    </row>
    <row r="1175" spans="4:10" s="1" customFormat="1">
      <c r="D1175" s="11"/>
      <c r="E1175" s="7"/>
      <c r="F1175" s="7"/>
      <c r="G1175" s="7"/>
      <c r="H1175" s="7"/>
      <c r="I1175" s="7"/>
      <c r="J1175" s="16"/>
    </row>
    <row r="1176" spans="4:10" s="1" customFormat="1">
      <c r="D1176" s="11"/>
      <c r="E1176" s="7"/>
      <c r="F1176" s="7"/>
      <c r="G1176" s="7"/>
      <c r="H1176" s="7"/>
      <c r="I1176" s="7"/>
      <c r="J1176" s="16"/>
    </row>
    <row r="1177" spans="4:10" s="1" customFormat="1">
      <c r="D1177" s="11"/>
      <c r="E1177" s="7"/>
      <c r="F1177" s="7"/>
      <c r="G1177" s="7"/>
      <c r="H1177" s="7"/>
      <c r="I1177" s="7"/>
      <c r="J1177" s="16"/>
    </row>
    <row r="1178" spans="4:10" s="1" customFormat="1">
      <c r="D1178" s="11"/>
      <c r="E1178" s="7"/>
      <c r="F1178" s="7"/>
      <c r="G1178" s="7"/>
      <c r="H1178" s="7"/>
      <c r="I1178" s="7"/>
      <c r="J1178" s="16"/>
    </row>
    <row r="1179" spans="4:10" s="1" customFormat="1">
      <c r="D1179" s="11"/>
      <c r="E1179" s="7"/>
      <c r="F1179" s="7"/>
      <c r="G1179" s="7"/>
      <c r="H1179" s="7"/>
      <c r="I1179" s="7"/>
      <c r="J1179" s="16"/>
    </row>
    <row r="1180" spans="4:10" s="1" customFormat="1">
      <c r="D1180" s="11"/>
      <c r="E1180" s="7"/>
      <c r="F1180" s="7"/>
      <c r="G1180" s="7"/>
      <c r="H1180" s="7"/>
      <c r="I1180" s="7"/>
      <c r="J1180" s="16"/>
    </row>
    <row r="1181" spans="4:10" s="1" customFormat="1">
      <c r="D1181" s="11"/>
      <c r="E1181" s="7"/>
      <c r="F1181" s="7"/>
      <c r="G1181" s="7"/>
      <c r="H1181" s="7"/>
      <c r="I1181" s="7"/>
      <c r="J1181" s="16"/>
    </row>
    <row r="1182" spans="4:10" s="1" customFormat="1">
      <c r="D1182" s="11"/>
      <c r="E1182" s="7"/>
      <c r="F1182" s="7"/>
      <c r="G1182" s="7"/>
      <c r="H1182" s="7"/>
      <c r="I1182" s="7"/>
      <c r="J1182" s="16"/>
    </row>
    <row r="1183" spans="4:10" s="1" customFormat="1">
      <c r="D1183" s="11"/>
      <c r="E1183" s="7"/>
      <c r="F1183" s="7"/>
      <c r="G1183" s="7"/>
      <c r="H1183" s="7"/>
      <c r="I1183" s="7"/>
      <c r="J1183" s="16"/>
    </row>
    <row r="1184" spans="4:10" s="1" customFormat="1">
      <c r="D1184" s="11"/>
      <c r="E1184" s="7"/>
      <c r="F1184" s="7"/>
      <c r="G1184" s="7"/>
      <c r="H1184" s="7"/>
      <c r="I1184" s="7"/>
      <c r="J1184" s="16"/>
    </row>
    <row r="1185" spans="4:10" s="1" customFormat="1">
      <c r="D1185" s="11"/>
      <c r="E1185" s="7"/>
      <c r="F1185" s="7"/>
      <c r="G1185" s="7"/>
      <c r="H1185" s="7"/>
      <c r="I1185" s="7"/>
      <c r="J1185" s="16"/>
    </row>
    <row r="1186" spans="4:10" s="1" customFormat="1">
      <c r="D1186" s="11"/>
      <c r="E1186" s="7"/>
      <c r="F1186" s="7"/>
      <c r="G1186" s="7"/>
      <c r="H1186" s="7"/>
      <c r="I1186" s="7"/>
      <c r="J1186" s="16"/>
    </row>
    <row r="1187" spans="4:10" s="1" customFormat="1">
      <c r="D1187" s="11"/>
      <c r="E1187" s="7"/>
      <c r="F1187" s="7"/>
      <c r="G1187" s="7"/>
      <c r="H1187" s="7"/>
      <c r="I1187" s="7"/>
      <c r="J1187" s="16"/>
    </row>
    <row r="1188" spans="4:10" s="1" customFormat="1">
      <c r="D1188" s="11"/>
      <c r="E1188" s="7"/>
      <c r="F1188" s="7"/>
      <c r="G1188" s="7"/>
      <c r="H1188" s="7"/>
      <c r="I1188" s="7"/>
      <c r="J1188" s="16"/>
    </row>
    <row r="1189" spans="4:10" s="1" customFormat="1">
      <c r="D1189" s="11"/>
      <c r="E1189" s="7"/>
      <c r="F1189" s="7"/>
      <c r="G1189" s="7"/>
      <c r="H1189" s="7"/>
      <c r="I1189" s="7"/>
      <c r="J1189" s="16"/>
    </row>
    <row r="1190" spans="4:10" s="1" customFormat="1">
      <c r="D1190" s="11"/>
      <c r="E1190" s="7"/>
      <c r="F1190" s="7"/>
      <c r="G1190" s="7"/>
      <c r="H1190" s="7"/>
      <c r="I1190" s="7"/>
      <c r="J1190" s="16"/>
    </row>
    <row r="1191" spans="4:10" s="1" customFormat="1">
      <c r="D1191" s="11"/>
      <c r="E1191" s="7"/>
      <c r="F1191" s="7"/>
      <c r="G1191" s="7"/>
      <c r="H1191" s="7"/>
      <c r="I1191" s="7"/>
      <c r="J1191" s="16"/>
    </row>
    <row r="1192" spans="4:10" s="1" customFormat="1">
      <c r="D1192" s="11"/>
      <c r="E1192" s="7"/>
      <c r="F1192" s="7"/>
      <c r="G1192" s="7"/>
      <c r="H1192" s="7"/>
      <c r="I1192" s="7"/>
      <c r="J1192" s="16"/>
    </row>
    <row r="1193" spans="4:10" s="1" customFormat="1">
      <c r="D1193" s="11"/>
      <c r="E1193" s="7"/>
      <c r="F1193" s="7"/>
      <c r="G1193" s="7"/>
      <c r="H1193" s="7"/>
      <c r="I1193" s="7"/>
      <c r="J1193" s="16"/>
    </row>
    <row r="1194" spans="4:10" s="1" customFormat="1">
      <c r="D1194" s="11"/>
      <c r="E1194" s="7"/>
      <c r="F1194" s="7"/>
      <c r="G1194" s="7"/>
      <c r="H1194" s="7"/>
      <c r="I1194" s="7"/>
      <c r="J1194" s="16"/>
    </row>
    <row r="1195" spans="4:10" s="1" customFormat="1">
      <c r="D1195" s="11"/>
      <c r="E1195" s="7"/>
      <c r="F1195" s="7"/>
      <c r="G1195" s="7"/>
      <c r="H1195" s="7"/>
      <c r="I1195" s="7"/>
      <c r="J1195" s="16"/>
    </row>
    <row r="1196" spans="4:10" s="1" customFormat="1">
      <c r="D1196" s="11"/>
      <c r="E1196" s="7"/>
      <c r="F1196" s="7"/>
      <c r="G1196" s="7"/>
      <c r="H1196" s="7"/>
      <c r="I1196" s="7"/>
      <c r="J1196" s="16"/>
    </row>
    <row r="1197" spans="4:10" s="1" customFormat="1">
      <c r="D1197" s="11"/>
      <c r="E1197" s="7"/>
      <c r="F1197" s="7"/>
      <c r="G1197" s="7"/>
      <c r="H1197" s="7"/>
      <c r="I1197" s="7"/>
      <c r="J1197" s="16"/>
    </row>
    <row r="1198" spans="4:10" s="1" customFormat="1">
      <c r="D1198" s="11"/>
      <c r="E1198" s="7"/>
      <c r="F1198" s="7"/>
      <c r="G1198" s="7"/>
      <c r="H1198" s="7"/>
      <c r="I1198" s="7"/>
      <c r="J1198" s="16"/>
    </row>
    <row r="1199" spans="4:10" s="1" customFormat="1">
      <c r="D1199" s="11"/>
      <c r="E1199" s="7"/>
      <c r="F1199" s="7"/>
      <c r="G1199" s="7"/>
      <c r="H1199" s="7"/>
      <c r="I1199" s="7"/>
      <c r="J1199" s="16"/>
    </row>
    <row r="1200" spans="4:10" s="1" customFormat="1">
      <c r="D1200" s="11"/>
      <c r="E1200" s="7"/>
      <c r="F1200" s="7"/>
      <c r="G1200" s="7"/>
      <c r="H1200" s="7"/>
      <c r="I1200" s="7"/>
      <c r="J1200" s="16"/>
    </row>
    <row r="1201" spans="4:10" s="1" customFormat="1">
      <c r="D1201" s="11"/>
      <c r="E1201" s="7"/>
      <c r="F1201" s="7"/>
      <c r="G1201" s="7"/>
      <c r="H1201" s="7"/>
      <c r="I1201" s="7"/>
      <c r="J1201" s="16"/>
    </row>
    <row r="1202" spans="4:10" s="1" customFormat="1">
      <c r="D1202" s="11"/>
      <c r="E1202" s="7"/>
      <c r="F1202" s="7"/>
      <c r="G1202" s="7"/>
      <c r="H1202" s="7"/>
      <c r="I1202" s="7"/>
      <c r="J1202" s="16"/>
    </row>
    <row r="1203" spans="4:10" s="1" customFormat="1">
      <c r="D1203" s="11"/>
      <c r="E1203" s="7"/>
      <c r="F1203" s="7"/>
      <c r="G1203" s="7"/>
      <c r="H1203" s="7"/>
      <c r="I1203" s="7"/>
      <c r="J1203" s="16"/>
    </row>
    <row r="1204" spans="4:10" s="1" customFormat="1">
      <c r="D1204" s="11"/>
      <c r="E1204" s="7"/>
      <c r="F1204" s="7"/>
      <c r="G1204" s="7"/>
      <c r="H1204" s="7"/>
      <c r="I1204" s="7"/>
      <c r="J1204" s="16"/>
    </row>
    <row r="1205" spans="4:10" s="1" customFormat="1">
      <c r="D1205" s="11"/>
      <c r="E1205" s="7"/>
      <c r="F1205" s="7"/>
      <c r="G1205" s="7"/>
      <c r="H1205" s="7"/>
      <c r="I1205" s="7"/>
      <c r="J1205" s="16"/>
    </row>
    <row r="1206" spans="4:10" s="1" customFormat="1">
      <c r="D1206" s="11"/>
      <c r="E1206" s="7"/>
      <c r="F1206" s="7"/>
      <c r="G1206" s="7"/>
      <c r="H1206" s="7"/>
      <c r="I1206" s="7"/>
      <c r="J1206" s="16"/>
    </row>
    <row r="1207" spans="4:10" s="1" customFormat="1">
      <c r="D1207" s="11"/>
      <c r="E1207" s="7"/>
      <c r="F1207" s="7"/>
      <c r="G1207" s="7"/>
      <c r="H1207" s="7"/>
      <c r="I1207" s="7"/>
      <c r="J1207" s="16"/>
    </row>
    <row r="1208" spans="4:10" s="1" customFormat="1">
      <c r="D1208" s="11"/>
      <c r="E1208" s="7"/>
      <c r="F1208" s="7"/>
      <c r="G1208" s="7"/>
      <c r="H1208" s="7"/>
      <c r="I1208" s="7"/>
      <c r="J1208" s="16"/>
    </row>
    <row r="1209" spans="4:10" s="1" customFormat="1">
      <c r="D1209" s="11"/>
      <c r="E1209" s="7"/>
      <c r="F1209" s="7"/>
      <c r="G1209" s="7"/>
      <c r="H1209" s="7"/>
      <c r="I1209" s="7"/>
      <c r="J1209" s="16"/>
    </row>
    <row r="1210" spans="4:10" s="1" customFormat="1">
      <c r="D1210" s="11"/>
      <c r="E1210" s="7"/>
      <c r="F1210" s="7"/>
      <c r="G1210" s="7"/>
      <c r="H1210" s="7"/>
      <c r="I1210" s="7"/>
      <c r="J1210" s="16"/>
    </row>
    <row r="1211" spans="4:10" s="1" customFormat="1">
      <c r="D1211" s="11"/>
      <c r="E1211" s="7"/>
      <c r="F1211" s="7"/>
      <c r="G1211" s="7"/>
      <c r="H1211" s="7"/>
      <c r="I1211" s="7"/>
      <c r="J1211" s="16"/>
    </row>
    <row r="1212" spans="4:10" s="1" customFormat="1">
      <c r="D1212" s="11"/>
      <c r="E1212" s="7"/>
      <c r="F1212" s="7"/>
      <c r="G1212" s="7"/>
      <c r="H1212" s="7"/>
      <c r="I1212" s="7"/>
      <c r="J1212" s="16"/>
    </row>
    <row r="1213" spans="4:10" s="1" customFormat="1">
      <c r="D1213" s="11"/>
      <c r="E1213" s="7"/>
      <c r="F1213" s="7"/>
      <c r="G1213" s="7"/>
      <c r="H1213" s="7"/>
      <c r="I1213" s="7"/>
      <c r="J1213" s="16"/>
    </row>
    <row r="1214" spans="4:10" s="1" customFormat="1">
      <c r="D1214" s="11"/>
      <c r="E1214" s="7"/>
      <c r="F1214" s="7"/>
      <c r="G1214" s="7"/>
      <c r="H1214" s="7"/>
      <c r="I1214" s="7"/>
      <c r="J1214" s="16"/>
    </row>
    <row r="1215" spans="4:10" s="1" customFormat="1">
      <c r="D1215" s="11"/>
      <c r="E1215" s="7"/>
      <c r="F1215" s="7"/>
      <c r="G1215" s="7"/>
      <c r="H1215" s="7"/>
      <c r="I1215" s="7"/>
      <c r="J1215" s="16"/>
    </row>
    <row r="1216" spans="4:10" s="1" customFormat="1">
      <c r="D1216" s="11"/>
      <c r="E1216" s="7"/>
      <c r="F1216" s="7"/>
      <c r="G1216" s="7"/>
      <c r="H1216" s="7"/>
      <c r="I1216" s="7"/>
      <c r="J1216" s="16"/>
    </row>
    <row r="1217" spans="4:10" s="1" customFormat="1">
      <c r="D1217" s="11"/>
      <c r="E1217" s="7"/>
      <c r="F1217" s="7"/>
      <c r="G1217" s="7"/>
      <c r="H1217" s="7"/>
      <c r="I1217" s="7"/>
      <c r="J1217" s="16"/>
    </row>
    <row r="1218" spans="4:10" s="1" customFormat="1">
      <c r="D1218" s="11"/>
      <c r="E1218" s="7"/>
      <c r="F1218" s="7"/>
      <c r="G1218" s="7"/>
      <c r="H1218" s="7"/>
      <c r="I1218" s="7"/>
      <c r="J1218" s="16"/>
    </row>
    <row r="1219" spans="4:10" s="1" customFormat="1">
      <c r="D1219" s="11"/>
      <c r="E1219" s="7"/>
      <c r="F1219" s="7"/>
      <c r="G1219" s="7"/>
      <c r="H1219" s="7"/>
      <c r="I1219" s="7"/>
      <c r="J1219" s="16"/>
    </row>
    <row r="1220" spans="4:10" s="1" customFormat="1">
      <c r="D1220" s="11"/>
      <c r="E1220" s="7"/>
      <c r="F1220" s="7"/>
      <c r="G1220" s="7"/>
      <c r="H1220" s="7"/>
      <c r="I1220" s="7"/>
      <c r="J1220" s="16"/>
    </row>
    <row r="1221" spans="4:10" s="1" customFormat="1">
      <c r="D1221" s="11"/>
      <c r="E1221" s="7"/>
      <c r="F1221" s="7"/>
      <c r="G1221" s="7"/>
      <c r="H1221" s="7"/>
      <c r="I1221" s="7"/>
      <c r="J1221" s="16"/>
    </row>
    <row r="1222" spans="4:10" s="1" customFormat="1">
      <c r="D1222" s="11"/>
      <c r="E1222" s="7"/>
      <c r="F1222" s="7"/>
      <c r="G1222" s="7"/>
      <c r="H1222" s="7"/>
      <c r="I1222" s="7"/>
      <c r="J1222" s="16"/>
    </row>
    <row r="1223" spans="4:10" s="1" customFormat="1">
      <c r="D1223" s="11"/>
      <c r="E1223" s="7"/>
      <c r="F1223" s="7"/>
      <c r="G1223" s="7"/>
      <c r="H1223" s="7"/>
      <c r="I1223" s="7"/>
      <c r="J1223" s="16"/>
    </row>
    <row r="1224" spans="4:10" s="1" customFormat="1">
      <c r="D1224" s="11"/>
      <c r="E1224" s="7"/>
      <c r="F1224" s="7"/>
      <c r="G1224" s="7"/>
      <c r="H1224" s="7"/>
      <c r="I1224" s="7"/>
      <c r="J1224" s="16"/>
    </row>
    <row r="1225" spans="4:10" s="1" customFormat="1">
      <c r="D1225" s="11"/>
      <c r="E1225" s="7"/>
      <c r="F1225" s="7"/>
      <c r="G1225" s="7"/>
      <c r="H1225" s="7"/>
      <c r="I1225" s="7"/>
      <c r="J1225" s="16"/>
    </row>
    <row r="1226" spans="4:10" s="1" customFormat="1">
      <c r="D1226" s="11"/>
      <c r="E1226" s="7"/>
      <c r="F1226" s="7"/>
      <c r="G1226" s="7"/>
      <c r="H1226" s="7"/>
      <c r="I1226" s="7"/>
      <c r="J1226" s="16"/>
    </row>
    <row r="1227" spans="4:10" s="1" customFormat="1">
      <c r="D1227" s="11"/>
      <c r="E1227" s="7"/>
      <c r="F1227" s="7"/>
      <c r="G1227" s="7"/>
      <c r="H1227" s="7"/>
      <c r="I1227" s="7"/>
      <c r="J1227" s="16"/>
    </row>
    <row r="1228" spans="4:10" s="1" customFormat="1">
      <c r="D1228" s="11"/>
      <c r="E1228" s="7"/>
      <c r="F1228" s="7"/>
      <c r="G1228" s="7"/>
      <c r="H1228" s="7"/>
      <c r="I1228" s="7"/>
      <c r="J1228" s="16"/>
    </row>
    <row r="1229" spans="4:10" s="1" customFormat="1">
      <c r="D1229" s="11"/>
      <c r="E1229" s="7"/>
      <c r="F1229" s="7"/>
      <c r="G1229" s="7"/>
      <c r="H1229" s="7"/>
      <c r="I1229" s="7"/>
      <c r="J1229" s="16"/>
    </row>
    <row r="1230" spans="4:10" s="1" customFormat="1">
      <c r="D1230" s="11"/>
      <c r="E1230" s="7"/>
      <c r="F1230" s="7"/>
      <c r="G1230" s="7"/>
      <c r="H1230" s="7"/>
      <c r="I1230" s="7"/>
      <c r="J1230" s="16"/>
    </row>
    <row r="1231" spans="4:10" s="1" customFormat="1">
      <c r="D1231" s="11"/>
      <c r="E1231" s="7"/>
      <c r="F1231" s="7"/>
      <c r="G1231" s="7"/>
      <c r="H1231" s="7"/>
      <c r="I1231" s="7"/>
      <c r="J1231" s="16"/>
    </row>
    <row r="1232" spans="4:10" s="1" customFormat="1">
      <c r="D1232" s="11"/>
      <c r="E1232" s="7"/>
      <c r="F1232" s="7"/>
      <c r="G1232" s="7"/>
      <c r="H1232" s="7"/>
      <c r="I1232" s="7"/>
      <c r="J1232" s="16"/>
    </row>
    <row r="1233" spans="4:10" s="1" customFormat="1">
      <c r="D1233" s="11"/>
      <c r="E1233" s="7"/>
      <c r="F1233" s="7"/>
      <c r="G1233" s="7"/>
      <c r="H1233" s="7"/>
      <c r="I1233" s="7"/>
      <c r="J1233" s="16"/>
    </row>
    <row r="1234" spans="4:10" s="1" customFormat="1">
      <c r="D1234" s="11"/>
      <c r="E1234" s="7"/>
      <c r="F1234" s="7"/>
      <c r="G1234" s="7"/>
      <c r="H1234" s="7"/>
      <c r="I1234" s="7"/>
      <c r="J1234" s="16"/>
    </row>
    <row r="1235" spans="4:10" s="1" customFormat="1">
      <c r="D1235" s="11"/>
      <c r="E1235" s="7"/>
      <c r="F1235" s="7"/>
      <c r="G1235" s="7"/>
      <c r="H1235" s="7"/>
      <c r="I1235" s="7"/>
      <c r="J1235" s="16"/>
    </row>
    <row r="1236" spans="4:10" s="1" customFormat="1">
      <c r="D1236" s="11"/>
      <c r="E1236" s="7"/>
      <c r="F1236" s="7"/>
      <c r="G1236" s="7"/>
      <c r="H1236" s="7"/>
      <c r="I1236" s="7"/>
      <c r="J1236" s="16"/>
    </row>
    <row r="1237" spans="4:10" s="1" customFormat="1">
      <c r="D1237" s="11"/>
      <c r="E1237" s="7"/>
      <c r="F1237" s="7"/>
      <c r="G1237" s="7"/>
      <c r="H1237" s="7"/>
      <c r="I1237" s="7"/>
      <c r="J1237" s="16"/>
    </row>
    <row r="1238" spans="4:10" s="1" customFormat="1">
      <c r="D1238" s="11"/>
      <c r="E1238" s="7"/>
      <c r="F1238" s="7"/>
      <c r="G1238" s="7"/>
      <c r="H1238" s="7"/>
      <c r="I1238" s="7"/>
      <c r="J1238" s="16"/>
    </row>
    <row r="1239" spans="4:10" s="1" customFormat="1">
      <c r="D1239" s="11"/>
      <c r="E1239" s="7"/>
      <c r="F1239" s="7"/>
      <c r="G1239" s="7"/>
      <c r="H1239" s="7"/>
      <c r="I1239" s="7"/>
      <c r="J1239" s="16"/>
    </row>
    <row r="1240" spans="4:10" s="1" customFormat="1">
      <c r="D1240" s="11"/>
      <c r="E1240" s="7"/>
      <c r="F1240" s="7"/>
      <c r="G1240" s="7"/>
      <c r="H1240" s="7"/>
      <c r="I1240" s="7"/>
      <c r="J1240" s="16"/>
    </row>
    <row r="1241" spans="4:10" s="1" customFormat="1">
      <c r="D1241" s="11"/>
      <c r="E1241" s="7"/>
      <c r="F1241" s="7"/>
      <c r="G1241" s="7"/>
      <c r="H1241" s="7"/>
      <c r="I1241" s="7"/>
      <c r="J1241" s="16"/>
    </row>
    <row r="1242" spans="4:10" s="1" customFormat="1">
      <c r="D1242" s="11"/>
      <c r="E1242" s="7"/>
      <c r="F1242" s="7"/>
      <c r="G1242" s="7"/>
      <c r="H1242" s="7"/>
      <c r="I1242" s="7"/>
      <c r="J1242" s="16"/>
    </row>
    <row r="1243" spans="4:10" s="1" customFormat="1">
      <c r="D1243" s="11"/>
      <c r="E1243" s="7"/>
      <c r="F1243" s="7"/>
      <c r="G1243" s="7"/>
      <c r="H1243" s="7"/>
      <c r="I1243" s="7"/>
      <c r="J1243" s="16"/>
    </row>
    <row r="1244" spans="4:10" s="1" customFormat="1">
      <c r="D1244" s="11"/>
      <c r="E1244" s="7"/>
      <c r="F1244" s="7"/>
      <c r="G1244" s="7"/>
      <c r="H1244" s="7"/>
      <c r="I1244" s="7"/>
      <c r="J1244" s="16"/>
    </row>
    <row r="1245" spans="4:10" s="1" customFormat="1">
      <c r="D1245" s="11"/>
      <c r="E1245" s="7"/>
      <c r="F1245" s="7"/>
      <c r="G1245" s="7"/>
      <c r="H1245" s="7"/>
      <c r="I1245" s="7"/>
      <c r="J1245" s="16"/>
    </row>
    <row r="1246" spans="4:10" s="1" customFormat="1">
      <c r="D1246" s="11"/>
      <c r="E1246" s="7"/>
      <c r="F1246" s="7"/>
      <c r="G1246" s="7"/>
      <c r="H1246" s="7"/>
      <c r="I1246" s="7"/>
      <c r="J1246" s="16"/>
    </row>
    <row r="1247" spans="4:10" s="1" customFormat="1">
      <c r="D1247" s="11"/>
      <c r="E1247" s="7"/>
      <c r="F1247" s="7"/>
      <c r="G1247" s="7"/>
      <c r="H1247" s="7"/>
      <c r="I1247" s="7"/>
      <c r="J1247" s="16"/>
    </row>
    <row r="1248" spans="4:10" s="1" customFormat="1">
      <c r="D1248" s="11"/>
      <c r="E1248" s="7"/>
      <c r="F1248" s="7"/>
      <c r="G1248" s="7"/>
      <c r="H1248" s="7"/>
      <c r="I1248" s="7"/>
      <c r="J1248" s="16"/>
    </row>
    <row r="1249" spans="4:10" s="1" customFormat="1">
      <c r="D1249" s="11"/>
      <c r="E1249" s="7"/>
      <c r="F1249" s="7"/>
      <c r="G1249" s="7"/>
      <c r="H1249" s="7"/>
      <c r="I1249" s="7"/>
      <c r="J1249" s="16"/>
    </row>
    <row r="1250" spans="4:10" s="1" customFormat="1">
      <c r="D1250" s="11"/>
      <c r="E1250" s="7"/>
      <c r="F1250" s="7"/>
      <c r="G1250" s="7"/>
      <c r="H1250" s="7"/>
      <c r="I1250" s="7"/>
      <c r="J1250" s="16"/>
    </row>
    <row r="1251" spans="4:10" s="1" customFormat="1">
      <c r="D1251" s="11"/>
      <c r="E1251" s="7"/>
      <c r="F1251" s="7"/>
      <c r="G1251" s="7"/>
      <c r="H1251" s="7"/>
      <c r="I1251" s="7"/>
      <c r="J1251" s="16"/>
    </row>
    <row r="1252" spans="4:10" s="1" customFormat="1">
      <c r="D1252" s="11"/>
      <c r="E1252" s="7"/>
      <c r="F1252" s="7"/>
      <c r="G1252" s="7"/>
      <c r="H1252" s="7"/>
      <c r="I1252" s="7"/>
      <c r="J1252" s="16"/>
    </row>
    <row r="1253" spans="4:10" s="1" customFormat="1">
      <c r="D1253" s="11"/>
      <c r="E1253" s="7"/>
      <c r="F1253" s="7"/>
      <c r="G1253" s="7"/>
      <c r="H1253" s="7"/>
      <c r="I1253" s="7"/>
      <c r="J1253" s="16"/>
    </row>
    <row r="1254" spans="4:10" s="1" customFormat="1">
      <c r="D1254" s="11"/>
      <c r="E1254" s="7"/>
      <c r="F1254" s="7"/>
      <c r="G1254" s="7"/>
      <c r="H1254" s="7"/>
      <c r="I1254" s="7"/>
      <c r="J1254" s="16"/>
    </row>
    <row r="1255" spans="4:10" s="1" customFormat="1">
      <c r="D1255" s="11"/>
      <c r="E1255" s="7"/>
      <c r="F1255" s="7"/>
      <c r="G1255" s="7"/>
      <c r="H1255" s="7"/>
      <c r="I1255" s="7"/>
      <c r="J1255" s="16"/>
    </row>
    <row r="1256" spans="4:10" s="1" customFormat="1">
      <c r="D1256" s="11"/>
      <c r="E1256" s="7"/>
      <c r="F1256" s="7"/>
      <c r="G1256" s="7"/>
      <c r="H1256" s="7"/>
      <c r="I1256" s="7"/>
      <c r="J1256" s="16"/>
    </row>
    <row r="1257" spans="4:10" s="1" customFormat="1">
      <c r="D1257" s="11"/>
      <c r="E1257" s="7"/>
      <c r="F1257" s="7"/>
      <c r="G1257" s="7"/>
      <c r="H1257" s="7"/>
      <c r="I1257" s="7"/>
      <c r="J1257" s="16"/>
    </row>
    <row r="1258" spans="4:10" s="1" customFormat="1">
      <c r="D1258" s="11"/>
      <c r="E1258" s="7"/>
      <c r="F1258" s="7"/>
      <c r="G1258" s="7"/>
      <c r="H1258" s="7"/>
      <c r="I1258" s="7"/>
      <c r="J1258" s="16"/>
    </row>
    <row r="1259" spans="4:10" s="1" customFormat="1">
      <c r="D1259" s="11"/>
      <c r="E1259" s="7"/>
      <c r="F1259" s="7"/>
      <c r="G1259" s="7"/>
      <c r="H1259" s="7"/>
      <c r="I1259" s="7"/>
      <c r="J1259" s="16"/>
    </row>
    <row r="1260" spans="4:10" s="1" customFormat="1">
      <c r="D1260" s="11"/>
      <c r="E1260" s="7"/>
      <c r="F1260" s="7"/>
      <c r="G1260" s="7"/>
      <c r="H1260" s="7"/>
      <c r="I1260" s="7"/>
      <c r="J1260" s="16"/>
    </row>
    <row r="1261" spans="4:10" s="1" customFormat="1">
      <c r="D1261" s="11"/>
      <c r="E1261" s="7"/>
      <c r="F1261" s="7"/>
      <c r="G1261" s="7"/>
      <c r="H1261" s="7"/>
      <c r="I1261" s="7"/>
      <c r="J1261" s="16"/>
    </row>
    <row r="1262" spans="4:10" s="1" customFormat="1">
      <c r="D1262" s="11"/>
      <c r="E1262" s="7"/>
      <c r="F1262" s="7"/>
      <c r="G1262" s="7"/>
      <c r="H1262" s="7"/>
      <c r="I1262" s="7"/>
      <c r="J1262" s="16"/>
    </row>
    <row r="1263" spans="4:10" s="1" customFormat="1">
      <c r="D1263" s="11"/>
      <c r="E1263" s="7"/>
      <c r="F1263" s="7"/>
      <c r="G1263" s="7"/>
      <c r="H1263" s="7"/>
      <c r="I1263" s="7"/>
      <c r="J1263" s="16"/>
    </row>
    <row r="1264" spans="4:10" s="1" customFormat="1">
      <c r="D1264" s="11"/>
      <c r="E1264" s="7"/>
      <c r="F1264" s="7"/>
      <c r="G1264" s="7"/>
      <c r="H1264" s="7"/>
      <c r="I1264" s="7"/>
      <c r="J1264" s="16"/>
    </row>
    <row r="1265" spans="4:10" s="1" customFormat="1">
      <c r="D1265" s="11"/>
      <c r="E1265" s="7"/>
      <c r="F1265" s="7"/>
      <c r="G1265" s="7"/>
      <c r="H1265" s="7"/>
      <c r="I1265" s="7"/>
      <c r="J1265" s="16"/>
    </row>
    <row r="1266" spans="4:10" s="1" customFormat="1">
      <c r="D1266" s="11"/>
      <c r="E1266" s="7"/>
      <c r="F1266" s="7"/>
      <c r="G1266" s="7"/>
      <c r="H1266" s="7"/>
      <c r="I1266" s="7"/>
      <c r="J1266" s="16"/>
    </row>
    <row r="1267" spans="4:10" s="1" customFormat="1">
      <c r="D1267" s="11"/>
      <c r="E1267" s="7"/>
      <c r="F1267" s="7"/>
      <c r="G1267" s="7"/>
      <c r="H1267" s="7"/>
      <c r="I1267" s="7"/>
      <c r="J1267" s="16"/>
    </row>
    <row r="1268" spans="4:10" s="1" customFormat="1">
      <c r="D1268" s="11"/>
      <c r="E1268" s="7"/>
      <c r="F1268" s="7"/>
      <c r="G1268" s="7"/>
      <c r="H1268" s="7"/>
      <c r="I1268" s="7"/>
      <c r="J1268" s="16"/>
    </row>
    <row r="1269" spans="4:10" s="1" customFormat="1">
      <c r="D1269" s="11"/>
      <c r="E1269" s="7"/>
      <c r="F1269" s="7"/>
      <c r="G1269" s="7"/>
      <c r="H1269" s="7"/>
      <c r="I1269" s="7"/>
      <c r="J1269" s="16"/>
    </row>
    <row r="1270" spans="4:10" s="1" customFormat="1">
      <c r="D1270" s="11"/>
      <c r="E1270" s="7"/>
      <c r="F1270" s="7"/>
      <c r="G1270" s="7"/>
      <c r="H1270" s="7"/>
      <c r="I1270" s="7"/>
      <c r="J1270" s="16"/>
    </row>
    <row r="1271" spans="4:10" s="1" customFormat="1">
      <c r="D1271" s="11"/>
      <c r="E1271" s="7"/>
      <c r="F1271" s="7"/>
      <c r="G1271" s="7"/>
      <c r="H1271" s="7"/>
      <c r="I1271" s="7"/>
      <c r="J1271" s="16"/>
    </row>
    <row r="1272" spans="4:10" s="1" customFormat="1">
      <c r="D1272" s="11"/>
      <c r="E1272" s="7"/>
      <c r="F1272" s="7"/>
      <c r="G1272" s="7"/>
      <c r="H1272" s="7"/>
      <c r="I1272" s="7"/>
      <c r="J1272" s="16"/>
    </row>
    <row r="1273" spans="4:10" s="1" customFormat="1">
      <c r="D1273" s="11"/>
      <c r="E1273" s="7"/>
      <c r="F1273" s="7"/>
      <c r="G1273" s="7"/>
      <c r="H1273" s="7"/>
      <c r="I1273" s="7"/>
      <c r="J1273" s="16"/>
    </row>
    <row r="1274" spans="4:10" s="1" customFormat="1">
      <c r="D1274" s="11"/>
      <c r="E1274" s="7"/>
      <c r="F1274" s="7"/>
      <c r="G1274" s="7"/>
      <c r="H1274" s="7"/>
      <c r="I1274" s="7"/>
      <c r="J1274" s="16"/>
    </row>
    <row r="1275" spans="4:10" s="1" customFormat="1">
      <c r="D1275" s="11"/>
      <c r="E1275" s="7"/>
      <c r="F1275" s="7"/>
      <c r="G1275" s="7"/>
      <c r="H1275" s="7"/>
      <c r="I1275" s="7"/>
      <c r="J1275" s="16"/>
    </row>
    <row r="1276" spans="4:10" s="1" customFormat="1">
      <c r="D1276" s="11"/>
      <c r="E1276" s="7"/>
      <c r="F1276" s="7"/>
      <c r="G1276" s="7"/>
      <c r="H1276" s="7"/>
      <c r="I1276" s="7"/>
      <c r="J1276" s="16"/>
    </row>
    <row r="1277" spans="4:10" s="1" customFormat="1">
      <c r="D1277" s="11"/>
      <c r="E1277" s="7"/>
      <c r="F1277" s="7"/>
      <c r="G1277" s="7"/>
      <c r="H1277" s="7"/>
      <c r="I1277" s="7"/>
      <c r="J1277" s="16"/>
    </row>
    <row r="1278" spans="4:10" s="1" customFormat="1">
      <c r="D1278" s="11"/>
      <c r="E1278" s="7"/>
      <c r="F1278" s="7"/>
      <c r="G1278" s="7"/>
      <c r="H1278" s="7"/>
      <c r="I1278" s="7"/>
      <c r="J1278" s="16"/>
    </row>
    <row r="1279" spans="4:10" s="1" customFormat="1">
      <c r="D1279" s="11"/>
      <c r="E1279" s="7"/>
      <c r="F1279" s="7"/>
      <c r="G1279" s="7"/>
      <c r="H1279" s="7"/>
      <c r="I1279" s="7"/>
      <c r="J1279" s="16"/>
    </row>
    <row r="1280" spans="4:10" s="1" customFormat="1">
      <c r="D1280" s="11"/>
      <c r="E1280" s="7"/>
      <c r="F1280" s="7"/>
      <c r="G1280" s="7"/>
      <c r="H1280" s="7"/>
      <c r="I1280" s="7"/>
      <c r="J1280" s="16"/>
    </row>
    <row r="1281" spans="4:10" s="1" customFormat="1">
      <c r="D1281" s="11"/>
      <c r="E1281" s="7"/>
      <c r="F1281" s="7"/>
      <c r="G1281" s="7"/>
      <c r="H1281" s="7"/>
      <c r="I1281" s="7"/>
      <c r="J1281" s="16"/>
    </row>
    <row r="1282" spans="4:10" s="1" customFormat="1">
      <c r="D1282" s="11"/>
      <c r="E1282" s="7"/>
      <c r="F1282" s="7"/>
      <c r="G1282" s="7"/>
      <c r="H1282" s="7"/>
      <c r="I1282" s="7"/>
      <c r="J1282" s="16"/>
    </row>
    <row r="1283" spans="4:10" s="1" customFormat="1">
      <c r="D1283" s="11"/>
      <c r="E1283" s="7"/>
      <c r="F1283" s="7"/>
      <c r="G1283" s="7"/>
      <c r="H1283" s="7"/>
      <c r="I1283" s="7"/>
      <c r="J1283" s="16"/>
    </row>
    <row r="1284" spans="4:10" s="1" customFormat="1">
      <c r="D1284" s="11"/>
      <c r="E1284" s="7"/>
      <c r="F1284" s="7"/>
      <c r="G1284" s="7"/>
      <c r="H1284" s="7"/>
      <c r="I1284" s="7"/>
      <c r="J1284" s="16"/>
    </row>
    <row r="1285" spans="4:10" s="1" customFormat="1">
      <c r="D1285" s="11"/>
      <c r="E1285" s="7"/>
      <c r="F1285" s="7"/>
      <c r="G1285" s="7"/>
      <c r="H1285" s="7"/>
      <c r="I1285" s="7"/>
      <c r="J1285" s="16"/>
    </row>
    <row r="1286" spans="4:10" s="1" customFormat="1">
      <c r="D1286" s="11"/>
      <c r="E1286" s="7"/>
      <c r="F1286" s="7"/>
      <c r="G1286" s="7"/>
      <c r="H1286" s="7"/>
      <c r="I1286" s="7"/>
      <c r="J1286" s="16"/>
    </row>
    <row r="1287" spans="4:10" s="1" customFormat="1">
      <c r="D1287" s="11"/>
      <c r="E1287" s="7"/>
      <c r="F1287" s="7"/>
      <c r="G1287" s="7"/>
      <c r="H1287" s="7"/>
      <c r="I1287" s="7"/>
      <c r="J1287" s="16"/>
    </row>
    <row r="1288" spans="4:10" s="1" customFormat="1">
      <c r="D1288" s="11"/>
      <c r="E1288" s="7"/>
      <c r="F1288" s="7"/>
      <c r="G1288" s="7"/>
      <c r="H1288" s="7"/>
      <c r="I1288" s="7"/>
      <c r="J1288" s="16"/>
    </row>
    <row r="1289" spans="4:10" s="1" customFormat="1">
      <c r="D1289" s="11"/>
      <c r="E1289" s="7"/>
      <c r="F1289" s="7"/>
      <c r="G1289" s="7"/>
      <c r="H1289" s="7"/>
      <c r="I1289" s="7"/>
      <c r="J1289" s="16"/>
    </row>
    <row r="1290" spans="4:10" s="1" customFormat="1">
      <c r="D1290" s="11"/>
      <c r="E1290" s="7"/>
      <c r="F1290" s="7"/>
      <c r="G1290" s="7"/>
      <c r="H1290" s="7"/>
      <c r="I1290" s="7"/>
      <c r="J1290" s="16"/>
    </row>
    <row r="1291" spans="4:10" s="1" customFormat="1">
      <c r="D1291" s="11"/>
      <c r="E1291" s="7"/>
      <c r="F1291" s="7"/>
      <c r="G1291" s="7"/>
      <c r="H1291" s="7"/>
      <c r="I1291" s="7"/>
      <c r="J1291" s="16"/>
    </row>
    <row r="1292" spans="4:10" s="1" customFormat="1">
      <c r="D1292" s="11"/>
      <c r="E1292" s="7"/>
      <c r="F1292" s="7"/>
      <c r="G1292" s="7"/>
      <c r="H1292" s="7"/>
      <c r="I1292" s="7"/>
      <c r="J1292" s="16"/>
    </row>
    <row r="1293" spans="4:10" s="1" customFormat="1">
      <c r="D1293" s="11"/>
      <c r="E1293" s="7"/>
      <c r="F1293" s="7"/>
      <c r="G1293" s="7"/>
      <c r="H1293" s="7"/>
      <c r="I1293" s="7"/>
      <c r="J1293" s="16"/>
    </row>
    <row r="1294" spans="4:10" s="1" customFormat="1">
      <c r="D1294" s="11"/>
      <c r="E1294" s="7"/>
      <c r="F1294" s="7"/>
      <c r="G1294" s="7"/>
      <c r="H1294" s="7"/>
      <c r="I1294" s="7"/>
      <c r="J1294" s="16"/>
    </row>
    <row r="1295" spans="4:10" s="1" customFormat="1">
      <c r="D1295" s="11"/>
      <c r="E1295" s="7"/>
      <c r="F1295" s="7"/>
      <c r="G1295" s="7"/>
      <c r="H1295" s="7"/>
      <c r="I1295" s="7"/>
      <c r="J1295" s="16"/>
    </row>
    <row r="1296" spans="4:10" s="1" customFormat="1">
      <c r="D1296" s="11"/>
      <c r="E1296" s="7"/>
      <c r="F1296" s="7"/>
      <c r="G1296" s="7"/>
      <c r="H1296" s="7"/>
      <c r="I1296" s="7"/>
      <c r="J1296" s="16"/>
    </row>
    <row r="1297" spans="4:10" s="1" customFormat="1">
      <c r="D1297" s="11"/>
      <c r="E1297" s="7"/>
      <c r="F1297" s="7"/>
      <c r="G1297" s="7"/>
      <c r="H1297" s="7"/>
      <c r="I1297" s="7"/>
      <c r="J1297" s="16"/>
    </row>
    <row r="1298" spans="4:10" s="1" customFormat="1">
      <c r="D1298" s="11"/>
      <c r="E1298" s="7"/>
      <c r="F1298" s="7"/>
      <c r="G1298" s="7"/>
      <c r="H1298" s="7"/>
      <c r="I1298" s="7"/>
      <c r="J1298" s="16"/>
    </row>
    <row r="1299" spans="4:10" s="1" customFormat="1">
      <c r="D1299" s="11"/>
      <c r="E1299" s="7"/>
      <c r="F1299" s="7"/>
      <c r="G1299" s="7"/>
      <c r="H1299" s="7"/>
      <c r="I1299" s="7"/>
      <c r="J1299" s="16"/>
    </row>
    <row r="1300" spans="4:10" s="1" customFormat="1">
      <c r="D1300" s="11"/>
      <c r="E1300" s="7"/>
      <c r="F1300" s="7"/>
      <c r="G1300" s="7"/>
      <c r="H1300" s="7"/>
      <c r="I1300" s="7"/>
      <c r="J1300" s="16"/>
    </row>
    <row r="1301" spans="4:10" s="1" customFormat="1">
      <c r="D1301" s="11"/>
      <c r="E1301" s="7"/>
      <c r="F1301" s="7"/>
      <c r="G1301" s="7"/>
      <c r="H1301" s="7"/>
      <c r="I1301" s="7"/>
      <c r="J1301" s="16"/>
    </row>
    <row r="1302" spans="4:10" s="1" customFormat="1">
      <c r="D1302" s="11"/>
      <c r="E1302" s="7"/>
      <c r="F1302" s="7"/>
      <c r="G1302" s="7"/>
      <c r="H1302" s="7"/>
      <c r="I1302" s="7"/>
      <c r="J1302" s="16"/>
    </row>
    <row r="1303" spans="4:10" s="1" customFormat="1">
      <c r="D1303" s="11"/>
      <c r="E1303" s="7"/>
      <c r="F1303" s="7"/>
      <c r="G1303" s="7"/>
      <c r="H1303" s="7"/>
      <c r="I1303" s="7"/>
      <c r="J1303" s="16"/>
    </row>
    <row r="1304" spans="4:10" s="1" customFormat="1">
      <c r="D1304" s="11"/>
      <c r="E1304" s="7"/>
      <c r="F1304" s="7"/>
      <c r="G1304" s="7"/>
      <c r="H1304" s="7"/>
      <c r="I1304" s="7"/>
      <c r="J1304" s="16"/>
    </row>
    <row r="1305" spans="4:10" s="1" customFormat="1">
      <c r="D1305" s="11"/>
      <c r="E1305" s="7"/>
      <c r="F1305" s="7"/>
      <c r="G1305" s="7"/>
      <c r="H1305" s="7"/>
      <c r="I1305" s="7"/>
      <c r="J1305" s="16"/>
    </row>
    <row r="1306" spans="4:10" s="1" customFormat="1">
      <c r="D1306" s="11"/>
      <c r="E1306" s="7"/>
      <c r="F1306" s="7"/>
      <c r="G1306" s="7"/>
      <c r="H1306" s="7"/>
      <c r="I1306" s="7"/>
      <c r="J1306" s="16"/>
    </row>
    <row r="1307" spans="4:10" s="1" customFormat="1">
      <c r="D1307" s="11"/>
      <c r="E1307" s="7"/>
      <c r="F1307" s="7"/>
      <c r="G1307" s="7"/>
      <c r="H1307" s="7"/>
      <c r="I1307" s="7"/>
      <c r="J1307" s="16"/>
    </row>
    <row r="1308" spans="4:10" s="1" customFormat="1">
      <c r="D1308" s="11"/>
      <c r="E1308" s="7"/>
      <c r="F1308" s="7"/>
      <c r="G1308" s="7"/>
      <c r="H1308" s="7"/>
      <c r="I1308" s="7"/>
      <c r="J1308" s="16"/>
    </row>
    <row r="1309" spans="4:10" s="1" customFormat="1">
      <c r="D1309" s="11"/>
      <c r="E1309" s="7"/>
      <c r="F1309" s="7"/>
      <c r="G1309" s="7"/>
      <c r="H1309" s="7"/>
      <c r="I1309" s="7"/>
      <c r="J1309" s="16"/>
    </row>
    <row r="1310" spans="4:10" s="1" customFormat="1">
      <c r="D1310" s="11"/>
      <c r="E1310" s="7"/>
      <c r="F1310" s="7"/>
      <c r="G1310" s="7"/>
      <c r="H1310" s="7"/>
      <c r="I1310" s="7"/>
      <c r="J1310" s="16"/>
    </row>
    <row r="1311" spans="4:10" s="1" customFormat="1">
      <c r="D1311" s="11"/>
      <c r="E1311" s="7"/>
      <c r="F1311" s="7"/>
      <c r="G1311" s="7"/>
      <c r="H1311" s="7"/>
      <c r="I1311" s="7"/>
      <c r="J1311" s="16"/>
    </row>
    <row r="1312" spans="4:10" s="1" customFormat="1">
      <c r="D1312" s="11"/>
      <c r="E1312" s="7"/>
      <c r="F1312" s="7"/>
      <c r="G1312" s="7"/>
      <c r="H1312" s="7"/>
      <c r="I1312" s="7"/>
      <c r="J1312" s="16"/>
    </row>
    <row r="1313" spans="4:10" s="1" customFormat="1">
      <c r="D1313" s="11"/>
      <c r="E1313" s="7"/>
      <c r="F1313" s="7"/>
      <c r="G1313" s="7"/>
      <c r="H1313" s="7"/>
      <c r="I1313" s="7"/>
      <c r="J1313" s="16"/>
    </row>
    <row r="1314" spans="4:10" s="1" customFormat="1">
      <c r="D1314" s="11"/>
      <c r="E1314" s="7"/>
      <c r="F1314" s="7"/>
      <c r="G1314" s="7"/>
      <c r="H1314" s="7"/>
      <c r="I1314" s="7"/>
      <c r="J1314" s="16"/>
    </row>
    <row r="1315" spans="4:10" s="1" customFormat="1">
      <c r="D1315" s="11"/>
      <c r="E1315" s="7"/>
      <c r="F1315" s="7"/>
      <c r="G1315" s="7"/>
      <c r="H1315" s="7"/>
      <c r="I1315" s="7"/>
      <c r="J1315" s="16"/>
    </row>
    <row r="1316" spans="4:10" s="1" customFormat="1">
      <c r="D1316" s="11"/>
      <c r="E1316" s="7"/>
      <c r="F1316" s="7"/>
      <c r="G1316" s="7"/>
      <c r="H1316" s="7"/>
      <c r="I1316" s="7"/>
      <c r="J1316" s="16"/>
    </row>
    <row r="1317" spans="4:10" s="1" customFormat="1">
      <c r="D1317" s="11"/>
      <c r="E1317" s="7"/>
      <c r="F1317" s="7"/>
      <c r="G1317" s="7"/>
      <c r="H1317" s="7"/>
      <c r="I1317" s="7"/>
      <c r="J1317" s="16"/>
    </row>
    <row r="1318" spans="4:10" s="1" customFormat="1">
      <c r="D1318" s="11"/>
      <c r="E1318" s="7"/>
      <c r="F1318" s="7"/>
      <c r="G1318" s="7"/>
      <c r="H1318" s="7"/>
      <c r="I1318" s="7"/>
      <c r="J1318" s="16"/>
    </row>
    <row r="1319" spans="4:10" s="1" customFormat="1">
      <c r="D1319" s="11"/>
      <c r="E1319" s="7"/>
      <c r="F1319" s="7"/>
      <c r="G1319" s="7"/>
      <c r="H1319" s="7"/>
      <c r="I1319" s="7"/>
      <c r="J1319" s="16"/>
    </row>
    <row r="1320" spans="4:10" s="1" customFormat="1">
      <c r="D1320" s="11"/>
      <c r="E1320" s="7"/>
      <c r="F1320" s="7"/>
      <c r="G1320" s="7"/>
      <c r="H1320" s="7"/>
      <c r="I1320" s="7"/>
      <c r="J1320" s="16"/>
    </row>
    <row r="1321" spans="4:10" s="1" customFormat="1">
      <c r="D1321" s="11"/>
      <c r="E1321" s="7"/>
      <c r="F1321" s="7"/>
      <c r="G1321" s="7"/>
      <c r="H1321" s="7"/>
      <c r="I1321" s="7"/>
      <c r="J1321" s="16"/>
    </row>
    <row r="1322" spans="4:10" s="1" customFormat="1">
      <c r="D1322" s="11"/>
      <c r="E1322" s="7"/>
      <c r="F1322" s="7"/>
      <c r="G1322" s="7"/>
      <c r="H1322" s="7"/>
      <c r="I1322" s="7"/>
      <c r="J1322" s="16"/>
    </row>
    <row r="1323" spans="4:10" s="1" customFormat="1">
      <c r="D1323" s="11"/>
      <c r="E1323" s="7"/>
      <c r="F1323" s="7"/>
      <c r="G1323" s="7"/>
      <c r="H1323" s="7"/>
      <c r="I1323" s="7"/>
      <c r="J1323" s="16"/>
    </row>
    <row r="1324" spans="4:10" s="1" customFormat="1">
      <c r="D1324" s="11"/>
      <c r="E1324" s="7"/>
      <c r="F1324" s="7"/>
      <c r="G1324" s="7"/>
      <c r="H1324" s="7"/>
      <c r="I1324" s="7"/>
      <c r="J1324" s="16"/>
    </row>
    <row r="1325" spans="4:10" s="1" customFormat="1">
      <c r="D1325" s="11"/>
      <c r="E1325" s="7"/>
      <c r="F1325" s="7"/>
      <c r="G1325" s="7"/>
      <c r="H1325" s="7"/>
      <c r="I1325" s="7"/>
      <c r="J1325" s="16"/>
    </row>
    <row r="1326" spans="4:10" s="1" customFormat="1">
      <c r="D1326" s="11"/>
      <c r="E1326" s="7"/>
      <c r="F1326" s="7"/>
      <c r="G1326" s="7"/>
      <c r="H1326" s="7"/>
      <c r="I1326" s="7"/>
      <c r="J1326" s="16"/>
    </row>
    <row r="1327" spans="4:10" s="1" customFormat="1">
      <c r="D1327" s="11"/>
      <c r="E1327" s="7"/>
      <c r="F1327" s="7"/>
      <c r="G1327" s="7"/>
      <c r="H1327" s="7"/>
      <c r="I1327" s="7"/>
      <c r="J1327" s="16"/>
    </row>
    <row r="1328" spans="4:10" s="1" customFormat="1">
      <c r="D1328" s="11"/>
      <c r="E1328" s="7"/>
      <c r="F1328" s="7"/>
      <c r="G1328" s="7"/>
      <c r="H1328" s="7"/>
      <c r="I1328" s="7"/>
      <c r="J1328" s="16"/>
    </row>
    <row r="1329" spans="4:28" s="1" customFormat="1">
      <c r="D1329" s="11"/>
      <c r="E1329" s="7"/>
      <c r="F1329" s="7"/>
      <c r="G1329" s="7"/>
      <c r="H1329" s="7"/>
      <c r="I1329" s="7"/>
      <c r="J1329" s="16"/>
    </row>
    <row r="1330" spans="4:28" s="1" customFormat="1">
      <c r="D1330" s="11"/>
      <c r="E1330" s="7"/>
      <c r="F1330" s="7"/>
      <c r="G1330" s="7"/>
      <c r="H1330" s="7"/>
      <c r="I1330" s="7"/>
      <c r="J1330" s="16"/>
    </row>
    <row r="1331" spans="4:28" s="1" customFormat="1">
      <c r="D1331" s="11"/>
      <c r="E1331" s="7"/>
      <c r="F1331" s="7"/>
      <c r="G1331" s="7"/>
      <c r="H1331" s="7"/>
      <c r="I1331" s="7"/>
      <c r="J1331" s="16"/>
    </row>
    <row r="1332" spans="4:28" s="1" customFormat="1">
      <c r="D1332" s="11"/>
      <c r="E1332" s="7"/>
      <c r="F1332" s="7"/>
      <c r="G1332" s="7"/>
      <c r="H1332" s="7"/>
      <c r="I1332" s="7"/>
      <c r="J1332" s="16"/>
    </row>
    <row r="1333" spans="4:28" s="1" customFormat="1">
      <c r="D1333" s="11"/>
      <c r="E1333" s="7"/>
      <c r="F1333" s="7"/>
      <c r="G1333" s="7"/>
      <c r="H1333" s="7"/>
      <c r="I1333" s="7"/>
      <c r="J1333" s="16"/>
    </row>
    <row r="1334" spans="4:28" s="1" customFormat="1">
      <c r="D1334" s="11"/>
      <c r="E1334" s="7"/>
      <c r="F1334" s="7"/>
      <c r="G1334" s="7"/>
      <c r="H1334" s="7"/>
      <c r="I1334" s="7"/>
      <c r="J1334" s="16"/>
    </row>
    <row r="1335" spans="4:28" s="1" customFormat="1">
      <c r="D1335" s="11"/>
      <c r="E1335" s="7"/>
      <c r="F1335" s="7"/>
      <c r="G1335" s="7"/>
      <c r="H1335" s="7"/>
      <c r="I1335" s="7"/>
      <c r="J1335" s="16"/>
    </row>
    <row r="1336" spans="4:28" s="1" customFormat="1">
      <c r="D1336" s="11"/>
      <c r="E1336" s="7"/>
      <c r="F1336" s="7"/>
      <c r="G1336" s="7"/>
      <c r="H1336" s="7"/>
      <c r="I1336" s="7"/>
      <c r="J1336" s="16"/>
    </row>
    <row r="1337" spans="4:28" s="1" customFormat="1">
      <c r="D1337" s="11"/>
      <c r="E1337" s="7"/>
      <c r="F1337" s="7"/>
      <c r="G1337" s="7"/>
      <c r="H1337" s="7"/>
      <c r="I1337" s="7"/>
      <c r="J1337" s="16"/>
    </row>
    <row r="1338" spans="4:28" s="1" customFormat="1">
      <c r="D1338" s="11"/>
      <c r="E1338" s="7"/>
      <c r="F1338" s="7"/>
      <c r="G1338" s="7"/>
      <c r="H1338" s="7"/>
      <c r="I1338" s="7"/>
      <c r="J1338" s="16"/>
    </row>
    <row r="1339" spans="4:28" s="1" customFormat="1">
      <c r="D1339" s="11"/>
      <c r="E1339" s="7"/>
      <c r="F1339" s="7"/>
      <c r="G1339" s="7"/>
      <c r="H1339" s="7"/>
      <c r="I1339" s="7"/>
      <c r="J1339" s="16"/>
    </row>
    <row r="1340" spans="4:28" s="1" customFormat="1">
      <c r="D1340" s="11"/>
      <c r="E1340" s="7"/>
      <c r="F1340" s="7"/>
      <c r="G1340" s="7"/>
      <c r="H1340" s="7"/>
      <c r="I1340" s="7"/>
      <c r="J1340" s="16"/>
    </row>
    <row r="1341" spans="4:28" s="1" customFormat="1">
      <c r="D1341" s="11"/>
      <c r="E1341" s="7"/>
      <c r="F1341" s="7"/>
      <c r="G1341" s="7"/>
      <c r="H1341" s="7"/>
      <c r="I1341" s="7"/>
      <c r="J1341" s="16"/>
    </row>
    <row r="1342" spans="4:28" s="1" customFormat="1">
      <c r="D1342" s="11"/>
      <c r="E1342" s="7"/>
      <c r="F1342" s="7"/>
      <c r="G1342" s="7"/>
      <c r="H1342" s="7"/>
      <c r="I1342" s="7"/>
      <c r="J1342" s="16"/>
    </row>
    <row r="1343" spans="4:28">
      <c r="N1343" s="1"/>
      <c r="AA1343" s="1"/>
      <c r="AB1343" s="1"/>
    </row>
    <row r="1344" spans="4:28">
      <c r="N1344" s="1"/>
      <c r="AA1344" s="1"/>
      <c r="AB1344" s="1"/>
    </row>
    <row r="1345" spans="14:28">
      <c r="N1345" s="1"/>
      <c r="AA1345" s="1"/>
      <c r="AB1345" s="1"/>
    </row>
    <row r="1346" spans="14:28">
      <c r="N1346" s="1"/>
      <c r="AA1346" s="1"/>
      <c r="AB1346" s="1"/>
    </row>
    <row r="1347" spans="14:28">
      <c r="N1347" s="1"/>
      <c r="AA1347" s="1"/>
      <c r="AB1347" s="1"/>
    </row>
    <row r="1348" spans="14:28">
      <c r="N1348" s="1"/>
      <c r="AA1348" s="1"/>
      <c r="AB1348" s="1"/>
    </row>
    <row r="1349" spans="14:28">
      <c r="N1349" s="1"/>
      <c r="AA1349" s="1"/>
      <c r="AB1349" s="1"/>
    </row>
    <row r="1350" spans="14:28">
      <c r="N1350" s="1"/>
      <c r="AA1350" s="1"/>
      <c r="AB1350" s="1"/>
    </row>
    <row r="1351" spans="14:28">
      <c r="N1351" s="1"/>
      <c r="AA1351" s="1"/>
      <c r="AB1351" s="1"/>
    </row>
    <row r="1352" spans="14:28">
      <c r="N1352" s="1"/>
      <c r="AA1352" s="1"/>
      <c r="AB1352" s="1"/>
    </row>
    <row r="1353" spans="14:28">
      <c r="N1353" s="1"/>
      <c r="AA1353" s="1"/>
      <c r="AB1353" s="1"/>
    </row>
    <row r="1354" spans="14:28">
      <c r="N1354" s="1"/>
      <c r="AA1354" s="1"/>
      <c r="AB1354" s="1"/>
    </row>
    <row r="1355" spans="14:28">
      <c r="N1355" s="1"/>
      <c r="AA1355" s="1"/>
      <c r="AB1355" s="1"/>
    </row>
    <row r="1356" spans="14:28">
      <c r="N1356" s="1"/>
      <c r="AA1356" s="1"/>
      <c r="AB1356" s="1"/>
    </row>
    <row r="1357" spans="14:28">
      <c r="N1357" s="1"/>
      <c r="AA1357" s="1"/>
      <c r="AB1357" s="1"/>
    </row>
    <row r="1358" spans="14:28">
      <c r="N1358" s="1"/>
      <c r="AA1358" s="1"/>
      <c r="AB1358" s="1"/>
    </row>
    <row r="1359" spans="14:28">
      <c r="N1359" s="1"/>
      <c r="AA1359" s="1"/>
      <c r="AB1359" s="1"/>
    </row>
    <row r="1360" spans="14:28">
      <c r="N1360" s="1"/>
      <c r="AA1360" s="1"/>
      <c r="AB1360" s="1"/>
    </row>
    <row r="1361" spans="14:28">
      <c r="N1361" s="1"/>
      <c r="AA1361" s="1"/>
      <c r="AB1361" s="1"/>
    </row>
    <row r="1362" spans="14:28">
      <c r="N1362" s="1"/>
      <c r="AA1362" s="1"/>
      <c r="AB1362" s="1"/>
    </row>
    <row r="1363" spans="14:28">
      <c r="N1363" s="1"/>
      <c r="AA1363" s="1"/>
      <c r="AB1363" s="1"/>
    </row>
  </sheetData>
  <sheetProtection formatCells="0" formatColumns="0" formatRows="0" sort="0" autoFilter="0"/>
  <phoneticPr fontId="27" type="noConversion"/>
  <hyperlinks>
    <hyperlink ref="L4" r:id="rId1" xr:uid="{CCB9FC36-B880-4190-8777-C582E19BD2FD}"/>
    <hyperlink ref="L129" r:id="rId2" xr:uid="{99FD935A-B034-480B-8560-D557D9610A9D}"/>
    <hyperlink ref="L130" r:id="rId3" xr:uid="{D299867B-D267-4FB0-92BB-12144A352B93}"/>
    <hyperlink ref="L131" r:id="rId4" xr:uid="{D44C15EE-7396-4391-A75B-37271E050F4D}"/>
    <hyperlink ref="L132" r:id="rId5" xr:uid="{0666E3ED-0E21-41B3-A53D-4D4F9559C056}"/>
    <hyperlink ref="L133" r:id="rId6" xr:uid="{18073EB2-AB89-4B91-9118-2210F9D48941}"/>
    <hyperlink ref="L134" r:id="rId7" xr:uid="{A66A966D-F258-417F-BF05-580B304C25F8}"/>
    <hyperlink ref="L135" r:id="rId8" xr:uid="{071126B6-5728-4D78-9B47-047A5203449F}"/>
    <hyperlink ref="L136" r:id="rId9" xr:uid="{ECC15CDE-87CD-428D-991D-7627899D734C}"/>
    <hyperlink ref="L137" r:id="rId10" xr:uid="{F5F20426-034A-424B-8CA2-EBEA0322783E}"/>
    <hyperlink ref="L138" r:id="rId11" xr:uid="{66DC8AD6-D665-4719-9E4F-4D5AF0E46A31}"/>
    <hyperlink ref="L139" r:id="rId12" xr:uid="{D69ED98C-2402-413E-8664-F6D5E628D87E}"/>
    <hyperlink ref="L140" r:id="rId13" xr:uid="{006BEF8C-2331-42F5-B496-D1B9033FCAC5}"/>
    <hyperlink ref="L141" r:id="rId14" xr:uid="{9EC096F8-9F20-4440-9F89-715E79F2ABAB}"/>
    <hyperlink ref="L142" r:id="rId15" xr:uid="{1B7FCE4A-BA47-41DE-AF8E-BE95B1DFE7A9}"/>
    <hyperlink ref="L143" r:id="rId16" xr:uid="{0CAA6DB6-6877-48D6-9D00-5817EB2EDAAA}"/>
    <hyperlink ref="L124" r:id="rId17" xr:uid="{92FD6183-9582-4C74-A1F6-C53D01CEE3A0}"/>
    <hyperlink ref="L125" r:id="rId18" xr:uid="{4504114F-875C-418C-BEE3-12CB179877BA}"/>
    <hyperlink ref="L126" r:id="rId19" xr:uid="{BE3D46A1-1392-49FB-8ED8-21D7D2472DC7}"/>
    <hyperlink ref="L127" r:id="rId20" xr:uid="{6C2C9779-95FB-4C6F-BA2A-3D123630EC61}"/>
    <hyperlink ref="L128" r:id="rId21" xr:uid="{A7AD6785-01FB-499E-801B-2EBCF4AB1054}"/>
    <hyperlink ref="L5" r:id="rId22" xr:uid="{250571E2-8657-4CE4-ABB4-A3E853A5F046}"/>
    <hyperlink ref="L6" r:id="rId23" xr:uid="{649A84D8-C03C-45F6-950B-1226329F282F}"/>
    <hyperlink ref="L7" r:id="rId24" xr:uid="{F147C3C7-C1BD-4F41-A716-EC57BB6BB12D}"/>
    <hyperlink ref="L8" r:id="rId25" xr:uid="{C51EC06A-A4DD-40B3-A36F-DF966F3AABFA}"/>
    <hyperlink ref="L9" r:id="rId26" xr:uid="{00B99604-7D30-45AA-B071-C6E49F126253}"/>
    <hyperlink ref="L10" r:id="rId27" xr:uid="{9039987D-FC64-44A3-9CFF-8A306D38B9E9}"/>
    <hyperlink ref="L11" r:id="rId28" xr:uid="{38C2F6C2-F03B-461E-B3E7-D085A1046D42}"/>
    <hyperlink ref="L12" r:id="rId29" xr:uid="{10D56A86-D4C0-4FEB-BAA4-DB9EA22A7FEA}"/>
    <hyperlink ref="L13" r:id="rId30" xr:uid="{18AF9B79-EB19-42B1-A8CF-43D5EE8C6C7F}"/>
    <hyperlink ref="L14" r:id="rId31" xr:uid="{EE509F12-BB9F-4479-82CA-6E6A614A9E7D}"/>
    <hyperlink ref="L15" r:id="rId32" xr:uid="{7668A565-9021-466A-99E6-8D43FDA53632}"/>
    <hyperlink ref="L16" r:id="rId33" xr:uid="{BAB77ED9-692D-40C4-9A80-86B6F22C245F}"/>
    <hyperlink ref="L17" r:id="rId34" xr:uid="{4A34EFE2-4A5A-4B86-9649-754B9E673726}"/>
    <hyperlink ref="L18" r:id="rId35" xr:uid="{D4A0D7B9-4939-44D7-9A38-9CB8FB46A247}"/>
    <hyperlink ref="L19" r:id="rId36" xr:uid="{F12FEAD5-5B7E-48FE-A2EF-9944C7705B82}"/>
    <hyperlink ref="L20" r:id="rId37" xr:uid="{48A4C200-270B-44B0-A20D-26FF2B1C6678}"/>
    <hyperlink ref="L21" r:id="rId38" xr:uid="{5DC4FA3D-9EE5-4AD1-817D-ACA6F2AECABF}"/>
    <hyperlink ref="L22" r:id="rId39" xr:uid="{2A58EA6A-5E34-440D-A2B2-825FDBBE0531}"/>
    <hyperlink ref="L23" r:id="rId40" xr:uid="{5896D444-47C0-4FC3-A47E-11F2A9E21BD4}"/>
    <hyperlink ref="L24" r:id="rId41" xr:uid="{452F4017-A233-471B-A6BA-909DF9506355}"/>
    <hyperlink ref="L25" r:id="rId42" xr:uid="{8BB6045F-414D-4785-9EAD-94DA0468300E}"/>
    <hyperlink ref="L26" r:id="rId43" xr:uid="{995EA660-AC0C-4F43-8FBE-DD62CAFFEBB2}"/>
    <hyperlink ref="L27" r:id="rId44" xr:uid="{00593153-EB29-4645-9B77-25D633338984}"/>
    <hyperlink ref="L28" r:id="rId45" xr:uid="{6E559FFA-C243-4E3B-83A1-87046D492BFC}"/>
    <hyperlink ref="L29" r:id="rId46" xr:uid="{A37D7016-BF36-495B-99CD-FEAA435B7390}"/>
    <hyperlink ref="L30" r:id="rId47" xr:uid="{4FB0A0FC-9A71-4484-891A-E20C94C0BE2C}"/>
    <hyperlink ref="L31" r:id="rId48" xr:uid="{5293D2EF-7427-422A-BEF9-8B2A11032F9F}"/>
    <hyperlink ref="L32" r:id="rId49" xr:uid="{2F741811-8222-44F1-9BAE-7C75115D888B}"/>
    <hyperlink ref="L33" r:id="rId50" xr:uid="{C14A33B0-6D68-420F-B9B8-19D2C1699ADE}"/>
    <hyperlink ref="L34" r:id="rId51" xr:uid="{F974DE50-E4E0-4660-AE3C-72B42A413DB7}"/>
    <hyperlink ref="L35" r:id="rId52" xr:uid="{069A64A6-A694-49A8-BE03-88B19997988A}"/>
    <hyperlink ref="L36" r:id="rId53" xr:uid="{47CAE7A0-BDAB-4679-A6DB-ADF7BBC99816}"/>
    <hyperlink ref="L37" r:id="rId54" xr:uid="{BD607230-5FE6-4F22-B1BE-50FE9A32F654}"/>
    <hyperlink ref="L38" r:id="rId55" xr:uid="{8A4B7BE6-8490-4857-AE1D-26C5210604A8}"/>
    <hyperlink ref="L39" r:id="rId56" xr:uid="{07C9F259-6A94-4542-96C6-33F3E20E285F}"/>
    <hyperlink ref="L40" r:id="rId57" xr:uid="{B3757517-F400-4774-9445-EF5D8E741095}"/>
    <hyperlink ref="L41" r:id="rId58" xr:uid="{A421690F-EB26-4B33-9C7F-DC80D3E2F6B5}"/>
    <hyperlink ref="L42" r:id="rId59" xr:uid="{F1E498F3-BEED-4556-8C3D-21B281282305}"/>
    <hyperlink ref="L43" r:id="rId60" xr:uid="{2A237C9A-7609-4DB6-A86E-3CDED34BB380}"/>
    <hyperlink ref="L44" r:id="rId61" xr:uid="{05C435A9-B78C-4F31-BE61-EC2D3EE893B5}"/>
    <hyperlink ref="L45" r:id="rId62" xr:uid="{58CE0FBB-5410-47C0-915A-ACDBA7CFF531}"/>
    <hyperlink ref="L46" r:id="rId63" xr:uid="{593E57B1-8A4A-402B-A2DA-B59B3A5C9BDF}"/>
    <hyperlink ref="L47" r:id="rId64" xr:uid="{D46FEF57-4650-40BD-BF5C-86874D9EB70E}"/>
    <hyperlink ref="L48" r:id="rId65" xr:uid="{16B6A3FD-3D35-4401-8E42-D6425DA8FBF4}"/>
    <hyperlink ref="L49" r:id="rId66" xr:uid="{0D206A3A-4387-4B4D-9A01-1FF979E4A0A2}"/>
    <hyperlink ref="L50" r:id="rId67" xr:uid="{E884FEFA-0537-4663-BFF2-B04D50DF7B40}"/>
    <hyperlink ref="L51" r:id="rId68" xr:uid="{CB587382-F055-4A98-AB57-5AE5012DB7EF}"/>
    <hyperlink ref="L52" r:id="rId69" xr:uid="{FCD0AF3F-5FE7-4BC4-BDB6-7C98F2A33487}"/>
    <hyperlink ref="L53" r:id="rId70" xr:uid="{42F5D7B9-C528-4E00-A5DD-F5AFA321965A}"/>
    <hyperlink ref="L54" r:id="rId71" xr:uid="{ECABBDCE-5CAA-4447-87DA-A12CED30E68D}"/>
    <hyperlink ref="L55" r:id="rId72" xr:uid="{6F5F5960-3F42-434E-8F36-894DF8C9589D}"/>
    <hyperlink ref="L56" r:id="rId73" xr:uid="{8FF4907D-52A0-4845-A675-E86DE071AEBE}"/>
    <hyperlink ref="L57" r:id="rId74" xr:uid="{C0757396-8C0E-4FDD-A0AD-3B52F02AE206}"/>
    <hyperlink ref="L58" r:id="rId75" xr:uid="{916937E2-B879-4D23-8A47-BB8477FE886E}"/>
    <hyperlink ref="L59" r:id="rId76" xr:uid="{096334E7-5C68-4EB2-AD1D-97FEA2741313}"/>
    <hyperlink ref="L60" r:id="rId77" xr:uid="{A49CDCF7-58D0-47CB-9A57-E179F955118D}"/>
    <hyperlink ref="L61" r:id="rId78" xr:uid="{E1FED385-3F40-4F9C-A1D7-2AF3230D84BC}"/>
    <hyperlink ref="L62" r:id="rId79" xr:uid="{CBAC05A1-FD51-4103-945B-06283E16C3A8}"/>
    <hyperlink ref="L63" r:id="rId80" xr:uid="{775131FC-1485-470F-B5A6-F5F8B67220D6}"/>
    <hyperlink ref="L64" r:id="rId81" xr:uid="{80A510C9-8EFB-4087-B920-AE35DE079E13}"/>
    <hyperlink ref="L65" r:id="rId82" xr:uid="{6DBB0E22-096B-4F62-9E92-1CA0C265C397}"/>
    <hyperlink ref="L66" r:id="rId83" xr:uid="{29BD63DE-46A9-452E-AAD0-514B126641F0}"/>
    <hyperlink ref="L67" r:id="rId84" xr:uid="{7D24C82A-66AA-4BEA-99F5-D9A9BF3AF966}"/>
    <hyperlink ref="L68" r:id="rId85" xr:uid="{13C6E38D-5421-4720-AD91-D6526C110B26}"/>
    <hyperlink ref="L69" r:id="rId86" xr:uid="{E087F574-EB12-4EDE-A1D1-6AFCA153C72A}"/>
    <hyperlink ref="L70" r:id="rId87" xr:uid="{21E0F266-EECC-456A-A708-5A336FE9873D}"/>
    <hyperlink ref="L71" r:id="rId88" xr:uid="{0679FB35-EDF1-408C-B5E3-4975EF730382}"/>
    <hyperlink ref="L72" r:id="rId89" xr:uid="{79D57CB3-F216-4584-84C2-532C9E6066AC}"/>
    <hyperlink ref="L73" r:id="rId90" xr:uid="{2FC39175-ECD0-418E-85B0-8B361DFB57FA}"/>
    <hyperlink ref="L74" r:id="rId91" xr:uid="{130CE553-8D2D-4420-88D4-CF91016B4B8F}"/>
    <hyperlink ref="L75" r:id="rId92" xr:uid="{5509EE58-0BEC-48C6-9D66-0431CBF3228E}"/>
    <hyperlink ref="L76" r:id="rId93" xr:uid="{C935505B-A1CA-4ED9-B234-E3DBB09460C0}"/>
    <hyperlink ref="L77" r:id="rId94" xr:uid="{E18A81EF-FB89-414D-BFFF-69C2A556549E}"/>
    <hyperlink ref="L78" r:id="rId95" xr:uid="{2776D171-D477-4D3E-BB58-34B365900B65}"/>
    <hyperlink ref="L79" r:id="rId96" xr:uid="{9C55B831-3DCF-4B97-9155-C8E02EB1325C}"/>
    <hyperlink ref="L80" r:id="rId97" xr:uid="{23774127-531D-4285-9E14-5ECDD54BBD63}"/>
    <hyperlink ref="L81" r:id="rId98" xr:uid="{A8A4150E-1325-4D6B-93B5-4FB50F071A7B}"/>
    <hyperlink ref="L82" r:id="rId99" xr:uid="{F7E22B74-DD39-4106-8B15-C92DED83312E}"/>
    <hyperlink ref="L83" r:id="rId100" xr:uid="{A9E18236-FB54-491D-B13A-DCD6384B86E9}"/>
    <hyperlink ref="L84" r:id="rId101" xr:uid="{205F4267-482B-42EB-8628-68F3F3586EA8}"/>
    <hyperlink ref="L85" r:id="rId102" xr:uid="{84E2EB8F-5509-429A-ACC9-A33ED2D256B9}"/>
    <hyperlink ref="L86" r:id="rId103" xr:uid="{2FAA950D-6CC0-465D-90D7-34908DF5AB5C}"/>
    <hyperlink ref="L87" r:id="rId104" xr:uid="{26B720B9-AF7B-4912-BE83-EE65BEF298BB}"/>
    <hyperlink ref="L88" r:id="rId105" xr:uid="{5FAD8DEB-E2FE-44D8-9127-0D44153EF33E}"/>
    <hyperlink ref="L89" r:id="rId106" xr:uid="{AB9DD6FE-97E6-4941-BE99-BF22BDBEB05E}"/>
    <hyperlink ref="L90" r:id="rId107" xr:uid="{C2114430-CD72-49F9-9454-BC8B21D34382}"/>
    <hyperlink ref="L91" r:id="rId108" xr:uid="{6E88171E-AFF7-4F89-80EE-E9B221E1C4D9}"/>
    <hyperlink ref="L92" r:id="rId109" xr:uid="{2CE89B76-3512-46CA-B12E-D89933D47E8C}"/>
    <hyperlink ref="L93" r:id="rId110" xr:uid="{F5C68E81-A609-4522-B838-D6B55FB9AD28}"/>
    <hyperlink ref="L94" r:id="rId111" xr:uid="{AFEAF57D-379F-4075-8178-7060D3E665AA}"/>
    <hyperlink ref="L95" r:id="rId112" xr:uid="{FF9FC8FA-F0CD-4E95-A34C-16F0D39FE716}"/>
    <hyperlink ref="L96" r:id="rId113" xr:uid="{2EA9D5F3-A581-4D21-BE89-1806A7273C0E}"/>
    <hyperlink ref="L97" r:id="rId114" xr:uid="{47F0FC75-3EDC-486B-9DCD-280E4CC8C616}"/>
    <hyperlink ref="L98" r:id="rId115" xr:uid="{4EDCE3CE-796A-4F70-8072-D39C6680F929}"/>
    <hyperlink ref="L99" r:id="rId116" xr:uid="{8543222E-6FD0-444B-BBA0-1B41973B15A7}"/>
    <hyperlink ref="L100" r:id="rId117" xr:uid="{A4888BA0-0932-4236-AF6D-A45F388E2466}"/>
    <hyperlink ref="L101" r:id="rId118" xr:uid="{EF0B9FC3-DC4A-495F-AD85-63AD049E01B7}"/>
    <hyperlink ref="L102" r:id="rId119" xr:uid="{1D511362-C777-45EF-A9B5-B7829266E3F4}"/>
    <hyperlink ref="L103" r:id="rId120" xr:uid="{0C329BF5-BCB3-454F-91AD-ED83C46B4F42}"/>
    <hyperlink ref="L104" r:id="rId121" xr:uid="{C6124684-BAA9-41FD-810E-C1A507D8E84A}"/>
    <hyperlink ref="L105" r:id="rId122" xr:uid="{214471CB-60C6-4AE7-B636-B36A1D318DF1}"/>
    <hyperlink ref="L106" r:id="rId123" xr:uid="{0BEA5D5A-4661-4477-81D9-FAEE665258DD}"/>
    <hyperlink ref="L107" r:id="rId124" xr:uid="{139F0548-F4BC-4D7F-BCDB-E072664ED513}"/>
    <hyperlink ref="L108" r:id="rId125" xr:uid="{FC2A2B5A-DE8B-47DC-8DE4-916498ED70DE}"/>
    <hyperlink ref="L109" r:id="rId126" xr:uid="{F918D969-A0CD-4750-9CF6-1134778055ED}"/>
    <hyperlink ref="L110" r:id="rId127" xr:uid="{927DD609-E233-47ED-835F-930D30EAC940}"/>
    <hyperlink ref="L111" r:id="rId128" xr:uid="{E891EAAC-3962-4FA9-9A57-9C01DF761CA3}"/>
    <hyperlink ref="L112" r:id="rId129" xr:uid="{17A47AB1-2721-41A5-95F0-F412989F0350}"/>
    <hyperlink ref="L113" r:id="rId130" xr:uid="{E58144E0-3864-473F-B987-93909CA6D3C2}"/>
    <hyperlink ref="L114" r:id="rId131" xr:uid="{2D1AC422-AF16-41E4-ADBD-0E193831250A}"/>
    <hyperlink ref="L115" r:id="rId132" xr:uid="{B9846C6A-61B9-4971-B37E-15CDBB724F9E}"/>
    <hyperlink ref="L116" r:id="rId133" xr:uid="{864DE9E4-F55F-4F45-B960-813CA1ED5253}"/>
    <hyperlink ref="L117" r:id="rId134" xr:uid="{077EC0CC-43B5-4678-9D39-F5BF4B7571E4}"/>
    <hyperlink ref="L118" r:id="rId135" xr:uid="{75FC3D92-ED2A-4578-8E9D-24209EF856E1}"/>
    <hyperlink ref="L119" r:id="rId136" xr:uid="{50B89BFA-EB21-4311-A863-EDFCCB6A0F92}"/>
    <hyperlink ref="L120" r:id="rId137" xr:uid="{FDF364FA-0570-424F-A2A2-54F974E1E034}"/>
    <hyperlink ref="L121" r:id="rId138" xr:uid="{CA0208A1-E5C3-4C63-A516-26372815F353}"/>
    <hyperlink ref="L122" r:id="rId139" xr:uid="{859A912B-3082-4DF8-874B-5C860D646854}"/>
    <hyperlink ref="L123" r:id="rId140" xr:uid="{F0352B13-0100-42D9-AAA6-78E77E9CE28C}"/>
  </hyperlinks>
  <pageMargins left="0.7" right="0.7" top="0.75" bottom="0.75" header="0.3" footer="0.3"/>
  <pageSetup orientation="portrait" r:id="rId14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8867-13F6-43D6-8061-952F74E16579}">
  <dimension ref="A1:AF106"/>
  <sheetViews>
    <sheetView workbookViewId="0">
      <selection activeCell="A7" sqref="A7:XFD8"/>
    </sheetView>
  </sheetViews>
  <sheetFormatPr defaultColWidth="11" defaultRowHeight="15.75"/>
  <cols>
    <col min="1" max="1" width="24.375" style="54" customWidth="1"/>
    <col min="2" max="2" width="48.5" style="54" customWidth="1"/>
    <col min="3" max="3" width="31.125" style="54" customWidth="1"/>
    <col min="4" max="4" width="14.125" style="54" customWidth="1"/>
    <col min="5" max="5" width="26" style="54" customWidth="1"/>
    <col min="6" max="7" width="22.375" style="27" customWidth="1"/>
    <col min="8" max="8" width="30.125" style="27" customWidth="1"/>
    <col min="9" max="9" width="20.375" style="27" customWidth="1"/>
    <col min="10" max="15" width="30.125" style="27" customWidth="1"/>
    <col min="16" max="16" width="20.875" style="27" customWidth="1"/>
    <col min="17" max="17" width="20.5" style="27" customWidth="1"/>
    <col min="18" max="18" width="25.5" style="27" customWidth="1"/>
    <col min="19" max="19" width="32.875" style="38" customWidth="1"/>
    <col min="20" max="20" width="20.375" style="38" customWidth="1"/>
    <col min="21" max="21" width="27" style="38" customWidth="1"/>
    <col min="22" max="22" width="19.5" style="38" customWidth="1"/>
    <col min="23" max="23" width="34.125" style="38" customWidth="1"/>
    <col min="24" max="24" width="20" style="38" customWidth="1"/>
    <col min="25" max="28" width="22.125" style="38" customWidth="1"/>
    <col min="29" max="29" width="11" style="38"/>
    <col min="30" max="30" width="21.875" style="38" customWidth="1"/>
    <col min="31" max="31" width="24.875" style="38" customWidth="1"/>
    <col min="32" max="32" width="88.625" style="55" customWidth="1"/>
    <col min="33" max="16384" width="11" style="32"/>
  </cols>
  <sheetData>
    <row r="1" spans="1:32">
      <c r="A1" s="24" t="s">
        <v>74</v>
      </c>
      <c r="B1" s="25"/>
      <c r="C1" s="25"/>
      <c r="D1" s="25"/>
      <c r="E1" s="26"/>
      <c r="S1" s="28"/>
      <c r="T1" s="29"/>
      <c r="U1" s="29"/>
      <c r="V1" s="29"/>
      <c r="W1" s="29"/>
      <c r="X1" s="29"/>
      <c r="Y1" s="29"/>
      <c r="Z1" s="29"/>
      <c r="AA1" s="29"/>
      <c r="AB1" s="29"/>
      <c r="AC1" s="29"/>
      <c r="AD1" s="29"/>
      <c r="AE1" s="30"/>
      <c r="AF1" s="31"/>
    </row>
    <row r="2" spans="1:32">
      <c r="A2" s="68" t="s">
        <v>75</v>
      </c>
      <c r="B2" s="69"/>
      <c r="C2" s="69"/>
      <c r="D2" s="69"/>
      <c r="E2" s="70"/>
      <c r="F2" s="74" t="s">
        <v>76</v>
      </c>
      <c r="G2" s="74"/>
      <c r="H2" s="74"/>
      <c r="I2" s="74"/>
      <c r="J2" s="74"/>
      <c r="K2" s="74"/>
      <c r="L2" s="74"/>
      <c r="M2" s="74"/>
      <c r="N2" s="74"/>
      <c r="O2" s="74"/>
      <c r="P2" s="74"/>
      <c r="Q2" s="74"/>
      <c r="R2" s="74"/>
      <c r="S2" s="75" t="s">
        <v>77</v>
      </c>
      <c r="T2" s="76"/>
      <c r="U2" s="76"/>
      <c r="V2" s="76"/>
      <c r="W2" s="76"/>
      <c r="X2" s="76"/>
      <c r="Y2" s="76"/>
      <c r="Z2" s="76"/>
      <c r="AA2" s="76"/>
      <c r="AB2" s="76"/>
      <c r="AC2" s="69"/>
      <c r="AD2" s="69"/>
      <c r="AE2" s="70"/>
      <c r="AF2" s="77"/>
    </row>
    <row r="3" spans="1:32">
      <c r="A3" s="71"/>
      <c r="B3" s="72"/>
      <c r="C3" s="72"/>
      <c r="D3" s="72"/>
      <c r="E3" s="73"/>
      <c r="F3" s="79" t="s">
        <v>78</v>
      </c>
      <c r="G3" s="79"/>
      <c r="H3" s="80"/>
      <c r="I3" s="80"/>
      <c r="J3" s="81" t="s">
        <v>79</v>
      </c>
      <c r="K3" s="82"/>
      <c r="L3" s="81" t="s">
        <v>80</v>
      </c>
      <c r="M3" s="83"/>
      <c r="N3" s="83"/>
      <c r="O3" s="82"/>
      <c r="P3" s="79" t="s">
        <v>81</v>
      </c>
      <c r="Q3" s="80"/>
      <c r="R3" s="80"/>
      <c r="S3" s="71"/>
      <c r="T3" s="72"/>
      <c r="U3" s="72"/>
      <c r="V3" s="72"/>
      <c r="W3" s="72"/>
      <c r="X3" s="72"/>
      <c r="Y3" s="72"/>
      <c r="Z3" s="72"/>
      <c r="AA3" s="72"/>
      <c r="AB3" s="72"/>
      <c r="AC3" s="72"/>
      <c r="AD3" s="72"/>
      <c r="AE3" s="73"/>
      <c r="AF3" s="78"/>
    </row>
    <row r="4" spans="1:32" ht="219.75" hidden="1">
      <c r="A4" s="35"/>
      <c r="B4" s="35"/>
      <c r="C4" s="36" t="s">
        <v>82</v>
      </c>
      <c r="D4" s="35"/>
      <c r="E4" s="35"/>
      <c r="F4" s="33"/>
      <c r="G4" s="33"/>
      <c r="H4" s="33"/>
      <c r="I4" s="33"/>
      <c r="J4" s="33"/>
      <c r="K4" s="33"/>
      <c r="L4" s="33"/>
      <c r="M4" s="33"/>
      <c r="N4" s="33"/>
      <c r="O4" s="33"/>
      <c r="P4" s="33"/>
      <c r="Q4" s="33"/>
      <c r="R4" s="33"/>
      <c r="S4" s="37" t="s">
        <v>83</v>
      </c>
      <c r="U4" s="37" t="s">
        <v>84</v>
      </c>
      <c r="W4" s="37" t="s">
        <v>85</v>
      </c>
      <c r="Z4" s="37" t="s">
        <v>86</v>
      </c>
      <c r="AD4" s="37" t="s">
        <v>87</v>
      </c>
      <c r="AF4" s="34"/>
    </row>
    <row r="5" spans="1:32" s="43" customFormat="1" ht="228.95" customHeight="1">
      <c r="A5" s="35" t="s">
        <v>88</v>
      </c>
      <c r="B5" s="35" t="s">
        <v>89</v>
      </c>
      <c r="C5" s="35" t="s">
        <v>90</v>
      </c>
      <c r="D5" s="35"/>
      <c r="E5" s="35"/>
      <c r="F5" s="39" t="s">
        <v>91</v>
      </c>
      <c r="G5" s="39" t="s">
        <v>92</v>
      </c>
      <c r="H5" s="39" t="s">
        <v>93</v>
      </c>
      <c r="I5" s="39"/>
      <c r="J5" s="39" t="s">
        <v>94</v>
      </c>
      <c r="K5" s="39" t="s">
        <v>95</v>
      </c>
      <c r="L5" s="39"/>
      <c r="M5" s="39"/>
      <c r="N5" s="39"/>
      <c r="O5" s="39"/>
      <c r="P5" s="39" t="s">
        <v>96</v>
      </c>
      <c r="Q5" s="39" t="s">
        <v>97</v>
      </c>
      <c r="R5" s="39" t="s">
        <v>98</v>
      </c>
      <c r="S5" s="38" t="s">
        <v>99</v>
      </c>
      <c r="T5" s="40" t="s">
        <v>100</v>
      </c>
      <c r="U5" s="38" t="s">
        <v>99</v>
      </c>
      <c r="V5" s="40" t="s">
        <v>101</v>
      </c>
      <c r="W5" s="38" t="s">
        <v>99</v>
      </c>
      <c r="X5" s="40" t="s">
        <v>102</v>
      </c>
      <c r="Y5" s="41" t="s">
        <v>103</v>
      </c>
      <c r="Z5" s="38" t="s">
        <v>99</v>
      </c>
      <c r="AA5" s="40" t="s">
        <v>104</v>
      </c>
      <c r="AB5" s="41" t="s">
        <v>105</v>
      </c>
      <c r="AC5" s="41" t="s">
        <v>106</v>
      </c>
      <c r="AD5" s="38" t="s">
        <v>99</v>
      </c>
      <c r="AE5" s="40" t="s">
        <v>107</v>
      </c>
      <c r="AF5" s="42" t="s">
        <v>108</v>
      </c>
    </row>
    <row r="6" spans="1:32" s="49" customFormat="1" ht="48" thickBot="1">
      <c r="A6" s="44" t="s">
        <v>109</v>
      </c>
      <c r="B6" s="45" t="s">
        <v>110</v>
      </c>
      <c r="C6" s="45" t="s">
        <v>111</v>
      </c>
      <c r="D6" s="45" t="s">
        <v>112</v>
      </c>
      <c r="E6" s="45" t="s">
        <v>113</v>
      </c>
      <c r="F6" s="46" t="s">
        <v>114</v>
      </c>
      <c r="G6" s="46" t="s">
        <v>115</v>
      </c>
      <c r="H6" s="46" t="s">
        <v>116</v>
      </c>
      <c r="I6" s="46" t="s">
        <v>117</v>
      </c>
      <c r="J6" s="46" t="s">
        <v>118</v>
      </c>
      <c r="K6" s="46" t="s">
        <v>119</v>
      </c>
      <c r="L6" s="46" t="s">
        <v>120</v>
      </c>
      <c r="M6" s="46" t="s">
        <v>121</v>
      </c>
      <c r="N6" s="46" t="s">
        <v>122</v>
      </c>
      <c r="O6" s="46" t="s">
        <v>123</v>
      </c>
      <c r="P6" s="46" t="s">
        <v>124</v>
      </c>
      <c r="Q6" s="46" t="s">
        <v>125</v>
      </c>
      <c r="R6" s="46" t="s">
        <v>126</v>
      </c>
      <c r="S6" s="47" t="s">
        <v>127</v>
      </c>
      <c r="T6" s="47" t="s">
        <v>128</v>
      </c>
      <c r="U6" s="47" t="s">
        <v>129</v>
      </c>
      <c r="V6" s="47" t="s">
        <v>130</v>
      </c>
      <c r="W6" s="47" t="s">
        <v>131</v>
      </c>
      <c r="X6" s="47" t="s">
        <v>132</v>
      </c>
      <c r="Y6" s="47" t="s">
        <v>133</v>
      </c>
      <c r="Z6" s="47" t="s">
        <v>134</v>
      </c>
      <c r="AA6" s="47" t="s">
        <v>135</v>
      </c>
      <c r="AB6" s="47" t="s">
        <v>136</v>
      </c>
      <c r="AC6" s="47" t="s">
        <v>137</v>
      </c>
      <c r="AD6" s="47" t="s">
        <v>138</v>
      </c>
      <c r="AE6" s="47" t="s">
        <v>139</v>
      </c>
      <c r="AF6" s="48" t="s">
        <v>140</v>
      </c>
    </row>
    <row r="7" spans="1:32">
      <c r="A7" s="50" t="s">
        <v>492</v>
      </c>
      <c r="B7" s="50" t="s">
        <v>39</v>
      </c>
      <c r="C7" s="51" t="s">
        <v>157</v>
      </c>
      <c r="D7" s="51">
        <v>201.4</v>
      </c>
      <c r="E7" s="51" t="s">
        <v>39</v>
      </c>
      <c r="F7" s="52"/>
      <c r="G7" s="52"/>
      <c r="H7" s="52"/>
      <c r="I7" s="52"/>
      <c r="J7" s="52" t="s">
        <v>39</v>
      </c>
      <c r="K7" s="52" t="s">
        <v>493</v>
      </c>
      <c r="L7" s="52"/>
      <c r="M7" s="52"/>
      <c r="N7" s="52"/>
      <c r="O7" s="52"/>
      <c r="P7" s="52"/>
      <c r="Q7" s="52"/>
      <c r="R7" s="52"/>
      <c r="S7" s="53"/>
      <c r="T7" s="53"/>
      <c r="U7" s="53"/>
      <c r="V7" s="53"/>
      <c r="W7" s="53"/>
      <c r="X7" s="53"/>
      <c r="Y7" s="53"/>
      <c r="Z7" s="53"/>
      <c r="AA7" s="53"/>
      <c r="AB7" s="53"/>
      <c r="AC7" s="53"/>
      <c r="AD7" s="53"/>
      <c r="AE7" s="53"/>
      <c r="AF7" s="34"/>
    </row>
    <row r="8" spans="1:32">
      <c r="A8" s="50" t="s">
        <v>492</v>
      </c>
      <c r="B8" s="50" t="s">
        <v>39</v>
      </c>
      <c r="C8" s="51" t="s">
        <v>164</v>
      </c>
      <c r="D8" s="51">
        <v>174.7</v>
      </c>
      <c r="E8" s="51" t="s">
        <v>39</v>
      </c>
      <c r="F8" s="52"/>
      <c r="G8" s="52"/>
      <c r="H8" s="52"/>
      <c r="I8" s="52"/>
      <c r="J8" s="52" t="s">
        <v>39</v>
      </c>
      <c r="K8" s="52" t="s">
        <v>493</v>
      </c>
      <c r="L8" s="52"/>
      <c r="M8" s="52"/>
      <c r="N8" s="52"/>
      <c r="O8" s="52"/>
      <c r="P8" s="52"/>
      <c r="Q8" s="52"/>
      <c r="R8" s="52"/>
      <c r="S8" s="53"/>
      <c r="T8" s="53"/>
      <c r="U8" s="53"/>
      <c r="V8" s="53"/>
      <c r="W8" s="53"/>
      <c r="X8" s="53"/>
      <c r="Y8" s="53"/>
      <c r="Z8" s="53"/>
      <c r="AA8" s="53"/>
      <c r="AB8" s="53"/>
      <c r="AC8" s="53"/>
      <c r="AD8" s="53"/>
      <c r="AE8" s="53"/>
      <c r="AF8" s="34"/>
    </row>
    <row r="9" spans="1:32">
      <c r="A9" s="50"/>
      <c r="B9" s="50"/>
      <c r="C9" s="51"/>
      <c r="D9" s="51"/>
      <c r="E9" s="51"/>
      <c r="F9" s="52"/>
      <c r="G9" s="52"/>
      <c r="H9" s="52"/>
      <c r="I9" s="52"/>
      <c r="J9" s="52"/>
      <c r="K9" s="52"/>
      <c r="L9" s="52"/>
      <c r="M9" s="52"/>
      <c r="N9" s="52"/>
      <c r="O9" s="52"/>
      <c r="P9" s="52"/>
      <c r="Q9" s="52"/>
      <c r="R9" s="52"/>
      <c r="S9" s="53"/>
      <c r="T9" s="53"/>
      <c r="U9" s="53"/>
      <c r="V9" s="53"/>
      <c r="W9" s="53"/>
      <c r="X9" s="53"/>
      <c r="Y9" s="53"/>
      <c r="Z9" s="53"/>
      <c r="AA9" s="53"/>
      <c r="AB9" s="53"/>
      <c r="AC9" s="53"/>
      <c r="AD9" s="53"/>
      <c r="AE9" s="53"/>
      <c r="AF9" s="34"/>
    </row>
    <row r="10" spans="1:32">
      <c r="A10" s="50"/>
      <c r="B10" s="50"/>
      <c r="C10" s="51"/>
      <c r="D10" s="51"/>
      <c r="E10" s="51"/>
      <c r="F10" s="52"/>
      <c r="G10" s="52"/>
      <c r="H10" s="52"/>
      <c r="I10" s="52"/>
      <c r="J10" s="52"/>
      <c r="K10" s="52"/>
      <c r="L10" s="52"/>
      <c r="M10" s="52"/>
      <c r="N10" s="52"/>
      <c r="O10" s="52"/>
      <c r="P10" s="52"/>
      <c r="Q10" s="52"/>
      <c r="R10" s="52"/>
      <c r="S10" s="53"/>
      <c r="T10" s="53"/>
      <c r="U10" s="53"/>
      <c r="V10" s="53"/>
      <c r="W10" s="53"/>
      <c r="X10" s="53"/>
      <c r="Y10" s="53"/>
      <c r="Z10" s="53"/>
      <c r="AA10" s="53"/>
      <c r="AB10" s="53"/>
      <c r="AC10" s="53"/>
      <c r="AD10" s="53"/>
      <c r="AE10" s="53"/>
      <c r="AF10" s="34"/>
    </row>
    <row r="11" spans="1:32">
      <c r="A11" s="50"/>
      <c r="B11" s="50"/>
      <c r="C11" s="51"/>
      <c r="D11" s="51"/>
      <c r="E11" s="51"/>
      <c r="F11" s="52"/>
      <c r="G11" s="52"/>
      <c r="H11" s="52"/>
      <c r="I11" s="52"/>
      <c r="J11" s="52"/>
      <c r="K11" s="52"/>
      <c r="L11" s="52"/>
      <c r="M11" s="52"/>
      <c r="N11" s="52"/>
      <c r="O11" s="52"/>
      <c r="P11" s="52"/>
      <c r="Q11" s="52"/>
      <c r="R11" s="52"/>
      <c r="S11" s="53"/>
      <c r="T11" s="53"/>
      <c r="U11" s="53"/>
      <c r="V11" s="53"/>
      <c r="W11" s="53"/>
      <c r="X11" s="53"/>
      <c r="Y11" s="53"/>
      <c r="Z11" s="53"/>
      <c r="AA11" s="53"/>
      <c r="AB11" s="53"/>
      <c r="AC11" s="53"/>
      <c r="AD11" s="53"/>
      <c r="AE11" s="53"/>
      <c r="AF11" s="34"/>
    </row>
    <row r="12" spans="1:32">
      <c r="A12" s="50"/>
      <c r="B12" s="50"/>
      <c r="C12" s="51"/>
      <c r="D12" s="51"/>
      <c r="E12" s="51"/>
      <c r="F12" s="52"/>
      <c r="G12" s="52"/>
      <c r="H12" s="52"/>
      <c r="I12" s="52"/>
      <c r="J12" s="52"/>
      <c r="K12" s="52"/>
      <c r="L12" s="52"/>
      <c r="M12" s="52"/>
      <c r="N12" s="52"/>
      <c r="O12" s="52"/>
      <c r="P12" s="52"/>
      <c r="Q12" s="52"/>
      <c r="R12" s="52"/>
      <c r="S12" s="53"/>
      <c r="T12" s="53"/>
      <c r="U12" s="53"/>
      <c r="V12" s="53"/>
      <c r="W12" s="53"/>
      <c r="X12" s="53"/>
      <c r="Y12" s="53"/>
      <c r="Z12" s="53"/>
      <c r="AA12" s="53"/>
      <c r="AB12" s="53"/>
      <c r="AC12" s="53"/>
      <c r="AD12" s="53"/>
      <c r="AE12" s="53"/>
      <c r="AF12" s="34"/>
    </row>
    <row r="13" spans="1:32">
      <c r="A13" s="50"/>
      <c r="B13" s="50"/>
      <c r="C13" s="51"/>
      <c r="D13" s="51"/>
      <c r="E13" s="51"/>
      <c r="F13" s="52"/>
      <c r="G13" s="52"/>
      <c r="H13" s="52"/>
      <c r="I13" s="52"/>
      <c r="J13" s="52"/>
      <c r="K13" s="52"/>
      <c r="L13" s="52"/>
      <c r="M13" s="52"/>
      <c r="N13" s="52"/>
      <c r="O13" s="52"/>
      <c r="P13" s="52"/>
      <c r="Q13" s="52"/>
      <c r="R13" s="52"/>
      <c r="S13" s="53"/>
      <c r="T13" s="53"/>
      <c r="U13" s="53"/>
      <c r="V13" s="53"/>
      <c r="W13" s="53"/>
      <c r="X13" s="53"/>
      <c r="Y13" s="53"/>
      <c r="Z13" s="53"/>
      <c r="AA13" s="53"/>
      <c r="AB13" s="53"/>
      <c r="AC13" s="53"/>
      <c r="AD13" s="53"/>
      <c r="AE13" s="53"/>
      <c r="AF13" s="34"/>
    </row>
    <row r="14" spans="1:32">
      <c r="A14" s="50"/>
      <c r="B14" s="50"/>
      <c r="C14" s="51"/>
      <c r="D14" s="51"/>
      <c r="E14" s="51"/>
      <c r="F14" s="52"/>
      <c r="G14" s="52"/>
      <c r="H14" s="52"/>
      <c r="I14" s="52"/>
      <c r="J14" s="52"/>
      <c r="K14" s="52"/>
      <c r="L14" s="52"/>
      <c r="M14" s="52"/>
      <c r="N14" s="52"/>
      <c r="O14" s="52"/>
      <c r="P14" s="52"/>
      <c r="Q14" s="52"/>
      <c r="R14" s="52"/>
      <c r="S14" s="53"/>
      <c r="T14" s="53"/>
      <c r="U14" s="53"/>
      <c r="V14" s="53"/>
      <c r="W14" s="53"/>
      <c r="X14" s="53"/>
      <c r="Y14" s="53"/>
      <c r="Z14" s="53"/>
      <c r="AA14" s="53"/>
      <c r="AB14" s="53"/>
      <c r="AC14" s="53"/>
      <c r="AD14" s="53"/>
      <c r="AE14" s="53"/>
      <c r="AF14" s="34"/>
    </row>
    <row r="15" spans="1:32">
      <c r="A15" s="50"/>
      <c r="B15" s="50"/>
      <c r="C15" s="51"/>
      <c r="D15" s="51"/>
      <c r="E15" s="51"/>
      <c r="F15" s="52"/>
      <c r="G15" s="52"/>
      <c r="H15" s="52"/>
      <c r="I15" s="52"/>
      <c r="J15" s="52"/>
      <c r="K15" s="52"/>
      <c r="L15" s="52"/>
      <c r="M15" s="52"/>
      <c r="N15" s="52"/>
      <c r="O15" s="52"/>
      <c r="P15" s="52"/>
      <c r="Q15" s="52"/>
      <c r="R15" s="52"/>
      <c r="S15" s="53"/>
      <c r="T15" s="53"/>
      <c r="U15" s="53"/>
      <c r="V15" s="53"/>
      <c r="W15" s="53"/>
      <c r="X15" s="53"/>
      <c r="Y15" s="53"/>
      <c r="Z15" s="53"/>
      <c r="AA15" s="53"/>
      <c r="AB15" s="53"/>
      <c r="AC15" s="53"/>
      <c r="AD15" s="53"/>
      <c r="AE15" s="53"/>
      <c r="AF15" s="34"/>
    </row>
    <row r="16" spans="1:32">
      <c r="A16" s="50"/>
      <c r="B16" s="50"/>
      <c r="C16" s="51"/>
      <c r="D16" s="51"/>
      <c r="E16" s="51"/>
      <c r="F16" s="52"/>
      <c r="G16" s="52"/>
      <c r="H16" s="52"/>
      <c r="I16" s="52"/>
      <c r="J16" s="52"/>
      <c r="K16" s="52"/>
      <c r="L16" s="52"/>
      <c r="M16" s="52"/>
      <c r="N16" s="52"/>
      <c r="O16" s="52"/>
      <c r="P16" s="52"/>
      <c r="Q16" s="52"/>
      <c r="R16" s="52"/>
      <c r="S16" s="53"/>
      <c r="T16" s="53"/>
      <c r="U16" s="53"/>
      <c r="V16" s="53"/>
      <c r="W16" s="53"/>
      <c r="X16" s="53"/>
      <c r="Y16" s="53"/>
      <c r="Z16" s="53"/>
      <c r="AA16" s="53"/>
      <c r="AB16" s="53"/>
      <c r="AC16" s="53"/>
      <c r="AD16" s="53"/>
      <c r="AE16" s="53"/>
      <c r="AF16" s="34"/>
    </row>
    <row r="17" spans="1:32">
      <c r="A17" s="50"/>
      <c r="B17" s="50"/>
      <c r="C17" s="51"/>
      <c r="D17" s="51"/>
      <c r="E17" s="51"/>
      <c r="F17" s="52"/>
      <c r="G17" s="52"/>
      <c r="H17" s="52"/>
      <c r="I17" s="52"/>
      <c r="J17" s="52"/>
      <c r="K17" s="52"/>
      <c r="L17" s="52"/>
      <c r="M17" s="52"/>
      <c r="N17" s="52"/>
      <c r="O17" s="52"/>
      <c r="P17" s="52"/>
      <c r="Q17" s="52"/>
      <c r="R17" s="52"/>
      <c r="S17" s="53"/>
      <c r="T17" s="53"/>
      <c r="U17" s="53"/>
      <c r="V17" s="53"/>
      <c r="W17" s="53"/>
      <c r="X17" s="53"/>
      <c r="Y17" s="53"/>
      <c r="Z17" s="53"/>
      <c r="AA17" s="53"/>
      <c r="AB17" s="53"/>
      <c r="AC17" s="53"/>
      <c r="AD17" s="53"/>
      <c r="AE17" s="53"/>
      <c r="AF17" s="34"/>
    </row>
    <row r="18" spans="1:32">
      <c r="A18" s="50"/>
      <c r="B18" s="50"/>
      <c r="C18" s="51"/>
      <c r="D18" s="51"/>
      <c r="E18" s="51"/>
      <c r="F18" s="52"/>
      <c r="G18" s="52"/>
      <c r="H18" s="52"/>
      <c r="I18" s="52"/>
      <c r="J18" s="52"/>
      <c r="K18" s="52"/>
      <c r="L18" s="52"/>
      <c r="M18" s="52"/>
      <c r="N18" s="52"/>
      <c r="O18" s="52"/>
      <c r="P18" s="52"/>
      <c r="Q18" s="52"/>
      <c r="R18" s="52"/>
      <c r="S18" s="53"/>
      <c r="T18" s="53"/>
      <c r="U18" s="53"/>
      <c r="V18" s="53"/>
      <c r="W18" s="53"/>
      <c r="X18" s="53"/>
      <c r="Y18" s="53"/>
      <c r="Z18" s="53"/>
      <c r="AA18" s="53"/>
      <c r="AB18" s="53"/>
      <c r="AC18" s="53"/>
      <c r="AD18" s="53"/>
      <c r="AE18" s="53"/>
      <c r="AF18" s="34"/>
    </row>
    <row r="19" spans="1:32">
      <c r="A19" s="50"/>
      <c r="B19" s="50"/>
      <c r="C19" s="51"/>
      <c r="D19" s="51"/>
      <c r="E19" s="51"/>
      <c r="F19" s="52"/>
      <c r="G19" s="52"/>
      <c r="H19" s="52"/>
      <c r="I19" s="52"/>
      <c r="J19" s="52"/>
      <c r="K19" s="52"/>
      <c r="L19" s="52"/>
      <c r="M19" s="52"/>
      <c r="N19" s="52"/>
      <c r="O19" s="52"/>
      <c r="P19" s="52"/>
      <c r="Q19" s="52"/>
      <c r="R19" s="52"/>
      <c r="S19" s="53"/>
      <c r="T19" s="53"/>
      <c r="U19" s="53"/>
      <c r="V19" s="53"/>
      <c r="W19" s="53"/>
      <c r="X19" s="53"/>
      <c r="Y19" s="53"/>
      <c r="Z19" s="53"/>
      <c r="AA19" s="53"/>
      <c r="AB19" s="53"/>
      <c r="AC19" s="53"/>
      <c r="AD19" s="53"/>
      <c r="AE19" s="53"/>
      <c r="AF19" s="34"/>
    </row>
    <row r="20" spans="1:32">
      <c r="A20" s="50"/>
      <c r="B20" s="50"/>
      <c r="C20" s="51"/>
      <c r="D20" s="51"/>
      <c r="E20" s="51"/>
      <c r="F20" s="52"/>
      <c r="G20" s="52"/>
      <c r="H20" s="52"/>
      <c r="I20" s="52"/>
      <c r="J20" s="52"/>
      <c r="K20" s="52"/>
      <c r="L20" s="52"/>
      <c r="M20" s="52"/>
      <c r="N20" s="52"/>
      <c r="O20" s="52"/>
      <c r="P20" s="52"/>
      <c r="Q20" s="52"/>
      <c r="R20" s="52"/>
      <c r="S20" s="53"/>
      <c r="T20" s="53"/>
      <c r="U20" s="53"/>
      <c r="V20" s="53"/>
      <c r="W20" s="53"/>
      <c r="X20" s="53"/>
      <c r="Y20" s="53"/>
      <c r="Z20" s="53"/>
      <c r="AA20" s="53"/>
      <c r="AB20" s="53"/>
      <c r="AC20" s="53"/>
      <c r="AD20" s="53"/>
      <c r="AE20" s="53"/>
      <c r="AF20" s="34"/>
    </row>
    <row r="21" spans="1:32">
      <c r="A21" s="50"/>
      <c r="B21" s="50"/>
      <c r="C21" s="51"/>
      <c r="D21" s="51"/>
      <c r="E21" s="51"/>
      <c r="F21" s="52"/>
      <c r="G21" s="52"/>
      <c r="H21" s="52"/>
      <c r="I21" s="52"/>
      <c r="J21" s="52"/>
      <c r="K21" s="52"/>
      <c r="L21" s="52"/>
      <c r="M21" s="52"/>
      <c r="N21" s="52"/>
      <c r="O21" s="52"/>
      <c r="P21" s="52"/>
      <c r="Q21" s="52"/>
      <c r="R21" s="52"/>
      <c r="S21" s="53"/>
      <c r="T21" s="53"/>
      <c r="U21" s="53"/>
      <c r="V21" s="53"/>
      <c r="W21" s="53"/>
      <c r="X21" s="53"/>
      <c r="Y21" s="53"/>
      <c r="Z21" s="53"/>
      <c r="AA21" s="53"/>
      <c r="AB21" s="53"/>
      <c r="AC21" s="53"/>
      <c r="AD21" s="53"/>
      <c r="AE21" s="53"/>
      <c r="AF21" s="34"/>
    </row>
    <row r="22" spans="1:32">
      <c r="A22" s="50"/>
      <c r="B22" s="50"/>
      <c r="C22" s="51"/>
      <c r="D22" s="51"/>
      <c r="E22" s="51"/>
      <c r="F22" s="52"/>
      <c r="G22" s="52"/>
      <c r="H22" s="52"/>
      <c r="I22" s="52"/>
      <c r="J22" s="52"/>
      <c r="K22" s="52"/>
      <c r="L22" s="52"/>
      <c r="M22" s="52"/>
      <c r="N22" s="52"/>
      <c r="O22" s="52"/>
      <c r="P22" s="52"/>
      <c r="Q22" s="52"/>
      <c r="R22" s="52"/>
      <c r="S22" s="53"/>
      <c r="T22" s="53"/>
      <c r="U22" s="53"/>
      <c r="V22" s="53"/>
      <c r="W22" s="53"/>
      <c r="X22" s="53"/>
      <c r="Y22" s="53"/>
      <c r="Z22" s="53"/>
      <c r="AA22" s="53"/>
      <c r="AB22" s="53"/>
      <c r="AC22" s="53"/>
      <c r="AD22" s="53"/>
      <c r="AE22" s="53"/>
      <c r="AF22" s="34"/>
    </row>
    <row r="23" spans="1:32">
      <c r="A23" s="50"/>
      <c r="B23" s="50"/>
      <c r="C23" s="51"/>
      <c r="D23" s="51"/>
      <c r="E23" s="51"/>
      <c r="F23" s="52"/>
      <c r="G23" s="52"/>
      <c r="H23" s="52"/>
      <c r="I23" s="52"/>
      <c r="J23" s="52"/>
      <c r="K23" s="52"/>
      <c r="L23" s="52"/>
      <c r="M23" s="52"/>
      <c r="N23" s="52"/>
      <c r="O23" s="52"/>
      <c r="P23" s="52"/>
      <c r="Q23" s="52"/>
      <c r="R23" s="52"/>
      <c r="S23" s="53"/>
      <c r="T23" s="53"/>
      <c r="U23" s="53"/>
      <c r="V23" s="53"/>
      <c r="W23" s="53"/>
      <c r="X23" s="53"/>
      <c r="Y23" s="53"/>
      <c r="Z23" s="53"/>
      <c r="AA23" s="53"/>
      <c r="AB23" s="53"/>
      <c r="AC23" s="53"/>
      <c r="AD23" s="53"/>
      <c r="AE23" s="53"/>
      <c r="AF23" s="34"/>
    </row>
    <row r="24" spans="1:32">
      <c r="A24" s="50"/>
      <c r="B24" s="50"/>
      <c r="C24" s="51"/>
      <c r="D24" s="51"/>
      <c r="E24" s="51"/>
      <c r="F24" s="52"/>
      <c r="G24" s="52"/>
      <c r="H24" s="52"/>
      <c r="I24" s="52"/>
      <c r="J24" s="52"/>
      <c r="K24" s="52"/>
      <c r="L24" s="52"/>
      <c r="M24" s="52"/>
      <c r="N24" s="52"/>
      <c r="O24" s="52"/>
      <c r="P24" s="52"/>
      <c r="Q24" s="52"/>
      <c r="R24" s="52"/>
      <c r="S24" s="53"/>
      <c r="T24" s="53"/>
      <c r="U24" s="53"/>
      <c r="V24" s="53"/>
      <c r="W24" s="53"/>
      <c r="X24" s="53"/>
      <c r="Y24" s="53"/>
      <c r="Z24" s="53"/>
      <c r="AA24" s="53"/>
      <c r="AB24" s="53"/>
      <c r="AC24" s="53"/>
      <c r="AD24" s="53"/>
      <c r="AE24" s="53"/>
      <c r="AF24" s="34"/>
    </row>
    <row r="25" spans="1:32">
      <c r="A25" s="50"/>
      <c r="B25" s="50"/>
      <c r="C25" s="51"/>
      <c r="D25" s="51"/>
      <c r="E25" s="51"/>
      <c r="F25" s="52"/>
      <c r="G25" s="52"/>
      <c r="H25" s="52"/>
      <c r="I25" s="52"/>
      <c r="J25" s="52"/>
      <c r="K25" s="52"/>
      <c r="L25" s="52"/>
      <c r="M25" s="52"/>
      <c r="N25" s="52"/>
      <c r="O25" s="52"/>
      <c r="P25" s="52"/>
      <c r="Q25" s="52"/>
      <c r="R25" s="52"/>
      <c r="S25" s="53"/>
      <c r="T25" s="53"/>
      <c r="U25" s="53"/>
      <c r="V25" s="53"/>
      <c r="W25" s="53"/>
      <c r="X25" s="53"/>
      <c r="Y25" s="53"/>
      <c r="Z25" s="53"/>
      <c r="AA25" s="53"/>
      <c r="AB25" s="53"/>
      <c r="AC25" s="53"/>
      <c r="AD25" s="53"/>
      <c r="AE25" s="53"/>
      <c r="AF25" s="34"/>
    </row>
    <row r="26" spans="1:32">
      <c r="A26" s="50"/>
      <c r="B26" s="50"/>
      <c r="C26" s="51"/>
      <c r="D26" s="51"/>
      <c r="E26" s="51"/>
      <c r="F26" s="52"/>
      <c r="G26" s="52"/>
      <c r="H26" s="52"/>
      <c r="I26" s="52"/>
      <c r="J26" s="52"/>
      <c r="K26" s="52"/>
      <c r="L26" s="52"/>
      <c r="M26" s="52"/>
      <c r="N26" s="52"/>
      <c r="O26" s="52"/>
      <c r="P26" s="52"/>
      <c r="Q26" s="52"/>
      <c r="R26" s="52"/>
      <c r="S26" s="53"/>
      <c r="T26" s="53"/>
      <c r="U26" s="53"/>
      <c r="V26" s="53"/>
      <c r="W26" s="53"/>
      <c r="X26" s="53"/>
      <c r="Y26" s="53"/>
      <c r="Z26" s="53"/>
      <c r="AA26" s="53"/>
      <c r="AB26" s="53"/>
      <c r="AC26" s="53"/>
      <c r="AD26" s="53"/>
      <c r="AE26" s="53"/>
      <c r="AF26" s="34"/>
    </row>
    <row r="27" spans="1:32">
      <c r="A27" s="50"/>
      <c r="B27" s="50"/>
      <c r="C27" s="51"/>
      <c r="D27" s="51"/>
      <c r="E27" s="51"/>
      <c r="F27" s="52"/>
      <c r="G27" s="52"/>
      <c r="H27" s="52"/>
      <c r="I27" s="52"/>
      <c r="J27" s="52"/>
      <c r="K27" s="52"/>
      <c r="L27" s="52"/>
      <c r="M27" s="52"/>
      <c r="N27" s="52"/>
      <c r="O27" s="52"/>
      <c r="P27" s="52"/>
      <c r="Q27" s="52"/>
      <c r="R27" s="52"/>
      <c r="S27" s="53"/>
      <c r="T27" s="53"/>
      <c r="U27" s="53"/>
      <c r="V27" s="53"/>
      <c r="W27" s="53"/>
      <c r="X27" s="53"/>
      <c r="Y27" s="53"/>
      <c r="Z27" s="53"/>
      <c r="AA27" s="53"/>
      <c r="AB27" s="53"/>
      <c r="AC27" s="53"/>
      <c r="AD27" s="53"/>
      <c r="AE27" s="53"/>
      <c r="AF27" s="34"/>
    </row>
    <row r="28" spans="1:32">
      <c r="A28" s="50"/>
      <c r="B28" s="50"/>
      <c r="C28" s="51"/>
      <c r="D28" s="51"/>
      <c r="E28" s="51"/>
      <c r="F28" s="52"/>
      <c r="G28" s="52"/>
      <c r="H28" s="52"/>
      <c r="I28" s="52"/>
      <c r="J28" s="52"/>
      <c r="K28" s="52"/>
      <c r="L28" s="52"/>
      <c r="M28" s="52"/>
      <c r="N28" s="52"/>
      <c r="O28" s="52"/>
      <c r="P28" s="52"/>
      <c r="Q28" s="52"/>
      <c r="R28" s="52"/>
      <c r="S28" s="53"/>
      <c r="T28" s="53"/>
      <c r="U28" s="53"/>
      <c r="V28" s="53"/>
      <c r="W28" s="53"/>
      <c r="X28" s="53"/>
      <c r="Y28" s="53"/>
      <c r="Z28" s="53"/>
      <c r="AA28" s="53"/>
      <c r="AB28" s="53"/>
      <c r="AC28" s="53"/>
      <c r="AD28" s="53"/>
      <c r="AE28" s="53"/>
      <c r="AF28" s="34"/>
    </row>
    <row r="29" spans="1:32">
      <c r="A29" s="50"/>
      <c r="B29" s="50"/>
      <c r="C29" s="51"/>
      <c r="D29" s="51"/>
      <c r="E29" s="51"/>
      <c r="F29" s="52"/>
      <c r="G29" s="52"/>
      <c r="H29" s="52"/>
      <c r="I29" s="52"/>
      <c r="J29" s="52"/>
      <c r="K29" s="52"/>
      <c r="L29" s="52"/>
      <c r="M29" s="52"/>
      <c r="N29" s="52"/>
      <c r="O29" s="52"/>
      <c r="P29" s="52"/>
      <c r="Q29" s="52"/>
      <c r="R29" s="52"/>
      <c r="S29" s="53"/>
      <c r="T29" s="53"/>
      <c r="U29" s="53"/>
      <c r="V29" s="53"/>
      <c r="W29" s="53"/>
      <c r="X29" s="53"/>
      <c r="Y29" s="53"/>
      <c r="Z29" s="53"/>
      <c r="AA29" s="53"/>
      <c r="AB29" s="53"/>
      <c r="AC29" s="53"/>
      <c r="AD29" s="53"/>
      <c r="AE29" s="53"/>
      <c r="AF29" s="34"/>
    </row>
    <row r="30" spans="1:32">
      <c r="A30" s="50"/>
      <c r="B30" s="50"/>
      <c r="C30" s="51"/>
      <c r="D30" s="51"/>
      <c r="E30" s="51"/>
      <c r="F30" s="52"/>
      <c r="G30" s="52"/>
      <c r="H30" s="52"/>
      <c r="I30" s="52"/>
      <c r="J30" s="52"/>
      <c r="K30" s="52"/>
      <c r="L30" s="52"/>
      <c r="M30" s="52"/>
      <c r="N30" s="52"/>
      <c r="O30" s="52"/>
      <c r="P30" s="52"/>
      <c r="Q30" s="52"/>
      <c r="R30" s="52"/>
      <c r="S30" s="53"/>
      <c r="T30" s="53"/>
      <c r="U30" s="53"/>
      <c r="V30" s="53"/>
      <c r="W30" s="53"/>
      <c r="X30" s="53"/>
      <c r="Y30" s="53"/>
      <c r="Z30" s="53"/>
      <c r="AA30" s="53"/>
      <c r="AB30" s="53"/>
      <c r="AC30" s="53"/>
      <c r="AD30" s="53"/>
      <c r="AE30" s="53"/>
      <c r="AF30" s="34"/>
    </row>
    <row r="31" spans="1:32">
      <c r="A31" s="50"/>
      <c r="B31" s="50"/>
      <c r="C31" s="51"/>
      <c r="D31" s="51"/>
      <c r="E31" s="51"/>
      <c r="F31" s="52"/>
      <c r="G31" s="52"/>
      <c r="H31" s="52"/>
      <c r="I31" s="52"/>
      <c r="J31" s="52"/>
      <c r="K31" s="52"/>
      <c r="L31" s="52"/>
      <c r="M31" s="52"/>
      <c r="N31" s="52"/>
      <c r="O31" s="52"/>
      <c r="P31" s="52"/>
      <c r="Q31" s="52"/>
      <c r="R31" s="52"/>
      <c r="S31" s="53"/>
      <c r="T31" s="53"/>
      <c r="U31" s="53"/>
      <c r="V31" s="53"/>
      <c r="W31" s="53"/>
      <c r="X31" s="53"/>
      <c r="Y31" s="53"/>
      <c r="Z31" s="53"/>
      <c r="AA31" s="53"/>
      <c r="AB31" s="53"/>
      <c r="AC31" s="53"/>
      <c r="AD31" s="53"/>
      <c r="AE31" s="53"/>
      <c r="AF31" s="34"/>
    </row>
    <row r="32" spans="1:32">
      <c r="A32" s="50"/>
      <c r="B32" s="50"/>
      <c r="C32" s="51"/>
      <c r="D32" s="51"/>
      <c r="E32" s="51"/>
      <c r="F32" s="52"/>
      <c r="G32" s="52"/>
      <c r="H32" s="52"/>
      <c r="I32" s="52"/>
      <c r="J32" s="52"/>
      <c r="K32" s="52"/>
      <c r="L32" s="52"/>
      <c r="M32" s="52"/>
      <c r="N32" s="52"/>
      <c r="O32" s="52"/>
      <c r="P32" s="52"/>
      <c r="Q32" s="52"/>
      <c r="R32" s="52"/>
      <c r="S32" s="53"/>
      <c r="T32" s="53"/>
      <c r="U32" s="53"/>
      <c r="V32" s="53"/>
      <c r="W32" s="53"/>
      <c r="X32" s="53"/>
      <c r="Y32" s="53"/>
      <c r="Z32" s="53"/>
      <c r="AA32" s="53"/>
      <c r="AB32" s="53"/>
      <c r="AC32" s="53"/>
      <c r="AD32" s="53"/>
      <c r="AE32" s="53"/>
      <c r="AF32" s="34"/>
    </row>
    <row r="33" spans="1:32">
      <c r="A33" s="50"/>
      <c r="B33" s="50"/>
      <c r="C33" s="51"/>
      <c r="D33" s="51"/>
      <c r="E33" s="51"/>
      <c r="F33" s="52"/>
      <c r="G33" s="52"/>
      <c r="H33" s="52"/>
      <c r="I33" s="52"/>
      <c r="J33" s="52"/>
      <c r="K33" s="52"/>
      <c r="L33" s="52"/>
      <c r="M33" s="52"/>
      <c r="N33" s="52"/>
      <c r="O33" s="52"/>
      <c r="P33" s="52"/>
      <c r="Q33" s="52"/>
      <c r="R33" s="52"/>
      <c r="S33" s="53"/>
      <c r="T33" s="53"/>
      <c r="U33" s="53"/>
      <c r="V33" s="53"/>
      <c r="W33" s="53"/>
      <c r="X33" s="53"/>
      <c r="Y33" s="53"/>
      <c r="Z33" s="53"/>
      <c r="AA33" s="53"/>
      <c r="AB33" s="53"/>
      <c r="AC33" s="53"/>
      <c r="AD33" s="53"/>
      <c r="AE33" s="53"/>
      <c r="AF33" s="34"/>
    </row>
    <row r="34" spans="1:32">
      <c r="A34" s="50"/>
      <c r="B34" s="50"/>
      <c r="C34" s="51"/>
      <c r="D34" s="51"/>
      <c r="E34" s="51"/>
      <c r="F34" s="52"/>
      <c r="G34" s="52"/>
      <c r="H34" s="52"/>
      <c r="I34" s="52"/>
      <c r="J34" s="52"/>
      <c r="K34" s="52"/>
      <c r="L34" s="52"/>
      <c r="M34" s="52"/>
      <c r="N34" s="52"/>
      <c r="O34" s="52"/>
      <c r="P34" s="52"/>
      <c r="Q34" s="52"/>
      <c r="R34" s="52"/>
      <c r="S34" s="53"/>
      <c r="T34" s="53"/>
      <c r="U34" s="53"/>
      <c r="V34" s="53"/>
      <c r="W34" s="53"/>
      <c r="X34" s="53"/>
      <c r="Y34" s="53"/>
      <c r="Z34" s="53"/>
      <c r="AA34" s="53"/>
      <c r="AB34" s="53"/>
      <c r="AC34" s="53"/>
      <c r="AD34" s="53"/>
      <c r="AE34" s="53"/>
      <c r="AF34" s="34"/>
    </row>
    <row r="35" spans="1:32">
      <c r="A35" s="50"/>
      <c r="B35" s="50"/>
      <c r="C35" s="51"/>
      <c r="D35" s="51"/>
      <c r="E35" s="51"/>
      <c r="F35" s="52"/>
      <c r="G35" s="52"/>
      <c r="H35" s="52"/>
      <c r="I35" s="52"/>
      <c r="J35" s="52"/>
      <c r="K35" s="52"/>
      <c r="L35" s="52"/>
      <c r="M35" s="52"/>
      <c r="N35" s="52"/>
      <c r="O35" s="52"/>
      <c r="P35" s="52"/>
      <c r="Q35" s="52"/>
      <c r="R35" s="52"/>
      <c r="S35" s="53"/>
      <c r="T35" s="53"/>
      <c r="U35" s="53"/>
      <c r="V35" s="53"/>
      <c r="W35" s="53"/>
      <c r="X35" s="53"/>
      <c r="Y35" s="53"/>
      <c r="Z35" s="53"/>
      <c r="AA35" s="53"/>
      <c r="AB35" s="53"/>
      <c r="AC35" s="53"/>
      <c r="AD35" s="53"/>
      <c r="AE35" s="53"/>
      <c r="AF35" s="34"/>
    </row>
    <row r="36" spans="1:32">
      <c r="A36" s="50"/>
      <c r="B36" s="50"/>
      <c r="C36" s="51"/>
      <c r="D36" s="51"/>
      <c r="E36" s="51"/>
      <c r="F36" s="52"/>
      <c r="G36" s="52"/>
      <c r="H36" s="52"/>
      <c r="I36" s="52"/>
      <c r="J36" s="52"/>
      <c r="K36" s="52"/>
      <c r="L36" s="52"/>
      <c r="M36" s="52"/>
      <c r="N36" s="52"/>
      <c r="O36" s="52"/>
      <c r="P36" s="52"/>
      <c r="Q36" s="52"/>
      <c r="R36" s="52"/>
      <c r="S36" s="53"/>
      <c r="T36" s="53"/>
      <c r="U36" s="53"/>
      <c r="V36" s="53"/>
      <c r="W36" s="53"/>
      <c r="X36" s="53"/>
      <c r="Y36" s="53"/>
      <c r="Z36" s="53"/>
      <c r="AA36" s="53"/>
      <c r="AB36" s="53"/>
      <c r="AC36" s="53"/>
      <c r="AD36" s="53"/>
      <c r="AE36" s="53"/>
      <c r="AF36" s="34"/>
    </row>
    <row r="37" spans="1:32">
      <c r="A37" s="50"/>
      <c r="B37" s="50"/>
      <c r="C37" s="51"/>
      <c r="D37" s="51"/>
      <c r="E37" s="51"/>
      <c r="F37" s="52"/>
      <c r="G37" s="52"/>
      <c r="H37" s="52"/>
      <c r="I37" s="52"/>
      <c r="J37" s="52"/>
      <c r="K37" s="52"/>
      <c r="L37" s="52"/>
      <c r="M37" s="52"/>
      <c r="N37" s="52"/>
      <c r="O37" s="52"/>
      <c r="P37" s="52"/>
      <c r="Q37" s="52"/>
      <c r="R37" s="52"/>
      <c r="S37" s="53"/>
      <c r="T37" s="53"/>
      <c r="U37" s="53"/>
      <c r="V37" s="53"/>
      <c r="W37" s="53"/>
      <c r="X37" s="53"/>
      <c r="Y37" s="53"/>
      <c r="Z37" s="53"/>
      <c r="AA37" s="53"/>
      <c r="AB37" s="53"/>
      <c r="AC37" s="53"/>
      <c r="AD37" s="53"/>
      <c r="AE37" s="53"/>
      <c r="AF37" s="34"/>
    </row>
    <row r="38" spans="1:32">
      <c r="A38" s="50"/>
      <c r="B38" s="50"/>
      <c r="C38" s="51"/>
      <c r="D38" s="51"/>
      <c r="E38" s="51"/>
      <c r="F38" s="52"/>
      <c r="G38" s="52"/>
      <c r="H38" s="52"/>
      <c r="I38" s="52"/>
      <c r="J38" s="52"/>
      <c r="K38" s="52"/>
      <c r="L38" s="52"/>
      <c r="M38" s="52"/>
      <c r="N38" s="52"/>
      <c r="O38" s="52"/>
      <c r="P38" s="52"/>
      <c r="Q38" s="52"/>
      <c r="R38" s="52"/>
      <c r="S38" s="53"/>
      <c r="T38" s="53"/>
      <c r="U38" s="53"/>
      <c r="V38" s="53"/>
      <c r="W38" s="53"/>
      <c r="X38" s="53"/>
      <c r="Y38" s="53"/>
      <c r="Z38" s="53"/>
      <c r="AA38" s="53"/>
      <c r="AB38" s="53"/>
      <c r="AC38" s="53"/>
      <c r="AD38" s="53"/>
      <c r="AE38" s="53"/>
      <c r="AF38" s="34"/>
    </row>
    <row r="39" spans="1:32">
      <c r="A39" s="50"/>
      <c r="B39" s="50"/>
      <c r="C39" s="51"/>
      <c r="D39" s="51"/>
      <c r="E39" s="51"/>
      <c r="F39" s="52"/>
      <c r="G39" s="52"/>
      <c r="H39" s="52"/>
      <c r="I39" s="52"/>
      <c r="J39" s="52"/>
      <c r="K39" s="52"/>
      <c r="L39" s="52"/>
      <c r="M39" s="52"/>
      <c r="N39" s="52"/>
      <c r="O39" s="52"/>
      <c r="P39" s="52"/>
      <c r="Q39" s="52"/>
      <c r="R39" s="52"/>
      <c r="S39" s="53"/>
      <c r="T39" s="53"/>
      <c r="U39" s="53"/>
      <c r="V39" s="53"/>
      <c r="W39" s="53"/>
      <c r="X39" s="53"/>
      <c r="Y39" s="53"/>
      <c r="Z39" s="53"/>
      <c r="AA39" s="53"/>
      <c r="AB39" s="53"/>
      <c r="AC39" s="53"/>
      <c r="AD39" s="53"/>
      <c r="AE39" s="53"/>
      <c r="AF39" s="34"/>
    </row>
    <row r="40" spans="1:32">
      <c r="A40" s="50"/>
      <c r="B40" s="50"/>
      <c r="C40" s="51"/>
      <c r="D40" s="51"/>
      <c r="E40" s="51"/>
      <c r="F40" s="52"/>
      <c r="G40" s="52"/>
      <c r="H40" s="52"/>
      <c r="I40" s="52"/>
      <c r="J40" s="52"/>
      <c r="K40" s="52"/>
      <c r="L40" s="52"/>
      <c r="M40" s="52"/>
      <c r="N40" s="52"/>
      <c r="O40" s="52"/>
      <c r="P40" s="52"/>
      <c r="Q40" s="52"/>
      <c r="R40" s="52"/>
      <c r="S40" s="53"/>
      <c r="T40" s="53"/>
      <c r="U40" s="53"/>
      <c r="V40" s="53"/>
      <c r="W40" s="53"/>
      <c r="X40" s="53"/>
      <c r="Y40" s="53"/>
      <c r="Z40" s="53"/>
      <c r="AA40" s="53"/>
      <c r="AB40" s="53"/>
      <c r="AC40" s="53"/>
      <c r="AD40" s="53"/>
      <c r="AE40" s="53"/>
      <c r="AF40" s="34"/>
    </row>
    <row r="41" spans="1:32">
      <c r="A41" s="50"/>
      <c r="B41" s="50"/>
      <c r="C41" s="51"/>
      <c r="D41" s="51"/>
      <c r="E41" s="51"/>
      <c r="F41" s="52"/>
      <c r="G41" s="52"/>
      <c r="H41" s="52"/>
      <c r="I41" s="52"/>
      <c r="J41" s="52"/>
      <c r="K41" s="52"/>
      <c r="L41" s="52"/>
      <c r="M41" s="52"/>
      <c r="N41" s="52"/>
      <c r="O41" s="52"/>
      <c r="P41" s="52"/>
      <c r="Q41" s="52"/>
      <c r="R41" s="52"/>
      <c r="S41" s="53"/>
      <c r="T41" s="53"/>
      <c r="U41" s="53"/>
      <c r="V41" s="53"/>
      <c r="W41" s="53"/>
      <c r="X41" s="53"/>
      <c r="Y41" s="53"/>
      <c r="Z41" s="53"/>
      <c r="AA41" s="53"/>
      <c r="AB41" s="53"/>
      <c r="AC41" s="53"/>
      <c r="AD41" s="53"/>
      <c r="AE41" s="53"/>
      <c r="AF41" s="34"/>
    </row>
    <row r="42" spans="1:32">
      <c r="A42" s="50"/>
      <c r="B42" s="50"/>
      <c r="C42" s="51"/>
      <c r="D42" s="51"/>
      <c r="E42" s="51"/>
      <c r="F42" s="52"/>
      <c r="G42" s="52"/>
      <c r="H42" s="52"/>
      <c r="I42" s="52"/>
      <c r="J42" s="52"/>
      <c r="K42" s="52"/>
      <c r="L42" s="52"/>
      <c r="M42" s="52"/>
      <c r="N42" s="52"/>
      <c r="O42" s="52"/>
      <c r="P42" s="52"/>
      <c r="Q42" s="52"/>
      <c r="R42" s="52"/>
      <c r="S42" s="53"/>
      <c r="T42" s="53"/>
      <c r="U42" s="53"/>
      <c r="V42" s="53"/>
      <c r="W42" s="53"/>
      <c r="X42" s="53"/>
      <c r="Y42" s="53"/>
      <c r="Z42" s="53"/>
      <c r="AA42" s="53"/>
      <c r="AB42" s="53"/>
      <c r="AC42" s="53"/>
      <c r="AD42" s="53"/>
      <c r="AE42" s="53"/>
      <c r="AF42" s="34"/>
    </row>
    <row r="43" spans="1:32">
      <c r="A43" s="50"/>
      <c r="B43" s="50"/>
      <c r="C43" s="51"/>
      <c r="D43" s="51"/>
      <c r="E43" s="51"/>
      <c r="F43" s="52"/>
      <c r="G43" s="52"/>
      <c r="H43" s="52"/>
      <c r="I43" s="52"/>
      <c r="J43" s="52"/>
      <c r="K43" s="52"/>
      <c r="L43" s="52"/>
      <c r="M43" s="52"/>
      <c r="N43" s="52"/>
      <c r="O43" s="52"/>
      <c r="P43" s="52"/>
      <c r="Q43" s="52"/>
      <c r="R43" s="52"/>
      <c r="S43" s="53"/>
      <c r="T43" s="53"/>
      <c r="U43" s="53"/>
      <c r="V43" s="53"/>
      <c r="W43" s="53"/>
      <c r="X43" s="53"/>
      <c r="Y43" s="53"/>
      <c r="Z43" s="53"/>
      <c r="AA43" s="53"/>
      <c r="AB43" s="53"/>
      <c r="AC43" s="53"/>
      <c r="AD43" s="53"/>
      <c r="AE43" s="53"/>
      <c r="AF43" s="34"/>
    </row>
    <row r="44" spans="1:32">
      <c r="A44" s="50"/>
      <c r="B44" s="50"/>
      <c r="C44" s="51"/>
      <c r="D44" s="51"/>
      <c r="E44" s="51"/>
      <c r="F44" s="52"/>
      <c r="G44" s="52"/>
      <c r="H44" s="52"/>
      <c r="I44" s="52"/>
      <c r="J44" s="52"/>
      <c r="K44" s="52"/>
      <c r="L44" s="52"/>
      <c r="M44" s="52"/>
      <c r="N44" s="52"/>
      <c r="O44" s="52"/>
      <c r="P44" s="52"/>
      <c r="Q44" s="52"/>
      <c r="R44" s="52"/>
      <c r="S44" s="53"/>
      <c r="T44" s="53"/>
      <c r="U44" s="53"/>
      <c r="V44" s="53"/>
      <c r="W44" s="53"/>
      <c r="X44" s="53"/>
      <c r="Y44" s="53"/>
      <c r="Z44" s="53"/>
      <c r="AA44" s="53"/>
      <c r="AB44" s="53"/>
      <c r="AC44" s="53"/>
      <c r="AD44" s="53"/>
      <c r="AE44" s="53"/>
      <c r="AF44" s="34"/>
    </row>
    <row r="45" spans="1:32">
      <c r="A45" s="50"/>
      <c r="B45" s="50"/>
      <c r="C45" s="51"/>
      <c r="D45" s="51"/>
      <c r="E45" s="51"/>
      <c r="F45" s="52"/>
      <c r="G45" s="52"/>
      <c r="H45" s="52"/>
      <c r="I45" s="52"/>
      <c r="J45" s="52"/>
      <c r="K45" s="52"/>
      <c r="L45" s="52"/>
      <c r="M45" s="52"/>
      <c r="N45" s="52"/>
      <c r="O45" s="52"/>
      <c r="P45" s="52"/>
      <c r="Q45" s="52"/>
      <c r="R45" s="52"/>
      <c r="S45" s="53"/>
      <c r="T45" s="53"/>
      <c r="U45" s="53"/>
      <c r="V45" s="53"/>
      <c r="W45" s="53"/>
      <c r="X45" s="53"/>
      <c r="Y45" s="53"/>
      <c r="Z45" s="53"/>
      <c r="AA45" s="53"/>
      <c r="AB45" s="53"/>
      <c r="AC45" s="53"/>
      <c r="AD45" s="53"/>
      <c r="AE45" s="53"/>
      <c r="AF45" s="34"/>
    </row>
    <row r="46" spans="1:32">
      <c r="A46" s="50"/>
      <c r="B46" s="50"/>
      <c r="C46" s="51"/>
      <c r="D46" s="51"/>
      <c r="E46" s="51"/>
      <c r="F46" s="52"/>
      <c r="G46" s="52"/>
      <c r="H46" s="52"/>
      <c r="I46" s="52"/>
      <c r="J46" s="52"/>
      <c r="K46" s="52"/>
      <c r="L46" s="52"/>
      <c r="M46" s="52"/>
      <c r="N46" s="52"/>
      <c r="O46" s="52"/>
      <c r="P46" s="52"/>
      <c r="Q46" s="52"/>
      <c r="R46" s="52"/>
      <c r="S46" s="53"/>
      <c r="T46" s="53"/>
      <c r="U46" s="53"/>
      <c r="V46" s="53"/>
      <c r="W46" s="53"/>
      <c r="X46" s="53"/>
      <c r="Y46" s="53"/>
      <c r="Z46" s="53"/>
      <c r="AA46" s="53"/>
      <c r="AB46" s="53"/>
      <c r="AC46" s="53"/>
      <c r="AD46" s="53"/>
      <c r="AE46" s="53"/>
      <c r="AF46" s="34"/>
    </row>
    <row r="47" spans="1:32">
      <c r="A47" s="50"/>
      <c r="B47" s="50"/>
      <c r="C47" s="51"/>
      <c r="D47" s="51"/>
      <c r="E47" s="51"/>
      <c r="F47" s="52"/>
      <c r="G47" s="52"/>
      <c r="H47" s="52"/>
      <c r="I47" s="52"/>
      <c r="J47" s="52"/>
      <c r="K47" s="52"/>
      <c r="L47" s="52"/>
      <c r="M47" s="52"/>
      <c r="N47" s="52"/>
      <c r="O47" s="52"/>
      <c r="P47" s="52"/>
      <c r="Q47" s="52"/>
      <c r="R47" s="52"/>
      <c r="S47" s="53"/>
      <c r="T47" s="53"/>
      <c r="U47" s="53"/>
      <c r="V47" s="53"/>
      <c r="W47" s="53"/>
      <c r="X47" s="53"/>
      <c r="Y47" s="53"/>
      <c r="Z47" s="53"/>
      <c r="AA47" s="53"/>
      <c r="AB47" s="53"/>
      <c r="AC47" s="53"/>
      <c r="AD47" s="53"/>
      <c r="AE47" s="53"/>
      <c r="AF47" s="34"/>
    </row>
    <row r="48" spans="1:32">
      <c r="A48" s="50"/>
      <c r="B48" s="50"/>
      <c r="C48" s="51"/>
      <c r="D48" s="51"/>
      <c r="E48" s="51"/>
      <c r="F48" s="52"/>
      <c r="G48" s="52"/>
      <c r="H48" s="52"/>
      <c r="I48" s="52"/>
      <c r="J48" s="52"/>
      <c r="K48" s="52"/>
      <c r="L48" s="52"/>
      <c r="M48" s="52"/>
      <c r="N48" s="52"/>
      <c r="O48" s="52"/>
      <c r="P48" s="52"/>
      <c r="Q48" s="52"/>
      <c r="R48" s="52"/>
      <c r="S48" s="53"/>
      <c r="T48" s="53"/>
      <c r="U48" s="53"/>
      <c r="V48" s="53"/>
      <c r="W48" s="53"/>
      <c r="X48" s="53"/>
      <c r="Y48" s="53"/>
      <c r="Z48" s="53"/>
      <c r="AA48" s="53"/>
      <c r="AB48" s="53"/>
      <c r="AC48" s="53"/>
      <c r="AD48" s="53"/>
      <c r="AE48" s="53"/>
      <c r="AF48" s="34"/>
    </row>
    <row r="49" spans="1:32">
      <c r="A49" s="50"/>
      <c r="B49" s="50"/>
      <c r="C49" s="51"/>
      <c r="D49" s="51"/>
      <c r="E49" s="51"/>
      <c r="F49" s="52"/>
      <c r="G49" s="52"/>
      <c r="H49" s="52"/>
      <c r="I49" s="52"/>
      <c r="J49" s="52"/>
      <c r="K49" s="52"/>
      <c r="L49" s="52"/>
      <c r="M49" s="52"/>
      <c r="N49" s="52"/>
      <c r="O49" s="52"/>
      <c r="P49" s="52"/>
      <c r="Q49" s="52"/>
      <c r="R49" s="52"/>
      <c r="S49" s="53"/>
      <c r="T49" s="53"/>
      <c r="U49" s="53"/>
      <c r="V49" s="53"/>
      <c r="W49" s="53"/>
      <c r="X49" s="53"/>
      <c r="Y49" s="53"/>
      <c r="Z49" s="53"/>
      <c r="AA49" s="53"/>
      <c r="AB49" s="53"/>
      <c r="AC49" s="53"/>
      <c r="AD49" s="53"/>
      <c r="AE49" s="53"/>
      <c r="AF49" s="34"/>
    </row>
    <row r="50" spans="1:32">
      <c r="A50" s="50"/>
      <c r="B50" s="50"/>
      <c r="C50" s="51"/>
      <c r="D50" s="51"/>
      <c r="E50" s="51"/>
      <c r="F50" s="52"/>
      <c r="G50" s="52"/>
      <c r="H50" s="52"/>
      <c r="I50" s="52"/>
      <c r="J50" s="52"/>
      <c r="K50" s="52"/>
      <c r="L50" s="52"/>
      <c r="M50" s="52"/>
      <c r="N50" s="52"/>
      <c r="O50" s="52"/>
      <c r="P50" s="52"/>
      <c r="Q50" s="52"/>
      <c r="R50" s="52"/>
      <c r="S50" s="53"/>
      <c r="T50" s="53"/>
      <c r="U50" s="53"/>
      <c r="V50" s="53"/>
      <c r="W50" s="53"/>
      <c r="X50" s="53"/>
      <c r="Y50" s="53"/>
      <c r="Z50" s="53"/>
      <c r="AA50" s="53"/>
      <c r="AB50" s="53"/>
      <c r="AC50" s="53"/>
      <c r="AD50" s="53"/>
      <c r="AE50" s="53"/>
      <c r="AF50" s="34"/>
    </row>
    <row r="51" spans="1:32">
      <c r="A51" s="50"/>
      <c r="B51" s="50"/>
      <c r="C51" s="51"/>
      <c r="D51" s="51"/>
      <c r="E51" s="51"/>
      <c r="F51" s="52"/>
      <c r="G51" s="52"/>
      <c r="H51" s="52"/>
      <c r="I51" s="52"/>
      <c r="J51" s="52"/>
      <c r="K51" s="52"/>
      <c r="L51" s="52"/>
      <c r="M51" s="52"/>
      <c r="N51" s="52"/>
      <c r="O51" s="52"/>
      <c r="P51" s="52"/>
      <c r="Q51" s="52"/>
      <c r="R51" s="52"/>
      <c r="S51" s="53"/>
      <c r="T51" s="53"/>
      <c r="U51" s="53"/>
      <c r="V51" s="53"/>
      <c r="W51" s="53"/>
      <c r="X51" s="53"/>
      <c r="Y51" s="53"/>
      <c r="Z51" s="53"/>
      <c r="AA51" s="53"/>
      <c r="AB51" s="53"/>
      <c r="AC51" s="53"/>
      <c r="AD51" s="53"/>
      <c r="AE51" s="53"/>
      <c r="AF51" s="34"/>
    </row>
    <row r="52" spans="1:32">
      <c r="A52" s="50"/>
      <c r="B52" s="50"/>
      <c r="C52" s="51"/>
      <c r="D52" s="51"/>
      <c r="E52" s="51"/>
      <c r="F52" s="52"/>
      <c r="G52" s="52"/>
      <c r="H52" s="52"/>
      <c r="I52" s="52"/>
      <c r="J52" s="52"/>
      <c r="K52" s="52"/>
      <c r="L52" s="52"/>
      <c r="M52" s="52"/>
      <c r="N52" s="52"/>
      <c r="O52" s="52"/>
      <c r="P52" s="52"/>
      <c r="Q52" s="52"/>
      <c r="R52" s="52"/>
      <c r="S52" s="53"/>
      <c r="T52" s="53"/>
      <c r="U52" s="53"/>
      <c r="V52" s="53"/>
      <c r="W52" s="53"/>
      <c r="X52" s="53"/>
      <c r="Y52" s="53"/>
      <c r="Z52" s="53"/>
      <c r="AA52" s="53"/>
      <c r="AB52" s="53"/>
      <c r="AC52" s="53"/>
      <c r="AD52" s="53"/>
      <c r="AE52" s="53"/>
      <c r="AF52" s="34"/>
    </row>
    <row r="53" spans="1:32">
      <c r="A53" s="50"/>
      <c r="B53" s="50"/>
      <c r="C53" s="51"/>
      <c r="D53" s="51"/>
      <c r="E53" s="51"/>
      <c r="F53" s="52"/>
      <c r="G53" s="52"/>
      <c r="H53" s="52"/>
      <c r="I53" s="52"/>
      <c r="J53" s="52"/>
      <c r="K53" s="52"/>
      <c r="L53" s="52"/>
      <c r="M53" s="52"/>
      <c r="N53" s="52"/>
      <c r="O53" s="52"/>
      <c r="P53" s="52"/>
      <c r="Q53" s="52"/>
      <c r="R53" s="52"/>
      <c r="S53" s="53"/>
      <c r="T53" s="53"/>
      <c r="U53" s="53"/>
      <c r="V53" s="53"/>
      <c r="W53" s="53"/>
      <c r="X53" s="53"/>
      <c r="Y53" s="53"/>
      <c r="Z53" s="53"/>
      <c r="AA53" s="53"/>
      <c r="AB53" s="53"/>
      <c r="AC53" s="53"/>
      <c r="AD53" s="53"/>
      <c r="AE53" s="53"/>
      <c r="AF53" s="34"/>
    </row>
    <row r="54" spans="1:32">
      <c r="A54" s="50"/>
      <c r="B54" s="50"/>
      <c r="C54" s="51"/>
      <c r="D54" s="51"/>
      <c r="E54" s="51"/>
      <c r="F54" s="52"/>
      <c r="G54" s="52"/>
      <c r="H54" s="52"/>
      <c r="I54" s="52"/>
      <c r="J54" s="52"/>
      <c r="K54" s="52"/>
      <c r="L54" s="52"/>
      <c r="M54" s="52"/>
      <c r="N54" s="52"/>
      <c r="O54" s="52"/>
      <c r="P54" s="52"/>
      <c r="Q54" s="52"/>
      <c r="R54" s="52"/>
      <c r="S54" s="53"/>
      <c r="T54" s="53"/>
      <c r="U54" s="53"/>
      <c r="V54" s="53"/>
      <c r="W54" s="53"/>
      <c r="X54" s="53"/>
      <c r="Y54" s="53"/>
      <c r="Z54" s="53"/>
      <c r="AA54" s="53"/>
      <c r="AB54" s="53"/>
      <c r="AC54" s="53"/>
      <c r="AD54" s="53"/>
      <c r="AE54" s="53"/>
      <c r="AF54" s="34"/>
    </row>
    <row r="55" spans="1:32">
      <c r="A55" s="50"/>
      <c r="B55" s="50"/>
      <c r="C55" s="51"/>
      <c r="D55" s="51"/>
      <c r="E55" s="51"/>
      <c r="F55" s="52"/>
      <c r="G55" s="52"/>
      <c r="H55" s="52"/>
      <c r="I55" s="52"/>
      <c r="J55" s="52"/>
      <c r="K55" s="52"/>
      <c r="L55" s="52"/>
      <c r="M55" s="52"/>
      <c r="N55" s="52"/>
      <c r="O55" s="52"/>
      <c r="P55" s="52"/>
      <c r="Q55" s="52"/>
      <c r="R55" s="52"/>
      <c r="S55" s="53"/>
      <c r="T55" s="53"/>
      <c r="U55" s="53"/>
      <c r="V55" s="53"/>
      <c r="W55" s="53"/>
      <c r="X55" s="53"/>
      <c r="Y55" s="53"/>
      <c r="Z55" s="53"/>
      <c r="AA55" s="53"/>
      <c r="AB55" s="53"/>
      <c r="AC55" s="53"/>
      <c r="AD55" s="53"/>
      <c r="AE55" s="53"/>
      <c r="AF55" s="34"/>
    </row>
    <row r="56" spans="1:32">
      <c r="A56" s="50"/>
      <c r="B56" s="50"/>
      <c r="C56" s="51"/>
      <c r="D56" s="51"/>
      <c r="E56" s="51"/>
      <c r="F56" s="52"/>
      <c r="G56" s="52"/>
      <c r="H56" s="52"/>
      <c r="I56" s="52"/>
      <c r="J56" s="52"/>
      <c r="K56" s="52"/>
      <c r="L56" s="52"/>
      <c r="M56" s="52"/>
      <c r="N56" s="52"/>
      <c r="O56" s="52"/>
      <c r="P56" s="52"/>
      <c r="Q56" s="52"/>
      <c r="R56" s="52"/>
      <c r="S56" s="53"/>
      <c r="T56" s="53"/>
      <c r="U56" s="53"/>
      <c r="V56" s="53"/>
      <c r="W56" s="53"/>
      <c r="X56" s="53"/>
      <c r="Y56" s="53"/>
      <c r="Z56" s="53"/>
      <c r="AA56" s="53"/>
      <c r="AB56" s="53"/>
      <c r="AC56" s="53"/>
      <c r="AD56" s="53"/>
      <c r="AE56" s="53"/>
      <c r="AF56" s="34"/>
    </row>
    <row r="57" spans="1:32">
      <c r="A57" s="50"/>
      <c r="B57" s="50"/>
      <c r="C57" s="51"/>
      <c r="D57" s="51"/>
      <c r="E57" s="51"/>
      <c r="F57" s="52"/>
      <c r="G57" s="52"/>
      <c r="H57" s="52"/>
      <c r="I57" s="52"/>
      <c r="J57" s="52"/>
      <c r="K57" s="52"/>
      <c r="L57" s="52"/>
      <c r="M57" s="52"/>
      <c r="N57" s="52"/>
      <c r="O57" s="52"/>
      <c r="P57" s="52"/>
      <c r="Q57" s="52"/>
      <c r="R57" s="52"/>
      <c r="S57" s="53"/>
      <c r="T57" s="53"/>
      <c r="U57" s="53"/>
      <c r="V57" s="53"/>
      <c r="W57" s="53"/>
      <c r="X57" s="53"/>
      <c r="Y57" s="53"/>
      <c r="Z57" s="53"/>
      <c r="AA57" s="53"/>
      <c r="AB57" s="53"/>
      <c r="AC57" s="53"/>
      <c r="AD57" s="53"/>
      <c r="AE57" s="53"/>
      <c r="AF57" s="34"/>
    </row>
    <row r="58" spans="1:32">
      <c r="A58" s="50"/>
      <c r="B58" s="50"/>
      <c r="C58" s="51"/>
      <c r="D58" s="51"/>
      <c r="E58" s="51"/>
      <c r="F58" s="52"/>
      <c r="G58" s="52"/>
      <c r="H58" s="52"/>
      <c r="I58" s="52"/>
      <c r="J58" s="52"/>
      <c r="K58" s="52"/>
      <c r="L58" s="52"/>
      <c r="M58" s="52"/>
      <c r="N58" s="52"/>
      <c r="O58" s="52"/>
      <c r="P58" s="52"/>
      <c r="Q58" s="52"/>
      <c r="R58" s="52"/>
      <c r="S58" s="53"/>
      <c r="T58" s="53"/>
      <c r="U58" s="53"/>
      <c r="V58" s="53"/>
      <c r="W58" s="53"/>
      <c r="X58" s="53"/>
      <c r="Y58" s="53"/>
      <c r="Z58" s="53"/>
      <c r="AA58" s="53"/>
      <c r="AB58" s="53"/>
      <c r="AC58" s="53"/>
      <c r="AD58" s="53"/>
      <c r="AE58" s="53"/>
      <c r="AF58" s="34"/>
    </row>
    <row r="59" spans="1:32">
      <c r="A59" s="50"/>
      <c r="B59" s="50"/>
      <c r="C59" s="51"/>
      <c r="D59" s="51"/>
      <c r="E59" s="51"/>
      <c r="F59" s="52"/>
      <c r="G59" s="52"/>
      <c r="H59" s="52"/>
      <c r="I59" s="52"/>
      <c r="J59" s="52"/>
      <c r="K59" s="52"/>
      <c r="L59" s="52"/>
      <c r="M59" s="52"/>
      <c r="N59" s="52"/>
      <c r="O59" s="52"/>
      <c r="P59" s="52"/>
      <c r="Q59" s="52"/>
      <c r="R59" s="52"/>
      <c r="S59" s="53"/>
      <c r="T59" s="53"/>
      <c r="U59" s="53"/>
      <c r="V59" s="53"/>
      <c r="W59" s="53"/>
      <c r="X59" s="53"/>
      <c r="Y59" s="53"/>
      <c r="Z59" s="53"/>
      <c r="AA59" s="53"/>
      <c r="AB59" s="53"/>
      <c r="AC59" s="53"/>
      <c r="AD59" s="53"/>
      <c r="AE59" s="53"/>
      <c r="AF59" s="34"/>
    </row>
    <row r="60" spans="1:32">
      <c r="A60" s="50"/>
      <c r="B60" s="50"/>
      <c r="C60" s="51"/>
      <c r="D60" s="51"/>
      <c r="E60" s="51"/>
      <c r="F60" s="52"/>
      <c r="G60" s="52"/>
      <c r="H60" s="52"/>
      <c r="I60" s="52"/>
      <c r="J60" s="52"/>
      <c r="K60" s="52"/>
      <c r="L60" s="52"/>
      <c r="M60" s="52"/>
      <c r="N60" s="52"/>
      <c r="O60" s="52"/>
      <c r="P60" s="52"/>
      <c r="Q60" s="52"/>
      <c r="R60" s="52"/>
      <c r="S60" s="53"/>
      <c r="T60" s="53"/>
      <c r="U60" s="53"/>
      <c r="V60" s="53"/>
      <c r="W60" s="53"/>
      <c r="X60" s="53"/>
      <c r="Y60" s="53"/>
      <c r="Z60" s="53"/>
      <c r="AA60" s="53"/>
      <c r="AB60" s="53"/>
      <c r="AC60" s="53"/>
      <c r="AD60" s="53"/>
      <c r="AE60" s="53"/>
      <c r="AF60" s="34"/>
    </row>
    <row r="61" spans="1:32">
      <c r="A61" s="50"/>
      <c r="B61" s="50"/>
      <c r="C61" s="51"/>
      <c r="D61" s="51"/>
      <c r="E61" s="51"/>
      <c r="F61" s="52"/>
      <c r="G61" s="52"/>
      <c r="H61" s="52"/>
      <c r="I61" s="52"/>
      <c r="J61" s="52"/>
      <c r="K61" s="52"/>
      <c r="L61" s="52"/>
      <c r="M61" s="52"/>
      <c r="N61" s="52"/>
      <c r="O61" s="52"/>
      <c r="P61" s="52"/>
      <c r="Q61" s="52"/>
      <c r="R61" s="52"/>
      <c r="S61" s="53"/>
      <c r="T61" s="53"/>
      <c r="U61" s="53"/>
      <c r="V61" s="53"/>
      <c r="W61" s="53"/>
      <c r="X61" s="53"/>
      <c r="Y61" s="53"/>
      <c r="Z61" s="53"/>
      <c r="AA61" s="53"/>
      <c r="AB61" s="53"/>
      <c r="AC61" s="53"/>
      <c r="AD61" s="53"/>
      <c r="AE61" s="53"/>
      <c r="AF61" s="34"/>
    </row>
    <row r="62" spans="1:32">
      <c r="A62" s="50"/>
      <c r="B62" s="50"/>
      <c r="C62" s="51"/>
      <c r="D62" s="51"/>
      <c r="E62" s="51"/>
      <c r="F62" s="52"/>
      <c r="G62" s="52"/>
      <c r="H62" s="52"/>
      <c r="I62" s="52"/>
      <c r="J62" s="52"/>
      <c r="K62" s="52"/>
      <c r="L62" s="52"/>
      <c r="M62" s="52"/>
      <c r="N62" s="52"/>
      <c r="O62" s="52"/>
      <c r="P62" s="52"/>
      <c r="Q62" s="52"/>
      <c r="R62" s="52"/>
      <c r="S62" s="53"/>
      <c r="T62" s="53"/>
      <c r="U62" s="53"/>
      <c r="V62" s="53"/>
      <c r="W62" s="53"/>
      <c r="X62" s="53"/>
      <c r="Y62" s="53"/>
      <c r="Z62" s="53"/>
      <c r="AA62" s="53"/>
      <c r="AB62" s="53"/>
      <c r="AC62" s="53"/>
      <c r="AD62" s="53"/>
      <c r="AE62" s="53"/>
      <c r="AF62" s="34"/>
    </row>
    <row r="63" spans="1:32">
      <c r="A63" s="50"/>
      <c r="B63" s="50"/>
      <c r="C63" s="51"/>
      <c r="D63" s="51"/>
      <c r="E63" s="51"/>
      <c r="F63" s="52"/>
      <c r="G63" s="52"/>
      <c r="H63" s="52"/>
      <c r="I63" s="52"/>
      <c r="J63" s="52"/>
      <c r="K63" s="52"/>
      <c r="L63" s="52"/>
      <c r="M63" s="52"/>
      <c r="N63" s="52"/>
      <c r="O63" s="52"/>
      <c r="P63" s="52"/>
      <c r="Q63" s="52"/>
      <c r="R63" s="52"/>
      <c r="S63" s="53"/>
      <c r="T63" s="53"/>
      <c r="U63" s="53"/>
      <c r="V63" s="53"/>
      <c r="W63" s="53"/>
      <c r="X63" s="53"/>
      <c r="Y63" s="53"/>
      <c r="Z63" s="53"/>
      <c r="AA63" s="53"/>
      <c r="AB63" s="53"/>
      <c r="AC63" s="53"/>
      <c r="AD63" s="53"/>
      <c r="AE63" s="53"/>
      <c r="AF63" s="34"/>
    </row>
    <row r="64" spans="1:32">
      <c r="A64" s="50"/>
      <c r="B64" s="50"/>
      <c r="C64" s="51"/>
      <c r="D64" s="51"/>
      <c r="E64" s="51"/>
      <c r="F64" s="52"/>
      <c r="G64" s="52"/>
      <c r="H64" s="52"/>
      <c r="I64" s="52"/>
      <c r="J64" s="52"/>
      <c r="K64" s="52"/>
      <c r="L64" s="52"/>
      <c r="M64" s="52"/>
      <c r="N64" s="52"/>
      <c r="O64" s="52"/>
      <c r="P64" s="52"/>
      <c r="Q64" s="52"/>
      <c r="R64" s="52"/>
      <c r="S64" s="53"/>
      <c r="T64" s="53"/>
      <c r="U64" s="53"/>
      <c r="V64" s="53"/>
      <c r="W64" s="53"/>
      <c r="X64" s="53"/>
      <c r="Y64" s="53"/>
      <c r="Z64" s="53"/>
      <c r="AA64" s="53"/>
      <c r="AB64" s="53"/>
      <c r="AC64" s="53"/>
      <c r="AD64" s="53"/>
      <c r="AE64" s="53"/>
      <c r="AF64" s="34"/>
    </row>
    <row r="65" spans="1:32">
      <c r="A65" s="50"/>
      <c r="B65" s="50"/>
      <c r="C65" s="51"/>
      <c r="D65" s="51"/>
      <c r="E65" s="51"/>
      <c r="F65" s="52"/>
      <c r="G65" s="52"/>
      <c r="H65" s="52"/>
      <c r="I65" s="52"/>
      <c r="J65" s="52"/>
      <c r="K65" s="52"/>
      <c r="L65" s="52"/>
      <c r="M65" s="52"/>
      <c r="N65" s="52"/>
      <c r="O65" s="52"/>
      <c r="P65" s="52"/>
      <c r="Q65" s="52"/>
      <c r="R65" s="52"/>
      <c r="S65" s="53"/>
      <c r="T65" s="53"/>
      <c r="U65" s="53"/>
      <c r="V65" s="53"/>
      <c r="W65" s="53"/>
      <c r="X65" s="53"/>
      <c r="Y65" s="53"/>
      <c r="Z65" s="53"/>
      <c r="AA65" s="53"/>
      <c r="AB65" s="53"/>
      <c r="AC65" s="53"/>
      <c r="AD65" s="53"/>
      <c r="AE65" s="53"/>
      <c r="AF65" s="34"/>
    </row>
    <row r="66" spans="1:32">
      <c r="A66" s="50"/>
      <c r="B66" s="50"/>
      <c r="C66" s="51"/>
      <c r="D66" s="51"/>
      <c r="E66" s="51"/>
      <c r="F66" s="52"/>
      <c r="G66" s="52"/>
      <c r="H66" s="52"/>
      <c r="I66" s="52"/>
      <c r="J66" s="52"/>
      <c r="K66" s="52"/>
      <c r="L66" s="52"/>
      <c r="M66" s="52"/>
      <c r="N66" s="52"/>
      <c r="O66" s="52"/>
      <c r="P66" s="52"/>
      <c r="Q66" s="52"/>
      <c r="R66" s="52"/>
      <c r="S66" s="53"/>
      <c r="T66" s="53"/>
      <c r="U66" s="53"/>
      <c r="V66" s="53"/>
      <c r="W66" s="53"/>
      <c r="X66" s="53"/>
      <c r="Y66" s="53"/>
      <c r="Z66" s="53"/>
      <c r="AA66" s="53"/>
      <c r="AB66" s="53"/>
      <c r="AC66" s="53"/>
      <c r="AD66" s="53"/>
      <c r="AE66" s="53"/>
      <c r="AF66" s="34"/>
    </row>
    <row r="67" spans="1:32">
      <c r="A67" s="50"/>
      <c r="B67" s="50"/>
      <c r="C67" s="51"/>
      <c r="D67" s="51"/>
      <c r="E67" s="51"/>
      <c r="F67" s="52"/>
      <c r="G67" s="52"/>
      <c r="H67" s="52"/>
      <c r="I67" s="52"/>
      <c r="J67" s="52"/>
      <c r="K67" s="52"/>
      <c r="L67" s="52"/>
      <c r="M67" s="52"/>
      <c r="N67" s="52"/>
      <c r="O67" s="52"/>
      <c r="P67" s="52"/>
      <c r="Q67" s="52"/>
      <c r="R67" s="52"/>
      <c r="S67" s="53"/>
      <c r="T67" s="53"/>
      <c r="U67" s="53"/>
      <c r="V67" s="53"/>
      <c r="W67" s="53"/>
      <c r="X67" s="53"/>
      <c r="Y67" s="53"/>
      <c r="Z67" s="53"/>
      <c r="AA67" s="53"/>
      <c r="AB67" s="53"/>
      <c r="AC67" s="53"/>
      <c r="AD67" s="53"/>
      <c r="AE67" s="53"/>
      <c r="AF67" s="34"/>
    </row>
    <row r="68" spans="1:32">
      <c r="A68" s="50"/>
      <c r="B68" s="50"/>
      <c r="C68" s="51"/>
      <c r="D68" s="51"/>
      <c r="E68" s="51"/>
      <c r="F68" s="52"/>
      <c r="G68" s="52"/>
      <c r="H68" s="52"/>
      <c r="I68" s="52"/>
      <c r="J68" s="52"/>
      <c r="K68" s="52"/>
      <c r="L68" s="52"/>
      <c r="M68" s="52"/>
      <c r="N68" s="52"/>
      <c r="O68" s="52"/>
      <c r="P68" s="52"/>
      <c r="Q68" s="52"/>
      <c r="R68" s="52"/>
      <c r="S68" s="53"/>
      <c r="T68" s="53"/>
      <c r="U68" s="53"/>
      <c r="V68" s="53"/>
      <c r="W68" s="53"/>
      <c r="X68" s="53"/>
      <c r="Y68" s="53"/>
      <c r="Z68" s="53"/>
      <c r="AA68" s="53"/>
      <c r="AB68" s="53"/>
      <c r="AC68" s="53"/>
      <c r="AD68" s="53"/>
      <c r="AE68" s="53"/>
      <c r="AF68" s="34"/>
    </row>
    <row r="69" spans="1:32">
      <c r="A69" s="50"/>
      <c r="B69" s="50"/>
      <c r="C69" s="51"/>
      <c r="D69" s="51"/>
      <c r="E69" s="51"/>
      <c r="F69" s="52"/>
      <c r="G69" s="52"/>
      <c r="H69" s="52"/>
      <c r="I69" s="52"/>
      <c r="J69" s="52"/>
      <c r="K69" s="52"/>
      <c r="L69" s="52"/>
      <c r="M69" s="52"/>
      <c r="N69" s="52"/>
      <c r="O69" s="52"/>
      <c r="P69" s="52"/>
      <c r="Q69" s="52"/>
      <c r="R69" s="52"/>
      <c r="S69" s="53"/>
      <c r="T69" s="53"/>
      <c r="U69" s="53"/>
      <c r="V69" s="53"/>
      <c r="W69" s="53"/>
      <c r="X69" s="53"/>
      <c r="Y69" s="53"/>
      <c r="Z69" s="53"/>
      <c r="AA69" s="53"/>
      <c r="AB69" s="53"/>
      <c r="AC69" s="53"/>
      <c r="AD69" s="53"/>
      <c r="AE69" s="53"/>
      <c r="AF69" s="34"/>
    </row>
    <row r="70" spans="1:32">
      <c r="A70" s="50"/>
      <c r="B70" s="50"/>
      <c r="C70" s="51"/>
      <c r="D70" s="51"/>
      <c r="E70" s="51"/>
      <c r="F70" s="52"/>
      <c r="G70" s="52"/>
      <c r="H70" s="52"/>
      <c r="I70" s="52"/>
      <c r="J70" s="52"/>
      <c r="K70" s="52"/>
      <c r="L70" s="52"/>
      <c r="M70" s="52"/>
      <c r="N70" s="52"/>
      <c r="O70" s="52"/>
      <c r="P70" s="52"/>
      <c r="Q70" s="52"/>
      <c r="R70" s="52"/>
      <c r="S70" s="53"/>
      <c r="T70" s="53"/>
      <c r="U70" s="53"/>
      <c r="V70" s="53"/>
      <c r="W70" s="53"/>
      <c r="X70" s="53"/>
      <c r="Y70" s="53"/>
      <c r="Z70" s="53"/>
      <c r="AA70" s="53"/>
      <c r="AB70" s="53"/>
      <c r="AC70" s="53"/>
      <c r="AD70" s="53"/>
      <c r="AE70" s="53"/>
      <c r="AF70" s="34"/>
    </row>
    <row r="71" spans="1:32">
      <c r="A71" s="50"/>
      <c r="B71" s="50"/>
      <c r="C71" s="51"/>
      <c r="D71" s="51"/>
      <c r="E71" s="51"/>
      <c r="F71" s="52"/>
      <c r="G71" s="52"/>
      <c r="H71" s="52"/>
      <c r="I71" s="52"/>
      <c r="J71" s="52"/>
      <c r="K71" s="52"/>
      <c r="L71" s="52"/>
      <c r="M71" s="52"/>
      <c r="N71" s="52"/>
      <c r="O71" s="52"/>
      <c r="P71" s="52"/>
      <c r="Q71" s="52"/>
      <c r="R71" s="52"/>
      <c r="S71" s="53"/>
      <c r="T71" s="53"/>
      <c r="U71" s="53"/>
      <c r="V71" s="53"/>
      <c r="W71" s="53"/>
      <c r="X71" s="53"/>
      <c r="Y71" s="53"/>
      <c r="Z71" s="53"/>
      <c r="AA71" s="53"/>
      <c r="AB71" s="53"/>
      <c r="AC71" s="53"/>
      <c r="AD71" s="53"/>
      <c r="AE71" s="53"/>
      <c r="AF71" s="34"/>
    </row>
    <row r="72" spans="1:32">
      <c r="A72" s="50"/>
      <c r="B72" s="50"/>
      <c r="C72" s="51"/>
      <c r="D72" s="51"/>
      <c r="E72" s="51"/>
      <c r="F72" s="52"/>
      <c r="G72" s="52"/>
      <c r="H72" s="52"/>
      <c r="I72" s="52"/>
      <c r="J72" s="52"/>
      <c r="K72" s="52"/>
      <c r="L72" s="52"/>
      <c r="M72" s="52"/>
      <c r="N72" s="52"/>
      <c r="O72" s="52"/>
      <c r="P72" s="52"/>
      <c r="Q72" s="52"/>
      <c r="R72" s="52"/>
      <c r="S72" s="53"/>
      <c r="T72" s="53"/>
      <c r="U72" s="53"/>
      <c r="V72" s="53"/>
      <c r="W72" s="53"/>
      <c r="X72" s="53"/>
      <c r="Y72" s="53"/>
      <c r="Z72" s="53"/>
      <c r="AA72" s="53"/>
      <c r="AB72" s="53"/>
      <c r="AC72" s="53"/>
      <c r="AD72" s="53"/>
      <c r="AE72" s="53"/>
      <c r="AF72" s="34"/>
    </row>
    <row r="73" spans="1:32">
      <c r="A73" s="50"/>
      <c r="B73" s="50"/>
      <c r="C73" s="51"/>
      <c r="D73" s="51"/>
      <c r="E73" s="51"/>
      <c r="F73" s="52"/>
      <c r="G73" s="52"/>
      <c r="H73" s="52"/>
      <c r="I73" s="52"/>
      <c r="J73" s="52"/>
      <c r="K73" s="52"/>
      <c r="L73" s="52"/>
      <c r="M73" s="52"/>
      <c r="N73" s="52"/>
      <c r="O73" s="52"/>
      <c r="P73" s="52"/>
      <c r="Q73" s="52"/>
      <c r="R73" s="52"/>
      <c r="S73" s="53"/>
      <c r="T73" s="53"/>
      <c r="U73" s="53"/>
      <c r="V73" s="53"/>
      <c r="W73" s="53"/>
      <c r="X73" s="53"/>
      <c r="Y73" s="53"/>
      <c r="Z73" s="53"/>
      <c r="AA73" s="53"/>
      <c r="AB73" s="53"/>
      <c r="AC73" s="53"/>
      <c r="AD73" s="53"/>
      <c r="AE73" s="53"/>
      <c r="AF73" s="34"/>
    </row>
    <row r="74" spans="1:32">
      <c r="A74" s="50"/>
      <c r="B74" s="50"/>
      <c r="C74" s="51"/>
      <c r="D74" s="51"/>
      <c r="E74" s="51"/>
      <c r="F74" s="52"/>
      <c r="G74" s="52"/>
      <c r="H74" s="52"/>
      <c r="I74" s="52"/>
      <c r="J74" s="52"/>
      <c r="K74" s="52"/>
      <c r="L74" s="52"/>
      <c r="M74" s="52"/>
      <c r="N74" s="52"/>
      <c r="O74" s="52"/>
      <c r="P74" s="52"/>
      <c r="Q74" s="52"/>
      <c r="R74" s="52"/>
      <c r="S74" s="53"/>
      <c r="T74" s="53"/>
      <c r="U74" s="53"/>
      <c r="V74" s="53"/>
      <c r="W74" s="53"/>
      <c r="X74" s="53"/>
      <c r="Y74" s="53"/>
      <c r="Z74" s="53"/>
      <c r="AA74" s="53"/>
      <c r="AB74" s="53"/>
      <c r="AC74" s="53"/>
      <c r="AD74" s="53"/>
      <c r="AE74" s="53"/>
      <c r="AF74" s="34"/>
    </row>
    <row r="75" spans="1:32">
      <c r="A75" s="50"/>
      <c r="B75" s="50"/>
      <c r="C75" s="51"/>
      <c r="D75" s="51"/>
      <c r="E75" s="51"/>
      <c r="F75" s="52"/>
      <c r="G75" s="52"/>
      <c r="H75" s="52"/>
      <c r="I75" s="52"/>
      <c r="J75" s="52"/>
      <c r="K75" s="52"/>
      <c r="L75" s="52"/>
      <c r="M75" s="52"/>
      <c r="N75" s="52"/>
      <c r="O75" s="52"/>
      <c r="P75" s="52"/>
      <c r="Q75" s="52"/>
      <c r="R75" s="52"/>
      <c r="S75" s="53"/>
      <c r="T75" s="53"/>
      <c r="U75" s="53"/>
      <c r="V75" s="53"/>
      <c r="W75" s="53"/>
      <c r="X75" s="53"/>
      <c r="Y75" s="53"/>
      <c r="Z75" s="53"/>
      <c r="AA75" s="53"/>
      <c r="AB75" s="53"/>
      <c r="AC75" s="53"/>
      <c r="AD75" s="53"/>
      <c r="AE75" s="53"/>
      <c r="AF75" s="34"/>
    </row>
    <row r="76" spans="1:32">
      <c r="A76" s="50"/>
      <c r="B76" s="50"/>
      <c r="C76" s="51"/>
      <c r="D76" s="51"/>
      <c r="E76" s="51"/>
      <c r="F76" s="52"/>
      <c r="G76" s="52"/>
      <c r="H76" s="52"/>
      <c r="I76" s="52"/>
      <c r="J76" s="52"/>
      <c r="K76" s="52"/>
      <c r="L76" s="52"/>
      <c r="M76" s="52"/>
      <c r="N76" s="52"/>
      <c r="O76" s="52"/>
      <c r="P76" s="52"/>
      <c r="Q76" s="52"/>
      <c r="R76" s="52"/>
      <c r="S76" s="53"/>
      <c r="T76" s="53"/>
      <c r="U76" s="53"/>
      <c r="V76" s="53"/>
      <c r="W76" s="53"/>
      <c r="X76" s="53"/>
      <c r="Y76" s="53"/>
      <c r="Z76" s="53"/>
      <c r="AA76" s="53"/>
      <c r="AB76" s="53"/>
      <c r="AC76" s="53"/>
      <c r="AD76" s="53"/>
      <c r="AE76" s="53"/>
      <c r="AF76" s="34"/>
    </row>
    <row r="77" spans="1:32">
      <c r="A77" s="50"/>
      <c r="B77" s="50"/>
      <c r="C77" s="51"/>
      <c r="D77" s="51"/>
      <c r="E77" s="51"/>
      <c r="F77" s="52"/>
      <c r="G77" s="52"/>
      <c r="H77" s="52"/>
      <c r="I77" s="52"/>
      <c r="J77" s="52"/>
      <c r="K77" s="52"/>
      <c r="L77" s="52"/>
      <c r="M77" s="52"/>
      <c r="N77" s="52"/>
      <c r="O77" s="52"/>
      <c r="P77" s="52"/>
      <c r="Q77" s="52"/>
      <c r="R77" s="52"/>
      <c r="S77" s="53"/>
      <c r="T77" s="53"/>
      <c r="U77" s="53"/>
      <c r="V77" s="53"/>
      <c r="W77" s="53"/>
      <c r="X77" s="53"/>
      <c r="Y77" s="53"/>
      <c r="Z77" s="53"/>
      <c r="AA77" s="53"/>
      <c r="AB77" s="53"/>
      <c r="AC77" s="53"/>
      <c r="AD77" s="53"/>
      <c r="AE77" s="53"/>
      <c r="AF77" s="34"/>
    </row>
    <row r="78" spans="1:32">
      <c r="A78" s="50"/>
      <c r="B78" s="50"/>
      <c r="C78" s="51"/>
      <c r="D78" s="51"/>
      <c r="E78" s="51"/>
      <c r="F78" s="52"/>
      <c r="G78" s="52"/>
      <c r="H78" s="52"/>
      <c r="I78" s="52"/>
      <c r="J78" s="52"/>
      <c r="K78" s="52"/>
      <c r="L78" s="52"/>
      <c r="M78" s="52"/>
      <c r="N78" s="52"/>
      <c r="O78" s="52"/>
      <c r="P78" s="52"/>
      <c r="Q78" s="52"/>
      <c r="R78" s="52"/>
      <c r="S78" s="53"/>
      <c r="T78" s="53"/>
      <c r="U78" s="53"/>
      <c r="V78" s="53"/>
      <c r="W78" s="53"/>
      <c r="X78" s="53"/>
      <c r="Y78" s="53"/>
      <c r="Z78" s="53"/>
      <c r="AA78" s="53"/>
      <c r="AB78" s="53"/>
      <c r="AC78" s="53"/>
      <c r="AD78" s="53"/>
      <c r="AE78" s="53"/>
      <c r="AF78" s="34"/>
    </row>
    <row r="79" spans="1:32">
      <c r="A79" s="50"/>
      <c r="B79" s="50"/>
      <c r="C79" s="51"/>
      <c r="D79" s="51"/>
      <c r="E79" s="51"/>
      <c r="F79" s="52"/>
      <c r="G79" s="52"/>
      <c r="H79" s="52"/>
      <c r="I79" s="52"/>
      <c r="J79" s="52"/>
      <c r="K79" s="52"/>
      <c r="L79" s="52"/>
      <c r="M79" s="52"/>
      <c r="N79" s="52"/>
      <c r="O79" s="52"/>
      <c r="P79" s="52"/>
      <c r="Q79" s="52"/>
      <c r="R79" s="52"/>
      <c r="S79" s="53"/>
      <c r="T79" s="53"/>
      <c r="U79" s="53"/>
      <c r="V79" s="53"/>
      <c r="W79" s="53"/>
      <c r="X79" s="53"/>
      <c r="Y79" s="53"/>
      <c r="Z79" s="53"/>
      <c r="AA79" s="53"/>
      <c r="AB79" s="53"/>
      <c r="AC79" s="53"/>
      <c r="AD79" s="53"/>
      <c r="AE79" s="53"/>
      <c r="AF79" s="34"/>
    </row>
    <row r="80" spans="1:32">
      <c r="A80" s="50"/>
      <c r="B80" s="50"/>
      <c r="C80" s="51"/>
      <c r="D80" s="51"/>
      <c r="E80" s="51"/>
      <c r="F80" s="52"/>
      <c r="G80" s="52"/>
      <c r="H80" s="52"/>
      <c r="I80" s="52"/>
      <c r="J80" s="52"/>
      <c r="K80" s="52"/>
      <c r="L80" s="52"/>
      <c r="M80" s="52"/>
      <c r="N80" s="52"/>
      <c r="O80" s="52"/>
      <c r="P80" s="52"/>
      <c r="Q80" s="52"/>
      <c r="R80" s="52"/>
      <c r="S80" s="53"/>
      <c r="T80" s="53"/>
      <c r="U80" s="53"/>
      <c r="V80" s="53"/>
      <c r="W80" s="53"/>
      <c r="X80" s="53"/>
      <c r="Y80" s="53"/>
      <c r="Z80" s="53"/>
      <c r="AA80" s="53"/>
      <c r="AB80" s="53"/>
      <c r="AC80" s="53"/>
      <c r="AD80" s="53"/>
      <c r="AE80" s="53"/>
      <c r="AF80" s="34"/>
    </row>
    <row r="81" spans="1:32">
      <c r="A81" s="50"/>
      <c r="B81" s="50"/>
      <c r="C81" s="51"/>
      <c r="D81" s="51"/>
      <c r="E81" s="51"/>
      <c r="F81" s="52"/>
      <c r="G81" s="52"/>
      <c r="H81" s="52"/>
      <c r="I81" s="52"/>
      <c r="J81" s="52"/>
      <c r="K81" s="52"/>
      <c r="L81" s="52"/>
      <c r="M81" s="52"/>
      <c r="N81" s="52"/>
      <c r="O81" s="52"/>
      <c r="P81" s="52"/>
      <c r="Q81" s="52"/>
      <c r="R81" s="52"/>
      <c r="S81" s="53"/>
      <c r="T81" s="53"/>
      <c r="U81" s="53"/>
      <c r="V81" s="53"/>
      <c r="W81" s="53"/>
      <c r="X81" s="53"/>
      <c r="Y81" s="53"/>
      <c r="Z81" s="53"/>
      <c r="AA81" s="53"/>
      <c r="AB81" s="53"/>
      <c r="AC81" s="53"/>
      <c r="AD81" s="53"/>
      <c r="AE81" s="53"/>
      <c r="AF81" s="34"/>
    </row>
    <row r="82" spans="1:32">
      <c r="A82" s="50"/>
      <c r="B82" s="50"/>
      <c r="C82" s="51"/>
      <c r="D82" s="51"/>
      <c r="E82" s="51"/>
      <c r="F82" s="52"/>
      <c r="G82" s="52"/>
      <c r="H82" s="52"/>
      <c r="I82" s="52"/>
      <c r="J82" s="52"/>
      <c r="K82" s="52"/>
      <c r="L82" s="52"/>
      <c r="M82" s="52"/>
      <c r="N82" s="52"/>
      <c r="O82" s="52"/>
      <c r="P82" s="52"/>
      <c r="Q82" s="52"/>
      <c r="R82" s="52"/>
      <c r="S82" s="53"/>
      <c r="T82" s="53"/>
      <c r="U82" s="53"/>
      <c r="V82" s="53"/>
      <c r="W82" s="53"/>
      <c r="X82" s="53"/>
      <c r="Y82" s="53"/>
      <c r="Z82" s="53"/>
      <c r="AA82" s="53"/>
      <c r="AB82" s="53"/>
      <c r="AC82" s="53"/>
      <c r="AD82" s="53"/>
      <c r="AE82" s="53"/>
      <c r="AF82" s="34"/>
    </row>
    <row r="83" spans="1:32">
      <c r="A83" s="50"/>
      <c r="B83" s="50"/>
      <c r="C83" s="51"/>
      <c r="D83" s="51"/>
      <c r="E83" s="51"/>
      <c r="F83" s="52"/>
      <c r="G83" s="52"/>
      <c r="H83" s="52"/>
      <c r="I83" s="52"/>
      <c r="J83" s="52"/>
      <c r="K83" s="52"/>
      <c r="L83" s="52"/>
      <c r="M83" s="52"/>
      <c r="N83" s="52"/>
      <c r="O83" s="52"/>
      <c r="P83" s="52"/>
      <c r="Q83" s="52"/>
      <c r="R83" s="52"/>
      <c r="S83" s="53"/>
      <c r="T83" s="53"/>
      <c r="U83" s="53"/>
      <c r="V83" s="53"/>
      <c r="W83" s="53"/>
      <c r="X83" s="53"/>
      <c r="Y83" s="53"/>
      <c r="Z83" s="53"/>
      <c r="AA83" s="53"/>
      <c r="AB83" s="53"/>
      <c r="AC83" s="53"/>
      <c r="AD83" s="53"/>
      <c r="AE83" s="53"/>
      <c r="AF83" s="34"/>
    </row>
    <row r="84" spans="1:32">
      <c r="A84" s="50"/>
      <c r="B84" s="50"/>
      <c r="C84" s="51"/>
      <c r="D84" s="51"/>
      <c r="E84" s="51"/>
      <c r="F84" s="52"/>
      <c r="G84" s="52"/>
      <c r="H84" s="52"/>
      <c r="I84" s="52"/>
      <c r="J84" s="52"/>
      <c r="K84" s="52"/>
      <c r="L84" s="52"/>
      <c r="M84" s="52"/>
      <c r="N84" s="52"/>
      <c r="O84" s="52"/>
      <c r="P84" s="52"/>
      <c r="Q84" s="52"/>
      <c r="R84" s="52"/>
      <c r="S84" s="53"/>
      <c r="T84" s="53"/>
      <c r="U84" s="53"/>
      <c r="V84" s="53"/>
      <c r="W84" s="53"/>
      <c r="X84" s="53"/>
      <c r="Y84" s="53"/>
      <c r="Z84" s="53"/>
      <c r="AA84" s="53"/>
      <c r="AB84" s="53"/>
      <c r="AC84" s="53"/>
      <c r="AD84" s="53"/>
      <c r="AE84" s="53"/>
      <c r="AF84" s="34"/>
    </row>
    <row r="85" spans="1:32">
      <c r="A85" s="50"/>
      <c r="B85" s="50"/>
      <c r="C85" s="51"/>
      <c r="D85" s="51"/>
      <c r="E85" s="51"/>
      <c r="F85" s="52"/>
      <c r="G85" s="52"/>
      <c r="H85" s="52"/>
      <c r="I85" s="52"/>
      <c r="J85" s="52"/>
      <c r="K85" s="52"/>
      <c r="L85" s="52"/>
      <c r="M85" s="52"/>
      <c r="N85" s="52"/>
      <c r="O85" s="52"/>
      <c r="P85" s="52"/>
      <c r="Q85" s="52"/>
      <c r="R85" s="52"/>
      <c r="S85" s="53"/>
      <c r="T85" s="53"/>
      <c r="U85" s="53"/>
      <c r="V85" s="53"/>
      <c r="W85" s="53"/>
      <c r="X85" s="53"/>
      <c r="Y85" s="53"/>
      <c r="Z85" s="53"/>
      <c r="AA85" s="53"/>
      <c r="AB85" s="53"/>
      <c r="AC85" s="53"/>
      <c r="AD85" s="53"/>
      <c r="AE85" s="53"/>
      <c r="AF85" s="34"/>
    </row>
    <row r="86" spans="1:32">
      <c r="A86" s="50"/>
      <c r="B86" s="50"/>
      <c r="C86" s="51"/>
      <c r="D86" s="51"/>
      <c r="E86" s="51"/>
      <c r="F86" s="52"/>
      <c r="G86" s="52"/>
      <c r="H86" s="52"/>
      <c r="I86" s="52"/>
      <c r="J86" s="52"/>
      <c r="K86" s="52"/>
      <c r="L86" s="52"/>
      <c r="M86" s="52"/>
      <c r="N86" s="52"/>
      <c r="O86" s="52"/>
      <c r="P86" s="52"/>
      <c r="Q86" s="52"/>
      <c r="R86" s="52"/>
      <c r="S86" s="53"/>
      <c r="T86" s="53"/>
      <c r="U86" s="53"/>
      <c r="V86" s="53"/>
      <c r="W86" s="53"/>
      <c r="X86" s="53"/>
      <c r="Y86" s="53"/>
      <c r="Z86" s="53"/>
      <c r="AA86" s="53"/>
      <c r="AB86" s="53"/>
      <c r="AC86" s="53"/>
      <c r="AD86" s="53"/>
      <c r="AE86" s="53"/>
      <c r="AF86" s="34"/>
    </row>
    <row r="87" spans="1:32">
      <c r="A87" s="50"/>
      <c r="B87" s="50"/>
      <c r="C87" s="51"/>
      <c r="D87" s="51"/>
      <c r="E87" s="51"/>
      <c r="F87" s="52"/>
      <c r="G87" s="52"/>
      <c r="H87" s="52"/>
      <c r="I87" s="52"/>
      <c r="J87" s="52"/>
      <c r="K87" s="52"/>
      <c r="L87" s="52"/>
      <c r="M87" s="52"/>
      <c r="N87" s="52"/>
      <c r="O87" s="52"/>
      <c r="P87" s="52"/>
      <c r="Q87" s="52"/>
      <c r="R87" s="52"/>
      <c r="S87" s="53"/>
      <c r="T87" s="53"/>
      <c r="U87" s="53"/>
      <c r="V87" s="53"/>
      <c r="W87" s="53"/>
      <c r="X87" s="53"/>
      <c r="Y87" s="53"/>
      <c r="Z87" s="53"/>
      <c r="AA87" s="53"/>
      <c r="AB87" s="53"/>
      <c r="AC87" s="53"/>
      <c r="AD87" s="53"/>
      <c r="AE87" s="53"/>
      <c r="AF87" s="34"/>
    </row>
    <row r="88" spans="1:32">
      <c r="A88" s="50"/>
      <c r="B88" s="50"/>
      <c r="C88" s="51"/>
      <c r="D88" s="51"/>
      <c r="E88" s="51"/>
      <c r="F88" s="52"/>
      <c r="G88" s="52"/>
      <c r="H88" s="52"/>
      <c r="I88" s="52"/>
      <c r="J88" s="52"/>
      <c r="K88" s="52"/>
      <c r="L88" s="52"/>
      <c r="M88" s="52"/>
      <c r="N88" s="52"/>
      <c r="O88" s="52"/>
      <c r="P88" s="52"/>
      <c r="Q88" s="52"/>
      <c r="R88" s="52"/>
      <c r="S88" s="53"/>
      <c r="T88" s="53"/>
      <c r="U88" s="53"/>
      <c r="V88" s="53"/>
      <c r="W88" s="53"/>
      <c r="X88" s="53"/>
      <c r="Y88" s="53"/>
      <c r="Z88" s="53"/>
      <c r="AA88" s="53"/>
      <c r="AB88" s="53"/>
      <c r="AC88" s="53"/>
      <c r="AD88" s="53"/>
      <c r="AE88" s="53"/>
      <c r="AF88" s="34"/>
    </row>
    <row r="89" spans="1:32">
      <c r="A89" s="50"/>
      <c r="B89" s="50"/>
      <c r="C89" s="51"/>
      <c r="D89" s="51"/>
      <c r="E89" s="51"/>
      <c r="F89" s="52"/>
      <c r="G89" s="52"/>
      <c r="H89" s="52"/>
      <c r="I89" s="52"/>
      <c r="J89" s="52"/>
      <c r="K89" s="52"/>
      <c r="L89" s="52"/>
      <c r="M89" s="52"/>
      <c r="N89" s="52"/>
      <c r="O89" s="52"/>
      <c r="P89" s="52"/>
      <c r="Q89" s="52"/>
      <c r="R89" s="52"/>
      <c r="S89" s="53"/>
      <c r="T89" s="53"/>
      <c r="U89" s="53"/>
      <c r="V89" s="53"/>
      <c r="W89" s="53"/>
      <c r="X89" s="53"/>
      <c r="Y89" s="53"/>
      <c r="Z89" s="53"/>
      <c r="AA89" s="53"/>
      <c r="AB89" s="53"/>
      <c r="AC89" s="53"/>
      <c r="AD89" s="53"/>
      <c r="AE89" s="53"/>
      <c r="AF89" s="34"/>
    </row>
    <row r="90" spans="1:32">
      <c r="A90" s="50"/>
      <c r="B90" s="50"/>
      <c r="C90" s="51"/>
      <c r="D90" s="51"/>
      <c r="E90" s="51"/>
      <c r="F90" s="52"/>
      <c r="G90" s="52"/>
      <c r="H90" s="52"/>
      <c r="I90" s="52"/>
      <c r="J90" s="52"/>
      <c r="K90" s="52"/>
      <c r="L90" s="52"/>
      <c r="M90" s="52"/>
      <c r="N90" s="52"/>
      <c r="O90" s="52"/>
      <c r="P90" s="52"/>
      <c r="Q90" s="52"/>
      <c r="R90" s="52"/>
      <c r="S90" s="53"/>
      <c r="T90" s="53"/>
      <c r="U90" s="53"/>
      <c r="V90" s="53"/>
      <c r="W90" s="53"/>
      <c r="X90" s="53"/>
      <c r="Y90" s="53"/>
      <c r="Z90" s="53"/>
      <c r="AA90" s="53"/>
      <c r="AB90" s="53"/>
      <c r="AC90" s="53"/>
      <c r="AD90" s="53"/>
      <c r="AE90" s="53"/>
      <c r="AF90" s="34"/>
    </row>
    <row r="91" spans="1:32">
      <c r="A91" s="50"/>
      <c r="B91" s="50"/>
      <c r="C91" s="51"/>
      <c r="D91" s="51"/>
      <c r="E91" s="51"/>
      <c r="F91" s="52"/>
      <c r="G91" s="52"/>
      <c r="H91" s="52"/>
      <c r="I91" s="52"/>
      <c r="J91" s="52"/>
      <c r="K91" s="52"/>
      <c r="L91" s="52"/>
      <c r="M91" s="52"/>
      <c r="N91" s="52"/>
      <c r="O91" s="52"/>
      <c r="P91" s="52"/>
      <c r="Q91" s="52"/>
      <c r="R91" s="52"/>
      <c r="S91" s="53"/>
      <c r="T91" s="53"/>
      <c r="U91" s="53"/>
      <c r="V91" s="53"/>
      <c r="W91" s="53"/>
      <c r="X91" s="53"/>
      <c r="Y91" s="53"/>
      <c r="Z91" s="53"/>
      <c r="AA91" s="53"/>
      <c r="AB91" s="53"/>
      <c r="AC91" s="53"/>
      <c r="AD91" s="53"/>
      <c r="AE91" s="53"/>
      <c r="AF91" s="34"/>
    </row>
    <row r="92" spans="1:32">
      <c r="A92" s="50"/>
      <c r="B92" s="50"/>
      <c r="C92" s="51"/>
      <c r="D92" s="51"/>
      <c r="E92" s="51"/>
      <c r="F92" s="52"/>
      <c r="G92" s="52"/>
      <c r="H92" s="52"/>
      <c r="I92" s="52"/>
      <c r="J92" s="52"/>
      <c r="K92" s="52"/>
      <c r="L92" s="52"/>
      <c r="M92" s="52"/>
      <c r="N92" s="52"/>
      <c r="O92" s="52"/>
      <c r="P92" s="52"/>
      <c r="Q92" s="52"/>
      <c r="R92" s="52"/>
      <c r="S92" s="53"/>
      <c r="T92" s="53"/>
      <c r="U92" s="53"/>
      <c r="V92" s="53"/>
      <c r="W92" s="53"/>
      <c r="X92" s="53"/>
      <c r="Y92" s="53"/>
      <c r="Z92" s="53"/>
      <c r="AA92" s="53"/>
      <c r="AB92" s="53"/>
      <c r="AC92" s="53"/>
      <c r="AD92" s="53"/>
      <c r="AE92" s="53"/>
      <c r="AF92" s="34"/>
    </row>
    <row r="93" spans="1:32">
      <c r="A93" s="50"/>
      <c r="B93" s="50"/>
      <c r="C93" s="51"/>
      <c r="D93" s="51"/>
      <c r="E93" s="51"/>
      <c r="F93" s="52"/>
      <c r="G93" s="52"/>
      <c r="H93" s="52"/>
      <c r="I93" s="52"/>
      <c r="J93" s="52"/>
      <c r="K93" s="52"/>
      <c r="L93" s="52"/>
      <c r="M93" s="52"/>
      <c r="N93" s="52"/>
      <c r="O93" s="52"/>
      <c r="P93" s="52"/>
      <c r="Q93" s="52"/>
      <c r="R93" s="52"/>
      <c r="S93" s="53"/>
      <c r="T93" s="53"/>
      <c r="U93" s="53"/>
      <c r="V93" s="53"/>
      <c r="W93" s="53"/>
      <c r="X93" s="53"/>
      <c r="Y93" s="53"/>
      <c r="Z93" s="53"/>
      <c r="AA93" s="53"/>
      <c r="AB93" s="53"/>
      <c r="AC93" s="53"/>
      <c r="AD93" s="53"/>
      <c r="AE93" s="53"/>
      <c r="AF93" s="34"/>
    </row>
    <row r="94" spans="1:32">
      <c r="A94" s="50"/>
      <c r="B94" s="50"/>
      <c r="C94" s="51"/>
      <c r="D94" s="51"/>
      <c r="E94" s="51"/>
      <c r="F94" s="52"/>
      <c r="G94" s="52"/>
      <c r="H94" s="52"/>
      <c r="I94" s="52"/>
      <c r="J94" s="52"/>
      <c r="K94" s="52"/>
      <c r="L94" s="52"/>
      <c r="M94" s="52"/>
      <c r="N94" s="52"/>
      <c r="O94" s="52"/>
      <c r="P94" s="52"/>
      <c r="Q94" s="52"/>
      <c r="R94" s="52"/>
      <c r="S94" s="53"/>
      <c r="T94" s="53"/>
      <c r="U94" s="53"/>
      <c r="V94" s="53"/>
      <c r="W94" s="53"/>
      <c r="X94" s="53"/>
      <c r="Y94" s="53"/>
      <c r="Z94" s="53"/>
      <c r="AA94" s="53"/>
      <c r="AB94" s="53"/>
      <c r="AC94" s="53"/>
      <c r="AD94" s="53"/>
      <c r="AE94" s="53"/>
      <c r="AF94" s="34"/>
    </row>
    <row r="95" spans="1:32">
      <c r="A95" s="50"/>
      <c r="B95" s="50"/>
      <c r="C95" s="51"/>
      <c r="D95" s="51"/>
      <c r="E95" s="51"/>
      <c r="F95" s="52"/>
      <c r="G95" s="52"/>
      <c r="H95" s="52"/>
      <c r="I95" s="52"/>
      <c r="J95" s="52"/>
      <c r="K95" s="52"/>
      <c r="L95" s="52"/>
      <c r="M95" s="52"/>
      <c r="N95" s="52"/>
      <c r="O95" s="52"/>
      <c r="P95" s="52"/>
      <c r="Q95" s="52"/>
      <c r="R95" s="52"/>
      <c r="S95" s="53"/>
      <c r="T95" s="53"/>
      <c r="U95" s="53"/>
      <c r="V95" s="53"/>
      <c r="W95" s="53"/>
      <c r="X95" s="53"/>
      <c r="Y95" s="53"/>
      <c r="Z95" s="53"/>
      <c r="AA95" s="53"/>
      <c r="AB95" s="53"/>
      <c r="AC95" s="53"/>
      <c r="AD95" s="53"/>
      <c r="AE95" s="53"/>
      <c r="AF95" s="34"/>
    </row>
    <row r="96" spans="1:32">
      <c r="A96" s="50"/>
      <c r="B96" s="50"/>
      <c r="C96" s="51"/>
      <c r="D96" s="51"/>
      <c r="E96" s="51"/>
      <c r="F96" s="52"/>
      <c r="G96" s="52"/>
      <c r="H96" s="52"/>
      <c r="I96" s="52"/>
      <c r="J96" s="52"/>
      <c r="K96" s="52"/>
      <c r="L96" s="52"/>
      <c r="M96" s="52"/>
      <c r="N96" s="52"/>
      <c r="O96" s="52"/>
      <c r="P96" s="52"/>
      <c r="Q96" s="52"/>
      <c r="R96" s="52"/>
      <c r="S96" s="53"/>
      <c r="T96" s="53"/>
      <c r="U96" s="53"/>
      <c r="V96" s="53"/>
      <c r="W96" s="53"/>
      <c r="X96" s="53"/>
      <c r="Y96" s="53"/>
      <c r="Z96" s="53"/>
      <c r="AA96" s="53"/>
      <c r="AB96" s="53"/>
      <c r="AC96" s="53"/>
      <c r="AD96" s="53"/>
      <c r="AE96" s="53"/>
      <c r="AF96" s="34"/>
    </row>
    <row r="97" spans="1:32">
      <c r="A97" s="50"/>
      <c r="B97" s="50"/>
      <c r="C97" s="51"/>
      <c r="D97" s="51"/>
      <c r="E97" s="51"/>
      <c r="F97" s="52"/>
      <c r="G97" s="52"/>
      <c r="H97" s="52"/>
      <c r="I97" s="52"/>
      <c r="J97" s="52"/>
      <c r="K97" s="52"/>
      <c r="L97" s="52"/>
      <c r="M97" s="52"/>
      <c r="N97" s="52"/>
      <c r="O97" s="52"/>
      <c r="P97" s="52"/>
      <c r="Q97" s="52"/>
      <c r="R97" s="52"/>
      <c r="S97" s="53"/>
      <c r="T97" s="53"/>
      <c r="U97" s="53"/>
      <c r="V97" s="53"/>
      <c r="W97" s="53"/>
      <c r="X97" s="53"/>
      <c r="Y97" s="53"/>
      <c r="Z97" s="53"/>
      <c r="AA97" s="53"/>
      <c r="AB97" s="53"/>
      <c r="AC97" s="53"/>
      <c r="AD97" s="53"/>
      <c r="AE97" s="53"/>
      <c r="AF97" s="34"/>
    </row>
    <row r="98" spans="1:32">
      <c r="A98" s="50"/>
      <c r="B98" s="50"/>
      <c r="C98" s="51"/>
      <c r="D98" s="51"/>
      <c r="E98" s="51"/>
      <c r="F98" s="52"/>
      <c r="G98" s="52"/>
      <c r="H98" s="52"/>
      <c r="I98" s="52"/>
      <c r="J98" s="52"/>
      <c r="K98" s="52"/>
      <c r="L98" s="52"/>
      <c r="M98" s="52"/>
      <c r="N98" s="52"/>
      <c r="O98" s="52"/>
      <c r="P98" s="52"/>
      <c r="Q98" s="52"/>
      <c r="R98" s="52"/>
      <c r="S98" s="53"/>
      <c r="T98" s="53"/>
      <c r="U98" s="53"/>
      <c r="V98" s="53"/>
      <c r="W98" s="53"/>
      <c r="X98" s="53"/>
      <c r="Y98" s="53"/>
      <c r="Z98" s="53"/>
      <c r="AA98" s="53"/>
      <c r="AB98" s="53"/>
      <c r="AC98" s="53"/>
      <c r="AD98" s="53"/>
      <c r="AE98" s="53"/>
      <c r="AF98" s="34"/>
    </row>
    <row r="99" spans="1:32">
      <c r="A99" s="50"/>
      <c r="B99" s="50"/>
      <c r="C99" s="51"/>
      <c r="D99" s="51"/>
      <c r="E99" s="51"/>
      <c r="F99" s="52"/>
      <c r="G99" s="52"/>
      <c r="H99" s="52"/>
      <c r="I99" s="52"/>
      <c r="J99" s="52"/>
      <c r="K99" s="52"/>
      <c r="L99" s="52"/>
      <c r="M99" s="52"/>
      <c r="N99" s="52"/>
      <c r="O99" s="52"/>
      <c r="P99" s="52"/>
      <c r="Q99" s="52"/>
      <c r="R99" s="52"/>
      <c r="S99" s="53"/>
      <c r="T99" s="53"/>
      <c r="U99" s="53"/>
      <c r="V99" s="53"/>
      <c r="W99" s="53"/>
      <c r="X99" s="53"/>
      <c r="Y99" s="53"/>
      <c r="Z99" s="53"/>
      <c r="AA99" s="53"/>
      <c r="AB99" s="53"/>
      <c r="AC99" s="53"/>
      <c r="AD99" s="53"/>
      <c r="AE99" s="53"/>
      <c r="AF99" s="34"/>
    </row>
    <row r="100" spans="1:32">
      <c r="A100" s="50"/>
      <c r="B100" s="50"/>
      <c r="C100" s="51"/>
      <c r="D100" s="51"/>
      <c r="E100" s="51"/>
      <c r="F100" s="52"/>
      <c r="G100" s="52"/>
      <c r="H100" s="52"/>
      <c r="I100" s="52"/>
      <c r="J100" s="52"/>
      <c r="K100" s="52"/>
      <c r="L100" s="52"/>
      <c r="M100" s="52"/>
      <c r="N100" s="52"/>
      <c r="O100" s="52"/>
      <c r="P100" s="52"/>
      <c r="Q100" s="52"/>
      <c r="R100" s="52"/>
      <c r="S100" s="53"/>
      <c r="T100" s="53"/>
      <c r="U100" s="53"/>
      <c r="V100" s="53"/>
      <c r="W100" s="53"/>
      <c r="X100" s="53"/>
      <c r="Y100" s="53"/>
      <c r="Z100" s="53"/>
      <c r="AA100" s="53"/>
      <c r="AB100" s="53"/>
      <c r="AC100" s="53"/>
      <c r="AD100" s="53"/>
      <c r="AE100" s="53"/>
      <c r="AF100" s="34"/>
    </row>
    <row r="101" spans="1:32">
      <c r="A101" s="50"/>
      <c r="B101" s="50"/>
      <c r="C101" s="51"/>
      <c r="D101" s="51"/>
      <c r="E101" s="51"/>
      <c r="F101" s="52"/>
      <c r="G101" s="52"/>
      <c r="H101" s="52"/>
      <c r="I101" s="52"/>
      <c r="J101" s="52"/>
      <c r="K101" s="52"/>
      <c r="L101" s="52"/>
      <c r="M101" s="52"/>
      <c r="N101" s="52"/>
      <c r="O101" s="52"/>
      <c r="P101" s="52"/>
      <c r="Q101" s="52"/>
      <c r="R101" s="52"/>
      <c r="S101" s="53"/>
      <c r="T101" s="53"/>
      <c r="U101" s="53"/>
      <c r="V101" s="53"/>
      <c r="W101" s="53"/>
      <c r="X101" s="53"/>
      <c r="Y101" s="53"/>
      <c r="Z101" s="53"/>
      <c r="AA101" s="53"/>
      <c r="AB101" s="53"/>
      <c r="AC101" s="53"/>
      <c r="AD101" s="53"/>
      <c r="AE101" s="53"/>
      <c r="AF101" s="34"/>
    </row>
    <row r="102" spans="1:32">
      <c r="A102" s="50"/>
      <c r="B102" s="50"/>
      <c r="C102" s="51"/>
      <c r="D102" s="51"/>
      <c r="E102" s="51"/>
      <c r="F102" s="52"/>
      <c r="G102" s="52"/>
      <c r="H102" s="52"/>
      <c r="I102" s="52"/>
      <c r="J102" s="52"/>
      <c r="K102" s="52"/>
      <c r="L102" s="52"/>
      <c r="M102" s="52"/>
      <c r="N102" s="52"/>
      <c r="O102" s="52"/>
      <c r="P102" s="52"/>
      <c r="Q102" s="52"/>
      <c r="R102" s="52"/>
      <c r="S102" s="53"/>
      <c r="T102" s="53"/>
      <c r="U102" s="53"/>
      <c r="V102" s="53"/>
      <c r="W102" s="53"/>
      <c r="X102" s="53"/>
      <c r="Y102" s="53"/>
      <c r="Z102" s="53"/>
      <c r="AA102" s="53"/>
      <c r="AB102" s="53"/>
      <c r="AC102" s="53"/>
      <c r="AD102" s="53"/>
      <c r="AE102" s="53"/>
      <c r="AF102" s="34"/>
    </row>
    <row r="103" spans="1:32">
      <c r="A103" s="50"/>
      <c r="B103" s="50"/>
      <c r="C103" s="51"/>
      <c r="D103" s="51"/>
      <c r="E103" s="51"/>
      <c r="F103" s="52"/>
      <c r="G103" s="52"/>
      <c r="H103" s="52"/>
      <c r="I103" s="52"/>
      <c r="J103" s="52"/>
      <c r="K103" s="52"/>
      <c r="L103" s="52"/>
      <c r="M103" s="52"/>
      <c r="N103" s="52"/>
      <c r="O103" s="52"/>
      <c r="P103" s="52"/>
      <c r="Q103" s="52"/>
      <c r="R103" s="52"/>
      <c r="S103" s="53"/>
      <c r="T103" s="53"/>
      <c r="U103" s="53"/>
      <c r="V103" s="53"/>
      <c r="W103" s="53"/>
      <c r="X103" s="53"/>
      <c r="Y103" s="53"/>
      <c r="Z103" s="53"/>
      <c r="AA103" s="53"/>
      <c r="AB103" s="53"/>
      <c r="AC103" s="53"/>
      <c r="AD103" s="53"/>
      <c r="AE103" s="53"/>
      <c r="AF103" s="34"/>
    </row>
    <row r="104" spans="1:32">
      <c r="A104" s="50"/>
      <c r="B104" s="50"/>
      <c r="C104" s="51"/>
      <c r="D104" s="51"/>
      <c r="E104" s="51"/>
      <c r="F104" s="52"/>
      <c r="G104" s="52"/>
      <c r="H104" s="52"/>
      <c r="I104" s="52"/>
      <c r="J104" s="52"/>
      <c r="K104" s="52"/>
      <c r="L104" s="52"/>
      <c r="M104" s="52"/>
      <c r="N104" s="52"/>
      <c r="O104" s="52"/>
      <c r="P104" s="52"/>
      <c r="Q104" s="52"/>
      <c r="R104" s="52"/>
      <c r="S104" s="53"/>
      <c r="T104" s="53"/>
      <c r="U104" s="53"/>
      <c r="V104" s="53"/>
      <c r="W104" s="53"/>
      <c r="X104" s="53"/>
      <c r="Y104" s="53"/>
      <c r="Z104" s="53"/>
      <c r="AA104" s="53"/>
      <c r="AB104" s="53"/>
      <c r="AC104" s="53"/>
      <c r="AD104" s="53"/>
      <c r="AE104" s="53"/>
      <c r="AF104" s="34"/>
    </row>
    <row r="105" spans="1:32">
      <c r="A105" s="50"/>
      <c r="B105" s="50"/>
      <c r="C105" s="51"/>
      <c r="D105" s="51"/>
      <c r="E105" s="51"/>
      <c r="F105" s="52"/>
      <c r="G105" s="52"/>
      <c r="H105" s="52"/>
      <c r="I105" s="52"/>
      <c r="J105" s="52"/>
      <c r="K105" s="52"/>
      <c r="L105" s="52"/>
      <c r="M105" s="52"/>
      <c r="N105" s="52"/>
      <c r="O105" s="52"/>
      <c r="P105" s="52"/>
      <c r="Q105" s="52"/>
      <c r="R105" s="52"/>
      <c r="S105" s="53"/>
      <c r="T105" s="53"/>
      <c r="U105" s="53"/>
      <c r="V105" s="53"/>
      <c r="W105" s="53"/>
      <c r="X105" s="53"/>
      <c r="Y105" s="53"/>
      <c r="Z105" s="53"/>
      <c r="AA105" s="53"/>
      <c r="AB105" s="53"/>
      <c r="AC105" s="53"/>
      <c r="AD105" s="53"/>
      <c r="AE105" s="53"/>
      <c r="AF105" s="34"/>
    </row>
    <row r="106" spans="1:32">
      <c r="A106" s="50"/>
      <c r="B106" s="50"/>
      <c r="C106" s="51"/>
      <c r="D106" s="51"/>
      <c r="E106" s="51"/>
      <c r="F106" s="52"/>
      <c r="G106" s="52"/>
      <c r="H106" s="52"/>
      <c r="I106" s="52"/>
      <c r="J106" s="52"/>
      <c r="K106" s="52"/>
      <c r="L106" s="52"/>
      <c r="M106" s="52"/>
      <c r="N106" s="52"/>
      <c r="O106" s="52"/>
      <c r="P106" s="52"/>
      <c r="Q106" s="52"/>
      <c r="R106" s="52"/>
      <c r="S106" s="53"/>
      <c r="T106" s="53"/>
      <c r="U106" s="53"/>
      <c r="V106" s="53"/>
      <c r="W106" s="53"/>
      <c r="X106" s="53"/>
      <c r="Y106" s="53"/>
      <c r="Z106" s="53"/>
      <c r="AA106" s="53"/>
      <c r="AB106" s="53"/>
      <c r="AC106" s="53"/>
      <c r="AD106" s="53"/>
      <c r="AE106" s="53"/>
      <c r="AF106" s="34"/>
    </row>
  </sheetData>
  <mergeCells count="8">
    <mergeCell ref="A2:E3"/>
    <mergeCell ref="F2:R2"/>
    <mergeCell ref="S2:AE3"/>
    <mergeCell ref="AF2:AF3"/>
    <mergeCell ref="F3:I3"/>
    <mergeCell ref="J3:K3"/>
    <mergeCell ref="L3:O3"/>
    <mergeCell ref="P3:R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EBF516E8-D361-416C-86C9-0BE971B4DF10}">
          <x14:formula1>
            <xm:f>vocabs!$F$3:$F$7</xm:f>
          </x14:formula1>
          <xm:sqref>C9:C106</xm:sqref>
        </x14:dataValidation>
        <x14:dataValidation type="list" allowBlank="1" showInputMessage="1" showErrorMessage="1" xr:uid="{88CFA4EC-B3BB-4DC9-A2AD-BA6A52108D5A}">
          <x14:formula1>
            <xm:f>vocabs!$F$17:$F$21</xm:f>
          </x14:formula1>
          <xm:sqref>S9:S106</xm:sqref>
        </x14:dataValidation>
        <x14:dataValidation type="list" allowBlank="1" showInputMessage="1" showErrorMessage="1" xr:uid="{42B9B7D0-1293-44EC-B0F0-C322D0CDE6B3}">
          <x14:formula1>
            <xm:f>vocabs!$F$31:$F$36</xm:f>
          </x14:formula1>
          <xm:sqref>U9:U106</xm:sqref>
        </x14:dataValidation>
        <x14:dataValidation type="list" allowBlank="1" showInputMessage="1" showErrorMessage="1" xr:uid="{CBF291EC-BDBE-4EC7-8B89-F2A9145D1278}">
          <x14:formula1>
            <xm:f>vocabs!$F$40:$F$46</xm:f>
          </x14:formula1>
          <xm:sqref>W9:W106</xm:sqref>
        </x14:dataValidation>
        <x14:dataValidation type="list" allowBlank="1" showInputMessage="1" showErrorMessage="1" xr:uid="{4694B7F9-AB32-48F7-86BF-EE0F83128BDE}">
          <x14:formula1>
            <xm:f>vocabs!$F$51:$F$56</xm:f>
          </x14:formula1>
          <xm:sqref>Z9:Z106</xm:sqref>
        </x14:dataValidation>
        <x14:dataValidation type="list" allowBlank="1" showInputMessage="1" showErrorMessage="1" xr:uid="{22B7F53F-5D0E-4C06-9427-C4CA911571B9}">
          <x14:formula1>
            <xm:f>vocabs!$F$63:$F$71</xm:f>
          </x14:formula1>
          <xm:sqref>AD9:AD106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C855-10F7-488F-81C3-05C35252F526}">
  <dimension ref="A1:H99"/>
  <sheetViews>
    <sheetView workbookViewId="0">
      <selection activeCell="S11" sqref="S11"/>
    </sheetView>
  </sheetViews>
  <sheetFormatPr defaultColWidth="11" defaultRowHeight="15.75"/>
  <cols>
    <col min="1" max="1" width="3.625" style="32" bestFit="1" customWidth="1"/>
    <col min="2" max="2" width="86.5" style="32" customWidth="1"/>
    <col min="3" max="3" width="11" style="32"/>
    <col min="4" max="4" width="66" style="32" customWidth="1"/>
    <col min="5" max="5" width="11" style="32"/>
    <col min="6" max="6" width="61.125" style="32" bestFit="1" customWidth="1"/>
    <col min="7" max="16384" width="11" style="32"/>
  </cols>
  <sheetData>
    <row r="1" spans="1:8">
      <c r="B1" s="32" t="s">
        <v>141</v>
      </c>
      <c r="D1" s="32" t="s">
        <v>141</v>
      </c>
      <c r="F1" s="32" t="s">
        <v>142</v>
      </c>
      <c r="H1" s="32" t="s">
        <v>143</v>
      </c>
    </row>
    <row r="2" spans="1:8" ht="117.75">
      <c r="A2" s="32" t="s">
        <v>144</v>
      </c>
      <c r="B2" s="56" t="s">
        <v>145</v>
      </c>
      <c r="C2" s="32" t="s">
        <v>146</v>
      </c>
      <c r="D2" s="57" t="s">
        <v>147</v>
      </c>
      <c r="E2" s="32" t="s">
        <v>148</v>
      </c>
      <c r="F2" s="35" t="s">
        <v>149</v>
      </c>
      <c r="H2" s="32" t="s">
        <v>150</v>
      </c>
    </row>
    <row r="3" spans="1:8">
      <c r="B3" s="32" t="s">
        <v>151</v>
      </c>
      <c r="D3" s="32" t="s">
        <v>152</v>
      </c>
      <c r="F3" s="32" t="s">
        <v>153</v>
      </c>
      <c r="H3" s="32" t="s">
        <v>154</v>
      </c>
    </row>
    <row r="4" spans="1:8">
      <c r="B4" s="32" t="s">
        <v>155</v>
      </c>
      <c r="D4" s="32" t="s">
        <v>156</v>
      </c>
      <c r="F4" s="32" t="s">
        <v>157</v>
      </c>
      <c r="H4" s="32" t="s">
        <v>158</v>
      </c>
    </row>
    <row r="5" spans="1:8">
      <c r="B5" s="32" t="s">
        <v>159</v>
      </c>
      <c r="D5" s="32" t="s">
        <v>160</v>
      </c>
      <c r="F5" s="32" t="s">
        <v>161</v>
      </c>
    </row>
    <row r="6" spans="1:8">
      <c r="B6" s="32" t="s">
        <v>162</v>
      </c>
      <c r="D6" s="32" t="s">
        <v>163</v>
      </c>
      <c r="F6" s="32" t="s">
        <v>164</v>
      </c>
    </row>
    <row r="7" spans="1:8">
      <c r="B7" s="32" t="s">
        <v>165</v>
      </c>
      <c r="D7" s="32" t="s">
        <v>166</v>
      </c>
      <c r="F7" s="32" t="s">
        <v>167</v>
      </c>
    </row>
    <row r="8" spans="1:8">
      <c r="B8" s="32" t="s">
        <v>168</v>
      </c>
      <c r="D8" s="32" t="s">
        <v>169</v>
      </c>
    </row>
    <row r="9" spans="1:8">
      <c r="D9" s="32" t="s">
        <v>170</v>
      </c>
    </row>
    <row r="10" spans="1:8">
      <c r="D10" s="32" t="s">
        <v>171</v>
      </c>
    </row>
    <row r="11" spans="1:8">
      <c r="D11" s="32" t="s">
        <v>39</v>
      </c>
    </row>
    <row r="15" spans="1:8">
      <c r="A15" s="32" t="s">
        <v>172</v>
      </c>
    </row>
    <row r="16" spans="1:8" ht="20.100000000000001" customHeight="1">
      <c r="B16" s="58" t="s">
        <v>173</v>
      </c>
      <c r="C16" s="32" t="s">
        <v>174</v>
      </c>
      <c r="D16" s="57" t="s">
        <v>175</v>
      </c>
      <c r="E16" s="32" t="s">
        <v>176</v>
      </c>
      <c r="F16" s="37" t="s">
        <v>83</v>
      </c>
    </row>
    <row r="17" spans="1:6">
      <c r="B17" s="32" t="s">
        <v>177</v>
      </c>
      <c r="D17" s="32" t="s">
        <v>178</v>
      </c>
      <c r="F17" s="32" t="s">
        <v>179</v>
      </c>
    </row>
    <row r="18" spans="1:6">
      <c r="B18" s="32" t="s">
        <v>180</v>
      </c>
      <c r="D18" s="32" t="s">
        <v>181</v>
      </c>
      <c r="F18" s="32" t="s">
        <v>182</v>
      </c>
    </row>
    <row r="19" spans="1:6">
      <c r="B19" s="32" t="s">
        <v>183</v>
      </c>
      <c r="D19" s="32" t="s">
        <v>184</v>
      </c>
      <c r="F19" s="32" t="s">
        <v>185</v>
      </c>
    </row>
    <row r="20" spans="1:6">
      <c r="B20" s="32" t="s">
        <v>186</v>
      </c>
      <c r="D20" s="32" t="s">
        <v>39</v>
      </c>
      <c r="F20" s="32" t="s">
        <v>187</v>
      </c>
    </row>
    <row r="21" spans="1:6">
      <c r="B21" s="32" t="s">
        <v>188</v>
      </c>
      <c r="F21" s="32" t="s">
        <v>189</v>
      </c>
    </row>
    <row r="22" spans="1:6">
      <c r="B22" s="32" t="s">
        <v>190</v>
      </c>
    </row>
    <row r="23" spans="1:6">
      <c r="B23" s="32" t="s">
        <v>171</v>
      </c>
    </row>
    <row r="24" spans="1:6">
      <c r="B24" s="32" t="s">
        <v>39</v>
      </c>
    </row>
    <row r="25" spans="1:6" ht="38.1" customHeight="1">
      <c r="C25" s="32" t="s">
        <v>191</v>
      </c>
      <c r="D25" s="57" t="s">
        <v>192</v>
      </c>
    </row>
    <row r="26" spans="1:6">
      <c r="D26" s="32" t="s">
        <v>193</v>
      </c>
    </row>
    <row r="27" spans="1:6">
      <c r="D27" s="32" t="s">
        <v>194</v>
      </c>
    </row>
    <row r="28" spans="1:6">
      <c r="D28" s="32" t="s">
        <v>195</v>
      </c>
    </row>
    <row r="29" spans="1:6">
      <c r="A29" s="32" t="s">
        <v>196</v>
      </c>
      <c r="D29" s="32" t="s">
        <v>197</v>
      </c>
    </row>
    <row r="30" spans="1:6" ht="39">
      <c r="B30" s="58" t="s">
        <v>198</v>
      </c>
      <c r="D30" s="32" t="s">
        <v>199</v>
      </c>
      <c r="E30" s="32" t="s">
        <v>200</v>
      </c>
      <c r="F30" s="37" t="s">
        <v>84</v>
      </c>
    </row>
    <row r="31" spans="1:6">
      <c r="B31" s="32" t="s">
        <v>180</v>
      </c>
      <c r="D31" s="32" t="s">
        <v>171</v>
      </c>
      <c r="F31" s="32" t="s">
        <v>201</v>
      </c>
    </row>
    <row r="32" spans="1:6">
      <c r="B32" s="32" t="s">
        <v>202</v>
      </c>
      <c r="D32" s="32" t="s">
        <v>39</v>
      </c>
      <c r="F32" s="32" t="s">
        <v>203</v>
      </c>
    </row>
    <row r="33" spans="1:6">
      <c r="B33" s="32" t="s">
        <v>171</v>
      </c>
      <c r="F33" s="32" t="s">
        <v>204</v>
      </c>
    </row>
    <row r="34" spans="1:6">
      <c r="B34" s="32" t="s">
        <v>39</v>
      </c>
      <c r="F34" s="32" t="s">
        <v>205</v>
      </c>
    </row>
    <row r="35" spans="1:6">
      <c r="F35" s="32" t="s">
        <v>206</v>
      </c>
    </row>
    <row r="36" spans="1:6" ht="39">
      <c r="C36" s="32" t="s">
        <v>207</v>
      </c>
      <c r="D36" s="57" t="s">
        <v>208</v>
      </c>
      <c r="F36" s="32" t="s">
        <v>171</v>
      </c>
    </row>
    <row r="37" spans="1:6">
      <c r="D37" s="32" t="s">
        <v>209</v>
      </c>
    </row>
    <row r="38" spans="1:6">
      <c r="A38" s="32" t="s">
        <v>210</v>
      </c>
      <c r="D38" s="32" t="s">
        <v>211</v>
      </c>
    </row>
    <row r="39" spans="1:6" ht="49.5">
      <c r="B39" s="58" t="s">
        <v>212</v>
      </c>
      <c r="D39" s="32" t="s">
        <v>213</v>
      </c>
      <c r="E39" s="32" t="s">
        <v>214</v>
      </c>
      <c r="F39" s="37" t="s">
        <v>85</v>
      </c>
    </row>
    <row r="40" spans="1:6">
      <c r="B40" s="32" t="s">
        <v>215</v>
      </c>
      <c r="D40" s="32" t="s">
        <v>171</v>
      </c>
      <c r="F40" s="32" t="s">
        <v>216</v>
      </c>
    </row>
    <row r="41" spans="1:6">
      <c r="B41" s="32" t="s">
        <v>217</v>
      </c>
      <c r="D41" s="32" t="s">
        <v>39</v>
      </c>
      <c r="F41" s="32" t="s">
        <v>218</v>
      </c>
    </row>
    <row r="42" spans="1:6">
      <c r="B42" s="32" t="s">
        <v>219</v>
      </c>
      <c r="F42" s="32" t="s">
        <v>220</v>
      </c>
    </row>
    <row r="43" spans="1:6">
      <c r="B43" s="32" t="s">
        <v>221</v>
      </c>
      <c r="F43" s="32" t="s">
        <v>222</v>
      </c>
    </row>
    <row r="44" spans="1:6">
      <c r="B44" s="32" t="s">
        <v>223</v>
      </c>
      <c r="F44" s="32" t="s">
        <v>224</v>
      </c>
    </row>
    <row r="45" spans="1:6">
      <c r="B45" s="32" t="s">
        <v>171</v>
      </c>
      <c r="F45" s="32" t="s">
        <v>225</v>
      </c>
    </row>
    <row r="46" spans="1:6">
      <c r="B46" s="32" t="s">
        <v>39</v>
      </c>
      <c r="F46" s="32" t="s">
        <v>171</v>
      </c>
    </row>
    <row r="48" spans="1:6" ht="39">
      <c r="C48" s="32" t="s">
        <v>226</v>
      </c>
      <c r="D48" s="59" t="s">
        <v>227</v>
      </c>
    </row>
    <row r="49" spans="1:6">
      <c r="A49" s="32" t="s">
        <v>228</v>
      </c>
      <c r="D49" s="32" t="s">
        <v>229</v>
      </c>
    </row>
    <row r="50" spans="1:6" ht="39">
      <c r="B50" s="58" t="s">
        <v>230</v>
      </c>
      <c r="D50" s="32" t="s">
        <v>231</v>
      </c>
      <c r="E50" s="32" t="s">
        <v>232</v>
      </c>
      <c r="F50" s="37" t="s">
        <v>86</v>
      </c>
    </row>
    <row r="51" spans="1:6">
      <c r="B51" s="32" t="s">
        <v>233</v>
      </c>
      <c r="D51" s="32" t="s">
        <v>234</v>
      </c>
      <c r="F51" s="32" t="s">
        <v>235</v>
      </c>
    </row>
    <row r="52" spans="1:6">
      <c r="B52" s="32" t="s">
        <v>236</v>
      </c>
      <c r="D52" s="32" t="s">
        <v>171</v>
      </c>
      <c r="F52" s="32" t="s">
        <v>237</v>
      </c>
    </row>
    <row r="53" spans="1:6">
      <c r="B53" s="32" t="s">
        <v>238</v>
      </c>
      <c r="D53" s="32" t="s">
        <v>39</v>
      </c>
      <c r="F53" s="32" t="s">
        <v>239</v>
      </c>
    </row>
    <row r="54" spans="1:6">
      <c r="B54" s="32" t="s">
        <v>240</v>
      </c>
      <c r="F54" s="32" t="s">
        <v>241</v>
      </c>
    </row>
    <row r="55" spans="1:6">
      <c r="B55" s="32" t="s">
        <v>242</v>
      </c>
      <c r="F55" s="32" t="s">
        <v>243</v>
      </c>
    </row>
    <row r="56" spans="1:6">
      <c r="B56" s="32" t="s">
        <v>171</v>
      </c>
      <c r="F56" s="32" t="s">
        <v>171</v>
      </c>
    </row>
    <row r="57" spans="1:6">
      <c r="B57" s="32" t="s">
        <v>244</v>
      </c>
    </row>
    <row r="58" spans="1:6" ht="54">
      <c r="C58" s="32" t="s">
        <v>245</v>
      </c>
      <c r="D58" s="57" t="s">
        <v>246</v>
      </c>
    </row>
    <row r="59" spans="1:6">
      <c r="D59" s="32" t="s">
        <v>247</v>
      </c>
    </row>
    <row r="60" spans="1:6">
      <c r="D60" s="32" t="s">
        <v>248</v>
      </c>
    </row>
    <row r="61" spans="1:6">
      <c r="A61" s="32" t="s">
        <v>249</v>
      </c>
      <c r="D61" s="32" t="s">
        <v>250</v>
      </c>
    </row>
    <row r="62" spans="1:6" ht="86.25">
      <c r="B62" s="58" t="s">
        <v>251</v>
      </c>
      <c r="D62" s="32" t="s">
        <v>171</v>
      </c>
      <c r="E62" s="32" t="s">
        <v>252</v>
      </c>
      <c r="F62" s="37" t="s">
        <v>87</v>
      </c>
    </row>
    <row r="63" spans="1:6">
      <c r="B63" s="32" t="s">
        <v>253</v>
      </c>
      <c r="D63" s="32" t="s">
        <v>39</v>
      </c>
      <c r="F63" s="32" t="s">
        <v>254</v>
      </c>
    </row>
    <row r="64" spans="1:6">
      <c r="B64" s="32" t="s">
        <v>255</v>
      </c>
      <c r="F64" s="32" t="s">
        <v>256</v>
      </c>
    </row>
    <row r="65" spans="1:6">
      <c r="B65" s="32" t="s">
        <v>257</v>
      </c>
      <c r="F65" s="32" t="s">
        <v>258</v>
      </c>
    </row>
    <row r="66" spans="1:6">
      <c r="B66" s="32" t="s">
        <v>259</v>
      </c>
      <c r="F66" s="32" t="s">
        <v>260</v>
      </c>
    </row>
    <row r="67" spans="1:6">
      <c r="B67" s="32" t="s">
        <v>171</v>
      </c>
      <c r="F67" s="32" t="s">
        <v>261</v>
      </c>
    </row>
    <row r="68" spans="1:6">
      <c r="B68" s="32" t="s">
        <v>39</v>
      </c>
      <c r="F68" s="32" t="s">
        <v>262</v>
      </c>
    </row>
    <row r="69" spans="1:6" ht="54">
      <c r="C69" s="32" t="s">
        <v>263</v>
      </c>
      <c r="D69" s="57" t="s">
        <v>264</v>
      </c>
      <c r="F69" s="32" t="s">
        <v>265</v>
      </c>
    </row>
    <row r="70" spans="1:6">
      <c r="D70" s="32" t="s">
        <v>266</v>
      </c>
      <c r="F70" s="32" t="s">
        <v>171</v>
      </c>
    </row>
    <row r="71" spans="1:6">
      <c r="A71" s="32" t="s">
        <v>267</v>
      </c>
      <c r="D71" s="32" t="s">
        <v>268</v>
      </c>
      <c r="F71" s="32" t="s">
        <v>39</v>
      </c>
    </row>
    <row r="72" spans="1:6" ht="45.75">
      <c r="B72" s="58" t="s">
        <v>269</v>
      </c>
      <c r="D72" s="32" t="s">
        <v>270</v>
      </c>
    </row>
    <row r="73" spans="1:6">
      <c r="B73" s="60" t="s">
        <v>271</v>
      </c>
      <c r="D73" s="32" t="s">
        <v>171</v>
      </c>
    </row>
    <row r="74" spans="1:6">
      <c r="B74" s="60" t="s">
        <v>272</v>
      </c>
      <c r="D74" s="32" t="s">
        <v>39</v>
      </c>
    </row>
    <row r="75" spans="1:6">
      <c r="B75" s="60" t="s">
        <v>273</v>
      </c>
    </row>
    <row r="76" spans="1:6">
      <c r="B76" s="60" t="s">
        <v>274</v>
      </c>
    </row>
    <row r="77" spans="1:6">
      <c r="B77" s="60" t="s">
        <v>171</v>
      </c>
    </row>
    <row r="78" spans="1:6">
      <c r="B78" s="60" t="s">
        <v>39</v>
      </c>
    </row>
    <row r="80" spans="1:6" ht="114">
      <c r="C80" s="32" t="s">
        <v>275</v>
      </c>
      <c r="D80" s="57" t="s">
        <v>276</v>
      </c>
    </row>
    <row r="81" spans="3:4">
      <c r="D81" s="32" t="s">
        <v>277</v>
      </c>
    </row>
    <row r="82" spans="3:4">
      <c r="D82" s="32" t="s">
        <v>278</v>
      </c>
    </row>
    <row r="83" spans="3:4">
      <c r="D83" s="32" t="s">
        <v>279</v>
      </c>
    </row>
    <row r="84" spans="3:4">
      <c r="D84" s="32" t="s">
        <v>280</v>
      </c>
    </row>
    <row r="85" spans="3:4">
      <c r="D85" s="32" t="s">
        <v>281</v>
      </c>
    </row>
    <row r="86" spans="3:4">
      <c r="D86" s="32" t="s">
        <v>282</v>
      </c>
    </row>
    <row r="87" spans="3:4">
      <c r="D87" s="32" t="s">
        <v>39</v>
      </c>
    </row>
    <row r="92" spans="3:4" ht="39">
      <c r="C92" s="32" t="s">
        <v>283</v>
      </c>
      <c r="D92" s="57" t="s">
        <v>284</v>
      </c>
    </row>
    <row r="93" spans="3:4">
      <c r="D93" s="32" t="s">
        <v>285</v>
      </c>
    </row>
    <row r="94" spans="3:4">
      <c r="D94" s="32" t="s">
        <v>286</v>
      </c>
    </row>
    <row r="95" spans="3:4">
      <c r="D95" s="32" t="s">
        <v>287</v>
      </c>
    </row>
    <row r="96" spans="3:4">
      <c r="D96" s="32" t="s">
        <v>288</v>
      </c>
    </row>
    <row r="97" spans="4:4">
      <c r="D97" s="32" t="s">
        <v>289</v>
      </c>
    </row>
    <row r="98" spans="4:4">
      <c r="D98" s="32" t="s">
        <v>171</v>
      </c>
    </row>
    <row r="99" spans="4:4">
      <c r="D99" s="32" t="s">
        <v>39</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index</vt:lpstr>
      <vt:lpstr>age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Xiaoqing Zhang</cp:lastModifiedBy>
  <dcterms:created xsi:type="dcterms:W3CDTF">2017-12-08T17:21:04Z</dcterms:created>
  <dcterms:modified xsi:type="dcterms:W3CDTF">2024-03-21T15:37:19Z</dcterms:modified>
</cp:coreProperties>
</file>