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royer\Desktop\archive\"/>
    </mc:Choice>
  </mc:AlternateContent>
  <bookViews>
    <workbookView xWindow="3135" yWindow="1875" windowWidth="25665" windowHeight="15045" tabRatio="500"/>
  </bookViews>
  <sheets>
    <sheet name="stomatal index" sheetId="1" r:id="rId1"/>
  </sheets>
  <calcPr calcId="162913"/>
  <extLst>
    <ext xmlns:x14="http://schemas.microsoft.com/office/spreadsheetml/2009/9/main" uri="{79F54976-1DA5-4618-B147-4CDE4B953A38}">
      <x14:workbookPr defaultImageDpi="330"/>
    </ext>
  </extLst>
</workbook>
</file>

<file path=xl/calcChain.xml><?xml version="1.0" encoding="utf-8"?>
<calcChain xmlns="http://schemas.openxmlformats.org/spreadsheetml/2006/main">
  <c r="E8" i="1" l="1"/>
  <c r="E7" i="1"/>
  <c r="E6" i="1"/>
  <c r="E5" i="1"/>
  <c r="E4" i="1"/>
</calcChain>
</file>

<file path=xl/sharedStrings.xml><?xml version="1.0" encoding="utf-8"?>
<sst xmlns="http://schemas.openxmlformats.org/spreadsheetml/2006/main" count="260" uniqueCount="74">
  <si>
    <t>person who entered data</t>
  </si>
  <si>
    <t>general notes</t>
  </si>
  <si>
    <t>doi</t>
  </si>
  <si>
    <t>Sample name</t>
  </si>
  <si>
    <t>Family</t>
  </si>
  <si>
    <t>Genus</t>
  </si>
  <si>
    <t>Species</t>
  </si>
  <si>
    <t>Sample
Repository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</si>
  <si>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</si>
  <si>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</si>
  <si>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</si>
  <si>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</si>
  <si>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</si>
  <si>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</si>
  <si>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</si>
  <si>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Number of stomatal counts per leaf</t>
  </si>
  <si>
    <t>Number of leaves comprising CO2 estimate</t>
  </si>
  <si>
    <t>Counting Method
(Image, microscope)</t>
  </si>
  <si>
    <t>Counting box dimensions
(µm × µm)</t>
  </si>
  <si>
    <t># Stomata</t>
  </si>
  <si>
    <t># Epidermal Cells</t>
  </si>
  <si>
    <t>Sample mean stomatal density
(SD, mm-2)</t>
  </si>
  <si>
    <t>Sample
mean stomatal index
(SI, %)</t>
  </si>
  <si>
    <t>SD error (+/- 1 s.e.m.)</t>
  </si>
  <si>
    <t>SI error (+/- 1 s.e.m.)</t>
  </si>
  <si>
    <t>Modern Calibration species</t>
  </si>
  <si>
    <t xml:space="preserve">Modern Calibration Regression Equation
</t>
  </si>
  <si>
    <r>
      <t xml:space="preserve">Calibration
</t>
    </r>
    <r>
      <rPr>
        <b/>
        <sz val="12"/>
        <color rgb="FF000000"/>
        <rFont val="Calibri"/>
        <family val="2"/>
        <scheme val="minor"/>
      </rPr>
      <t>Error</t>
    </r>
    <r>
      <rPr>
        <b/>
        <sz val="12"/>
        <color theme="1"/>
        <rFont val="Calibri"/>
        <family val="2"/>
        <scheme val="minor"/>
      </rPr>
      <t xml:space="preserve">
</t>
    </r>
  </si>
  <si>
    <t>Reported mean CO2</t>
  </si>
  <si>
    <t>CO2 type</t>
  </si>
  <si>
    <t>Reported
CO2 Uncertainty (Low)</t>
  </si>
  <si>
    <t>Reported
CO2 Uncertainty (High)</t>
  </si>
  <si>
    <t>What is the uncertainty range?</t>
  </si>
  <si>
    <t>What is the distribution of the uncertainties?</t>
  </si>
  <si>
    <t>microscope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</si>
  <si>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</si>
  <si>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</si>
  <si>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</si>
  <si>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</si>
  <si>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</si>
  <si>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</si>
  <si>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stomata-SI</t>
  </si>
  <si>
    <t>CO2_ppm</t>
  </si>
  <si>
    <t>CO2_uncertainty_pos_ppm</t>
  </si>
  <si>
    <t>NA</t>
  </si>
  <si>
    <t>CO2_uncertainty_neg_ppm</t>
  </si>
  <si>
    <t>Modern Latitude (decimal degree, south negative)</t>
  </si>
  <si>
    <t>Modern Longitude (decimal degree, west negative)</t>
  </si>
  <si>
    <t>email of individual entering the data</t>
  </si>
  <si>
    <t>Reference of the data product</t>
  </si>
  <si>
    <t>Paleo Latitude (decimal degree, south negative)</t>
  </si>
  <si>
    <t>Paleo Longitude (decimal degree, west negative)</t>
  </si>
  <si>
    <t>Richard S. Barclay and Dana L. Royer</t>
  </si>
  <si>
    <t>BarclayRS@si.edu</t>
  </si>
  <si>
    <t>Fagaceae</t>
  </si>
  <si>
    <t>Quercus</t>
  </si>
  <si>
    <t>pseudocastanea and roburoides</t>
  </si>
  <si>
    <t>Tegelen Formation</t>
  </si>
  <si>
    <t>Praetiglian to Tiglian</t>
  </si>
  <si>
    <t>30-90</t>
  </si>
  <si>
    <t>0.035 mm2</t>
  </si>
  <si>
    <t>Quercus petraea</t>
  </si>
  <si>
    <t>Lower Rhine Embayment</t>
  </si>
  <si>
    <t>Early Brunssummian (Zanclean Stage)</t>
  </si>
  <si>
    <t>Main Gravel Formation</t>
  </si>
  <si>
    <t>Susterian (Messinian)</t>
  </si>
  <si>
    <t>Inden Formation</t>
  </si>
  <si>
    <t>Linne C (Tortonian Stage)</t>
  </si>
  <si>
    <t>Linne B (Tortonian Stage)</t>
  </si>
  <si>
    <t>van der Burgh</t>
  </si>
  <si>
    <t>10.1126/science.260.5115.1788</t>
  </si>
  <si>
    <t>CO2 values not reported in paper; have later been calculated by Kürschner et al. 1996</t>
  </si>
  <si>
    <t>van der Burgh, J., Visscher, H., Dilcher, D.L., and Kürschner, W.M., 1993, Paleoatmospheric signatures in Neogene fossil leaves: Science, v. 260, p. 1788-1790.</t>
  </si>
  <si>
    <t>Ages only shown graphically and are guestimated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</si>
</sst>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19">
    <xf numFmtId="0" fontId="0" fillId="0" borderId="0" xfId="0"/>
    <xf numFmtId="0" fontId="0" fillId="0" borderId="0" xfId="0" applyBorder="1" applyAlignment="1"/>
    <xf numFmtId="0" fontId="4" fillId="2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3" fillId="0" borderId="0" xfId="0" applyFont="1" applyBorder="1" applyAlignment="1"/>
    <xf numFmtId="0" fontId="2" fillId="3" borderId="0" xfId="0" applyFont="1" applyFill="1" applyAlignment="1">
      <alignment vertical="top" wrapText="1"/>
    </xf>
    <xf numFmtId="17" fontId="0" fillId="0" borderId="0" xfId="0" applyNumberFormat="1" applyFill="1" applyBorder="1" applyAlignment="1">
      <alignment horizontal="left"/>
    </xf>
    <xf numFmtId="0" fontId="2" fillId="0" borderId="0" xfId="0" applyFont="1" applyFill="1" applyAlignment="1">
      <alignment wrapText="1"/>
    </xf>
    <xf numFmtId="0" fontId="6" fillId="3" borderId="0" xfId="0" applyFont="1" applyFill="1" applyBorder="1" applyAlignment="1">
      <alignment horizontal="center" vertical="top" wrapText="1"/>
    </xf>
    <xf numFmtId="0" fontId="1" fillId="0" borderId="0" xfId="0" applyFont="1" applyFill="1"/>
    <xf numFmtId="0" fontId="7" fillId="0" borderId="0" xfId="0" applyFont="1" applyFill="1" applyBorder="1" applyAlignment="1"/>
    <xf numFmtId="0" fontId="7" fillId="0" borderId="0" xfId="0" applyFont="1" applyFill="1"/>
    <xf numFmtId="0" fontId="7" fillId="0" borderId="0" xfId="0" applyFont="1" applyFill="1" applyAlignment="1"/>
    <xf numFmtId="0" fontId="7" fillId="0" borderId="0" xfId="0" applyFont="1" applyFill="1" applyAlignment="1">
      <alignment horizontal="right"/>
    </xf>
    <xf numFmtId="1" fontId="7" fillId="0" borderId="0" xfId="0" applyNumberFormat="1" applyFont="1" applyFill="1"/>
    <xf numFmtId="2" fontId="7" fillId="0" borderId="0" xfId="0" applyNumberFormat="1" applyFont="1" applyFill="1"/>
    <xf numFmtId="14" fontId="7" fillId="0" borderId="0" xfId="0" applyNumberFormat="1" applyFont="1" applyFill="1"/>
    <xf numFmtId="0" fontId="0" fillId="0" borderId="0" xfId="0" applyFont="1" applyFill="1"/>
  </cellXfs>
  <cellStyles count="3">
    <cellStyle name="Normal" xfId="0" builtinId="0"/>
    <cellStyle name="Normal 3" xfId="1"/>
    <cellStyle name="Normal 4" xfId="2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X947"/>
  <sheetViews>
    <sheetView tabSelected="1" workbookViewId="0">
      <selection activeCell="I5" sqref="I5"/>
    </sheetView>
  </sheetViews>
  <sheetFormatPr defaultColWidth="11" defaultRowHeight="15.75" x14ac:dyDescent="0.25"/>
  <cols>
    <col min="21" max="21" width="12.125" customWidth="1"/>
    <col min="23" max="23" width="12.625" customWidth="1"/>
    <col min="24" max="24" width="12.125" customWidth="1"/>
    <col min="26" max="26" width="12.625" customWidth="1"/>
    <col min="31" max="31" width="12.125" customWidth="1"/>
    <col min="32" max="32" width="12.5" customWidth="1"/>
    <col min="38" max="38" width="13.625" customWidth="1"/>
    <col min="49" max="49" width="16.125" customWidth="1"/>
  </cols>
  <sheetData>
    <row r="3" spans="1:50" s="4" customFormat="1" ht="94.5" x14ac:dyDescent="0.25">
      <c r="A3" s="6" t="s">
        <v>35</v>
      </c>
      <c r="B3" s="6" t="s">
        <v>36</v>
      </c>
      <c r="C3" s="6" t="s">
        <v>37</v>
      </c>
      <c r="D3" s="6" t="s">
        <v>2</v>
      </c>
      <c r="E3" s="6" t="s">
        <v>38</v>
      </c>
      <c r="F3" s="6" t="s">
        <v>39</v>
      </c>
      <c r="G3" s="6" t="s">
        <v>40</v>
      </c>
      <c r="H3" s="6" t="s">
        <v>42</v>
      </c>
      <c r="I3" s="6" t="s">
        <v>43</v>
      </c>
      <c r="J3" s="6" t="s">
        <v>45</v>
      </c>
      <c r="K3" s="2" t="s">
        <v>0</v>
      </c>
      <c r="L3" s="2" t="s">
        <v>48</v>
      </c>
      <c r="M3" s="2" t="s">
        <v>49</v>
      </c>
      <c r="N3" s="2" t="s">
        <v>2</v>
      </c>
      <c r="O3" s="2" t="s">
        <v>3</v>
      </c>
      <c r="P3" s="2" t="s">
        <v>4</v>
      </c>
      <c r="Q3" s="2" t="s">
        <v>5</v>
      </c>
      <c r="R3" s="2" t="s">
        <v>6</v>
      </c>
      <c r="S3" s="2" t="s">
        <v>7</v>
      </c>
      <c r="T3" s="2" t="s">
        <v>8</v>
      </c>
      <c r="U3" s="3" t="s">
        <v>9</v>
      </c>
      <c r="V3" s="2" t="s">
        <v>10</v>
      </c>
      <c r="W3" s="2" t="s">
        <v>11</v>
      </c>
      <c r="X3" s="2" t="s">
        <v>12</v>
      </c>
      <c r="Y3" s="2" t="s">
        <v>13</v>
      </c>
      <c r="Z3" s="2" t="s">
        <v>14</v>
      </c>
      <c r="AA3" s="2" t="s">
        <v>46</v>
      </c>
      <c r="AB3" s="2" t="s">
        <v>47</v>
      </c>
      <c r="AC3" s="9" t="s">
        <v>50</v>
      </c>
      <c r="AD3" s="9" t="s">
        <v>51</v>
      </c>
      <c r="AE3" s="3" t="s">
        <v>15</v>
      </c>
      <c r="AF3" s="3" t="s">
        <v>16</v>
      </c>
      <c r="AG3" s="3" t="s">
        <v>17</v>
      </c>
      <c r="AH3" s="3" t="s">
        <v>18</v>
      </c>
      <c r="AI3" s="3" t="s">
        <v>19</v>
      </c>
      <c r="AJ3" s="3" t="s">
        <v>20</v>
      </c>
      <c r="AK3" s="3" t="s">
        <v>21</v>
      </c>
      <c r="AL3" s="3" t="s">
        <v>22</v>
      </c>
      <c r="AM3" s="3" t="s">
        <v>23</v>
      </c>
      <c r="AN3" s="3" t="s">
        <v>24</v>
      </c>
      <c r="AO3" s="3" t="s">
        <v>25</v>
      </c>
      <c r="AP3" s="3" t="s">
        <v>26</v>
      </c>
      <c r="AQ3" s="3" t="s">
        <v>27</v>
      </c>
      <c r="AR3" s="3" t="s">
        <v>28</v>
      </c>
      <c r="AS3" s="2" t="s">
        <v>29</v>
      </c>
      <c r="AT3" s="3" t="s">
        <v>30</v>
      </c>
      <c r="AU3" s="3" t="s">
        <v>31</v>
      </c>
      <c r="AV3" s="2" t="s">
        <v>32</v>
      </c>
      <c r="AW3" s="2" t="s">
        <v>33</v>
      </c>
      <c r="AX3" s="2" t="s">
        <v>1</v>
      </c>
    </row>
    <row r="4" spans="1:50" s="8" customFormat="1" x14ac:dyDescent="0.25">
      <c r="A4" s="10" t="s">
        <v>41</v>
      </c>
      <c r="B4" s="18" t="s">
        <v>69</v>
      </c>
      <c r="C4" s="10">
        <v>1993</v>
      </c>
      <c r="D4" s="12" t="s">
        <v>70</v>
      </c>
      <c r="E4" s="10">
        <f t="shared" ref="E4:E8" si="0">V4*1000</f>
        <v>2100</v>
      </c>
      <c r="F4" s="10" t="s">
        <v>44</v>
      </c>
      <c r="G4" s="10" t="s">
        <v>44</v>
      </c>
      <c r="H4" s="18" t="s">
        <v>44</v>
      </c>
      <c r="I4" s="18" t="s">
        <v>44</v>
      </c>
      <c r="J4" s="18" t="s">
        <v>44</v>
      </c>
      <c r="K4" s="11" t="s">
        <v>52</v>
      </c>
      <c r="L4" s="7" t="s">
        <v>53</v>
      </c>
      <c r="M4" s="12" t="s">
        <v>72</v>
      </c>
      <c r="N4" s="12" t="s">
        <v>70</v>
      </c>
      <c r="O4" s="12" t="s">
        <v>44</v>
      </c>
      <c r="P4" s="12" t="s">
        <v>54</v>
      </c>
      <c r="Q4" s="12" t="s">
        <v>55</v>
      </c>
      <c r="R4" s="12" t="s">
        <v>56</v>
      </c>
      <c r="S4" s="12" t="s">
        <v>44</v>
      </c>
      <c r="T4" s="13" t="s">
        <v>57</v>
      </c>
      <c r="U4" s="12" t="s">
        <v>58</v>
      </c>
      <c r="V4" s="12">
        <v>2.1</v>
      </c>
      <c r="W4" s="12" t="s">
        <v>44</v>
      </c>
      <c r="X4" s="12" t="s">
        <v>44</v>
      </c>
      <c r="Y4" s="12" t="s">
        <v>44</v>
      </c>
      <c r="Z4" s="13" t="s">
        <v>73</v>
      </c>
      <c r="AA4" s="12" t="s">
        <v>44</v>
      </c>
      <c r="AB4" s="12" t="s">
        <v>44</v>
      </c>
      <c r="AC4" s="5" t="s">
        <v>44</v>
      </c>
      <c r="AD4" s="5" t="s">
        <v>44</v>
      </c>
      <c r="AE4" s="14" t="s">
        <v>59</v>
      </c>
      <c r="AF4" s="12">
        <v>3</v>
      </c>
      <c r="AG4" s="12" t="s">
        <v>34</v>
      </c>
      <c r="AH4" s="12" t="s">
        <v>60</v>
      </c>
      <c r="AI4" s="12" t="s">
        <v>44</v>
      </c>
      <c r="AJ4" s="12" t="s">
        <v>44</v>
      </c>
      <c r="AK4" s="15">
        <v>505</v>
      </c>
      <c r="AL4" s="12">
        <v>14.37</v>
      </c>
      <c r="AM4" s="12">
        <v>61</v>
      </c>
      <c r="AN4" s="16">
        <v>1.39</v>
      </c>
      <c r="AO4" s="12" t="s">
        <v>61</v>
      </c>
      <c r="AP4" s="18" t="s">
        <v>44</v>
      </c>
      <c r="AQ4" s="12" t="s">
        <v>44</v>
      </c>
      <c r="AR4" s="18" t="s">
        <v>44</v>
      </c>
      <c r="AS4" s="18" t="s">
        <v>44</v>
      </c>
      <c r="AT4" s="18" t="s">
        <v>44</v>
      </c>
      <c r="AU4" s="18" t="s">
        <v>44</v>
      </c>
      <c r="AV4" s="18" t="s">
        <v>44</v>
      </c>
      <c r="AW4" s="18" t="s">
        <v>44</v>
      </c>
      <c r="AX4" s="12" t="s">
        <v>71</v>
      </c>
    </row>
    <row r="5" spans="1:50" x14ac:dyDescent="0.25">
      <c r="A5" s="10" t="s">
        <v>41</v>
      </c>
      <c r="B5" s="18" t="s">
        <v>69</v>
      </c>
      <c r="C5" s="10">
        <v>1993</v>
      </c>
      <c r="D5" s="12" t="s">
        <v>70</v>
      </c>
      <c r="E5" s="10">
        <f t="shared" si="0"/>
        <v>4500</v>
      </c>
      <c r="F5" s="10" t="s">
        <v>44</v>
      </c>
      <c r="G5" s="10" t="s">
        <v>44</v>
      </c>
      <c r="H5" s="18" t="s">
        <v>44</v>
      </c>
      <c r="I5" s="18" t="s">
        <v>44</v>
      </c>
      <c r="J5" s="18" t="s">
        <v>44</v>
      </c>
      <c r="K5" s="11" t="s">
        <v>52</v>
      </c>
      <c r="L5" s="17" t="s">
        <v>53</v>
      </c>
      <c r="M5" s="12" t="s">
        <v>72</v>
      </c>
      <c r="N5" s="12" t="s">
        <v>70</v>
      </c>
      <c r="O5" s="12" t="s">
        <v>44</v>
      </c>
      <c r="P5" s="12" t="s">
        <v>54</v>
      </c>
      <c r="Q5" s="12" t="s">
        <v>55</v>
      </c>
      <c r="R5" s="12" t="s">
        <v>56</v>
      </c>
      <c r="S5" s="12" t="s">
        <v>44</v>
      </c>
      <c r="T5" s="13" t="s">
        <v>62</v>
      </c>
      <c r="U5" s="12" t="s">
        <v>63</v>
      </c>
      <c r="V5" s="12">
        <v>4.5</v>
      </c>
      <c r="W5" s="12" t="s">
        <v>44</v>
      </c>
      <c r="X5" s="12" t="s">
        <v>44</v>
      </c>
      <c r="Y5" s="12" t="s">
        <v>44</v>
      </c>
      <c r="Z5" s="13" t="s">
        <v>73</v>
      </c>
      <c r="AA5" s="12" t="s">
        <v>44</v>
      </c>
      <c r="AB5" s="12" t="s">
        <v>44</v>
      </c>
      <c r="AC5" s="5" t="s">
        <v>44</v>
      </c>
      <c r="AD5" s="5" t="s">
        <v>44</v>
      </c>
      <c r="AE5" s="14" t="s">
        <v>59</v>
      </c>
      <c r="AF5" s="12">
        <v>3</v>
      </c>
      <c r="AG5" s="12" t="s">
        <v>34</v>
      </c>
      <c r="AH5" s="12" t="s">
        <v>60</v>
      </c>
      <c r="AI5" s="12" t="s">
        <v>44</v>
      </c>
      <c r="AJ5" s="12" t="s">
        <v>44</v>
      </c>
      <c r="AK5" s="15">
        <v>498</v>
      </c>
      <c r="AL5" s="12">
        <v>13.03</v>
      </c>
      <c r="AM5" s="12">
        <v>60</v>
      </c>
      <c r="AN5" s="16">
        <v>1.39</v>
      </c>
      <c r="AO5" s="12" t="s">
        <v>61</v>
      </c>
      <c r="AP5" s="18" t="s">
        <v>44</v>
      </c>
      <c r="AQ5" s="12" t="s">
        <v>44</v>
      </c>
      <c r="AR5" s="18" t="s">
        <v>44</v>
      </c>
      <c r="AS5" s="18" t="s">
        <v>44</v>
      </c>
      <c r="AT5" s="18" t="s">
        <v>44</v>
      </c>
      <c r="AU5" s="18" t="s">
        <v>44</v>
      </c>
      <c r="AV5" s="18" t="s">
        <v>44</v>
      </c>
      <c r="AW5" s="18" t="s">
        <v>44</v>
      </c>
      <c r="AX5" s="12" t="s">
        <v>71</v>
      </c>
    </row>
    <row r="6" spans="1:50" x14ac:dyDescent="0.25">
      <c r="A6" s="10" t="s">
        <v>41</v>
      </c>
      <c r="B6" s="18" t="s">
        <v>69</v>
      </c>
      <c r="C6" s="10">
        <v>1993</v>
      </c>
      <c r="D6" s="12" t="s">
        <v>70</v>
      </c>
      <c r="E6" s="10">
        <f t="shared" si="0"/>
        <v>7200</v>
      </c>
      <c r="F6" s="10" t="s">
        <v>44</v>
      </c>
      <c r="G6" s="10" t="s">
        <v>44</v>
      </c>
      <c r="H6" s="18" t="s">
        <v>44</v>
      </c>
      <c r="I6" s="18" t="s">
        <v>44</v>
      </c>
      <c r="J6" s="18" t="s">
        <v>44</v>
      </c>
      <c r="K6" s="11" t="s">
        <v>52</v>
      </c>
      <c r="L6" s="17" t="s">
        <v>53</v>
      </c>
      <c r="M6" s="12" t="s">
        <v>72</v>
      </c>
      <c r="N6" s="12" t="s">
        <v>70</v>
      </c>
      <c r="O6" s="12" t="s">
        <v>44</v>
      </c>
      <c r="P6" s="12" t="s">
        <v>54</v>
      </c>
      <c r="Q6" s="12" t="s">
        <v>55</v>
      </c>
      <c r="R6" s="12" t="s">
        <v>56</v>
      </c>
      <c r="S6" s="12" t="s">
        <v>44</v>
      </c>
      <c r="T6" s="13" t="s">
        <v>64</v>
      </c>
      <c r="U6" s="12" t="s">
        <v>65</v>
      </c>
      <c r="V6" s="12">
        <v>7.2</v>
      </c>
      <c r="W6" s="12" t="s">
        <v>44</v>
      </c>
      <c r="X6" s="12" t="s">
        <v>44</v>
      </c>
      <c r="Y6" s="12" t="s">
        <v>44</v>
      </c>
      <c r="Z6" s="13" t="s">
        <v>73</v>
      </c>
      <c r="AA6" s="12" t="s">
        <v>44</v>
      </c>
      <c r="AB6" s="12" t="s">
        <v>44</v>
      </c>
      <c r="AC6" s="5" t="s">
        <v>44</v>
      </c>
      <c r="AD6" s="5" t="s">
        <v>44</v>
      </c>
      <c r="AE6" s="14" t="s">
        <v>59</v>
      </c>
      <c r="AF6" s="12">
        <v>3</v>
      </c>
      <c r="AG6" s="12" t="s">
        <v>34</v>
      </c>
      <c r="AH6" s="12" t="s">
        <v>60</v>
      </c>
      <c r="AI6" s="12" t="s">
        <v>44</v>
      </c>
      <c r="AJ6" s="12" t="s">
        <v>44</v>
      </c>
      <c r="AK6" s="15">
        <v>828</v>
      </c>
      <c r="AL6" s="12">
        <v>19.89</v>
      </c>
      <c r="AM6" s="12">
        <v>68</v>
      </c>
      <c r="AN6" s="16">
        <v>1.29</v>
      </c>
      <c r="AO6" s="12" t="s">
        <v>61</v>
      </c>
      <c r="AP6" s="18" t="s">
        <v>44</v>
      </c>
      <c r="AQ6" s="12" t="s">
        <v>44</v>
      </c>
      <c r="AR6" s="18" t="s">
        <v>44</v>
      </c>
      <c r="AS6" s="18" t="s">
        <v>44</v>
      </c>
      <c r="AT6" s="18" t="s">
        <v>44</v>
      </c>
      <c r="AU6" s="18" t="s">
        <v>44</v>
      </c>
      <c r="AV6" s="18" t="s">
        <v>44</v>
      </c>
      <c r="AW6" s="18" t="s">
        <v>44</v>
      </c>
      <c r="AX6" s="12" t="s">
        <v>71</v>
      </c>
    </row>
    <row r="7" spans="1:50" x14ac:dyDescent="0.25">
      <c r="A7" s="10" t="s">
        <v>41</v>
      </c>
      <c r="B7" s="18" t="s">
        <v>69</v>
      </c>
      <c r="C7" s="10">
        <v>1993</v>
      </c>
      <c r="D7" s="12" t="s">
        <v>70</v>
      </c>
      <c r="E7" s="10">
        <f t="shared" si="0"/>
        <v>8500</v>
      </c>
      <c r="F7" s="10" t="s">
        <v>44</v>
      </c>
      <c r="G7" s="10" t="s">
        <v>44</v>
      </c>
      <c r="H7" s="18" t="s">
        <v>44</v>
      </c>
      <c r="I7" s="18" t="s">
        <v>44</v>
      </c>
      <c r="J7" s="18" t="s">
        <v>44</v>
      </c>
      <c r="K7" s="11" t="s">
        <v>52</v>
      </c>
      <c r="L7" s="17" t="s">
        <v>53</v>
      </c>
      <c r="M7" s="12" t="s">
        <v>72</v>
      </c>
      <c r="N7" s="12" t="s">
        <v>70</v>
      </c>
      <c r="O7" s="12" t="s">
        <v>44</v>
      </c>
      <c r="P7" s="12" t="s">
        <v>54</v>
      </c>
      <c r="Q7" s="12" t="s">
        <v>55</v>
      </c>
      <c r="R7" s="12" t="s">
        <v>56</v>
      </c>
      <c r="S7" s="12" t="s">
        <v>44</v>
      </c>
      <c r="T7" s="13" t="s">
        <v>66</v>
      </c>
      <c r="U7" s="12" t="s">
        <v>67</v>
      </c>
      <c r="V7" s="12">
        <v>8.5</v>
      </c>
      <c r="W7" s="12" t="s">
        <v>44</v>
      </c>
      <c r="X7" s="12" t="s">
        <v>44</v>
      </c>
      <c r="Y7" s="12" t="s">
        <v>44</v>
      </c>
      <c r="Z7" s="13" t="s">
        <v>73</v>
      </c>
      <c r="AA7" s="12" t="s">
        <v>44</v>
      </c>
      <c r="AB7" s="12" t="s">
        <v>44</v>
      </c>
      <c r="AC7" s="5" t="s">
        <v>44</v>
      </c>
      <c r="AD7" s="5" t="s">
        <v>44</v>
      </c>
      <c r="AE7" s="14" t="s">
        <v>59</v>
      </c>
      <c r="AF7" s="12">
        <v>3</v>
      </c>
      <c r="AG7" s="12" t="s">
        <v>34</v>
      </c>
      <c r="AH7" s="12" t="s">
        <v>60</v>
      </c>
      <c r="AI7" s="12" t="s">
        <v>44</v>
      </c>
      <c r="AJ7" s="12" t="s">
        <v>44</v>
      </c>
      <c r="AK7" s="15">
        <v>510</v>
      </c>
      <c r="AL7" s="12">
        <v>16.05</v>
      </c>
      <c r="AM7" s="12">
        <v>81</v>
      </c>
      <c r="AN7" s="16">
        <v>2.14</v>
      </c>
      <c r="AO7" s="12" t="s">
        <v>61</v>
      </c>
      <c r="AP7" s="18" t="s">
        <v>44</v>
      </c>
      <c r="AQ7" s="12" t="s">
        <v>44</v>
      </c>
      <c r="AR7" s="18" t="s">
        <v>44</v>
      </c>
      <c r="AS7" s="18" t="s">
        <v>44</v>
      </c>
      <c r="AT7" s="18" t="s">
        <v>44</v>
      </c>
      <c r="AU7" s="18" t="s">
        <v>44</v>
      </c>
      <c r="AV7" s="18" t="s">
        <v>44</v>
      </c>
      <c r="AW7" s="18" t="s">
        <v>44</v>
      </c>
      <c r="AX7" s="12" t="s">
        <v>71</v>
      </c>
    </row>
    <row r="8" spans="1:50" x14ac:dyDescent="0.25">
      <c r="A8" s="10" t="s">
        <v>41</v>
      </c>
      <c r="B8" s="18" t="s">
        <v>69</v>
      </c>
      <c r="C8" s="10">
        <v>1993</v>
      </c>
      <c r="D8" s="12" t="s">
        <v>70</v>
      </c>
      <c r="E8" s="10">
        <f t="shared" si="0"/>
        <v>10500</v>
      </c>
      <c r="F8" s="10" t="s">
        <v>44</v>
      </c>
      <c r="G8" s="10" t="s">
        <v>44</v>
      </c>
      <c r="H8" s="18" t="s">
        <v>44</v>
      </c>
      <c r="I8" s="18" t="s">
        <v>44</v>
      </c>
      <c r="J8" s="18" t="s">
        <v>44</v>
      </c>
      <c r="K8" s="11" t="s">
        <v>52</v>
      </c>
      <c r="L8" s="17" t="s">
        <v>53</v>
      </c>
      <c r="M8" s="12" t="s">
        <v>72</v>
      </c>
      <c r="N8" s="12" t="s">
        <v>70</v>
      </c>
      <c r="O8" s="12" t="s">
        <v>44</v>
      </c>
      <c r="P8" s="12" t="s">
        <v>54</v>
      </c>
      <c r="Q8" s="12" t="s">
        <v>55</v>
      </c>
      <c r="R8" s="12" t="s">
        <v>56</v>
      </c>
      <c r="S8" s="12" t="s">
        <v>44</v>
      </c>
      <c r="T8" s="13" t="s">
        <v>66</v>
      </c>
      <c r="U8" s="12" t="s">
        <v>68</v>
      </c>
      <c r="V8" s="12">
        <v>10.5</v>
      </c>
      <c r="W8" s="12" t="s">
        <v>44</v>
      </c>
      <c r="X8" s="12" t="s">
        <v>44</v>
      </c>
      <c r="Y8" s="12" t="s">
        <v>44</v>
      </c>
      <c r="Z8" s="13" t="s">
        <v>73</v>
      </c>
      <c r="AA8" s="12" t="s">
        <v>44</v>
      </c>
      <c r="AB8" s="12" t="s">
        <v>44</v>
      </c>
      <c r="AC8" s="5" t="s">
        <v>44</v>
      </c>
      <c r="AD8" s="5" t="s">
        <v>44</v>
      </c>
      <c r="AE8" s="14" t="s">
        <v>59</v>
      </c>
      <c r="AF8" s="12">
        <v>3</v>
      </c>
      <c r="AG8" s="12" t="s">
        <v>34</v>
      </c>
      <c r="AH8" s="12" t="s">
        <v>60</v>
      </c>
      <c r="AI8" s="12" t="s">
        <v>44</v>
      </c>
      <c r="AJ8" s="12" t="s">
        <v>44</v>
      </c>
      <c r="AK8" s="15">
        <v>515</v>
      </c>
      <c r="AL8" s="12">
        <v>13.69</v>
      </c>
      <c r="AM8" s="12">
        <v>93</v>
      </c>
      <c r="AN8" s="16">
        <v>1.71</v>
      </c>
      <c r="AO8" s="12" t="s">
        <v>61</v>
      </c>
      <c r="AP8" s="18" t="s">
        <v>44</v>
      </c>
      <c r="AQ8" s="12" t="s">
        <v>44</v>
      </c>
      <c r="AR8" s="18" t="s">
        <v>44</v>
      </c>
      <c r="AS8" s="18" t="s">
        <v>44</v>
      </c>
      <c r="AT8" s="18" t="s">
        <v>44</v>
      </c>
      <c r="AU8" s="18" t="s">
        <v>44</v>
      </c>
      <c r="AV8" s="18" t="s">
        <v>44</v>
      </c>
      <c r="AW8" s="18" t="s">
        <v>44</v>
      </c>
      <c r="AX8" s="12" t="s">
        <v>71</v>
      </c>
    </row>
    <row r="9" spans="1:50" x14ac:dyDescent="0.25"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50" x14ac:dyDescent="0.25"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50" x14ac:dyDescent="0.25"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50" x14ac:dyDescent="0.25"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50" x14ac:dyDescent="0.25"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50" x14ac:dyDescent="0.25"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50" x14ac:dyDescent="0.25"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50" x14ac:dyDescent="0.25"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1:49" x14ac:dyDescent="0.25"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1:49" x14ac:dyDescent="0.25"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1:49" x14ac:dyDescent="0.25"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1:49" x14ac:dyDescent="0.25"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1:49" x14ac:dyDescent="0.25"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1:49" x14ac:dyDescent="0.25"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1:49" x14ac:dyDescent="0.25"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1:49" x14ac:dyDescent="0.25"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1:49" x14ac:dyDescent="0.25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1:49" x14ac:dyDescent="0.25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1:49" x14ac:dyDescent="0.25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1:49" x14ac:dyDescent="0.25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1:49" x14ac:dyDescent="0.25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1:49" x14ac:dyDescent="0.25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1:49" x14ac:dyDescent="0.25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1:49" x14ac:dyDescent="0.25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1:49" x14ac:dyDescent="0.25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1:49" x14ac:dyDescent="0.25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1:49" x14ac:dyDescent="0.25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1:49" x14ac:dyDescent="0.25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1:49" x14ac:dyDescent="0.25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1:49" x14ac:dyDescent="0.25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1:49" x14ac:dyDescent="0.25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1:49" x14ac:dyDescent="0.25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1:49" x14ac:dyDescent="0.25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1:49" x14ac:dyDescent="0.25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1:49" x14ac:dyDescent="0.25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1:49" x14ac:dyDescent="0.25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1:49" x14ac:dyDescent="0.25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1:49" x14ac:dyDescent="0.25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1:49" x14ac:dyDescent="0.25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1:49" x14ac:dyDescent="0.25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1:49" x14ac:dyDescent="0.25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1:49" x14ac:dyDescent="0.25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1:49" x14ac:dyDescent="0.25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1:49" x14ac:dyDescent="0.25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1:49" x14ac:dyDescent="0.25"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1:49" x14ac:dyDescent="0.25"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1:49" x14ac:dyDescent="0.25"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1:49" x14ac:dyDescent="0.25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1:49" x14ac:dyDescent="0.25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1:49" x14ac:dyDescent="0.25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1:49" x14ac:dyDescent="0.25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1:49" x14ac:dyDescent="0.25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1:49" x14ac:dyDescent="0.25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1:49" x14ac:dyDescent="0.25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1:49" x14ac:dyDescent="0.25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1:49" x14ac:dyDescent="0.2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1:49" x14ac:dyDescent="0.2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1:49" x14ac:dyDescent="0.2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1:49" x14ac:dyDescent="0.2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1:49" x14ac:dyDescent="0.2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1:49" x14ac:dyDescent="0.2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1:49" x14ac:dyDescent="0.2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1:49" x14ac:dyDescent="0.2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1:49" x14ac:dyDescent="0.2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1:49" x14ac:dyDescent="0.2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1:49" x14ac:dyDescent="0.2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1:49" x14ac:dyDescent="0.2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1:49" x14ac:dyDescent="0.2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1:49" x14ac:dyDescent="0.2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1:49" x14ac:dyDescent="0.2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1:49" x14ac:dyDescent="0.2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1:49" x14ac:dyDescent="0.2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1:49" x14ac:dyDescent="0.2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1:49" x14ac:dyDescent="0.2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1:49" x14ac:dyDescent="0.2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1:49" x14ac:dyDescent="0.2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1:49" x14ac:dyDescent="0.2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1:49" x14ac:dyDescent="0.2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1:49" x14ac:dyDescent="0.2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1:49" x14ac:dyDescent="0.2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1:49" x14ac:dyDescent="0.2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1:49" x14ac:dyDescent="0.2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1:49" x14ac:dyDescent="0.2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1:49" x14ac:dyDescent="0.2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1:49" x14ac:dyDescent="0.2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1:49" x14ac:dyDescent="0.2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1:49" x14ac:dyDescent="0.2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1:49" x14ac:dyDescent="0.2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1:49" x14ac:dyDescent="0.2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1:49" x14ac:dyDescent="0.2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1:49" x14ac:dyDescent="0.2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1:49" x14ac:dyDescent="0.2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1:49" x14ac:dyDescent="0.2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1:49" x14ac:dyDescent="0.2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1:49" x14ac:dyDescent="0.2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1:49" x14ac:dyDescent="0.2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1:49" x14ac:dyDescent="0.2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1:49" x14ac:dyDescent="0.2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1:49" x14ac:dyDescent="0.2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1:49" x14ac:dyDescent="0.2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1:49" x14ac:dyDescent="0.2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1:49" x14ac:dyDescent="0.2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1:49" x14ac:dyDescent="0.2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1:49" x14ac:dyDescent="0.2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1:49" x14ac:dyDescent="0.2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1:49" x14ac:dyDescent="0.2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1:49" x14ac:dyDescent="0.2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1:49" x14ac:dyDescent="0.2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1:49" x14ac:dyDescent="0.2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1:49" x14ac:dyDescent="0.2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1:49" x14ac:dyDescent="0.2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1:49" x14ac:dyDescent="0.2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1:49" x14ac:dyDescent="0.2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1:49" x14ac:dyDescent="0.2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1:49" x14ac:dyDescent="0.2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1:49" x14ac:dyDescent="0.2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1:49" x14ac:dyDescent="0.2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1:49" x14ac:dyDescent="0.2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1:49" x14ac:dyDescent="0.2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1:49" x14ac:dyDescent="0.2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1:49" x14ac:dyDescent="0.2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1:49" x14ac:dyDescent="0.2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1:49" x14ac:dyDescent="0.2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1:49" x14ac:dyDescent="0.2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1:49" x14ac:dyDescent="0.2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1:49" x14ac:dyDescent="0.2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1:49" x14ac:dyDescent="0.2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1:49" x14ac:dyDescent="0.2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1:49" x14ac:dyDescent="0.2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1:49" x14ac:dyDescent="0.2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1:49" x14ac:dyDescent="0.2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1:49" x14ac:dyDescent="0.2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1:49" x14ac:dyDescent="0.2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1:49" x14ac:dyDescent="0.2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1:49" x14ac:dyDescent="0.2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1:49" x14ac:dyDescent="0.2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1:49" x14ac:dyDescent="0.2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1:49" x14ac:dyDescent="0.2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1:49" x14ac:dyDescent="0.2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1:49" x14ac:dyDescent="0.2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1:49" x14ac:dyDescent="0.2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1:49" x14ac:dyDescent="0.2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1:49" x14ac:dyDescent="0.2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1:49" x14ac:dyDescent="0.2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1:49" x14ac:dyDescent="0.2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1:49" x14ac:dyDescent="0.2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1:49" x14ac:dyDescent="0.2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1:49" x14ac:dyDescent="0.2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1:49" x14ac:dyDescent="0.2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1:49" x14ac:dyDescent="0.2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1:49" x14ac:dyDescent="0.2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1:49" x14ac:dyDescent="0.2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1:49" x14ac:dyDescent="0.25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1:49" x14ac:dyDescent="0.25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1:49" x14ac:dyDescent="0.25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1:49" x14ac:dyDescent="0.25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1:49" x14ac:dyDescent="0.25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1:49" x14ac:dyDescent="0.25"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1:49" x14ac:dyDescent="0.25"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1:49" x14ac:dyDescent="0.25"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1:49" x14ac:dyDescent="0.25"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1:49" x14ac:dyDescent="0.25"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1:49" x14ac:dyDescent="0.25"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1:49" x14ac:dyDescent="0.25"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1:49" x14ac:dyDescent="0.25"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1:49" x14ac:dyDescent="0.25"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1:49" x14ac:dyDescent="0.25"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1:49" x14ac:dyDescent="0.25"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1:49" x14ac:dyDescent="0.25"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1:49" x14ac:dyDescent="0.25"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1:49" x14ac:dyDescent="0.25"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1:49" x14ac:dyDescent="0.25"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1:49" x14ac:dyDescent="0.25"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1:49" x14ac:dyDescent="0.25"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1:49" x14ac:dyDescent="0.25"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1:49" x14ac:dyDescent="0.25"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1:49" x14ac:dyDescent="0.25"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1:49" x14ac:dyDescent="0.25"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1:49" x14ac:dyDescent="0.25"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1:49" x14ac:dyDescent="0.25"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1:49" x14ac:dyDescent="0.25"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1:49" x14ac:dyDescent="0.25"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1:49" x14ac:dyDescent="0.25"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1:49" x14ac:dyDescent="0.25"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1:49" x14ac:dyDescent="0.25"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1:49" x14ac:dyDescent="0.25"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1:49" x14ac:dyDescent="0.25"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1:49" x14ac:dyDescent="0.25"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1:49" x14ac:dyDescent="0.25"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1:49" x14ac:dyDescent="0.25"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1:49" x14ac:dyDescent="0.25"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1:49" x14ac:dyDescent="0.25"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1:49" x14ac:dyDescent="0.25"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1:49" x14ac:dyDescent="0.25"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1:49" x14ac:dyDescent="0.25"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1:49" x14ac:dyDescent="0.25"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1:49" x14ac:dyDescent="0.25"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1:49" x14ac:dyDescent="0.25"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1:49" x14ac:dyDescent="0.25"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1:49" x14ac:dyDescent="0.25"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1:49" x14ac:dyDescent="0.25"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1:49" x14ac:dyDescent="0.25"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1:49" x14ac:dyDescent="0.25"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1:49" x14ac:dyDescent="0.25"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1:49" x14ac:dyDescent="0.25"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1:49" x14ac:dyDescent="0.25"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1:49" x14ac:dyDescent="0.25"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1:49" x14ac:dyDescent="0.25"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1:49" x14ac:dyDescent="0.25"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1:49" x14ac:dyDescent="0.25"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1:49" x14ac:dyDescent="0.25"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1:49" x14ac:dyDescent="0.25"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1:49" x14ac:dyDescent="0.25"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1:49" x14ac:dyDescent="0.25"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1:49" x14ac:dyDescent="0.25"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1:49" x14ac:dyDescent="0.25"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1:49" x14ac:dyDescent="0.25"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1:49" x14ac:dyDescent="0.25"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1:49" x14ac:dyDescent="0.25"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1:49" x14ac:dyDescent="0.25"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1:49" x14ac:dyDescent="0.25"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1:49" x14ac:dyDescent="0.25"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1:49" x14ac:dyDescent="0.25"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1:49" x14ac:dyDescent="0.25"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1:49" x14ac:dyDescent="0.25"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1:49" x14ac:dyDescent="0.25"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1:49" x14ac:dyDescent="0.25"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1:49" x14ac:dyDescent="0.25"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1:49" x14ac:dyDescent="0.25"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1:49" x14ac:dyDescent="0.25"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1:49" x14ac:dyDescent="0.25"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1:49" x14ac:dyDescent="0.25"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1:49" x14ac:dyDescent="0.25"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1:49" x14ac:dyDescent="0.25"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1:49" x14ac:dyDescent="0.25"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1:49" x14ac:dyDescent="0.25"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1:49" x14ac:dyDescent="0.25"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1:49" x14ac:dyDescent="0.25"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1:49" x14ac:dyDescent="0.25"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1:49" x14ac:dyDescent="0.25"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1:49" x14ac:dyDescent="0.25"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1:49" x14ac:dyDescent="0.25"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1:49" x14ac:dyDescent="0.25"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1:49" x14ac:dyDescent="0.25"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1:49" x14ac:dyDescent="0.25"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1:49" x14ac:dyDescent="0.25"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1:49" x14ac:dyDescent="0.25"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1:49" x14ac:dyDescent="0.25"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1:49" x14ac:dyDescent="0.25"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1:49" x14ac:dyDescent="0.25"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1:49" x14ac:dyDescent="0.25"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1:49" x14ac:dyDescent="0.25"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1:49" x14ac:dyDescent="0.25"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1:49" x14ac:dyDescent="0.25"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1:49" x14ac:dyDescent="0.25"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1:49" x14ac:dyDescent="0.25"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1:49" x14ac:dyDescent="0.25"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1:49" x14ac:dyDescent="0.25"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1:49" x14ac:dyDescent="0.25"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1:49" x14ac:dyDescent="0.25"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1:49" x14ac:dyDescent="0.25"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1:49" x14ac:dyDescent="0.25"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1:49" x14ac:dyDescent="0.25"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1:49" x14ac:dyDescent="0.25"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1:49" x14ac:dyDescent="0.25"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1:49" x14ac:dyDescent="0.25"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1:49" x14ac:dyDescent="0.25"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1:49" x14ac:dyDescent="0.25"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1:49" x14ac:dyDescent="0.25"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1:49" x14ac:dyDescent="0.25"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1:49" x14ac:dyDescent="0.25"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1:49" x14ac:dyDescent="0.25"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1:49" x14ac:dyDescent="0.25"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1:49" x14ac:dyDescent="0.25"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1:49" x14ac:dyDescent="0.25"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1:49" x14ac:dyDescent="0.25"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1:49" x14ac:dyDescent="0.25"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1:49" x14ac:dyDescent="0.25"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1:49" x14ac:dyDescent="0.25"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1:49" x14ac:dyDescent="0.25"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1:49" x14ac:dyDescent="0.25"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1:49" x14ac:dyDescent="0.25"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1:49" x14ac:dyDescent="0.25"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1:49" x14ac:dyDescent="0.25"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1:49" x14ac:dyDescent="0.25"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1:49" x14ac:dyDescent="0.25"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1:49" x14ac:dyDescent="0.25"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1:49" x14ac:dyDescent="0.25"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1:49" x14ac:dyDescent="0.25"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1:49" x14ac:dyDescent="0.25"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1:49" x14ac:dyDescent="0.25"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1:49" x14ac:dyDescent="0.25"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1:49" x14ac:dyDescent="0.25"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1:49" x14ac:dyDescent="0.25"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1:49" x14ac:dyDescent="0.25"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1:49" x14ac:dyDescent="0.25"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1:49" x14ac:dyDescent="0.25"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1:49" x14ac:dyDescent="0.25"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1:49" x14ac:dyDescent="0.25"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1:49" x14ac:dyDescent="0.25"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1:49" x14ac:dyDescent="0.25"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1:49" x14ac:dyDescent="0.25"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1:49" x14ac:dyDescent="0.25"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1:49" x14ac:dyDescent="0.25"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1:49" x14ac:dyDescent="0.25"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1:49" x14ac:dyDescent="0.25"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1:49" x14ac:dyDescent="0.25"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1:49" x14ac:dyDescent="0.25"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1:49" x14ac:dyDescent="0.25"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1:49" x14ac:dyDescent="0.25"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1:49" x14ac:dyDescent="0.25"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1:49" x14ac:dyDescent="0.25"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1:49" x14ac:dyDescent="0.25"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1:49" x14ac:dyDescent="0.25"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1:49" x14ac:dyDescent="0.25"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1:49" x14ac:dyDescent="0.25"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1:49" x14ac:dyDescent="0.25"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1:49" x14ac:dyDescent="0.25"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1:49" x14ac:dyDescent="0.25"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1:49" x14ac:dyDescent="0.25"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1:49" x14ac:dyDescent="0.25"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1:49" x14ac:dyDescent="0.25"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1:49" x14ac:dyDescent="0.25"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1:49" x14ac:dyDescent="0.25"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1:49" x14ac:dyDescent="0.25"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1:49" x14ac:dyDescent="0.25"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1:49" x14ac:dyDescent="0.25"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1:49" x14ac:dyDescent="0.25"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1:49" x14ac:dyDescent="0.25"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1:49" x14ac:dyDescent="0.25"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1:49" x14ac:dyDescent="0.25"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1:49" x14ac:dyDescent="0.25"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1:49" x14ac:dyDescent="0.25"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1:49" x14ac:dyDescent="0.25"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1:49" x14ac:dyDescent="0.25"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1:49" x14ac:dyDescent="0.25"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1:49" x14ac:dyDescent="0.25"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1:49" x14ac:dyDescent="0.25"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1:49" x14ac:dyDescent="0.25"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1:49" x14ac:dyDescent="0.25"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1:49" x14ac:dyDescent="0.25"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1:49" x14ac:dyDescent="0.25"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1:49" x14ac:dyDescent="0.25"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1:49" x14ac:dyDescent="0.25"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1:49" x14ac:dyDescent="0.25"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1:49" x14ac:dyDescent="0.25"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1:49" x14ac:dyDescent="0.25"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1:49" x14ac:dyDescent="0.25"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1:49" x14ac:dyDescent="0.25"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1:49" x14ac:dyDescent="0.25"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1:49" x14ac:dyDescent="0.25"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1:49" x14ac:dyDescent="0.25"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1:49" x14ac:dyDescent="0.25"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1:49" x14ac:dyDescent="0.25"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1:49" x14ac:dyDescent="0.25"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1:49" x14ac:dyDescent="0.25"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1:49" x14ac:dyDescent="0.25"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1:49" x14ac:dyDescent="0.25"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1:49" x14ac:dyDescent="0.25"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1:49" x14ac:dyDescent="0.25"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1:49" x14ac:dyDescent="0.25"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1:49" x14ac:dyDescent="0.25"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1:49" x14ac:dyDescent="0.25"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1:49" x14ac:dyDescent="0.25"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1:49" x14ac:dyDescent="0.25"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1:49" x14ac:dyDescent="0.25"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1:49" x14ac:dyDescent="0.25"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1:49" x14ac:dyDescent="0.25"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1:49" x14ac:dyDescent="0.25"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1:49" x14ac:dyDescent="0.25"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1:49" x14ac:dyDescent="0.25"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1:49" x14ac:dyDescent="0.25"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1:49" x14ac:dyDescent="0.25"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1:49" x14ac:dyDescent="0.25"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1:49" x14ac:dyDescent="0.25"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1:49" x14ac:dyDescent="0.25"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1:49" x14ac:dyDescent="0.25"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1:49" x14ac:dyDescent="0.25"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1:49" x14ac:dyDescent="0.25"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1:49" x14ac:dyDescent="0.25"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1:49" x14ac:dyDescent="0.25"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1:49" x14ac:dyDescent="0.25"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1:49" x14ac:dyDescent="0.25"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1:49" x14ac:dyDescent="0.25"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1:49" x14ac:dyDescent="0.25"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1:49" x14ac:dyDescent="0.25"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1:49" x14ac:dyDescent="0.25"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1:49" x14ac:dyDescent="0.25"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1:49" x14ac:dyDescent="0.25"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1:49" x14ac:dyDescent="0.25"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1:49" x14ac:dyDescent="0.25"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1:49" x14ac:dyDescent="0.25"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1:49" x14ac:dyDescent="0.25"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1:49" x14ac:dyDescent="0.25"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1:49" x14ac:dyDescent="0.25"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1:49" x14ac:dyDescent="0.25"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1:49" x14ac:dyDescent="0.25"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1:49" x14ac:dyDescent="0.25"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1:49" x14ac:dyDescent="0.25"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1:49" x14ac:dyDescent="0.25"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1:49" x14ac:dyDescent="0.25"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1:49" x14ac:dyDescent="0.25"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1:49" x14ac:dyDescent="0.25"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1:49" x14ac:dyDescent="0.25"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1:49" x14ac:dyDescent="0.25"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1:49" x14ac:dyDescent="0.25"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1:49" x14ac:dyDescent="0.25"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1:49" x14ac:dyDescent="0.25"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1:49" x14ac:dyDescent="0.25"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1:49" x14ac:dyDescent="0.25"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1:49" x14ac:dyDescent="0.25"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1:49" x14ac:dyDescent="0.25"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1:49" x14ac:dyDescent="0.25"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1:49" x14ac:dyDescent="0.25"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1:49" x14ac:dyDescent="0.25"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1:49" x14ac:dyDescent="0.25"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1:49" x14ac:dyDescent="0.25"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1:49" x14ac:dyDescent="0.25"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1:49" x14ac:dyDescent="0.25"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1:49" x14ac:dyDescent="0.25"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1:49" x14ac:dyDescent="0.25"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1:49" x14ac:dyDescent="0.25"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1:49" x14ac:dyDescent="0.25"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1:49" x14ac:dyDescent="0.25"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1:49" x14ac:dyDescent="0.25"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1:49" x14ac:dyDescent="0.25"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1:49" x14ac:dyDescent="0.25"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1:49" x14ac:dyDescent="0.25"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1:49" x14ac:dyDescent="0.25"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1:49" x14ac:dyDescent="0.25"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1:49" x14ac:dyDescent="0.25"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1:49" x14ac:dyDescent="0.25"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1:49" x14ac:dyDescent="0.25"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1:49" x14ac:dyDescent="0.25"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1:49" x14ac:dyDescent="0.25"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1:49" x14ac:dyDescent="0.25"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1:49" x14ac:dyDescent="0.25"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1:49" x14ac:dyDescent="0.25"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1:49" x14ac:dyDescent="0.25"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1:49" x14ac:dyDescent="0.25"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1:49" x14ac:dyDescent="0.25"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1:49" x14ac:dyDescent="0.25"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1:49" x14ac:dyDescent="0.25"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1:49" x14ac:dyDescent="0.25"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1:49" x14ac:dyDescent="0.25"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1:49" x14ac:dyDescent="0.25"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1:49" x14ac:dyDescent="0.25"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1:49" x14ac:dyDescent="0.25"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1:49" x14ac:dyDescent="0.25"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1:49" x14ac:dyDescent="0.25"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1:49" x14ac:dyDescent="0.25"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1:49" x14ac:dyDescent="0.25"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1:49" x14ac:dyDescent="0.25"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1:49" x14ac:dyDescent="0.25"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1:49" x14ac:dyDescent="0.25"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1:49" x14ac:dyDescent="0.25"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1:49" x14ac:dyDescent="0.25"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1:49" x14ac:dyDescent="0.25"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1:49" x14ac:dyDescent="0.25"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1:49" x14ac:dyDescent="0.25"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1:49" x14ac:dyDescent="0.25"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1:49" x14ac:dyDescent="0.25"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1:49" x14ac:dyDescent="0.25"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1:49" x14ac:dyDescent="0.25"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1:49" x14ac:dyDescent="0.25"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1:49" x14ac:dyDescent="0.25"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1:49" x14ac:dyDescent="0.25"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1:49" x14ac:dyDescent="0.25"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1:49" x14ac:dyDescent="0.25"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1:49" x14ac:dyDescent="0.25"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1:49" x14ac:dyDescent="0.25"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1:49" x14ac:dyDescent="0.25"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1:49" x14ac:dyDescent="0.25"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1:49" x14ac:dyDescent="0.25"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1:49" x14ac:dyDescent="0.25"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1:49" x14ac:dyDescent="0.25"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1:49" x14ac:dyDescent="0.25"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1:49" x14ac:dyDescent="0.25"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1:49" x14ac:dyDescent="0.25"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1:49" x14ac:dyDescent="0.25"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1:49" x14ac:dyDescent="0.25"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1:49" x14ac:dyDescent="0.25"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1:49" x14ac:dyDescent="0.25"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1:49" x14ac:dyDescent="0.25"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1:49" x14ac:dyDescent="0.25"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1:49" x14ac:dyDescent="0.25"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1:49" x14ac:dyDescent="0.25"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1:49" x14ac:dyDescent="0.25"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1:49" x14ac:dyDescent="0.25"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1:49" x14ac:dyDescent="0.25"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1:49" x14ac:dyDescent="0.25"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1:49" x14ac:dyDescent="0.25"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spans="11:49" x14ac:dyDescent="0.25"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spans="11:49" x14ac:dyDescent="0.25"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spans="11:49" x14ac:dyDescent="0.25"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spans="11:49" x14ac:dyDescent="0.25"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spans="11:49" x14ac:dyDescent="0.25"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spans="11:49" x14ac:dyDescent="0.25"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spans="11:49" x14ac:dyDescent="0.25"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spans="11:49" x14ac:dyDescent="0.25"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spans="11:49" x14ac:dyDescent="0.25"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spans="11:49" x14ac:dyDescent="0.25"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spans="11:49" x14ac:dyDescent="0.25"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spans="11:49" x14ac:dyDescent="0.25"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spans="11:49" x14ac:dyDescent="0.25"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spans="11:49" x14ac:dyDescent="0.25"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spans="11:49" x14ac:dyDescent="0.25"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spans="11:49" x14ac:dyDescent="0.25"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spans="11:49" x14ac:dyDescent="0.25"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spans="11:49" x14ac:dyDescent="0.25"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spans="11:49" x14ac:dyDescent="0.25"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spans="11:49" x14ac:dyDescent="0.25"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spans="11:49" x14ac:dyDescent="0.25"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spans="11:49" x14ac:dyDescent="0.25"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spans="11:49" x14ac:dyDescent="0.25"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spans="11:49" x14ac:dyDescent="0.25"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spans="11:49" x14ac:dyDescent="0.25"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spans="11:49" x14ac:dyDescent="0.25"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spans="11:49" x14ac:dyDescent="0.25"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spans="11:49" x14ac:dyDescent="0.25"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spans="11:49" x14ac:dyDescent="0.25"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spans="11:49" x14ac:dyDescent="0.25"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spans="11:49" x14ac:dyDescent="0.25"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spans="11:49" x14ac:dyDescent="0.25"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spans="11:49" x14ac:dyDescent="0.25"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spans="11:49" x14ac:dyDescent="0.25"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spans="11:49" x14ac:dyDescent="0.25"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spans="11:49" x14ac:dyDescent="0.25"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spans="11:49" x14ac:dyDescent="0.25"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spans="11:49" x14ac:dyDescent="0.25"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spans="11:49" x14ac:dyDescent="0.25"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spans="11:49" x14ac:dyDescent="0.25"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spans="11:49" x14ac:dyDescent="0.25"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spans="11:49" x14ac:dyDescent="0.25"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spans="11:49" x14ac:dyDescent="0.25"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spans="11:49" x14ac:dyDescent="0.25"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spans="11:49" x14ac:dyDescent="0.25"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spans="11:49" x14ac:dyDescent="0.25"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spans="11:49" x14ac:dyDescent="0.25"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spans="11:49" x14ac:dyDescent="0.25"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spans="11:49" x14ac:dyDescent="0.25"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spans="11:49" x14ac:dyDescent="0.25"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spans="11:49" x14ac:dyDescent="0.25"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spans="11:49" x14ac:dyDescent="0.25"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spans="11:49" x14ac:dyDescent="0.25"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spans="11:49" x14ac:dyDescent="0.25"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spans="11:49" x14ac:dyDescent="0.25"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spans="11:49" x14ac:dyDescent="0.25"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spans="11:49" x14ac:dyDescent="0.25"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spans="11:49" x14ac:dyDescent="0.25"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spans="11:49" x14ac:dyDescent="0.25"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spans="11:49" x14ac:dyDescent="0.25"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spans="11:49" x14ac:dyDescent="0.25"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spans="11:49" x14ac:dyDescent="0.25"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spans="11:49" x14ac:dyDescent="0.25"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spans="11:49" x14ac:dyDescent="0.25"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spans="11:49" x14ac:dyDescent="0.25"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spans="11:49" x14ac:dyDescent="0.25"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spans="11:49" x14ac:dyDescent="0.25"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spans="11:49" x14ac:dyDescent="0.25"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spans="11:49" x14ac:dyDescent="0.25"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spans="11:49" x14ac:dyDescent="0.25"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spans="11:49" x14ac:dyDescent="0.25"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spans="11:49" x14ac:dyDescent="0.25"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spans="11:49" x14ac:dyDescent="0.25"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spans="11:49" x14ac:dyDescent="0.25"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spans="11:49" x14ac:dyDescent="0.25"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spans="11:49" x14ac:dyDescent="0.25"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spans="11:49" x14ac:dyDescent="0.25"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spans="11:49" x14ac:dyDescent="0.25"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spans="11:49" x14ac:dyDescent="0.25"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spans="11:49" x14ac:dyDescent="0.25"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spans="11:49" x14ac:dyDescent="0.25"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spans="11:49" x14ac:dyDescent="0.25"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spans="11:49" x14ac:dyDescent="0.25"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spans="11:49" x14ac:dyDescent="0.25"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spans="11:49" x14ac:dyDescent="0.25"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spans="11:49" x14ac:dyDescent="0.25"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spans="11:49" x14ac:dyDescent="0.25"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spans="11:49" x14ac:dyDescent="0.25"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spans="11:49" x14ac:dyDescent="0.25"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spans="11:49" x14ac:dyDescent="0.25"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spans="11:49" x14ac:dyDescent="0.25"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spans="11:49" x14ac:dyDescent="0.25"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spans="11:49" x14ac:dyDescent="0.25"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spans="11:49" x14ac:dyDescent="0.25"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spans="11:49" x14ac:dyDescent="0.25"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spans="11:49" x14ac:dyDescent="0.25"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spans="11:49" x14ac:dyDescent="0.25"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spans="11:49" x14ac:dyDescent="0.25"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spans="11:49" x14ac:dyDescent="0.25"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spans="11:49" x14ac:dyDescent="0.25"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spans="11:49" x14ac:dyDescent="0.25"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spans="11:49" x14ac:dyDescent="0.25"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spans="11:49" x14ac:dyDescent="0.25"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spans="11:49" x14ac:dyDescent="0.25"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spans="11:49" x14ac:dyDescent="0.25"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spans="11:49" x14ac:dyDescent="0.25"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spans="11:49" x14ac:dyDescent="0.25"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spans="11:49" x14ac:dyDescent="0.25"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spans="11:49" x14ac:dyDescent="0.25"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spans="11:49" x14ac:dyDescent="0.25"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spans="11:49" x14ac:dyDescent="0.25"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spans="11:49" x14ac:dyDescent="0.25"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spans="11:49" x14ac:dyDescent="0.25"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spans="11:49" x14ac:dyDescent="0.25"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spans="11:49" x14ac:dyDescent="0.25"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spans="11:49" x14ac:dyDescent="0.25"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spans="11:49" x14ac:dyDescent="0.25"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spans="11:49" x14ac:dyDescent="0.25"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spans="11:49" x14ac:dyDescent="0.25"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spans="11:49" x14ac:dyDescent="0.25"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spans="11:49" x14ac:dyDescent="0.25"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spans="11:49" x14ac:dyDescent="0.25"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spans="11:49" x14ac:dyDescent="0.25"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spans="11:49" x14ac:dyDescent="0.25"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spans="11:49" x14ac:dyDescent="0.25"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spans="11:49" x14ac:dyDescent="0.25"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spans="11:49" x14ac:dyDescent="0.25"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spans="11:49" x14ac:dyDescent="0.25"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spans="11:49" x14ac:dyDescent="0.25"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spans="11:49" x14ac:dyDescent="0.25"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spans="11:49" x14ac:dyDescent="0.25"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spans="11:49" x14ac:dyDescent="0.25"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spans="11:49" x14ac:dyDescent="0.25"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spans="11:49" x14ac:dyDescent="0.25"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spans="11:49" x14ac:dyDescent="0.25"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spans="11:49" x14ac:dyDescent="0.25"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spans="11:49" x14ac:dyDescent="0.25"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spans="11:49" x14ac:dyDescent="0.25"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spans="11:49" x14ac:dyDescent="0.25"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spans="11:49" x14ac:dyDescent="0.25"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spans="11:49" x14ac:dyDescent="0.25"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spans="11:49" x14ac:dyDescent="0.25"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spans="11:49" x14ac:dyDescent="0.25"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spans="11:49" x14ac:dyDescent="0.25"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spans="11:49" x14ac:dyDescent="0.25"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spans="11:49" x14ac:dyDescent="0.25"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spans="11:49" x14ac:dyDescent="0.25"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spans="11:49" x14ac:dyDescent="0.25"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spans="11:49" x14ac:dyDescent="0.25"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spans="11:49" x14ac:dyDescent="0.25"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spans="11:49" x14ac:dyDescent="0.25"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spans="11:49" x14ac:dyDescent="0.25"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spans="11:49" x14ac:dyDescent="0.25"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spans="11:49" x14ac:dyDescent="0.25"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spans="11:49" x14ac:dyDescent="0.25"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spans="11:49" x14ac:dyDescent="0.25"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spans="11:49" x14ac:dyDescent="0.25"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spans="11:49" x14ac:dyDescent="0.25"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spans="11:49" x14ac:dyDescent="0.25"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spans="11:49" x14ac:dyDescent="0.25"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spans="11:49" x14ac:dyDescent="0.25"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spans="11:49" x14ac:dyDescent="0.25"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spans="11:49" x14ac:dyDescent="0.25"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spans="11:49" x14ac:dyDescent="0.25"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spans="11:49" x14ac:dyDescent="0.25"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spans="11:49" x14ac:dyDescent="0.25"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spans="11:49" x14ac:dyDescent="0.25"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spans="11:49" x14ac:dyDescent="0.25"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spans="11:49" x14ac:dyDescent="0.25"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spans="11:49" x14ac:dyDescent="0.25"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spans="11:49" x14ac:dyDescent="0.25"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spans="11:49" x14ac:dyDescent="0.25"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spans="11:49" x14ac:dyDescent="0.25"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spans="11:49" x14ac:dyDescent="0.25"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spans="11:49" x14ac:dyDescent="0.25"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spans="11:49" x14ac:dyDescent="0.25"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spans="11:49" x14ac:dyDescent="0.25"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spans="11:49" x14ac:dyDescent="0.25"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spans="11:49" x14ac:dyDescent="0.25"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spans="11:49" x14ac:dyDescent="0.25"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spans="11:49" x14ac:dyDescent="0.25"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spans="11:49" x14ac:dyDescent="0.25"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spans="11:49" x14ac:dyDescent="0.25"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spans="11:49" x14ac:dyDescent="0.25"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spans="11:49" x14ac:dyDescent="0.25"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spans="11:49" x14ac:dyDescent="0.25"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spans="11:49" x14ac:dyDescent="0.25"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spans="11:49" x14ac:dyDescent="0.25"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spans="11:49" x14ac:dyDescent="0.25"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spans="11:49" x14ac:dyDescent="0.25"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spans="11:49" x14ac:dyDescent="0.25"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spans="11:49" x14ac:dyDescent="0.25"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spans="11:49" x14ac:dyDescent="0.25"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spans="11:49" x14ac:dyDescent="0.25"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spans="11:49" x14ac:dyDescent="0.25"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spans="11:49" x14ac:dyDescent="0.25"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spans="11:49" x14ac:dyDescent="0.25"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spans="11:49" x14ac:dyDescent="0.25"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spans="11:49" x14ac:dyDescent="0.25"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spans="11:49" x14ac:dyDescent="0.25"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spans="11:49" x14ac:dyDescent="0.25"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spans="11:49" x14ac:dyDescent="0.25"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spans="11:49" x14ac:dyDescent="0.25"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spans="11:49" x14ac:dyDescent="0.25"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spans="11:49" x14ac:dyDescent="0.25"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spans="11:49" x14ac:dyDescent="0.25"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spans="11:49" x14ac:dyDescent="0.25"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spans="11:49" x14ac:dyDescent="0.25"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spans="11:49" x14ac:dyDescent="0.25"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spans="11:49" x14ac:dyDescent="0.25"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spans="11:49" x14ac:dyDescent="0.25"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spans="11:49" x14ac:dyDescent="0.25"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spans="11:49" x14ac:dyDescent="0.25"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spans="11:49" x14ac:dyDescent="0.25"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spans="11:49" x14ac:dyDescent="0.25"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spans="11:49" x14ac:dyDescent="0.25"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spans="11:49" x14ac:dyDescent="0.25"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spans="11:49" x14ac:dyDescent="0.25"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spans="11:49" x14ac:dyDescent="0.25"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spans="11:49" x14ac:dyDescent="0.25"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spans="11:49" x14ac:dyDescent="0.25"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spans="11:49" x14ac:dyDescent="0.25"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spans="11:49" x14ac:dyDescent="0.25"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spans="11:49" x14ac:dyDescent="0.25"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spans="11:49" x14ac:dyDescent="0.25"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spans="11:49" x14ac:dyDescent="0.25"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spans="11:49" x14ac:dyDescent="0.25"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spans="11:49" x14ac:dyDescent="0.25"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spans="11:49" x14ac:dyDescent="0.25"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spans="11:49" x14ac:dyDescent="0.25"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spans="11:49" x14ac:dyDescent="0.25"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spans="11:49" x14ac:dyDescent="0.25"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spans="11:49" x14ac:dyDescent="0.25"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spans="11:49" x14ac:dyDescent="0.25"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spans="11:49" x14ac:dyDescent="0.25"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spans="11:49" x14ac:dyDescent="0.25"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spans="11:49" x14ac:dyDescent="0.25"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spans="11:49" x14ac:dyDescent="0.25"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spans="11:49" x14ac:dyDescent="0.25"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spans="11:49" x14ac:dyDescent="0.25"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spans="11:49" x14ac:dyDescent="0.25"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spans="11:49" x14ac:dyDescent="0.25"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spans="11:49" x14ac:dyDescent="0.25"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spans="11:49" x14ac:dyDescent="0.25"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spans="11:49" x14ac:dyDescent="0.25"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spans="11:49" x14ac:dyDescent="0.25"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spans="11:49" x14ac:dyDescent="0.25"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spans="11:49" x14ac:dyDescent="0.25"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spans="11:49" x14ac:dyDescent="0.25"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spans="11:49" x14ac:dyDescent="0.25"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spans="11:49" x14ac:dyDescent="0.25"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spans="11:49" x14ac:dyDescent="0.25"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spans="11:49" x14ac:dyDescent="0.25"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spans="11:49" x14ac:dyDescent="0.25"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spans="11:49" x14ac:dyDescent="0.25"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spans="11:49" x14ac:dyDescent="0.25"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spans="11:49" x14ac:dyDescent="0.25"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spans="11:49" x14ac:dyDescent="0.25"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spans="11:49" x14ac:dyDescent="0.25"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spans="11:49" x14ac:dyDescent="0.25"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spans="11:49" x14ac:dyDescent="0.25"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spans="11:49" x14ac:dyDescent="0.25"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spans="11:49" x14ac:dyDescent="0.25"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spans="11:49" x14ac:dyDescent="0.25"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spans="11:49" x14ac:dyDescent="0.25"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spans="11:49" x14ac:dyDescent="0.25"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spans="11:49" x14ac:dyDescent="0.25"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spans="11:49" x14ac:dyDescent="0.25"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spans="11:49" x14ac:dyDescent="0.25"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spans="11:49" x14ac:dyDescent="0.25"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spans="11:49" x14ac:dyDescent="0.25"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spans="11:49" x14ac:dyDescent="0.25"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spans="11:49" x14ac:dyDescent="0.25"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spans="11:49" x14ac:dyDescent="0.25"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spans="11:49" x14ac:dyDescent="0.25"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spans="11:49" x14ac:dyDescent="0.25"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spans="11:49" x14ac:dyDescent="0.25"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spans="11:49" x14ac:dyDescent="0.25"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spans="11:49" x14ac:dyDescent="0.25"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spans="11:49" x14ac:dyDescent="0.25"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spans="11:49" x14ac:dyDescent="0.25"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spans="11:49" x14ac:dyDescent="0.25"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spans="11:49" x14ac:dyDescent="0.25"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spans="11:49" x14ac:dyDescent="0.25"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spans="11:49" x14ac:dyDescent="0.25"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spans="11:49" x14ac:dyDescent="0.25"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spans="11:49" x14ac:dyDescent="0.25"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spans="11:49" x14ac:dyDescent="0.25"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spans="11:49" x14ac:dyDescent="0.25"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spans="11:49" x14ac:dyDescent="0.25"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spans="11:49" x14ac:dyDescent="0.25"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spans="11:49" x14ac:dyDescent="0.25"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spans="11:49" x14ac:dyDescent="0.25"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spans="11:49" x14ac:dyDescent="0.25"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spans="11:49" x14ac:dyDescent="0.25"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spans="11:49" x14ac:dyDescent="0.25"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spans="11:49" x14ac:dyDescent="0.25"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spans="11:49" x14ac:dyDescent="0.25"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spans="11:49" x14ac:dyDescent="0.25"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spans="11:49" x14ac:dyDescent="0.25"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spans="11:49" x14ac:dyDescent="0.25"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spans="11:49" x14ac:dyDescent="0.25"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spans="11:49" x14ac:dyDescent="0.25"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spans="11:49" x14ac:dyDescent="0.25"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spans="11:49" x14ac:dyDescent="0.25"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spans="11:49" x14ac:dyDescent="0.25"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spans="11:49" x14ac:dyDescent="0.25"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spans="11:49" x14ac:dyDescent="0.25"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spans="11:49" x14ac:dyDescent="0.25"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spans="11:49" x14ac:dyDescent="0.25"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spans="11:49" x14ac:dyDescent="0.25"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spans="11:49" x14ac:dyDescent="0.25"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spans="11:49" x14ac:dyDescent="0.25"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spans="11:49" x14ac:dyDescent="0.25"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spans="11:49" x14ac:dyDescent="0.25"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spans="11:49" x14ac:dyDescent="0.25"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spans="11:49" x14ac:dyDescent="0.25"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spans="11:49" x14ac:dyDescent="0.25"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spans="11:49" x14ac:dyDescent="0.25"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spans="11:49" x14ac:dyDescent="0.25"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spans="11:49" x14ac:dyDescent="0.25"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spans="11:49" x14ac:dyDescent="0.25"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spans="11:49" x14ac:dyDescent="0.25"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spans="11:49" x14ac:dyDescent="0.25"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spans="11:49" x14ac:dyDescent="0.25"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spans="11:49" x14ac:dyDescent="0.25"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spans="11:49" x14ac:dyDescent="0.25"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spans="11:49" x14ac:dyDescent="0.25"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spans="11:49" x14ac:dyDescent="0.25"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spans="11:49" x14ac:dyDescent="0.25"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spans="11:49" x14ac:dyDescent="0.25"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spans="11:49" x14ac:dyDescent="0.25"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spans="11:49" x14ac:dyDescent="0.25"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spans="11:49" x14ac:dyDescent="0.25"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spans="11:49" x14ac:dyDescent="0.25"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spans="11:49" x14ac:dyDescent="0.25"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spans="11:49" x14ac:dyDescent="0.25"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spans="11:49" x14ac:dyDescent="0.25"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spans="11:49" x14ac:dyDescent="0.25"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spans="11:49" x14ac:dyDescent="0.25"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spans="11:49" x14ac:dyDescent="0.25"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spans="11:49" x14ac:dyDescent="0.25"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spans="11:49" x14ac:dyDescent="0.25"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spans="11:49" x14ac:dyDescent="0.25"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spans="11:49" x14ac:dyDescent="0.25"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spans="11:49" x14ac:dyDescent="0.25"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spans="11:49" x14ac:dyDescent="0.25"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spans="11:49" x14ac:dyDescent="0.25"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spans="11:49" x14ac:dyDescent="0.25"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spans="11:49" x14ac:dyDescent="0.25"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spans="11:49" x14ac:dyDescent="0.25"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spans="11:49" x14ac:dyDescent="0.25"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spans="11:49" x14ac:dyDescent="0.25"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spans="11:49" x14ac:dyDescent="0.25"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spans="11:49" x14ac:dyDescent="0.25"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spans="11:49" x14ac:dyDescent="0.25"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spans="11:49" x14ac:dyDescent="0.25"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spans="11:49" x14ac:dyDescent="0.25"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spans="11:49" x14ac:dyDescent="0.25"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spans="11:49" x14ac:dyDescent="0.25"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spans="11:49" x14ac:dyDescent="0.25"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spans="11:49" x14ac:dyDescent="0.25"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spans="11:49" x14ac:dyDescent="0.25"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spans="11:49" x14ac:dyDescent="0.25"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spans="11:49" x14ac:dyDescent="0.25"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spans="11:49" x14ac:dyDescent="0.25"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spans="11:49" x14ac:dyDescent="0.25"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spans="11:49" x14ac:dyDescent="0.25"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spans="11:49" x14ac:dyDescent="0.25"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spans="11:49" x14ac:dyDescent="0.25"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spans="11:49" x14ac:dyDescent="0.25"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spans="11:49" x14ac:dyDescent="0.25"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spans="11:49" x14ac:dyDescent="0.25"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spans="11:49" x14ac:dyDescent="0.25"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spans="11:49" x14ac:dyDescent="0.25"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spans="11:49" x14ac:dyDescent="0.25"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spans="11:49" x14ac:dyDescent="0.25"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spans="11:49" x14ac:dyDescent="0.25"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spans="11:49" x14ac:dyDescent="0.25"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spans="11:49" x14ac:dyDescent="0.25"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spans="11:49" x14ac:dyDescent="0.25"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spans="11:49" x14ac:dyDescent="0.25"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spans="11:49" x14ac:dyDescent="0.25"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spans="11:49" x14ac:dyDescent="0.25"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spans="11:49" x14ac:dyDescent="0.25"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spans="11:49" x14ac:dyDescent="0.25"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spans="11:49" x14ac:dyDescent="0.25"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spans="11:49" x14ac:dyDescent="0.25"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spans="11:49" x14ac:dyDescent="0.25"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spans="11:49" x14ac:dyDescent="0.25"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spans="11:49" x14ac:dyDescent="0.25"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spans="11:49" x14ac:dyDescent="0.25"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spans="11:49" x14ac:dyDescent="0.25"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spans="11:49" x14ac:dyDescent="0.25"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spans="11:49" x14ac:dyDescent="0.25"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spans="11:49" x14ac:dyDescent="0.25"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spans="11:49" x14ac:dyDescent="0.25"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spans="11:49" x14ac:dyDescent="0.25"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spans="11:49" x14ac:dyDescent="0.25"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spans="11:49" x14ac:dyDescent="0.25"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spans="11:49" x14ac:dyDescent="0.25"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spans="11:49" x14ac:dyDescent="0.25"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spans="11:49" x14ac:dyDescent="0.25"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spans="11:49" x14ac:dyDescent="0.25"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spans="11:49" x14ac:dyDescent="0.25"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spans="11:49" x14ac:dyDescent="0.25"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spans="11:49" x14ac:dyDescent="0.25"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spans="11:49" x14ac:dyDescent="0.25"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spans="11:49" x14ac:dyDescent="0.25"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spans="11:49" x14ac:dyDescent="0.25"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spans="11:49" x14ac:dyDescent="0.25"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spans="11:49" x14ac:dyDescent="0.25"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spans="11:49" x14ac:dyDescent="0.25"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spans="11:49" x14ac:dyDescent="0.25"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spans="11:49" x14ac:dyDescent="0.25"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spans="11:49" x14ac:dyDescent="0.25"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spans="11:49" x14ac:dyDescent="0.25"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spans="11:49" x14ac:dyDescent="0.25"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spans="11:49" x14ac:dyDescent="0.25"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spans="11:49" x14ac:dyDescent="0.25"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spans="11:49" x14ac:dyDescent="0.25"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spans="11:49" x14ac:dyDescent="0.25"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spans="11:49" x14ac:dyDescent="0.25"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spans="11:49" x14ac:dyDescent="0.25"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spans="11:49" x14ac:dyDescent="0.25"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spans="11:49" x14ac:dyDescent="0.25"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spans="11:49" x14ac:dyDescent="0.25"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spans="11:49" x14ac:dyDescent="0.25"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spans="11:49" x14ac:dyDescent="0.25"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spans="11:49" x14ac:dyDescent="0.25"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spans="11:49" x14ac:dyDescent="0.25"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spans="11:49" x14ac:dyDescent="0.25"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spans="11:49" x14ac:dyDescent="0.25"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spans="11:49" x14ac:dyDescent="0.25"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spans="11:49" x14ac:dyDescent="0.25"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spans="11:49" x14ac:dyDescent="0.25"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spans="11:49" x14ac:dyDescent="0.25"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spans="11:49" x14ac:dyDescent="0.25"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spans="11:49" x14ac:dyDescent="0.25"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spans="11:49" x14ac:dyDescent="0.25"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spans="11:49" x14ac:dyDescent="0.25"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spans="11:49" x14ac:dyDescent="0.25"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spans="11:49" x14ac:dyDescent="0.25"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spans="11:49" x14ac:dyDescent="0.25"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spans="11:49" x14ac:dyDescent="0.25"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spans="11:49" x14ac:dyDescent="0.25"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spans="11:49" x14ac:dyDescent="0.25"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Royer, Dana</cp:lastModifiedBy>
  <dcterms:created xsi:type="dcterms:W3CDTF">2017-12-08T17:21:04Z</dcterms:created>
  <dcterms:modified xsi:type="dcterms:W3CDTF">2020-12-09T13:58:46Z</dcterms:modified>
</cp:coreProperties>
</file>