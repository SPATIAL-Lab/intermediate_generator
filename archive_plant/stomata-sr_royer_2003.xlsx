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
    </mc:Choice>
  </mc:AlternateContent>
  <xr:revisionPtr revIDLastSave="0" documentId="13_ncr:1_{753395E3-6A42-4195-A3E9-6033EF9A032D}" xr6:coauthVersionLast="45" xr6:coauthVersionMax="45" xr10:uidLastSave="{00000000-0000-0000-0000-000000000000}"/>
  <bookViews>
    <workbookView xWindow="-120" yWindow="-120" windowWidth="29040" windowHeight="15840"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D4" i="1" l="1"/>
  <c r="G4" i="1"/>
  <c r="F4" i="1"/>
  <c r="E4" i="1"/>
</calcChain>
</file>

<file path=xl/sharedStrings.xml><?xml version="1.0" encoding="utf-8"?>
<sst xmlns="http://schemas.openxmlformats.org/spreadsheetml/2006/main" count="110" uniqueCount="92">
  <si>
    <t>Modern</t>
    <phoneticPr fontId="3" type="noConversion"/>
  </si>
  <si>
    <t>Number of leaves/leaf fragments</t>
    <phoneticPr fontId="3" type="noConversion"/>
  </si>
  <si>
    <t>NLE 
SD/SI 
value</t>
    <phoneticPr fontId="3" type="noConversion"/>
  </si>
  <si>
    <t>Standardization (Modern or Carboniferous)</t>
    <phoneticPr fontId="3" type="noConversion"/>
  </si>
  <si>
    <t>Remarks</t>
    <phoneticPr fontId="3" type="noConversion"/>
  </si>
  <si>
    <t>person who entered data</t>
  </si>
  <si>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</si>
  <si>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</si>
  <si>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</si>
  <si>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</si>
  <si>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</si>
  <si>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</si>
  <si>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</si>
  <si>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</si>
  <si>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</si>
  <si>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</si>
  <si>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</si>
  <si>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</si>
  <si>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</si>
  <si>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Counting box dimensions
(µm × µm)</t>
  </si>
  <si>
    <t># Stomata</t>
  </si>
  <si>
    <t># Epidermal Cells</t>
  </si>
  <si>
    <t>Nearest 
Living
Equivalent
species</t>
  </si>
  <si>
    <t>What is the uncertainty range?</t>
  </si>
  <si>
    <t>Microscope</t>
    <phoneticPr fontId="3" type="noConversion"/>
  </si>
  <si>
    <t>Dana L. Royer</t>
  </si>
  <si>
    <t>proxy</t>
  </si>
  <si>
    <t>first_author_last_name</t>
  </si>
  <si>
    <t>publication_year</t>
  </si>
  <si>
    <t>age_ka</t>
  </si>
  <si>
    <t>Age_uncertainty_pos_ka</t>
  </si>
  <si>
    <t>Age_uncertainty_neg_ka</t>
  </si>
  <si>
    <t>stomata-SR</t>
  </si>
  <si>
    <t>Royer</t>
  </si>
  <si>
    <t>10.1130/0-8137-2369-8.79</t>
  </si>
  <si>
    <t>SLW H site</t>
  </si>
  <si>
    <t>Platanaceae</t>
  </si>
  <si>
    <t>Plantanus</t>
  </si>
  <si>
    <t>guillelmae</t>
  </si>
  <si>
    <t>Smithsonian Museum of Natural History (USNM 519404-519412)</t>
  </si>
  <si>
    <t>Willwood (Bighorn Basin)</t>
  </si>
  <si>
    <t>~420 m above the Wa-0 NALMA</t>
  </si>
  <si>
    <t>GTS1989</t>
  </si>
  <si>
    <t>1.7 Myrs after the PETM (Age Model 2 in Wing et al., 2000, which uses measured sections, biostratigraphy, the PETM carbon isotope excursion, and one Ar/Ar radiometric date; see Royer 2003 for details and for Wing citation)</t>
  </si>
  <si>
    <t>0.1795 mm2</t>
  </si>
  <si>
    <t>Platanus occidentalis, P. orientalis, P. x acerfolia</t>
  </si>
  <si>
    <t>13.28 to 15.35</t>
  </si>
  <si>
    <t>350 to 390</t>
  </si>
  <si>
    <t>Royer, D. L., 2003, Estimating latest Cretaceous and Tertiary atmospheric CO2 concentration from stomatal indices, in Wing, S. L., Gingerich, P. D., Schmitz, B., and Thomas, E., eds., Causes and Consequences of Globally Warm Climates in the Early Paleogene: Boulder, Geological Society of America Special Paper 369, p. 79-93.</t>
  </si>
  <si>
    <t>CO2_ppm</t>
  </si>
  <si>
    <t>CO2_uncertainty_pos_ppm</t>
  </si>
  <si>
    <t>NA</t>
  </si>
  <si>
    <t>CO2_uncertainty_neg_ppm</t>
  </si>
  <si>
    <t>Reference of the data product</t>
  </si>
  <si>
    <t>Modern Latitude (decimal degree, south negative)</t>
  </si>
  <si>
    <t>Modern Longitude (decimal degree, west negative)</t>
  </si>
  <si>
    <t>changed CO2 range from 350-390 ppm to 370 +/- 20 ppm for plotting purposes</t>
  </si>
  <si>
    <t>email of individual entering the data</t>
  </si>
  <si>
    <t>droyer@wesleyan.edu</t>
  </si>
  <si>
    <t>Paleo Latitude (decimal degree, south negative)</t>
  </si>
  <si>
    <t>Paleo Longitude (decimal degree, west negative)</t>
  </si>
  <si>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</si>
  <si>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</si>
  <si>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</si>
  <si>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</si>
  <si>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</si>
  <si>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</si>
  <si>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</si>
  <si>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</si>
  <si>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</si>
  <si>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</si>
  <si>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</si>
  <si>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</si>
  <si>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</si>
  <si>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</si>
  <si>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</si>
  <si>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</si>
  <si>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</si>
  <si>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</si>
  <si>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</si>
  <si>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</si>
  <si>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Number of stomatal counts per leaf sample</t>
  </si>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</sst>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sz val="12"/>
      <name val="Calibri"/>
      <family val="2"/>
    </font>
    <font>
      <b/>
      <sz val="12"/>
      <color indexed="8"/>
      <name val="Calibri"/>
      <family val="2"/>
    </font>
    <font>
      <u/>
      <sz val="12"/>
      <color indexed="12"/>
      <name val="Calibri"/>
      <family val="2"/>
    </font>
    <font>
      <sz val="12"/>
      <color rgb="FF000000"/>
      <name val="Calibri"/>
      <family val="2"/>
    </font>
    <font>
      <b/>
      <sz val="12"/>
      <color theme="1"/>
      <name val="Calibri"/>
      <family val="2"/>
      <scheme val="minor"/>
    </font>
    <font>
      <b/>
      <sz val="12"/>
      <color rgb="FF000000"/>
      <name val="Calibri"/>
      <family val="2"/>
      <scheme val="minor"/>
    </font>
    <font>
      <b/>
      <sz val="12"/>
      <name val="Calibri"/>
      <family val="2"/>
      <scheme val="minor"/>
    </font>
    <font>
      <sz val="12"/>
      <color rgb="FF000000"/>
      <name val="Calibri"/>
      <family val="2"/>
      <scheme val="minor"/>
    </font>
    <font>
      <b/>
      <sz val="12"/>
      <color theme="1"/>
      <name val="Calibri"/>
      <family val="2"/>
    </font>
    <font>
      <b/>
      <vertAlign val="superscript"/>
      <sz val="12"/>
      <color theme="1"/>
      <name val="Calibri"/>
      <family val="2"/>
    </font>
    <font>
      <b/>
      <vertAlign val="subscript"/>
      <sz val="12"/>
      <color rgb="FF000000"/>
      <name val="Calibri"/>
      <family val="2"/>
    </font>
  </fonts>
  <fills count="5">
    <fill>
      <patternFill patternType="none"/>
    </fill>
    <fill>
      <patternFill patternType="gray125"/>
    </fill>
    <fill>
      <patternFill patternType="solid">
        <fgColor indexed="42"/>
        <bgColor indexed="64"/>
      </patternFill>
    </fill>
    <fill>
      <patternFill patternType="solid">
        <fgColor rgb="FFCDFFCD"/>
        <bgColor indexed="64"/>
      </patternFill>
    </fill>
    <fill>
      <patternFill patternType="solid">
        <fgColor theme="8" tint="0.79998168889431442"/>
        <bgColor indexed="64"/>
      </patternFill>
    </fill>
  </fills>
  <borders count="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4">
    <xf numFmtId="0" fontId="0" fillId="0" borderId="0"/>
    <xf numFmtId="0" fontId="2" fillId="0" borderId="0"/>
    <xf numFmtId="0" fontId="1" fillId="0" borderId="0"/>
    <xf numFmtId="0" fontId="7" fillId="0" borderId="0" applyNumberFormat="0" applyFill="0" applyBorder="0" applyAlignment="0" applyProtection="0">
      <alignment vertical="top"/>
      <protection locked="0"/>
    </xf>
  </cellStyleXfs>
  <cellXfs count="27">
    <xf numFmtId="0" fontId="0" fillId="0" borderId="0" xfId="0"/>
    <xf numFmtId="0" fontId="5" fillId="0" borderId="0" xfId="3" applyFont="1" applyAlignment="1" applyProtection="1"/>
    <xf numFmtId="0" fontId="4" fillId="0" borderId="0" xfId="0" applyFont="1"/>
    <xf numFmtId="0" fontId="4" fillId="0" borderId="0" xfId="0" applyFont="1" applyFill="1"/>
    <xf numFmtId="1" fontId="4" fillId="0" borderId="0" xfId="0" applyNumberFormat="1" applyFont="1"/>
    <xf numFmtId="1" fontId="0" fillId="0" borderId="0" xfId="0" applyNumberFormat="1"/>
    <xf numFmtId="0" fontId="0" fillId="0" borderId="0" xfId="0" applyFont="1" applyFill="1" applyBorder="1" applyAlignment="1"/>
    <xf numFmtId="164" fontId="0" fillId="0" borderId="0" xfId="0" applyNumberFormat="1" applyFont="1" applyFill="1" applyBorder="1" applyAlignment="1">
      <alignment horizontal="right"/>
    </xf>
    <xf numFmtId="0" fontId="0" fillId="0" borderId="0" xfId="0" applyFont="1" applyFill="1" applyBorder="1" applyAlignment="1">
      <alignment horizontal="right"/>
    </xf>
    <xf numFmtId="17" fontId="0" fillId="0" borderId="0" xfId="0" applyNumberFormat="1" applyFill="1" applyBorder="1" applyAlignment="1">
      <alignment horizontal="left"/>
    </xf>
    <xf numFmtId="0" fontId="11" fillId="3" borderId="1" xfId="0" applyFont="1" applyFill="1" applyBorder="1" applyAlignment="1">
      <alignment horizontal="center" vertical="top" wrapText="1"/>
    </xf>
    <xf numFmtId="0" fontId="12" fillId="0" borderId="0" xfId="0" applyFont="1" applyBorder="1" applyAlignment="1"/>
    <xf numFmtId="0" fontId="9" fillId="0" borderId="2" xfId="0" applyFont="1" applyBorder="1"/>
    <xf numFmtId="0" fontId="4" fillId="4" borderId="0" xfId="0" applyFont="1" applyFill="1"/>
    <xf numFmtId="0" fontId="4" fillId="4" borderId="3" xfId="0" applyFont="1" applyFill="1" applyBorder="1"/>
    <xf numFmtId="0" fontId="4" fillId="0" borderId="0" xfId="0" applyFont="1" applyAlignment="1">
      <alignment wrapText="1"/>
    </xf>
    <xf numFmtId="0" fontId="4" fillId="4" borderId="2" xfId="0" applyFont="1" applyFill="1" applyBorder="1" applyAlignment="1">
      <alignment wrapText="1"/>
    </xf>
    <xf numFmtId="0" fontId="4" fillId="4" borderId="0" xfId="0" applyFont="1" applyFill="1" applyAlignment="1">
      <alignment wrapText="1"/>
    </xf>
    <xf numFmtId="0" fontId="4" fillId="4" borderId="3" xfId="0" applyFont="1" applyFill="1" applyBorder="1" applyAlignment="1">
      <alignment wrapText="1"/>
    </xf>
    <xf numFmtId="0" fontId="0" fillId="0" borderId="0" xfId="0" applyAlignment="1">
      <alignment wrapText="1"/>
    </xf>
    <xf numFmtId="0" fontId="8" fillId="0" borderId="0" xfId="0" applyFont="1" applyAlignment="1">
      <alignment vertical="top" wrapText="1"/>
    </xf>
    <xf numFmtId="0" fontId="9" fillId="0" borderId="0" xfId="0" applyFont="1" applyAlignment="1">
      <alignment vertical="top" wrapText="1"/>
    </xf>
    <xf numFmtId="0" fontId="6" fillId="2" borderId="0" xfId="0" applyFont="1" applyFill="1" applyAlignment="1">
      <alignment vertical="top" wrapText="1"/>
    </xf>
    <xf numFmtId="0" fontId="10" fillId="3" borderId="0" xfId="0" applyFont="1" applyFill="1" applyAlignment="1">
      <alignment vertical="top" wrapText="1"/>
    </xf>
    <xf numFmtId="0" fontId="6" fillId="2" borderId="0" xfId="0" applyFont="1" applyFill="1" applyAlignment="1">
      <alignment horizontal="center" vertical="top" wrapText="1"/>
    </xf>
    <xf numFmtId="0" fontId="13" fillId="2" borderId="0" xfId="0" applyFont="1" applyFill="1" applyAlignment="1">
      <alignment vertical="top" wrapText="1"/>
    </xf>
    <xf numFmtId="0" fontId="6" fillId="0" borderId="0" xfId="0" applyFont="1"/>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5"/>
  <sheetViews>
    <sheetView tabSelected="1" topLeftCell="AE1" workbookViewId="0">
      <pane ySplit="3" topLeftCell="A4" activePane="bottomLeft" state="frozen"/>
      <selection pane="bottomLeft" activeCell="AK10" sqref="AK10"/>
    </sheetView>
  </sheetViews>
  <sheetFormatPr defaultColWidth="8.875" defaultRowHeight="15.75" x14ac:dyDescent="0.25"/>
  <cols>
    <col min="1" max="10" width="8.875" style="2"/>
    <col min="11" max="11" width="18.125" style="2" customWidth="1"/>
    <col min="12" max="12" width="8.875" style="2"/>
    <col min="13" max="13" width="25.125" style="2" customWidth="1"/>
    <col min="14" max="14" width="8.875" style="2"/>
    <col min="15" max="15" width="11.625" style="2" customWidth="1"/>
    <col min="16" max="16" width="12.5" style="2" customWidth="1"/>
    <col min="17" max="17" width="15.125" style="2" customWidth="1"/>
    <col min="18" max="18" width="13" style="2" customWidth="1"/>
    <col min="19" max="19" width="13.5" style="2" customWidth="1"/>
    <col min="20" max="20" width="8.875" style="2"/>
    <col min="21" max="21" width="12" style="2" customWidth="1"/>
    <col min="22" max="22" width="8.875" style="2"/>
    <col min="23" max="23" width="10.875" style="2" customWidth="1"/>
    <col min="24" max="24" width="10.625" style="2" customWidth="1"/>
    <col min="25" max="25" width="8.875" style="2"/>
    <col min="26" max="26" width="10.625" style="2" customWidth="1"/>
    <col min="27" max="27" width="11.625" style="2" customWidth="1"/>
    <col min="28" max="28" width="11.125" style="2" customWidth="1"/>
    <col min="29" max="31" width="10.375" style="2" customWidth="1"/>
    <col min="32" max="32" width="10.625" style="2" customWidth="1"/>
    <col min="33" max="33" width="10.875" style="2" customWidth="1"/>
    <col min="34" max="34" width="11" style="2" customWidth="1"/>
    <col min="35" max="42" width="8.875" style="2"/>
    <col min="43" max="43" width="16" style="2" customWidth="1"/>
    <col min="44" max="44" width="13" style="2" customWidth="1"/>
    <col min="45" max="45" width="16" style="2" customWidth="1"/>
    <col min="46" max="46" width="8.875" style="2"/>
    <col min="47" max="48" width="13" style="2" customWidth="1"/>
    <col min="49" max="49" width="12.375" style="2" customWidth="1"/>
    <col min="50" max="50" width="15.5" style="2" customWidth="1"/>
    <col min="51" max="16384" width="8.875" style="2"/>
  </cols>
  <sheetData>
    <row r="1" spans="1:50" x14ac:dyDescent="0.25">
      <c r="D1" s="12" t="s">
        <v>61</v>
      </c>
      <c r="E1" s="13"/>
      <c r="F1" s="13"/>
      <c r="G1" s="13"/>
      <c r="H1" s="13"/>
      <c r="I1" s="13"/>
      <c r="J1" s="14"/>
    </row>
    <row r="2" spans="1:50" s="15" customFormat="1" ht="62.45" customHeight="1" x14ac:dyDescent="0.25">
      <c r="D2" s="16"/>
      <c r="E2" s="17"/>
      <c r="F2" s="17"/>
      <c r="G2" s="17"/>
      <c r="H2" s="17"/>
      <c r="I2" s="17"/>
      <c r="J2" s="18"/>
      <c r="K2" s="19" t="s">
        <v>62</v>
      </c>
      <c r="L2" s="19"/>
      <c r="M2" s="19" t="s">
        <v>63</v>
      </c>
      <c r="N2" s="19"/>
      <c r="O2" s="19" t="s">
        <v>64</v>
      </c>
      <c r="P2" s="19"/>
      <c r="Q2" s="19"/>
      <c r="R2" s="19"/>
      <c r="S2" s="19" t="s">
        <v>65</v>
      </c>
      <c r="T2" s="19"/>
      <c r="U2" s="19" t="s">
        <v>66</v>
      </c>
      <c r="V2" s="19"/>
      <c r="W2" s="19" t="s">
        <v>67</v>
      </c>
      <c r="X2" s="19" t="s">
        <v>67</v>
      </c>
      <c r="Y2" s="19" t="s">
        <v>68</v>
      </c>
      <c r="Z2" s="19" t="s">
        <v>69</v>
      </c>
      <c r="AA2" s="19"/>
      <c r="AB2" s="19"/>
      <c r="AD2" s="19" t="s">
        <v>70</v>
      </c>
      <c r="AE2" s="19" t="s">
        <v>70</v>
      </c>
      <c r="AF2" s="19" t="s">
        <v>71</v>
      </c>
      <c r="AG2" s="19" t="s">
        <v>72</v>
      </c>
      <c r="AH2" s="19" t="s">
        <v>73</v>
      </c>
      <c r="AL2" s="15" t="s">
        <v>74</v>
      </c>
      <c r="AN2" s="15" t="s">
        <v>74</v>
      </c>
      <c r="AP2" s="15" t="s">
        <v>74</v>
      </c>
      <c r="AQ2" s="15" t="s">
        <v>75</v>
      </c>
      <c r="AR2" s="15" t="s">
        <v>76</v>
      </c>
      <c r="AS2" s="15" t="s">
        <v>77</v>
      </c>
      <c r="AU2" s="19" t="s">
        <v>78</v>
      </c>
      <c r="AV2" s="19" t="s">
        <v>78</v>
      </c>
      <c r="AW2" s="19" t="s">
        <v>79</v>
      </c>
      <c r="AX2" s="19" t="s">
        <v>80</v>
      </c>
    </row>
    <row r="3" spans="1:50" s="26" customFormat="1" ht="66" customHeight="1" x14ac:dyDescent="0.25">
      <c r="A3" s="20" t="s">
        <v>26</v>
      </c>
      <c r="B3" s="20" t="s">
        <v>27</v>
      </c>
      <c r="C3" s="20" t="s">
        <v>28</v>
      </c>
      <c r="D3" s="20" t="s">
        <v>6</v>
      </c>
      <c r="E3" s="20" t="s">
        <v>29</v>
      </c>
      <c r="F3" s="20" t="s">
        <v>30</v>
      </c>
      <c r="G3" s="20" t="s">
        <v>31</v>
      </c>
      <c r="H3" s="21" t="s">
        <v>49</v>
      </c>
      <c r="I3" s="21" t="s">
        <v>50</v>
      </c>
      <c r="J3" s="21" t="s">
        <v>52</v>
      </c>
      <c r="K3" s="22" t="s">
        <v>5</v>
      </c>
      <c r="L3" s="23" t="s">
        <v>57</v>
      </c>
      <c r="M3" s="22" t="s">
        <v>53</v>
      </c>
      <c r="N3" s="22" t="s">
        <v>6</v>
      </c>
      <c r="O3" s="22" t="s">
        <v>7</v>
      </c>
      <c r="P3" s="22" t="s">
        <v>8</v>
      </c>
      <c r="Q3" s="22" t="s">
        <v>9</v>
      </c>
      <c r="R3" s="22" t="s">
        <v>10</v>
      </c>
      <c r="S3" s="22" t="s">
        <v>11</v>
      </c>
      <c r="T3" s="22" t="s">
        <v>12</v>
      </c>
      <c r="U3" s="22" t="s">
        <v>13</v>
      </c>
      <c r="V3" s="22" t="s">
        <v>14</v>
      </c>
      <c r="W3" s="22" t="s">
        <v>15</v>
      </c>
      <c r="X3" s="22" t="s">
        <v>16</v>
      </c>
      <c r="Y3" s="22" t="s">
        <v>17</v>
      </c>
      <c r="Z3" s="22" t="s">
        <v>18</v>
      </c>
      <c r="AA3" s="22" t="s">
        <v>1</v>
      </c>
      <c r="AB3" s="22" t="s">
        <v>54</v>
      </c>
      <c r="AC3" s="22" t="s">
        <v>55</v>
      </c>
      <c r="AD3" s="10" t="s">
        <v>59</v>
      </c>
      <c r="AE3" s="10" t="s">
        <v>60</v>
      </c>
      <c r="AF3" s="24" t="s">
        <v>81</v>
      </c>
      <c r="AG3" s="24" t="s">
        <v>82</v>
      </c>
      <c r="AH3" s="24" t="s">
        <v>19</v>
      </c>
      <c r="AI3" s="24" t="s">
        <v>20</v>
      </c>
      <c r="AJ3" s="24" t="s">
        <v>21</v>
      </c>
      <c r="AK3" s="25" t="s">
        <v>83</v>
      </c>
      <c r="AL3" s="22" t="s">
        <v>84</v>
      </c>
      <c r="AM3" s="25" t="s">
        <v>85</v>
      </c>
      <c r="AN3" s="22" t="s">
        <v>86</v>
      </c>
      <c r="AO3" s="22" t="s">
        <v>87</v>
      </c>
      <c r="AP3" s="22" t="s">
        <v>88</v>
      </c>
      <c r="AQ3" s="22" t="s">
        <v>22</v>
      </c>
      <c r="AR3" s="22" t="s">
        <v>2</v>
      </c>
      <c r="AS3" s="22" t="s">
        <v>3</v>
      </c>
      <c r="AT3" s="24" t="s">
        <v>89</v>
      </c>
      <c r="AU3" s="24" t="s">
        <v>90</v>
      </c>
      <c r="AV3" s="24" t="s">
        <v>91</v>
      </c>
      <c r="AW3" s="22" t="s">
        <v>23</v>
      </c>
      <c r="AX3" s="22" t="s">
        <v>4</v>
      </c>
    </row>
    <row r="4" spans="1:50" x14ac:dyDescent="0.25">
      <c r="A4" t="s">
        <v>32</v>
      </c>
      <c r="B4" t="s">
        <v>33</v>
      </c>
      <c r="C4">
        <v>2003</v>
      </c>
      <c r="D4" t="str">
        <f>N4</f>
        <v>10.1130/0-8137-2369-8.79</v>
      </c>
      <c r="E4">
        <f>V4*1000</f>
        <v>53488</v>
      </c>
      <c r="F4">
        <f>(W4-V4)*1000</f>
        <v>100.00000000000142</v>
      </c>
      <c r="G4">
        <f>(V4-X4)*1000</f>
        <v>100.00000000000142</v>
      </c>
      <c r="H4" s="5">
        <v>370</v>
      </c>
      <c r="I4">
        <v>20</v>
      </c>
      <c r="J4">
        <v>20</v>
      </c>
      <c r="K4" s="2" t="s">
        <v>25</v>
      </c>
      <c r="L4" s="9" t="s">
        <v>58</v>
      </c>
      <c r="M4" s="2" t="s">
        <v>48</v>
      </c>
      <c r="N4" s="1" t="s">
        <v>34</v>
      </c>
      <c r="O4" s="2" t="s">
        <v>35</v>
      </c>
      <c r="P4" s="2" t="s">
        <v>36</v>
      </c>
      <c r="Q4" s="2" t="s">
        <v>37</v>
      </c>
      <c r="R4" s="2" t="s">
        <v>38</v>
      </c>
      <c r="S4" s="6" t="s">
        <v>39</v>
      </c>
      <c r="T4" s="6" t="s">
        <v>40</v>
      </c>
      <c r="U4" s="6" t="s">
        <v>41</v>
      </c>
      <c r="V4" s="7">
        <v>53.488</v>
      </c>
      <c r="W4" s="7">
        <v>53.588000000000001</v>
      </c>
      <c r="X4" s="7">
        <v>53.387999999999998</v>
      </c>
      <c r="Y4" s="6" t="s">
        <v>42</v>
      </c>
      <c r="Z4" s="6" t="s">
        <v>43</v>
      </c>
      <c r="AA4" s="8">
        <v>44.3</v>
      </c>
      <c r="AB4" s="6" t="s">
        <v>51</v>
      </c>
      <c r="AC4" s="2">
        <v>3</v>
      </c>
      <c r="AD4" s="11" t="s">
        <v>51</v>
      </c>
      <c r="AE4" s="11" t="s">
        <v>51</v>
      </c>
      <c r="AF4" s="2">
        <v>7</v>
      </c>
      <c r="AG4" s="2" t="s">
        <v>24</v>
      </c>
      <c r="AH4" s="6" t="s">
        <v>44</v>
      </c>
      <c r="AI4" s="2" t="s">
        <v>51</v>
      </c>
      <c r="AJ4" s="2" t="s">
        <v>51</v>
      </c>
      <c r="AK4" s="2" t="s">
        <v>51</v>
      </c>
      <c r="AL4" s="2" t="s">
        <v>51</v>
      </c>
      <c r="AM4" s="2" t="s">
        <v>51</v>
      </c>
      <c r="AN4" s="2" t="s">
        <v>51</v>
      </c>
      <c r="AO4" s="2">
        <v>12.89</v>
      </c>
      <c r="AP4" s="2" t="s">
        <v>51</v>
      </c>
      <c r="AQ4" s="2" t="s">
        <v>45</v>
      </c>
      <c r="AR4" s="2" t="s">
        <v>46</v>
      </c>
      <c r="AS4" s="2" t="s">
        <v>0</v>
      </c>
      <c r="AT4" s="4" t="s">
        <v>47</v>
      </c>
      <c r="AU4" s="2" t="s">
        <v>51</v>
      </c>
      <c r="AV4" s="2" t="s">
        <v>51</v>
      </c>
      <c r="AW4" s="2" t="s">
        <v>51</v>
      </c>
      <c r="AX4" s="3" t="s">
        <v>56</v>
      </c>
    </row>
    <row r="5" spans="1:50" x14ac:dyDescent="0.25">
      <c r="L5" s="9"/>
    </row>
  </sheetData>
  <phoneticPr fontId="3" type="noConversion"/>
  <pageMargins left="0.7" right="0.7" top="0.75" bottom="0.75" header="0.3" footer="0.3"/>
  <pageSetup orientation="portrait" horizontalDpi="4294967292" verticalDpi="4294967292" r:id="rId1"/>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2022-06-26T19:00:34Z</dcterms:modified>
</cp:coreProperties>
</file>