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phnia/Desktop/"/>
    </mc:Choice>
  </mc:AlternateContent>
  <xr:revisionPtr revIDLastSave="0" documentId="8_{7C0114A1-3BA1-2F46-8203-63D00583AA02}" xr6:coauthVersionLast="36" xr6:coauthVersionMax="36" xr10:uidLastSave="{00000000-0000-0000-0000-000000000000}"/>
  <bookViews>
    <workbookView xWindow="8760" yWindow="780" windowWidth="25660" windowHeight="15040" tabRatio="500" xr2:uid="{00000000-000D-0000-FFFF-FFFF00000000}"/>
  </bookViews>
  <sheets>
    <sheet name="stomatal index" sheetId="1" r:id="rId1"/>
  </sheets>
  <calcPr calcId="181029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X21" i="1" l="1"/>
  <c r="W21" i="1"/>
  <c r="J21" i="1"/>
  <c r="I21" i="1"/>
  <c r="H21" i="1"/>
  <c r="G21" i="1"/>
  <c r="F21" i="1"/>
  <c r="E21" i="1"/>
  <c r="X20" i="1"/>
  <c r="W20" i="1"/>
  <c r="J20" i="1"/>
  <c r="I20" i="1"/>
  <c r="H20" i="1"/>
  <c r="G20" i="1"/>
  <c r="F20" i="1"/>
  <c r="E20" i="1"/>
  <c r="X19" i="1"/>
  <c r="W19" i="1"/>
  <c r="J19" i="1"/>
  <c r="I19" i="1"/>
  <c r="H19" i="1"/>
  <c r="G19" i="1"/>
  <c r="F19" i="1"/>
  <c r="E19" i="1"/>
  <c r="X18" i="1"/>
  <c r="W18" i="1"/>
  <c r="J18" i="1"/>
  <c r="I18" i="1"/>
  <c r="H18" i="1"/>
  <c r="G18" i="1"/>
  <c r="F18" i="1"/>
  <c r="E18" i="1"/>
  <c r="X17" i="1"/>
  <c r="W17" i="1"/>
  <c r="J17" i="1"/>
  <c r="I17" i="1"/>
  <c r="H17" i="1"/>
  <c r="G17" i="1"/>
  <c r="F17" i="1"/>
  <c r="E17" i="1"/>
  <c r="X16" i="1"/>
  <c r="W16" i="1"/>
  <c r="J16" i="1"/>
  <c r="I16" i="1"/>
  <c r="H16" i="1"/>
  <c r="G16" i="1"/>
  <c r="F16" i="1"/>
  <c r="E16" i="1"/>
  <c r="X15" i="1"/>
  <c r="W15" i="1"/>
  <c r="J15" i="1"/>
  <c r="I15" i="1"/>
  <c r="H15" i="1"/>
  <c r="G15" i="1"/>
  <c r="F15" i="1"/>
  <c r="E15" i="1"/>
  <c r="X14" i="1"/>
  <c r="W14" i="1"/>
  <c r="J14" i="1"/>
  <c r="I14" i="1"/>
  <c r="H14" i="1"/>
  <c r="G14" i="1"/>
  <c r="F14" i="1"/>
  <c r="E14" i="1"/>
  <c r="X13" i="1"/>
  <c r="W13" i="1"/>
  <c r="J13" i="1"/>
  <c r="I13" i="1"/>
  <c r="H13" i="1"/>
  <c r="G13" i="1"/>
  <c r="F13" i="1"/>
  <c r="E13" i="1"/>
  <c r="X12" i="1"/>
  <c r="W12" i="1"/>
  <c r="J12" i="1"/>
  <c r="I12" i="1"/>
  <c r="H12" i="1"/>
  <c r="G12" i="1"/>
  <c r="F12" i="1"/>
  <c r="E12" i="1"/>
  <c r="X11" i="1"/>
  <c r="W11" i="1"/>
  <c r="J11" i="1"/>
  <c r="I11" i="1"/>
  <c r="H11" i="1"/>
  <c r="G11" i="1"/>
  <c r="F11" i="1"/>
  <c r="E11" i="1"/>
  <c r="X10" i="1"/>
  <c r="W10" i="1"/>
  <c r="J10" i="1"/>
  <c r="I10" i="1"/>
  <c r="H10" i="1"/>
  <c r="G10" i="1"/>
  <c r="F10" i="1"/>
  <c r="E10" i="1"/>
  <c r="X9" i="1"/>
  <c r="W9" i="1"/>
  <c r="J9" i="1"/>
  <c r="I9" i="1"/>
  <c r="H9" i="1"/>
  <c r="G9" i="1"/>
  <c r="F9" i="1"/>
  <c r="E9" i="1"/>
  <c r="X8" i="1"/>
  <c r="W8" i="1"/>
  <c r="J8" i="1"/>
  <c r="I8" i="1"/>
  <c r="H8" i="1"/>
  <c r="G8" i="1"/>
  <c r="F8" i="1"/>
  <c r="E8" i="1"/>
  <c r="X7" i="1"/>
  <c r="W7" i="1"/>
  <c r="J7" i="1"/>
  <c r="I7" i="1"/>
  <c r="H7" i="1"/>
  <c r="G7" i="1"/>
  <c r="F7" i="1"/>
  <c r="E7" i="1"/>
  <c r="X6" i="1"/>
  <c r="W6" i="1"/>
  <c r="J6" i="1"/>
  <c r="I6" i="1"/>
  <c r="H6" i="1"/>
  <c r="G6" i="1"/>
  <c r="F6" i="1"/>
  <c r="E6" i="1"/>
  <c r="X5" i="1"/>
  <c r="W5" i="1"/>
  <c r="J5" i="1"/>
  <c r="I5" i="1"/>
  <c r="H5" i="1"/>
  <c r="G5" i="1"/>
  <c r="F5" i="1"/>
  <c r="E5" i="1"/>
  <c r="X4" i="1"/>
  <c r="W4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<sst xmlns="http://schemas.openxmlformats.org/spreadsheetml/2006/main" count="560" uniqueCount="101">
  <si>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</si>
  <si>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</si>
  <si>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</si>
  <si>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</si>
  <si>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</si>
  <si>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</si>
  <si>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</si>
  <si>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</si>
  <si>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</si>
  <si>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</si>
  <si>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</si>
  <si>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</si>
  <si>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</si>
  <si>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</si>
  <si>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</si>
  <si>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</si>
  <si>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</si>
  <si>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</si>
  <si>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</si>
  <si>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</si>
  <si>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</si>
  <si>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</si>
  <si>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</si>
  <si>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</si>
  <si>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</si>
  <si>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</si>
  <si>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</si>
  <si>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</si>
  <si>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</si>
  <si>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</si>
  <si>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</si>
  <si>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</si>
  <si>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</si>
  <si>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</si>
  <si>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microscope</t>
  </si>
  <si>
    <t>95% confidence intervals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</si>
  <si>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</si>
  <si>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</si>
  <si>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</si>
  <si>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</si>
  <si>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</si>
  <si>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</si>
  <si>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</si>
  <si>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</si>
  <si>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</si>
  <si>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</si>
  <si>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</si>
  <si>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</si>
  <si>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</si>
  <si>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Reference of the data product</t>
  </si>
  <si>
    <t>Paleo Latitude (decimal degree, south negative)</t>
  </si>
  <si>
    <t>Paleo Longitude (decimal degree, west negative)</t>
  </si>
  <si>
    <t>stomata-SD</t>
  </si>
  <si>
    <t>Barclay</t>
  </si>
  <si>
    <t>10.1038/ngeo757</t>
  </si>
  <si>
    <t>Richard S. Barclay</t>
  </si>
  <si>
    <t>BarclayRS@si.edu</t>
  </si>
  <si>
    <t>Barclay, R.S., McElwain, J.C. and Sageman, B.B., 2010. Carbon sequestration activated by a volcanic CO2 pulse during Ocean Anoxic Event 2: Nature Geoscience, v. 3. pp.205-208.</t>
  </si>
  <si>
    <t>RSB0763</t>
  </si>
  <si>
    <t>Lauraceae</t>
  </si>
  <si>
    <t>incertae sedis</t>
  </si>
  <si>
    <t>The Field Museum</t>
  </si>
  <si>
    <t>Mancos Shale</t>
  </si>
  <si>
    <t>Based upon 93.90 (Ma) for the Cenomanian-Turonian boundary (See Meyers et al., 2012 Geology)</t>
  </si>
  <si>
    <t>ammonite biozonation of Cobban</t>
  </si>
  <si>
    <t>250x250</t>
  </si>
  <si>
    <t>Hypodaphnis zenkeri</t>
  </si>
  <si>
    <t>CO2 = (–27.447 × SIfossil) + 559.67 (Barclay et al., 2010)</t>
  </si>
  <si>
    <t>Uncertainties in the fossil SI measurement and the calibration function are included</t>
  </si>
  <si>
    <t>mean</t>
  </si>
  <si>
    <t xml:space="preserve">Error asymmetrical (see Barclay et al., 2010; </t>
  </si>
  <si>
    <t>unmodified</t>
  </si>
  <si>
    <t>MPC14</t>
  </si>
  <si>
    <t>Dakota Formation</t>
  </si>
  <si>
    <t>U/Pb Age</t>
  </si>
  <si>
    <t>radiometric constraints (based upon correlation to the Cenomanian-Turonian Bounday; see Stephen R. Meyers, Sarah E. Siewert, Brad S. Singer, Bradley B. Sageman, Daniel J. Condon, John D. Obradovich, Brian R. Jicha, David A. Sawyer; Intercalibration of radioisotopic and astrochronologic time scales for the Cenomanian-Turonian boundary interval, Western Interior Basin, USA. Geology ; 40 (1): 7–10. doi: https://doi.org/10.1130/G32261.1)</t>
  </si>
  <si>
    <t>Error asymmetrical (see Barclay et al., 2010; Uncertainties in the fossil SI measurement and the calibration function are included</t>
  </si>
  <si>
    <t>MPC32</t>
  </si>
  <si>
    <t>CDR4-17.62A</t>
  </si>
  <si>
    <t>CDR4-10.0A</t>
  </si>
  <si>
    <t>7-11</t>
  </si>
  <si>
    <t>CDR4-6.8A</t>
  </si>
  <si>
    <t>5-12</t>
  </si>
  <si>
    <t>CDR4-5.2A</t>
  </si>
  <si>
    <t>8-10</t>
  </si>
  <si>
    <t>CDR4-2.4A</t>
  </si>
  <si>
    <t>CWC1-m1.2A</t>
  </si>
  <si>
    <t>4-6</t>
  </si>
  <si>
    <t>RSB0749-8.43</t>
  </si>
  <si>
    <t>RSB0749-7.63</t>
  </si>
  <si>
    <t>6-11</t>
  </si>
  <si>
    <t>CWC1-m2.7A</t>
  </si>
  <si>
    <t>RSB0749-1.28</t>
  </si>
  <si>
    <t>CWC2-m18.5-spec.1</t>
  </si>
  <si>
    <t>CWC-m27.7A</t>
  </si>
  <si>
    <t>RSB0730</t>
  </si>
  <si>
    <t>5-10</t>
  </si>
  <si>
    <t>RSB0727</t>
  </si>
  <si>
    <t>5-9</t>
  </si>
  <si>
    <t>RSB0534-9.0A</t>
  </si>
  <si>
    <t>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</si>
</sst>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22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/>
    <xf numFmtId="0" fontId="2" fillId="3" borderId="0" xfId="0" applyFont="1" applyFill="1" applyAlignment="1">
      <alignment vertical="top" wrapText="1"/>
    </xf>
    <xf numFmtId="17" fontId="0" fillId="0" borderId="0" xfId="0" applyNumberFormat="1" applyFill="1" applyBorder="1" applyAlignment="1">
      <alignment horizontal="left"/>
    </xf>
    <xf numFmtId="0" fontId="2" fillId="0" borderId="0" xfId="0" applyFont="1" applyFill="1" applyAlignment="1">
      <alignment wrapText="1"/>
    </xf>
    <xf numFmtId="0" fontId="6" fillId="3" borderId="0" xfId="0" applyFont="1" applyFill="1" applyBorder="1" applyAlignment="1">
      <alignment horizontal="center" vertical="top" wrapText="1"/>
    </xf>
    <xf numFmtId="1" fontId="0" fillId="0" borderId="0" xfId="0" applyNumberForma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49" fontId="7" fillId="0" borderId="0" xfId="0" applyNumberFormat="1" applyFont="1" applyFill="1" applyBorder="1" applyAlignment="1">
      <alignment horizontal="right"/>
    </xf>
    <xf numFmtId="49" fontId="7" fillId="0" borderId="0" xfId="0" applyNumberFormat="1" applyFont="1" applyFill="1" applyBorder="1" applyAlignment="1"/>
    <xf numFmtId="164" fontId="7" fillId="0" borderId="0" xfId="0" applyNumberFormat="1" applyFont="1" applyFill="1"/>
    <xf numFmtId="164" fontId="7" fillId="0" borderId="0" xfId="0" applyNumberFormat="1" applyFont="1" applyFill="1" applyBorder="1" applyAlignment="1"/>
    <xf numFmtId="2" fontId="7" fillId="0" borderId="0" xfId="0" applyNumberFormat="1" applyFont="1" applyFill="1" applyBorder="1" applyAlignment="1"/>
    <xf numFmtId="1" fontId="7" fillId="0" borderId="0" xfId="0" applyNumberFormat="1" applyFont="1" applyFill="1" applyBorder="1" applyAlignment="1"/>
    <xf numFmtId="0" fontId="0" fillId="0" borderId="0" xfId="0" applyFill="1"/>
    <xf numFmtId="0" fontId="7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horizontal="right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947"/>
  <sheetViews>
    <sheetView tabSelected="1" topLeftCell="AO1" workbookViewId="0">
      <selection activeCell="A4" sqref="A4:AX21"/>
    </sheetView>
  </sheetViews>
  <sheetFormatPr baseColWidth="10" defaultColWidth="11" defaultRowHeight="16"/>
  <cols>
    <col min="21" max="21" width="12.1640625" customWidth="1"/>
    <col min="23" max="23" width="12.6640625" customWidth="1"/>
    <col min="24" max="24" width="12.1640625" customWidth="1"/>
    <col min="26" max="26" width="12.6640625" customWidth="1"/>
    <col min="31" max="31" width="12.1640625" customWidth="1"/>
    <col min="32" max="32" width="12.5" customWidth="1"/>
    <col min="38" max="38" width="13.6640625" customWidth="1"/>
    <col min="49" max="49" width="16.1640625" customWidth="1"/>
  </cols>
  <sheetData>
    <row r="3" spans="1:50" s="4" customFormat="1" ht="102">
      <c r="A3" s="6" t="s">
        <v>36</v>
      </c>
      <c r="B3" s="6" t="s">
        <v>37</v>
      </c>
      <c r="C3" s="6" t="s">
        <v>38</v>
      </c>
      <c r="D3" s="6" t="s">
        <v>2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45</v>
      </c>
      <c r="K3" s="2" t="s">
        <v>0</v>
      </c>
      <c r="L3" s="2" t="s">
        <v>48</v>
      </c>
      <c r="M3" s="2" t="s">
        <v>49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46</v>
      </c>
      <c r="AB3" s="2" t="s">
        <v>47</v>
      </c>
      <c r="AC3" s="9" t="s">
        <v>50</v>
      </c>
      <c r="AD3" s="9" t="s">
        <v>51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 s="8" customFormat="1">
      <c r="A4" t="s">
        <v>52</v>
      </c>
      <c r="B4" t="s">
        <v>53</v>
      </c>
      <c r="C4">
        <v>2010</v>
      </c>
      <c r="D4" s="1" t="s">
        <v>54</v>
      </c>
      <c r="E4">
        <f t="shared" ref="E4:E21" si="0">V4*1000</f>
        <v>93400</v>
      </c>
      <c r="F4">
        <f t="shared" ref="F4:F21" si="1">(W4-V4)*1000</f>
        <v>500</v>
      </c>
      <c r="G4">
        <f t="shared" ref="G4:G21" si="2">(V4-X4)*1000</f>
        <v>500</v>
      </c>
      <c r="H4" s="10">
        <f>AR4</f>
        <v>318</v>
      </c>
      <c r="I4" s="10">
        <f>AU4-AR4</f>
        <v>11.766246048550784</v>
      </c>
      <c r="J4" s="10">
        <f>AR4-AT4</f>
        <v>15.115608246254055</v>
      </c>
      <c r="K4" s="11" t="s">
        <v>55</v>
      </c>
      <c r="L4" s="7" t="s">
        <v>56</v>
      </c>
      <c r="M4" s="11" t="s">
        <v>57</v>
      </c>
      <c r="N4" s="1" t="s">
        <v>54</v>
      </c>
      <c r="O4" s="11" t="s">
        <v>58</v>
      </c>
      <c r="P4" s="11" t="s">
        <v>59</v>
      </c>
      <c r="Q4" s="11" t="s">
        <v>60</v>
      </c>
      <c r="R4" s="11" t="s">
        <v>60</v>
      </c>
      <c r="S4" s="11" t="s">
        <v>61</v>
      </c>
      <c r="T4" s="11" t="s">
        <v>62</v>
      </c>
      <c r="U4" s="11">
        <v>74.900000000000006</v>
      </c>
      <c r="V4" s="11">
        <v>93.4</v>
      </c>
      <c r="W4" s="11">
        <f>V4+0.5</f>
        <v>93.9</v>
      </c>
      <c r="X4" s="11">
        <f>V4-0.5</f>
        <v>92.9</v>
      </c>
      <c r="Y4" s="11" t="s">
        <v>63</v>
      </c>
      <c r="Z4" s="11" t="s">
        <v>64</v>
      </c>
      <c r="AA4" s="12">
        <v>34.614429000000001</v>
      </c>
      <c r="AB4" s="11">
        <v>-108.786941</v>
      </c>
      <c r="AC4" s="5" t="s">
        <v>44</v>
      </c>
      <c r="AD4" s="5" t="s">
        <v>44</v>
      </c>
      <c r="AE4" s="13">
        <v>6</v>
      </c>
      <c r="AF4" s="14">
        <v>1</v>
      </c>
      <c r="AG4" s="11" t="s">
        <v>34</v>
      </c>
      <c r="AH4" s="11" t="s">
        <v>65</v>
      </c>
      <c r="AI4" s="15">
        <v>72.5</v>
      </c>
      <c r="AJ4" s="16">
        <v>219.67</v>
      </c>
      <c r="AK4" s="16">
        <v>290</v>
      </c>
      <c r="AL4" s="17">
        <v>8.8433075942290404</v>
      </c>
      <c r="AM4" s="16">
        <v>7.71</v>
      </c>
      <c r="AN4" s="17">
        <v>0.52242709168237644</v>
      </c>
      <c r="AO4" s="11" t="s">
        <v>66</v>
      </c>
      <c r="AP4" s="11" t="s">
        <v>67</v>
      </c>
      <c r="AQ4" s="11" t="s">
        <v>68</v>
      </c>
      <c r="AR4" s="18">
        <v>318</v>
      </c>
      <c r="AS4" s="11" t="s">
        <v>69</v>
      </c>
      <c r="AT4" s="18">
        <v>302.88439175374594</v>
      </c>
      <c r="AU4" s="18">
        <v>329.76624604855078</v>
      </c>
      <c r="AV4" s="11" t="s">
        <v>35</v>
      </c>
      <c r="AW4" s="11" t="s">
        <v>70</v>
      </c>
      <c r="AX4" s="11" t="s">
        <v>71</v>
      </c>
    </row>
    <row r="5" spans="1:50">
      <c r="A5" t="s">
        <v>52</v>
      </c>
      <c r="B5" t="s">
        <v>53</v>
      </c>
      <c r="C5">
        <v>2010</v>
      </c>
      <c r="D5" s="1" t="s">
        <v>54</v>
      </c>
      <c r="E5">
        <f t="shared" si="0"/>
        <v>93900</v>
      </c>
      <c r="F5">
        <f t="shared" si="1"/>
        <v>140.00000000000057</v>
      </c>
      <c r="G5">
        <f t="shared" si="2"/>
        <v>140.00000000000057</v>
      </c>
      <c r="H5" s="10">
        <f t="shared" ref="H5:H21" si="3">AR5</f>
        <v>405</v>
      </c>
      <c r="I5" s="10">
        <f t="shared" ref="I5:I21" si="4">AU5-AR5</f>
        <v>141.57647287876989</v>
      </c>
      <c r="J5" s="10">
        <f t="shared" ref="J5:J21" si="5">AR5-AT5</f>
        <v>43.160935215912332</v>
      </c>
      <c r="K5" s="11" t="s">
        <v>55</v>
      </c>
      <c r="L5" s="7" t="s">
        <v>56</v>
      </c>
      <c r="M5" s="11" t="s">
        <v>57</v>
      </c>
      <c r="N5" s="1" t="s">
        <v>54</v>
      </c>
      <c r="O5" s="11" t="s">
        <v>72</v>
      </c>
      <c r="P5" s="11" t="s">
        <v>59</v>
      </c>
      <c r="Q5" s="11" t="s">
        <v>60</v>
      </c>
      <c r="R5" s="11" t="s">
        <v>60</v>
      </c>
      <c r="S5" s="11" t="s">
        <v>61</v>
      </c>
      <c r="T5" s="11" t="s">
        <v>73</v>
      </c>
      <c r="U5" s="11">
        <v>29.9</v>
      </c>
      <c r="V5" s="17">
        <v>93.9</v>
      </c>
      <c r="W5" s="11">
        <f>V5+0.14</f>
        <v>94.04</v>
      </c>
      <c r="X5" s="11">
        <f>V5-0.14</f>
        <v>93.76</v>
      </c>
      <c r="Y5" s="11" t="s">
        <v>74</v>
      </c>
      <c r="Z5" s="11" t="s">
        <v>75</v>
      </c>
      <c r="AA5" s="11">
        <v>37.657299999999999</v>
      </c>
      <c r="AB5" s="11">
        <v>-112.968808</v>
      </c>
      <c r="AC5" s="5" t="s">
        <v>44</v>
      </c>
      <c r="AD5" s="5" t="s">
        <v>44</v>
      </c>
      <c r="AE5" s="13">
        <v>5</v>
      </c>
      <c r="AF5" s="14">
        <v>1</v>
      </c>
      <c r="AG5" s="11" t="s">
        <v>34</v>
      </c>
      <c r="AH5" s="11" t="s">
        <v>65</v>
      </c>
      <c r="AI5" s="15">
        <v>85.5</v>
      </c>
      <c r="AJ5" s="16">
        <v>327.2</v>
      </c>
      <c r="AK5" s="16">
        <v>342</v>
      </c>
      <c r="AL5" s="17">
        <v>6.6204164437582929</v>
      </c>
      <c r="AM5" s="16">
        <v>18.649999999999999</v>
      </c>
      <c r="AN5" s="17">
        <v>0.69830215135594975</v>
      </c>
      <c r="AO5" s="11" t="s">
        <v>66</v>
      </c>
      <c r="AP5" s="11" t="s">
        <v>67</v>
      </c>
      <c r="AQ5" s="11" t="s">
        <v>76</v>
      </c>
      <c r="AR5" s="18">
        <v>405</v>
      </c>
      <c r="AS5" s="11" t="s">
        <v>69</v>
      </c>
      <c r="AT5" s="18">
        <v>361.83906478408767</v>
      </c>
      <c r="AU5" s="18">
        <v>546.57647287876989</v>
      </c>
      <c r="AV5" s="11" t="s">
        <v>35</v>
      </c>
      <c r="AW5" s="11" t="s">
        <v>70</v>
      </c>
      <c r="AX5" s="11" t="s">
        <v>71</v>
      </c>
    </row>
    <row r="6" spans="1:50">
      <c r="A6" t="s">
        <v>52</v>
      </c>
      <c r="B6" t="s">
        <v>53</v>
      </c>
      <c r="C6">
        <v>2010</v>
      </c>
      <c r="D6" s="1" t="s">
        <v>54</v>
      </c>
      <c r="E6">
        <f t="shared" si="0"/>
        <v>93900</v>
      </c>
      <c r="F6">
        <f t="shared" si="1"/>
        <v>140.00000000000057</v>
      </c>
      <c r="G6">
        <f t="shared" si="2"/>
        <v>140.00000000000057</v>
      </c>
      <c r="H6" s="10">
        <f t="shared" si="3"/>
        <v>397</v>
      </c>
      <c r="I6" s="10">
        <f t="shared" si="4"/>
        <v>121.77140136908861</v>
      </c>
      <c r="J6" s="10">
        <f t="shared" si="5"/>
        <v>36.327379497663742</v>
      </c>
      <c r="K6" s="11" t="s">
        <v>55</v>
      </c>
      <c r="L6" s="7" t="s">
        <v>56</v>
      </c>
      <c r="M6" s="11" t="s">
        <v>57</v>
      </c>
      <c r="N6" s="1" t="s">
        <v>54</v>
      </c>
      <c r="O6" s="11" t="s">
        <v>77</v>
      </c>
      <c r="P6" s="11" t="s">
        <v>59</v>
      </c>
      <c r="Q6" s="11" t="s">
        <v>60</v>
      </c>
      <c r="R6" s="11" t="s">
        <v>60</v>
      </c>
      <c r="S6" s="11" t="s">
        <v>61</v>
      </c>
      <c r="T6" s="11" t="s">
        <v>73</v>
      </c>
      <c r="U6" s="11">
        <v>20.399999999999999</v>
      </c>
      <c r="V6" s="17">
        <v>93.9</v>
      </c>
      <c r="W6" s="11">
        <f t="shared" ref="W6:W21" si="6">V6+0.14</f>
        <v>94.04</v>
      </c>
      <c r="X6" s="11">
        <f t="shared" ref="X6:X21" si="7">V6-0.14</f>
        <v>93.76</v>
      </c>
      <c r="Y6" s="11" t="s">
        <v>74</v>
      </c>
      <c r="Z6" s="11" t="s">
        <v>75</v>
      </c>
      <c r="AA6" s="19" t="s">
        <v>44</v>
      </c>
      <c r="AB6" s="11" t="s">
        <v>44</v>
      </c>
      <c r="AC6" s="5" t="s">
        <v>44</v>
      </c>
      <c r="AD6" s="5" t="s">
        <v>44</v>
      </c>
      <c r="AE6" s="13">
        <v>7</v>
      </c>
      <c r="AF6" s="20">
        <v>1</v>
      </c>
      <c r="AG6" s="11" t="s">
        <v>34</v>
      </c>
      <c r="AH6" s="11" t="s">
        <v>65</v>
      </c>
      <c r="AI6" s="15">
        <v>32.572499999999998</v>
      </c>
      <c r="AJ6" s="16">
        <v>111</v>
      </c>
      <c r="AK6" s="16">
        <v>130.29</v>
      </c>
      <c r="AL6" s="17">
        <v>6.823076640086029</v>
      </c>
      <c r="AM6" s="16">
        <v>8.1300000000000008</v>
      </c>
      <c r="AN6" s="17">
        <v>0.86422624605152487</v>
      </c>
      <c r="AO6" s="11" t="s">
        <v>66</v>
      </c>
      <c r="AP6" s="11" t="s">
        <v>67</v>
      </c>
      <c r="AQ6" s="11" t="s">
        <v>76</v>
      </c>
      <c r="AR6" s="18">
        <v>397</v>
      </c>
      <c r="AS6" s="11" t="s">
        <v>69</v>
      </c>
      <c r="AT6" s="18">
        <v>360.67262050233626</v>
      </c>
      <c r="AU6" s="18">
        <v>518.77140136908861</v>
      </c>
      <c r="AV6" s="11" t="s">
        <v>35</v>
      </c>
      <c r="AW6" s="11" t="s">
        <v>70</v>
      </c>
      <c r="AX6" s="11" t="s">
        <v>71</v>
      </c>
    </row>
    <row r="7" spans="1:50">
      <c r="A7" t="s">
        <v>52</v>
      </c>
      <c r="B7" t="s">
        <v>53</v>
      </c>
      <c r="C7">
        <v>2010</v>
      </c>
      <c r="D7" s="1" t="s">
        <v>54</v>
      </c>
      <c r="E7">
        <f t="shared" si="0"/>
        <v>93900</v>
      </c>
      <c r="F7">
        <f t="shared" si="1"/>
        <v>140.00000000000057</v>
      </c>
      <c r="G7">
        <f t="shared" si="2"/>
        <v>140.00000000000057</v>
      </c>
      <c r="H7" s="10">
        <f t="shared" si="3"/>
        <v>318</v>
      </c>
      <c r="I7" s="10">
        <f t="shared" si="4"/>
        <v>16.219422822014621</v>
      </c>
      <c r="J7" s="10">
        <f t="shared" si="5"/>
        <v>11.218149114636162</v>
      </c>
      <c r="K7" s="11" t="s">
        <v>55</v>
      </c>
      <c r="L7" s="7" t="s">
        <v>56</v>
      </c>
      <c r="M7" s="11" t="s">
        <v>57</v>
      </c>
      <c r="N7" s="1" t="s">
        <v>54</v>
      </c>
      <c r="O7" s="11" t="s">
        <v>78</v>
      </c>
      <c r="P7" s="11" t="s">
        <v>59</v>
      </c>
      <c r="Q7" s="11" t="s">
        <v>60</v>
      </c>
      <c r="R7" s="11" t="s">
        <v>60</v>
      </c>
      <c r="S7" s="11" t="s">
        <v>61</v>
      </c>
      <c r="T7" s="11" t="s">
        <v>73</v>
      </c>
      <c r="U7" s="11">
        <v>17.62</v>
      </c>
      <c r="V7" s="17">
        <v>93.9</v>
      </c>
      <c r="W7" s="11">
        <f t="shared" si="6"/>
        <v>94.04</v>
      </c>
      <c r="X7" s="11">
        <f t="shared" si="7"/>
        <v>93.76</v>
      </c>
      <c r="Y7" s="11" t="s">
        <v>74</v>
      </c>
      <c r="Z7" s="11" t="s">
        <v>75</v>
      </c>
      <c r="AA7" s="19" t="s">
        <v>44</v>
      </c>
      <c r="AB7" s="11" t="s">
        <v>44</v>
      </c>
      <c r="AC7" s="5" t="s">
        <v>44</v>
      </c>
      <c r="AD7" s="5" t="s">
        <v>44</v>
      </c>
      <c r="AE7" s="13">
        <v>5</v>
      </c>
      <c r="AF7" s="20">
        <v>1</v>
      </c>
      <c r="AG7" s="11" t="s">
        <v>34</v>
      </c>
      <c r="AH7" s="11" t="s">
        <v>65</v>
      </c>
      <c r="AI7" s="15">
        <v>47.2</v>
      </c>
      <c r="AJ7" s="16">
        <v>123</v>
      </c>
      <c r="AK7" s="16">
        <v>188.8</v>
      </c>
      <c r="AL7" s="17">
        <v>8.7630228827301586</v>
      </c>
      <c r="AM7" s="16">
        <v>18.52</v>
      </c>
      <c r="AN7" s="17">
        <v>1.6481192634455868</v>
      </c>
      <c r="AO7" s="11" t="s">
        <v>66</v>
      </c>
      <c r="AP7" s="11" t="s">
        <v>67</v>
      </c>
      <c r="AQ7" s="11" t="s">
        <v>76</v>
      </c>
      <c r="AR7" s="18">
        <v>318</v>
      </c>
      <c r="AS7" s="11" t="s">
        <v>69</v>
      </c>
      <c r="AT7" s="18">
        <v>306.78185088536384</v>
      </c>
      <c r="AU7" s="18">
        <v>334.21942282201462</v>
      </c>
      <c r="AV7" s="11" t="s">
        <v>35</v>
      </c>
      <c r="AW7" s="11" t="s">
        <v>70</v>
      </c>
      <c r="AX7" s="11" t="s">
        <v>71</v>
      </c>
    </row>
    <row r="8" spans="1:50">
      <c r="A8" t="s">
        <v>52</v>
      </c>
      <c r="B8" t="s">
        <v>53</v>
      </c>
      <c r="C8">
        <v>2010</v>
      </c>
      <c r="D8" s="1" t="s">
        <v>54</v>
      </c>
      <c r="E8">
        <f t="shared" si="0"/>
        <v>93900</v>
      </c>
      <c r="F8">
        <f t="shared" si="1"/>
        <v>140.00000000000057</v>
      </c>
      <c r="G8">
        <f t="shared" si="2"/>
        <v>140.00000000000057</v>
      </c>
      <c r="H8" s="10">
        <f t="shared" si="3"/>
        <v>440</v>
      </c>
      <c r="I8" s="10">
        <f t="shared" si="4"/>
        <v>248.25179182060401</v>
      </c>
      <c r="J8" s="10">
        <f t="shared" si="5"/>
        <v>83.073763560370935</v>
      </c>
      <c r="K8" s="11" t="s">
        <v>55</v>
      </c>
      <c r="L8" s="7" t="s">
        <v>56</v>
      </c>
      <c r="M8" s="11" t="s">
        <v>57</v>
      </c>
      <c r="N8" s="1" t="s">
        <v>54</v>
      </c>
      <c r="O8" s="11" t="s">
        <v>79</v>
      </c>
      <c r="P8" s="11" t="s">
        <v>59</v>
      </c>
      <c r="Q8" s="11" t="s">
        <v>60</v>
      </c>
      <c r="R8" s="11" t="s">
        <v>60</v>
      </c>
      <c r="S8" s="11" t="s">
        <v>61</v>
      </c>
      <c r="T8" s="11" t="s">
        <v>73</v>
      </c>
      <c r="U8" s="11">
        <v>10</v>
      </c>
      <c r="V8" s="17">
        <v>93.9</v>
      </c>
      <c r="W8" s="11">
        <f t="shared" si="6"/>
        <v>94.04</v>
      </c>
      <c r="X8" s="11">
        <f t="shared" si="7"/>
        <v>93.76</v>
      </c>
      <c r="Y8" s="11" t="s">
        <v>74</v>
      </c>
      <c r="Z8" s="11" t="s">
        <v>75</v>
      </c>
      <c r="AA8" s="19" t="s">
        <v>44</v>
      </c>
      <c r="AB8" s="11" t="s">
        <v>44</v>
      </c>
      <c r="AC8" s="5" t="s">
        <v>44</v>
      </c>
      <c r="AD8" s="5" t="s">
        <v>44</v>
      </c>
      <c r="AE8" s="13" t="s">
        <v>80</v>
      </c>
      <c r="AF8" s="20">
        <v>4</v>
      </c>
      <c r="AG8" s="11" t="s">
        <v>34</v>
      </c>
      <c r="AH8" s="11" t="s">
        <v>65</v>
      </c>
      <c r="AI8" s="15">
        <v>66.150000000000006</v>
      </c>
      <c r="AJ8" s="16">
        <v>303.7</v>
      </c>
      <c r="AK8" s="16">
        <v>264.60000000000002</v>
      </c>
      <c r="AL8" s="17">
        <v>5.7277289539369907</v>
      </c>
      <c r="AM8" s="16">
        <v>8.3000000000000007</v>
      </c>
      <c r="AN8" s="17">
        <v>0.64254880086792543</v>
      </c>
      <c r="AO8" s="11" t="s">
        <v>66</v>
      </c>
      <c r="AP8" s="11" t="s">
        <v>67</v>
      </c>
      <c r="AQ8" s="11" t="s">
        <v>76</v>
      </c>
      <c r="AR8" s="18">
        <v>440</v>
      </c>
      <c r="AS8" s="11" t="s">
        <v>69</v>
      </c>
      <c r="AT8" s="18">
        <v>356.92623643962906</v>
      </c>
      <c r="AU8" s="18">
        <v>688.25179182060401</v>
      </c>
      <c r="AV8" s="11" t="s">
        <v>35</v>
      </c>
      <c r="AW8" s="11" t="s">
        <v>70</v>
      </c>
      <c r="AX8" s="11" t="s">
        <v>71</v>
      </c>
    </row>
    <row r="9" spans="1:50">
      <c r="A9" t="s">
        <v>52</v>
      </c>
      <c r="B9" t="s">
        <v>53</v>
      </c>
      <c r="C9">
        <v>2010</v>
      </c>
      <c r="D9" s="1" t="s">
        <v>54</v>
      </c>
      <c r="E9">
        <f t="shared" si="0"/>
        <v>93900</v>
      </c>
      <c r="F9">
        <f t="shared" si="1"/>
        <v>140.00000000000057</v>
      </c>
      <c r="G9">
        <f t="shared" si="2"/>
        <v>140.00000000000057</v>
      </c>
      <c r="H9" s="10">
        <f t="shared" si="3"/>
        <v>389</v>
      </c>
      <c r="I9" s="10">
        <f t="shared" si="4"/>
        <v>110.57801813958577</v>
      </c>
      <c r="J9" s="10">
        <f t="shared" si="5"/>
        <v>29.7047105691517</v>
      </c>
      <c r="K9" s="11" t="s">
        <v>55</v>
      </c>
      <c r="L9" s="7" t="s">
        <v>56</v>
      </c>
      <c r="M9" s="11" t="s">
        <v>57</v>
      </c>
      <c r="N9" s="1" t="s">
        <v>54</v>
      </c>
      <c r="O9" s="11" t="s">
        <v>81</v>
      </c>
      <c r="P9" s="11" t="s">
        <v>59</v>
      </c>
      <c r="Q9" s="11" t="s">
        <v>60</v>
      </c>
      <c r="R9" s="11" t="s">
        <v>60</v>
      </c>
      <c r="S9" s="11" t="s">
        <v>61</v>
      </c>
      <c r="T9" s="11" t="s">
        <v>73</v>
      </c>
      <c r="U9" s="11">
        <v>6.8</v>
      </c>
      <c r="V9" s="17">
        <v>93.9</v>
      </c>
      <c r="W9" s="11">
        <f t="shared" si="6"/>
        <v>94.04</v>
      </c>
      <c r="X9" s="11">
        <f t="shared" si="7"/>
        <v>93.76</v>
      </c>
      <c r="Y9" s="11" t="s">
        <v>74</v>
      </c>
      <c r="Z9" s="11" t="s">
        <v>75</v>
      </c>
      <c r="AA9" s="19" t="s">
        <v>44</v>
      </c>
      <c r="AB9" s="11" t="s">
        <v>44</v>
      </c>
      <c r="AC9" s="5" t="s">
        <v>44</v>
      </c>
      <c r="AD9" s="5" t="s">
        <v>44</v>
      </c>
      <c r="AE9" s="13" t="s">
        <v>82</v>
      </c>
      <c r="AF9" s="20">
        <v>9</v>
      </c>
      <c r="AG9" s="11" t="s">
        <v>34</v>
      </c>
      <c r="AH9" s="11" t="s">
        <v>65</v>
      </c>
      <c r="AI9" s="15">
        <v>66.25</v>
      </c>
      <c r="AJ9" s="16">
        <v>242.4</v>
      </c>
      <c r="AK9" s="16">
        <v>265</v>
      </c>
      <c r="AL9" s="17">
        <v>6.970344245467869</v>
      </c>
      <c r="AM9" s="16">
        <v>14.5</v>
      </c>
      <c r="AN9" s="17">
        <v>0.7385604618970294</v>
      </c>
      <c r="AO9" s="11" t="s">
        <v>66</v>
      </c>
      <c r="AP9" s="11" t="s">
        <v>67</v>
      </c>
      <c r="AQ9" s="11" t="s">
        <v>76</v>
      </c>
      <c r="AR9" s="18">
        <v>389</v>
      </c>
      <c r="AS9" s="11" t="s">
        <v>69</v>
      </c>
      <c r="AT9" s="18">
        <v>359.2952894308483</v>
      </c>
      <c r="AU9" s="18">
        <v>499.57801813958577</v>
      </c>
      <c r="AV9" s="11" t="s">
        <v>35</v>
      </c>
      <c r="AW9" s="11" t="s">
        <v>70</v>
      </c>
      <c r="AX9" s="11" t="s">
        <v>71</v>
      </c>
    </row>
    <row r="10" spans="1:50">
      <c r="A10" t="s">
        <v>52</v>
      </c>
      <c r="B10" t="s">
        <v>53</v>
      </c>
      <c r="C10">
        <v>2010</v>
      </c>
      <c r="D10" s="1" t="s">
        <v>54</v>
      </c>
      <c r="E10">
        <f t="shared" si="0"/>
        <v>93900</v>
      </c>
      <c r="F10">
        <f t="shared" si="1"/>
        <v>140.00000000000057</v>
      </c>
      <c r="G10">
        <f t="shared" si="2"/>
        <v>140.00000000000057</v>
      </c>
      <c r="H10" s="10">
        <f t="shared" si="3"/>
        <v>461</v>
      </c>
      <c r="I10" s="10">
        <f t="shared" si="4"/>
        <v>334.48764098472748</v>
      </c>
      <c r="J10" s="10">
        <f t="shared" si="5"/>
        <v>115.8343178559802</v>
      </c>
      <c r="K10" s="11" t="s">
        <v>55</v>
      </c>
      <c r="L10" s="7" t="s">
        <v>56</v>
      </c>
      <c r="M10" s="11" t="s">
        <v>57</v>
      </c>
      <c r="N10" s="1" t="s">
        <v>54</v>
      </c>
      <c r="O10" s="11" t="s">
        <v>83</v>
      </c>
      <c r="P10" s="11" t="s">
        <v>59</v>
      </c>
      <c r="Q10" s="11" t="s">
        <v>60</v>
      </c>
      <c r="R10" s="11" t="s">
        <v>60</v>
      </c>
      <c r="S10" s="11" t="s">
        <v>61</v>
      </c>
      <c r="T10" s="11" t="s">
        <v>73</v>
      </c>
      <c r="U10" s="11">
        <v>5.2</v>
      </c>
      <c r="V10" s="17">
        <v>93.9</v>
      </c>
      <c r="W10" s="11">
        <f t="shared" si="6"/>
        <v>94.04</v>
      </c>
      <c r="X10" s="11">
        <f t="shared" si="7"/>
        <v>93.76</v>
      </c>
      <c r="Y10" s="11" t="s">
        <v>74</v>
      </c>
      <c r="Z10" s="11" t="s">
        <v>75</v>
      </c>
      <c r="AA10" s="19" t="s">
        <v>44</v>
      </c>
      <c r="AB10" s="11" t="s">
        <v>44</v>
      </c>
      <c r="AC10" s="5" t="s">
        <v>44</v>
      </c>
      <c r="AD10" s="5" t="s">
        <v>44</v>
      </c>
      <c r="AE10" s="13" t="s">
        <v>84</v>
      </c>
      <c r="AF10" s="20">
        <v>2</v>
      </c>
      <c r="AG10" s="11" t="s">
        <v>34</v>
      </c>
      <c r="AH10" s="11" t="s">
        <v>65</v>
      </c>
      <c r="AI10" s="15">
        <v>52.375</v>
      </c>
      <c r="AJ10" s="16">
        <v>260.2</v>
      </c>
      <c r="AK10" s="16">
        <v>209.5</v>
      </c>
      <c r="AL10" s="17">
        <v>5.1556970762572973</v>
      </c>
      <c r="AM10" s="16">
        <v>8</v>
      </c>
      <c r="AN10" s="17">
        <v>0.7447098817834954</v>
      </c>
      <c r="AO10" s="11" t="s">
        <v>66</v>
      </c>
      <c r="AP10" s="11" t="s">
        <v>67</v>
      </c>
      <c r="AQ10" s="11" t="s">
        <v>76</v>
      </c>
      <c r="AR10" s="18">
        <v>461</v>
      </c>
      <c r="AS10" s="11" t="s">
        <v>69</v>
      </c>
      <c r="AT10" s="18">
        <v>345.1656821440198</v>
      </c>
      <c r="AU10" s="18">
        <v>795.48764098472748</v>
      </c>
      <c r="AV10" s="11" t="s">
        <v>35</v>
      </c>
      <c r="AW10" s="11" t="s">
        <v>70</v>
      </c>
      <c r="AX10" s="11" t="s">
        <v>71</v>
      </c>
    </row>
    <row r="11" spans="1:50">
      <c r="A11" t="s">
        <v>52</v>
      </c>
      <c r="B11" t="s">
        <v>53</v>
      </c>
      <c r="C11">
        <v>2010</v>
      </c>
      <c r="D11" s="1" t="s">
        <v>54</v>
      </c>
      <c r="E11">
        <f t="shared" si="0"/>
        <v>93900</v>
      </c>
      <c r="F11">
        <f t="shared" si="1"/>
        <v>140.00000000000057</v>
      </c>
      <c r="G11">
        <f t="shared" si="2"/>
        <v>140.00000000000057</v>
      </c>
      <c r="H11" s="10">
        <f t="shared" si="3"/>
        <v>485</v>
      </c>
      <c r="I11" s="10">
        <f t="shared" si="4"/>
        <v>418.43126901344112</v>
      </c>
      <c r="J11" s="10">
        <f t="shared" si="5"/>
        <v>156.24572553743684</v>
      </c>
      <c r="K11" s="11" t="s">
        <v>55</v>
      </c>
      <c r="L11" s="7" t="s">
        <v>56</v>
      </c>
      <c r="M11" s="11" t="s">
        <v>57</v>
      </c>
      <c r="N11" s="1" t="s">
        <v>54</v>
      </c>
      <c r="O11" s="11" t="s">
        <v>85</v>
      </c>
      <c r="P11" s="11" t="s">
        <v>59</v>
      </c>
      <c r="Q11" s="11" t="s">
        <v>60</v>
      </c>
      <c r="R11" s="11" t="s">
        <v>60</v>
      </c>
      <c r="S11" s="11" t="s">
        <v>61</v>
      </c>
      <c r="T11" s="11" t="s">
        <v>73</v>
      </c>
      <c r="U11" s="11">
        <v>2.4</v>
      </c>
      <c r="V11" s="17">
        <v>93.9</v>
      </c>
      <c r="W11" s="11">
        <f t="shared" si="6"/>
        <v>94.04</v>
      </c>
      <c r="X11" s="11">
        <f t="shared" si="7"/>
        <v>93.76</v>
      </c>
      <c r="Y11" s="11" t="s">
        <v>74</v>
      </c>
      <c r="Z11" s="11" t="s">
        <v>75</v>
      </c>
      <c r="AA11" s="19" t="s">
        <v>44</v>
      </c>
      <c r="AB11" s="11" t="s">
        <v>44</v>
      </c>
      <c r="AC11" s="5" t="s">
        <v>44</v>
      </c>
      <c r="AD11" s="5" t="s">
        <v>44</v>
      </c>
      <c r="AE11" s="21">
        <v>7</v>
      </c>
      <c r="AF11" s="20">
        <v>2</v>
      </c>
      <c r="AG11" s="11" t="s">
        <v>34</v>
      </c>
      <c r="AH11" s="11" t="s">
        <v>65</v>
      </c>
      <c r="AI11" s="15">
        <v>42.975000000000001</v>
      </c>
      <c r="AJ11" s="16">
        <v>275.60000000000002</v>
      </c>
      <c r="AK11" s="16">
        <v>171.9</v>
      </c>
      <c r="AL11" s="17">
        <v>4.638834984855694</v>
      </c>
      <c r="AM11" s="16">
        <v>8</v>
      </c>
      <c r="AN11" s="17">
        <v>0.60519935650031187</v>
      </c>
      <c r="AO11" s="11" t="s">
        <v>66</v>
      </c>
      <c r="AP11" s="11" t="s">
        <v>67</v>
      </c>
      <c r="AQ11" s="11" t="s">
        <v>76</v>
      </c>
      <c r="AR11" s="18">
        <v>485</v>
      </c>
      <c r="AS11" s="11" t="s">
        <v>69</v>
      </c>
      <c r="AT11" s="18">
        <v>328.75427446256316</v>
      </c>
      <c r="AU11" s="18">
        <v>903.43126901344112</v>
      </c>
      <c r="AV11" s="11" t="s">
        <v>35</v>
      </c>
      <c r="AW11" s="11" t="s">
        <v>70</v>
      </c>
      <c r="AX11" s="11" t="s">
        <v>71</v>
      </c>
    </row>
    <row r="12" spans="1:50">
      <c r="A12" t="s">
        <v>52</v>
      </c>
      <c r="B12" t="s">
        <v>53</v>
      </c>
      <c r="C12">
        <v>2010</v>
      </c>
      <c r="D12" s="1" t="s">
        <v>54</v>
      </c>
      <c r="E12">
        <f t="shared" si="0"/>
        <v>93900</v>
      </c>
      <c r="F12">
        <f t="shared" si="1"/>
        <v>140.00000000000057</v>
      </c>
      <c r="G12">
        <f t="shared" si="2"/>
        <v>140.00000000000057</v>
      </c>
      <c r="H12" s="10">
        <f t="shared" si="3"/>
        <v>417</v>
      </c>
      <c r="I12" s="10">
        <f t="shared" si="4"/>
        <v>183.56427477622378</v>
      </c>
      <c r="J12" s="10">
        <f t="shared" si="5"/>
        <v>55.185991371893863</v>
      </c>
      <c r="K12" s="11" t="s">
        <v>55</v>
      </c>
      <c r="L12" s="7" t="s">
        <v>56</v>
      </c>
      <c r="M12" s="11" t="s">
        <v>57</v>
      </c>
      <c r="N12" s="1" t="s">
        <v>54</v>
      </c>
      <c r="O12" s="11" t="s">
        <v>86</v>
      </c>
      <c r="P12" s="11" t="s">
        <v>59</v>
      </c>
      <c r="Q12" s="11" t="s">
        <v>60</v>
      </c>
      <c r="R12" s="11" t="s">
        <v>60</v>
      </c>
      <c r="S12" s="11" t="s">
        <v>61</v>
      </c>
      <c r="T12" s="11" t="s">
        <v>73</v>
      </c>
      <c r="U12" s="11">
        <v>-1.2</v>
      </c>
      <c r="V12" s="17">
        <v>93.9</v>
      </c>
      <c r="W12" s="11">
        <f t="shared" si="6"/>
        <v>94.04</v>
      </c>
      <c r="X12" s="11">
        <f t="shared" si="7"/>
        <v>93.76</v>
      </c>
      <c r="Y12" s="11" t="s">
        <v>74</v>
      </c>
      <c r="Z12" s="11" t="s">
        <v>75</v>
      </c>
      <c r="AA12" s="19" t="s">
        <v>44</v>
      </c>
      <c r="AB12" s="11" t="s">
        <v>44</v>
      </c>
      <c r="AC12" s="5" t="s">
        <v>44</v>
      </c>
      <c r="AD12" s="5" t="s">
        <v>44</v>
      </c>
      <c r="AE12" s="13" t="s">
        <v>87</v>
      </c>
      <c r="AF12" s="20">
        <v>3</v>
      </c>
      <c r="AG12" s="11" t="s">
        <v>34</v>
      </c>
      <c r="AH12" s="11" t="s">
        <v>65</v>
      </c>
      <c r="AI12" s="15">
        <v>22.725000000000001</v>
      </c>
      <c r="AJ12" s="16">
        <v>267.39999999999998</v>
      </c>
      <c r="AK12" s="16">
        <v>90.9</v>
      </c>
      <c r="AL12" s="17">
        <v>6.2564354687490935</v>
      </c>
      <c r="AM12" s="16">
        <v>5.7</v>
      </c>
      <c r="AN12" s="17">
        <v>0.56055645448046476</v>
      </c>
      <c r="AO12" s="11" t="s">
        <v>66</v>
      </c>
      <c r="AP12" s="11" t="s">
        <v>67</v>
      </c>
      <c r="AQ12" s="11" t="s">
        <v>76</v>
      </c>
      <c r="AR12" s="18">
        <v>417</v>
      </c>
      <c r="AS12" s="11" t="s">
        <v>69</v>
      </c>
      <c r="AT12" s="18">
        <v>361.81400862810614</v>
      </c>
      <c r="AU12" s="18">
        <v>600.56427477622378</v>
      </c>
      <c r="AV12" s="11" t="s">
        <v>35</v>
      </c>
      <c r="AW12" s="11" t="s">
        <v>70</v>
      </c>
      <c r="AX12" s="11" t="s">
        <v>71</v>
      </c>
    </row>
    <row r="13" spans="1:50">
      <c r="A13" t="s">
        <v>52</v>
      </c>
      <c r="B13" t="s">
        <v>53</v>
      </c>
      <c r="C13">
        <v>2010</v>
      </c>
      <c r="D13" s="1" t="s">
        <v>54</v>
      </c>
      <c r="E13">
        <f t="shared" si="0"/>
        <v>93900</v>
      </c>
      <c r="F13">
        <f t="shared" si="1"/>
        <v>140.00000000000057</v>
      </c>
      <c r="G13">
        <f t="shared" si="2"/>
        <v>140.00000000000057</v>
      </c>
      <c r="H13" s="10">
        <f t="shared" si="3"/>
        <v>354</v>
      </c>
      <c r="I13" s="10">
        <f t="shared" si="4"/>
        <v>43.363703640852691</v>
      </c>
      <c r="J13" s="10">
        <f t="shared" si="5"/>
        <v>13.925229458541821</v>
      </c>
      <c r="K13" s="11" t="s">
        <v>55</v>
      </c>
      <c r="L13" s="7" t="s">
        <v>56</v>
      </c>
      <c r="M13" s="11" t="s">
        <v>57</v>
      </c>
      <c r="N13" s="1" t="s">
        <v>54</v>
      </c>
      <c r="O13" s="11" t="s">
        <v>88</v>
      </c>
      <c r="P13" s="11" t="s">
        <v>59</v>
      </c>
      <c r="Q13" s="11" t="s">
        <v>60</v>
      </c>
      <c r="R13" s="11" t="s">
        <v>60</v>
      </c>
      <c r="S13" s="11" t="s">
        <v>61</v>
      </c>
      <c r="T13" s="11" t="s">
        <v>73</v>
      </c>
      <c r="U13" s="11">
        <v>-1.4</v>
      </c>
      <c r="V13" s="17">
        <v>93.9</v>
      </c>
      <c r="W13" s="11">
        <f t="shared" si="6"/>
        <v>94.04</v>
      </c>
      <c r="X13" s="11">
        <f t="shared" si="7"/>
        <v>93.76</v>
      </c>
      <c r="Y13" s="11" t="s">
        <v>74</v>
      </c>
      <c r="Z13" s="11" t="s">
        <v>75</v>
      </c>
      <c r="AA13" s="19" t="s">
        <v>44</v>
      </c>
      <c r="AB13" s="11" t="s">
        <v>44</v>
      </c>
      <c r="AC13" s="5" t="s">
        <v>44</v>
      </c>
      <c r="AD13" s="5" t="s">
        <v>44</v>
      </c>
      <c r="AE13" s="21">
        <v>6</v>
      </c>
      <c r="AF13" s="20">
        <v>1</v>
      </c>
      <c r="AG13" s="11" t="s">
        <v>34</v>
      </c>
      <c r="AH13" s="11" t="s">
        <v>65</v>
      </c>
      <c r="AI13" s="15">
        <v>43.35</v>
      </c>
      <c r="AJ13" s="16">
        <v>183.9</v>
      </c>
      <c r="AK13" s="16">
        <v>173.4</v>
      </c>
      <c r="AL13" s="17">
        <v>7.9078127452210412</v>
      </c>
      <c r="AM13" s="16">
        <v>5.2</v>
      </c>
      <c r="AN13" s="17">
        <v>0.53569892858729207</v>
      </c>
      <c r="AO13" s="11" t="s">
        <v>66</v>
      </c>
      <c r="AP13" s="11" t="s">
        <v>67</v>
      </c>
      <c r="AQ13" s="11" t="s">
        <v>76</v>
      </c>
      <c r="AR13" s="18">
        <v>354</v>
      </c>
      <c r="AS13" s="11" t="s">
        <v>69</v>
      </c>
      <c r="AT13" s="18">
        <v>340.07477054145818</v>
      </c>
      <c r="AU13" s="18">
        <v>397.36370364085269</v>
      </c>
      <c r="AV13" s="11" t="s">
        <v>35</v>
      </c>
      <c r="AW13" s="11" t="s">
        <v>70</v>
      </c>
      <c r="AX13" s="11" t="s">
        <v>71</v>
      </c>
    </row>
    <row r="14" spans="1:50">
      <c r="A14" t="s">
        <v>52</v>
      </c>
      <c r="B14" t="s">
        <v>53</v>
      </c>
      <c r="C14">
        <v>2010</v>
      </c>
      <c r="D14" s="1" t="s">
        <v>54</v>
      </c>
      <c r="E14">
        <f t="shared" si="0"/>
        <v>93900</v>
      </c>
      <c r="F14">
        <f t="shared" si="1"/>
        <v>140.00000000000057</v>
      </c>
      <c r="G14">
        <f t="shared" si="2"/>
        <v>140.00000000000057</v>
      </c>
      <c r="H14" s="10">
        <f t="shared" si="3"/>
        <v>413</v>
      </c>
      <c r="I14" s="10">
        <f t="shared" si="4"/>
        <v>161.01988580532543</v>
      </c>
      <c r="J14" s="10">
        <f t="shared" si="5"/>
        <v>50.834091233283516</v>
      </c>
      <c r="K14" s="11" t="s">
        <v>55</v>
      </c>
      <c r="L14" s="7" t="s">
        <v>56</v>
      </c>
      <c r="M14" s="11" t="s">
        <v>57</v>
      </c>
      <c r="N14" s="1" t="s">
        <v>54</v>
      </c>
      <c r="O14" s="11" t="s">
        <v>89</v>
      </c>
      <c r="P14" s="11" t="s">
        <v>59</v>
      </c>
      <c r="Q14" s="11" t="s">
        <v>60</v>
      </c>
      <c r="R14" s="11" t="s">
        <v>60</v>
      </c>
      <c r="S14" s="11" t="s">
        <v>61</v>
      </c>
      <c r="T14" s="11" t="s">
        <v>73</v>
      </c>
      <c r="U14" s="11">
        <v>-2.2000000000000002</v>
      </c>
      <c r="V14" s="17">
        <v>93.9</v>
      </c>
      <c r="W14" s="11">
        <f t="shared" si="6"/>
        <v>94.04</v>
      </c>
      <c r="X14" s="11">
        <f t="shared" si="7"/>
        <v>93.76</v>
      </c>
      <c r="Y14" s="11" t="s">
        <v>74</v>
      </c>
      <c r="Z14" s="11" t="s">
        <v>75</v>
      </c>
      <c r="AA14" s="19" t="s">
        <v>44</v>
      </c>
      <c r="AB14" s="11" t="s">
        <v>44</v>
      </c>
      <c r="AC14" s="5" t="s">
        <v>44</v>
      </c>
      <c r="AD14" s="5" t="s">
        <v>44</v>
      </c>
      <c r="AE14" s="13" t="s">
        <v>90</v>
      </c>
      <c r="AF14" s="20">
        <v>11</v>
      </c>
      <c r="AG14" s="11" t="s">
        <v>34</v>
      </c>
      <c r="AH14" s="11" t="s">
        <v>65</v>
      </c>
      <c r="AI14" s="15">
        <v>56.024999999999999</v>
      </c>
      <c r="AJ14" s="16">
        <v>217</v>
      </c>
      <c r="AK14" s="16">
        <v>224.1</v>
      </c>
      <c r="AL14" s="17">
        <v>6.4310184613219441</v>
      </c>
      <c r="AM14" s="16">
        <v>5.3</v>
      </c>
      <c r="AN14" s="17">
        <v>0.66564884108553302</v>
      </c>
      <c r="AO14" s="11" t="s">
        <v>66</v>
      </c>
      <c r="AP14" s="11" t="s">
        <v>67</v>
      </c>
      <c r="AQ14" s="11" t="s">
        <v>76</v>
      </c>
      <c r="AR14" s="18">
        <v>413</v>
      </c>
      <c r="AS14" s="11" t="s">
        <v>69</v>
      </c>
      <c r="AT14" s="18">
        <v>362.16590876671648</v>
      </c>
      <c r="AU14" s="18">
        <v>574.01988580532543</v>
      </c>
      <c r="AV14" s="11" t="s">
        <v>35</v>
      </c>
      <c r="AW14" s="11" t="s">
        <v>70</v>
      </c>
      <c r="AX14" s="11" t="s">
        <v>71</v>
      </c>
    </row>
    <row r="15" spans="1:50">
      <c r="A15" t="s">
        <v>52</v>
      </c>
      <c r="B15" t="s">
        <v>53</v>
      </c>
      <c r="C15">
        <v>2010</v>
      </c>
      <c r="D15" s="1" t="s">
        <v>54</v>
      </c>
      <c r="E15">
        <f t="shared" si="0"/>
        <v>93900</v>
      </c>
      <c r="F15">
        <f t="shared" si="1"/>
        <v>140.00000000000057</v>
      </c>
      <c r="G15">
        <f t="shared" si="2"/>
        <v>140.00000000000057</v>
      </c>
      <c r="H15" s="10">
        <f t="shared" si="3"/>
        <v>306</v>
      </c>
      <c r="I15" s="10">
        <f t="shared" si="4"/>
        <v>11.255237501264673</v>
      </c>
      <c r="J15" s="10">
        <f t="shared" si="5"/>
        <v>16.430209146922266</v>
      </c>
      <c r="K15" s="11" t="s">
        <v>55</v>
      </c>
      <c r="L15" s="7" t="s">
        <v>56</v>
      </c>
      <c r="M15" s="11" t="s">
        <v>57</v>
      </c>
      <c r="N15" s="1" t="s">
        <v>54</v>
      </c>
      <c r="O15" s="11" t="s">
        <v>91</v>
      </c>
      <c r="P15" s="11" t="s">
        <v>59</v>
      </c>
      <c r="Q15" s="11" t="s">
        <v>60</v>
      </c>
      <c r="R15" s="11" t="s">
        <v>60</v>
      </c>
      <c r="S15" s="11" t="s">
        <v>61</v>
      </c>
      <c r="T15" s="11" t="s">
        <v>73</v>
      </c>
      <c r="U15" s="11">
        <v>-2.7</v>
      </c>
      <c r="V15" s="17">
        <v>93.9</v>
      </c>
      <c r="W15" s="11">
        <f t="shared" si="6"/>
        <v>94.04</v>
      </c>
      <c r="X15" s="11">
        <f t="shared" si="7"/>
        <v>93.76</v>
      </c>
      <c r="Y15" s="11" t="s">
        <v>74</v>
      </c>
      <c r="Z15" s="11" t="s">
        <v>75</v>
      </c>
      <c r="AA15" s="19" t="s">
        <v>44</v>
      </c>
      <c r="AB15" s="11" t="s">
        <v>44</v>
      </c>
      <c r="AC15" s="5" t="s">
        <v>44</v>
      </c>
      <c r="AD15" s="5" t="s">
        <v>44</v>
      </c>
      <c r="AE15" s="13" t="s">
        <v>87</v>
      </c>
      <c r="AF15" s="20">
        <v>3</v>
      </c>
      <c r="AG15" s="11" t="s">
        <v>34</v>
      </c>
      <c r="AH15" s="11" t="s">
        <v>65</v>
      </c>
      <c r="AI15" s="15">
        <v>32.950000000000003</v>
      </c>
      <c r="AJ15" s="16">
        <v>236.6</v>
      </c>
      <c r="AK15" s="16">
        <v>131.80000000000001</v>
      </c>
      <c r="AL15" s="17">
        <v>9.0993451655730624</v>
      </c>
      <c r="AM15" s="16">
        <v>7.6</v>
      </c>
      <c r="AN15" s="17">
        <v>1.1434108671743706</v>
      </c>
      <c r="AO15" s="11" t="s">
        <v>66</v>
      </c>
      <c r="AP15" s="11" t="s">
        <v>67</v>
      </c>
      <c r="AQ15" s="11" t="s">
        <v>76</v>
      </c>
      <c r="AR15" s="18">
        <v>306</v>
      </c>
      <c r="AS15" s="11" t="s">
        <v>69</v>
      </c>
      <c r="AT15" s="18">
        <v>289.56979085307773</v>
      </c>
      <c r="AU15" s="18">
        <v>317.25523750126467</v>
      </c>
      <c r="AV15" s="11" t="s">
        <v>35</v>
      </c>
      <c r="AW15" s="11" t="s">
        <v>70</v>
      </c>
      <c r="AX15" s="11" t="s">
        <v>71</v>
      </c>
    </row>
    <row r="16" spans="1:50">
      <c r="A16" t="s">
        <v>52</v>
      </c>
      <c r="B16" t="s">
        <v>53</v>
      </c>
      <c r="C16">
        <v>2010</v>
      </c>
      <c r="D16" s="1" t="s">
        <v>54</v>
      </c>
      <c r="E16">
        <f t="shared" si="0"/>
        <v>93900</v>
      </c>
      <c r="F16">
        <f t="shared" si="1"/>
        <v>140.00000000000057</v>
      </c>
      <c r="G16">
        <f t="shared" si="2"/>
        <v>140.00000000000057</v>
      </c>
      <c r="H16" s="10">
        <f t="shared" si="3"/>
        <v>429</v>
      </c>
      <c r="I16" s="10">
        <f t="shared" si="4"/>
        <v>205.40899999694716</v>
      </c>
      <c r="J16" s="10">
        <f t="shared" si="5"/>
        <v>68.455841229891575</v>
      </c>
      <c r="K16" s="11" t="s">
        <v>55</v>
      </c>
      <c r="L16" s="7" t="s">
        <v>56</v>
      </c>
      <c r="M16" s="11" t="s">
        <v>57</v>
      </c>
      <c r="N16" s="1" t="s">
        <v>54</v>
      </c>
      <c r="O16" s="11" t="s">
        <v>92</v>
      </c>
      <c r="P16" s="11" t="s">
        <v>59</v>
      </c>
      <c r="Q16" s="11" t="s">
        <v>60</v>
      </c>
      <c r="R16" s="11" t="s">
        <v>60</v>
      </c>
      <c r="S16" s="11" t="s">
        <v>61</v>
      </c>
      <c r="T16" s="11" t="s">
        <v>73</v>
      </c>
      <c r="U16" s="11">
        <v>-8.5500000000000007</v>
      </c>
      <c r="V16" s="17">
        <v>93.9</v>
      </c>
      <c r="W16" s="11">
        <f t="shared" si="6"/>
        <v>94.04</v>
      </c>
      <c r="X16" s="11">
        <f t="shared" si="7"/>
        <v>93.76</v>
      </c>
      <c r="Y16" s="11" t="s">
        <v>74</v>
      </c>
      <c r="Z16" s="11" t="s">
        <v>75</v>
      </c>
      <c r="AA16" s="19" t="s">
        <v>44</v>
      </c>
      <c r="AB16" s="11" t="s">
        <v>44</v>
      </c>
      <c r="AC16" s="5" t="s">
        <v>44</v>
      </c>
      <c r="AD16" s="5" t="s">
        <v>44</v>
      </c>
      <c r="AE16" s="13" t="s">
        <v>90</v>
      </c>
      <c r="AF16" s="20">
        <v>4</v>
      </c>
      <c r="AG16" s="11" t="s">
        <v>34</v>
      </c>
      <c r="AH16" s="11" t="s">
        <v>65</v>
      </c>
      <c r="AI16" s="15">
        <v>51.524999999999999</v>
      </c>
      <c r="AJ16" s="16">
        <v>201</v>
      </c>
      <c r="AK16" s="16">
        <v>206.1</v>
      </c>
      <c r="AL16" s="17">
        <v>6.0444222278896085</v>
      </c>
      <c r="AM16" s="16">
        <v>9.1999999999999993</v>
      </c>
      <c r="AN16" s="17">
        <v>0.84008772313523306</v>
      </c>
      <c r="AO16" s="11" t="s">
        <v>66</v>
      </c>
      <c r="AP16" s="11" t="s">
        <v>67</v>
      </c>
      <c r="AQ16" s="11" t="s">
        <v>76</v>
      </c>
      <c r="AR16" s="18">
        <v>429</v>
      </c>
      <c r="AS16" s="11" t="s">
        <v>69</v>
      </c>
      <c r="AT16" s="18">
        <v>360.54415877010842</v>
      </c>
      <c r="AU16" s="18">
        <v>634.40899999694716</v>
      </c>
      <c r="AV16" s="11" t="s">
        <v>35</v>
      </c>
      <c r="AW16" s="11" t="s">
        <v>70</v>
      </c>
      <c r="AX16" s="11" t="s">
        <v>71</v>
      </c>
    </row>
    <row r="17" spans="1:50">
      <c r="A17" t="s">
        <v>52</v>
      </c>
      <c r="B17" t="s">
        <v>53</v>
      </c>
      <c r="C17">
        <v>2010</v>
      </c>
      <c r="D17" s="1" t="s">
        <v>54</v>
      </c>
      <c r="E17">
        <f t="shared" si="0"/>
        <v>93900</v>
      </c>
      <c r="F17">
        <f t="shared" si="1"/>
        <v>140.00000000000057</v>
      </c>
      <c r="G17">
        <f t="shared" si="2"/>
        <v>140.00000000000057</v>
      </c>
      <c r="H17" s="10">
        <f t="shared" si="3"/>
        <v>413</v>
      </c>
      <c r="I17" s="10">
        <f t="shared" si="4"/>
        <v>160.5703320938394</v>
      </c>
      <c r="J17" s="10">
        <f t="shared" si="5"/>
        <v>50.833516217655358</v>
      </c>
      <c r="K17" s="11" t="s">
        <v>55</v>
      </c>
      <c r="L17" s="7" t="s">
        <v>56</v>
      </c>
      <c r="M17" s="11" t="s">
        <v>57</v>
      </c>
      <c r="N17" s="1" t="s">
        <v>54</v>
      </c>
      <c r="O17" s="11" t="s">
        <v>93</v>
      </c>
      <c r="P17" s="11" t="s">
        <v>59</v>
      </c>
      <c r="Q17" s="11" t="s">
        <v>60</v>
      </c>
      <c r="R17" s="11" t="s">
        <v>60</v>
      </c>
      <c r="S17" s="11" t="s">
        <v>61</v>
      </c>
      <c r="T17" s="11" t="s">
        <v>73</v>
      </c>
      <c r="U17" s="11">
        <v>-18.5</v>
      </c>
      <c r="V17" s="17">
        <v>93.9</v>
      </c>
      <c r="W17" s="11">
        <f t="shared" si="6"/>
        <v>94.04</v>
      </c>
      <c r="X17" s="11">
        <f t="shared" si="7"/>
        <v>93.76</v>
      </c>
      <c r="Y17" s="11" t="s">
        <v>74</v>
      </c>
      <c r="Z17" s="11" t="s">
        <v>75</v>
      </c>
      <c r="AA17" s="19" t="s">
        <v>44</v>
      </c>
      <c r="AB17" s="11" t="s">
        <v>44</v>
      </c>
      <c r="AC17" s="5" t="s">
        <v>44</v>
      </c>
      <c r="AD17" s="5" t="s">
        <v>44</v>
      </c>
      <c r="AE17" s="21">
        <v>5</v>
      </c>
      <c r="AF17" s="20">
        <v>1</v>
      </c>
      <c r="AG17" s="11" t="s">
        <v>34</v>
      </c>
      <c r="AH17" s="11" t="s">
        <v>65</v>
      </c>
      <c r="AI17" s="15">
        <v>60.325000000000003</v>
      </c>
      <c r="AJ17" s="16">
        <v>276</v>
      </c>
      <c r="AK17" s="16">
        <v>241.3</v>
      </c>
      <c r="AL17" s="17">
        <v>6.4340445903239827</v>
      </c>
      <c r="AM17" s="16">
        <v>5.8</v>
      </c>
      <c r="AN17" s="17">
        <v>1.2463177205136726</v>
      </c>
      <c r="AO17" s="11" t="s">
        <v>66</v>
      </c>
      <c r="AP17" s="11" t="s">
        <v>67</v>
      </c>
      <c r="AQ17" s="11" t="s">
        <v>76</v>
      </c>
      <c r="AR17" s="18">
        <v>413</v>
      </c>
      <c r="AS17" s="11" t="s">
        <v>69</v>
      </c>
      <c r="AT17" s="18">
        <v>362.16648378234464</v>
      </c>
      <c r="AU17" s="18">
        <v>573.5703320938394</v>
      </c>
      <c r="AV17" s="11" t="s">
        <v>35</v>
      </c>
      <c r="AW17" s="11" t="s">
        <v>70</v>
      </c>
      <c r="AX17" s="11" t="s">
        <v>71</v>
      </c>
    </row>
    <row r="18" spans="1:50">
      <c r="A18" t="s">
        <v>52</v>
      </c>
      <c r="B18" t="s">
        <v>53</v>
      </c>
      <c r="C18">
        <v>2010</v>
      </c>
      <c r="D18" s="1" t="s">
        <v>54</v>
      </c>
      <c r="E18">
        <f t="shared" si="0"/>
        <v>93900</v>
      </c>
      <c r="F18">
        <f t="shared" si="1"/>
        <v>140.00000000000057</v>
      </c>
      <c r="G18">
        <f t="shared" si="2"/>
        <v>140.00000000000057</v>
      </c>
      <c r="H18" s="10">
        <f t="shared" si="3"/>
        <v>369.6</v>
      </c>
      <c r="I18" s="10">
        <f t="shared" si="4"/>
        <v>68.27168974381209</v>
      </c>
      <c r="J18" s="10">
        <f t="shared" si="5"/>
        <v>18.885875467219989</v>
      </c>
      <c r="K18" s="11" t="s">
        <v>55</v>
      </c>
      <c r="L18" s="7" t="s">
        <v>56</v>
      </c>
      <c r="M18" s="11" t="s">
        <v>57</v>
      </c>
      <c r="N18" s="1" t="s">
        <v>54</v>
      </c>
      <c r="O18" s="11" t="s">
        <v>94</v>
      </c>
      <c r="P18" s="11" t="s">
        <v>59</v>
      </c>
      <c r="Q18" s="11" t="s">
        <v>60</v>
      </c>
      <c r="R18" s="11" t="s">
        <v>60</v>
      </c>
      <c r="S18" s="11" t="s">
        <v>61</v>
      </c>
      <c r="T18" s="11" t="s">
        <v>73</v>
      </c>
      <c r="U18" s="11">
        <v>-27.7</v>
      </c>
      <c r="V18" s="17">
        <v>93.9</v>
      </c>
      <c r="W18" s="11">
        <f t="shared" si="6"/>
        <v>94.04</v>
      </c>
      <c r="X18" s="11">
        <f t="shared" si="7"/>
        <v>93.76</v>
      </c>
      <c r="Y18" s="11" t="s">
        <v>74</v>
      </c>
      <c r="Z18" s="11" t="s">
        <v>75</v>
      </c>
      <c r="AA18" s="19" t="s">
        <v>44</v>
      </c>
      <c r="AB18" s="11" t="s">
        <v>44</v>
      </c>
      <c r="AC18" s="5" t="s">
        <v>44</v>
      </c>
      <c r="AD18" s="5" t="s">
        <v>44</v>
      </c>
      <c r="AE18" s="21">
        <v>4</v>
      </c>
      <c r="AF18" s="20">
        <v>1</v>
      </c>
      <c r="AG18" s="11" t="s">
        <v>34</v>
      </c>
      <c r="AH18" s="11" t="s">
        <v>65</v>
      </c>
      <c r="AI18" s="15">
        <v>27.925000000000001</v>
      </c>
      <c r="AJ18" s="16">
        <v>144.4</v>
      </c>
      <c r="AK18" s="16">
        <v>111.7</v>
      </c>
      <c r="AL18" s="17">
        <v>7.4973363612046269</v>
      </c>
      <c r="AM18" s="16">
        <v>37.4</v>
      </c>
      <c r="AN18" s="17">
        <v>0.61335023156281898</v>
      </c>
      <c r="AO18" s="11" t="s">
        <v>66</v>
      </c>
      <c r="AP18" s="11" t="s">
        <v>67</v>
      </c>
      <c r="AQ18" s="11" t="s">
        <v>76</v>
      </c>
      <c r="AR18" s="18">
        <v>369.6</v>
      </c>
      <c r="AS18" s="11" t="s">
        <v>69</v>
      </c>
      <c r="AT18" s="18">
        <v>350.71412453278003</v>
      </c>
      <c r="AU18" s="18">
        <v>437.87168974381211</v>
      </c>
      <c r="AV18" s="11" t="s">
        <v>35</v>
      </c>
      <c r="AW18" s="11" t="s">
        <v>70</v>
      </c>
      <c r="AX18" s="11" t="s">
        <v>71</v>
      </c>
    </row>
    <row r="19" spans="1:50">
      <c r="A19" t="s">
        <v>52</v>
      </c>
      <c r="B19" t="s">
        <v>53</v>
      </c>
      <c r="C19">
        <v>2010</v>
      </c>
      <c r="D19" s="1" t="s">
        <v>54</v>
      </c>
      <c r="E19">
        <f t="shared" si="0"/>
        <v>93900</v>
      </c>
      <c r="F19">
        <f t="shared" si="1"/>
        <v>140.00000000000057</v>
      </c>
      <c r="G19">
        <f t="shared" si="2"/>
        <v>140.00000000000057</v>
      </c>
      <c r="H19" s="10">
        <f t="shared" si="3"/>
        <v>338</v>
      </c>
      <c r="I19" s="10">
        <f t="shared" si="4"/>
        <v>26.911112139275247</v>
      </c>
      <c r="J19" s="10">
        <f t="shared" si="5"/>
        <v>11.290854826388909</v>
      </c>
      <c r="K19" s="11" t="s">
        <v>55</v>
      </c>
      <c r="L19" s="7" t="s">
        <v>56</v>
      </c>
      <c r="M19" s="11" t="s">
        <v>57</v>
      </c>
      <c r="N19" s="1" t="s">
        <v>54</v>
      </c>
      <c r="O19" s="11" t="s">
        <v>95</v>
      </c>
      <c r="P19" s="11" t="s">
        <v>59</v>
      </c>
      <c r="Q19" s="11" t="s">
        <v>60</v>
      </c>
      <c r="R19" s="11" t="s">
        <v>60</v>
      </c>
      <c r="S19" s="11" t="s">
        <v>61</v>
      </c>
      <c r="T19" s="11" t="s">
        <v>73</v>
      </c>
      <c r="U19" s="11">
        <v>-31.7</v>
      </c>
      <c r="V19" s="17">
        <v>93.9</v>
      </c>
      <c r="W19" s="11">
        <f t="shared" si="6"/>
        <v>94.04</v>
      </c>
      <c r="X19" s="11">
        <f t="shared" si="7"/>
        <v>93.76</v>
      </c>
      <c r="Y19" s="11" t="s">
        <v>74</v>
      </c>
      <c r="Z19" s="11" t="s">
        <v>75</v>
      </c>
      <c r="AA19" s="19" t="s">
        <v>44</v>
      </c>
      <c r="AB19" s="11" t="s">
        <v>44</v>
      </c>
      <c r="AC19" s="5" t="s">
        <v>44</v>
      </c>
      <c r="AD19" s="5" t="s">
        <v>44</v>
      </c>
      <c r="AE19" s="13" t="s">
        <v>96</v>
      </c>
      <c r="AF19" s="20">
        <v>12</v>
      </c>
      <c r="AG19" s="11" t="s">
        <v>34</v>
      </c>
      <c r="AH19" s="11" t="s">
        <v>65</v>
      </c>
      <c r="AI19" s="15">
        <v>73.775000000000006</v>
      </c>
      <c r="AJ19" s="16">
        <v>222</v>
      </c>
      <c r="AK19" s="16">
        <v>295.10000000000002</v>
      </c>
      <c r="AL19" s="17">
        <v>8.2990716562146627</v>
      </c>
      <c r="AM19" s="16">
        <v>11.3</v>
      </c>
      <c r="AN19" s="17">
        <v>0.83365209652143857</v>
      </c>
      <c r="AO19" s="11" t="s">
        <v>66</v>
      </c>
      <c r="AP19" s="11" t="s">
        <v>67</v>
      </c>
      <c r="AQ19" s="11" t="s">
        <v>76</v>
      </c>
      <c r="AR19" s="18">
        <v>338</v>
      </c>
      <c r="AS19" s="11" t="s">
        <v>69</v>
      </c>
      <c r="AT19" s="18">
        <v>326.70914517361109</v>
      </c>
      <c r="AU19" s="18">
        <v>364.91111213927525</v>
      </c>
      <c r="AV19" s="11" t="s">
        <v>35</v>
      </c>
      <c r="AW19" s="11" t="s">
        <v>70</v>
      </c>
      <c r="AX19" s="11" t="s">
        <v>71</v>
      </c>
    </row>
    <row r="20" spans="1:50">
      <c r="A20" t="s">
        <v>52</v>
      </c>
      <c r="B20" t="s">
        <v>53</v>
      </c>
      <c r="C20">
        <v>2010</v>
      </c>
      <c r="D20" s="1" t="s">
        <v>54</v>
      </c>
      <c r="E20">
        <f t="shared" si="0"/>
        <v>93900</v>
      </c>
      <c r="F20">
        <f t="shared" si="1"/>
        <v>140.00000000000057</v>
      </c>
      <c r="G20">
        <f t="shared" si="2"/>
        <v>140.00000000000057</v>
      </c>
      <c r="H20" s="10">
        <f t="shared" si="3"/>
        <v>334</v>
      </c>
      <c r="I20" s="10">
        <f t="shared" si="4"/>
        <v>21.202633595253701</v>
      </c>
      <c r="J20" s="10">
        <f t="shared" si="5"/>
        <v>12.577769983698431</v>
      </c>
      <c r="K20" s="11" t="s">
        <v>55</v>
      </c>
      <c r="L20" s="7" t="s">
        <v>56</v>
      </c>
      <c r="M20" s="11" t="s">
        <v>57</v>
      </c>
      <c r="N20" s="1" t="s">
        <v>54</v>
      </c>
      <c r="O20" s="11" t="s">
        <v>97</v>
      </c>
      <c r="P20" s="11" t="s">
        <v>59</v>
      </c>
      <c r="Q20" s="11" t="s">
        <v>60</v>
      </c>
      <c r="R20" s="11" t="s">
        <v>60</v>
      </c>
      <c r="S20" s="11" t="s">
        <v>61</v>
      </c>
      <c r="T20" s="11" t="s">
        <v>73</v>
      </c>
      <c r="U20" s="11">
        <v>-39.9</v>
      </c>
      <c r="V20" s="17">
        <v>93.9</v>
      </c>
      <c r="W20" s="11">
        <f t="shared" si="6"/>
        <v>94.04</v>
      </c>
      <c r="X20" s="11">
        <f t="shared" si="7"/>
        <v>93.76</v>
      </c>
      <c r="Y20" s="11" t="s">
        <v>74</v>
      </c>
      <c r="Z20" s="11" t="s">
        <v>75</v>
      </c>
      <c r="AA20" s="19" t="s">
        <v>44</v>
      </c>
      <c r="AB20" s="11" t="s">
        <v>44</v>
      </c>
      <c r="AC20" s="5" t="s">
        <v>44</v>
      </c>
      <c r="AD20" s="5" t="s">
        <v>44</v>
      </c>
      <c r="AE20" s="13" t="s">
        <v>98</v>
      </c>
      <c r="AF20" s="20">
        <v>7</v>
      </c>
      <c r="AG20" s="11" t="s">
        <v>34</v>
      </c>
      <c r="AH20" s="11" t="s">
        <v>65</v>
      </c>
      <c r="AI20" s="15">
        <v>80.400000000000006</v>
      </c>
      <c r="AJ20" s="16">
        <v>240.2</v>
      </c>
      <c r="AK20" s="16">
        <v>321.60000000000002</v>
      </c>
      <c r="AL20" s="17">
        <v>8.4327275670469746</v>
      </c>
      <c r="AM20" s="16">
        <v>13.1</v>
      </c>
      <c r="AN20" s="17">
        <v>0.70012173829209601</v>
      </c>
      <c r="AO20" s="11" t="s">
        <v>66</v>
      </c>
      <c r="AP20" s="11" t="s">
        <v>67</v>
      </c>
      <c r="AQ20" s="11" t="s">
        <v>76</v>
      </c>
      <c r="AR20" s="18">
        <v>334</v>
      </c>
      <c r="AS20" s="11" t="s">
        <v>69</v>
      </c>
      <c r="AT20" s="18">
        <v>321.42223001630157</v>
      </c>
      <c r="AU20" s="18">
        <v>355.2026335952537</v>
      </c>
      <c r="AV20" s="11" t="s">
        <v>35</v>
      </c>
      <c r="AW20" s="11" t="s">
        <v>70</v>
      </c>
      <c r="AX20" s="11" t="s">
        <v>71</v>
      </c>
    </row>
    <row r="21" spans="1:50">
      <c r="A21" t="s">
        <v>52</v>
      </c>
      <c r="B21" t="s">
        <v>53</v>
      </c>
      <c r="C21">
        <v>2010</v>
      </c>
      <c r="D21" s="1" t="s">
        <v>54</v>
      </c>
      <c r="E21">
        <f t="shared" si="0"/>
        <v>93900</v>
      </c>
      <c r="F21">
        <f t="shared" si="1"/>
        <v>140.00000000000057</v>
      </c>
      <c r="G21">
        <f t="shared" si="2"/>
        <v>140.00000000000057</v>
      </c>
      <c r="H21" s="10">
        <f t="shared" si="3"/>
        <v>314</v>
      </c>
      <c r="I21" s="10">
        <f t="shared" si="4"/>
        <v>12.56419711091462</v>
      </c>
      <c r="J21" s="10">
        <f t="shared" si="5"/>
        <v>14.153435123745794</v>
      </c>
      <c r="K21" s="11" t="s">
        <v>55</v>
      </c>
      <c r="L21" s="7" t="s">
        <v>56</v>
      </c>
      <c r="M21" s="11" t="s">
        <v>57</v>
      </c>
      <c r="N21" s="1" t="s">
        <v>54</v>
      </c>
      <c r="O21" s="11" t="s">
        <v>99</v>
      </c>
      <c r="P21" s="11" t="s">
        <v>59</v>
      </c>
      <c r="Q21" s="11" t="s">
        <v>60</v>
      </c>
      <c r="R21" s="11" t="s">
        <v>60</v>
      </c>
      <c r="S21" s="11" t="s">
        <v>61</v>
      </c>
      <c r="T21" s="11" t="s">
        <v>73</v>
      </c>
      <c r="U21" s="11">
        <v>-61</v>
      </c>
      <c r="V21" s="17">
        <v>93.9</v>
      </c>
      <c r="W21" s="11">
        <f t="shared" si="6"/>
        <v>94.04</v>
      </c>
      <c r="X21" s="11">
        <f t="shared" si="7"/>
        <v>93.76</v>
      </c>
      <c r="Y21" s="11" t="s">
        <v>74</v>
      </c>
      <c r="Z21" s="11" t="s">
        <v>75</v>
      </c>
      <c r="AA21" s="19" t="s">
        <v>44</v>
      </c>
      <c r="AB21" s="11" t="s">
        <v>44</v>
      </c>
      <c r="AC21" s="5" t="s">
        <v>44</v>
      </c>
      <c r="AD21" s="5" t="s">
        <v>44</v>
      </c>
      <c r="AE21" s="13" t="s">
        <v>100</v>
      </c>
      <c r="AF21" s="20">
        <v>3</v>
      </c>
      <c r="AG21" s="11" t="s">
        <v>34</v>
      </c>
      <c r="AH21" s="11" t="s">
        <v>65</v>
      </c>
      <c r="AI21" s="15">
        <v>85.45</v>
      </c>
      <c r="AJ21" s="16">
        <v>220.6</v>
      </c>
      <c r="AK21" s="16">
        <v>341.8</v>
      </c>
      <c r="AL21" s="17">
        <v>8.904069852214926</v>
      </c>
      <c r="AM21" s="16">
        <v>6.1</v>
      </c>
      <c r="AN21" s="17">
        <v>1.0272346526358922</v>
      </c>
      <c r="AO21" s="11" t="s">
        <v>66</v>
      </c>
      <c r="AP21" s="11" t="s">
        <v>67</v>
      </c>
      <c r="AQ21" s="11" t="s">
        <v>76</v>
      </c>
      <c r="AR21" s="18">
        <v>314</v>
      </c>
      <c r="AS21" s="11" t="s">
        <v>69</v>
      </c>
      <c r="AT21" s="18">
        <v>299.84656487625421</v>
      </c>
      <c r="AU21" s="18">
        <v>326.56419711091462</v>
      </c>
      <c r="AV21" s="11" t="s">
        <v>35</v>
      </c>
      <c r="AW21" s="11" t="s">
        <v>70</v>
      </c>
      <c r="AX21" s="11" t="s">
        <v>71</v>
      </c>
    </row>
    <row r="22" spans="1:50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50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50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50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50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50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50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50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50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50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50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1:49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1:49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1:49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1:49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1:49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1:49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1:49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1:49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1:49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1:49"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2017-12-08T17:21:04Z</dcterms:created>
  <dcterms:modified xsi:type="dcterms:W3CDTF">2020-08-27T12:48:14Z</dcterms:modified>
</cp:coreProperties>
</file>