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C3CB9201-9FFA-AA43-B154-4482E815D3DB}" xr6:coauthVersionLast="36" xr6:coauthVersionMax="36" xr10:uidLastSave="{00000000-0000-0000-0000-000000000000}"/>
  <bookViews>
    <workbookView xWindow="-480" yWindow="3220" windowWidth="28800" windowHeight="12460" xr2:uid="{00000000-000D-0000-FFFF-FFFF00000000}"/>
  </bookViews>
  <sheets>
    <sheet name="leaf gas-exchange_Franks" sheetId="1" r:id="rId1"/>
    <sheet name="Input parameters and References"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1" l="1"/>
  <c r="E5" i="1"/>
  <c r="F5" i="1"/>
  <c r="G5" i="1"/>
  <c r="H5" i="1"/>
  <c r="I5" i="1"/>
  <c r="J5" i="1"/>
  <c r="D6" i="1"/>
  <c r="E6" i="1"/>
  <c r="F6" i="1"/>
  <c r="G6" i="1"/>
  <c r="H6" i="1"/>
  <c r="I6" i="1"/>
  <c r="J6" i="1"/>
  <c r="J4" i="1"/>
  <c r="I4" i="1"/>
  <c r="H4" i="1"/>
  <c r="G4" i="1"/>
  <c r="E4" i="1"/>
  <c r="F4" i="1"/>
  <c r="D4" i="1"/>
</calcChain>
</file>

<file path=xl/sharedStrings.xml><?xml version="1.0" encoding="utf-8"?>
<sst xmlns="http://schemas.openxmlformats.org/spreadsheetml/2006/main" count="269" uniqueCount="186">
  <si>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</si>
  <si>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</si>
  <si>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</si>
  <si>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</si>
  <si>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</si>
  <si>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</si>
  <si>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</si>
  <si>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</si>
  <si>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</si>
  <si>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</si>
  <si>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</si>
  <si>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</si>
  <si>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</si>
  <si>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</si>
  <si>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</si>
  <si>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</si>
  <si>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</si>
  <si>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</si>
  <si>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</si>
  <si>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</si>
  <si>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</si>
  <si>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</si>
  <si>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</si>
  <si>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</si>
  <si>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</si>
  <si>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</si>
  <si>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</si>
  <si>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</si>
  <si>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</si>
  <si>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</si>
  <si>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</si>
  <si>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</si>
  <si>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</si>
  <si>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</si>
  <si>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</si>
  <si>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</si>
  <si>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</si>
  <si>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</si>
  <si>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</si>
  <si>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</si>
  <si>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</si>
  <si>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</si>
  <si>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</si>
  <si>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</si>
  <si>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</si>
  <si>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</si>
  <si>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</si>
  <si>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</si>
  <si>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</si>
  <si>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</si>
  <si>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</si>
  <si>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</si>
  <si>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</si>
  <si>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</si>
  <si>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</si>
  <si>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</si>
  <si>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</si>
  <si>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</si>
  <si>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</si>
  <si>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</si>
  <si>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</si>
  <si>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</si>
  <si>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</si>
  <si>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</si>
  <si>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</si>
  <si>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</si>
  <si>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</si>
  <si>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</si>
  <si>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</si>
  <si>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</si>
  <si>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</si>
  <si>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</si>
  <si>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</si>
  <si>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</si>
  <si>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</si>
  <si>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</si>
  <si>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</si>
  <si>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</si>
  <si>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</si>
  <si>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</si>
  <si>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</si>
  <si>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10.1029/2018PA003356</t>
  </si>
  <si>
    <t>cf. Sassafras (CR 10)</t>
  </si>
  <si>
    <t>Lauraceae</t>
  </si>
  <si>
    <t>Sassafras</t>
  </si>
  <si>
    <t>Denver Museum of Nature and Science</t>
  </si>
  <si>
    <t>Denver Formation</t>
  </si>
  <si>
    <t>Castle Rock flora; near the top of the "D1" sequence</t>
  </si>
  <si>
    <t>U/Pb geochronology of detrital zircon grains</t>
  </si>
  <si>
    <t>median</t>
  </si>
  <si>
    <t>2.5 and 97.5 percentiles</t>
  </si>
  <si>
    <t>right skewed</t>
  </si>
  <si>
    <t>microscope</t>
  </si>
  <si>
    <t>448 x 334</t>
  </si>
  <si>
    <t>4 leaves</t>
  </si>
  <si>
    <t>age model of Tipple et al. (2010; 10.1029/2009PA001851)</t>
  </si>
  <si>
    <t>calculated from 12 leaves from a single Sassafras albidum tree</t>
  </si>
  <si>
    <t>from compilation of present-day species by Diefendorf et al. (2010; 10.1073/pnas.0910513107); see Kowalczyk et al. (2018) for details; 1 sigma error is 5% of mean</t>
  </si>
  <si>
    <t>generic value from Franks et al. (2014); 1 sigma error is 5% of mean</t>
  </si>
  <si>
    <t>pore length was measured directly, so this scalar has no error</t>
  </si>
  <si>
    <t>derived from the general value of 0.2 suggested by Franks et al. (2014) but adjusted for the fraction of epidermis with non-stomatal areas, e.g., over top veins; see Kowalczyk et al. for details; 1 sigma error is 5% of mean</t>
  </si>
  <si>
    <t>no</t>
  </si>
  <si>
    <t>Lauraceae sp. (CR 20)</t>
  </si>
  <si>
    <t>10 leaves</t>
  </si>
  <si>
    <t>Ginkgo (CR 125)</t>
  </si>
  <si>
    <t>Ginkgoaceae</t>
  </si>
  <si>
    <t>Ginkgo</t>
  </si>
  <si>
    <t>adiantoides</t>
  </si>
  <si>
    <t>15 leaves</t>
  </si>
  <si>
    <t>calculated from 17 leaves from a single Ginkgo biloba tree</t>
  </si>
  <si>
    <t>based on measurements of 17 leaves from living Ginkgo biloba; adjusted for the fraction of epidermis with non-stomatal areas, e.g., over top veins; see Kowalczyk et al. for details; 1 sigma error is 5% of mean</t>
  </si>
  <si>
    <t>proxy</t>
  </si>
  <si>
    <t>first_author_last_name</t>
  </si>
  <si>
    <t>publication_year</t>
  </si>
  <si>
    <t>age_ka</t>
  </si>
  <si>
    <t>Age_uncertainty_pos_ka</t>
  </si>
  <si>
    <t>Age_uncertainty_neg_ka</t>
  </si>
  <si>
    <t>stomata-franks</t>
  </si>
  <si>
    <t>Kowalczyk</t>
  </si>
  <si>
    <t>CO2_ppm</t>
  </si>
  <si>
    <t>CO2_uncertainty_pos_ppm</t>
  </si>
  <si>
    <t>NA</t>
  </si>
  <si>
    <t>CO2_uncertainty_neg_ppm</t>
  </si>
  <si>
    <t>reference of the data product</t>
  </si>
  <si>
    <t>Modern Latitude (decimal degree, south negative)</t>
  </si>
  <si>
    <t>Modern Longitude (decimal degree, west negative)</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</si>
  <si>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</si>
  <si>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</si>
  <si>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</si>
  <si>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</si>
  <si>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</si>
  <si>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</si>
  <si>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</si>
  <si>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</si>
  <si>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</si>
  <si>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</si>
  <si>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</si>
  <si>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</si>
  <si>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</si>
  <si>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</si>
  <si>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</si>
  <si>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</si>
  <si>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</si>
  <si>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</si>
  <si>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</si>
  <si>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</si>
  <si>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</si>
  <si>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</si>
  <si>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</si>
  <si>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</si>
  <si>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</si>
  <si>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</si>
  <si>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</si>
  <si>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</si>
  <si>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</si>
  <si>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</si>
  <si>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</si>
  <si>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</si>
  <si>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</si>
  <si>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</si>
  <si>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</si>
  <si>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</si>
  <si>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</si>
  <si>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</si>
  <si>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</si>
  <si>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</si>
  <si>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</si>
  <si>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</si>
  <si>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</si>
  <si>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</si>
  <si>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</si>
  <si>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</si>
  <si>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</si>
  <si>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</si>
  <si>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</si>
  <si>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</si>
  <si>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</si>
  <si>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</si>
  <si>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</si>
  <si>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</si>
  <si>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</si>
  <si>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</si>
  <si>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email of individual entering the data</t>
  </si>
  <si>
    <t>droyer@wesleyan.edu</t>
  </si>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</sst>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Border="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0" fontId="1" fillId="0" borderId="0" xfId="0" applyFont="1" applyBorder="1" applyAlignment="1">
      <alignment horizontal="right"/>
    </xf>
    <xf numFmtId="1" fontId="1" fillId="0" borderId="0" xfId="0" applyNumberFormat="1" applyFont="1" applyBorder="1" applyAlignment="1">
      <alignment horizontal="right"/>
    </xf>
    <xf numFmtId="11" fontId="1" fillId="0" borderId="0" xfId="0" applyNumberFormat="1" applyFont="1" applyBorder="1" applyAlignment="1">
      <alignment horizontal="right"/>
    </xf>
    <xf numFmtId="2" fontId="1" fillId="0" borderId="0" xfId="0" applyNumberFormat="1" applyFont="1" applyBorder="1" applyAlignment="1">
      <alignment horizontal="right"/>
    </xf>
    <xf numFmtId="164" fontId="1" fillId="0" borderId="0" xfId="0" applyNumberFormat="1" applyFont="1" applyBorder="1" applyAlignment="1">
      <alignment horizontal="right"/>
    </xf>
    <xf numFmtId="11" fontId="0" fillId="0" borderId="0" xfId="0" applyNumberFormat="1" applyBorder="1" applyAlignment="1"/>
    <xf numFmtId="0" fontId="3" fillId="4" borderId="0" xfId="0" applyFont="1" applyFill="1" applyAlignment="1">
      <alignment vertical="top" wrapText="1"/>
    </xf>
    <xf numFmtId="1" fontId="0" fillId="0" borderId="0" xfId="0" applyNumberFormat="1" applyBorder="1" applyAlignment="1"/>
    <xf numFmtId="0" fontId="1" fillId="0" borderId="0" xfId="0" applyFont="1" applyFill="1" applyBorder="1" applyAlignment="1">
      <alignment vertical="center"/>
    </xf>
    <xf numFmtId="0" fontId="1" fillId="0" borderId="0" xfId="0" applyFont="1" applyFill="1" applyBorder="1" applyAlignment="1">
      <alignment wrapText="1"/>
    </xf>
    <xf numFmtId="0" fontId="0" fillId="2" borderId="0" xfId="0" applyFill="1" applyBorder="1" applyAlignment="1"/>
    <xf numFmtId="0" fontId="0" fillId="2" borderId="0" xfId="0" applyFill="1" applyBorder="1" applyAlignment="1">
      <alignment wrapText="1"/>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17" fontId="1" fillId="0" borderId="0" xfId="0" applyNumberFormat="1" applyFont="1" applyBorder="1" applyAlignment="1">
      <alignment horizontal="left"/>
    </xf>
    <xf numFmtId="0" fontId="4" fillId="4"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42"/>
  <sheetViews>
    <sheetView tabSelected="1" topLeftCell="S1" workbookViewId="0">
      <pane ySplit="3" topLeftCell="A4" activePane="bottomLeft" state="frozen"/>
      <selection pane="bottomLeft" activeCell="AC4" sqref="AC4:AD6"/>
    </sheetView>
  </sheetViews>
  <sheetFormatPr baseColWidth="10" defaultColWidth="11" defaultRowHeight="16"/>
  <cols>
    <col min="1" max="10" width="11" style="1"/>
    <col min="11" max="11" width="12.1640625" style="1" customWidth="1"/>
    <col min="12" max="20" width="11" style="1"/>
    <col min="21" max="21" width="11.6640625" style="1" customWidth="1"/>
    <col min="22" max="22" width="11" style="1"/>
    <col min="23" max="23" width="11.83203125" style="1" customWidth="1"/>
    <col min="24" max="24" width="12.33203125" style="1" customWidth="1"/>
    <col min="25" max="25" width="11" style="1"/>
    <col min="26" max="26" width="11.83203125" style="1" customWidth="1"/>
    <col min="27" max="30" width="11" style="1"/>
    <col min="31" max="31" width="15.33203125" style="1" customWidth="1"/>
    <col min="32" max="35" width="11" style="1"/>
    <col min="36" max="36" width="13.1640625" style="1" customWidth="1"/>
    <col min="37" max="16384" width="11" style="1"/>
  </cols>
  <sheetData>
    <row r="1" spans="1:92">
      <c r="AM1" s="20" t="s">
        <v>126</v>
      </c>
      <c r="AN1" s="21"/>
      <c r="AO1" s="21"/>
      <c r="AP1" s="21"/>
      <c r="AQ1" s="21"/>
      <c r="AR1" s="21"/>
      <c r="AS1" s="21"/>
      <c r="AT1" s="21"/>
      <c r="AU1" s="21"/>
      <c r="AV1" s="21"/>
      <c r="AW1" s="21"/>
      <c r="AX1" s="21"/>
      <c r="AY1" s="21"/>
      <c r="AZ1" s="21"/>
      <c r="BA1" s="21"/>
      <c r="BB1" s="21"/>
      <c r="BC1" s="21"/>
      <c r="BD1" s="21"/>
      <c r="BE1" s="21"/>
      <c r="BF1" s="21"/>
      <c r="BG1" s="21"/>
      <c r="BH1" s="20"/>
      <c r="BI1" s="21"/>
      <c r="BJ1" s="21"/>
      <c r="BK1" s="21"/>
      <c r="BL1" s="20" t="s">
        <v>127</v>
      </c>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row>
    <row r="2" spans="1:92">
      <c r="AM2" s="22" t="s">
        <v>128</v>
      </c>
      <c r="AN2" s="22" t="s">
        <v>129</v>
      </c>
      <c r="AO2" s="22" t="s">
        <v>130</v>
      </c>
      <c r="AP2" s="22" t="s">
        <v>131</v>
      </c>
      <c r="AQ2" s="22" t="s">
        <v>132</v>
      </c>
      <c r="AR2" s="22" t="s">
        <v>133</v>
      </c>
      <c r="AS2" s="22" t="s">
        <v>134</v>
      </c>
      <c r="AT2" s="22" t="s">
        <v>135</v>
      </c>
      <c r="AU2" s="22" t="s">
        <v>136</v>
      </c>
      <c r="AV2" s="22" t="s">
        <v>137</v>
      </c>
      <c r="AW2" s="22" t="s">
        <v>138</v>
      </c>
      <c r="AX2" s="22" t="s">
        <v>139</v>
      </c>
      <c r="AY2" s="22" t="s">
        <v>140</v>
      </c>
      <c r="AZ2" s="22" t="s">
        <v>141</v>
      </c>
      <c r="BA2" s="22" t="s">
        <v>142</v>
      </c>
      <c r="BB2" s="22" t="s">
        <v>143</v>
      </c>
      <c r="BC2" s="22" t="s">
        <v>144</v>
      </c>
      <c r="BD2" s="22" t="s">
        <v>145</v>
      </c>
      <c r="BE2" s="22" t="s">
        <v>146</v>
      </c>
      <c r="BF2" s="22" t="s">
        <v>147</v>
      </c>
      <c r="BG2" s="22" t="s">
        <v>148</v>
      </c>
      <c r="BH2" s="23" t="s">
        <v>149</v>
      </c>
      <c r="BI2" s="23" t="s">
        <v>150</v>
      </c>
      <c r="BJ2" s="23" t="s">
        <v>151</v>
      </c>
      <c r="BK2" s="23" t="s">
        <v>152</v>
      </c>
      <c r="BL2" s="24" t="s">
        <v>153</v>
      </c>
      <c r="BM2" s="24" t="s">
        <v>154</v>
      </c>
      <c r="BN2" s="24" t="s">
        <v>155</v>
      </c>
      <c r="BO2" s="24" t="s">
        <v>156</v>
      </c>
      <c r="BP2" s="24" t="s">
        <v>157</v>
      </c>
      <c r="BQ2" s="24" t="s">
        <v>158</v>
      </c>
      <c r="BR2" s="24" t="s">
        <v>159</v>
      </c>
      <c r="BS2" s="24" t="s">
        <v>160</v>
      </c>
      <c r="BT2" s="24" t="s">
        <v>161</v>
      </c>
      <c r="BU2" s="24" t="s">
        <v>162</v>
      </c>
      <c r="BV2" s="24" t="s">
        <v>163</v>
      </c>
      <c r="BW2" s="24" t="s">
        <v>164</v>
      </c>
      <c r="BX2" s="24" t="s">
        <v>165</v>
      </c>
      <c r="BY2" s="24" t="s">
        <v>166</v>
      </c>
      <c r="BZ2" s="24" t="s">
        <v>167</v>
      </c>
      <c r="CA2" s="24" t="s">
        <v>168</v>
      </c>
      <c r="CB2" s="24" t="s">
        <v>169</v>
      </c>
      <c r="CC2" s="24" t="s">
        <v>170</v>
      </c>
      <c r="CD2" s="24" t="s">
        <v>171</v>
      </c>
      <c r="CE2" s="24" t="s">
        <v>172</v>
      </c>
      <c r="CF2" s="24" t="s">
        <v>173</v>
      </c>
      <c r="CG2" s="24" t="s">
        <v>174</v>
      </c>
      <c r="CH2" s="24" t="s">
        <v>175</v>
      </c>
      <c r="CI2" s="24" t="s">
        <v>176</v>
      </c>
      <c r="CJ2" s="25" t="s">
        <v>177</v>
      </c>
      <c r="CK2" s="25" t="s">
        <v>178</v>
      </c>
      <c r="CL2" s="25" t="s">
        <v>179</v>
      </c>
      <c r="CM2" s="24" t="s">
        <v>180</v>
      </c>
      <c r="CN2" s="25" t="s">
        <v>181</v>
      </c>
    </row>
    <row r="3" spans="1:92" s="8" customFormat="1" ht="66.75" customHeight="1">
      <c r="A3" s="16" t="s">
        <v>111</v>
      </c>
      <c r="B3" s="16" t="s">
        <v>112</v>
      </c>
      <c r="C3" s="16" t="s">
        <v>113</v>
      </c>
      <c r="D3" s="16" t="s">
        <v>5</v>
      </c>
      <c r="E3" s="16" t="s">
        <v>114</v>
      </c>
      <c r="F3" s="16" t="s">
        <v>115</v>
      </c>
      <c r="G3" s="16" t="s">
        <v>116</v>
      </c>
      <c r="H3" s="16" t="s">
        <v>119</v>
      </c>
      <c r="I3" s="16" t="s">
        <v>120</v>
      </c>
      <c r="J3" s="16" t="s">
        <v>122</v>
      </c>
      <c r="K3" s="3" t="s">
        <v>4</v>
      </c>
      <c r="L3" s="3" t="s">
        <v>182</v>
      </c>
      <c r="M3" s="3" t="s">
        <v>123</v>
      </c>
      <c r="N3" s="3" t="s">
        <v>5</v>
      </c>
      <c r="O3" s="3" t="s">
        <v>6</v>
      </c>
      <c r="P3" s="3" t="s">
        <v>7</v>
      </c>
      <c r="Q3" s="3" t="s">
        <v>8</v>
      </c>
      <c r="R3" s="3" t="s">
        <v>9</v>
      </c>
      <c r="S3" s="3" t="s">
        <v>10</v>
      </c>
      <c r="T3" s="3" t="s">
        <v>11</v>
      </c>
      <c r="U3" s="3" t="s">
        <v>12</v>
      </c>
      <c r="V3" s="3" t="s">
        <v>13</v>
      </c>
      <c r="W3" s="3" t="s">
        <v>14</v>
      </c>
      <c r="X3" s="3" t="s">
        <v>15</v>
      </c>
      <c r="Y3" s="3" t="s">
        <v>16</v>
      </c>
      <c r="Z3" s="3" t="s">
        <v>17</v>
      </c>
      <c r="AA3" s="3" t="s">
        <v>124</v>
      </c>
      <c r="AB3" s="3" t="s">
        <v>125</v>
      </c>
      <c r="AC3" s="27" t="s">
        <v>184</v>
      </c>
      <c r="AD3" s="27" t="s">
        <v>185</v>
      </c>
      <c r="AE3" s="3" t="s">
        <v>18</v>
      </c>
      <c r="AF3" s="3" t="s">
        <v>19</v>
      </c>
      <c r="AG3" s="3" t="s">
        <v>20</v>
      </c>
      <c r="AH3" s="3" t="s">
        <v>21</v>
      </c>
      <c r="AI3" s="3" t="s">
        <v>22</v>
      </c>
      <c r="AJ3" s="3" t="s">
        <v>23</v>
      </c>
      <c r="AK3" s="4" t="s">
        <v>24</v>
      </c>
      <c r="AL3" s="4" t="s">
        <v>25</v>
      </c>
      <c r="AM3" s="5" t="s">
        <v>26</v>
      </c>
      <c r="AN3" s="5" t="s">
        <v>27</v>
      </c>
      <c r="AO3" s="5" t="s">
        <v>28</v>
      </c>
      <c r="AP3" s="5" t="s">
        <v>29</v>
      </c>
      <c r="AQ3" s="5" t="s">
        <v>30</v>
      </c>
      <c r="AR3" s="5" t="s">
        <v>31</v>
      </c>
      <c r="AS3" s="5" t="s">
        <v>32</v>
      </c>
      <c r="AT3" s="5" t="s">
        <v>33</v>
      </c>
      <c r="AU3" s="5" t="s">
        <v>34</v>
      </c>
      <c r="AV3" s="5" t="s">
        <v>35</v>
      </c>
      <c r="AW3" s="5" t="s">
        <v>36</v>
      </c>
      <c r="AX3" s="5" t="s">
        <v>37</v>
      </c>
      <c r="AY3" s="5" t="s">
        <v>38</v>
      </c>
      <c r="AZ3" s="5" t="s">
        <v>39</v>
      </c>
      <c r="BA3" s="5" t="s">
        <v>40</v>
      </c>
      <c r="BB3" s="5" t="s">
        <v>41</v>
      </c>
      <c r="BC3" s="5" t="s">
        <v>42</v>
      </c>
      <c r="BD3" s="5" t="s">
        <v>43</v>
      </c>
      <c r="BE3" s="5" t="s">
        <v>44</v>
      </c>
      <c r="BF3" s="5" t="s">
        <v>45</v>
      </c>
      <c r="BG3" s="5" t="s">
        <v>46</v>
      </c>
      <c r="BH3" s="6" t="s">
        <v>47</v>
      </c>
      <c r="BI3" s="6" t="s">
        <v>48</v>
      </c>
      <c r="BJ3" s="6" t="s">
        <v>49</v>
      </c>
      <c r="BK3" s="6" t="s">
        <v>50</v>
      </c>
      <c r="BL3" s="7" t="s">
        <v>51</v>
      </c>
      <c r="BM3" s="7" t="s">
        <v>52</v>
      </c>
      <c r="BN3" s="7" t="s">
        <v>53</v>
      </c>
      <c r="BO3" s="7" t="s">
        <v>54</v>
      </c>
      <c r="BP3" s="7" t="s">
        <v>55</v>
      </c>
      <c r="BQ3" s="7" t="s">
        <v>56</v>
      </c>
      <c r="BR3" s="7" t="s">
        <v>57</v>
      </c>
      <c r="BS3" s="7" t="s">
        <v>58</v>
      </c>
      <c r="BT3" s="7" t="s">
        <v>59</v>
      </c>
      <c r="BU3" s="7" t="s">
        <v>60</v>
      </c>
      <c r="BV3" s="7" t="s">
        <v>61</v>
      </c>
      <c r="BW3" s="7" t="s">
        <v>62</v>
      </c>
      <c r="BX3" s="7" t="s">
        <v>63</v>
      </c>
      <c r="BY3" s="7" t="s">
        <v>64</v>
      </c>
      <c r="BZ3" s="7" t="s">
        <v>65</v>
      </c>
      <c r="CA3" s="7" t="s">
        <v>66</v>
      </c>
      <c r="CB3" s="7" t="s">
        <v>67</v>
      </c>
      <c r="CC3" s="7" t="s">
        <v>68</v>
      </c>
      <c r="CD3" s="7" t="s">
        <v>69</v>
      </c>
      <c r="CE3" s="7" t="s">
        <v>70</v>
      </c>
      <c r="CF3" s="7" t="s">
        <v>71</v>
      </c>
      <c r="CG3" s="7" t="s">
        <v>72</v>
      </c>
      <c r="CH3" s="7" t="s">
        <v>73</v>
      </c>
      <c r="CI3" s="7" t="s">
        <v>74</v>
      </c>
      <c r="CJ3" s="3" t="s">
        <v>75</v>
      </c>
      <c r="CK3" s="3" t="s">
        <v>76</v>
      </c>
      <c r="CL3" s="3" t="s">
        <v>77</v>
      </c>
      <c r="CM3" s="7" t="s">
        <v>78</v>
      </c>
      <c r="CN3" s="3" t="s">
        <v>79</v>
      </c>
    </row>
    <row r="4" spans="1:92" s="2" customFormat="1">
      <c r="A4" s="2" t="s">
        <v>117</v>
      </c>
      <c r="B4" s="2" t="s">
        <v>118</v>
      </c>
      <c r="C4" s="2">
        <v>2018</v>
      </c>
      <c r="D4" s="2" t="str">
        <f>N4</f>
        <v>10.1029/2018PA003356</v>
      </c>
      <c r="E4" s="2">
        <f>V4*1000</f>
        <v>63800</v>
      </c>
      <c r="F4" s="2">
        <f>(W4-V4)*1000</f>
        <v>200.00000000000284</v>
      </c>
      <c r="G4" s="2">
        <f>(V4-X4)*1000</f>
        <v>200.00000000000284</v>
      </c>
      <c r="H4" s="17">
        <f>AE4</f>
        <v>470.62359724726599</v>
      </c>
      <c r="I4" s="17">
        <f>AH4-AE4</f>
        <v>114.738817285979</v>
      </c>
      <c r="J4" s="17">
        <f>AE4-AG4</f>
        <v>88.667814914004964</v>
      </c>
      <c r="K4" s="9" t="s">
        <v>80</v>
      </c>
      <c r="L4" s="26" t="s">
        <v>183</v>
      </c>
      <c r="M4" s="9" t="s">
        <v>3</v>
      </c>
      <c r="N4" s="9" t="s">
        <v>81</v>
      </c>
      <c r="O4" s="9" t="s">
        <v>82</v>
      </c>
      <c r="P4" s="9" t="s">
        <v>83</v>
      </c>
      <c r="Q4" s="9" t="s">
        <v>84</v>
      </c>
      <c r="R4" s="9" t="s">
        <v>121</v>
      </c>
      <c r="S4" s="9" t="s">
        <v>85</v>
      </c>
      <c r="T4" s="9" t="s">
        <v>86</v>
      </c>
      <c r="U4" s="9" t="s">
        <v>87</v>
      </c>
      <c r="V4" s="10">
        <v>63.8</v>
      </c>
      <c r="W4" s="10">
        <v>64</v>
      </c>
      <c r="X4" s="10">
        <v>63.599999999999994</v>
      </c>
      <c r="Y4" s="9" t="s">
        <v>121</v>
      </c>
      <c r="Z4" s="9" t="s">
        <v>88</v>
      </c>
      <c r="AA4" s="10">
        <v>39.380000000000003</v>
      </c>
      <c r="AB4" s="10">
        <v>-104.85</v>
      </c>
      <c r="AC4" s="9" t="s">
        <v>121</v>
      </c>
      <c r="AD4" s="9" t="s">
        <v>121</v>
      </c>
      <c r="AE4" s="11">
        <v>470.62359724726599</v>
      </c>
      <c r="AF4" s="9" t="s">
        <v>89</v>
      </c>
      <c r="AG4" s="11">
        <v>381.95578233326103</v>
      </c>
      <c r="AH4" s="11">
        <v>585.36241453324499</v>
      </c>
      <c r="AI4" s="9" t="s">
        <v>90</v>
      </c>
      <c r="AJ4" s="9" t="s">
        <v>91</v>
      </c>
      <c r="AK4" s="9" t="s">
        <v>92</v>
      </c>
      <c r="AL4" s="9" t="s">
        <v>93</v>
      </c>
      <c r="AM4" s="12">
        <v>230000000</v>
      </c>
      <c r="AN4" s="12">
        <v>6000000</v>
      </c>
      <c r="AO4" s="9" t="s">
        <v>94</v>
      </c>
      <c r="AP4" s="12">
        <v>0</v>
      </c>
      <c r="AQ4" s="12">
        <v>0</v>
      </c>
      <c r="AR4" s="9" t="s">
        <v>94</v>
      </c>
      <c r="AS4" s="12">
        <v>9.5999999999999996E-6</v>
      </c>
      <c r="AT4" s="12">
        <v>4.9999999999999998E-7</v>
      </c>
      <c r="AU4" s="9" t="s">
        <v>94</v>
      </c>
      <c r="AV4" s="12">
        <v>0</v>
      </c>
      <c r="AW4" s="12">
        <v>0</v>
      </c>
      <c r="AX4" s="9" t="s">
        <v>94</v>
      </c>
      <c r="AY4" s="12">
        <v>5.93E-6</v>
      </c>
      <c r="AZ4" s="12">
        <v>3.0899999999999997E-7</v>
      </c>
      <c r="BA4" s="9" t="s">
        <v>94</v>
      </c>
      <c r="BB4" s="12">
        <v>0</v>
      </c>
      <c r="BC4" s="12">
        <v>0</v>
      </c>
      <c r="BD4" s="9" t="s">
        <v>94</v>
      </c>
      <c r="BE4" s="10">
        <v>-25.47</v>
      </c>
      <c r="BF4" s="10">
        <v>0.41</v>
      </c>
      <c r="BG4" s="9" t="s">
        <v>94</v>
      </c>
      <c r="BH4" s="10">
        <v>-5</v>
      </c>
      <c r="BI4" s="10">
        <v>0.3</v>
      </c>
      <c r="BJ4" s="9" t="s">
        <v>95</v>
      </c>
      <c r="BK4" s="10">
        <v>379</v>
      </c>
      <c r="BL4" s="10">
        <v>13.24</v>
      </c>
      <c r="BM4" s="10">
        <v>0.43</v>
      </c>
      <c r="BN4" s="9" t="s">
        <v>96</v>
      </c>
      <c r="BO4" s="10">
        <v>0.71</v>
      </c>
      <c r="BP4" s="10">
        <v>3.5499999999999997E-2</v>
      </c>
      <c r="BQ4" s="9" t="s">
        <v>97</v>
      </c>
      <c r="BR4" s="10">
        <v>2</v>
      </c>
      <c r="BS4" s="10">
        <v>0.1</v>
      </c>
      <c r="BT4" s="9" t="s">
        <v>98</v>
      </c>
      <c r="BU4" s="10">
        <v>1</v>
      </c>
      <c r="BV4" s="10">
        <v>0</v>
      </c>
      <c r="BW4" s="9" t="s">
        <v>99</v>
      </c>
      <c r="BX4" s="10">
        <v>1</v>
      </c>
      <c r="BY4" s="10">
        <v>0.05</v>
      </c>
      <c r="BZ4" s="9" t="s">
        <v>98</v>
      </c>
      <c r="CA4" s="10">
        <v>1</v>
      </c>
      <c r="CB4" s="10">
        <v>0.05</v>
      </c>
      <c r="CC4" s="9" t="s">
        <v>98</v>
      </c>
      <c r="CD4" s="13">
        <v>0.23809523799999999</v>
      </c>
      <c r="CE4" s="13">
        <v>1.1904761999999999E-2</v>
      </c>
      <c r="CF4" s="9" t="s">
        <v>100</v>
      </c>
      <c r="CG4" s="10">
        <v>1.2999999999999999E-2</v>
      </c>
      <c r="CH4" s="10">
        <v>6.4999999999999997E-4</v>
      </c>
      <c r="CI4" s="9" t="s">
        <v>98</v>
      </c>
      <c r="CJ4" s="9" t="s">
        <v>101</v>
      </c>
      <c r="CK4" s="10">
        <v>30</v>
      </c>
      <c r="CL4" s="10">
        <v>9.4009599999999997E-4</v>
      </c>
      <c r="CM4" s="10">
        <v>40</v>
      </c>
      <c r="CN4" s="10">
        <v>25</v>
      </c>
    </row>
    <row r="5" spans="1:92" s="2" customFormat="1">
      <c r="A5" s="2" t="s">
        <v>117</v>
      </c>
      <c r="B5" s="2" t="s">
        <v>118</v>
      </c>
      <c r="C5" s="2">
        <v>2019</v>
      </c>
      <c r="D5" s="2" t="str">
        <f t="shared" ref="D5:D6" si="0">N5</f>
        <v>10.1029/2018PA003356</v>
      </c>
      <c r="E5" s="2">
        <f t="shared" ref="E5:E6" si="1">V5*1000</f>
        <v>63800</v>
      </c>
      <c r="F5" s="2">
        <f t="shared" ref="F5:F6" si="2">(W5-V5)*1000</f>
        <v>200.00000000000284</v>
      </c>
      <c r="G5" s="2">
        <f t="shared" ref="G5:G6" si="3">(V5-X5)*1000</f>
        <v>200.00000000000284</v>
      </c>
      <c r="H5" s="17">
        <f t="shared" ref="H5:H6" si="4">AE5</f>
        <v>579.12422502065704</v>
      </c>
      <c r="I5" s="17">
        <f t="shared" ref="I5:I6" si="5">AH5-AE5</f>
        <v>111.66549135177399</v>
      </c>
      <c r="J5" s="17">
        <f t="shared" ref="J5:J6" si="6">AE5-AG5</f>
        <v>91.036556443118059</v>
      </c>
      <c r="K5" s="9" t="s">
        <v>80</v>
      </c>
      <c r="L5" s="26" t="s">
        <v>183</v>
      </c>
      <c r="M5" s="9" t="s">
        <v>3</v>
      </c>
      <c r="N5" s="9" t="s">
        <v>81</v>
      </c>
      <c r="O5" s="9" t="s">
        <v>102</v>
      </c>
      <c r="P5" s="9" t="s">
        <v>83</v>
      </c>
      <c r="Q5" s="9" t="s">
        <v>121</v>
      </c>
      <c r="R5" s="9" t="s">
        <v>121</v>
      </c>
      <c r="S5" s="9" t="s">
        <v>85</v>
      </c>
      <c r="T5" s="9" t="s">
        <v>86</v>
      </c>
      <c r="U5" s="9" t="s">
        <v>87</v>
      </c>
      <c r="V5" s="10">
        <v>63.8</v>
      </c>
      <c r="W5" s="10">
        <v>64</v>
      </c>
      <c r="X5" s="10">
        <v>63.599999999999994</v>
      </c>
      <c r="Y5" s="9" t="s">
        <v>121</v>
      </c>
      <c r="Z5" s="9" t="s">
        <v>88</v>
      </c>
      <c r="AA5" s="10">
        <v>39.380000000000003</v>
      </c>
      <c r="AB5" s="10">
        <v>-104.85</v>
      </c>
      <c r="AC5" s="9" t="s">
        <v>121</v>
      </c>
      <c r="AD5" s="9" t="s">
        <v>121</v>
      </c>
      <c r="AE5" s="11">
        <v>579.12422502065704</v>
      </c>
      <c r="AF5" s="9" t="s">
        <v>89</v>
      </c>
      <c r="AG5" s="11">
        <v>488.08766857753898</v>
      </c>
      <c r="AH5" s="11">
        <v>690.78971637243103</v>
      </c>
      <c r="AI5" s="9" t="s">
        <v>90</v>
      </c>
      <c r="AJ5" s="9" t="s">
        <v>91</v>
      </c>
      <c r="AK5" s="9" t="s">
        <v>92</v>
      </c>
      <c r="AL5" s="9" t="s">
        <v>93</v>
      </c>
      <c r="AM5" s="12">
        <v>123000000</v>
      </c>
      <c r="AN5" s="12">
        <v>50000</v>
      </c>
      <c r="AO5" s="9" t="s">
        <v>103</v>
      </c>
      <c r="AP5" s="12">
        <v>0</v>
      </c>
      <c r="AQ5" s="12">
        <v>0</v>
      </c>
      <c r="AR5" s="9" t="s">
        <v>103</v>
      </c>
      <c r="AS5" s="12">
        <v>1.2300000000000001E-5</v>
      </c>
      <c r="AT5" s="12">
        <v>2.9999999999999999E-7</v>
      </c>
      <c r="AU5" s="9" t="s">
        <v>103</v>
      </c>
      <c r="AV5" s="12">
        <v>0</v>
      </c>
      <c r="AW5" s="12">
        <v>0</v>
      </c>
      <c r="AX5" s="9" t="s">
        <v>103</v>
      </c>
      <c r="AY5" s="12">
        <v>7.6000000000000001E-6</v>
      </c>
      <c r="AZ5" s="12">
        <v>1.85E-7</v>
      </c>
      <c r="BA5" s="9" t="s">
        <v>103</v>
      </c>
      <c r="BB5" s="12">
        <v>0</v>
      </c>
      <c r="BC5" s="12">
        <v>0</v>
      </c>
      <c r="BD5" s="9" t="s">
        <v>103</v>
      </c>
      <c r="BE5" s="10">
        <v>-25.58</v>
      </c>
      <c r="BF5" s="10">
        <v>0.21</v>
      </c>
      <c r="BG5" s="9" t="s">
        <v>103</v>
      </c>
      <c r="BH5" s="10">
        <v>-5</v>
      </c>
      <c r="BI5" s="10">
        <v>0.3</v>
      </c>
      <c r="BJ5" s="9" t="s">
        <v>95</v>
      </c>
      <c r="BK5" s="10">
        <v>360</v>
      </c>
      <c r="BL5" s="10">
        <v>12</v>
      </c>
      <c r="BM5" s="10">
        <v>0.6</v>
      </c>
      <c r="BN5" s="9" t="s">
        <v>98</v>
      </c>
      <c r="BO5" s="10">
        <v>0.71</v>
      </c>
      <c r="BP5" s="10">
        <v>3.5499999999999997E-2</v>
      </c>
      <c r="BQ5" s="9" t="s">
        <v>97</v>
      </c>
      <c r="BR5" s="10">
        <v>2</v>
      </c>
      <c r="BS5" s="10">
        <v>0.1</v>
      </c>
      <c r="BT5" s="9" t="s">
        <v>98</v>
      </c>
      <c r="BU5" s="10">
        <v>1</v>
      </c>
      <c r="BV5" s="10">
        <v>0</v>
      </c>
      <c r="BW5" s="9" t="s">
        <v>99</v>
      </c>
      <c r="BX5" s="10">
        <v>1</v>
      </c>
      <c r="BY5" s="10">
        <v>0.05</v>
      </c>
      <c r="BZ5" s="9" t="s">
        <v>98</v>
      </c>
      <c r="CA5" s="10">
        <v>1</v>
      </c>
      <c r="CB5" s="10">
        <v>0.05</v>
      </c>
      <c r="CC5" s="9" t="s">
        <v>98</v>
      </c>
      <c r="CD5" s="13">
        <v>0.23809523799999999</v>
      </c>
      <c r="CE5" s="13">
        <v>1.1904761999999999E-2</v>
      </c>
      <c r="CF5" s="9" t="s">
        <v>100</v>
      </c>
      <c r="CG5" s="10">
        <v>1.2999999999999999E-2</v>
      </c>
      <c r="CH5" s="10">
        <v>6.4999999999999997E-4</v>
      </c>
      <c r="CI5" s="9" t="s">
        <v>98</v>
      </c>
      <c r="CJ5" s="9" t="s">
        <v>101</v>
      </c>
      <c r="CK5" s="10">
        <v>30</v>
      </c>
      <c r="CL5" s="10">
        <v>9.4009599999999997E-4</v>
      </c>
      <c r="CM5" s="10">
        <v>40</v>
      </c>
      <c r="CN5" s="10">
        <v>25</v>
      </c>
    </row>
    <row r="6" spans="1:92" s="2" customFormat="1">
      <c r="A6" s="2" t="s">
        <v>117</v>
      </c>
      <c r="B6" s="2" t="s">
        <v>118</v>
      </c>
      <c r="C6" s="2">
        <v>2020</v>
      </c>
      <c r="D6" s="2" t="str">
        <f t="shared" si="0"/>
        <v>10.1029/2018PA003356</v>
      </c>
      <c r="E6" s="2">
        <f t="shared" si="1"/>
        <v>63800</v>
      </c>
      <c r="F6" s="2">
        <f t="shared" si="2"/>
        <v>200.00000000000284</v>
      </c>
      <c r="G6" s="2">
        <f t="shared" si="3"/>
        <v>200.00000000000284</v>
      </c>
      <c r="H6" s="17">
        <f t="shared" si="4"/>
        <v>623</v>
      </c>
      <c r="I6" s="17">
        <f t="shared" si="5"/>
        <v>140</v>
      </c>
      <c r="J6" s="17">
        <f t="shared" si="6"/>
        <v>112</v>
      </c>
      <c r="K6" s="9" t="s">
        <v>80</v>
      </c>
      <c r="L6" s="26" t="s">
        <v>183</v>
      </c>
      <c r="M6" s="9" t="s">
        <v>3</v>
      </c>
      <c r="N6" s="9" t="s">
        <v>81</v>
      </c>
      <c r="O6" s="9" t="s">
        <v>104</v>
      </c>
      <c r="P6" s="9" t="s">
        <v>105</v>
      </c>
      <c r="Q6" s="9" t="s">
        <v>106</v>
      </c>
      <c r="R6" s="9" t="s">
        <v>107</v>
      </c>
      <c r="S6" s="9" t="s">
        <v>85</v>
      </c>
      <c r="T6" s="9" t="s">
        <v>86</v>
      </c>
      <c r="U6" s="9" t="s">
        <v>87</v>
      </c>
      <c r="V6" s="10">
        <v>63.8</v>
      </c>
      <c r="W6" s="10">
        <v>64</v>
      </c>
      <c r="X6" s="10">
        <v>63.599999999999994</v>
      </c>
      <c r="Y6" s="9" t="s">
        <v>121</v>
      </c>
      <c r="Z6" s="9" t="s">
        <v>88</v>
      </c>
      <c r="AA6" s="10">
        <v>39.380000000000003</v>
      </c>
      <c r="AB6" s="10">
        <v>-104.85</v>
      </c>
      <c r="AC6" s="9" t="s">
        <v>121</v>
      </c>
      <c r="AD6" s="9" t="s">
        <v>121</v>
      </c>
      <c r="AE6" s="11">
        <v>623</v>
      </c>
      <c r="AF6" s="9" t="s">
        <v>89</v>
      </c>
      <c r="AG6" s="11">
        <v>511</v>
      </c>
      <c r="AH6" s="11">
        <v>763</v>
      </c>
      <c r="AI6" s="9" t="s">
        <v>90</v>
      </c>
      <c r="AJ6" s="9" t="s">
        <v>91</v>
      </c>
      <c r="AK6" s="9" t="s">
        <v>92</v>
      </c>
      <c r="AL6" s="9" t="s">
        <v>93</v>
      </c>
      <c r="AM6" s="12">
        <v>136000000</v>
      </c>
      <c r="AN6" s="12">
        <v>6170000</v>
      </c>
      <c r="AO6" s="9" t="s">
        <v>108</v>
      </c>
      <c r="AP6" s="12">
        <v>0</v>
      </c>
      <c r="AQ6" s="12">
        <v>0</v>
      </c>
      <c r="AR6" s="9" t="s">
        <v>108</v>
      </c>
      <c r="AS6" s="12">
        <v>1.01E-5</v>
      </c>
      <c r="AT6" s="12">
        <v>2.9999999999999999E-7</v>
      </c>
      <c r="AU6" s="9" t="s">
        <v>108</v>
      </c>
      <c r="AV6" s="12">
        <v>0</v>
      </c>
      <c r="AW6" s="12">
        <v>0</v>
      </c>
      <c r="AX6" s="9" t="s">
        <v>108</v>
      </c>
      <c r="AY6" s="12">
        <v>1.3699999999999999E-5</v>
      </c>
      <c r="AZ6" s="12">
        <v>3.9999999999999998E-7</v>
      </c>
      <c r="BA6" s="9" t="s">
        <v>108</v>
      </c>
      <c r="BB6" s="12">
        <v>0</v>
      </c>
      <c r="BC6" s="12">
        <v>0</v>
      </c>
      <c r="BD6" s="9" t="s">
        <v>108</v>
      </c>
      <c r="BE6" s="10">
        <v>-25.57</v>
      </c>
      <c r="BF6" s="10">
        <v>0.17</v>
      </c>
      <c r="BG6" s="9" t="s">
        <v>108</v>
      </c>
      <c r="BH6" s="10">
        <v>-5</v>
      </c>
      <c r="BI6" s="10">
        <v>0.3</v>
      </c>
      <c r="BJ6" s="9" t="s">
        <v>95</v>
      </c>
      <c r="BK6" s="10">
        <v>397</v>
      </c>
      <c r="BL6" s="10">
        <v>8.09</v>
      </c>
      <c r="BM6" s="10">
        <v>0.23</v>
      </c>
      <c r="BN6" s="9" t="s">
        <v>109</v>
      </c>
      <c r="BO6" s="13">
        <v>0.526808991</v>
      </c>
      <c r="BP6" s="14">
        <v>1.4126425E-2</v>
      </c>
      <c r="BQ6" s="9" t="s">
        <v>109</v>
      </c>
      <c r="BR6" s="10">
        <v>2</v>
      </c>
      <c r="BS6" s="10">
        <v>0.1</v>
      </c>
      <c r="BT6" s="9" t="s">
        <v>98</v>
      </c>
      <c r="BU6" s="10">
        <v>1</v>
      </c>
      <c r="BV6" s="10">
        <v>0</v>
      </c>
      <c r="BW6" s="9" t="s">
        <v>99</v>
      </c>
      <c r="BX6" s="10">
        <v>1</v>
      </c>
      <c r="BY6" s="10">
        <v>0.05</v>
      </c>
      <c r="BZ6" s="9" t="s">
        <v>98</v>
      </c>
      <c r="CA6" s="10">
        <v>0.6</v>
      </c>
      <c r="CB6" s="10">
        <v>0.03</v>
      </c>
      <c r="CC6" s="9" t="s">
        <v>98</v>
      </c>
      <c r="CD6" s="13">
        <v>0.40270756200000002</v>
      </c>
      <c r="CE6" s="13">
        <v>2.3535038000000001E-2</v>
      </c>
      <c r="CF6" s="9" t="s">
        <v>110</v>
      </c>
      <c r="CG6" s="10">
        <v>1.2999999999999999E-2</v>
      </c>
      <c r="CH6" s="10">
        <v>6.4999999999999997E-4</v>
      </c>
      <c r="CI6" s="9" t="s">
        <v>98</v>
      </c>
      <c r="CJ6" s="9" t="s">
        <v>101</v>
      </c>
      <c r="CK6" s="10">
        <v>30</v>
      </c>
      <c r="CL6" s="10">
        <v>9.4009599999999997E-4</v>
      </c>
      <c r="CM6" s="10">
        <v>40</v>
      </c>
      <c r="CN6" s="10">
        <v>25</v>
      </c>
    </row>
    <row r="7" spans="1:92" s="2" customFormat="1">
      <c r="AM7" s="15"/>
      <c r="AN7" s="15"/>
      <c r="AP7" s="15"/>
      <c r="AQ7" s="15"/>
      <c r="AS7" s="15"/>
      <c r="AT7" s="15"/>
      <c r="AV7" s="15"/>
      <c r="AW7" s="15"/>
      <c r="AY7" s="15"/>
      <c r="AZ7" s="15"/>
      <c r="BB7" s="15"/>
      <c r="BC7" s="15"/>
    </row>
    <row r="8" spans="1:92" s="2" customFormat="1">
      <c r="AM8" s="15"/>
      <c r="AN8" s="15"/>
      <c r="AP8" s="15"/>
      <c r="AQ8" s="15"/>
      <c r="AS8" s="15"/>
      <c r="AT8" s="15"/>
      <c r="AV8" s="15"/>
      <c r="AW8" s="15"/>
      <c r="AY8" s="15"/>
      <c r="AZ8" s="15"/>
      <c r="BB8" s="15"/>
      <c r="BC8" s="15"/>
    </row>
    <row r="9" spans="1:92" s="2" customFormat="1">
      <c r="AM9" s="15"/>
      <c r="AN9" s="15"/>
      <c r="AS9" s="15"/>
      <c r="AT9" s="15"/>
      <c r="AV9" s="15"/>
      <c r="AW9" s="15"/>
      <c r="AY9" s="15"/>
      <c r="AZ9" s="15"/>
      <c r="BB9" s="15"/>
      <c r="BC9" s="15"/>
    </row>
    <row r="10" spans="1:92" s="2" customFormat="1"/>
    <row r="11" spans="1:92" s="2" customFormat="1"/>
    <row r="12" spans="1:92" s="2" customFormat="1"/>
    <row r="13" spans="1:92" s="2" customFormat="1"/>
    <row r="14" spans="1:92" s="2" customFormat="1"/>
    <row r="15" spans="1:92" s="2" customFormat="1"/>
    <row r="16" spans="1:92" s="2" customFormat="1"/>
    <row r="17" s="2" customFormat="1"/>
    <row r="18" s="2" customFormat="1"/>
    <row r="19" s="2" customFormat="1"/>
    <row r="20" s="2" customFormat="1"/>
    <row r="21" s="2" customFormat="1"/>
    <row r="22" s="2" customFormat="1"/>
    <row r="23" s="2" customFormat="1"/>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row r="41" s="2" customFormat="1"/>
    <row r="42" s="2" customForma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D56D6-EDDB-8E44-9515-23C03A845B4D}">
  <dimension ref="A1:A4"/>
  <sheetViews>
    <sheetView workbookViewId="0">
      <selection activeCell="D23" sqref="D23"/>
    </sheetView>
  </sheetViews>
  <sheetFormatPr baseColWidth="10" defaultRowHeight="16"/>
  <sheetData>
    <row r="1" spans="1:1">
      <c r="A1" s="18" t="s">
        <v>0</v>
      </c>
    </row>
    <row r="2" spans="1:1" ht="17">
      <c r="A2" s="19" t="s">
        <v>1</v>
      </c>
    </row>
    <row r="3" spans="1:1">
      <c r="A3" s="18" t="s">
        <v>2</v>
      </c>
    </row>
    <row r="4" spans="1:1">
      <c r="A4" s="18"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2019-02-07T19:27:24Z</dcterms:created>
  <dcterms:modified xsi:type="dcterms:W3CDTF">2020-08-04T17:30:54Z</dcterms:modified>
</cp:coreProperties>
</file>