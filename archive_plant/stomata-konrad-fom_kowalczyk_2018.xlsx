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E73AA6C3-B4FD-C545-B5BA-738B622DD582}" xr6:coauthVersionLast="36" xr6:coauthVersionMax="36" xr10:uidLastSave="{00000000-0000-0000-0000-000000000000}"/>
  <bookViews>
    <workbookView xWindow="0" yWindow="2460" windowWidth="28800" windowHeight="14240" tabRatio="500" xr2:uid="{00000000-000D-0000-FFFF-FFFF00000000}"/>
  </bookViews>
  <sheets>
    <sheet name="leaf gas-exchange_FOM" sheetId="1" r:id="rId1"/>
    <sheet name="Specifications and References" sheetId="2" r:id="rId2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J4" i="1" l="1"/>
  <c r="I4" i="1"/>
  <c r="H4" i="1"/>
  <c r="G4" i="1"/>
  <c r="F4" i="1"/>
  <c r="E4" i="1"/>
  <c r="D4" i="1"/>
  <c r="BC4" i="1"/>
  <c r="BC5" i="1"/>
  <c r="BB5" i="1"/>
  <c r="BB4" i="1"/>
  <c r="AR5" i="1"/>
  <c r="AR4" i="1"/>
  <c r="AL4" i="1"/>
  <c r="AP4" i="1" s="1"/>
  <c r="AL5" i="1"/>
  <c r="AP5" i="1" s="1"/>
  <c r="AO5" i="1"/>
  <c r="AO4" i="1"/>
  <c r="AN5" i="1"/>
  <c r="AN4" i="1"/>
  <c r="AJ5" i="1"/>
  <c r="AJ4" i="1"/>
</calcChain>
</file>

<file path=xl/sharedStrings.xml><?xml version="1.0" encoding="utf-8"?>
<sst xmlns="http://schemas.openxmlformats.org/spreadsheetml/2006/main" count="187" uniqueCount="146">
  <si>
    <t>this spreadsheet is devised for the full optimality approach for stomatal conductance (FOM), see references below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</si>
  <si>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</si>
  <si>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</si>
  <si>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</si>
  <si>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</si>
  <si>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</si>
  <si>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</si>
  <si>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</si>
  <si>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</si>
  <si>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</si>
  <si>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</si>
  <si>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</si>
  <si>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</si>
  <si>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</si>
  <si>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</si>
  <si>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</si>
  <si>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</si>
  <si>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</si>
  <si>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</si>
  <si>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</si>
  <si>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</si>
  <si>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</si>
  <si>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</si>
  <si>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</si>
  <si>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</si>
  <si>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</si>
  <si>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</si>
  <si>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</si>
  <si>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</si>
  <si>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</si>
  <si>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</si>
  <si>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</si>
  <si>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</si>
  <si>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</si>
  <si>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r>
      <t>Number of counts</t>
    </r>
    <r>
      <rPr>
        <vertAlign val="superscript"/>
        <sz val="11"/>
        <rFont val="Calibri"/>
        <family val="2"/>
        <scheme val="minor"/>
      </rPr>
      <t>a</t>
    </r>
  </si>
  <si>
    <r>
      <rPr>
        <sz val="12"/>
        <color theme="1"/>
        <rFont val="Calibri"/>
        <family val="2"/>
        <scheme val="minor"/>
      </rPr>
      <t>Stomatal density SD [1/mm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] </t>
    </r>
  </si>
  <si>
    <r>
      <t>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</si>
  <si>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Stomatal pore length SL [µm]</t>
  </si>
  <si>
    <t>Stomatal pore depth  [µm] (derived from guard cell width)</t>
  </si>
  <si>
    <t>Maximum aperture width [µm] derived from pore length/2</t>
  </si>
  <si>
    <r>
      <t>Thickness of assimilating tissue  [µm] own measurements or estimation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</si>
  <si>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r>
      <t>if own measurements: 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</si>
  <si>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Reference for thickness of assimilating tissue</t>
  </si>
  <si>
    <r>
      <t>Porosity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</si>
  <si>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porosity of leaf tissue</t>
  </si>
  <si>
    <r>
      <t>Tortuosity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</si>
  <si>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tortuosity of leaf tissue</t>
  </si>
  <si>
    <t>Leaf length estimated [mm]</t>
  </si>
  <si>
    <r>
      <rPr>
        <sz val="12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 [‰]</t>
    </r>
  </si>
  <si>
    <r>
      <rPr>
        <sz val="12"/>
        <color theme="1"/>
        <rFont val="Calibri"/>
        <family val="2"/>
        <scheme val="minor"/>
      </rPr>
      <t xml:space="preserve"> Reference for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</t>
    </r>
  </si>
  <si>
    <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plant material [‰]</t>
    </r>
  </si>
  <si>
    <r>
      <rPr>
        <sz val="12"/>
        <color theme="1"/>
        <rFont val="Calibri"/>
        <family val="2"/>
        <scheme val="minor"/>
      </rPr>
      <t xml:space="preserve">Ci/Ca from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[-]</t>
    </r>
  </si>
  <si>
    <r>
      <t>Mean q (=Vcmax) [µmol*m-2*s-1] range of values as derived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</si>
  <si>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t>Min q (=Vcmax) [µmol*m-2*s-1]</t>
  </si>
  <si>
    <t>Max q (=Vcmax) [µmol*m-2*s-1]</t>
  </si>
  <si>
    <t>References for q</t>
  </si>
  <si>
    <r>
      <rPr>
        <sz val="12"/>
        <color theme="1"/>
        <rFont val="Calibri"/>
        <family val="2"/>
        <scheme val="minor"/>
      </rPr>
      <t>Rd25 [µmol*m</t>
    </r>
    <r>
      <rPr>
        <vertAlign val="superscript"/>
        <sz val="11"/>
        <color rgb="FF000000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>*s</t>
    </r>
    <r>
      <rPr>
        <vertAlign val="superscript"/>
        <sz val="11"/>
        <color rgb="FF000000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] as derived from literature</t>
    </r>
    <r>
      <rPr>
        <vertAlign val="superscript"/>
        <sz val="12"/>
        <color theme="1"/>
        <rFont val="Calibri"/>
        <family val="2"/>
        <scheme val="minor"/>
      </rPr>
      <t>b</t>
    </r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</si>
  <si>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</si>
  <si>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</si>
  <si>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</si>
  <si>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</si>
  <si>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</si>
  <si>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</si>
  <si>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</si>
  <si>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</si>
  <si>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</si>
  <si>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</si>
  <si>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</si>
  <si>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</si>
  <si>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</si>
  <si>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</si>
  <si>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</si>
  <si>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</si>
  <si>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</si>
  <si>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microscope</t>
  </si>
  <si>
    <t>Tipple et al., 2010 (10.1029/2009PA001851)</t>
  </si>
  <si>
    <t>Lauraceae</t>
  </si>
  <si>
    <r>
      <t>Grein M., Konrad W., Wilde V., Utescher T. &amp; Roth-Nebelsick A. (2011) Reconstruction of atmospheric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during the early middle Eocene by application of a gas exchange model to fossil plants from the Messel Formation, Germany.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309</t>
    </r>
    <r>
      <rPr>
        <sz val="11"/>
        <color theme="1"/>
        <rFont val="Calibri"/>
        <family val="2"/>
        <scheme val="minor"/>
      </rPr>
      <t>, 383-391</t>
    </r>
  </si>
  <si>
    <t>Evaluation of error margin:</t>
  </si>
  <si>
    <t xml:space="preserve">With the introduction of the model approach (Konrad et al. 2008, Journal of Theoretical Biology 253, 638-658), the most “critical“ input parameters were identified. </t>
  </si>
  <si>
    <t>These are</t>
  </si>
  <si>
    <t xml:space="preserve">relative humidity </t>
  </si>
  <si>
    <t>temperature T (of growing season))</t>
  </si>
  <si>
    <t>q</t>
  </si>
  <si>
    <t xml:space="preserve">Ci/Ca </t>
  </si>
  <si>
    <t>Environmental parameters are obtained by paleoclimate reconstruction, via coexistence approach and/or leaf margin analysis. The results are ranges.</t>
  </si>
  <si>
    <t>q is obtained by measurement and literature values of extant relatives of the fossil taxon. Here, also ranges are the result.</t>
  </si>
  <si>
    <t>Ci/Ca is calculated from carbon isotopes of the fossil material. The result is a mean with standard deviation.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</si>
  <si>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</si>
  <si>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</si>
  <si>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</si>
  <si>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Dana L Royer</t>
  </si>
  <si>
    <t>droyer@wesleyan.edu</t>
  </si>
  <si>
    <t>Kowalczyk JB, Royer DL, Miller IM, Anderson CW, Beerling DJ, Franks PJ, Grein M, Konrad W, Roth-Nebelsick A, Bowring SA, Johnson KR, Ramezani J. 2018. Multiple proxy estimates of atmospheric CO2 from an early Paleocene rainforest. Paleoceanography and Paleoclimatology, 33: 1427-1438.</t>
  </si>
  <si>
    <t>cf. Sassafras (CR 10)</t>
  </si>
  <si>
    <t>Ginkgo (CR 125)</t>
  </si>
  <si>
    <t>Denver Museum of Nature and Science</t>
  </si>
  <si>
    <t>Castle Rock</t>
  </si>
  <si>
    <t>Denver Formation</t>
  </si>
  <si>
    <t>near the top of the "D1" sequence</t>
  </si>
  <si>
    <t>U/Pb geochronology of detrital zircon grains</t>
  </si>
  <si>
    <t>Sassafras</t>
  </si>
  <si>
    <t>Ginkgoaceae</t>
  </si>
  <si>
    <t>Ginkgo</t>
  </si>
  <si>
    <t>448 x 334</t>
  </si>
  <si>
    <t>4 leaves</t>
  </si>
  <si>
    <t>15 leaves</t>
  </si>
  <si>
    <r>
      <t>mean of Lauraceae in Grein M., Konrad W., Wilde V., Utescher T. &amp; Roth-Nebelsick A. (2011) Reconstruction of atmospheric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during the early middle Eocene by application of a gas exchange model to fossil plants from the Messel Formation, Germany.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309</t>
    </r>
    <r>
      <rPr>
        <sz val="11"/>
        <color theme="1"/>
        <rFont val="Calibri"/>
        <family val="2"/>
        <scheme val="minor"/>
      </rPr>
      <t>, 383-391</t>
    </r>
  </si>
  <si>
    <r>
      <t>Grein M., Konrad W., Wilde V., Utescher T. &amp; Roth-Nebelsick A. (2011) Reconstruction of atmospheric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during the early middle Eocene by application of a gas exchange model to fossil plants from the Messel Formation, Germany.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309</t>
    </r>
    <r>
      <rPr>
        <sz val="11"/>
        <color theme="1"/>
        <rFont val="Calibri"/>
        <family val="2"/>
        <scheme val="minor"/>
      </rPr>
      <t>, 383-391; Leigh, A., Zwieniecki, M. A., Rockwell, F. E., Boyce, C. K., Nicotra, A. B., and Holbrook, N. M., 2011, Structural and hydraulic correlates of heterophylly in Ginkgo biloba: New Phytologist, v. 189, p. 459-470.</t>
    </r>
  </si>
  <si>
    <t>97.5 (minus two-sigma)</t>
  </si>
  <si>
    <t>127.5 (plus two-sigma)</t>
  </si>
  <si>
    <t>40.1 (minus two-sigma)</t>
  </si>
  <si>
    <t>48.1 (plus two-sigma)</t>
  </si>
  <si>
    <t>value of q in extant Sassafras albidum that results in correct CO2 concentration</t>
  </si>
  <si>
    <t>value of q in extant Ginkgo biloba that results in correct CO2 concentration</t>
  </si>
  <si>
    <t>Kloeppel, B. D., M. D. Abrams, and M. E. Kubiske (1993), Seasonal ecophysiology and leaf morphology of four successional Pennsylvania barrens species in open versus understory environments, Can J Forest Res, 23, 181-189.</t>
  </si>
  <si>
    <t>Beerling, D., J. McElwain, and C. Osborne (1998), Stomatal responses of the 'living fossil' Ginkgo biloba L. to changes in atmospheric CO2 concentrations, J Exp Bot, 49, 1603-1607.</t>
  </si>
  <si>
    <t>18.8 (minus two-sigma)</t>
  </si>
  <si>
    <t>24.8 (plus two-sigma)</t>
  </si>
  <si>
    <t>leaf-margin analysis</t>
  </si>
  <si>
    <t>Ellis, B., K. R. Johnson, and R. E. Dunn (2003), Evidence for an in situ early Paleocene rainforest from Castle Rock, Colorado, Rocky Mountain Geology, 38, 73-100.</t>
  </si>
  <si>
    <t>Richards, P. W. (1996), The Tropical Rain Forest: An Ecological Study, 2nd ed., 600 pp., Cambridge University Press, Cambridge, UK.</t>
  </si>
  <si>
    <t>typical values from present-day rainforests</t>
  </si>
  <si>
    <t>67 (minus two-sigma)</t>
  </si>
  <si>
    <t>87 (plus two-sigma)</t>
  </si>
  <si>
    <t>Royer, D. L., Y. Donnadieu, J. Park, J. Kowalczyk, and Y. Godderis (2014), Error analysis of CO2 and O2 estimates from the long-term geochemical model GEOCARBSULF, Am J Sci, 314, 1259-1283.</t>
  </si>
  <si>
    <t>10.1029/2018PA003356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</si>
  <si>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</si>
  <si>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</si>
  <si>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</si>
  <si>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</si>
  <si>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</si>
  <si>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</si>
  <si>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</si>
  <si>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Kowalczyk</t>
  </si>
  <si>
    <t>95% percentile range from Monte Carlo simulations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</si>
  <si>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</si>
  <si>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</si>
  <si>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</si>
  <si>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</si>
  <si>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</si>
  <si>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</si>
  <si>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stomata-konrad-FOM</t>
  </si>
  <si>
    <r>
      <t>Sample name</t>
    </r>
    <r>
      <rPr>
        <vertAlign val="superscript"/>
        <sz val="12"/>
        <color rgb="FF000000"/>
        <rFont val="Calibri"/>
        <family val="2"/>
        <scheme val="minor"/>
      </rPr>
      <t>a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</si>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</sst>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name val="Calibri"/>
      <family val="2"/>
      <scheme val="minor"/>
    </font>
    <font>
      <sz val="12"/>
      <color rgb="FF000000"/>
      <name val="Verdana"/>
      <family val="2"/>
    </font>
    <font>
      <vertAlign val="superscript"/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4" fillId="0" borderId="0"/>
  </cellStyleXfs>
  <cellXfs count="37">
    <xf numFmtId="0" fontId="0" fillId="0" borderId="0" xfId="0"/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11" fillId="4" borderId="1" xfId="1" applyFont="1" applyFill="1" applyBorder="1" applyAlignment="1">
      <alignment vertical="top" wrapText="1"/>
    </xf>
    <xf numFmtId="0" fontId="11" fillId="5" borderId="1" xfId="1" applyFont="1" applyFill="1" applyBorder="1" applyAlignment="1">
      <alignment vertical="top" wrapText="1"/>
    </xf>
    <xf numFmtId="0" fontId="11" fillId="6" borderId="1" xfId="1" applyFont="1" applyFill="1" applyBorder="1" applyAlignment="1">
      <alignment vertical="top" wrapText="1"/>
    </xf>
    <xf numFmtId="0" fontId="11" fillId="7" borderId="1" xfId="1" applyFont="1" applyFill="1" applyBorder="1" applyAlignment="1">
      <alignment vertical="top" wrapText="1"/>
    </xf>
    <xf numFmtId="0" fontId="11" fillId="8" borderId="1" xfId="1" applyFont="1" applyFill="1" applyBorder="1" applyAlignment="1">
      <alignment vertical="top" wrapText="1"/>
    </xf>
    <xf numFmtId="0" fontId="0" fillId="0" borderId="0" xfId="0" applyAlignment="1"/>
    <xf numFmtId="0" fontId="14" fillId="0" borderId="2" xfId="0" applyFont="1" applyBorder="1" applyAlignment="1"/>
    <xf numFmtId="0" fontId="11" fillId="0" borderId="0" xfId="1" applyFont="1" applyBorder="1" applyAlignment="1"/>
    <xf numFmtId="0" fontId="3" fillId="0" borderId="0" xfId="0" applyFont="1"/>
    <xf numFmtId="0" fontId="11" fillId="0" borderId="0" xfId="1" applyNumberFormat="1" applyFont="1" applyBorder="1" applyAlignment="1"/>
    <xf numFmtId="0" fontId="0" fillId="0" borderId="0" xfId="0" applyNumberFormat="1"/>
    <xf numFmtId="0" fontId="5" fillId="0" borderId="1" xfId="0" applyNumberFormat="1" applyFont="1" applyBorder="1" applyAlignment="1">
      <alignment vertical="top"/>
    </xf>
    <xf numFmtId="0" fontId="0" fillId="0" borderId="0" xfId="0" applyFill="1" applyBorder="1" applyAlignment="1"/>
    <xf numFmtId="0" fontId="18" fillId="0" borderId="0" xfId="1" applyFont="1" applyAlignment="1"/>
    <xf numFmtId="1" fontId="11" fillId="0" borderId="0" xfId="1" applyNumberFormat="1" applyFont="1" applyBorder="1" applyAlignment="1"/>
    <xf numFmtId="0" fontId="2" fillId="0" borderId="0" xfId="0" applyFont="1"/>
    <xf numFmtId="2" fontId="11" fillId="0" borderId="0" xfId="1" applyNumberFormat="1" applyFont="1" applyBorder="1" applyAlignment="1">
      <alignment wrapText="1"/>
    </xf>
    <xf numFmtId="0" fontId="0" fillId="0" borderId="0" xfId="0" applyFont="1"/>
    <xf numFmtId="0" fontId="0" fillId="0" borderId="0" xfId="0" applyFont="1" applyAlignment="1">
      <alignment vertical="center"/>
    </xf>
    <xf numFmtId="0" fontId="19" fillId="0" borderId="0" xfId="0" applyFont="1"/>
    <xf numFmtId="0" fontId="14" fillId="0" borderId="0" xfId="0" applyFont="1" applyAlignment="1">
      <alignment vertical="top" wrapText="1"/>
    </xf>
    <xf numFmtId="0" fontId="20" fillId="9" borderId="1" xfId="0" applyFont="1" applyFill="1" applyBorder="1" applyAlignment="1">
      <alignment horizontal="center" vertical="top" wrapText="1"/>
    </xf>
    <xf numFmtId="0" fontId="20" fillId="9" borderId="3" xfId="0" applyFont="1" applyFill="1" applyBorder="1" applyAlignment="1">
      <alignment horizontal="center" vertical="top" wrapText="1"/>
    </xf>
    <xf numFmtId="0" fontId="14" fillId="10" borderId="3" xfId="0" applyFont="1" applyFill="1" applyBorder="1" applyAlignment="1">
      <alignment vertical="top" wrapText="1"/>
    </xf>
    <xf numFmtId="0" fontId="14" fillId="10" borderId="3" xfId="0" applyFont="1" applyFill="1" applyBorder="1" applyAlignment="1">
      <alignment vertical="top"/>
    </xf>
    <xf numFmtId="0" fontId="8" fillId="10" borderId="3" xfId="0" applyFont="1" applyFill="1" applyBorder="1" applyAlignment="1">
      <alignment horizontal="center" vertical="top" wrapText="1"/>
    </xf>
    <xf numFmtId="0" fontId="14" fillId="11" borderId="3" xfId="0" applyFont="1" applyFill="1" applyBorder="1" applyAlignment="1">
      <alignment vertical="top" wrapText="1"/>
    </xf>
    <xf numFmtId="0" fontId="19" fillId="12" borderId="1" xfId="0" applyFont="1" applyFill="1" applyBorder="1" applyAlignment="1">
      <alignment horizontal="center" vertical="top" wrapText="1"/>
    </xf>
    <xf numFmtId="0" fontId="14" fillId="0" borderId="0" xfId="0" applyFont="1" applyBorder="1" applyAlignme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A6"/>
  <sheetViews>
    <sheetView tabSelected="1" topLeftCell="P1" workbookViewId="0">
      <selection activeCell="AB6" sqref="AB6"/>
    </sheetView>
  </sheetViews>
  <sheetFormatPr baseColWidth="10" defaultColWidth="11" defaultRowHeight="16"/>
  <cols>
    <col min="25" max="28" width="11" style="18"/>
  </cols>
  <sheetData>
    <row r="2" spans="1:79" s="4" customFormat="1">
      <c r="K2" s="1" t="s">
        <v>6</v>
      </c>
      <c r="L2" s="2"/>
      <c r="M2" s="2"/>
      <c r="N2" s="2"/>
      <c r="O2" s="2" t="s">
        <v>7</v>
      </c>
      <c r="P2" s="2"/>
      <c r="Q2" s="2"/>
      <c r="R2" s="2"/>
      <c r="S2" s="2"/>
      <c r="T2" s="2" t="s">
        <v>8</v>
      </c>
      <c r="U2" s="2"/>
      <c r="V2" s="2"/>
      <c r="W2" s="2"/>
      <c r="X2" s="2"/>
      <c r="Y2" s="19"/>
      <c r="Z2" s="19"/>
      <c r="AA2" s="19"/>
      <c r="AB2" s="19"/>
      <c r="AC2" s="2" t="s">
        <v>9</v>
      </c>
      <c r="AD2" s="2"/>
      <c r="AE2" s="2"/>
      <c r="AF2" s="2" t="s">
        <v>10</v>
      </c>
      <c r="AG2" s="2"/>
      <c r="AH2" s="3"/>
      <c r="AI2" s="2" t="s">
        <v>11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/>
      <c r="BB2" s="2"/>
      <c r="BC2" s="2"/>
      <c r="BD2" s="2"/>
      <c r="BE2" s="2" t="s">
        <v>13</v>
      </c>
      <c r="BF2" s="2"/>
      <c r="BG2" s="2"/>
      <c r="BH2" s="2"/>
      <c r="BI2" s="2"/>
      <c r="BJ2" s="2"/>
      <c r="BK2" s="2" t="s">
        <v>14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15</v>
      </c>
      <c r="BY2" s="2"/>
      <c r="BZ2" s="2"/>
    </row>
    <row r="3" spans="1:79" ht="147" thickBot="1">
      <c r="A3" s="28" t="s">
        <v>127</v>
      </c>
      <c r="B3" s="28" t="s">
        <v>128</v>
      </c>
      <c r="C3" s="28" t="s">
        <v>129</v>
      </c>
      <c r="D3" s="28" t="s">
        <v>130</v>
      </c>
      <c r="E3" s="28" t="s">
        <v>131</v>
      </c>
      <c r="F3" s="28" t="s">
        <v>132</v>
      </c>
      <c r="G3" s="28" t="s">
        <v>133</v>
      </c>
      <c r="H3" s="28" t="s">
        <v>136</v>
      </c>
      <c r="I3" s="28" t="s">
        <v>137</v>
      </c>
      <c r="J3" s="28" t="s">
        <v>139</v>
      </c>
      <c r="K3" s="29" t="s">
        <v>16</v>
      </c>
      <c r="L3" s="30" t="s">
        <v>17</v>
      </c>
      <c r="M3" s="30" t="s">
        <v>18</v>
      </c>
      <c r="N3" s="30" t="s">
        <v>19</v>
      </c>
      <c r="O3" s="31" t="s">
        <v>143</v>
      </c>
      <c r="P3" s="31" t="s">
        <v>20</v>
      </c>
      <c r="Q3" s="32" t="s">
        <v>21</v>
      </c>
      <c r="R3" s="31" t="s">
        <v>22</v>
      </c>
      <c r="S3" s="33" t="s">
        <v>23</v>
      </c>
      <c r="T3" s="34" t="s">
        <v>24</v>
      </c>
      <c r="U3" s="34" t="s">
        <v>25</v>
      </c>
      <c r="V3" s="34" t="s">
        <v>26</v>
      </c>
      <c r="W3" s="34" t="s">
        <v>27</v>
      </c>
      <c r="X3" s="34" t="s">
        <v>28</v>
      </c>
      <c r="Y3" s="34" t="s">
        <v>140</v>
      </c>
      <c r="Z3" s="34" t="s">
        <v>141</v>
      </c>
      <c r="AA3" s="35" t="s">
        <v>144</v>
      </c>
      <c r="AB3" s="35" t="s">
        <v>145</v>
      </c>
      <c r="AC3" s="5" t="s">
        <v>29</v>
      </c>
      <c r="AD3" s="5" t="s">
        <v>30</v>
      </c>
      <c r="AE3" s="5" t="s">
        <v>31</v>
      </c>
      <c r="AF3" s="6" t="s">
        <v>32</v>
      </c>
      <c r="AG3" s="6" t="s">
        <v>33</v>
      </c>
      <c r="AH3" s="7" t="s">
        <v>34</v>
      </c>
      <c r="AI3" s="8" t="s">
        <v>35</v>
      </c>
      <c r="AJ3" s="8" t="s">
        <v>36</v>
      </c>
      <c r="AK3" s="8" t="s">
        <v>37</v>
      </c>
      <c r="AL3" s="8" t="s">
        <v>36</v>
      </c>
      <c r="AM3" s="8" t="s">
        <v>38</v>
      </c>
      <c r="AN3" s="8" t="s">
        <v>36</v>
      </c>
      <c r="AO3" s="8" t="s">
        <v>39</v>
      </c>
      <c r="AP3" s="8" t="s">
        <v>36</v>
      </c>
      <c r="AQ3" s="8" t="s">
        <v>40</v>
      </c>
      <c r="AR3" s="8" t="s">
        <v>41</v>
      </c>
      <c r="AS3" s="8" t="s">
        <v>42</v>
      </c>
      <c r="AT3" s="8" t="s">
        <v>43</v>
      </c>
      <c r="AU3" s="8" t="s">
        <v>44</v>
      </c>
      <c r="AV3" s="8" t="s">
        <v>45</v>
      </c>
      <c r="AW3" s="8" t="s">
        <v>46</v>
      </c>
      <c r="AX3" s="8" t="s">
        <v>47</v>
      </c>
      <c r="AY3" s="9" t="s">
        <v>48</v>
      </c>
      <c r="AZ3" s="9" t="s">
        <v>49</v>
      </c>
      <c r="BA3" s="9" t="s">
        <v>50</v>
      </c>
      <c r="BB3" s="9" t="s">
        <v>36</v>
      </c>
      <c r="BC3" s="9" t="s">
        <v>51</v>
      </c>
      <c r="BD3" s="9" t="s">
        <v>36</v>
      </c>
      <c r="BE3" s="10" t="s">
        <v>52</v>
      </c>
      <c r="BF3" s="10" t="s">
        <v>53</v>
      </c>
      <c r="BG3" s="10" t="s">
        <v>54</v>
      </c>
      <c r="BH3" s="10" t="s">
        <v>55</v>
      </c>
      <c r="BI3" s="10" t="s">
        <v>56</v>
      </c>
      <c r="BJ3" s="10" t="s">
        <v>57</v>
      </c>
      <c r="BK3" s="11" t="s">
        <v>58</v>
      </c>
      <c r="BL3" s="11" t="s">
        <v>59</v>
      </c>
      <c r="BM3" s="11" t="s">
        <v>60</v>
      </c>
      <c r="BN3" s="11" t="s">
        <v>61</v>
      </c>
      <c r="BO3" s="11" t="s">
        <v>62</v>
      </c>
      <c r="BP3" s="11" t="s">
        <v>63</v>
      </c>
      <c r="BQ3" s="11" t="s">
        <v>64</v>
      </c>
      <c r="BR3" s="11" t="s">
        <v>65</v>
      </c>
      <c r="BS3" s="11" t="s">
        <v>66</v>
      </c>
      <c r="BT3" s="11" t="s">
        <v>67</v>
      </c>
      <c r="BU3" s="11" t="s">
        <v>68</v>
      </c>
      <c r="BV3" s="11" t="s">
        <v>69</v>
      </c>
      <c r="BW3" s="11" t="s">
        <v>70</v>
      </c>
      <c r="BX3" s="12" t="s">
        <v>71</v>
      </c>
      <c r="BY3" s="12" t="s">
        <v>72</v>
      </c>
      <c r="BZ3" s="12" t="s">
        <v>73</v>
      </c>
    </row>
    <row r="4" spans="1:79" s="13" customFormat="1" ht="18" thickBot="1">
      <c r="A4" s="13" t="s">
        <v>142</v>
      </c>
      <c r="B4" s="13" t="s">
        <v>134</v>
      </c>
      <c r="C4" s="13">
        <v>2018</v>
      </c>
      <c r="D4" s="13" t="str">
        <f>N4</f>
        <v>10.1029/2018PA003356</v>
      </c>
      <c r="E4" s="13">
        <f>T4*1000</f>
        <v>63800</v>
      </c>
      <c r="F4" s="13">
        <f>(U4-T4)*1000</f>
        <v>200.00000000000284</v>
      </c>
      <c r="G4" s="13">
        <f>(T4-V4)*1000</f>
        <v>200.00000000000284</v>
      </c>
      <c r="H4" s="13">
        <f>BX4</f>
        <v>746</v>
      </c>
      <c r="I4" s="13">
        <f>BZ4-BX4</f>
        <v>412</v>
      </c>
      <c r="J4" s="13">
        <f>BX4-BY4</f>
        <v>274</v>
      </c>
      <c r="K4" s="20" t="s">
        <v>91</v>
      </c>
      <c r="L4" t="s">
        <v>92</v>
      </c>
      <c r="M4" s="21" t="s">
        <v>93</v>
      </c>
      <c r="N4" t="s">
        <v>126</v>
      </c>
      <c r="O4" s="15" t="s">
        <v>94</v>
      </c>
      <c r="P4" s="15" t="s">
        <v>96</v>
      </c>
      <c r="Q4" s="15" t="s">
        <v>97</v>
      </c>
      <c r="R4" s="15" t="s">
        <v>98</v>
      </c>
      <c r="S4" s="15" t="s">
        <v>99</v>
      </c>
      <c r="T4" s="15">
        <v>63.8</v>
      </c>
      <c r="U4" s="15">
        <v>64</v>
      </c>
      <c r="V4" s="15">
        <v>63.599999999999994</v>
      </c>
      <c r="W4" s="15" t="s">
        <v>138</v>
      </c>
      <c r="X4" s="15" t="s">
        <v>100</v>
      </c>
      <c r="Y4" s="17">
        <v>39.380000000000003</v>
      </c>
      <c r="Z4" s="17">
        <v>-104.85</v>
      </c>
      <c r="AA4" s="36" t="s">
        <v>138</v>
      </c>
      <c r="AB4" s="36" t="s">
        <v>138</v>
      </c>
      <c r="AC4" s="15" t="s">
        <v>76</v>
      </c>
      <c r="AD4" s="15" t="s">
        <v>101</v>
      </c>
      <c r="AE4" s="15" t="s">
        <v>138</v>
      </c>
      <c r="AF4" s="15" t="s">
        <v>74</v>
      </c>
      <c r="AG4" s="15" t="s">
        <v>104</v>
      </c>
      <c r="AH4" s="15" t="s">
        <v>105</v>
      </c>
      <c r="AI4" s="15">
        <v>230</v>
      </c>
      <c r="AJ4" s="15">
        <f>6*2</f>
        <v>12</v>
      </c>
      <c r="AK4" s="15">
        <v>9.6</v>
      </c>
      <c r="AL4" s="15">
        <f>0.5*2</f>
        <v>1</v>
      </c>
      <c r="AM4" s="15">
        <v>11.9</v>
      </c>
      <c r="AN4" s="15">
        <f>1*2</f>
        <v>2</v>
      </c>
      <c r="AO4" s="15">
        <f>AK4/2</f>
        <v>4.8</v>
      </c>
      <c r="AP4" s="15">
        <f>AL4/2</f>
        <v>0.5</v>
      </c>
      <c r="AQ4" s="15">
        <v>89</v>
      </c>
      <c r="AR4" s="15">
        <f>5*2</f>
        <v>10</v>
      </c>
      <c r="AS4" s="23" t="s">
        <v>107</v>
      </c>
      <c r="AT4" s="15">
        <v>0.33</v>
      </c>
      <c r="AU4" s="16" t="s">
        <v>77</v>
      </c>
      <c r="AV4" s="15">
        <v>1.571</v>
      </c>
      <c r="AW4" s="16" t="s">
        <v>77</v>
      </c>
      <c r="AX4" s="15">
        <v>78</v>
      </c>
      <c r="AY4" s="15">
        <v>-5</v>
      </c>
      <c r="AZ4" s="14" t="s">
        <v>75</v>
      </c>
      <c r="BA4" s="15">
        <v>-25.47</v>
      </c>
      <c r="BB4" s="15">
        <f>0.41*2</f>
        <v>0.82</v>
      </c>
      <c r="BC4" s="24">
        <f>((AY4-BA4)/(1+BA4/1000)-4.4)/(27-4.4)</f>
        <v>0.73473439295311749</v>
      </c>
      <c r="BD4" s="15" t="s">
        <v>138</v>
      </c>
      <c r="BE4" s="15">
        <v>107.5</v>
      </c>
      <c r="BF4" s="15" t="s">
        <v>109</v>
      </c>
      <c r="BG4" s="15" t="s">
        <v>110</v>
      </c>
      <c r="BH4" s="15" t="s">
        <v>113</v>
      </c>
      <c r="BI4" s="15">
        <v>0.28999999999999998</v>
      </c>
      <c r="BJ4" s="15" t="s">
        <v>115</v>
      </c>
      <c r="BK4" s="15" t="s">
        <v>119</v>
      </c>
      <c r="BL4" s="15" t="s">
        <v>120</v>
      </c>
      <c r="BM4" s="15">
        <v>21.8</v>
      </c>
      <c r="BN4" s="15" t="s">
        <v>117</v>
      </c>
      <c r="BO4" s="15" t="s">
        <v>118</v>
      </c>
      <c r="BP4" s="15" t="s">
        <v>122</v>
      </c>
      <c r="BQ4" s="15" t="s">
        <v>121</v>
      </c>
      <c r="BR4" s="15">
        <v>77</v>
      </c>
      <c r="BS4" s="15" t="s">
        <v>123</v>
      </c>
      <c r="BT4" s="15" t="s">
        <v>124</v>
      </c>
      <c r="BU4" s="15">
        <v>2.5</v>
      </c>
      <c r="BV4" s="15">
        <v>230000</v>
      </c>
      <c r="BW4" s="15" t="s">
        <v>125</v>
      </c>
      <c r="BX4" s="15">
        <v>746</v>
      </c>
      <c r="BY4" s="15">
        <v>472</v>
      </c>
      <c r="BZ4" s="15">
        <v>1158</v>
      </c>
      <c r="CA4" s="13" t="s">
        <v>135</v>
      </c>
    </row>
    <row r="5" spans="1:79" s="13" customFormat="1" ht="18" thickBot="1">
      <c r="A5" s="13" t="s">
        <v>142</v>
      </c>
      <c r="B5" s="13" t="s">
        <v>134</v>
      </c>
      <c r="C5" s="13">
        <v>2018</v>
      </c>
      <c r="D5" s="13" t="str">
        <f>N5</f>
        <v>10.1029/2018PA003356</v>
      </c>
      <c r="E5" s="13">
        <f>T5*1000</f>
        <v>63800</v>
      </c>
      <c r="F5" s="13">
        <f>(U5-T5)*1000</f>
        <v>200.00000000000284</v>
      </c>
      <c r="G5" s="13">
        <f>(T5-V5)*1000</f>
        <v>200.00000000000284</v>
      </c>
      <c r="H5" s="13">
        <f>BX5</f>
        <v>731</v>
      </c>
      <c r="I5" s="13">
        <f>BZ5-BX5</f>
        <v>345</v>
      </c>
      <c r="J5" s="13">
        <f>BX5-BY5</f>
        <v>253</v>
      </c>
      <c r="K5" s="20" t="s">
        <v>91</v>
      </c>
      <c r="L5" t="s">
        <v>92</v>
      </c>
      <c r="M5" s="21" t="s">
        <v>93</v>
      </c>
      <c r="N5" t="s">
        <v>126</v>
      </c>
      <c r="O5" s="15" t="s">
        <v>95</v>
      </c>
      <c r="P5" s="15" t="s">
        <v>96</v>
      </c>
      <c r="Q5" s="15" t="s">
        <v>97</v>
      </c>
      <c r="R5" s="15" t="s">
        <v>98</v>
      </c>
      <c r="S5" s="15" t="s">
        <v>99</v>
      </c>
      <c r="T5" s="15">
        <v>63.8</v>
      </c>
      <c r="U5" s="15">
        <v>64</v>
      </c>
      <c r="V5" s="15">
        <v>63.599999999999994</v>
      </c>
      <c r="W5" s="15" t="s">
        <v>138</v>
      </c>
      <c r="X5" s="15" t="s">
        <v>100</v>
      </c>
      <c r="Y5" s="17">
        <v>39.380000000000003</v>
      </c>
      <c r="Z5" s="17">
        <v>-104.85</v>
      </c>
      <c r="AA5" s="36" t="s">
        <v>138</v>
      </c>
      <c r="AB5" s="36" t="s">
        <v>138</v>
      </c>
      <c r="AC5" s="15" t="s">
        <v>102</v>
      </c>
      <c r="AD5" s="15" t="s">
        <v>103</v>
      </c>
      <c r="AE5" s="15" t="s">
        <v>138</v>
      </c>
      <c r="AF5" s="15" t="s">
        <v>74</v>
      </c>
      <c r="AG5" s="15" t="s">
        <v>104</v>
      </c>
      <c r="AH5" s="15" t="s">
        <v>106</v>
      </c>
      <c r="AI5" s="15">
        <v>136</v>
      </c>
      <c r="AJ5" s="22">
        <f>6.17*2</f>
        <v>12.34</v>
      </c>
      <c r="AK5" s="15">
        <v>10.1</v>
      </c>
      <c r="AL5" s="15">
        <f>0.3*2</f>
        <v>0.6</v>
      </c>
      <c r="AM5" s="15">
        <v>31</v>
      </c>
      <c r="AN5" s="15">
        <f>0.6*2</f>
        <v>1.2</v>
      </c>
      <c r="AO5" s="15">
        <f>AK5/2</f>
        <v>5.05</v>
      </c>
      <c r="AP5" s="15">
        <f>AL5/2</f>
        <v>0.3</v>
      </c>
      <c r="AQ5" s="15">
        <v>220</v>
      </c>
      <c r="AR5" s="15">
        <f>11*2</f>
        <v>22</v>
      </c>
      <c r="AS5" s="23" t="s">
        <v>108</v>
      </c>
      <c r="AT5" s="15">
        <v>0.35</v>
      </c>
      <c r="AU5" s="16" t="s">
        <v>77</v>
      </c>
      <c r="AV5" s="15">
        <v>1.571</v>
      </c>
      <c r="AW5" s="16" t="s">
        <v>77</v>
      </c>
      <c r="AX5" s="15">
        <v>51</v>
      </c>
      <c r="AY5" s="15">
        <v>-5</v>
      </c>
      <c r="AZ5" s="14" t="s">
        <v>75</v>
      </c>
      <c r="BA5" s="15">
        <v>-25.57</v>
      </c>
      <c r="BB5" s="15">
        <f>0.17*2</f>
        <v>0.34</v>
      </c>
      <c r="BC5" s="24">
        <f>((AY5-BA5)/(1+BA5/1000)-4.4)/(27-4.4)</f>
        <v>0.73937066362100134</v>
      </c>
      <c r="BD5" s="15" t="s">
        <v>138</v>
      </c>
      <c r="BE5" s="15">
        <v>44.1</v>
      </c>
      <c r="BF5" s="15" t="s">
        <v>111</v>
      </c>
      <c r="BG5" s="15" t="s">
        <v>112</v>
      </c>
      <c r="BH5" s="15" t="s">
        <v>114</v>
      </c>
      <c r="BI5" s="15">
        <v>2.5499999999999998</v>
      </c>
      <c r="BJ5" s="15" t="s">
        <v>116</v>
      </c>
      <c r="BK5" s="15" t="s">
        <v>119</v>
      </c>
      <c r="BL5" s="15" t="s">
        <v>120</v>
      </c>
      <c r="BM5" s="15">
        <v>21.8</v>
      </c>
      <c r="BN5" s="15" t="s">
        <v>117</v>
      </c>
      <c r="BO5" s="15" t="s">
        <v>118</v>
      </c>
      <c r="BP5" s="15" t="s">
        <v>122</v>
      </c>
      <c r="BQ5" s="15" t="s">
        <v>121</v>
      </c>
      <c r="BR5" s="15">
        <v>77</v>
      </c>
      <c r="BS5" s="15" t="s">
        <v>123</v>
      </c>
      <c r="BT5" s="15" t="s">
        <v>124</v>
      </c>
      <c r="BU5" s="15">
        <v>2.5</v>
      </c>
      <c r="BV5" s="15">
        <v>230000</v>
      </c>
      <c r="BW5" s="15" t="s">
        <v>125</v>
      </c>
      <c r="BX5" s="15">
        <v>731</v>
      </c>
      <c r="BY5" s="15">
        <v>478</v>
      </c>
      <c r="BZ5" s="15">
        <v>1076</v>
      </c>
      <c r="CA5" s="13" t="s">
        <v>135</v>
      </c>
    </row>
    <row r="6" spans="1:79">
      <c r="AA6" s="36"/>
      <c r="AB6" s="36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D544-AC3C-6C4D-B1B6-979F82A1B4EE}">
  <dimension ref="A1:A21"/>
  <sheetViews>
    <sheetView workbookViewId="0">
      <selection sqref="A1:A21"/>
    </sheetView>
  </sheetViews>
  <sheetFormatPr baseColWidth="10" defaultRowHeight="16"/>
  <sheetData>
    <row r="1" spans="1:1">
      <c r="A1" s="25" t="s">
        <v>0</v>
      </c>
    </row>
    <row r="2" spans="1:1" ht="19">
      <c r="A2" s="25" t="s">
        <v>1</v>
      </c>
    </row>
    <row r="3" spans="1:1" ht="19">
      <c r="A3" s="25" t="s">
        <v>2</v>
      </c>
    </row>
    <row r="4" spans="1:1">
      <c r="A4" s="25"/>
    </row>
    <row r="5" spans="1:1">
      <c r="A5" s="26" t="s">
        <v>78</v>
      </c>
    </row>
    <row r="6" spans="1:1">
      <c r="A6" s="26" t="s">
        <v>79</v>
      </c>
    </row>
    <row r="7" spans="1:1">
      <c r="A7" s="26" t="s">
        <v>90</v>
      </c>
    </row>
    <row r="8" spans="1:1">
      <c r="A8" s="26" t="s">
        <v>80</v>
      </c>
    </row>
    <row r="9" spans="1:1">
      <c r="A9" s="26" t="s">
        <v>81</v>
      </c>
    </row>
    <row r="10" spans="1:1">
      <c r="A10" s="26" t="s">
        <v>82</v>
      </c>
    </row>
    <row r="11" spans="1:1">
      <c r="A11" s="26" t="s">
        <v>83</v>
      </c>
    </row>
    <row r="12" spans="1:1">
      <c r="A12" s="26" t="s">
        <v>84</v>
      </c>
    </row>
    <row r="13" spans="1:1">
      <c r="A13" s="26" t="s">
        <v>85</v>
      </c>
    </row>
    <row r="14" spans="1:1">
      <c r="A14" s="26" t="s">
        <v>86</v>
      </c>
    </row>
    <row r="15" spans="1:1">
      <c r="A15" s="26" t="s">
        <v>87</v>
      </c>
    </row>
    <row r="16" spans="1:1">
      <c r="A16" s="26" t="s">
        <v>88</v>
      </c>
    </row>
    <row r="17" spans="1:1">
      <c r="A17" s="25" t="s">
        <v>89</v>
      </c>
    </row>
    <row r="19" spans="1:1">
      <c r="A19" s="27" t="s">
        <v>3</v>
      </c>
    </row>
    <row r="20" spans="1:1">
      <c r="A20" s="27" t="s">
        <v>4</v>
      </c>
    </row>
    <row r="21" spans="1:1">
      <c r="A21" s="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gas-exchange_FOM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2017-12-08T17:20:22Z</dcterms:created>
  <dcterms:modified xsi:type="dcterms:W3CDTF">2020-08-04T17:35:37Z</dcterms:modified>
</cp:coreProperties>
</file>